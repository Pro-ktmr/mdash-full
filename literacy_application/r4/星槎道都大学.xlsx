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24226"/>
  <mc:AlternateContent xmlns:mc="http://schemas.openxmlformats.org/markup-compatibility/2006">
    <mc:Choice Requires="x15">
      <x15ac:absPath xmlns:x15ac="http://schemas.microsoft.com/office/spreadsheetml/2010/11/ac" url="https://dohtoacjp-my.sharepoint.com/personal/mtanigu_seisa_dohto_ac_jp/Documents/数理・データサイエンス/★申請書類一式/"/>
    </mc:Choice>
  </mc:AlternateContent>
  <xr:revisionPtr revIDLastSave="40" documentId="8_{22495E1B-AAE1-418A-89D6-5F325BC1B5E3}" xr6:coauthVersionLast="47" xr6:coauthVersionMax="47" xr10:uidLastSave="{4825B936-839B-4E9F-A9AC-9F31DAA687D1}"/>
  <bookViews>
    <workbookView xWindow="-120" yWindow="-120" windowWidth="20730" windowHeight="11310" tabRatio="885" xr2:uid="{00000000-000D-0000-FFFF-FFFF00000000}"/>
  </bookViews>
  <sheets>
    <sheet name="様式１　大学等概要" sheetId="48" r:id="rId1"/>
    <sheet name="様式２　プログラムを構成する授業科目" sheetId="47" r:id="rId2"/>
    <sheet name="様式３　履修者等数の実績" sheetId="40" r:id="rId3"/>
    <sheet name="様式４　教育の質・履修者数を向上させるための体制・計画" sheetId="45" r:id="rId4"/>
    <sheet name="様式５　自己点検・評価" sheetId="42" r:id="rId5"/>
    <sheet name="様式６　特色ある取組" sheetId="50" r:id="rId6"/>
  </sheets>
  <externalReferences>
    <externalReference r:id="rId7"/>
  </externalReference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8" i="45" l="1"/>
  <c r="C4" i="40" l="1"/>
  <c r="O45" i="48" l="1"/>
  <c r="O44" i="48"/>
  <c r="O41" i="48"/>
  <c r="O39" i="48"/>
  <c r="O37" i="48"/>
  <c r="O34" i="48"/>
  <c r="O32" i="48"/>
  <c r="O29" i="48"/>
  <c r="O20" i="48"/>
  <c r="O18" i="48"/>
  <c r="O16" i="48"/>
  <c r="O14" i="48"/>
  <c r="O12" i="48"/>
  <c r="O10" i="48"/>
  <c r="O8" i="48"/>
  <c r="O6" i="48"/>
  <c r="O4" i="48"/>
  <c r="K113" i="45"/>
  <c r="K91" i="45"/>
  <c r="K69" i="45"/>
  <c r="K46" i="45"/>
  <c r="K31" i="45"/>
  <c r="I29" i="45"/>
  <c r="K15" i="45"/>
  <c r="K8" i="45"/>
  <c r="K5" i="45"/>
  <c r="K18" i="42" l="1"/>
  <c r="K16" i="42"/>
  <c r="K15" i="42"/>
  <c r="K9" i="42"/>
  <c r="K8" i="42"/>
  <c r="K7" i="42"/>
  <c r="K14" i="42"/>
  <c r="K13" i="42"/>
  <c r="K11" i="42"/>
  <c r="K10" i="42"/>
  <c r="P30" i="40" l="1"/>
  <c r="O30" i="40"/>
  <c r="N30" i="40"/>
  <c r="M30" i="40"/>
  <c r="L30" i="40"/>
  <c r="K30" i="40"/>
  <c r="J30" i="40"/>
  <c r="I30" i="40"/>
  <c r="H30" i="40"/>
  <c r="G30" i="40"/>
  <c r="F30" i="40"/>
  <c r="E30" i="40"/>
  <c r="D30" i="40"/>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R14" i="40"/>
  <c r="Q14" i="40"/>
  <c r="Q13" i="40"/>
  <c r="R13" i="40" s="1"/>
  <c r="Q12" i="40"/>
  <c r="R12" i="40" s="1"/>
  <c r="Q11" i="40"/>
  <c r="R11" i="40" s="1"/>
  <c r="Q10" i="40"/>
  <c r="Q30" i="40" l="1"/>
  <c r="R30" i="40" s="1"/>
  <c r="R10" i="40"/>
</calcChain>
</file>

<file path=xl/sharedStrings.xml><?xml version="1.0" encoding="utf-8"?>
<sst xmlns="http://schemas.openxmlformats.org/spreadsheetml/2006/main" count="327" uniqueCount="210">
  <si>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</si>
  <si>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</si>
  <si>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</si>
  <si>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</si>
  <si>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</si>
  <si>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</si>
  <si>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</si>
  <si>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</si>
  <si>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</si>
  <si>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</si>
  <si>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</si>
  <si>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</si>
  <si>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</si>
  <si>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</si>
  <si>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</si>
  <si>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</si>
  <si>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</si>
  <si>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</si>
  <si>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</si>
  <si>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</si>
  <si>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</si>
  <si>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</si>
  <si>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</si>
  <si>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</si>
  <si>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</si>
  <si>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</si>
  <si>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</si>
  <si>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</si>
  <si>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</si>
  <si>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</si>
  <si>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</si>
  <si>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</si>
  <si>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</si>
  <si>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</si>
  <si>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</si>
  <si>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</si>
  <si>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</si>
  <si>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</si>
  <si>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</si>
  <si>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</si>
  <si>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</si>
  <si>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</si>
  <si>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</si>
  <si>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</si>
  <si>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</si>
  <si>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</si>
  <si>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</si>
  <si>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</si>
  <si>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</si>
  <si>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大学等の設置者</t>
  </si>
  <si>
    <t>⑫</t>
    <phoneticPr fontId="1"/>
  </si>
  <si>
    <t>総数</t>
    <rPh sb="0" eb="2">
      <t>ソウスウ</t>
    </rPh>
    <phoneticPr fontId="1"/>
  </si>
  <si>
    <t>⑧</t>
    <phoneticPr fontId="1"/>
  </si>
  <si>
    <t>⑬</t>
    <phoneticPr fontId="1"/>
  </si>
  <si>
    <t>履修率</t>
    <rPh sb="0" eb="2">
      <t>リシュウ</t>
    </rPh>
    <rPh sb="2" eb="3">
      <t>リツ</t>
    </rPh>
    <phoneticPr fontId="1"/>
  </si>
  <si>
    <t>合　計</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</si>
  <si>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</si>
  <si>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</si>
  <si>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</si>
  <si>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</si>
  <si>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</si>
  <si>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</si>
  <si>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</si>
  <si>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</si>
  <si>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</si>
  <si>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</si>
  <si>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</si>
  <si>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</si>
  <si>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</si>
  <si>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</si>
  <si>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</si>
  <si>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</si>
  <si>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</si>
  <si>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</si>
  <si>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</si>
  <si>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</si>
  <si>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</si>
  <si>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</si>
  <si>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</si>
  <si>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</si>
  <si>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</si>
  <si>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</si>
  <si>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</si>
  <si>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</si>
  <si>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</si>
  <si>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</si>
  <si>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</si>
  <si>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</si>
  <si>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</si>
  <si>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</si>
  <si>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</si>
  <si>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</si>
  <si>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</si>
  <si>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</si>
  <si>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</si>
  <si>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</si>
  <si>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</si>
  <si>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</si>
  <si>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</si>
  <si>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</si>
  <si>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</si>
  <si>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</si>
  <si>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</si>
  <si>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</si>
  <si>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</si>
  <si>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</si>
  <si>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</si>
  <si>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</si>
  <si>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</si>
  <si>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</si>
  <si>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</si>
  <si>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</si>
  <si>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</si>
  <si>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</si>
  <si>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</si>
  <si>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</si>
  <si>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</si>
  <si>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</si>
  <si>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</si>
  <si>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</si>
  <si>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</si>
  <si>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</si>
  <si>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</si>
  <si>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</si>
  <si>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</si>
  <si>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</si>
  <si>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</si>
  <si>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</si>
  <si>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</si>
  <si>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</si>
  <si>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</si>
  <si>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</si>
  <si>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</si>
  <si>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</si>
  <si>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</si>
  <si>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</si>
  <si>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</si>
  <si>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</si>
  <si>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</si>
  <si>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</si>
  <si>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</si>
  <si>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</si>
  <si>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</si>
  <si>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</si>
  <si>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</si>
  <si>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</si>
  <si>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経営学部</t>
    <rPh sb="0" eb="4">
      <t xml:space="preserve">ケイエイガクブ </t>
    </rPh>
    <phoneticPr fontId="2"/>
  </si>
  <si>
    <t>社会福祉学部</t>
    <rPh sb="0" eb="6">
      <t xml:space="preserve">シャカイフクシガクブ </t>
    </rPh>
    <phoneticPr fontId="2"/>
  </si>
  <si>
    <t>美術学部</t>
    <rPh sb="0" eb="4">
      <t xml:space="preserve">ビジュツガクブ </t>
    </rPh>
    <phoneticPr fontId="2"/>
  </si>
  <si>
    <t>私立大学</t>
  </si>
  <si>
    <t>北海道北広島市中の沢149番地</t>
    <rPh sb="0" eb="3">
      <t xml:space="preserve">ホッカイドウ </t>
    </rPh>
    <rPh sb="3" eb="7">
      <t xml:space="preserve">キタヒロシマシ </t>
    </rPh>
    <rPh sb="7" eb="8">
      <t xml:space="preserve">ナカノサワ </t>
    </rPh>
    <rPh sb="13" eb="15">
      <t xml:space="preserve">バンチ </t>
    </rPh>
    <phoneticPr fontId="1"/>
  </si>
  <si>
    <t>数理・データサイエンス・AI教育</t>
    <rPh sb="0" eb="2">
      <t xml:space="preserve">スウリ </t>
    </rPh>
    <rPh sb="14" eb="16">
      <t xml:space="preserve">キョウイク </t>
    </rPh>
    <phoneticPr fontId="1"/>
  </si>
  <si>
    <t>令和3</t>
    <rPh sb="0" eb="2">
      <t xml:space="preserve">レイワ </t>
    </rPh>
    <phoneticPr fontId="1"/>
  </si>
  <si>
    <t>無</t>
  </si>
  <si>
    <t>飯浜　浩幸</t>
    <rPh sb="0" eb="2">
      <t xml:space="preserve">イイハマ </t>
    </rPh>
    <rPh sb="3" eb="4">
      <t xml:space="preserve">ヒロユキ </t>
    </rPh>
    <rPh sb="4" eb="5">
      <t xml:space="preserve">シアワセ </t>
    </rPh>
    <phoneticPr fontId="1"/>
  </si>
  <si>
    <t>学長</t>
    <rPh sb="0" eb="2">
      <t xml:space="preserve">ガクチョウ </t>
    </rPh>
    <phoneticPr fontId="1"/>
  </si>
  <si>
    <t>学務委員会</t>
    <rPh sb="0" eb="5">
      <t xml:space="preserve">ガクムイインカイ </t>
    </rPh>
    <phoneticPr fontId="1"/>
  </si>
  <si>
    <t>認定教育プログラムと認定教育プログラム+（プラス）</t>
  </si>
  <si>
    <t>図書情報センター</t>
    <rPh sb="0" eb="4">
      <t xml:space="preserve">トショジョウホウセンター </t>
    </rPh>
    <phoneticPr fontId="1"/>
  </si>
  <si>
    <t>近澤　潤</t>
    <rPh sb="0" eb="2">
      <t xml:space="preserve">チカザワ </t>
    </rPh>
    <rPh sb="3" eb="4">
      <t xml:space="preserve">ジュン </t>
    </rPh>
    <phoneticPr fontId="1"/>
  </si>
  <si>
    <t>011-372-3111</t>
    <phoneticPr fontId="1"/>
  </si>
  <si>
    <t>伊藤　裕康</t>
    <phoneticPr fontId="1"/>
  </si>
  <si>
    <t>学部・学科によって、修了要件は相違しない</t>
  </si>
  <si>
    <t>本学の全学部・全学科において、本プログラムを構成する全学必修共通教育科目「情報基礎演習Ⅱ」（1単位）を修得すること。</t>
    <rPh sb="0" eb="2">
      <t xml:space="preserve">ホンガクノ </t>
    </rPh>
    <rPh sb="3" eb="6">
      <t xml:space="preserve">ゼンガクブ </t>
    </rPh>
    <rPh sb="7" eb="10">
      <t xml:space="preserve">ゼンガッカ </t>
    </rPh>
    <rPh sb="15" eb="16">
      <t xml:space="preserve">ホン </t>
    </rPh>
    <rPh sb="22" eb="24">
      <t xml:space="preserve">コウセイスル </t>
    </rPh>
    <rPh sb="26" eb="28">
      <t xml:space="preserve">ゼンガク </t>
    </rPh>
    <rPh sb="28" eb="30">
      <t xml:space="preserve">ヒッシュウカモク </t>
    </rPh>
    <rPh sb="30" eb="36">
      <t xml:space="preserve">キョウツウキョウイクカモクトシテ </t>
    </rPh>
    <rPh sb="37" eb="43">
      <t xml:space="preserve">ジョウホウキソエンシュウ </t>
    </rPh>
    <rPh sb="47" eb="49">
      <t xml:space="preserve">タンイ </t>
    </rPh>
    <rPh sb="51" eb="53">
      <t xml:space="preserve">シュウトクスルコト </t>
    </rPh>
    <phoneticPr fontId="1"/>
  </si>
  <si>
    <t>情報基礎演習Ⅱ</t>
    <rPh sb="0" eb="6">
      <t xml:space="preserve">ジョウホウキソエンシュウ </t>
    </rPh>
    <phoneticPr fontId="1"/>
  </si>
  <si>
    <t>○</t>
  </si>
  <si>
    <t>全学開講</t>
  </si>
  <si>
    <t>・ビッグデータ、IoT、AI、ロボット「情報基礎演習Ⅱ」（２回目）
・データ量の増加、計算機の処理性能の向上、AIの非連続的進化「情報基礎演習Ⅱ」（２回目）
・第4次産業革命、Society 5.0、データ駆動型社会「情報基礎演習Ⅱ」（２回目）
・人間の知的活動とAIの関係性「情報基礎演習Ⅱ」（２回目）</t>
    <rPh sb="8" eb="14">
      <t xml:space="preserve">ジョウホウキソエンシュウ </t>
    </rPh>
    <rPh sb="17" eb="18">
      <t xml:space="preserve">ダイ </t>
    </rPh>
    <rPh sb="20" eb="26">
      <t xml:space="preserve">ジョウホウキソエンシュウ </t>
    </rPh>
    <rPh sb="33" eb="34">
      <t xml:space="preserve">カイ </t>
    </rPh>
    <phoneticPr fontId="1"/>
  </si>
  <si>
    <t>・AI等を活用した新しいビジネスモデル(シェアリングエコノミー、商品のレコメンデーションなど)「情報基礎演習Ⅱ」（６・７・８回目）
・AI最新技術の活用例（深層生成モデル、敵対的生成ネットワーク、強化学習、転移学習など）「情報基礎演習Ⅱ」（６・７・８回目）</t>
    <rPh sb="48" eb="54">
      <t xml:space="preserve">ジョウホウキソエンシュウ </t>
    </rPh>
    <phoneticPr fontId="1"/>
  </si>
  <si>
    <t>・調査データ、実験データ、人の行動ログデータ、機械の稼働ログデータ「情報基礎演習Ⅱ」（３回目）
・データ作成（ビッグデータとアノテーション）「情報基礎演習Ⅱ」（３回目）</t>
    <rPh sb="34" eb="40">
      <t xml:space="preserve">ジョウホウキソエンシュウ </t>
    </rPh>
    <phoneticPr fontId="1"/>
  </si>
  <si>
    <t>・データ・AI活用領域の広がり「情報基礎演習Ⅱ」（４回目）
・研究開発、調達、製造、物流、販売、マーケティング、サービス「情報基礎演習Ⅱ」（４回目）</t>
    <rPh sb="16" eb="22">
      <t xml:space="preserve">ジョウホウキソエンシュウ </t>
    </rPh>
    <rPh sb="61" eb="67">
      <t xml:space="preserve">ジョウホウキソエンシュウ </t>
    </rPh>
    <phoneticPr fontId="1"/>
  </si>
  <si>
    <t>・データ解析「情報基礎演習Ⅱ」（５回目）
・データ可視化「情報基礎演習Ⅱ」（５回目）
・AIとビッグデータ「情報基礎演習Ⅱ」（５回目）
・認識技術、自動化技術「情報基礎演習Ⅱ」（５回目）</t>
    <rPh sb="7" eb="13">
      <t xml:space="preserve">ジョウホウキソエンシュウ </t>
    </rPh>
    <rPh sb="29" eb="35">
      <t xml:space="preserve">ジョウホウキソエンシュウ </t>
    </rPh>
    <rPh sb="54" eb="60">
      <t xml:space="preserve">ジョウホウキソエンシュウ </t>
    </rPh>
    <rPh sb="80" eb="86">
      <t xml:space="preserve">ジョウホウキソエンシュウ </t>
    </rPh>
    <phoneticPr fontId="1"/>
  </si>
  <si>
    <t>・データサイエンスのサイクル「情報基礎演習Ⅱ」（６回目）
・流通、製造、金融、サービス、インフラ、公共、ヘルスケア等におけるデータ・AI利活用事例紹介「情報基礎演習Ⅱ」（６回目）</t>
    <rPh sb="15" eb="21">
      <t xml:space="preserve">ジョウホウキソエンシュウ </t>
    </rPh>
    <rPh sb="30" eb="32">
      <t xml:space="preserve">ケイエイ </t>
    </rPh>
    <rPh sb="33" eb="37">
      <t xml:space="preserve">シャカイフクシ </t>
    </rPh>
    <rPh sb="43" eb="45">
      <t xml:space="preserve">ケンチク </t>
    </rPh>
    <rPh sb="45" eb="47">
      <t xml:space="preserve">ブンヤ </t>
    </rPh>
    <rPh sb="57" eb="58">
      <t xml:space="preserve">ナド </t>
    </rPh>
    <rPh sb="66" eb="72">
      <t xml:space="preserve">ジョウホウキソエンシュウ </t>
    </rPh>
    <phoneticPr fontId="1"/>
  </si>
  <si>
    <t>・個人情報保護、EU一般データ保護規則(GDPR)、忘れられる権利、オプトアウト「情報基礎演習Ⅱ」（１４回目）
・データ倫理：データのねつ造、改ざん、盗用、プライバシー保護「情報基礎演習Ⅱ」（１４回目）
・データバイアス、アルゴリズムバイアス「情報基礎演習Ⅱ」（１４回目）</t>
    <phoneticPr fontId="1"/>
  </si>
  <si>
    <t>・情報セキュリティ：機密性、完全性、可用性「情報基礎演習Ⅱ」（１５回目）
・匿名加工情報、暗号化、パスワード、悪意ある情報搾取「情報基礎演習Ⅱ」（１５回目）
・情報漏洩等によるセキュリティ事故の事例紹介「情報基礎演習Ⅱ」（１５回目）</t>
    <rPh sb="22" eb="28">
      <t xml:space="preserve">ジョウホウキソエンシュウ </t>
    </rPh>
    <phoneticPr fontId="1"/>
  </si>
  <si>
    <t>・データ表現（棒グラフ、折線グラフ、散布図、ヒートマップ）「情報基礎演習Ⅱ」（９・１１回目）
・優れた可視化事例の紹介（可視化することによって新たな気づきがあった事例など）「情報基礎演習Ⅱ」（１１回目）</t>
    <phoneticPr fontId="1"/>
  </si>
  <si>
    <t>・データの集計（和、平均）「情報基礎演習Ⅱ」（１２・１３回目）
・データの並び替え、ランキング「情報基礎演習Ⅱ」（１２・１３回目）</t>
    <phoneticPr fontId="1"/>
  </si>
  <si>
    <t>・データ・ＡＩ活用領域の広がりを理解し、それらを活用する価値を説明できる。
・データ・AIを活用する際に求められるモラルや倫理、データ駆動型社会における脅威（リスク）について理解し、習得する。
・コンピュータを使って、データを適切に加工・分析・考察することができ、その結果をプレゼンテーションツール等を用いて、表現することができる。</t>
    <phoneticPr fontId="1"/>
  </si>
  <si>
    <t>星槎道都大学教授会規程</t>
    <phoneticPr fontId="1"/>
  </si>
  <si>
    <t>学生への学習支援</t>
    <rPh sb="0" eb="2">
      <t xml:space="preserve">ガクセイヘノ </t>
    </rPh>
    <rPh sb="4" eb="8">
      <t xml:space="preserve">ガクシュウシエン </t>
    </rPh>
    <phoneticPr fontId="1"/>
  </si>
  <si>
    <t>・データの種類（量的変数、質的変数）「情報基礎演習Ⅱ」（１０回目）
・データの分布(ヒストグラム)と代表値（平均値、中央値、最頻値）「情報基礎演習Ⅱ」（９・１０回目）
・代表値の性質の違い（実社会では平均値＝最頻値でないことが多い）「情報基礎演習Ⅱ」（１０回目）
・相関と因果（相関係数）「情報基礎演習Ⅱ」（１０回目）
・母集団と標本抽出（国勢調査、アンケート調査、層別抽出）「情報基礎演習Ⅱ」（１０回目）
・統計情報の正しい理解（誇張表現に惑わされない）「情報基礎演習Ⅱ」（１０回目）</t>
    <phoneticPr fontId="1"/>
  </si>
  <si>
    <t>星槎道都大学</t>
    <rPh sb="0" eb="6">
      <t xml:space="preserve">セイサドウトダイガク </t>
    </rPh>
    <phoneticPr fontId="1"/>
  </si>
  <si>
    <t>学校法人北海道星槎学園</t>
    <rPh sb="0" eb="4">
      <t xml:space="preserve">ガッコウホウジン </t>
    </rPh>
    <rPh sb="4" eb="11">
      <t xml:space="preserve">ホッカイドウセイサガクエン </t>
    </rPh>
    <phoneticPr fontId="1"/>
  </si>
  <si>
    <t>学務委員長</t>
    <rPh sb="0" eb="2">
      <t xml:space="preserve">ガクム </t>
    </rPh>
    <rPh sb="2" eb="5">
      <t xml:space="preserve">イインチョウ </t>
    </rPh>
    <phoneticPr fontId="1"/>
  </si>
  <si>
    <t>データサイエンス教育担当者会議</t>
    <rPh sb="10" eb="15">
      <t xml:space="preserve">タントウシャカイギ </t>
    </rPh>
    <phoneticPr fontId="1"/>
  </si>
  <si>
    <t>由水　伸</t>
    <rPh sb="0" eb="2">
      <t xml:space="preserve">ヨシミズシン </t>
    </rPh>
    <rPh sb="3" eb="4">
      <t xml:space="preserve">シン </t>
    </rPh>
    <phoneticPr fontId="1"/>
  </si>
  <si>
    <t>tosho@seisa.dohto.ac.jp</t>
    <phoneticPr fontId="1"/>
  </si>
  <si>
    <t>学長　教授　飯浜　浩幸
副学長・社会福祉学部長　教授　小早川　俊哉
経営学部長　教授　信濃　吉彦
経営学部学科長　教授　河野　善文
経営学部経営学科　教授　青山　浩之
経営学部経営学科　教授　遠藤　均
社会福祉学部学科長　教授　藤根　収
社会福祉学部社会福祉学科　教授　渡部　 斎
社会福祉学部社会福祉学科　専任講師　西野　克俊
美術学部長　教授　安藤　淳一
美術学部デザイン学科長　教授　林　春生
美術学部デザイン学科　准教授　梅田　力
美術学部建築学科長　教授　伊藤　裕康
事務局長　酒井　純一　事務局次長　谷口　昌弘</t>
    <rPh sb="0" eb="2">
      <t xml:space="preserve">ガクチョウ </t>
    </rPh>
    <rPh sb="3" eb="5">
      <t>キョウジュ</t>
    </rPh>
    <rPh sb="6" eb="9">
      <t xml:space="preserve">ビジュツガクブ </t>
    </rPh>
    <rPh sb="10" eb="11">
      <t xml:space="preserve">キョウジュ </t>
    </rPh>
    <rPh sb="12" eb="15">
      <t xml:space="preserve">フクガクチョウ </t>
    </rPh>
    <rPh sb="24" eb="26">
      <t>キョウジュ</t>
    </rPh>
    <rPh sb="38" eb="39">
      <t>チョウ</t>
    </rPh>
    <rPh sb="40" eb="42">
      <t>キョウジュ</t>
    </rPh>
    <rPh sb="52" eb="53">
      <t>ブ</t>
    </rPh>
    <rPh sb="61" eb="62">
      <t xml:space="preserve">キョウジュ </t>
    </rPh>
    <rPh sb="62" eb="64">
      <t xml:space="preserve">ガッカチョウ </t>
    </rPh>
    <rPh sb="70" eb="74">
      <t>ケイエイガッカ</t>
    </rPh>
    <rPh sb="88" eb="92">
      <t>ケイエイガッカ</t>
    </rPh>
    <rPh sb="105" eb="107">
      <t>ガクブ</t>
    </rPh>
    <rPh sb="108" eb="112">
      <t xml:space="preserve">ケイエイガクブ </t>
    </rPh>
    <rPh sb="125" eb="129">
      <t>シャカイフクシ</t>
    </rPh>
    <rPh sb="129" eb="131">
      <t>ガッカ</t>
    </rPh>
    <rPh sb="147" eb="151">
      <t>シャカイフクシ</t>
    </rPh>
    <rPh sb="151" eb="153">
      <t>ガッカ</t>
    </rPh>
    <rPh sb="180" eb="184">
      <t>ビジュツガクブ</t>
    </rPh>
    <rPh sb="185" eb="187">
      <t xml:space="preserve">キョウジュ </t>
    </rPh>
    <rPh sb="188" eb="190">
      <t xml:space="preserve">フジネ </t>
    </rPh>
    <rPh sb="191" eb="192">
      <t xml:space="preserve">オサム コウノ </t>
    </rPh>
    <rPh sb="208" eb="210">
      <t>ガッカ</t>
    </rPh>
    <rPh sb="220" eb="224">
      <t>ビジュツガクブ</t>
    </rPh>
    <rPh sb="253" eb="255">
      <t>イ オトヒ</t>
    </rPh>
    <rPh sb="256" eb="258">
      <t/>
    </rPh>
    <phoneticPr fontId="1"/>
  </si>
  <si>
    <t>数理・データサイエンス・ＡＩリテラシー教育（科目名：情報基礎演習Ⅱ）においては、全学的に行われている授業改善アンケートより学生の意見・要望を取り入れ、改善を図っている。また、授業担当者による独自アンケートを授業開講期間中に３回実施し、細やかな学生ニーズに対応し、習熟度や学習意欲の向上に活用している。</t>
    <phoneticPr fontId="1"/>
  </si>
  <si>
    <t>本プログラムは、星槎道都大学の共通教育科目の科目区分「情報・数理基礎教育科目～情報リテラシー」において必修科目として開講していることから、全学教授会に設置されている学務委員会において、本プログラム教育内容の改善や教育課程の編成、プログラムの自己点検・評価のほか、数理・データサイエンス・ＡＩ教育の全学的な普及、関連科目の整備を行う組織であるデータサイエンス教育担当者会議（学務委員会小委員会）からの報告・提案を受ける審議機関としている。</t>
    <rPh sb="8" eb="10">
      <t>セイサ</t>
    </rPh>
    <rPh sb="10" eb="12">
      <t>ドウト</t>
    </rPh>
    <rPh sb="12" eb="14">
      <t>ダイガク</t>
    </rPh>
    <rPh sb="15" eb="21">
      <t>キョウツウキョウイクカモク</t>
    </rPh>
    <rPh sb="22" eb="26">
      <t>カモククブン</t>
    </rPh>
    <rPh sb="27" eb="29">
      <t>ジョウホウ</t>
    </rPh>
    <rPh sb="30" eb="32">
      <t>スウリ</t>
    </rPh>
    <rPh sb="32" eb="34">
      <t>キソ</t>
    </rPh>
    <rPh sb="34" eb="36">
      <t>キョウイク</t>
    </rPh>
    <rPh sb="36" eb="38">
      <t>カモク</t>
    </rPh>
    <rPh sb="39" eb="41">
      <t>ジョウホウ</t>
    </rPh>
    <rPh sb="58" eb="60">
      <t>カイコウ</t>
    </rPh>
    <rPh sb="69" eb="70">
      <t>ゼン</t>
    </rPh>
    <rPh sb="70" eb="74">
      <t>ガクキョウジュカイ</t>
    </rPh>
    <rPh sb="75" eb="77">
      <t>セッチ</t>
    </rPh>
    <rPh sb="82" eb="87">
      <t>ガクムイインカイ</t>
    </rPh>
    <rPh sb="92" eb="93">
      <t>ホン</t>
    </rPh>
    <rPh sb="98" eb="102">
      <t>キョウイクナイヨウ</t>
    </rPh>
    <rPh sb="103" eb="105">
      <t>カイゼン</t>
    </rPh>
    <rPh sb="106" eb="108">
      <t>キョウイク</t>
    </rPh>
    <rPh sb="108" eb="110">
      <t>カテイ</t>
    </rPh>
    <rPh sb="111" eb="113">
      <t>ヘンセイ</t>
    </rPh>
    <rPh sb="131" eb="133">
      <t>スウリ</t>
    </rPh>
    <rPh sb="145" eb="147">
      <t>キョウイク</t>
    </rPh>
    <rPh sb="165" eb="167">
      <t>ソシキ</t>
    </rPh>
    <rPh sb="199" eb="201">
      <t>ホウコク</t>
    </rPh>
    <rPh sb="202" eb="204">
      <t>テイアン</t>
    </rPh>
    <rPh sb="205" eb="206">
      <t>ウ</t>
    </rPh>
    <rPh sb="208" eb="210">
      <t>シンギ</t>
    </rPh>
    <rPh sb="210" eb="212">
      <t>キカン</t>
    </rPh>
    <phoneticPr fontId="1"/>
  </si>
  <si>
    <t>数理・データサイエンス・ＡＩ教育強化拠点コンソーシアムが提示する「モデルカリキュラム（リテラシーレベル）」に準拠した授業を展開した「情報基礎演習Ⅱ」について、履修者数・修了者数及び学修成績分布等により、授業実施状況、出席状況、成績評価及び基準等について分析を行い、全体の理解度を検証する。なお、本科目は必修科目であることから履修状況については問題ないが、修得状況（単位取得状況）については学務委員会にて状況を報告し、学生の履修指導につなげている。</t>
    <rPh sb="0" eb="2">
      <t>スウリ</t>
    </rPh>
    <rPh sb="14" eb="18">
      <t>キョウイクキョウカ</t>
    </rPh>
    <rPh sb="18" eb="20">
      <t>キョテン</t>
    </rPh>
    <rPh sb="28" eb="30">
      <t>テイジ</t>
    </rPh>
    <rPh sb="96" eb="97">
      <t>トウ</t>
    </rPh>
    <rPh sb="101" eb="103">
      <t>ジュギョウ</t>
    </rPh>
    <rPh sb="103" eb="105">
      <t>ジッシ</t>
    </rPh>
    <rPh sb="105" eb="107">
      <t>ジョウキョウ</t>
    </rPh>
    <rPh sb="108" eb="112">
      <t>シュッセキジョウキョウ</t>
    </rPh>
    <rPh sb="113" eb="117">
      <t>セイセキヒョウカ</t>
    </rPh>
    <rPh sb="117" eb="118">
      <t>オヨ</t>
    </rPh>
    <rPh sb="119" eb="121">
      <t>キジュン</t>
    </rPh>
    <rPh sb="121" eb="122">
      <t>トウ</t>
    </rPh>
    <rPh sb="132" eb="134">
      <t>ゼンタイ</t>
    </rPh>
    <rPh sb="135" eb="138">
      <t>リカイド</t>
    </rPh>
    <rPh sb="139" eb="141">
      <t>ケンショウ</t>
    </rPh>
    <rPh sb="147" eb="150">
      <t>ホンカモク</t>
    </rPh>
    <rPh sb="171" eb="173">
      <t>モンダイ</t>
    </rPh>
    <rPh sb="194" eb="196">
      <t>ガクム</t>
    </rPh>
    <phoneticPr fontId="1"/>
  </si>
  <si>
    <t>様式２</t>
    <phoneticPr fontId="1"/>
  </si>
  <si>
    <r>
      <rPr>
        <sz val="12"/>
        <rFont val="ＭＳ Ｐゴシック"/>
        <family val="3"/>
        <charset val="128"/>
      </rPr>
      <t>本プログラム対象科目である「</t>
    </r>
    <r>
      <rPr>
        <sz val="12"/>
        <rFont val="ＭＳ Ｐゴシック"/>
        <family val="3"/>
        <charset val="128"/>
        <scheme val="minor"/>
      </rPr>
      <t>情報基礎演習Ⅱ」の授業最終回には、ＦＤ推進委員会による「授業改善アンケート」が行われ、次年度に向けた授業計画の見直し・改善を全学的に実施しており、授業に関する設問事項全体の評価ポイントは、４．１２（５点満点）</t>
    </r>
    <r>
      <rPr>
        <sz val="12"/>
        <rFont val="ＭＳ Ｐゴシック"/>
        <family val="3"/>
        <charset val="128"/>
      </rPr>
      <t>、理解度確認の設問においては、４．２４（５点満点）となり高評価の結果が得られている。</t>
    </r>
    <rPh sb="0" eb="1">
      <t>ホン</t>
    </rPh>
    <rPh sb="6" eb="10">
      <t>タイショウカモク</t>
    </rPh>
    <rPh sb="87" eb="89">
      <t>ジュギョウ</t>
    </rPh>
    <rPh sb="90" eb="91">
      <t>カン</t>
    </rPh>
    <rPh sb="93" eb="97">
      <t>セツモンジコウ</t>
    </rPh>
    <rPh sb="97" eb="99">
      <t>ゼンタイ</t>
    </rPh>
    <rPh sb="100" eb="102">
      <t>ヒョウカ</t>
    </rPh>
    <rPh sb="114" eb="115">
      <t>テン</t>
    </rPh>
    <rPh sb="115" eb="117">
      <t>マンテン</t>
    </rPh>
    <rPh sb="119" eb="122">
      <t>リカイド</t>
    </rPh>
    <rPh sb="122" eb="124">
      <t>カクニン</t>
    </rPh>
    <rPh sb="125" eb="127">
      <t>セツモン</t>
    </rPh>
    <rPh sb="146" eb="149">
      <t>コウヒョウカ</t>
    </rPh>
    <rPh sb="150" eb="152">
      <t>ケッカ</t>
    </rPh>
    <rPh sb="153" eb="154">
      <t>エ</t>
    </rPh>
    <phoneticPr fontId="1"/>
  </si>
  <si>
    <t>その他の取組（地域連携、産業界との連携、海外の大学等との連携等）</t>
    <phoneticPr fontId="1"/>
  </si>
  <si>
    <t>https://www.seisadohto.ac.jp/introduction/data-science/</t>
    <phoneticPr fontId="1"/>
  </si>
  <si>
    <t>本学が設置され、包括連携協定を締結している北広島市に協力を仰ぎ、令和３年度１年次開講「情報基礎演習Ⅱ」で扱った内容を基に、データ収集（調査設計）・加工（データ分析）・表現の一連の内容を令和４年度２年次開講「データサイエンス論」において、データ・AIの基礎知識を用いた課題解決型学習（PBL）を実施し、総合的に実践する計画としている（令和４年５月現在、北広島市等と調整中）。
また、星槎道都大学内部質保証に関するPDCAサイクルに則り、本教育プログラムの自己点検・評価を行うデータサイエンス教育担当者会議、本教育プログラムの進化・改善を図る学務委員会、内部質保証の責任を担う教学マネジメント会議を経て、教育改革有識者委員会等への報告・検証、意見交換を行う予定である。</t>
    <phoneticPr fontId="1"/>
  </si>
  <si>
    <t>図書情報館長・学長補佐（IT・情報化担当）</t>
    <rPh sb="0" eb="6">
      <t xml:space="preserve">トショジョウホウカンチョウ </t>
    </rPh>
    <rPh sb="7" eb="11">
      <t xml:space="preserve">ガクチョウホサ </t>
    </rPh>
    <rPh sb="15" eb="17">
      <t>ジョウホウ</t>
    </rPh>
    <rPh sb="17" eb="18">
      <t>カ</t>
    </rPh>
    <rPh sb="18" eb="20">
      <t>タントウ</t>
    </rPh>
    <phoneticPr fontId="1"/>
  </si>
  <si>
    <t>本学の「数理・データサイエンス・AI教育」プログラムは、本学の共通教育科目の科目区分「情報・数理基礎教育科目～情報リテラシー」に配置されている科目『情報基礎演習Ⅱ』が対象であり、全学必修科目として設定していることから、全学生が履修することとし履修者数については入学者数となる。
なお、必修科目であることから、履修率の向上に向けた計画を設定していないが、同プラグラム対象科目が必修科目であることから、オリエンテーションにおいて履修登録説明や履修モデルの設定、履修登録マニュアルの配信、履修アドバイザーからの指導など、学修に向けたサポートが整備されている。</t>
    <rPh sb="28" eb="30">
      <t>ホンガク</t>
    </rPh>
    <rPh sb="31" eb="37">
      <t>キョウツウキョウイクカモク</t>
    </rPh>
    <rPh sb="64" eb="66">
      <t>ハイチ</t>
    </rPh>
    <rPh sb="71" eb="73">
      <t>カモク</t>
    </rPh>
    <rPh sb="74" eb="80">
      <t>ジョウホウキソエンシュウ</t>
    </rPh>
    <rPh sb="83" eb="85">
      <t>タイショウ</t>
    </rPh>
    <rPh sb="89" eb="90">
      <t>ゼン</t>
    </rPh>
    <rPh sb="98" eb="100">
      <t>セッテイ</t>
    </rPh>
    <rPh sb="109" eb="112">
      <t>ゼンガクセイ</t>
    </rPh>
    <rPh sb="113" eb="115">
      <t>リシュウ</t>
    </rPh>
    <rPh sb="133" eb="134">
      <t>スウ</t>
    </rPh>
    <rPh sb="142" eb="146">
      <t>ヒッシュウカモク</t>
    </rPh>
    <rPh sb="167" eb="169">
      <t>セッテイ</t>
    </rPh>
    <rPh sb="176" eb="177">
      <t>ドウ</t>
    </rPh>
    <rPh sb="182" eb="186">
      <t>タイショウカモク</t>
    </rPh>
    <rPh sb="212" eb="214">
      <t>リシュウ</t>
    </rPh>
    <rPh sb="214" eb="216">
      <t>トウロク</t>
    </rPh>
    <rPh sb="216" eb="218">
      <t>セツメイ</t>
    </rPh>
    <rPh sb="219" eb="221">
      <t>リシュウ</t>
    </rPh>
    <rPh sb="225" eb="227">
      <t>セッテイ</t>
    </rPh>
    <rPh sb="228" eb="232">
      <t>リシュウトウロク</t>
    </rPh>
    <rPh sb="238" eb="240">
      <t>ハイシン</t>
    </rPh>
    <rPh sb="241" eb="243">
      <t>リシュウ</t>
    </rPh>
    <rPh sb="252" eb="254">
      <t>シドウ</t>
    </rPh>
    <rPh sb="260" eb="261">
      <t>ム</t>
    </rPh>
    <rPh sb="268" eb="270">
      <t>セイビ</t>
    </rPh>
    <phoneticPr fontId="1"/>
  </si>
  <si>
    <t>④に記載のとおり、本プログラムの対象科目は全学科必修科目として設定していることから、基本的には１００％の履修率となっている。なお、当該年次に履修中止した場合は、この限りではないが翌年再履修することが可能となっている。
また、本学ではクォーター制での時間割であるが、本科目はセメスター制で実施しており、さらに、経営学科においてはクラス分割、その他の学科はオンライン授業併用型で実施している。
今後も本プログラムにおける同科目は、全学科必修科目とし継続してプログラムを実施する予定となっている。</t>
    <rPh sb="2" eb="4">
      <t>キサイ</t>
    </rPh>
    <rPh sb="9" eb="10">
      <t>ホン</t>
    </rPh>
    <rPh sb="16" eb="18">
      <t>タイショウ</t>
    </rPh>
    <rPh sb="42" eb="45">
      <t>キホンテキ</t>
    </rPh>
    <rPh sb="52" eb="55">
      <t>リシュウリツ</t>
    </rPh>
    <rPh sb="65" eb="69">
      <t>トウガイネンジ</t>
    </rPh>
    <rPh sb="70" eb="74">
      <t>リシュウチュウシ</t>
    </rPh>
    <rPh sb="76" eb="78">
      <t>バアイ</t>
    </rPh>
    <rPh sb="82" eb="83">
      <t>カギ</t>
    </rPh>
    <rPh sb="89" eb="91">
      <t>ヨクネン</t>
    </rPh>
    <rPh sb="91" eb="94">
      <t>サイリシュウ</t>
    </rPh>
    <rPh sb="99" eb="101">
      <t>カノウ</t>
    </rPh>
    <rPh sb="112" eb="114">
      <t>ホンガク</t>
    </rPh>
    <rPh sb="121" eb="122">
      <t>セイ</t>
    </rPh>
    <rPh sb="124" eb="127">
      <t>ジカンワリ</t>
    </rPh>
    <rPh sb="132" eb="135">
      <t>ホンカモク</t>
    </rPh>
    <rPh sb="141" eb="142">
      <t>セイ</t>
    </rPh>
    <rPh sb="143" eb="145">
      <t>ジッシ</t>
    </rPh>
    <rPh sb="154" eb="156">
      <t>ケイエイ</t>
    </rPh>
    <rPh sb="156" eb="158">
      <t>ガッカ</t>
    </rPh>
    <rPh sb="166" eb="168">
      <t>ブンカツ</t>
    </rPh>
    <rPh sb="171" eb="172">
      <t>タ</t>
    </rPh>
    <rPh sb="173" eb="175">
      <t>ガッカ</t>
    </rPh>
    <rPh sb="181" eb="183">
      <t>ジュギョウ</t>
    </rPh>
    <rPh sb="183" eb="185">
      <t>ヘイヨウ</t>
    </rPh>
    <rPh sb="185" eb="186">
      <t>ガタ</t>
    </rPh>
    <rPh sb="187" eb="189">
      <t>ジッシ</t>
    </rPh>
    <rPh sb="195" eb="197">
      <t>コンゴ</t>
    </rPh>
    <rPh sb="198" eb="199">
      <t>ホン</t>
    </rPh>
    <rPh sb="208" eb="211">
      <t>ドウカモク</t>
    </rPh>
    <rPh sb="213" eb="216">
      <t>ゼンガッカ</t>
    </rPh>
    <rPh sb="216" eb="220">
      <t>ヒッシュウカモク</t>
    </rPh>
    <rPh sb="222" eb="224">
      <t>ケイゾク</t>
    </rPh>
    <rPh sb="232" eb="234">
      <t>ジッシ</t>
    </rPh>
    <rPh sb="236" eb="238">
      <t>ヨテイ</t>
    </rPh>
    <phoneticPr fontId="1"/>
  </si>
  <si>
    <t>④に記載のとおり、本プログラムの対象科目は全学科必修科目として設定していることから、基本的には１００％の履修率となっている。
また、同プログラムに関連する共通教育科目の科目区分「情報・数理基礎教育科目～情報リテラシー」のシラバスは、HPで公開し、履修及び到達目標、授業内容、成績評価方法・基準などの詳細についても示している。また、ポータルサイトにおいて、各授業科目の出欠情報、成績等の履修状況は、学生がオンラインで確認することが可能となっている。
なお、学生が数理データサイエンスを学ぶために、共通教育科目科目区分「情報・数理基礎教育科目」において関連科目を複数設定しており、プログラムへの理解につなげている。</t>
    <rPh sb="101" eb="103">
      <t>ジョウホウ</t>
    </rPh>
    <rPh sb="123" eb="125">
      <t>リシュウ</t>
    </rPh>
    <rPh sb="125" eb="126">
      <t>オヨ</t>
    </rPh>
    <rPh sb="127" eb="129">
      <t>トウタツ</t>
    </rPh>
    <rPh sb="144" eb="146">
      <t>キジュン</t>
    </rPh>
    <rPh sb="190" eb="191">
      <t>トウ</t>
    </rPh>
    <rPh sb="214" eb="216">
      <t>カノウ</t>
    </rPh>
    <rPh sb="227" eb="229">
      <t>ガクセイ</t>
    </rPh>
    <rPh sb="295" eb="297">
      <t>リカイ</t>
    </rPh>
    <phoneticPr fontId="1"/>
  </si>
  <si>
    <t>④に記載のとおり、本プログラムの対象科目は全学科必修科目として設定していることから、全学生が履修可能であり基本的には１００％の履修率となっている。
授業の体制として、複数教員による授業を実施しており、修得できるためのサポート体制を講じている。
本学では、全学生に対して、Microsoft Office365アカウントを付与しており、新入生オリエンテーションにおいて、双方向オンライン授業などの多様な授業形態に対応するため、Microsoft Office365のインストール、授業実施に活用するMicrosoft Teams 使用における説明を行っている。また、オンライン上にてヘルプデスクを設置、Microsoft Teams チャット により直接学生からの質問にも対応している。さらに、大学からのお知らせ等の連絡体制（受信）として、全学生がBIND.note（バインドノート＝アプリ）をインストールし活用している。</t>
    <rPh sb="42" eb="45">
      <t>ゼンガクセイ</t>
    </rPh>
    <rPh sb="46" eb="50">
      <t>リシュウカノウ</t>
    </rPh>
    <rPh sb="74" eb="76">
      <t>ジュギョウ</t>
    </rPh>
    <rPh sb="77" eb="79">
      <t>タイセイ</t>
    </rPh>
    <rPh sb="83" eb="85">
      <t>フクスウ</t>
    </rPh>
    <rPh sb="85" eb="87">
      <t>キョウイン</t>
    </rPh>
    <rPh sb="90" eb="92">
      <t>ジュギョウ</t>
    </rPh>
    <rPh sb="93" eb="95">
      <t>ジッシ</t>
    </rPh>
    <rPh sb="100" eb="102">
      <t>シュウトク</t>
    </rPh>
    <rPh sb="112" eb="114">
      <t>タイセイ</t>
    </rPh>
    <rPh sb="115" eb="116">
      <t>コウ</t>
    </rPh>
    <rPh sb="122" eb="124">
      <t>ホンガク</t>
    </rPh>
    <rPh sb="127" eb="130">
      <t>ゼンガクセイ</t>
    </rPh>
    <rPh sb="131" eb="132">
      <t>タイ</t>
    </rPh>
    <rPh sb="160" eb="162">
      <t>フヨ</t>
    </rPh>
    <rPh sb="167" eb="170">
      <t>シンニュウセイ</t>
    </rPh>
    <rPh sb="239" eb="241">
      <t>ジュギョウ</t>
    </rPh>
    <rPh sb="241" eb="243">
      <t>ジッシ</t>
    </rPh>
    <rPh sb="244" eb="246">
      <t>カツヨウ</t>
    </rPh>
    <rPh sb="264" eb="266">
      <t>シヨウ</t>
    </rPh>
    <rPh sb="270" eb="272">
      <t>セツメイ</t>
    </rPh>
    <rPh sb="273" eb="274">
      <t>オコナ</t>
    </rPh>
    <rPh sb="324" eb="326">
      <t>チョクセツ</t>
    </rPh>
    <rPh sb="346" eb="348">
      <t>ダイガク</t>
    </rPh>
    <rPh sb="352" eb="353">
      <t>シ</t>
    </rPh>
    <rPh sb="355" eb="356">
      <t>トウ</t>
    </rPh>
    <rPh sb="357" eb="359">
      <t>レンラク</t>
    </rPh>
    <rPh sb="359" eb="361">
      <t>タイセイ</t>
    </rPh>
    <rPh sb="362" eb="364">
      <t>ジュシン</t>
    </rPh>
    <rPh sb="369" eb="372">
      <t>ゼンガクセイ</t>
    </rPh>
    <rPh sb="403" eb="405">
      <t>カツヨウ</t>
    </rPh>
    <phoneticPr fontId="1"/>
  </si>
  <si>
    <t>本プログラムの対象科目については、オンライン授業への切り替えを想定し　Microsoft Teams を通じて実施することが可能であり、学生は授業時間及び授業時間外に不明点等の質問を Microsoft Teams チャットを使って回答する体制が整備されている。
また、本プログラムにおける授業担当教員は、それぞれオフィスアワーを設定（全教員が設定）し、学習内容や質問等についての相談実施体制が整備されている。さらに、本科目授業担当者の研究室はコンピュータ室に隣接した配置であることと、兼務となっている図書情報センターでも対応が可能となっている。</t>
    <rPh sb="7" eb="9">
      <t>タイショウ</t>
    </rPh>
    <rPh sb="9" eb="11">
      <t>カモク</t>
    </rPh>
    <rPh sb="22" eb="24">
      <t>ジュギョウ</t>
    </rPh>
    <rPh sb="26" eb="27">
      <t>キ</t>
    </rPh>
    <rPh sb="28" eb="29">
      <t>カ</t>
    </rPh>
    <rPh sb="31" eb="33">
      <t>ソウテイ</t>
    </rPh>
    <rPh sb="52" eb="53">
      <t>ツウ</t>
    </rPh>
    <rPh sb="55" eb="57">
      <t>ジッシ</t>
    </rPh>
    <rPh sb="62" eb="64">
      <t>カノウ</t>
    </rPh>
    <rPh sb="75" eb="76">
      <t>オヨ</t>
    </rPh>
    <rPh sb="77" eb="79">
      <t>ジュギョウ</t>
    </rPh>
    <rPh sb="79" eb="82">
      <t>ジカンガイ</t>
    </rPh>
    <rPh sb="113" eb="114">
      <t>ツカ</t>
    </rPh>
    <rPh sb="116" eb="118">
      <t>カイトウ</t>
    </rPh>
    <rPh sb="120" eb="122">
      <t>タイセイ</t>
    </rPh>
    <rPh sb="123" eb="125">
      <t>セイビ</t>
    </rPh>
    <rPh sb="165" eb="167">
      <t>セッテイ</t>
    </rPh>
    <rPh sb="197" eb="199">
      <t>セイビ</t>
    </rPh>
    <rPh sb="209" eb="212">
      <t>ホンカモク</t>
    </rPh>
    <rPh sb="212" eb="214">
      <t>ジュギョウ</t>
    </rPh>
    <rPh sb="214" eb="216">
      <t>タントウ</t>
    </rPh>
    <rPh sb="216" eb="217">
      <t>シャ</t>
    </rPh>
    <rPh sb="218" eb="221">
      <t>ケンキュウシツ</t>
    </rPh>
    <rPh sb="228" eb="229">
      <t>シツ</t>
    </rPh>
    <rPh sb="230" eb="232">
      <t>リンセツ</t>
    </rPh>
    <rPh sb="234" eb="236">
      <t>ハイチ</t>
    </rPh>
    <rPh sb="243" eb="245">
      <t>ケンム</t>
    </rPh>
    <rPh sb="251" eb="255">
      <t>トショジョウホウ</t>
    </rPh>
    <rPh sb="261" eb="263">
      <t>タイオウ</t>
    </rPh>
    <rPh sb="264" eb="266">
      <t>カノウ</t>
    </rPh>
    <phoneticPr fontId="1"/>
  </si>
  <si>
    <t>本プログラム対象科目である「情報基礎演習Ⅱ」は、卒業要件の必修科目であることから後輩等他の学生への推奨度は確認してはいないが、学生が回答した授業改善アンケートに対する「教員コメント（学生へのフィードバック）」の入力した結果を公表している。</t>
    <rPh sb="24" eb="28">
      <t>ソツギョウヨウケン</t>
    </rPh>
    <rPh sb="29" eb="33">
      <t>ヒッシュウカモク</t>
    </rPh>
    <rPh sb="49" eb="52">
      <t>スイショウド</t>
    </rPh>
    <rPh sb="53" eb="55">
      <t>カクニン</t>
    </rPh>
    <rPh sb="63" eb="65">
      <t>ガクセイ</t>
    </rPh>
    <rPh sb="66" eb="68">
      <t>カイトウ</t>
    </rPh>
    <rPh sb="70" eb="72">
      <t>ジュギョウ</t>
    </rPh>
    <rPh sb="72" eb="74">
      <t>カイゼン</t>
    </rPh>
    <rPh sb="80" eb="81">
      <t>タイ</t>
    </rPh>
    <rPh sb="84" eb="86">
      <t>キョウイン</t>
    </rPh>
    <rPh sb="91" eb="93">
      <t>ガクセイ</t>
    </rPh>
    <rPh sb="105" eb="107">
      <t>ニュウリョク</t>
    </rPh>
    <rPh sb="109" eb="111">
      <t>ケッカ</t>
    </rPh>
    <rPh sb="112" eb="114">
      <t>コウヒョウ</t>
    </rPh>
    <phoneticPr fontId="1"/>
  </si>
  <si>
    <r>
      <rPr>
        <sz val="12"/>
        <rFont val="ＭＳ Ｐゴシック"/>
        <family val="3"/>
        <charset val="128"/>
      </rPr>
      <t>本プログラム対象科目である「情報基礎演習Ⅱ」は、</t>
    </r>
    <r>
      <rPr>
        <sz val="12"/>
        <rFont val="ＭＳ Ｐゴシック"/>
        <family val="3"/>
        <charset val="128"/>
        <scheme val="minor"/>
      </rPr>
      <t>全学必修科目として実施しており、実質１００％に近い履修率となっている。今後も、全学必修科目として継続してプログラムを実施する見込みである。</t>
    </r>
    <phoneticPr fontId="1"/>
  </si>
  <si>
    <t>当該プログラムにおける本授業科目は、令和３年度より内容を改訂し開講されたため、当該授業を修得し単位を修得して卒業した学生をまだ輩出していないが、卒業後、事務局（キャリア支援センター）と協力しながら、卒業後の追跡調査を実施する等、修了者のキャリアステップや活躍状況の把握に努めたい。</t>
    <phoneticPr fontId="1"/>
  </si>
  <si>
    <t>本教育プログラムでは、専門分野におけるデータサイエンス・AIの事例を積極的に取り扱うことで、自身の専門分野とのつながりを認識させ、数理・データサイエンス・AIを学ぶ意義の理解を促している。
また、知識の共有・定着化を図るため、グループワーク・ディスカッションを取り入れ、学生の学び合いやコミュニケーションを促進し、学ぶ楽しさや学習意欲の向上を実現している。</t>
    <rPh sb="0" eb="3">
      <t xml:space="preserve">ホンキョウイクプログラム </t>
    </rPh>
    <rPh sb="10" eb="11">
      <t xml:space="preserve">マナブ </t>
    </rPh>
    <rPh sb="12" eb="13">
      <t xml:space="preserve">タノシサ </t>
    </rPh>
    <rPh sb="16" eb="20">
      <t xml:space="preserve">ガクシュウイヨク </t>
    </rPh>
    <rPh sb="21" eb="23">
      <t xml:space="preserve">コウジョウサセ </t>
    </rPh>
    <rPh sb="26" eb="28">
      <t xml:space="preserve">ジシンノ </t>
    </rPh>
    <rPh sb="29" eb="33">
      <t xml:space="preserve">センモンブンヤトノ </t>
    </rPh>
    <rPh sb="40" eb="41">
      <t xml:space="preserve">アツカウ </t>
    </rPh>
    <rPh sb="50" eb="54">
      <t xml:space="preserve">センモンブンヤ </t>
    </rPh>
    <rPh sb="65" eb="67">
      <t xml:space="preserve">スウリ </t>
    </rPh>
    <rPh sb="80" eb="81">
      <t xml:space="preserve">マナブ </t>
    </rPh>
    <rPh sb="82" eb="84">
      <t xml:space="preserve">イギ </t>
    </rPh>
    <rPh sb="85" eb="87">
      <t xml:space="preserve">リカイ </t>
    </rPh>
    <rPh sb="88" eb="89">
      <t xml:space="preserve">ウナガシテイル </t>
    </rPh>
    <rPh sb="95" eb="97">
      <t xml:space="preserve">ジレイ </t>
    </rPh>
    <rPh sb="98" eb="101">
      <t xml:space="preserve">セッキョクテキニ </t>
    </rPh>
    <rPh sb="102" eb="103">
      <t xml:space="preserve">トリアツカッテイル </t>
    </rPh>
    <rPh sb="113" eb="116">
      <t xml:space="preserve">ガクセイカンノ </t>
    </rPh>
    <rPh sb="117" eb="118">
      <t xml:space="preserve">マナビアイヲ </t>
    </rPh>
    <rPh sb="124" eb="126">
      <t xml:space="preserve">チシキ </t>
    </rPh>
    <rPh sb="127" eb="129">
      <t xml:space="preserve">キョウユウ </t>
    </rPh>
    <rPh sb="130" eb="133">
      <t xml:space="preserve">テイチャクカ </t>
    </rPh>
    <rPh sb="134" eb="135">
      <t xml:space="preserve">ハカルタメ </t>
    </rPh>
    <rPh sb="153" eb="154">
      <t xml:space="preserve">マナビアイ </t>
    </rPh>
    <rPh sb="156" eb="157">
      <t xml:space="preserve">マナブ </t>
    </rPh>
    <rPh sb="158" eb="159">
      <t xml:space="preserve">タノシサ </t>
    </rPh>
    <rPh sb="162" eb="166">
      <t xml:space="preserve">ガクシュウイヨク </t>
    </rPh>
    <rPh sb="167" eb="169">
      <t xml:space="preserve">コウジョウヲ </t>
    </rPh>
    <rPh sb="170" eb="172">
      <t xml:space="preserve">ジツゲンシテル </t>
    </rPh>
    <phoneticPr fontId="1"/>
  </si>
  <si>
    <t>本教育プログラムでは、「文系大学生」に対してリテラシーレベルの数理・データサイエンス・AIを習得させ、専門分野にて利活用できる基礎的素養の育成を目的としている。そのため、文系大学生にとって分かりやすい説明・解説・教材を重視しており、数理・データサイエンス・AI教育強化拠点コンソーシアムにて配布されている他大学の教材等を参考に、改善を図っている。
　また、科目担当教員による学習支援（Microsoft Teams チャットを活用した授業時間外の質問受付、オフィスアワーの設定、個別指導・補講等）の他、学内関連部署や各学科教員で構成される履修アドバイザー・学科サポーターなどにより、本学ならではの細やかな学修サポートを行い、学生の習熟度向上を図っている。</t>
    <rPh sb="0" eb="1">
      <t xml:space="preserve">ホンキョウイクプログラムデハ </t>
    </rPh>
    <rPh sb="10" eb="11">
      <t>、</t>
    </rPh>
    <rPh sb="12" eb="14">
      <t xml:space="preserve">ブンケイ </t>
    </rPh>
    <rPh sb="14" eb="16">
      <t xml:space="preserve">ダイガク </t>
    </rPh>
    <rPh sb="16" eb="17">
      <t xml:space="preserve">セイ </t>
    </rPh>
    <rPh sb="19" eb="20">
      <t xml:space="preserve">タイシテ </t>
    </rPh>
    <rPh sb="31" eb="33">
      <t xml:space="preserve">スウリ </t>
    </rPh>
    <rPh sb="46" eb="48">
      <t xml:space="preserve">シュウトク </t>
    </rPh>
    <rPh sb="51" eb="55">
      <t xml:space="preserve">センモンブンヤニ </t>
    </rPh>
    <rPh sb="57" eb="60">
      <t xml:space="preserve">リカツヨウデキル </t>
    </rPh>
    <rPh sb="63" eb="68">
      <t xml:space="preserve">キソテキソヨウ </t>
    </rPh>
    <rPh sb="69" eb="71">
      <t xml:space="preserve">イクセイ </t>
    </rPh>
    <rPh sb="72" eb="74">
      <t xml:space="preserve">モクテキトシテイル </t>
    </rPh>
    <rPh sb="85" eb="87">
      <t xml:space="preserve">ブンケイ </t>
    </rPh>
    <rPh sb="87" eb="90">
      <t xml:space="preserve">ダイガクセイ </t>
    </rPh>
    <rPh sb="94" eb="95">
      <t xml:space="preserve">ワカリヤスイ </t>
    </rPh>
    <rPh sb="100" eb="102">
      <t xml:space="preserve">セツメイ </t>
    </rPh>
    <rPh sb="106" eb="108">
      <t xml:space="preserve">キョウザイ </t>
    </rPh>
    <rPh sb="109" eb="111">
      <t xml:space="preserve">ジュウシシテオリ </t>
    </rPh>
    <rPh sb="145" eb="147">
      <t xml:space="preserve">ハイフサレテイル </t>
    </rPh>
    <rPh sb="152" eb="155">
      <t xml:space="preserve">タダイガクノ </t>
    </rPh>
    <rPh sb="156" eb="158">
      <t xml:space="preserve">キョウザイ </t>
    </rPh>
    <rPh sb="158" eb="159">
      <t xml:space="preserve">ナド </t>
    </rPh>
    <rPh sb="160" eb="162">
      <t xml:space="preserve">サンコウニ </t>
    </rPh>
    <rPh sb="164" eb="166">
      <t xml:space="preserve">カイゼンヲ </t>
    </rPh>
    <rPh sb="167" eb="168">
      <t xml:space="preserve">ハカッテイル </t>
    </rPh>
    <rPh sb="178" eb="180">
      <t xml:space="preserve">カモク </t>
    </rPh>
    <rPh sb="180" eb="184">
      <t xml:space="preserve">タントウキョウイン </t>
    </rPh>
    <rPh sb="187" eb="191">
      <t xml:space="preserve">ガクシュウシエン </t>
    </rPh>
    <rPh sb="213" eb="215">
      <t xml:space="preserve">カツヨウシタ </t>
    </rPh>
    <rPh sb="225" eb="227">
      <t xml:space="preserve">ウケツケ </t>
    </rPh>
    <rPh sb="236" eb="238">
      <t xml:space="preserve">セッテイ </t>
    </rPh>
    <rPh sb="239" eb="243">
      <t xml:space="preserve">コベツシドウ </t>
    </rPh>
    <rPh sb="244" eb="246">
      <t xml:space="preserve">ホコウ </t>
    </rPh>
    <rPh sb="246" eb="247">
      <t xml:space="preserve">ナド </t>
    </rPh>
    <rPh sb="291" eb="293">
      <t xml:space="preserve">ホンガク </t>
    </rPh>
    <rPh sb="309" eb="310">
      <t xml:space="preserve">オコナイ </t>
    </rPh>
    <rPh sb="312" eb="314">
      <t xml:space="preserve">ガクセイノ </t>
    </rPh>
    <rPh sb="315" eb="318">
      <t xml:space="preserve">シュウジュクド </t>
    </rPh>
    <rPh sb="318" eb="320">
      <t xml:space="preserve">コウジョウ </t>
    </rPh>
    <rPh sb="321" eb="322">
      <t xml:space="preserve">ハカッテイル </t>
    </rPh>
    <phoneticPr fontId="1"/>
  </si>
  <si>
    <t>本学は、経営学部経営学科・社会福祉学部社会福祉学科・美術学部デザイン学科・美術学部建築学科の３学部４学科で構成する小規模文系大学であり、その特色を活かし、少人数教育、学生本位の学習、密着型の教育支援に力を入れて取り組んでいるところである。そこで、本学の「数理・データサイエンス・AI教育プログラム」においては、それらの強みを最大限に活かしながら、特色ある各学科（経営・社会福祉・デザイン・建築）を中心とした幅広い分野において、数理・データサイエンス・AIを用いて課題解決を図ることができる人材を育成することを目的としている。
そのために、初年次に該当科目を配置し、数理・データサイエンス・AIの基礎から応用、そして専門科目に至るまで、４年間でステップアップできるカリキュラム体系としている。
【分かりやすさの重視】
モデルカリキュラムに準拠した科目「情報基礎演習Ⅱ」（全学必修）では、担当教員自作の教材（スライド資料・動画教材）と、数理・データサイエンス・AI教育強化拠点コンソーシアムにおいて配信されている e-Learning 教材を組み合わせて授業を展開した。また、授業中は録画を行い、使用した教材と併せて、全てグループウェア（Microsoft Teams）にて公開・配信し、いつでも視聴・閲覧可能な状態とすることで、事後学習（復習）に用いることを可能とした。また、学科別にクラス編成して少人数教育を実施した。
Microsoft Teams のチャット機能を用いて、授業時間外においても担当教員に質問・相談ができるよう学習支援を行った。
【学習意欲が高まる内容】
講義（教員からの一方向的な知識伝達）だけではなく、事例研究・発表及びデータ分析の授業回においては、アクティブラーニング（グループワーク）を取り入れることで学生間で知識の共有を行い、習熟度や学習意欲の向上を図った。データサイエンス・AIの事例に触れる授業回では、各学科（経営・社会福祉・デザイン・建築）に関する事例を紹介し、学生の興味・関心分野との関連づけを行うなど、各学科の専門分野・特色に則した学科個別の説明・教材提供を行った。
【学生の習熟度や専門性を踏まえた内容や授業選択】
「情報基礎演習Ⅱ」を中心に、数理・データサイエンス・AI教育プログラム関連科目「情報基礎演習Ⅰ」（全学必修）、「数学入門」・「統計学入門」・「基礎統計演習」（選択）を１・２年次にて開講し、学生の興味・関心に併せて履修可能なカリキュラム体系とした。また、「情報基礎演習Ⅱ」では、補講を複数回実施して習熟度の向上を図った。
２年次開講科目「データサイエンス論」（選択）では、数理・データサイエンス・AIの基礎知識をもって地域の課題解決を実践する実践学習（PBL）を展開を予定しており、数理・データサイエンス・AIの応用・実践力を養う。
【教材・技術等の公開】
「情報基礎演習Ⅱ」では、グループウェア（Microsoft Teams）において、授業の録画動画及び使用した教材を全て公開・配信し、いつでも視聴・閲覧可能な状態とした。
【タイムリーな授業改善】
「情報基礎演習Ⅱ」では、学習前（第１回授業）・中間（第８回授業）・学習後（第15回授業）の計３回にわたり科目独自の授業アンケートを実施し、学生の学習ニーズや困りごとに即時対応できるよう整備した。結果、タイムリーかつ各クラスに特化した教育支援を行うことができ、同アンケートの結果いおいても、５項目中４項目にて学習前よりも向上する結果となった。次年度も同アンケートの内容を踏まえ、学習支援を行うべく、教材の見直し等を図っている。</t>
    <rPh sb="0" eb="2">
      <t>ホンガク</t>
    </rPh>
    <rPh sb="4" eb="6">
      <t>ケイエイ</t>
    </rPh>
    <rPh sb="6" eb="8">
      <t>ガクブ</t>
    </rPh>
    <rPh sb="8" eb="12">
      <t>ケイエイガッカ</t>
    </rPh>
    <rPh sb="13" eb="17">
      <t>シャカイフクシ</t>
    </rPh>
    <rPh sb="17" eb="19">
      <t>ガクブ</t>
    </rPh>
    <rPh sb="19" eb="25">
      <t>シャカイフクシガッカ</t>
    </rPh>
    <rPh sb="26" eb="30">
      <t>ビジュツガクブ</t>
    </rPh>
    <rPh sb="34" eb="36">
      <t>ガッカ</t>
    </rPh>
    <rPh sb="37" eb="41">
      <t>ビジュツガクブ</t>
    </rPh>
    <rPh sb="41" eb="43">
      <t>ケンチク</t>
    </rPh>
    <rPh sb="43" eb="45">
      <t>ガッカ</t>
    </rPh>
    <rPh sb="47" eb="49">
      <t>ガクブ</t>
    </rPh>
    <rPh sb="50" eb="52">
      <t>ガッカ</t>
    </rPh>
    <rPh sb="53" eb="55">
      <t>コウセイ</t>
    </rPh>
    <rPh sb="57" eb="64">
      <t>ショウキボブンケイダイガク</t>
    </rPh>
    <rPh sb="70" eb="72">
      <t>トクショク</t>
    </rPh>
    <rPh sb="73" eb="74">
      <t>イ</t>
    </rPh>
    <rPh sb="77" eb="82">
      <t>ショウニンズウキョウイク</t>
    </rPh>
    <rPh sb="83" eb="85">
      <t>ガクセイ</t>
    </rPh>
    <rPh sb="85" eb="87">
      <t>ホンイ</t>
    </rPh>
    <rPh sb="88" eb="90">
      <t>ガクシュウ</t>
    </rPh>
    <rPh sb="91" eb="94">
      <t>ミッチャクガタ</t>
    </rPh>
    <rPh sb="95" eb="99">
      <t>キョウイクシエン</t>
    </rPh>
    <rPh sb="100" eb="101">
      <t>チカラ</t>
    </rPh>
    <rPh sb="102" eb="103">
      <t>イ</t>
    </rPh>
    <rPh sb="105" eb="106">
      <t>ト</t>
    </rPh>
    <rPh sb="107" eb="108">
      <t>ク</t>
    </rPh>
    <rPh sb="123" eb="125">
      <t xml:space="preserve">ホンガクノ </t>
    </rPh>
    <rPh sb="127" eb="129">
      <t xml:space="preserve">スウリ </t>
    </rPh>
    <rPh sb="141" eb="143">
      <t xml:space="preserve">キョウイク </t>
    </rPh>
    <rPh sb="159" eb="160">
      <t>ツヨ</t>
    </rPh>
    <rPh sb="162" eb="165">
      <t>サイダイゲン</t>
    </rPh>
    <rPh sb="166" eb="167">
      <t>イ</t>
    </rPh>
    <rPh sb="173" eb="175">
      <t>トクショク</t>
    </rPh>
    <rPh sb="177" eb="178">
      <t>カク</t>
    </rPh>
    <rPh sb="178" eb="180">
      <t>ガッカ</t>
    </rPh>
    <rPh sb="190" eb="195">
      <t xml:space="preserve">キソテキソヨウ </t>
    </rPh>
    <rPh sb="198" eb="200">
      <t xml:space="preserve">チュウシントシテ </t>
    </rPh>
    <rPh sb="203" eb="205">
      <t xml:space="preserve">ハバヒロイ </t>
    </rPh>
    <rPh sb="206" eb="208">
      <t xml:space="preserve">ブンヤニオイテ </t>
    </rPh>
    <rPh sb="213" eb="215">
      <t>スウリ</t>
    </rPh>
    <rPh sb="228" eb="229">
      <t xml:space="preserve">モチイテ </t>
    </rPh>
    <rPh sb="231" eb="235">
      <t xml:space="preserve">カダイカイケツヲ </t>
    </rPh>
    <rPh sb="236" eb="237">
      <t xml:space="preserve">ハカレルジンザイ </t>
    </rPh>
    <rPh sb="247" eb="249">
      <t xml:space="preserve">イクセイ </t>
    </rPh>
    <rPh sb="254" eb="256">
      <t xml:space="preserve">モクテキトシテイル </t>
    </rPh>
    <rPh sb="269" eb="272">
      <t xml:space="preserve">ショネンジ </t>
    </rPh>
    <rPh sb="273" eb="277">
      <t xml:space="preserve">ガイトウカモクヲ </t>
    </rPh>
    <rPh sb="278" eb="280">
      <t xml:space="preserve">ハイチシ </t>
    </rPh>
    <rPh sb="282" eb="284">
      <t>スウリ</t>
    </rPh>
    <rPh sb="309" eb="311">
      <t xml:space="preserve">カモク </t>
    </rPh>
    <rPh sb="318" eb="320">
      <t xml:space="preserve">ネンカン </t>
    </rPh>
    <rPh sb="328" eb="330">
      <t xml:space="preserve">キソカラ </t>
    </rPh>
    <rPh sb="332" eb="334">
      <t xml:space="preserve">オウヨウ </t>
    </rPh>
    <rPh sb="338" eb="339">
      <t xml:space="preserve">センモンマデ </t>
    </rPh>
    <rPh sb="348" eb="349">
      <t xml:space="preserve">ワカリヤスサ </t>
    </rPh>
    <rPh sb="355" eb="357">
      <t xml:space="preserve">ジュウシ </t>
    </rPh>
    <rPh sb="360" eb="366">
      <t xml:space="preserve">ジョウホウキソエンシュウ </t>
    </rPh>
    <rPh sb="371" eb="375">
      <t xml:space="preserve">タントウキョウイン </t>
    </rPh>
    <rPh sb="375" eb="377">
      <t xml:space="preserve">ジサクノ </t>
    </rPh>
    <rPh sb="378" eb="380">
      <t xml:space="preserve">キョウザイ </t>
    </rPh>
    <rPh sb="385" eb="389">
      <t xml:space="preserve">ゼンガクヒッシュウ </t>
    </rPh>
    <rPh sb="394" eb="396">
      <t xml:space="preserve">ドウガ </t>
    </rPh>
    <rPh sb="396" eb="398">
      <t xml:space="preserve">キョウザイ </t>
    </rPh>
    <rPh sb="401" eb="403">
      <t xml:space="preserve">スウリ </t>
    </rPh>
    <rPh sb="415" eb="417">
      <t xml:space="preserve">キョウイク </t>
    </rPh>
    <rPh sb="417" eb="419">
      <t xml:space="preserve">キョウカ </t>
    </rPh>
    <rPh sb="419" eb="421">
      <t xml:space="preserve">キョテン </t>
    </rPh>
    <rPh sb="432" eb="434">
      <t xml:space="preserve">ハイシンサルテイル </t>
    </rPh>
    <rPh sb="449" eb="451">
      <t xml:space="preserve">キョウザイ </t>
    </rPh>
    <rPh sb="452" eb="453">
      <t xml:space="preserve">クミアワセ </t>
    </rPh>
    <rPh sb="459" eb="461">
      <t xml:space="preserve">ジュギョウ </t>
    </rPh>
    <rPh sb="462" eb="464">
      <t xml:space="preserve">テンカイシテイル </t>
    </rPh>
    <rPh sb="470" eb="471">
      <t xml:space="preserve">カクジュギョウカイ </t>
    </rPh>
    <rPh sb="471" eb="474">
      <t xml:space="preserve">ジュギョウチュウハ </t>
    </rPh>
    <rPh sb="475" eb="476">
      <t xml:space="preserve">ロクガヲ </t>
    </rPh>
    <rPh sb="477" eb="478">
      <t xml:space="preserve">オコナイ </t>
    </rPh>
    <rPh sb="480" eb="482">
      <t xml:space="preserve">シヨウシタ </t>
    </rPh>
    <rPh sb="484" eb="486">
      <t xml:space="preserve">キョウザイハ </t>
    </rPh>
    <rPh sb="487" eb="488">
      <t xml:space="preserve">アワセテ </t>
    </rPh>
    <rPh sb="491" eb="492">
      <t xml:space="preserve">スベテ </t>
    </rPh>
    <rPh sb="519" eb="521">
      <t xml:space="preserve">コウカイ </t>
    </rPh>
    <rPh sb="522" eb="524">
      <t xml:space="preserve">ハイシン </t>
    </rPh>
    <rPh sb="530" eb="532">
      <t xml:space="preserve">シチョウ </t>
    </rPh>
    <rPh sb="533" eb="535">
      <t xml:space="preserve">エツラン </t>
    </rPh>
    <rPh sb="535" eb="537">
      <t xml:space="preserve">カノウ </t>
    </rPh>
    <rPh sb="548" eb="552">
      <t xml:space="preserve">ジゴガクシュウ </t>
    </rPh>
    <rPh sb="553" eb="555">
      <t xml:space="preserve">フクシュウ </t>
    </rPh>
    <rPh sb="557" eb="558">
      <t xml:space="preserve">モチイテイル </t>
    </rPh>
    <rPh sb="564" eb="568">
      <t xml:space="preserve">ガクシュウイヨク </t>
    </rPh>
    <rPh sb="569" eb="570">
      <t xml:space="preserve">タカマル </t>
    </rPh>
    <rPh sb="572" eb="574">
      <t xml:space="preserve">ナイヨウ </t>
    </rPh>
    <rPh sb="579" eb="581">
      <t xml:space="preserve">カノウトシタ </t>
    </rPh>
    <rPh sb="634" eb="635">
      <t xml:space="preserve">モチイテ </t>
    </rPh>
    <rPh sb="638" eb="643">
      <t xml:space="preserve">ジュギョウジカンガイ </t>
    </rPh>
    <rPh sb="648" eb="652">
      <t xml:space="preserve">タントウキョウインニ </t>
    </rPh>
    <rPh sb="653" eb="655">
      <t xml:space="preserve">シツモン </t>
    </rPh>
    <rPh sb="657" eb="659">
      <t xml:space="preserve">ソウダン </t>
    </rPh>
    <rPh sb="665" eb="669">
      <t xml:space="preserve">ガクシュウシエンヲ </t>
    </rPh>
    <rPh sb="670" eb="671">
      <t xml:space="preserve">オコナッタ </t>
    </rPh>
    <rPh sb="675" eb="677">
      <t xml:space="preserve">キョウインカラノ </t>
    </rPh>
    <rPh sb="680" eb="684">
      <t xml:space="preserve">イチホウコウテキナ </t>
    </rPh>
    <rPh sb="685" eb="689">
      <t xml:space="preserve">チシキデンタツ </t>
    </rPh>
    <rPh sb="696" eb="700">
      <t xml:space="preserve">ジレイケンキュウ </t>
    </rPh>
    <rPh sb="701" eb="703">
      <t xml:space="preserve">ハッピョウ </t>
    </rPh>
    <rPh sb="703" eb="704">
      <t xml:space="preserve">オヨビ </t>
    </rPh>
    <rPh sb="711" eb="713">
      <t xml:space="preserve">ジュギョウカイニオイテ </t>
    </rPh>
    <rPh sb="713" eb="714">
      <t xml:space="preserve">カイニオイテハ </t>
    </rPh>
    <rPh sb="740" eb="741">
      <t xml:space="preserve">トリイレ </t>
    </rPh>
    <rPh sb="748" eb="750">
      <t xml:space="preserve">ガクセイカンノ </t>
    </rPh>
    <rPh sb="750" eb="751">
      <t xml:space="preserve">アイダ </t>
    </rPh>
    <rPh sb="752" eb="754">
      <t xml:space="preserve">チシキノ </t>
    </rPh>
    <rPh sb="755" eb="757">
      <t xml:space="preserve">キョウユウヲ </t>
    </rPh>
    <rPh sb="758" eb="759">
      <t xml:space="preserve">オコナイ </t>
    </rPh>
    <rPh sb="761" eb="764">
      <t xml:space="preserve">シュウジュクドヤ </t>
    </rPh>
    <rPh sb="765" eb="769">
      <t xml:space="preserve">ガクシュウイヨク </t>
    </rPh>
    <rPh sb="770" eb="772">
      <t xml:space="preserve">コウジョウヲ </t>
    </rPh>
    <rPh sb="773" eb="774">
      <t xml:space="preserve">ハカッタ </t>
    </rPh>
    <rPh sb="789" eb="791">
      <t xml:space="preserve">ジレイ </t>
    </rPh>
    <rPh sb="792" eb="793">
      <t xml:space="preserve">フレル </t>
    </rPh>
    <rPh sb="795" eb="798">
      <t xml:space="preserve">ジュギョウカイ </t>
    </rPh>
    <rPh sb="801" eb="804">
      <t xml:space="preserve">カクガッカ </t>
    </rPh>
    <rPh sb="805" eb="807">
      <t xml:space="preserve">ケイエイ </t>
    </rPh>
    <rPh sb="808" eb="812">
      <t xml:space="preserve">シャカイフクシ </t>
    </rPh>
    <rPh sb="818" eb="820">
      <t xml:space="preserve">ケンチク </t>
    </rPh>
    <rPh sb="822" eb="823">
      <t xml:space="preserve">カンスル </t>
    </rPh>
    <rPh sb="825" eb="827">
      <t xml:space="preserve">ジレイ </t>
    </rPh>
    <rPh sb="828" eb="830">
      <t xml:space="preserve">ショウカイスルコトデ </t>
    </rPh>
    <rPh sb="832" eb="834">
      <t xml:space="preserve">ガクセイ </t>
    </rPh>
    <rPh sb="835" eb="837">
      <t xml:space="preserve">キョウミ </t>
    </rPh>
    <rPh sb="838" eb="842">
      <t xml:space="preserve">カンシンブンヤ </t>
    </rPh>
    <rPh sb="844" eb="846">
      <t xml:space="preserve">カンレンヅケ </t>
    </rPh>
    <rPh sb="849" eb="850">
      <t xml:space="preserve">オコナウナド </t>
    </rPh>
    <rPh sb="855" eb="857">
      <t xml:space="preserve">ガッカノ </t>
    </rPh>
    <rPh sb="858" eb="862">
      <t xml:space="preserve">センモンブンヤ </t>
    </rPh>
    <rPh sb="863" eb="865">
      <t xml:space="preserve">トクショク </t>
    </rPh>
    <rPh sb="866" eb="867">
      <t xml:space="preserve">ソクシタ </t>
    </rPh>
    <rPh sb="869" eb="873">
      <t xml:space="preserve">ガッカコベツノ </t>
    </rPh>
    <rPh sb="874" eb="876">
      <t xml:space="preserve">セツメイ </t>
    </rPh>
    <rPh sb="877" eb="881">
      <t xml:space="preserve">キョウザイテイキョウ </t>
    </rPh>
    <rPh sb="882" eb="883">
      <t xml:space="preserve">オコナッタ </t>
    </rPh>
    <rPh sb="886" eb="888">
      <t xml:space="preserve">ガクセイノ </t>
    </rPh>
    <rPh sb="889" eb="892">
      <t xml:space="preserve">シュウジュクド </t>
    </rPh>
    <rPh sb="893" eb="896">
      <t xml:space="preserve">センモンセイヲ </t>
    </rPh>
    <rPh sb="897" eb="898">
      <t xml:space="preserve">フマエタ </t>
    </rPh>
    <rPh sb="901" eb="903">
      <t xml:space="preserve">ナイヨウヤ </t>
    </rPh>
    <rPh sb="904" eb="908">
      <t xml:space="preserve">ジュギョウセンタク </t>
    </rPh>
    <rPh sb="928" eb="930">
      <t xml:space="preserve">カモクハ </t>
    </rPh>
    <rPh sb="938" eb="942">
      <t xml:space="preserve">スウガクニュウモン </t>
    </rPh>
    <rPh sb="945" eb="947">
      <t>スウリ</t>
    </rPh>
    <rPh sb="959" eb="961">
      <t>キョウイク</t>
    </rPh>
    <rPh sb="966" eb="988">
      <t xml:space="preserve">キソトウケイエンシュウ </t>
    </rPh>
    <rPh sb="990" eb="992">
      <t xml:space="preserve">ゼンガク </t>
    </rPh>
    <rPh sb="993" eb="995">
      <t xml:space="preserve">センタク </t>
    </rPh>
    <rPh sb="997" eb="1000">
      <t xml:space="preserve">テイネンジ </t>
    </rPh>
    <rPh sb="1003" eb="1005">
      <t xml:space="preserve">テンカイシ </t>
    </rPh>
    <rPh sb="1007" eb="1009">
      <t xml:space="preserve">ガクセイノ </t>
    </rPh>
    <rPh sb="1010" eb="1012">
      <t xml:space="preserve">センタク </t>
    </rPh>
    <rPh sb="1040" eb="1046">
      <t xml:space="preserve">ジョウホウキソエンシュウ </t>
    </rPh>
    <rPh sb="1051" eb="1053">
      <t xml:space="preserve">ホコウ </t>
    </rPh>
    <rPh sb="1054" eb="1057">
      <t xml:space="preserve">フクスウカイ </t>
    </rPh>
    <rPh sb="1057" eb="1059">
      <t xml:space="preserve">ジッシシ </t>
    </rPh>
    <rPh sb="1061" eb="1064">
      <t xml:space="preserve">シュウジュクドノ </t>
    </rPh>
    <rPh sb="1065" eb="1067">
      <t xml:space="preserve">コウジョウヲ </t>
    </rPh>
    <rPh sb="1068" eb="1069">
      <t xml:space="preserve">ハカッタ </t>
    </rPh>
    <rPh sb="1072" eb="1073">
      <t xml:space="preserve">キョウザイ </t>
    </rPh>
    <rPh sb="1075" eb="1076">
      <t xml:space="preserve">ネンジニハ </t>
    </rPh>
    <rPh sb="1076" eb="1077">
      <t xml:space="preserve">ツギ </t>
    </rPh>
    <rPh sb="1094" eb="1096">
      <t>カイコウ</t>
    </rPh>
    <rPh sb="1096" eb="1098">
      <t>カモク</t>
    </rPh>
    <rPh sb="1107" eb="1110">
      <t xml:space="preserve">キソチシキ </t>
    </rPh>
    <rPh sb="1116" eb="1118">
      <t>スウリ</t>
    </rPh>
    <rPh sb="1131" eb="1133">
      <t xml:space="preserve">シュウトクシタ </t>
    </rPh>
    <rPh sb="1133" eb="1135">
      <t xml:space="preserve">ジッセン </t>
    </rPh>
    <rPh sb="1135" eb="1137">
      <t xml:space="preserve">ガクシュウ </t>
    </rPh>
    <rPh sb="1143" eb="1145">
      <t xml:space="preserve">テンカイシ </t>
    </rPh>
    <rPh sb="1146" eb="1148">
      <t xml:space="preserve">ヨテイシテオリ </t>
    </rPh>
    <rPh sb="1160" eb="1162">
      <t xml:space="preserve">オウヨウ </t>
    </rPh>
    <rPh sb="1163" eb="1166">
      <t xml:space="preserve">ジッセンリョクヲ </t>
    </rPh>
    <rPh sb="1167" eb="1168">
      <t xml:space="preserve">ヤシナウ </t>
    </rPh>
    <rPh sb="1171" eb="1173">
      <t>スウリ</t>
    </rPh>
    <rPh sb="1187" eb="1191">
      <t xml:space="preserve">キソチシキ </t>
    </rPh>
    <rPh sb="1192" eb="1195">
      <t xml:space="preserve">リカツヨウシ </t>
    </rPh>
    <rPh sb="1197" eb="1203">
      <t xml:space="preserve">ジョウホウキソエンシュウ </t>
    </rPh>
    <rPh sb="1214" eb="1216">
      <t xml:space="preserve">ジッセンスル </t>
    </rPh>
    <rPh sb="1219" eb="1293">
      <t xml:space="preserve">ギジュツ </t>
    </rPh>
    <rPh sb="1293" eb="1294">
      <t xml:space="preserve">ナド </t>
    </rPh>
    <rPh sb="1295" eb="1297">
      <t xml:space="preserve">コウカイ </t>
    </rPh>
    <rPh sb="1303" eb="1307">
      <t>ジュギョウカイゼン</t>
    </rPh>
    <rPh sb="1309" eb="1315">
      <t xml:space="preserve">ジョウホウキソエンシュウ </t>
    </rPh>
    <rPh sb="1320" eb="1323">
      <t xml:space="preserve">ガクシュウマエ </t>
    </rPh>
    <rPh sb="1324" eb="1325">
      <t xml:space="preserve">ダイ </t>
    </rPh>
    <rPh sb="1327" eb="1329">
      <t xml:space="preserve">ジュギョウ </t>
    </rPh>
    <rPh sb="1331" eb="1333">
      <t xml:space="preserve">チュウカン </t>
    </rPh>
    <rPh sb="1334" eb="1335">
      <t xml:space="preserve">ダイ </t>
    </rPh>
    <rPh sb="1337" eb="1339">
      <t xml:space="preserve">ジュギョウ </t>
    </rPh>
    <rPh sb="1341" eb="1344">
      <t xml:space="preserve">ガクシュウゴ </t>
    </rPh>
    <rPh sb="1345" eb="1346">
      <t xml:space="preserve">ダイ </t>
    </rPh>
    <rPh sb="1348" eb="1349">
      <t xml:space="preserve">カイ </t>
    </rPh>
    <rPh sb="1349" eb="1351">
      <t xml:space="preserve">ジュギョウ </t>
    </rPh>
    <rPh sb="1353" eb="1354">
      <t xml:space="preserve">ケイ </t>
    </rPh>
    <rPh sb="1360" eb="1362">
      <t xml:space="preserve">カモク </t>
    </rPh>
    <rPh sb="1362" eb="1364">
      <t xml:space="preserve">ドクジノ </t>
    </rPh>
    <rPh sb="1365" eb="1367">
      <t xml:space="preserve">ジュギョウアンケート </t>
    </rPh>
    <rPh sb="1373" eb="1375">
      <t xml:space="preserve">ジッシシ </t>
    </rPh>
    <rPh sb="1377" eb="1379">
      <t xml:space="preserve">ガクセイノ </t>
    </rPh>
    <rPh sb="1380" eb="1382">
      <t xml:space="preserve">ガクシュウニーズ </t>
    </rPh>
    <rPh sb="1386" eb="1387">
      <t xml:space="preserve">コマリゴト </t>
    </rPh>
    <rPh sb="1391" eb="1393">
      <t xml:space="preserve">ソクジ </t>
    </rPh>
    <rPh sb="1393" eb="1395">
      <t xml:space="preserve">タイオウ </t>
    </rPh>
    <rPh sb="1401" eb="1403">
      <t xml:space="preserve">セイビシタ </t>
    </rPh>
    <rPh sb="1406" eb="1408">
      <t xml:space="preserve">ケッカ </t>
    </rPh>
    <rPh sb="1416" eb="1417">
      <t xml:space="preserve">カククラス </t>
    </rPh>
    <rPh sb="1421" eb="1423">
      <t xml:space="preserve">トッカシタ </t>
    </rPh>
    <rPh sb="1425" eb="1429">
      <t xml:space="preserve">キョウイクシエン </t>
    </rPh>
    <rPh sb="1430" eb="1431">
      <t xml:space="preserve">オコナウコトガデキ </t>
    </rPh>
    <rPh sb="1438" eb="1439">
      <t xml:space="preserve">ドウ </t>
    </rPh>
    <rPh sb="1454" eb="1456">
      <t xml:space="preserve">コウモク </t>
    </rPh>
    <rPh sb="1456" eb="1457">
      <t xml:space="preserve">チュウ </t>
    </rPh>
    <rPh sb="1458" eb="1460">
      <t xml:space="preserve">コウモク </t>
    </rPh>
    <rPh sb="1462" eb="1465">
      <t xml:space="preserve">ガクシュウマエヨリモ </t>
    </rPh>
    <rPh sb="1468" eb="1470">
      <t xml:space="preserve">コウジョウ </t>
    </rPh>
    <rPh sb="1479" eb="1482">
      <t xml:space="preserve">ジネンドイコウ </t>
    </rPh>
    <rPh sb="1483" eb="1484">
      <t xml:space="preserve">ドウ </t>
    </rPh>
    <rPh sb="1490" eb="1492">
      <t xml:space="preserve">ナイヨウヲ </t>
    </rPh>
    <rPh sb="1493" eb="1494">
      <t xml:space="preserve">フマエ </t>
    </rPh>
    <rPh sb="1497" eb="1501">
      <t xml:space="preserve">ガクシュウシエンヲ </t>
    </rPh>
    <rPh sb="1502" eb="1503">
      <t xml:space="preserve">オコナウベク </t>
    </rPh>
    <rPh sb="1507" eb="1509">
      <t xml:space="preserve">キョウザイ </t>
    </rPh>
    <rPh sb="1510" eb="1512">
      <t xml:space="preserve">ミナオシ </t>
    </rPh>
    <rPh sb="1513" eb="1514">
      <t xml:space="preserve">ナド </t>
    </rPh>
    <rPh sb="1515" eb="1516">
      <t xml:space="preserve">ハカッテイル </t>
    </rPh>
    <phoneticPr fontId="1"/>
  </si>
  <si>
    <t>【学習支援システムの構築・学習成果の可視化等の導入】
授業の録画動画・使用した教材・小テスト・課題提出及び採点・フィードバックを、オンライン上（Microsoft Teams）にて一元的に管理した。課題の採点・フィードバックでは、点数・努力が認められた点、もう少し努力が必要な点を明示して個別にコメントした。課題の提出が遅れている学生には、Microsoft Teams チャット機能などを活用して学生の履修状況を把握し、個別に学習支援を行った。
【個別指導・補講・特別講義の実施】
小テストや課題提出によって測定された習熟度に応じて、個別指導・補講を実施して、習熟度の向上を図った。また、定期試験前には特別講義を開講し、データ分析等の練習問題を多数用意して、自身の習熟度や苦手意識のある領域の問題を選択して、取り組むことができるよう設計した。
【授業時間外の質問対応】
授業時間外の学習においては、Microsoft Teams チャット機能を用いて担当教員に質問等ができるよう学習環境を整備した。また、データ分析等の実習を伴う内容の質問のうち、チャットの文字だけで解決できなかった場合には、学生とオンラインで繋ぎ、学生の画面を共有させ、一緒に画面を見ながら指導を行い、学生の十分な理解を得られるよう図った。
なお、特に質問の多い事項については、担当教員独自に動画教材を作成し、Microsoft Teams で配信するなど、質問事項の共有を図り、更なる習熟度向上を目指している。
【複数の教員による対応】
「情報基礎演習Ⅱ」では、各クラス担当教員を２名配置し、授業時間内・外における個別指導の機会の創出を図り、学生の学修意欲・習熟度の向上を図った。
【少人数クラスでの開講】
「情報基礎演習Ⅱ」は、１年次全学必修であるため、270名の学生が履修するが、経営学科は３クラス、その他学科は各１クラスに分け、計６クラス（１クラス約50名）の少人数で開講したことにより、個別指導の機会の増加、より正確な習熟度の把握、学生とのコミュニケーション機会の創出により、学習意欲の向上や学習支援の充実化を図っている。
【オフィスソフト（表計算・分析ソフト）の無償貸与】
データ分析や事例研究等で使用するMicrosoft Word・Excel・PowerPointは、Microsoft Office365 アカウントを本学の学生全員に対し無償提供しており、学生が所有するノートパソコンやスマートフォン、タブレット端末にインストールすることが可能である。「情報基礎演習Ⅱ」の授業においても、可能な限り、学生自身のノートパソコンを持参・使用させている。
【SAによる指導】
モデルカリキュラムに準拠する数理・データサイエンス・AI教育は、令和３年度より「情報基礎演習Ⅱ」（１年次配当）にて実施しているため、同科目を履修・単位修得した学生が４年次になった際には、SAとして数名採用し、更なる個別指導等の学習支援を充実させることができるよう整える計画である（本学の規程により、SAの採用は４年次学生に限定されるため）。</t>
    <rPh sb="1" eb="5">
      <t xml:space="preserve">ガクシュウシエン </t>
    </rPh>
    <rPh sb="10" eb="12">
      <t xml:space="preserve">コウチク </t>
    </rPh>
    <rPh sb="19" eb="22">
      <t xml:space="preserve">ホカンテキナ </t>
    </rPh>
    <rPh sb="23" eb="25">
      <t xml:space="preserve">キョウイクノ </t>
    </rPh>
    <rPh sb="226" eb="230">
      <t xml:space="preserve">コベツシドウ </t>
    </rPh>
    <rPh sb="231" eb="233">
      <t xml:space="preserve">ホコウノ </t>
    </rPh>
    <rPh sb="234" eb="238">
      <t xml:space="preserve">トクベツコウギ </t>
    </rPh>
    <rPh sb="239" eb="241">
      <t xml:space="preserve">ジッシ </t>
    </rPh>
    <rPh sb="243" eb="244">
      <t xml:space="preserve">ショウテストヤ </t>
    </rPh>
    <rPh sb="248" eb="252">
      <t xml:space="preserve">カダイテイシュツ </t>
    </rPh>
    <rPh sb="256" eb="258">
      <t xml:space="preserve">ソクテイサレタ </t>
    </rPh>
    <rPh sb="261" eb="264">
      <t xml:space="preserve">シュウジュクド </t>
    </rPh>
    <rPh sb="265" eb="266">
      <t xml:space="preserve">オウジテ </t>
    </rPh>
    <rPh sb="269" eb="273">
      <t xml:space="preserve">コベツシドウ </t>
    </rPh>
    <rPh sb="274" eb="276">
      <t xml:space="preserve">ホコウ </t>
    </rPh>
    <rPh sb="277" eb="279">
      <t xml:space="preserve">ジッシ </t>
    </rPh>
    <rPh sb="282" eb="285">
      <t xml:space="preserve">シュウジュクドノ </t>
    </rPh>
    <rPh sb="286" eb="288">
      <t xml:space="preserve">コウジョウヲ </t>
    </rPh>
    <rPh sb="289" eb="290">
      <t xml:space="preserve">ハカッタ </t>
    </rPh>
    <rPh sb="296" eb="301">
      <t xml:space="preserve">テイキシケンマエニ </t>
    </rPh>
    <rPh sb="303" eb="307">
      <t xml:space="preserve">トクベツコウギヲ </t>
    </rPh>
    <rPh sb="308" eb="310">
      <t xml:space="preserve">カイコウシ </t>
    </rPh>
    <rPh sb="317" eb="318">
      <t xml:space="preserve">ナド </t>
    </rPh>
    <rPh sb="319" eb="323">
      <t xml:space="preserve">レンシュウモンダイヲ </t>
    </rPh>
    <rPh sb="324" eb="328">
      <t xml:space="preserve">タスウヨウイシテ </t>
    </rPh>
    <rPh sb="331" eb="333">
      <t xml:space="preserve">ジシンノ </t>
    </rPh>
    <rPh sb="334" eb="337">
      <t xml:space="preserve">シュウジュクドヤ </t>
    </rPh>
    <rPh sb="338" eb="342">
      <t xml:space="preserve">ニガテイシキ </t>
    </rPh>
    <rPh sb="345" eb="347">
      <t xml:space="preserve">リョウイキノモンダイヲ </t>
    </rPh>
    <rPh sb="351" eb="353">
      <t xml:space="preserve">センタクシテ </t>
    </rPh>
    <rPh sb="356" eb="357">
      <t xml:space="preserve">トリクムコトガデキル </t>
    </rPh>
    <rPh sb="368" eb="370">
      <t xml:space="preserve">セッケイシタ </t>
    </rPh>
    <rPh sb="391" eb="393">
      <t xml:space="preserve">ガクシュウニオイテハ </t>
    </rPh>
    <rPh sb="422" eb="423">
      <t xml:space="preserve">モチイテ </t>
    </rPh>
    <rPh sb="425" eb="429">
      <t xml:space="preserve">タントウキョウイン </t>
    </rPh>
    <rPh sb="430" eb="432">
      <t xml:space="preserve">シツモン </t>
    </rPh>
    <rPh sb="432" eb="433">
      <t xml:space="preserve">ナド </t>
    </rPh>
    <rPh sb="439" eb="441">
      <t xml:space="preserve">ガクシュウカンキョウ </t>
    </rPh>
    <rPh sb="441" eb="443">
      <t xml:space="preserve">カンキョウヲ </t>
    </rPh>
    <rPh sb="444" eb="446">
      <t xml:space="preserve">セイビシタ </t>
    </rPh>
    <rPh sb="449" eb="451">
      <t xml:space="preserve">シツモンノ </t>
    </rPh>
    <rPh sb="460" eb="461">
      <t xml:space="preserve">ナド </t>
    </rPh>
    <rPh sb="462" eb="464">
      <t xml:space="preserve">ジッシュウヲ </t>
    </rPh>
    <rPh sb="465" eb="466">
      <t xml:space="preserve">トモナウ </t>
    </rPh>
    <rPh sb="467" eb="469">
      <t xml:space="preserve">ナイヨウノ </t>
    </rPh>
    <rPh sb="470" eb="472">
      <t xml:space="preserve">シツモンノウチ </t>
    </rPh>
    <rPh sb="486" eb="488">
      <t xml:space="preserve">カイケツデキナカッタバアイニハ </t>
    </rPh>
    <rPh sb="499" eb="501">
      <t xml:space="preserve">ガクセイト </t>
    </rPh>
    <rPh sb="508" eb="509">
      <t xml:space="preserve">ツナギ </t>
    </rPh>
    <rPh sb="511" eb="513">
      <t xml:space="preserve">ガクセイノガメン </t>
    </rPh>
    <rPh sb="517" eb="519">
      <t xml:space="preserve">キョウユウ </t>
    </rPh>
    <rPh sb="522" eb="524">
      <t xml:space="preserve">イッショニ </t>
    </rPh>
    <rPh sb="525" eb="527">
      <t xml:space="preserve">ガメンヲ </t>
    </rPh>
    <rPh sb="528" eb="529">
      <t xml:space="preserve">ミナガラ </t>
    </rPh>
    <rPh sb="532" eb="534">
      <t xml:space="preserve">シドウヲオコナイ </t>
    </rPh>
    <rPh sb="538" eb="540">
      <t xml:space="preserve">ガクセイノ </t>
    </rPh>
    <rPh sb="541" eb="543">
      <t xml:space="preserve">ジュウブンナ </t>
    </rPh>
    <rPh sb="544" eb="546">
      <t xml:space="preserve">リカイヲ </t>
    </rPh>
    <rPh sb="547" eb="548">
      <t xml:space="preserve">エラレルヨウ </t>
    </rPh>
    <rPh sb="553" eb="554">
      <t xml:space="preserve">ハカッタ </t>
    </rPh>
    <rPh sb="557" eb="558">
      <t xml:space="preserve">トクニ </t>
    </rPh>
    <rPh sb="562" eb="563">
      <t xml:space="preserve">オオイ </t>
    </rPh>
    <rPh sb="564" eb="566">
      <t xml:space="preserve">ジコウニツイテハ </t>
    </rPh>
    <rPh sb="572" eb="578">
      <t xml:space="preserve">タントウキョウインドクジニ </t>
    </rPh>
    <rPh sb="579" eb="581">
      <t xml:space="preserve">ドウガ </t>
    </rPh>
    <rPh sb="581" eb="583">
      <t xml:space="preserve">キョウザイヲ </t>
    </rPh>
    <rPh sb="584" eb="586">
      <t xml:space="preserve">サクセイシ </t>
    </rPh>
    <rPh sb="612" eb="616">
      <t xml:space="preserve">シツモンジコウ </t>
    </rPh>
    <rPh sb="617" eb="619">
      <t xml:space="preserve">キョウユウ </t>
    </rPh>
    <rPh sb="620" eb="621">
      <t xml:space="preserve">ハカリ </t>
    </rPh>
    <rPh sb="623" eb="624">
      <t xml:space="preserve">サラナル </t>
    </rPh>
    <rPh sb="626" eb="629">
      <t xml:space="preserve">シュウジュクド </t>
    </rPh>
    <rPh sb="629" eb="631">
      <t xml:space="preserve">コウジョウヲ </t>
    </rPh>
    <rPh sb="632" eb="634">
      <t xml:space="preserve">メザシテイル </t>
    </rPh>
    <rPh sb="640" eb="641">
      <t xml:space="preserve">ジッセンヤ </t>
    </rPh>
    <rPh sb="654" eb="656">
      <t>タイオウ</t>
    </rPh>
    <rPh sb="659" eb="665">
      <t>ジョウホウキソエンシュウ</t>
    </rPh>
    <rPh sb="670" eb="671">
      <t>カク</t>
    </rPh>
    <rPh sb="674" eb="678">
      <t>タントウキョウイン</t>
    </rPh>
    <rPh sb="680" eb="681">
      <t>メイ</t>
    </rPh>
    <rPh sb="681" eb="683">
      <t>ハイチ</t>
    </rPh>
    <rPh sb="685" eb="690">
      <t>ジュギョウジカンナイ</t>
    </rPh>
    <rPh sb="691" eb="692">
      <t>ガイ</t>
    </rPh>
    <rPh sb="696" eb="700">
      <t>コベツシドウ</t>
    </rPh>
    <rPh sb="701" eb="703">
      <t>キカイ</t>
    </rPh>
    <rPh sb="704" eb="706">
      <t>ソウシュツ</t>
    </rPh>
    <rPh sb="707" eb="708">
      <t>ハカ</t>
    </rPh>
    <rPh sb="710" eb="712">
      <t>ガクセイ</t>
    </rPh>
    <rPh sb="713" eb="717">
      <t>ガクシュウイヨク</t>
    </rPh>
    <rPh sb="718" eb="721">
      <t>シュウジュクド</t>
    </rPh>
    <rPh sb="722" eb="724">
      <t>コウジョウ</t>
    </rPh>
    <rPh sb="725" eb="726">
      <t>ハカ</t>
    </rPh>
    <rPh sb="732" eb="735">
      <t>ショウニンズウ</t>
    </rPh>
    <rPh sb="740" eb="742">
      <t>カイコウ</t>
    </rPh>
    <rPh sb="745" eb="751">
      <t>ジョウホウキソエンシュウ</t>
    </rPh>
    <rPh sb="756" eb="758">
      <t>ネンジ</t>
    </rPh>
    <rPh sb="758" eb="760">
      <t>ゼンガク</t>
    </rPh>
    <rPh sb="760" eb="762">
      <t>ヒッシュウ</t>
    </rPh>
    <rPh sb="771" eb="772">
      <t>メイ</t>
    </rPh>
    <rPh sb="773" eb="775">
      <t>ガクセイ</t>
    </rPh>
    <rPh sb="776" eb="778">
      <t>リシュウ</t>
    </rPh>
    <rPh sb="782" eb="786">
      <t>ケイエイガッカ</t>
    </rPh>
    <rPh sb="794" eb="795">
      <t>ホカ</t>
    </rPh>
    <rPh sb="795" eb="797">
      <t>ガッカ</t>
    </rPh>
    <rPh sb="798" eb="799">
      <t>カク</t>
    </rPh>
    <rPh sb="804" eb="805">
      <t>ワ</t>
    </rPh>
    <rPh sb="807" eb="808">
      <t>ケイ</t>
    </rPh>
    <rPh sb="817" eb="818">
      <t>ヤク</t>
    </rPh>
    <rPh sb="820" eb="821">
      <t>メイ</t>
    </rPh>
    <rPh sb="823" eb="825">
      <t>カイコウ</t>
    </rPh>
    <rPh sb="833" eb="837">
      <t>コベツシドウ</t>
    </rPh>
    <rPh sb="838" eb="840">
      <t>キカイ</t>
    </rPh>
    <rPh sb="841" eb="843">
      <t>ゾウカ</t>
    </rPh>
    <rPh sb="846" eb="848">
      <t>セイカク</t>
    </rPh>
    <rPh sb="849" eb="852">
      <t>シュウジュクド</t>
    </rPh>
    <rPh sb="853" eb="855">
      <t>ハアク</t>
    </rPh>
    <rPh sb="856" eb="858">
      <t>ガクセイ</t>
    </rPh>
    <rPh sb="869" eb="871">
      <t>キカイ</t>
    </rPh>
    <rPh sb="872" eb="874">
      <t>ソウシュツ</t>
    </rPh>
    <rPh sb="878" eb="882">
      <t>ガクシュウイヨク</t>
    </rPh>
    <rPh sb="883" eb="885">
      <t>コウジョウ</t>
    </rPh>
    <rPh sb="886" eb="890">
      <t>ガクシュウシエン</t>
    </rPh>
    <rPh sb="891" eb="894">
      <t>ジュウジツカ</t>
    </rPh>
    <rPh sb="895" eb="896">
      <t>ハカ</t>
    </rPh>
    <rPh sb="912" eb="915">
      <t>ヒョウケイサン</t>
    </rPh>
    <rPh sb="916" eb="918">
      <t>ブンセキ</t>
    </rPh>
    <rPh sb="923" eb="925">
      <t>ムショウ</t>
    </rPh>
    <rPh sb="925" eb="927">
      <t>タイヨ</t>
    </rPh>
    <rPh sb="941" eb="943">
      <t>シヨウ</t>
    </rPh>
    <rPh sb="978" eb="980">
      <t>ホンガク</t>
    </rPh>
    <rPh sb="1009" eb="1011">
      <t>ゼンイン</t>
    </rPh>
    <rPh sb="1012" eb="1013">
      <t>タイ</t>
    </rPh>
    <rPh sb="1089" eb="1091">
      <t>カノウ</t>
    </rPh>
    <rPh sb="1092" eb="1093">
      <t>カギ</t>
    </rPh>
    <rPh sb="1095" eb="1097">
      <t>ガクセイ</t>
    </rPh>
    <rPh sb="1119" eb="1120">
      <t xml:space="preserve">ガクシュウセイカノ </t>
    </rPh>
    <rPh sb="1123" eb="1125">
      <t xml:space="preserve">カシカ </t>
    </rPh>
    <rPh sb="1125" eb="1126">
      <t xml:space="preserve">ナド </t>
    </rPh>
    <rPh sb="1136" eb="1138">
      <t xml:space="preserve">ジュンキョ </t>
    </rPh>
    <rPh sb="1145" eb="1147">
      <t>スウリ</t>
    </rPh>
    <rPh sb="1158" eb="1160">
      <t xml:space="preserve">レイワ </t>
    </rPh>
    <rPh sb="1161" eb="1163">
      <t xml:space="preserve">ネンド </t>
    </rPh>
    <rPh sb="1166" eb="1172">
      <t xml:space="preserve">ジョウホウキソエンシュウ </t>
    </rPh>
    <rPh sb="1176" eb="1178">
      <t xml:space="preserve">ネンジ </t>
    </rPh>
    <rPh sb="1178" eb="1180">
      <t xml:space="preserve">ハイトウ </t>
    </rPh>
    <rPh sb="1183" eb="1185">
      <t xml:space="preserve">ジッシシテイルタメ </t>
    </rPh>
    <rPh sb="1192" eb="1194">
      <t xml:space="preserve">レイワ </t>
    </rPh>
    <rPh sb="1195" eb="1197">
      <t xml:space="preserve">ネンド </t>
    </rPh>
    <rPh sb="1209" eb="1211">
      <t xml:space="preserve">ネンジ </t>
    </rPh>
    <rPh sb="1215" eb="1216">
      <t xml:space="preserve">サイニ </t>
    </rPh>
    <rPh sb="1224" eb="1226">
      <t xml:space="preserve">スウメイ </t>
    </rPh>
    <rPh sb="1226" eb="1228">
      <t xml:space="preserve">サイヨウ </t>
    </rPh>
    <rPh sb="1230" eb="1231">
      <t xml:space="preserve">サラナル </t>
    </rPh>
    <rPh sb="1233" eb="1235">
      <t xml:space="preserve">コベツ </t>
    </rPh>
    <rPh sb="1235" eb="1237">
      <t xml:space="preserve">シドウ </t>
    </rPh>
    <rPh sb="1237" eb="1238">
      <t xml:space="preserve">ナド </t>
    </rPh>
    <rPh sb="1239" eb="1243">
      <t xml:space="preserve">ガクシュウシエン </t>
    </rPh>
    <rPh sb="1244" eb="1246">
      <t xml:space="preserve">ジュウジツサセルコトガデキル </t>
    </rPh>
    <rPh sb="1257" eb="1258">
      <t xml:space="preserve">トトノエル </t>
    </rPh>
    <rPh sb="1260" eb="1262">
      <t xml:space="preserve">ケイカクデアル </t>
    </rPh>
    <rPh sb="1266" eb="1268">
      <t xml:space="preserve">ホンガクノ </t>
    </rPh>
    <rPh sb="1269" eb="1271">
      <t xml:space="preserve">キテイ </t>
    </rPh>
    <rPh sb="1278" eb="1280">
      <t xml:space="preserve">サイヨウハ </t>
    </rPh>
    <rPh sb="1282" eb="1284">
      <t xml:space="preserve">ネンジ </t>
    </rPh>
    <rPh sb="1284" eb="1286">
      <t xml:space="preserve">ガクセイ </t>
    </rPh>
    <rPh sb="1287" eb="1289">
      <t xml:space="preserve">ゲンテイサレル </t>
    </rPh>
    <rPh sb="1298" eb="1301">
      <t xml:space="preserve">ソツギョウセイニヨル コウエン シドウ ジョウホウキソエンシュウ ジョウホウカンケイヤ ケイエイ シャカイフクシ ケンチク カクギョウカイ ハタラク ソツギョウセイヲ ショウヘイシ ジツシャカイニオイテ カンスル ジツギョウム リカツヨウデキテイルカ ガクセイニ コウワスル キカイヲ モウケルコトヲ ケイカクシテイル ホン キョウイク シュウトクシ ソツギョウスルガクセイハ レイワ ネンド ソツギョウ レイワ ネンヨル ジッシスル ケイカクデアル チシキ ギノウ </t>
    </rPh>
    <phoneticPr fontId="1"/>
  </si>
  <si>
    <t>【地域課題解決型プロジェクト演習による応用・実践力の向上】
令和４年度後期開講予定である「データサイエンス論」（全学選択・２年次配当・２単位）では、地域包括連携を締結している北広島市の協力を得て、データ・AIの基礎知識を用いた課題解決型学習（PBL）を実施する計画である（令和４年５月現在、北広島市等と調整中）。
１年次で行った「情報基礎演習Ⅱ」で扱った内容のうち、データの収集（調査設計）・加工（データ分析）・表現の一連の内容を総合的に実践する。PBLの具体的な内容としては、フィールドワーク・グループディスカッション・リサーチなどを経て収集した地域の実際のデータを扱い、定量的なデータ分析やデータベースの構築実習、AIを取り入れたWebサイト制作・公開等を行うことを計画している。
以上のとおり、本学の文系総合大学３学部４学科のそれぞれの特色・専門知識や技能を踏まえた協働により、実務に近い内容でデータサイエンス・AIに関する知識・技能の応用による更なる深化を図り、高年次での各専門教育やキャリア支援科目へのステップアップを目指すものである。
【卒業生による講話・指導】
「情報基礎演習Ⅱ」において、情報関係や経営・社会福祉・デザイン・建築の各業界で働く卒業生を招き、データサイエンス・AIに関する知識・技能が実業務でどのように利活用できているかを、学生に講話する機会を設けることを計画している。なお、本教育プログラムを修得し卒業する学生は令和6年度に卒業となるため、令和7年より実施することを計画している。
【本教育に対する外部評価】
データサイエンス・AIを利活用した地域課題解決型学習を行う「データサイエンス論」では、授業期間終了後、連携する北広島市や関係者にアンケートを依頼し、次年度に向けて継続的に課題・テーマ・学習内容の見直しによる授業改善を図る計画である。
また、星槎道都大学内部質保証に関するPDCAサイクルに則り、本教育プログラムの自己点検・評価を行うデータサイエンス教育担当者会議、本教育プログラムの進化・改善を図る学務委員会、内部質保証の責任を担う教学マネジメント会議を経て、教育改革有識者委員会等への報告・検証を行う。</t>
    <rPh sb="1" eb="8">
      <t xml:space="preserve">チイキカダイカイケツガタ </t>
    </rPh>
    <rPh sb="14" eb="16">
      <t xml:space="preserve">エンシュウ </t>
    </rPh>
    <rPh sb="19" eb="21">
      <t xml:space="preserve">オウヨウ </t>
    </rPh>
    <rPh sb="22" eb="25">
      <t xml:space="preserve">ジッセンリョク </t>
    </rPh>
    <rPh sb="26" eb="28">
      <t xml:space="preserve">コウジョウ </t>
    </rPh>
    <rPh sb="30" eb="32">
      <t xml:space="preserve">レイワ </t>
    </rPh>
    <rPh sb="33" eb="35">
      <t xml:space="preserve">ネンド </t>
    </rPh>
    <rPh sb="35" eb="37">
      <t xml:space="preserve">コウキ </t>
    </rPh>
    <rPh sb="37" eb="41">
      <t xml:space="preserve">カイコウヨテイデアル </t>
    </rPh>
    <rPh sb="56" eb="58">
      <t xml:space="preserve">ネンジ </t>
    </rPh>
    <rPh sb="58" eb="60">
      <t xml:space="preserve">ハイトウ </t>
    </rPh>
    <rPh sb="62" eb="64">
      <t xml:space="preserve">ゼンガク </t>
    </rPh>
    <rPh sb="64" eb="66">
      <t xml:space="preserve">ハイトウ </t>
    </rPh>
    <rPh sb="80" eb="82">
      <t xml:space="preserve">テイケツシテイル </t>
    </rPh>
    <rPh sb="86" eb="90">
      <t xml:space="preserve">キタヒロシマシ </t>
    </rPh>
    <rPh sb="91" eb="93">
      <t xml:space="preserve">キョウリョクヲ </t>
    </rPh>
    <rPh sb="94" eb="95">
      <t xml:space="preserve">エテ </t>
    </rPh>
    <rPh sb="105" eb="109">
      <t xml:space="preserve">キソチシキヲ </t>
    </rPh>
    <rPh sb="110" eb="111">
      <t xml:space="preserve">モチイタ </t>
    </rPh>
    <rPh sb="113" eb="117">
      <t xml:space="preserve">カダイカイケツガタ </t>
    </rPh>
    <rPh sb="118" eb="120">
      <t xml:space="preserve">ガクシュウ </t>
    </rPh>
    <rPh sb="126" eb="128">
      <t xml:space="preserve">ジッシ </t>
    </rPh>
    <rPh sb="136" eb="138">
      <t xml:space="preserve">レイワ </t>
    </rPh>
    <rPh sb="139" eb="140">
      <t xml:space="preserve">ネン </t>
    </rPh>
    <rPh sb="141" eb="142">
      <t xml:space="preserve">ガツ </t>
    </rPh>
    <rPh sb="142" eb="144">
      <t xml:space="preserve">ゲンザイ </t>
    </rPh>
    <rPh sb="145" eb="149">
      <t xml:space="preserve">キタヒロシマシ </t>
    </rPh>
    <rPh sb="149" eb="150">
      <t>ナド</t>
    </rPh>
    <rPh sb="151" eb="154">
      <t xml:space="preserve">チョウセイチュウ </t>
    </rPh>
    <rPh sb="228" eb="231">
      <t>グタイテキ</t>
    </rPh>
    <rPh sb="232" eb="234">
      <t xml:space="preserve">ナイヨウトシテハ </t>
    </rPh>
    <rPh sb="268" eb="269">
      <t xml:space="preserve">ヘテ </t>
    </rPh>
    <rPh sb="270" eb="272">
      <t xml:space="preserve">シュウシュウシタ </t>
    </rPh>
    <rPh sb="284" eb="285">
      <t xml:space="preserve">アツカイ </t>
    </rPh>
    <rPh sb="287" eb="290">
      <t>テイリョウテキ</t>
    </rPh>
    <rPh sb="293" eb="294">
      <t xml:space="preserve">オコナイ </t>
    </rPh>
    <rPh sb="296" eb="298">
      <t xml:space="preserve">チイキノ </t>
    </rPh>
    <rPh sb="299" eb="301">
      <t xml:space="preserve">ジッサイノ </t>
    </rPh>
    <rPh sb="306" eb="308">
      <t xml:space="preserve">シュウシュウ </t>
    </rPh>
    <rPh sb="312" eb="313">
      <t xml:space="preserve">トリイレタ </t>
    </rPh>
    <rPh sb="323" eb="325">
      <t xml:space="preserve">セイサク </t>
    </rPh>
    <rPh sb="326" eb="328">
      <t>コウカイ</t>
    </rPh>
    <rPh sb="328" eb="329">
      <t xml:space="preserve">ナド </t>
    </rPh>
    <rPh sb="329" eb="330">
      <t xml:space="preserve">カコウ </t>
    </rPh>
    <rPh sb="335" eb="337">
      <t xml:space="preserve">ケイカクシテイル </t>
    </rPh>
    <rPh sb="343" eb="345">
      <t>イジョウ</t>
    </rPh>
    <rPh sb="350" eb="352">
      <t xml:space="preserve">ホンガクノ </t>
    </rPh>
    <rPh sb="353" eb="359">
      <t xml:space="preserve">ブンケイソウゴウダイガク </t>
    </rPh>
    <rPh sb="360" eb="362">
      <t xml:space="preserve">ガクブ </t>
    </rPh>
    <rPh sb="363" eb="365">
      <t xml:space="preserve">ガッカ </t>
    </rPh>
    <rPh sb="371" eb="373">
      <t xml:space="preserve">トクショク </t>
    </rPh>
    <rPh sb="374" eb="376">
      <t xml:space="preserve">センモン </t>
    </rPh>
    <rPh sb="376" eb="378">
      <t xml:space="preserve">チシキ </t>
    </rPh>
    <rPh sb="379" eb="381">
      <t xml:space="preserve">ギノウ </t>
    </rPh>
    <rPh sb="382" eb="383">
      <t xml:space="preserve">フマエテ </t>
    </rPh>
    <rPh sb="386" eb="388">
      <t xml:space="preserve">キョウドウシナガラ </t>
    </rPh>
    <rPh sb="392" eb="394">
      <t>ジツム</t>
    </rPh>
    <rPh sb="395" eb="396">
      <t xml:space="preserve">チカイ </t>
    </rPh>
    <rPh sb="397" eb="399">
      <t xml:space="preserve">ナイヨウ </t>
    </rPh>
    <rPh sb="412" eb="413">
      <t xml:space="preserve">カンスル </t>
    </rPh>
    <rPh sb="415" eb="417">
      <t xml:space="preserve">チシキ </t>
    </rPh>
    <rPh sb="418" eb="420">
      <t xml:space="preserve">ギノウヲ </t>
    </rPh>
    <rPh sb="421" eb="423">
      <t xml:space="preserve">オウヨウニヨル </t>
    </rPh>
    <rPh sb="426" eb="427">
      <t xml:space="preserve">サラナル </t>
    </rPh>
    <rPh sb="429" eb="431">
      <t xml:space="preserve">シンカ </t>
    </rPh>
    <rPh sb="432" eb="433">
      <t xml:space="preserve">ハカル </t>
    </rPh>
    <rPh sb="435" eb="438">
      <t xml:space="preserve">コウネンジ </t>
    </rPh>
    <rPh sb="440" eb="443">
      <t xml:space="preserve">カクセンモン </t>
    </rPh>
    <rPh sb="443" eb="445">
      <t xml:space="preserve">キョウイク </t>
    </rPh>
    <rPh sb="452" eb="454">
      <t xml:space="preserve">カモク </t>
    </rPh>
    <rPh sb="464" eb="466">
      <t xml:space="preserve">メザス </t>
    </rPh>
    <rPh sb="474" eb="477">
      <t xml:space="preserve">ホンキョウイク </t>
    </rPh>
    <rPh sb="482" eb="484">
      <t>コウワ</t>
    </rPh>
    <rPh sb="508" eb="511">
      <t xml:space="preserve">リカツヨウシタ </t>
    </rPh>
    <rPh sb="513" eb="517">
      <t xml:space="preserve">チイキカダイカイエクツガタ </t>
    </rPh>
    <rPh sb="517" eb="520">
      <t xml:space="preserve">カイケツガタ </t>
    </rPh>
    <rPh sb="520" eb="522">
      <t xml:space="preserve">ガクシュウ </t>
    </rPh>
    <rPh sb="523" eb="524">
      <t xml:space="preserve">オコナウ </t>
    </rPh>
    <rPh sb="534" eb="535">
      <t>マネ</t>
    </rPh>
    <rPh sb="538" eb="542">
      <t xml:space="preserve">ジュギョウキカン </t>
    </rPh>
    <rPh sb="542" eb="545">
      <t xml:space="preserve">シュウリョウゴ </t>
    </rPh>
    <rPh sb="546" eb="548">
      <t xml:space="preserve">レンケイスル </t>
    </rPh>
    <rPh sb="550" eb="554">
      <t xml:space="preserve">キタヒロシマシ </t>
    </rPh>
    <rPh sb="555" eb="557">
      <t xml:space="preserve">チイキノ </t>
    </rPh>
    <rPh sb="558" eb="559">
      <t xml:space="preserve">カタガタ </t>
    </rPh>
    <rPh sb="567" eb="569">
      <t xml:space="preserve">イライシ </t>
    </rPh>
    <rPh sb="571" eb="574">
      <t xml:space="preserve">ジネンド </t>
    </rPh>
    <rPh sb="575" eb="576">
      <t xml:space="preserve">ムケテ </t>
    </rPh>
    <rPh sb="578" eb="581">
      <t xml:space="preserve">ケイゾクテキニ </t>
    </rPh>
    <rPh sb="582" eb="584">
      <t xml:space="preserve">カダイナイヨウノ </t>
    </rPh>
    <rPh sb="589" eb="591">
      <t xml:space="preserve">ガクシュウナイウヨウ </t>
    </rPh>
    <rPh sb="591" eb="593">
      <t xml:space="preserve">ナイヨウノ </t>
    </rPh>
    <rPh sb="594" eb="596">
      <t xml:space="preserve">ミナオシ </t>
    </rPh>
    <rPh sb="600" eb="604">
      <t xml:space="preserve">ジュギョウカイゼン </t>
    </rPh>
    <rPh sb="605" eb="606">
      <t xml:space="preserve">ハカル </t>
    </rPh>
    <rPh sb="607" eb="609">
      <t xml:space="preserve">ケイカクデアル </t>
    </rPh>
    <rPh sb="618" eb="624">
      <t xml:space="preserve">セイサドウトダイガク </t>
    </rPh>
    <rPh sb="624" eb="629">
      <t xml:space="preserve">ナイブシツホショウ </t>
    </rPh>
    <rPh sb="630" eb="631">
      <t xml:space="preserve">カンスル </t>
    </rPh>
    <rPh sb="642" eb="643">
      <t xml:space="preserve">ノットリ </t>
    </rPh>
    <rPh sb="645" eb="647">
      <t xml:space="preserve">ホンキョウイク </t>
    </rPh>
    <rPh sb="651" eb="652">
      <t xml:space="preserve">シンカ </t>
    </rPh>
    <rPh sb="656" eb="657">
      <t xml:space="preserve">カイゼン </t>
    </rPh>
    <rPh sb="658" eb="659">
      <t xml:space="preserve">ハカル </t>
    </rPh>
    <rPh sb="660" eb="665">
      <t xml:space="preserve">ガクムイインカイ </t>
    </rPh>
    <rPh sb="666" eb="669">
      <t xml:space="preserve">ホンキョウイクノ </t>
    </rPh>
    <rPh sb="678" eb="680">
      <t xml:space="preserve">キョウイク </t>
    </rPh>
    <rPh sb="685" eb="688">
      <t>リカツヨウ</t>
    </rPh>
    <rPh sb="693" eb="695">
      <t xml:space="preserve">セキニンヲ </t>
    </rPh>
    <rPh sb="696" eb="697">
      <t xml:space="preserve">ニナウ </t>
    </rPh>
    <rPh sb="698" eb="700">
      <t xml:space="preserve">キョウガクマネジメント </t>
    </rPh>
    <rPh sb="706" eb="708">
      <t xml:space="preserve">カイギ </t>
    </rPh>
    <rPh sb="709" eb="710">
      <t xml:space="preserve">ヘテ </t>
    </rPh>
    <rPh sb="712" eb="722">
      <t xml:space="preserve">キョウイクカイカクユウシキシャイインカイ </t>
    </rPh>
    <rPh sb="722" eb="723">
      <t xml:space="preserve">ナド </t>
    </rPh>
    <rPh sb="725" eb="727">
      <t xml:space="preserve">ホウコク </t>
    </rPh>
    <rPh sb="728" eb="730">
      <t xml:space="preserve">ケンショウ </t>
    </rPh>
    <rPh sb="731" eb="732">
      <t xml:space="preserve">オコナイ </t>
    </rPh>
    <rPh sb="733" eb="735">
      <t>カンケイ</t>
    </rPh>
    <rPh sb="735" eb="736">
      <t>シャ</t>
    </rPh>
    <rPh sb="856" eb="858">
      <t xml:space="preserve">キョウイク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</si>
</sst>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9"/>
      <name val="ＭＳ Ｐゴシック"/>
      <family val="2"/>
      <charset val="128"/>
      <scheme val="minor"/>
    </font>
    <font>
      <sz val="12"/>
      <name val="ＭＳ Ｐゴシック"/>
      <family val="3"/>
      <charset val="128"/>
    </font>
    <font>
      <u/>
      <sz val="11"/>
      <name val="ＭＳ Ｐゴシック"/>
      <family val="2"/>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4" fillId="0" borderId="0" applyFont="0" applyFill="0" applyBorder="0" applyAlignment="0" applyProtection="0">
      <alignment vertical="center"/>
    </xf>
    <xf numFmtId="0" fontId="5" fillId="0" borderId="0" applyNumberFormat="0" applyFill="0" applyBorder="0" applyAlignment="0" applyProtection="0">
      <alignment vertical="center"/>
    </xf>
  </cellStyleXfs>
  <cellXfs count="292">
    <xf numFmtId="0" fontId="0" fillId="0" borderId="0" xfId="0">
      <alignment vertical="center"/>
    </xf>
    <xf numFmtId="0" fontId="2" fillId="0" borderId="0" xfId="0" applyFont="1">
      <alignment vertical="center"/>
    </xf>
    <xf numFmtId="0" fontId="3" fillId="0" borderId="0" xfId="0" applyFont="1">
      <alignment vertical="center"/>
    </xf>
    <xf numFmtId="176" fontId="6" fillId="0" borderId="3" xfId="0" applyNumberFormat="1" applyFont="1" applyBorder="1" applyAlignment="1">
      <alignment vertical="center" shrinkToFit="1"/>
    </xf>
    <xf numFmtId="0" fontId="7" fillId="0" borderId="0" xfId="0" applyFont="1">
      <alignment vertical="center"/>
    </xf>
    <xf numFmtId="0" fontId="6" fillId="0" borderId="0" xfId="0" applyFont="1">
      <alignment vertical="center"/>
    </xf>
    <xf numFmtId="0" fontId="6" fillId="0" borderId="0" xfId="0" applyFont="1" applyAlignment="1">
      <alignment horizontal="left" vertical="center"/>
    </xf>
    <xf numFmtId="0" fontId="6" fillId="0" borderId="5" xfId="0" applyFont="1" applyBorder="1">
      <alignment vertical="center"/>
    </xf>
    <xf numFmtId="176" fontId="6" fillId="0" borderId="0" xfId="0" applyNumberFormat="1" applyFont="1" applyAlignment="1">
      <alignment vertical="center" wrapText="1"/>
    </xf>
    <xf numFmtId="176" fontId="6" fillId="0" borderId="0" xfId="0" applyNumberFormat="1" applyFont="1" applyAlignment="1">
      <alignment horizontal="left" vertical="center" wrapText="1"/>
    </xf>
    <xf numFmtId="0" fontId="6" fillId="0" borderId="6" xfId="0" applyFont="1" applyBorder="1" applyAlignment="1">
      <alignment vertical="center" shrinkToFit="1"/>
    </xf>
    <xf numFmtId="0" fontId="6" fillId="0" borderId="1" xfId="0" applyFont="1" applyBorder="1">
      <alignment vertical="center"/>
    </xf>
    <xf numFmtId="0" fontId="6" fillId="0" borderId="2" xfId="0" applyFont="1" applyBorder="1">
      <alignment vertical="center"/>
    </xf>
    <xf numFmtId="0" fontId="6" fillId="0" borderId="4" xfId="0" applyFont="1" applyBorder="1">
      <alignment vertical="center"/>
    </xf>
    <xf numFmtId="0" fontId="6" fillId="0" borderId="0" xfId="0" applyFont="1" applyAlignment="1">
      <alignment horizontal="center" vertical="center"/>
    </xf>
    <xf numFmtId="0" fontId="6" fillId="0" borderId="1" xfId="0" applyFont="1" applyBorder="1" applyAlignment="1">
      <alignment vertical="center" shrinkToFit="1"/>
    </xf>
    <xf numFmtId="0" fontId="8" fillId="0" borderId="0" xfId="0" applyFont="1">
      <alignment vertical="center"/>
    </xf>
    <xf numFmtId="0" fontId="9" fillId="0" borderId="0" xfId="0" applyFont="1">
      <alignment vertical="center"/>
    </xf>
    <xf numFmtId="0" fontId="3" fillId="0" borderId="0" xfId="0" applyFont="1" applyAlignment="1">
      <alignment horizontal="center" vertical="center"/>
    </xf>
    <xf numFmtId="0" fontId="13" fillId="0" borderId="11" xfId="0" applyFont="1" applyBorder="1" applyAlignment="1">
      <alignment horizontal="center" vertical="center"/>
    </xf>
    <xf numFmtId="0" fontId="13" fillId="0" borderId="29" xfId="0" applyFont="1" applyBorder="1" applyAlignment="1">
      <alignment horizontal="center" vertical="center" wrapText="1"/>
    </xf>
    <xf numFmtId="0" fontId="13" fillId="0" borderId="30" xfId="0" applyFont="1" applyBorder="1" applyAlignment="1">
      <alignment horizontal="center" vertical="center"/>
    </xf>
    <xf numFmtId="0" fontId="13"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6" fillId="0" borderId="10" xfId="0" applyFont="1" applyBorder="1" applyAlignment="1">
      <alignment vertical="center" shrinkToFit="1"/>
    </xf>
    <xf numFmtId="49" fontId="15" fillId="0" borderId="1" xfId="0" applyNumberFormat="1" applyFont="1" applyBorder="1" applyAlignment="1">
      <alignment horizontal="center" vertical="center"/>
    </xf>
    <xf numFmtId="0" fontId="6" fillId="0" borderId="0" xfId="0" applyFont="1" applyAlignment="1">
      <alignment vertical="center" shrinkToFit="1"/>
    </xf>
    <xf numFmtId="0" fontId="6" fillId="0" borderId="0" xfId="0" applyFont="1" applyAlignment="1">
      <alignment vertical="top" wrapText="1"/>
    </xf>
    <xf numFmtId="49" fontId="15" fillId="0" borderId="47" xfId="0" applyNumberFormat="1" applyFont="1" applyBorder="1" applyAlignment="1">
      <alignment horizontal="center" vertical="center"/>
    </xf>
    <xf numFmtId="49" fontId="15" fillId="0" borderId="33" xfId="0" applyNumberFormat="1" applyFont="1" applyBorder="1" applyAlignment="1">
      <alignment horizontal="center" vertical="center"/>
    </xf>
    <xf numFmtId="49" fontId="15" fillId="0" borderId="50" xfId="0" applyNumberFormat="1" applyFont="1" applyBorder="1" applyAlignment="1">
      <alignment horizontal="center" vertical="center"/>
    </xf>
    <xf numFmtId="0" fontId="6" fillId="0" borderId="44" xfId="0" applyFont="1" applyBorder="1" applyAlignment="1">
      <alignment horizontal="center" vertical="center" shrinkToFit="1"/>
    </xf>
    <xf numFmtId="0" fontId="6" fillId="0" borderId="45" xfId="0" applyFont="1" applyBorder="1" applyAlignment="1">
      <alignment horizontal="center" vertical="center" shrinkToFit="1"/>
    </xf>
    <xf numFmtId="49" fontId="15"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6" fillId="0" borderId="7" xfId="0" applyFont="1" applyBorder="1" applyAlignment="1">
      <alignment horizontal="center" vertical="center" wrapText="1" shrinkToFit="1"/>
    </xf>
    <xf numFmtId="9" fontId="6" fillId="0" borderId="8" xfId="0" applyNumberFormat="1" applyFont="1" applyBorder="1" applyAlignment="1">
      <alignment horizontal="center" vertical="center" wrapText="1" shrinkToFit="1"/>
    </xf>
    <xf numFmtId="0" fontId="6" fillId="0" borderId="8" xfId="0" applyFont="1" applyBorder="1" applyAlignment="1">
      <alignment horizontal="center" vertical="center" wrapText="1" shrinkToFit="1"/>
    </xf>
    <xf numFmtId="9" fontId="6" fillId="0" borderId="8" xfId="0" applyNumberFormat="1" applyFont="1" applyBorder="1" applyAlignment="1">
      <alignment horizontal="center" vertical="center" shrinkToFit="1"/>
    </xf>
    <xf numFmtId="0" fontId="6" fillId="0" borderId="9" xfId="0" applyFont="1" applyBorder="1" applyAlignment="1">
      <alignment horizontal="center" vertical="center" shrinkToFit="1"/>
    </xf>
    <xf numFmtId="9" fontId="6" fillId="0" borderId="45" xfId="0" applyNumberFormat="1" applyFont="1" applyBorder="1" applyAlignment="1">
      <alignment horizontal="center" vertical="center" shrinkToFit="1"/>
    </xf>
    <xf numFmtId="176" fontId="6" fillId="0" borderId="45" xfId="0" applyNumberFormat="1" applyFont="1" applyBorder="1" applyAlignment="1">
      <alignment horizontal="center" vertical="center" shrinkToFit="1"/>
    </xf>
    <xf numFmtId="0" fontId="6" fillId="0" borderId="46" xfId="0" applyFont="1" applyBorder="1" applyAlignment="1">
      <alignment horizontal="center" vertical="center" shrinkToFit="1"/>
    </xf>
    <xf numFmtId="49" fontId="15" fillId="0" borderId="52" xfId="0" applyNumberFormat="1" applyFont="1" applyBorder="1" applyAlignment="1">
      <alignment horizontal="center" vertical="center"/>
    </xf>
    <xf numFmtId="49" fontId="15" fillId="0" borderId="29" xfId="0" applyNumberFormat="1" applyFont="1" applyBorder="1" applyAlignment="1">
      <alignment horizontal="center" vertical="center"/>
    </xf>
    <xf numFmtId="0" fontId="18" fillId="0" borderId="4" xfId="0" applyFont="1" applyBorder="1" applyAlignment="1">
      <alignment horizontal="center" vertical="center" shrinkToFit="1"/>
    </xf>
    <xf numFmtId="0" fontId="6" fillId="0" borderId="14" xfId="0" applyFont="1" applyBorder="1" applyAlignment="1">
      <alignment horizontal="center" vertical="center" shrinkToFit="1"/>
    </xf>
    <xf numFmtId="0" fontId="6" fillId="0" borderId="23" xfId="0" applyFont="1" applyBorder="1" applyAlignment="1">
      <alignment horizontal="center" vertical="center" shrinkToFit="1"/>
    </xf>
    <xf numFmtId="0" fontId="6" fillId="0" borderId="13" xfId="0" applyFont="1" applyBorder="1" applyAlignment="1">
      <alignment horizontal="center" vertical="center" shrinkToFit="1"/>
    </xf>
    <xf numFmtId="0" fontId="3" fillId="0" borderId="0" xfId="0" applyFont="1" applyBorder="1" applyAlignment="1">
      <alignment vertical="center" shrinkToFit="1"/>
    </xf>
    <xf numFmtId="0" fontId="6" fillId="0" borderId="1" xfId="0" applyFont="1" applyBorder="1" applyAlignment="1">
      <alignment horizontal="center" vertical="center" shrinkToFit="1"/>
    </xf>
    <xf numFmtId="0" fontId="6" fillId="0" borderId="43" xfId="0" applyFont="1" applyBorder="1" applyAlignment="1">
      <alignment horizontal="center" vertical="center" shrinkToFit="1"/>
    </xf>
    <xf numFmtId="0" fontId="6" fillId="0" borderId="3" xfId="0" applyFont="1" applyBorder="1">
      <alignment vertical="center"/>
    </xf>
    <xf numFmtId="0" fontId="6" fillId="0" borderId="0" xfId="0" applyFont="1" applyAlignment="1">
      <alignment horizontal="center" vertical="center" shrinkToFit="1"/>
    </xf>
    <xf numFmtId="176" fontId="6" fillId="0" borderId="5" xfId="0" applyNumberFormat="1" applyFont="1" applyBorder="1">
      <alignment vertical="center"/>
    </xf>
    <xf numFmtId="176" fontId="6" fillId="0" borderId="0" xfId="0" applyNumberFormat="1" applyFont="1">
      <alignment vertical="center"/>
    </xf>
    <xf numFmtId="0" fontId="6" fillId="0" borderId="0" xfId="0" applyFont="1" applyAlignment="1">
      <alignment horizontal="center" vertical="center"/>
    </xf>
    <xf numFmtId="0" fontId="6" fillId="0" borderId="0" xfId="0" applyFont="1" applyAlignment="1">
      <alignment vertical="center" shrinkToFit="1"/>
    </xf>
    <xf numFmtId="0" fontId="6" fillId="0" borderId="0" xfId="0" applyFont="1" applyAlignment="1">
      <alignment horizontal="right" vertical="center"/>
    </xf>
    <xf numFmtId="0" fontId="6" fillId="0" borderId="42" xfId="0" applyFont="1" applyBorder="1" applyAlignment="1">
      <alignment horizontal="center" vertical="center"/>
    </xf>
    <xf numFmtId="0" fontId="6" fillId="0" borderId="18" xfId="0" applyFont="1" applyBorder="1" applyAlignment="1">
      <alignment horizontal="center" vertical="center"/>
    </xf>
    <xf numFmtId="0" fontId="6" fillId="0" borderId="38" xfId="0" applyFont="1" applyBorder="1" applyAlignment="1">
      <alignment horizontal="center" vertical="center"/>
    </xf>
    <xf numFmtId="0" fontId="6" fillId="0" borderId="0" xfId="0" applyFont="1" applyAlignment="1">
      <alignment vertical="center" wrapText="1"/>
    </xf>
    <xf numFmtId="0" fontId="14" fillId="0" borderId="0" xfId="0" applyFont="1" applyAlignment="1">
      <alignment horizontal="center" vertical="center"/>
    </xf>
    <xf numFmtId="0" fontId="3" fillId="0" borderId="0" xfId="0" applyFont="1" applyAlignment="1">
      <alignment horizontal="center" vertical="center"/>
    </xf>
    <xf numFmtId="0" fontId="7" fillId="0" borderId="0" xfId="0" applyFont="1" applyAlignment="1">
      <alignment horizontal="right" vertical="center"/>
    </xf>
    <xf numFmtId="0" fontId="19" fillId="0" borderId="0" xfId="0" applyFont="1" applyAlignment="1">
      <alignment vertical="top" wrapText="1"/>
    </xf>
    <xf numFmtId="0" fontId="15" fillId="0" borderId="0" xfId="0" applyFont="1" applyAlignment="1">
      <alignment vertical="top" wrapText="1"/>
    </xf>
    <xf numFmtId="0" fontId="7" fillId="0" borderId="5" xfId="0" applyFont="1" applyBorder="1">
      <alignment vertical="center"/>
    </xf>
    <xf numFmtId="0" fontId="19" fillId="0" borderId="10" xfId="0" applyFont="1" applyBorder="1" applyAlignment="1">
      <alignment vertical="top" wrapText="1"/>
    </xf>
    <xf numFmtId="0" fontId="15" fillId="0" borderId="10" xfId="0" applyFont="1" applyBorder="1" applyAlignment="1">
      <alignment vertical="top" wrapText="1"/>
    </xf>
    <xf numFmtId="0" fontId="19" fillId="0" borderId="5" xfId="0" applyFont="1" applyBorder="1" applyAlignment="1">
      <alignment vertical="top" wrapText="1"/>
    </xf>
    <xf numFmtId="0" fontId="7" fillId="0" borderId="16" xfId="0" applyFont="1" applyBorder="1">
      <alignment vertical="center"/>
    </xf>
    <xf numFmtId="0" fontId="19" fillId="0" borderId="20" xfId="0" applyFont="1" applyBorder="1" applyAlignment="1">
      <alignment vertical="top" wrapText="1"/>
    </xf>
    <xf numFmtId="0" fontId="19" fillId="0" borderId="18" xfId="0" applyFont="1" applyBorder="1" applyAlignment="1">
      <alignment vertical="top" wrapText="1"/>
    </xf>
    <xf numFmtId="0" fontId="15" fillId="0" borderId="20" xfId="0" applyFont="1" applyBorder="1" applyAlignment="1">
      <alignment vertical="top" shrinkToFit="1"/>
    </xf>
    <xf numFmtId="0" fontId="15" fillId="0" borderId="18" xfId="0" applyFont="1" applyBorder="1" applyAlignment="1">
      <alignment vertical="top" shrinkToFit="1"/>
    </xf>
    <xf numFmtId="0" fontId="7" fillId="0" borderId="0" xfId="0" applyFont="1" applyAlignment="1">
      <alignment vertical="top" wrapText="1"/>
    </xf>
    <xf numFmtId="0" fontId="15" fillId="0" borderId="0" xfId="0" applyFont="1">
      <alignment vertical="center"/>
    </xf>
    <xf numFmtId="0" fontId="15" fillId="0" borderId="0" xfId="0" applyFont="1" applyAlignment="1">
      <alignment vertical="top" shrinkToFit="1"/>
    </xf>
    <xf numFmtId="0" fontId="15" fillId="0" borderId="0" xfId="0" applyFont="1" applyAlignment="1">
      <alignment vertical="center" wrapText="1"/>
    </xf>
    <xf numFmtId="0" fontId="6" fillId="0" borderId="2" xfId="0" applyFont="1" applyBorder="1" applyAlignment="1">
      <alignment vertical="center" shrinkToFit="1"/>
    </xf>
    <xf numFmtId="0" fontId="6" fillId="0" borderId="3" xfId="0" applyFont="1" applyBorder="1" applyAlignment="1">
      <alignment vertical="center" shrinkToFit="1"/>
    </xf>
    <xf numFmtId="0" fontId="6" fillId="0" borderId="2"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4" xfId="0" applyFont="1" applyBorder="1" applyAlignment="1">
      <alignment horizontal="center" vertical="center" shrinkToFit="1"/>
    </xf>
    <xf numFmtId="49" fontId="5" fillId="0" borderId="2" xfId="2" applyNumberFormat="1" applyBorder="1" applyAlignment="1">
      <alignment vertical="center" shrinkToFit="1"/>
    </xf>
    <xf numFmtId="49" fontId="6" fillId="0" borderId="3" xfId="0" applyNumberFormat="1" applyFont="1" applyBorder="1" applyAlignment="1">
      <alignment vertical="center" shrinkToFit="1"/>
    </xf>
    <xf numFmtId="49" fontId="6" fillId="0" borderId="4" xfId="0" applyNumberFormat="1" applyFont="1" applyBorder="1" applyAlignment="1">
      <alignment vertical="center" shrinkToFit="1"/>
    </xf>
    <xf numFmtId="49" fontId="6" fillId="0" borderId="2" xfId="1" applyNumberFormat="1" applyFont="1" applyBorder="1" applyAlignment="1">
      <alignment horizontal="center" vertical="center" shrinkToFit="1"/>
    </xf>
    <xf numFmtId="49" fontId="6" fillId="0" borderId="3" xfId="1" applyNumberFormat="1" applyFont="1" applyBorder="1" applyAlignment="1">
      <alignment horizontal="center" vertical="center" shrinkToFit="1"/>
    </xf>
    <xf numFmtId="49" fontId="6" fillId="0" borderId="4" xfId="1" applyNumberFormat="1" applyFont="1" applyBorder="1" applyAlignment="1">
      <alignment horizontal="center" vertical="center" shrinkToFit="1"/>
    </xf>
    <xf numFmtId="0" fontId="6" fillId="0" borderId="0" xfId="0" applyFont="1" applyAlignment="1">
      <alignment horizontal="right" vertical="center" shrinkToFit="1"/>
    </xf>
    <xf numFmtId="0" fontId="6" fillId="0" borderId="5" xfId="0" applyFont="1" applyBorder="1" applyAlignment="1">
      <alignment horizontal="right" vertical="center" shrinkToFit="1"/>
    </xf>
    <xf numFmtId="0" fontId="6" fillId="0" borderId="10" xfId="0" applyFont="1" applyBorder="1" applyAlignment="1">
      <alignment horizontal="right" vertical="center" shrinkToFit="1"/>
    </xf>
    <xf numFmtId="176" fontId="6" fillId="0" borderId="2" xfId="0" applyNumberFormat="1" applyFont="1" applyBorder="1" applyAlignment="1">
      <alignment horizontal="center" vertical="center" shrinkToFit="1"/>
    </xf>
    <xf numFmtId="176" fontId="6" fillId="0" borderId="4" xfId="0" applyNumberFormat="1" applyFont="1" applyBorder="1" applyAlignment="1">
      <alignment horizontal="center" vertical="center" shrinkToFit="1"/>
    </xf>
    <xf numFmtId="0" fontId="6" fillId="0" borderId="0" xfId="0" applyFont="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0" xfId="0" applyFont="1" applyAlignment="1">
      <alignment vertical="center" shrinkToFit="1"/>
    </xf>
    <xf numFmtId="176" fontId="6" fillId="0" borderId="2" xfId="0" applyNumberFormat="1" applyFont="1" applyBorder="1" applyAlignment="1">
      <alignment horizontal="center" vertical="center"/>
    </xf>
    <xf numFmtId="176" fontId="6" fillId="0" borderId="3" xfId="0" applyNumberFormat="1" applyFont="1" applyBorder="1" applyAlignment="1">
      <alignment horizontal="center" vertical="center"/>
    </xf>
    <xf numFmtId="176" fontId="6" fillId="0" borderId="4" xfId="0" applyNumberFormat="1" applyFont="1" applyBorder="1" applyAlignment="1">
      <alignment horizontal="center" vertical="center"/>
    </xf>
    <xf numFmtId="0" fontId="6" fillId="0" borderId="0" xfId="0" applyFont="1" applyAlignment="1">
      <alignment horizontal="right" vertical="center"/>
    </xf>
    <xf numFmtId="0" fontId="6" fillId="0" borderId="10" xfId="0" applyFont="1" applyBorder="1" applyAlignment="1">
      <alignment horizontal="right" vertical="center"/>
    </xf>
    <xf numFmtId="176" fontId="6" fillId="0" borderId="3" xfId="0" applyNumberFormat="1" applyFont="1" applyBorder="1" applyAlignment="1">
      <alignment horizontal="center" vertical="center" shrinkToFit="1"/>
    </xf>
    <xf numFmtId="0" fontId="10" fillId="0" borderId="0" xfId="0" applyFont="1" applyAlignment="1">
      <alignment horizontal="center" vertical="center"/>
    </xf>
    <xf numFmtId="0" fontId="6" fillId="0" borderId="7" xfId="0" applyFont="1" applyBorder="1" applyAlignment="1">
      <alignment vertical="center" wrapText="1" shrinkToFit="1"/>
    </xf>
    <xf numFmtId="0" fontId="6" fillId="0" borderId="8" xfId="0" applyFont="1" applyBorder="1" applyAlignment="1">
      <alignment vertical="center" shrinkToFit="1"/>
    </xf>
    <xf numFmtId="0" fontId="6" fillId="0" borderId="9" xfId="0" applyFont="1" applyBorder="1" applyAlignment="1">
      <alignment vertical="center" shrinkToFit="1"/>
    </xf>
    <xf numFmtId="0" fontId="6" fillId="0" borderId="5" xfId="0" applyFont="1" applyBorder="1" applyAlignment="1">
      <alignment vertical="center" shrinkToFit="1"/>
    </xf>
    <xf numFmtId="0" fontId="6" fillId="0" borderId="10" xfId="0" applyFont="1" applyBorder="1" applyAlignment="1">
      <alignment vertical="center" shrinkToFit="1"/>
    </xf>
    <xf numFmtId="0" fontId="6" fillId="0" borderId="11" xfId="0" applyFont="1" applyBorder="1" applyAlignment="1">
      <alignment vertical="center" shrinkToFit="1"/>
    </xf>
    <xf numFmtId="0" fontId="6" fillId="0" borderId="6" xfId="0" applyFont="1" applyBorder="1" applyAlignment="1">
      <alignment vertical="center" shrinkToFit="1"/>
    </xf>
    <xf numFmtId="0" fontId="6" fillId="0" borderId="12" xfId="0" applyFont="1" applyBorder="1" applyAlignment="1">
      <alignment vertical="center" shrinkToFit="1"/>
    </xf>
    <xf numFmtId="0" fontId="5" fillId="0" borderId="2" xfId="2" applyBorder="1" applyAlignment="1">
      <alignment vertical="center" shrinkToFit="1"/>
    </xf>
    <xf numFmtId="0" fontId="6" fillId="0" borderId="4" xfId="0" applyFont="1" applyBorder="1" applyAlignment="1">
      <alignment vertical="center" shrinkToFit="1"/>
    </xf>
    <xf numFmtId="0" fontId="17" fillId="0" borderId="48" xfId="0" applyFont="1" applyBorder="1" applyAlignment="1">
      <alignment vertical="center" wrapText="1"/>
    </xf>
    <xf numFmtId="0" fontId="17" fillId="0" borderId="32" xfId="0" applyFont="1" applyBorder="1" applyAlignment="1">
      <alignment vertical="center" wrapText="1"/>
    </xf>
    <xf numFmtId="0" fontId="6" fillId="0" borderId="8" xfId="0" applyFont="1" applyBorder="1" applyAlignment="1">
      <alignment horizontal="left" vertical="center" wrapText="1" shrinkToFit="1"/>
    </xf>
    <xf numFmtId="0" fontId="6" fillId="0" borderId="8" xfId="0" applyFont="1" applyBorder="1" applyAlignment="1">
      <alignment horizontal="left" vertical="center" shrinkToFit="1"/>
    </xf>
    <xf numFmtId="0" fontId="6" fillId="0" borderId="9" xfId="0" applyFont="1" applyBorder="1" applyAlignment="1">
      <alignment horizontal="left" vertical="center" shrinkToFit="1"/>
    </xf>
    <xf numFmtId="0" fontId="6" fillId="0" borderId="20" xfId="0" applyFont="1" applyBorder="1" applyAlignment="1">
      <alignment horizontal="left" vertical="center" wrapText="1" shrinkToFit="1"/>
    </xf>
    <xf numFmtId="0" fontId="6" fillId="0" borderId="20" xfId="0" applyFont="1" applyBorder="1" applyAlignment="1">
      <alignment horizontal="left" vertical="center" shrinkToFit="1"/>
    </xf>
    <xf numFmtId="0" fontId="6" fillId="0" borderId="18" xfId="0" applyFont="1" applyBorder="1" applyAlignment="1">
      <alignment horizontal="left" vertical="center" shrinkToFit="1"/>
    </xf>
    <xf numFmtId="0" fontId="17" fillId="0" borderId="49" xfId="0" applyFont="1" applyBorder="1" applyAlignment="1">
      <alignment vertical="center" wrapText="1"/>
    </xf>
    <xf numFmtId="0" fontId="6" fillId="0" borderId="39" xfId="0" applyFont="1" applyBorder="1" applyAlignment="1">
      <alignment vertical="center" wrapText="1" shrinkToFit="1"/>
    </xf>
    <xf numFmtId="0" fontId="6" fillId="0" borderId="39" xfId="0" applyFont="1" applyBorder="1" applyAlignment="1">
      <alignment vertical="center" shrinkToFit="1"/>
    </xf>
    <xf numFmtId="0" fontId="6" fillId="0" borderId="38" xfId="0" applyFont="1" applyBorder="1" applyAlignment="1">
      <alignment vertical="center" shrinkToFit="1"/>
    </xf>
    <xf numFmtId="0" fontId="6" fillId="0" borderId="19" xfId="0" applyFont="1" applyBorder="1" applyAlignment="1">
      <alignment vertical="center" wrapText="1" shrinkToFit="1"/>
    </xf>
    <xf numFmtId="0" fontId="6" fillId="0" borderId="20" xfId="0" applyFont="1" applyBorder="1" applyAlignment="1">
      <alignment vertical="center" shrinkToFit="1"/>
    </xf>
    <xf numFmtId="0" fontId="6" fillId="0" borderId="18" xfId="0" applyFont="1" applyBorder="1" applyAlignment="1">
      <alignment vertical="center" shrinkToFit="1"/>
    </xf>
    <xf numFmtId="0" fontId="6" fillId="0" borderId="6" xfId="0" applyFont="1" applyBorder="1" applyAlignment="1">
      <alignment vertical="center" wrapText="1" shrinkToFit="1"/>
    </xf>
    <xf numFmtId="0" fontId="6" fillId="0" borderId="39" xfId="0" applyFont="1" applyBorder="1" applyAlignment="1">
      <alignment horizontal="left" vertical="center" wrapText="1" shrinkToFit="1"/>
    </xf>
    <xf numFmtId="0" fontId="6" fillId="0" borderId="39" xfId="0" applyFont="1" applyBorder="1" applyAlignment="1">
      <alignment horizontal="left" vertical="center" shrinkToFit="1"/>
    </xf>
    <xf numFmtId="0" fontId="6" fillId="0" borderId="38" xfId="0" applyFont="1" applyBorder="1" applyAlignment="1">
      <alignment horizontal="left" vertical="center" shrinkToFit="1"/>
    </xf>
    <xf numFmtId="0" fontId="6" fillId="0" borderId="41" xfId="0" applyFont="1" applyBorder="1" applyAlignment="1">
      <alignment horizontal="left" vertical="center" wrapText="1" shrinkToFit="1"/>
    </xf>
    <xf numFmtId="0" fontId="6" fillId="0" borderId="41" xfId="0" applyFont="1" applyBorder="1" applyAlignment="1">
      <alignment horizontal="left" vertical="center" shrinkToFit="1"/>
    </xf>
    <xf numFmtId="0" fontId="6" fillId="0" borderId="42" xfId="0" applyFont="1" applyBorder="1" applyAlignment="1">
      <alignment horizontal="left" vertical="center" shrinkToFit="1"/>
    </xf>
    <xf numFmtId="0" fontId="6" fillId="0" borderId="6" xfId="0" applyFont="1" applyBorder="1" applyAlignment="1">
      <alignment horizontal="left" vertical="center" wrapText="1" shrinkToFit="1"/>
    </xf>
    <xf numFmtId="0" fontId="6" fillId="0" borderId="6" xfId="0" applyFont="1" applyBorder="1" applyAlignment="1">
      <alignment horizontal="left" vertical="center" shrinkToFit="1"/>
    </xf>
    <xf numFmtId="0" fontId="6" fillId="0" borderId="12" xfId="0" applyFont="1" applyBorder="1" applyAlignment="1">
      <alignment horizontal="left" vertical="center" shrinkToFit="1"/>
    </xf>
    <xf numFmtId="0" fontId="6" fillId="0" borderId="40" xfId="0" applyFont="1" applyBorder="1" applyAlignment="1">
      <alignment vertical="center" shrinkToFit="1"/>
    </xf>
    <xf numFmtId="0" fontId="6" fillId="0" borderId="41" xfId="0" applyFont="1" applyBorder="1" applyAlignment="1">
      <alignment vertical="center" shrinkToFit="1"/>
    </xf>
    <xf numFmtId="0" fontId="6" fillId="0" borderId="42" xfId="0" applyFont="1" applyBorder="1" applyAlignment="1">
      <alignment vertical="center" shrinkToFit="1"/>
    </xf>
    <xf numFmtId="0" fontId="6" fillId="0" borderId="40" xfId="0" applyFont="1" applyBorder="1" applyAlignment="1">
      <alignment horizontal="center" vertical="center" shrinkToFit="1"/>
    </xf>
    <xf numFmtId="0" fontId="6" fillId="0" borderId="41" xfId="0" applyFont="1" applyBorder="1" applyAlignment="1">
      <alignment horizontal="center" vertical="center" shrinkToFit="1"/>
    </xf>
    <xf numFmtId="0" fontId="6" fillId="0" borderId="42" xfId="0" applyFont="1" applyBorder="1" applyAlignment="1">
      <alignment horizontal="center" vertical="center" shrinkToFit="1"/>
    </xf>
    <xf numFmtId="0" fontId="6" fillId="0" borderId="22" xfId="0" applyFont="1" applyBorder="1" applyAlignment="1">
      <alignment horizontal="left" vertical="center" wrapText="1" shrinkToFit="1"/>
    </xf>
    <xf numFmtId="0" fontId="6" fillId="0" borderId="22" xfId="0" applyFont="1" applyBorder="1" applyAlignment="1">
      <alignment horizontal="left" vertical="center" shrinkToFit="1"/>
    </xf>
    <xf numFmtId="0" fontId="6" fillId="0" borderId="21" xfId="0" applyFont="1" applyBorder="1" applyAlignment="1">
      <alignment horizontal="left" vertical="center" shrinkToFit="1"/>
    </xf>
    <xf numFmtId="0" fontId="6" fillId="0" borderId="19" xfId="0" applyFont="1" applyBorder="1" applyAlignment="1">
      <alignment vertical="center" shrinkToFit="1"/>
    </xf>
    <xf numFmtId="0" fontId="6" fillId="0" borderId="19" xfId="0" applyFont="1" applyBorder="1" applyAlignment="1">
      <alignment horizontal="center" vertical="center" shrinkToFit="1"/>
    </xf>
    <xf numFmtId="0" fontId="6" fillId="0" borderId="20" xfId="0" applyFont="1" applyBorder="1" applyAlignment="1">
      <alignment horizontal="center" vertical="center" shrinkToFit="1"/>
    </xf>
    <xf numFmtId="0" fontId="6" fillId="0" borderId="18" xfId="0" applyFont="1" applyBorder="1" applyAlignment="1">
      <alignment horizontal="center" vertical="center" shrinkToFit="1"/>
    </xf>
    <xf numFmtId="0" fontId="6" fillId="0" borderId="37" xfId="0" applyFont="1" applyBorder="1" applyAlignment="1">
      <alignment vertical="center" shrinkToFit="1"/>
    </xf>
    <xf numFmtId="0" fontId="6" fillId="0" borderId="37" xfId="0" applyFont="1" applyBorder="1" applyAlignment="1">
      <alignment horizontal="center" vertical="center" shrinkToFit="1"/>
    </xf>
    <xf numFmtId="0" fontId="6" fillId="0" borderId="39" xfId="0" applyFont="1" applyBorder="1" applyAlignment="1">
      <alignment horizontal="center" vertical="center" shrinkToFit="1"/>
    </xf>
    <xf numFmtId="0" fontId="6" fillId="0" borderId="38" xfId="0" applyFont="1" applyBorder="1" applyAlignment="1">
      <alignment horizontal="center" vertical="center" shrinkToFit="1"/>
    </xf>
    <xf numFmtId="0" fontId="6" fillId="0" borderId="40" xfId="0" applyFont="1" applyBorder="1" applyAlignment="1">
      <alignment horizontal="center" vertical="center"/>
    </xf>
    <xf numFmtId="0" fontId="6" fillId="0" borderId="41" xfId="0" applyFont="1" applyBorder="1" applyAlignment="1">
      <alignment horizontal="center" vertical="center"/>
    </xf>
    <xf numFmtId="0" fontId="6" fillId="0" borderId="42"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19" xfId="0" applyFont="1" applyBorder="1" applyAlignment="1">
      <alignment horizontal="center" vertical="center"/>
    </xf>
    <xf numFmtId="0" fontId="6" fillId="0" borderId="20" xfId="0" applyFont="1" applyBorder="1" applyAlignment="1">
      <alignment horizontal="center" vertical="center"/>
    </xf>
    <xf numFmtId="0" fontId="6" fillId="0" borderId="18" xfId="0" applyFont="1" applyBorder="1" applyAlignment="1">
      <alignment horizontal="center" vertical="center"/>
    </xf>
    <xf numFmtId="0" fontId="6" fillId="0" borderId="37" xfId="0" applyFont="1" applyBorder="1" applyAlignment="1">
      <alignment horizontal="center" vertical="center"/>
    </xf>
    <xf numFmtId="0" fontId="6" fillId="0" borderId="39" xfId="0" applyFont="1" applyBorder="1" applyAlignment="1">
      <alignment horizontal="center" vertical="center"/>
    </xf>
    <xf numFmtId="0" fontId="6" fillId="0" borderId="38" xfId="0" applyFont="1" applyBorder="1" applyAlignment="1">
      <alignment horizontal="center" vertical="center"/>
    </xf>
    <xf numFmtId="0" fontId="6" fillId="0" borderId="40" xfId="0" applyFont="1" applyBorder="1" applyAlignment="1">
      <alignment horizontal="left" vertical="center" shrinkToFit="1"/>
    </xf>
    <xf numFmtId="0" fontId="6" fillId="0" borderId="0" xfId="0" applyFont="1" applyAlignment="1">
      <alignment vertical="center" wrapText="1"/>
    </xf>
    <xf numFmtId="0" fontId="6" fillId="0" borderId="19" xfId="0" applyFont="1" applyBorder="1" applyAlignment="1">
      <alignment horizontal="left" vertical="center" shrinkToFit="1"/>
    </xf>
    <xf numFmtId="0" fontId="6" fillId="0" borderId="37" xfId="0" applyFont="1" applyBorder="1" applyAlignment="1">
      <alignment horizontal="left" vertical="center" shrinkToFit="1"/>
    </xf>
    <xf numFmtId="0" fontId="14" fillId="0" borderId="0" xfId="0" applyFont="1" applyAlignment="1">
      <alignment horizontal="center" vertical="center"/>
    </xf>
    <xf numFmtId="0" fontId="6" fillId="0" borderId="7" xfId="0" applyFont="1" applyBorder="1" applyAlignment="1">
      <alignment horizontal="left" vertical="top" shrinkToFit="1"/>
    </xf>
    <xf numFmtId="0" fontId="6" fillId="0" borderId="8" xfId="0" applyFont="1" applyBorder="1" applyAlignment="1">
      <alignment horizontal="left" vertical="top" shrinkToFit="1"/>
    </xf>
    <xf numFmtId="0" fontId="6" fillId="0" borderId="9" xfId="0" applyFont="1" applyBorder="1" applyAlignment="1">
      <alignment horizontal="left" vertical="top" shrinkToFit="1"/>
    </xf>
    <xf numFmtId="0" fontId="6" fillId="0" borderId="5" xfId="0" applyFont="1" applyBorder="1" applyAlignment="1">
      <alignment horizontal="left" vertical="top" shrinkToFit="1"/>
    </xf>
    <xf numFmtId="0" fontId="6" fillId="0" borderId="0" xfId="0" applyFont="1" applyAlignment="1">
      <alignment horizontal="left" vertical="top" shrinkToFit="1"/>
    </xf>
    <xf numFmtId="0" fontId="6" fillId="0" borderId="10" xfId="0" applyFont="1" applyBorder="1" applyAlignment="1">
      <alignment horizontal="left" vertical="top" shrinkToFit="1"/>
    </xf>
    <xf numFmtId="0" fontId="6" fillId="0" borderId="11" xfId="0" applyFont="1" applyBorder="1" applyAlignment="1">
      <alignment horizontal="left" vertical="top" shrinkToFit="1"/>
    </xf>
    <xf numFmtId="0" fontId="6" fillId="0" borderId="6" xfId="0" applyFont="1" applyBorder="1" applyAlignment="1">
      <alignment horizontal="left" vertical="top" shrinkToFit="1"/>
    </xf>
    <xf numFmtId="0" fontId="6" fillId="0" borderId="12" xfId="0" applyFont="1" applyBorder="1" applyAlignment="1">
      <alignment horizontal="left" vertical="top" shrinkToFit="1"/>
    </xf>
    <xf numFmtId="0" fontId="2" fillId="0" borderId="0" xfId="0" applyFont="1" applyAlignment="1">
      <alignment horizontal="right" vertical="center"/>
    </xf>
    <xf numFmtId="0" fontId="11"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2" fillId="0" borderId="8" xfId="0" applyFont="1" applyBorder="1" applyAlignment="1">
      <alignment horizontal="center" vertical="center" wrapText="1"/>
    </xf>
    <xf numFmtId="0" fontId="12" fillId="0" borderId="6" xfId="0" applyFont="1" applyBorder="1" applyAlignment="1">
      <alignment horizontal="center" vertical="center"/>
    </xf>
    <xf numFmtId="0" fontId="12" fillId="0" borderId="7" xfId="0" applyFont="1" applyBorder="1" applyAlignment="1">
      <alignment horizontal="center" vertical="center" wrapText="1"/>
    </xf>
    <xf numFmtId="0" fontId="12"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3" fillId="0" borderId="15" xfId="0" applyFont="1" applyBorder="1" applyAlignment="1">
      <alignment horizontal="center" vertical="center" wrapText="1"/>
    </xf>
    <xf numFmtId="0" fontId="13" fillId="0" borderId="13" xfId="0" applyFont="1" applyBorder="1" applyAlignment="1">
      <alignment horizontal="center" vertical="center"/>
    </xf>
    <xf numFmtId="0" fontId="12" fillId="0" borderId="9" xfId="0" applyFont="1" applyBorder="1" applyAlignment="1">
      <alignment horizontal="center" vertical="center"/>
    </xf>
    <xf numFmtId="0" fontId="12" fillId="0" borderId="12" xfId="0" applyFont="1" applyBorder="1" applyAlignment="1">
      <alignment horizontal="center" vertical="center"/>
    </xf>
    <xf numFmtId="0" fontId="6" fillId="0" borderId="7" xfId="0" applyFont="1" applyBorder="1" applyAlignment="1">
      <alignment vertical="top" wrapText="1" shrinkToFit="1"/>
    </xf>
    <xf numFmtId="0" fontId="6" fillId="0" borderId="8" xfId="0" applyFont="1" applyBorder="1" applyAlignment="1">
      <alignment vertical="top" wrapText="1" shrinkToFit="1"/>
    </xf>
    <xf numFmtId="0" fontId="6" fillId="0" borderId="9" xfId="0" applyFont="1" applyBorder="1" applyAlignment="1">
      <alignment vertical="top" wrapText="1" shrinkToFit="1"/>
    </xf>
    <xf numFmtId="0" fontId="6" fillId="0" borderId="5" xfId="0" applyFont="1" applyBorder="1" applyAlignment="1">
      <alignment vertical="top" wrapText="1" shrinkToFit="1"/>
    </xf>
    <xf numFmtId="0" fontId="6" fillId="0" borderId="0" xfId="0" applyFont="1" applyAlignment="1">
      <alignment vertical="top" wrapText="1" shrinkToFit="1"/>
    </xf>
    <xf numFmtId="0" fontId="6" fillId="0" borderId="10" xfId="0" applyFont="1" applyBorder="1" applyAlignment="1">
      <alignment vertical="top" wrapText="1" shrinkToFit="1"/>
    </xf>
    <xf numFmtId="0" fontId="6" fillId="0" borderId="11" xfId="0" applyFont="1" applyBorder="1" applyAlignment="1">
      <alignment vertical="top" wrapText="1" shrinkToFit="1"/>
    </xf>
    <xf numFmtId="0" fontId="6" fillId="0" borderId="6" xfId="0" applyFont="1" applyBorder="1" applyAlignment="1">
      <alignment vertical="top" wrapText="1" shrinkToFit="1"/>
    </xf>
    <xf numFmtId="0" fontId="6" fillId="0" borderId="12" xfId="0" applyFont="1" applyBorder="1" applyAlignment="1">
      <alignment vertical="top" wrapText="1" shrinkToFit="1"/>
    </xf>
    <xf numFmtId="0" fontId="6" fillId="0" borderId="8" xfId="0" applyFont="1" applyBorder="1" applyAlignment="1">
      <alignment vertical="top" shrinkToFit="1"/>
    </xf>
    <xf numFmtId="0" fontId="6" fillId="0" borderId="9" xfId="0" applyFont="1" applyBorder="1" applyAlignment="1">
      <alignment vertical="top" shrinkToFit="1"/>
    </xf>
    <xf numFmtId="0" fontId="6" fillId="0" borderId="5" xfId="0" applyFont="1" applyBorder="1" applyAlignment="1">
      <alignment vertical="top" shrinkToFit="1"/>
    </xf>
    <xf numFmtId="0" fontId="6" fillId="0" borderId="0" xfId="0" applyFont="1" applyAlignment="1">
      <alignment vertical="top" shrinkToFit="1"/>
    </xf>
    <xf numFmtId="0" fontId="6" fillId="0" borderId="10" xfId="0" applyFont="1" applyBorder="1" applyAlignment="1">
      <alignment vertical="top" shrinkToFit="1"/>
    </xf>
    <xf numFmtId="0" fontId="6" fillId="0" borderId="11" xfId="0" applyFont="1" applyBorder="1" applyAlignment="1">
      <alignment vertical="top" shrinkToFit="1"/>
    </xf>
    <xf numFmtId="0" fontId="6" fillId="0" borderId="6" xfId="0" applyFont="1" applyBorder="1" applyAlignment="1">
      <alignment vertical="top" shrinkToFit="1"/>
    </xf>
    <xf numFmtId="0" fontId="6" fillId="0" borderId="12" xfId="0" applyFont="1" applyBorder="1" applyAlignment="1">
      <alignment vertical="top" shrinkToFit="1"/>
    </xf>
    <xf numFmtId="0" fontId="6" fillId="0" borderId="6" xfId="0" applyFont="1" applyBorder="1">
      <alignment vertical="center"/>
    </xf>
    <xf numFmtId="0" fontId="6" fillId="0" borderId="16" xfId="0" applyFont="1" applyBorder="1" applyAlignment="1">
      <alignment vertical="top" wrapText="1" shrinkToFit="1"/>
    </xf>
    <xf numFmtId="0" fontId="6" fillId="0" borderId="22" xfId="0" applyFont="1" applyBorder="1" applyAlignment="1">
      <alignment vertical="top" shrinkToFit="1"/>
    </xf>
    <xf numFmtId="0" fontId="6" fillId="0" borderId="21" xfId="0" applyFont="1" applyBorder="1" applyAlignment="1">
      <alignment vertical="top" shrinkToFit="1"/>
    </xf>
    <xf numFmtId="0" fontId="20" fillId="0" borderId="7" xfId="0" applyFont="1" applyBorder="1" applyAlignment="1">
      <alignment vertical="top" wrapText="1" shrinkToFit="1"/>
    </xf>
    <xf numFmtId="0" fontId="7" fillId="0" borderId="17" xfId="0" applyFont="1" applyBorder="1">
      <alignment vertical="center"/>
    </xf>
    <xf numFmtId="0" fontId="16" fillId="0" borderId="18" xfId="0" applyFont="1" applyBorder="1">
      <alignment vertical="center"/>
    </xf>
    <xf numFmtId="0" fontId="6" fillId="0" borderId="19" xfId="0" applyFont="1" applyBorder="1" applyAlignment="1">
      <alignment vertical="top" wrapText="1" shrinkToFit="1"/>
    </xf>
    <xf numFmtId="0" fontId="6" fillId="0" borderId="20" xfId="0" applyFont="1" applyBorder="1" applyAlignment="1">
      <alignment vertical="top" wrapText="1" shrinkToFit="1"/>
    </xf>
    <xf numFmtId="0" fontId="6" fillId="0" borderId="18" xfId="0" applyFont="1" applyBorder="1" applyAlignment="1">
      <alignment vertical="top" wrapText="1" shrinkToFi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17" xfId="0" applyFont="1" applyBorder="1" applyAlignment="1">
      <alignment vertical="center" wrapText="1"/>
    </xf>
    <xf numFmtId="0" fontId="7" fillId="0" borderId="18" xfId="0" applyFont="1" applyBorder="1" applyAlignment="1">
      <alignment vertical="center" wrapText="1"/>
    </xf>
    <xf numFmtId="0" fontId="7" fillId="0" borderId="11" xfId="0" applyFont="1" applyBorder="1" applyAlignment="1">
      <alignment vertical="center" wrapText="1"/>
    </xf>
    <xf numFmtId="0" fontId="7" fillId="0" borderId="6" xfId="0" applyFont="1" applyBorder="1" applyAlignment="1">
      <alignment vertical="center" wrapText="1"/>
    </xf>
    <xf numFmtId="0" fontId="7" fillId="0" borderId="12" xfId="0" applyFont="1" applyBorder="1" applyAlignment="1">
      <alignment vertical="center" wrapText="1"/>
    </xf>
    <xf numFmtId="0" fontId="5" fillId="0" borderId="2" xfId="2" applyBorder="1" applyAlignment="1">
      <alignment horizontal="center" vertical="center" shrinkToFit="1"/>
    </xf>
    <xf numFmtId="0" fontId="21" fillId="0" borderId="3" xfId="2" applyFont="1" applyBorder="1" applyAlignment="1">
      <alignment horizontal="center" vertical="center" shrinkToFit="1"/>
    </xf>
    <xf numFmtId="0" fontId="21" fillId="0" borderId="4" xfId="2" applyFont="1" applyBorder="1" applyAlignment="1">
      <alignment horizontal="center" vertical="center" shrinkToFit="1"/>
    </xf>
    <xf numFmtId="0" fontId="7" fillId="0" borderId="19" xfId="0" applyFont="1" applyBorder="1" applyAlignment="1">
      <alignment vertical="center" wrapText="1"/>
    </xf>
    <xf numFmtId="0" fontId="7" fillId="0" borderId="20" xfId="0" applyFont="1" applyBorder="1" applyAlignment="1">
      <alignment vertical="center" wrapText="1"/>
    </xf>
    <xf numFmtId="0" fontId="3" fillId="0" borderId="0" xfId="0" applyFont="1" applyAlignment="1">
      <alignment horizontal="center" vertical="center"/>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wrapText="1" shrinkToFit="1"/>
    </xf>
    <xf numFmtId="0" fontId="3" fillId="0" borderId="5" xfId="0" applyFont="1" applyBorder="1" applyAlignment="1">
      <alignment vertical="top" wrapText="1" shrinkToFit="1"/>
    </xf>
    <xf numFmtId="0" fontId="3" fillId="0" borderId="0" xfId="0" applyFont="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mtanigu_seisa_dohto_ac_jp/Documents/&#25968;&#29702;&#12539;&#12487;&#12540;&#12479;&#12469;&#12452;&#12456;&#12531;&#12473;/&#30003;&#35531;&#27096;&#24335;&#23653;&#27508;/&#30003;&#35531;&#27096;&#24335;_0422v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様式１　大学等概要"/>
      <sheetName val="様式２　プログラムを構成する授業科目"/>
      <sheetName val="様式３　履修者等数の実績"/>
      <sheetName val="様式４　教育の質・履修者数を向上させるための体制・計画"/>
      <sheetName val="様式５　自己点検・評価"/>
      <sheetName val="様式６　特色ある取組"/>
    </sheetNames>
    <sheetDataSet>
      <sheetData sheetId="0"/>
      <sheetData sheetId="1"/>
      <sheetData sheetId="2">
        <row r="30">
          <cell r="D30">
            <v>1040</v>
          </cell>
        </row>
      </sheetData>
      <sheetData sheetId="3"/>
      <sheetData sheetId="4"/>
      <sheetData sheetId="5"/>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tosho@seisa.dohto.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seisadohto.ac.jp/introduction/data-scienc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eisadohto.ac.jp/introduction/data-science/"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A5934-9A7B-45D2-AB16-91C37FA0A3FA}">
  <dimension ref="A1:O45"/>
  <sheetViews>
    <sheetView tabSelected="1" view="pageBreakPreview" zoomScaleNormal="100" zoomScaleSheetLayoutView="100" workbookViewId="0"/>
  </sheetViews>
  <sheetFormatPr defaultColWidth="9" defaultRowHeight="18.75" customHeight="1" x14ac:dyDescent="0.15"/>
  <cols>
    <col min="1" max="1" width="3.375" style="5" customWidth="1"/>
    <col min="2" max="2" width="11.125" style="5" customWidth="1"/>
    <col min="3" max="8" width="6.625" style="5" customWidth="1"/>
    <col min="9" max="9" width="3.375" style="5" customWidth="1"/>
    <col min="10" max="10" width="10" style="5" customWidth="1"/>
    <col min="11" max="11" width="3.375" style="5" customWidth="1"/>
    <col min="12" max="12" width="7.625" style="5" customWidth="1"/>
    <col min="13" max="13" width="3.375" style="5" customWidth="1"/>
    <col min="14" max="14" width="4.5" style="5" customWidth="1"/>
    <col min="15" max="15" width="9" style="16"/>
    <col min="16" max="16384" width="9" style="4"/>
  </cols>
  <sheetData>
    <row r="1" spans="1:15" ht="24" customHeight="1" x14ac:dyDescent="0.15">
      <c r="M1" s="135" t="s">
        <v>25</v>
      </c>
      <c r="N1" s="135"/>
    </row>
    <row r="2" spans="1:15" ht="24" customHeight="1" x14ac:dyDescent="0.15">
      <c r="A2" s="138" t="s">
        <v>80</v>
      </c>
      <c r="B2" s="138"/>
      <c r="C2" s="138"/>
      <c r="D2" s="138"/>
      <c r="E2" s="138"/>
      <c r="F2" s="138"/>
      <c r="G2" s="138"/>
      <c r="H2" s="138"/>
      <c r="I2" s="138"/>
      <c r="J2" s="138"/>
      <c r="K2" s="138"/>
      <c r="L2" s="138"/>
      <c r="M2" s="138"/>
      <c r="N2" s="138"/>
    </row>
    <row r="3" spans="1:15" ht="24" customHeight="1" x14ac:dyDescent="0.15"/>
    <row r="4" spans="1:15" ht="24" customHeight="1" x14ac:dyDescent="0.15">
      <c r="A4" s="5" t="s">
        <v>6</v>
      </c>
      <c r="B4" s="5" t="s">
        <v>17</v>
      </c>
      <c r="C4" s="113" t="s">
        <v>181</v>
      </c>
      <c r="D4" s="114"/>
      <c r="E4" s="114"/>
      <c r="F4" s="114"/>
      <c r="G4" s="114"/>
      <c r="H4" s="114"/>
      <c r="I4" s="114"/>
      <c r="J4" s="114"/>
      <c r="K4" s="114"/>
      <c r="L4" s="114"/>
      <c r="M4" s="114"/>
      <c r="N4" s="115"/>
      <c r="O4" s="16" t="str">
        <f>IF(C4="","入力してください","")</f>
        <v/>
      </c>
    </row>
    <row r="5" spans="1:15" ht="7.5" customHeight="1" x14ac:dyDescent="0.15">
      <c r="E5" s="6"/>
      <c r="F5" s="50"/>
      <c r="G5" s="50"/>
      <c r="H5" s="50"/>
      <c r="I5" s="50"/>
      <c r="J5" s="50"/>
      <c r="K5" s="50"/>
      <c r="L5" s="50"/>
      <c r="M5" s="50"/>
      <c r="N5" s="50"/>
    </row>
    <row r="6" spans="1:15" ht="24" customHeight="1" x14ac:dyDescent="0.15">
      <c r="A6" s="5" t="s">
        <v>10</v>
      </c>
      <c r="B6" s="5" t="s">
        <v>49</v>
      </c>
      <c r="D6" s="113" t="s">
        <v>182</v>
      </c>
      <c r="E6" s="114"/>
      <c r="F6" s="114"/>
      <c r="G6" s="114"/>
      <c r="H6" s="115"/>
      <c r="I6" s="5" t="s">
        <v>83</v>
      </c>
      <c r="J6" s="50" t="s">
        <v>84</v>
      </c>
      <c r="K6" s="113" t="s">
        <v>149</v>
      </c>
      <c r="L6" s="114"/>
      <c r="M6" s="114"/>
      <c r="N6" s="115"/>
      <c r="O6" s="16" t="str">
        <f>IF(D6="","入力してください","")</f>
        <v/>
      </c>
    </row>
    <row r="7" spans="1:15" ht="7.5" customHeight="1" x14ac:dyDescent="0.15">
      <c r="E7" s="6"/>
      <c r="F7" s="50"/>
      <c r="G7" s="50"/>
      <c r="H7" s="50"/>
      <c r="I7" s="50"/>
      <c r="J7" s="50"/>
      <c r="K7" s="50"/>
      <c r="L7" s="50"/>
      <c r="M7" s="50"/>
      <c r="N7" s="50"/>
    </row>
    <row r="8" spans="1:15" ht="24" customHeight="1" x14ac:dyDescent="0.15">
      <c r="A8" s="5" t="s">
        <v>14</v>
      </c>
      <c r="B8" s="5" t="s">
        <v>46</v>
      </c>
      <c r="C8" s="113" t="s">
        <v>150</v>
      </c>
      <c r="D8" s="114"/>
      <c r="E8" s="114"/>
      <c r="F8" s="114"/>
      <c r="G8" s="114"/>
      <c r="H8" s="114"/>
      <c r="I8" s="114"/>
      <c r="J8" s="114"/>
      <c r="K8" s="114"/>
      <c r="L8" s="114"/>
      <c r="M8" s="114"/>
      <c r="N8" s="115"/>
      <c r="O8" s="16" t="str">
        <f>IF(C8="","入力してください","")</f>
        <v/>
      </c>
    </row>
    <row r="9" spans="1:15" ht="7.5" customHeight="1" x14ac:dyDescent="0.15">
      <c r="E9" s="6"/>
      <c r="F9" s="50"/>
      <c r="G9" s="50"/>
      <c r="H9" s="50"/>
      <c r="I9" s="50"/>
      <c r="J9" s="50"/>
      <c r="K9" s="50"/>
      <c r="L9" s="50"/>
      <c r="M9" s="50"/>
      <c r="N9" s="50"/>
    </row>
    <row r="10" spans="1:15" ht="24" customHeight="1" x14ac:dyDescent="0.15">
      <c r="A10" s="5" t="s">
        <v>12</v>
      </c>
      <c r="B10" s="5" t="s">
        <v>82</v>
      </c>
      <c r="E10" s="113" t="s">
        <v>151</v>
      </c>
      <c r="F10" s="114"/>
      <c r="G10" s="114"/>
      <c r="H10" s="114"/>
      <c r="I10" s="114"/>
      <c r="J10" s="114"/>
      <c r="K10" s="114"/>
      <c r="L10" s="114"/>
      <c r="M10" s="114"/>
      <c r="N10" s="115"/>
      <c r="O10" s="16" t="str">
        <f>IF(E10="","入力してください","")</f>
        <v/>
      </c>
    </row>
    <row r="11" spans="1:15" ht="7.5" customHeight="1" x14ac:dyDescent="0.15">
      <c r="B11" s="6"/>
      <c r="C11" s="6"/>
      <c r="D11" s="6"/>
      <c r="E11" s="6"/>
      <c r="F11" s="50"/>
      <c r="G11" s="50"/>
      <c r="H11" s="50"/>
      <c r="I11" s="50"/>
      <c r="J11" s="50"/>
      <c r="K11" s="50"/>
      <c r="L11" s="50"/>
      <c r="M11" s="50"/>
      <c r="N11" s="50"/>
    </row>
    <row r="12" spans="1:15" ht="24" customHeight="1" x14ac:dyDescent="0.15">
      <c r="A12" s="5" t="s">
        <v>15</v>
      </c>
      <c r="B12" s="6" t="s">
        <v>56</v>
      </c>
      <c r="C12" s="6"/>
      <c r="D12" s="6"/>
      <c r="E12" s="128" t="s">
        <v>152</v>
      </c>
      <c r="F12" s="130"/>
      <c r="G12" s="5" t="s">
        <v>93</v>
      </c>
      <c r="H12" s="5" t="s">
        <v>94</v>
      </c>
      <c r="N12" s="80" t="s">
        <v>153</v>
      </c>
      <c r="O12" s="16" t="str">
        <f>IF(E12="","入力してください","")</f>
        <v/>
      </c>
    </row>
    <row r="13" spans="1:15" ht="7.5" customHeight="1" x14ac:dyDescent="0.15">
      <c r="B13" s="6"/>
      <c r="C13" s="6"/>
      <c r="D13" s="6"/>
      <c r="E13" s="6"/>
      <c r="F13" s="50"/>
      <c r="G13" s="50"/>
      <c r="H13" s="50"/>
      <c r="I13" s="50"/>
      <c r="J13" s="50"/>
      <c r="K13" s="50"/>
      <c r="L13" s="50"/>
      <c r="M13" s="50"/>
      <c r="N13" s="50"/>
    </row>
    <row r="14" spans="1:15" ht="24" customHeight="1" x14ac:dyDescent="0.15">
      <c r="A14" s="5" t="s">
        <v>52</v>
      </c>
      <c r="B14" s="5" t="s">
        <v>0</v>
      </c>
      <c r="C14" s="135" t="s">
        <v>5</v>
      </c>
      <c r="D14" s="136"/>
      <c r="E14" s="125">
        <v>67</v>
      </c>
      <c r="F14" s="126"/>
      <c r="G14" s="7" t="s">
        <v>8</v>
      </c>
      <c r="I14" s="135" t="s">
        <v>9</v>
      </c>
      <c r="J14" s="136"/>
      <c r="K14" s="125">
        <v>43</v>
      </c>
      <c r="L14" s="137"/>
      <c r="M14" s="126"/>
      <c r="N14" s="8" t="s">
        <v>8</v>
      </c>
      <c r="O14" s="16" t="str">
        <f>IF(OR(E14="",K14=""),"入力してください","")</f>
        <v/>
      </c>
    </row>
    <row r="15" spans="1:15" ht="7.5" customHeight="1" x14ac:dyDescent="0.15">
      <c r="M15" s="8"/>
      <c r="N15" s="8"/>
    </row>
    <row r="16" spans="1:15" ht="24" customHeight="1" x14ac:dyDescent="0.15">
      <c r="A16" s="5" t="s">
        <v>57</v>
      </c>
      <c r="B16" s="5" t="s">
        <v>67</v>
      </c>
      <c r="K16" s="128">
        <v>3</v>
      </c>
      <c r="L16" s="129"/>
      <c r="M16" s="130"/>
      <c r="N16" s="8" t="s">
        <v>8</v>
      </c>
      <c r="O16" s="16" t="str">
        <f>IF(K16="","入力してください","")</f>
        <v/>
      </c>
    </row>
    <row r="17" spans="1:15" ht="7.5" customHeight="1" x14ac:dyDescent="0.15">
      <c r="M17" s="8"/>
      <c r="N17" s="8"/>
    </row>
    <row r="18" spans="1:15" ht="24" customHeight="1" x14ac:dyDescent="0.15">
      <c r="A18" s="5" t="s">
        <v>24</v>
      </c>
      <c r="B18" s="5" t="s">
        <v>74</v>
      </c>
      <c r="E18" s="125">
        <v>260</v>
      </c>
      <c r="F18" s="126"/>
      <c r="G18" s="84" t="s">
        <v>22</v>
      </c>
      <c r="K18" s="131"/>
      <c r="L18" s="131"/>
      <c r="M18" s="131"/>
      <c r="N18" s="131"/>
      <c r="O18" s="16" t="str">
        <f>IF(E18="","入力してください","")</f>
        <v/>
      </c>
    </row>
    <row r="19" spans="1:15" ht="7.5" customHeight="1" x14ac:dyDescent="0.15">
      <c r="E19" s="85"/>
      <c r="L19" s="14"/>
      <c r="M19" s="14"/>
      <c r="N19" s="8"/>
    </row>
    <row r="20" spans="1:15" ht="24" customHeight="1" x14ac:dyDescent="0.15">
      <c r="A20" s="5" t="s">
        <v>73</v>
      </c>
      <c r="B20" s="5" t="s">
        <v>75</v>
      </c>
      <c r="E20" s="85"/>
      <c r="H20" s="5" t="s">
        <v>51</v>
      </c>
      <c r="J20" s="132">
        <v>963</v>
      </c>
      <c r="K20" s="133"/>
      <c r="L20" s="134"/>
      <c r="M20" s="14" t="s">
        <v>8</v>
      </c>
      <c r="N20" s="8"/>
      <c r="O20" s="16" t="str">
        <f>IF(J20="","入力してください","")</f>
        <v/>
      </c>
    </row>
    <row r="21" spans="1:15" ht="7.5" customHeight="1" x14ac:dyDescent="0.15">
      <c r="E21" s="85"/>
      <c r="L21" s="14"/>
      <c r="M21" s="14"/>
      <c r="N21" s="8"/>
    </row>
    <row r="22" spans="1:15" ht="24" customHeight="1" x14ac:dyDescent="0.15">
      <c r="B22" s="14" t="s">
        <v>18</v>
      </c>
      <c r="C22" s="125">
        <v>291</v>
      </c>
      <c r="D22" s="126"/>
      <c r="E22" s="85" t="s">
        <v>8</v>
      </c>
      <c r="G22" s="127" t="s">
        <v>19</v>
      </c>
      <c r="H22" s="127"/>
      <c r="I22" s="125">
        <v>273</v>
      </c>
      <c r="J22" s="126"/>
      <c r="K22" s="5" t="s">
        <v>8</v>
      </c>
      <c r="M22" s="14"/>
      <c r="N22" s="8"/>
    </row>
    <row r="23" spans="1:15" ht="7.5" customHeight="1" x14ac:dyDescent="0.15">
      <c r="B23" s="14"/>
      <c r="C23" s="3"/>
      <c r="D23" s="3"/>
      <c r="E23" s="85"/>
      <c r="G23" s="14"/>
      <c r="H23" s="14"/>
      <c r="I23" s="3"/>
      <c r="J23" s="3"/>
      <c r="M23" s="14"/>
      <c r="N23" s="8"/>
    </row>
    <row r="24" spans="1:15" ht="24" customHeight="1" x14ac:dyDescent="0.15">
      <c r="B24" s="14" t="s">
        <v>20</v>
      </c>
      <c r="C24" s="125">
        <v>203</v>
      </c>
      <c r="D24" s="126"/>
      <c r="E24" s="85" t="s">
        <v>8</v>
      </c>
      <c r="G24" s="127" t="s">
        <v>21</v>
      </c>
      <c r="H24" s="127"/>
      <c r="I24" s="125">
        <v>196</v>
      </c>
      <c r="J24" s="126"/>
      <c r="K24" s="5" t="s">
        <v>8</v>
      </c>
      <c r="M24" s="14"/>
      <c r="N24" s="8"/>
    </row>
    <row r="25" spans="1:15" ht="7.5" customHeight="1" x14ac:dyDescent="0.15">
      <c r="B25" s="14"/>
      <c r="C25" s="3"/>
      <c r="D25" s="3"/>
      <c r="E25" s="85"/>
      <c r="G25" s="14"/>
      <c r="H25" s="14"/>
      <c r="I25" s="3"/>
      <c r="J25" s="3"/>
      <c r="M25" s="14"/>
      <c r="N25" s="8"/>
    </row>
    <row r="26" spans="1:15" ht="24" customHeight="1" x14ac:dyDescent="0.15">
      <c r="B26" s="14" t="s">
        <v>47</v>
      </c>
      <c r="C26" s="125"/>
      <c r="D26" s="126"/>
      <c r="E26" s="85" t="s">
        <v>8</v>
      </c>
      <c r="G26" s="127" t="s">
        <v>48</v>
      </c>
      <c r="H26" s="127"/>
      <c r="I26" s="125"/>
      <c r="J26" s="126"/>
      <c r="K26" s="5" t="s">
        <v>8</v>
      </c>
      <c r="M26" s="14"/>
      <c r="N26" s="8"/>
    </row>
    <row r="27" spans="1:15" ht="7.5" customHeight="1" x14ac:dyDescent="0.15">
      <c r="M27" s="9"/>
      <c r="N27" s="9"/>
    </row>
    <row r="28" spans="1:15" ht="24" customHeight="1" x14ac:dyDescent="0.15">
      <c r="A28" s="5" t="s">
        <v>50</v>
      </c>
      <c r="B28" s="5" t="s">
        <v>72</v>
      </c>
      <c r="G28" s="50"/>
      <c r="H28" s="50"/>
      <c r="I28" s="50"/>
      <c r="J28" s="10"/>
      <c r="K28" s="10"/>
      <c r="L28" s="10"/>
      <c r="M28" s="10"/>
      <c r="N28" s="10"/>
    </row>
    <row r="29" spans="1:15" s="5" customFormat="1" ht="24" customHeight="1" x14ac:dyDescent="0.15">
      <c r="B29" s="122" t="s">
        <v>71</v>
      </c>
      <c r="C29" s="122"/>
      <c r="D29" s="113" t="s">
        <v>154</v>
      </c>
      <c r="E29" s="114"/>
      <c r="F29" s="114"/>
      <c r="G29" s="123" t="s">
        <v>23</v>
      </c>
      <c r="H29" s="122"/>
      <c r="I29" s="124"/>
      <c r="J29" s="113" t="s">
        <v>155</v>
      </c>
      <c r="K29" s="114"/>
      <c r="L29" s="114"/>
      <c r="M29" s="114"/>
      <c r="N29" s="115"/>
      <c r="O29" s="16" t="str">
        <f>IF(OR(D29="",J29=""),"入力してください","")</f>
        <v/>
      </c>
    </row>
    <row r="30" spans="1:15" ht="7.5" customHeight="1" x14ac:dyDescent="0.15">
      <c r="M30" s="9"/>
      <c r="N30" s="9"/>
    </row>
    <row r="31" spans="1:15" ht="24" customHeight="1" x14ac:dyDescent="0.15">
      <c r="A31" s="5" t="s">
        <v>53</v>
      </c>
      <c r="B31" s="5" t="s">
        <v>77</v>
      </c>
      <c r="G31" s="10"/>
      <c r="H31" s="10"/>
      <c r="I31" s="10"/>
      <c r="J31" s="10"/>
      <c r="K31" s="10"/>
      <c r="L31" s="10"/>
      <c r="M31" s="10"/>
      <c r="N31" s="10"/>
    </row>
    <row r="32" spans="1:15" ht="24" customHeight="1" x14ac:dyDescent="0.15">
      <c r="B32" s="113" t="s">
        <v>156</v>
      </c>
      <c r="C32" s="114"/>
      <c r="D32" s="114"/>
      <c r="E32" s="114"/>
      <c r="F32" s="114"/>
      <c r="G32" s="114"/>
      <c r="H32" s="114"/>
      <c r="I32" s="114"/>
      <c r="J32" s="114"/>
      <c r="K32" s="114"/>
      <c r="L32" s="114"/>
      <c r="M32" s="114"/>
      <c r="N32" s="115"/>
      <c r="O32" s="16" t="str">
        <f>IF(B32="","入力してください","")</f>
        <v/>
      </c>
    </row>
    <row r="33" spans="1:15" ht="7.5" customHeight="1" x14ac:dyDescent="0.15">
      <c r="B33" s="83"/>
      <c r="C33" s="83"/>
      <c r="D33" s="83"/>
      <c r="E33" s="83"/>
      <c r="F33" s="83"/>
      <c r="G33" s="83"/>
      <c r="H33" s="83"/>
      <c r="I33" s="83"/>
      <c r="J33" s="83"/>
      <c r="K33" s="83"/>
      <c r="L33" s="83"/>
      <c r="M33" s="83"/>
      <c r="N33" s="83"/>
    </row>
    <row r="34" spans="1:15" s="5" customFormat="1" ht="24" customHeight="1" x14ac:dyDescent="0.15">
      <c r="B34" s="122" t="s">
        <v>71</v>
      </c>
      <c r="C34" s="122"/>
      <c r="D34" s="113" t="s">
        <v>161</v>
      </c>
      <c r="E34" s="114"/>
      <c r="F34" s="114"/>
      <c r="G34" s="123" t="s">
        <v>23</v>
      </c>
      <c r="H34" s="122"/>
      <c r="I34" s="124"/>
      <c r="J34" s="113" t="s">
        <v>183</v>
      </c>
      <c r="K34" s="114"/>
      <c r="L34" s="114"/>
      <c r="M34" s="114"/>
      <c r="N34" s="115"/>
      <c r="O34" s="16" t="str">
        <f>IF(OR(D34="",J34=""),"入力してください","")</f>
        <v/>
      </c>
    </row>
    <row r="35" spans="1:15" ht="7.5" customHeight="1" x14ac:dyDescent="0.15">
      <c r="F35" s="50"/>
      <c r="G35" s="50"/>
      <c r="H35" s="50"/>
      <c r="I35" s="50"/>
      <c r="J35" s="50"/>
      <c r="K35" s="50"/>
      <c r="L35" s="50"/>
      <c r="M35" s="50"/>
      <c r="N35" s="50"/>
    </row>
    <row r="36" spans="1:15" ht="24" customHeight="1" x14ac:dyDescent="0.15">
      <c r="A36" s="5" t="s">
        <v>58</v>
      </c>
      <c r="B36" s="5" t="s">
        <v>78</v>
      </c>
      <c r="M36" s="9"/>
      <c r="N36" s="9"/>
    </row>
    <row r="37" spans="1:15" ht="24" customHeight="1" x14ac:dyDescent="0.15">
      <c r="B37" s="113" t="s">
        <v>184</v>
      </c>
      <c r="C37" s="114"/>
      <c r="D37" s="114"/>
      <c r="E37" s="114"/>
      <c r="F37" s="114"/>
      <c r="G37" s="114"/>
      <c r="H37" s="114"/>
      <c r="I37" s="114"/>
      <c r="J37" s="114"/>
      <c r="K37" s="114"/>
      <c r="L37" s="114"/>
      <c r="M37" s="114"/>
      <c r="N37" s="115"/>
      <c r="O37" s="16" t="str">
        <f>IF(B37="","入力してください","")</f>
        <v/>
      </c>
    </row>
    <row r="38" spans="1:15" ht="7.5" customHeight="1" x14ac:dyDescent="0.15">
      <c r="F38" s="50"/>
      <c r="G38" s="50"/>
      <c r="H38" s="50"/>
      <c r="I38" s="50"/>
      <c r="J38" s="50"/>
      <c r="K38" s="50"/>
      <c r="L38" s="50"/>
      <c r="M38" s="50"/>
      <c r="N38" s="50"/>
    </row>
    <row r="39" spans="1:15" s="5" customFormat="1" ht="24" customHeight="1" x14ac:dyDescent="0.15">
      <c r="B39" s="122" t="s">
        <v>71</v>
      </c>
      <c r="C39" s="122"/>
      <c r="D39" s="113" t="s">
        <v>185</v>
      </c>
      <c r="E39" s="114"/>
      <c r="F39" s="114"/>
      <c r="G39" s="123" t="s">
        <v>23</v>
      </c>
      <c r="H39" s="122"/>
      <c r="I39" s="124"/>
      <c r="J39" s="113" t="s">
        <v>196</v>
      </c>
      <c r="K39" s="114"/>
      <c r="L39" s="114"/>
      <c r="M39" s="114"/>
      <c r="N39" s="115"/>
      <c r="O39" s="16" t="str">
        <f>IF(OR(D39="",J39=""),"入力してください","")</f>
        <v/>
      </c>
    </row>
    <row r="40" spans="1:15" ht="7.5" customHeight="1" x14ac:dyDescent="0.15">
      <c r="F40" s="50"/>
      <c r="G40" s="50"/>
      <c r="H40" s="50"/>
      <c r="I40" s="50"/>
      <c r="J40" s="50"/>
      <c r="K40" s="50"/>
      <c r="L40" s="50"/>
      <c r="M40" s="50"/>
      <c r="N40" s="50"/>
    </row>
    <row r="41" spans="1:15" ht="24" customHeight="1" x14ac:dyDescent="0.15">
      <c r="A41" s="5" t="s">
        <v>85</v>
      </c>
      <c r="B41" s="5" t="s">
        <v>66</v>
      </c>
      <c r="E41" s="48"/>
      <c r="F41" s="113" t="s">
        <v>157</v>
      </c>
      <c r="G41" s="114"/>
      <c r="H41" s="114"/>
      <c r="I41" s="114"/>
      <c r="J41" s="114"/>
      <c r="K41" s="114"/>
      <c r="L41" s="114"/>
      <c r="M41" s="114"/>
      <c r="N41" s="115"/>
      <c r="O41" s="16" t="str">
        <f>IF(F41="","入力してください","")</f>
        <v/>
      </c>
    </row>
    <row r="42" spans="1:15" ht="7.5" customHeight="1" x14ac:dyDescent="0.15">
      <c r="F42" s="50"/>
      <c r="G42" s="50"/>
      <c r="H42" s="50"/>
      <c r="I42" s="50"/>
      <c r="J42" s="50"/>
      <c r="K42" s="50"/>
      <c r="L42" s="50"/>
      <c r="M42" s="50"/>
      <c r="N42" s="50"/>
    </row>
    <row r="43" spans="1:15" ht="24" customHeight="1" x14ac:dyDescent="0.15">
      <c r="A43" s="5" t="s">
        <v>95</v>
      </c>
    </row>
    <row r="44" spans="1:15" ht="24" customHeight="1" x14ac:dyDescent="0.15">
      <c r="B44" s="15" t="s">
        <v>1</v>
      </c>
      <c r="C44" s="111" t="s">
        <v>158</v>
      </c>
      <c r="D44" s="112"/>
      <c r="E44" s="112"/>
      <c r="F44" s="112"/>
      <c r="G44" s="112"/>
      <c r="H44" s="112"/>
      <c r="I44" s="12" t="s">
        <v>2</v>
      </c>
      <c r="J44" s="13"/>
      <c r="K44" s="113" t="s">
        <v>159</v>
      </c>
      <c r="L44" s="114"/>
      <c r="M44" s="114"/>
      <c r="N44" s="115"/>
      <c r="O44" s="16" t="str">
        <f>IF(OR(C44="",K44=""),"入力してください","")</f>
        <v/>
      </c>
    </row>
    <row r="45" spans="1:15" ht="24" customHeight="1" x14ac:dyDescent="0.15">
      <c r="B45" s="11" t="s">
        <v>4</v>
      </c>
      <c r="C45" s="116" t="s">
        <v>186</v>
      </c>
      <c r="D45" s="117"/>
      <c r="E45" s="117"/>
      <c r="F45" s="117"/>
      <c r="G45" s="117"/>
      <c r="H45" s="118"/>
      <c r="I45" s="12" t="s">
        <v>3</v>
      </c>
      <c r="J45" s="13"/>
      <c r="K45" s="119" t="s">
        <v>160</v>
      </c>
      <c r="L45" s="120"/>
      <c r="M45" s="120"/>
      <c r="N45" s="121"/>
      <c r="O45" s="16" t="str">
        <f>IF(OR(C45="",K45=""),"入力してください","")</f>
        <v/>
      </c>
    </row>
  </sheetData>
  <mergeCells count="44">
    <mergeCell ref="C8:N8"/>
    <mergeCell ref="M1:N1"/>
    <mergeCell ref="A2:N2"/>
    <mergeCell ref="C4:N4"/>
    <mergeCell ref="D6:H6"/>
    <mergeCell ref="K6:N6"/>
    <mergeCell ref="E10:N10"/>
    <mergeCell ref="E12:F12"/>
    <mergeCell ref="C14:D14"/>
    <mergeCell ref="E14:F14"/>
    <mergeCell ref="I14:J14"/>
    <mergeCell ref="K14:M14"/>
    <mergeCell ref="K16:M16"/>
    <mergeCell ref="E18:F18"/>
    <mergeCell ref="K18:N18"/>
    <mergeCell ref="J20:L20"/>
    <mergeCell ref="C22:D22"/>
    <mergeCell ref="G22:H22"/>
    <mergeCell ref="I22:J22"/>
    <mergeCell ref="B34:C34"/>
    <mergeCell ref="D34:F34"/>
    <mergeCell ref="G34:I34"/>
    <mergeCell ref="J34:N34"/>
    <mergeCell ref="C24:D24"/>
    <mergeCell ref="G24:H24"/>
    <mergeCell ref="I24:J24"/>
    <mergeCell ref="C26:D26"/>
    <mergeCell ref="G26:H26"/>
    <mergeCell ref="I26:J26"/>
    <mergeCell ref="B29:C29"/>
    <mergeCell ref="D29:F29"/>
    <mergeCell ref="G29:I29"/>
    <mergeCell ref="J29:N29"/>
    <mergeCell ref="B32:N32"/>
    <mergeCell ref="C44:H44"/>
    <mergeCell ref="K44:N44"/>
    <mergeCell ref="C45:H45"/>
    <mergeCell ref="K45:N45"/>
    <mergeCell ref="B37:N37"/>
    <mergeCell ref="B39:C39"/>
    <mergeCell ref="D39:F39"/>
    <mergeCell ref="G39:I39"/>
    <mergeCell ref="J39:N39"/>
    <mergeCell ref="F41:N41"/>
  </mergeCells>
  <phoneticPr fontId="1"/>
  <dataValidations count="3">
    <dataValidation type="list" allowBlank="1" showInputMessage="1" showErrorMessage="1" sqref="F41:N41" xr:uid="{4216C92D-C5C5-4A87-98CB-898DC8E2D7FD}">
      <formula1>"認定教育プログラム,認定教育プログラム+（プラス）,認定教育プログラムと認定教育プログラム+（プラス）"</formula1>
    </dataValidation>
    <dataValidation type="list" allowBlank="1" showInputMessage="1" showErrorMessage="1" sqref="N12" xr:uid="{ED3DEAB9-0896-4155-8B0F-C87A6D3C9C72}">
      <formula1>"有,無"</formula1>
    </dataValidation>
    <dataValidation type="list" allowBlank="1" showInputMessage="1" showErrorMessage="1" sqref="K6" xr:uid="{47539A51-4EC2-4778-944F-63178FA62F3D}">
      <formula1>"国立大学, 公立大学, 私立大学, 短期大学, 高等専門学校, その他"</formula1>
    </dataValidation>
  </dataValidations>
  <hyperlinks>
    <hyperlink ref="C45" r:id="rId1" xr:uid="{F45425AC-4A55-410C-8A55-FB2C1F420920}"/>
  </hyperlinks>
  <printOptions horizontalCentered="1"/>
  <pageMargins left="0.78740157480314965" right="0.78740157480314965" top="0.78740157480314965" bottom="0.39370078740157483" header="0.31496062992125984" footer="0.31496062992125984"/>
  <pageSetup paperSize="9" scale="92"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426F7-F180-46A5-B1A2-DA86DE5C908C}">
  <dimension ref="A1:Z98"/>
  <sheetViews>
    <sheetView showZeros="0" view="pageBreakPreview" zoomScaleNormal="100" zoomScaleSheetLayoutView="100" workbookViewId="0"/>
  </sheetViews>
  <sheetFormatPr defaultColWidth="9" defaultRowHeight="18.75" customHeight="1" x14ac:dyDescent="0.15"/>
  <cols>
    <col min="1" max="1" width="2.5" style="5" customWidth="1"/>
    <col min="2" max="2" width="27.625" style="5" customWidth="1"/>
    <col min="3" max="13" width="3.375" style="5" customWidth="1"/>
    <col min="14" max="14" width="8.875" style="5" customWidth="1"/>
    <col min="15" max="15" width="18.875" style="5" customWidth="1"/>
    <col min="16" max="19" width="3.375" style="5" customWidth="1"/>
    <col min="20" max="20" width="3.5" style="5" customWidth="1"/>
    <col min="21" max="26" width="3.375" style="5" customWidth="1"/>
    <col min="27" max="16384" width="9" style="5"/>
  </cols>
  <sheetData>
    <row r="1" spans="1:26" ht="15" customHeight="1" x14ac:dyDescent="0.15">
      <c r="W1" s="135" t="s">
        <v>191</v>
      </c>
      <c r="X1" s="135"/>
      <c r="Y1" s="135"/>
      <c r="Z1" s="135"/>
    </row>
    <row r="2" spans="1:26" ht="18" customHeight="1" x14ac:dyDescent="0.15">
      <c r="A2" s="207" t="s">
        <v>64</v>
      </c>
      <c r="B2" s="207"/>
      <c r="C2" s="207"/>
      <c r="D2" s="207"/>
      <c r="E2" s="207"/>
      <c r="F2" s="207"/>
      <c r="G2" s="207"/>
      <c r="H2" s="207"/>
      <c r="I2" s="207"/>
      <c r="J2" s="207"/>
      <c r="K2" s="207"/>
      <c r="L2" s="207"/>
      <c r="M2" s="207"/>
      <c r="N2" s="207"/>
      <c r="O2" s="207"/>
      <c r="P2" s="207"/>
      <c r="Q2" s="207"/>
      <c r="R2" s="207"/>
      <c r="S2" s="207"/>
      <c r="T2" s="207"/>
      <c r="U2" s="207"/>
      <c r="V2" s="207"/>
      <c r="W2" s="207"/>
      <c r="X2" s="207"/>
      <c r="Y2" s="207"/>
      <c r="Z2" s="207"/>
    </row>
    <row r="3" spans="1:26" ht="15" customHeight="1" x14ac:dyDescent="0.15">
      <c r="B3" s="86"/>
      <c r="C3" s="86"/>
      <c r="D3" s="86"/>
      <c r="E3" s="86"/>
      <c r="F3" s="86"/>
      <c r="G3" s="86"/>
      <c r="H3" s="86"/>
      <c r="I3" s="86"/>
      <c r="J3" s="86"/>
      <c r="K3" s="86"/>
      <c r="L3" s="86"/>
      <c r="M3" s="86"/>
      <c r="N3" s="86"/>
      <c r="O3" s="86"/>
      <c r="P3" s="86"/>
      <c r="Q3" s="86"/>
      <c r="R3" s="86"/>
      <c r="S3" s="86"/>
      <c r="T3" s="86"/>
      <c r="U3" s="86"/>
      <c r="V3" s="86"/>
      <c r="W3" s="86"/>
      <c r="X3" s="86"/>
      <c r="Y3" s="86"/>
      <c r="Z3" s="86"/>
    </row>
    <row r="4" spans="1:26" ht="18" customHeight="1" x14ac:dyDescent="0.15">
      <c r="A4" s="5" t="s">
        <v>96</v>
      </c>
      <c r="B4" s="86"/>
      <c r="C4" s="86"/>
      <c r="D4" s="86"/>
      <c r="E4" s="86"/>
      <c r="F4" s="86"/>
      <c r="G4" s="86"/>
      <c r="H4" s="5" t="s">
        <v>109</v>
      </c>
      <c r="I4" s="86"/>
      <c r="J4" s="86"/>
      <c r="K4" s="86"/>
      <c r="L4" s="86"/>
      <c r="M4" s="86"/>
      <c r="N4" s="86"/>
      <c r="O4" s="128" t="s">
        <v>162</v>
      </c>
      <c r="P4" s="129"/>
      <c r="Q4" s="129"/>
      <c r="R4" s="129"/>
      <c r="S4" s="129"/>
      <c r="T4" s="129"/>
      <c r="U4" s="129"/>
      <c r="V4" s="129"/>
      <c r="W4" s="129"/>
      <c r="X4" s="129"/>
      <c r="Y4" s="129"/>
      <c r="Z4" s="130"/>
    </row>
    <row r="5" spans="1:26" ht="6" customHeight="1" x14ac:dyDescent="0.15">
      <c r="B5" s="86"/>
      <c r="C5" s="86"/>
      <c r="D5" s="86"/>
      <c r="E5" s="86"/>
      <c r="F5" s="86"/>
      <c r="G5" s="86"/>
      <c r="H5" s="86"/>
      <c r="I5" s="86"/>
      <c r="J5" s="86"/>
      <c r="K5" s="86"/>
      <c r="L5" s="86"/>
      <c r="M5" s="86"/>
      <c r="N5" s="86"/>
      <c r="O5" s="6"/>
      <c r="P5" s="86"/>
      <c r="Q5" s="86"/>
      <c r="R5" s="86"/>
      <c r="S5" s="86"/>
      <c r="T5" s="86"/>
      <c r="U5" s="86"/>
      <c r="V5" s="86"/>
      <c r="W5" s="86"/>
      <c r="X5" s="86"/>
      <c r="Y5" s="86"/>
      <c r="Z5" s="86"/>
    </row>
    <row r="6" spans="1:26" ht="18" customHeight="1" x14ac:dyDescent="0.15">
      <c r="B6" s="208" t="s">
        <v>163</v>
      </c>
      <c r="C6" s="209"/>
      <c r="D6" s="209"/>
      <c r="E6" s="209"/>
      <c r="F6" s="209"/>
      <c r="G6" s="209"/>
      <c r="H6" s="209"/>
      <c r="I6" s="209"/>
      <c r="J6" s="209"/>
      <c r="K6" s="209"/>
      <c r="L6" s="209"/>
      <c r="M6" s="209"/>
      <c r="N6" s="209"/>
      <c r="O6" s="209"/>
      <c r="P6" s="209"/>
      <c r="Q6" s="209"/>
      <c r="R6" s="209"/>
      <c r="S6" s="209"/>
      <c r="T6" s="209"/>
      <c r="U6" s="209"/>
      <c r="V6" s="209"/>
      <c r="W6" s="209"/>
      <c r="X6" s="209"/>
      <c r="Y6" s="209"/>
      <c r="Z6" s="210"/>
    </row>
    <row r="7" spans="1:26" ht="18" customHeight="1" x14ac:dyDescent="0.15">
      <c r="B7" s="211"/>
      <c r="C7" s="212"/>
      <c r="D7" s="212"/>
      <c r="E7" s="212"/>
      <c r="F7" s="212"/>
      <c r="G7" s="212"/>
      <c r="H7" s="212"/>
      <c r="I7" s="212"/>
      <c r="J7" s="212"/>
      <c r="K7" s="212"/>
      <c r="L7" s="212"/>
      <c r="M7" s="212"/>
      <c r="N7" s="212"/>
      <c r="O7" s="212"/>
      <c r="P7" s="212"/>
      <c r="Q7" s="212"/>
      <c r="R7" s="212"/>
      <c r="S7" s="212"/>
      <c r="T7" s="212"/>
      <c r="U7" s="212"/>
      <c r="V7" s="212"/>
      <c r="W7" s="212"/>
      <c r="X7" s="212"/>
      <c r="Y7" s="212"/>
      <c r="Z7" s="213"/>
    </row>
    <row r="8" spans="1:26" ht="18" customHeight="1" x14ac:dyDescent="0.15">
      <c r="B8" s="211"/>
      <c r="C8" s="212"/>
      <c r="D8" s="212"/>
      <c r="E8" s="212"/>
      <c r="F8" s="212"/>
      <c r="G8" s="212"/>
      <c r="H8" s="212"/>
      <c r="I8" s="212"/>
      <c r="J8" s="212"/>
      <c r="K8" s="212"/>
      <c r="L8" s="212"/>
      <c r="M8" s="212"/>
      <c r="N8" s="212"/>
      <c r="O8" s="212"/>
      <c r="P8" s="212"/>
      <c r="Q8" s="212"/>
      <c r="R8" s="212"/>
      <c r="S8" s="212"/>
      <c r="T8" s="212"/>
      <c r="U8" s="212"/>
      <c r="V8" s="212"/>
      <c r="W8" s="212"/>
      <c r="X8" s="212"/>
      <c r="Y8" s="212"/>
      <c r="Z8" s="213"/>
    </row>
    <row r="9" spans="1:26" ht="18" customHeight="1" x14ac:dyDescent="0.15">
      <c r="B9" s="211"/>
      <c r="C9" s="212"/>
      <c r="D9" s="212"/>
      <c r="E9" s="212"/>
      <c r="F9" s="212"/>
      <c r="G9" s="212"/>
      <c r="H9" s="212"/>
      <c r="I9" s="212"/>
      <c r="J9" s="212"/>
      <c r="K9" s="212"/>
      <c r="L9" s="212"/>
      <c r="M9" s="212"/>
      <c r="N9" s="212"/>
      <c r="O9" s="212"/>
      <c r="P9" s="212"/>
      <c r="Q9" s="212"/>
      <c r="R9" s="212"/>
      <c r="S9" s="212"/>
      <c r="T9" s="212"/>
      <c r="U9" s="212"/>
      <c r="V9" s="212"/>
      <c r="W9" s="212"/>
      <c r="X9" s="212"/>
      <c r="Y9" s="212"/>
      <c r="Z9" s="213"/>
    </row>
    <row r="10" spans="1:26" ht="18" customHeight="1" x14ac:dyDescent="0.15">
      <c r="B10" s="211"/>
      <c r="C10" s="212"/>
      <c r="D10" s="212"/>
      <c r="E10" s="212"/>
      <c r="F10" s="212"/>
      <c r="G10" s="212"/>
      <c r="H10" s="212"/>
      <c r="I10" s="212"/>
      <c r="J10" s="212"/>
      <c r="K10" s="212"/>
      <c r="L10" s="212"/>
      <c r="M10" s="212"/>
      <c r="N10" s="212"/>
      <c r="O10" s="212"/>
      <c r="P10" s="212"/>
      <c r="Q10" s="212"/>
      <c r="R10" s="212"/>
      <c r="S10" s="212"/>
      <c r="T10" s="212"/>
      <c r="U10" s="212"/>
      <c r="V10" s="212"/>
      <c r="W10" s="212"/>
      <c r="X10" s="212"/>
      <c r="Y10" s="212"/>
      <c r="Z10" s="213"/>
    </row>
    <row r="11" spans="1:26" ht="18" customHeight="1" x14ac:dyDescent="0.15">
      <c r="B11" s="214"/>
      <c r="C11" s="215"/>
      <c r="D11" s="215"/>
      <c r="E11" s="215"/>
      <c r="F11" s="215"/>
      <c r="G11" s="215"/>
      <c r="H11" s="215"/>
      <c r="I11" s="215"/>
      <c r="J11" s="215"/>
      <c r="K11" s="215"/>
      <c r="L11" s="215"/>
      <c r="M11" s="215"/>
      <c r="N11" s="215"/>
      <c r="O11" s="215"/>
      <c r="P11" s="215"/>
      <c r="Q11" s="215"/>
      <c r="R11" s="215"/>
      <c r="S11" s="215"/>
      <c r="T11" s="215"/>
      <c r="U11" s="215"/>
      <c r="V11" s="215"/>
      <c r="W11" s="215"/>
      <c r="X11" s="215"/>
      <c r="Y11" s="215"/>
      <c r="Z11" s="216"/>
    </row>
    <row r="12" spans="1:26" ht="7.5" customHeight="1" x14ac:dyDescent="0.15">
      <c r="B12" s="86"/>
      <c r="C12" s="86"/>
      <c r="D12" s="86"/>
      <c r="E12" s="86"/>
      <c r="F12" s="86"/>
      <c r="G12" s="86"/>
      <c r="H12" s="86"/>
      <c r="I12" s="86"/>
      <c r="J12" s="86"/>
      <c r="K12" s="86"/>
      <c r="L12" s="86"/>
      <c r="M12" s="86"/>
      <c r="N12" s="86"/>
      <c r="O12" s="86"/>
      <c r="P12" s="86"/>
      <c r="Q12" s="86"/>
      <c r="R12" s="86"/>
      <c r="S12" s="86"/>
      <c r="T12" s="86"/>
      <c r="U12" s="86"/>
      <c r="V12" s="86"/>
      <c r="W12" s="86"/>
      <c r="X12" s="86"/>
      <c r="Y12" s="86"/>
      <c r="Z12" s="86"/>
    </row>
    <row r="13" spans="1:26" ht="18" customHeight="1" x14ac:dyDescent="0.15">
      <c r="A13" s="204" t="s">
        <v>122</v>
      </c>
      <c r="B13" s="204"/>
      <c r="C13" s="204"/>
      <c r="D13" s="204"/>
      <c r="E13" s="204"/>
      <c r="F13" s="204"/>
      <c r="G13" s="204"/>
      <c r="H13" s="204"/>
      <c r="I13" s="204"/>
      <c r="J13" s="204"/>
      <c r="K13" s="204"/>
      <c r="L13" s="204"/>
      <c r="M13" s="204"/>
      <c r="N13" s="204"/>
      <c r="O13" s="204"/>
      <c r="P13" s="204"/>
      <c r="Q13" s="204"/>
      <c r="R13" s="204"/>
      <c r="S13" s="204"/>
      <c r="T13" s="204"/>
      <c r="U13" s="204"/>
      <c r="V13" s="204"/>
      <c r="W13" s="204"/>
      <c r="X13" s="204"/>
      <c r="Y13" s="204"/>
      <c r="Z13" s="204"/>
    </row>
    <row r="14" spans="1:26" ht="18" customHeight="1" x14ac:dyDescent="0.15">
      <c r="A14" s="204"/>
      <c r="B14" s="204"/>
      <c r="C14" s="204"/>
      <c r="D14" s="204"/>
      <c r="E14" s="204"/>
      <c r="F14" s="204"/>
      <c r="G14" s="204"/>
      <c r="H14" s="204"/>
      <c r="I14" s="204"/>
      <c r="J14" s="204"/>
      <c r="K14" s="204"/>
      <c r="L14" s="204"/>
      <c r="M14" s="204"/>
      <c r="N14" s="204"/>
      <c r="O14" s="204"/>
      <c r="P14" s="204"/>
      <c r="Q14" s="204"/>
      <c r="R14" s="204"/>
      <c r="S14" s="204"/>
      <c r="T14" s="204"/>
      <c r="U14" s="204"/>
      <c r="V14" s="204"/>
      <c r="W14" s="204"/>
      <c r="X14" s="204"/>
      <c r="Y14" s="204"/>
      <c r="Z14" s="204"/>
    </row>
    <row r="15" spans="1:26" ht="18" customHeight="1" x14ac:dyDescent="0.15">
      <c r="B15" s="128" t="s">
        <v>97</v>
      </c>
      <c r="C15" s="129"/>
      <c r="D15" s="129"/>
      <c r="E15" s="129"/>
      <c r="F15" s="130"/>
      <c r="G15" s="15" t="s">
        <v>138</v>
      </c>
      <c r="H15" s="75" t="s">
        <v>137</v>
      </c>
      <c r="I15" s="129" t="s">
        <v>98</v>
      </c>
      <c r="J15" s="129"/>
      <c r="K15" s="129"/>
      <c r="L15" s="49" t="s">
        <v>101</v>
      </c>
      <c r="M15" s="49" t="s">
        <v>104</v>
      </c>
      <c r="N15" s="128" t="s">
        <v>97</v>
      </c>
      <c r="O15" s="129"/>
      <c r="P15" s="129"/>
      <c r="Q15" s="129"/>
      <c r="R15" s="129"/>
      <c r="S15" s="130"/>
      <c r="T15" s="15" t="s">
        <v>138</v>
      </c>
      <c r="U15" s="75" t="s">
        <v>137</v>
      </c>
      <c r="V15" s="129" t="s">
        <v>98</v>
      </c>
      <c r="W15" s="129"/>
      <c r="X15" s="129"/>
      <c r="Y15" s="49" t="s">
        <v>101</v>
      </c>
      <c r="Z15" s="49" t="s">
        <v>104</v>
      </c>
    </row>
    <row r="16" spans="1:26" ht="18" customHeight="1" x14ac:dyDescent="0.15">
      <c r="B16" s="206" t="s">
        <v>164</v>
      </c>
      <c r="C16" s="166"/>
      <c r="D16" s="166"/>
      <c r="E16" s="166"/>
      <c r="F16" s="167"/>
      <c r="G16" s="76">
        <v>1</v>
      </c>
      <c r="H16" s="76" t="s">
        <v>165</v>
      </c>
      <c r="I16" s="200" t="s">
        <v>166</v>
      </c>
      <c r="J16" s="201"/>
      <c r="K16" s="202"/>
      <c r="L16" s="76" t="s">
        <v>165</v>
      </c>
      <c r="M16" s="76" t="s">
        <v>165</v>
      </c>
      <c r="N16" s="187"/>
      <c r="O16" s="159"/>
      <c r="P16" s="159"/>
      <c r="Q16" s="159"/>
      <c r="R16" s="159"/>
      <c r="S16" s="160"/>
      <c r="T16" s="76"/>
      <c r="U16" s="76"/>
      <c r="V16" s="200"/>
      <c r="W16" s="201"/>
      <c r="X16" s="202"/>
      <c r="Y16" s="76"/>
      <c r="Z16" s="76"/>
    </row>
    <row r="17" spans="1:26" ht="18" customHeight="1" x14ac:dyDescent="0.15">
      <c r="B17" s="205"/>
      <c r="C17" s="155"/>
      <c r="D17" s="155"/>
      <c r="E17" s="155"/>
      <c r="F17" s="156"/>
      <c r="G17" s="77"/>
      <c r="H17" s="77"/>
      <c r="I17" s="197"/>
      <c r="J17" s="198"/>
      <c r="K17" s="199"/>
      <c r="L17" s="77"/>
      <c r="M17" s="77"/>
      <c r="N17" s="183"/>
      <c r="O17" s="162"/>
      <c r="P17" s="162"/>
      <c r="Q17" s="162"/>
      <c r="R17" s="162"/>
      <c r="S17" s="163"/>
      <c r="T17" s="77"/>
      <c r="U17" s="77"/>
      <c r="V17" s="197"/>
      <c r="W17" s="198"/>
      <c r="X17" s="199"/>
      <c r="Y17" s="77"/>
      <c r="Z17" s="77"/>
    </row>
    <row r="18" spans="1:26" ht="18" customHeight="1" x14ac:dyDescent="0.15">
      <c r="B18" s="205"/>
      <c r="C18" s="155"/>
      <c r="D18" s="155"/>
      <c r="E18" s="155"/>
      <c r="F18" s="156"/>
      <c r="G18" s="77"/>
      <c r="H18" s="77"/>
      <c r="I18" s="197"/>
      <c r="J18" s="198"/>
      <c r="K18" s="199"/>
      <c r="L18" s="77"/>
      <c r="M18" s="77"/>
      <c r="N18" s="183"/>
      <c r="O18" s="162"/>
      <c r="P18" s="162"/>
      <c r="Q18" s="162"/>
      <c r="R18" s="162"/>
      <c r="S18" s="163"/>
      <c r="T18" s="77"/>
      <c r="U18" s="77"/>
      <c r="V18" s="197"/>
      <c r="W18" s="198"/>
      <c r="X18" s="199"/>
      <c r="Y18" s="77"/>
      <c r="Z18" s="77"/>
    </row>
    <row r="19" spans="1:26" ht="18" customHeight="1" x14ac:dyDescent="0.15">
      <c r="B19" s="205"/>
      <c r="C19" s="155"/>
      <c r="D19" s="155"/>
      <c r="E19" s="155"/>
      <c r="F19" s="156"/>
      <c r="G19" s="77"/>
      <c r="H19" s="77"/>
      <c r="I19" s="197"/>
      <c r="J19" s="198"/>
      <c r="K19" s="199"/>
      <c r="L19" s="77"/>
      <c r="M19" s="77"/>
      <c r="N19" s="183"/>
      <c r="O19" s="162"/>
      <c r="P19" s="162"/>
      <c r="Q19" s="162"/>
      <c r="R19" s="162"/>
      <c r="S19" s="163"/>
      <c r="T19" s="77"/>
      <c r="U19" s="77"/>
      <c r="V19" s="197"/>
      <c r="W19" s="198"/>
      <c r="X19" s="199"/>
      <c r="Y19" s="77"/>
      <c r="Z19" s="77"/>
    </row>
    <row r="20" spans="1:26" ht="18" customHeight="1" x14ac:dyDescent="0.15">
      <c r="B20" s="205"/>
      <c r="C20" s="155"/>
      <c r="D20" s="155"/>
      <c r="E20" s="155"/>
      <c r="F20" s="156"/>
      <c r="G20" s="77"/>
      <c r="H20" s="77"/>
      <c r="I20" s="197"/>
      <c r="J20" s="198"/>
      <c r="K20" s="199"/>
      <c r="L20" s="77"/>
      <c r="M20" s="77"/>
      <c r="N20" s="183"/>
      <c r="O20" s="162"/>
      <c r="P20" s="162"/>
      <c r="Q20" s="162"/>
      <c r="R20" s="162"/>
      <c r="S20" s="163"/>
      <c r="T20" s="77"/>
      <c r="U20" s="77"/>
      <c r="V20" s="197"/>
      <c r="W20" s="198"/>
      <c r="X20" s="199"/>
      <c r="Y20" s="77"/>
      <c r="Z20" s="77"/>
    </row>
    <row r="21" spans="1:26" ht="18" customHeight="1" x14ac:dyDescent="0.15">
      <c r="A21" s="86"/>
      <c r="B21" s="205"/>
      <c r="C21" s="155"/>
      <c r="D21" s="155"/>
      <c r="E21" s="155"/>
      <c r="F21" s="156"/>
      <c r="G21" s="77"/>
      <c r="H21" s="77"/>
      <c r="I21" s="197"/>
      <c r="J21" s="198"/>
      <c r="K21" s="199"/>
      <c r="L21" s="77"/>
      <c r="M21" s="77"/>
      <c r="N21" s="183"/>
      <c r="O21" s="162"/>
      <c r="P21" s="162"/>
      <c r="Q21" s="162"/>
      <c r="R21" s="162"/>
      <c r="S21" s="163"/>
      <c r="T21" s="77"/>
      <c r="U21" s="77"/>
      <c r="V21" s="197"/>
      <c r="W21" s="198"/>
      <c r="X21" s="199"/>
      <c r="Y21" s="77"/>
      <c r="Z21" s="77"/>
    </row>
    <row r="22" spans="1:26" ht="18" customHeight="1" x14ac:dyDescent="0.15">
      <c r="A22" s="86"/>
      <c r="B22" s="203"/>
      <c r="C22" s="169"/>
      <c r="D22" s="169"/>
      <c r="E22" s="169"/>
      <c r="F22" s="170"/>
      <c r="G22" s="78"/>
      <c r="H22" s="78"/>
      <c r="I22" s="191"/>
      <c r="J22" s="192"/>
      <c r="K22" s="193"/>
      <c r="L22" s="81"/>
      <c r="M22" s="81"/>
      <c r="N22" s="174"/>
      <c r="O22" s="175"/>
      <c r="P22" s="175"/>
      <c r="Q22" s="175"/>
      <c r="R22" s="175"/>
      <c r="S22" s="176"/>
      <c r="T22" s="78"/>
      <c r="U22" s="78"/>
      <c r="V22" s="191"/>
      <c r="W22" s="192"/>
      <c r="X22" s="193"/>
      <c r="Y22" s="81"/>
      <c r="Z22" s="81"/>
    </row>
    <row r="23" spans="1:26" ht="7.5" customHeight="1" x14ac:dyDescent="0.15">
      <c r="A23" s="86"/>
      <c r="B23" s="87"/>
      <c r="C23" s="87"/>
      <c r="D23" s="86"/>
      <c r="E23" s="86"/>
      <c r="F23" s="86"/>
      <c r="G23" s="86"/>
      <c r="H23" s="86"/>
      <c r="I23" s="86"/>
      <c r="J23" s="86"/>
      <c r="K23" s="86"/>
      <c r="L23" s="87"/>
      <c r="M23" s="87"/>
      <c r="N23" s="87"/>
      <c r="O23" s="87"/>
      <c r="P23" s="87"/>
      <c r="Q23" s="87"/>
      <c r="R23" s="87"/>
      <c r="S23" s="87"/>
      <c r="T23" s="87"/>
      <c r="U23" s="87"/>
      <c r="V23" s="87"/>
      <c r="W23" s="87"/>
      <c r="X23" s="87"/>
      <c r="Y23" s="87"/>
      <c r="Z23" s="86"/>
    </row>
    <row r="24" spans="1:26" ht="18" customHeight="1" x14ac:dyDescent="0.15">
      <c r="A24" s="204" t="s">
        <v>123</v>
      </c>
      <c r="B24" s="204"/>
      <c r="C24" s="204"/>
      <c r="D24" s="204"/>
      <c r="E24" s="204"/>
      <c r="F24" s="204"/>
      <c r="G24" s="204"/>
      <c r="H24" s="204"/>
      <c r="I24" s="204"/>
      <c r="J24" s="204"/>
      <c r="K24" s="204"/>
      <c r="L24" s="204"/>
      <c r="M24" s="204"/>
      <c r="N24" s="204"/>
      <c r="O24" s="204"/>
      <c r="P24" s="204"/>
      <c r="Q24" s="204"/>
      <c r="R24" s="204"/>
      <c r="S24" s="204"/>
      <c r="T24" s="204"/>
      <c r="U24" s="204"/>
      <c r="V24" s="204"/>
      <c r="W24" s="204"/>
      <c r="X24" s="204"/>
      <c r="Y24" s="204"/>
      <c r="Z24" s="204"/>
    </row>
    <row r="25" spans="1:26" ht="18" customHeight="1" x14ac:dyDescent="0.15">
      <c r="A25" s="204"/>
      <c r="B25" s="204"/>
      <c r="C25" s="204"/>
      <c r="D25" s="204"/>
      <c r="E25" s="204"/>
      <c r="F25" s="204"/>
      <c r="G25" s="204"/>
      <c r="H25" s="204"/>
      <c r="I25" s="204"/>
      <c r="J25" s="204"/>
      <c r="K25" s="204"/>
      <c r="L25" s="204"/>
      <c r="M25" s="204"/>
      <c r="N25" s="204"/>
      <c r="O25" s="204"/>
      <c r="P25" s="204"/>
      <c r="Q25" s="204"/>
      <c r="R25" s="204"/>
      <c r="S25" s="204"/>
      <c r="T25" s="204"/>
      <c r="U25" s="204"/>
      <c r="V25" s="204"/>
      <c r="W25" s="204"/>
      <c r="X25" s="204"/>
      <c r="Y25" s="204"/>
      <c r="Z25" s="204"/>
    </row>
    <row r="26" spans="1:26" ht="18" customHeight="1" x14ac:dyDescent="0.15">
      <c r="B26" s="128" t="s">
        <v>97</v>
      </c>
      <c r="C26" s="129"/>
      <c r="D26" s="129"/>
      <c r="E26" s="129"/>
      <c r="F26" s="130"/>
      <c r="G26" s="15" t="s">
        <v>138</v>
      </c>
      <c r="H26" s="75" t="s">
        <v>137</v>
      </c>
      <c r="I26" s="129" t="s">
        <v>98</v>
      </c>
      <c r="J26" s="129"/>
      <c r="K26" s="129"/>
      <c r="L26" s="49" t="s">
        <v>124</v>
      </c>
      <c r="M26" s="49" t="s">
        <v>125</v>
      </c>
      <c r="N26" s="128" t="s">
        <v>97</v>
      </c>
      <c r="O26" s="129"/>
      <c r="P26" s="129"/>
      <c r="Q26" s="129"/>
      <c r="R26" s="129"/>
      <c r="S26" s="130"/>
      <c r="T26" s="15" t="s">
        <v>138</v>
      </c>
      <c r="U26" s="75" t="s">
        <v>137</v>
      </c>
      <c r="V26" s="129" t="s">
        <v>98</v>
      </c>
      <c r="W26" s="129"/>
      <c r="X26" s="129"/>
      <c r="Y26" s="49" t="s">
        <v>124</v>
      </c>
      <c r="Z26" s="49" t="s">
        <v>125</v>
      </c>
    </row>
    <row r="27" spans="1:26" ht="18" customHeight="1" x14ac:dyDescent="0.15">
      <c r="B27" s="206" t="s">
        <v>164</v>
      </c>
      <c r="C27" s="166"/>
      <c r="D27" s="166"/>
      <c r="E27" s="166"/>
      <c r="F27" s="167"/>
      <c r="G27" s="76">
        <v>1</v>
      </c>
      <c r="H27" s="76" t="s">
        <v>165</v>
      </c>
      <c r="I27" s="200" t="s">
        <v>166</v>
      </c>
      <c r="J27" s="201"/>
      <c r="K27" s="202"/>
      <c r="L27" s="76" t="s">
        <v>165</v>
      </c>
      <c r="M27" s="76" t="s">
        <v>165</v>
      </c>
      <c r="N27" s="187"/>
      <c r="O27" s="159"/>
      <c r="P27" s="159"/>
      <c r="Q27" s="159"/>
      <c r="R27" s="159"/>
      <c r="S27" s="160"/>
      <c r="T27" s="76"/>
      <c r="U27" s="76"/>
      <c r="V27" s="200"/>
      <c r="W27" s="201"/>
      <c r="X27" s="202"/>
      <c r="Y27" s="76"/>
      <c r="Z27" s="76"/>
    </row>
    <row r="28" spans="1:26" ht="18" customHeight="1" x14ac:dyDescent="0.15">
      <c r="B28" s="205"/>
      <c r="C28" s="155"/>
      <c r="D28" s="155"/>
      <c r="E28" s="155"/>
      <c r="F28" s="156"/>
      <c r="G28" s="77"/>
      <c r="H28" s="77"/>
      <c r="I28" s="197"/>
      <c r="J28" s="198"/>
      <c r="K28" s="199"/>
      <c r="L28" s="77"/>
      <c r="M28" s="77"/>
      <c r="N28" s="183"/>
      <c r="O28" s="162"/>
      <c r="P28" s="162"/>
      <c r="Q28" s="162"/>
      <c r="R28" s="162"/>
      <c r="S28" s="163"/>
      <c r="T28" s="77"/>
      <c r="U28" s="77"/>
      <c r="V28" s="197"/>
      <c r="W28" s="198"/>
      <c r="X28" s="199"/>
      <c r="Y28" s="77"/>
      <c r="Z28" s="77"/>
    </row>
    <row r="29" spans="1:26" ht="18" customHeight="1" x14ac:dyDescent="0.15">
      <c r="B29" s="205"/>
      <c r="C29" s="155"/>
      <c r="D29" s="155"/>
      <c r="E29" s="155"/>
      <c r="F29" s="156"/>
      <c r="G29" s="77"/>
      <c r="H29" s="77"/>
      <c r="I29" s="197"/>
      <c r="J29" s="198"/>
      <c r="K29" s="199"/>
      <c r="L29" s="77"/>
      <c r="M29" s="77"/>
      <c r="N29" s="183"/>
      <c r="O29" s="162"/>
      <c r="P29" s="162"/>
      <c r="Q29" s="162"/>
      <c r="R29" s="162"/>
      <c r="S29" s="163"/>
      <c r="T29" s="77"/>
      <c r="U29" s="77"/>
      <c r="V29" s="197"/>
      <c r="W29" s="198"/>
      <c r="X29" s="199"/>
      <c r="Y29" s="77"/>
      <c r="Z29" s="77"/>
    </row>
    <row r="30" spans="1:26" ht="18" customHeight="1" x14ac:dyDescent="0.15">
      <c r="B30" s="205"/>
      <c r="C30" s="155"/>
      <c r="D30" s="155"/>
      <c r="E30" s="155"/>
      <c r="F30" s="156"/>
      <c r="G30" s="77"/>
      <c r="H30" s="77"/>
      <c r="I30" s="197"/>
      <c r="J30" s="198"/>
      <c r="K30" s="199"/>
      <c r="L30" s="77"/>
      <c r="M30" s="77"/>
      <c r="N30" s="183"/>
      <c r="O30" s="162"/>
      <c r="P30" s="162"/>
      <c r="Q30" s="162"/>
      <c r="R30" s="162"/>
      <c r="S30" s="163"/>
      <c r="T30" s="77"/>
      <c r="U30" s="77"/>
      <c r="V30" s="197"/>
      <c r="W30" s="198"/>
      <c r="X30" s="199"/>
      <c r="Y30" s="77"/>
      <c r="Z30" s="77"/>
    </row>
    <row r="31" spans="1:26" ht="18" customHeight="1" x14ac:dyDescent="0.15">
      <c r="B31" s="205"/>
      <c r="C31" s="155"/>
      <c r="D31" s="155"/>
      <c r="E31" s="155"/>
      <c r="F31" s="156"/>
      <c r="G31" s="77"/>
      <c r="H31" s="77"/>
      <c r="I31" s="197"/>
      <c r="J31" s="198"/>
      <c r="K31" s="199"/>
      <c r="L31" s="77"/>
      <c r="M31" s="77"/>
      <c r="N31" s="183"/>
      <c r="O31" s="162"/>
      <c r="P31" s="162"/>
      <c r="Q31" s="162"/>
      <c r="R31" s="162"/>
      <c r="S31" s="163"/>
      <c r="T31" s="77"/>
      <c r="U31" s="77"/>
      <c r="V31" s="197"/>
      <c r="W31" s="198"/>
      <c r="X31" s="199"/>
      <c r="Y31" s="77"/>
      <c r="Z31" s="77"/>
    </row>
    <row r="32" spans="1:26" ht="18" customHeight="1" x14ac:dyDescent="0.15">
      <c r="B32" s="205"/>
      <c r="C32" s="155"/>
      <c r="D32" s="155"/>
      <c r="E32" s="155"/>
      <c r="F32" s="156"/>
      <c r="G32" s="77"/>
      <c r="H32" s="77"/>
      <c r="I32" s="197"/>
      <c r="J32" s="198"/>
      <c r="K32" s="199"/>
      <c r="L32" s="77"/>
      <c r="M32" s="77"/>
      <c r="N32" s="183"/>
      <c r="O32" s="162"/>
      <c r="P32" s="162"/>
      <c r="Q32" s="162"/>
      <c r="R32" s="162"/>
      <c r="S32" s="163"/>
      <c r="T32" s="77"/>
      <c r="U32" s="77"/>
      <c r="V32" s="197"/>
      <c r="W32" s="198"/>
      <c r="X32" s="199"/>
      <c r="Y32" s="77"/>
      <c r="Z32" s="77"/>
    </row>
    <row r="33" spans="1:26" ht="18" customHeight="1" x14ac:dyDescent="0.15">
      <c r="B33" s="203"/>
      <c r="C33" s="169"/>
      <c r="D33" s="169"/>
      <c r="E33" s="169"/>
      <c r="F33" s="170"/>
      <c r="G33" s="78"/>
      <c r="H33" s="78"/>
      <c r="I33" s="191"/>
      <c r="J33" s="192"/>
      <c r="K33" s="193"/>
      <c r="L33" s="81"/>
      <c r="M33" s="81"/>
      <c r="N33" s="174"/>
      <c r="O33" s="175"/>
      <c r="P33" s="175"/>
      <c r="Q33" s="175"/>
      <c r="R33" s="175"/>
      <c r="S33" s="176"/>
      <c r="T33" s="78"/>
      <c r="U33" s="78"/>
      <c r="V33" s="191"/>
      <c r="W33" s="192"/>
      <c r="X33" s="193"/>
      <c r="Y33" s="81"/>
      <c r="Z33" s="81"/>
    </row>
    <row r="34" spans="1:26" ht="7.5" customHeight="1" x14ac:dyDescent="0.15">
      <c r="A34" s="86"/>
      <c r="B34" s="87"/>
      <c r="C34" s="87"/>
      <c r="D34" s="86"/>
      <c r="E34" s="86"/>
      <c r="F34" s="86"/>
      <c r="G34" s="86"/>
      <c r="H34" s="86"/>
      <c r="I34" s="86"/>
      <c r="J34" s="86"/>
      <c r="K34" s="86"/>
      <c r="L34" s="87"/>
      <c r="M34" s="87"/>
      <c r="N34" s="87"/>
      <c r="O34" s="87"/>
      <c r="P34" s="87"/>
      <c r="Q34" s="87"/>
      <c r="R34" s="87"/>
      <c r="S34" s="87"/>
      <c r="T34" s="87"/>
      <c r="U34" s="87"/>
      <c r="V34" s="87"/>
      <c r="W34" s="87"/>
      <c r="X34" s="87"/>
      <c r="Y34" s="87"/>
      <c r="Z34" s="86"/>
    </row>
    <row r="35" spans="1:26" ht="18" customHeight="1" x14ac:dyDescent="0.15">
      <c r="A35" s="204" t="s">
        <v>126</v>
      </c>
      <c r="B35" s="204"/>
      <c r="C35" s="204"/>
      <c r="D35" s="204"/>
      <c r="E35" s="204"/>
      <c r="F35" s="204"/>
      <c r="G35" s="204"/>
      <c r="H35" s="204"/>
      <c r="I35" s="204"/>
      <c r="J35" s="204"/>
      <c r="K35" s="204"/>
      <c r="L35" s="204"/>
      <c r="M35" s="204"/>
      <c r="N35" s="204"/>
      <c r="O35" s="204"/>
      <c r="P35" s="204"/>
      <c r="Q35" s="204"/>
      <c r="R35" s="204"/>
      <c r="S35" s="204"/>
      <c r="T35" s="204"/>
      <c r="U35" s="204"/>
      <c r="V35" s="204"/>
      <c r="W35" s="204"/>
      <c r="X35" s="204"/>
      <c r="Y35" s="204"/>
      <c r="Z35" s="204"/>
    </row>
    <row r="36" spans="1:26" ht="18" customHeight="1" x14ac:dyDescent="0.15">
      <c r="A36" s="204"/>
      <c r="B36" s="204"/>
      <c r="C36" s="204"/>
      <c r="D36" s="204"/>
      <c r="E36" s="204"/>
      <c r="F36" s="204"/>
      <c r="G36" s="204"/>
      <c r="H36" s="204"/>
      <c r="I36" s="204"/>
      <c r="J36" s="204"/>
      <c r="K36" s="204"/>
      <c r="L36" s="204"/>
      <c r="M36" s="204"/>
      <c r="N36" s="204"/>
      <c r="O36" s="204"/>
      <c r="P36" s="204"/>
      <c r="Q36" s="204"/>
      <c r="R36" s="204"/>
      <c r="S36" s="204"/>
      <c r="T36" s="204"/>
      <c r="U36" s="204"/>
      <c r="V36" s="204"/>
      <c r="W36" s="204"/>
      <c r="X36" s="204"/>
      <c r="Y36" s="204"/>
      <c r="Z36" s="204"/>
    </row>
    <row r="37" spans="1:26" ht="18" customHeight="1" x14ac:dyDescent="0.15">
      <c r="B37" s="128" t="s">
        <v>97</v>
      </c>
      <c r="C37" s="129"/>
      <c r="D37" s="129"/>
      <c r="E37" s="129"/>
      <c r="F37" s="130"/>
      <c r="G37" s="15" t="s">
        <v>138</v>
      </c>
      <c r="H37" s="75" t="s">
        <v>137</v>
      </c>
      <c r="I37" s="128" t="s">
        <v>98</v>
      </c>
      <c r="J37" s="129"/>
      <c r="K37" s="130"/>
      <c r="L37" s="49" t="s">
        <v>127</v>
      </c>
      <c r="M37" s="49" t="s">
        <v>128</v>
      </c>
      <c r="N37" s="128" t="s">
        <v>97</v>
      </c>
      <c r="O37" s="129"/>
      <c r="P37" s="129"/>
      <c r="Q37" s="129"/>
      <c r="R37" s="129"/>
      <c r="S37" s="130"/>
      <c r="T37" s="15" t="s">
        <v>138</v>
      </c>
      <c r="U37" s="75" t="s">
        <v>137</v>
      </c>
      <c r="V37" s="128" t="s">
        <v>98</v>
      </c>
      <c r="W37" s="129"/>
      <c r="X37" s="130"/>
      <c r="Y37" s="49" t="s">
        <v>127</v>
      </c>
      <c r="Z37" s="49" t="s">
        <v>128</v>
      </c>
    </row>
    <row r="38" spans="1:26" ht="18" customHeight="1" x14ac:dyDescent="0.15">
      <c r="A38" s="86"/>
      <c r="B38" s="206" t="s">
        <v>164</v>
      </c>
      <c r="C38" s="166"/>
      <c r="D38" s="166"/>
      <c r="E38" s="166"/>
      <c r="F38" s="167"/>
      <c r="G38" s="76">
        <v>1</v>
      </c>
      <c r="H38" s="76" t="s">
        <v>165</v>
      </c>
      <c r="I38" s="200" t="s">
        <v>166</v>
      </c>
      <c r="J38" s="201"/>
      <c r="K38" s="202"/>
      <c r="L38" s="76" t="s">
        <v>165</v>
      </c>
      <c r="M38" s="76" t="s">
        <v>165</v>
      </c>
      <c r="N38" s="187"/>
      <c r="O38" s="159"/>
      <c r="P38" s="159"/>
      <c r="Q38" s="159"/>
      <c r="R38" s="159"/>
      <c r="S38" s="160"/>
      <c r="T38" s="76"/>
      <c r="U38" s="76"/>
      <c r="V38" s="200"/>
      <c r="W38" s="201"/>
      <c r="X38" s="202"/>
      <c r="Y38" s="76"/>
      <c r="Z38" s="76"/>
    </row>
    <row r="39" spans="1:26" ht="18" customHeight="1" x14ac:dyDescent="0.15">
      <c r="A39" s="86"/>
      <c r="B39" s="205"/>
      <c r="C39" s="155"/>
      <c r="D39" s="155"/>
      <c r="E39" s="155"/>
      <c r="F39" s="156"/>
      <c r="G39" s="77"/>
      <c r="H39" s="77"/>
      <c r="I39" s="197"/>
      <c r="J39" s="198"/>
      <c r="K39" s="199"/>
      <c r="L39" s="77"/>
      <c r="M39" s="77"/>
      <c r="N39" s="183"/>
      <c r="O39" s="162"/>
      <c r="P39" s="162"/>
      <c r="Q39" s="162"/>
      <c r="R39" s="162"/>
      <c r="S39" s="163"/>
      <c r="T39" s="77"/>
      <c r="U39" s="77"/>
      <c r="V39" s="197"/>
      <c r="W39" s="198"/>
      <c r="X39" s="199"/>
      <c r="Y39" s="77"/>
      <c r="Z39" s="77"/>
    </row>
    <row r="40" spans="1:26" ht="18" customHeight="1" x14ac:dyDescent="0.15">
      <c r="A40" s="86"/>
      <c r="B40" s="205"/>
      <c r="C40" s="155"/>
      <c r="D40" s="155"/>
      <c r="E40" s="155"/>
      <c r="F40" s="156"/>
      <c r="G40" s="77"/>
      <c r="H40" s="77"/>
      <c r="I40" s="197"/>
      <c r="J40" s="198"/>
      <c r="K40" s="199"/>
      <c r="L40" s="77"/>
      <c r="M40" s="77"/>
      <c r="N40" s="183"/>
      <c r="O40" s="162"/>
      <c r="P40" s="162"/>
      <c r="Q40" s="162"/>
      <c r="R40" s="162"/>
      <c r="S40" s="163"/>
      <c r="T40" s="77"/>
      <c r="U40" s="77"/>
      <c r="V40" s="197"/>
      <c r="W40" s="198"/>
      <c r="X40" s="199"/>
      <c r="Y40" s="77"/>
      <c r="Z40" s="77"/>
    </row>
    <row r="41" spans="1:26" ht="18" customHeight="1" x14ac:dyDescent="0.15">
      <c r="A41" s="86"/>
      <c r="B41" s="205"/>
      <c r="C41" s="155"/>
      <c r="D41" s="155"/>
      <c r="E41" s="155"/>
      <c r="F41" s="156"/>
      <c r="G41" s="77"/>
      <c r="H41" s="77"/>
      <c r="I41" s="197"/>
      <c r="J41" s="198"/>
      <c r="K41" s="199"/>
      <c r="L41" s="77"/>
      <c r="M41" s="77"/>
      <c r="N41" s="183"/>
      <c r="O41" s="162"/>
      <c r="P41" s="162"/>
      <c r="Q41" s="162"/>
      <c r="R41" s="162"/>
      <c r="S41" s="163"/>
      <c r="T41" s="77"/>
      <c r="U41" s="77"/>
      <c r="V41" s="197"/>
      <c r="W41" s="198"/>
      <c r="X41" s="199"/>
      <c r="Y41" s="77"/>
      <c r="Z41" s="77"/>
    </row>
    <row r="42" spans="1:26" ht="18" customHeight="1" x14ac:dyDescent="0.15">
      <c r="A42" s="86"/>
      <c r="B42" s="205"/>
      <c r="C42" s="155"/>
      <c r="D42" s="155"/>
      <c r="E42" s="155"/>
      <c r="F42" s="156"/>
      <c r="G42" s="77"/>
      <c r="H42" s="77"/>
      <c r="I42" s="197"/>
      <c r="J42" s="198"/>
      <c r="K42" s="199"/>
      <c r="L42" s="77"/>
      <c r="M42" s="77"/>
      <c r="N42" s="183"/>
      <c r="O42" s="162"/>
      <c r="P42" s="162"/>
      <c r="Q42" s="162"/>
      <c r="R42" s="162"/>
      <c r="S42" s="163"/>
      <c r="T42" s="77"/>
      <c r="U42" s="77"/>
      <c r="V42" s="197"/>
      <c r="W42" s="198"/>
      <c r="X42" s="199"/>
      <c r="Y42" s="77"/>
      <c r="Z42" s="77"/>
    </row>
    <row r="43" spans="1:26" ht="18" customHeight="1" x14ac:dyDescent="0.15">
      <c r="A43" s="86"/>
      <c r="B43" s="205"/>
      <c r="C43" s="155"/>
      <c r="D43" s="155"/>
      <c r="E43" s="155"/>
      <c r="F43" s="156"/>
      <c r="G43" s="77"/>
      <c r="H43" s="77"/>
      <c r="I43" s="197"/>
      <c r="J43" s="198"/>
      <c r="K43" s="199"/>
      <c r="L43" s="77"/>
      <c r="M43" s="77"/>
      <c r="N43" s="183"/>
      <c r="O43" s="162"/>
      <c r="P43" s="162"/>
      <c r="Q43" s="162"/>
      <c r="R43" s="162"/>
      <c r="S43" s="163"/>
      <c r="T43" s="77"/>
      <c r="U43" s="77"/>
      <c r="V43" s="197"/>
      <c r="W43" s="198"/>
      <c r="X43" s="199"/>
      <c r="Y43" s="77"/>
      <c r="Z43" s="77"/>
    </row>
    <row r="44" spans="1:26" ht="18" customHeight="1" x14ac:dyDescent="0.15">
      <c r="A44" s="86"/>
      <c r="B44" s="203"/>
      <c r="C44" s="169"/>
      <c r="D44" s="169"/>
      <c r="E44" s="169"/>
      <c r="F44" s="170"/>
      <c r="G44" s="78"/>
      <c r="H44" s="78"/>
      <c r="I44" s="191"/>
      <c r="J44" s="192"/>
      <c r="K44" s="193"/>
      <c r="L44" s="81"/>
      <c r="M44" s="81"/>
      <c r="N44" s="174"/>
      <c r="O44" s="175"/>
      <c r="P44" s="175"/>
      <c r="Q44" s="175"/>
      <c r="R44" s="175"/>
      <c r="S44" s="176"/>
      <c r="T44" s="78"/>
      <c r="U44" s="78"/>
      <c r="V44" s="191"/>
      <c r="W44" s="192"/>
      <c r="X44" s="193"/>
      <c r="Y44" s="81"/>
      <c r="Z44" s="81"/>
    </row>
    <row r="45" spans="1:26" ht="7.5" customHeight="1" x14ac:dyDescent="0.15">
      <c r="B45" s="51"/>
      <c r="C45" s="51"/>
      <c r="D45" s="51"/>
      <c r="E45" s="51"/>
      <c r="F45" s="51"/>
      <c r="G45" s="51"/>
      <c r="H45" s="51"/>
      <c r="I45" s="51"/>
      <c r="J45" s="51"/>
      <c r="K45" s="51"/>
      <c r="L45" s="51"/>
      <c r="M45" s="51"/>
      <c r="N45" s="51"/>
      <c r="O45" s="51"/>
      <c r="P45" s="51"/>
      <c r="Q45" s="51"/>
      <c r="R45" s="51"/>
      <c r="S45" s="51"/>
      <c r="T45" s="51"/>
      <c r="U45" s="51"/>
      <c r="V45" s="51"/>
      <c r="W45" s="51"/>
      <c r="X45" s="51"/>
      <c r="Y45" s="51"/>
    </row>
    <row r="46" spans="1:26" ht="18" customHeight="1" x14ac:dyDescent="0.15">
      <c r="A46" s="204" t="s">
        <v>129</v>
      </c>
      <c r="B46" s="204"/>
      <c r="C46" s="204"/>
      <c r="D46" s="204"/>
      <c r="E46" s="204"/>
      <c r="F46" s="204"/>
      <c r="G46" s="204"/>
      <c r="H46" s="204"/>
      <c r="I46" s="204"/>
      <c r="J46" s="204"/>
      <c r="K46" s="204"/>
      <c r="L46" s="204"/>
      <c r="M46" s="204"/>
      <c r="N46" s="204"/>
      <c r="O46" s="204"/>
      <c r="P46" s="204"/>
      <c r="Q46" s="204"/>
      <c r="R46" s="204"/>
      <c r="S46" s="204"/>
      <c r="T46" s="204"/>
      <c r="U46" s="204"/>
      <c r="V46" s="204"/>
      <c r="W46" s="204"/>
      <c r="X46" s="204"/>
      <c r="Y46" s="204"/>
      <c r="Z46" s="204"/>
    </row>
    <row r="47" spans="1:26" ht="18" customHeight="1" x14ac:dyDescent="0.15">
      <c r="A47" s="204"/>
      <c r="B47" s="204"/>
      <c r="C47" s="204"/>
      <c r="D47" s="204"/>
      <c r="E47" s="204"/>
      <c r="F47" s="204"/>
      <c r="G47" s="204"/>
      <c r="H47" s="204"/>
      <c r="I47" s="204"/>
      <c r="J47" s="204"/>
      <c r="K47" s="204"/>
      <c r="L47" s="204"/>
      <c r="M47" s="204"/>
      <c r="N47" s="204"/>
      <c r="O47" s="204"/>
      <c r="P47" s="204"/>
      <c r="Q47" s="204"/>
      <c r="R47" s="204"/>
      <c r="S47" s="204"/>
      <c r="T47" s="204"/>
      <c r="U47" s="204"/>
      <c r="V47" s="204"/>
      <c r="W47" s="204"/>
      <c r="X47" s="204"/>
      <c r="Y47" s="204"/>
      <c r="Z47" s="204"/>
    </row>
    <row r="48" spans="1:26" ht="18" customHeight="1" x14ac:dyDescent="0.15">
      <c r="B48" s="128" t="s">
        <v>97</v>
      </c>
      <c r="C48" s="129"/>
      <c r="D48" s="129"/>
      <c r="E48" s="129"/>
      <c r="F48" s="130"/>
      <c r="G48" s="15" t="s">
        <v>138</v>
      </c>
      <c r="H48" s="75" t="s">
        <v>137</v>
      </c>
      <c r="I48" s="128" t="s">
        <v>98</v>
      </c>
      <c r="J48" s="129"/>
      <c r="K48" s="130"/>
      <c r="L48" s="49" t="s">
        <v>103</v>
      </c>
      <c r="M48" s="49" t="s">
        <v>105</v>
      </c>
      <c r="N48" s="128" t="s">
        <v>97</v>
      </c>
      <c r="O48" s="129"/>
      <c r="P48" s="129"/>
      <c r="Q48" s="129"/>
      <c r="R48" s="129"/>
      <c r="S48" s="130"/>
      <c r="T48" s="15" t="s">
        <v>138</v>
      </c>
      <c r="U48" s="75" t="s">
        <v>137</v>
      </c>
      <c r="V48" s="128" t="s">
        <v>98</v>
      </c>
      <c r="W48" s="129"/>
      <c r="X48" s="130"/>
      <c r="Y48" s="49" t="s">
        <v>103</v>
      </c>
      <c r="Z48" s="49" t="s">
        <v>105</v>
      </c>
    </row>
    <row r="49" spans="1:26" ht="18" customHeight="1" x14ac:dyDescent="0.15">
      <c r="A49" s="86"/>
      <c r="B49" s="206" t="s">
        <v>164</v>
      </c>
      <c r="C49" s="166"/>
      <c r="D49" s="166"/>
      <c r="E49" s="166"/>
      <c r="F49" s="167"/>
      <c r="G49" s="76">
        <v>1</v>
      </c>
      <c r="H49" s="76" t="s">
        <v>165</v>
      </c>
      <c r="I49" s="200" t="s">
        <v>166</v>
      </c>
      <c r="J49" s="201"/>
      <c r="K49" s="202"/>
      <c r="L49" s="76" t="s">
        <v>165</v>
      </c>
      <c r="M49" s="76" t="s">
        <v>165</v>
      </c>
      <c r="N49" s="187"/>
      <c r="O49" s="159"/>
      <c r="P49" s="159"/>
      <c r="Q49" s="159"/>
      <c r="R49" s="159"/>
      <c r="S49" s="160"/>
      <c r="T49" s="76"/>
      <c r="U49" s="76"/>
      <c r="V49" s="200"/>
      <c r="W49" s="201"/>
      <c r="X49" s="202"/>
      <c r="Y49" s="76"/>
      <c r="Z49" s="76"/>
    </row>
    <row r="50" spans="1:26" ht="18" customHeight="1" x14ac:dyDescent="0.15">
      <c r="A50" s="86"/>
      <c r="B50" s="205"/>
      <c r="C50" s="155"/>
      <c r="D50" s="155"/>
      <c r="E50" s="155"/>
      <c r="F50" s="156"/>
      <c r="G50" s="77"/>
      <c r="H50" s="77"/>
      <c r="I50" s="197"/>
      <c r="J50" s="198"/>
      <c r="K50" s="199"/>
      <c r="L50" s="77"/>
      <c r="M50" s="77"/>
      <c r="N50" s="183"/>
      <c r="O50" s="162"/>
      <c r="P50" s="162"/>
      <c r="Q50" s="162"/>
      <c r="R50" s="162"/>
      <c r="S50" s="163"/>
      <c r="T50" s="77"/>
      <c r="U50" s="77"/>
      <c r="V50" s="197"/>
      <c r="W50" s="198"/>
      <c r="X50" s="199"/>
      <c r="Y50" s="77"/>
      <c r="Z50" s="77"/>
    </row>
    <row r="51" spans="1:26" ht="18" customHeight="1" x14ac:dyDescent="0.15">
      <c r="A51" s="86"/>
      <c r="B51" s="205"/>
      <c r="C51" s="155"/>
      <c r="D51" s="155"/>
      <c r="E51" s="155"/>
      <c r="F51" s="156"/>
      <c r="G51" s="77"/>
      <c r="H51" s="77"/>
      <c r="I51" s="197"/>
      <c r="J51" s="198"/>
      <c r="K51" s="199"/>
      <c r="L51" s="77"/>
      <c r="M51" s="77"/>
      <c r="N51" s="183"/>
      <c r="O51" s="162"/>
      <c r="P51" s="162"/>
      <c r="Q51" s="162"/>
      <c r="R51" s="162"/>
      <c r="S51" s="163"/>
      <c r="T51" s="77"/>
      <c r="U51" s="77"/>
      <c r="V51" s="197"/>
      <c r="W51" s="198"/>
      <c r="X51" s="199"/>
      <c r="Y51" s="77"/>
      <c r="Z51" s="77"/>
    </row>
    <row r="52" spans="1:26" ht="18" customHeight="1" x14ac:dyDescent="0.15">
      <c r="A52" s="86"/>
      <c r="B52" s="205"/>
      <c r="C52" s="155"/>
      <c r="D52" s="155"/>
      <c r="E52" s="155"/>
      <c r="F52" s="156"/>
      <c r="G52" s="77"/>
      <c r="H52" s="77"/>
      <c r="I52" s="197"/>
      <c r="J52" s="198"/>
      <c r="K52" s="199"/>
      <c r="L52" s="77"/>
      <c r="M52" s="77"/>
      <c r="N52" s="183"/>
      <c r="O52" s="162"/>
      <c r="P52" s="162"/>
      <c r="Q52" s="162"/>
      <c r="R52" s="162"/>
      <c r="S52" s="163"/>
      <c r="T52" s="77"/>
      <c r="U52" s="77"/>
      <c r="V52" s="197"/>
      <c r="W52" s="198"/>
      <c r="X52" s="199"/>
      <c r="Y52" s="77"/>
      <c r="Z52" s="77"/>
    </row>
    <row r="53" spans="1:26" ht="18" customHeight="1" x14ac:dyDescent="0.15">
      <c r="A53" s="86"/>
      <c r="B53" s="205"/>
      <c r="C53" s="155"/>
      <c r="D53" s="155"/>
      <c r="E53" s="155"/>
      <c r="F53" s="156"/>
      <c r="G53" s="77"/>
      <c r="H53" s="77"/>
      <c r="I53" s="197"/>
      <c r="J53" s="198"/>
      <c r="K53" s="199"/>
      <c r="L53" s="77"/>
      <c r="M53" s="77"/>
      <c r="N53" s="183"/>
      <c r="O53" s="162"/>
      <c r="P53" s="162"/>
      <c r="Q53" s="162"/>
      <c r="R53" s="162"/>
      <c r="S53" s="163"/>
      <c r="T53" s="77"/>
      <c r="U53" s="77"/>
      <c r="V53" s="197"/>
      <c r="W53" s="198"/>
      <c r="X53" s="199"/>
      <c r="Y53" s="77"/>
      <c r="Z53" s="77"/>
    </row>
    <row r="54" spans="1:26" ht="18" customHeight="1" x14ac:dyDescent="0.15">
      <c r="A54" s="86"/>
      <c r="B54" s="205"/>
      <c r="C54" s="155"/>
      <c r="D54" s="155"/>
      <c r="E54" s="155"/>
      <c r="F54" s="156"/>
      <c r="G54" s="77"/>
      <c r="H54" s="77"/>
      <c r="I54" s="197"/>
      <c r="J54" s="198"/>
      <c r="K54" s="199"/>
      <c r="L54" s="77"/>
      <c r="M54" s="77"/>
      <c r="N54" s="183"/>
      <c r="O54" s="162"/>
      <c r="P54" s="162"/>
      <c r="Q54" s="162"/>
      <c r="R54" s="162"/>
      <c r="S54" s="163"/>
      <c r="T54" s="77"/>
      <c r="U54" s="77"/>
      <c r="V54" s="197"/>
      <c r="W54" s="198"/>
      <c r="X54" s="199"/>
      <c r="Y54" s="77"/>
      <c r="Z54" s="77"/>
    </row>
    <row r="55" spans="1:26" ht="18" customHeight="1" x14ac:dyDescent="0.15">
      <c r="A55" s="86"/>
      <c r="B55" s="203"/>
      <c r="C55" s="169"/>
      <c r="D55" s="169"/>
      <c r="E55" s="169"/>
      <c r="F55" s="170"/>
      <c r="G55" s="78"/>
      <c r="H55" s="78"/>
      <c r="I55" s="191"/>
      <c r="J55" s="192"/>
      <c r="K55" s="193"/>
      <c r="L55" s="81"/>
      <c r="M55" s="81"/>
      <c r="N55" s="174"/>
      <c r="O55" s="175"/>
      <c r="P55" s="175"/>
      <c r="Q55" s="175"/>
      <c r="R55" s="175"/>
      <c r="S55" s="176"/>
      <c r="T55" s="78"/>
      <c r="U55" s="78"/>
      <c r="V55" s="191"/>
      <c r="W55" s="192"/>
      <c r="X55" s="193"/>
      <c r="Y55" s="81"/>
      <c r="Z55" s="81"/>
    </row>
    <row r="56" spans="1:26" ht="7.5" customHeight="1" x14ac:dyDescent="0.15">
      <c r="B56" s="51"/>
      <c r="C56" s="51"/>
      <c r="D56" s="51"/>
      <c r="E56" s="51"/>
      <c r="F56" s="51"/>
      <c r="G56" s="51"/>
      <c r="H56" s="51"/>
      <c r="I56" s="51"/>
      <c r="J56" s="51"/>
      <c r="K56" s="51"/>
      <c r="L56" s="51"/>
      <c r="M56" s="51"/>
      <c r="N56" s="51"/>
      <c r="O56" s="51"/>
      <c r="P56" s="51"/>
      <c r="Q56" s="51"/>
      <c r="R56" s="51"/>
      <c r="S56" s="51"/>
      <c r="T56" s="51"/>
      <c r="U56" s="51"/>
      <c r="V56" s="51"/>
      <c r="W56" s="51"/>
      <c r="X56" s="51"/>
      <c r="Y56" s="51"/>
    </row>
    <row r="57" spans="1:26" ht="18" customHeight="1" x14ac:dyDescent="0.15">
      <c r="A57" s="204" t="s">
        <v>130</v>
      </c>
      <c r="B57" s="204"/>
      <c r="C57" s="204"/>
      <c r="D57" s="204"/>
      <c r="E57" s="204"/>
      <c r="F57" s="204"/>
      <c r="G57" s="204"/>
      <c r="H57" s="204"/>
      <c r="I57" s="204"/>
      <c r="J57" s="204"/>
      <c r="K57" s="204"/>
      <c r="L57" s="204"/>
      <c r="M57" s="204"/>
      <c r="N57" s="204"/>
      <c r="O57" s="204"/>
      <c r="P57" s="204"/>
      <c r="Q57" s="204"/>
      <c r="R57" s="204"/>
      <c r="S57" s="204"/>
      <c r="T57" s="204"/>
      <c r="U57" s="204"/>
      <c r="V57" s="204"/>
      <c r="W57" s="204"/>
      <c r="X57" s="204"/>
      <c r="Y57" s="204"/>
      <c r="Z57" s="204"/>
    </row>
    <row r="58" spans="1:26" ht="18" customHeight="1" x14ac:dyDescent="0.15">
      <c r="A58" s="204"/>
      <c r="B58" s="204"/>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row>
    <row r="59" spans="1:26" ht="18" customHeight="1" x14ac:dyDescent="0.15">
      <c r="B59" s="128" t="s">
        <v>97</v>
      </c>
      <c r="C59" s="129"/>
      <c r="D59" s="129"/>
      <c r="E59" s="130"/>
      <c r="F59" s="15" t="s">
        <v>138</v>
      </c>
      <c r="G59" s="75" t="s">
        <v>137</v>
      </c>
      <c r="H59" s="12" t="s">
        <v>98</v>
      </c>
      <c r="I59" s="82"/>
      <c r="J59" s="13"/>
      <c r="K59" s="49" t="s">
        <v>102</v>
      </c>
      <c r="L59" s="49" t="s">
        <v>131</v>
      </c>
      <c r="M59" s="49" t="s">
        <v>132</v>
      </c>
      <c r="N59" s="128" t="s">
        <v>97</v>
      </c>
      <c r="O59" s="129"/>
      <c r="P59" s="129"/>
      <c r="Q59" s="129"/>
      <c r="R59" s="130"/>
      <c r="S59" s="15" t="s">
        <v>138</v>
      </c>
      <c r="T59" s="75" t="s">
        <v>137</v>
      </c>
      <c r="U59" s="12" t="s">
        <v>98</v>
      </c>
      <c r="V59" s="82"/>
      <c r="W59" s="13"/>
      <c r="X59" s="49" t="s">
        <v>102</v>
      </c>
      <c r="Y59" s="49" t="s">
        <v>131</v>
      </c>
      <c r="Z59" s="49" t="s">
        <v>132</v>
      </c>
    </row>
    <row r="60" spans="1:26" ht="18" customHeight="1" x14ac:dyDescent="0.15">
      <c r="A60" s="86"/>
      <c r="B60" s="187" t="s">
        <v>164</v>
      </c>
      <c r="C60" s="159"/>
      <c r="D60" s="159"/>
      <c r="E60" s="160"/>
      <c r="F60" s="76">
        <v>1</v>
      </c>
      <c r="G60" s="76" t="s">
        <v>165</v>
      </c>
      <c r="H60" s="200" t="s">
        <v>166</v>
      </c>
      <c r="I60" s="201"/>
      <c r="J60" s="202"/>
      <c r="K60" s="76" t="s">
        <v>165</v>
      </c>
      <c r="L60" s="76" t="s">
        <v>165</v>
      </c>
      <c r="M60" s="76" t="s">
        <v>165</v>
      </c>
      <c r="N60" s="187"/>
      <c r="O60" s="159"/>
      <c r="P60" s="159"/>
      <c r="Q60" s="159"/>
      <c r="R60" s="160"/>
      <c r="S60" s="76"/>
      <c r="T60" s="76"/>
      <c r="U60" s="200"/>
      <c r="V60" s="201"/>
      <c r="W60" s="202"/>
      <c r="X60" s="91"/>
      <c r="Y60" s="76"/>
      <c r="Z60" s="76"/>
    </row>
    <row r="61" spans="1:26" ht="18" customHeight="1" x14ac:dyDescent="0.15">
      <c r="A61" s="86"/>
      <c r="B61" s="183"/>
      <c r="C61" s="162"/>
      <c r="D61" s="162"/>
      <c r="E61" s="163"/>
      <c r="F61" s="77"/>
      <c r="G61" s="77"/>
      <c r="H61" s="197"/>
      <c r="I61" s="198"/>
      <c r="J61" s="199"/>
      <c r="K61" s="90"/>
      <c r="L61" s="77"/>
      <c r="M61" s="77"/>
      <c r="N61" s="183"/>
      <c r="O61" s="162"/>
      <c r="P61" s="162"/>
      <c r="Q61" s="162"/>
      <c r="R61" s="163"/>
      <c r="S61" s="77"/>
      <c r="T61" s="77"/>
      <c r="U61" s="197"/>
      <c r="V61" s="198"/>
      <c r="W61" s="199"/>
      <c r="X61" s="90"/>
      <c r="Y61" s="77"/>
      <c r="Z61" s="77"/>
    </row>
    <row r="62" spans="1:26" ht="18" customHeight="1" x14ac:dyDescent="0.15">
      <c r="A62" s="86"/>
      <c r="B62" s="183"/>
      <c r="C62" s="162"/>
      <c r="D62" s="162"/>
      <c r="E62" s="163"/>
      <c r="F62" s="77"/>
      <c r="G62" s="77"/>
      <c r="H62" s="197"/>
      <c r="I62" s="198"/>
      <c r="J62" s="199"/>
      <c r="K62" s="90"/>
      <c r="L62" s="77"/>
      <c r="M62" s="77"/>
      <c r="N62" s="183"/>
      <c r="O62" s="162"/>
      <c r="P62" s="162"/>
      <c r="Q62" s="162"/>
      <c r="R62" s="163"/>
      <c r="S62" s="77"/>
      <c r="T62" s="77"/>
      <c r="U62" s="197"/>
      <c r="V62" s="198"/>
      <c r="W62" s="199"/>
      <c r="X62" s="90"/>
      <c r="Y62" s="77"/>
      <c r="Z62" s="77"/>
    </row>
    <row r="63" spans="1:26" ht="18" customHeight="1" x14ac:dyDescent="0.15">
      <c r="A63" s="86"/>
      <c r="B63" s="183"/>
      <c r="C63" s="162"/>
      <c r="D63" s="162"/>
      <c r="E63" s="163"/>
      <c r="F63" s="77"/>
      <c r="G63" s="77"/>
      <c r="H63" s="197"/>
      <c r="I63" s="198"/>
      <c r="J63" s="199"/>
      <c r="K63" s="90"/>
      <c r="L63" s="77"/>
      <c r="M63" s="77"/>
      <c r="N63" s="183"/>
      <c r="O63" s="162"/>
      <c r="P63" s="162"/>
      <c r="Q63" s="162"/>
      <c r="R63" s="163"/>
      <c r="S63" s="77"/>
      <c r="T63" s="77"/>
      <c r="U63" s="197"/>
      <c r="V63" s="198"/>
      <c r="W63" s="199"/>
      <c r="X63" s="90"/>
      <c r="Y63" s="77"/>
      <c r="Z63" s="77"/>
    </row>
    <row r="64" spans="1:26" ht="18" customHeight="1" x14ac:dyDescent="0.15">
      <c r="A64" s="86"/>
      <c r="B64" s="183"/>
      <c r="C64" s="162"/>
      <c r="D64" s="162"/>
      <c r="E64" s="163"/>
      <c r="F64" s="77"/>
      <c r="G64" s="77"/>
      <c r="H64" s="197"/>
      <c r="I64" s="198"/>
      <c r="J64" s="199"/>
      <c r="K64" s="90"/>
      <c r="L64" s="77"/>
      <c r="M64" s="77"/>
      <c r="N64" s="183"/>
      <c r="O64" s="162"/>
      <c r="P64" s="162"/>
      <c r="Q64" s="162"/>
      <c r="R64" s="163"/>
      <c r="S64" s="77"/>
      <c r="T64" s="77"/>
      <c r="U64" s="197"/>
      <c r="V64" s="198"/>
      <c r="W64" s="199"/>
      <c r="X64" s="90"/>
      <c r="Y64" s="77"/>
      <c r="Z64" s="77"/>
    </row>
    <row r="65" spans="1:26" ht="18" customHeight="1" x14ac:dyDescent="0.15">
      <c r="A65" s="86"/>
      <c r="B65" s="183"/>
      <c r="C65" s="162"/>
      <c r="D65" s="162"/>
      <c r="E65" s="163"/>
      <c r="F65" s="77"/>
      <c r="G65" s="77"/>
      <c r="H65" s="197"/>
      <c r="I65" s="198"/>
      <c r="J65" s="199"/>
      <c r="K65" s="90"/>
      <c r="L65" s="77"/>
      <c r="M65" s="77"/>
      <c r="N65" s="183"/>
      <c r="O65" s="162"/>
      <c r="P65" s="162"/>
      <c r="Q65" s="162"/>
      <c r="R65" s="163"/>
      <c r="S65" s="77"/>
      <c r="T65" s="77"/>
      <c r="U65" s="197"/>
      <c r="V65" s="198"/>
      <c r="W65" s="199"/>
      <c r="X65" s="90"/>
      <c r="Y65" s="77"/>
      <c r="Z65" s="77"/>
    </row>
    <row r="66" spans="1:26" ht="18" customHeight="1" x14ac:dyDescent="0.15">
      <c r="A66" s="86"/>
      <c r="B66" s="174"/>
      <c r="C66" s="175"/>
      <c r="D66" s="175"/>
      <c r="E66" s="176"/>
      <c r="F66" s="78"/>
      <c r="G66" s="78"/>
      <c r="H66" s="191"/>
      <c r="I66" s="192"/>
      <c r="J66" s="193"/>
      <c r="K66" s="89"/>
      <c r="L66" s="81"/>
      <c r="M66" s="81"/>
      <c r="N66" s="174"/>
      <c r="O66" s="175"/>
      <c r="P66" s="175"/>
      <c r="Q66" s="175"/>
      <c r="R66" s="176"/>
      <c r="S66" s="78"/>
      <c r="T66" s="78"/>
      <c r="U66" s="191"/>
      <c r="V66" s="192"/>
      <c r="W66" s="193"/>
      <c r="X66" s="89"/>
      <c r="Y66" s="81"/>
      <c r="Z66" s="81"/>
    </row>
    <row r="67" spans="1:26" ht="7.5" customHeight="1" x14ac:dyDescent="0.15">
      <c r="B67" s="51"/>
      <c r="C67" s="51"/>
      <c r="D67" s="51"/>
      <c r="E67" s="51"/>
      <c r="F67" s="51"/>
      <c r="G67" s="51"/>
      <c r="H67" s="51"/>
      <c r="I67" s="51"/>
      <c r="J67" s="51"/>
      <c r="K67" s="51"/>
      <c r="L67" s="51"/>
      <c r="M67" s="51"/>
      <c r="N67" s="51"/>
      <c r="O67" s="51"/>
      <c r="P67" s="51"/>
      <c r="Q67" s="51"/>
      <c r="R67" s="51"/>
      <c r="S67" s="51"/>
      <c r="T67" s="51"/>
      <c r="U67" s="51"/>
      <c r="V67" s="51"/>
      <c r="W67" s="51"/>
      <c r="X67" s="51"/>
      <c r="Y67" s="51"/>
    </row>
    <row r="68" spans="1:26" ht="18" customHeight="1" x14ac:dyDescent="0.15">
      <c r="A68" s="5" t="s">
        <v>133</v>
      </c>
      <c r="L68" s="86"/>
      <c r="M68" s="86"/>
      <c r="N68" s="86"/>
      <c r="O68" s="86"/>
      <c r="P68" s="86"/>
      <c r="Q68" s="86"/>
      <c r="R68" s="86"/>
      <c r="S68" s="86"/>
      <c r="T68" s="86"/>
      <c r="U68" s="86"/>
      <c r="V68" s="86"/>
      <c r="W68" s="86"/>
      <c r="X68" s="86"/>
      <c r="Y68" s="86"/>
      <c r="Z68" s="86"/>
    </row>
    <row r="69" spans="1:26" ht="18" customHeight="1" x14ac:dyDescent="0.15">
      <c r="B69" s="128" t="s">
        <v>97</v>
      </c>
      <c r="C69" s="129"/>
      <c r="D69" s="129"/>
      <c r="E69" s="129"/>
      <c r="F69" s="130"/>
      <c r="G69" s="128" t="s">
        <v>143</v>
      </c>
      <c r="H69" s="129"/>
      <c r="I69" s="129"/>
      <c r="J69" s="129"/>
      <c r="K69" s="129"/>
      <c r="L69" s="129"/>
      <c r="M69" s="130"/>
      <c r="N69" s="194" t="s">
        <v>97</v>
      </c>
      <c r="O69" s="195"/>
      <c r="P69" s="195"/>
      <c r="Q69" s="195"/>
      <c r="R69" s="195"/>
      <c r="S69" s="196"/>
      <c r="T69" s="128" t="s">
        <v>143</v>
      </c>
      <c r="U69" s="129"/>
      <c r="V69" s="129"/>
      <c r="W69" s="129"/>
      <c r="X69" s="129"/>
      <c r="Y69" s="129"/>
      <c r="Z69" s="130"/>
    </row>
    <row r="70" spans="1:26" ht="18" customHeight="1" x14ac:dyDescent="0.15">
      <c r="A70" s="86"/>
      <c r="B70" s="187"/>
      <c r="C70" s="159"/>
      <c r="D70" s="159"/>
      <c r="E70" s="159"/>
      <c r="F70" s="160"/>
      <c r="G70" s="188"/>
      <c r="H70" s="189"/>
      <c r="I70" s="189"/>
      <c r="J70" s="189"/>
      <c r="K70" s="189"/>
      <c r="L70" s="189"/>
      <c r="M70" s="190"/>
      <c r="N70" s="187"/>
      <c r="O70" s="159"/>
      <c r="P70" s="159"/>
      <c r="Q70" s="159"/>
      <c r="R70" s="159"/>
      <c r="S70" s="160"/>
      <c r="T70" s="188"/>
      <c r="U70" s="189"/>
      <c r="V70" s="189"/>
      <c r="W70" s="189"/>
      <c r="X70" s="189"/>
      <c r="Y70" s="189"/>
      <c r="Z70" s="190"/>
    </row>
    <row r="71" spans="1:26" ht="18" customHeight="1" x14ac:dyDescent="0.15">
      <c r="A71" s="86"/>
      <c r="B71" s="183"/>
      <c r="C71" s="162"/>
      <c r="D71" s="162"/>
      <c r="E71" s="162"/>
      <c r="F71" s="163"/>
      <c r="G71" s="184"/>
      <c r="H71" s="185"/>
      <c r="I71" s="185"/>
      <c r="J71" s="185"/>
      <c r="K71" s="185"/>
      <c r="L71" s="185"/>
      <c r="M71" s="186"/>
      <c r="N71" s="183"/>
      <c r="O71" s="162"/>
      <c r="P71" s="162"/>
      <c r="Q71" s="162"/>
      <c r="R71" s="162"/>
      <c r="S71" s="163"/>
      <c r="T71" s="184"/>
      <c r="U71" s="185"/>
      <c r="V71" s="185"/>
      <c r="W71" s="185"/>
      <c r="X71" s="185"/>
      <c r="Y71" s="185"/>
      <c r="Z71" s="186"/>
    </row>
    <row r="72" spans="1:26" ht="18" customHeight="1" x14ac:dyDescent="0.15">
      <c r="A72" s="86"/>
      <c r="B72" s="183"/>
      <c r="C72" s="162"/>
      <c r="D72" s="162"/>
      <c r="E72" s="162"/>
      <c r="F72" s="163"/>
      <c r="G72" s="184"/>
      <c r="H72" s="185"/>
      <c r="I72" s="185"/>
      <c r="J72" s="185"/>
      <c r="K72" s="185"/>
      <c r="L72" s="185"/>
      <c r="M72" s="186"/>
      <c r="N72" s="183"/>
      <c r="O72" s="162"/>
      <c r="P72" s="162"/>
      <c r="Q72" s="162"/>
      <c r="R72" s="162"/>
      <c r="S72" s="163"/>
      <c r="T72" s="184"/>
      <c r="U72" s="185"/>
      <c r="V72" s="185"/>
      <c r="W72" s="185"/>
      <c r="X72" s="185"/>
      <c r="Y72" s="185"/>
      <c r="Z72" s="186"/>
    </row>
    <row r="73" spans="1:26" ht="18" customHeight="1" x14ac:dyDescent="0.15">
      <c r="A73" s="86"/>
      <c r="B73" s="183"/>
      <c r="C73" s="162"/>
      <c r="D73" s="162"/>
      <c r="E73" s="162"/>
      <c r="F73" s="163"/>
      <c r="G73" s="184"/>
      <c r="H73" s="185"/>
      <c r="I73" s="185"/>
      <c r="J73" s="185"/>
      <c r="K73" s="185"/>
      <c r="L73" s="185"/>
      <c r="M73" s="186"/>
      <c r="N73" s="183"/>
      <c r="O73" s="162"/>
      <c r="P73" s="162"/>
      <c r="Q73" s="162"/>
      <c r="R73" s="162"/>
      <c r="S73" s="163"/>
      <c r="T73" s="184"/>
      <c r="U73" s="185"/>
      <c r="V73" s="185"/>
      <c r="W73" s="185"/>
      <c r="X73" s="185"/>
      <c r="Y73" s="185"/>
      <c r="Z73" s="186"/>
    </row>
    <row r="74" spans="1:26" ht="18" customHeight="1" x14ac:dyDescent="0.15">
      <c r="A74" s="86"/>
      <c r="B74" s="183"/>
      <c r="C74" s="162"/>
      <c r="D74" s="162"/>
      <c r="E74" s="162"/>
      <c r="F74" s="163"/>
      <c r="G74" s="184"/>
      <c r="H74" s="185"/>
      <c r="I74" s="185"/>
      <c r="J74" s="185"/>
      <c r="K74" s="185"/>
      <c r="L74" s="185"/>
      <c r="M74" s="186"/>
      <c r="N74" s="183"/>
      <c r="O74" s="162"/>
      <c r="P74" s="162"/>
      <c r="Q74" s="162"/>
      <c r="R74" s="162"/>
      <c r="S74" s="163"/>
      <c r="T74" s="184"/>
      <c r="U74" s="185"/>
      <c r="V74" s="185"/>
      <c r="W74" s="185"/>
      <c r="X74" s="185"/>
      <c r="Y74" s="185"/>
      <c r="Z74" s="186"/>
    </row>
    <row r="75" spans="1:26" ht="18" customHeight="1" x14ac:dyDescent="0.15">
      <c r="A75" s="86"/>
      <c r="B75" s="183"/>
      <c r="C75" s="162"/>
      <c r="D75" s="162"/>
      <c r="E75" s="162"/>
      <c r="F75" s="163"/>
      <c r="G75" s="184"/>
      <c r="H75" s="185"/>
      <c r="I75" s="185"/>
      <c r="J75" s="185"/>
      <c r="K75" s="185"/>
      <c r="L75" s="185"/>
      <c r="M75" s="186"/>
      <c r="N75" s="183"/>
      <c r="O75" s="162"/>
      <c r="P75" s="162"/>
      <c r="Q75" s="162"/>
      <c r="R75" s="162"/>
      <c r="S75" s="163"/>
      <c r="T75" s="184"/>
      <c r="U75" s="185"/>
      <c r="V75" s="185"/>
      <c r="W75" s="185"/>
      <c r="X75" s="185"/>
      <c r="Y75" s="185"/>
      <c r="Z75" s="186"/>
    </row>
    <row r="76" spans="1:26" ht="18" customHeight="1" x14ac:dyDescent="0.15">
      <c r="A76" s="86"/>
      <c r="B76" s="174"/>
      <c r="C76" s="175"/>
      <c r="D76" s="175"/>
      <c r="E76" s="175"/>
      <c r="F76" s="176"/>
      <c r="G76" s="177"/>
      <c r="H76" s="178"/>
      <c r="I76" s="178"/>
      <c r="J76" s="178"/>
      <c r="K76" s="178"/>
      <c r="L76" s="178"/>
      <c r="M76" s="179"/>
      <c r="N76" s="174"/>
      <c r="O76" s="175"/>
      <c r="P76" s="175"/>
      <c r="Q76" s="175"/>
      <c r="R76" s="175"/>
      <c r="S76" s="176"/>
      <c r="T76" s="177"/>
      <c r="U76" s="178"/>
      <c r="V76" s="178"/>
      <c r="W76" s="178"/>
      <c r="X76" s="178"/>
      <c r="Y76" s="178"/>
      <c r="Z76" s="179"/>
    </row>
    <row r="77" spans="1:26" ht="18" customHeight="1" x14ac:dyDescent="0.15">
      <c r="A77" s="86"/>
      <c r="B77" s="87"/>
      <c r="C77" s="87"/>
      <c r="D77" s="87"/>
      <c r="E77" s="87"/>
      <c r="F77" s="87"/>
      <c r="G77" s="83"/>
      <c r="H77" s="83"/>
      <c r="I77" s="83"/>
      <c r="J77" s="83"/>
      <c r="K77" s="83"/>
      <c r="L77" s="83"/>
      <c r="M77" s="83"/>
      <c r="N77" s="87"/>
      <c r="O77" s="87"/>
      <c r="P77" s="87"/>
      <c r="Q77" s="87"/>
      <c r="R77" s="87"/>
      <c r="S77" s="87"/>
      <c r="T77" s="83"/>
      <c r="U77" s="83"/>
      <c r="V77" s="83"/>
      <c r="W77" s="83"/>
      <c r="X77" s="83"/>
      <c r="Y77" s="83"/>
      <c r="Z77" s="83"/>
    </row>
    <row r="78" spans="1:26" ht="18.75" customHeight="1" x14ac:dyDescent="0.15">
      <c r="A78" s="5" t="s">
        <v>139</v>
      </c>
    </row>
    <row r="79" spans="1:26" ht="18.75" customHeight="1" x14ac:dyDescent="0.15">
      <c r="B79" s="12" t="s">
        <v>99</v>
      </c>
      <c r="C79" s="13"/>
      <c r="D79" s="129" t="s">
        <v>100</v>
      </c>
      <c r="E79" s="129"/>
      <c r="F79" s="129"/>
      <c r="G79" s="129"/>
      <c r="H79" s="129"/>
      <c r="I79" s="129"/>
      <c r="J79" s="129"/>
      <c r="K79" s="129"/>
      <c r="L79" s="129"/>
      <c r="M79" s="129"/>
      <c r="N79" s="129"/>
      <c r="O79" s="129"/>
      <c r="P79" s="129"/>
      <c r="Q79" s="129"/>
      <c r="R79" s="129"/>
      <c r="S79" s="129"/>
      <c r="T79" s="129"/>
      <c r="U79" s="129"/>
      <c r="V79" s="129"/>
      <c r="W79" s="129"/>
      <c r="X79" s="129"/>
      <c r="Y79" s="129"/>
      <c r="Z79" s="130"/>
    </row>
    <row r="80" spans="1:26" ht="78" customHeight="1" x14ac:dyDescent="0.15">
      <c r="B80" s="149" t="s">
        <v>106</v>
      </c>
      <c r="C80" s="57" t="s">
        <v>101</v>
      </c>
      <c r="D80" s="151" t="s">
        <v>167</v>
      </c>
      <c r="E80" s="152"/>
      <c r="F80" s="152"/>
      <c r="G80" s="152"/>
      <c r="H80" s="152"/>
      <c r="I80" s="152"/>
      <c r="J80" s="152"/>
      <c r="K80" s="152"/>
      <c r="L80" s="152"/>
      <c r="M80" s="152"/>
      <c r="N80" s="152"/>
      <c r="O80" s="152"/>
      <c r="P80" s="152"/>
      <c r="Q80" s="152"/>
      <c r="R80" s="152"/>
      <c r="S80" s="152"/>
      <c r="T80" s="152"/>
      <c r="U80" s="152"/>
      <c r="V80" s="152"/>
      <c r="W80" s="152"/>
      <c r="X80" s="152"/>
      <c r="Y80" s="152"/>
      <c r="Z80" s="153"/>
    </row>
    <row r="81" spans="1:26" ht="78" customHeight="1" x14ac:dyDescent="0.15">
      <c r="B81" s="150"/>
      <c r="C81" s="73" t="s">
        <v>134</v>
      </c>
      <c r="D81" s="180" t="s">
        <v>168</v>
      </c>
      <c r="E81" s="181"/>
      <c r="F81" s="181"/>
      <c r="G81" s="181"/>
      <c r="H81" s="181"/>
      <c r="I81" s="181"/>
      <c r="J81" s="181"/>
      <c r="K81" s="181"/>
      <c r="L81" s="181"/>
      <c r="M81" s="181"/>
      <c r="N81" s="181"/>
      <c r="O81" s="181"/>
      <c r="P81" s="181"/>
      <c r="Q81" s="181"/>
      <c r="R81" s="181"/>
      <c r="S81" s="181"/>
      <c r="T81" s="181"/>
      <c r="U81" s="181"/>
      <c r="V81" s="181"/>
      <c r="W81" s="181"/>
      <c r="X81" s="181"/>
      <c r="Y81" s="181"/>
      <c r="Z81" s="182"/>
    </row>
    <row r="82" spans="1:26" ht="78" customHeight="1" x14ac:dyDescent="0.15">
      <c r="B82" s="149" t="s">
        <v>107</v>
      </c>
      <c r="C82" s="52" t="s">
        <v>124</v>
      </c>
      <c r="D82" s="165" t="s">
        <v>169</v>
      </c>
      <c r="E82" s="166"/>
      <c r="F82" s="166"/>
      <c r="G82" s="166"/>
      <c r="H82" s="166"/>
      <c r="I82" s="166"/>
      <c r="J82" s="166"/>
      <c r="K82" s="166"/>
      <c r="L82" s="166"/>
      <c r="M82" s="166"/>
      <c r="N82" s="166"/>
      <c r="O82" s="166"/>
      <c r="P82" s="166"/>
      <c r="Q82" s="166"/>
      <c r="R82" s="166"/>
      <c r="S82" s="166"/>
      <c r="T82" s="166"/>
      <c r="U82" s="166"/>
      <c r="V82" s="166"/>
      <c r="W82" s="166"/>
      <c r="X82" s="166"/>
      <c r="Y82" s="166"/>
      <c r="Z82" s="167"/>
    </row>
    <row r="83" spans="1:26" ht="78" customHeight="1" x14ac:dyDescent="0.15">
      <c r="B83" s="157"/>
      <c r="C83" s="74" t="s">
        <v>125</v>
      </c>
      <c r="D83" s="168" t="s">
        <v>170</v>
      </c>
      <c r="E83" s="169"/>
      <c r="F83" s="169"/>
      <c r="G83" s="169"/>
      <c r="H83" s="169"/>
      <c r="I83" s="169"/>
      <c r="J83" s="169"/>
      <c r="K83" s="169"/>
      <c r="L83" s="169"/>
      <c r="M83" s="169"/>
      <c r="N83" s="169"/>
      <c r="O83" s="169"/>
      <c r="P83" s="169"/>
      <c r="Q83" s="169"/>
      <c r="R83" s="169"/>
      <c r="S83" s="169"/>
      <c r="T83" s="169"/>
      <c r="U83" s="169"/>
      <c r="V83" s="169"/>
      <c r="W83" s="169"/>
      <c r="X83" s="169"/>
      <c r="Y83" s="169"/>
      <c r="Z83" s="170"/>
    </row>
    <row r="84" spans="1:26" ht="66" customHeight="1" x14ac:dyDescent="0.15">
      <c r="B84" s="149" t="s">
        <v>108</v>
      </c>
      <c r="C84" s="52" t="s">
        <v>127</v>
      </c>
      <c r="D84" s="165" t="s">
        <v>171</v>
      </c>
      <c r="E84" s="166"/>
      <c r="F84" s="166"/>
      <c r="G84" s="166"/>
      <c r="H84" s="166"/>
      <c r="I84" s="166"/>
      <c r="J84" s="166"/>
      <c r="K84" s="166"/>
      <c r="L84" s="166"/>
      <c r="M84" s="166"/>
      <c r="N84" s="166"/>
      <c r="O84" s="166"/>
      <c r="P84" s="166"/>
      <c r="Q84" s="166"/>
      <c r="R84" s="166"/>
      <c r="S84" s="166"/>
      <c r="T84" s="166"/>
      <c r="U84" s="166"/>
      <c r="V84" s="166"/>
      <c r="W84" s="166"/>
      <c r="X84" s="166"/>
      <c r="Y84" s="166"/>
      <c r="Z84" s="167"/>
    </row>
    <row r="85" spans="1:26" ht="66" customHeight="1" x14ac:dyDescent="0.15">
      <c r="B85" s="157"/>
      <c r="C85" s="54" t="s">
        <v>128</v>
      </c>
      <c r="D85" s="171" t="s">
        <v>172</v>
      </c>
      <c r="E85" s="172"/>
      <c r="F85" s="172"/>
      <c r="G85" s="172"/>
      <c r="H85" s="172"/>
      <c r="I85" s="172"/>
      <c r="J85" s="172"/>
      <c r="K85" s="172"/>
      <c r="L85" s="172"/>
      <c r="M85" s="172"/>
      <c r="N85" s="172"/>
      <c r="O85" s="172"/>
      <c r="P85" s="172"/>
      <c r="Q85" s="172"/>
      <c r="R85" s="172"/>
      <c r="S85" s="172"/>
      <c r="T85" s="172"/>
      <c r="U85" s="172"/>
      <c r="V85" s="172"/>
      <c r="W85" s="172"/>
      <c r="X85" s="172"/>
      <c r="Y85" s="172"/>
      <c r="Z85" s="173"/>
    </row>
    <row r="86" spans="1:26" ht="66" customHeight="1" x14ac:dyDescent="0.15">
      <c r="B86" s="149" t="s">
        <v>135</v>
      </c>
      <c r="C86" s="57" t="s">
        <v>103</v>
      </c>
      <c r="D86" s="151" t="s">
        <v>173</v>
      </c>
      <c r="E86" s="152"/>
      <c r="F86" s="152"/>
      <c r="G86" s="152"/>
      <c r="H86" s="152"/>
      <c r="I86" s="152"/>
      <c r="J86" s="152"/>
      <c r="K86" s="152"/>
      <c r="L86" s="152"/>
      <c r="M86" s="152"/>
      <c r="N86" s="152"/>
      <c r="O86" s="152"/>
      <c r="P86" s="152"/>
      <c r="Q86" s="152"/>
      <c r="R86" s="152"/>
      <c r="S86" s="152"/>
      <c r="T86" s="152"/>
      <c r="U86" s="152"/>
      <c r="V86" s="152"/>
      <c r="W86" s="152"/>
      <c r="X86" s="152"/>
      <c r="Y86" s="152"/>
      <c r="Z86" s="153"/>
    </row>
    <row r="87" spans="1:26" ht="66" customHeight="1" x14ac:dyDescent="0.15">
      <c r="B87" s="150"/>
      <c r="C87" s="53" t="s">
        <v>105</v>
      </c>
      <c r="D87" s="154" t="s">
        <v>174</v>
      </c>
      <c r="E87" s="155"/>
      <c r="F87" s="155"/>
      <c r="G87" s="155"/>
      <c r="H87" s="155"/>
      <c r="I87" s="155"/>
      <c r="J87" s="155"/>
      <c r="K87" s="155"/>
      <c r="L87" s="155"/>
      <c r="M87" s="155"/>
      <c r="N87" s="155"/>
      <c r="O87" s="155"/>
      <c r="P87" s="155"/>
      <c r="Q87" s="155"/>
      <c r="R87" s="155"/>
      <c r="S87" s="155"/>
      <c r="T87" s="155"/>
      <c r="U87" s="155"/>
      <c r="V87" s="155"/>
      <c r="W87" s="155"/>
      <c r="X87" s="155"/>
      <c r="Y87" s="155"/>
      <c r="Z87" s="156"/>
    </row>
    <row r="88" spans="1:26" ht="90" customHeight="1" x14ac:dyDescent="0.15">
      <c r="B88" s="149" t="s">
        <v>136</v>
      </c>
      <c r="C88" s="52" t="s">
        <v>102</v>
      </c>
      <c r="D88" s="158" t="s">
        <v>180</v>
      </c>
      <c r="E88" s="159"/>
      <c r="F88" s="159"/>
      <c r="G88" s="159"/>
      <c r="H88" s="159"/>
      <c r="I88" s="159"/>
      <c r="J88" s="159"/>
      <c r="K88" s="159"/>
      <c r="L88" s="159"/>
      <c r="M88" s="159"/>
      <c r="N88" s="159"/>
      <c r="O88" s="159"/>
      <c r="P88" s="159"/>
      <c r="Q88" s="159"/>
      <c r="R88" s="159"/>
      <c r="S88" s="159"/>
      <c r="T88" s="159"/>
      <c r="U88" s="159"/>
      <c r="V88" s="159"/>
      <c r="W88" s="159"/>
      <c r="X88" s="159"/>
      <c r="Y88" s="159"/>
      <c r="Z88" s="160"/>
    </row>
    <row r="89" spans="1:26" ht="54" customHeight="1" x14ac:dyDescent="0.15">
      <c r="B89" s="150"/>
      <c r="C89" s="53" t="s">
        <v>131</v>
      </c>
      <c r="D89" s="161" t="s">
        <v>175</v>
      </c>
      <c r="E89" s="162"/>
      <c r="F89" s="162"/>
      <c r="G89" s="162"/>
      <c r="H89" s="162"/>
      <c r="I89" s="162"/>
      <c r="J89" s="162"/>
      <c r="K89" s="162"/>
      <c r="L89" s="162"/>
      <c r="M89" s="162"/>
      <c r="N89" s="162"/>
      <c r="O89" s="162"/>
      <c r="P89" s="162"/>
      <c r="Q89" s="162"/>
      <c r="R89" s="162"/>
      <c r="S89" s="162"/>
      <c r="T89" s="162"/>
      <c r="U89" s="162"/>
      <c r="V89" s="162"/>
      <c r="W89" s="162"/>
      <c r="X89" s="162"/>
      <c r="Y89" s="162"/>
      <c r="Z89" s="163"/>
    </row>
    <row r="90" spans="1:26" ht="54" customHeight="1" x14ac:dyDescent="0.15">
      <c r="B90" s="157"/>
      <c r="C90" s="54" t="s">
        <v>132</v>
      </c>
      <c r="D90" s="164" t="s">
        <v>176</v>
      </c>
      <c r="E90" s="145"/>
      <c r="F90" s="145"/>
      <c r="G90" s="145"/>
      <c r="H90" s="145"/>
      <c r="I90" s="145"/>
      <c r="J90" s="145"/>
      <c r="K90" s="145"/>
      <c r="L90" s="145"/>
      <c r="M90" s="145"/>
      <c r="N90" s="145"/>
      <c r="O90" s="145"/>
      <c r="P90" s="145"/>
      <c r="Q90" s="145"/>
      <c r="R90" s="145"/>
      <c r="S90" s="145"/>
      <c r="T90" s="145"/>
      <c r="U90" s="145"/>
      <c r="V90" s="145"/>
      <c r="W90" s="145"/>
      <c r="X90" s="145"/>
      <c r="Y90" s="145"/>
      <c r="Z90" s="146"/>
    </row>
    <row r="91" spans="1:26" ht="6" customHeight="1" x14ac:dyDescent="0.15"/>
    <row r="92" spans="1:26" ht="18.75" customHeight="1" x14ac:dyDescent="0.15">
      <c r="A92" s="5" t="s">
        <v>140</v>
      </c>
    </row>
    <row r="93" spans="1:26" ht="18.75" customHeight="1" x14ac:dyDescent="0.15">
      <c r="B93" s="139" t="s">
        <v>177</v>
      </c>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1"/>
    </row>
    <row r="94" spans="1:26" ht="18.75" customHeight="1" x14ac:dyDescent="0.15">
      <c r="B94" s="142"/>
      <c r="C94" s="131"/>
      <c r="D94" s="131"/>
      <c r="E94" s="131"/>
      <c r="F94" s="131"/>
      <c r="G94" s="131"/>
      <c r="H94" s="131"/>
      <c r="I94" s="131"/>
      <c r="J94" s="131"/>
      <c r="K94" s="131"/>
      <c r="L94" s="131"/>
      <c r="M94" s="131"/>
      <c r="N94" s="131"/>
      <c r="O94" s="131"/>
      <c r="P94" s="131"/>
      <c r="Q94" s="131"/>
      <c r="R94" s="131"/>
      <c r="S94" s="131"/>
      <c r="T94" s="131"/>
      <c r="U94" s="131"/>
      <c r="V94" s="131"/>
      <c r="W94" s="131"/>
      <c r="X94" s="131"/>
      <c r="Y94" s="131"/>
      <c r="Z94" s="143"/>
    </row>
    <row r="95" spans="1:26" ht="18.75" customHeight="1" x14ac:dyDescent="0.15">
      <c r="B95" s="144"/>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6"/>
    </row>
    <row r="96" spans="1:26" ht="6" customHeight="1" x14ac:dyDescent="0.15"/>
    <row r="97" spans="1:26" ht="15" customHeight="1" x14ac:dyDescent="0.15">
      <c r="A97" s="5" t="s">
        <v>141</v>
      </c>
    </row>
    <row r="98" spans="1:26" ht="15" customHeight="1" x14ac:dyDescent="0.15">
      <c r="B98" s="147" t="s">
        <v>194</v>
      </c>
      <c r="C98" s="112"/>
      <c r="D98" s="112"/>
      <c r="E98" s="112"/>
      <c r="F98" s="112"/>
      <c r="G98" s="112"/>
      <c r="H98" s="112"/>
      <c r="I98" s="112"/>
      <c r="J98" s="112"/>
      <c r="K98" s="112"/>
      <c r="L98" s="112"/>
      <c r="M98" s="112"/>
      <c r="N98" s="112"/>
      <c r="O98" s="112"/>
      <c r="P98" s="112"/>
      <c r="Q98" s="112"/>
      <c r="R98" s="112"/>
      <c r="S98" s="112"/>
      <c r="T98" s="112"/>
      <c r="U98" s="112"/>
      <c r="V98" s="112"/>
      <c r="W98" s="112"/>
      <c r="X98" s="112"/>
      <c r="Y98" s="112"/>
      <c r="Z98" s="148"/>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xr:uid="{5D71214E-85B0-497D-9184-85C6E1292A4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C12F4654-202E-484B-A046-1FD59F5633DB}">
      <formula1>"学部・学科によって、修了要件は相違する,学部・学科によって、修了要件は相違しない"</formula1>
    </dataValidation>
    <dataValidation type="list" allowBlank="1" showInputMessage="1" showErrorMessage="1" sqref="Z23 Z34 D34:K34 D23:K23 V16:V22 I16:I22 V27:V33 H60:H66 V38:V44 I27:I33 V49:V55 I38:I44 U60:U66 I49:I55" xr:uid="{32FEBD20-E125-44A0-9228-6C640AA8B439}">
      <formula1>"全学開講,一部開講"</formula1>
    </dataValidation>
    <dataValidation type="list" allowBlank="1" showInputMessage="1" showErrorMessage="1" sqref="Y16:Z22 L16:M22 Y27:Z33 H27:H33 H38:H44 Y38:Z44 H49:H55 Y49:Z55 Y60:Z66 L60:M66 H16:H22 U16:U22 T60:T66 U27:U33 L27:M33 U38:U44 L38:M44 U49:U55 G60:G66 L49:M55 K60" xr:uid="{CFF15A43-6E90-4686-B8CB-089F764D4FFD}">
      <formula1>"○"</formula1>
    </dataValidation>
  </dataValidations>
  <hyperlinks>
    <hyperlink ref="B98" r:id="rId1" xr:uid="{518F7AAC-B246-4527-8821-FC465252EF84}"/>
  </hyperlinks>
  <printOptions horizontalCentered="1"/>
  <pageMargins left="0.78740157480314965" right="0.78740157480314965" top="0.59055118110236227" bottom="0.19685039370078741" header="0.31496062992125984" footer="0.19685039370078741"/>
  <pageSetup paperSize="9" scale="92"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T30"/>
  <sheetViews>
    <sheetView view="pageBreakPreview" zoomScaleNormal="100" zoomScaleSheetLayoutView="100" workbookViewId="0"/>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17" t="s">
        <v>60</v>
      </c>
      <c r="G1" s="217"/>
      <c r="H1" s="217"/>
      <c r="I1" s="217"/>
      <c r="J1" s="217"/>
      <c r="K1" s="217"/>
      <c r="L1" s="217"/>
      <c r="M1" s="217"/>
      <c r="N1" s="217"/>
      <c r="O1" s="217"/>
      <c r="P1" s="217"/>
      <c r="Q1" s="217"/>
      <c r="R1" s="217"/>
    </row>
    <row r="2" spans="1:20" ht="18" customHeight="1" x14ac:dyDescent="0.15">
      <c r="A2" s="218" t="s">
        <v>86</v>
      </c>
      <c r="B2" s="218"/>
      <c r="C2" s="218"/>
      <c r="D2" s="218"/>
      <c r="E2" s="218"/>
      <c r="F2" s="218"/>
      <c r="G2" s="218"/>
      <c r="H2" s="218"/>
      <c r="I2" s="218"/>
      <c r="J2" s="218"/>
      <c r="K2" s="218"/>
      <c r="L2" s="218"/>
      <c r="M2" s="218"/>
      <c r="N2" s="218"/>
      <c r="O2" s="218"/>
      <c r="P2" s="218"/>
      <c r="Q2" s="218"/>
      <c r="R2" s="218"/>
      <c r="S2" s="2"/>
    </row>
    <row r="3" spans="1:20" ht="7.5" customHeight="1" x14ac:dyDescent="0.15">
      <c r="A3" s="18"/>
      <c r="B3" s="18"/>
      <c r="C3" s="18"/>
      <c r="D3" s="18"/>
      <c r="E3" s="18"/>
      <c r="F3" s="18"/>
      <c r="G3" s="18"/>
      <c r="H3" s="18"/>
      <c r="I3" s="18"/>
      <c r="J3" s="18"/>
      <c r="K3" s="18"/>
      <c r="L3" s="18"/>
      <c r="M3" s="18"/>
      <c r="N3" s="18"/>
      <c r="O3" s="18"/>
      <c r="P3" s="18"/>
      <c r="Q3" s="18"/>
      <c r="R3" s="18"/>
    </row>
    <row r="4" spans="1:20" ht="18" customHeight="1" x14ac:dyDescent="0.15">
      <c r="A4" s="2" t="s">
        <v>144</v>
      </c>
      <c r="B4" s="2"/>
      <c r="C4" s="219" t="str">
        <f>'様式１　大学等概要'!E12</f>
        <v>令和3</v>
      </c>
      <c r="D4" s="220"/>
      <c r="E4" s="18" t="s">
        <v>110</v>
      </c>
      <c r="F4" s="18"/>
      <c r="G4" s="18"/>
      <c r="H4" s="18"/>
      <c r="I4" s="18"/>
      <c r="J4" s="58"/>
      <c r="K4" s="18"/>
      <c r="L4" s="18"/>
      <c r="M4" s="79"/>
      <c r="N4" s="79"/>
      <c r="O4" s="79"/>
      <c r="P4" s="79"/>
      <c r="Q4" s="79"/>
      <c r="R4" s="79"/>
    </row>
    <row r="5" spans="1:20" ht="6" customHeight="1" x14ac:dyDescent="0.15">
      <c r="A5" s="18"/>
      <c r="B5" s="18"/>
      <c r="C5" s="18"/>
      <c r="D5" s="18"/>
      <c r="E5" s="18"/>
      <c r="F5" s="18"/>
      <c r="G5" s="18"/>
      <c r="H5" s="18"/>
      <c r="I5" s="18"/>
      <c r="J5" s="18"/>
      <c r="K5" s="18"/>
      <c r="L5" s="18"/>
      <c r="M5" s="18"/>
      <c r="N5" s="18"/>
      <c r="O5" s="18"/>
      <c r="P5" s="18"/>
      <c r="Q5" s="18"/>
      <c r="R5" s="18"/>
    </row>
    <row r="6" spans="1:20" ht="18" customHeight="1" x14ac:dyDescent="0.15">
      <c r="A6" s="2" t="s">
        <v>142</v>
      </c>
      <c r="B6" s="18"/>
      <c r="C6" s="18"/>
      <c r="D6" s="18"/>
      <c r="E6" s="18"/>
      <c r="F6" s="18"/>
      <c r="G6" s="18"/>
      <c r="H6" s="18"/>
      <c r="I6" s="18"/>
      <c r="J6" s="18"/>
      <c r="K6" s="18"/>
      <c r="L6" s="18"/>
      <c r="M6" s="18"/>
      <c r="N6" s="18"/>
      <c r="O6" s="18"/>
      <c r="P6" s="18"/>
      <c r="Q6" s="18"/>
      <c r="R6" s="18"/>
    </row>
    <row r="7" spans="1:20" ht="6" customHeight="1" x14ac:dyDescent="0.15">
      <c r="A7" s="2"/>
      <c r="B7" s="18"/>
      <c r="C7" s="18"/>
      <c r="D7" s="18"/>
      <c r="E7" s="18"/>
      <c r="F7" s="18"/>
      <c r="G7" s="18"/>
      <c r="H7" s="18"/>
      <c r="I7" s="18"/>
      <c r="J7" s="18"/>
      <c r="K7" s="18"/>
      <c r="L7" s="18"/>
      <c r="M7" s="18"/>
      <c r="N7" s="18"/>
      <c r="O7" s="18"/>
      <c r="P7" s="18"/>
      <c r="Q7" s="18"/>
      <c r="R7" s="18"/>
    </row>
    <row r="8" spans="1:20" ht="18" customHeight="1" x14ac:dyDescent="0.15">
      <c r="B8" s="221" t="s">
        <v>76</v>
      </c>
      <c r="C8" s="223" t="s">
        <v>81</v>
      </c>
      <c r="D8" s="225" t="s">
        <v>65</v>
      </c>
      <c r="E8" s="227" t="s">
        <v>87</v>
      </c>
      <c r="F8" s="227"/>
      <c r="G8" s="227" t="s">
        <v>88</v>
      </c>
      <c r="H8" s="227"/>
      <c r="I8" s="227" t="s">
        <v>89</v>
      </c>
      <c r="J8" s="227"/>
      <c r="K8" s="228" t="s">
        <v>90</v>
      </c>
      <c r="L8" s="229"/>
      <c r="M8" s="228" t="s">
        <v>91</v>
      </c>
      <c r="N8" s="229"/>
      <c r="O8" s="228" t="s">
        <v>92</v>
      </c>
      <c r="P8" s="229"/>
      <c r="Q8" s="230" t="s">
        <v>59</v>
      </c>
      <c r="R8" s="232" t="s">
        <v>54</v>
      </c>
      <c r="T8" s="17"/>
    </row>
    <row r="9" spans="1:20" ht="18" customHeight="1" x14ac:dyDescent="0.15">
      <c r="A9" s="2"/>
      <c r="B9" s="222"/>
      <c r="C9" s="224"/>
      <c r="D9" s="226"/>
      <c r="E9" s="19" t="s">
        <v>45</v>
      </c>
      <c r="F9" s="20" t="s">
        <v>44</v>
      </c>
      <c r="G9" s="21" t="s">
        <v>45</v>
      </c>
      <c r="H9" s="22" t="s">
        <v>44</v>
      </c>
      <c r="I9" s="19" t="s">
        <v>45</v>
      </c>
      <c r="J9" s="20" t="s">
        <v>44</v>
      </c>
      <c r="K9" s="21" t="s">
        <v>45</v>
      </c>
      <c r="L9" s="22" t="s">
        <v>44</v>
      </c>
      <c r="M9" s="19" t="s">
        <v>45</v>
      </c>
      <c r="N9" s="20" t="s">
        <v>44</v>
      </c>
      <c r="O9" s="21" t="s">
        <v>45</v>
      </c>
      <c r="P9" s="22" t="s">
        <v>44</v>
      </c>
      <c r="Q9" s="231"/>
      <c r="R9" s="233"/>
      <c r="T9" s="17"/>
    </row>
    <row r="10" spans="1:20" ht="18" customHeight="1" x14ac:dyDescent="0.15">
      <c r="A10" s="23"/>
      <c r="B10" s="59" t="s">
        <v>146</v>
      </c>
      <c r="C10" s="23">
        <v>120</v>
      </c>
      <c r="D10" s="24">
        <v>480</v>
      </c>
      <c r="E10" s="25">
        <v>137</v>
      </c>
      <c r="F10" s="26">
        <v>129</v>
      </c>
      <c r="G10" s="27">
        <v>0</v>
      </c>
      <c r="H10" s="28">
        <v>0</v>
      </c>
      <c r="I10" s="25">
        <v>0</v>
      </c>
      <c r="J10" s="26">
        <v>0</v>
      </c>
      <c r="K10" s="27">
        <v>0</v>
      </c>
      <c r="L10" s="28">
        <v>0</v>
      </c>
      <c r="M10" s="25">
        <v>0</v>
      </c>
      <c r="N10" s="26">
        <v>0</v>
      </c>
      <c r="O10" s="27">
        <v>0</v>
      </c>
      <c r="P10" s="28">
        <v>0</v>
      </c>
      <c r="Q10" s="29">
        <f>E10+G10+I10+K10+M10+O10</f>
        <v>137</v>
      </c>
      <c r="R10" s="30">
        <f>Q10/D10</f>
        <v>0.28541666666666665</v>
      </c>
    </row>
    <row r="11" spans="1:20" ht="18" customHeight="1" x14ac:dyDescent="0.15">
      <c r="A11" s="23"/>
      <c r="B11" s="60" t="s">
        <v>147</v>
      </c>
      <c r="C11" s="39">
        <v>60</v>
      </c>
      <c r="D11" s="32">
        <v>240</v>
      </c>
      <c r="E11" s="33">
        <v>47</v>
      </c>
      <c r="F11" s="34">
        <v>46</v>
      </c>
      <c r="G11" s="35">
        <v>0</v>
      </c>
      <c r="H11" s="36">
        <v>0</v>
      </c>
      <c r="I11" s="33">
        <v>0</v>
      </c>
      <c r="J11" s="34">
        <v>0</v>
      </c>
      <c r="K11" s="35">
        <v>0</v>
      </c>
      <c r="L11" s="36">
        <v>0</v>
      </c>
      <c r="M11" s="33">
        <v>0</v>
      </c>
      <c r="N11" s="34">
        <v>0</v>
      </c>
      <c r="O11" s="35">
        <v>0</v>
      </c>
      <c r="P11" s="36">
        <v>0</v>
      </c>
      <c r="Q11" s="37">
        <f t="shared" ref="Q11:Q29" si="0">E11+G11+I11+K11+M11+O11</f>
        <v>47</v>
      </c>
      <c r="R11" s="38">
        <f t="shared" ref="R11:R29" si="1">Q11/D11</f>
        <v>0.19583333333333333</v>
      </c>
    </row>
    <row r="12" spans="1:20" ht="18" customHeight="1" x14ac:dyDescent="0.15">
      <c r="A12" s="23"/>
      <c r="B12" s="60" t="s">
        <v>148</v>
      </c>
      <c r="C12" s="39">
        <v>80</v>
      </c>
      <c r="D12" s="32">
        <v>320</v>
      </c>
      <c r="E12" s="33">
        <v>86</v>
      </c>
      <c r="F12" s="34">
        <v>81</v>
      </c>
      <c r="G12" s="35">
        <v>0</v>
      </c>
      <c r="H12" s="36">
        <v>0</v>
      </c>
      <c r="I12" s="33">
        <v>0</v>
      </c>
      <c r="J12" s="34">
        <v>0</v>
      </c>
      <c r="K12" s="35">
        <v>0</v>
      </c>
      <c r="L12" s="36">
        <v>0</v>
      </c>
      <c r="M12" s="33">
        <v>0</v>
      </c>
      <c r="N12" s="34">
        <v>0</v>
      </c>
      <c r="O12" s="35">
        <v>0</v>
      </c>
      <c r="P12" s="36">
        <v>0</v>
      </c>
      <c r="Q12" s="37">
        <f t="shared" si="0"/>
        <v>86</v>
      </c>
      <c r="R12" s="38">
        <f t="shared" si="1"/>
        <v>0.26874999999999999</v>
      </c>
    </row>
    <row r="13" spans="1:20" ht="18" customHeight="1" x14ac:dyDescent="0.15">
      <c r="A13" s="23"/>
      <c r="B13" s="60"/>
      <c r="C13" s="39"/>
      <c r="D13" s="32"/>
      <c r="E13" s="33"/>
      <c r="F13" s="34"/>
      <c r="G13" s="35"/>
      <c r="H13" s="36"/>
      <c r="I13" s="33"/>
      <c r="J13" s="34"/>
      <c r="K13" s="35"/>
      <c r="L13" s="36"/>
      <c r="M13" s="33"/>
      <c r="N13" s="34"/>
      <c r="O13" s="35"/>
      <c r="P13" s="36"/>
      <c r="Q13" s="37">
        <f t="shared" si="0"/>
        <v>0</v>
      </c>
      <c r="R13" s="38" t="e">
        <f t="shared" si="1"/>
        <v>#DIV/0!</v>
      </c>
    </row>
    <row r="14" spans="1:20" ht="18" customHeight="1" x14ac:dyDescent="0.15">
      <c r="A14" s="23"/>
      <c r="B14" s="60"/>
      <c r="C14" s="39"/>
      <c r="D14" s="32"/>
      <c r="E14" s="33"/>
      <c r="F14" s="34"/>
      <c r="G14" s="35"/>
      <c r="H14" s="36"/>
      <c r="I14" s="33"/>
      <c r="J14" s="34"/>
      <c r="K14" s="35"/>
      <c r="L14" s="36"/>
      <c r="M14" s="33"/>
      <c r="N14" s="34"/>
      <c r="O14" s="35"/>
      <c r="P14" s="36"/>
      <c r="Q14" s="37">
        <f t="shared" si="0"/>
        <v>0</v>
      </c>
      <c r="R14" s="38" t="e">
        <f t="shared" si="1"/>
        <v>#DIV/0!</v>
      </c>
    </row>
    <row r="15" spans="1:20" ht="18" customHeight="1" x14ac:dyDescent="0.15">
      <c r="A15" s="23"/>
      <c r="B15" s="60"/>
      <c r="C15" s="39"/>
      <c r="D15" s="32"/>
      <c r="E15" s="33"/>
      <c r="F15" s="34"/>
      <c r="G15" s="35"/>
      <c r="H15" s="36"/>
      <c r="I15" s="33"/>
      <c r="J15" s="34"/>
      <c r="K15" s="35"/>
      <c r="L15" s="36"/>
      <c r="M15" s="33"/>
      <c r="N15" s="34"/>
      <c r="O15" s="35"/>
      <c r="P15" s="36"/>
      <c r="Q15" s="37">
        <f t="shared" si="0"/>
        <v>0</v>
      </c>
      <c r="R15" s="38" t="e">
        <f t="shared" si="1"/>
        <v>#DIV/0!</v>
      </c>
    </row>
    <row r="16" spans="1:20" ht="18" customHeight="1" x14ac:dyDescent="0.15">
      <c r="A16" s="23"/>
      <c r="B16" s="60"/>
      <c r="C16" s="39"/>
      <c r="D16" s="32"/>
      <c r="E16" s="33"/>
      <c r="F16" s="34"/>
      <c r="G16" s="35"/>
      <c r="H16" s="36"/>
      <c r="I16" s="33"/>
      <c r="J16" s="34"/>
      <c r="K16" s="35"/>
      <c r="L16" s="36"/>
      <c r="M16" s="33"/>
      <c r="N16" s="34"/>
      <c r="O16" s="35"/>
      <c r="P16" s="36"/>
      <c r="Q16" s="37">
        <f t="shared" si="0"/>
        <v>0</v>
      </c>
      <c r="R16" s="38" t="e">
        <f t="shared" si="1"/>
        <v>#DIV/0!</v>
      </c>
    </row>
    <row r="17" spans="1:18" ht="18" customHeight="1" x14ac:dyDescent="0.15">
      <c r="A17" s="23"/>
      <c r="B17" s="60"/>
      <c r="C17" s="39"/>
      <c r="D17" s="32"/>
      <c r="E17" s="33"/>
      <c r="F17" s="34"/>
      <c r="G17" s="35"/>
      <c r="H17" s="36"/>
      <c r="I17" s="33"/>
      <c r="J17" s="34"/>
      <c r="K17" s="35"/>
      <c r="L17" s="36"/>
      <c r="M17" s="33"/>
      <c r="N17" s="34"/>
      <c r="O17" s="35"/>
      <c r="P17" s="36"/>
      <c r="Q17" s="37">
        <f t="shared" si="0"/>
        <v>0</v>
      </c>
      <c r="R17" s="38" t="e">
        <f t="shared" si="1"/>
        <v>#DIV/0!</v>
      </c>
    </row>
    <row r="18" spans="1:18" ht="18" customHeight="1" x14ac:dyDescent="0.15">
      <c r="A18" s="23"/>
      <c r="B18" s="60"/>
      <c r="C18" s="39"/>
      <c r="D18" s="32"/>
      <c r="E18" s="33"/>
      <c r="F18" s="34"/>
      <c r="G18" s="35"/>
      <c r="H18" s="36"/>
      <c r="I18" s="33"/>
      <c r="J18" s="34"/>
      <c r="K18" s="35"/>
      <c r="L18" s="36"/>
      <c r="M18" s="33"/>
      <c r="N18" s="34"/>
      <c r="O18" s="35"/>
      <c r="P18" s="36"/>
      <c r="Q18" s="37">
        <f>E18+G18+I18+K18+M18+O18</f>
        <v>0</v>
      </c>
      <c r="R18" s="38" t="e">
        <f t="shared" si="1"/>
        <v>#DIV/0!</v>
      </c>
    </row>
    <row r="19" spans="1:18" ht="18" customHeight="1" x14ac:dyDescent="0.15">
      <c r="A19" s="23"/>
      <c r="B19" s="60"/>
      <c r="C19" s="39"/>
      <c r="D19" s="32"/>
      <c r="E19" s="33"/>
      <c r="F19" s="34"/>
      <c r="G19" s="35"/>
      <c r="H19" s="36"/>
      <c r="I19" s="33"/>
      <c r="J19" s="34"/>
      <c r="K19" s="35"/>
      <c r="L19" s="36"/>
      <c r="M19" s="33"/>
      <c r="N19" s="34"/>
      <c r="O19" s="35"/>
      <c r="P19" s="36"/>
      <c r="Q19" s="37">
        <f t="shared" si="0"/>
        <v>0</v>
      </c>
      <c r="R19" s="38" t="e">
        <f t="shared" si="1"/>
        <v>#DIV/0!</v>
      </c>
    </row>
    <row r="20" spans="1:18" ht="18" customHeight="1" x14ac:dyDescent="0.15">
      <c r="A20" s="23"/>
      <c r="B20" s="60"/>
      <c r="C20" s="39"/>
      <c r="D20" s="32"/>
      <c r="E20" s="33"/>
      <c r="F20" s="34"/>
      <c r="G20" s="35"/>
      <c r="H20" s="36"/>
      <c r="I20" s="33"/>
      <c r="J20" s="34"/>
      <c r="K20" s="35"/>
      <c r="L20" s="36"/>
      <c r="M20" s="33"/>
      <c r="N20" s="34"/>
      <c r="O20" s="35"/>
      <c r="P20" s="36"/>
      <c r="Q20" s="37">
        <f t="shared" si="0"/>
        <v>0</v>
      </c>
      <c r="R20" s="38" t="e">
        <f t="shared" si="1"/>
        <v>#DIV/0!</v>
      </c>
    </row>
    <row r="21" spans="1:18" ht="18" customHeight="1" x14ac:dyDescent="0.15">
      <c r="A21" s="23"/>
      <c r="B21" s="60"/>
      <c r="C21" s="39"/>
      <c r="D21" s="32"/>
      <c r="E21" s="33"/>
      <c r="F21" s="34"/>
      <c r="G21" s="35"/>
      <c r="H21" s="36"/>
      <c r="I21" s="33"/>
      <c r="J21" s="34"/>
      <c r="K21" s="35"/>
      <c r="L21" s="36"/>
      <c r="M21" s="33"/>
      <c r="N21" s="34"/>
      <c r="O21" s="35"/>
      <c r="P21" s="36"/>
      <c r="Q21" s="37">
        <f t="shared" si="0"/>
        <v>0</v>
      </c>
      <c r="R21" s="38" t="e">
        <f t="shared" si="1"/>
        <v>#DIV/0!</v>
      </c>
    </row>
    <row r="22" spans="1:18" ht="18" customHeight="1" x14ac:dyDescent="0.15">
      <c r="A22" s="23"/>
      <c r="B22" s="60"/>
      <c r="C22" s="39"/>
      <c r="D22" s="32"/>
      <c r="E22" s="33"/>
      <c r="F22" s="34"/>
      <c r="G22" s="35"/>
      <c r="H22" s="36"/>
      <c r="I22" s="33"/>
      <c r="J22" s="34"/>
      <c r="K22" s="35"/>
      <c r="L22" s="36"/>
      <c r="M22" s="33"/>
      <c r="N22" s="34"/>
      <c r="O22" s="35"/>
      <c r="P22" s="36"/>
      <c r="Q22" s="37">
        <f t="shared" si="0"/>
        <v>0</v>
      </c>
      <c r="R22" s="38" t="e">
        <f t="shared" si="1"/>
        <v>#DIV/0!</v>
      </c>
    </row>
    <row r="23" spans="1:18" ht="18" customHeight="1" x14ac:dyDescent="0.15">
      <c r="A23" s="23"/>
      <c r="B23" s="60"/>
      <c r="C23" s="39"/>
      <c r="D23" s="32"/>
      <c r="E23" s="33"/>
      <c r="F23" s="34"/>
      <c r="G23" s="35"/>
      <c r="H23" s="36"/>
      <c r="I23" s="33"/>
      <c r="J23" s="34"/>
      <c r="K23" s="35"/>
      <c r="L23" s="36"/>
      <c r="M23" s="33"/>
      <c r="N23" s="34"/>
      <c r="O23" s="35"/>
      <c r="P23" s="36"/>
      <c r="Q23" s="37">
        <f t="shared" si="0"/>
        <v>0</v>
      </c>
      <c r="R23" s="38" t="e">
        <f t="shared" si="1"/>
        <v>#DIV/0!</v>
      </c>
    </row>
    <row r="24" spans="1:18" ht="18" customHeight="1" x14ac:dyDescent="0.15">
      <c r="A24" s="23"/>
      <c r="B24" s="60"/>
      <c r="C24" s="39"/>
      <c r="D24" s="32"/>
      <c r="E24" s="33"/>
      <c r="F24" s="34"/>
      <c r="G24" s="35"/>
      <c r="H24" s="36"/>
      <c r="I24" s="33"/>
      <c r="J24" s="34"/>
      <c r="K24" s="35"/>
      <c r="L24" s="36"/>
      <c r="M24" s="33"/>
      <c r="N24" s="34"/>
      <c r="O24" s="35"/>
      <c r="P24" s="36"/>
      <c r="Q24" s="37">
        <f t="shared" si="0"/>
        <v>0</v>
      </c>
      <c r="R24" s="38" t="e">
        <f t="shared" si="1"/>
        <v>#DIV/0!</v>
      </c>
    </row>
    <row r="25" spans="1:18" ht="18" customHeight="1" x14ac:dyDescent="0.15">
      <c r="A25" s="23"/>
      <c r="B25" s="60"/>
      <c r="C25" s="39"/>
      <c r="D25" s="32"/>
      <c r="E25" s="33"/>
      <c r="F25" s="34"/>
      <c r="G25" s="35"/>
      <c r="H25" s="36"/>
      <c r="I25" s="33"/>
      <c r="J25" s="34"/>
      <c r="K25" s="35"/>
      <c r="L25" s="36"/>
      <c r="M25" s="33"/>
      <c r="N25" s="34"/>
      <c r="O25" s="35"/>
      <c r="P25" s="36"/>
      <c r="Q25" s="37">
        <f t="shared" si="0"/>
        <v>0</v>
      </c>
      <c r="R25" s="38" t="e">
        <f t="shared" si="1"/>
        <v>#DIV/0!</v>
      </c>
    </row>
    <row r="26" spans="1:18" ht="18" customHeight="1" x14ac:dyDescent="0.15">
      <c r="A26" s="23"/>
      <c r="B26" s="60"/>
      <c r="C26" s="39"/>
      <c r="D26" s="32"/>
      <c r="E26" s="33"/>
      <c r="F26" s="34"/>
      <c r="G26" s="35"/>
      <c r="H26" s="36"/>
      <c r="I26" s="33"/>
      <c r="J26" s="34"/>
      <c r="K26" s="35"/>
      <c r="L26" s="36"/>
      <c r="M26" s="33"/>
      <c r="N26" s="34"/>
      <c r="O26" s="35"/>
      <c r="P26" s="36"/>
      <c r="Q26" s="37">
        <f t="shared" si="0"/>
        <v>0</v>
      </c>
      <c r="R26" s="38" t="e">
        <f t="shared" si="1"/>
        <v>#DIV/0!</v>
      </c>
    </row>
    <row r="27" spans="1:18" ht="18" customHeight="1" x14ac:dyDescent="0.15">
      <c r="A27" s="23"/>
      <c r="B27" s="60"/>
      <c r="C27" s="31"/>
      <c r="D27" s="32"/>
      <c r="E27" s="33"/>
      <c r="F27" s="34"/>
      <c r="G27" s="35"/>
      <c r="H27" s="36"/>
      <c r="I27" s="33"/>
      <c r="J27" s="34"/>
      <c r="K27" s="35"/>
      <c r="L27" s="36"/>
      <c r="M27" s="33"/>
      <c r="N27" s="34"/>
      <c r="O27" s="35"/>
      <c r="P27" s="36"/>
      <c r="Q27" s="37">
        <f t="shared" si="0"/>
        <v>0</v>
      </c>
      <c r="R27" s="38" t="e">
        <f t="shared" si="1"/>
        <v>#DIV/0!</v>
      </c>
    </row>
    <row r="28" spans="1:18" ht="18" customHeight="1" x14ac:dyDescent="0.15">
      <c r="A28" s="23"/>
      <c r="B28" s="60"/>
      <c r="C28" s="31"/>
      <c r="D28" s="32"/>
      <c r="E28" s="33"/>
      <c r="F28" s="34"/>
      <c r="G28" s="35"/>
      <c r="H28" s="36"/>
      <c r="I28" s="33"/>
      <c r="J28" s="34"/>
      <c r="K28" s="35"/>
      <c r="L28" s="36"/>
      <c r="M28" s="33"/>
      <c r="N28" s="34"/>
      <c r="O28" s="35"/>
      <c r="P28" s="36"/>
      <c r="Q28" s="37">
        <f t="shared" si="0"/>
        <v>0</v>
      </c>
      <c r="R28" s="38" t="e">
        <f t="shared" si="1"/>
        <v>#DIV/0!</v>
      </c>
    </row>
    <row r="29" spans="1:18" ht="18" customHeight="1" thickBot="1" x14ac:dyDescent="0.2">
      <c r="A29" s="23"/>
      <c r="B29" s="61"/>
      <c r="C29" s="62"/>
      <c r="D29" s="24"/>
      <c r="E29" s="25"/>
      <c r="F29" s="26"/>
      <c r="G29" s="27"/>
      <c r="H29" s="28"/>
      <c r="I29" s="25"/>
      <c r="J29" s="26"/>
      <c r="K29" s="27"/>
      <c r="L29" s="28"/>
      <c r="M29" s="25"/>
      <c r="N29" s="26"/>
      <c r="O29" s="27"/>
      <c r="P29" s="28"/>
      <c r="Q29" s="40">
        <f t="shared" si="0"/>
        <v>0</v>
      </c>
      <c r="R29" s="30" t="e">
        <f t="shared" si="1"/>
        <v>#DIV/0!</v>
      </c>
    </row>
    <row r="30" spans="1:18" ht="18" customHeight="1" thickTop="1" x14ac:dyDescent="0.15">
      <c r="B30" s="63" t="s">
        <v>55</v>
      </c>
      <c r="C30" s="64">
        <f t="shared" ref="C30:Q30" si="2">SUM(C10:C29)</f>
        <v>260</v>
      </c>
      <c r="D30" s="41">
        <f t="shared" si="2"/>
        <v>1040</v>
      </c>
      <c r="E30" s="42">
        <f t="shared" si="2"/>
        <v>270</v>
      </c>
      <c r="F30" s="43">
        <f t="shared" si="2"/>
        <v>256</v>
      </c>
      <c r="G30" s="44">
        <f t="shared" si="2"/>
        <v>0</v>
      </c>
      <c r="H30" s="45">
        <f t="shared" si="2"/>
        <v>0</v>
      </c>
      <c r="I30" s="42">
        <f t="shared" si="2"/>
        <v>0</v>
      </c>
      <c r="J30" s="43">
        <f t="shared" si="2"/>
        <v>0</v>
      </c>
      <c r="K30" s="44">
        <f t="shared" si="2"/>
        <v>0</v>
      </c>
      <c r="L30" s="45">
        <f t="shared" si="2"/>
        <v>0</v>
      </c>
      <c r="M30" s="42">
        <f t="shared" si="2"/>
        <v>0</v>
      </c>
      <c r="N30" s="43">
        <f t="shared" si="2"/>
        <v>0</v>
      </c>
      <c r="O30" s="44">
        <f t="shared" si="2"/>
        <v>0</v>
      </c>
      <c r="P30" s="45">
        <f t="shared" si="2"/>
        <v>0</v>
      </c>
      <c r="Q30" s="46">
        <f t="shared" si="2"/>
        <v>270</v>
      </c>
      <c r="R30" s="47">
        <f>Q30/D30</f>
        <v>0.25961538461538464</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6610E-1A98-4190-8255-81BAB02AD29E}">
  <dimension ref="A1:K144"/>
  <sheetViews>
    <sheetView showZeros="0" view="pageBreakPreview" zoomScaleNormal="100" zoomScaleSheetLayoutView="100" workbookViewId="0"/>
  </sheetViews>
  <sheetFormatPr defaultColWidth="11.375" defaultRowHeight="18.75" customHeight="1" x14ac:dyDescent="0.15"/>
  <cols>
    <col min="1" max="1" width="2.625" style="108" customWidth="1"/>
    <col min="2" max="2" width="16.625" style="5" customWidth="1"/>
    <col min="3" max="3" width="8.875" style="5" customWidth="1"/>
    <col min="4" max="4" width="2.125" style="5" customWidth="1"/>
    <col min="5" max="5" width="16.625" style="5" customWidth="1"/>
    <col min="6" max="6" width="8.875" style="5" customWidth="1"/>
    <col min="7" max="7" width="2.125" style="5" customWidth="1"/>
    <col min="8" max="8" width="16.625" style="5" customWidth="1"/>
    <col min="9" max="9" width="8.875" style="5" customWidth="1"/>
    <col min="10" max="10" width="2.125" style="5" customWidth="1"/>
    <col min="11" max="16384" width="11.375" style="5"/>
  </cols>
  <sheetData>
    <row r="1" spans="1:11" ht="18.75" customHeight="1" x14ac:dyDescent="0.15">
      <c r="A1" s="108" t="s">
        <v>111</v>
      </c>
      <c r="J1" s="88" t="s">
        <v>112</v>
      </c>
    </row>
    <row r="2" spans="1:11" ht="18.75" customHeight="1" x14ac:dyDescent="0.15">
      <c r="A2" s="207" t="s">
        <v>61</v>
      </c>
      <c r="B2" s="207"/>
      <c r="C2" s="207"/>
      <c r="D2" s="207"/>
      <c r="E2" s="207"/>
      <c r="F2" s="207"/>
      <c r="G2" s="207"/>
      <c r="H2" s="207"/>
      <c r="I2" s="207"/>
      <c r="J2" s="207"/>
    </row>
    <row r="3" spans="1:11" ht="7.5" customHeight="1" x14ac:dyDescent="0.15">
      <c r="B3" s="86"/>
      <c r="C3" s="86"/>
      <c r="D3" s="86"/>
      <c r="E3" s="86"/>
      <c r="F3" s="86"/>
      <c r="G3" s="86"/>
      <c r="H3" s="86"/>
      <c r="I3" s="86"/>
      <c r="J3" s="86"/>
    </row>
    <row r="4" spans="1:11" ht="18.75" customHeight="1" x14ac:dyDescent="0.15">
      <c r="A4" s="5" t="s">
        <v>6</v>
      </c>
      <c r="B4" s="5" t="s">
        <v>69</v>
      </c>
      <c r="I4" s="86"/>
      <c r="J4" s="86"/>
    </row>
    <row r="5" spans="1:11" ht="18.75" customHeight="1" x14ac:dyDescent="0.15">
      <c r="A5" s="5"/>
      <c r="B5" s="111" t="s">
        <v>178</v>
      </c>
      <c r="C5" s="112"/>
      <c r="D5" s="112"/>
      <c r="E5" s="112"/>
      <c r="F5" s="112"/>
      <c r="G5" s="112"/>
      <c r="H5" s="112"/>
      <c r="I5" s="112"/>
      <c r="J5" s="148"/>
      <c r="K5" s="5" t="str">
        <f>IF(B5="","入力してください","")</f>
        <v/>
      </c>
    </row>
    <row r="6" spans="1:11" ht="7.5" customHeight="1" x14ac:dyDescent="0.15">
      <c r="B6" s="86"/>
      <c r="C6" s="86"/>
      <c r="D6" s="86"/>
      <c r="E6" s="86"/>
      <c r="F6" s="86"/>
      <c r="G6" s="86"/>
      <c r="H6" s="86"/>
      <c r="I6" s="86"/>
      <c r="J6" s="86"/>
    </row>
    <row r="7" spans="1:11" ht="18.75" customHeight="1" x14ac:dyDescent="0.15">
      <c r="A7" s="5" t="s">
        <v>10</v>
      </c>
      <c r="B7" s="5" t="s">
        <v>40</v>
      </c>
    </row>
    <row r="8" spans="1:11" ht="18.75" customHeight="1" x14ac:dyDescent="0.15">
      <c r="A8" s="51"/>
      <c r="B8" s="234" t="s">
        <v>189</v>
      </c>
      <c r="C8" s="235"/>
      <c r="D8" s="235"/>
      <c r="E8" s="235"/>
      <c r="F8" s="235"/>
      <c r="G8" s="235"/>
      <c r="H8" s="235"/>
      <c r="I8" s="243"/>
      <c r="J8" s="244"/>
      <c r="K8" s="5" t="str">
        <f>IF(B8="","入力してください","")</f>
        <v/>
      </c>
    </row>
    <row r="9" spans="1:11" ht="18.75" customHeight="1" x14ac:dyDescent="0.15">
      <c r="A9" s="51"/>
      <c r="B9" s="245"/>
      <c r="C9" s="246"/>
      <c r="D9" s="246"/>
      <c r="E9" s="246"/>
      <c r="F9" s="246"/>
      <c r="G9" s="246"/>
      <c r="H9" s="246"/>
      <c r="I9" s="246"/>
      <c r="J9" s="247"/>
    </row>
    <row r="10" spans="1:11" ht="18.75" customHeight="1" x14ac:dyDescent="0.15">
      <c r="A10" s="51"/>
      <c r="B10" s="245"/>
      <c r="C10" s="246"/>
      <c r="D10" s="246"/>
      <c r="E10" s="246"/>
      <c r="F10" s="246"/>
      <c r="G10" s="246"/>
      <c r="H10" s="246"/>
      <c r="I10" s="246"/>
      <c r="J10" s="247"/>
    </row>
    <row r="11" spans="1:11" ht="18.75" customHeight="1" x14ac:dyDescent="0.15">
      <c r="A11" s="51"/>
      <c r="B11" s="245"/>
      <c r="C11" s="246"/>
      <c r="D11" s="246"/>
      <c r="E11" s="246"/>
      <c r="F11" s="246"/>
      <c r="G11" s="246"/>
      <c r="H11" s="246"/>
      <c r="I11" s="246"/>
      <c r="J11" s="247"/>
    </row>
    <row r="12" spans="1:11" ht="18.75" customHeight="1" x14ac:dyDescent="0.15">
      <c r="A12" s="51"/>
      <c r="B12" s="248"/>
      <c r="C12" s="249"/>
      <c r="D12" s="249"/>
      <c r="E12" s="249"/>
      <c r="F12" s="249"/>
      <c r="G12" s="249"/>
      <c r="H12" s="249"/>
      <c r="I12" s="249"/>
      <c r="J12" s="250"/>
    </row>
    <row r="13" spans="1:11" ht="7.5" customHeight="1" x14ac:dyDescent="0.15">
      <c r="A13" s="51"/>
      <c r="B13" s="51"/>
      <c r="C13" s="51"/>
      <c r="D13" s="51"/>
      <c r="E13" s="51"/>
      <c r="F13" s="51"/>
      <c r="G13" s="51"/>
      <c r="H13" s="51"/>
      <c r="I13" s="51"/>
      <c r="J13" s="51"/>
    </row>
    <row r="14" spans="1:11" ht="18.75" customHeight="1" x14ac:dyDescent="0.15">
      <c r="A14" s="92" t="s">
        <v>11</v>
      </c>
      <c r="B14" s="92" t="s">
        <v>16</v>
      </c>
      <c r="C14" s="92"/>
      <c r="D14" s="92"/>
      <c r="E14" s="92"/>
      <c r="F14" s="92"/>
      <c r="G14" s="92"/>
      <c r="H14" s="92"/>
      <c r="I14" s="92"/>
      <c r="J14" s="92"/>
    </row>
    <row r="15" spans="1:11" ht="18.75" customHeight="1" x14ac:dyDescent="0.15">
      <c r="A15" s="51"/>
      <c r="B15" s="255" t="s">
        <v>187</v>
      </c>
      <c r="C15" s="235"/>
      <c r="D15" s="235"/>
      <c r="E15" s="235"/>
      <c r="F15" s="235"/>
      <c r="G15" s="235"/>
      <c r="H15" s="235"/>
      <c r="I15" s="243"/>
      <c r="J15" s="244"/>
      <c r="K15" s="5" t="str">
        <f>IF(B15="","入力してください","")</f>
        <v/>
      </c>
    </row>
    <row r="16" spans="1:11" ht="18.75" customHeight="1" x14ac:dyDescent="0.15">
      <c r="A16" s="51"/>
      <c r="B16" s="245"/>
      <c r="C16" s="246"/>
      <c r="D16" s="246"/>
      <c r="E16" s="246"/>
      <c r="F16" s="246"/>
      <c r="G16" s="246"/>
      <c r="H16" s="246"/>
      <c r="I16" s="246"/>
      <c r="J16" s="247"/>
    </row>
    <row r="17" spans="1:11" ht="18.75" customHeight="1" x14ac:dyDescent="0.15">
      <c r="A17" s="51"/>
      <c r="B17" s="245"/>
      <c r="C17" s="246"/>
      <c r="D17" s="246"/>
      <c r="E17" s="246"/>
      <c r="F17" s="246"/>
      <c r="G17" s="246"/>
      <c r="H17" s="246"/>
      <c r="I17" s="246"/>
      <c r="J17" s="247"/>
    </row>
    <row r="18" spans="1:11" ht="18.75" customHeight="1" x14ac:dyDescent="0.15">
      <c r="A18" s="51"/>
      <c r="B18" s="245"/>
      <c r="C18" s="246"/>
      <c r="D18" s="246"/>
      <c r="E18" s="246"/>
      <c r="F18" s="246"/>
      <c r="G18" s="246"/>
      <c r="H18" s="246"/>
      <c r="I18" s="246"/>
      <c r="J18" s="247"/>
    </row>
    <row r="19" spans="1:11" ht="18.75" customHeight="1" x14ac:dyDescent="0.15">
      <c r="A19" s="51"/>
      <c r="B19" s="245"/>
      <c r="C19" s="246"/>
      <c r="D19" s="246"/>
      <c r="E19" s="246"/>
      <c r="F19" s="246"/>
      <c r="G19" s="246"/>
      <c r="H19" s="246"/>
      <c r="I19" s="246"/>
      <c r="J19" s="247"/>
    </row>
    <row r="20" spans="1:11" ht="18.75" customHeight="1" x14ac:dyDescent="0.15">
      <c r="A20" s="51"/>
      <c r="B20" s="245"/>
      <c r="C20" s="246"/>
      <c r="D20" s="246"/>
      <c r="E20" s="246"/>
      <c r="F20" s="246"/>
      <c r="G20" s="246"/>
      <c r="H20" s="246"/>
      <c r="I20" s="246"/>
      <c r="J20" s="247"/>
    </row>
    <row r="21" spans="1:11" ht="18.75" customHeight="1" x14ac:dyDescent="0.15">
      <c r="A21" s="51"/>
      <c r="B21" s="245"/>
      <c r="C21" s="246"/>
      <c r="D21" s="246"/>
      <c r="E21" s="246"/>
      <c r="F21" s="246"/>
      <c r="G21" s="246"/>
      <c r="H21" s="246"/>
      <c r="I21" s="246"/>
      <c r="J21" s="247"/>
    </row>
    <row r="22" spans="1:11" ht="18.75" customHeight="1" x14ac:dyDescent="0.15">
      <c r="A22" s="51"/>
      <c r="B22" s="245"/>
      <c r="C22" s="246"/>
      <c r="D22" s="246"/>
      <c r="E22" s="246"/>
      <c r="F22" s="246"/>
      <c r="G22" s="246"/>
      <c r="H22" s="246"/>
      <c r="I22" s="246"/>
      <c r="J22" s="247"/>
    </row>
    <row r="23" spans="1:11" ht="18.75" customHeight="1" x14ac:dyDescent="0.15">
      <c r="A23" s="51"/>
      <c r="B23" s="245"/>
      <c r="C23" s="246"/>
      <c r="D23" s="246"/>
      <c r="E23" s="246"/>
      <c r="F23" s="246"/>
      <c r="G23" s="246"/>
      <c r="H23" s="246"/>
      <c r="I23" s="246"/>
      <c r="J23" s="247"/>
    </row>
    <row r="24" spans="1:11" ht="18.75" customHeight="1" x14ac:dyDescent="0.15">
      <c r="A24" s="51"/>
      <c r="B24" s="245"/>
      <c r="C24" s="246"/>
      <c r="D24" s="246"/>
      <c r="E24" s="246"/>
      <c r="F24" s="246"/>
      <c r="G24" s="246"/>
      <c r="H24" s="246"/>
      <c r="I24" s="246"/>
      <c r="J24" s="247"/>
    </row>
    <row r="25" spans="1:11" ht="18.75" customHeight="1" x14ac:dyDescent="0.15">
      <c r="A25" s="51"/>
      <c r="B25" s="248"/>
      <c r="C25" s="249"/>
      <c r="D25" s="249"/>
      <c r="E25" s="249"/>
      <c r="F25" s="249"/>
      <c r="G25" s="249"/>
      <c r="H25" s="249"/>
      <c r="I25" s="249"/>
      <c r="J25" s="250"/>
    </row>
    <row r="26" spans="1:11" ht="7.5" customHeight="1" x14ac:dyDescent="0.15">
      <c r="A26" s="97"/>
      <c r="B26" s="97"/>
      <c r="C26" s="97"/>
      <c r="D26" s="97"/>
      <c r="E26" s="97"/>
      <c r="F26" s="97"/>
      <c r="G26" s="97"/>
      <c r="H26" s="97"/>
      <c r="I26" s="97"/>
      <c r="J26" s="97"/>
    </row>
    <row r="27" spans="1:11" ht="18.75" customHeight="1" x14ac:dyDescent="0.15">
      <c r="A27" s="5" t="s">
        <v>14</v>
      </c>
      <c r="B27" s="5" t="s">
        <v>26</v>
      </c>
    </row>
    <row r="28" spans="1:11" s="86" customFormat="1" ht="18.75" customHeight="1" x14ac:dyDescent="0.15">
      <c r="B28" s="65" t="s">
        <v>113</v>
      </c>
      <c r="C28" s="66">
        <f>'様式３　履修者等数の実績'!R30</f>
        <v>0.25961538461538464</v>
      </c>
      <c r="D28" s="67"/>
      <c r="E28" s="67" t="s">
        <v>114</v>
      </c>
      <c r="F28" s="66">
        <v>0.5</v>
      </c>
      <c r="G28" s="67"/>
      <c r="H28" s="67" t="s">
        <v>115</v>
      </c>
      <c r="I28" s="68">
        <v>0.75</v>
      </c>
      <c r="J28" s="69"/>
      <c r="K28" s="5"/>
    </row>
    <row r="29" spans="1:11" s="86" customFormat="1" ht="18.75" customHeight="1" x14ac:dyDescent="0.15">
      <c r="B29" s="55" t="s">
        <v>116</v>
      </c>
      <c r="C29" s="70">
        <v>1</v>
      </c>
      <c r="D29" s="56"/>
      <c r="E29" s="56" t="s">
        <v>117</v>
      </c>
      <c r="F29" s="70">
        <v>1</v>
      </c>
      <c r="G29" s="56"/>
      <c r="H29" s="56" t="s">
        <v>118</v>
      </c>
      <c r="I29" s="71">
        <f>'[1]様式３　履修者等数の実績'!D30</f>
        <v>1040</v>
      </c>
      <c r="J29" s="72"/>
      <c r="K29" s="5"/>
    </row>
    <row r="30" spans="1:11" ht="18.75" customHeight="1" x14ac:dyDescent="0.15">
      <c r="A30" s="5"/>
      <c r="B30" s="184" t="s">
        <v>119</v>
      </c>
      <c r="C30" s="185"/>
      <c r="D30" s="185"/>
      <c r="E30" s="185"/>
      <c r="F30" s="185"/>
      <c r="G30" s="185"/>
      <c r="H30" s="185"/>
      <c r="I30" s="185"/>
      <c r="J30" s="186"/>
    </row>
    <row r="31" spans="1:11" ht="18.75" customHeight="1" x14ac:dyDescent="0.15">
      <c r="A31" s="5"/>
      <c r="B31" s="252" t="s">
        <v>197</v>
      </c>
      <c r="C31" s="253"/>
      <c r="D31" s="253"/>
      <c r="E31" s="253"/>
      <c r="F31" s="253"/>
      <c r="G31" s="253"/>
      <c r="H31" s="253"/>
      <c r="I31" s="253"/>
      <c r="J31" s="254"/>
      <c r="K31" s="5" t="str">
        <f>IF(B31="","入力してください","")</f>
        <v/>
      </c>
    </row>
    <row r="32" spans="1:11" ht="18.75" customHeight="1" x14ac:dyDescent="0.15">
      <c r="A32" s="5"/>
      <c r="B32" s="245"/>
      <c r="C32" s="246"/>
      <c r="D32" s="246"/>
      <c r="E32" s="246"/>
      <c r="F32" s="246"/>
      <c r="G32" s="246"/>
      <c r="H32" s="246"/>
      <c r="I32" s="246"/>
      <c r="J32" s="247"/>
    </row>
    <row r="33" spans="1:11" ht="18.75" customHeight="1" x14ac:dyDescent="0.15">
      <c r="A33" s="5"/>
      <c r="B33" s="245"/>
      <c r="C33" s="246"/>
      <c r="D33" s="246"/>
      <c r="E33" s="246"/>
      <c r="F33" s="246"/>
      <c r="G33" s="246"/>
      <c r="H33" s="246"/>
      <c r="I33" s="246"/>
      <c r="J33" s="247"/>
    </row>
    <row r="34" spans="1:11" ht="18.75" customHeight="1" x14ac:dyDescent="0.15">
      <c r="A34" s="5"/>
      <c r="B34" s="245"/>
      <c r="C34" s="246"/>
      <c r="D34" s="246"/>
      <c r="E34" s="246"/>
      <c r="F34" s="246"/>
      <c r="G34" s="246"/>
      <c r="H34" s="246"/>
      <c r="I34" s="246"/>
      <c r="J34" s="247"/>
    </row>
    <row r="35" spans="1:11" ht="18.75" customHeight="1" x14ac:dyDescent="0.15">
      <c r="A35" s="5"/>
      <c r="B35" s="245"/>
      <c r="C35" s="246"/>
      <c r="D35" s="246"/>
      <c r="E35" s="246"/>
      <c r="F35" s="246"/>
      <c r="G35" s="246"/>
      <c r="H35" s="246"/>
      <c r="I35" s="246"/>
      <c r="J35" s="247"/>
    </row>
    <row r="36" spans="1:11" ht="18.75" customHeight="1" x14ac:dyDescent="0.15">
      <c r="A36" s="5"/>
      <c r="B36" s="245"/>
      <c r="C36" s="246"/>
      <c r="D36" s="246"/>
      <c r="E36" s="246"/>
      <c r="F36" s="246"/>
      <c r="G36" s="246"/>
      <c r="H36" s="246"/>
      <c r="I36" s="246"/>
      <c r="J36" s="247"/>
    </row>
    <row r="37" spans="1:11" ht="18.75" customHeight="1" x14ac:dyDescent="0.15">
      <c r="A37" s="5"/>
      <c r="B37" s="245"/>
      <c r="C37" s="246"/>
      <c r="D37" s="246"/>
      <c r="E37" s="246"/>
      <c r="F37" s="246"/>
      <c r="G37" s="246"/>
      <c r="H37" s="246"/>
      <c r="I37" s="246"/>
      <c r="J37" s="247"/>
    </row>
    <row r="38" spans="1:11" ht="18.75" customHeight="1" x14ac:dyDescent="0.15">
      <c r="A38" s="5"/>
      <c r="B38" s="245"/>
      <c r="C38" s="246"/>
      <c r="D38" s="246"/>
      <c r="E38" s="246"/>
      <c r="F38" s="246"/>
      <c r="G38" s="246"/>
      <c r="H38" s="246"/>
      <c r="I38" s="246"/>
      <c r="J38" s="247"/>
    </row>
    <row r="39" spans="1:11" ht="18.75" customHeight="1" x14ac:dyDescent="0.15">
      <c r="A39" s="5"/>
      <c r="B39" s="245"/>
      <c r="C39" s="246"/>
      <c r="D39" s="246"/>
      <c r="E39" s="246"/>
      <c r="F39" s="246"/>
      <c r="G39" s="246"/>
      <c r="H39" s="246"/>
      <c r="I39" s="246"/>
      <c r="J39" s="247"/>
    </row>
    <row r="40" spans="1:11" ht="18.75" customHeight="1" x14ac:dyDescent="0.15">
      <c r="A40" s="5"/>
      <c r="B40" s="245"/>
      <c r="C40" s="246"/>
      <c r="D40" s="246"/>
      <c r="E40" s="246"/>
      <c r="F40" s="246"/>
      <c r="G40" s="246"/>
      <c r="H40" s="246"/>
      <c r="I40" s="246"/>
      <c r="J40" s="247"/>
    </row>
    <row r="41" spans="1:11" ht="18.75" customHeight="1" x14ac:dyDescent="0.15">
      <c r="A41" s="5"/>
      <c r="B41" s="245"/>
      <c r="C41" s="246"/>
      <c r="D41" s="246"/>
      <c r="E41" s="246"/>
      <c r="F41" s="246"/>
      <c r="G41" s="246"/>
      <c r="H41" s="246"/>
      <c r="I41" s="246"/>
      <c r="J41" s="247"/>
    </row>
    <row r="42" spans="1:11" ht="18.75" customHeight="1" x14ac:dyDescent="0.15">
      <c r="A42" s="5"/>
      <c r="B42" s="245"/>
      <c r="C42" s="246"/>
      <c r="D42" s="246"/>
      <c r="E42" s="246"/>
      <c r="F42" s="246"/>
      <c r="G42" s="246"/>
      <c r="H42" s="246"/>
      <c r="I42" s="246"/>
      <c r="J42" s="247"/>
    </row>
    <row r="43" spans="1:11" ht="18.75" customHeight="1" x14ac:dyDescent="0.15">
      <c r="A43" s="97"/>
      <c r="B43" s="245"/>
      <c r="C43" s="246"/>
      <c r="D43" s="246"/>
      <c r="E43" s="246"/>
      <c r="F43" s="246"/>
      <c r="G43" s="246"/>
      <c r="H43" s="246"/>
      <c r="I43" s="246"/>
      <c r="J43" s="247"/>
    </row>
    <row r="44" spans="1:11" ht="18.75" customHeight="1" x14ac:dyDescent="0.15">
      <c r="A44" s="97"/>
      <c r="B44" s="248"/>
      <c r="C44" s="249"/>
      <c r="D44" s="249"/>
      <c r="E44" s="249"/>
      <c r="F44" s="249"/>
      <c r="G44" s="249"/>
      <c r="H44" s="249"/>
      <c r="I44" s="249"/>
      <c r="J44" s="250"/>
    </row>
    <row r="45" spans="1:11" ht="18.75" customHeight="1" x14ac:dyDescent="0.15">
      <c r="A45" s="92" t="s">
        <v>12</v>
      </c>
      <c r="B45" s="5" t="s">
        <v>62</v>
      </c>
      <c r="I45" s="92"/>
      <c r="J45" s="92"/>
    </row>
    <row r="46" spans="1:11" ht="18.75" customHeight="1" x14ac:dyDescent="0.15">
      <c r="A46" s="97"/>
      <c r="B46" s="234" t="s">
        <v>198</v>
      </c>
      <c r="C46" s="235"/>
      <c r="D46" s="235"/>
      <c r="E46" s="235"/>
      <c r="F46" s="235"/>
      <c r="G46" s="235"/>
      <c r="H46" s="235"/>
      <c r="I46" s="235"/>
      <c r="J46" s="236"/>
      <c r="K46" s="5" t="str">
        <f>IF(B46="","入力してください","")</f>
        <v/>
      </c>
    </row>
    <row r="47" spans="1:11" ht="18.75" customHeight="1" x14ac:dyDescent="0.15">
      <c r="A47" s="97"/>
      <c r="B47" s="237"/>
      <c r="C47" s="238"/>
      <c r="D47" s="238"/>
      <c r="E47" s="238"/>
      <c r="F47" s="238"/>
      <c r="G47" s="238"/>
      <c r="H47" s="238"/>
      <c r="I47" s="238"/>
      <c r="J47" s="239"/>
    </row>
    <row r="48" spans="1:11" ht="18.75" customHeight="1" x14ac:dyDescent="0.15">
      <c r="A48" s="97"/>
      <c r="B48" s="237"/>
      <c r="C48" s="238"/>
      <c r="D48" s="238"/>
      <c r="E48" s="238"/>
      <c r="F48" s="238"/>
      <c r="G48" s="238"/>
      <c r="H48" s="238"/>
      <c r="I48" s="238"/>
      <c r="J48" s="239"/>
    </row>
    <row r="49" spans="1:10" ht="18.75" customHeight="1" x14ac:dyDescent="0.15">
      <c r="A49" s="97"/>
      <c r="B49" s="237"/>
      <c r="C49" s="238"/>
      <c r="D49" s="238"/>
      <c r="E49" s="238"/>
      <c r="F49" s="238"/>
      <c r="G49" s="238"/>
      <c r="H49" s="238"/>
      <c r="I49" s="238"/>
      <c r="J49" s="239"/>
    </row>
    <row r="50" spans="1:10" ht="18.75" customHeight="1" x14ac:dyDescent="0.15">
      <c r="A50" s="97"/>
      <c r="B50" s="237"/>
      <c r="C50" s="238"/>
      <c r="D50" s="238"/>
      <c r="E50" s="238"/>
      <c r="F50" s="238"/>
      <c r="G50" s="238"/>
      <c r="H50" s="238"/>
      <c r="I50" s="238"/>
      <c r="J50" s="239"/>
    </row>
    <row r="51" spans="1:10" ht="18.75" customHeight="1" x14ac:dyDescent="0.15">
      <c r="A51" s="97"/>
      <c r="B51" s="237"/>
      <c r="C51" s="238"/>
      <c r="D51" s="238"/>
      <c r="E51" s="238"/>
      <c r="F51" s="238"/>
      <c r="G51" s="238"/>
      <c r="H51" s="238"/>
      <c r="I51" s="238"/>
      <c r="J51" s="239"/>
    </row>
    <row r="52" spans="1:10" ht="18.75" customHeight="1" x14ac:dyDescent="0.15">
      <c r="A52" s="97"/>
      <c r="B52" s="237"/>
      <c r="C52" s="238"/>
      <c r="D52" s="238"/>
      <c r="E52" s="238"/>
      <c r="F52" s="238"/>
      <c r="G52" s="238"/>
      <c r="H52" s="238"/>
      <c r="I52" s="238"/>
      <c r="J52" s="239"/>
    </row>
    <row r="53" spans="1:10" ht="18.75" customHeight="1" x14ac:dyDescent="0.15">
      <c r="A53" s="97"/>
      <c r="B53" s="237"/>
      <c r="C53" s="238"/>
      <c r="D53" s="238"/>
      <c r="E53" s="238"/>
      <c r="F53" s="238"/>
      <c r="G53" s="238"/>
      <c r="H53" s="238"/>
      <c r="I53" s="238"/>
      <c r="J53" s="239"/>
    </row>
    <row r="54" spans="1:10" ht="18.75" customHeight="1" x14ac:dyDescent="0.15">
      <c r="A54" s="97"/>
      <c r="B54" s="237"/>
      <c r="C54" s="238"/>
      <c r="D54" s="238"/>
      <c r="E54" s="238"/>
      <c r="F54" s="238"/>
      <c r="G54" s="238"/>
      <c r="H54" s="238"/>
      <c r="I54" s="238"/>
      <c r="J54" s="239"/>
    </row>
    <row r="55" spans="1:10" ht="18.75" customHeight="1" x14ac:dyDescent="0.15">
      <c r="A55" s="97"/>
      <c r="B55" s="237"/>
      <c r="C55" s="238"/>
      <c r="D55" s="238"/>
      <c r="E55" s="238"/>
      <c r="F55" s="238"/>
      <c r="G55" s="238"/>
      <c r="H55" s="238"/>
      <c r="I55" s="238"/>
      <c r="J55" s="239"/>
    </row>
    <row r="56" spans="1:10" ht="18.75" customHeight="1" x14ac:dyDescent="0.15">
      <c r="A56" s="97"/>
      <c r="B56" s="237"/>
      <c r="C56" s="238"/>
      <c r="D56" s="238"/>
      <c r="E56" s="238"/>
      <c r="F56" s="238"/>
      <c r="G56" s="238"/>
      <c r="H56" s="238"/>
      <c r="I56" s="238"/>
      <c r="J56" s="239"/>
    </row>
    <row r="57" spans="1:10" ht="18.75" customHeight="1" x14ac:dyDescent="0.15">
      <c r="A57" s="97"/>
      <c r="B57" s="237"/>
      <c r="C57" s="238"/>
      <c r="D57" s="238"/>
      <c r="E57" s="238"/>
      <c r="F57" s="238"/>
      <c r="G57" s="238"/>
      <c r="H57" s="238"/>
      <c r="I57" s="238"/>
      <c r="J57" s="239"/>
    </row>
    <row r="58" spans="1:10" ht="18.75" customHeight="1" x14ac:dyDescent="0.15">
      <c r="A58" s="97"/>
      <c r="B58" s="237"/>
      <c r="C58" s="238"/>
      <c r="D58" s="238"/>
      <c r="E58" s="238"/>
      <c r="F58" s="238"/>
      <c r="G58" s="238"/>
      <c r="H58" s="238"/>
      <c r="I58" s="238"/>
      <c r="J58" s="239"/>
    </row>
    <row r="59" spans="1:10" ht="18.75" customHeight="1" x14ac:dyDescent="0.15">
      <c r="A59" s="97"/>
      <c r="B59" s="237"/>
      <c r="C59" s="238"/>
      <c r="D59" s="238"/>
      <c r="E59" s="238"/>
      <c r="F59" s="238"/>
      <c r="G59" s="238"/>
      <c r="H59" s="238"/>
      <c r="I59" s="238"/>
      <c r="J59" s="239"/>
    </row>
    <row r="60" spans="1:10" ht="18.75" customHeight="1" x14ac:dyDescent="0.15">
      <c r="A60" s="97"/>
      <c r="B60" s="237"/>
      <c r="C60" s="238"/>
      <c r="D60" s="238"/>
      <c r="E60" s="238"/>
      <c r="F60" s="238"/>
      <c r="G60" s="238"/>
      <c r="H60" s="238"/>
      <c r="I60" s="238"/>
      <c r="J60" s="239"/>
    </row>
    <row r="61" spans="1:10" ht="18.75" customHeight="1" x14ac:dyDescent="0.15">
      <c r="A61" s="97"/>
      <c r="B61" s="237"/>
      <c r="C61" s="238"/>
      <c r="D61" s="238"/>
      <c r="E61" s="238"/>
      <c r="F61" s="238"/>
      <c r="G61" s="238"/>
      <c r="H61" s="238"/>
      <c r="I61" s="238"/>
      <c r="J61" s="239"/>
    </row>
    <row r="62" spans="1:10" ht="18.75" customHeight="1" x14ac:dyDescent="0.15">
      <c r="A62" s="97"/>
      <c r="B62" s="237"/>
      <c r="C62" s="238"/>
      <c r="D62" s="238"/>
      <c r="E62" s="238"/>
      <c r="F62" s="238"/>
      <c r="G62" s="238"/>
      <c r="H62" s="238"/>
      <c r="I62" s="238"/>
      <c r="J62" s="239"/>
    </row>
    <row r="63" spans="1:10" ht="18.75" customHeight="1" x14ac:dyDescent="0.15">
      <c r="A63" s="97"/>
      <c r="B63" s="237"/>
      <c r="C63" s="238"/>
      <c r="D63" s="238"/>
      <c r="E63" s="238"/>
      <c r="F63" s="238"/>
      <c r="G63" s="238"/>
      <c r="H63" s="238"/>
      <c r="I63" s="238"/>
      <c r="J63" s="239"/>
    </row>
    <row r="64" spans="1:10" ht="18.75" customHeight="1" x14ac:dyDescent="0.15">
      <c r="A64" s="97"/>
      <c r="B64" s="237"/>
      <c r="C64" s="238"/>
      <c r="D64" s="238"/>
      <c r="E64" s="238"/>
      <c r="F64" s="238"/>
      <c r="G64" s="238"/>
      <c r="H64" s="238"/>
      <c r="I64" s="238"/>
      <c r="J64" s="239"/>
    </row>
    <row r="65" spans="1:11" ht="18.75" customHeight="1" x14ac:dyDescent="0.15">
      <c r="A65" s="97"/>
      <c r="B65" s="237"/>
      <c r="C65" s="238"/>
      <c r="D65" s="238"/>
      <c r="E65" s="238"/>
      <c r="F65" s="238"/>
      <c r="G65" s="238"/>
      <c r="H65" s="238"/>
      <c r="I65" s="238"/>
      <c r="J65" s="239"/>
    </row>
    <row r="66" spans="1:11" ht="18.75" customHeight="1" x14ac:dyDescent="0.15">
      <c r="A66" s="97"/>
      <c r="B66" s="240"/>
      <c r="C66" s="241"/>
      <c r="D66" s="241"/>
      <c r="E66" s="241"/>
      <c r="F66" s="241"/>
      <c r="G66" s="241"/>
      <c r="H66" s="241"/>
      <c r="I66" s="241"/>
      <c r="J66" s="242"/>
    </row>
    <row r="67" spans="1:11" ht="7.5" customHeight="1" x14ac:dyDescent="0.15">
      <c r="A67" s="97"/>
      <c r="B67" s="97"/>
      <c r="C67" s="97"/>
      <c r="D67" s="97"/>
      <c r="E67" s="97"/>
      <c r="F67" s="97"/>
      <c r="G67" s="97"/>
      <c r="H67" s="97"/>
      <c r="I67" s="97"/>
      <c r="J67" s="97"/>
    </row>
    <row r="68" spans="1:11" ht="18.75" customHeight="1" x14ac:dyDescent="0.15">
      <c r="A68" s="5" t="s">
        <v>15</v>
      </c>
      <c r="B68" s="5" t="s">
        <v>68</v>
      </c>
    </row>
    <row r="69" spans="1:11" ht="18.75" customHeight="1" x14ac:dyDescent="0.15">
      <c r="A69" s="5"/>
      <c r="B69" s="234" t="s">
        <v>199</v>
      </c>
      <c r="C69" s="235"/>
      <c r="D69" s="235"/>
      <c r="E69" s="235"/>
      <c r="F69" s="235"/>
      <c r="G69" s="235"/>
      <c r="H69" s="235"/>
      <c r="I69" s="243"/>
      <c r="J69" s="244"/>
      <c r="K69" s="5" t="str">
        <f>IF(B69="","入力してください","")</f>
        <v/>
      </c>
    </row>
    <row r="70" spans="1:11" ht="18.75" customHeight="1" x14ac:dyDescent="0.15">
      <c r="A70" s="5"/>
      <c r="B70" s="245"/>
      <c r="C70" s="246"/>
      <c r="D70" s="246"/>
      <c r="E70" s="246"/>
      <c r="F70" s="246"/>
      <c r="G70" s="246"/>
      <c r="H70" s="246"/>
      <c r="I70" s="246"/>
      <c r="J70" s="247"/>
    </row>
    <row r="71" spans="1:11" ht="18.75" customHeight="1" x14ac:dyDescent="0.15">
      <c r="A71" s="5"/>
      <c r="B71" s="245"/>
      <c r="C71" s="246"/>
      <c r="D71" s="246"/>
      <c r="E71" s="246"/>
      <c r="F71" s="246"/>
      <c r="G71" s="246"/>
      <c r="H71" s="246"/>
      <c r="I71" s="246"/>
      <c r="J71" s="247"/>
    </row>
    <row r="72" spans="1:11" ht="18.75" customHeight="1" x14ac:dyDescent="0.15">
      <c r="A72" s="5"/>
      <c r="B72" s="245"/>
      <c r="C72" s="246"/>
      <c r="D72" s="246"/>
      <c r="E72" s="246"/>
      <c r="F72" s="246"/>
      <c r="G72" s="246"/>
      <c r="H72" s="246"/>
      <c r="I72" s="246"/>
      <c r="J72" s="247"/>
    </row>
    <row r="73" spans="1:11" ht="18.75" customHeight="1" x14ac:dyDescent="0.15">
      <c r="A73" s="5"/>
      <c r="B73" s="245"/>
      <c r="C73" s="246"/>
      <c r="D73" s="246"/>
      <c r="E73" s="246"/>
      <c r="F73" s="246"/>
      <c r="G73" s="246"/>
      <c r="H73" s="246"/>
      <c r="I73" s="246"/>
      <c r="J73" s="247"/>
    </row>
    <row r="74" spans="1:11" ht="18.75" customHeight="1" x14ac:dyDescent="0.15">
      <c r="A74" s="5"/>
      <c r="B74" s="245"/>
      <c r="C74" s="246"/>
      <c r="D74" s="246"/>
      <c r="E74" s="246"/>
      <c r="F74" s="246"/>
      <c r="G74" s="246"/>
      <c r="H74" s="246"/>
      <c r="I74" s="246"/>
      <c r="J74" s="247"/>
    </row>
    <row r="75" spans="1:11" ht="18.75" customHeight="1" x14ac:dyDescent="0.15">
      <c r="A75" s="5"/>
      <c r="B75" s="245"/>
      <c r="C75" s="246"/>
      <c r="D75" s="246"/>
      <c r="E75" s="246"/>
      <c r="F75" s="246"/>
      <c r="G75" s="246"/>
      <c r="H75" s="246"/>
      <c r="I75" s="246"/>
      <c r="J75" s="247"/>
    </row>
    <row r="76" spans="1:11" ht="18.75" customHeight="1" x14ac:dyDescent="0.15">
      <c r="A76" s="5"/>
      <c r="B76" s="245"/>
      <c r="C76" s="246"/>
      <c r="D76" s="246"/>
      <c r="E76" s="246"/>
      <c r="F76" s="246"/>
      <c r="G76" s="246"/>
      <c r="H76" s="246"/>
      <c r="I76" s="246"/>
      <c r="J76" s="247"/>
    </row>
    <row r="77" spans="1:11" ht="18.75" customHeight="1" x14ac:dyDescent="0.15">
      <c r="A77" s="5"/>
      <c r="B77" s="245"/>
      <c r="C77" s="246"/>
      <c r="D77" s="246"/>
      <c r="E77" s="246"/>
      <c r="F77" s="246"/>
      <c r="G77" s="246"/>
      <c r="H77" s="246"/>
      <c r="I77" s="246"/>
      <c r="J77" s="247"/>
    </row>
    <row r="78" spans="1:11" ht="18.75" customHeight="1" x14ac:dyDescent="0.15">
      <c r="A78" s="5"/>
      <c r="B78" s="245"/>
      <c r="C78" s="246"/>
      <c r="D78" s="246"/>
      <c r="E78" s="246"/>
      <c r="F78" s="246"/>
      <c r="G78" s="246"/>
      <c r="H78" s="246"/>
      <c r="I78" s="246"/>
      <c r="J78" s="247"/>
    </row>
    <row r="79" spans="1:11" ht="18.75" customHeight="1" x14ac:dyDescent="0.15">
      <c r="A79" s="5"/>
      <c r="B79" s="245"/>
      <c r="C79" s="246"/>
      <c r="D79" s="246"/>
      <c r="E79" s="246"/>
      <c r="F79" s="246"/>
      <c r="G79" s="246"/>
      <c r="H79" s="246"/>
      <c r="I79" s="246"/>
      <c r="J79" s="247"/>
    </row>
    <row r="80" spans="1:11" ht="18.75" customHeight="1" x14ac:dyDescent="0.15">
      <c r="A80" s="5"/>
      <c r="B80" s="245"/>
      <c r="C80" s="246"/>
      <c r="D80" s="246"/>
      <c r="E80" s="246"/>
      <c r="F80" s="246"/>
      <c r="G80" s="246"/>
      <c r="H80" s="246"/>
      <c r="I80" s="246"/>
      <c r="J80" s="247"/>
    </row>
    <row r="81" spans="1:11" ht="18.75" customHeight="1" x14ac:dyDescent="0.15">
      <c r="A81" s="5"/>
      <c r="B81" s="245"/>
      <c r="C81" s="246"/>
      <c r="D81" s="246"/>
      <c r="E81" s="246"/>
      <c r="F81" s="246"/>
      <c r="G81" s="246"/>
      <c r="H81" s="246"/>
      <c r="I81" s="246"/>
      <c r="J81" s="247"/>
    </row>
    <row r="82" spans="1:11" ht="18.75" customHeight="1" x14ac:dyDescent="0.15">
      <c r="A82" s="5"/>
      <c r="B82" s="245"/>
      <c r="C82" s="246"/>
      <c r="D82" s="246"/>
      <c r="E82" s="246"/>
      <c r="F82" s="246"/>
      <c r="G82" s="246"/>
      <c r="H82" s="246"/>
      <c r="I82" s="246"/>
      <c r="J82" s="247"/>
    </row>
    <row r="83" spans="1:11" ht="18.75" customHeight="1" x14ac:dyDescent="0.15">
      <c r="A83" s="5"/>
      <c r="B83" s="245"/>
      <c r="C83" s="246"/>
      <c r="D83" s="246"/>
      <c r="E83" s="246"/>
      <c r="F83" s="246"/>
      <c r="G83" s="246"/>
      <c r="H83" s="246"/>
      <c r="I83" s="246"/>
      <c r="J83" s="247"/>
    </row>
    <row r="84" spans="1:11" ht="18.75" customHeight="1" x14ac:dyDescent="0.15">
      <c r="A84" s="5"/>
      <c r="B84" s="245"/>
      <c r="C84" s="246"/>
      <c r="D84" s="246"/>
      <c r="E84" s="246"/>
      <c r="F84" s="246"/>
      <c r="G84" s="246"/>
      <c r="H84" s="246"/>
      <c r="I84" s="246"/>
      <c r="J84" s="247"/>
    </row>
    <row r="85" spans="1:11" ht="18.75" customHeight="1" x14ac:dyDescent="0.15">
      <c r="A85" s="97"/>
      <c r="B85" s="245"/>
      <c r="C85" s="246"/>
      <c r="D85" s="246"/>
      <c r="E85" s="246"/>
      <c r="F85" s="246"/>
      <c r="G85" s="246"/>
      <c r="H85" s="246"/>
      <c r="I85" s="246"/>
      <c r="J85" s="247"/>
    </row>
    <row r="86" spans="1:11" ht="18.75" customHeight="1" x14ac:dyDescent="0.15">
      <c r="A86" s="97"/>
      <c r="B86" s="248"/>
      <c r="C86" s="249"/>
      <c r="D86" s="249"/>
      <c r="E86" s="249"/>
      <c r="F86" s="249"/>
      <c r="G86" s="249"/>
      <c r="H86" s="249"/>
      <c r="I86" s="249"/>
      <c r="J86" s="250"/>
    </row>
    <row r="87" spans="1:11" ht="7.5" customHeight="1" x14ac:dyDescent="0.15">
      <c r="A87" s="97"/>
      <c r="B87" s="97"/>
      <c r="C87" s="97"/>
      <c r="D87" s="97"/>
      <c r="E87" s="97"/>
      <c r="F87" s="97"/>
      <c r="G87" s="97"/>
      <c r="H87" s="97"/>
      <c r="I87" s="97"/>
      <c r="J87" s="97"/>
    </row>
    <row r="88" spans="1:11" ht="18.75" customHeight="1" x14ac:dyDescent="0.15">
      <c r="A88" s="5" t="s">
        <v>13</v>
      </c>
      <c r="B88" s="5" t="s">
        <v>28</v>
      </c>
    </row>
    <row r="89" spans="1:11" ht="18.75" customHeight="1" x14ac:dyDescent="0.15">
      <c r="A89" s="5"/>
      <c r="B89" s="234" t="s">
        <v>200</v>
      </c>
      <c r="C89" s="235"/>
      <c r="D89" s="235"/>
      <c r="E89" s="235"/>
      <c r="F89" s="235"/>
      <c r="G89" s="235"/>
      <c r="H89" s="235"/>
      <c r="I89" s="243"/>
      <c r="J89" s="244"/>
    </row>
    <row r="90" spans="1:11" ht="18.75" customHeight="1" x14ac:dyDescent="0.15">
      <c r="A90" s="5"/>
      <c r="B90" s="245"/>
      <c r="C90" s="246"/>
      <c r="D90" s="246"/>
      <c r="E90" s="246"/>
      <c r="F90" s="246"/>
      <c r="G90" s="246"/>
      <c r="H90" s="246"/>
      <c r="I90" s="246"/>
      <c r="J90" s="247"/>
    </row>
    <row r="91" spans="1:11" ht="18.75" customHeight="1" x14ac:dyDescent="0.15">
      <c r="A91" s="5"/>
      <c r="B91" s="245"/>
      <c r="C91" s="246"/>
      <c r="D91" s="246"/>
      <c r="E91" s="246"/>
      <c r="F91" s="246"/>
      <c r="G91" s="246"/>
      <c r="H91" s="246"/>
      <c r="I91" s="246"/>
      <c r="J91" s="247"/>
      <c r="K91" s="5" t="str">
        <f>IF(B89="","入力してください","")</f>
        <v/>
      </c>
    </row>
    <row r="92" spans="1:11" ht="18.75" customHeight="1" x14ac:dyDescent="0.15">
      <c r="A92" s="5"/>
      <c r="B92" s="245"/>
      <c r="C92" s="246"/>
      <c r="D92" s="246"/>
      <c r="E92" s="246"/>
      <c r="F92" s="246"/>
      <c r="G92" s="246"/>
      <c r="H92" s="246"/>
      <c r="I92" s="246"/>
      <c r="J92" s="247"/>
    </row>
    <row r="93" spans="1:11" ht="18.75" customHeight="1" x14ac:dyDescent="0.15">
      <c r="A93" s="5"/>
      <c r="B93" s="245"/>
      <c r="C93" s="246"/>
      <c r="D93" s="246"/>
      <c r="E93" s="246"/>
      <c r="F93" s="246"/>
      <c r="G93" s="246"/>
      <c r="H93" s="246"/>
      <c r="I93" s="246"/>
      <c r="J93" s="247"/>
    </row>
    <row r="94" spans="1:11" ht="18.75" customHeight="1" x14ac:dyDescent="0.15">
      <c r="A94" s="5"/>
      <c r="B94" s="245"/>
      <c r="C94" s="246"/>
      <c r="D94" s="246"/>
      <c r="E94" s="246"/>
      <c r="F94" s="246"/>
      <c r="G94" s="246"/>
      <c r="H94" s="246"/>
      <c r="I94" s="246"/>
      <c r="J94" s="247"/>
    </row>
    <row r="95" spans="1:11" ht="18.75" customHeight="1" x14ac:dyDescent="0.15">
      <c r="A95" s="5"/>
      <c r="B95" s="245"/>
      <c r="C95" s="246"/>
      <c r="D95" s="246"/>
      <c r="E95" s="246"/>
      <c r="F95" s="246"/>
      <c r="G95" s="246"/>
      <c r="H95" s="246"/>
      <c r="I95" s="246"/>
      <c r="J95" s="247"/>
    </row>
    <row r="96" spans="1:11" ht="18.75" customHeight="1" x14ac:dyDescent="0.15">
      <c r="A96" s="5"/>
      <c r="B96" s="245"/>
      <c r="C96" s="246"/>
      <c r="D96" s="246"/>
      <c r="E96" s="246"/>
      <c r="F96" s="246"/>
      <c r="G96" s="246"/>
      <c r="H96" s="246"/>
      <c r="I96" s="246"/>
      <c r="J96" s="247"/>
    </row>
    <row r="97" spans="1:10" ht="18.75" customHeight="1" x14ac:dyDescent="0.15">
      <c r="A97" s="5"/>
      <c r="B97" s="245"/>
      <c r="C97" s="246"/>
      <c r="D97" s="246"/>
      <c r="E97" s="246"/>
      <c r="F97" s="246"/>
      <c r="G97" s="246"/>
      <c r="H97" s="246"/>
      <c r="I97" s="246"/>
      <c r="J97" s="247"/>
    </row>
    <row r="98" spans="1:10" ht="18.75" customHeight="1" x14ac:dyDescent="0.15">
      <c r="A98" s="5"/>
      <c r="B98" s="245"/>
      <c r="C98" s="246"/>
      <c r="D98" s="246"/>
      <c r="E98" s="246"/>
      <c r="F98" s="246"/>
      <c r="G98" s="246"/>
      <c r="H98" s="246"/>
      <c r="I98" s="246"/>
      <c r="J98" s="247"/>
    </row>
    <row r="99" spans="1:10" ht="18.75" customHeight="1" x14ac:dyDescent="0.15">
      <c r="A99" s="5"/>
      <c r="B99" s="245"/>
      <c r="C99" s="246"/>
      <c r="D99" s="246"/>
      <c r="E99" s="246"/>
      <c r="F99" s="246"/>
      <c r="G99" s="246"/>
      <c r="H99" s="246"/>
      <c r="I99" s="246"/>
      <c r="J99" s="247"/>
    </row>
    <row r="100" spans="1:10" ht="18.75" customHeight="1" x14ac:dyDescent="0.15">
      <c r="A100" s="5"/>
      <c r="B100" s="245"/>
      <c r="C100" s="246"/>
      <c r="D100" s="246"/>
      <c r="E100" s="246"/>
      <c r="F100" s="246"/>
      <c r="G100" s="246"/>
      <c r="H100" s="246"/>
      <c r="I100" s="246"/>
      <c r="J100" s="247"/>
    </row>
    <row r="101" spans="1:10" ht="18.75" customHeight="1" x14ac:dyDescent="0.15">
      <c r="A101" s="5"/>
      <c r="B101" s="245"/>
      <c r="C101" s="246"/>
      <c r="D101" s="246"/>
      <c r="E101" s="246"/>
      <c r="F101" s="246"/>
      <c r="G101" s="246"/>
      <c r="H101" s="246"/>
      <c r="I101" s="246"/>
      <c r="J101" s="247"/>
    </row>
    <row r="102" spans="1:10" ht="18.75" customHeight="1" x14ac:dyDescent="0.15">
      <c r="A102" s="5"/>
      <c r="B102" s="245"/>
      <c r="C102" s="246"/>
      <c r="D102" s="246"/>
      <c r="E102" s="246"/>
      <c r="F102" s="246"/>
      <c r="G102" s="246"/>
      <c r="H102" s="246"/>
      <c r="I102" s="246"/>
      <c r="J102" s="247"/>
    </row>
    <row r="103" spans="1:10" ht="18.75" customHeight="1" x14ac:dyDescent="0.15">
      <c r="A103" s="5"/>
      <c r="B103" s="245"/>
      <c r="C103" s="246"/>
      <c r="D103" s="246"/>
      <c r="E103" s="246"/>
      <c r="F103" s="246"/>
      <c r="G103" s="246"/>
      <c r="H103" s="246"/>
      <c r="I103" s="246"/>
      <c r="J103" s="247"/>
    </row>
    <row r="104" spans="1:10" ht="18.75" customHeight="1" x14ac:dyDescent="0.15">
      <c r="A104" s="5"/>
      <c r="B104" s="245"/>
      <c r="C104" s="246"/>
      <c r="D104" s="246"/>
      <c r="E104" s="246"/>
      <c r="F104" s="246"/>
      <c r="G104" s="246"/>
      <c r="H104" s="246"/>
      <c r="I104" s="246"/>
      <c r="J104" s="247"/>
    </row>
    <row r="105" spans="1:10" ht="18.75" customHeight="1" x14ac:dyDescent="0.15">
      <c r="A105" s="5"/>
      <c r="B105" s="245"/>
      <c r="C105" s="246"/>
      <c r="D105" s="246"/>
      <c r="E105" s="246"/>
      <c r="F105" s="246"/>
      <c r="G105" s="246"/>
      <c r="H105" s="246"/>
      <c r="I105" s="246"/>
      <c r="J105" s="247"/>
    </row>
    <row r="106" spans="1:10" ht="18.75" customHeight="1" x14ac:dyDescent="0.15">
      <c r="A106" s="5"/>
      <c r="B106" s="245"/>
      <c r="C106" s="246"/>
      <c r="D106" s="246"/>
      <c r="E106" s="246"/>
      <c r="F106" s="246"/>
      <c r="G106" s="246"/>
      <c r="H106" s="246"/>
      <c r="I106" s="246"/>
      <c r="J106" s="247"/>
    </row>
    <row r="107" spans="1:10" ht="18.75" customHeight="1" x14ac:dyDescent="0.15">
      <c r="A107" s="97"/>
      <c r="B107" s="245"/>
      <c r="C107" s="246"/>
      <c r="D107" s="246"/>
      <c r="E107" s="246"/>
      <c r="F107" s="246"/>
      <c r="G107" s="246"/>
      <c r="H107" s="246"/>
      <c r="I107" s="246"/>
      <c r="J107" s="247"/>
    </row>
    <row r="108" spans="1:10" ht="18.75" customHeight="1" x14ac:dyDescent="0.15">
      <c r="A108" s="97"/>
      <c r="B108" s="248"/>
      <c r="C108" s="249"/>
      <c r="D108" s="249"/>
      <c r="E108" s="249"/>
      <c r="F108" s="249"/>
      <c r="G108" s="249"/>
      <c r="H108" s="249"/>
      <c r="I108" s="249"/>
      <c r="J108" s="250"/>
    </row>
    <row r="109" spans="1:10" ht="7.5" customHeight="1" x14ac:dyDescent="0.15">
      <c r="A109" s="97"/>
      <c r="B109" s="97"/>
      <c r="C109" s="97"/>
      <c r="D109" s="97"/>
      <c r="E109" s="97"/>
      <c r="F109" s="97"/>
      <c r="G109" s="97"/>
      <c r="H109" s="97"/>
      <c r="I109" s="97"/>
      <c r="J109" s="97"/>
    </row>
    <row r="110" spans="1:10" ht="18.75" customHeight="1" x14ac:dyDescent="0.15">
      <c r="A110" s="5" t="s">
        <v>52</v>
      </c>
      <c r="B110" s="251" t="s">
        <v>79</v>
      </c>
      <c r="C110" s="251"/>
      <c r="D110" s="251"/>
      <c r="E110" s="251"/>
      <c r="F110" s="251"/>
      <c r="G110" s="251"/>
      <c r="H110" s="251"/>
      <c r="I110" s="251"/>
      <c r="J110" s="251"/>
    </row>
    <row r="111" spans="1:10" ht="18.75" customHeight="1" x14ac:dyDescent="0.15">
      <c r="A111" s="97"/>
      <c r="B111" s="234" t="s">
        <v>201</v>
      </c>
      <c r="C111" s="235"/>
      <c r="D111" s="235"/>
      <c r="E111" s="235"/>
      <c r="F111" s="235"/>
      <c r="G111" s="235"/>
      <c r="H111" s="235"/>
      <c r="I111" s="243"/>
      <c r="J111" s="244"/>
    </row>
    <row r="112" spans="1:10" ht="18.75" customHeight="1" x14ac:dyDescent="0.15">
      <c r="A112" s="97"/>
      <c r="B112" s="245"/>
      <c r="C112" s="246"/>
      <c r="D112" s="246"/>
      <c r="E112" s="246"/>
      <c r="F112" s="246"/>
      <c r="G112" s="246"/>
      <c r="H112" s="246"/>
      <c r="I112" s="246"/>
      <c r="J112" s="247"/>
    </row>
    <row r="113" spans="1:11" ht="18.75" customHeight="1" x14ac:dyDescent="0.15">
      <c r="A113" s="97"/>
      <c r="B113" s="245"/>
      <c r="C113" s="246"/>
      <c r="D113" s="246"/>
      <c r="E113" s="246"/>
      <c r="F113" s="246"/>
      <c r="G113" s="246"/>
      <c r="H113" s="246"/>
      <c r="I113" s="246"/>
      <c r="J113" s="247"/>
      <c r="K113" s="5" t="str">
        <f>IF(B111="","入力してください","")</f>
        <v/>
      </c>
    </row>
    <row r="114" spans="1:11" ht="18.75" customHeight="1" x14ac:dyDescent="0.15">
      <c r="A114" s="97"/>
      <c r="B114" s="245"/>
      <c r="C114" s="246"/>
      <c r="D114" s="246"/>
      <c r="E114" s="246"/>
      <c r="F114" s="246"/>
      <c r="G114" s="246"/>
      <c r="H114" s="246"/>
      <c r="I114" s="246"/>
      <c r="J114" s="247"/>
    </row>
    <row r="115" spans="1:11" ht="18.75" customHeight="1" x14ac:dyDescent="0.15">
      <c r="A115" s="97"/>
      <c r="B115" s="245"/>
      <c r="C115" s="246"/>
      <c r="D115" s="246"/>
      <c r="E115" s="246"/>
      <c r="F115" s="246"/>
      <c r="G115" s="246"/>
      <c r="H115" s="246"/>
      <c r="I115" s="246"/>
      <c r="J115" s="247"/>
    </row>
    <row r="116" spans="1:11" ht="18.75" customHeight="1" x14ac:dyDescent="0.15">
      <c r="A116" s="97"/>
      <c r="B116" s="245"/>
      <c r="C116" s="246"/>
      <c r="D116" s="246"/>
      <c r="E116" s="246"/>
      <c r="F116" s="246"/>
      <c r="G116" s="246"/>
      <c r="H116" s="246"/>
      <c r="I116" s="246"/>
      <c r="J116" s="247"/>
    </row>
    <row r="117" spans="1:11" ht="18.75" customHeight="1" x14ac:dyDescent="0.15">
      <c r="A117" s="97"/>
      <c r="B117" s="245"/>
      <c r="C117" s="246"/>
      <c r="D117" s="246"/>
      <c r="E117" s="246"/>
      <c r="F117" s="246"/>
      <c r="G117" s="246"/>
      <c r="H117" s="246"/>
      <c r="I117" s="246"/>
      <c r="J117" s="247"/>
    </row>
    <row r="118" spans="1:11" ht="18.75" customHeight="1" x14ac:dyDescent="0.15">
      <c r="A118" s="97"/>
      <c r="B118" s="245"/>
      <c r="C118" s="246"/>
      <c r="D118" s="246"/>
      <c r="E118" s="246"/>
      <c r="F118" s="246"/>
      <c r="G118" s="246"/>
      <c r="H118" s="246"/>
      <c r="I118" s="246"/>
      <c r="J118" s="247"/>
    </row>
    <row r="119" spans="1:11" ht="18.75" customHeight="1" x14ac:dyDescent="0.15">
      <c r="A119" s="97"/>
      <c r="B119" s="245"/>
      <c r="C119" s="246"/>
      <c r="D119" s="246"/>
      <c r="E119" s="246"/>
      <c r="F119" s="246"/>
      <c r="G119" s="246"/>
      <c r="H119" s="246"/>
      <c r="I119" s="246"/>
      <c r="J119" s="247"/>
    </row>
    <row r="120" spans="1:11" ht="18.75" customHeight="1" x14ac:dyDescent="0.15">
      <c r="A120" s="97"/>
      <c r="B120" s="245"/>
      <c r="C120" s="246"/>
      <c r="D120" s="246"/>
      <c r="E120" s="246"/>
      <c r="F120" s="246"/>
      <c r="G120" s="246"/>
      <c r="H120" s="246"/>
      <c r="I120" s="246"/>
      <c r="J120" s="247"/>
    </row>
    <row r="121" spans="1:11" ht="18.75" customHeight="1" x14ac:dyDescent="0.15">
      <c r="A121" s="97"/>
      <c r="B121" s="245"/>
      <c r="C121" s="246"/>
      <c r="D121" s="246"/>
      <c r="E121" s="246"/>
      <c r="F121" s="246"/>
      <c r="G121" s="246"/>
      <c r="H121" s="246"/>
      <c r="I121" s="246"/>
      <c r="J121" s="247"/>
    </row>
    <row r="122" spans="1:11" ht="18.75" customHeight="1" x14ac:dyDescent="0.15">
      <c r="A122" s="97"/>
      <c r="B122" s="245"/>
      <c r="C122" s="246"/>
      <c r="D122" s="246"/>
      <c r="E122" s="246"/>
      <c r="F122" s="246"/>
      <c r="G122" s="246"/>
      <c r="H122" s="246"/>
      <c r="I122" s="246"/>
      <c r="J122" s="247"/>
    </row>
    <row r="123" spans="1:11" ht="18.75" customHeight="1" x14ac:dyDescent="0.15">
      <c r="A123" s="97"/>
      <c r="B123" s="245"/>
      <c r="C123" s="246"/>
      <c r="D123" s="246"/>
      <c r="E123" s="246"/>
      <c r="F123" s="246"/>
      <c r="G123" s="246"/>
      <c r="H123" s="246"/>
      <c r="I123" s="246"/>
      <c r="J123" s="247"/>
    </row>
    <row r="124" spans="1:11" ht="18.75" customHeight="1" x14ac:dyDescent="0.15">
      <c r="A124" s="97"/>
      <c r="B124" s="245"/>
      <c r="C124" s="246"/>
      <c r="D124" s="246"/>
      <c r="E124" s="246"/>
      <c r="F124" s="246"/>
      <c r="G124" s="246"/>
      <c r="H124" s="246"/>
      <c r="I124" s="246"/>
      <c r="J124" s="247"/>
    </row>
    <row r="125" spans="1:11" ht="18.75" customHeight="1" x14ac:dyDescent="0.15">
      <c r="A125" s="97"/>
      <c r="B125" s="245"/>
      <c r="C125" s="246"/>
      <c r="D125" s="246"/>
      <c r="E125" s="246"/>
      <c r="F125" s="246"/>
      <c r="G125" s="246"/>
      <c r="H125" s="246"/>
      <c r="I125" s="246"/>
      <c r="J125" s="247"/>
    </row>
    <row r="126" spans="1:11" ht="18.75" customHeight="1" x14ac:dyDescent="0.15">
      <c r="A126" s="97"/>
      <c r="B126" s="245"/>
      <c r="C126" s="246"/>
      <c r="D126" s="246"/>
      <c r="E126" s="246"/>
      <c r="F126" s="246"/>
      <c r="G126" s="246"/>
      <c r="H126" s="246"/>
      <c r="I126" s="246"/>
      <c r="J126" s="247"/>
    </row>
    <row r="127" spans="1:11" ht="18.75" customHeight="1" x14ac:dyDescent="0.15">
      <c r="A127" s="97"/>
      <c r="B127" s="245"/>
      <c r="C127" s="246"/>
      <c r="D127" s="246"/>
      <c r="E127" s="246"/>
      <c r="F127" s="246"/>
      <c r="G127" s="246"/>
      <c r="H127" s="246"/>
      <c r="I127" s="246"/>
      <c r="J127" s="247"/>
    </row>
    <row r="128" spans="1:11" ht="18.75" customHeight="1" x14ac:dyDescent="0.15">
      <c r="A128" s="97"/>
      <c r="B128" s="245"/>
      <c r="C128" s="246"/>
      <c r="D128" s="246"/>
      <c r="E128" s="246"/>
      <c r="F128" s="246"/>
      <c r="G128" s="246"/>
      <c r="H128" s="246"/>
      <c r="I128" s="246"/>
      <c r="J128" s="247"/>
    </row>
    <row r="129" spans="1:10" ht="18.75" customHeight="1" x14ac:dyDescent="0.15">
      <c r="A129" s="97"/>
      <c r="B129" s="248"/>
      <c r="C129" s="249"/>
      <c r="D129" s="249"/>
      <c r="E129" s="249"/>
      <c r="F129" s="249"/>
      <c r="G129" s="249"/>
      <c r="H129" s="249"/>
      <c r="I129" s="249"/>
      <c r="J129" s="250"/>
    </row>
    <row r="130" spans="1:10" ht="7.5" customHeight="1" x14ac:dyDescent="0.15">
      <c r="A130" s="97"/>
      <c r="B130" s="109"/>
      <c r="C130" s="109"/>
      <c r="D130" s="109"/>
      <c r="E130" s="109"/>
      <c r="F130" s="109"/>
      <c r="G130" s="109"/>
      <c r="H130" s="109"/>
      <c r="I130" s="109"/>
      <c r="J130" s="109"/>
    </row>
    <row r="131" spans="1:10" ht="18.75" customHeight="1" x14ac:dyDescent="0.15">
      <c r="A131" s="97"/>
      <c r="B131" s="97"/>
      <c r="C131" s="97"/>
      <c r="D131" s="97"/>
      <c r="E131" s="97"/>
      <c r="F131" s="97"/>
      <c r="G131" s="97"/>
      <c r="H131" s="97"/>
      <c r="I131" s="97"/>
      <c r="J131" s="97"/>
    </row>
    <row r="132" spans="1:10" ht="18.75" customHeight="1" x14ac:dyDescent="0.15">
      <c r="A132" s="97"/>
      <c r="B132" s="97"/>
      <c r="C132" s="97"/>
      <c r="D132" s="97"/>
      <c r="E132" s="97"/>
      <c r="F132" s="97"/>
      <c r="G132" s="97"/>
      <c r="H132" s="97"/>
      <c r="I132" s="97"/>
      <c r="J132" s="97"/>
    </row>
    <row r="133" spans="1:10" ht="18.75" customHeight="1" x14ac:dyDescent="0.15">
      <c r="A133" s="97"/>
      <c r="B133" s="97"/>
      <c r="C133" s="97"/>
      <c r="D133" s="97"/>
      <c r="E133" s="97"/>
      <c r="F133" s="97"/>
      <c r="G133" s="97"/>
      <c r="H133" s="97"/>
      <c r="I133" s="97"/>
      <c r="J133" s="97"/>
    </row>
    <row r="134" spans="1:10" ht="18.75" customHeight="1" x14ac:dyDescent="0.15">
      <c r="A134" s="97"/>
      <c r="B134" s="97"/>
      <c r="C134" s="97"/>
      <c r="D134" s="97"/>
      <c r="E134" s="97"/>
      <c r="F134" s="97"/>
      <c r="G134" s="97"/>
      <c r="H134" s="97"/>
      <c r="I134" s="97"/>
      <c r="J134" s="97"/>
    </row>
    <row r="135" spans="1:10" ht="18.75" customHeight="1" x14ac:dyDescent="0.15">
      <c r="A135" s="97"/>
      <c r="B135" s="97"/>
      <c r="C135" s="97"/>
      <c r="D135" s="97"/>
      <c r="E135" s="97"/>
      <c r="F135" s="97"/>
      <c r="G135" s="97"/>
      <c r="H135" s="97"/>
      <c r="I135" s="97"/>
      <c r="J135" s="97"/>
    </row>
    <row r="136" spans="1:10" ht="18.75" customHeight="1" x14ac:dyDescent="0.15">
      <c r="A136" s="97"/>
      <c r="B136" s="97"/>
      <c r="C136" s="97"/>
      <c r="D136" s="97"/>
      <c r="E136" s="97"/>
      <c r="F136" s="97"/>
      <c r="G136" s="97"/>
      <c r="H136" s="97"/>
      <c r="I136" s="97"/>
      <c r="J136" s="97"/>
    </row>
    <row r="137" spans="1:10" ht="18.75" customHeight="1" x14ac:dyDescent="0.15">
      <c r="A137" s="97"/>
      <c r="B137" s="97"/>
      <c r="C137" s="97"/>
      <c r="D137" s="97"/>
      <c r="E137" s="97"/>
      <c r="F137" s="97"/>
      <c r="G137" s="97"/>
      <c r="H137" s="97"/>
      <c r="I137" s="97"/>
      <c r="J137" s="97"/>
    </row>
    <row r="138" spans="1:10" ht="18.75" customHeight="1" x14ac:dyDescent="0.15">
      <c r="A138" s="97"/>
      <c r="B138" s="97"/>
      <c r="C138" s="97"/>
      <c r="D138" s="97"/>
      <c r="E138" s="97"/>
      <c r="F138" s="97"/>
      <c r="G138" s="97"/>
      <c r="H138" s="97"/>
      <c r="I138" s="97"/>
      <c r="J138" s="97"/>
    </row>
    <row r="139" spans="1:10" ht="18.75" customHeight="1" x14ac:dyDescent="0.15">
      <c r="A139" s="97"/>
      <c r="B139" s="97"/>
      <c r="C139" s="97"/>
      <c r="D139" s="97"/>
      <c r="E139" s="97"/>
      <c r="F139" s="97"/>
      <c r="G139" s="97"/>
      <c r="H139" s="97"/>
      <c r="I139" s="97"/>
      <c r="J139" s="97"/>
    </row>
    <row r="140" spans="1:10" ht="18.75" customHeight="1" x14ac:dyDescent="0.15">
      <c r="A140" s="97"/>
      <c r="B140" s="97"/>
      <c r="C140" s="97"/>
      <c r="D140" s="97"/>
      <c r="E140" s="97"/>
      <c r="F140" s="97"/>
      <c r="G140" s="97"/>
      <c r="H140" s="97"/>
      <c r="I140" s="97"/>
      <c r="J140" s="97"/>
    </row>
    <row r="141" spans="1:10" ht="18.75" customHeight="1" x14ac:dyDescent="0.15">
      <c r="A141" s="97"/>
      <c r="B141" s="97"/>
      <c r="C141" s="97"/>
      <c r="D141" s="97"/>
      <c r="E141" s="97"/>
      <c r="F141" s="97"/>
      <c r="G141" s="97"/>
      <c r="H141" s="97"/>
      <c r="I141" s="97"/>
      <c r="J141" s="97"/>
    </row>
    <row r="142" spans="1:10" ht="18.75" customHeight="1" x14ac:dyDescent="0.15">
      <c r="A142" s="97"/>
      <c r="B142" s="97"/>
      <c r="C142" s="97"/>
      <c r="D142" s="97"/>
      <c r="E142" s="97"/>
      <c r="F142" s="97"/>
      <c r="G142" s="97"/>
      <c r="H142" s="97"/>
      <c r="I142" s="97"/>
      <c r="J142" s="97"/>
    </row>
    <row r="143" spans="1:10" ht="14.25" x14ac:dyDescent="0.15">
      <c r="A143" s="97"/>
      <c r="B143" s="97"/>
      <c r="C143" s="97"/>
      <c r="D143" s="97"/>
      <c r="E143" s="97"/>
      <c r="F143" s="97"/>
      <c r="G143" s="97"/>
      <c r="H143" s="97"/>
      <c r="I143" s="97"/>
      <c r="J143" s="97"/>
    </row>
    <row r="144" spans="1:10" ht="7.5" customHeight="1" x14ac:dyDescent="0.15">
      <c r="A144" s="110"/>
      <c r="B144" s="110"/>
      <c r="C144" s="110"/>
      <c r="D144" s="110"/>
      <c r="E144" s="110"/>
      <c r="F144" s="110"/>
      <c r="G144" s="110"/>
      <c r="H144" s="110"/>
      <c r="I144" s="110"/>
      <c r="J144" s="110"/>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scale="93"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K26"/>
  <sheetViews>
    <sheetView showZeros="0" view="pageBreakPreview" zoomScaleNormal="100" zoomScaleSheetLayoutView="100" workbookViewId="0"/>
  </sheetViews>
  <sheetFormatPr defaultColWidth="11.375" defaultRowHeight="22.5" customHeight="1" x14ac:dyDescent="0.15"/>
  <cols>
    <col min="1" max="3" width="2.75" style="4" customWidth="1"/>
    <col min="4" max="4" width="22.25" style="4" customWidth="1"/>
    <col min="5" max="5" width="21.625" style="4" customWidth="1"/>
    <col min="6" max="7" width="7.75" style="4" customWidth="1"/>
    <col min="8" max="8" width="33.375" style="4" customWidth="1"/>
    <col min="9" max="9" width="24.5" style="4" customWidth="1"/>
    <col min="10" max="10" width="5.5" style="4" customWidth="1"/>
    <col min="11" max="11" width="4.125" style="4" customWidth="1"/>
    <col min="12" max="16384" width="11.375" style="4"/>
  </cols>
  <sheetData>
    <row r="1" spans="1:11" ht="18.75" customHeight="1" x14ac:dyDescent="0.15">
      <c r="A1" s="4" t="s">
        <v>120</v>
      </c>
      <c r="J1" s="95" t="s">
        <v>70</v>
      </c>
    </row>
    <row r="2" spans="1:11" ht="18.75" customHeight="1" x14ac:dyDescent="0.15">
      <c r="A2" s="207" t="s">
        <v>43</v>
      </c>
      <c r="B2" s="207"/>
      <c r="C2" s="207"/>
      <c r="D2" s="207"/>
      <c r="E2" s="207"/>
      <c r="F2" s="207"/>
      <c r="G2" s="207"/>
      <c r="H2" s="207"/>
      <c r="I2" s="207"/>
      <c r="J2" s="207"/>
    </row>
    <row r="3" spans="1:11" ht="7.5" customHeight="1" x14ac:dyDescent="0.15">
      <c r="A3" s="93"/>
      <c r="B3" s="93"/>
      <c r="C3" s="93"/>
      <c r="D3" s="93"/>
      <c r="E3" s="93"/>
      <c r="F3" s="93"/>
      <c r="G3" s="93"/>
      <c r="H3" s="93"/>
      <c r="I3" s="93"/>
      <c r="J3" s="93"/>
    </row>
    <row r="4" spans="1:11" ht="18.75" customHeight="1" x14ac:dyDescent="0.15">
      <c r="A4" s="4" t="s">
        <v>6</v>
      </c>
      <c r="B4" s="5" t="s">
        <v>42</v>
      </c>
      <c r="C4" s="96"/>
      <c r="D4" s="96"/>
      <c r="E4" s="97"/>
      <c r="F4" s="97"/>
      <c r="G4" s="97"/>
      <c r="H4" s="97"/>
      <c r="I4" s="97"/>
      <c r="J4" s="97"/>
    </row>
    <row r="5" spans="1:11" ht="18.75" customHeight="1" x14ac:dyDescent="0.15">
      <c r="B5" s="261" t="s">
        <v>39</v>
      </c>
      <c r="C5" s="262"/>
      <c r="D5" s="263"/>
      <c r="E5" s="129" t="s">
        <v>41</v>
      </c>
      <c r="F5" s="129"/>
      <c r="G5" s="129"/>
      <c r="H5" s="129"/>
      <c r="I5" s="129"/>
      <c r="J5" s="130"/>
    </row>
    <row r="6" spans="1:11" ht="18.75" customHeight="1" x14ac:dyDescent="0.15">
      <c r="B6" s="98" t="s">
        <v>29</v>
      </c>
      <c r="C6" s="96"/>
      <c r="D6" s="99"/>
      <c r="I6" s="97"/>
      <c r="J6" s="100"/>
    </row>
    <row r="7" spans="1:11" ht="207" customHeight="1" x14ac:dyDescent="0.15">
      <c r="B7" s="101"/>
      <c r="C7" s="264" t="s">
        <v>30</v>
      </c>
      <c r="D7" s="265"/>
      <c r="E7" s="258" t="s">
        <v>190</v>
      </c>
      <c r="F7" s="259"/>
      <c r="G7" s="259"/>
      <c r="H7" s="259"/>
      <c r="I7" s="259"/>
      <c r="J7" s="260"/>
      <c r="K7" s="4" t="str">
        <f>IF(E7="","入力してください","")</f>
        <v/>
      </c>
    </row>
    <row r="8" spans="1:11" ht="207" customHeight="1" x14ac:dyDescent="0.15">
      <c r="B8" s="101"/>
      <c r="C8" s="256" t="s">
        <v>31</v>
      </c>
      <c r="D8" s="257"/>
      <c r="E8" s="258" t="s">
        <v>188</v>
      </c>
      <c r="F8" s="259"/>
      <c r="G8" s="259"/>
      <c r="H8" s="259"/>
      <c r="I8" s="259"/>
      <c r="J8" s="260"/>
      <c r="K8" s="4" t="str">
        <f>IF(E8="","入力してください","")</f>
        <v/>
      </c>
    </row>
    <row r="9" spans="1:11" ht="172.5" customHeight="1" x14ac:dyDescent="0.15">
      <c r="B9" s="101"/>
      <c r="C9" s="264" t="s">
        <v>32</v>
      </c>
      <c r="D9" s="265"/>
      <c r="E9" s="258" t="s">
        <v>192</v>
      </c>
      <c r="F9" s="259"/>
      <c r="G9" s="259"/>
      <c r="H9" s="259"/>
      <c r="I9" s="259"/>
      <c r="J9" s="260"/>
      <c r="K9" s="4" t="str">
        <f>IF(E9="","入力してください","")</f>
        <v/>
      </c>
    </row>
    <row r="10" spans="1:11" ht="172.5" customHeight="1" x14ac:dyDescent="0.15">
      <c r="B10" s="101"/>
      <c r="C10" s="264" t="s">
        <v>33</v>
      </c>
      <c r="D10" s="265"/>
      <c r="E10" s="258" t="s">
        <v>202</v>
      </c>
      <c r="F10" s="259"/>
      <c r="G10" s="259"/>
      <c r="H10" s="259"/>
      <c r="I10" s="259"/>
      <c r="J10" s="260"/>
      <c r="K10" s="4" t="str">
        <f t="shared" ref="K10:K14" si="0">IF(E10="","入力してください","")</f>
        <v/>
      </c>
    </row>
    <row r="11" spans="1:11" ht="172.5" customHeight="1" x14ac:dyDescent="0.15">
      <c r="B11" s="101"/>
      <c r="C11" s="264" t="s">
        <v>34</v>
      </c>
      <c r="D11" s="265"/>
      <c r="E11" s="258" t="s">
        <v>203</v>
      </c>
      <c r="F11" s="259"/>
      <c r="G11" s="259"/>
      <c r="H11" s="259"/>
      <c r="I11" s="259"/>
      <c r="J11" s="260"/>
      <c r="K11" s="4" t="str">
        <f t="shared" si="0"/>
        <v/>
      </c>
    </row>
    <row r="12" spans="1:11" ht="18.75" customHeight="1" x14ac:dyDescent="0.15">
      <c r="B12" s="102" t="s">
        <v>35</v>
      </c>
      <c r="C12" s="103"/>
      <c r="D12" s="104"/>
      <c r="E12" s="105"/>
      <c r="F12" s="105"/>
      <c r="G12" s="105"/>
      <c r="H12" s="105"/>
      <c r="I12" s="105"/>
      <c r="J12" s="106"/>
    </row>
    <row r="13" spans="1:11" ht="244.15" customHeight="1" x14ac:dyDescent="0.15">
      <c r="B13" s="101"/>
      <c r="C13" s="264" t="s">
        <v>36</v>
      </c>
      <c r="D13" s="265"/>
      <c r="E13" s="259" t="s">
        <v>204</v>
      </c>
      <c r="F13" s="259"/>
      <c r="G13" s="259"/>
      <c r="H13" s="259"/>
      <c r="I13" s="259"/>
      <c r="J13" s="260"/>
      <c r="K13" s="4" t="str">
        <f t="shared" si="0"/>
        <v/>
      </c>
    </row>
    <row r="14" spans="1:11" ht="255" customHeight="1" x14ac:dyDescent="0.15">
      <c r="B14" s="101"/>
      <c r="C14" s="264" t="s">
        <v>37</v>
      </c>
      <c r="D14" s="265"/>
      <c r="E14" s="259" t="s">
        <v>195</v>
      </c>
      <c r="F14" s="259"/>
      <c r="G14" s="259"/>
      <c r="H14" s="259"/>
      <c r="I14" s="259"/>
      <c r="J14" s="260"/>
      <c r="K14" s="4" t="str">
        <f t="shared" si="0"/>
        <v/>
      </c>
    </row>
    <row r="15" spans="1:11" ht="243" customHeight="1" x14ac:dyDescent="0.15">
      <c r="B15" s="272" t="s">
        <v>38</v>
      </c>
      <c r="C15" s="273"/>
      <c r="D15" s="265"/>
      <c r="E15" s="259" t="s">
        <v>205</v>
      </c>
      <c r="F15" s="259"/>
      <c r="G15" s="259"/>
      <c r="H15" s="259"/>
      <c r="I15" s="259"/>
      <c r="J15" s="260"/>
      <c r="K15" s="4" t="str">
        <f>IF(E15="","入力してください","")</f>
        <v/>
      </c>
    </row>
    <row r="16" spans="1:11" ht="243" customHeight="1" x14ac:dyDescent="0.15">
      <c r="B16" s="266" t="s">
        <v>63</v>
      </c>
      <c r="C16" s="267"/>
      <c r="D16" s="268"/>
      <c r="E16" s="241" t="s">
        <v>206</v>
      </c>
      <c r="F16" s="241"/>
      <c r="G16" s="241"/>
      <c r="H16" s="241"/>
      <c r="I16" s="241"/>
      <c r="J16" s="242"/>
      <c r="K16" s="4" t="str">
        <f>IF(E16="","入力してください","")</f>
        <v/>
      </c>
    </row>
    <row r="17" spans="1:11" ht="7.5" customHeight="1" x14ac:dyDescent="0.15">
      <c r="B17" s="96"/>
      <c r="C17" s="96"/>
      <c r="D17" s="96"/>
      <c r="E17" s="97"/>
      <c r="F17" s="97"/>
      <c r="G17" s="97"/>
      <c r="H17" s="97"/>
      <c r="I17" s="97"/>
      <c r="J17" s="97"/>
    </row>
    <row r="18" spans="1:11" ht="18.75" customHeight="1" x14ac:dyDescent="0.15">
      <c r="A18" s="4" t="s">
        <v>121</v>
      </c>
      <c r="B18" s="5"/>
      <c r="C18" s="96"/>
      <c r="D18" s="96"/>
      <c r="E18" s="97"/>
      <c r="F18" s="92"/>
      <c r="G18" s="269" t="s">
        <v>194</v>
      </c>
      <c r="H18" s="270"/>
      <c r="I18" s="270"/>
      <c r="J18" s="271"/>
      <c r="K18" s="4" t="str">
        <f>IF(G18="","入力してください","")</f>
        <v/>
      </c>
    </row>
    <row r="19" spans="1:11" ht="22.5" customHeight="1" x14ac:dyDescent="0.15">
      <c r="B19" s="96"/>
      <c r="C19" s="96"/>
      <c r="D19" s="96"/>
      <c r="E19" s="97"/>
      <c r="F19" s="97"/>
      <c r="G19" s="97"/>
      <c r="H19" s="97"/>
      <c r="I19" s="97"/>
      <c r="J19" s="97"/>
    </row>
    <row r="20" spans="1:11" ht="22.5" customHeight="1" x14ac:dyDescent="0.15">
      <c r="B20" s="96"/>
      <c r="C20" s="96"/>
      <c r="D20" s="96"/>
      <c r="E20" s="97"/>
      <c r="F20" s="97"/>
      <c r="G20" s="97"/>
      <c r="H20" s="97"/>
      <c r="I20" s="97"/>
      <c r="J20" s="97"/>
    </row>
    <row r="21" spans="1:11" ht="22.5" customHeight="1" x14ac:dyDescent="0.15">
      <c r="B21" s="96"/>
      <c r="C21" s="96"/>
      <c r="D21" s="96"/>
      <c r="E21" s="97"/>
      <c r="F21" s="97"/>
      <c r="G21" s="97"/>
      <c r="H21" s="97"/>
      <c r="I21" s="97"/>
      <c r="J21" s="97"/>
    </row>
    <row r="22" spans="1:11" ht="22.5" customHeight="1" x14ac:dyDescent="0.15">
      <c r="B22" s="96"/>
      <c r="C22" s="96"/>
      <c r="D22" s="96"/>
      <c r="E22" s="97"/>
      <c r="F22" s="97"/>
      <c r="G22" s="97"/>
      <c r="H22" s="97"/>
      <c r="I22" s="97"/>
      <c r="J22" s="97"/>
    </row>
    <row r="23" spans="1:11" ht="22.5" customHeight="1" x14ac:dyDescent="0.15">
      <c r="B23" s="96"/>
      <c r="C23" s="96"/>
      <c r="D23" s="96"/>
      <c r="E23" s="97"/>
      <c r="F23" s="97"/>
      <c r="G23" s="97"/>
      <c r="H23" s="97"/>
      <c r="I23" s="97"/>
      <c r="J23" s="97"/>
    </row>
    <row r="24" spans="1:11" ht="22.5" customHeight="1" x14ac:dyDescent="0.15">
      <c r="B24" s="107"/>
      <c r="C24" s="107"/>
      <c r="D24" s="107"/>
      <c r="E24" s="107"/>
      <c r="F24" s="107"/>
      <c r="G24" s="107"/>
      <c r="H24" s="107"/>
      <c r="I24" s="107"/>
      <c r="J24" s="107"/>
    </row>
    <row r="25" spans="1:11" ht="22.5" customHeight="1" x14ac:dyDescent="0.15">
      <c r="B25" s="107"/>
      <c r="C25" s="107"/>
      <c r="D25" s="107"/>
      <c r="E25" s="107"/>
      <c r="F25" s="107"/>
      <c r="G25" s="107"/>
      <c r="H25" s="107"/>
      <c r="I25" s="107"/>
      <c r="J25" s="107"/>
    </row>
    <row r="26" spans="1:11" ht="22.5" customHeight="1" x14ac:dyDescent="0.15">
      <c r="B26" s="107"/>
      <c r="C26" s="107"/>
      <c r="D26" s="107"/>
      <c r="E26" s="107"/>
      <c r="F26" s="107"/>
      <c r="G26" s="107"/>
      <c r="H26" s="107"/>
      <c r="I26" s="107"/>
      <c r="J26" s="107"/>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xr:uid="{BAC076BB-6E32-434F-8E8D-279AD9110100}"/>
  </hyperlinks>
  <printOptions horizontalCentered="1"/>
  <pageMargins left="0.78740157480314965" right="0.78740157480314965" top="0.78740157480314965" bottom="0.78740157480314965" header="0.31496062992125984" footer="0.31496062992125984"/>
  <pageSetup paperSize="9" fitToHeight="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D0C51-B30F-4D9B-B765-B892DABFC675}">
  <dimension ref="A1:F124"/>
  <sheetViews>
    <sheetView showZeros="0" view="pageBreakPreview" zoomScaleNormal="100" zoomScaleSheetLayoutView="100" workbookViewId="0"/>
  </sheetViews>
  <sheetFormatPr defaultColWidth="11.375" defaultRowHeight="18.75" customHeight="1" x14ac:dyDescent="0.15"/>
  <cols>
    <col min="1" max="1" width="3.375" style="1" customWidth="1"/>
    <col min="2" max="2" width="15.5" style="1" customWidth="1"/>
    <col min="3" max="3" width="37.625" style="1" customWidth="1"/>
    <col min="4" max="4" width="1.125" style="1" customWidth="1"/>
    <col min="5" max="5" width="21.125" style="1" customWidth="1"/>
    <col min="6" max="6" width="7.625" style="1" customWidth="1"/>
    <col min="7" max="8" width="2.125" style="1" customWidth="1"/>
    <col min="9" max="16384" width="11.375" style="1"/>
  </cols>
  <sheetData>
    <row r="1" spans="1:6" ht="18.75" customHeight="1" x14ac:dyDescent="0.15">
      <c r="E1" s="217" t="s">
        <v>7</v>
      </c>
      <c r="F1" s="217"/>
    </row>
    <row r="2" spans="1:6" ht="18.75" customHeight="1" x14ac:dyDescent="0.15">
      <c r="A2" s="274" t="s">
        <v>145</v>
      </c>
      <c r="B2" s="274"/>
      <c r="C2" s="274"/>
      <c r="D2" s="274"/>
      <c r="E2" s="274"/>
      <c r="F2" s="274"/>
    </row>
    <row r="3" spans="1:6" ht="7.5" customHeight="1" x14ac:dyDescent="0.15">
      <c r="A3" s="94"/>
      <c r="B3" s="94"/>
      <c r="C3" s="94"/>
      <c r="D3" s="94"/>
      <c r="E3" s="94"/>
      <c r="F3" s="94"/>
    </row>
    <row r="4" spans="1:6" ht="18.75" customHeight="1" x14ac:dyDescent="0.15">
      <c r="A4" s="94" t="s">
        <v>6</v>
      </c>
      <c r="B4" s="2" t="s">
        <v>27</v>
      </c>
      <c r="C4" s="94"/>
      <c r="D4" s="94"/>
      <c r="E4" s="94"/>
      <c r="F4" s="94"/>
    </row>
    <row r="5" spans="1:6" ht="18.75" customHeight="1" x14ac:dyDescent="0.15">
      <c r="A5" s="94"/>
      <c r="B5" s="275" t="s">
        <v>207</v>
      </c>
      <c r="C5" s="276"/>
      <c r="D5" s="276"/>
      <c r="E5" s="276"/>
      <c r="F5" s="277"/>
    </row>
    <row r="6" spans="1:6" ht="18.75" customHeight="1" x14ac:dyDescent="0.15">
      <c r="A6" s="94"/>
      <c r="B6" s="278"/>
      <c r="C6" s="279"/>
      <c r="D6" s="279"/>
      <c r="E6" s="279"/>
      <c r="F6" s="280"/>
    </row>
    <row r="7" spans="1:6" ht="18.75" customHeight="1" x14ac:dyDescent="0.15">
      <c r="A7" s="94"/>
      <c r="B7" s="278"/>
      <c r="C7" s="279"/>
      <c r="D7" s="279"/>
      <c r="E7" s="279"/>
      <c r="F7" s="280"/>
    </row>
    <row r="8" spans="1:6" ht="18.75" customHeight="1" x14ac:dyDescent="0.15">
      <c r="A8" s="94"/>
      <c r="B8" s="278"/>
      <c r="C8" s="279"/>
      <c r="D8" s="279"/>
      <c r="E8" s="279"/>
      <c r="F8" s="280"/>
    </row>
    <row r="9" spans="1:6" ht="18.75" customHeight="1" x14ac:dyDescent="0.15">
      <c r="A9" s="94"/>
      <c r="B9" s="278"/>
      <c r="C9" s="279"/>
      <c r="D9" s="279"/>
      <c r="E9" s="279"/>
      <c r="F9" s="280"/>
    </row>
    <row r="10" spans="1:6" ht="18.75" customHeight="1" x14ac:dyDescent="0.15">
      <c r="A10" s="94"/>
      <c r="B10" s="278"/>
      <c r="C10" s="279"/>
      <c r="D10" s="279"/>
      <c r="E10" s="279"/>
      <c r="F10" s="280"/>
    </row>
    <row r="11" spans="1:6" ht="18.75" customHeight="1" x14ac:dyDescent="0.15">
      <c r="A11" s="94"/>
      <c r="B11" s="278"/>
      <c r="C11" s="279"/>
      <c r="D11" s="279"/>
      <c r="E11" s="279"/>
      <c r="F11" s="280"/>
    </row>
    <row r="12" spans="1:6" ht="18.75" customHeight="1" x14ac:dyDescent="0.15">
      <c r="A12" s="94"/>
      <c r="B12" s="278"/>
      <c r="C12" s="279"/>
      <c r="D12" s="279"/>
      <c r="E12" s="279"/>
      <c r="F12" s="280"/>
    </row>
    <row r="13" spans="1:6" ht="18.75" customHeight="1" x14ac:dyDescent="0.15">
      <c r="A13" s="94"/>
      <c r="B13" s="278"/>
      <c r="C13" s="279"/>
      <c r="D13" s="279"/>
      <c r="E13" s="279"/>
      <c r="F13" s="280"/>
    </row>
    <row r="14" spans="1:6" ht="18.75" customHeight="1" x14ac:dyDescent="0.15">
      <c r="A14" s="94"/>
      <c r="B14" s="278"/>
      <c r="C14" s="279"/>
      <c r="D14" s="279"/>
      <c r="E14" s="279"/>
      <c r="F14" s="280"/>
    </row>
    <row r="15" spans="1:6" ht="18.75" customHeight="1" x14ac:dyDescent="0.15">
      <c r="A15" s="94"/>
      <c r="B15" s="278"/>
      <c r="C15" s="279"/>
      <c r="D15" s="279"/>
      <c r="E15" s="279"/>
      <c r="F15" s="280"/>
    </row>
    <row r="16" spans="1:6" ht="18.75" customHeight="1" x14ac:dyDescent="0.15">
      <c r="A16" s="94"/>
      <c r="B16" s="278"/>
      <c r="C16" s="279"/>
      <c r="D16" s="279"/>
      <c r="E16" s="279"/>
      <c r="F16" s="280"/>
    </row>
    <row r="17" spans="1:6" ht="18.75" customHeight="1" x14ac:dyDescent="0.15">
      <c r="A17" s="94"/>
      <c r="B17" s="278"/>
      <c r="C17" s="279"/>
      <c r="D17" s="279"/>
      <c r="E17" s="279"/>
      <c r="F17" s="280"/>
    </row>
    <row r="18" spans="1:6" ht="18.75" customHeight="1" x14ac:dyDescent="0.15">
      <c r="A18" s="94"/>
      <c r="B18" s="278"/>
      <c r="C18" s="279"/>
      <c r="D18" s="279"/>
      <c r="E18" s="279"/>
      <c r="F18" s="280"/>
    </row>
    <row r="19" spans="1:6" ht="18.75" customHeight="1" x14ac:dyDescent="0.15">
      <c r="A19" s="94"/>
      <c r="B19" s="278"/>
      <c r="C19" s="279"/>
      <c r="D19" s="279"/>
      <c r="E19" s="279"/>
      <c r="F19" s="280"/>
    </row>
    <row r="20" spans="1:6" ht="18.75" customHeight="1" x14ac:dyDescent="0.15">
      <c r="A20" s="94"/>
      <c r="B20" s="278"/>
      <c r="C20" s="279"/>
      <c r="D20" s="279"/>
      <c r="E20" s="279"/>
      <c r="F20" s="280"/>
    </row>
    <row r="21" spans="1:6" ht="18.75" customHeight="1" x14ac:dyDescent="0.15">
      <c r="A21" s="94"/>
      <c r="B21" s="278"/>
      <c r="C21" s="279"/>
      <c r="D21" s="279"/>
      <c r="E21" s="279"/>
      <c r="F21" s="280"/>
    </row>
    <row r="22" spans="1:6" ht="18.75" customHeight="1" x14ac:dyDescent="0.15">
      <c r="A22" s="94"/>
      <c r="B22" s="278"/>
      <c r="C22" s="279"/>
      <c r="D22" s="279"/>
      <c r="E22" s="279"/>
      <c r="F22" s="280"/>
    </row>
    <row r="23" spans="1:6" ht="18.75" customHeight="1" x14ac:dyDescent="0.15">
      <c r="A23" s="94"/>
      <c r="B23" s="278"/>
      <c r="C23" s="279"/>
      <c r="D23" s="279"/>
      <c r="E23" s="279"/>
      <c r="F23" s="280"/>
    </row>
    <row r="24" spans="1:6" ht="18.75" customHeight="1" x14ac:dyDescent="0.15">
      <c r="A24" s="94"/>
      <c r="B24" s="278"/>
      <c r="C24" s="279"/>
      <c r="D24" s="279"/>
      <c r="E24" s="279"/>
      <c r="F24" s="280"/>
    </row>
    <row r="25" spans="1:6" ht="18.75" customHeight="1" x14ac:dyDescent="0.15">
      <c r="A25" s="94"/>
      <c r="B25" s="278"/>
      <c r="C25" s="279"/>
      <c r="D25" s="279"/>
      <c r="E25" s="279"/>
      <c r="F25" s="280"/>
    </row>
    <row r="26" spans="1:6" ht="18.75" customHeight="1" x14ac:dyDescent="0.15">
      <c r="A26" s="94"/>
      <c r="B26" s="278"/>
      <c r="C26" s="279"/>
      <c r="D26" s="279"/>
      <c r="E26" s="279"/>
      <c r="F26" s="280"/>
    </row>
    <row r="27" spans="1:6" ht="18.75" customHeight="1" x14ac:dyDescent="0.15">
      <c r="A27" s="94"/>
      <c r="B27" s="278"/>
      <c r="C27" s="279"/>
      <c r="D27" s="279"/>
      <c r="E27" s="279"/>
      <c r="F27" s="280"/>
    </row>
    <row r="28" spans="1:6" ht="18.75" customHeight="1" x14ac:dyDescent="0.15">
      <c r="A28" s="94"/>
      <c r="B28" s="278"/>
      <c r="C28" s="279"/>
      <c r="D28" s="279"/>
      <c r="E28" s="279"/>
      <c r="F28" s="280"/>
    </row>
    <row r="29" spans="1:6" ht="18.75" customHeight="1" x14ac:dyDescent="0.15">
      <c r="A29" s="94"/>
      <c r="B29" s="278"/>
      <c r="C29" s="279"/>
      <c r="D29" s="279"/>
      <c r="E29" s="279"/>
      <c r="F29" s="280"/>
    </row>
    <row r="30" spans="1:6" ht="18.75" customHeight="1" x14ac:dyDescent="0.15">
      <c r="A30" s="94"/>
      <c r="B30" s="278"/>
      <c r="C30" s="279"/>
      <c r="D30" s="279"/>
      <c r="E30" s="279"/>
      <c r="F30" s="280"/>
    </row>
    <row r="31" spans="1:6" ht="18.75" customHeight="1" x14ac:dyDescent="0.15">
      <c r="A31" s="94"/>
      <c r="B31" s="278"/>
      <c r="C31" s="279"/>
      <c r="D31" s="279"/>
      <c r="E31" s="279"/>
      <c r="F31" s="280"/>
    </row>
    <row r="32" spans="1:6" ht="18.75" customHeight="1" x14ac:dyDescent="0.15">
      <c r="A32" s="94"/>
      <c r="B32" s="278"/>
      <c r="C32" s="279"/>
      <c r="D32" s="279"/>
      <c r="E32" s="279"/>
      <c r="F32" s="280"/>
    </row>
    <row r="33" spans="1:6" ht="18.75" customHeight="1" x14ac:dyDescent="0.15">
      <c r="A33" s="94"/>
      <c r="B33" s="278"/>
      <c r="C33" s="279"/>
      <c r="D33" s="279"/>
      <c r="E33" s="279"/>
      <c r="F33" s="280"/>
    </row>
    <row r="34" spans="1:6" ht="18.75" customHeight="1" x14ac:dyDescent="0.15">
      <c r="A34" s="94"/>
      <c r="B34" s="278"/>
      <c r="C34" s="279"/>
      <c r="D34" s="279"/>
      <c r="E34" s="279"/>
      <c r="F34" s="280"/>
    </row>
    <row r="35" spans="1:6" ht="18.75" customHeight="1" x14ac:dyDescent="0.15">
      <c r="A35" s="94"/>
      <c r="B35" s="278"/>
      <c r="C35" s="279"/>
      <c r="D35" s="279"/>
      <c r="E35" s="279"/>
      <c r="F35" s="280"/>
    </row>
    <row r="36" spans="1:6" ht="18.75" customHeight="1" x14ac:dyDescent="0.15">
      <c r="A36" s="94"/>
      <c r="B36" s="278"/>
      <c r="C36" s="279"/>
      <c r="D36" s="279"/>
      <c r="E36" s="279"/>
      <c r="F36" s="280"/>
    </row>
    <row r="37" spans="1:6" ht="18.75" customHeight="1" x14ac:dyDescent="0.15">
      <c r="A37" s="94"/>
      <c r="B37" s="278"/>
      <c r="C37" s="279"/>
      <c r="D37" s="279"/>
      <c r="E37" s="279"/>
      <c r="F37" s="280"/>
    </row>
    <row r="38" spans="1:6" ht="18.75" customHeight="1" x14ac:dyDescent="0.15">
      <c r="A38" s="94"/>
      <c r="B38" s="278"/>
      <c r="C38" s="279"/>
      <c r="D38" s="279"/>
      <c r="E38" s="279"/>
      <c r="F38" s="280"/>
    </row>
    <row r="39" spans="1:6" ht="18.75" customHeight="1" x14ac:dyDescent="0.15">
      <c r="A39" s="94"/>
      <c r="B39" s="278"/>
      <c r="C39" s="279"/>
      <c r="D39" s="279"/>
      <c r="E39" s="279"/>
      <c r="F39" s="280"/>
    </row>
    <row r="40" spans="1:6" ht="18.75" customHeight="1" x14ac:dyDescent="0.15">
      <c r="A40" s="94"/>
      <c r="B40" s="278"/>
      <c r="C40" s="279"/>
      <c r="D40" s="279"/>
      <c r="E40" s="279"/>
      <c r="F40" s="280"/>
    </row>
    <row r="41" spans="1:6" ht="18.75" customHeight="1" x14ac:dyDescent="0.15">
      <c r="A41" s="94"/>
      <c r="B41" s="278"/>
      <c r="C41" s="279"/>
      <c r="D41" s="279"/>
      <c r="E41" s="279"/>
      <c r="F41" s="280"/>
    </row>
    <row r="42" spans="1:6" ht="18.75" customHeight="1" x14ac:dyDescent="0.15">
      <c r="A42" s="94"/>
      <c r="B42" s="281"/>
      <c r="C42" s="282"/>
      <c r="D42" s="282"/>
      <c r="E42" s="282"/>
      <c r="F42" s="283"/>
    </row>
    <row r="43" spans="1:6" ht="18.75" customHeight="1" x14ac:dyDescent="0.15">
      <c r="A43" s="94" t="s">
        <v>10</v>
      </c>
      <c r="B43" s="2" t="s">
        <v>179</v>
      </c>
      <c r="C43" s="94"/>
      <c r="D43" s="94"/>
      <c r="E43" s="94"/>
      <c r="F43" s="94"/>
    </row>
    <row r="44" spans="1:6" ht="18.75" customHeight="1" x14ac:dyDescent="0.15">
      <c r="A44" s="94"/>
      <c r="B44" s="275" t="s">
        <v>208</v>
      </c>
      <c r="C44" s="284"/>
      <c r="D44" s="284"/>
      <c r="E44" s="284"/>
      <c r="F44" s="285"/>
    </row>
    <row r="45" spans="1:6" ht="18.75" customHeight="1" x14ac:dyDescent="0.15">
      <c r="A45" s="94"/>
      <c r="B45" s="286"/>
      <c r="C45" s="287"/>
      <c r="D45" s="287"/>
      <c r="E45" s="287"/>
      <c r="F45" s="288"/>
    </row>
    <row r="46" spans="1:6" ht="18.75" customHeight="1" x14ac:dyDescent="0.15">
      <c r="A46" s="94"/>
      <c r="B46" s="286"/>
      <c r="C46" s="287"/>
      <c r="D46" s="287"/>
      <c r="E46" s="287"/>
      <c r="F46" s="288"/>
    </row>
    <row r="47" spans="1:6" ht="18.75" customHeight="1" x14ac:dyDescent="0.15">
      <c r="A47" s="94"/>
      <c r="B47" s="286"/>
      <c r="C47" s="287"/>
      <c r="D47" s="287"/>
      <c r="E47" s="287"/>
      <c r="F47" s="288"/>
    </row>
    <row r="48" spans="1:6" ht="18.75" customHeight="1" x14ac:dyDescent="0.15">
      <c r="A48" s="94"/>
      <c r="B48" s="286"/>
      <c r="C48" s="287"/>
      <c r="D48" s="287"/>
      <c r="E48" s="287"/>
      <c r="F48" s="288"/>
    </row>
    <row r="49" spans="1:6" ht="18.75" customHeight="1" x14ac:dyDescent="0.15">
      <c r="A49" s="94"/>
      <c r="B49" s="286"/>
      <c r="C49" s="287"/>
      <c r="D49" s="287"/>
      <c r="E49" s="287"/>
      <c r="F49" s="288"/>
    </row>
    <row r="50" spans="1:6" ht="18.75" customHeight="1" x14ac:dyDescent="0.15">
      <c r="A50" s="94"/>
      <c r="B50" s="286"/>
      <c r="C50" s="287"/>
      <c r="D50" s="287"/>
      <c r="E50" s="287"/>
      <c r="F50" s="288"/>
    </row>
    <row r="51" spans="1:6" ht="18.75" customHeight="1" x14ac:dyDescent="0.15">
      <c r="A51" s="94"/>
      <c r="B51" s="286"/>
      <c r="C51" s="287"/>
      <c r="D51" s="287"/>
      <c r="E51" s="287"/>
      <c r="F51" s="288"/>
    </row>
    <row r="52" spans="1:6" ht="18.75" customHeight="1" x14ac:dyDescent="0.15">
      <c r="A52" s="94"/>
      <c r="B52" s="286"/>
      <c r="C52" s="287"/>
      <c r="D52" s="287"/>
      <c r="E52" s="287"/>
      <c r="F52" s="288"/>
    </row>
    <row r="53" spans="1:6" ht="18.75" customHeight="1" x14ac:dyDescent="0.15">
      <c r="A53" s="94"/>
      <c r="B53" s="286"/>
      <c r="C53" s="287"/>
      <c r="D53" s="287"/>
      <c r="E53" s="287"/>
      <c r="F53" s="288"/>
    </row>
    <row r="54" spans="1:6" ht="18.75" customHeight="1" x14ac:dyDescent="0.15">
      <c r="A54" s="94"/>
      <c r="B54" s="286"/>
      <c r="C54" s="287"/>
      <c r="D54" s="287"/>
      <c r="E54" s="287"/>
      <c r="F54" s="288"/>
    </row>
    <row r="55" spans="1:6" ht="18.75" customHeight="1" x14ac:dyDescent="0.15">
      <c r="A55" s="94"/>
      <c r="B55" s="286"/>
      <c r="C55" s="287"/>
      <c r="D55" s="287"/>
      <c r="E55" s="287"/>
      <c r="F55" s="288"/>
    </row>
    <row r="56" spans="1:6" ht="18.75" customHeight="1" x14ac:dyDescent="0.15">
      <c r="A56" s="94"/>
      <c r="B56" s="286"/>
      <c r="C56" s="287"/>
      <c r="D56" s="287"/>
      <c r="E56" s="287"/>
      <c r="F56" s="288"/>
    </row>
    <row r="57" spans="1:6" ht="18.75" customHeight="1" x14ac:dyDescent="0.15">
      <c r="A57" s="94"/>
      <c r="B57" s="286"/>
      <c r="C57" s="287"/>
      <c r="D57" s="287"/>
      <c r="E57" s="287"/>
      <c r="F57" s="288"/>
    </row>
    <row r="58" spans="1:6" ht="18.75" customHeight="1" x14ac:dyDescent="0.15">
      <c r="A58" s="94"/>
      <c r="B58" s="286"/>
      <c r="C58" s="287"/>
      <c r="D58" s="287"/>
      <c r="E58" s="287"/>
      <c r="F58" s="288"/>
    </row>
    <row r="59" spans="1:6" ht="18.75" customHeight="1" x14ac:dyDescent="0.15">
      <c r="A59" s="94"/>
      <c r="B59" s="286"/>
      <c r="C59" s="287"/>
      <c r="D59" s="287"/>
      <c r="E59" s="287"/>
      <c r="F59" s="288"/>
    </row>
    <row r="60" spans="1:6" ht="18.75" customHeight="1" x14ac:dyDescent="0.15">
      <c r="A60" s="94"/>
      <c r="B60" s="286"/>
      <c r="C60" s="287"/>
      <c r="D60" s="287"/>
      <c r="E60" s="287"/>
      <c r="F60" s="288"/>
    </row>
    <row r="61" spans="1:6" ht="18.75" customHeight="1" x14ac:dyDescent="0.15">
      <c r="A61" s="94"/>
      <c r="B61" s="286"/>
      <c r="C61" s="287"/>
      <c r="D61" s="287"/>
      <c r="E61" s="287"/>
      <c r="F61" s="288"/>
    </row>
    <row r="62" spans="1:6" ht="18.75" customHeight="1" x14ac:dyDescent="0.15">
      <c r="A62" s="94"/>
      <c r="B62" s="286"/>
      <c r="C62" s="287"/>
      <c r="D62" s="287"/>
      <c r="E62" s="287"/>
      <c r="F62" s="288"/>
    </row>
    <row r="63" spans="1:6" ht="18.75" customHeight="1" x14ac:dyDescent="0.15">
      <c r="A63" s="94"/>
      <c r="B63" s="286"/>
      <c r="C63" s="287"/>
      <c r="D63" s="287"/>
      <c r="E63" s="287"/>
      <c r="F63" s="288"/>
    </row>
    <row r="64" spans="1:6" ht="18.75" customHeight="1" x14ac:dyDescent="0.15">
      <c r="A64" s="94"/>
      <c r="B64" s="286"/>
      <c r="C64" s="287"/>
      <c r="D64" s="287"/>
      <c r="E64" s="287"/>
      <c r="F64" s="288"/>
    </row>
    <row r="65" spans="1:6" ht="18.75" customHeight="1" x14ac:dyDescent="0.15">
      <c r="A65" s="94"/>
      <c r="B65" s="286"/>
      <c r="C65" s="287"/>
      <c r="D65" s="287"/>
      <c r="E65" s="287"/>
      <c r="F65" s="288"/>
    </row>
    <row r="66" spans="1:6" ht="18.75" customHeight="1" x14ac:dyDescent="0.15">
      <c r="A66" s="94"/>
      <c r="B66" s="286"/>
      <c r="C66" s="287"/>
      <c r="D66" s="287"/>
      <c r="E66" s="287"/>
      <c r="F66" s="288"/>
    </row>
    <row r="67" spans="1:6" ht="18.75" customHeight="1" x14ac:dyDescent="0.15">
      <c r="A67" s="94"/>
      <c r="B67" s="286"/>
      <c r="C67" s="287"/>
      <c r="D67" s="287"/>
      <c r="E67" s="287"/>
      <c r="F67" s="288"/>
    </row>
    <row r="68" spans="1:6" ht="18.75" customHeight="1" x14ac:dyDescent="0.15">
      <c r="A68" s="94"/>
      <c r="B68" s="286"/>
      <c r="C68" s="287"/>
      <c r="D68" s="287"/>
      <c r="E68" s="287"/>
      <c r="F68" s="288"/>
    </row>
    <row r="69" spans="1:6" ht="18.75" customHeight="1" x14ac:dyDescent="0.15">
      <c r="A69" s="94"/>
      <c r="B69" s="286"/>
      <c r="C69" s="287"/>
      <c r="D69" s="287"/>
      <c r="E69" s="287"/>
      <c r="F69" s="288"/>
    </row>
    <row r="70" spans="1:6" ht="18.75" customHeight="1" x14ac:dyDescent="0.15">
      <c r="A70" s="94"/>
      <c r="B70" s="286"/>
      <c r="C70" s="287"/>
      <c r="D70" s="287"/>
      <c r="E70" s="287"/>
      <c r="F70" s="288"/>
    </row>
    <row r="71" spans="1:6" ht="18.75" customHeight="1" x14ac:dyDescent="0.15">
      <c r="A71" s="94"/>
      <c r="B71" s="286"/>
      <c r="C71" s="287"/>
      <c r="D71" s="287"/>
      <c r="E71" s="287"/>
      <c r="F71" s="288"/>
    </row>
    <row r="72" spans="1:6" ht="18.75" customHeight="1" x14ac:dyDescent="0.15">
      <c r="A72" s="94"/>
      <c r="B72" s="286"/>
      <c r="C72" s="287"/>
      <c r="D72" s="287"/>
      <c r="E72" s="287"/>
      <c r="F72" s="288"/>
    </row>
    <row r="73" spans="1:6" ht="18.75" customHeight="1" x14ac:dyDescent="0.15">
      <c r="A73" s="94"/>
      <c r="B73" s="286"/>
      <c r="C73" s="287"/>
      <c r="D73" s="287"/>
      <c r="E73" s="287"/>
      <c r="F73" s="288"/>
    </row>
    <row r="74" spans="1:6" ht="18.75" customHeight="1" x14ac:dyDescent="0.15">
      <c r="A74" s="94"/>
      <c r="B74" s="286"/>
      <c r="C74" s="287"/>
      <c r="D74" s="287"/>
      <c r="E74" s="287"/>
      <c r="F74" s="288"/>
    </row>
    <row r="75" spans="1:6" ht="18.75" customHeight="1" x14ac:dyDescent="0.15">
      <c r="A75" s="94"/>
      <c r="B75" s="286"/>
      <c r="C75" s="287"/>
      <c r="D75" s="287"/>
      <c r="E75" s="287"/>
      <c r="F75" s="288"/>
    </row>
    <row r="76" spans="1:6" ht="18.75" customHeight="1" x14ac:dyDescent="0.15">
      <c r="A76" s="94"/>
      <c r="B76" s="286"/>
      <c r="C76" s="287"/>
      <c r="D76" s="287"/>
      <c r="E76" s="287"/>
      <c r="F76" s="288"/>
    </row>
    <row r="77" spans="1:6" ht="18.75" customHeight="1" x14ac:dyDescent="0.15">
      <c r="A77" s="94"/>
      <c r="B77" s="286"/>
      <c r="C77" s="287"/>
      <c r="D77" s="287"/>
      <c r="E77" s="287"/>
      <c r="F77" s="288"/>
    </row>
    <row r="78" spans="1:6" ht="18.75" customHeight="1" x14ac:dyDescent="0.15">
      <c r="A78" s="94"/>
      <c r="B78" s="286"/>
      <c r="C78" s="287"/>
      <c r="D78" s="287"/>
      <c r="E78" s="287"/>
      <c r="F78" s="288"/>
    </row>
    <row r="79" spans="1:6" ht="18.75" customHeight="1" x14ac:dyDescent="0.15">
      <c r="A79" s="94"/>
      <c r="B79" s="286"/>
      <c r="C79" s="287"/>
      <c r="D79" s="287"/>
      <c r="E79" s="287"/>
      <c r="F79" s="288"/>
    </row>
    <row r="80" spans="1:6" ht="18.75" customHeight="1" x14ac:dyDescent="0.15">
      <c r="A80" s="94"/>
      <c r="B80" s="286"/>
      <c r="C80" s="287"/>
      <c r="D80" s="287"/>
      <c r="E80" s="287"/>
      <c r="F80" s="288"/>
    </row>
    <row r="81" spans="1:6" ht="18.75" customHeight="1" x14ac:dyDescent="0.15">
      <c r="A81" s="94"/>
      <c r="B81" s="286"/>
      <c r="C81" s="287"/>
      <c r="D81" s="287"/>
      <c r="E81" s="287"/>
      <c r="F81" s="288"/>
    </row>
    <row r="82" spans="1:6" ht="18.75" customHeight="1" x14ac:dyDescent="0.15">
      <c r="A82" s="94"/>
      <c r="B82" s="286"/>
      <c r="C82" s="287"/>
      <c r="D82" s="287"/>
      <c r="E82" s="287"/>
      <c r="F82" s="288"/>
    </row>
    <row r="83" spans="1:6" ht="18.75" customHeight="1" x14ac:dyDescent="0.15">
      <c r="A83" s="94"/>
      <c r="B83" s="289"/>
      <c r="C83" s="290"/>
      <c r="D83" s="290"/>
      <c r="E83" s="290"/>
      <c r="F83" s="291"/>
    </row>
    <row r="84" spans="1:6" ht="18.75" customHeight="1" x14ac:dyDescent="0.15">
      <c r="A84" s="2" t="s">
        <v>11</v>
      </c>
      <c r="B84" s="2" t="s">
        <v>193</v>
      </c>
      <c r="C84" s="2"/>
      <c r="D84" s="2"/>
      <c r="E84" s="2"/>
      <c r="F84" s="2"/>
    </row>
    <row r="85" spans="1:6" ht="18.75" customHeight="1" x14ac:dyDescent="0.15">
      <c r="A85" s="94"/>
      <c r="B85" s="275" t="s">
        <v>209</v>
      </c>
      <c r="C85" s="284"/>
      <c r="D85" s="284"/>
      <c r="E85" s="284"/>
      <c r="F85" s="285"/>
    </row>
    <row r="86" spans="1:6" ht="18.75" customHeight="1" x14ac:dyDescent="0.15">
      <c r="A86" s="94"/>
      <c r="B86" s="286"/>
      <c r="C86" s="287"/>
      <c r="D86" s="287"/>
      <c r="E86" s="287"/>
      <c r="F86" s="288"/>
    </row>
    <row r="87" spans="1:6" ht="18.75" customHeight="1" x14ac:dyDescent="0.15">
      <c r="A87" s="94"/>
      <c r="B87" s="286"/>
      <c r="C87" s="287"/>
      <c r="D87" s="287"/>
      <c r="E87" s="287"/>
      <c r="F87" s="288"/>
    </row>
    <row r="88" spans="1:6" ht="18.75" customHeight="1" x14ac:dyDescent="0.15">
      <c r="A88" s="94"/>
      <c r="B88" s="286"/>
      <c r="C88" s="287"/>
      <c r="D88" s="287"/>
      <c r="E88" s="287"/>
      <c r="F88" s="288"/>
    </row>
    <row r="89" spans="1:6" ht="18.75" customHeight="1" x14ac:dyDescent="0.15">
      <c r="A89" s="94"/>
      <c r="B89" s="286"/>
      <c r="C89" s="287"/>
      <c r="D89" s="287"/>
      <c r="E89" s="287"/>
      <c r="F89" s="288"/>
    </row>
    <row r="90" spans="1:6" ht="18.75" customHeight="1" x14ac:dyDescent="0.15">
      <c r="A90" s="94"/>
      <c r="B90" s="286"/>
      <c r="C90" s="287"/>
      <c r="D90" s="287"/>
      <c r="E90" s="287"/>
      <c r="F90" s="288"/>
    </row>
    <row r="91" spans="1:6" ht="18.75" customHeight="1" x14ac:dyDescent="0.15">
      <c r="A91" s="94"/>
      <c r="B91" s="286"/>
      <c r="C91" s="287"/>
      <c r="D91" s="287"/>
      <c r="E91" s="287"/>
      <c r="F91" s="288"/>
    </row>
    <row r="92" spans="1:6" ht="18.75" customHeight="1" x14ac:dyDescent="0.15">
      <c r="A92" s="94"/>
      <c r="B92" s="286"/>
      <c r="C92" s="287"/>
      <c r="D92" s="287"/>
      <c r="E92" s="287"/>
      <c r="F92" s="288"/>
    </row>
    <row r="93" spans="1:6" ht="18.75" customHeight="1" x14ac:dyDescent="0.15">
      <c r="A93" s="94"/>
      <c r="B93" s="286"/>
      <c r="C93" s="287"/>
      <c r="D93" s="287"/>
      <c r="E93" s="287"/>
      <c r="F93" s="288"/>
    </row>
    <row r="94" spans="1:6" ht="18.75" customHeight="1" x14ac:dyDescent="0.15">
      <c r="A94" s="94"/>
      <c r="B94" s="286"/>
      <c r="C94" s="287"/>
      <c r="D94" s="287"/>
      <c r="E94" s="287"/>
      <c r="F94" s="288"/>
    </row>
    <row r="95" spans="1:6" ht="18.75" customHeight="1" x14ac:dyDescent="0.15">
      <c r="A95" s="94"/>
      <c r="B95" s="286"/>
      <c r="C95" s="287"/>
      <c r="D95" s="287"/>
      <c r="E95" s="287"/>
      <c r="F95" s="288"/>
    </row>
    <row r="96" spans="1:6" ht="18.75" customHeight="1" x14ac:dyDescent="0.15">
      <c r="A96" s="94"/>
      <c r="B96" s="286"/>
      <c r="C96" s="287"/>
      <c r="D96" s="287"/>
      <c r="E96" s="287"/>
      <c r="F96" s="288"/>
    </row>
    <row r="97" spans="1:6" ht="18.75" customHeight="1" x14ac:dyDescent="0.15">
      <c r="A97" s="94"/>
      <c r="B97" s="286"/>
      <c r="C97" s="287"/>
      <c r="D97" s="287"/>
      <c r="E97" s="287"/>
      <c r="F97" s="288"/>
    </row>
    <row r="98" spans="1:6" ht="18.75" customHeight="1" x14ac:dyDescent="0.15">
      <c r="A98" s="94"/>
      <c r="B98" s="286"/>
      <c r="C98" s="287"/>
      <c r="D98" s="287"/>
      <c r="E98" s="287"/>
      <c r="F98" s="288"/>
    </row>
    <row r="99" spans="1:6" ht="18.75" customHeight="1" x14ac:dyDescent="0.15">
      <c r="A99" s="94"/>
      <c r="B99" s="286"/>
      <c r="C99" s="287"/>
      <c r="D99" s="287"/>
      <c r="E99" s="287"/>
      <c r="F99" s="288"/>
    </row>
    <row r="100" spans="1:6" ht="18.75" customHeight="1" x14ac:dyDescent="0.15">
      <c r="A100" s="94"/>
      <c r="B100" s="286"/>
      <c r="C100" s="287"/>
      <c r="D100" s="287"/>
      <c r="E100" s="287"/>
      <c r="F100" s="288"/>
    </row>
    <row r="101" spans="1:6" ht="18.75" customHeight="1" x14ac:dyDescent="0.15">
      <c r="A101" s="94"/>
      <c r="B101" s="286"/>
      <c r="C101" s="287"/>
      <c r="D101" s="287"/>
      <c r="E101" s="287"/>
      <c r="F101" s="288"/>
    </row>
    <row r="102" spans="1:6" ht="18.75" customHeight="1" x14ac:dyDescent="0.15">
      <c r="A102" s="94"/>
      <c r="B102" s="286"/>
      <c r="C102" s="287"/>
      <c r="D102" s="287"/>
      <c r="E102" s="287"/>
      <c r="F102" s="288"/>
    </row>
    <row r="103" spans="1:6" ht="18.75" customHeight="1" x14ac:dyDescent="0.15">
      <c r="A103" s="94"/>
      <c r="B103" s="286"/>
      <c r="C103" s="287"/>
      <c r="D103" s="287"/>
      <c r="E103" s="287"/>
      <c r="F103" s="288"/>
    </row>
    <row r="104" spans="1:6" ht="18.75" customHeight="1" x14ac:dyDescent="0.15">
      <c r="A104" s="94"/>
      <c r="B104" s="286"/>
      <c r="C104" s="287"/>
      <c r="D104" s="287"/>
      <c r="E104" s="287"/>
      <c r="F104" s="288"/>
    </row>
    <row r="105" spans="1:6" ht="18.75" customHeight="1" x14ac:dyDescent="0.15">
      <c r="A105" s="94"/>
      <c r="B105" s="286"/>
      <c r="C105" s="287"/>
      <c r="D105" s="287"/>
      <c r="E105" s="287"/>
      <c r="F105" s="288"/>
    </row>
    <row r="106" spans="1:6" ht="18.75" customHeight="1" x14ac:dyDescent="0.15">
      <c r="A106" s="94"/>
      <c r="B106" s="286"/>
      <c r="C106" s="287"/>
      <c r="D106" s="287"/>
      <c r="E106" s="287"/>
      <c r="F106" s="288"/>
    </row>
    <row r="107" spans="1:6" ht="18.75" customHeight="1" x14ac:dyDescent="0.15">
      <c r="A107" s="94"/>
      <c r="B107" s="286"/>
      <c r="C107" s="287"/>
      <c r="D107" s="287"/>
      <c r="E107" s="287"/>
      <c r="F107" s="288"/>
    </row>
    <row r="108" spans="1:6" ht="18.75" customHeight="1" x14ac:dyDescent="0.15">
      <c r="A108" s="94"/>
      <c r="B108" s="286"/>
      <c r="C108" s="287"/>
      <c r="D108" s="287"/>
      <c r="E108" s="287"/>
      <c r="F108" s="288"/>
    </row>
    <row r="109" spans="1:6" ht="18.75" customHeight="1" x14ac:dyDescent="0.15">
      <c r="A109" s="94"/>
      <c r="B109" s="286"/>
      <c r="C109" s="287"/>
      <c r="D109" s="287"/>
      <c r="E109" s="287"/>
      <c r="F109" s="288"/>
    </row>
    <row r="110" spans="1:6" ht="18.75" customHeight="1" x14ac:dyDescent="0.15">
      <c r="A110" s="94"/>
      <c r="B110" s="286"/>
      <c r="C110" s="287"/>
      <c r="D110" s="287"/>
      <c r="E110" s="287"/>
      <c r="F110" s="288"/>
    </row>
    <row r="111" spans="1:6" ht="18.75" customHeight="1" x14ac:dyDescent="0.15">
      <c r="A111" s="94"/>
      <c r="B111" s="286"/>
      <c r="C111" s="287"/>
      <c r="D111" s="287"/>
      <c r="E111" s="287"/>
      <c r="F111" s="288"/>
    </row>
    <row r="112" spans="1:6" ht="18.75" customHeight="1" x14ac:dyDescent="0.15">
      <c r="A112" s="94"/>
      <c r="B112" s="286"/>
      <c r="C112" s="287"/>
      <c r="D112" s="287"/>
      <c r="E112" s="287"/>
      <c r="F112" s="288"/>
    </row>
    <row r="113" spans="1:6" ht="18.75" customHeight="1" x14ac:dyDescent="0.15">
      <c r="A113" s="94"/>
      <c r="B113" s="286"/>
      <c r="C113" s="287"/>
      <c r="D113" s="287"/>
      <c r="E113" s="287"/>
      <c r="F113" s="288"/>
    </row>
    <row r="114" spans="1:6" ht="18.75" customHeight="1" x14ac:dyDescent="0.15">
      <c r="A114" s="94"/>
      <c r="B114" s="286"/>
      <c r="C114" s="287"/>
      <c r="D114" s="287"/>
      <c r="E114" s="287"/>
      <c r="F114" s="288"/>
    </row>
    <row r="115" spans="1:6" ht="18.75" customHeight="1" x14ac:dyDescent="0.15">
      <c r="A115" s="94"/>
      <c r="B115" s="286"/>
      <c r="C115" s="287"/>
      <c r="D115" s="287"/>
      <c r="E115" s="287"/>
      <c r="F115" s="288"/>
    </row>
    <row r="116" spans="1:6" ht="18.75" customHeight="1" x14ac:dyDescent="0.15">
      <c r="A116" s="94"/>
      <c r="B116" s="286"/>
      <c r="C116" s="287"/>
      <c r="D116" s="287"/>
      <c r="E116" s="287"/>
      <c r="F116" s="288"/>
    </row>
    <row r="117" spans="1:6" ht="18.75" customHeight="1" x14ac:dyDescent="0.15">
      <c r="A117" s="94"/>
      <c r="B117" s="286"/>
      <c r="C117" s="287"/>
      <c r="D117" s="287"/>
      <c r="E117" s="287"/>
      <c r="F117" s="288"/>
    </row>
    <row r="118" spans="1:6" ht="18.75" customHeight="1" x14ac:dyDescent="0.15">
      <c r="A118" s="94"/>
      <c r="B118" s="286"/>
      <c r="C118" s="287"/>
      <c r="D118" s="287"/>
      <c r="E118" s="287"/>
      <c r="F118" s="288"/>
    </row>
    <row r="119" spans="1:6" ht="18.75" customHeight="1" x14ac:dyDescent="0.15">
      <c r="A119" s="94"/>
      <c r="B119" s="286"/>
      <c r="C119" s="287"/>
      <c r="D119" s="287"/>
      <c r="E119" s="287"/>
      <c r="F119" s="288"/>
    </row>
    <row r="120" spans="1:6" ht="18.75" customHeight="1" x14ac:dyDescent="0.15">
      <c r="A120" s="94"/>
      <c r="B120" s="286"/>
      <c r="C120" s="287"/>
      <c r="D120" s="287"/>
      <c r="E120" s="287"/>
      <c r="F120" s="288"/>
    </row>
    <row r="121" spans="1:6" ht="18.75" customHeight="1" x14ac:dyDescent="0.15">
      <c r="A121" s="94"/>
      <c r="B121" s="286"/>
      <c r="C121" s="287"/>
      <c r="D121" s="287"/>
      <c r="E121" s="287"/>
      <c r="F121" s="288"/>
    </row>
    <row r="122" spans="1:6" ht="18.75" customHeight="1" x14ac:dyDescent="0.15">
      <c r="A122" s="94"/>
      <c r="B122" s="286"/>
      <c r="C122" s="287"/>
      <c r="D122" s="287"/>
      <c r="E122" s="287"/>
      <c r="F122" s="288"/>
    </row>
    <row r="123" spans="1:6" ht="18.75" customHeight="1" x14ac:dyDescent="0.15">
      <c r="A123" s="94"/>
      <c r="B123" s="286"/>
      <c r="C123" s="287"/>
      <c r="D123" s="287"/>
      <c r="E123" s="287"/>
      <c r="F123" s="288"/>
    </row>
    <row r="124" spans="1:6" ht="18.75" customHeight="1" x14ac:dyDescent="0.15">
      <c r="A124" s="94"/>
      <c r="B124" s="289"/>
      <c r="C124" s="290"/>
      <c r="D124" s="290"/>
      <c r="E124" s="290"/>
      <c r="F124" s="291"/>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scale="92"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谷口 昌弘（星槎道都）</cp:lastModifiedBy>
  <cp:lastPrinted>2022-05-17T06:44:55Z</cp:lastPrinted>
  <dcterms:created xsi:type="dcterms:W3CDTF">2011-06-14T05:32:50Z</dcterms:created>
  <dcterms:modified xsi:type="dcterms:W3CDTF">2022-05-19T05:39:35Z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