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6"/>
  <workbookPr defaultThemeVersion="124226"/>
  <mc:AlternateContent xmlns:mc="http://schemas.openxmlformats.org/markup-compatibility/2006">
    <mc:Choice Requires="x15">
      <x15ac:absPath xmlns:x15ac="http://schemas.microsoft.com/office/spreadsheetml/2010/11/ac" url="D:\Desktop\R4年度版・数理データ\作成用\申請用書類\"/>
    </mc:Choice>
  </mc:AlternateContent>
  <xr:revisionPtr revIDLastSave="0" documentId="13_ncr:1_{78CD5CA7-0D3F-4575-9427-3DC06B16E2CE}" xr6:coauthVersionLast="36" xr6:coauthVersionMax="47" xr10:uidLastSave="{00000000-0000-0000-0000-000000000000}"/>
  <bookViews>
    <workbookView xWindow="0" yWindow="0" windowWidth="22515" windowHeight="10665" tabRatio="885"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9"/>
</workbook>
</file>

<file path=xl/calcChain.xml><?xml version="1.0" encoding="utf-8"?>
<calcChain xmlns="http://schemas.openxmlformats.org/spreadsheetml/2006/main">
  <c r="C4" i="40" l="1"/>
  <c r="C29" i="40" l="1"/>
  <c r="D29" i="40" l="1"/>
  <c r="K18" i="42" l="1"/>
  <c r="K16" i="42"/>
  <c r="K15" i="42"/>
  <c r="K9" i="42"/>
  <c r="K8" i="42"/>
  <c r="K7" i="42"/>
  <c r="K113" i="41"/>
  <c r="K91" i="41"/>
  <c r="K69" i="41"/>
  <c r="K46" i="41"/>
  <c r="K31" i="41"/>
  <c r="K15" i="41"/>
  <c r="K8" i="41"/>
  <c r="K5" i="41"/>
  <c r="O45" i="8"/>
  <c r="O44" i="8"/>
  <c r="O41" i="8"/>
  <c r="O39" i="8"/>
  <c r="O37" i="8"/>
  <c r="O34" i="8"/>
  <c r="O32" i="8"/>
  <c r="O29" i="8"/>
  <c r="O20" i="8"/>
  <c r="O18" i="8"/>
  <c r="O16" i="8"/>
  <c r="O14" i="8"/>
  <c r="O12" i="8"/>
  <c r="O10" i="8"/>
  <c r="O6" i="8"/>
  <c r="O8" i="8"/>
  <c r="O4" i="8"/>
  <c r="K14" i="42"/>
  <c r="K13" i="42"/>
  <c r="K11" i="42"/>
  <c r="P29" i="40" l="1"/>
  <c r="O29" i="40"/>
  <c r="N29" i="40"/>
  <c r="M29" i="40"/>
  <c r="L29" i="40"/>
  <c r="K29" i="40"/>
  <c r="J29" i="40"/>
  <c r="I29" i="40"/>
  <c r="H29" i="40"/>
  <c r="G29" i="40"/>
  <c r="F29" i="40"/>
  <c r="E29" i="40"/>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R10" i="40" s="1"/>
  <c r="I29" i="41" l="1"/>
  <c r="Q29" i="40"/>
  <c r="R29" i="40" s="1"/>
  <c r="C28" i="41" s="1"/>
</calcChain>
</file>

<file path=xl/sharedStrings.xml><?xml version="1.0" encoding="utf-8"?>
<sst xmlns="http://schemas.openxmlformats.org/spreadsheetml/2006/main" count="322" uniqueCount="210">
  <si>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</si>
  <si>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</si>
  <si>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</si>
  <si>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</si>
  <si>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</si>
  <si>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</si>
  <si>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</si>
  <si>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</si>
  <si>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</si>
  <si>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</si>
  <si>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</si>
  <si>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</si>
  <si>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</si>
  <si>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</si>
  <si>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</si>
  <si>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</si>
  <si>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</si>
  <si>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</si>
  <si>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</si>
  <si>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</si>
  <si>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</si>
  <si>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</si>
  <si>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</si>
  <si>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</si>
  <si>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</si>
  <si>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</si>
  <si>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</si>
  <si>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</si>
  <si>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</si>
  <si>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</si>
  <si>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</si>
  <si>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</si>
  <si>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</si>
  <si>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</si>
  <si>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</si>
  <si>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</si>
  <si>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</si>
  <si>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</si>
  <si>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</si>
  <si>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</si>
  <si>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</si>
  <si>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</si>
  <si>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</si>
  <si>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</si>
  <si>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</si>
  <si>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</si>
  <si>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</si>
  <si>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</si>
  <si>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</si>
  <si>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</si>
  <si>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</si>
  <si>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</si>
  <si>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</si>
  <si>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</si>
  <si>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</si>
  <si>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</si>
  <si>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</si>
  <si>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</si>
  <si>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</si>
  <si>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</si>
  <si>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</si>
  <si>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</si>
  <si>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</si>
  <si>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</si>
  <si>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</si>
  <si>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</si>
  <si>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</si>
  <si>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</si>
  <si>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</si>
  <si>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</si>
  <si>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</si>
  <si>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</si>
  <si>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</si>
  <si>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</si>
  <si>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</si>
  <si>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</si>
  <si>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</si>
  <si>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</si>
  <si>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</si>
  <si>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</si>
  <si>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</si>
  <si>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</si>
  <si>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</si>
  <si>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</si>
  <si>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</si>
  <si>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</si>
  <si>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</si>
  <si>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</si>
  <si>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</si>
  <si>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</si>
  <si>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</si>
  <si>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</si>
  <si>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</si>
  <si>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</si>
  <si>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</si>
  <si>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</si>
  <si>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</si>
  <si>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</si>
  <si>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</si>
  <si>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</si>
  <si>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</si>
  <si>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</si>
  <si>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</si>
  <si>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</si>
  <si>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</si>
  <si>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</si>
  <si>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</si>
  <si>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</si>
  <si>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</si>
  <si>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</si>
  <si>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</si>
  <si>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</si>
  <si>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</si>
  <si>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</si>
  <si>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</si>
  <si>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</si>
  <si>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</si>
  <si>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</si>
  <si>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</si>
  <si>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</si>
  <si>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</si>
  <si>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</si>
  <si>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</si>
  <si>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</si>
  <si>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</si>
  <si>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</si>
  <si>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</si>
  <si>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</si>
  <si>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</si>
  <si>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</si>
  <si>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</si>
  <si>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</si>
  <si>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</si>
  <si>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</si>
  <si>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</si>
  <si>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</si>
  <si>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</si>
  <si>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</si>
  <si>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</si>
  <si>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</si>
  <si>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</si>
  <si>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</si>
  <si>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</si>
  <si>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</si>
  <si>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</si>
  <si>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</si>
  <si>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有明工業高等専門学校</t>
    <phoneticPr fontId="1"/>
  </si>
  <si>
    <t>独立行政法人　国立高等専門学校機構　理事長　谷口　功</t>
    <phoneticPr fontId="1"/>
  </si>
  <si>
    <t>高等専門学校</t>
  </si>
  <si>
    <t>福岡県大牟田市東萩尾町150</t>
    <phoneticPr fontId="1"/>
  </si>
  <si>
    <t>有明工業高等専門学校 数理・データサイエンス・AI教育プログラム</t>
    <phoneticPr fontId="1"/>
  </si>
  <si>
    <t>無</t>
  </si>
  <si>
    <t>江﨑　尚和</t>
  </si>
  <si>
    <t>校長</t>
    <rPh sb="0" eb="2">
      <t>コウチョウ</t>
    </rPh>
    <phoneticPr fontId="1"/>
  </si>
  <si>
    <t>有明工業高等専門学校　教務委員会</t>
    <phoneticPr fontId="1"/>
  </si>
  <si>
    <t>明石　剛二</t>
    <phoneticPr fontId="1"/>
  </si>
  <si>
    <t>教務主事</t>
    <phoneticPr fontId="1"/>
  </si>
  <si>
    <t>有明工業高等専門学校　自己点検評価委員会</t>
    <phoneticPr fontId="1"/>
  </si>
  <si>
    <t>小林 正幸</t>
    <phoneticPr fontId="1"/>
  </si>
  <si>
    <t>教授</t>
    <phoneticPr fontId="1"/>
  </si>
  <si>
    <t>認定教育プログラム</t>
  </si>
  <si>
    <t>学生課教務係</t>
    <rPh sb="0" eb="6">
      <t>ガクセイカキョウムカカリ</t>
    </rPh>
    <phoneticPr fontId="1"/>
  </si>
  <si>
    <t>gakkyo-staff@ml.ariake-nct.ac.jp</t>
  </si>
  <si>
    <t>小峠　雅裕</t>
    <rPh sb="0" eb="2">
      <t>コトウゲ</t>
    </rPh>
    <rPh sb="3" eb="5">
      <t>マサヒロ</t>
    </rPh>
    <phoneticPr fontId="1"/>
  </si>
  <si>
    <t>0944-53-8622</t>
  </si>
  <si>
    <t>学部・学科によって、修了要件は相違しない</t>
  </si>
  <si>
    <t>○</t>
  </si>
  <si>
    <t>全学開講</t>
  </si>
  <si>
    <t>工学基礎Ⅰ</t>
    <phoneticPr fontId="1"/>
  </si>
  <si>
    <t>地元学</t>
    <phoneticPr fontId="1"/>
  </si>
  <si>
    <t>情報リテラシーⅠ</t>
    <phoneticPr fontId="1"/>
  </si>
  <si>
    <t>情報リテラシーⅡ</t>
    <phoneticPr fontId="1"/>
  </si>
  <si>
    <t>デジタル社会の「読み・書き・そろばん」である数理・データサイエンス・AIの基礎的素養を身につけ、自らの専門分野に応用できること。
社会情勢や社会での実例を学び、人間中心の適切な判断ができ、学修した知識やスキル等を説明、活用できること。</t>
    <phoneticPr fontId="1"/>
  </si>
  <si>
    <t>有明工業高等専門学校教務委員会規程</t>
    <phoneticPr fontId="1"/>
  </si>
  <si>
    <t>教育プログラムの構成科目は1・２年次の必修科目で構成されており、平成30年度以降の入学者全員が履修する体制となっている。</t>
    <phoneticPr fontId="1"/>
  </si>
  <si>
    <t>教育プログラムの構成科目は1・２年次の必修科目で構成されており、平成30年度以降の入学者全員が履修する。教育プログラムについてはホームページ及び構成科目のシラバスに掲載し、教育プログラム構成授業で学生に周知をおこなう。</t>
    <phoneticPr fontId="1"/>
  </si>
  <si>
    <t>当該教育プログラムについては、平成30年度以降の入学者全てが履修する。
教育プログラムの構成科目は１・２年次の必修科目で構成されているため、令和４年度以降について履修率は100％となる予定。</t>
    <rPh sb="70" eb="72">
      <t>レイワ</t>
    </rPh>
    <rPh sb="73" eb="75">
      <t>ネンド</t>
    </rPh>
    <rPh sb="75" eb="77">
      <t>イコウ</t>
    </rPh>
    <phoneticPr fontId="1"/>
  </si>
  <si>
    <t>教育プログラムを1・２年次の必修科目で構成しており、平成30年度以降の入学者全員が履修する。情報系を専門とする教員がプログラム構成科目を担当し、クラス担任と連携した指導により学生の履修・修得を支援している。</t>
    <phoneticPr fontId="1"/>
  </si>
  <si>
    <t>教育プログラム構成科目すべてにおいて、情報系を専門とする教員が授業を担当しており、授業時間内外において学生のサポートにあたっている。また、本学のすべての教職員及び学生はGoogleアカウントを保有しており、Googleクラスルームを通じた教材の共有や質問への対応体制が確立されている。</t>
    <phoneticPr fontId="1"/>
  </si>
  <si>
    <t>令和3年度時点で教育プログラムの修了者で卒業した学生はいない。
将来的には進路先や活躍状況（評価）を把握し、そのことから、本プログラムの進化改善（カリキュラムの改訂等）を検討する。</t>
    <rPh sb="32" eb="35">
      <t>ショウライテキ</t>
    </rPh>
    <rPh sb="79" eb="81">
      <t>カイテイ</t>
    </rPh>
    <rPh sb="82" eb="83">
      <t>トウ</t>
    </rPh>
    <rPh sb="84" eb="85">
      <t>オコナ</t>
    </rPh>
    <rPh sb="85" eb="87">
      <t>ケントウ</t>
    </rPh>
    <phoneticPr fontId="1"/>
  </si>
  <si>
    <t>教育プログラム構成科目を1・2年次の必修科目で構成しており、平成30年度以降の本学入学者全員が履修する。修得状況については学生の進級状況を把握することにより確認することができる。
修得状況に課題のある学生に対しては、科目担当教員・クラス担任教員がフォローする。</t>
    <phoneticPr fontId="1"/>
  </si>
  <si>
    <t>有明工業高等専門学校の教務に関する重要な事項を審議するため、有明工業高等専門学校
教務委員会を置く。教務委員会は数理・データサイエンス・AI教育プログラムを含む本学学生の教務に関する事項（教育課程、学業成績、科目履修等）を所掌しており、教務委員会で本教育プログラムに関する事項を取り扱う。</t>
    <phoneticPr fontId="1"/>
  </si>
  <si>
    <t xml:space="preserve">      教務主事　    明石　剛二
      教務副主事   岩下　勉
      教務副主事   田中　彰則　※教務委員（一般教育科） 兼務
      教務副主事   原　武嗣
      教務委員（環境・エネルギー工学系）　池之上　正人
      教務委員（環境・エネルギー工学系）　藤本　大輔
      教務委員（人間・福祉工学系）　          柳原　聖
      教務委員（人間・福祉工学系）　　　　　 菅沼　明
      教務委員（人間・福祉工学系）　          下田　誠也
      教務委員（一般教育科）  　　　　          酒井　健
      学生課長　江﨑　浩</t>
    <rPh sb="73" eb="75">
      <t>ケンム</t>
    </rPh>
    <rPh sb="102" eb="106">
      <t>キョウムイイン</t>
    </rPh>
    <rPh sb="272" eb="277">
      <t>イッパンキョウイクカ</t>
    </rPh>
    <phoneticPr fontId="1"/>
  </si>
  <si>
    <t>https://www.ariake-nct.ac.jp/datasicience</t>
    <phoneticPr fontId="1"/>
  </si>
  <si>
    <t>4‐2アルゴリズム基礎</t>
    <phoneticPr fontId="1"/>
  </si>
  <si>
    <t>4‐3データ構造とプログラミング基礎</t>
    <phoneticPr fontId="1"/>
  </si>
  <si>
    <t>工学基礎Ⅰ</t>
    <phoneticPr fontId="1"/>
  </si>
  <si>
    <t>・データの種類（量的変数、質的変数）
・データの分布(ヒストグラム)と代表値（平均値、中央値、最頻値）
　→「情報リテラシーⅠ」表計算ソフトMS-Excel演習(19週・20週・21週・22週・23週）</t>
    <phoneticPr fontId="1"/>
  </si>
  <si>
    <t>・データ表現（棒グラフ、折線グラフ、散布図、ヒートマップ）
・データの図表表現（チャート化）
・データの比較（条件をそろえた比較、処理の前後での比較、A/Bテスト)
→「情報リテラシーⅠ」表計算ソフトMS-Excel演習(19週・20週・21週・22週・23週）</t>
    <phoneticPr fontId="1"/>
  </si>
  <si>
    <t>・データの集計（和、平均）
・データの並び替え、ランキング
　→「情報リテラシーⅠ」表計算ソフトMS-Excel演習(19週・20週・21週・22週・23週）</t>
    <phoneticPr fontId="1"/>
  </si>
  <si>
    <t>様式２－１</t>
    <phoneticPr fontId="1"/>
  </si>
  <si>
    <t xml:space="preserve">・データ解析：予測、グルーピング、パターン発見、最適化、シミュレーション・データ同化など
　→「地元学」講演D（AI開発企業取締役の講演）（12週）、グループ研究（13週）
・特化型AIと汎用AI、今のAIで出来ることと出来ないこと、AIとビッグデータ
　→「地元学」講演D（AI開発企業取締役の講演）（12週）、グループ研究（13週）
・認識技術、ルールベース、自動化技術
　→「地元学」講演D（AI開発企業取締役の講演）（12週）、グループ研究（13週）
							</t>
    <phoneticPr fontId="1"/>
  </si>
  <si>
    <t xml:space="preserve">・流通、製造、金融、サービス、インフラ、公共、ヘルスケア等におけるデータ・AI利活用事例紹介
　→「地元学」講演D（AI開発企業取締役の講演）（12週）、グループ研究（13週）								</t>
    <phoneticPr fontId="1"/>
  </si>
  <si>
    <t xml:space="preserve">以下の科目の単位を全て取得していること。
・工学基礎Ⅰ（１年）　　　　   必修　 １単位　
・情報リテラシーⅠ（１年）　 必修　 ２単位
・地元学（2年）　　　　　　　    必修　 １単位
・情報リテラシーⅡ（２年）   必修　 １単位
</t>
    <rPh sb="0" eb="2">
      <t>イカ</t>
    </rPh>
    <rPh sb="3" eb="5">
      <t>カモク</t>
    </rPh>
    <rPh sb="6" eb="8">
      <t>タンイ</t>
    </rPh>
    <phoneticPr fontId="1"/>
  </si>
  <si>
    <t>平成30年度</t>
    <phoneticPr fontId="1"/>
  </si>
  <si>
    <t>創造工学科</t>
    <phoneticPr fontId="1"/>
  </si>
  <si>
    <t>・ELSI（Ethical, Legal and Social Issues）
  →「工学基礎Ⅰ」コンピュータをとりまく環境(12週)
・AI社会原則（公平性、説明責任、透明性、人間中心の判断）
  →「情報リテラシーⅠ」情報モラル(３週・４週）、
・個人情報保護、EU一般データ保護規則(GDPR)、忘れられる権利、オプトアウト
 →「情報リテラシーⅠ」情報モラル(３週・４週）、
　　「情報リテラシーⅠ」電子メールに関するマナー(７週)
　　「情報リテラシーⅠ」サイバー犯罪(14週)、
　　「情報リテラシーⅠ」情報セキュリティ(15週・17週)、
　　「情報リテラシーⅠ」知的財産権と個人情報(18週)
・データ倫理：データのねつ造、改ざん、盗用、プライバシー保護
 →「工学基礎Ⅰ」コンピュータをとりまく環境(12週)
     「情報リテラシーⅠ」情報モラル(３週・４週）、
　　「情報リテラシーⅠ」電子メールに関するマナー(７週)
　　「情報リテラシーⅠ」サイバー犯罪(14週)、
　　「情報リテラシーⅠ」情報セキュリティ(15週・17週)、
　　「情報リテラシーⅠ」知的財産権と個人情報(18週)
・データ・AI活用における負の事例紹介
  →「工学基礎Ⅰ」コンピュータをとりまく環境(12週)</t>
    <phoneticPr fontId="1"/>
  </si>
  <si>
    <t>・情報セキュリティ：機密性、完全性、可用性
  →「情報リテラシーⅠ」情報モラル(３週・４週）
・匿名加工情報、暗号化、パスワード、悪意ある情報搾取
 →「工学基礎Ⅰ」コンピュータをとりまく環境(12週)
　　「情報リテラシーⅠ」情報モラル(３週・４週）、
    「情報リテラシーⅠ」電子メールに関するマナー(７週)
    「情報リテラシーⅠ」サイバー犯罪(14週)、
    「情報リテラシーⅠ」情報セキュリティ(15週・17週)、
    「情報リテラシーⅠ」知的財産権と個人情報(18週)
・情報漏洩等によるセキュリティ事故の事例紹介
 →「工学基礎Ⅰ」コンピュータをとりまく環境(12週)
　　「情報リテラシーⅠ」情報モラル(３週・４週）、
    「情報リテラシーⅠ」電子メールに関するマナー(７週)
    「情報リテラシーⅠ」サイバー犯罪(14週)、
    「情報リテラシーⅠ」情報セキュリティ(15週・17週)、
    「情報リテラシーⅠ」知的財産権と個人情報(18週)</t>
    <phoneticPr fontId="1"/>
  </si>
  <si>
    <t>・データ量の増加、計算機の処理性能の向上、AIの非連続的進化
　→「工学基礎Ⅰ」電子機器としてのコンピュータ(10週)、
      「工学基礎Ⅰ」情報処理装置としてのコンピュータ(11週)
・人間の知的活動とAIの関係性
　→ 「工学基礎Ⅰ」情報処理装置としてのコンピュータ(11週)</t>
    <phoneticPr fontId="1"/>
  </si>
  <si>
    <t>・AI最新技術の活用例
　→「工学基礎Ⅰ」情報処理装置としてのコンピュータ(11週)</t>
    <phoneticPr fontId="1"/>
  </si>
  <si>
    <t>・1次データ、2次データ、データのメタ化
　→「工学基礎Ⅰ」コンピュータをとりまく環境(12週)</t>
    <phoneticPr fontId="1"/>
  </si>
  <si>
    <t>・仮説検証、知識発見、原因究明、計画策定、判断支援、活動代替、新規生成など
　→「工学基礎Ⅰ」コンピュータをとりまく環境(12週)</t>
    <phoneticPr fontId="1"/>
  </si>
  <si>
    <t>※本校入学者の各コースへの配属は2年後期から実施されますが、本プログラム構成科目は2年次前期までで完結するため、創造工学科全体としての履修者数を記載しています。</t>
    <rPh sb="1" eb="6">
      <t>ホンコウニュウガクシャ</t>
    </rPh>
    <rPh sb="7" eb="8">
      <t>カク</t>
    </rPh>
    <rPh sb="13" eb="15">
      <t>ハイゾク</t>
    </rPh>
    <rPh sb="17" eb="18">
      <t>ネン</t>
    </rPh>
    <rPh sb="18" eb="20">
      <t>コウキ</t>
    </rPh>
    <rPh sb="22" eb="24">
      <t>ジッシ</t>
    </rPh>
    <rPh sb="56" eb="61">
      <t>ソウゾウコウガクカ</t>
    </rPh>
    <rPh sb="61" eb="63">
      <t>ゼンタイ</t>
    </rPh>
    <rPh sb="67" eb="69">
      <t>リシュウ</t>
    </rPh>
    <rPh sb="69" eb="71">
      <t>シャスウ</t>
    </rPh>
    <rPh sb="72" eb="74">
      <t>キサイ</t>
    </rPh>
    <phoneticPr fontId="1"/>
  </si>
  <si>
    <t xml:space="preserve">プログラム構成科目を1・2年次の必修科目で構成しており、入学する全学生が履修している。また、毎年度履修学生に対してプログラム構成科目の「授業改善アンケート」を実施し、学修成果に関する結果をFD委員会で確認し、自己点検評価委員会への報告に繋げる。更に自己点検評価委員会での自己点検結果とあわせて、教務委員会での本教育プログラムを含めたカリキュラムの評価・改善に活用する。
</t>
    <rPh sb="32" eb="33">
      <t>ゼン</t>
    </rPh>
    <rPh sb="54" eb="55">
      <t>タイ</t>
    </rPh>
    <rPh sb="91" eb="93">
      <t>ケッカ</t>
    </rPh>
    <rPh sb="115" eb="117">
      <t>ホウコク</t>
    </rPh>
    <rPh sb="118" eb="119">
      <t>ツナ</t>
    </rPh>
    <rPh sb="122" eb="123">
      <t>サラ</t>
    </rPh>
    <rPh sb="137" eb="139">
      <t>テンケン</t>
    </rPh>
    <rPh sb="139" eb="141">
      <t>ケッカ</t>
    </rPh>
    <rPh sb="154" eb="155">
      <t>ホン</t>
    </rPh>
    <phoneticPr fontId="1"/>
  </si>
  <si>
    <t>本教育プログラム受講者である本学学生全員に対して「授業改善アンケート」を実施しており、FD委員会において学生の理解度を把握している。この内容から、学修成果に関する結果を自己点検評価委員会への報告に繋げる。また、自己点検評価委員会での点検結果と合わせて教務委員会での本プログラムカリキュラムの評価・改善につなげる。また授業改善アンケートを授業担当教員にフィードバックし、教員自らによる授業改善に活用している。加えてシラバスに科目のルーブリックが掲載されており、学生自身も理解度を把握できる仕組みとなっている。</t>
    <rPh sb="68" eb="70">
      <t>ナイヨウ</t>
    </rPh>
    <rPh sb="118" eb="120">
      <t>ケッカ</t>
    </rPh>
    <rPh sb="132" eb="133">
      <t>ホン</t>
    </rPh>
    <rPh sb="145" eb="147">
      <t>ヒョウカ</t>
    </rPh>
    <rPh sb="148" eb="150">
      <t>カイゼン</t>
    </rPh>
    <phoneticPr fontId="1"/>
  </si>
  <si>
    <t>1・２年次の必修科目により教育プログラムが構成されているため、全学生が履修者となる。また本校ホームページに数理・データサイエンス・AI教育プログラムのページを作成し情報発信を行う予定である他、構成科目のWebシラバスにも数理・データサイエンス・AI教育プログラムについて記載し、在学生・入学希望者等へ周知する。</t>
    <rPh sb="89" eb="91">
      <t>ヨテイ</t>
    </rPh>
    <phoneticPr fontId="1"/>
  </si>
  <si>
    <t>本教育プログラム構成科目は全て1・2年次の必修科目であるため、平成30年度以降の入学者は全員履修することとなる。全ての在学学生が履修者となる令和４年度以降の履修率は100％となることが見込まれる。</t>
    <rPh sb="40" eb="43">
      <t>ニュウガクシャ</t>
    </rPh>
    <rPh sb="44" eb="46">
      <t>ゼンイン</t>
    </rPh>
    <rPh sb="46" eb="48">
      <t>リシュウ</t>
    </rPh>
    <rPh sb="56" eb="57">
      <t>スベ</t>
    </rPh>
    <rPh sb="59" eb="61">
      <t>ザイガク</t>
    </rPh>
    <rPh sb="61" eb="63">
      <t>ガクセイ</t>
    </rPh>
    <phoneticPr fontId="1"/>
  </si>
  <si>
    <t>令和3年度時点で教育プログラムの修了者で卒業した学生はいない。
将来的には大学・専攻科、企業等に活躍状況について、アンケート等の調査を検討する。</t>
    <rPh sb="46" eb="47">
      <t>トウ</t>
    </rPh>
    <rPh sb="62" eb="63">
      <t>トウ</t>
    </rPh>
    <rPh sb="64" eb="66">
      <t>チョウサ</t>
    </rPh>
    <rPh sb="67" eb="69">
      <t>ケントウ</t>
    </rPh>
    <phoneticPr fontId="1"/>
  </si>
  <si>
    <t>本プログラム構成科目は2年生までの必修授業科目群で構成され、情報系科目の基礎レベル科目群としての側面も有しており、「授業改善アンケート」では、「学ぶ楽しさ」「学ぶことの意義」について、学生からのコメントも寄せられている。アンケート結果を踏まえ、学修成果に関する結果を自己点検評価委員会への報告に繋げる。また、自己点検評価委員会での点検結果と合わせて教務委員会でのプログラム構成科目の改善に繋げる予定である。</t>
    <rPh sb="0" eb="1">
      <t>ホン</t>
    </rPh>
    <rPh sb="6" eb="10">
      <t>コウセイカモク</t>
    </rPh>
    <rPh sb="12" eb="14">
      <t>ネンセイ</t>
    </rPh>
    <rPh sb="17" eb="19">
      <t>ヒッシュウ</t>
    </rPh>
    <rPh sb="19" eb="24">
      <t>ジュギョウカモクグン</t>
    </rPh>
    <rPh sb="25" eb="27">
      <t>コウセイ</t>
    </rPh>
    <rPh sb="30" eb="33">
      <t>ジョウホウケイ</t>
    </rPh>
    <rPh sb="33" eb="35">
      <t>カモク</t>
    </rPh>
    <rPh sb="36" eb="38">
      <t>キソ</t>
    </rPh>
    <rPh sb="41" eb="43">
      <t>カモク</t>
    </rPh>
    <rPh sb="43" eb="44">
      <t>グン</t>
    </rPh>
    <rPh sb="48" eb="50">
      <t>ソクメン</t>
    </rPh>
    <rPh sb="51" eb="52">
      <t>ユウ</t>
    </rPh>
    <rPh sb="92" eb="94">
      <t>ガクセイ</t>
    </rPh>
    <rPh sb="102" eb="103">
      <t>ヨ</t>
    </rPh>
    <rPh sb="186" eb="190">
      <t>コウセイカモク</t>
    </rPh>
    <phoneticPr fontId="1"/>
  </si>
  <si>
    <t xml:space="preserve">履修学生による「授業改善アンケート」をとおして、収集結果の授業担当教員へ開示と自己改善を図る。また、学修成果に関する結果を自己点検評価委員会への報告に繋げ、自己点検評価委員会での点検結果と合わせて教務委員会でのプログラム構成科目の改善に繋げる予定である。
</t>
    <rPh sb="0" eb="4">
      <t>リシュウガクセイ</t>
    </rPh>
    <rPh sb="10" eb="12">
      <t>カイゼン</t>
    </rPh>
    <rPh sb="44" eb="45">
      <t>ハカ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</si>
</sst>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06">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38" xfId="0" applyFont="1" applyBorder="1" applyAlignment="1">
      <alignment horizontal="center" vertical="center"/>
    </xf>
    <xf numFmtId="0" fontId="11" fillId="0" borderId="0" xfId="0" applyFont="1">
      <alignment vertical="center"/>
    </xf>
    <xf numFmtId="0" fontId="8" fillId="0" borderId="0" xfId="0" applyFont="1" applyAlignment="1">
      <alignment vertical="center" wrapText="1"/>
    </xf>
    <xf numFmtId="0" fontId="19" fillId="0" borderId="0" xfId="0" applyFont="1" applyAlignment="1">
      <alignment vertical="top" wrapText="1"/>
    </xf>
    <xf numFmtId="0" fontId="19" fillId="0" borderId="20" xfId="0" applyFont="1" applyBorder="1" applyAlignment="1">
      <alignment vertical="top" shrinkToFit="1"/>
    </xf>
    <xf numFmtId="0" fontId="19" fillId="0" borderId="18" xfId="0" applyFont="1" applyBorder="1" applyAlignment="1">
      <alignment vertical="top" shrinkToFit="1"/>
    </xf>
    <xf numFmtId="49" fontId="17"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21" fillId="0" borderId="32" xfId="0" applyFont="1" applyBorder="1" applyAlignment="1">
      <alignment vertical="center" wrapTex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8" xfId="0" applyFont="1" applyBorder="1" applyAlignment="1">
      <alignment horizontal="left" vertical="center" wrapText="1" shrinkToFit="1"/>
    </xf>
    <xf numFmtId="0" fontId="8" fillId="0" borderId="9" xfId="0" applyFont="1" applyBorder="1" applyAlignment="1">
      <alignment horizontal="left" vertical="center" wrapText="1"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8"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22" xfId="0" applyFont="1" applyBorder="1" applyAlignment="1">
      <alignment horizontal="left" vertical="center" wrapText="1" shrinkToFit="1"/>
    </xf>
    <xf numFmtId="0" fontId="8" fillId="0" borderId="21" xfId="0" applyFont="1" applyBorder="1" applyAlignment="1">
      <alignment horizontal="left" vertical="center" wrapText="1" shrinkToFit="1"/>
    </xf>
    <xf numFmtId="0" fontId="8" fillId="0" borderId="39" xfId="0" applyFont="1" applyBorder="1" applyAlignment="1">
      <alignment horizontal="left" vertical="center" wrapText="1" shrinkToFit="1"/>
    </xf>
    <xf numFmtId="0" fontId="8" fillId="0" borderId="38" xfId="0" applyFont="1" applyBorder="1" applyAlignment="1">
      <alignment horizontal="left" vertical="center" wrapText="1" shrinkToFit="1"/>
    </xf>
    <xf numFmtId="0" fontId="8" fillId="0" borderId="41" xfId="0" applyFont="1" applyBorder="1" applyAlignment="1">
      <alignment horizontal="left" vertical="center" wrapText="1" shrinkToFit="1"/>
    </xf>
    <xf numFmtId="0" fontId="8" fillId="0" borderId="42" xfId="0" applyFont="1" applyBorder="1" applyAlignment="1">
      <alignment horizontal="left" vertical="center" wrapText="1"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horizontal="center" vertical="center"/>
    </xf>
    <xf numFmtId="0" fontId="0" fillId="0" borderId="8" xfId="0" applyFont="1" applyBorder="1" applyAlignment="1">
      <alignment horizontal="left" vertical="top" wrapText="1"/>
    </xf>
    <xf numFmtId="0" fontId="12" fillId="0" borderId="8" xfId="0" applyFont="1" applyBorder="1" applyAlignment="1">
      <alignment horizontal="left" vertical="top"/>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9" xfId="0" applyFont="1" applyBorder="1" applyAlignment="1">
      <alignment vertical="top" wrapText="1" shrinkToFit="1"/>
    </xf>
    <xf numFmtId="0" fontId="8"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7" fillId="0" borderId="2" xfId="2" applyFont="1" applyBorder="1" applyAlignment="1">
      <alignment horizontal="center" vertical="center" shrinkToFit="1"/>
    </xf>
    <xf numFmtId="0" fontId="17" fillId="0" borderId="3" xfId="2" applyFont="1" applyBorder="1" applyAlignment="1">
      <alignment horizontal="center" vertical="center" shrinkToFit="1"/>
    </xf>
    <xf numFmtId="0" fontId="17"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6" xfId="0" applyFont="1" applyBorder="1" applyAlignment="1">
      <alignment horizontal="left" vertical="center" wrapText="1" shrinkToFit="1"/>
    </xf>
    <xf numFmtId="0" fontId="8" fillId="0" borderId="12" xfId="0" applyFont="1" applyBorder="1" applyAlignment="1">
      <alignment horizontal="left" vertical="center" wrapText="1" shrinkToFit="1"/>
    </xf>
    <xf numFmtId="0" fontId="8" fillId="0" borderId="20" xfId="0" applyFont="1" applyBorder="1" applyAlignment="1">
      <alignment horizontal="left" vertical="center" wrapText="1" shrinkToFit="1"/>
    </xf>
    <xf numFmtId="0" fontId="8" fillId="0" borderId="18" xfId="0" applyFont="1" applyBorder="1" applyAlignment="1">
      <alignment horizontal="left" vertical="center" wrapText="1" shrinkToFit="1"/>
    </xf>
    <xf numFmtId="0" fontId="8" fillId="0" borderId="39" xfId="0" applyFont="1" applyBorder="1" applyAlignment="1">
      <alignment vertical="center" wrapText="1" shrinkToFit="1"/>
    </xf>
    <xf numFmtId="0" fontId="8" fillId="0" borderId="38" xfId="0" applyFont="1" applyBorder="1" applyAlignment="1">
      <alignment vertical="center" wrapText="1" shrinkToFit="1"/>
    </xf>
    <xf numFmtId="0" fontId="8" fillId="0" borderId="19" xfId="0" applyFont="1" applyBorder="1" applyAlignment="1">
      <alignment vertical="center" wrapText="1" shrinkToFit="1"/>
    </xf>
    <xf numFmtId="0" fontId="8" fillId="0" borderId="20" xfId="0" applyFont="1" applyBorder="1" applyAlignment="1">
      <alignment vertical="center" wrapText="1" shrinkToFit="1"/>
    </xf>
    <xf numFmtId="0" fontId="8" fillId="0" borderId="18" xfId="0" applyFont="1" applyBorder="1" applyAlignment="1">
      <alignment vertical="center" wrapText="1" shrinkToFit="1"/>
    </xf>
    <xf numFmtId="0" fontId="8" fillId="0" borderId="6" xfId="0" applyFont="1" applyBorder="1" applyAlignment="1">
      <alignment vertical="center" wrapText="1" shrinkToFit="1"/>
    </xf>
    <xf numFmtId="0" fontId="8" fillId="0" borderId="12" xfId="0" applyFont="1" applyBorder="1" applyAlignment="1">
      <alignment vertical="center"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G26" sqref="G26:H26"/>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41" t="s">
        <v>25</v>
      </c>
      <c r="N1" s="141"/>
    </row>
    <row r="2" spans="1:15" ht="24" customHeight="1" x14ac:dyDescent="0.15">
      <c r="A2" s="145" t="s">
        <v>83</v>
      </c>
      <c r="B2" s="145"/>
      <c r="C2" s="145"/>
      <c r="D2" s="145"/>
      <c r="E2" s="145"/>
      <c r="F2" s="145"/>
      <c r="G2" s="145"/>
      <c r="H2" s="145"/>
      <c r="I2" s="145"/>
      <c r="J2" s="145"/>
      <c r="K2" s="145"/>
      <c r="L2" s="145"/>
      <c r="M2" s="145"/>
      <c r="N2" s="145"/>
    </row>
    <row r="3" spans="1:15" ht="24" customHeight="1" x14ac:dyDescent="0.15"/>
    <row r="4" spans="1:15" ht="24" customHeight="1" x14ac:dyDescent="0.15">
      <c r="A4" s="14" t="s">
        <v>6</v>
      </c>
      <c r="B4" s="15" t="s">
        <v>16</v>
      </c>
      <c r="C4" s="131" t="s">
        <v>146</v>
      </c>
      <c r="D4" s="132"/>
      <c r="E4" s="132"/>
      <c r="F4" s="132"/>
      <c r="G4" s="132"/>
      <c r="H4" s="132"/>
      <c r="I4" s="132"/>
      <c r="J4" s="132"/>
      <c r="K4" s="132"/>
      <c r="L4" s="132"/>
      <c r="M4" s="132"/>
      <c r="N4" s="133"/>
      <c r="O4" s="31" t="str">
        <f>IF(C4="","入力してください","")</f>
        <v/>
      </c>
    </row>
    <row r="5" spans="1:15" ht="7.5" customHeight="1" x14ac:dyDescent="0.15">
      <c r="B5" s="15"/>
      <c r="C5" s="15"/>
      <c r="D5" s="15"/>
      <c r="E5" s="16"/>
      <c r="F5" s="35"/>
      <c r="G5" s="35"/>
      <c r="H5" s="35"/>
      <c r="I5" s="35"/>
      <c r="J5" s="35"/>
      <c r="K5" s="35"/>
      <c r="L5" s="35"/>
      <c r="M5" s="35"/>
      <c r="N5" s="35"/>
    </row>
    <row r="6" spans="1:15" ht="24" customHeight="1" x14ac:dyDescent="0.15">
      <c r="A6" s="14" t="s">
        <v>48</v>
      </c>
      <c r="B6" s="15" t="s">
        <v>49</v>
      </c>
      <c r="C6" s="15"/>
      <c r="D6" s="131" t="s">
        <v>147</v>
      </c>
      <c r="E6" s="132"/>
      <c r="F6" s="132"/>
      <c r="G6" s="132"/>
      <c r="H6" s="133"/>
      <c r="I6" s="17" t="s">
        <v>86</v>
      </c>
      <c r="J6" s="35" t="s">
        <v>87</v>
      </c>
      <c r="K6" s="131" t="s">
        <v>148</v>
      </c>
      <c r="L6" s="132"/>
      <c r="M6" s="132"/>
      <c r="N6" s="133"/>
      <c r="O6" s="31" t="str">
        <f>IF(D6="","入力してください","")</f>
        <v/>
      </c>
    </row>
    <row r="7" spans="1:15" ht="7.5" customHeight="1" x14ac:dyDescent="0.15">
      <c r="B7" s="15"/>
      <c r="C7" s="15"/>
      <c r="D7" s="15"/>
      <c r="E7" s="16"/>
      <c r="F7" s="35"/>
      <c r="G7" s="35"/>
      <c r="H7" s="35"/>
      <c r="I7" s="35"/>
      <c r="J7" s="35"/>
      <c r="K7" s="35"/>
      <c r="L7" s="35"/>
      <c r="M7" s="35"/>
      <c r="N7" s="35"/>
    </row>
    <row r="8" spans="1:15" ht="24" customHeight="1" x14ac:dyDescent="0.15">
      <c r="A8" s="14" t="s">
        <v>13</v>
      </c>
      <c r="B8" s="15" t="s">
        <v>45</v>
      </c>
      <c r="C8" s="131" t="s">
        <v>149</v>
      </c>
      <c r="D8" s="132"/>
      <c r="E8" s="132"/>
      <c r="F8" s="132"/>
      <c r="G8" s="132"/>
      <c r="H8" s="132"/>
      <c r="I8" s="132"/>
      <c r="J8" s="132"/>
      <c r="K8" s="132"/>
      <c r="L8" s="132"/>
      <c r="M8" s="132"/>
      <c r="N8" s="133"/>
      <c r="O8" s="31" t="str">
        <f>IF(C8="","入力してください","")</f>
        <v/>
      </c>
    </row>
    <row r="9" spans="1:15" ht="7.5" customHeight="1" x14ac:dyDescent="0.15">
      <c r="B9" s="15"/>
      <c r="C9" s="15"/>
      <c r="D9" s="15"/>
      <c r="E9" s="16"/>
      <c r="F9" s="35"/>
      <c r="G9" s="35"/>
      <c r="H9" s="35"/>
      <c r="I9" s="35"/>
      <c r="J9" s="35"/>
      <c r="K9" s="35"/>
      <c r="L9" s="35"/>
      <c r="M9" s="35"/>
      <c r="N9" s="35"/>
    </row>
    <row r="10" spans="1:15" ht="24" customHeight="1" x14ac:dyDescent="0.15">
      <c r="A10" s="14" t="s">
        <v>11</v>
      </c>
      <c r="B10" s="15" t="s">
        <v>85</v>
      </c>
      <c r="C10" s="15"/>
      <c r="D10" s="15"/>
      <c r="E10" s="131" t="s">
        <v>150</v>
      </c>
      <c r="F10" s="132"/>
      <c r="G10" s="132"/>
      <c r="H10" s="132"/>
      <c r="I10" s="132"/>
      <c r="J10" s="132"/>
      <c r="K10" s="132"/>
      <c r="L10" s="132"/>
      <c r="M10" s="132"/>
      <c r="N10" s="133"/>
      <c r="O10" s="31" t="str">
        <f>IF(E10="","入力してください","")</f>
        <v/>
      </c>
    </row>
    <row r="11" spans="1:15" ht="7.5" customHeight="1" x14ac:dyDescent="0.15">
      <c r="B11" s="16"/>
      <c r="C11" s="16"/>
      <c r="D11" s="16"/>
      <c r="E11" s="16"/>
      <c r="F11" s="35"/>
      <c r="G11" s="35"/>
      <c r="H11" s="35"/>
      <c r="I11" s="35"/>
      <c r="J11" s="35"/>
      <c r="K11" s="35"/>
      <c r="L11" s="35"/>
      <c r="M11" s="35"/>
      <c r="N11" s="35"/>
    </row>
    <row r="12" spans="1:15" ht="24" customHeight="1" x14ac:dyDescent="0.15">
      <c r="A12" s="14" t="s">
        <v>58</v>
      </c>
      <c r="B12" s="16" t="s">
        <v>59</v>
      </c>
      <c r="C12" s="16"/>
      <c r="D12" s="16"/>
      <c r="E12" s="146" t="s">
        <v>194</v>
      </c>
      <c r="F12" s="147"/>
      <c r="G12" s="17" t="s">
        <v>94</v>
      </c>
      <c r="H12" s="14" t="s">
        <v>95</v>
      </c>
      <c r="N12" s="113" t="s">
        <v>151</v>
      </c>
      <c r="O12" s="31" t="str">
        <f>IF(E12="","入力してください","")</f>
        <v/>
      </c>
    </row>
    <row r="13" spans="1:15" ht="7.5" customHeight="1" x14ac:dyDescent="0.15">
      <c r="B13" s="16"/>
      <c r="C13" s="16"/>
      <c r="D13" s="16"/>
      <c r="E13" s="16"/>
      <c r="F13" s="35"/>
      <c r="G13" s="35"/>
      <c r="H13" s="35"/>
      <c r="I13" s="35"/>
      <c r="J13" s="35"/>
      <c r="K13" s="35"/>
      <c r="L13" s="35"/>
      <c r="M13" s="35"/>
      <c r="N13" s="35"/>
    </row>
    <row r="14" spans="1:15" ht="24" customHeight="1" x14ac:dyDescent="0.15">
      <c r="A14" s="14" t="s">
        <v>53</v>
      </c>
      <c r="B14" s="14" t="s">
        <v>0</v>
      </c>
      <c r="C14" s="142" t="s">
        <v>5</v>
      </c>
      <c r="D14" s="143"/>
      <c r="E14" s="134">
        <v>72</v>
      </c>
      <c r="F14" s="135"/>
      <c r="G14" s="18" t="s">
        <v>7</v>
      </c>
      <c r="I14" s="142" t="s">
        <v>8</v>
      </c>
      <c r="J14" s="143"/>
      <c r="K14" s="134">
        <v>36</v>
      </c>
      <c r="L14" s="144"/>
      <c r="M14" s="135"/>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48">
        <v>5</v>
      </c>
      <c r="L16" s="149"/>
      <c r="M16" s="150"/>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34">
        <v>200</v>
      </c>
      <c r="F18" s="135"/>
      <c r="G18" s="21" t="s">
        <v>21</v>
      </c>
      <c r="H18" s="20"/>
      <c r="K18" s="154"/>
      <c r="L18" s="154"/>
      <c r="M18" s="154"/>
      <c r="N18" s="154"/>
      <c r="O18" s="31" t="str">
        <f>IF(E18="","入力してください","")</f>
        <v/>
      </c>
    </row>
    <row r="19" spans="1:15" ht="7.5" customHeight="1" x14ac:dyDescent="0.15">
      <c r="E19" s="10"/>
      <c r="F19" s="20"/>
      <c r="G19" s="20"/>
      <c r="L19" s="34"/>
      <c r="M19" s="34"/>
      <c r="N19" s="22"/>
    </row>
    <row r="20" spans="1:15" ht="24" customHeight="1" x14ac:dyDescent="0.15">
      <c r="A20" s="14" t="s">
        <v>76</v>
      </c>
      <c r="B20" s="14" t="s">
        <v>78</v>
      </c>
      <c r="E20" s="10"/>
      <c r="F20" s="20"/>
      <c r="G20" s="20"/>
      <c r="H20" s="14" t="s">
        <v>52</v>
      </c>
      <c r="J20" s="151">
        <v>1061</v>
      </c>
      <c r="K20" s="152"/>
      <c r="L20" s="153"/>
      <c r="M20" s="34" t="s">
        <v>51</v>
      </c>
      <c r="N20" s="22"/>
      <c r="O20" s="31" t="str">
        <f>IF(J20="","入力してください","")</f>
        <v/>
      </c>
    </row>
    <row r="21" spans="1:15" ht="7.5" customHeight="1" x14ac:dyDescent="0.15">
      <c r="E21" s="10"/>
      <c r="F21" s="20"/>
      <c r="G21" s="20"/>
      <c r="L21" s="34"/>
      <c r="M21" s="34"/>
      <c r="N21" s="22"/>
    </row>
    <row r="22" spans="1:15" ht="24" customHeight="1" x14ac:dyDescent="0.15">
      <c r="B22" s="29" t="s">
        <v>17</v>
      </c>
      <c r="C22" s="134">
        <v>214</v>
      </c>
      <c r="D22" s="135"/>
      <c r="E22" s="10" t="s">
        <v>22</v>
      </c>
      <c r="F22" s="20"/>
      <c r="G22" s="130" t="s">
        <v>18</v>
      </c>
      <c r="H22" s="130"/>
      <c r="I22" s="134">
        <v>207</v>
      </c>
      <c r="J22" s="135"/>
      <c r="K22" s="17" t="s">
        <v>22</v>
      </c>
      <c r="M22" s="34"/>
      <c r="N22" s="22"/>
    </row>
    <row r="23" spans="1:15" ht="7.5" customHeight="1" x14ac:dyDescent="0.15">
      <c r="B23" s="29"/>
      <c r="C23" s="11"/>
      <c r="D23" s="11"/>
      <c r="E23" s="10"/>
      <c r="F23" s="20"/>
      <c r="G23" s="34"/>
      <c r="H23" s="34"/>
      <c r="I23" s="11"/>
      <c r="J23" s="11"/>
      <c r="K23" s="17"/>
      <c r="M23" s="34"/>
      <c r="N23" s="22"/>
    </row>
    <row r="24" spans="1:15" ht="24" customHeight="1" x14ac:dyDescent="0.15">
      <c r="B24" s="29" t="s">
        <v>19</v>
      </c>
      <c r="C24" s="134">
        <v>215</v>
      </c>
      <c r="D24" s="135"/>
      <c r="E24" s="10" t="s">
        <v>22</v>
      </c>
      <c r="F24" s="20"/>
      <c r="G24" s="130" t="s">
        <v>20</v>
      </c>
      <c r="H24" s="130"/>
      <c r="I24" s="134">
        <v>216</v>
      </c>
      <c r="J24" s="135"/>
      <c r="K24" s="17" t="s">
        <v>22</v>
      </c>
      <c r="M24" s="34"/>
      <c r="N24" s="22"/>
    </row>
    <row r="25" spans="1:15" ht="7.5" customHeight="1" x14ac:dyDescent="0.15">
      <c r="B25" s="29"/>
      <c r="C25" s="11"/>
      <c r="D25" s="11"/>
      <c r="E25" s="10"/>
      <c r="F25" s="20"/>
      <c r="G25" s="34"/>
      <c r="H25" s="34"/>
      <c r="I25" s="11"/>
      <c r="J25" s="11"/>
      <c r="K25" s="17"/>
      <c r="M25" s="34"/>
      <c r="N25" s="22"/>
    </row>
    <row r="26" spans="1:15" ht="24" customHeight="1" x14ac:dyDescent="0.15">
      <c r="B26" s="29" t="s">
        <v>46</v>
      </c>
      <c r="C26" s="134">
        <v>209</v>
      </c>
      <c r="D26" s="135"/>
      <c r="E26" s="10" t="s">
        <v>7</v>
      </c>
      <c r="F26" s="20"/>
      <c r="G26" s="130" t="s">
        <v>47</v>
      </c>
      <c r="H26" s="130"/>
      <c r="I26" s="134">
        <v>0</v>
      </c>
      <c r="J26" s="135"/>
      <c r="K26" s="17" t="s">
        <v>7</v>
      </c>
      <c r="M26" s="34"/>
      <c r="N26" s="22"/>
    </row>
    <row r="27" spans="1:15" ht="7.5" customHeight="1" x14ac:dyDescent="0.15">
      <c r="F27" s="20"/>
      <c r="G27" s="20"/>
      <c r="M27" s="23"/>
      <c r="N27" s="23"/>
    </row>
    <row r="28" spans="1:15" ht="24" customHeight="1" x14ac:dyDescent="0.15">
      <c r="A28" s="14" t="s">
        <v>50</v>
      </c>
      <c r="B28" s="15" t="s">
        <v>75</v>
      </c>
      <c r="C28" s="15"/>
      <c r="D28" s="15"/>
      <c r="E28" s="15"/>
      <c r="F28" s="17"/>
      <c r="G28" s="35"/>
      <c r="H28" s="35"/>
      <c r="I28" s="35"/>
      <c r="J28" s="24"/>
      <c r="K28" s="24"/>
      <c r="L28" s="24"/>
      <c r="M28" s="24"/>
      <c r="N28" s="24"/>
    </row>
    <row r="29" spans="1:15" s="14" customFormat="1" ht="24" customHeight="1" x14ac:dyDescent="0.15">
      <c r="B29" s="138" t="s">
        <v>74</v>
      </c>
      <c r="C29" s="138"/>
      <c r="D29" s="131" t="s">
        <v>152</v>
      </c>
      <c r="E29" s="132"/>
      <c r="F29" s="132"/>
      <c r="G29" s="139" t="s">
        <v>23</v>
      </c>
      <c r="H29" s="138"/>
      <c r="I29" s="140"/>
      <c r="J29" s="131" t="s">
        <v>153</v>
      </c>
      <c r="K29" s="132"/>
      <c r="L29" s="132"/>
      <c r="M29" s="132"/>
      <c r="N29" s="133"/>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31" t="s">
        <v>154</v>
      </c>
      <c r="C32" s="132"/>
      <c r="D32" s="132"/>
      <c r="E32" s="132"/>
      <c r="F32" s="132"/>
      <c r="G32" s="132"/>
      <c r="H32" s="132"/>
      <c r="I32" s="132"/>
      <c r="J32" s="132"/>
      <c r="K32" s="132"/>
      <c r="L32" s="132"/>
      <c r="M32" s="132"/>
      <c r="N32" s="133"/>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8" t="s">
        <v>74</v>
      </c>
      <c r="C34" s="138"/>
      <c r="D34" s="131" t="s">
        <v>155</v>
      </c>
      <c r="E34" s="132"/>
      <c r="F34" s="132"/>
      <c r="G34" s="139" t="s">
        <v>55</v>
      </c>
      <c r="H34" s="138"/>
      <c r="I34" s="140"/>
      <c r="J34" s="131" t="s">
        <v>156</v>
      </c>
      <c r="K34" s="132"/>
      <c r="L34" s="132"/>
      <c r="M34" s="132"/>
      <c r="N34" s="133"/>
      <c r="O34" s="31" t="str">
        <f>IF(OR(D34="",J34=""),"入力してください","")</f>
        <v/>
      </c>
    </row>
    <row r="35" spans="1:15" ht="7.5" customHeight="1" x14ac:dyDescent="0.15">
      <c r="F35" s="35"/>
      <c r="G35" s="35"/>
      <c r="H35" s="35"/>
      <c r="I35" s="35"/>
      <c r="J35" s="35"/>
      <c r="K35" s="35"/>
      <c r="L35" s="35"/>
      <c r="M35" s="35"/>
      <c r="N35" s="35"/>
    </row>
    <row r="36" spans="1:15" ht="24" customHeight="1" x14ac:dyDescent="0.15">
      <c r="A36" s="14" t="s">
        <v>61</v>
      </c>
      <c r="B36" s="14" t="s">
        <v>81</v>
      </c>
      <c r="M36" s="23"/>
      <c r="N36" s="23"/>
    </row>
    <row r="37" spans="1:15" ht="24" customHeight="1" x14ac:dyDescent="0.15">
      <c r="B37" s="131" t="s">
        <v>157</v>
      </c>
      <c r="C37" s="132"/>
      <c r="D37" s="132"/>
      <c r="E37" s="132"/>
      <c r="F37" s="132"/>
      <c r="G37" s="132"/>
      <c r="H37" s="132"/>
      <c r="I37" s="132"/>
      <c r="J37" s="132"/>
      <c r="K37" s="132"/>
      <c r="L37" s="132"/>
      <c r="M37" s="132"/>
      <c r="N37" s="133"/>
      <c r="O37" s="31" t="str">
        <f>IF(B37="","入力してください","")</f>
        <v/>
      </c>
    </row>
    <row r="38" spans="1:15" ht="7.5" customHeight="1" x14ac:dyDescent="0.15">
      <c r="F38" s="35"/>
      <c r="G38" s="35"/>
      <c r="H38" s="35"/>
      <c r="I38" s="35"/>
      <c r="J38" s="35"/>
      <c r="K38" s="35"/>
      <c r="L38" s="35"/>
      <c r="M38" s="35"/>
      <c r="N38" s="35"/>
    </row>
    <row r="39" spans="1:15" s="14" customFormat="1" ht="24" customHeight="1" x14ac:dyDescent="0.15">
      <c r="B39" s="138" t="s">
        <v>74</v>
      </c>
      <c r="C39" s="138"/>
      <c r="D39" s="131" t="s">
        <v>158</v>
      </c>
      <c r="E39" s="132"/>
      <c r="F39" s="132"/>
      <c r="G39" s="139" t="s">
        <v>55</v>
      </c>
      <c r="H39" s="138"/>
      <c r="I39" s="140"/>
      <c r="J39" s="131" t="s">
        <v>159</v>
      </c>
      <c r="K39" s="132"/>
      <c r="L39" s="132"/>
      <c r="M39" s="132"/>
      <c r="N39" s="133"/>
      <c r="O39" s="31" t="str">
        <f>IF(OR(D39="",J39=""),"入力してください","")</f>
        <v/>
      </c>
    </row>
    <row r="40" spans="1:15" ht="7.5" customHeight="1" x14ac:dyDescent="0.15">
      <c r="F40" s="35"/>
      <c r="G40" s="35"/>
      <c r="H40" s="35"/>
      <c r="I40" s="35"/>
      <c r="J40" s="35"/>
      <c r="K40" s="35"/>
      <c r="L40" s="35"/>
      <c r="M40" s="35"/>
      <c r="N40" s="35"/>
    </row>
    <row r="41" spans="1:15" ht="24" customHeight="1" x14ac:dyDescent="0.15">
      <c r="A41" s="14" t="s">
        <v>88</v>
      </c>
      <c r="B41" s="70" t="s">
        <v>69</v>
      </c>
      <c r="E41" s="71"/>
      <c r="F41" s="131" t="s">
        <v>160</v>
      </c>
      <c r="G41" s="132"/>
      <c r="H41" s="132"/>
      <c r="I41" s="132"/>
      <c r="J41" s="132"/>
      <c r="K41" s="132"/>
      <c r="L41" s="132"/>
      <c r="M41" s="132"/>
      <c r="N41" s="133"/>
      <c r="O41" s="31" t="str">
        <f>IF(F41="","入力してください","")</f>
        <v/>
      </c>
    </row>
    <row r="42" spans="1:15" ht="7.5" customHeight="1" x14ac:dyDescent="0.15">
      <c r="F42" s="35"/>
      <c r="G42" s="35"/>
      <c r="H42" s="35"/>
      <c r="I42" s="35"/>
      <c r="J42" s="35"/>
      <c r="K42" s="35"/>
      <c r="L42" s="35"/>
      <c r="M42" s="35"/>
      <c r="N42" s="35"/>
    </row>
    <row r="43" spans="1:15" ht="24" customHeight="1" x14ac:dyDescent="0.15">
      <c r="A43" s="14" t="s">
        <v>96</v>
      </c>
    </row>
    <row r="44" spans="1:15" ht="24" customHeight="1" x14ac:dyDescent="0.15">
      <c r="B44" s="30" t="s">
        <v>1</v>
      </c>
      <c r="C44" s="136" t="s">
        <v>161</v>
      </c>
      <c r="D44" s="137"/>
      <c r="E44" s="137"/>
      <c r="F44" s="137"/>
      <c r="G44" s="137"/>
      <c r="H44" s="137"/>
      <c r="I44" s="26" t="s">
        <v>2</v>
      </c>
      <c r="J44" s="27"/>
      <c r="K44" s="131" t="s">
        <v>163</v>
      </c>
      <c r="L44" s="132"/>
      <c r="M44" s="132"/>
      <c r="N44" s="133"/>
      <c r="O44" s="31" t="str">
        <f>IF(OR(C44="",K44=""),"入力してください","")</f>
        <v/>
      </c>
    </row>
    <row r="45" spans="1:15" ht="24" customHeight="1" x14ac:dyDescent="0.15">
      <c r="B45" s="25" t="s">
        <v>4</v>
      </c>
      <c r="C45" s="124" t="s">
        <v>162</v>
      </c>
      <c r="D45" s="125"/>
      <c r="E45" s="125"/>
      <c r="F45" s="125"/>
      <c r="G45" s="125"/>
      <c r="H45" s="126"/>
      <c r="I45" s="26" t="s">
        <v>3</v>
      </c>
      <c r="J45" s="27"/>
      <c r="K45" s="127" t="s">
        <v>164</v>
      </c>
      <c r="L45" s="128"/>
      <c r="M45" s="128"/>
      <c r="N45" s="129"/>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Z98"/>
  <sheetViews>
    <sheetView showZeros="0" view="pageBreakPreview" topLeftCell="A88" zoomScale="70" zoomScaleNormal="100" zoomScaleSheetLayoutView="70" workbookViewId="0">
      <selection activeCell="B98" sqref="B98:Z98"/>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33" t="s">
        <v>190</v>
      </c>
      <c r="X1" s="233"/>
      <c r="Y1" s="233"/>
      <c r="Z1" s="233"/>
    </row>
    <row r="2" spans="1:26" ht="18" customHeight="1" x14ac:dyDescent="0.15">
      <c r="A2" s="195" t="s">
        <v>67</v>
      </c>
      <c r="B2" s="195"/>
      <c r="C2" s="195"/>
      <c r="D2" s="195"/>
      <c r="E2" s="195"/>
      <c r="F2" s="195"/>
      <c r="G2" s="195"/>
      <c r="H2" s="195"/>
      <c r="I2" s="195"/>
      <c r="J2" s="195"/>
      <c r="K2" s="195"/>
      <c r="L2" s="195"/>
      <c r="M2" s="195"/>
      <c r="N2" s="195"/>
      <c r="O2" s="195"/>
      <c r="P2" s="195"/>
      <c r="Q2" s="195"/>
      <c r="R2" s="195"/>
      <c r="S2" s="195"/>
      <c r="T2" s="195"/>
      <c r="U2" s="195"/>
      <c r="V2" s="195"/>
      <c r="W2" s="195"/>
      <c r="X2" s="195"/>
      <c r="Y2" s="195"/>
      <c r="Z2" s="195"/>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97</v>
      </c>
      <c r="B4" s="29"/>
      <c r="C4" s="29"/>
      <c r="D4" s="29"/>
      <c r="E4" s="29"/>
      <c r="F4" s="29"/>
      <c r="G4" s="29"/>
      <c r="H4" s="15" t="s">
        <v>110</v>
      </c>
      <c r="I4" s="29"/>
      <c r="J4" s="29"/>
      <c r="K4" s="29"/>
      <c r="L4" s="29"/>
      <c r="M4" s="29"/>
      <c r="N4" s="29"/>
      <c r="O4" s="148" t="s">
        <v>165</v>
      </c>
      <c r="P4" s="149"/>
      <c r="Q4" s="149"/>
      <c r="R4" s="149"/>
      <c r="S4" s="149"/>
      <c r="T4" s="149"/>
      <c r="U4" s="149"/>
      <c r="V4" s="149"/>
      <c r="W4" s="149"/>
      <c r="X4" s="149"/>
      <c r="Y4" s="149"/>
      <c r="Z4" s="150"/>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196" t="s">
        <v>193</v>
      </c>
      <c r="C6" s="197"/>
      <c r="D6" s="197"/>
      <c r="E6" s="197"/>
      <c r="F6" s="197"/>
      <c r="G6" s="197"/>
      <c r="H6" s="197"/>
      <c r="I6" s="197"/>
      <c r="J6" s="197"/>
      <c r="K6" s="197"/>
      <c r="L6" s="197"/>
      <c r="M6" s="197"/>
      <c r="N6" s="197"/>
      <c r="O6" s="197"/>
      <c r="P6" s="197"/>
      <c r="Q6" s="197"/>
      <c r="R6" s="197"/>
      <c r="S6" s="197"/>
      <c r="T6" s="197"/>
      <c r="U6" s="197"/>
      <c r="V6" s="197"/>
      <c r="W6" s="197"/>
      <c r="X6" s="197"/>
      <c r="Y6" s="197"/>
      <c r="Z6" s="198"/>
    </row>
    <row r="7" spans="1:26" ht="18" customHeight="1" x14ac:dyDescent="0.15">
      <c r="B7" s="199"/>
      <c r="C7" s="200"/>
      <c r="D7" s="200"/>
      <c r="E7" s="200"/>
      <c r="F7" s="200"/>
      <c r="G7" s="200"/>
      <c r="H7" s="200"/>
      <c r="I7" s="200"/>
      <c r="J7" s="200"/>
      <c r="K7" s="200"/>
      <c r="L7" s="200"/>
      <c r="M7" s="200"/>
      <c r="N7" s="200"/>
      <c r="O7" s="200"/>
      <c r="P7" s="200"/>
      <c r="Q7" s="200"/>
      <c r="R7" s="200"/>
      <c r="S7" s="200"/>
      <c r="T7" s="200"/>
      <c r="U7" s="200"/>
      <c r="V7" s="200"/>
      <c r="W7" s="200"/>
      <c r="X7" s="200"/>
      <c r="Y7" s="200"/>
      <c r="Z7" s="201"/>
    </row>
    <row r="8" spans="1:26" ht="18" customHeight="1" x14ac:dyDescent="0.15">
      <c r="B8" s="199"/>
      <c r="C8" s="200"/>
      <c r="D8" s="200"/>
      <c r="E8" s="200"/>
      <c r="F8" s="200"/>
      <c r="G8" s="200"/>
      <c r="H8" s="200"/>
      <c r="I8" s="200"/>
      <c r="J8" s="200"/>
      <c r="K8" s="200"/>
      <c r="L8" s="200"/>
      <c r="M8" s="200"/>
      <c r="N8" s="200"/>
      <c r="O8" s="200"/>
      <c r="P8" s="200"/>
      <c r="Q8" s="200"/>
      <c r="R8" s="200"/>
      <c r="S8" s="200"/>
      <c r="T8" s="200"/>
      <c r="U8" s="200"/>
      <c r="V8" s="200"/>
      <c r="W8" s="200"/>
      <c r="X8" s="200"/>
      <c r="Y8" s="200"/>
      <c r="Z8" s="201"/>
    </row>
    <row r="9" spans="1:26" ht="18" customHeight="1" x14ac:dyDescent="0.15">
      <c r="B9" s="199"/>
      <c r="C9" s="200"/>
      <c r="D9" s="200"/>
      <c r="E9" s="200"/>
      <c r="F9" s="200"/>
      <c r="G9" s="200"/>
      <c r="H9" s="200"/>
      <c r="I9" s="200"/>
      <c r="J9" s="200"/>
      <c r="K9" s="200"/>
      <c r="L9" s="200"/>
      <c r="M9" s="200"/>
      <c r="N9" s="200"/>
      <c r="O9" s="200"/>
      <c r="P9" s="200"/>
      <c r="Q9" s="200"/>
      <c r="R9" s="200"/>
      <c r="S9" s="200"/>
      <c r="T9" s="200"/>
      <c r="U9" s="200"/>
      <c r="V9" s="200"/>
      <c r="W9" s="200"/>
      <c r="X9" s="200"/>
      <c r="Y9" s="200"/>
      <c r="Z9" s="201"/>
    </row>
    <row r="10" spans="1:26" ht="18" customHeight="1" x14ac:dyDescent="0.15">
      <c r="B10" s="199"/>
      <c r="C10" s="202"/>
      <c r="D10" s="202"/>
      <c r="E10" s="202"/>
      <c r="F10" s="202"/>
      <c r="G10" s="202"/>
      <c r="H10" s="202"/>
      <c r="I10" s="202"/>
      <c r="J10" s="202"/>
      <c r="K10" s="202"/>
      <c r="L10" s="202"/>
      <c r="M10" s="202"/>
      <c r="N10" s="202"/>
      <c r="O10" s="202"/>
      <c r="P10" s="202"/>
      <c r="Q10" s="202"/>
      <c r="R10" s="202"/>
      <c r="S10" s="202"/>
      <c r="T10" s="202"/>
      <c r="U10" s="202"/>
      <c r="V10" s="202"/>
      <c r="W10" s="202"/>
      <c r="X10" s="202"/>
      <c r="Y10" s="202"/>
      <c r="Z10" s="201"/>
    </row>
    <row r="11" spans="1:26" ht="18" customHeight="1" x14ac:dyDescent="0.15">
      <c r="B11" s="203"/>
      <c r="C11" s="204"/>
      <c r="D11" s="204"/>
      <c r="E11" s="204"/>
      <c r="F11" s="204"/>
      <c r="G11" s="204"/>
      <c r="H11" s="204"/>
      <c r="I11" s="204"/>
      <c r="J11" s="204"/>
      <c r="K11" s="204"/>
      <c r="L11" s="204"/>
      <c r="M11" s="204"/>
      <c r="N11" s="204"/>
      <c r="O11" s="204"/>
      <c r="P11" s="204"/>
      <c r="Q11" s="204"/>
      <c r="R11" s="204"/>
      <c r="S11" s="204"/>
      <c r="T11" s="204"/>
      <c r="U11" s="204"/>
      <c r="V11" s="204"/>
      <c r="W11" s="204"/>
      <c r="X11" s="204"/>
      <c r="Y11" s="204"/>
      <c r="Z11" s="205"/>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191" t="s">
        <v>123</v>
      </c>
      <c r="B13" s="191"/>
      <c r="C13" s="191"/>
      <c r="D13" s="191"/>
      <c r="E13" s="191"/>
      <c r="F13" s="191"/>
      <c r="G13" s="191"/>
      <c r="H13" s="191"/>
      <c r="I13" s="191"/>
      <c r="J13" s="191"/>
      <c r="K13" s="191"/>
      <c r="L13" s="191"/>
      <c r="M13" s="191"/>
      <c r="N13" s="191"/>
      <c r="O13" s="191"/>
      <c r="P13" s="191"/>
      <c r="Q13" s="191"/>
      <c r="R13" s="191"/>
      <c r="S13" s="191"/>
      <c r="T13" s="191"/>
      <c r="U13" s="191"/>
      <c r="V13" s="191"/>
      <c r="W13" s="191"/>
      <c r="X13" s="191"/>
      <c r="Y13" s="191"/>
      <c r="Z13" s="191"/>
    </row>
    <row r="14" spans="1:26" ht="18" customHeight="1" x14ac:dyDescent="0.15">
      <c r="A14" s="191"/>
      <c r="B14" s="191"/>
      <c r="C14" s="191"/>
      <c r="D14" s="191"/>
      <c r="E14" s="191"/>
      <c r="F14" s="191"/>
      <c r="G14" s="191"/>
      <c r="H14" s="191"/>
      <c r="I14" s="191"/>
      <c r="J14" s="191"/>
      <c r="K14" s="191"/>
      <c r="L14" s="191"/>
      <c r="M14" s="191"/>
      <c r="N14" s="191"/>
      <c r="O14" s="191"/>
      <c r="P14" s="191"/>
      <c r="Q14" s="191"/>
      <c r="R14" s="191"/>
      <c r="S14" s="191"/>
      <c r="T14" s="191"/>
      <c r="U14" s="191"/>
      <c r="V14" s="191"/>
      <c r="W14" s="191"/>
      <c r="X14" s="191"/>
      <c r="Y14" s="191"/>
      <c r="Z14" s="191"/>
    </row>
    <row r="15" spans="1:26" ht="18" customHeight="1" x14ac:dyDescent="0.15">
      <c r="A15" s="14"/>
      <c r="B15" s="148" t="s">
        <v>98</v>
      </c>
      <c r="C15" s="149"/>
      <c r="D15" s="149"/>
      <c r="E15" s="149"/>
      <c r="F15" s="150"/>
      <c r="G15" s="30" t="s">
        <v>139</v>
      </c>
      <c r="H15" s="108" t="s">
        <v>138</v>
      </c>
      <c r="I15" s="149" t="s">
        <v>99</v>
      </c>
      <c r="J15" s="149"/>
      <c r="K15" s="149"/>
      <c r="L15" s="72" t="s">
        <v>102</v>
      </c>
      <c r="M15" s="72" t="s">
        <v>105</v>
      </c>
      <c r="N15" s="148" t="s">
        <v>98</v>
      </c>
      <c r="O15" s="149"/>
      <c r="P15" s="149"/>
      <c r="Q15" s="149"/>
      <c r="R15" s="149"/>
      <c r="S15" s="150"/>
      <c r="T15" s="30" t="s">
        <v>139</v>
      </c>
      <c r="U15" s="108" t="s">
        <v>138</v>
      </c>
      <c r="V15" s="149" t="s">
        <v>99</v>
      </c>
      <c r="W15" s="149"/>
      <c r="X15" s="149"/>
      <c r="Y15" s="72" t="s">
        <v>102</v>
      </c>
      <c r="Z15" s="72" t="s">
        <v>105</v>
      </c>
    </row>
    <row r="16" spans="1:26" ht="18" customHeight="1" x14ac:dyDescent="0.15">
      <c r="A16" s="14"/>
      <c r="B16" s="182" t="s">
        <v>186</v>
      </c>
      <c r="C16" s="183"/>
      <c r="D16" s="183"/>
      <c r="E16" s="183"/>
      <c r="F16" s="184"/>
      <c r="G16" s="109">
        <v>1</v>
      </c>
      <c r="H16" s="109" t="s">
        <v>166</v>
      </c>
      <c r="I16" s="176" t="s">
        <v>167</v>
      </c>
      <c r="J16" s="177"/>
      <c r="K16" s="178"/>
      <c r="L16" s="109" t="s">
        <v>166</v>
      </c>
      <c r="M16" s="109" t="s">
        <v>166</v>
      </c>
      <c r="N16" s="155"/>
      <c r="O16" s="156"/>
      <c r="P16" s="156"/>
      <c r="Q16" s="156"/>
      <c r="R16" s="156"/>
      <c r="S16" s="157"/>
      <c r="T16" s="109"/>
      <c r="U16" s="109"/>
      <c r="V16" s="176"/>
      <c r="W16" s="177"/>
      <c r="X16" s="178"/>
      <c r="Y16" s="109"/>
      <c r="Z16" s="109"/>
    </row>
    <row r="17" spans="1:26" ht="18" customHeight="1" x14ac:dyDescent="0.15">
      <c r="A17" s="14"/>
      <c r="B17" s="185"/>
      <c r="C17" s="186"/>
      <c r="D17" s="186"/>
      <c r="E17" s="186"/>
      <c r="F17" s="187"/>
      <c r="G17" s="110"/>
      <c r="H17" s="110"/>
      <c r="I17" s="179"/>
      <c r="J17" s="180"/>
      <c r="K17" s="181"/>
      <c r="L17" s="110"/>
      <c r="M17" s="110"/>
      <c r="N17" s="161"/>
      <c r="O17" s="162"/>
      <c r="P17" s="162"/>
      <c r="Q17" s="162"/>
      <c r="R17" s="162"/>
      <c r="S17" s="163"/>
      <c r="T17" s="110"/>
      <c r="U17" s="110"/>
      <c r="V17" s="179"/>
      <c r="W17" s="180"/>
      <c r="X17" s="181"/>
      <c r="Y17" s="110"/>
      <c r="Z17" s="110"/>
    </row>
    <row r="18" spans="1:26" ht="18" customHeight="1" x14ac:dyDescent="0.15">
      <c r="A18" s="14"/>
      <c r="B18" s="185"/>
      <c r="C18" s="186"/>
      <c r="D18" s="186"/>
      <c r="E18" s="186"/>
      <c r="F18" s="187"/>
      <c r="G18" s="110"/>
      <c r="H18" s="110"/>
      <c r="I18" s="179"/>
      <c r="J18" s="180"/>
      <c r="K18" s="181"/>
      <c r="L18" s="110"/>
      <c r="M18" s="110"/>
      <c r="N18" s="161"/>
      <c r="O18" s="162"/>
      <c r="P18" s="162"/>
      <c r="Q18" s="162"/>
      <c r="R18" s="162"/>
      <c r="S18" s="163"/>
      <c r="T18" s="110"/>
      <c r="U18" s="110"/>
      <c r="V18" s="179"/>
      <c r="W18" s="180"/>
      <c r="X18" s="181"/>
      <c r="Y18" s="110"/>
      <c r="Z18" s="110"/>
    </row>
    <row r="19" spans="1:26" ht="18" customHeight="1" x14ac:dyDescent="0.15">
      <c r="A19" s="14"/>
      <c r="B19" s="185"/>
      <c r="C19" s="186"/>
      <c r="D19" s="186"/>
      <c r="E19" s="186"/>
      <c r="F19" s="187"/>
      <c r="G19" s="110"/>
      <c r="H19" s="110"/>
      <c r="I19" s="179"/>
      <c r="J19" s="180"/>
      <c r="K19" s="181"/>
      <c r="L19" s="110"/>
      <c r="M19" s="110"/>
      <c r="N19" s="161"/>
      <c r="O19" s="162"/>
      <c r="P19" s="162"/>
      <c r="Q19" s="162"/>
      <c r="R19" s="162"/>
      <c r="S19" s="163"/>
      <c r="T19" s="110"/>
      <c r="U19" s="110"/>
      <c r="V19" s="179"/>
      <c r="W19" s="180"/>
      <c r="X19" s="181"/>
      <c r="Y19" s="110"/>
      <c r="Z19" s="110"/>
    </row>
    <row r="20" spans="1:26" ht="18" customHeight="1" x14ac:dyDescent="0.15">
      <c r="A20" s="14"/>
      <c r="B20" s="185"/>
      <c r="C20" s="186"/>
      <c r="D20" s="186"/>
      <c r="E20" s="186"/>
      <c r="F20" s="187"/>
      <c r="G20" s="110"/>
      <c r="H20" s="110"/>
      <c r="I20" s="179"/>
      <c r="J20" s="180"/>
      <c r="K20" s="181"/>
      <c r="L20" s="110"/>
      <c r="M20" s="110"/>
      <c r="N20" s="161"/>
      <c r="O20" s="162"/>
      <c r="P20" s="162"/>
      <c r="Q20" s="162"/>
      <c r="R20" s="162"/>
      <c r="S20" s="163"/>
      <c r="T20" s="110"/>
      <c r="U20" s="110"/>
      <c r="V20" s="179"/>
      <c r="W20" s="180"/>
      <c r="X20" s="181"/>
      <c r="Y20" s="110"/>
      <c r="Z20" s="110"/>
    </row>
    <row r="21" spans="1:26" ht="18" customHeight="1" x14ac:dyDescent="0.15">
      <c r="A21" s="29"/>
      <c r="B21" s="185"/>
      <c r="C21" s="186"/>
      <c r="D21" s="186"/>
      <c r="E21" s="186"/>
      <c r="F21" s="187"/>
      <c r="G21" s="110"/>
      <c r="H21" s="110"/>
      <c r="I21" s="179"/>
      <c r="J21" s="180"/>
      <c r="K21" s="181"/>
      <c r="L21" s="110"/>
      <c r="M21" s="110"/>
      <c r="N21" s="161"/>
      <c r="O21" s="162"/>
      <c r="P21" s="162"/>
      <c r="Q21" s="162"/>
      <c r="R21" s="162"/>
      <c r="S21" s="163"/>
      <c r="T21" s="110"/>
      <c r="U21" s="110"/>
      <c r="V21" s="179"/>
      <c r="W21" s="180"/>
      <c r="X21" s="181"/>
      <c r="Y21" s="110"/>
      <c r="Z21" s="110"/>
    </row>
    <row r="22" spans="1:26" ht="18" customHeight="1" x14ac:dyDescent="0.15">
      <c r="A22" s="29"/>
      <c r="B22" s="192"/>
      <c r="C22" s="193"/>
      <c r="D22" s="193"/>
      <c r="E22" s="193"/>
      <c r="F22" s="194"/>
      <c r="G22" s="111"/>
      <c r="H22" s="111"/>
      <c r="I22" s="188"/>
      <c r="J22" s="189"/>
      <c r="K22" s="190"/>
      <c r="L22" s="117"/>
      <c r="M22" s="117"/>
      <c r="N22" s="212"/>
      <c r="O22" s="213"/>
      <c r="P22" s="213"/>
      <c r="Q22" s="213"/>
      <c r="R22" s="213"/>
      <c r="S22" s="214"/>
      <c r="T22" s="111"/>
      <c r="U22" s="111"/>
      <c r="V22" s="188"/>
      <c r="W22" s="189"/>
      <c r="X22" s="190"/>
      <c r="Y22" s="117"/>
      <c r="Z22" s="117"/>
    </row>
    <row r="23" spans="1:26" ht="7.5" customHeight="1" x14ac:dyDescent="0.15">
      <c r="A23" s="29"/>
      <c r="B23" s="73"/>
      <c r="C23" s="73"/>
      <c r="D23" s="29"/>
      <c r="E23" s="29"/>
      <c r="F23" s="29"/>
      <c r="G23" s="29"/>
      <c r="H23" s="29"/>
      <c r="I23" s="29"/>
      <c r="J23" s="29"/>
      <c r="K23" s="29"/>
      <c r="L23" s="73"/>
      <c r="M23" s="73"/>
      <c r="N23" s="73"/>
      <c r="O23" s="73"/>
      <c r="P23" s="73"/>
      <c r="Q23" s="73"/>
      <c r="R23" s="73"/>
      <c r="S23" s="73"/>
      <c r="T23" s="73"/>
      <c r="U23" s="73"/>
      <c r="V23" s="73"/>
      <c r="W23" s="73"/>
      <c r="X23" s="73"/>
      <c r="Y23" s="73"/>
      <c r="Z23" s="29"/>
    </row>
    <row r="24" spans="1:26" ht="18" customHeight="1" x14ac:dyDescent="0.15">
      <c r="A24" s="191" t="s">
        <v>124</v>
      </c>
      <c r="B24" s="191"/>
      <c r="C24" s="191"/>
      <c r="D24" s="191"/>
      <c r="E24" s="191"/>
      <c r="F24" s="191"/>
      <c r="G24" s="191"/>
      <c r="H24" s="191"/>
      <c r="I24" s="191"/>
      <c r="J24" s="191"/>
      <c r="K24" s="191"/>
      <c r="L24" s="191"/>
      <c r="M24" s="191"/>
      <c r="N24" s="191"/>
      <c r="O24" s="191"/>
      <c r="P24" s="191"/>
      <c r="Q24" s="191"/>
      <c r="R24" s="191"/>
      <c r="S24" s="191"/>
      <c r="T24" s="191"/>
      <c r="U24" s="191"/>
      <c r="V24" s="191"/>
      <c r="W24" s="191"/>
      <c r="X24" s="191"/>
      <c r="Y24" s="191"/>
      <c r="Z24" s="191"/>
    </row>
    <row r="25" spans="1:26" ht="18" customHeight="1" x14ac:dyDescent="0.15">
      <c r="A25" s="191"/>
      <c r="B25" s="191"/>
      <c r="C25" s="191"/>
      <c r="D25" s="191"/>
      <c r="E25" s="191"/>
      <c r="F25" s="191"/>
      <c r="G25" s="191"/>
      <c r="H25" s="191"/>
      <c r="I25" s="191"/>
      <c r="J25" s="191"/>
      <c r="K25" s="191"/>
      <c r="L25" s="191"/>
      <c r="M25" s="191"/>
      <c r="N25" s="191"/>
      <c r="O25" s="191"/>
      <c r="P25" s="191"/>
      <c r="Q25" s="191"/>
      <c r="R25" s="191"/>
      <c r="S25" s="191"/>
      <c r="T25" s="191"/>
      <c r="U25" s="191"/>
      <c r="V25" s="191"/>
      <c r="W25" s="191"/>
      <c r="X25" s="191"/>
      <c r="Y25" s="191"/>
      <c r="Z25" s="191"/>
    </row>
    <row r="26" spans="1:26" ht="18" customHeight="1" x14ac:dyDescent="0.15">
      <c r="A26" s="14"/>
      <c r="B26" s="148" t="s">
        <v>98</v>
      </c>
      <c r="C26" s="149"/>
      <c r="D26" s="149"/>
      <c r="E26" s="149"/>
      <c r="F26" s="150"/>
      <c r="G26" s="30" t="s">
        <v>139</v>
      </c>
      <c r="H26" s="108" t="s">
        <v>138</v>
      </c>
      <c r="I26" s="149" t="s">
        <v>99</v>
      </c>
      <c r="J26" s="149"/>
      <c r="K26" s="149"/>
      <c r="L26" s="72" t="s">
        <v>125</v>
      </c>
      <c r="M26" s="72" t="s">
        <v>126</v>
      </c>
      <c r="N26" s="148" t="s">
        <v>98</v>
      </c>
      <c r="O26" s="149"/>
      <c r="P26" s="149"/>
      <c r="Q26" s="149"/>
      <c r="R26" s="149"/>
      <c r="S26" s="150"/>
      <c r="T26" s="30" t="s">
        <v>139</v>
      </c>
      <c r="U26" s="108" t="s">
        <v>138</v>
      </c>
      <c r="V26" s="149" t="s">
        <v>99</v>
      </c>
      <c r="W26" s="149"/>
      <c r="X26" s="149"/>
      <c r="Y26" s="72" t="s">
        <v>125</v>
      </c>
      <c r="Z26" s="72" t="s">
        <v>126</v>
      </c>
    </row>
    <row r="27" spans="1:26" ht="18" customHeight="1" x14ac:dyDescent="0.15">
      <c r="A27" s="14"/>
      <c r="B27" s="182" t="s">
        <v>168</v>
      </c>
      <c r="C27" s="183"/>
      <c r="D27" s="183"/>
      <c r="E27" s="183"/>
      <c r="F27" s="184"/>
      <c r="G27" s="109">
        <v>1</v>
      </c>
      <c r="H27" s="109" t="s">
        <v>166</v>
      </c>
      <c r="I27" s="176" t="s">
        <v>167</v>
      </c>
      <c r="J27" s="177"/>
      <c r="K27" s="178"/>
      <c r="L27" s="109" t="s">
        <v>166</v>
      </c>
      <c r="M27" s="109" t="s">
        <v>166</v>
      </c>
      <c r="N27" s="155"/>
      <c r="O27" s="156"/>
      <c r="P27" s="156"/>
      <c r="Q27" s="156"/>
      <c r="R27" s="156"/>
      <c r="S27" s="157"/>
      <c r="T27" s="109"/>
      <c r="U27" s="109"/>
      <c r="V27" s="176"/>
      <c r="W27" s="177"/>
      <c r="X27" s="178"/>
      <c r="Y27" s="109"/>
      <c r="Z27" s="109"/>
    </row>
    <row r="28" spans="1:26" ht="18" customHeight="1" x14ac:dyDescent="0.15">
      <c r="A28" s="14"/>
      <c r="B28" s="185"/>
      <c r="C28" s="186"/>
      <c r="D28" s="186"/>
      <c r="E28" s="186"/>
      <c r="F28" s="187"/>
      <c r="G28" s="110"/>
      <c r="H28" s="110"/>
      <c r="I28" s="179"/>
      <c r="J28" s="180"/>
      <c r="K28" s="181"/>
      <c r="L28" s="110"/>
      <c r="M28" s="110"/>
      <c r="N28" s="161"/>
      <c r="O28" s="162"/>
      <c r="P28" s="162"/>
      <c r="Q28" s="162"/>
      <c r="R28" s="162"/>
      <c r="S28" s="163"/>
      <c r="T28" s="110"/>
      <c r="U28" s="110"/>
      <c r="V28" s="179"/>
      <c r="W28" s="180"/>
      <c r="X28" s="181"/>
      <c r="Y28" s="110"/>
      <c r="Z28" s="110"/>
    </row>
    <row r="29" spans="1:26" ht="18" customHeight="1" x14ac:dyDescent="0.15">
      <c r="A29" s="14"/>
      <c r="B29" s="185"/>
      <c r="C29" s="186"/>
      <c r="D29" s="186"/>
      <c r="E29" s="186"/>
      <c r="F29" s="187"/>
      <c r="G29" s="110"/>
      <c r="H29" s="110"/>
      <c r="I29" s="179"/>
      <c r="J29" s="180"/>
      <c r="K29" s="181"/>
      <c r="L29" s="110"/>
      <c r="M29" s="110"/>
      <c r="N29" s="161"/>
      <c r="O29" s="162"/>
      <c r="P29" s="162"/>
      <c r="Q29" s="162"/>
      <c r="R29" s="162"/>
      <c r="S29" s="163"/>
      <c r="T29" s="110"/>
      <c r="U29" s="110"/>
      <c r="V29" s="179"/>
      <c r="W29" s="180"/>
      <c r="X29" s="181"/>
      <c r="Y29" s="110"/>
      <c r="Z29" s="110"/>
    </row>
    <row r="30" spans="1:26" ht="18" customHeight="1" x14ac:dyDescent="0.15">
      <c r="A30" s="14"/>
      <c r="B30" s="185"/>
      <c r="C30" s="186"/>
      <c r="D30" s="186"/>
      <c r="E30" s="186"/>
      <c r="F30" s="187"/>
      <c r="G30" s="110"/>
      <c r="H30" s="110"/>
      <c r="I30" s="179"/>
      <c r="J30" s="180"/>
      <c r="K30" s="181"/>
      <c r="L30" s="110"/>
      <c r="M30" s="110"/>
      <c r="N30" s="161"/>
      <c r="O30" s="162"/>
      <c r="P30" s="162"/>
      <c r="Q30" s="162"/>
      <c r="R30" s="162"/>
      <c r="S30" s="163"/>
      <c r="T30" s="110"/>
      <c r="U30" s="110"/>
      <c r="V30" s="179"/>
      <c r="W30" s="180"/>
      <c r="X30" s="181"/>
      <c r="Y30" s="110"/>
      <c r="Z30" s="110"/>
    </row>
    <row r="31" spans="1:26" ht="18" customHeight="1" x14ac:dyDescent="0.15">
      <c r="A31" s="14"/>
      <c r="B31" s="185"/>
      <c r="C31" s="186"/>
      <c r="D31" s="186"/>
      <c r="E31" s="186"/>
      <c r="F31" s="187"/>
      <c r="G31" s="110"/>
      <c r="H31" s="110"/>
      <c r="I31" s="179"/>
      <c r="J31" s="180"/>
      <c r="K31" s="181"/>
      <c r="L31" s="110"/>
      <c r="M31" s="110"/>
      <c r="N31" s="161"/>
      <c r="O31" s="162"/>
      <c r="P31" s="162"/>
      <c r="Q31" s="162"/>
      <c r="R31" s="162"/>
      <c r="S31" s="163"/>
      <c r="T31" s="110"/>
      <c r="U31" s="110"/>
      <c r="V31" s="179"/>
      <c r="W31" s="180"/>
      <c r="X31" s="181"/>
      <c r="Y31" s="110"/>
      <c r="Z31" s="110"/>
    </row>
    <row r="32" spans="1:26" ht="18" customHeight="1" x14ac:dyDescent="0.15">
      <c r="A32" s="14"/>
      <c r="B32" s="185"/>
      <c r="C32" s="186"/>
      <c r="D32" s="186"/>
      <c r="E32" s="186"/>
      <c r="F32" s="187"/>
      <c r="G32" s="110"/>
      <c r="H32" s="110"/>
      <c r="I32" s="179"/>
      <c r="J32" s="180"/>
      <c r="K32" s="181"/>
      <c r="L32" s="110"/>
      <c r="M32" s="110"/>
      <c r="N32" s="161"/>
      <c r="O32" s="162"/>
      <c r="P32" s="162"/>
      <c r="Q32" s="162"/>
      <c r="R32" s="162"/>
      <c r="S32" s="163"/>
      <c r="T32" s="110"/>
      <c r="U32" s="110"/>
      <c r="V32" s="179"/>
      <c r="W32" s="180"/>
      <c r="X32" s="181"/>
      <c r="Y32" s="110"/>
      <c r="Z32" s="110"/>
    </row>
    <row r="33" spans="1:26" ht="18" customHeight="1" x14ac:dyDescent="0.15">
      <c r="A33" s="14"/>
      <c r="B33" s="192"/>
      <c r="C33" s="193"/>
      <c r="D33" s="193"/>
      <c r="E33" s="193"/>
      <c r="F33" s="194"/>
      <c r="G33" s="111"/>
      <c r="H33" s="111"/>
      <c r="I33" s="188"/>
      <c r="J33" s="189"/>
      <c r="K33" s="190"/>
      <c r="L33" s="117"/>
      <c r="M33" s="117"/>
      <c r="N33" s="212"/>
      <c r="O33" s="213"/>
      <c r="P33" s="213"/>
      <c r="Q33" s="213"/>
      <c r="R33" s="213"/>
      <c r="S33" s="214"/>
      <c r="T33" s="111"/>
      <c r="U33" s="111"/>
      <c r="V33" s="188"/>
      <c r="W33" s="189"/>
      <c r="X33" s="190"/>
      <c r="Y33" s="117"/>
      <c r="Z33" s="117"/>
    </row>
    <row r="34" spans="1:26" ht="7.5" customHeight="1" x14ac:dyDescent="0.15">
      <c r="A34" s="29"/>
      <c r="B34" s="73"/>
      <c r="C34" s="73"/>
      <c r="D34" s="29"/>
      <c r="E34" s="29"/>
      <c r="F34" s="29"/>
      <c r="G34" s="29"/>
      <c r="H34" s="29"/>
      <c r="I34" s="29"/>
      <c r="J34" s="29"/>
      <c r="K34" s="29"/>
      <c r="L34" s="73"/>
      <c r="M34" s="73"/>
      <c r="N34" s="73"/>
      <c r="O34" s="73"/>
      <c r="P34" s="73"/>
      <c r="Q34" s="73"/>
      <c r="R34" s="73"/>
      <c r="S34" s="73"/>
      <c r="T34" s="73"/>
      <c r="U34" s="73"/>
      <c r="V34" s="73"/>
      <c r="W34" s="73"/>
      <c r="X34" s="73"/>
      <c r="Y34" s="73"/>
      <c r="Z34" s="29"/>
    </row>
    <row r="35" spans="1:26" ht="18" customHeight="1" x14ac:dyDescent="0.15">
      <c r="A35" s="191" t="s">
        <v>127</v>
      </c>
      <c r="B35" s="191"/>
      <c r="C35" s="191"/>
      <c r="D35" s="191"/>
      <c r="E35" s="191"/>
      <c r="F35" s="191"/>
      <c r="G35" s="191"/>
      <c r="H35" s="191"/>
      <c r="I35" s="191"/>
      <c r="J35" s="191"/>
      <c r="K35" s="191"/>
      <c r="L35" s="191"/>
      <c r="M35" s="191"/>
      <c r="N35" s="191"/>
      <c r="O35" s="191"/>
      <c r="P35" s="191"/>
      <c r="Q35" s="191"/>
      <c r="R35" s="191"/>
      <c r="S35" s="191"/>
      <c r="T35" s="191"/>
      <c r="U35" s="191"/>
      <c r="V35" s="191"/>
      <c r="W35" s="191"/>
      <c r="X35" s="191"/>
      <c r="Y35" s="191"/>
      <c r="Z35" s="191"/>
    </row>
    <row r="36" spans="1:26" ht="18" customHeight="1" x14ac:dyDescent="0.15">
      <c r="A36" s="191"/>
      <c r="B36" s="191"/>
      <c r="C36" s="191"/>
      <c r="D36" s="191"/>
      <c r="E36" s="191"/>
      <c r="F36" s="191"/>
      <c r="G36" s="191"/>
      <c r="H36" s="191"/>
      <c r="I36" s="191"/>
      <c r="J36" s="191"/>
      <c r="K36" s="191"/>
      <c r="L36" s="191"/>
      <c r="M36" s="191"/>
      <c r="N36" s="191"/>
      <c r="O36" s="191"/>
      <c r="P36" s="191"/>
      <c r="Q36" s="191"/>
      <c r="R36" s="191"/>
      <c r="S36" s="191"/>
      <c r="T36" s="191"/>
      <c r="U36" s="191"/>
      <c r="V36" s="191"/>
      <c r="W36" s="191"/>
      <c r="X36" s="191"/>
      <c r="Y36" s="191"/>
      <c r="Z36" s="191"/>
    </row>
    <row r="37" spans="1:26" ht="18" customHeight="1" x14ac:dyDescent="0.15">
      <c r="A37" s="14"/>
      <c r="B37" s="148" t="s">
        <v>98</v>
      </c>
      <c r="C37" s="149"/>
      <c r="D37" s="149"/>
      <c r="E37" s="149"/>
      <c r="F37" s="150"/>
      <c r="G37" s="30" t="s">
        <v>139</v>
      </c>
      <c r="H37" s="108" t="s">
        <v>138</v>
      </c>
      <c r="I37" s="148" t="s">
        <v>99</v>
      </c>
      <c r="J37" s="149"/>
      <c r="K37" s="150"/>
      <c r="L37" s="72" t="s">
        <v>128</v>
      </c>
      <c r="M37" s="72" t="s">
        <v>129</v>
      </c>
      <c r="N37" s="148" t="s">
        <v>98</v>
      </c>
      <c r="O37" s="149"/>
      <c r="P37" s="149"/>
      <c r="Q37" s="149"/>
      <c r="R37" s="149"/>
      <c r="S37" s="150"/>
      <c r="T37" s="30" t="s">
        <v>139</v>
      </c>
      <c r="U37" s="108" t="s">
        <v>138</v>
      </c>
      <c r="V37" s="148" t="s">
        <v>99</v>
      </c>
      <c r="W37" s="149"/>
      <c r="X37" s="150"/>
      <c r="Y37" s="72" t="s">
        <v>128</v>
      </c>
      <c r="Z37" s="72" t="s">
        <v>129</v>
      </c>
    </row>
    <row r="38" spans="1:26" ht="18" customHeight="1" x14ac:dyDescent="0.15">
      <c r="A38" s="29"/>
      <c r="B38" s="182" t="s">
        <v>169</v>
      </c>
      <c r="C38" s="183"/>
      <c r="D38" s="183"/>
      <c r="E38" s="183"/>
      <c r="F38" s="184"/>
      <c r="G38" s="109">
        <v>1</v>
      </c>
      <c r="H38" s="109" t="s">
        <v>166</v>
      </c>
      <c r="I38" s="176" t="s">
        <v>167</v>
      </c>
      <c r="J38" s="177"/>
      <c r="K38" s="178"/>
      <c r="L38" s="109" t="s">
        <v>166</v>
      </c>
      <c r="M38" s="109" t="s">
        <v>166</v>
      </c>
      <c r="N38" s="155"/>
      <c r="O38" s="156"/>
      <c r="P38" s="156"/>
      <c r="Q38" s="156"/>
      <c r="R38" s="156"/>
      <c r="S38" s="157"/>
      <c r="T38" s="109"/>
      <c r="U38" s="109"/>
      <c r="V38" s="176"/>
      <c r="W38" s="177"/>
      <c r="X38" s="178"/>
      <c r="Y38" s="109"/>
      <c r="Z38" s="109"/>
    </row>
    <row r="39" spans="1:26" ht="18" customHeight="1" x14ac:dyDescent="0.15">
      <c r="A39" s="29"/>
      <c r="B39" s="185"/>
      <c r="C39" s="186"/>
      <c r="D39" s="186"/>
      <c r="E39" s="186"/>
      <c r="F39" s="187"/>
      <c r="G39" s="110"/>
      <c r="H39" s="110"/>
      <c r="I39" s="179"/>
      <c r="J39" s="180"/>
      <c r="K39" s="181"/>
      <c r="L39" s="110"/>
      <c r="M39" s="110"/>
      <c r="N39" s="161"/>
      <c r="O39" s="162"/>
      <c r="P39" s="162"/>
      <c r="Q39" s="162"/>
      <c r="R39" s="162"/>
      <c r="S39" s="163"/>
      <c r="T39" s="110"/>
      <c r="U39" s="110"/>
      <c r="V39" s="179"/>
      <c r="W39" s="180"/>
      <c r="X39" s="181"/>
      <c r="Y39" s="110"/>
      <c r="Z39" s="110"/>
    </row>
    <row r="40" spans="1:26" ht="18" customHeight="1" x14ac:dyDescent="0.15">
      <c r="A40" s="29"/>
      <c r="B40" s="185"/>
      <c r="C40" s="186"/>
      <c r="D40" s="186"/>
      <c r="E40" s="186"/>
      <c r="F40" s="187"/>
      <c r="G40" s="110"/>
      <c r="H40" s="110"/>
      <c r="I40" s="179"/>
      <c r="J40" s="180"/>
      <c r="K40" s="181"/>
      <c r="L40" s="110"/>
      <c r="M40" s="110"/>
      <c r="N40" s="161"/>
      <c r="O40" s="162"/>
      <c r="P40" s="162"/>
      <c r="Q40" s="162"/>
      <c r="R40" s="162"/>
      <c r="S40" s="163"/>
      <c r="T40" s="110"/>
      <c r="U40" s="110"/>
      <c r="V40" s="179"/>
      <c r="W40" s="180"/>
      <c r="X40" s="181"/>
      <c r="Y40" s="110"/>
      <c r="Z40" s="110"/>
    </row>
    <row r="41" spans="1:26" ht="18" customHeight="1" x14ac:dyDescent="0.15">
      <c r="A41" s="29"/>
      <c r="B41" s="185"/>
      <c r="C41" s="186"/>
      <c r="D41" s="186"/>
      <c r="E41" s="186"/>
      <c r="F41" s="187"/>
      <c r="G41" s="110"/>
      <c r="H41" s="110"/>
      <c r="I41" s="179"/>
      <c r="J41" s="180"/>
      <c r="K41" s="181"/>
      <c r="L41" s="110"/>
      <c r="M41" s="110"/>
      <c r="N41" s="161"/>
      <c r="O41" s="162"/>
      <c r="P41" s="162"/>
      <c r="Q41" s="162"/>
      <c r="R41" s="162"/>
      <c r="S41" s="163"/>
      <c r="T41" s="110"/>
      <c r="U41" s="110"/>
      <c r="V41" s="179"/>
      <c r="W41" s="180"/>
      <c r="X41" s="181"/>
      <c r="Y41" s="110"/>
      <c r="Z41" s="110"/>
    </row>
    <row r="42" spans="1:26" ht="18" customHeight="1" x14ac:dyDescent="0.15">
      <c r="A42" s="29"/>
      <c r="B42" s="185"/>
      <c r="C42" s="186"/>
      <c r="D42" s="186"/>
      <c r="E42" s="186"/>
      <c r="F42" s="187"/>
      <c r="G42" s="110"/>
      <c r="H42" s="110"/>
      <c r="I42" s="179"/>
      <c r="J42" s="180"/>
      <c r="K42" s="181"/>
      <c r="L42" s="110"/>
      <c r="M42" s="110"/>
      <c r="N42" s="161"/>
      <c r="O42" s="162"/>
      <c r="P42" s="162"/>
      <c r="Q42" s="162"/>
      <c r="R42" s="162"/>
      <c r="S42" s="163"/>
      <c r="T42" s="110"/>
      <c r="U42" s="110"/>
      <c r="V42" s="179"/>
      <c r="W42" s="180"/>
      <c r="X42" s="181"/>
      <c r="Y42" s="110"/>
      <c r="Z42" s="110"/>
    </row>
    <row r="43" spans="1:26" ht="18" customHeight="1" x14ac:dyDescent="0.15">
      <c r="A43" s="29"/>
      <c r="B43" s="185"/>
      <c r="C43" s="186"/>
      <c r="D43" s="186"/>
      <c r="E43" s="186"/>
      <c r="F43" s="187"/>
      <c r="G43" s="110"/>
      <c r="H43" s="110"/>
      <c r="I43" s="179"/>
      <c r="J43" s="180"/>
      <c r="K43" s="181"/>
      <c r="L43" s="110"/>
      <c r="M43" s="110"/>
      <c r="N43" s="161"/>
      <c r="O43" s="162"/>
      <c r="P43" s="162"/>
      <c r="Q43" s="162"/>
      <c r="R43" s="162"/>
      <c r="S43" s="163"/>
      <c r="T43" s="110"/>
      <c r="U43" s="110"/>
      <c r="V43" s="179"/>
      <c r="W43" s="180"/>
      <c r="X43" s="181"/>
      <c r="Y43" s="110"/>
      <c r="Z43" s="110"/>
    </row>
    <row r="44" spans="1:26" ht="18" customHeight="1" x14ac:dyDescent="0.15">
      <c r="A44" s="29"/>
      <c r="B44" s="192"/>
      <c r="C44" s="193"/>
      <c r="D44" s="193"/>
      <c r="E44" s="193"/>
      <c r="F44" s="194"/>
      <c r="G44" s="111"/>
      <c r="H44" s="111"/>
      <c r="I44" s="188"/>
      <c r="J44" s="189"/>
      <c r="K44" s="190"/>
      <c r="L44" s="117"/>
      <c r="M44" s="117"/>
      <c r="N44" s="212"/>
      <c r="O44" s="213"/>
      <c r="P44" s="213"/>
      <c r="Q44" s="213"/>
      <c r="R44" s="213"/>
      <c r="S44" s="214"/>
      <c r="T44" s="111"/>
      <c r="U44" s="111"/>
      <c r="V44" s="188"/>
      <c r="W44" s="189"/>
      <c r="X44" s="190"/>
      <c r="Y44" s="117"/>
      <c r="Z44" s="117"/>
    </row>
    <row r="45" spans="1:26" ht="7.5" customHeight="1" x14ac:dyDescent="0.15">
      <c r="B45" s="74"/>
      <c r="C45" s="74"/>
      <c r="D45" s="74"/>
      <c r="E45" s="74"/>
      <c r="F45" s="74"/>
      <c r="G45" s="74"/>
      <c r="H45" s="74"/>
      <c r="I45" s="74"/>
      <c r="J45" s="74"/>
      <c r="K45" s="74"/>
      <c r="L45" s="74"/>
      <c r="M45" s="74"/>
      <c r="N45" s="74"/>
      <c r="O45" s="74"/>
      <c r="P45" s="74"/>
      <c r="Q45" s="74"/>
      <c r="R45" s="74"/>
      <c r="S45" s="74"/>
      <c r="T45" s="74"/>
      <c r="U45" s="74"/>
      <c r="V45" s="74"/>
      <c r="W45" s="74"/>
      <c r="X45" s="74"/>
      <c r="Y45" s="74"/>
    </row>
    <row r="46" spans="1:26" ht="18" customHeight="1" x14ac:dyDescent="0.15">
      <c r="A46" s="191" t="s">
        <v>130</v>
      </c>
      <c r="B46" s="191"/>
      <c r="C46" s="191"/>
      <c r="D46" s="191"/>
      <c r="E46" s="191"/>
      <c r="F46" s="191"/>
      <c r="G46" s="191"/>
      <c r="H46" s="191"/>
      <c r="I46" s="191"/>
      <c r="J46" s="191"/>
      <c r="K46" s="191"/>
      <c r="L46" s="191"/>
      <c r="M46" s="191"/>
      <c r="N46" s="191"/>
      <c r="O46" s="191"/>
      <c r="P46" s="191"/>
      <c r="Q46" s="191"/>
      <c r="R46" s="191"/>
      <c r="S46" s="191"/>
      <c r="T46" s="191"/>
      <c r="U46" s="191"/>
      <c r="V46" s="191"/>
      <c r="W46" s="191"/>
      <c r="X46" s="191"/>
      <c r="Y46" s="191"/>
      <c r="Z46" s="191"/>
    </row>
    <row r="47" spans="1:26" ht="18" customHeight="1" x14ac:dyDescent="0.15">
      <c r="A47" s="191"/>
      <c r="B47" s="191"/>
      <c r="C47" s="191"/>
      <c r="D47" s="191"/>
      <c r="E47" s="191"/>
      <c r="F47" s="191"/>
      <c r="G47" s="191"/>
      <c r="H47" s="191"/>
      <c r="I47" s="191"/>
      <c r="J47" s="191"/>
      <c r="K47" s="191"/>
      <c r="L47" s="191"/>
      <c r="M47" s="191"/>
      <c r="N47" s="191"/>
      <c r="O47" s="191"/>
      <c r="P47" s="191"/>
      <c r="Q47" s="191"/>
      <c r="R47" s="191"/>
      <c r="S47" s="191"/>
      <c r="T47" s="191"/>
      <c r="U47" s="191"/>
      <c r="V47" s="191"/>
      <c r="W47" s="191"/>
      <c r="X47" s="191"/>
      <c r="Y47" s="191"/>
      <c r="Z47" s="191"/>
    </row>
    <row r="48" spans="1:26" ht="18" customHeight="1" x14ac:dyDescent="0.15">
      <c r="A48" s="14"/>
      <c r="B48" s="148" t="s">
        <v>98</v>
      </c>
      <c r="C48" s="149"/>
      <c r="D48" s="149"/>
      <c r="E48" s="149"/>
      <c r="F48" s="150"/>
      <c r="G48" s="30" t="s">
        <v>139</v>
      </c>
      <c r="H48" s="108" t="s">
        <v>138</v>
      </c>
      <c r="I48" s="148" t="s">
        <v>99</v>
      </c>
      <c r="J48" s="149"/>
      <c r="K48" s="150"/>
      <c r="L48" s="72" t="s">
        <v>104</v>
      </c>
      <c r="M48" s="72" t="s">
        <v>106</v>
      </c>
      <c r="N48" s="148" t="s">
        <v>98</v>
      </c>
      <c r="O48" s="149"/>
      <c r="P48" s="149"/>
      <c r="Q48" s="149"/>
      <c r="R48" s="149"/>
      <c r="S48" s="150"/>
      <c r="T48" s="30" t="s">
        <v>139</v>
      </c>
      <c r="U48" s="108" t="s">
        <v>138</v>
      </c>
      <c r="V48" s="148" t="s">
        <v>99</v>
      </c>
      <c r="W48" s="149"/>
      <c r="X48" s="150"/>
      <c r="Y48" s="72" t="s">
        <v>104</v>
      </c>
      <c r="Z48" s="72" t="s">
        <v>106</v>
      </c>
    </row>
    <row r="49" spans="1:26" ht="18" customHeight="1" x14ac:dyDescent="0.15">
      <c r="A49" s="29"/>
      <c r="B49" s="182" t="s">
        <v>168</v>
      </c>
      <c r="C49" s="183"/>
      <c r="D49" s="183"/>
      <c r="E49" s="183"/>
      <c r="F49" s="184"/>
      <c r="G49" s="109">
        <v>1</v>
      </c>
      <c r="H49" s="109" t="s">
        <v>166</v>
      </c>
      <c r="I49" s="176" t="s">
        <v>167</v>
      </c>
      <c r="J49" s="177"/>
      <c r="K49" s="178"/>
      <c r="L49" s="109" t="s">
        <v>166</v>
      </c>
      <c r="M49" s="109" t="s">
        <v>166</v>
      </c>
      <c r="N49" s="155"/>
      <c r="O49" s="156"/>
      <c r="P49" s="156"/>
      <c r="Q49" s="156"/>
      <c r="R49" s="156"/>
      <c r="S49" s="157"/>
      <c r="T49" s="109"/>
      <c r="U49" s="109"/>
      <c r="V49" s="176"/>
      <c r="W49" s="177"/>
      <c r="X49" s="178"/>
      <c r="Y49" s="109"/>
      <c r="Z49" s="109"/>
    </row>
    <row r="50" spans="1:26" ht="18" customHeight="1" x14ac:dyDescent="0.15">
      <c r="A50" s="29"/>
      <c r="B50" s="185" t="s">
        <v>170</v>
      </c>
      <c r="C50" s="186"/>
      <c r="D50" s="186"/>
      <c r="E50" s="186"/>
      <c r="F50" s="187"/>
      <c r="G50" s="110">
        <v>2</v>
      </c>
      <c r="H50" s="110" t="s">
        <v>166</v>
      </c>
      <c r="I50" s="179" t="s">
        <v>167</v>
      </c>
      <c r="J50" s="180"/>
      <c r="K50" s="181"/>
      <c r="L50" s="110" t="s">
        <v>166</v>
      </c>
      <c r="M50" s="110" t="s">
        <v>166</v>
      </c>
      <c r="N50" s="161"/>
      <c r="O50" s="162"/>
      <c r="P50" s="162"/>
      <c r="Q50" s="162"/>
      <c r="R50" s="162"/>
      <c r="S50" s="163"/>
      <c r="T50" s="110"/>
      <c r="U50" s="110"/>
      <c r="V50" s="179"/>
      <c r="W50" s="180"/>
      <c r="X50" s="181"/>
      <c r="Y50" s="110"/>
      <c r="Z50" s="110"/>
    </row>
    <row r="51" spans="1:26" ht="18" customHeight="1" x14ac:dyDescent="0.15">
      <c r="A51" s="29"/>
      <c r="B51" s="185"/>
      <c r="C51" s="186"/>
      <c r="D51" s="186"/>
      <c r="E51" s="186"/>
      <c r="F51" s="187"/>
      <c r="G51" s="110"/>
      <c r="H51" s="110"/>
      <c r="I51" s="179"/>
      <c r="J51" s="180"/>
      <c r="K51" s="181"/>
      <c r="L51" s="110"/>
      <c r="M51" s="110"/>
      <c r="N51" s="161"/>
      <c r="O51" s="162"/>
      <c r="P51" s="162"/>
      <c r="Q51" s="162"/>
      <c r="R51" s="162"/>
      <c r="S51" s="163"/>
      <c r="T51" s="110"/>
      <c r="U51" s="110"/>
      <c r="V51" s="179"/>
      <c r="W51" s="180"/>
      <c r="X51" s="181"/>
      <c r="Y51" s="110"/>
      <c r="Z51" s="110"/>
    </row>
    <row r="52" spans="1:26" ht="18" customHeight="1" x14ac:dyDescent="0.15">
      <c r="A52" s="29"/>
      <c r="B52" s="185"/>
      <c r="C52" s="186"/>
      <c r="D52" s="186"/>
      <c r="E52" s="186"/>
      <c r="F52" s="187"/>
      <c r="G52" s="110"/>
      <c r="H52" s="110"/>
      <c r="I52" s="179"/>
      <c r="J52" s="180"/>
      <c r="K52" s="181"/>
      <c r="L52" s="110"/>
      <c r="M52" s="110"/>
      <c r="N52" s="161"/>
      <c r="O52" s="162"/>
      <c r="P52" s="162"/>
      <c r="Q52" s="162"/>
      <c r="R52" s="162"/>
      <c r="S52" s="163"/>
      <c r="T52" s="110"/>
      <c r="U52" s="110"/>
      <c r="V52" s="179"/>
      <c r="W52" s="180"/>
      <c r="X52" s="181"/>
      <c r="Y52" s="110"/>
      <c r="Z52" s="110"/>
    </row>
    <row r="53" spans="1:26" ht="18" customHeight="1" x14ac:dyDescent="0.15">
      <c r="A53" s="29"/>
      <c r="B53" s="185"/>
      <c r="C53" s="186"/>
      <c r="D53" s="186"/>
      <c r="E53" s="186"/>
      <c r="F53" s="187"/>
      <c r="G53" s="110"/>
      <c r="H53" s="110"/>
      <c r="I53" s="179"/>
      <c r="J53" s="180"/>
      <c r="K53" s="181"/>
      <c r="L53" s="110"/>
      <c r="M53" s="110"/>
      <c r="N53" s="161"/>
      <c r="O53" s="162"/>
      <c r="P53" s="162"/>
      <c r="Q53" s="162"/>
      <c r="R53" s="162"/>
      <c r="S53" s="163"/>
      <c r="T53" s="110"/>
      <c r="U53" s="110"/>
      <c r="V53" s="179"/>
      <c r="W53" s="180"/>
      <c r="X53" s="181"/>
      <c r="Y53" s="110"/>
      <c r="Z53" s="110"/>
    </row>
    <row r="54" spans="1:26" ht="18" customHeight="1" x14ac:dyDescent="0.15">
      <c r="A54" s="29"/>
      <c r="B54" s="185"/>
      <c r="C54" s="186"/>
      <c r="D54" s="186"/>
      <c r="E54" s="186"/>
      <c r="F54" s="187"/>
      <c r="G54" s="110"/>
      <c r="H54" s="110"/>
      <c r="I54" s="179"/>
      <c r="J54" s="180"/>
      <c r="K54" s="181"/>
      <c r="L54" s="110"/>
      <c r="M54" s="110"/>
      <c r="N54" s="161"/>
      <c r="O54" s="162"/>
      <c r="P54" s="162"/>
      <c r="Q54" s="162"/>
      <c r="R54" s="162"/>
      <c r="S54" s="163"/>
      <c r="T54" s="110"/>
      <c r="U54" s="110"/>
      <c r="V54" s="179"/>
      <c r="W54" s="180"/>
      <c r="X54" s="181"/>
      <c r="Y54" s="110"/>
      <c r="Z54" s="110"/>
    </row>
    <row r="55" spans="1:26" ht="18" customHeight="1" x14ac:dyDescent="0.15">
      <c r="A55" s="29"/>
      <c r="B55" s="192"/>
      <c r="C55" s="193"/>
      <c r="D55" s="193"/>
      <c r="E55" s="193"/>
      <c r="F55" s="194"/>
      <c r="G55" s="111"/>
      <c r="H55" s="111"/>
      <c r="I55" s="188"/>
      <c r="J55" s="189"/>
      <c r="K55" s="190"/>
      <c r="L55" s="117"/>
      <c r="M55" s="117"/>
      <c r="N55" s="212"/>
      <c r="O55" s="213"/>
      <c r="P55" s="213"/>
      <c r="Q55" s="213"/>
      <c r="R55" s="213"/>
      <c r="S55" s="214"/>
      <c r="T55" s="111"/>
      <c r="U55" s="111"/>
      <c r="V55" s="188"/>
      <c r="W55" s="189"/>
      <c r="X55" s="190"/>
      <c r="Y55" s="117"/>
      <c r="Z55" s="117"/>
    </row>
    <row r="56" spans="1:26" ht="7.5" customHeight="1" x14ac:dyDescent="0.15">
      <c r="B56" s="74"/>
      <c r="C56" s="74"/>
      <c r="D56" s="74"/>
      <c r="E56" s="74"/>
      <c r="F56" s="74"/>
      <c r="G56" s="74"/>
      <c r="H56" s="74"/>
      <c r="I56" s="74"/>
      <c r="J56" s="74"/>
      <c r="K56" s="74"/>
      <c r="L56" s="74"/>
      <c r="M56" s="74"/>
      <c r="N56" s="74"/>
      <c r="O56" s="74"/>
      <c r="P56" s="74"/>
      <c r="Q56" s="74"/>
      <c r="R56" s="74"/>
      <c r="S56" s="74"/>
      <c r="T56" s="74"/>
      <c r="U56" s="74"/>
      <c r="V56" s="74"/>
      <c r="W56" s="74"/>
      <c r="X56" s="74"/>
      <c r="Y56" s="74"/>
    </row>
    <row r="57" spans="1:26" ht="18" customHeight="1" x14ac:dyDescent="0.15">
      <c r="A57" s="191" t="s">
        <v>131</v>
      </c>
      <c r="B57" s="191"/>
      <c r="C57" s="191"/>
      <c r="D57" s="191"/>
      <c r="E57" s="191"/>
      <c r="F57" s="191"/>
      <c r="G57" s="191"/>
      <c r="H57" s="191"/>
      <c r="I57" s="191"/>
      <c r="J57" s="191"/>
      <c r="K57" s="191"/>
      <c r="L57" s="191"/>
      <c r="M57" s="191"/>
      <c r="N57" s="191"/>
      <c r="O57" s="191"/>
      <c r="P57" s="191"/>
      <c r="Q57" s="191"/>
      <c r="R57" s="191"/>
      <c r="S57" s="191"/>
      <c r="T57" s="191"/>
      <c r="U57" s="191"/>
      <c r="V57" s="191"/>
      <c r="W57" s="191"/>
      <c r="X57" s="191"/>
      <c r="Y57" s="191"/>
      <c r="Z57" s="191"/>
    </row>
    <row r="58" spans="1:26" ht="18" customHeight="1" x14ac:dyDescent="0.15">
      <c r="A58" s="191"/>
      <c r="B58" s="191"/>
      <c r="C58" s="191"/>
      <c r="D58" s="191"/>
      <c r="E58" s="191"/>
      <c r="F58" s="191"/>
      <c r="G58" s="191"/>
      <c r="H58" s="191"/>
      <c r="I58" s="191"/>
      <c r="J58" s="191"/>
      <c r="K58" s="191"/>
      <c r="L58" s="191"/>
      <c r="M58" s="191"/>
      <c r="N58" s="191"/>
      <c r="O58" s="191"/>
      <c r="P58" s="191"/>
      <c r="Q58" s="191"/>
      <c r="R58" s="191"/>
      <c r="S58" s="191"/>
      <c r="T58" s="191"/>
      <c r="U58" s="191"/>
      <c r="V58" s="191"/>
      <c r="W58" s="191"/>
      <c r="X58" s="191"/>
      <c r="Y58" s="191"/>
      <c r="Z58" s="191"/>
    </row>
    <row r="59" spans="1:26" ht="18" customHeight="1" x14ac:dyDescent="0.15">
      <c r="A59" s="14"/>
      <c r="B59" s="148" t="s">
        <v>98</v>
      </c>
      <c r="C59" s="149"/>
      <c r="D59" s="149"/>
      <c r="E59" s="150"/>
      <c r="F59" s="30" t="s">
        <v>139</v>
      </c>
      <c r="G59" s="108" t="s">
        <v>138</v>
      </c>
      <c r="H59" s="103" t="s">
        <v>99</v>
      </c>
      <c r="I59" s="104"/>
      <c r="J59" s="105"/>
      <c r="K59" s="72" t="s">
        <v>103</v>
      </c>
      <c r="L59" s="72" t="s">
        <v>132</v>
      </c>
      <c r="M59" s="72" t="s">
        <v>133</v>
      </c>
      <c r="N59" s="148" t="s">
        <v>98</v>
      </c>
      <c r="O59" s="149"/>
      <c r="P59" s="149"/>
      <c r="Q59" s="149"/>
      <c r="R59" s="150"/>
      <c r="S59" s="30" t="s">
        <v>139</v>
      </c>
      <c r="T59" s="108" t="s">
        <v>138</v>
      </c>
      <c r="U59" s="103" t="s">
        <v>99</v>
      </c>
      <c r="V59" s="104"/>
      <c r="W59" s="105"/>
      <c r="X59" s="72" t="s">
        <v>103</v>
      </c>
      <c r="Y59" s="72" t="s">
        <v>132</v>
      </c>
      <c r="Z59" s="72" t="s">
        <v>133</v>
      </c>
    </row>
    <row r="60" spans="1:26" ht="18" customHeight="1" x14ac:dyDescent="0.15">
      <c r="A60" s="29"/>
      <c r="B60" s="155" t="s">
        <v>170</v>
      </c>
      <c r="C60" s="156"/>
      <c r="D60" s="156"/>
      <c r="E60" s="157"/>
      <c r="F60" s="109">
        <v>2</v>
      </c>
      <c r="G60" s="109" t="s">
        <v>166</v>
      </c>
      <c r="H60" s="176" t="s">
        <v>167</v>
      </c>
      <c r="I60" s="177"/>
      <c r="J60" s="178"/>
      <c r="K60" s="118" t="s">
        <v>166</v>
      </c>
      <c r="L60" s="109" t="s">
        <v>166</v>
      </c>
      <c r="M60" s="109" t="s">
        <v>166</v>
      </c>
      <c r="N60" s="155"/>
      <c r="O60" s="156"/>
      <c r="P60" s="156"/>
      <c r="Q60" s="156"/>
      <c r="R60" s="157"/>
      <c r="S60" s="109"/>
      <c r="T60" s="109"/>
      <c r="U60" s="176"/>
      <c r="V60" s="177"/>
      <c r="W60" s="178"/>
      <c r="X60" s="116"/>
      <c r="Y60" s="109"/>
      <c r="Z60" s="109"/>
    </row>
    <row r="61" spans="1:26" ht="18" customHeight="1" x14ac:dyDescent="0.15">
      <c r="A61" s="29"/>
      <c r="B61" s="161"/>
      <c r="C61" s="162"/>
      <c r="D61" s="162"/>
      <c r="E61" s="163"/>
      <c r="F61" s="110"/>
      <c r="G61" s="110"/>
      <c r="H61" s="179"/>
      <c r="I61" s="180"/>
      <c r="J61" s="181"/>
      <c r="K61" s="114"/>
      <c r="L61" s="110"/>
      <c r="M61" s="110"/>
      <c r="N61" s="161"/>
      <c r="O61" s="162"/>
      <c r="P61" s="162"/>
      <c r="Q61" s="162"/>
      <c r="R61" s="163"/>
      <c r="S61" s="110"/>
      <c r="T61" s="110"/>
      <c r="U61" s="179"/>
      <c r="V61" s="180"/>
      <c r="W61" s="181"/>
      <c r="X61" s="114"/>
      <c r="Y61" s="110"/>
      <c r="Z61" s="110"/>
    </row>
    <row r="62" spans="1:26" ht="18" customHeight="1" x14ac:dyDescent="0.15">
      <c r="A62" s="29"/>
      <c r="B62" s="161"/>
      <c r="C62" s="162"/>
      <c r="D62" s="162"/>
      <c r="E62" s="163"/>
      <c r="F62" s="110"/>
      <c r="G62" s="110"/>
      <c r="H62" s="179"/>
      <c r="I62" s="180"/>
      <c r="J62" s="181"/>
      <c r="K62" s="114"/>
      <c r="L62" s="110"/>
      <c r="M62" s="110"/>
      <c r="N62" s="161"/>
      <c r="O62" s="162"/>
      <c r="P62" s="162"/>
      <c r="Q62" s="162"/>
      <c r="R62" s="163"/>
      <c r="S62" s="110"/>
      <c r="T62" s="110"/>
      <c r="U62" s="179"/>
      <c r="V62" s="180"/>
      <c r="W62" s="181"/>
      <c r="X62" s="114"/>
      <c r="Y62" s="110"/>
      <c r="Z62" s="110"/>
    </row>
    <row r="63" spans="1:26" ht="18" customHeight="1" x14ac:dyDescent="0.15">
      <c r="A63" s="29"/>
      <c r="B63" s="161"/>
      <c r="C63" s="162"/>
      <c r="D63" s="162"/>
      <c r="E63" s="163"/>
      <c r="F63" s="110"/>
      <c r="G63" s="110"/>
      <c r="H63" s="179"/>
      <c r="I63" s="180"/>
      <c r="J63" s="181"/>
      <c r="K63" s="114"/>
      <c r="L63" s="110"/>
      <c r="M63" s="110"/>
      <c r="N63" s="161"/>
      <c r="O63" s="162"/>
      <c r="P63" s="162"/>
      <c r="Q63" s="162"/>
      <c r="R63" s="163"/>
      <c r="S63" s="110"/>
      <c r="T63" s="110"/>
      <c r="U63" s="179"/>
      <c r="V63" s="180"/>
      <c r="W63" s="181"/>
      <c r="X63" s="114"/>
      <c r="Y63" s="110"/>
      <c r="Z63" s="110"/>
    </row>
    <row r="64" spans="1:26" ht="18" customHeight="1" x14ac:dyDescent="0.15">
      <c r="A64" s="29"/>
      <c r="B64" s="161"/>
      <c r="C64" s="162"/>
      <c r="D64" s="162"/>
      <c r="E64" s="163"/>
      <c r="F64" s="110"/>
      <c r="G64" s="110"/>
      <c r="H64" s="179"/>
      <c r="I64" s="180"/>
      <c r="J64" s="181"/>
      <c r="K64" s="114"/>
      <c r="L64" s="110"/>
      <c r="M64" s="110"/>
      <c r="N64" s="161"/>
      <c r="O64" s="162"/>
      <c r="P64" s="162"/>
      <c r="Q64" s="162"/>
      <c r="R64" s="163"/>
      <c r="S64" s="110"/>
      <c r="T64" s="110"/>
      <c r="U64" s="179"/>
      <c r="V64" s="180"/>
      <c r="W64" s="181"/>
      <c r="X64" s="114"/>
      <c r="Y64" s="110"/>
      <c r="Z64" s="110"/>
    </row>
    <row r="65" spans="1:26" ht="18" customHeight="1" x14ac:dyDescent="0.15">
      <c r="A65" s="29"/>
      <c r="B65" s="161"/>
      <c r="C65" s="162"/>
      <c r="D65" s="162"/>
      <c r="E65" s="163"/>
      <c r="F65" s="110"/>
      <c r="G65" s="110"/>
      <c r="H65" s="179"/>
      <c r="I65" s="180"/>
      <c r="J65" s="181"/>
      <c r="K65" s="114"/>
      <c r="L65" s="110"/>
      <c r="M65" s="110"/>
      <c r="N65" s="161"/>
      <c r="O65" s="162"/>
      <c r="P65" s="162"/>
      <c r="Q65" s="162"/>
      <c r="R65" s="163"/>
      <c r="S65" s="110"/>
      <c r="T65" s="110"/>
      <c r="U65" s="179"/>
      <c r="V65" s="180"/>
      <c r="W65" s="181"/>
      <c r="X65" s="114"/>
      <c r="Y65" s="110"/>
      <c r="Z65" s="110"/>
    </row>
    <row r="66" spans="1:26" ht="18" customHeight="1" x14ac:dyDescent="0.15">
      <c r="A66" s="29"/>
      <c r="B66" s="212"/>
      <c r="C66" s="213"/>
      <c r="D66" s="213"/>
      <c r="E66" s="214"/>
      <c r="F66" s="111"/>
      <c r="G66" s="111"/>
      <c r="H66" s="188"/>
      <c r="I66" s="189"/>
      <c r="J66" s="190"/>
      <c r="K66" s="115"/>
      <c r="L66" s="117"/>
      <c r="M66" s="117"/>
      <c r="N66" s="212"/>
      <c r="O66" s="213"/>
      <c r="P66" s="213"/>
      <c r="Q66" s="213"/>
      <c r="R66" s="214"/>
      <c r="S66" s="111"/>
      <c r="T66" s="111"/>
      <c r="U66" s="188"/>
      <c r="V66" s="189"/>
      <c r="W66" s="190"/>
      <c r="X66" s="115"/>
      <c r="Y66" s="117"/>
      <c r="Z66" s="117"/>
    </row>
    <row r="67" spans="1:26" ht="7.5" customHeight="1" x14ac:dyDescent="0.15">
      <c r="B67" s="74"/>
      <c r="C67" s="74"/>
      <c r="D67" s="74"/>
      <c r="E67" s="74"/>
      <c r="F67" s="74"/>
      <c r="G67" s="74"/>
      <c r="H67" s="74"/>
      <c r="I67" s="74"/>
      <c r="J67" s="74"/>
      <c r="K67" s="74"/>
      <c r="L67" s="74"/>
      <c r="M67" s="74"/>
      <c r="N67" s="74"/>
      <c r="O67" s="74"/>
      <c r="P67" s="74"/>
      <c r="Q67" s="74"/>
      <c r="R67" s="74"/>
      <c r="S67" s="74"/>
      <c r="T67" s="74"/>
      <c r="U67" s="74"/>
      <c r="V67" s="74"/>
      <c r="W67" s="74"/>
      <c r="X67" s="74"/>
      <c r="Y67" s="74"/>
    </row>
    <row r="68" spans="1:26" ht="18" customHeight="1" x14ac:dyDescent="0.15">
      <c r="A68" s="14" t="s">
        <v>134</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48" t="s">
        <v>98</v>
      </c>
      <c r="C69" s="149"/>
      <c r="D69" s="149"/>
      <c r="E69" s="149"/>
      <c r="F69" s="150"/>
      <c r="G69" s="148" t="s">
        <v>144</v>
      </c>
      <c r="H69" s="149"/>
      <c r="I69" s="149"/>
      <c r="J69" s="149"/>
      <c r="K69" s="149"/>
      <c r="L69" s="149"/>
      <c r="M69" s="150"/>
      <c r="N69" s="218" t="s">
        <v>98</v>
      </c>
      <c r="O69" s="219"/>
      <c r="P69" s="219"/>
      <c r="Q69" s="219"/>
      <c r="R69" s="219"/>
      <c r="S69" s="220"/>
      <c r="T69" s="148" t="s">
        <v>144</v>
      </c>
      <c r="U69" s="149"/>
      <c r="V69" s="149"/>
      <c r="W69" s="149"/>
      <c r="X69" s="149"/>
      <c r="Y69" s="149"/>
      <c r="Z69" s="150"/>
    </row>
    <row r="70" spans="1:26" ht="18" customHeight="1" x14ac:dyDescent="0.15">
      <c r="A70" s="29"/>
      <c r="B70" s="155" t="s">
        <v>171</v>
      </c>
      <c r="C70" s="156"/>
      <c r="D70" s="156"/>
      <c r="E70" s="156"/>
      <c r="F70" s="157"/>
      <c r="G70" s="158" t="s">
        <v>184</v>
      </c>
      <c r="H70" s="159"/>
      <c r="I70" s="159"/>
      <c r="J70" s="159"/>
      <c r="K70" s="159"/>
      <c r="L70" s="159"/>
      <c r="M70" s="160"/>
      <c r="N70" s="155"/>
      <c r="O70" s="156"/>
      <c r="P70" s="156"/>
      <c r="Q70" s="156"/>
      <c r="R70" s="156"/>
      <c r="S70" s="157"/>
      <c r="T70" s="158"/>
      <c r="U70" s="159"/>
      <c r="V70" s="159"/>
      <c r="W70" s="159"/>
      <c r="X70" s="159"/>
      <c r="Y70" s="159"/>
      <c r="Z70" s="160"/>
    </row>
    <row r="71" spans="1:26" ht="18" customHeight="1" x14ac:dyDescent="0.15">
      <c r="A71" s="29"/>
      <c r="B71" s="161" t="s">
        <v>171</v>
      </c>
      <c r="C71" s="162"/>
      <c r="D71" s="162"/>
      <c r="E71" s="162"/>
      <c r="F71" s="163"/>
      <c r="G71" s="164" t="s">
        <v>185</v>
      </c>
      <c r="H71" s="165"/>
      <c r="I71" s="165"/>
      <c r="J71" s="165"/>
      <c r="K71" s="165"/>
      <c r="L71" s="165"/>
      <c r="M71" s="166"/>
      <c r="N71" s="161"/>
      <c r="O71" s="162"/>
      <c r="P71" s="162"/>
      <c r="Q71" s="162"/>
      <c r="R71" s="162"/>
      <c r="S71" s="163"/>
      <c r="T71" s="164"/>
      <c r="U71" s="165"/>
      <c r="V71" s="165"/>
      <c r="W71" s="165"/>
      <c r="X71" s="165"/>
      <c r="Y71" s="165"/>
      <c r="Z71" s="166"/>
    </row>
    <row r="72" spans="1:26" ht="18" customHeight="1" x14ac:dyDescent="0.15">
      <c r="A72" s="29"/>
      <c r="B72" s="161"/>
      <c r="C72" s="162"/>
      <c r="D72" s="162"/>
      <c r="E72" s="162"/>
      <c r="F72" s="163"/>
      <c r="G72" s="164"/>
      <c r="H72" s="165"/>
      <c r="I72" s="165"/>
      <c r="J72" s="165"/>
      <c r="K72" s="165"/>
      <c r="L72" s="165"/>
      <c r="M72" s="166"/>
      <c r="N72" s="161"/>
      <c r="O72" s="162"/>
      <c r="P72" s="162"/>
      <c r="Q72" s="162"/>
      <c r="R72" s="162"/>
      <c r="S72" s="163"/>
      <c r="T72" s="164"/>
      <c r="U72" s="165"/>
      <c r="V72" s="165"/>
      <c r="W72" s="165"/>
      <c r="X72" s="165"/>
      <c r="Y72" s="165"/>
      <c r="Z72" s="166"/>
    </row>
    <row r="73" spans="1:26" ht="18" customHeight="1" x14ac:dyDescent="0.15">
      <c r="A73" s="29"/>
      <c r="B73" s="161"/>
      <c r="C73" s="162"/>
      <c r="D73" s="162"/>
      <c r="E73" s="162"/>
      <c r="F73" s="163"/>
      <c r="G73" s="164"/>
      <c r="H73" s="165"/>
      <c r="I73" s="165"/>
      <c r="J73" s="165"/>
      <c r="K73" s="165"/>
      <c r="L73" s="165"/>
      <c r="M73" s="166"/>
      <c r="N73" s="161"/>
      <c r="O73" s="162"/>
      <c r="P73" s="162"/>
      <c r="Q73" s="162"/>
      <c r="R73" s="162"/>
      <c r="S73" s="163"/>
      <c r="T73" s="164"/>
      <c r="U73" s="165"/>
      <c r="V73" s="165"/>
      <c r="W73" s="165"/>
      <c r="X73" s="165"/>
      <c r="Y73" s="165"/>
      <c r="Z73" s="166"/>
    </row>
    <row r="74" spans="1:26" ht="18" customHeight="1" x14ac:dyDescent="0.15">
      <c r="A74" s="29"/>
      <c r="B74" s="161"/>
      <c r="C74" s="162"/>
      <c r="D74" s="162"/>
      <c r="E74" s="162"/>
      <c r="F74" s="163"/>
      <c r="G74" s="164"/>
      <c r="H74" s="165"/>
      <c r="I74" s="165"/>
      <c r="J74" s="165"/>
      <c r="K74" s="165"/>
      <c r="L74" s="165"/>
      <c r="M74" s="166"/>
      <c r="N74" s="161"/>
      <c r="O74" s="162"/>
      <c r="P74" s="162"/>
      <c r="Q74" s="162"/>
      <c r="R74" s="162"/>
      <c r="S74" s="163"/>
      <c r="T74" s="164"/>
      <c r="U74" s="165"/>
      <c r="V74" s="165"/>
      <c r="W74" s="165"/>
      <c r="X74" s="165"/>
      <c r="Y74" s="165"/>
      <c r="Z74" s="166"/>
    </row>
    <row r="75" spans="1:26" ht="18" customHeight="1" x14ac:dyDescent="0.15">
      <c r="A75" s="29"/>
      <c r="B75" s="161"/>
      <c r="C75" s="162"/>
      <c r="D75" s="162"/>
      <c r="E75" s="162"/>
      <c r="F75" s="163"/>
      <c r="G75" s="164"/>
      <c r="H75" s="165"/>
      <c r="I75" s="165"/>
      <c r="J75" s="165"/>
      <c r="K75" s="165"/>
      <c r="L75" s="165"/>
      <c r="M75" s="166"/>
      <c r="N75" s="161"/>
      <c r="O75" s="162"/>
      <c r="P75" s="162"/>
      <c r="Q75" s="162"/>
      <c r="R75" s="162"/>
      <c r="S75" s="163"/>
      <c r="T75" s="164"/>
      <c r="U75" s="165"/>
      <c r="V75" s="165"/>
      <c r="W75" s="165"/>
      <c r="X75" s="165"/>
      <c r="Y75" s="165"/>
      <c r="Z75" s="166"/>
    </row>
    <row r="76" spans="1:26" ht="18" customHeight="1" x14ac:dyDescent="0.15">
      <c r="A76" s="29"/>
      <c r="B76" s="212"/>
      <c r="C76" s="213"/>
      <c r="D76" s="213"/>
      <c r="E76" s="213"/>
      <c r="F76" s="214"/>
      <c r="G76" s="215"/>
      <c r="H76" s="216"/>
      <c r="I76" s="216"/>
      <c r="J76" s="216"/>
      <c r="K76" s="216"/>
      <c r="L76" s="216"/>
      <c r="M76" s="217"/>
      <c r="N76" s="212"/>
      <c r="O76" s="213"/>
      <c r="P76" s="213"/>
      <c r="Q76" s="213"/>
      <c r="R76" s="213"/>
      <c r="S76" s="214"/>
      <c r="T76" s="215"/>
      <c r="U76" s="216"/>
      <c r="V76" s="216"/>
      <c r="W76" s="216"/>
      <c r="X76" s="216"/>
      <c r="Y76" s="216"/>
      <c r="Z76" s="217"/>
    </row>
    <row r="77" spans="1:26" ht="18" customHeight="1" x14ac:dyDescent="0.15">
      <c r="A77" s="29"/>
      <c r="B77" s="69"/>
      <c r="C77" s="69"/>
      <c r="D77" s="69"/>
      <c r="E77" s="69"/>
      <c r="F77" s="69"/>
      <c r="G77" s="12"/>
      <c r="H77" s="12"/>
      <c r="I77" s="12"/>
      <c r="J77" s="12"/>
      <c r="K77" s="12"/>
      <c r="L77" s="12"/>
      <c r="M77" s="12"/>
      <c r="N77" s="69"/>
      <c r="O77" s="69"/>
      <c r="P77" s="69"/>
      <c r="Q77" s="69"/>
      <c r="R77" s="69"/>
      <c r="S77" s="69"/>
      <c r="T77" s="12"/>
      <c r="U77" s="12"/>
      <c r="V77" s="12"/>
      <c r="W77" s="12"/>
      <c r="X77" s="12"/>
      <c r="Y77" s="12"/>
      <c r="Z77" s="12"/>
    </row>
    <row r="78" spans="1:26" ht="18.75" customHeight="1" x14ac:dyDescent="0.15">
      <c r="A78" s="13" t="s">
        <v>140</v>
      </c>
    </row>
    <row r="79" spans="1:26" ht="18.75" customHeight="1" x14ac:dyDescent="0.15">
      <c r="B79" s="75" t="s">
        <v>100</v>
      </c>
      <c r="C79" s="76"/>
      <c r="D79" s="172" t="s">
        <v>101</v>
      </c>
      <c r="E79" s="172"/>
      <c r="F79" s="172"/>
      <c r="G79" s="172"/>
      <c r="H79" s="172"/>
      <c r="I79" s="172"/>
      <c r="J79" s="172"/>
      <c r="K79" s="172"/>
      <c r="L79" s="172"/>
      <c r="M79" s="172"/>
      <c r="N79" s="172"/>
      <c r="O79" s="172"/>
      <c r="P79" s="172"/>
      <c r="Q79" s="172"/>
      <c r="R79" s="172"/>
      <c r="S79" s="172"/>
      <c r="T79" s="172"/>
      <c r="U79" s="172"/>
      <c r="V79" s="172"/>
      <c r="W79" s="172"/>
      <c r="X79" s="172"/>
      <c r="Y79" s="172"/>
      <c r="Z79" s="173"/>
    </row>
    <row r="80" spans="1:26" ht="178.5" customHeight="1" x14ac:dyDescent="0.15">
      <c r="B80" s="169" t="s">
        <v>107</v>
      </c>
      <c r="C80" s="82" t="s">
        <v>102</v>
      </c>
      <c r="D80" s="174" t="s">
        <v>198</v>
      </c>
      <c r="E80" s="174"/>
      <c r="F80" s="174"/>
      <c r="G80" s="174"/>
      <c r="H80" s="174"/>
      <c r="I80" s="174"/>
      <c r="J80" s="174"/>
      <c r="K80" s="174"/>
      <c r="L80" s="174"/>
      <c r="M80" s="174"/>
      <c r="N80" s="174"/>
      <c r="O80" s="174"/>
      <c r="P80" s="174"/>
      <c r="Q80" s="174"/>
      <c r="R80" s="174"/>
      <c r="S80" s="174"/>
      <c r="T80" s="174"/>
      <c r="U80" s="174"/>
      <c r="V80" s="174"/>
      <c r="W80" s="174"/>
      <c r="X80" s="174"/>
      <c r="Y80" s="174"/>
      <c r="Z80" s="175"/>
    </row>
    <row r="81" spans="1:26" ht="141" customHeight="1" x14ac:dyDescent="0.15">
      <c r="B81" s="170"/>
      <c r="C81" s="106" t="s">
        <v>135</v>
      </c>
      <c r="D81" s="206" t="s">
        <v>199</v>
      </c>
      <c r="E81" s="206"/>
      <c r="F81" s="206"/>
      <c r="G81" s="206"/>
      <c r="H81" s="206"/>
      <c r="I81" s="206"/>
      <c r="J81" s="206"/>
      <c r="K81" s="206"/>
      <c r="L81" s="206"/>
      <c r="M81" s="206"/>
      <c r="N81" s="206"/>
      <c r="O81" s="206"/>
      <c r="P81" s="206"/>
      <c r="Q81" s="206"/>
      <c r="R81" s="206"/>
      <c r="S81" s="206"/>
      <c r="T81" s="206"/>
      <c r="U81" s="206"/>
      <c r="V81" s="206"/>
      <c r="W81" s="206"/>
      <c r="X81" s="206"/>
      <c r="Y81" s="206"/>
      <c r="Z81" s="207"/>
    </row>
    <row r="82" spans="1:26" ht="139.5" customHeight="1" x14ac:dyDescent="0.15">
      <c r="B82" s="167" t="s">
        <v>108</v>
      </c>
      <c r="C82" s="77" t="s">
        <v>125</v>
      </c>
      <c r="D82" s="208" t="s">
        <v>200</v>
      </c>
      <c r="E82" s="208"/>
      <c r="F82" s="208"/>
      <c r="G82" s="208"/>
      <c r="H82" s="208"/>
      <c r="I82" s="208"/>
      <c r="J82" s="208"/>
      <c r="K82" s="208"/>
      <c r="L82" s="208"/>
      <c r="M82" s="208"/>
      <c r="N82" s="208"/>
      <c r="O82" s="208"/>
      <c r="P82" s="208"/>
      <c r="Q82" s="208"/>
      <c r="R82" s="208"/>
      <c r="S82" s="208"/>
      <c r="T82" s="208"/>
      <c r="U82" s="208"/>
      <c r="V82" s="208"/>
      <c r="W82" s="208"/>
      <c r="X82" s="208"/>
      <c r="Y82" s="208"/>
      <c r="Z82" s="209"/>
    </row>
    <row r="83" spans="1:26" ht="124.5" customHeight="1" x14ac:dyDescent="0.15">
      <c r="B83" s="168"/>
      <c r="C83" s="107" t="s">
        <v>126</v>
      </c>
      <c r="D83" s="210" t="s">
        <v>201</v>
      </c>
      <c r="E83" s="210"/>
      <c r="F83" s="210"/>
      <c r="G83" s="210"/>
      <c r="H83" s="210"/>
      <c r="I83" s="210"/>
      <c r="J83" s="210"/>
      <c r="K83" s="210"/>
      <c r="L83" s="210"/>
      <c r="M83" s="210"/>
      <c r="N83" s="210"/>
      <c r="O83" s="210"/>
      <c r="P83" s="210"/>
      <c r="Q83" s="210"/>
      <c r="R83" s="210"/>
      <c r="S83" s="210"/>
      <c r="T83" s="210"/>
      <c r="U83" s="210"/>
      <c r="V83" s="210"/>
      <c r="W83" s="210"/>
      <c r="X83" s="210"/>
      <c r="Y83" s="210"/>
      <c r="Z83" s="211"/>
    </row>
    <row r="84" spans="1:26" ht="156.75" customHeight="1" x14ac:dyDescent="0.15">
      <c r="B84" s="167" t="s">
        <v>109</v>
      </c>
      <c r="C84" s="77" t="s">
        <v>128</v>
      </c>
      <c r="D84" s="208" t="s">
        <v>191</v>
      </c>
      <c r="E84" s="208"/>
      <c r="F84" s="208"/>
      <c r="G84" s="208"/>
      <c r="H84" s="208"/>
      <c r="I84" s="208"/>
      <c r="J84" s="208"/>
      <c r="K84" s="208"/>
      <c r="L84" s="208"/>
      <c r="M84" s="208"/>
      <c r="N84" s="208"/>
      <c r="O84" s="208"/>
      <c r="P84" s="208"/>
      <c r="Q84" s="208"/>
      <c r="R84" s="208"/>
      <c r="S84" s="208"/>
      <c r="T84" s="208"/>
      <c r="U84" s="208"/>
      <c r="V84" s="208"/>
      <c r="W84" s="208"/>
      <c r="X84" s="208"/>
      <c r="Y84" s="208"/>
      <c r="Z84" s="209"/>
    </row>
    <row r="85" spans="1:26" ht="91.5" customHeight="1" x14ac:dyDescent="0.15">
      <c r="B85" s="168"/>
      <c r="C85" s="79" t="s">
        <v>129</v>
      </c>
      <c r="D85" s="295" t="s">
        <v>192</v>
      </c>
      <c r="E85" s="295"/>
      <c r="F85" s="295"/>
      <c r="G85" s="295"/>
      <c r="H85" s="295"/>
      <c r="I85" s="295"/>
      <c r="J85" s="295"/>
      <c r="K85" s="295"/>
      <c r="L85" s="295"/>
      <c r="M85" s="295"/>
      <c r="N85" s="295"/>
      <c r="O85" s="295"/>
      <c r="P85" s="295"/>
      <c r="Q85" s="295"/>
      <c r="R85" s="295"/>
      <c r="S85" s="295"/>
      <c r="T85" s="295"/>
      <c r="U85" s="295"/>
      <c r="V85" s="295"/>
      <c r="W85" s="295"/>
      <c r="X85" s="295"/>
      <c r="Y85" s="295"/>
      <c r="Z85" s="296"/>
    </row>
    <row r="86" spans="1:26" ht="351.75" customHeight="1" x14ac:dyDescent="0.15">
      <c r="B86" s="169" t="s">
        <v>136</v>
      </c>
      <c r="C86" s="82" t="s">
        <v>104</v>
      </c>
      <c r="D86" s="174" t="s">
        <v>196</v>
      </c>
      <c r="E86" s="174"/>
      <c r="F86" s="174"/>
      <c r="G86" s="174"/>
      <c r="H86" s="174"/>
      <c r="I86" s="174"/>
      <c r="J86" s="174"/>
      <c r="K86" s="174"/>
      <c r="L86" s="174"/>
      <c r="M86" s="174"/>
      <c r="N86" s="174"/>
      <c r="O86" s="174"/>
      <c r="P86" s="174"/>
      <c r="Q86" s="174"/>
      <c r="R86" s="174"/>
      <c r="S86" s="174"/>
      <c r="T86" s="174"/>
      <c r="U86" s="174"/>
      <c r="V86" s="174"/>
      <c r="W86" s="174"/>
      <c r="X86" s="174"/>
      <c r="Y86" s="174"/>
      <c r="Z86" s="175"/>
    </row>
    <row r="87" spans="1:26" ht="327.75" customHeight="1" x14ac:dyDescent="0.15">
      <c r="B87" s="171"/>
      <c r="C87" s="78" t="s">
        <v>106</v>
      </c>
      <c r="D87" s="297" t="s">
        <v>197</v>
      </c>
      <c r="E87" s="297"/>
      <c r="F87" s="297"/>
      <c r="G87" s="297"/>
      <c r="H87" s="297"/>
      <c r="I87" s="297"/>
      <c r="J87" s="297"/>
      <c r="K87" s="297"/>
      <c r="L87" s="297"/>
      <c r="M87" s="297"/>
      <c r="N87" s="297"/>
      <c r="O87" s="297"/>
      <c r="P87" s="297"/>
      <c r="Q87" s="297"/>
      <c r="R87" s="297"/>
      <c r="S87" s="297"/>
      <c r="T87" s="297"/>
      <c r="U87" s="297"/>
      <c r="V87" s="297"/>
      <c r="W87" s="297"/>
      <c r="X87" s="297"/>
      <c r="Y87" s="297"/>
      <c r="Z87" s="298"/>
    </row>
    <row r="88" spans="1:26" ht="115.5" customHeight="1" x14ac:dyDescent="0.15">
      <c r="B88" s="169" t="s">
        <v>137</v>
      </c>
      <c r="C88" s="77" t="s">
        <v>103</v>
      </c>
      <c r="D88" s="299" t="s">
        <v>187</v>
      </c>
      <c r="E88" s="299"/>
      <c r="F88" s="299"/>
      <c r="G88" s="299"/>
      <c r="H88" s="299"/>
      <c r="I88" s="299"/>
      <c r="J88" s="299"/>
      <c r="K88" s="299"/>
      <c r="L88" s="299"/>
      <c r="M88" s="299"/>
      <c r="N88" s="299"/>
      <c r="O88" s="299"/>
      <c r="P88" s="299"/>
      <c r="Q88" s="299"/>
      <c r="R88" s="299"/>
      <c r="S88" s="299"/>
      <c r="T88" s="299"/>
      <c r="U88" s="299"/>
      <c r="V88" s="299"/>
      <c r="W88" s="299"/>
      <c r="X88" s="299"/>
      <c r="Y88" s="299"/>
      <c r="Z88" s="300"/>
    </row>
    <row r="89" spans="1:26" ht="115.5" customHeight="1" x14ac:dyDescent="0.15">
      <c r="B89" s="170"/>
      <c r="C89" s="78" t="s">
        <v>132</v>
      </c>
      <c r="D89" s="301" t="s">
        <v>188</v>
      </c>
      <c r="E89" s="302"/>
      <c r="F89" s="302"/>
      <c r="G89" s="302"/>
      <c r="H89" s="302"/>
      <c r="I89" s="302"/>
      <c r="J89" s="302"/>
      <c r="K89" s="302"/>
      <c r="L89" s="302"/>
      <c r="M89" s="302"/>
      <c r="N89" s="302"/>
      <c r="O89" s="302"/>
      <c r="P89" s="302"/>
      <c r="Q89" s="302"/>
      <c r="R89" s="302"/>
      <c r="S89" s="302"/>
      <c r="T89" s="302"/>
      <c r="U89" s="302"/>
      <c r="V89" s="302"/>
      <c r="W89" s="302"/>
      <c r="X89" s="302"/>
      <c r="Y89" s="302"/>
      <c r="Z89" s="303"/>
    </row>
    <row r="90" spans="1:26" ht="115.5" customHeight="1" x14ac:dyDescent="0.15">
      <c r="B90" s="168"/>
      <c r="C90" s="79" t="s">
        <v>133</v>
      </c>
      <c r="D90" s="304" t="s">
        <v>189</v>
      </c>
      <c r="E90" s="304"/>
      <c r="F90" s="304"/>
      <c r="G90" s="304"/>
      <c r="H90" s="304"/>
      <c r="I90" s="304"/>
      <c r="J90" s="304"/>
      <c r="K90" s="304"/>
      <c r="L90" s="304"/>
      <c r="M90" s="304"/>
      <c r="N90" s="304"/>
      <c r="O90" s="304"/>
      <c r="P90" s="304"/>
      <c r="Q90" s="304"/>
      <c r="R90" s="304"/>
      <c r="S90" s="304"/>
      <c r="T90" s="304"/>
      <c r="U90" s="304"/>
      <c r="V90" s="304"/>
      <c r="W90" s="304"/>
      <c r="X90" s="304"/>
      <c r="Y90" s="304"/>
      <c r="Z90" s="305"/>
    </row>
    <row r="91" spans="1:26" ht="6" customHeight="1" x14ac:dyDescent="0.15"/>
    <row r="92" spans="1:26" ht="18.75" customHeight="1" x14ac:dyDescent="0.15">
      <c r="A92" s="13" t="s">
        <v>141</v>
      </c>
    </row>
    <row r="93" spans="1:26" ht="18.75" customHeight="1" x14ac:dyDescent="0.15">
      <c r="B93" s="221" t="s">
        <v>172</v>
      </c>
      <c r="C93" s="222"/>
      <c r="D93" s="222"/>
      <c r="E93" s="222"/>
      <c r="F93" s="222"/>
      <c r="G93" s="222"/>
      <c r="H93" s="222"/>
      <c r="I93" s="222"/>
      <c r="J93" s="222"/>
      <c r="K93" s="222"/>
      <c r="L93" s="222"/>
      <c r="M93" s="222"/>
      <c r="N93" s="222"/>
      <c r="O93" s="222"/>
      <c r="P93" s="222"/>
      <c r="Q93" s="222"/>
      <c r="R93" s="222"/>
      <c r="S93" s="222"/>
      <c r="T93" s="222"/>
      <c r="U93" s="222"/>
      <c r="V93" s="222"/>
      <c r="W93" s="222"/>
      <c r="X93" s="222"/>
      <c r="Y93" s="222"/>
      <c r="Z93" s="223"/>
    </row>
    <row r="94" spans="1:26" ht="18.75" customHeight="1" x14ac:dyDescent="0.15">
      <c r="B94" s="224"/>
      <c r="C94" s="225"/>
      <c r="D94" s="225"/>
      <c r="E94" s="225"/>
      <c r="F94" s="225"/>
      <c r="G94" s="225"/>
      <c r="H94" s="225"/>
      <c r="I94" s="225"/>
      <c r="J94" s="225"/>
      <c r="K94" s="225"/>
      <c r="L94" s="225"/>
      <c r="M94" s="225"/>
      <c r="N94" s="225"/>
      <c r="O94" s="225"/>
      <c r="P94" s="225"/>
      <c r="Q94" s="225"/>
      <c r="R94" s="225"/>
      <c r="S94" s="225"/>
      <c r="T94" s="225"/>
      <c r="U94" s="225"/>
      <c r="V94" s="225"/>
      <c r="W94" s="225"/>
      <c r="X94" s="225"/>
      <c r="Y94" s="225"/>
      <c r="Z94" s="226"/>
    </row>
    <row r="95" spans="1:26" ht="18.75" customHeight="1" x14ac:dyDescent="0.15">
      <c r="B95" s="227"/>
      <c r="C95" s="228"/>
      <c r="D95" s="228"/>
      <c r="E95" s="228"/>
      <c r="F95" s="228"/>
      <c r="G95" s="228"/>
      <c r="H95" s="228"/>
      <c r="I95" s="228"/>
      <c r="J95" s="228"/>
      <c r="K95" s="228"/>
      <c r="L95" s="228"/>
      <c r="M95" s="228"/>
      <c r="N95" s="228"/>
      <c r="O95" s="228"/>
      <c r="P95" s="228"/>
      <c r="Q95" s="228"/>
      <c r="R95" s="228"/>
      <c r="S95" s="228"/>
      <c r="T95" s="228"/>
      <c r="U95" s="228"/>
      <c r="V95" s="228"/>
      <c r="W95" s="228"/>
      <c r="X95" s="228"/>
      <c r="Y95" s="228"/>
      <c r="Z95" s="229"/>
    </row>
    <row r="96" spans="1:26" ht="6" customHeight="1" x14ac:dyDescent="0.15"/>
    <row r="97" spans="1:26" ht="15" customHeight="1" x14ac:dyDescent="0.15">
      <c r="A97" s="13" t="s">
        <v>142</v>
      </c>
    </row>
    <row r="98" spans="1:26" ht="15" customHeight="1" x14ac:dyDescent="0.15">
      <c r="B98" s="230" t="s">
        <v>183</v>
      </c>
      <c r="C98" s="231"/>
      <c r="D98" s="231"/>
      <c r="E98" s="231"/>
      <c r="F98" s="231"/>
      <c r="G98" s="231"/>
      <c r="H98" s="231"/>
      <c r="I98" s="231"/>
      <c r="J98" s="231"/>
      <c r="K98" s="231"/>
      <c r="L98" s="231"/>
      <c r="M98" s="231"/>
      <c r="N98" s="231"/>
      <c r="O98" s="231"/>
      <c r="P98" s="231"/>
      <c r="Q98" s="231"/>
      <c r="R98" s="231"/>
      <c r="S98" s="231"/>
      <c r="T98" s="231"/>
      <c r="U98" s="231"/>
      <c r="V98" s="231"/>
      <c r="W98" s="231"/>
      <c r="X98" s="231"/>
      <c r="Y98" s="231"/>
      <c r="Z98" s="232"/>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H27:H33 H38:H44 Y38:Z44 H49:H55 Y49:Z55 Y60:Z66 G60:G66 H16:H22 U16:U22 T60:T66 U27:U33 L27:M33 U38:U44 L38:M44 U49:U55 L49:M55 L60:M66 K60" xr:uid="{4C0986EB-3601-4249-85F7-B678A400A117}">
      <formula1>"○"</formula1>
    </dataValidation>
    <dataValidation type="list" allowBlank="1" showInputMessage="1" showErrorMessage="1" sqref="Z23 Z34 D34:K34 D23:K23 V16:V22 I16:I22 V27:V33 I49:I55 V38:V44 I27:I33 V49:V55 I38:I44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U70:Z71 U74:Z77 T70:T77 G70:G77 H70:M71"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66" fitToHeight="0" orientation="portrait" r:id="rId1"/>
  <rowBreaks count="2" manualBreakCount="2">
    <brk id="77" max="16383" man="1"/>
    <brk id="85"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T30"/>
  <sheetViews>
    <sheetView view="pageBreakPreview" zoomScale="85" zoomScaleNormal="100" zoomScaleSheetLayoutView="85" workbookViewId="0">
      <selection activeCell="I33" sqref="I33"/>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36" t="s">
        <v>63</v>
      </c>
      <c r="G1" s="236"/>
      <c r="H1" s="236"/>
      <c r="I1" s="236"/>
      <c r="J1" s="236"/>
      <c r="K1" s="236"/>
      <c r="L1" s="236"/>
      <c r="M1" s="236"/>
      <c r="N1" s="236"/>
      <c r="O1" s="236"/>
      <c r="P1" s="236"/>
      <c r="Q1" s="236"/>
      <c r="R1" s="236"/>
    </row>
    <row r="2" spans="1:20" ht="18" customHeight="1" x14ac:dyDescent="0.15">
      <c r="A2" s="237" t="s">
        <v>89</v>
      </c>
      <c r="B2" s="237"/>
      <c r="C2" s="237"/>
      <c r="D2" s="237"/>
      <c r="E2" s="237"/>
      <c r="F2" s="237"/>
      <c r="G2" s="237"/>
      <c r="H2" s="237"/>
      <c r="I2" s="237"/>
      <c r="J2" s="237"/>
      <c r="K2" s="237"/>
      <c r="L2" s="237"/>
      <c r="M2" s="237"/>
      <c r="N2" s="237"/>
      <c r="O2" s="237"/>
      <c r="P2" s="237"/>
      <c r="Q2" s="237"/>
      <c r="R2" s="237"/>
      <c r="S2" s="4"/>
    </row>
    <row r="3" spans="1:20" ht="7.5" customHeight="1" x14ac:dyDescent="0.15">
      <c r="A3" s="36"/>
      <c r="B3" s="36"/>
      <c r="C3" s="36"/>
      <c r="D3" s="36"/>
      <c r="E3" s="36"/>
      <c r="F3" s="36"/>
      <c r="G3" s="36"/>
      <c r="H3" s="36"/>
      <c r="I3" s="36"/>
      <c r="J3" s="36"/>
      <c r="K3" s="36"/>
      <c r="L3" s="36"/>
      <c r="M3" s="36"/>
      <c r="N3" s="36"/>
      <c r="O3" s="36"/>
      <c r="P3" s="36"/>
      <c r="Q3" s="36"/>
      <c r="R3" s="36"/>
    </row>
    <row r="4" spans="1:20" ht="18" customHeight="1" x14ac:dyDescent="0.15">
      <c r="A4" s="4" t="s">
        <v>145</v>
      </c>
      <c r="B4" s="4"/>
      <c r="C4" s="238" t="str">
        <f>'様式１　大学等概要'!E12</f>
        <v>平成30年度</v>
      </c>
      <c r="D4" s="239"/>
      <c r="E4" s="36" t="s">
        <v>111</v>
      </c>
      <c r="F4" s="36"/>
      <c r="G4" s="36"/>
      <c r="H4" s="36"/>
      <c r="I4" s="36"/>
      <c r="J4" s="83"/>
      <c r="K4" s="36"/>
      <c r="L4" s="36"/>
      <c r="M4" s="112"/>
      <c r="N4" s="112"/>
      <c r="O4" s="112"/>
      <c r="P4" s="112"/>
      <c r="Q4" s="112"/>
      <c r="R4" s="112"/>
    </row>
    <row r="5" spans="1:20" ht="6" customHeight="1" x14ac:dyDescent="0.15">
      <c r="A5" s="36"/>
      <c r="B5" s="36"/>
      <c r="C5" s="36"/>
      <c r="D5" s="36"/>
      <c r="E5" s="36"/>
      <c r="F5" s="36"/>
      <c r="G5" s="36"/>
      <c r="H5" s="36"/>
      <c r="I5" s="36"/>
      <c r="J5" s="36"/>
      <c r="K5" s="36"/>
      <c r="L5" s="36"/>
      <c r="M5" s="36"/>
      <c r="N5" s="36"/>
      <c r="O5" s="36"/>
      <c r="P5" s="36"/>
      <c r="Q5" s="36"/>
      <c r="R5" s="36"/>
    </row>
    <row r="6" spans="1:20" ht="18" customHeight="1" x14ac:dyDescent="0.15">
      <c r="A6" s="4" t="s">
        <v>143</v>
      </c>
      <c r="B6" s="36"/>
      <c r="C6" s="36"/>
      <c r="D6" s="36"/>
      <c r="E6" s="36"/>
      <c r="F6" s="36"/>
      <c r="G6" s="36"/>
      <c r="H6" s="36"/>
      <c r="I6" s="36"/>
      <c r="J6" s="36"/>
      <c r="K6" s="36"/>
      <c r="L6" s="36"/>
      <c r="M6" s="36"/>
      <c r="N6" s="36"/>
      <c r="O6" s="36"/>
      <c r="P6" s="36"/>
      <c r="Q6" s="36"/>
      <c r="R6" s="36"/>
    </row>
    <row r="7" spans="1:20" ht="6" customHeight="1" x14ac:dyDescent="0.15">
      <c r="A7" s="4"/>
      <c r="B7" s="36"/>
      <c r="C7" s="36"/>
      <c r="D7" s="36"/>
      <c r="E7" s="36"/>
      <c r="F7" s="36"/>
      <c r="G7" s="36"/>
      <c r="H7" s="36"/>
      <c r="I7" s="36"/>
      <c r="J7" s="36"/>
      <c r="K7" s="36"/>
      <c r="L7" s="36"/>
      <c r="M7" s="36"/>
      <c r="N7" s="36"/>
      <c r="O7" s="36"/>
      <c r="P7" s="36"/>
      <c r="Q7" s="36"/>
      <c r="R7" s="36"/>
    </row>
    <row r="8" spans="1:20" ht="18" customHeight="1" x14ac:dyDescent="0.15">
      <c r="B8" s="240" t="s">
        <v>79</v>
      </c>
      <c r="C8" s="242" t="s">
        <v>84</v>
      </c>
      <c r="D8" s="244" t="s">
        <v>68</v>
      </c>
      <c r="E8" s="246" t="s">
        <v>90</v>
      </c>
      <c r="F8" s="246"/>
      <c r="G8" s="246" t="s">
        <v>91</v>
      </c>
      <c r="H8" s="246"/>
      <c r="I8" s="246" t="s">
        <v>92</v>
      </c>
      <c r="J8" s="246"/>
      <c r="K8" s="247" t="s">
        <v>93</v>
      </c>
      <c r="L8" s="248"/>
      <c r="M8" s="247"/>
      <c r="N8" s="248"/>
      <c r="O8" s="247"/>
      <c r="P8" s="248"/>
      <c r="Q8" s="249" t="s">
        <v>62</v>
      </c>
      <c r="R8" s="251" t="s">
        <v>56</v>
      </c>
      <c r="T8" s="32"/>
    </row>
    <row r="9" spans="1:20" ht="18" customHeight="1" x14ac:dyDescent="0.15">
      <c r="A9" s="4"/>
      <c r="B9" s="241"/>
      <c r="C9" s="243"/>
      <c r="D9" s="245"/>
      <c r="E9" s="41" t="s">
        <v>44</v>
      </c>
      <c r="F9" s="42" t="s">
        <v>43</v>
      </c>
      <c r="G9" s="43" t="s">
        <v>44</v>
      </c>
      <c r="H9" s="44" t="s">
        <v>43</v>
      </c>
      <c r="I9" s="41" t="s">
        <v>44</v>
      </c>
      <c r="J9" s="42" t="s">
        <v>43</v>
      </c>
      <c r="K9" s="43" t="s">
        <v>44</v>
      </c>
      <c r="L9" s="44" t="s">
        <v>43</v>
      </c>
      <c r="M9" s="41" t="s">
        <v>44</v>
      </c>
      <c r="N9" s="42" t="s">
        <v>43</v>
      </c>
      <c r="O9" s="43" t="s">
        <v>44</v>
      </c>
      <c r="P9" s="44" t="s">
        <v>43</v>
      </c>
      <c r="Q9" s="250"/>
      <c r="R9" s="252"/>
      <c r="T9" s="32"/>
    </row>
    <row r="10" spans="1:20" ht="18" customHeight="1" x14ac:dyDescent="0.15">
      <c r="A10" s="45"/>
      <c r="B10" s="84" t="s">
        <v>195</v>
      </c>
      <c r="C10" s="60">
        <v>200</v>
      </c>
      <c r="D10" s="53">
        <v>1000</v>
      </c>
      <c r="E10" s="54">
        <v>208</v>
      </c>
      <c r="F10" s="55">
        <v>0</v>
      </c>
      <c r="G10" s="56">
        <v>209</v>
      </c>
      <c r="H10" s="57">
        <v>201</v>
      </c>
      <c r="I10" s="54">
        <v>209</v>
      </c>
      <c r="J10" s="55">
        <v>202</v>
      </c>
      <c r="K10" s="56">
        <v>214</v>
      </c>
      <c r="L10" s="57">
        <v>207</v>
      </c>
      <c r="M10" s="54"/>
      <c r="N10" s="55"/>
      <c r="O10" s="56"/>
      <c r="P10" s="57"/>
      <c r="Q10" s="58">
        <f t="shared" ref="Q10:Q28" si="0">E10+G10+I10+K10+M10+O10</f>
        <v>840</v>
      </c>
      <c r="R10" s="59">
        <f>Q10/D10</f>
        <v>0.84</v>
      </c>
    </row>
    <row r="11" spans="1:20" ht="18" customHeight="1" x14ac:dyDescent="0.15">
      <c r="A11" s="45"/>
      <c r="B11" s="84"/>
      <c r="C11" s="60"/>
      <c r="D11" s="53"/>
      <c r="E11" s="54"/>
      <c r="F11" s="55"/>
      <c r="G11" s="56"/>
      <c r="H11" s="57"/>
      <c r="I11" s="54"/>
      <c r="J11" s="55"/>
      <c r="K11" s="56"/>
      <c r="L11" s="57"/>
      <c r="M11" s="54"/>
      <c r="N11" s="55"/>
      <c r="O11" s="56"/>
      <c r="P11" s="57"/>
      <c r="Q11" s="58">
        <f t="shared" si="0"/>
        <v>0</v>
      </c>
      <c r="R11" s="59" t="e">
        <f t="shared" ref="R11:R28" si="1">Q11/D11</f>
        <v>#DIV/0!</v>
      </c>
    </row>
    <row r="12" spans="1:20" ht="18" customHeight="1" x14ac:dyDescent="0.15">
      <c r="A12" s="45"/>
      <c r="B12" s="84"/>
      <c r="C12" s="60"/>
      <c r="D12" s="53"/>
      <c r="E12" s="54"/>
      <c r="F12" s="55"/>
      <c r="G12" s="56"/>
      <c r="H12" s="57"/>
      <c r="I12" s="54"/>
      <c r="J12" s="55"/>
      <c r="K12" s="56"/>
      <c r="L12" s="57"/>
      <c r="M12" s="54"/>
      <c r="N12" s="55"/>
      <c r="O12" s="56"/>
      <c r="P12" s="57"/>
      <c r="Q12" s="58">
        <f t="shared" si="0"/>
        <v>0</v>
      </c>
      <c r="R12" s="59" t="e">
        <f t="shared" si="1"/>
        <v>#DIV/0!</v>
      </c>
    </row>
    <row r="13" spans="1:20" ht="18" customHeight="1" x14ac:dyDescent="0.15">
      <c r="A13" s="45"/>
      <c r="B13" s="84"/>
      <c r="C13" s="60"/>
      <c r="D13" s="53"/>
      <c r="E13" s="54"/>
      <c r="F13" s="55"/>
      <c r="G13" s="56"/>
      <c r="H13" s="57"/>
      <c r="I13" s="54"/>
      <c r="J13" s="55"/>
      <c r="K13" s="56"/>
      <c r="L13" s="57"/>
      <c r="M13" s="54"/>
      <c r="N13" s="55"/>
      <c r="O13" s="56"/>
      <c r="P13" s="57"/>
      <c r="Q13" s="58">
        <f t="shared" si="0"/>
        <v>0</v>
      </c>
      <c r="R13" s="59" t="e">
        <f t="shared" si="1"/>
        <v>#DIV/0!</v>
      </c>
    </row>
    <row r="14" spans="1:20" ht="18" customHeight="1" x14ac:dyDescent="0.15">
      <c r="A14" s="45"/>
      <c r="B14" s="84"/>
      <c r="C14" s="60"/>
      <c r="D14" s="53"/>
      <c r="E14" s="54"/>
      <c r="F14" s="55"/>
      <c r="G14" s="56"/>
      <c r="H14" s="57"/>
      <c r="I14" s="54"/>
      <c r="J14" s="55"/>
      <c r="K14" s="56"/>
      <c r="L14" s="57"/>
      <c r="M14" s="54"/>
      <c r="N14" s="55"/>
      <c r="O14" s="56"/>
      <c r="P14" s="57"/>
      <c r="Q14" s="58">
        <f t="shared" si="0"/>
        <v>0</v>
      </c>
      <c r="R14" s="59" t="e">
        <f t="shared" si="1"/>
        <v>#DIV/0!</v>
      </c>
    </row>
    <row r="15" spans="1:20" ht="18" customHeight="1" x14ac:dyDescent="0.15">
      <c r="A15" s="45"/>
      <c r="B15" s="84"/>
      <c r="C15" s="60"/>
      <c r="D15" s="53"/>
      <c r="E15" s="54"/>
      <c r="F15" s="55"/>
      <c r="G15" s="56"/>
      <c r="H15" s="57"/>
      <c r="I15" s="54"/>
      <c r="J15" s="55"/>
      <c r="K15" s="56"/>
      <c r="L15" s="57"/>
      <c r="M15" s="54"/>
      <c r="N15" s="55"/>
      <c r="O15" s="56"/>
      <c r="P15" s="57"/>
      <c r="Q15" s="58">
        <f t="shared" si="0"/>
        <v>0</v>
      </c>
      <c r="R15" s="59" t="e">
        <f t="shared" si="1"/>
        <v>#DIV/0!</v>
      </c>
    </row>
    <row r="16" spans="1:20" ht="18" customHeight="1" x14ac:dyDescent="0.15">
      <c r="A16" s="45"/>
      <c r="B16" s="84"/>
      <c r="C16" s="60"/>
      <c r="D16" s="53"/>
      <c r="E16" s="54"/>
      <c r="F16" s="55"/>
      <c r="G16" s="56"/>
      <c r="H16" s="57"/>
      <c r="I16" s="54"/>
      <c r="J16" s="55"/>
      <c r="K16" s="56"/>
      <c r="L16" s="57"/>
      <c r="M16" s="54"/>
      <c r="N16" s="55"/>
      <c r="O16" s="56"/>
      <c r="P16" s="57"/>
      <c r="Q16" s="58">
        <f t="shared" si="0"/>
        <v>0</v>
      </c>
      <c r="R16" s="59" t="e">
        <f t="shared" si="1"/>
        <v>#DIV/0!</v>
      </c>
    </row>
    <row r="17" spans="1:18" ht="18" customHeight="1" x14ac:dyDescent="0.15">
      <c r="A17" s="45"/>
      <c r="B17" s="84"/>
      <c r="C17" s="60"/>
      <c r="D17" s="53"/>
      <c r="E17" s="54"/>
      <c r="F17" s="55"/>
      <c r="G17" s="56"/>
      <c r="H17" s="57"/>
      <c r="I17" s="54"/>
      <c r="J17" s="55"/>
      <c r="K17" s="56"/>
      <c r="L17" s="57"/>
      <c r="M17" s="54"/>
      <c r="N17" s="55"/>
      <c r="O17" s="56"/>
      <c r="P17" s="57"/>
      <c r="Q17" s="58">
        <f>E17+G17+I17+K17+M17+O17</f>
        <v>0</v>
      </c>
      <c r="R17" s="59" t="e">
        <f t="shared" si="1"/>
        <v>#DIV/0!</v>
      </c>
    </row>
    <row r="18" spans="1:18" ht="18" customHeight="1" x14ac:dyDescent="0.15">
      <c r="A18" s="45"/>
      <c r="B18" s="84"/>
      <c r="C18" s="60"/>
      <c r="D18" s="53"/>
      <c r="E18" s="54"/>
      <c r="F18" s="55"/>
      <c r="G18" s="56"/>
      <c r="H18" s="57"/>
      <c r="I18" s="54"/>
      <c r="J18" s="55"/>
      <c r="K18" s="56"/>
      <c r="L18" s="57"/>
      <c r="M18" s="54"/>
      <c r="N18" s="55"/>
      <c r="O18" s="56"/>
      <c r="P18" s="57"/>
      <c r="Q18" s="58">
        <f t="shared" si="0"/>
        <v>0</v>
      </c>
      <c r="R18" s="59" t="e">
        <f t="shared" si="1"/>
        <v>#DIV/0!</v>
      </c>
    </row>
    <row r="19" spans="1:18" ht="18" customHeight="1" x14ac:dyDescent="0.15">
      <c r="A19" s="45"/>
      <c r="B19" s="84"/>
      <c r="C19" s="60"/>
      <c r="D19" s="53"/>
      <c r="E19" s="54"/>
      <c r="F19" s="55"/>
      <c r="G19" s="56"/>
      <c r="H19" s="57"/>
      <c r="I19" s="54"/>
      <c r="J19" s="55"/>
      <c r="K19" s="56"/>
      <c r="L19" s="57"/>
      <c r="M19" s="54"/>
      <c r="N19" s="55"/>
      <c r="O19" s="56"/>
      <c r="P19" s="57"/>
      <c r="Q19" s="58">
        <f t="shared" si="0"/>
        <v>0</v>
      </c>
      <c r="R19" s="59" t="e">
        <f t="shared" si="1"/>
        <v>#DIV/0!</v>
      </c>
    </row>
    <row r="20" spans="1:18" ht="18" customHeight="1" x14ac:dyDescent="0.15">
      <c r="A20" s="45"/>
      <c r="B20" s="84"/>
      <c r="C20" s="60"/>
      <c r="D20" s="53"/>
      <c r="E20" s="54"/>
      <c r="F20" s="55"/>
      <c r="G20" s="56"/>
      <c r="H20" s="57"/>
      <c r="I20" s="54"/>
      <c r="J20" s="55"/>
      <c r="K20" s="56"/>
      <c r="L20" s="57"/>
      <c r="M20" s="54"/>
      <c r="N20" s="55"/>
      <c r="O20" s="56"/>
      <c r="P20" s="57"/>
      <c r="Q20" s="58">
        <f t="shared" si="0"/>
        <v>0</v>
      </c>
      <c r="R20" s="59" t="e">
        <f t="shared" si="1"/>
        <v>#DIV/0!</v>
      </c>
    </row>
    <row r="21" spans="1:18" ht="18" customHeight="1" x14ac:dyDescent="0.15">
      <c r="A21" s="45"/>
      <c r="B21" s="84"/>
      <c r="C21" s="60"/>
      <c r="D21" s="53"/>
      <c r="E21" s="54"/>
      <c r="F21" s="55"/>
      <c r="G21" s="56"/>
      <c r="H21" s="57"/>
      <c r="I21" s="54"/>
      <c r="J21" s="55"/>
      <c r="K21" s="56"/>
      <c r="L21" s="57"/>
      <c r="M21" s="54"/>
      <c r="N21" s="55"/>
      <c r="O21" s="56"/>
      <c r="P21" s="57"/>
      <c r="Q21" s="58">
        <f t="shared" si="0"/>
        <v>0</v>
      </c>
      <c r="R21" s="59" t="e">
        <f t="shared" si="1"/>
        <v>#DIV/0!</v>
      </c>
    </row>
    <row r="22" spans="1:18" ht="18" customHeight="1" x14ac:dyDescent="0.15">
      <c r="A22" s="45"/>
      <c r="B22" s="84"/>
      <c r="C22" s="60"/>
      <c r="D22" s="53"/>
      <c r="E22" s="54"/>
      <c r="F22" s="55"/>
      <c r="G22" s="56"/>
      <c r="H22" s="57"/>
      <c r="I22" s="54"/>
      <c r="J22" s="55"/>
      <c r="K22" s="56"/>
      <c r="L22" s="57"/>
      <c r="M22" s="54"/>
      <c r="N22" s="55"/>
      <c r="O22" s="56"/>
      <c r="P22" s="57"/>
      <c r="Q22" s="58">
        <f t="shared" si="0"/>
        <v>0</v>
      </c>
      <c r="R22" s="59" t="e">
        <f t="shared" si="1"/>
        <v>#DIV/0!</v>
      </c>
    </row>
    <row r="23" spans="1:18" ht="18" customHeight="1" x14ac:dyDescent="0.15">
      <c r="A23" s="45"/>
      <c r="B23" s="84"/>
      <c r="C23" s="60"/>
      <c r="D23" s="53"/>
      <c r="E23" s="54"/>
      <c r="F23" s="55"/>
      <c r="G23" s="56"/>
      <c r="H23" s="57"/>
      <c r="I23" s="54"/>
      <c r="J23" s="55"/>
      <c r="K23" s="56"/>
      <c r="L23" s="57"/>
      <c r="M23" s="54"/>
      <c r="N23" s="55"/>
      <c r="O23" s="56"/>
      <c r="P23" s="57"/>
      <c r="Q23" s="58">
        <f t="shared" si="0"/>
        <v>0</v>
      </c>
      <c r="R23" s="59" t="e">
        <f t="shared" si="1"/>
        <v>#DIV/0!</v>
      </c>
    </row>
    <row r="24" spans="1:18" ht="18" customHeight="1" x14ac:dyDescent="0.15">
      <c r="A24" s="45"/>
      <c r="B24" s="84"/>
      <c r="C24" s="60"/>
      <c r="D24" s="53"/>
      <c r="E24" s="54"/>
      <c r="F24" s="55"/>
      <c r="G24" s="56"/>
      <c r="H24" s="57"/>
      <c r="I24" s="54"/>
      <c r="J24" s="55"/>
      <c r="K24" s="56"/>
      <c r="L24" s="57"/>
      <c r="M24" s="54"/>
      <c r="N24" s="55"/>
      <c r="O24" s="56"/>
      <c r="P24" s="57"/>
      <c r="Q24" s="58">
        <f t="shared" si="0"/>
        <v>0</v>
      </c>
      <c r="R24" s="59" t="e">
        <f t="shared" si="1"/>
        <v>#DIV/0!</v>
      </c>
    </row>
    <row r="25" spans="1:18" ht="18" customHeight="1" x14ac:dyDescent="0.15">
      <c r="A25" s="45"/>
      <c r="B25" s="84"/>
      <c r="C25" s="60"/>
      <c r="D25" s="53"/>
      <c r="E25" s="54"/>
      <c r="F25" s="55"/>
      <c r="G25" s="56"/>
      <c r="H25" s="57"/>
      <c r="I25" s="54"/>
      <c r="J25" s="55"/>
      <c r="K25" s="56"/>
      <c r="L25" s="57"/>
      <c r="M25" s="54"/>
      <c r="N25" s="55"/>
      <c r="O25" s="56"/>
      <c r="P25" s="57"/>
      <c r="Q25" s="58">
        <f t="shared" si="0"/>
        <v>0</v>
      </c>
      <c r="R25" s="59" t="e">
        <f t="shared" si="1"/>
        <v>#DIV/0!</v>
      </c>
    </row>
    <row r="26" spans="1:18" ht="18" customHeight="1" x14ac:dyDescent="0.15">
      <c r="A26" s="45"/>
      <c r="B26" s="84"/>
      <c r="C26" s="52"/>
      <c r="D26" s="53"/>
      <c r="E26" s="54"/>
      <c r="F26" s="55"/>
      <c r="G26" s="56"/>
      <c r="H26" s="57"/>
      <c r="I26" s="54"/>
      <c r="J26" s="55"/>
      <c r="K26" s="56"/>
      <c r="L26" s="57"/>
      <c r="M26" s="54"/>
      <c r="N26" s="55"/>
      <c r="O26" s="56"/>
      <c r="P26" s="57"/>
      <c r="Q26" s="58">
        <f t="shared" si="0"/>
        <v>0</v>
      </c>
      <c r="R26" s="59" t="e">
        <f t="shared" si="1"/>
        <v>#DIV/0!</v>
      </c>
    </row>
    <row r="27" spans="1:18" ht="18" customHeight="1" x14ac:dyDescent="0.15">
      <c r="A27" s="45"/>
      <c r="B27" s="84"/>
      <c r="C27" s="52"/>
      <c r="D27" s="53"/>
      <c r="E27" s="54"/>
      <c r="F27" s="55"/>
      <c r="G27" s="56"/>
      <c r="H27" s="57"/>
      <c r="I27" s="54"/>
      <c r="J27" s="55"/>
      <c r="K27" s="56"/>
      <c r="L27" s="57"/>
      <c r="M27" s="54"/>
      <c r="N27" s="55"/>
      <c r="O27" s="56"/>
      <c r="P27" s="57"/>
      <c r="Q27" s="58">
        <f t="shared" si="0"/>
        <v>0</v>
      </c>
      <c r="R27" s="59" t="e">
        <f t="shared" si="1"/>
        <v>#DIV/0!</v>
      </c>
    </row>
    <row r="28" spans="1:18" ht="18" customHeight="1" thickBot="1" x14ac:dyDescent="0.2">
      <c r="A28" s="45"/>
      <c r="B28" s="85"/>
      <c r="C28" s="86"/>
      <c r="D28" s="46"/>
      <c r="E28" s="47"/>
      <c r="F28" s="48"/>
      <c r="G28" s="49"/>
      <c r="H28" s="50"/>
      <c r="I28" s="47"/>
      <c r="J28" s="48"/>
      <c r="K28" s="49"/>
      <c r="L28" s="50"/>
      <c r="M28" s="47"/>
      <c r="N28" s="48"/>
      <c r="O28" s="49"/>
      <c r="P28" s="50"/>
      <c r="Q28" s="61">
        <f t="shared" si="0"/>
        <v>0</v>
      </c>
      <c r="R28" s="51" t="e">
        <f t="shared" si="1"/>
        <v>#DIV/0!</v>
      </c>
    </row>
    <row r="29" spans="1:18" ht="18" customHeight="1" thickTop="1" x14ac:dyDescent="0.15">
      <c r="B29" s="87" t="s">
        <v>57</v>
      </c>
      <c r="C29" s="88">
        <f t="shared" ref="C29:Q29" si="2">SUM(C10:C28)</f>
        <v>200</v>
      </c>
      <c r="D29" s="62">
        <f t="shared" si="2"/>
        <v>1000</v>
      </c>
      <c r="E29" s="63">
        <f t="shared" si="2"/>
        <v>208</v>
      </c>
      <c r="F29" s="64">
        <f t="shared" si="2"/>
        <v>0</v>
      </c>
      <c r="G29" s="65">
        <f t="shared" si="2"/>
        <v>209</v>
      </c>
      <c r="H29" s="66">
        <f t="shared" si="2"/>
        <v>201</v>
      </c>
      <c r="I29" s="63">
        <f t="shared" si="2"/>
        <v>209</v>
      </c>
      <c r="J29" s="64">
        <f t="shared" si="2"/>
        <v>202</v>
      </c>
      <c r="K29" s="65">
        <f t="shared" si="2"/>
        <v>214</v>
      </c>
      <c r="L29" s="66">
        <f t="shared" si="2"/>
        <v>207</v>
      </c>
      <c r="M29" s="63">
        <f t="shared" si="2"/>
        <v>0</v>
      </c>
      <c r="N29" s="64">
        <f t="shared" si="2"/>
        <v>0</v>
      </c>
      <c r="O29" s="65">
        <f t="shared" si="2"/>
        <v>0</v>
      </c>
      <c r="P29" s="66">
        <f t="shared" si="2"/>
        <v>0</v>
      </c>
      <c r="Q29" s="67">
        <f t="shared" si="2"/>
        <v>840</v>
      </c>
      <c r="R29" s="68">
        <f>Q29/D29</f>
        <v>0.84</v>
      </c>
    </row>
    <row r="30" spans="1:18" ht="43.5" customHeight="1" x14ac:dyDescent="0.15">
      <c r="B30" s="234" t="s">
        <v>202</v>
      </c>
      <c r="C30" s="235"/>
      <c r="D30" s="235"/>
      <c r="E30" s="235"/>
      <c r="F30" s="235"/>
      <c r="G30" s="235"/>
      <c r="H30" s="235"/>
      <c r="I30" s="235"/>
      <c r="J30" s="235"/>
      <c r="K30" s="235"/>
      <c r="L30" s="235"/>
      <c r="M30" s="235"/>
      <c r="N30" s="235"/>
      <c r="O30" s="235"/>
      <c r="P30" s="235"/>
      <c r="Q30" s="235"/>
      <c r="R30" s="235"/>
    </row>
  </sheetData>
  <mergeCells count="15">
    <mergeCell ref="B30:R30"/>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66"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zoomScale="85" zoomScaleNormal="100" zoomScaleSheetLayoutView="85" workbookViewId="0">
      <selection activeCell="B8" sqref="B8:J12"/>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112</v>
      </c>
      <c r="J1" s="39" t="s">
        <v>113</v>
      </c>
    </row>
    <row r="2" spans="1:11" ht="18.75" customHeight="1" x14ac:dyDescent="0.15">
      <c r="A2" s="237" t="s">
        <v>64</v>
      </c>
      <c r="B2" s="237"/>
      <c r="C2" s="237"/>
      <c r="D2" s="237"/>
      <c r="E2" s="237"/>
      <c r="F2" s="237"/>
      <c r="G2" s="237"/>
      <c r="H2" s="237"/>
      <c r="I2" s="237"/>
      <c r="J2" s="237"/>
    </row>
    <row r="3" spans="1:11" ht="7.5" customHeight="1" x14ac:dyDescent="0.15">
      <c r="B3" s="36"/>
      <c r="C3" s="36"/>
      <c r="D3" s="36"/>
      <c r="E3" s="36"/>
      <c r="F3" s="36"/>
      <c r="G3" s="36"/>
      <c r="H3" s="36"/>
      <c r="I3" s="36"/>
      <c r="J3" s="36"/>
    </row>
    <row r="4" spans="1:11" ht="18.75" customHeight="1" x14ac:dyDescent="0.15">
      <c r="A4" s="1" t="s">
        <v>6</v>
      </c>
      <c r="B4" s="4" t="s">
        <v>72</v>
      </c>
      <c r="C4" s="4"/>
      <c r="D4" s="4"/>
      <c r="E4" s="4"/>
      <c r="F4" s="4"/>
      <c r="G4" s="4"/>
      <c r="H4" s="4"/>
      <c r="I4" s="36"/>
      <c r="J4" s="36"/>
    </row>
    <row r="5" spans="1:11" ht="18.75" customHeight="1" x14ac:dyDescent="0.15">
      <c r="A5" s="1"/>
      <c r="B5" s="136" t="s">
        <v>173</v>
      </c>
      <c r="C5" s="137"/>
      <c r="D5" s="137"/>
      <c r="E5" s="137"/>
      <c r="F5" s="137"/>
      <c r="G5" s="137"/>
      <c r="H5" s="137"/>
      <c r="I5" s="137"/>
      <c r="J5" s="262"/>
      <c r="K5" s="31" t="str">
        <f>IF(B5="","入力してください","")</f>
        <v/>
      </c>
    </row>
    <row r="6" spans="1:11" ht="7.5" customHeight="1" x14ac:dyDescent="0.15">
      <c r="B6" s="29"/>
      <c r="C6" s="29"/>
      <c r="D6" s="29"/>
      <c r="E6" s="29"/>
      <c r="F6" s="29"/>
      <c r="G6" s="29"/>
      <c r="H6" s="29"/>
      <c r="I6" s="29"/>
      <c r="J6" s="29"/>
    </row>
    <row r="7" spans="1:11" s="4" customFormat="1" ht="18.75" customHeight="1" x14ac:dyDescent="0.15">
      <c r="A7" s="1" t="s">
        <v>9</v>
      </c>
      <c r="B7" s="14" t="s">
        <v>39</v>
      </c>
      <c r="C7" s="14"/>
      <c r="D7" s="14"/>
      <c r="E7" s="14"/>
      <c r="F7" s="14"/>
      <c r="G7" s="14"/>
      <c r="H7" s="14"/>
      <c r="I7" s="14"/>
      <c r="J7" s="14"/>
      <c r="K7" s="33"/>
    </row>
    <row r="8" spans="1:11" s="4" customFormat="1" ht="18.75" customHeight="1" x14ac:dyDescent="0.15">
      <c r="A8" s="89"/>
      <c r="B8" s="263" t="s">
        <v>181</v>
      </c>
      <c r="C8" s="264"/>
      <c r="D8" s="264"/>
      <c r="E8" s="264"/>
      <c r="F8" s="264"/>
      <c r="G8" s="264"/>
      <c r="H8" s="264"/>
      <c r="I8" s="265"/>
      <c r="J8" s="266"/>
      <c r="K8" s="31" t="str">
        <f>IF(B8="","入力してください","")</f>
        <v/>
      </c>
    </row>
    <row r="9" spans="1:11" s="4" customFormat="1" ht="18.75" customHeight="1" x14ac:dyDescent="0.15">
      <c r="A9" s="89"/>
      <c r="B9" s="267"/>
      <c r="C9" s="268"/>
      <c r="D9" s="268"/>
      <c r="E9" s="268"/>
      <c r="F9" s="268"/>
      <c r="G9" s="268"/>
      <c r="H9" s="268"/>
      <c r="I9" s="268"/>
      <c r="J9" s="269"/>
      <c r="K9" s="31"/>
    </row>
    <row r="10" spans="1:11" s="4" customFormat="1" ht="18.75" customHeight="1" x14ac:dyDescent="0.15">
      <c r="A10" s="89"/>
      <c r="B10" s="267"/>
      <c r="C10" s="268"/>
      <c r="D10" s="268"/>
      <c r="E10" s="268"/>
      <c r="F10" s="268"/>
      <c r="G10" s="268"/>
      <c r="H10" s="268"/>
      <c r="I10" s="268"/>
      <c r="J10" s="269"/>
      <c r="K10" s="31"/>
    </row>
    <row r="11" spans="1:11" s="4" customFormat="1" ht="18.75" customHeight="1" x14ac:dyDescent="0.15">
      <c r="A11" s="89"/>
      <c r="B11" s="267"/>
      <c r="C11" s="268"/>
      <c r="D11" s="268"/>
      <c r="E11" s="268"/>
      <c r="F11" s="268"/>
      <c r="G11" s="268"/>
      <c r="H11" s="268"/>
      <c r="I11" s="268"/>
      <c r="J11" s="269"/>
      <c r="K11" s="31"/>
    </row>
    <row r="12" spans="1:11" s="4" customFormat="1" ht="18.75" customHeight="1" x14ac:dyDescent="0.15">
      <c r="A12" s="89"/>
      <c r="B12" s="270"/>
      <c r="C12" s="271"/>
      <c r="D12" s="271"/>
      <c r="E12" s="271"/>
      <c r="F12" s="271"/>
      <c r="G12" s="271"/>
      <c r="H12" s="271"/>
      <c r="I12" s="271"/>
      <c r="J12" s="272"/>
      <c r="K12" s="31"/>
    </row>
    <row r="13" spans="1:11" s="4" customFormat="1" ht="7.5" customHeight="1" x14ac:dyDescent="0.15">
      <c r="A13" s="89"/>
      <c r="B13" s="74"/>
      <c r="C13" s="74"/>
      <c r="D13" s="74"/>
      <c r="E13" s="74"/>
      <c r="F13" s="74"/>
      <c r="G13" s="74"/>
      <c r="H13" s="74"/>
      <c r="I13" s="74"/>
      <c r="J13" s="74"/>
      <c r="K13" s="31"/>
    </row>
    <row r="14" spans="1:11" s="4" customFormat="1" ht="18.75" customHeight="1" x14ac:dyDescent="0.15">
      <c r="A14" s="90" t="s">
        <v>10</v>
      </c>
      <c r="B14" s="120" t="s">
        <v>15</v>
      </c>
      <c r="C14" s="120"/>
      <c r="D14" s="120"/>
      <c r="E14" s="120"/>
      <c r="F14" s="120"/>
      <c r="G14" s="120"/>
      <c r="H14" s="120"/>
      <c r="I14" s="120"/>
      <c r="J14" s="120"/>
      <c r="K14" s="31"/>
    </row>
    <row r="15" spans="1:11" s="4" customFormat="1" ht="27.75" customHeight="1" x14ac:dyDescent="0.15">
      <c r="A15" s="89"/>
      <c r="B15" s="263" t="s">
        <v>182</v>
      </c>
      <c r="C15" s="264"/>
      <c r="D15" s="264"/>
      <c r="E15" s="264"/>
      <c r="F15" s="264"/>
      <c r="G15" s="264"/>
      <c r="H15" s="264"/>
      <c r="I15" s="265"/>
      <c r="J15" s="266"/>
      <c r="K15" s="31" t="str">
        <f>IF(B15="","入力してください","")</f>
        <v/>
      </c>
    </row>
    <row r="16" spans="1:11" s="4" customFormat="1" ht="27.75" customHeight="1" x14ac:dyDescent="0.15">
      <c r="A16" s="89"/>
      <c r="B16" s="267"/>
      <c r="C16" s="268"/>
      <c r="D16" s="268"/>
      <c r="E16" s="268"/>
      <c r="F16" s="268"/>
      <c r="G16" s="268"/>
      <c r="H16" s="268"/>
      <c r="I16" s="268"/>
      <c r="J16" s="269"/>
      <c r="K16" s="31"/>
    </row>
    <row r="17" spans="1:11" s="4" customFormat="1" ht="27.75" customHeight="1" x14ac:dyDescent="0.15">
      <c r="A17" s="89"/>
      <c r="B17" s="267"/>
      <c r="C17" s="268"/>
      <c r="D17" s="268"/>
      <c r="E17" s="268"/>
      <c r="F17" s="268"/>
      <c r="G17" s="268"/>
      <c r="H17" s="268"/>
      <c r="I17" s="268"/>
      <c r="J17" s="269"/>
      <c r="K17" s="31"/>
    </row>
    <row r="18" spans="1:11" s="4" customFormat="1" ht="27.75" customHeight="1" x14ac:dyDescent="0.15">
      <c r="A18" s="89"/>
      <c r="B18" s="267"/>
      <c r="C18" s="268"/>
      <c r="D18" s="268"/>
      <c r="E18" s="268"/>
      <c r="F18" s="268"/>
      <c r="G18" s="268"/>
      <c r="H18" s="268"/>
      <c r="I18" s="268"/>
      <c r="J18" s="269"/>
      <c r="K18" s="31"/>
    </row>
    <row r="19" spans="1:11" s="4" customFormat="1" ht="27.75" customHeight="1" x14ac:dyDescent="0.15">
      <c r="A19" s="89"/>
      <c r="B19" s="267"/>
      <c r="C19" s="268"/>
      <c r="D19" s="268"/>
      <c r="E19" s="268"/>
      <c r="F19" s="268"/>
      <c r="G19" s="268"/>
      <c r="H19" s="268"/>
      <c r="I19" s="268"/>
      <c r="J19" s="269"/>
      <c r="K19" s="31"/>
    </row>
    <row r="20" spans="1:11" s="4" customFormat="1" ht="27.75" customHeight="1" x14ac:dyDescent="0.15">
      <c r="A20" s="89"/>
      <c r="B20" s="267"/>
      <c r="C20" s="268"/>
      <c r="D20" s="268"/>
      <c r="E20" s="268"/>
      <c r="F20" s="268"/>
      <c r="G20" s="268"/>
      <c r="H20" s="268"/>
      <c r="I20" s="268"/>
      <c r="J20" s="269"/>
      <c r="K20" s="31"/>
    </row>
    <row r="21" spans="1:11" s="4" customFormat="1" ht="27.75" customHeight="1" x14ac:dyDescent="0.15">
      <c r="A21" s="89"/>
      <c r="B21" s="267"/>
      <c r="C21" s="268"/>
      <c r="D21" s="268"/>
      <c r="E21" s="268"/>
      <c r="F21" s="268"/>
      <c r="G21" s="268"/>
      <c r="H21" s="268"/>
      <c r="I21" s="268"/>
      <c r="J21" s="269"/>
      <c r="K21" s="31"/>
    </row>
    <row r="22" spans="1:11" s="4" customFormat="1" ht="27.75" customHeight="1" x14ac:dyDescent="0.15">
      <c r="A22" s="89"/>
      <c r="B22" s="267"/>
      <c r="C22" s="268"/>
      <c r="D22" s="268"/>
      <c r="E22" s="268"/>
      <c r="F22" s="268"/>
      <c r="G22" s="268"/>
      <c r="H22" s="268"/>
      <c r="I22" s="268"/>
      <c r="J22" s="269"/>
      <c r="K22" s="31"/>
    </row>
    <row r="23" spans="1:11" s="4" customFormat="1" ht="27.75" customHeight="1" x14ac:dyDescent="0.15">
      <c r="A23" s="89"/>
      <c r="B23" s="267"/>
      <c r="C23" s="268"/>
      <c r="D23" s="268"/>
      <c r="E23" s="268"/>
      <c r="F23" s="268"/>
      <c r="G23" s="268"/>
      <c r="H23" s="268"/>
      <c r="I23" s="268"/>
      <c r="J23" s="269"/>
      <c r="K23" s="31"/>
    </row>
    <row r="24" spans="1:11" s="4" customFormat="1" ht="27.75" customHeight="1" x14ac:dyDescent="0.15">
      <c r="A24" s="89"/>
      <c r="B24" s="267"/>
      <c r="C24" s="268"/>
      <c r="D24" s="268"/>
      <c r="E24" s="268"/>
      <c r="F24" s="268"/>
      <c r="G24" s="268"/>
      <c r="H24" s="268"/>
      <c r="I24" s="268"/>
      <c r="J24" s="269"/>
      <c r="K24" s="31"/>
    </row>
    <row r="25" spans="1:11" s="4" customFormat="1" ht="27.75" customHeight="1" x14ac:dyDescent="0.15">
      <c r="A25" s="89"/>
      <c r="B25" s="270"/>
      <c r="C25" s="271"/>
      <c r="D25" s="271"/>
      <c r="E25" s="271"/>
      <c r="F25" s="271"/>
      <c r="G25" s="271"/>
      <c r="H25" s="271"/>
      <c r="I25" s="271"/>
      <c r="J25" s="272"/>
      <c r="K25" s="31"/>
    </row>
    <row r="26" spans="1:11" ht="7.5" customHeight="1" x14ac:dyDescent="0.15">
      <c r="A26" s="37"/>
      <c r="B26" s="121"/>
      <c r="C26" s="121"/>
      <c r="D26" s="121"/>
      <c r="E26" s="121"/>
      <c r="F26" s="121"/>
      <c r="G26" s="121"/>
      <c r="H26" s="121"/>
      <c r="I26" s="121"/>
      <c r="J26" s="121"/>
    </row>
    <row r="27" spans="1:11" s="4" customFormat="1" ht="18.75" customHeight="1" x14ac:dyDescent="0.15">
      <c r="A27" s="1" t="s">
        <v>13</v>
      </c>
      <c r="B27" s="14" t="s">
        <v>26</v>
      </c>
      <c r="C27" s="14"/>
      <c r="D27" s="14"/>
      <c r="E27" s="14"/>
      <c r="F27" s="14"/>
      <c r="G27" s="14"/>
      <c r="H27" s="14"/>
      <c r="I27" s="14"/>
      <c r="J27" s="14"/>
      <c r="K27" s="31"/>
    </row>
    <row r="28" spans="1:11" s="29" customFormat="1" ht="18.75" customHeight="1" x14ac:dyDescent="0.15">
      <c r="B28" s="91" t="s">
        <v>114</v>
      </c>
      <c r="C28" s="92">
        <f>'様式３　履修者等数の実績'!R29</f>
        <v>0.84</v>
      </c>
      <c r="D28" s="93"/>
      <c r="E28" s="93" t="s">
        <v>115</v>
      </c>
      <c r="F28" s="92">
        <v>1</v>
      </c>
      <c r="G28" s="93"/>
      <c r="H28" s="93" t="s">
        <v>116</v>
      </c>
      <c r="I28" s="94">
        <v>1</v>
      </c>
      <c r="J28" s="95"/>
      <c r="K28" s="31"/>
    </row>
    <row r="29" spans="1:11" s="29" customFormat="1" ht="18.75" customHeight="1" x14ac:dyDescent="0.15">
      <c r="B29" s="80" t="s">
        <v>117</v>
      </c>
      <c r="C29" s="96">
        <v>1</v>
      </c>
      <c r="D29" s="81"/>
      <c r="E29" s="81" t="s">
        <v>118</v>
      </c>
      <c r="F29" s="96">
        <v>1</v>
      </c>
      <c r="G29" s="81"/>
      <c r="H29" s="81" t="s">
        <v>119</v>
      </c>
      <c r="I29" s="97">
        <f>'様式３　履修者等数の実績'!D29</f>
        <v>1000</v>
      </c>
      <c r="J29" s="98"/>
      <c r="K29" s="33"/>
    </row>
    <row r="30" spans="1:11" s="4" customFormat="1" ht="18.75" customHeight="1" x14ac:dyDescent="0.15">
      <c r="A30" s="1"/>
      <c r="B30" s="164" t="s">
        <v>120</v>
      </c>
      <c r="C30" s="165"/>
      <c r="D30" s="165"/>
      <c r="E30" s="165"/>
      <c r="F30" s="165"/>
      <c r="G30" s="165"/>
      <c r="H30" s="165"/>
      <c r="I30" s="165"/>
      <c r="J30" s="166"/>
      <c r="K30" s="33"/>
    </row>
    <row r="31" spans="1:11" s="4" customFormat="1" ht="18.75" customHeight="1" x14ac:dyDescent="0.15">
      <c r="A31" s="1"/>
      <c r="B31" s="253" t="s">
        <v>176</v>
      </c>
      <c r="C31" s="254"/>
      <c r="D31" s="254"/>
      <c r="E31" s="254"/>
      <c r="F31" s="254"/>
      <c r="G31" s="254"/>
      <c r="H31" s="254"/>
      <c r="I31" s="254"/>
      <c r="J31" s="255"/>
      <c r="K31" s="33" t="str">
        <f>IF(B31="","入力してください","")</f>
        <v/>
      </c>
    </row>
    <row r="32" spans="1:11" s="4" customFormat="1" ht="18.75" customHeight="1" x14ac:dyDescent="0.15">
      <c r="A32" s="1"/>
      <c r="B32" s="256"/>
      <c r="C32" s="257"/>
      <c r="D32" s="257"/>
      <c r="E32" s="257"/>
      <c r="F32" s="257"/>
      <c r="G32" s="257"/>
      <c r="H32" s="257"/>
      <c r="I32" s="257"/>
      <c r="J32" s="258"/>
      <c r="K32" s="33"/>
    </row>
    <row r="33" spans="1:11" s="4" customFormat="1" ht="18.75" customHeight="1" x14ac:dyDescent="0.15">
      <c r="A33" s="1"/>
      <c r="B33" s="256"/>
      <c r="C33" s="257"/>
      <c r="D33" s="257"/>
      <c r="E33" s="257"/>
      <c r="F33" s="257"/>
      <c r="G33" s="257"/>
      <c r="H33" s="257"/>
      <c r="I33" s="257"/>
      <c r="J33" s="258"/>
      <c r="K33" s="33"/>
    </row>
    <row r="34" spans="1:11" s="4" customFormat="1" ht="18.75" customHeight="1" x14ac:dyDescent="0.15">
      <c r="A34" s="1"/>
      <c r="B34" s="256"/>
      <c r="C34" s="257"/>
      <c r="D34" s="257"/>
      <c r="E34" s="257"/>
      <c r="F34" s="257"/>
      <c r="G34" s="257"/>
      <c r="H34" s="257"/>
      <c r="I34" s="257"/>
      <c r="J34" s="258"/>
      <c r="K34" s="33"/>
    </row>
    <row r="35" spans="1:11" s="4" customFormat="1" ht="18.75" customHeight="1" x14ac:dyDescent="0.15">
      <c r="A35" s="1"/>
      <c r="B35" s="256"/>
      <c r="C35" s="257"/>
      <c r="D35" s="257"/>
      <c r="E35" s="257"/>
      <c r="F35" s="257"/>
      <c r="G35" s="257"/>
      <c r="H35" s="257"/>
      <c r="I35" s="257"/>
      <c r="J35" s="258"/>
      <c r="K35" s="33"/>
    </row>
    <row r="36" spans="1:11" s="4" customFormat="1" ht="18.75" customHeight="1" x14ac:dyDescent="0.15">
      <c r="A36" s="1"/>
      <c r="B36" s="256"/>
      <c r="C36" s="257"/>
      <c r="D36" s="257"/>
      <c r="E36" s="257"/>
      <c r="F36" s="257"/>
      <c r="G36" s="257"/>
      <c r="H36" s="257"/>
      <c r="I36" s="257"/>
      <c r="J36" s="258"/>
      <c r="K36" s="33"/>
    </row>
    <row r="37" spans="1:11" s="4" customFormat="1" ht="18.75" customHeight="1" x14ac:dyDescent="0.15">
      <c r="A37" s="1"/>
      <c r="B37" s="256"/>
      <c r="C37" s="257"/>
      <c r="D37" s="257"/>
      <c r="E37" s="257"/>
      <c r="F37" s="257"/>
      <c r="G37" s="257"/>
      <c r="H37" s="257"/>
      <c r="I37" s="257"/>
      <c r="J37" s="258"/>
      <c r="K37" s="33"/>
    </row>
    <row r="38" spans="1:11" s="4" customFormat="1" ht="18.75" customHeight="1" x14ac:dyDescent="0.15">
      <c r="A38" s="1"/>
      <c r="B38" s="256"/>
      <c r="C38" s="257"/>
      <c r="D38" s="257"/>
      <c r="E38" s="257"/>
      <c r="F38" s="257"/>
      <c r="G38" s="257"/>
      <c r="H38" s="257"/>
      <c r="I38" s="257"/>
      <c r="J38" s="258"/>
      <c r="K38" s="33"/>
    </row>
    <row r="39" spans="1:11" s="4" customFormat="1" ht="18.75" customHeight="1" x14ac:dyDescent="0.15">
      <c r="A39" s="1"/>
      <c r="B39" s="256"/>
      <c r="C39" s="257"/>
      <c r="D39" s="257"/>
      <c r="E39" s="257"/>
      <c r="F39" s="257"/>
      <c r="G39" s="257"/>
      <c r="H39" s="257"/>
      <c r="I39" s="257"/>
      <c r="J39" s="258"/>
      <c r="K39" s="33"/>
    </row>
    <row r="40" spans="1:11" s="4" customFormat="1" ht="18.75" customHeight="1" x14ac:dyDescent="0.15">
      <c r="A40" s="1"/>
      <c r="B40" s="256"/>
      <c r="C40" s="257"/>
      <c r="D40" s="257"/>
      <c r="E40" s="257"/>
      <c r="F40" s="257"/>
      <c r="G40" s="257"/>
      <c r="H40" s="257"/>
      <c r="I40" s="257"/>
      <c r="J40" s="258"/>
      <c r="K40" s="33"/>
    </row>
    <row r="41" spans="1:11" s="4" customFormat="1" ht="18.75" customHeight="1" x14ac:dyDescent="0.15">
      <c r="A41" s="1"/>
      <c r="B41" s="256"/>
      <c r="C41" s="257"/>
      <c r="D41" s="257"/>
      <c r="E41" s="257"/>
      <c r="F41" s="257"/>
      <c r="G41" s="257"/>
      <c r="H41" s="257"/>
      <c r="I41" s="257"/>
      <c r="J41" s="258"/>
      <c r="K41" s="33"/>
    </row>
    <row r="42" spans="1:11" s="4" customFormat="1" ht="18.75" customHeight="1" x14ac:dyDescent="0.15">
      <c r="A42" s="1"/>
      <c r="B42" s="256"/>
      <c r="C42" s="257"/>
      <c r="D42" s="257"/>
      <c r="E42" s="257"/>
      <c r="F42" s="257"/>
      <c r="G42" s="257"/>
      <c r="H42" s="257"/>
      <c r="I42" s="257"/>
      <c r="J42" s="258"/>
      <c r="K42" s="33"/>
    </row>
    <row r="43" spans="1:11" ht="18.75" customHeight="1" x14ac:dyDescent="0.15">
      <c r="A43" s="37"/>
      <c r="B43" s="256"/>
      <c r="C43" s="257"/>
      <c r="D43" s="257"/>
      <c r="E43" s="257"/>
      <c r="F43" s="257"/>
      <c r="G43" s="257"/>
      <c r="H43" s="257"/>
      <c r="I43" s="257"/>
      <c r="J43" s="258"/>
      <c r="K43" s="33"/>
    </row>
    <row r="44" spans="1:11" ht="18.75" customHeight="1" x14ac:dyDescent="0.15">
      <c r="A44" s="37"/>
      <c r="B44" s="259"/>
      <c r="C44" s="260"/>
      <c r="D44" s="260"/>
      <c r="E44" s="260"/>
      <c r="F44" s="260"/>
      <c r="G44" s="260"/>
      <c r="H44" s="260"/>
      <c r="I44" s="260"/>
      <c r="J44" s="261"/>
    </row>
    <row r="45" spans="1:11" s="4" customFormat="1" ht="18.75" customHeight="1" x14ac:dyDescent="0.15">
      <c r="A45" s="99" t="s">
        <v>11</v>
      </c>
      <c r="B45" s="14" t="s">
        <v>65</v>
      </c>
      <c r="C45" s="14"/>
      <c r="D45" s="14"/>
      <c r="E45" s="14"/>
      <c r="F45" s="14"/>
      <c r="G45" s="14"/>
      <c r="H45" s="14"/>
      <c r="I45" s="120"/>
      <c r="J45" s="120"/>
      <c r="K45" s="31"/>
    </row>
    <row r="46" spans="1:11" ht="18.75" customHeight="1" x14ac:dyDescent="0.15">
      <c r="A46" s="37"/>
      <c r="B46" s="263" t="s">
        <v>174</v>
      </c>
      <c r="C46" s="264"/>
      <c r="D46" s="264"/>
      <c r="E46" s="264"/>
      <c r="F46" s="264"/>
      <c r="G46" s="264"/>
      <c r="H46" s="264"/>
      <c r="I46" s="264"/>
      <c r="J46" s="273"/>
      <c r="K46" s="31" t="str">
        <f>IF(B46="","入力してください","")</f>
        <v/>
      </c>
    </row>
    <row r="47" spans="1:11" ht="18.75" customHeight="1" x14ac:dyDescent="0.15">
      <c r="A47" s="37"/>
      <c r="B47" s="256"/>
      <c r="C47" s="257"/>
      <c r="D47" s="257"/>
      <c r="E47" s="257"/>
      <c r="F47" s="257"/>
      <c r="G47" s="257"/>
      <c r="H47" s="257"/>
      <c r="I47" s="257"/>
      <c r="J47" s="258"/>
    </row>
    <row r="48" spans="1:11" ht="18.75" customHeight="1" x14ac:dyDescent="0.15">
      <c r="A48" s="37"/>
      <c r="B48" s="256"/>
      <c r="C48" s="257"/>
      <c r="D48" s="257"/>
      <c r="E48" s="257"/>
      <c r="F48" s="257"/>
      <c r="G48" s="257"/>
      <c r="H48" s="257"/>
      <c r="I48" s="257"/>
      <c r="J48" s="258"/>
    </row>
    <row r="49" spans="1:10" ht="18.75" customHeight="1" x14ac:dyDescent="0.15">
      <c r="A49" s="37"/>
      <c r="B49" s="256"/>
      <c r="C49" s="257"/>
      <c r="D49" s="257"/>
      <c r="E49" s="257"/>
      <c r="F49" s="257"/>
      <c r="G49" s="257"/>
      <c r="H49" s="257"/>
      <c r="I49" s="257"/>
      <c r="J49" s="258"/>
    </row>
    <row r="50" spans="1:10" ht="18.75" customHeight="1" x14ac:dyDescent="0.15">
      <c r="A50" s="37"/>
      <c r="B50" s="256"/>
      <c r="C50" s="257"/>
      <c r="D50" s="257"/>
      <c r="E50" s="257"/>
      <c r="F50" s="257"/>
      <c r="G50" s="257"/>
      <c r="H50" s="257"/>
      <c r="I50" s="257"/>
      <c r="J50" s="258"/>
    </row>
    <row r="51" spans="1:10" ht="18.75" customHeight="1" x14ac:dyDescent="0.15">
      <c r="A51" s="37"/>
      <c r="B51" s="256"/>
      <c r="C51" s="257"/>
      <c r="D51" s="257"/>
      <c r="E51" s="257"/>
      <c r="F51" s="257"/>
      <c r="G51" s="257"/>
      <c r="H51" s="257"/>
      <c r="I51" s="257"/>
      <c r="J51" s="258"/>
    </row>
    <row r="52" spans="1:10" ht="18.75" customHeight="1" x14ac:dyDescent="0.15">
      <c r="A52" s="37"/>
      <c r="B52" s="256"/>
      <c r="C52" s="257"/>
      <c r="D52" s="257"/>
      <c r="E52" s="257"/>
      <c r="F52" s="257"/>
      <c r="G52" s="257"/>
      <c r="H52" s="257"/>
      <c r="I52" s="257"/>
      <c r="J52" s="258"/>
    </row>
    <row r="53" spans="1:10" ht="18.75" customHeight="1" x14ac:dyDescent="0.15">
      <c r="A53" s="37"/>
      <c r="B53" s="256"/>
      <c r="C53" s="257"/>
      <c r="D53" s="257"/>
      <c r="E53" s="257"/>
      <c r="F53" s="257"/>
      <c r="G53" s="257"/>
      <c r="H53" s="257"/>
      <c r="I53" s="257"/>
      <c r="J53" s="258"/>
    </row>
    <row r="54" spans="1:10" ht="18.75" customHeight="1" x14ac:dyDescent="0.15">
      <c r="A54" s="37"/>
      <c r="B54" s="256"/>
      <c r="C54" s="257"/>
      <c r="D54" s="257"/>
      <c r="E54" s="257"/>
      <c r="F54" s="257"/>
      <c r="G54" s="257"/>
      <c r="H54" s="257"/>
      <c r="I54" s="257"/>
      <c r="J54" s="258"/>
    </row>
    <row r="55" spans="1:10" ht="18.75" customHeight="1" x14ac:dyDescent="0.15">
      <c r="A55" s="37"/>
      <c r="B55" s="256"/>
      <c r="C55" s="257"/>
      <c r="D55" s="257"/>
      <c r="E55" s="257"/>
      <c r="F55" s="257"/>
      <c r="G55" s="257"/>
      <c r="H55" s="257"/>
      <c r="I55" s="257"/>
      <c r="J55" s="258"/>
    </row>
    <row r="56" spans="1:10" ht="18.75" customHeight="1" x14ac:dyDescent="0.15">
      <c r="A56" s="37"/>
      <c r="B56" s="256"/>
      <c r="C56" s="257"/>
      <c r="D56" s="257"/>
      <c r="E56" s="257"/>
      <c r="F56" s="257"/>
      <c r="G56" s="257"/>
      <c r="H56" s="257"/>
      <c r="I56" s="257"/>
      <c r="J56" s="258"/>
    </row>
    <row r="57" spans="1:10" ht="18.75" customHeight="1" x14ac:dyDescent="0.15">
      <c r="A57" s="37"/>
      <c r="B57" s="256"/>
      <c r="C57" s="257"/>
      <c r="D57" s="257"/>
      <c r="E57" s="257"/>
      <c r="F57" s="257"/>
      <c r="G57" s="257"/>
      <c r="H57" s="257"/>
      <c r="I57" s="257"/>
      <c r="J57" s="258"/>
    </row>
    <row r="58" spans="1:10" ht="18.75" customHeight="1" x14ac:dyDescent="0.15">
      <c r="A58" s="37"/>
      <c r="B58" s="256"/>
      <c r="C58" s="257"/>
      <c r="D58" s="257"/>
      <c r="E58" s="257"/>
      <c r="F58" s="257"/>
      <c r="G58" s="257"/>
      <c r="H58" s="257"/>
      <c r="I58" s="257"/>
      <c r="J58" s="258"/>
    </row>
    <row r="59" spans="1:10" ht="18.75" customHeight="1" x14ac:dyDescent="0.15">
      <c r="A59" s="37"/>
      <c r="B59" s="256"/>
      <c r="C59" s="257"/>
      <c r="D59" s="257"/>
      <c r="E59" s="257"/>
      <c r="F59" s="257"/>
      <c r="G59" s="257"/>
      <c r="H59" s="257"/>
      <c r="I59" s="257"/>
      <c r="J59" s="258"/>
    </row>
    <row r="60" spans="1:10" ht="18.75" customHeight="1" x14ac:dyDescent="0.15">
      <c r="A60" s="37"/>
      <c r="B60" s="256"/>
      <c r="C60" s="257"/>
      <c r="D60" s="257"/>
      <c r="E60" s="257"/>
      <c r="F60" s="257"/>
      <c r="G60" s="257"/>
      <c r="H60" s="257"/>
      <c r="I60" s="257"/>
      <c r="J60" s="258"/>
    </row>
    <row r="61" spans="1:10" ht="18.75" customHeight="1" x14ac:dyDescent="0.15">
      <c r="A61" s="37"/>
      <c r="B61" s="256"/>
      <c r="C61" s="257"/>
      <c r="D61" s="257"/>
      <c r="E61" s="257"/>
      <c r="F61" s="257"/>
      <c r="G61" s="257"/>
      <c r="H61" s="257"/>
      <c r="I61" s="257"/>
      <c r="J61" s="258"/>
    </row>
    <row r="62" spans="1:10" ht="18.75" customHeight="1" x14ac:dyDescent="0.15">
      <c r="A62" s="37"/>
      <c r="B62" s="256"/>
      <c r="C62" s="257"/>
      <c r="D62" s="257"/>
      <c r="E62" s="257"/>
      <c r="F62" s="257"/>
      <c r="G62" s="257"/>
      <c r="H62" s="257"/>
      <c r="I62" s="257"/>
      <c r="J62" s="258"/>
    </row>
    <row r="63" spans="1:10" ht="18.75" customHeight="1" x14ac:dyDescent="0.15">
      <c r="A63" s="37"/>
      <c r="B63" s="256"/>
      <c r="C63" s="257"/>
      <c r="D63" s="257"/>
      <c r="E63" s="257"/>
      <c r="F63" s="257"/>
      <c r="G63" s="257"/>
      <c r="H63" s="257"/>
      <c r="I63" s="257"/>
      <c r="J63" s="258"/>
    </row>
    <row r="64" spans="1:10" ht="18.75" customHeight="1" x14ac:dyDescent="0.15">
      <c r="A64" s="37"/>
      <c r="B64" s="256"/>
      <c r="C64" s="257"/>
      <c r="D64" s="257"/>
      <c r="E64" s="257"/>
      <c r="F64" s="257"/>
      <c r="G64" s="257"/>
      <c r="H64" s="257"/>
      <c r="I64" s="257"/>
      <c r="J64" s="258"/>
    </row>
    <row r="65" spans="1:11" ht="18.75" customHeight="1" x14ac:dyDescent="0.15">
      <c r="A65" s="37"/>
      <c r="B65" s="256"/>
      <c r="C65" s="257"/>
      <c r="D65" s="257"/>
      <c r="E65" s="257"/>
      <c r="F65" s="257"/>
      <c r="G65" s="257"/>
      <c r="H65" s="257"/>
      <c r="I65" s="257"/>
      <c r="J65" s="258"/>
    </row>
    <row r="66" spans="1:11" ht="18.75" customHeight="1" x14ac:dyDescent="0.15">
      <c r="A66" s="37"/>
      <c r="B66" s="259"/>
      <c r="C66" s="260"/>
      <c r="D66" s="260"/>
      <c r="E66" s="260"/>
      <c r="F66" s="260"/>
      <c r="G66" s="260"/>
      <c r="H66" s="260"/>
      <c r="I66" s="260"/>
      <c r="J66" s="261"/>
    </row>
    <row r="67" spans="1:11" ht="7.5" customHeight="1" x14ac:dyDescent="0.15">
      <c r="A67" s="37"/>
      <c r="B67" s="121"/>
      <c r="C67" s="121"/>
      <c r="D67" s="121"/>
      <c r="E67" s="121"/>
      <c r="F67" s="121"/>
      <c r="G67" s="121"/>
      <c r="H67" s="121"/>
      <c r="I67" s="121"/>
      <c r="J67" s="121"/>
    </row>
    <row r="68" spans="1:11" s="4" customFormat="1" ht="18.75" customHeight="1" x14ac:dyDescent="0.15">
      <c r="A68" s="1" t="s">
        <v>14</v>
      </c>
      <c r="B68" s="14" t="s">
        <v>71</v>
      </c>
      <c r="C68" s="14"/>
      <c r="D68" s="14"/>
      <c r="E68" s="14"/>
      <c r="F68" s="14"/>
      <c r="G68" s="14"/>
      <c r="H68" s="14"/>
      <c r="I68" s="14"/>
      <c r="J68" s="14"/>
      <c r="K68" s="31"/>
    </row>
    <row r="69" spans="1:11" s="4" customFormat="1" ht="18.75" customHeight="1" x14ac:dyDescent="0.15">
      <c r="A69" s="1"/>
      <c r="B69" s="263" t="s">
        <v>175</v>
      </c>
      <c r="C69" s="264"/>
      <c r="D69" s="264"/>
      <c r="E69" s="264"/>
      <c r="F69" s="264"/>
      <c r="G69" s="264"/>
      <c r="H69" s="264"/>
      <c r="I69" s="265"/>
      <c r="J69" s="266"/>
      <c r="K69" s="33" t="str">
        <f>IF(B69="","入力してください","")</f>
        <v/>
      </c>
    </row>
    <row r="70" spans="1:11" s="4" customFormat="1" ht="18.75" customHeight="1" x14ac:dyDescent="0.15">
      <c r="A70" s="1"/>
      <c r="B70" s="267"/>
      <c r="C70" s="268"/>
      <c r="D70" s="268"/>
      <c r="E70" s="268"/>
      <c r="F70" s="268"/>
      <c r="G70" s="268"/>
      <c r="H70" s="268"/>
      <c r="I70" s="268"/>
      <c r="J70" s="269"/>
      <c r="K70" s="33"/>
    </row>
    <row r="71" spans="1:11" s="4" customFormat="1" ht="18.75" customHeight="1" x14ac:dyDescent="0.15">
      <c r="A71" s="1"/>
      <c r="B71" s="267"/>
      <c r="C71" s="268"/>
      <c r="D71" s="268"/>
      <c r="E71" s="268"/>
      <c r="F71" s="268"/>
      <c r="G71" s="268"/>
      <c r="H71" s="268"/>
      <c r="I71" s="268"/>
      <c r="J71" s="269"/>
      <c r="K71" s="33"/>
    </row>
    <row r="72" spans="1:11" s="4" customFormat="1" ht="18.75" customHeight="1" x14ac:dyDescent="0.15">
      <c r="A72" s="1"/>
      <c r="B72" s="267"/>
      <c r="C72" s="268"/>
      <c r="D72" s="268"/>
      <c r="E72" s="268"/>
      <c r="F72" s="268"/>
      <c r="G72" s="268"/>
      <c r="H72" s="268"/>
      <c r="I72" s="268"/>
      <c r="J72" s="269"/>
      <c r="K72" s="33"/>
    </row>
    <row r="73" spans="1:11" s="4" customFormat="1" ht="18.75" customHeight="1" x14ac:dyDescent="0.15">
      <c r="A73" s="1"/>
      <c r="B73" s="267"/>
      <c r="C73" s="268"/>
      <c r="D73" s="268"/>
      <c r="E73" s="268"/>
      <c r="F73" s="268"/>
      <c r="G73" s="268"/>
      <c r="H73" s="268"/>
      <c r="I73" s="268"/>
      <c r="J73" s="269"/>
      <c r="K73" s="33"/>
    </row>
    <row r="74" spans="1:11" s="4" customFormat="1" ht="18.75" customHeight="1" x14ac:dyDescent="0.15">
      <c r="A74" s="1"/>
      <c r="B74" s="267"/>
      <c r="C74" s="268"/>
      <c r="D74" s="268"/>
      <c r="E74" s="268"/>
      <c r="F74" s="268"/>
      <c r="G74" s="268"/>
      <c r="H74" s="268"/>
      <c r="I74" s="268"/>
      <c r="J74" s="269"/>
      <c r="K74" s="33"/>
    </row>
    <row r="75" spans="1:11" s="4" customFormat="1" ht="18.75" customHeight="1" x14ac:dyDescent="0.15">
      <c r="A75" s="1"/>
      <c r="B75" s="267"/>
      <c r="C75" s="268"/>
      <c r="D75" s="268"/>
      <c r="E75" s="268"/>
      <c r="F75" s="268"/>
      <c r="G75" s="268"/>
      <c r="H75" s="268"/>
      <c r="I75" s="268"/>
      <c r="J75" s="269"/>
      <c r="K75" s="33"/>
    </row>
    <row r="76" spans="1:11" s="4" customFormat="1" ht="18.75" customHeight="1" x14ac:dyDescent="0.15">
      <c r="A76" s="1"/>
      <c r="B76" s="267"/>
      <c r="C76" s="268"/>
      <c r="D76" s="268"/>
      <c r="E76" s="268"/>
      <c r="F76" s="268"/>
      <c r="G76" s="268"/>
      <c r="H76" s="268"/>
      <c r="I76" s="268"/>
      <c r="J76" s="269"/>
      <c r="K76" s="33"/>
    </row>
    <row r="77" spans="1:11" s="4" customFormat="1" ht="18.75" customHeight="1" x14ac:dyDescent="0.15">
      <c r="A77" s="1"/>
      <c r="B77" s="267"/>
      <c r="C77" s="268"/>
      <c r="D77" s="268"/>
      <c r="E77" s="268"/>
      <c r="F77" s="268"/>
      <c r="G77" s="268"/>
      <c r="H77" s="268"/>
      <c r="I77" s="268"/>
      <c r="J77" s="269"/>
      <c r="K77" s="33"/>
    </row>
    <row r="78" spans="1:11" s="4" customFormat="1" ht="18.75" customHeight="1" x14ac:dyDescent="0.15">
      <c r="A78" s="1"/>
      <c r="B78" s="267"/>
      <c r="C78" s="268"/>
      <c r="D78" s="268"/>
      <c r="E78" s="268"/>
      <c r="F78" s="268"/>
      <c r="G78" s="268"/>
      <c r="H78" s="268"/>
      <c r="I78" s="268"/>
      <c r="J78" s="269"/>
      <c r="K78" s="33"/>
    </row>
    <row r="79" spans="1:11" s="4" customFormat="1" ht="18.75" customHeight="1" x14ac:dyDescent="0.15">
      <c r="A79" s="1"/>
      <c r="B79" s="267"/>
      <c r="C79" s="268"/>
      <c r="D79" s="268"/>
      <c r="E79" s="268"/>
      <c r="F79" s="268"/>
      <c r="G79" s="268"/>
      <c r="H79" s="268"/>
      <c r="I79" s="268"/>
      <c r="J79" s="269"/>
      <c r="K79" s="33"/>
    </row>
    <row r="80" spans="1:11" s="4" customFormat="1" ht="18.75" customHeight="1" x14ac:dyDescent="0.15">
      <c r="A80" s="1"/>
      <c r="B80" s="267"/>
      <c r="C80" s="268"/>
      <c r="D80" s="268"/>
      <c r="E80" s="268"/>
      <c r="F80" s="268"/>
      <c r="G80" s="268"/>
      <c r="H80" s="268"/>
      <c r="I80" s="268"/>
      <c r="J80" s="269"/>
      <c r="K80" s="33"/>
    </row>
    <row r="81" spans="1:11" s="4" customFormat="1" ht="18.75" customHeight="1" x14ac:dyDescent="0.15">
      <c r="A81" s="1"/>
      <c r="B81" s="267"/>
      <c r="C81" s="268"/>
      <c r="D81" s="268"/>
      <c r="E81" s="268"/>
      <c r="F81" s="268"/>
      <c r="G81" s="268"/>
      <c r="H81" s="268"/>
      <c r="I81" s="268"/>
      <c r="J81" s="269"/>
      <c r="K81" s="33"/>
    </row>
    <row r="82" spans="1:11" s="4" customFormat="1" ht="18.75" customHeight="1" x14ac:dyDescent="0.15">
      <c r="A82" s="1"/>
      <c r="B82" s="267"/>
      <c r="C82" s="268"/>
      <c r="D82" s="268"/>
      <c r="E82" s="268"/>
      <c r="F82" s="268"/>
      <c r="G82" s="268"/>
      <c r="H82" s="268"/>
      <c r="I82" s="268"/>
      <c r="J82" s="269"/>
      <c r="K82" s="33"/>
    </row>
    <row r="83" spans="1:11" s="4" customFormat="1" ht="18.75" customHeight="1" x14ac:dyDescent="0.15">
      <c r="A83" s="1"/>
      <c r="B83" s="267"/>
      <c r="C83" s="268"/>
      <c r="D83" s="268"/>
      <c r="E83" s="268"/>
      <c r="F83" s="268"/>
      <c r="G83" s="268"/>
      <c r="H83" s="268"/>
      <c r="I83" s="268"/>
      <c r="J83" s="269"/>
      <c r="K83" s="33"/>
    </row>
    <row r="84" spans="1:11" s="4" customFormat="1" ht="18.75" customHeight="1" x14ac:dyDescent="0.15">
      <c r="A84" s="1"/>
      <c r="B84" s="267"/>
      <c r="C84" s="268"/>
      <c r="D84" s="268"/>
      <c r="E84" s="268"/>
      <c r="F84" s="268"/>
      <c r="G84" s="268"/>
      <c r="H84" s="268"/>
      <c r="I84" s="268"/>
      <c r="J84" s="269"/>
      <c r="K84" s="33"/>
    </row>
    <row r="85" spans="1:11" ht="18.75" customHeight="1" x14ac:dyDescent="0.15">
      <c r="A85" s="37"/>
      <c r="B85" s="267"/>
      <c r="C85" s="268"/>
      <c r="D85" s="268"/>
      <c r="E85" s="268"/>
      <c r="F85" s="268"/>
      <c r="G85" s="268"/>
      <c r="H85" s="268"/>
      <c r="I85" s="268"/>
      <c r="J85" s="269"/>
      <c r="K85" s="33"/>
    </row>
    <row r="86" spans="1:11" ht="18.75" customHeight="1" x14ac:dyDescent="0.15">
      <c r="A86" s="37"/>
      <c r="B86" s="270"/>
      <c r="C86" s="271"/>
      <c r="D86" s="271"/>
      <c r="E86" s="271"/>
      <c r="F86" s="271"/>
      <c r="G86" s="271"/>
      <c r="H86" s="271"/>
      <c r="I86" s="271"/>
      <c r="J86" s="272"/>
      <c r="K86" s="33"/>
    </row>
    <row r="87" spans="1:11" ht="7.5" customHeight="1" x14ac:dyDescent="0.15">
      <c r="A87" s="37"/>
      <c r="B87" s="121"/>
      <c r="C87" s="121"/>
      <c r="D87" s="121"/>
      <c r="E87" s="121"/>
      <c r="F87" s="121"/>
      <c r="G87" s="121"/>
      <c r="H87" s="121"/>
      <c r="I87" s="121"/>
      <c r="J87" s="121"/>
    </row>
    <row r="88" spans="1:11" s="4" customFormat="1" ht="18.75" customHeight="1" x14ac:dyDescent="0.15">
      <c r="A88" s="1" t="s">
        <v>12</v>
      </c>
      <c r="B88" s="14" t="s">
        <v>27</v>
      </c>
      <c r="C88" s="14"/>
      <c r="D88" s="14"/>
      <c r="E88" s="14"/>
      <c r="F88" s="14"/>
      <c r="G88" s="14"/>
      <c r="H88" s="14"/>
      <c r="I88" s="14"/>
      <c r="J88" s="14"/>
      <c r="K88" s="31"/>
    </row>
    <row r="89" spans="1:11" s="4" customFormat="1" ht="18.75" customHeight="1" x14ac:dyDescent="0.15">
      <c r="A89" s="1"/>
      <c r="B89" s="263" t="s">
        <v>177</v>
      </c>
      <c r="C89" s="264"/>
      <c r="D89" s="264"/>
      <c r="E89" s="264"/>
      <c r="F89" s="264"/>
      <c r="G89" s="264"/>
      <c r="H89" s="264"/>
      <c r="I89" s="265"/>
      <c r="J89" s="266"/>
      <c r="K89" s="31"/>
    </row>
    <row r="90" spans="1:11" s="4" customFormat="1" ht="18.75" customHeight="1" x14ac:dyDescent="0.15">
      <c r="A90" s="1"/>
      <c r="B90" s="267"/>
      <c r="C90" s="268"/>
      <c r="D90" s="268"/>
      <c r="E90" s="268"/>
      <c r="F90" s="268"/>
      <c r="G90" s="268"/>
      <c r="H90" s="268"/>
      <c r="I90" s="268"/>
      <c r="J90" s="269"/>
      <c r="K90" s="33"/>
    </row>
    <row r="91" spans="1:11" s="4" customFormat="1" ht="18.75" customHeight="1" x14ac:dyDescent="0.15">
      <c r="A91" s="1"/>
      <c r="B91" s="267"/>
      <c r="C91" s="268"/>
      <c r="D91" s="268"/>
      <c r="E91" s="268"/>
      <c r="F91" s="268"/>
      <c r="G91" s="268"/>
      <c r="H91" s="268"/>
      <c r="I91" s="268"/>
      <c r="J91" s="269"/>
      <c r="K91" s="33" t="str">
        <f>IF(B89="","入力してください","")</f>
        <v/>
      </c>
    </row>
    <row r="92" spans="1:11" s="4" customFormat="1" ht="18.75" customHeight="1" x14ac:dyDescent="0.15">
      <c r="A92" s="1"/>
      <c r="B92" s="267"/>
      <c r="C92" s="268"/>
      <c r="D92" s="268"/>
      <c r="E92" s="268"/>
      <c r="F92" s="268"/>
      <c r="G92" s="268"/>
      <c r="H92" s="268"/>
      <c r="I92" s="268"/>
      <c r="J92" s="269"/>
      <c r="K92" s="33"/>
    </row>
    <row r="93" spans="1:11" s="4" customFormat="1" ht="18.75" customHeight="1" x14ac:dyDescent="0.15">
      <c r="A93" s="1"/>
      <c r="B93" s="267"/>
      <c r="C93" s="268"/>
      <c r="D93" s="268"/>
      <c r="E93" s="268"/>
      <c r="F93" s="268"/>
      <c r="G93" s="268"/>
      <c r="H93" s="268"/>
      <c r="I93" s="268"/>
      <c r="J93" s="269"/>
      <c r="K93" s="33"/>
    </row>
    <row r="94" spans="1:11" s="4" customFormat="1" ht="18.75" customHeight="1" x14ac:dyDescent="0.15">
      <c r="A94" s="1"/>
      <c r="B94" s="267"/>
      <c r="C94" s="268"/>
      <c r="D94" s="268"/>
      <c r="E94" s="268"/>
      <c r="F94" s="268"/>
      <c r="G94" s="268"/>
      <c r="H94" s="268"/>
      <c r="I94" s="268"/>
      <c r="J94" s="269"/>
      <c r="K94" s="33"/>
    </row>
    <row r="95" spans="1:11" s="4" customFormat="1" ht="18.75" customHeight="1" x14ac:dyDescent="0.15">
      <c r="A95" s="1"/>
      <c r="B95" s="267"/>
      <c r="C95" s="268"/>
      <c r="D95" s="268"/>
      <c r="E95" s="268"/>
      <c r="F95" s="268"/>
      <c r="G95" s="268"/>
      <c r="H95" s="268"/>
      <c r="I95" s="268"/>
      <c r="J95" s="269"/>
      <c r="K95" s="33"/>
    </row>
    <row r="96" spans="1:11" s="4" customFormat="1" ht="18.75" customHeight="1" x14ac:dyDescent="0.15">
      <c r="A96" s="1"/>
      <c r="B96" s="267"/>
      <c r="C96" s="268"/>
      <c r="D96" s="268"/>
      <c r="E96" s="268"/>
      <c r="F96" s="268"/>
      <c r="G96" s="268"/>
      <c r="H96" s="268"/>
      <c r="I96" s="268"/>
      <c r="J96" s="269"/>
      <c r="K96" s="33"/>
    </row>
    <row r="97" spans="1:11" s="4" customFormat="1" ht="18.75" customHeight="1" x14ac:dyDescent="0.15">
      <c r="A97" s="1"/>
      <c r="B97" s="267"/>
      <c r="C97" s="268"/>
      <c r="D97" s="268"/>
      <c r="E97" s="268"/>
      <c r="F97" s="268"/>
      <c r="G97" s="268"/>
      <c r="H97" s="268"/>
      <c r="I97" s="268"/>
      <c r="J97" s="269"/>
      <c r="K97" s="33"/>
    </row>
    <row r="98" spans="1:11" s="4" customFormat="1" ht="18.75" customHeight="1" x14ac:dyDescent="0.15">
      <c r="A98" s="1"/>
      <c r="B98" s="267"/>
      <c r="C98" s="268"/>
      <c r="D98" s="268"/>
      <c r="E98" s="268"/>
      <c r="F98" s="268"/>
      <c r="G98" s="268"/>
      <c r="H98" s="268"/>
      <c r="I98" s="268"/>
      <c r="J98" s="269"/>
      <c r="K98" s="33"/>
    </row>
    <row r="99" spans="1:11" s="4" customFormat="1" ht="18.75" customHeight="1" x14ac:dyDescent="0.15">
      <c r="A99" s="1"/>
      <c r="B99" s="267"/>
      <c r="C99" s="268"/>
      <c r="D99" s="268"/>
      <c r="E99" s="268"/>
      <c r="F99" s="268"/>
      <c r="G99" s="268"/>
      <c r="H99" s="268"/>
      <c r="I99" s="268"/>
      <c r="J99" s="269"/>
      <c r="K99" s="33"/>
    </row>
    <row r="100" spans="1:11" s="4" customFormat="1" ht="18.75" customHeight="1" x14ac:dyDescent="0.15">
      <c r="A100" s="1"/>
      <c r="B100" s="267"/>
      <c r="C100" s="268"/>
      <c r="D100" s="268"/>
      <c r="E100" s="268"/>
      <c r="F100" s="268"/>
      <c r="G100" s="268"/>
      <c r="H100" s="268"/>
      <c r="I100" s="268"/>
      <c r="J100" s="269"/>
      <c r="K100" s="33"/>
    </row>
    <row r="101" spans="1:11" s="4" customFormat="1" ht="18.75" customHeight="1" x14ac:dyDescent="0.15">
      <c r="A101" s="1"/>
      <c r="B101" s="267"/>
      <c r="C101" s="268"/>
      <c r="D101" s="268"/>
      <c r="E101" s="268"/>
      <c r="F101" s="268"/>
      <c r="G101" s="268"/>
      <c r="H101" s="268"/>
      <c r="I101" s="268"/>
      <c r="J101" s="269"/>
      <c r="K101" s="33"/>
    </row>
    <row r="102" spans="1:11" s="4" customFormat="1" ht="18.75" customHeight="1" x14ac:dyDescent="0.15">
      <c r="A102" s="1"/>
      <c r="B102" s="267"/>
      <c r="C102" s="268"/>
      <c r="D102" s="268"/>
      <c r="E102" s="268"/>
      <c r="F102" s="268"/>
      <c r="G102" s="268"/>
      <c r="H102" s="268"/>
      <c r="I102" s="268"/>
      <c r="J102" s="269"/>
      <c r="K102" s="33"/>
    </row>
    <row r="103" spans="1:11" s="4" customFormat="1" ht="18.75" customHeight="1" x14ac:dyDescent="0.15">
      <c r="A103" s="1"/>
      <c r="B103" s="267"/>
      <c r="C103" s="268"/>
      <c r="D103" s="268"/>
      <c r="E103" s="268"/>
      <c r="F103" s="268"/>
      <c r="G103" s="268"/>
      <c r="H103" s="268"/>
      <c r="I103" s="268"/>
      <c r="J103" s="269"/>
      <c r="K103" s="33"/>
    </row>
    <row r="104" spans="1:11" s="4" customFormat="1" ht="18.75" customHeight="1" x14ac:dyDescent="0.15">
      <c r="A104" s="1"/>
      <c r="B104" s="267"/>
      <c r="C104" s="268"/>
      <c r="D104" s="268"/>
      <c r="E104" s="268"/>
      <c r="F104" s="268"/>
      <c r="G104" s="268"/>
      <c r="H104" s="268"/>
      <c r="I104" s="268"/>
      <c r="J104" s="269"/>
      <c r="K104" s="33"/>
    </row>
    <row r="105" spans="1:11" s="4" customFormat="1" ht="18.75" customHeight="1" x14ac:dyDescent="0.15">
      <c r="A105" s="1"/>
      <c r="B105" s="267"/>
      <c r="C105" s="268"/>
      <c r="D105" s="268"/>
      <c r="E105" s="268"/>
      <c r="F105" s="268"/>
      <c r="G105" s="268"/>
      <c r="H105" s="268"/>
      <c r="I105" s="268"/>
      <c r="J105" s="269"/>
      <c r="K105" s="33"/>
    </row>
    <row r="106" spans="1:11" s="4" customFormat="1" ht="18.75" customHeight="1" x14ac:dyDescent="0.15">
      <c r="A106" s="1"/>
      <c r="B106" s="267"/>
      <c r="C106" s="268"/>
      <c r="D106" s="268"/>
      <c r="E106" s="268"/>
      <c r="F106" s="268"/>
      <c r="G106" s="268"/>
      <c r="H106" s="268"/>
      <c r="I106" s="268"/>
      <c r="J106" s="269"/>
      <c r="K106" s="33"/>
    </row>
    <row r="107" spans="1:11" ht="18.75" customHeight="1" x14ac:dyDescent="0.15">
      <c r="A107" s="37"/>
      <c r="B107" s="267"/>
      <c r="C107" s="268"/>
      <c r="D107" s="268"/>
      <c r="E107" s="268"/>
      <c r="F107" s="268"/>
      <c r="G107" s="268"/>
      <c r="H107" s="268"/>
      <c r="I107" s="268"/>
      <c r="J107" s="269"/>
      <c r="K107" s="33"/>
    </row>
    <row r="108" spans="1:11" ht="18.75" customHeight="1" x14ac:dyDescent="0.15">
      <c r="A108" s="37"/>
      <c r="B108" s="270"/>
      <c r="C108" s="271"/>
      <c r="D108" s="271"/>
      <c r="E108" s="271"/>
      <c r="F108" s="271"/>
      <c r="G108" s="271"/>
      <c r="H108" s="271"/>
      <c r="I108" s="271"/>
      <c r="J108" s="272"/>
      <c r="K108" s="33"/>
    </row>
    <row r="109" spans="1:11" ht="7.5" customHeight="1" x14ac:dyDescent="0.15">
      <c r="A109" s="37"/>
      <c r="B109" s="121"/>
      <c r="C109" s="121"/>
      <c r="D109" s="121"/>
      <c r="E109" s="121"/>
      <c r="F109" s="121"/>
      <c r="G109" s="121"/>
      <c r="H109" s="121"/>
      <c r="I109" s="121"/>
      <c r="J109" s="121"/>
    </row>
    <row r="110" spans="1:11" s="4" customFormat="1" ht="18.75" customHeight="1" x14ac:dyDescent="0.15">
      <c r="A110" s="1" t="s">
        <v>53</v>
      </c>
      <c r="B110" s="274" t="s">
        <v>82</v>
      </c>
      <c r="C110" s="274"/>
      <c r="D110" s="274"/>
      <c r="E110" s="274"/>
      <c r="F110" s="274"/>
      <c r="G110" s="274"/>
      <c r="H110" s="274"/>
      <c r="I110" s="274"/>
      <c r="J110" s="274"/>
      <c r="K110" s="31"/>
    </row>
    <row r="111" spans="1:11" ht="18.75" customHeight="1" x14ac:dyDescent="0.15">
      <c r="A111" s="37"/>
      <c r="B111" s="263" t="s">
        <v>178</v>
      </c>
      <c r="C111" s="264"/>
      <c r="D111" s="264"/>
      <c r="E111" s="264"/>
      <c r="F111" s="264"/>
      <c r="G111" s="264"/>
      <c r="H111" s="264"/>
      <c r="I111" s="265"/>
      <c r="J111" s="266"/>
    </row>
    <row r="112" spans="1:11" ht="18.75" customHeight="1" x14ac:dyDescent="0.15">
      <c r="A112" s="37"/>
      <c r="B112" s="267"/>
      <c r="C112" s="268"/>
      <c r="D112" s="268"/>
      <c r="E112" s="268"/>
      <c r="F112" s="268"/>
      <c r="G112" s="268"/>
      <c r="H112" s="268"/>
      <c r="I112" s="268"/>
      <c r="J112" s="269"/>
      <c r="K112" s="33"/>
    </row>
    <row r="113" spans="1:11" ht="18.75" customHeight="1" x14ac:dyDescent="0.15">
      <c r="A113" s="37"/>
      <c r="B113" s="267"/>
      <c r="C113" s="268"/>
      <c r="D113" s="268"/>
      <c r="E113" s="268"/>
      <c r="F113" s="268"/>
      <c r="G113" s="268"/>
      <c r="H113" s="268"/>
      <c r="I113" s="268"/>
      <c r="J113" s="269"/>
      <c r="K113" s="31" t="str">
        <f>IF(B111="","入力してください","")</f>
        <v/>
      </c>
    </row>
    <row r="114" spans="1:11" ht="18.75" customHeight="1" x14ac:dyDescent="0.15">
      <c r="A114" s="37"/>
      <c r="B114" s="267"/>
      <c r="C114" s="268"/>
      <c r="D114" s="268"/>
      <c r="E114" s="268"/>
      <c r="F114" s="268"/>
      <c r="G114" s="268"/>
      <c r="H114" s="268"/>
      <c r="I114" s="268"/>
      <c r="J114" s="269"/>
    </row>
    <row r="115" spans="1:11" ht="18.75" customHeight="1" x14ac:dyDescent="0.15">
      <c r="A115" s="37"/>
      <c r="B115" s="267"/>
      <c r="C115" s="268"/>
      <c r="D115" s="268"/>
      <c r="E115" s="268"/>
      <c r="F115" s="268"/>
      <c r="G115" s="268"/>
      <c r="H115" s="268"/>
      <c r="I115" s="268"/>
      <c r="J115" s="269"/>
    </row>
    <row r="116" spans="1:11" ht="18.75" customHeight="1" x14ac:dyDescent="0.15">
      <c r="A116" s="37"/>
      <c r="B116" s="267"/>
      <c r="C116" s="268"/>
      <c r="D116" s="268"/>
      <c r="E116" s="268"/>
      <c r="F116" s="268"/>
      <c r="G116" s="268"/>
      <c r="H116" s="268"/>
      <c r="I116" s="268"/>
      <c r="J116" s="269"/>
    </row>
    <row r="117" spans="1:11" ht="18.75" customHeight="1" x14ac:dyDescent="0.15">
      <c r="A117" s="37"/>
      <c r="B117" s="267"/>
      <c r="C117" s="268"/>
      <c r="D117" s="268"/>
      <c r="E117" s="268"/>
      <c r="F117" s="268"/>
      <c r="G117" s="268"/>
      <c r="H117" s="268"/>
      <c r="I117" s="268"/>
      <c r="J117" s="269"/>
    </row>
    <row r="118" spans="1:11" ht="18.75" customHeight="1" x14ac:dyDescent="0.15">
      <c r="A118" s="37"/>
      <c r="B118" s="267"/>
      <c r="C118" s="268"/>
      <c r="D118" s="268"/>
      <c r="E118" s="268"/>
      <c r="F118" s="268"/>
      <c r="G118" s="268"/>
      <c r="H118" s="268"/>
      <c r="I118" s="268"/>
      <c r="J118" s="269"/>
    </row>
    <row r="119" spans="1:11" ht="18.75" customHeight="1" x14ac:dyDescent="0.15">
      <c r="A119" s="37"/>
      <c r="B119" s="267"/>
      <c r="C119" s="268"/>
      <c r="D119" s="268"/>
      <c r="E119" s="268"/>
      <c r="F119" s="268"/>
      <c r="G119" s="268"/>
      <c r="H119" s="268"/>
      <c r="I119" s="268"/>
      <c r="J119" s="269"/>
    </row>
    <row r="120" spans="1:11" ht="18.75" customHeight="1" x14ac:dyDescent="0.15">
      <c r="A120" s="37"/>
      <c r="B120" s="267"/>
      <c r="C120" s="268"/>
      <c r="D120" s="268"/>
      <c r="E120" s="268"/>
      <c r="F120" s="268"/>
      <c r="G120" s="268"/>
      <c r="H120" s="268"/>
      <c r="I120" s="268"/>
      <c r="J120" s="269"/>
    </row>
    <row r="121" spans="1:11" ht="18.75" customHeight="1" x14ac:dyDescent="0.15">
      <c r="A121" s="37"/>
      <c r="B121" s="267"/>
      <c r="C121" s="268"/>
      <c r="D121" s="268"/>
      <c r="E121" s="268"/>
      <c r="F121" s="268"/>
      <c r="G121" s="268"/>
      <c r="H121" s="268"/>
      <c r="I121" s="268"/>
      <c r="J121" s="269"/>
    </row>
    <row r="122" spans="1:11" ht="18.75" customHeight="1" x14ac:dyDescent="0.15">
      <c r="A122" s="37"/>
      <c r="B122" s="267"/>
      <c r="C122" s="268"/>
      <c r="D122" s="268"/>
      <c r="E122" s="268"/>
      <c r="F122" s="268"/>
      <c r="G122" s="268"/>
      <c r="H122" s="268"/>
      <c r="I122" s="268"/>
      <c r="J122" s="269"/>
    </row>
    <row r="123" spans="1:11" ht="18.75" customHeight="1" x14ac:dyDescent="0.15">
      <c r="A123" s="37"/>
      <c r="B123" s="267"/>
      <c r="C123" s="268"/>
      <c r="D123" s="268"/>
      <c r="E123" s="268"/>
      <c r="F123" s="268"/>
      <c r="G123" s="268"/>
      <c r="H123" s="268"/>
      <c r="I123" s="268"/>
      <c r="J123" s="269"/>
    </row>
    <row r="124" spans="1:11" ht="18.75" customHeight="1" x14ac:dyDescent="0.15">
      <c r="A124" s="37"/>
      <c r="B124" s="267"/>
      <c r="C124" s="268"/>
      <c r="D124" s="268"/>
      <c r="E124" s="268"/>
      <c r="F124" s="268"/>
      <c r="G124" s="268"/>
      <c r="H124" s="268"/>
      <c r="I124" s="268"/>
      <c r="J124" s="269"/>
    </row>
    <row r="125" spans="1:11" ht="18.75" customHeight="1" x14ac:dyDescent="0.15">
      <c r="A125" s="37"/>
      <c r="B125" s="267"/>
      <c r="C125" s="268"/>
      <c r="D125" s="268"/>
      <c r="E125" s="268"/>
      <c r="F125" s="268"/>
      <c r="G125" s="268"/>
      <c r="H125" s="268"/>
      <c r="I125" s="268"/>
      <c r="J125" s="269"/>
    </row>
    <row r="126" spans="1:11" ht="18.75" customHeight="1" x14ac:dyDescent="0.15">
      <c r="A126" s="37"/>
      <c r="B126" s="267"/>
      <c r="C126" s="268"/>
      <c r="D126" s="268"/>
      <c r="E126" s="268"/>
      <c r="F126" s="268"/>
      <c r="G126" s="268"/>
      <c r="H126" s="268"/>
      <c r="I126" s="268"/>
      <c r="J126" s="269"/>
    </row>
    <row r="127" spans="1:11" ht="18.75" customHeight="1" x14ac:dyDescent="0.15">
      <c r="A127" s="37"/>
      <c r="B127" s="267"/>
      <c r="C127" s="268"/>
      <c r="D127" s="268"/>
      <c r="E127" s="268"/>
      <c r="F127" s="268"/>
      <c r="G127" s="268"/>
      <c r="H127" s="268"/>
      <c r="I127" s="268"/>
      <c r="J127" s="269"/>
    </row>
    <row r="128" spans="1:11" ht="18.75" customHeight="1" x14ac:dyDescent="0.15">
      <c r="A128" s="37"/>
      <c r="B128" s="267"/>
      <c r="C128" s="268"/>
      <c r="D128" s="268"/>
      <c r="E128" s="268"/>
      <c r="F128" s="268"/>
      <c r="G128" s="268"/>
      <c r="H128" s="268"/>
      <c r="I128" s="268"/>
      <c r="J128" s="269"/>
    </row>
    <row r="129" spans="1:10" ht="18.75" customHeight="1" x14ac:dyDescent="0.15">
      <c r="A129" s="37"/>
      <c r="B129" s="270"/>
      <c r="C129" s="271"/>
      <c r="D129" s="271"/>
      <c r="E129" s="271"/>
      <c r="F129" s="271"/>
      <c r="G129" s="271"/>
      <c r="H129" s="271"/>
      <c r="I129" s="271"/>
      <c r="J129" s="272"/>
    </row>
    <row r="130" spans="1:10" ht="7.5" customHeight="1" x14ac:dyDescent="0.15">
      <c r="A130" s="37"/>
      <c r="B130" s="100"/>
      <c r="C130" s="100"/>
      <c r="D130" s="100"/>
      <c r="E130" s="100"/>
      <c r="F130" s="100"/>
      <c r="G130" s="100"/>
      <c r="H130" s="100"/>
      <c r="I130" s="100"/>
      <c r="J130" s="100"/>
    </row>
    <row r="131" spans="1:10" ht="18.75" customHeight="1" x14ac:dyDescent="0.15">
      <c r="A131" s="37"/>
      <c r="B131" s="37"/>
      <c r="C131" s="37"/>
      <c r="D131" s="37"/>
      <c r="E131" s="37"/>
      <c r="F131" s="37"/>
      <c r="G131" s="37"/>
      <c r="H131" s="37"/>
      <c r="I131" s="37"/>
      <c r="J131" s="37"/>
    </row>
    <row r="132" spans="1:10" ht="18.75" customHeight="1" x14ac:dyDescent="0.15">
      <c r="A132" s="37"/>
      <c r="B132" s="37"/>
      <c r="C132" s="37"/>
      <c r="D132" s="37"/>
      <c r="E132" s="37"/>
      <c r="F132" s="37"/>
      <c r="G132" s="37"/>
      <c r="H132" s="37"/>
      <c r="I132" s="37"/>
      <c r="J132" s="37"/>
    </row>
    <row r="133" spans="1:10" ht="18.75" customHeight="1" x14ac:dyDescent="0.15">
      <c r="A133" s="37"/>
      <c r="B133" s="37"/>
      <c r="C133" s="37"/>
      <c r="D133" s="37"/>
      <c r="E133" s="37"/>
      <c r="F133" s="37"/>
      <c r="G133" s="37"/>
      <c r="H133" s="37"/>
      <c r="I133" s="37"/>
      <c r="J133" s="37"/>
    </row>
    <row r="134" spans="1:10" ht="18.75" customHeight="1" x14ac:dyDescent="0.15">
      <c r="A134" s="37"/>
      <c r="B134" s="37"/>
      <c r="C134" s="37"/>
      <c r="D134" s="37"/>
      <c r="E134" s="37"/>
      <c r="F134" s="37"/>
      <c r="G134" s="37"/>
      <c r="H134" s="37"/>
      <c r="I134" s="37"/>
      <c r="J134" s="37"/>
    </row>
    <row r="135" spans="1:10" ht="18.75" customHeight="1" x14ac:dyDescent="0.15">
      <c r="A135" s="37"/>
      <c r="B135" s="37"/>
      <c r="C135" s="37"/>
      <c r="D135" s="37"/>
      <c r="E135" s="37"/>
      <c r="F135" s="37"/>
      <c r="G135" s="37"/>
      <c r="H135" s="37"/>
      <c r="I135" s="37"/>
      <c r="J135" s="37"/>
    </row>
    <row r="136" spans="1:10" ht="18.75" customHeight="1" x14ac:dyDescent="0.15">
      <c r="A136" s="37"/>
      <c r="B136" s="37"/>
      <c r="C136" s="37"/>
      <c r="D136" s="37"/>
      <c r="E136" s="37"/>
      <c r="F136" s="37"/>
      <c r="G136" s="37"/>
      <c r="H136" s="37"/>
      <c r="I136" s="37"/>
      <c r="J136" s="37"/>
    </row>
    <row r="137" spans="1:10" ht="18.75" customHeight="1" x14ac:dyDescent="0.15">
      <c r="A137" s="37"/>
      <c r="B137" s="37"/>
      <c r="C137" s="37"/>
      <c r="D137" s="37"/>
      <c r="E137" s="37"/>
      <c r="F137" s="37"/>
      <c r="G137" s="37"/>
      <c r="H137" s="37"/>
      <c r="I137" s="37"/>
      <c r="J137" s="37"/>
    </row>
    <row r="138" spans="1:10" ht="18.75" customHeight="1" x14ac:dyDescent="0.15">
      <c r="A138" s="37"/>
      <c r="B138" s="37"/>
      <c r="C138" s="37"/>
      <c r="D138" s="37"/>
      <c r="E138" s="37"/>
      <c r="F138" s="37"/>
      <c r="G138" s="37"/>
      <c r="H138" s="37"/>
      <c r="I138" s="37"/>
      <c r="J138" s="37"/>
    </row>
    <row r="139" spans="1:10" ht="18.75" customHeight="1" x14ac:dyDescent="0.15">
      <c r="A139" s="37"/>
      <c r="B139" s="37"/>
      <c r="C139" s="37"/>
      <c r="D139" s="37"/>
      <c r="E139" s="37"/>
      <c r="F139" s="37"/>
      <c r="G139" s="37"/>
      <c r="H139" s="37"/>
      <c r="I139" s="37"/>
      <c r="J139" s="37"/>
    </row>
    <row r="140" spans="1:10" ht="18.75" customHeight="1" x14ac:dyDescent="0.15">
      <c r="A140" s="37"/>
      <c r="B140" s="37"/>
      <c r="C140" s="37"/>
      <c r="D140" s="37"/>
      <c r="E140" s="37"/>
      <c r="F140" s="37"/>
      <c r="G140" s="37"/>
      <c r="H140" s="37"/>
      <c r="I140" s="37"/>
      <c r="J140" s="37"/>
    </row>
    <row r="141" spans="1:10" ht="18.75" customHeight="1" x14ac:dyDescent="0.15">
      <c r="A141" s="37"/>
      <c r="B141" s="37"/>
      <c r="C141" s="37"/>
      <c r="D141" s="37"/>
      <c r="E141" s="37"/>
      <c r="F141" s="37"/>
      <c r="G141" s="37"/>
      <c r="H141" s="37"/>
      <c r="I141" s="37"/>
      <c r="J141" s="37"/>
    </row>
    <row r="142" spans="1:10" ht="18.75" customHeight="1" x14ac:dyDescent="0.15">
      <c r="A142" s="37"/>
      <c r="B142" s="37"/>
      <c r="C142" s="37"/>
      <c r="D142" s="37"/>
      <c r="E142" s="37"/>
      <c r="F142" s="37"/>
      <c r="G142" s="37"/>
      <c r="H142" s="37"/>
      <c r="I142" s="37"/>
      <c r="J142" s="37"/>
    </row>
    <row r="143" spans="1:10" ht="14.25" x14ac:dyDescent="0.15">
      <c r="A143" s="37"/>
      <c r="B143" s="37"/>
      <c r="C143" s="37"/>
      <c r="D143" s="37"/>
      <c r="E143" s="37"/>
      <c r="F143" s="37"/>
      <c r="G143" s="37"/>
      <c r="H143" s="37"/>
      <c r="I143" s="37"/>
      <c r="J143" s="37"/>
    </row>
    <row r="144" spans="1:10" ht="7.5" customHeight="1" x14ac:dyDescent="0.15">
      <c r="A144" s="101"/>
      <c r="B144" s="101"/>
      <c r="C144" s="101"/>
      <c r="D144" s="101"/>
      <c r="E144" s="101"/>
      <c r="F144" s="101"/>
      <c r="G144" s="101"/>
      <c r="H144" s="101"/>
      <c r="I144" s="101"/>
      <c r="J144" s="101"/>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scale="91"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K26"/>
  <sheetViews>
    <sheetView showZeros="0" view="pageBreakPreview" zoomScale="85" zoomScaleNormal="100" zoomScaleSheetLayoutView="85" workbookViewId="0">
      <selection activeCell="I27" sqref="I27"/>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121</v>
      </c>
      <c r="J1" s="39" t="s">
        <v>73</v>
      </c>
    </row>
    <row r="2" spans="1:11" ht="18.75" customHeight="1" x14ac:dyDescent="0.15">
      <c r="A2" s="237" t="s">
        <v>42</v>
      </c>
      <c r="B2" s="237"/>
      <c r="C2" s="237"/>
      <c r="D2" s="237"/>
      <c r="E2" s="237"/>
      <c r="F2" s="237"/>
      <c r="G2" s="237"/>
      <c r="H2" s="237"/>
      <c r="I2" s="237"/>
      <c r="J2" s="237"/>
    </row>
    <row r="3" spans="1:11" ht="7.5" customHeight="1" x14ac:dyDescent="0.15">
      <c r="A3" s="40"/>
      <c r="B3" s="40"/>
      <c r="C3" s="40"/>
      <c r="D3" s="40"/>
      <c r="E3" s="40"/>
      <c r="F3" s="40"/>
      <c r="G3" s="40"/>
      <c r="H3" s="40"/>
      <c r="I3" s="40"/>
      <c r="J3" s="40"/>
    </row>
    <row r="4" spans="1:11" ht="18.75" customHeight="1" x14ac:dyDescent="0.15">
      <c r="A4" s="1" t="s">
        <v>6</v>
      </c>
      <c r="B4" s="4" t="s">
        <v>41</v>
      </c>
      <c r="C4" s="37"/>
      <c r="D4" s="37"/>
      <c r="E4" s="38"/>
      <c r="F4" s="38"/>
      <c r="G4" s="38"/>
      <c r="H4" s="38"/>
      <c r="I4" s="38"/>
      <c r="J4" s="38"/>
    </row>
    <row r="5" spans="1:11" ht="18.75" customHeight="1" x14ac:dyDescent="0.15">
      <c r="B5" s="280" t="s">
        <v>38</v>
      </c>
      <c r="C5" s="281"/>
      <c r="D5" s="282"/>
      <c r="E5" s="283" t="s">
        <v>40</v>
      </c>
      <c r="F5" s="283"/>
      <c r="G5" s="283"/>
      <c r="H5" s="283"/>
      <c r="I5" s="283"/>
      <c r="J5" s="284"/>
    </row>
    <row r="6" spans="1:11" ht="18.75" customHeight="1" x14ac:dyDescent="0.15">
      <c r="B6" s="3" t="s">
        <v>28</v>
      </c>
      <c r="C6" s="37"/>
      <c r="D6" s="7"/>
      <c r="I6" s="38"/>
      <c r="J6" s="5"/>
    </row>
    <row r="7" spans="1:11" ht="207" customHeight="1" x14ac:dyDescent="0.15">
      <c r="B7" s="6"/>
      <c r="C7" s="285" t="s">
        <v>29</v>
      </c>
      <c r="D7" s="286"/>
      <c r="E7" s="277" t="s">
        <v>180</v>
      </c>
      <c r="F7" s="278"/>
      <c r="G7" s="278"/>
      <c r="H7" s="278"/>
      <c r="I7" s="278"/>
      <c r="J7" s="279"/>
      <c r="K7" s="31" t="str">
        <f>IF(E7="","入力してください","")</f>
        <v/>
      </c>
    </row>
    <row r="8" spans="1:11" ht="207" customHeight="1" x14ac:dyDescent="0.15">
      <c r="B8" s="6"/>
      <c r="C8" s="275" t="s">
        <v>30</v>
      </c>
      <c r="D8" s="276"/>
      <c r="E8" s="277" t="s">
        <v>203</v>
      </c>
      <c r="F8" s="278"/>
      <c r="G8" s="278"/>
      <c r="H8" s="278"/>
      <c r="I8" s="278"/>
      <c r="J8" s="279"/>
      <c r="K8" s="31" t="str">
        <f>IF(E8="","入力してください","")</f>
        <v/>
      </c>
    </row>
    <row r="9" spans="1:11" ht="172.5" customHeight="1" x14ac:dyDescent="0.15">
      <c r="B9" s="6"/>
      <c r="C9" s="285" t="s">
        <v>31</v>
      </c>
      <c r="D9" s="286"/>
      <c r="E9" s="277" t="s">
        <v>204</v>
      </c>
      <c r="F9" s="278"/>
      <c r="G9" s="278"/>
      <c r="H9" s="278"/>
      <c r="I9" s="278"/>
      <c r="J9" s="279"/>
      <c r="K9" s="31" t="str">
        <f>IF(E9="","入力してください","")</f>
        <v/>
      </c>
    </row>
    <row r="10" spans="1:11" ht="172.5" customHeight="1" x14ac:dyDescent="0.15">
      <c r="B10" s="6"/>
      <c r="C10" s="285" t="s">
        <v>32</v>
      </c>
      <c r="D10" s="286"/>
      <c r="E10" s="277" t="s">
        <v>205</v>
      </c>
      <c r="F10" s="278"/>
      <c r="G10" s="278"/>
      <c r="H10" s="278"/>
      <c r="I10" s="278"/>
      <c r="J10" s="279"/>
      <c r="K10" s="119"/>
    </row>
    <row r="11" spans="1:11" ht="172.5" customHeight="1" x14ac:dyDescent="0.15">
      <c r="B11" s="6"/>
      <c r="C11" s="285" t="s">
        <v>33</v>
      </c>
      <c r="D11" s="286"/>
      <c r="E11" s="277" t="s">
        <v>206</v>
      </c>
      <c r="F11" s="278"/>
      <c r="G11" s="278"/>
      <c r="H11" s="278"/>
      <c r="I11" s="278"/>
      <c r="J11" s="279"/>
      <c r="K11" s="31" t="str">
        <f t="shared" ref="K11:K14" si="0">IF(E11="","入力してください","")</f>
        <v/>
      </c>
    </row>
    <row r="12" spans="1:11" ht="18.75" customHeight="1" x14ac:dyDescent="0.15">
      <c r="B12" s="9" t="s">
        <v>34</v>
      </c>
      <c r="C12" s="28"/>
      <c r="D12" s="8"/>
      <c r="E12" s="122"/>
      <c r="F12" s="122"/>
      <c r="G12" s="122"/>
      <c r="H12" s="122"/>
      <c r="I12" s="122"/>
      <c r="J12" s="123"/>
    </row>
    <row r="13" spans="1:11" ht="244.15" customHeight="1" x14ac:dyDescent="0.15">
      <c r="B13" s="6"/>
      <c r="C13" s="285" t="s">
        <v>35</v>
      </c>
      <c r="D13" s="286"/>
      <c r="E13" s="278" t="s">
        <v>179</v>
      </c>
      <c r="F13" s="278"/>
      <c r="G13" s="278"/>
      <c r="H13" s="278"/>
      <c r="I13" s="278"/>
      <c r="J13" s="279"/>
      <c r="K13" s="31" t="str">
        <f t="shared" si="0"/>
        <v/>
      </c>
    </row>
    <row r="14" spans="1:11" ht="255" customHeight="1" x14ac:dyDescent="0.15">
      <c r="B14" s="6"/>
      <c r="C14" s="285" t="s">
        <v>36</v>
      </c>
      <c r="D14" s="286"/>
      <c r="E14" s="278" t="s">
        <v>207</v>
      </c>
      <c r="F14" s="278"/>
      <c r="G14" s="278"/>
      <c r="H14" s="278"/>
      <c r="I14" s="278"/>
      <c r="J14" s="279"/>
      <c r="K14" s="31" t="str">
        <f t="shared" si="0"/>
        <v/>
      </c>
    </row>
    <row r="15" spans="1:11" ht="243" customHeight="1" x14ac:dyDescent="0.15">
      <c r="B15" s="293" t="s">
        <v>37</v>
      </c>
      <c r="C15" s="294"/>
      <c r="D15" s="286"/>
      <c r="E15" s="278" t="s">
        <v>208</v>
      </c>
      <c r="F15" s="278"/>
      <c r="G15" s="278"/>
      <c r="H15" s="278"/>
      <c r="I15" s="278"/>
      <c r="J15" s="279"/>
      <c r="K15" s="31" t="str">
        <f>IF(E15="","入力してください","")</f>
        <v/>
      </c>
    </row>
    <row r="16" spans="1:11" ht="243" customHeight="1" x14ac:dyDescent="0.15">
      <c r="A16" s="31"/>
      <c r="B16" s="287" t="s">
        <v>66</v>
      </c>
      <c r="C16" s="288"/>
      <c r="D16" s="289"/>
      <c r="E16" s="260" t="s">
        <v>209</v>
      </c>
      <c r="F16" s="260"/>
      <c r="G16" s="260"/>
      <c r="H16" s="260"/>
      <c r="I16" s="260"/>
      <c r="J16" s="261"/>
      <c r="K16" s="31" t="str">
        <f>IF(E16="","入力してください","")</f>
        <v/>
      </c>
    </row>
    <row r="17" spans="1:11" ht="7.5" customHeight="1" x14ac:dyDescent="0.15">
      <c r="B17" s="37"/>
      <c r="C17" s="37"/>
      <c r="D17" s="37"/>
      <c r="E17" s="121"/>
      <c r="F17" s="121"/>
      <c r="G17" s="121"/>
      <c r="H17" s="121"/>
      <c r="I17" s="121"/>
      <c r="J17" s="121"/>
    </row>
    <row r="18" spans="1:11" ht="18.75" customHeight="1" x14ac:dyDescent="0.15">
      <c r="A18" s="1" t="s">
        <v>122</v>
      </c>
      <c r="B18" s="4"/>
      <c r="C18" s="37"/>
      <c r="D18" s="37"/>
      <c r="E18" s="121"/>
      <c r="F18" s="120"/>
      <c r="G18" s="290" t="s">
        <v>183</v>
      </c>
      <c r="H18" s="291"/>
      <c r="I18" s="291"/>
      <c r="J18" s="292"/>
      <c r="K18" s="31" t="str">
        <f>IF(G18="","入力してください","")</f>
        <v/>
      </c>
    </row>
    <row r="19" spans="1:11" ht="22.5" customHeight="1" x14ac:dyDescent="0.15">
      <c r="B19" s="37"/>
      <c r="C19" s="37"/>
      <c r="D19" s="37"/>
      <c r="E19" s="38"/>
      <c r="F19" s="38"/>
      <c r="G19" s="38"/>
      <c r="H19" s="38"/>
      <c r="I19" s="38"/>
      <c r="J19" s="38"/>
    </row>
    <row r="20" spans="1:11" ht="22.5" customHeight="1" x14ac:dyDescent="0.15">
      <c r="B20" s="37"/>
      <c r="C20" s="37"/>
      <c r="D20" s="37"/>
      <c r="E20" s="38"/>
      <c r="F20" s="38"/>
      <c r="G20" s="38"/>
      <c r="H20" s="38"/>
      <c r="I20" s="38"/>
      <c r="J20" s="38"/>
    </row>
    <row r="21" spans="1:11" ht="22.5" customHeight="1" x14ac:dyDescent="0.15">
      <c r="B21" s="37"/>
      <c r="C21" s="37"/>
      <c r="D21" s="37"/>
      <c r="E21" s="38"/>
      <c r="F21" s="38"/>
      <c r="G21" s="38"/>
      <c r="H21" s="38"/>
      <c r="I21" s="38"/>
      <c r="J21" s="38"/>
    </row>
    <row r="22" spans="1:11" ht="22.5" customHeight="1" x14ac:dyDescent="0.15">
      <c r="B22" s="37"/>
      <c r="C22" s="37"/>
      <c r="D22" s="37"/>
      <c r="E22" s="38"/>
      <c r="F22" s="38"/>
      <c r="G22" s="38"/>
      <c r="H22" s="38"/>
      <c r="I22" s="38"/>
      <c r="J22" s="38"/>
    </row>
    <row r="23" spans="1:11" ht="22.5" customHeight="1" x14ac:dyDescent="0.15">
      <c r="B23" s="37"/>
      <c r="C23" s="37"/>
      <c r="D23" s="37"/>
      <c r="E23" s="38"/>
      <c r="F23" s="38"/>
      <c r="G23" s="38"/>
      <c r="H23" s="38"/>
      <c r="I23" s="38"/>
      <c r="J23" s="38"/>
    </row>
    <row r="24" spans="1:11" ht="22.5" customHeight="1" x14ac:dyDescent="0.15">
      <c r="B24" s="102"/>
      <c r="C24" s="102"/>
      <c r="D24" s="102"/>
      <c r="E24" s="102"/>
      <c r="F24" s="102"/>
      <c r="G24" s="102"/>
      <c r="H24" s="102"/>
      <c r="I24" s="102"/>
      <c r="J24" s="102"/>
    </row>
    <row r="25" spans="1:11" ht="22.5" customHeight="1" x14ac:dyDescent="0.15">
      <c r="B25" s="102"/>
      <c r="C25" s="102"/>
      <c r="D25" s="102"/>
      <c r="E25" s="102"/>
      <c r="F25" s="102"/>
      <c r="G25" s="102"/>
      <c r="H25" s="102"/>
      <c r="I25" s="102"/>
      <c r="J25" s="102"/>
    </row>
    <row r="26" spans="1:11" ht="22.5" customHeight="1" x14ac:dyDescent="0.15">
      <c r="B26" s="102"/>
      <c r="C26" s="102"/>
      <c r="D26" s="102"/>
      <c r="E26" s="102"/>
      <c r="F26" s="102"/>
      <c r="G26" s="102"/>
      <c r="H26" s="102"/>
      <c r="I26" s="102"/>
      <c r="J26" s="102"/>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78740157480314965" right="0.78740157480314965" top="0.78740157480314965" bottom="0.78740157480314965" header="0.31496062992125984" footer="0.31496062992125984"/>
  <pageSetup paperSize="9" scale="66" fitToHeight="0" orientation="portrait" r:id="rId1"/>
  <rowBreaks count="1" manualBreakCount="1">
    <brk id="11"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gakkyo-S</cp:lastModifiedBy>
  <cp:lastPrinted>2022-05-12T06:03:56Z</cp:lastPrinted>
  <dcterms:created xsi:type="dcterms:W3CDTF">2011-06-14T05:32:50Z</dcterms:created>
  <dcterms:modified xsi:type="dcterms:W3CDTF">2022-05-19T12:07:26Z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