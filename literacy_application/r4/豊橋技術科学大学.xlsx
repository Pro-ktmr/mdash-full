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Y:\20-教務課\00-共通\◇数理データサイエンス\80_認定制度\20220523_文科省再提出\01（豊橋技術科学大学）_リテラシ\"/>
    </mc:Choice>
  </mc:AlternateContent>
  <xr:revisionPtr revIDLastSave="0" documentId="13_ncr:1_{F735BFD0-E665-4210-8D77-8B41374263B2}" xr6:coauthVersionLast="47" xr6:coauthVersionMax="47" xr10:uidLastSave="{00000000-0000-0000-0000-000000000000}"/>
  <bookViews>
    <workbookView xWindow="-108" yWindow="-108" windowWidth="23256" windowHeight="12576" tabRatio="885"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0" i="40" l="1"/>
  <c r="K18" i="42"/>
  <c r="K16" i="42"/>
  <c r="K15" i="42"/>
  <c r="K9"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O30" i="40" l="1"/>
  <c r="N30" i="40"/>
  <c r="M30" i="40"/>
  <c r="L30" i="40"/>
  <c r="K30" i="40"/>
  <c r="J30" i="40"/>
  <c r="I30" i="40"/>
  <c r="G30" i="40"/>
  <c r="E30" i="40"/>
  <c r="C30" i="40"/>
  <c r="Q29" i="40"/>
  <c r="R29" i="40" s="1"/>
  <c r="Q28" i="40"/>
  <c r="Q27" i="40"/>
  <c r="R27" i="40" s="1"/>
  <c r="Q26" i="40"/>
  <c r="R26" i="40" s="1"/>
  <c r="Q25" i="40"/>
  <c r="R25" i="40" s="1"/>
  <c r="Q24" i="40"/>
  <c r="R24" i="40" s="1"/>
  <c r="Q23" i="40"/>
  <c r="R23" i="40" s="1"/>
  <c r="Q22" i="40"/>
  <c r="R22" i="40" s="1"/>
  <c r="Q21" i="40"/>
  <c r="R21" i="40" s="1"/>
  <c r="R20" i="40"/>
  <c r="Q20" i="40"/>
  <c r="Q19" i="40"/>
  <c r="R19" i="40" s="1"/>
  <c r="Q18" i="40"/>
  <c r="R18" i="40" s="1"/>
  <c r="Q17" i="40"/>
  <c r="R17" i="40" s="1"/>
  <c r="Q16" i="40"/>
  <c r="R16" i="40" s="1"/>
  <c r="Q15" i="40"/>
  <c r="R15" i="40" s="1"/>
  <c r="Q14" i="40"/>
  <c r="R14" i="40" s="1"/>
  <c r="Q13" i="40"/>
  <c r="R13" i="40" s="1"/>
  <c r="Q12" i="40"/>
  <c r="R12" i="40" s="1"/>
  <c r="Q11" i="40"/>
  <c r="R11" i="40" s="1"/>
  <c r="Q10" i="40"/>
  <c r="R10" i="40" s="1"/>
  <c r="Q30" i="40" l="1"/>
  <c r="R28" i="40"/>
  <c r="D30" i="40"/>
  <c r="I29" i="41" s="1"/>
  <c r="R30" i="40" l="1"/>
  <c r="C28" i="41" s="1"/>
</calcChain>
</file>

<file path=xl/sharedStrings.xml><?xml version="1.0" encoding="utf-8"?>
<sst xmlns="http://schemas.openxmlformats.org/spreadsheetml/2006/main" count="358" uniqueCount="229">
  <si>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</si>
  <si>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</si>
  <si>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</si>
  <si>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</si>
  <si>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</si>
  <si>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</si>
  <si>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</si>
  <si>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</si>
  <si>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</si>
  <si>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</si>
  <si>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</si>
  <si>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</si>
  <si>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</si>
  <si>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</si>
  <si>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</si>
  <si>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</si>
  <si>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</si>
  <si>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</si>
  <si>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</si>
  <si>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</si>
  <si>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</si>
  <si>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</si>
  <si>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</si>
  <si>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</si>
  <si>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</si>
  <si>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</si>
  <si>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</si>
  <si>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</si>
  <si>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</si>
  <si>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</si>
  <si>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</si>
  <si>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</si>
  <si>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</si>
  <si>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</si>
  <si>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</si>
  <si>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</si>
  <si>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</si>
  <si>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</si>
  <si>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</si>
  <si>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</si>
  <si>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</si>
  <si>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</si>
  <si>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</si>
  <si>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</si>
  <si>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</si>
  <si>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</si>
  <si>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</si>
  <si>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</si>
  <si>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</si>
  <si>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</si>
  <si>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</si>
  <si>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</si>
  <si>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</si>
  <si>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</si>
  <si>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</si>
  <si>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</si>
  <si>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</si>
  <si>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</si>
  <si>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</si>
  <si>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</si>
  <si>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</si>
  <si>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</si>
  <si>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</si>
  <si>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</si>
  <si>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</si>
  <si>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</si>
  <si>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</si>
  <si>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</si>
  <si>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</si>
  <si>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</si>
  <si>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</si>
  <si>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</si>
  <si>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</si>
  <si>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</si>
  <si>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</si>
  <si>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</si>
  <si>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</si>
  <si>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</si>
  <si>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</si>
  <si>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</si>
  <si>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</si>
  <si>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</si>
  <si>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</si>
  <si>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</si>
  <si>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</si>
  <si>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</si>
  <si>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</si>
  <si>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</si>
  <si>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</si>
  <si>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</si>
  <si>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</si>
  <si>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</si>
  <si>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</si>
  <si>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</si>
  <si>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</si>
  <si>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</si>
  <si>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</si>
  <si>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</si>
  <si>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</si>
  <si>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</si>
  <si>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</si>
  <si>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</si>
  <si>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</si>
  <si>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</si>
  <si>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</si>
  <si>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</si>
  <si>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</si>
  <si>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</si>
  <si>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</si>
  <si>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</si>
  <si>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</si>
  <si>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</si>
  <si>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</si>
  <si>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</si>
  <si>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</si>
  <si>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</si>
  <si>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</si>
  <si>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</si>
  <si>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</si>
  <si>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</si>
  <si>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</si>
  <si>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</si>
  <si>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</si>
  <si>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</si>
  <si>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</si>
  <si>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</si>
  <si>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</si>
  <si>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</si>
  <si>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</si>
  <si>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</si>
  <si>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</si>
  <si>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</si>
  <si>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</si>
  <si>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</si>
  <si>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</si>
  <si>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</si>
  <si>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</si>
  <si>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</si>
  <si>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</si>
  <si>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</si>
  <si>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</si>
  <si>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</si>
  <si>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</si>
  <si>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</si>
  <si>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</si>
  <si>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</si>
  <si>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</si>
  <si>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</si>
  <si>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</si>
  <si>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</si>
  <si>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</si>
  <si>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</si>
  <si>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</si>
  <si>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豊橋技術科学大学</t>
    <phoneticPr fontId="1"/>
  </si>
  <si>
    <t>国立大学</t>
  </si>
  <si>
    <t>GIKADAI数理・データサイエンス・AI教育プログラム</t>
    <phoneticPr fontId="1"/>
  </si>
  <si>
    <t>令和２</t>
    <phoneticPr fontId="1"/>
  </si>
  <si>
    <t>有</t>
  </si>
  <si>
    <t>角田　範義</t>
    <phoneticPr fontId="1"/>
  </si>
  <si>
    <t>教育担当理事</t>
    <phoneticPr fontId="1"/>
  </si>
  <si>
    <t>数理・データサイエンス教育推進室</t>
    <phoneticPr fontId="1"/>
  </si>
  <si>
    <t>後藤　仁志</t>
    <phoneticPr fontId="1"/>
  </si>
  <si>
    <t>教育戦略本部会議</t>
    <phoneticPr fontId="1"/>
  </si>
  <si>
    <t>kyoumu@office.tut.ac.jp</t>
    <phoneticPr fontId="1"/>
  </si>
  <si>
    <t>佐竹　秀夫</t>
    <rPh sb="0" eb="5">
      <t>サタケ</t>
    </rPh>
    <phoneticPr fontId="1"/>
  </si>
  <si>
    <t>0532-44-6543</t>
    <phoneticPr fontId="1"/>
  </si>
  <si>
    <t>学部・学科によって、修了要件は相違しない</t>
  </si>
  <si>
    <t>○</t>
  </si>
  <si>
    <t>ICT基礎</t>
    <phoneticPr fontId="1"/>
  </si>
  <si>
    <t>全学開講</t>
  </si>
  <si>
    <t>工学概論</t>
    <phoneticPr fontId="1"/>
  </si>
  <si>
    <t>工学概論</t>
    <rPh sb="0" eb="2">
      <t>コウガク</t>
    </rPh>
    <rPh sb="2" eb="4">
      <t>ガイロン</t>
    </rPh>
    <phoneticPr fontId="1"/>
  </si>
  <si>
    <t>理工学実験</t>
    <rPh sb="0" eb="3">
      <t>リコウガク</t>
    </rPh>
    <rPh sb="3" eb="5">
      <t>ジッケン</t>
    </rPh>
    <phoneticPr fontId="2"/>
  </si>
  <si>
    <t>プロジェクト研究</t>
    <rPh sb="6" eb="8">
      <t>ケンキュウ</t>
    </rPh>
    <phoneticPr fontId="2"/>
  </si>
  <si>
    <t>確率・統計</t>
    <rPh sb="0" eb="2">
      <t>カクリテゥ</t>
    </rPh>
    <rPh sb="3" eb="5">
      <t>トウケイ</t>
    </rPh>
    <phoneticPr fontId="2"/>
  </si>
  <si>
    <t>○</t>
    <phoneticPr fontId="1"/>
  </si>
  <si>
    <t>4‐2アルゴリズム基礎</t>
  </si>
  <si>
    <t>4‐3データ構造とプログラミング基礎</t>
  </si>
  <si>
    <t>https://cite.tut.ac.jp/program-series/mdash</t>
    <phoneticPr fontId="1"/>
  </si>
  <si>
    <t>機械工学課程</t>
    <rPh sb="0" eb="2">
      <t>キカイ</t>
    </rPh>
    <rPh sb="2" eb="4">
      <t>コウガク</t>
    </rPh>
    <rPh sb="4" eb="6">
      <t>カテイ</t>
    </rPh>
    <phoneticPr fontId="2"/>
  </si>
  <si>
    <t>電気・電子情報工学課程</t>
    <rPh sb="0" eb="2">
      <t>デンキ</t>
    </rPh>
    <rPh sb="3" eb="5">
      <t>デンシ</t>
    </rPh>
    <rPh sb="5" eb="7">
      <t>ジョウホウ</t>
    </rPh>
    <rPh sb="7" eb="9">
      <t>コウガク</t>
    </rPh>
    <rPh sb="9" eb="11">
      <t>カテイ</t>
    </rPh>
    <phoneticPr fontId="2"/>
  </si>
  <si>
    <t>情報・知能工学課程</t>
    <rPh sb="0" eb="2">
      <t>ジョウホウ</t>
    </rPh>
    <rPh sb="3" eb="9">
      <t>チノウコウガクカテイ</t>
    </rPh>
    <phoneticPr fontId="2"/>
  </si>
  <si>
    <t>応用化学・生命工学課程</t>
    <rPh sb="0" eb="2">
      <t>オウヨウ</t>
    </rPh>
    <rPh sb="2" eb="4">
      <t>カガク</t>
    </rPh>
    <rPh sb="5" eb="7">
      <t>セイメイ</t>
    </rPh>
    <rPh sb="7" eb="9">
      <t>コウガク</t>
    </rPh>
    <rPh sb="9" eb="11">
      <t>カテイ</t>
    </rPh>
    <phoneticPr fontId="2"/>
  </si>
  <si>
    <t>建築・都市システム学課程</t>
    <rPh sb="0" eb="2">
      <t>ケンチク</t>
    </rPh>
    <rPh sb="3" eb="5">
      <t>トシ</t>
    </rPh>
    <rPh sb="9" eb="10">
      <t>マナ</t>
    </rPh>
    <rPh sb="10" eb="12">
      <t>カテイ</t>
    </rPh>
    <phoneticPr fontId="2"/>
  </si>
  <si>
    <t>豊橋技術科学大学数理・データサイエンス教育推進室設置要項</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</si>
  <si>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</si>
  <si>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〇</t>
    <phoneticPr fontId="1"/>
  </si>
  <si>
    <t>　本教育プログラムを構成する全ての申請科目は、全ての学部学生が受講可能な科目である。</t>
    <rPh sb="10" eb="12">
      <t>コウセイ</t>
    </rPh>
    <rPh sb="14" eb="15">
      <t>スベ</t>
    </rPh>
    <rPh sb="23" eb="24">
      <t>スベ</t>
    </rPh>
    <rPh sb="26" eb="28">
      <t>ガクブ</t>
    </rPh>
    <rPh sb="28" eb="30">
      <t>ガクセイ</t>
    </rPh>
    <rPh sb="31" eb="35">
      <t>ジュコウカノウ</t>
    </rPh>
    <phoneticPr fontId="1"/>
  </si>
  <si>
    <t>　本教育プログラムの修了者はまだ出ていないが、学生課において、全卒業生の進路を把握している。また、本学の特色ある取組の一つである必修科目「実務訓練」では、本学の卒業生・修了生の就職先である企業や自治体を中心に4年次後期の長期インターンシップ（2か月間）を実施しており、期間中に指導教員が受け入れ先を訪問し、当該学生の活動状況や評価を受入担当者と共有するだけでなく、本学卒業生・修了生の活躍状況や本学への要望を調査している。今後は、本教育プログラムを紹介し、企業や自治体から本教育プログラムへの要望を合わせて調査し、教育内容の改善に活用する。</t>
    <rPh sb="23" eb="26">
      <t>ガクセイカ</t>
    </rPh>
    <rPh sb="31" eb="35">
      <t>ゼンソツギョウセイ</t>
    </rPh>
    <rPh sb="36" eb="38">
      <t>シンロ</t>
    </rPh>
    <rPh sb="39" eb="41">
      <t>ハアク</t>
    </rPh>
    <rPh sb="49" eb="51">
      <t>ホンガク</t>
    </rPh>
    <rPh sb="52" eb="54">
      <t>トクショク</t>
    </rPh>
    <rPh sb="56" eb="58">
      <t>トリクミ</t>
    </rPh>
    <rPh sb="59" eb="60">
      <t>ヒト</t>
    </rPh>
    <rPh sb="64" eb="68">
      <t>ヒッシュウカモク</t>
    </rPh>
    <rPh sb="69" eb="73">
      <t>ジツムクンレン</t>
    </rPh>
    <rPh sb="77" eb="79">
      <t>ホンガク</t>
    </rPh>
    <rPh sb="80" eb="83">
      <t>ソツギョウセイ</t>
    </rPh>
    <rPh sb="84" eb="87">
      <t>シュウリョウセイ</t>
    </rPh>
    <rPh sb="88" eb="91">
      <t>シュウショクサキ</t>
    </rPh>
    <rPh sb="94" eb="96">
      <t>キギョウ</t>
    </rPh>
    <rPh sb="97" eb="100">
      <t>ジチタイ</t>
    </rPh>
    <rPh sb="101" eb="103">
      <t>チュウシン</t>
    </rPh>
    <rPh sb="105" eb="107">
      <t>ネンジ</t>
    </rPh>
    <rPh sb="107" eb="109">
      <t>コウキ</t>
    </rPh>
    <rPh sb="110" eb="112">
      <t>チョウキ</t>
    </rPh>
    <rPh sb="123" eb="125">
      <t>ゲツカン</t>
    </rPh>
    <rPh sb="127" eb="129">
      <t>ジッシ</t>
    </rPh>
    <rPh sb="134" eb="137">
      <t>キカンチュウ</t>
    </rPh>
    <rPh sb="138" eb="142">
      <t>シドウキョウイン</t>
    </rPh>
    <rPh sb="143" eb="144">
      <t>ウ</t>
    </rPh>
    <rPh sb="145" eb="146">
      <t>イ</t>
    </rPh>
    <rPh sb="147" eb="148">
      <t>サキ</t>
    </rPh>
    <rPh sb="149" eb="151">
      <t>ホウモン</t>
    </rPh>
    <rPh sb="153" eb="155">
      <t>トウガイ</t>
    </rPh>
    <rPh sb="155" eb="157">
      <t>ガクセイ</t>
    </rPh>
    <rPh sb="158" eb="162">
      <t>カツドウジョウキョウ</t>
    </rPh>
    <rPh sb="163" eb="165">
      <t>ヒョウカ</t>
    </rPh>
    <rPh sb="166" eb="171">
      <t>ウケイレタントウシャ</t>
    </rPh>
    <rPh sb="172" eb="174">
      <t>キョウユウ</t>
    </rPh>
    <rPh sb="182" eb="187">
      <t>ホンガクソツギョウセイ</t>
    </rPh>
    <rPh sb="188" eb="191">
      <t>シュウリョウセイ</t>
    </rPh>
    <rPh sb="192" eb="196">
      <t>カツヤクジョウキョウ</t>
    </rPh>
    <rPh sb="197" eb="199">
      <t>ホンガク</t>
    </rPh>
    <rPh sb="201" eb="203">
      <t>ヨウボウ</t>
    </rPh>
    <rPh sb="204" eb="206">
      <t>チョウサ</t>
    </rPh>
    <rPh sb="211" eb="213">
      <t>コンゴ</t>
    </rPh>
    <rPh sb="215" eb="218">
      <t>ホンキョウイク</t>
    </rPh>
    <rPh sb="224" eb="226">
      <t>ショウカイ</t>
    </rPh>
    <rPh sb="228" eb="230">
      <t>キギョウ</t>
    </rPh>
    <rPh sb="231" eb="234">
      <t>ジチタイ</t>
    </rPh>
    <rPh sb="236" eb="239">
      <t>ホンキョウイク</t>
    </rPh>
    <rPh sb="246" eb="248">
      <t>ヨウボウ</t>
    </rPh>
    <rPh sb="249" eb="250">
      <t>ア</t>
    </rPh>
    <rPh sb="253" eb="255">
      <t>チョウサ</t>
    </rPh>
    <rPh sb="257" eb="259">
      <t>キョウイク</t>
    </rPh>
    <rPh sb="259" eb="261">
      <t>ナイヨウ</t>
    </rPh>
    <rPh sb="262" eb="264">
      <t>カイゼン</t>
    </rPh>
    <rPh sb="265" eb="267">
      <t>カツヨウ</t>
    </rPh>
    <phoneticPr fontId="1"/>
  </si>
  <si>
    <t>　本学では共同研究講座で提携している企業等に対して、本学の教員が数理・データサイエンス・AI教育に関する実習・演習を含む教育講座（セミナー）を実施している。このセミナーの内容は、提携先の企業等の意見や要望に基づいて本学教員が内容を精査し、開発した教材を用いて、提携先の企業等において実施している。本教育プログラムでは、こうした提携企業等の意見や要望を踏まえて開発されたセミナー教材を、本学の学生向けにも積極的に活用している。</t>
    <rPh sb="1" eb="3">
      <t>ホンガク</t>
    </rPh>
    <rPh sb="5" eb="9">
      <t>キョウドウケンキュウ</t>
    </rPh>
    <rPh sb="9" eb="11">
      <t>コウザ</t>
    </rPh>
    <rPh sb="12" eb="14">
      <t>テイケイ</t>
    </rPh>
    <rPh sb="18" eb="21">
      <t>キギョウトウ</t>
    </rPh>
    <rPh sb="22" eb="23">
      <t>タイ</t>
    </rPh>
    <rPh sb="26" eb="28">
      <t>ホンガク</t>
    </rPh>
    <rPh sb="29" eb="31">
      <t>キョウイン</t>
    </rPh>
    <rPh sb="32" eb="34">
      <t>スウリ</t>
    </rPh>
    <rPh sb="52" eb="54">
      <t>ジッシュウ</t>
    </rPh>
    <rPh sb="55" eb="57">
      <t>エンシュウ</t>
    </rPh>
    <rPh sb="58" eb="59">
      <t>フク</t>
    </rPh>
    <rPh sb="60" eb="64">
      <t>キョウイクコウザ</t>
    </rPh>
    <rPh sb="85" eb="87">
      <t>ナイヨウ</t>
    </rPh>
    <rPh sb="89" eb="92">
      <t>テイケイサキ</t>
    </rPh>
    <rPh sb="93" eb="95">
      <t>キギョウ</t>
    </rPh>
    <rPh sb="95" eb="96">
      <t>トウ</t>
    </rPh>
    <rPh sb="97" eb="99">
      <t>イケン</t>
    </rPh>
    <rPh sb="100" eb="102">
      <t>ヨウボウ</t>
    </rPh>
    <rPh sb="103" eb="104">
      <t>モト</t>
    </rPh>
    <rPh sb="107" eb="111">
      <t>ホンガクキョウイン</t>
    </rPh>
    <rPh sb="119" eb="121">
      <t>カイハツ</t>
    </rPh>
    <rPh sb="123" eb="125">
      <t>キョウザイ</t>
    </rPh>
    <rPh sb="126" eb="127">
      <t>モチ</t>
    </rPh>
    <rPh sb="130" eb="133">
      <t>テイケイサキ</t>
    </rPh>
    <rPh sb="134" eb="137">
      <t>キギョウトウ</t>
    </rPh>
    <rPh sb="141" eb="143">
      <t>ジッシ</t>
    </rPh>
    <rPh sb="148" eb="151">
      <t>ホンキョウイク</t>
    </rPh>
    <rPh sb="163" eb="165">
      <t>テイケイ</t>
    </rPh>
    <rPh sb="165" eb="167">
      <t>キギョウ</t>
    </rPh>
    <rPh sb="167" eb="168">
      <t>トウ</t>
    </rPh>
    <rPh sb="169" eb="171">
      <t>イケン</t>
    </rPh>
    <rPh sb="172" eb="174">
      <t>ヨウボウ</t>
    </rPh>
    <rPh sb="175" eb="176">
      <t>フ</t>
    </rPh>
    <rPh sb="179" eb="181">
      <t>カイハツ</t>
    </rPh>
    <rPh sb="188" eb="190">
      <t>キョウザイ</t>
    </rPh>
    <rPh sb="192" eb="194">
      <t>ホンガク</t>
    </rPh>
    <rPh sb="195" eb="198">
      <t>ガクセイム</t>
    </rPh>
    <rPh sb="201" eb="204">
      <t>セッキョクテキ</t>
    </rPh>
    <rPh sb="205" eb="207">
      <t>カツヨウ</t>
    </rPh>
    <phoneticPr fontId="1"/>
  </si>
  <si>
    <t>4-1統計および数理基礎</t>
  </si>
  <si>
    <t>工学概論</t>
    <rPh sb="0" eb="4">
      <t>コウガクガイロン</t>
    </rPh>
    <phoneticPr fontId="1"/>
  </si>
  <si>
    <t>確率・統計</t>
    <rPh sb="0" eb="2">
      <t>カクリツ</t>
    </rPh>
    <rPh sb="3" eb="5">
      <t>トウケイ</t>
    </rPh>
    <phoneticPr fontId="1"/>
  </si>
  <si>
    <t>■工学概論
第11回：データサイエンスのメディア応用（AIの最新技術の活用例）</t>
    <phoneticPr fontId="1"/>
  </si>
  <si>
    <t>■ICT基礎
第２回：データの収集と整理（１次データ、2次データ）
第11回：ディジタル表現（構造化データ、非構造化データ）</t>
    <phoneticPr fontId="1"/>
  </si>
  <si>
    <t>■工学概論
第６回：ソサエティ5.0とデータリテラシー（AI利活用事例紹介）
第11回：データサイエンスのメディア応用（AI利活用事例紹介）</t>
    <rPh sb="24" eb="31">
      <t>リカツヨウ</t>
    </rPh>
    <phoneticPr fontId="2"/>
  </si>
  <si>
    <t>室長</t>
    <rPh sb="0" eb="2">
      <t>シツチョウ</t>
    </rPh>
    <phoneticPr fontId="1"/>
  </si>
  <si>
    <t>本部長</t>
    <rPh sb="0" eb="3">
      <t>ホンブチョウ</t>
    </rPh>
    <phoneticPr fontId="1"/>
  </si>
  <si>
    <t>■ICT基礎
第14、15回：社会とデータ（IoT、電子商取引、電子貨幣、オンライン診療)
■工学概論
第６回：ソサエティ5.0とデータリテラシー(複数技術を組み合わせたAIｻｰﾋﾞｽ、ﾃﾞｰﾀ駆動型社会とﾃﾞｰﾀｻｲｴﾝｽ）</t>
    <rPh sb="74" eb="76">
      <t>フクスウ</t>
    </rPh>
    <rPh sb="97" eb="100">
      <t>クドウガタ</t>
    </rPh>
    <rPh sb="100" eb="102">
      <t>シャカイ</t>
    </rPh>
    <phoneticPr fontId="1"/>
  </si>
  <si>
    <t>■ICT基礎
第14、15回：社会とデータ（IoT、電子商取引、電子貨幣、オンライン診療）</t>
    <phoneticPr fontId="1"/>
  </si>
  <si>
    <t>■工学概論
第６回：ソサエティ5.0とデータリテラシー（ﾃﾞｰﾀ駆動型社会とﾃﾞｰﾀｻｲｴﾝｽ、データ解析、データ可視化）
第11回：データサイエンスのメディア応用（画像/動画処理）</t>
    <rPh sb="77" eb="79">
      <t>ガゾウ</t>
    </rPh>
    <rPh sb="80" eb="84">
      <t>ドウガ</t>
    </rPh>
    <phoneticPr fontId="2"/>
  </si>
  <si>
    <t>■ICT基礎
第８、９回：セキュリティ（個人情報保護、データ倫理）
■工学概論
第６回：ソサエティ5.0とデータリテラシー (AI社会原則、AIサービスの責任論）</t>
    <rPh sb="37" eb="39">
      <t>ガイロン</t>
    </rPh>
    <phoneticPr fontId="1"/>
  </si>
  <si>
    <t>■ICT基礎
第８、９回：セキュリティ（情報セキュリティ、匿名加工情報、パスワード、公開鍵認証、バイオメトリクス認証）</t>
    <phoneticPr fontId="1"/>
  </si>
  <si>
    <t>■確率・統計
第１回：平均と分散、第２回：相関と回帰、第９回：母集団と標本、第10回：標本平均と標本分散
■工学概論
第１回：観測から確率の推定（試行、漸近的収束、事前分布、条件付き確率、事後分布、最尤推定値、期待値）
■理工学実験
PBL型実習を通じて実験データを収集・整理し、統計分析・可視化技術等を学び、レポート等にまとめる。
■プロジェクト研究
PBL型プレ卒業研究を通じて研究データを収集・整理し、比較・統計分析・可視化・文献調査に基づき現象を理解・考察し、ﾌﾟﾚｾﾞﾝﾃｰｼｮﾝ資料にまとめ、他者に説明する。</t>
    <rPh sb="9" eb="10">
      <t>カイ</t>
    </rPh>
    <rPh sb="19" eb="20">
      <t>カイ</t>
    </rPh>
    <rPh sb="29" eb="30">
      <t>カイ</t>
    </rPh>
    <rPh sb="41" eb="42">
      <t>カイ</t>
    </rPh>
    <rPh sb="54" eb="58">
      <t>コウガクガイロン</t>
    </rPh>
    <rPh sb="140" eb="142">
      <t>トウケイ</t>
    </rPh>
    <rPh sb="150" eb="151">
      <t>トウ</t>
    </rPh>
    <rPh sb="204" eb="206">
      <t>ヒカク</t>
    </rPh>
    <rPh sb="207" eb="209">
      <t>トウケイ</t>
    </rPh>
    <phoneticPr fontId="1"/>
  </si>
  <si>
    <t>■理工学実験
PBL型実習。各課程における学問の内容の一例を、実際に自分の手足等を動かして体験し理解するとともに、実験データ等の取り扱い、統計分析・解析、表記・表現方法等を学ぶ。
■プロジェクト研究
PBL型プレ卒業研究を通じて研究データを収集・整理し、比較・統計分析・可視化・文献調査に基づき現象を理解・考察し、ﾌﾟﾚｾﾞﾝﾃｰｼｮﾝ資料にまとめ、他者に説明する。</t>
    <rPh sb="11" eb="13">
      <t>ジッシュウ</t>
    </rPh>
    <rPh sb="111" eb="112">
      <t>ツウ</t>
    </rPh>
    <rPh sb="120" eb="122">
      <t>シュウシュウ</t>
    </rPh>
    <rPh sb="123" eb="125">
      <t>セイリ</t>
    </rPh>
    <rPh sb="127" eb="129">
      <t>ヒカク</t>
    </rPh>
    <rPh sb="130" eb="132">
      <t>トウケイ</t>
    </rPh>
    <rPh sb="132" eb="134">
      <t>ブンセキ</t>
    </rPh>
    <rPh sb="139" eb="141">
      <t>ブンケン</t>
    </rPh>
    <rPh sb="141" eb="143">
      <t>チョウサ</t>
    </rPh>
    <rPh sb="144" eb="145">
      <t>モト</t>
    </rPh>
    <rPh sb="147" eb="149">
      <t>ゲンショウ</t>
    </rPh>
    <rPh sb="150" eb="152">
      <t>リカイ</t>
    </rPh>
    <rPh sb="153" eb="155">
      <t>コウサツ</t>
    </rPh>
    <rPh sb="168" eb="170">
      <t>シリョウ</t>
    </rPh>
    <phoneticPr fontId="1"/>
  </si>
  <si>
    <t>■理工学実験
PBL型実習を通じて実験データを収集・整理し、統計分析・可視化技術を学び、レポート等にまとめる。
■プロジェクト研究
PBL型プレ卒業研究を通じて研究データを収集・整理し、比較・統計分析・可視化・文献調査に基づき現象を理解・考察し、ﾌﾟﾚｾﾞﾝﾃｰｼｮﾝ資料にまとめ、他者に説明する。</t>
    <rPh sb="11" eb="13">
      <t>ジッシュウ</t>
    </rPh>
    <rPh sb="14" eb="15">
      <t>ツウ</t>
    </rPh>
    <rPh sb="23" eb="25">
      <t>シュウシュウ</t>
    </rPh>
    <rPh sb="26" eb="28">
      <t>セイリ</t>
    </rPh>
    <rPh sb="30" eb="32">
      <t>トウケイ</t>
    </rPh>
    <rPh sb="32" eb="34">
      <t>ブンセキ</t>
    </rPh>
    <rPh sb="35" eb="38">
      <t>カシカ</t>
    </rPh>
    <rPh sb="38" eb="40">
      <t>ギジュツ</t>
    </rPh>
    <rPh sb="48" eb="49">
      <t>トウ</t>
    </rPh>
    <rPh sb="77" eb="78">
      <t>ツウ</t>
    </rPh>
    <rPh sb="86" eb="88">
      <t>シュウシュウ</t>
    </rPh>
    <rPh sb="89" eb="91">
      <t>セイリ</t>
    </rPh>
    <rPh sb="93" eb="95">
      <t>ヒカク</t>
    </rPh>
    <rPh sb="96" eb="98">
      <t>トウケイ</t>
    </rPh>
    <rPh sb="98" eb="100">
      <t>ブンセキ</t>
    </rPh>
    <rPh sb="105" eb="107">
      <t>ブンケン</t>
    </rPh>
    <rPh sb="107" eb="109">
      <t>チョウサ</t>
    </rPh>
    <rPh sb="110" eb="111">
      <t>モト</t>
    </rPh>
    <rPh sb="113" eb="115">
      <t>ゲンショウ</t>
    </rPh>
    <rPh sb="116" eb="118">
      <t>リカイ</t>
    </rPh>
    <rPh sb="119" eb="121">
      <t>コウサツ</t>
    </rPh>
    <rPh sb="134" eb="136">
      <t>シリョウ</t>
    </rPh>
    <phoneticPr fontId="1"/>
  </si>
  <si>
    <t>　申請科目の中で「ICT基礎」、「理工学実験」の授業では、理解度向上を図るためにTAを配置して履修学生の理解を助けるとともに、LMSの掲示板機能やメール等を活用して履修学生からの個別の質問等も随時受付け速やかに回答するなどのサポート体制を整備している。「工学概論」、「確率・統計」では、授業担当教員へ直接，質問等が相談できるよう、オフィスアワーを設定し，同時双方向のコミュニケーション方法により学生サポートの充実を図っている。また、「プロジェクト研究」では，学生を複数のグループに分けたPBL型実習形式で実施し（プレ卒業研究）、担当教員も複数名体制で対応している。
　いずれも上記のような個別対応によって理解度の向上を図り，受講生の円滑な学修と教育内容を修得できるようサポートするなど、できる限り多くの学生が本教育プログラムを履修・修得できる体制を構築している。</t>
    <rPh sb="67" eb="70">
      <t>ケイジバン</t>
    </rPh>
    <rPh sb="70" eb="72">
      <t>キノウ</t>
    </rPh>
    <rPh sb="76" eb="77">
      <t>トウ</t>
    </rPh>
    <rPh sb="78" eb="80">
      <t>カツヨウ</t>
    </rPh>
    <rPh sb="96" eb="98">
      <t>ズイジ</t>
    </rPh>
    <rPh sb="98" eb="100">
      <t>ウケツケ</t>
    </rPh>
    <rPh sb="101" eb="102">
      <t>スミ</t>
    </rPh>
    <rPh sb="105" eb="107">
      <t>カイトウ</t>
    </rPh>
    <rPh sb="116" eb="118">
      <t>タイセイ</t>
    </rPh>
    <rPh sb="119" eb="121">
      <t>セイビ</t>
    </rPh>
    <rPh sb="177" eb="182">
      <t>ドウジソウホウコウ</t>
    </rPh>
    <rPh sb="192" eb="194">
      <t>ホウホウ</t>
    </rPh>
    <rPh sb="204" eb="206">
      <t>ジュウジツ</t>
    </rPh>
    <rPh sb="207" eb="208">
      <t>ハカ</t>
    </rPh>
    <rPh sb="229" eb="231">
      <t>ガクセイ</t>
    </rPh>
    <rPh sb="246" eb="247">
      <t>ガタ</t>
    </rPh>
    <rPh sb="247" eb="249">
      <t>ジッシュウ</t>
    </rPh>
    <rPh sb="249" eb="251">
      <t>ケイシキ</t>
    </rPh>
    <rPh sb="252" eb="254">
      <t>ジッシ</t>
    </rPh>
    <rPh sb="269" eb="272">
      <t>フクスウメイ</t>
    </rPh>
    <rPh sb="272" eb="274">
      <t>タイセイ</t>
    </rPh>
    <phoneticPr fontId="1"/>
  </si>
  <si>
    <t>「GIKADAI数理・データサイエンス・AI教育プログラム（リテラシーレベル）」を構成する科目として、一般基礎科目「工学概論」2単位、「理工学実験」1単位、専門科目「ICT基礎」2単位、「プロジェクト研究」2単位、「確率•統計」1.5単位、計8.5単位を取得することが本プログラムの修了要件である。
※3年次編入学者を含む全ての学部3年次の学生には、応用基礎レベルのGIKADAI数理・データサイエンス・AI教育プログラム（認定申請中）を提供する。</t>
    <rPh sb="41" eb="43">
      <t>コウセイ</t>
    </rPh>
    <rPh sb="45" eb="47">
      <t>カモク</t>
    </rPh>
    <rPh sb="153" eb="155">
      <t>ネンジ</t>
    </rPh>
    <rPh sb="155" eb="158">
      <t>ヘンニュウガク</t>
    </rPh>
    <rPh sb="158" eb="159">
      <t>シャ</t>
    </rPh>
    <rPh sb="160" eb="161">
      <t>フク</t>
    </rPh>
    <rPh sb="162" eb="163">
      <t>スベ</t>
    </rPh>
    <rPh sb="165" eb="167">
      <t>ガクブ</t>
    </rPh>
    <rPh sb="168" eb="170">
      <t>ネンジ</t>
    </rPh>
    <rPh sb="171" eb="173">
      <t>ガクセイ</t>
    </rPh>
    <rPh sb="176" eb="180">
      <t>オウヨウキソ</t>
    </rPh>
    <rPh sb="213" eb="218">
      <t>ニンテイシンセイチュウ</t>
    </rPh>
    <rPh sb="220" eb="222">
      <t>テイキョウ</t>
    </rPh>
    <phoneticPr fontId="1"/>
  </si>
  <si>
    <t>　入学時の新入生オリエンテーションにおいて、本教育プログラムについて周知するとともに、数理・データサイエンス・AI教育を受講する意義を伝えることで、申請科目の履修を促している。また、全ての学生が閲覧する教務情報システムの機能を活用し、随時、情報提供を行っている。また、大学およびIT活用教育センターのウェブサイトなどのインターネット媒体を通じて、プログラムの紹介や本プログラムの修了学生の学修成果などを発信している。</t>
    <rPh sb="1" eb="4">
      <t>ニュウガクジ</t>
    </rPh>
    <rPh sb="22" eb="25">
      <t>ホンキョウイク</t>
    </rPh>
    <rPh sb="34" eb="36">
      <t>シュウチ</t>
    </rPh>
    <rPh sb="43" eb="45">
      <t>スウリ</t>
    </rPh>
    <rPh sb="57" eb="59">
      <t>キョウイク</t>
    </rPh>
    <rPh sb="60" eb="62">
      <t>ジュコウ</t>
    </rPh>
    <rPh sb="64" eb="66">
      <t>イギ</t>
    </rPh>
    <rPh sb="67" eb="68">
      <t>ツタ</t>
    </rPh>
    <rPh sb="74" eb="78">
      <t>シンセイカモク</t>
    </rPh>
    <rPh sb="91" eb="92">
      <t>スベ</t>
    </rPh>
    <rPh sb="94" eb="96">
      <t>ガクセイ</t>
    </rPh>
    <rPh sb="97" eb="99">
      <t>エツラン</t>
    </rPh>
    <rPh sb="110" eb="112">
      <t>キノウ</t>
    </rPh>
    <rPh sb="113" eb="115">
      <t>カツヨウ</t>
    </rPh>
    <rPh sb="117" eb="119">
      <t>ズイジ</t>
    </rPh>
    <rPh sb="122" eb="124">
      <t>ハッシン</t>
    </rPh>
    <rPh sb="141" eb="145">
      <t>カツヨウキョウイク</t>
    </rPh>
    <rPh sb="194" eb="198">
      <t>ガクシュウセイカ</t>
    </rPh>
    <phoneticPr fontId="1"/>
  </si>
  <si>
    <t>愛知県豊橋市天伯町雲雀ヶ丘１－１</t>
    <phoneticPr fontId="1"/>
  </si>
  <si>
    <t>※</t>
    <phoneticPr fontId="1"/>
  </si>
  <si>
    <t>　本学では、全ての科目のシラバスに、担当教員の居室、メールアドレス、オフィスアワーが掲示され、学生はオフィスアワー内であれば担当教員から直接、時間外であればメール等で学習指導を受けられる体制を整備している。また、LMS（Google ClassroomやMoodle）のチャット機能を活用すれば、授業時間内にいつでも質問・相談することができる。</t>
    <rPh sb="23" eb="25">
      <t>キョシツ</t>
    </rPh>
    <rPh sb="42" eb="44">
      <t>ケイジ</t>
    </rPh>
    <rPh sb="62" eb="64">
      <t>タントウ</t>
    </rPh>
    <rPh sb="64" eb="66">
      <t>キョウイン</t>
    </rPh>
    <rPh sb="68" eb="70">
      <t>チョクセツ</t>
    </rPh>
    <rPh sb="71" eb="74">
      <t>ジカンガイ</t>
    </rPh>
    <rPh sb="81" eb="82">
      <t>トウ</t>
    </rPh>
    <rPh sb="83" eb="87">
      <t>ガクシュウシドウ</t>
    </rPh>
    <rPh sb="88" eb="89">
      <t>ウ</t>
    </rPh>
    <rPh sb="93" eb="95">
      <t>タイセイ</t>
    </rPh>
    <rPh sb="96" eb="98">
      <t>セイビ</t>
    </rPh>
    <rPh sb="139" eb="141">
      <t>キノウ</t>
    </rPh>
    <rPh sb="142" eb="144">
      <t>カツヨウ</t>
    </rPh>
    <rPh sb="148" eb="153">
      <t>ジュギョウジカンナイ</t>
    </rPh>
    <rPh sb="158" eb="160">
      <t>シツモン</t>
    </rPh>
    <rPh sb="161" eb="163">
      <t>ソウダン</t>
    </rPh>
    <phoneticPr fontId="1"/>
  </si>
  <si>
    <t>　「教育戦略本部会議」は、本学の卒業及び修了認定・学位授与の方針並びに教育課程編成・実施の方針に関することなど教育に関する企画・立案を審議する会議である。本会議の下に設置した「数理・データサイエンス教育推進室」では、本教育プログラムを開発するとともに、実施状況や授業アンケートの結果、および担当教員による自己点検・評価等に基づいて教育内容のさらなる改善・進化に向けた企画・立案を行い、教育戦略本部会議にてこれらを審議・承認する体制をとっている。また、2020年4月に発足した「IT活用教育センター」では、数理・データサイエンス・AI教育プログラムを円滑に実施するための支援を行い、学修状況の記録・分析に基づいて教育効果の高い教材の開発・改善を推進し、教育の質向上に取り組んでいる。</t>
    <rPh sb="83" eb="85">
      <t>セッチ</t>
    </rPh>
    <rPh sb="108" eb="109">
      <t>ホン</t>
    </rPh>
    <rPh sb="109" eb="111">
      <t>キョウイク</t>
    </rPh>
    <rPh sb="117" eb="119">
      <t>カイハツ</t>
    </rPh>
    <rPh sb="131" eb="133">
      <t>ジュギョウ</t>
    </rPh>
    <rPh sb="145" eb="149">
      <t>タントウキョウイン</t>
    </rPh>
    <rPh sb="159" eb="160">
      <t>トウ</t>
    </rPh>
    <rPh sb="161" eb="162">
      <t>モト</t>
    </rPh>
    <rPh sb="174" eb="176">
      <t>カイゼン</t>
    </rPh>
    <rPh sb="177" eb="179">
      <t>シンカ</t>
    </rPh>
    <rPh sb="180" eb="181">
      <t>ム</t>
    </rPh>
    <rPh sb="192" eb="196">
      <t>キョウイクセンリャク</t>
    </rPh>
    <rPh sb="196" eb="200">
      <t>ホンブカイギ</t>
    </rPh>
    <rPh sb="206" eb="208">
      <t>シンギ</t>
    </rPh>
    <rPh sb="213" eb="215">
      <t>タイセイ</t>
    </rPh>
    <rPh sb="229" eb="230">
      <t>ネン</t>
    </rPh>
    <rPh sb="231" eb="232">
      <t>ガツ</t>
    </rPh>
    <rPh sb="233" eb="235">
      <t>ホッソク</t>
    </rPh>
    <rPh sb="240" eb="242">
      <t>カツヨウ</t>
    </rPh>
    <rPh sb="242" eb="244">
      <t>キョウイク</t>
    </rPh>
    <rPh sb="284" eb="286">
      <t>シエン</t>
    </rPh>
    <rPh sb="287" eb="288">
      <t>オコナ</t>
    </rPh>
    <rPh sb="290" eb="292">
      <t>ガクシュウ</t>
    </rPh>
    <rPh sb="292" eb="294">
      <t>ジョウキョウ</t>
    </rPh>
    <rPh sb="295" eb="297">
      <t>キロク</t>
    </rPh>
    <rPh sb="298" eb="300">
      <t>ブンセキ</t>
    </rPh>
    <rPh sb="301" eb="302">
      <t>モト</t>
    </rPh>
    <rPh sb="305" eb="309">
      <t>キョウイクコウカ</t>
    </rPh>
    <rPh sb="310" eb="311">
      <t>タカ</t>
    </rPh>
    <rPh sb="318" eb="320">
      <t>カイゼン</t>
    </rPh>
    <rPh sb="321" eb="323">
      <t>スイシン</t>
    </rPh>
    <rPh sb="332" eb="333">
      <t>ト</t>
    </rPh>
    <rPh sb="334" eb="335">
      <t>ク</t>
    </rPh>
    <phoneticPr fontId="1"/>
  </si>
  <si>
    <t>・室長：後藤　仁志(情報メディア基盤センター教授，IT活用教育センター長)
・副室長：北岡　教英(情報・知能工学系教授)
・室員：内山　直樹（機械工学系教授）
・室員：市川　周一（電気・電子情報工学系教授）
・室員：栗山　繁（情報・知能工学系教授)
・室員：青野　雅樹（情報・知能工学系教授)
・室員：梅村　恭司（情報・知能工学系教授)
・室員：小口　達夫（応用化学・生命工学系准教授）
・室員：渋澤　博幸（建築・都市システム学系教授）
・室員：岡田　　浩（総合教育院教授）
・室員：野田　俊彦（エレクトロニクス先端融合研究所准教授）
・室員：市坪　誠（高専連携地方創生機構教授）
・室員：原田　耕治（IT活用教育センター准教授）
・室員：井佐原　均（IT活用教育センター特命教授）</t>
    <rPh sb="10" eb="12">
      <t>ジョウホウ</t>
    </rPh>
    <rPh sb="16" eb="18">
      <t>キバン</t>
    </rPh>
    <rPh sb="22" eb="24">
      <t>キョウジュ</t>
    </rPh>
    <rPh sb="40" eb="41">
      <t>シツ</t>
    </rPh>
    <phoneticPr fontId="1"/>
  </si>
  <si>
    <t>　本学は主に高専から多くの3年次編入学生を受け入れる特色ある大学であり、学部1年次入学定員は80名に対して、学部3年次編入学定員は360名である。このため、3年次編入学者を含む全収容定員は1,040名（=80+80+440+440）となるが、1年次入学者の収容定員は320名（=80x4）である。本教育プログラム（リテラシーレベル）は、主に1年次入学者を対象に実施するため、その履修率100%は、3年次編入学生を含む収容定員1,040名に対しては31%（=320/1040）になることにご留意されたい。
　本教育プログラムの申請科目は、学部1，2年次の必修科目を中心に構成され、学部1年次入学者が2年間の履修で、実質100％近い履修率を維持することから、1年次入学者の収容定員320名に対する履修率は令和4年度で75％、令和5年度にはほぼ100%の履修率に達する予定である。
　全ての学部3年次学生は応用基礎レベルの数理・データサイエンスAI教育プログラム（認定申請中）に参加することができる。本学の応用基礎レベルの教材は、リテラシーレベルの復習を兼ねた内容も含んでおり、高専でリテラシーレベルの知識を十分に身に着けられなかった学生にも対応している。また、すでにMDASH認定を受けている高専（10校）からの編入学生の増加も見込まれることから、3年次編入生に対しては、リテラシーレベルの本教育プログラムではなく、応用基礎レベルへの参加を推奨している。
　以上のように、本教育プログラムは全ての1年次入学者を主な対象とし、その収容定員320名に対してはほぼ100％の履修率になる予定である。</t>
    <rPh sb="199" eb="201">
      <t>ネンジ</t>
    </rPh>
    <rPh sb="201" eb="205">
      <t>ヘンニュウガクセイ</t>
    </rPh>
    <rPh sb="206" eb="207">
      <t>フク</t>
    </rPh>
    <phoneticPr fontId="1"/>
  </si>
  <si>
    <t>　本学では，すべての科目において授業評価アンケートを受講生に対して実施するとともに、受講したすべての科目に関する自己評価書を提出することになっている。自己評価書に対して、定期的に担当教員または指導教員が面談を行う際にフィードバックすることで、学修成果の把握・確認を行っている。IT活用教育センターでは、本教育プログラムの申請科目の学修成果に関して、年度毎や課程間で差異があるかどうか，各課程の他の授業科目の理解度等との比較・分析を行っている。</t>
    <rPh sb="10" eb="12">
      <t>カモク</t>
    </rPh>
    <rPh sb="26" eb="29">
      <t>ジュコウセイ</t>
    </rPh>
    <rPh sb="30" eb="31">
      <t>タイ</t>
    </rPh>
    <rPh sb="33" eb="35">
      <t>ジッシ</t>
    </rPh>
    <rPh sb="42" eb="44">
      <t>ジュコウ</t>
    </rPh>
    <rPh sb="50" eb="52">
      <t>カモク</t>
    </rPh>
    <rPh sb="53" eb="54">
      <t>カン</t>
    </rPh>
    <rPh sb="62" eb="64">
      <t>テイシュツ</t>
    </rPh>
    <rPh sb="81" eb="82">
      <t>タイ</t>
    </rPh>
    <rPh sb="85" eb="88">
      <t>テイキテキ</t>
    </rPh>
    <rPh sb="89" eb="91">
      <t>タントウ</t>
    </rPh>
    <rPh sb="96" eb="100">
      <t>シドウキョウイン</t>
    </rPh>
    <rPh sb="101" eb="103">
      <t>メンダン</t>
    </rPh>
    <rPh sb="104" eb="105">
      <t>オコナ</t>
    </rPh>
    <rPh sb="106" eb="107">
      <t>サイ</t>
    </rPh>
    <rPh sb="121" eb="125">
      <t>ガクシュウセイカ</t>
    </rPh>
    <rPh sb="126" eb="128">
      <t>ハアク</t>
    </rPh>
    <rPh sb="129" eb="131">
      <t>カクニン</t>
    </rPh>
    <rPh sb="165" eb="169">
      <t>ガクシュウセイカ</t>
    </rPh>
    <rPh sb="170" eb="171">
      <t>カン</t>
    </rPh>
    <rPh sb="215" eb="216">
      <t>オコナオコナ</t>
    </rPh>
    <phoneticPr fontId="1"/>
  </si>
  <si>
    <t>　全ての科目を対象に実施している授業評価アンケートでは、学生一人ひとりの内容理解度に関して分析・評価することができる。また、個別の科目だけでなく、すべての科目の回答結果に関する統計データを整理し，毎年度，学内公開している。これらの取組を通じて、各科目に関して総合的に学生の内容の理解度を把握している。IT活用教育センターでは、本教育プログラムの申請科目の内容の理解度に関しても、年度毎や課程間で差異があるかどうか，各課程の他の授業科目の理解度等との比較・分析を行っている。</t>
    <rPh sb="1" eb="2">
      <t>スベ</t>
    </rPh>
    <rPh sb="10" eb="12">
      <t>ジッシ</t>
    </rPh>
    <rPh sb="28" eb="30">
      <t>ガクセイ</t>
    </rPh>
    <rPh sb="30" eb="32">
      <t>ヒトリ</t>
    </rPh>
    <rPh sb="36" eb="38">
      <t>ナイヨウ</t>
    </rPh>
    <rPh sb="42" eb="43">
      <t>カン</t>
    </rPh>
    <rPh sb="80" eb="82">
      <t>カイトウ</t>
    </rPh>
    <rPh sb="82" eb="84">
      <t>ケッカ</t>
    </rPh>
    <rPh sb="85" eb="86">
      <t>カン</t>
    </rPh>
    <rPh sb="115" eb="117">
      <t>トリクミ</t>
    </rPh>
    <rPh sb="118" eb="119">
      <t>ツウ</t>
    </rPh>
    <rPh sb="122" eb="125">
      <t>カクカモク</t>
    </rPh>
    <rPh sb="126" eb="127">
      <t>カン</t>
    </rPh>
    <rPh sb="133" eb="135">
      <t>ガクセイ</t>
    </rPh>
    <rPh sb="177" eb="179">
      <t>ナイヨウ</t>
    </rPh>
    <rPh sb="180" eb="183">
      <t>リカイド</t>
    </rPh>
    <phoneticPr fontId="1"/>
  </si>
  <si>
    <r>
      <rPr>
        <b/>
        <sz val="12"/>
        <rFont val="ＭＳ Ｐゴシック"/>
        <family val="3"/>
        <charset val="128"/>
        <scheme val="minor"/>
      </rPr>
      <t>　</t>
    </r>
    <r>
      <rPr>
        <sz val="12"/>
        <rFont val="ＭＳ Ｐゴシック"/>
        <family val="3"/>
        <charset val="128"/>
        <scheme val="minor"/>
      </rPr>
      <t>IT活用教育センターでは、4月に新入生ガイダンスを実施し、数理・データサイエンス・AI教育プログラムを周知し、数理・データサイエンスとAI技術を学ぶことの意義を啓蒙するだけでなく、本教育プログラムの申請科目の授業評価アンケートを統計的な側面から分析した結果を紹介するなど、本教育プログラムに参加する動機づけを行っている。</t>
    </r>
    <rPh sb="3" eb="7">
      <t>カツヨウキョウイク</t>
    </rPh>
    <rPh sb="15" eb="16">
      <t>ガツ</t>
    </rPh>
    <rPh sb="17" eb="20">
      <t>シンニュウセイ</t>
    </rPh>
    <rPh sb="26" eb="28">
      <t>ジッシ</t>
    </rPh>
    <rPh sb="30" eb="32">
      <t>スウリ</t>
    </rPh>
    <rPh sb="44" eb="46">
      <t>キョウイク</t>
    </rPh>
    <rPh sb="52" eb="54">
      <t>シュウチ</t>
    </rPh>
    <rPh sb="73" eb="74">
      <t>マナ</t>
    </rPh>
    <rPh sb="78" eb="80">
      <t>イギ</t>
    </rPh>
    <rPh sb="81" eb="83">
      <t>ケイモウ</t>
    </rPh>
    <rPh sb="127" eb="129">
      <t>ケッカ</t>
    </rPh>
    <rPh sb="130" eb="132">
      <t>ショウカイ</t>
    </rPh>
    <rPh sb="137" eb="140">
      <t>ホンキョウイク</t>
    </rPh>
    <rPh sb="146" eb="148">
      <t>サンカ</t>
    </rPh>
    <rPh sb="150" eb="152">
      <t>ドウキ</t>
    </rPh>
    <rPh sb="155" eb="156">
      <t>オコナトリクミツウカクカモクカンガクセイナイヨウリカイド</t>
    </rPh>
    <phoneticPr fontId="1"/>
  </si>
  <si>
    <t>　本教育プログラムの申請は、学部１、２年次の必修科目を中心に構成しているため、1年次学生の実質100％が履修している。2年次科目「確率・統計」のみが全学開講している選択科目であり、これはモデルカリキュラム上のオプション項目に相当する。本学では、「確率・統計」を応用基礎レベルに接続するために重要な科目として位置付け、あえてリテラシーレベルの科目として指定している。すでに63％の学生が履修し、59％の学生が修了している。今後も数理・データサイエンス・AI教育プログラムで学ぶことの意義を啓蒙することで、新入生の意識を高め、履修率のさらなる向上を図る。</t>
    <rPh sb="10" eb="12">
      <t>シンセイ</t>
    </rPh>
    <rPh sb="22" eb="26">
      <t>ヒッシュウカモク</t>
    </rPh>
    <rPh sb="27" eb="29">
      <t>チュウシン</t>
    </rPh>
    <rPh sb="30" eb="32">
      <t>コウセイ</t>
    </rPh>
    <rPh sb="40" eb="42">
      <t>ネンジ</t>
    </rPh>
    <rPh sb="42" eb="44">
      <t>ガクセイ</t>
    </rPh>
    <rPh sb="45" eb="47">
      <t>ジッシツ</t>
    </rPh>
    <rPh sb="60" eb="62">
      <t>ネンジ</t>
    </rPh>
    <rPh sb="62" eb="64">
      <t>カモク</t>
    </rPh>
    <rPh sb="65" eb="67">
      <t>カクリツ</t>
    </rPh>
    <rPh sb="68" eb="70">
      <t>トウケイ</t>
    </rPh>
    <rPh sb="74" eb="76">
      <t>ゼンガク</t>
    </rPh>
    <rPh sb="76" eb="78">
      <t>カイコウ</t>
    </rPh>
    <rPh sb="82" eb="86">
      <t>センタクカモク</t>
    </rPh>
    <rPh sb="102" eb="103">
      <t>ジョウ</t>
    </rPh>
    <rPh sb="109" eb="111">
      <t>コウモク</t>
    </rPh>
    <rPh sb="112" eb="114">
      <t>ソウトウ</t>
    </rPh>
    <rPh sb="117" eb="119">
      <t>ホンガク</t>
    </rPh>
    <rPh sb="130" eb="134">
      <t>オウヨウキソ</t>
    </rPh>
    <rPh sb="138" eb="140">
      <t>セツゾク</t>
    </rPh>
    <rPh sb="145" eb="147">
      <t>ジュウヨウ</t>
    </rPh>
    <rPh sb="148" eb="150">
      <t>カモク</t>
    </rPh>
    <rPh sb="153" eb="156">
      <t>イチヅ</t>
    </rPh>
    <rPh sb="170" eb="172">
      <t>カモク</t>
    </rPh>
    <rPh sb="175" eb="177">
      <t>シテイ</t>
    </rPh>
    <rPh sb="189" eb="191">
      <t>ガクセイ</t>
    </rPh>
    <rPh sb="192" eb="194">
      <t>リシュウ</t>
    </rPh>
    <rPh sb="200" eb="202">
      <t>ガクセイ</t>
    </rPh>
    <rPh sb="203" eb="205">
      <t>シュウリョウ</t>
    </rPh>
    <rPh sb="210" eb="212">
      <t>コンゴ</t>
    </rPh>
    <rPh sb="251" eb="254">
      <t>シンニュウセイ</t>
    </rPh>
    <rPh sb="255" eb="257">
      <t>イシキ</t>
    </rPh>
    <rPh sb="258" eb="259">
      <t>タカ</t>
    </rPh>
    <rPh sb="261" eb="264">
      <t>リシュウリツ</t>
    </rPh>
    <rPh sb="269" eb="271">
      <t>コウジョウ</t>
    </rPh>
    <rPh sb="272" eb="273">
      <t>ハカ</t>
    </rPh>
    <phoneticPr fontId="1"/>
  </si>
  <si>
    <t>　IT活用教育センターでは、新入生ガイダンス、「GIKADAI数理・データサイエンス・AI教育プログラム」パンフレット、全学向けのニュースレターなどを通じて、数理・データサイエンスを学び、AI技術を身に着けることの意義や重要性を伝えるだけでなく、現代社会における身近な問題に対するＡＩ等の活用や、Society5.0社会にAI技術によるイノベーションなど、学びへの動機づけや好奇心を促す内容を積極的に発信している。</t>
    <rPh sb="14" eb="17">
      <t>シンニュウセイ</t>
    </rPh>
    <rPh sb="31" eb="33">
      <t>スウリ</t>
    </rPh>
    <rPh sb="45" eb="47">
      <t>キョウイク</t>
    </rPh>
    <rPh sb="75" eb="76">
      <t>ツウ</t>
    </rPh>
    <rPh sb="91" eb="92">
      <t>マナ</t>
    </rPh>
    <rPh sb="96" eb="98">
      <t>ギジュツ</t>
    </rPh>
    <rPh sb="99" eb="100">
      <t>ミ</t>
    </rPh>
    <rPh sb="101" eb="102">
      <t>ツ</t>
    </rPh>
    <rPh sb="107" eb="109">
      <t>イギ</t>
    </rPh>
    <rPh sb="110" eb="113">
      <t>ジュウヨウセイ</t>
    </rPh>
    <rPh sb="114" eb="115">
      <t>ツタ</t>
    </rPh>
    <rPh sb="137" eb="138">
      <t>タイ</t>
    </rPh>
    <rPh sb="144" eb="146">
      <t>カツヨウ</t>
    </rPh>
    <rPh sb="163" eb="165">
      <t>ギジュツ</t>
    </rPh>
    <rPh sb="178" eb="179">
      <t>マナ</t>
    </rPh>
    <rPh sb="182" eb="184">
      <t>ドウキ</t>
    </rPh>
    <rPh sb="187" eb="190">
      <t>コウキシン</t>
    </rPh>
    <rPh sb="191" eb="192">
      <t>ウナガ</t>
    </rPh>
    <rPh sb="193" eb="195">
      <t>ナイヨウ</t>
    </rPh>
    <rPh sb="200" eb="202">
      <t>ハッシン</t>
    </rPh>
    <phoneticPr fontId="1"/>
  </si>
  <si>
    <t>　本教育プログラムの主な対象となる学部1年次入学生は、高専出身の学部3年次編入生とは異なり、ものづくりに対する知識と経験に乏しいため、より「わかりやすい」授業内容に改善することはとても重要である。現在、課題レポートの内容を精査し、授業アンケートや学生面談を通じて、授業内容の改善に向けて継続的に取り組んでいる。また、本学が開発したデジタル教材を提供している非理系（文系）大学の担当者からの意見を積極的に取り入れる機会として「FDワークショップ」等を開催し、現在の内容・水準をさらに向上させ、さらに「わかりやすい」リテラシーレベルのデジタル教材の開発に向けた取組を始めている。</t>
    <rPh sb="1" eb="4">
      <t>ホンキョウイク</t>
    </rPh>
    <rPh sb="10" eb="11">
      <t>オモ</t>
    </rPh>
    <rPh sb="12" eb="14">
      <t>タイショウ</t>
    </rPh>
    <rPh sb="17" eb="19">
      <t>ガクブ</t>
    </rPh>
    <rPh sb="20" eb="22">
      <t>ネンジ</t>
    </rPh>
    <rPh sb="22" eb="25">
      <t>ニュウガクセイ</t>
    </rPh>
    <rPh sb="27" eb="31">
      <t>コウセンシュッシン</t>
    </rPh>
    <rPh sb="32" eb="34">
      <t>ガクブ</t>
    </rPh>
    <rPh sb="35" eb="37">
      <t>ネンジ</t>
    </rPh>
    <rPh sb="37" eb="40">
      <t>ヘンニュウセイ</t>
    </rPh>
    <rPh sb="42" eb="43">
      <t>コト</t>
    </rPh>
    <rPh sb="52" eb="53">
      <t>タイ</t>
    </rPh>
    <rPh sb="55" eb="57">
      <t>チシキ</t>
    </rPh>
    <rPh sb="58" eb="60">
      <t>ケイケン</t>
    </rPh>
    <rPh sb="61" eb="62">
      <t>トボ</t>
    </rPh>
    <rPh sb="75" eb="77">
      <t>ジュウヨウ</t>
    </rPh>
    <rPh sb="79" eb="81">
      <t>ナイヨウ</t>
    </rPh>
    <rPh sb="82" eb="84">
      <t>カイゼン</t>
    </rPh>
    <rPh sb="85" eb="87">
      <t>ゲンザイ</t>
    </rPh>
    <rPh sb="94" eb="96">
      <t>カイハツ</t>
    </rPh>
    <rPh sb="101" eb="103">
      <t>カダイ</t>
    </rPh>
    <rPh sb="108" eb="110">
      <t>ナイヨウ</t>
    </rPh>
    <rPh sb="111" eb="113">
      <t>セイサ</t>
    </rPh>
    <rPh sb="115" eb="117">
      <t>ジュギョウ</t>
    </rPh>
    <rPh sb="123" eb="127">
      <t>ガクセイメンダン</t>
    </rPh>
    <rPh sb="128" eb="129">
      <t>ツウ</t>
    </rPh>
    <rPh sb="134" eb="136">
      <t>カイゼン</t>
    </rPh>
    <rPh sb="144" eb="145">
      <t>ト</t>
    </rPh>
    <rPh sb="146" eb="147">
      <t>ク</t>
    </rPh>
    <rPh sb="156" eb="158">
      <t>キョウザイ</t>
    </rPh>
    <rPh sb="159" eb="161">
      <t>テイキョウ</t>
    </rPh>
    <rPh sb="165" eb="168">
      <t>ヒリケイ</t>
    </rPh>
    <rPh sb="168" eb="170">
      <t>ダイガク</t>
    </rPh>
    <rPh sb="179" eb="181">
      <t>ブンケイ</t>
    </rPh>
    <rPh sb="191" eb="193">
      <t>イケン</t>
    </rPh>
    <rPh sb="194" eb="197">
      <t>セッキョクテキ</t>
    </rPh>
    <rPh sb="198" eb="199">
      <t>ト</t>
    </rPh>
    <rPh sb="200" eb="201">
      <t>イ</t>
    </rPh>
    <rPh sb="206" eb="208">
      <t>キカイ</t>
    </rPh>
    <rPh sb="211" eb="213">
      <t>カイサイ</t>
    </rPh>
    <rPh sb="215" eb="217">
      <t>ゲンザイ</t>
    </rPh>
    <rPh sb="236" eb="237">
      <t>ワ</t>
    </rPh>
    <rPh sb="259" eb="261">
      <t>キョウザイ</t>
    </rPh>
    <rPh sb="262" eb="264">
      <t>スイシン</t>
    </rPh>
    <rPh sb="272" eb="273">
      <t>ム</t>
    </rPh>
    <rPh sb="275" eb="276">
      <t>アタラ</t>
    </rPh>
    <rPh sb="279" eb="280">
      <t>ハジ</t>
    </rPh>
    <phoneticPr fontId="1"/>
  </si>
  <si>
    <r>
      <rPr>
        <b/>
        <u/>
        <sz val="11"/>
        <rFont val="ＭＳ Ｐゴシック"/>
        <family val="3"/>
        <charset val="128"/>
        <scheme val="minor"/>
      </rPr>
      <t xml:space="preserve">■本教育プログラムを構成する授業科目の内容と特徴
</t>
    </r>
    <r>
      <rPr>
        <sz val="11"/>
        <rFont val="ＭＳ Ｐゴシック"/>
        <family val="3"/>
        <charset val="128"/>
        <scheme val="minor"/>
      </rPr>
      <t>　本教育プログラムは学部1､2年生の一般基礎科目（工学概論、理工学実験）と専門科目（ICT基礎、確率・統計、プロジェクト研究）で構成され、これらの科目で数理・データサイエンス・AI（リテラシーレベル）のコアカリキュラム①から⑤の各項目を網羅している。本学は工学系大学として、ものづくり技術を科学で探求することができる技術者の育成を開学以来の理念としており、元来から技術科学の教育体系の中で数理データサイエンスに関連する多くのことを修得できるようになっている。本教育プログラムにおいても、最新の数理・データサイエンス・AIの動向を踏まえ、既存の科目を改定することで内容を強化し、ものづくり技術科学教育の中でさらに深く学べるように構成している。</t>
    </r>
    <r>
      <rPr>
        <b/>
        <sz val="11"/>
        <rFont val="ＭＳ Ｐゴシック"/>
        <family val="3"/>
        <charset val="128"/>
        <scheme val="minor"/>
      </rPr>
      <t xml:space="preserve">
〇情報技術から最先端データAI利活用の最新動向を網羅する「ICT基礎」と「工学概論」
</t>
    </r>
    <r>
      <rPr>
        <sz val="11"/>
        <rFont val="ＭＳ Ｐゴシック"/>
        <family val="3"/>
        <charset val="128"/>
        <scheme val="minor"/>
      </rPr>
      <t>　「ICT基礎」は、高度情報化社会における技術者・研究者に必要とされる情報通信技術に関する基礎的概念の理解と基本的技術の修得、情報セキュリティを学ぶことを目的として、2010年から学部1年次の必修科目であり、本教育プログラムのコアとなる科目である。リテラシーレベルから応用基礎レベルの数理データサイエンスに関連する多くの項目を体系的に学べるようになっている。その反面、最新のAI関連の研究動向やデータ・AI利活用による社会変化を柔軟に取り入れることは難しいため、それらについては、同じく学部1年次必修科目である「工学概論」で対応している。
　「工学概論」は学部1年生の必修科目である。様々な先端技術についてそれを専門にする教員による講義を受講することで、工学部で学ぶことの意義を考えるとともに,グローバルに活躍できる実践的・創造的・指導的能力を身につけていくための心構えや自らの進むべき道を考える機会を提供する。本教育プログラムの設置に伴い、2021年度からはSDGs達成に向けて我々が目指す未来社会「Society5.0」を実現するための技術革新など数理・データサイエンス・AI利活用に関連した内容を加えるため一部を改訂した。今後もデジタル革新の動向に合わせて適時改定していく計画である。</t>
    </r>
    <r>
      <rPr>
        <b/>
        <sz val="11"/>
        <rFont val="ＭＳ Ｐゴシック"/>
        <family val="3"/>
        <charset val="128"/>
        <scheme val="minor"/>
      </rPr>
      <t xml:space="preserve">
〇データリテラシーを実践から学ぶ「理工学実験」と「プロジェクト研究」
</t>
    </r>
    <r>
      <rPr>
        <sz val="11"/>
        <rFont val="ＭＳ Ｐゴシック"/>
        <family val="3"/>
        <charset val="128"/>
        <scheme val="minor"/>
      </rPr>
      <t>　「理工学実験」は、各専門分野に複数用意された11テーマの中から２つのテーマを学生が選択するPBL型実習科目である。課程配属が未決定の学生を含む１年生全員が、技術者としての安全教育やレポート作成などの共通リテラシー教育に加え、専門分野に適した実験データ等の取り扱い、統計分析・解析、表記・表現方法等を各テーマ毎に適した内容を学ぶ。
　「プロジェクト研究」は、「理工学実験」よりもさらに専門性の高いPBL型実習科目であり、学部2年次全員が研究室に配属され、プレ卒業研究を体験する。3年次編入する高専生の多くは卒業研究を体験しているため、本学に1年次入学した学生に対しても同等の体験するための必修科目である。</t>
    </r>
    <r>
      <rPr>
        <b/>
        <sz val="11"/>
        <rFont val="ＭＳ Ｐゴシック"/>
        <family val="3"/>
        <charset val="128"/>
        <scheme val="minor"/>
      </rPr>
      <t xml:space="preserve">
〇応用基礎レベルに接続するための「確率・統計」
</t>
    </r>
    <r>
      <rPr>
        <sz val="11"/>
        <rFont val="ＭＳ Ｐゴシック"/>
        <family val="3"/>
        <charset val="128"/>
        <scheme val="minor"/>
      </rPr>
      <t xml:space="preserve">　「確率・統計」は、自然科学や工学など多くの分野におけるデータの背後にある確率・統計現象を正しく把握し，活用するための数学基礎として、数学的取り扱いを学ぶことに重点を置いた選択科目として学部1､２年次に全学開講している。一方、ソフトウェア等を駆使して実践的に実験データを確率統計学的に分析・解析することを学ぶ科目は、編入生が加わる学部3年次以降の専門科目として各課程で開講している。本教育プログラムでは、リテラシーレベルの確率統計学的な内容は、前述した「工学概論」「理工学実験」「プロジェクト研究」の専門分野の授業の中で修得することができる。一方、モノづくりに数理・データサイエンス・AIの定着を検討した結果、応用基礎レベルのデータサイエンス基礎に接続するための体系的な数学基礎科目として、この「確率・統計」を組み込む必要があると判断した。他の４科目は必修科目であることから、本教育プログラムの修了者数（修了率）は当該科目で決まることになる。
</t>
    </r>
    <r>
      <rPr>
        <b/>
        <u/>
        <sz val="11"/>
        <rFont val="ＭＳ Ｐゴシック"/>
        <family val="3"/>
        <charset val="128"/>
        <scheme val="minor"/>
      </rPr>
      <t>■応用基礎レベルの科目の先取</t>
    </r>
    <r>
      <rPr>
        <sz val="11"/>
        <rFont val="ＭＳ Ｐゴシック"/>
        <family val="3"/>
        <charset val="128"/>
        <scheme val="minor"/>
      </rPr>
      <t xml:space="preserve">
　本学の特徴は全国の高専から多くの3年次編入学生を受け入れていることにある。このため、リテラシーレベルの本教育プログラムは、主に学部1､2年生を対象を対象とし、応用基礎レベルの教育プログラム（同時申請中）は学部3年次以降の科目に設定している。本学の応用基礎レベルのプログラムは、機械学習やAI技術を卒業研究に利活用できるようになることを目標に、実践的演習を主体とした内容になっているため、「大学ロボコン」で常に上位にある本学は、研究機関としてもIoT、AI、ロボット等の実装型共同研究が盛んであり、そのことに強い関心をもって入学してきた学部1､2年生であれば、十分に修得できる内容になっている。そこで、学部3年次後期科目として全学開講されている応用基礎レベルの「データサイエンス演習基礎」を、学部2年次から受講できるようにしている。現時点では、電気・電子情報工学課程と知能・情報工学課程の2年次後期に履修できるようにしているが、今後、その他の課程の2年次学生にも開講することを検討する。</t>
    </r>
    <rPh sb="219" eb="221">
      <t>スウリ</t>
    </rPh>
    <rPh sb="230" eb="232">
      <t>カンレン</t>
    </rPh>
    <rPh sb="234" eb="235">
      <t>オオ</t>
    </rPh>
    <rPh sb="240" eb="242">
      <t>シュウトク</t>
    </rPh>
    <rPh sb="254" eb="257">
      <t>ホンキョウイク</t>
    </rPh>
    <rPh sb="268" eb="270">
      <t>サイシン</t>
    </rPh>
    <rPh sb="286" eb="288">
      <t>ドウコウ</t>
    </rPh>
    <rPh sb="289" eb="290">
      <t>フ</t>
    </rPh>
    <rPh sb="299" eb="301">
      <t>カイテイ</t>
    </rPh>
    <rPh sb="306" eb="308">
      <t>ナイヨウ</t>
    </rPh>
    <rPh sb="309" eb="311">
      <t>キョウカ</t>
    </rPh>
    <rPh sb="318" eb="324">
      <t>ギジュツカガクキョウイク</t>
    </rPh>
    <rPh sb="325" eb="326">
      <t>ナカ</t>
    </rPh>
    <rPh sb="338" eb="340">
      <t>コウセイ</t>
    </rPh>
    <rPh sb="461" eb="462">
      <t>マナ</t>
    </rPh>
    <rPh sb="542" eb="544">
      <t>カンレン</t>
    </rPh>
    <rPh sb="546" eb="547">
      <t>オオ</t>
    </rPh>
    <rPh sb="549" eb="551">
      <t>コウモク</t>
    </rPh>
    <rPh sb="570" eb="572">
      <t>ハンメン</t>
    </rPh>
    <rPh sb="578" eb="580">
      <t>カンレン</t>
    </rPh>
    <rPh sb="826" eb="827">
      <t>ム</t>
    </rPh>
    <rPh sb="829" eb="831">
      <t>ワレワレ</t>
    </rPh>
    <rPh sb="832" eb="834">
      <t>メザ</t>
    </rPh>
    <rPh sb="887" eb="889">
      <t>ナイヨウ</t>
    </rPh>
    <rPh sb="890" eb="891">
      <t>クワ</t>
    </rPh>
    <rPh sb="895" eb="897">
      <t>イチブ</t>
    </rPh>
    <rPh sb="898" eb="900">
      <t>カイテイ</t>
    </rPh>
    <rPh sb="903" eb="905">
      <t>コンゴ</t>
    </rPh>
    <rPh sb="920" eb="922">
      <t>テキジ</t>
    </rPh>
    <rPh sb="928" eb="930">
      <t>ケイカク</t>
    </rPh>
    <rPh sb="980" eb="981">
      <t>カク</t>
    </rPh>
    <rPh sb="1070" eb="1072">
      <t>キョウツウ</t>
    </rPh>
    <rPh sb="1077" eb="1079">
      <t>キョウイク</t>
    </rPh>
    <rPh sb="1124" eb="1125">
      <t>ゴト</t>
    </rPh>
    <rPh sb="1126" eb="1127">
      <t>テキ</t>
    </rPh>
    <rPh sb="1129" eb="1131">
      <t>ナイヨウ</t>
    </rPh>
    <rPh sb="1439" eb="1441">
      <t>ブンセキ</t>
    </rPh>
    <rPh sb="1442" eb="1444">
      <t>カイセキ</t>
    </rPh>
    <rPh sb="1449" eb="1450">
      <t>マナ</t>
    </rPh>
    <rPh sb="1451" eb="1453">
      <t>カモク</t>
    </rPh>
    <rPh sb="1568" eb="1570">
      <t>イッポウ</t>
    </rPh>
    <rPh sb="1577" eb="1579">
      <t>スウリ</t>
    </rPh>
    <rPh sb="1592" eb="1594">
      <t>テイチャク</t>
    </rPh>
    <rPh sb="1595" eb="1597">
      <t>ケントウ</t>
    </rPh>
    <rPh sb="1599" eb="1601">
      <t>ケッカ</t>
    </rPh>
    <rPh sb="1652" eb="1653">
      <t>ク</t>
    </rPh>
    <rPh sb="1654" eb="1655">
      <t>コ</t>
    </rPh>
    <rPh sb="1656" eb="1658">
      <t>ヒツヨウ</t>
    </rPh>
    <rPh sb="1662" eb="1664">
      <t>ハンダン</t>
    </rPh>
    <rPh sb="1725" eb="1729">
      <t>オウヨウキソ</t>
    </rPh>
    <rPh sb="1733" eb="1735">
      <t>カモク</t>
    </rPh>
    <rPh sb="1736" eb="1738">
      <t>サキドリ</t>
    </rPh>
    <rPh sb="1743" eb="1745">
      <t>トクチョウ</t>
    </rPh>
    <rPh sb="1746" eb="1748">
      <t>ゼンコク</t>
    </rPh>
    <rPh sb="1803" eb="1805">
      <t>ガクブ</t>
    </rPh>
    <rPh sb="1808" eb="1810">
      <t>ネンセイ</t>
    </rPh>
    <rPh sb="1811" eb="1813">
      <t>タイショウ</t>
    </rPh>
    <rPh sb="1820" eb="1822">
      <t>キョウイク</t>
    </rPh>
    <rPh sb="1828" eb="1833">
      <t>ドウジシンセイチュウ</t>
    </rPh>
    <rPh sb="1835" eb="1837">
      <t>ガクブ</t>
    </rPh>
    <rPh sb="1838" eb="1840">
      <t>ネンジ</t>
    </rPh>
    <rPh sb="1840" eb="1842">
      <t>イコウ</t>
    </rPh>
    <rPh sb="1843" eb="1845">
      <t>カモク</t>
    </rPh>
    <rPh sb="1846" eb="1848">
      <t>セッテイ</t>
    </rPh>
    <rPh sb="1853" eb="1855">
      <t>ホンガク</t>
    </rPh>
    <rPh sb="1856" eb="1860">
      <t>オウヨウキソ</t>
    </rPh>
    <rPh sb="1878" eb="1880">
      <t>ギジュツ</t>
    </rPh>
    <rPh sb="1893" eb="1895">
      <t>トウタツ</t>
    </rPh>
    <rPh sb="1895" eb="1897">
      <t>モクヒョウ</t>
    </rPh>
    <rPh sb="1899" eb="1901">
      <t>モクテキ</t>
    </rPh>
    <rPh sb="1904" eb="1907">
      <t>ジッセンテキ</t>
    </rPh>
    <rPh sb="1907" eb="1909">
      <t>エンシュウ</t>
    </rPh>
    <rPh sb="1910" eb="1912">
      <t>シュタイ</t>
    </rPh>
    <rPh sb="1915" eb="1917">
      <t>ナイヨウ</t>
    </rPh>
    <rPh sb="1937" eb="1938">
      <t>ツネ</t>
    </rPh>
    <rPh sb="1948" eb="1952">
      <t>ケンキュウキカン</t>
    </rPh>
    <rPh sb="1966" eb="1967">
      <t>カン</t>
    </rPh>
    <rPh sb="1967" eb="1968">
      <t>トウ</t>
    </rPh>
    <rPh sb="1989" eb="1991">
      <t>ニュウガク</t>
    </rPh>
    <rPh sb="1998" eb="1999">
      <t>オオ</t>
    </rPh>
    <rPh sb="2002" eb="2004">
      <t>ガクブ</t>
    </rPh>
    <rPh sb="2007" eb="2009">
      <t>ネンセイ</t>
    </rPh>
    <rPh sb="2014" eb="2016">
      <t>ジュウブン</t>
    </rPh>
    <rPh sb="2017" eb="2019">
      <t>シュウトク</t>
    </rPh>
    <rPh sb="2022" eb="2024">
      <t>ナイヨウ</t>
    </rPh>
    <rPh sb="2033" eb="2035">
      <t>ガクブ</t>
    </rPh>
    <rPh sb="2040" eb="2042">
      <t>カモク</t>
    </rPh>
    <rPh sb="2045" eb="2047">
      <t>ゼンガク</t>
    </rPh>
    <rPh sb="2047" eb="2049">
      <t>カイコウ</t>
    </rPh>
    <rPh sb="2071" eb="2073">
      <t>エンシュウ</t>
    </rPh>
    <rPh sb="2073" eb="2075">
      <t>キソ</t>
    </rPh>
    <rPh sb="2078" eb="2080">
      <t>ガクブ</t>
    </rPh>
    <rPh sb="2081" eb="2083">
      <t>ネンジ</t>
    </rPh>
    <rPh sb="2085" eb="2087">
      <t>ジュコウ</t>
    </rPh>
    <rPh sb="2098" eb="2101">
      <t>ゲンジテン</t>
    </rPh>
    <rPh sb="2107" eb="2113">
      <t>デンシジョウホウコウガク</t>
    </rPh>
    <rPh sb="2115" eb="2117">
      <t>カテイ</t>
    </rPh>
    <rPh sb="2119" eb="2123">
      <t>ジョウホウコウガク</t>
    </rPh>
    <rPh sb="2123" eb="2125">
      <t>カテイ</t>
    </rPh>
    <rPh sb="2129" eb="2131">
      <t>コウキ</t>
    </rPh>
    <rPh sb="2132" eb="2134">
      <t>リシュウ</t>
    </rPh>
    <rPh sb="2146" eb="2148">
      <t>ガクセイ</t>
    </rPh>
    <rPh sb="2157" eb="2159">
      <t>ネンジ</t>
    </rPh>
    <rPh sb="2159" eb="2161">
      <t>ガクセイ</t>
    </rPh>
    <rPh sb="2163" eb="2165">
      <t>カイコウケントウ</t>
    </rPh>
    <phoneticPr fontId="1"/>
  </si>
  <si>
    <r>
      <rPr>
        <b/>
        <u/>
        <sz val="12"/>
        <rFont val="ＭＳ Ｐゴシック"/>
        <family val="3"/>
        <charset val="128"/>
        <scheme val="minor"/>
      </rPr>
      <t>■数理・データサイエンス・AIを学ぶ動機付けを与える取組</t>
    </r>
    <r>
      <rPr>
        <sz val="12"/>
        <rFont val="ＭＳ Ｐゴシック"/>
        <family val="3"/>
        <charset val="128"/>
        <scheme val="minor"/>
      </rPr>
      <t xml:space="preserve">
　学部1年次入学の全学生を対象とする新入学ガイダンス（対面、およびオンデマンドリモート配信）において、「現在のデータサイエンスの動向やデータサイエンスを学ぶことの重要性と意義」を周知するとともに、IT活用教育センターが発行するニュースレターでも学生に対する数理・データサイエンス・AIを学ぶ動機付けを行なっている。また、本教育プログラムの履修ガイダンス（パンフレット）を作成し、数理・データサイエンス・AIの啓蒙活動をさらに強化する計画である。
</t>
    </r>
    <r>
      <rPr>
        <b/>
        <u/>
        <sz val="12"/>
        <rFont val="ＭＳ Ｐゴシック"/>
        <family val="3"/>
        <charset val="128"/>
        <scheme val="minor"/>
      </rPr>
      <t xml:space="preserve">■学習サポート体制
</t>
    </r>
    <r>
      <rPr>
        <sz val="12"/>
        <rFont val="ＭＳ Ｐゴシック"/>
        <family val="3"/>
        <charset val="128"/>
        <scheme val="minor"/>
      </rPr>
      <t xml:space="preserve">　本学では、以前からほぼすべての科目において、担当教員のオフィスアワーをシラバスに明示しており、授業時間外でも履修学生が担当教員に直接、質問や相談をすることができるような体制を整えている。また、コロナ禍においては、同時双方向のオンラインツールや、LMSの掲示板機能、電子メール等の様々なデジタルツールを活用して、学生からの質問や相談を随時受付け、できるだけ速やかに回答するなどのサポート体制を取っている。
　また、本教育プログラムを構成する「ICT基礎」と「理工学実験」の授業では、TAによる学生サポートを充実させ、履修学生に対する理解を助けるとともに、教員には質問しにくい内容でも、気軽に相談できるようにしている。
　「プロジェクト研究」では，学生を複数のグループに分けて研究室に一時配属させてPBL型実習形式で実施している（プレ卒業研究）。この際に、複数名の教員（例えば、教授と助教など）だけでなく、研究室所属の大学院生もTAとして指導に協力するなど、きめ細やかな対応ができるようにしている。
</t>
    </r>
    <rPh sb="30" eb="32">
      <t>ガクブ</t>
    </rPh>
    <rPh sb="33" eb="35">
      <t>ネンジ</t>
    </rPh>
    <rPh sb="35" eb="37">
      <t>ニュウガク</t>
    </rPh>
    <rPh sb="38" eb="39">
      <t>ゼン</t>
    </rPh>
    <rPh sb="42" eb="44">
      <t>タイショウ</t>
    </rPh>
    <rPh sb="47" eb="50">
      <t>シンニュウガク</t>
    </rPh>
    <rPh sb="56" eb="58">
      <t>タイメン</t>
    </rPh>
    <rPh sb="118" eb="120">
      <t>シュウチ</t>
    </rPh>
    <rPh sb="189" eb="192">
      <t>ホンキョウイク</t>
    </rPh>
    <rPh sb="198" eb="200">
      <t>リシュウ</t>
    </rPh>
    <rPh sb="233" eb="235">
      <t>ケイモウ</t>
    </rPh>
    <rPh sb="235" eb="237">
      <t>カツドウ</t>
    </rPh>
    <rPh sb="241" eb="243">
      <t>キョウカ</t>
    </rPh>
    <rPh sb="245" eb="247">
      <t>ケイカク</t>
    </rPh>
    <rPh sb="471" eb="473">
      <t>キョウイク</t>
    </rPh>
    <phoneticPr fontId="1"/>
  </si>
  <si>
    <r>
      <rPr>
        <b/>
        <u/>
        <sz val="12"/>
        <rFont val="ＭＳ Ｐゴシック"/>
        <family val="3"/>
        <charset val="128"/>
        <scheme val="minor"/>
      </rPr>
      <t>■本学オリジナルの数理・データサイエンス・AI教材の開発</t>
    </r>
    <r>
      <rPr>
        <sz val="12"/>
        <rFont val="ＭＳ Ｐゴシック"/>
        <family val="3"/>
        <charset val="128"/>
        <scheme val="minor"/>
      </rPr>
      <t xml:space="preserve">
　応用基礎レベルの数理・データサイエンス・AI教育用の教材を、株式会社キカガク（以下、「キカガク」）と共同開発した（キカガクはDX人材やデータサイエンティストの育成する企業研修において多くの実績を有する民間企業である）。本教材には、機械学習の数学、Pythonプログラミング基礎、数値計算（NumPy）、データ処理と可視化（Pandas、Matplotlib）、機械学習の実装（回帰：教師あり、分類・分析：教師なし、scikit-learn）を含むTK Basicシリーズと、ニューラルネットワークの数学と実装（TensorFlow）、画像処理とディープラーニング（CNN等）、系列モデリング（RNN・LSTM）、自然言語処理と機械翻訳（MeCab、Seq2Seq）等を含むTK Advanceシリーズがあり、すべてe-Learningに適したJupyter Notebook形式のデジタル教科書と解説ビデオで構成されている。
　本学の応用基礎レベルの教育プログラムでは、TK Basicを活用した科目「データサイエンス演習基礎」を学部3年次後期の選択科目として、TK Advanceを活用した科目「データサイエンス演習応用」を学部4年次前期の科目として全学開講し、機械学習やAI技術を利活用した卒業研究に取り組めるようにしている。また、前述「①授業内容」でも述べたように、１年次入学の学生の学習意欲に応えるため、TK Basicを活用した「数理・データサイエンス演習基礎」を学部２年次後期にも開講している。
</t>
    </r>
    <r>
      <rPr>
        <b/>
        <u/>
        <sz val="12"/>
        <rFont val="ＭＳ Ｐゴシック"/>
        <family val="3"/>
        <charset val="128"/>
        <scheme val="minor"/>
      </rPr>
      <t xml:space="preserve">■高専・他大学、および地域産業への数理・データサイエンス・AI教育の普及活動
</t>
    </r>
    <r>
      <rPr>
        <sz val="12"/>
        <rFont val="ＭＳ Ｐゴシック"/>
        <family val="3"/>
        <charset val="128"/>
        <scheme val="minor"/>
      </rPr>
      <t>　本学オリジナルのデータサイエンス教材TKシリーズは、積極的に学外での利活用を推進している。2021年度の実績としては、eラーニング高等教育連携事業(eHELP)において、主に高専専攻科生向けの科目として、本学学部３年次と同じ「データサイエンス演習基礎」を提供し、２高専の専攻科生が受講した。また、近隣３大学（愛知大学、豊橋創造大学、岐阜聖徳学園大学）では、各大学の教員が本教材を授業やゼミの中で活用している。さらに、本学では、２つのTKシリーズを社会人向けに再構成した教材を用いて一般社会人向け「先端データサイエンス実践コース（全9回）」講習会を実施するとともに、本学と共同研究講座の提携を結んでいる企業（新東工業株式会社、医療法人豊橋ハートセンター）の技術者や医療従事者に対しても研修を実施した。
　こうした、学外向けの普及活動に関して、定期的に「FDワークショップ」を開催することとしており、2021年度に第1回目を開催し、本教材の活用による教育効果や、教育背景の異なる学生や技術者に対応するための改善点など、多様な角度から意見交換を行っている。特に、非理系大学の学生の意見や理解度等の分析結果、民間企業技術者からの要望は、応用基礎レベルに相当する本学オリジナル教材改善に寄与するだけでなく、リテラシーレベルの内容を改善する上でも、大変参考になる貴重な情報となっている。</t>
    </r>
    <rPh sb="1028" eb="1030">
      <t>シントウ</t>
    </rPh>
    <rPh sb="1030" eb="1032">
      <t>コウギョウ</t>
    </rPh>
    <rPh sb="1200" eb="1201">
      <t>トク</t>
    </rPh>
    <rPh sb="1203" eb="1204">
      <t>ヒ</t>
    </rPh>
    <rPh sb="1204" eb="1208">
      <t>リケイダイガク</t>
    </rPh>
    <rPh sb="1209" eb="1211">
      <t>ガクセイ</t>
    </rPh>
    <rPh sb="1212" eb="1214">
      <t>イケン</t>
    </rPh>
    <rPh sb="1215" eb="1219">
      <t>リカイドトウ</t>
    </rPh>
    <rPh sb="1220" eb="1224">
      <t>ブンセキケッカ</t>
    </rPh>
    <rPh sb="1225" eb="1229">
      <t>ミンカンキギョウ</t>
    </rPh>
    <rPh sb="1229" eb="1232">
      <t>ギジュツシャ</t>
    </rPh>
    <rPh sb="1235" eb="1237">
      <t>ヨウボウ</t>
    </rPh>
    <rPh sb="1239" eb="1243">
      <t>オウヨウキソ</t>
    </rPh>
    <rPh sb="1247" eb="1249">
      <t>ソウトウ</t>
    </rPh>
    <rPh sb="1251" eb="1253">
      <t>ホンガク</t>
    </rPh>
    <rPh sb="1258" eb="1260">
      <t>キョウザイ</t>
    </rPh>
    <rPh sb="1260" eb="1262">
      <t>カイゼン</t>
    </rPh>
    <rPh sb="1263" eb="1265">
      <t>キヨ</t>
    </rPh>
    <rPh sb="1293" eb="1297">
      <t>タイヘンサンコウ</t>
    </rPh>
    <phoneticPr fontId="1"/>
  </si>
  <si>
    <t>　本教育プログラムの申請科目の履修・出欠・成績・単位修得状況は、他の全ての科目と同様に、教務情報システムで一括管理し、適時、学生や担当教員が確認できる。また、教材の配信やレポートの提出状況の確認や採点等は、LMS（Google Classroom、Moodle）を用いて担当教員が管理し、受講者支援に活用している。特に、履修・単位修得状況は、教務課でとりまとめ、数理データサイエンス教育推進室において精査できる体制を整備している。</t>
    <rPh sb="10" eb="12">
      <t>シンセイ</t>
    </rPh>
    <rPh sb="12" eb="14">
      <t>カモク</t>
    </rPh>
    <rPh sb="19" eb="21">
      <t>イッカツ</t>
    </rPh>
    <rPh sb="21" eb="23">
      <t>カンリ</t>
    </rPh>
    <rPh sb="25" eb="27">
      <t>テキジ</t>
    </rPh>
    <rPh sb="28" eb="30">
      <t>ガクセイ</t>
    </rPh>
    <rPh sb="34" eb="35">
      <t>スベ</t>
    </rPh>
    <rPh sb="49" eb="51">
      <t>キョウザイ</t>
    </rPh>
    <rPh sb="52" eb="54">
      <t>ハイシン</t>
    </rPh>
    <rPh sb="60" eb="64">
      <t>テイシュツジョウキョウ</t>
    </rPh>
    <rPh sb="65" eb="67">
      <t>カクニン</t>
    </rPh>
    <rPh sb="68" eb="71">
      <t>サイテントウ</t>
    </rPh>
    <rPh sb="106" eb="110">
      <t>タントウキョウイン</t>
    </rPh>
    <rPh sb="111" eb="113">
      <t>カンリ</t>
    </rPh>
    <rPh sb="115" eb="118">
      <t>ジュコウシャ</t>
    </rPh>
    <rPh sb="118" eb="120">
      <t>シエン</t>
    </rPh>
    <rPh sb="121" eb="123">
      <t>カツヨウ</t>
    </rPh>
    <rPh sb="128" eb="129">
      <t>トク</t>
    </rPh>
    <rPh sb="132" eb="133">
      <t>モチ</t>
    </rPh>
    <rPh sb="141" eb="144">
      <t>キョウムカ</t>
    </rPh>
    <rPh sb="151" eb="153">
      <t>スウリ</t>
    </rPh>
    <rPh sb="161" eb="164">
      <t>スイシンシツ</t>
    </rPh>
    <rPh sb="191" eb="193">
      <t>キョウイク</t>
    </rPh>
    <phoneticPr fontId="1"/>
  </si>
  <si>
    <t>・学部１，２年生の一般基礎科目と専門科目を通じて、ものづくりに関わる数理・データサイエンス・ＡI技術に対する包括的な理解を深める
・応用基礎レベルにつながる数理・データサイエンス・ＡＩ技術の修得に求められる基礎的素養を身につける
・情報やデータの特性や公平性・公正性・プライバシー保護等の課題を理解し、情報・データ利活用規範・倫理について理解する</t>
    <rPh sb="1" eb="3">
      <t>ガクブ</t>
    </rPh>
    <rPh sb="6" eb="8">
      <t>ネンセイ</t>
    </rPh>
    <rPh sb="9" eb="15">
      <t>イッパンキソカモク</t>
    </rPh>
    <rPh sb="16" eb="20">
      <t>センモンカモク</t>
    </rPh>
    <rPh sb="21" eb="22">
      <t>ツウ</t>
    </rPh>
    <rPh sb="51" eb="52">
      <t>タイ</t>
    </rPh>
    <rPh sb="66" eb="70">
      <t>オウヨウキソ</t>
    </rPh>
    <rPh sb="95" eb="97">
      <t>シュウトク</t>
    </rPh>
    <rPh sb="98" eb="99">
      <t>モト</t>
    </rPh>
    <rPh sb="106" eb="108">
      <t>ソヨウ</t>
    </rPh>
    <phoneticPr fontId="1"/>
  </si>
  <si>
    <t>国立大学法人豊橋技術科学大学</t>
    <rPh sb="6" eb="14">
      <t>トヨハシギジュツカガクダイガク</t>
    </rPh>
    <phoneticPr fontId="1"/>
  </si>
  <si>
    <t>教務課副課長</t>
    <rPh sb="0" eb="3">
      <t>キョウムカ</t>
    </rPh>
    <rPh sb="3" eb="6">
      <t>フクカチョウ</t>
    </rPh>
    <phoneticPr fontId="1"/>
  </si>
  <si>
    <t>認定教育プログラムと認定教育プログラム+（プラス）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</si>
</sst>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70C0"/>
      <name val="ＭＳ Ｐゴシック"/>
      <family val="3"/>
      <charset val="128"/>
      <scheme val="minor"/>
    </font>
    <font>
      <b/>
      <u/>
      <sz val="11"/>
      <name val="ＭＳ Ｐゴシック"/>
      <family val="3"/>
      <charset val="128"/>
      <scheme val="minor"/>
    </font>
    <font>
      <b/>
      <sz val="11"/>
      <name val="ＭＳ Ｐゴシック"/>
      <family val="3"/>
      <charset val="128"/>
      <scheme val="minor"/>
    </font>
    <font>
      <b/>
      <u/>
      <sz val="12"/>
      <name val="ＭＳ Ｐゴシック"/>
      <family val="3"/>
      <charset val="128"/>
      <scheme val="minor"/>
    </font>
    <font>
      <b/>
      <sz val="12"/>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9" fontId="6" fillId="0" borderId="0" applyFont="0" applyFill="0" applyBorder="0" applyAlignment="0" applyProtection="0">
      <alignment vertical="center"/>
    </xf>
  </cellStyleXfs>
  <cellXfs count="33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9" fontId="3" fillId="0" borderId="34" xfId="3" applyFont="1" applyBorder="1" applyAlignment="1">
      <alignment vertical="center" shrinkToFit="1"/>
    </xf>
    <xf numFmtId="177" fontId="3" fillId="0" borderId="0" xfId="3" applyNumberFormat="1" applyFont="1" applyBorder="1" applyAlignment="1">
      <alignment vertical="center" shrinkToFit="1"/>
    </xf>
    <xf numFmtId="9" fontId="3" fillId="0" borderId="35" xfId="3"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8" xfId="0" applyFont="1" applyBorder="1" applyAlignment="1">
      <alignment horizontal="center" vertical="center"/>
    </xf>
    <xf numFmtId="9" fontId="3" fillId="0" borderId="33" xfId="3" applyFont="1" applyBorder="1" applyAlignment="1">
      <alignment vertical="center" shrinkToFit="1"/>
    </xf>
    <xf numFmtId="0" fontId="8" fillId="0" borderId="18" xfId="0" applyFont="1" applyBorder="1" applyAlignment="1">
      <alignment horizontal="center" vertical="center"/>
    </xf>
    <xf numFmtId="0" fontId="8" fillId="0" borderId="9" xfId="0" applyFont="1" applyBorder="1" applyAlignment="1">
      <alignment horizontal="center" vertical="center"/>
    </xf>
    <xf numFmtId="0" fontId="8" fillId="0" borderId="15" xfId="0" applyFont="1" applyBorder="1" applyAlignment="1">
      <alignment horizontal="center" vertical="center" shrinkToFit="1"/>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8" fillId="0" borderId="53" xfId="0" applyFont="1" applyBorder="1" applyAlignment="1">
      <alignment horizontal="center" vertical="center" shrinkToFit="1"/>
    </xf>
    <xf numFmtId="0" fontId="8" fillId="0" borderId="46"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5" xfId="0" applyFont="1" applyBorder="1" applyAlignment="1">
      <alignment horizontal="center" vertical="center"/>
    </xf>
    <xf numFmtId="0" fontId="8" fillId="0" borderId="10" xfId="0" applyFont="1" applyBorder="1" applyAlignment="1">
      <alignment horizontal="center" vertical="center"/>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7" xfId="0" applyFont="1" applyBorder="1" applyAlignment="1">
      <alignment horizontal="left" vertical="center"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19" xfId="0" applyFont="1" applyBorder="1" applyAlignment="1">
      <alignment vertical="center" wrapText="1" shrinkToFit="1"/>
    </xf>
    <xf numFmtId="0" fontId="22"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22" fillId="0" borderId="44" xfId="0" applyFont="1" applyBorder="1" applyAlignment="1">
      <alignment horizontal="center" vertical="center" shrinkToFit="1"/>
    </xf>
    <xf numFmtId="0" fontId="22" fillId="0" borderId="45" xfId="0" applyFont="1" applyBorder="1" applyAlignment="1">
      <alignment horizontal="center" vertical="center" shrinkToFit="1"/>
    </xf>
    <xf numFmtId="0" fontId="22" fillId="0" borderId="46"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39" xfId="0" applyFont="1" applyBorder="1" applyAlignment="1">
      <alignment vertical="center" wrapText="1" shrinkToFit="1"/>
    </xf>
    <xf numFmtId="0" fontId="20" fillId="0" borderId="32" xfId="0" applyFont="1" applyBorder="1" applyAlignment="1">
      <alignment vertical="center" wrapText="1"/>
    </xf>
    <xf numFmtId="0" fontId="8" fillId="0" borderId="8"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20" fillId="0" borderId="7" xfId="0" applyFont="1" applyBorder="1" applyAlignment="1">
      <alignment vertical="top" wrapText="1" shrinkToFit="1"/>
    </xf>
  </cellXfs>
  <cellStyles count="4">
    <cellStyle name="パーセント" xfId="3" builtinId="5"/>
    <cellStyle name="ハイパーリンク" xfId="2" builtinId="8"/>
    <cellStyle name="桁区切り" xfId="1" builtinId="6"/>
    <cellStyle name="標準" xfId="0" builtinId="0"/>
  </cellStyles>
  <dxfs count="0"/>
  <tableStyles count="0" defaultTableStyle="TableStyleMedium9" defaultPivotStyle="PivotStyleLight16"/>
  <colors>
    <mruColors>
      <color rgb="FFFF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office.tu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ite.tut.ac.jp/program-series/mdas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ite.tut.ac.jp/program-series/mdash"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F41" sqref="F41:N41"/>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33203125" style="14" customWidth="1"/>
    <col min="15" max="15" width="9" style="31"/>
    <col min="16" max="16384" width="9" style="13"/>
  </cols>
  <sheetData>
    <row r="1" spans="1:15" ht="24" customHeight="1" x14ac:dyDescent="0.2">
      <c r="M1" s="156" t="s">
        <v>26</v>
      </c>
      <c r="N1" s="156"/>
    </row>
    <row r="2" spans="1:15" ht="24" customHeight="1" x14ac:dyDescent="0.2">
      <c r="A2" s="160" t="s">
        <v>87</v>
      </c>
      <c r="B2" s="160"/>
      <c r="C2" s="160"/>
      <c r="D2" s="160"/>
      <c r="E2" s="160"/>
      <c r="F2" s="160"/>
      <c r="G2" s="160"/>
      <c r="H2" s="160"/>
      <c r="I2" s="160"/>
      <c r="J2" s="160"/>
      <c r="K2" s="160"/>
      <c r="L2" s="160"/>
      <c r="M2" s="160"/>
      <c r="N2" s="160"/>
    </row>
    <row r="3" spans="1:15" ht="24" customHeight="1" x14ac:dyDescent="0.2"/>
    <row r="4" spans="1:15" ht="24" customHeight="1" x14ac:dyDescent="0.2">
      <c r="A4" s="14" t="s">
        <v>6</v>
      </c>
      <c r="B4" s="15" t="s">
        <v>17</v>
      </c>
      <c r="C4" s="148" t="s">
        <v>153</v>
      </c>
      <c r="D4" s="149"/>
      <c r="E4" s="149"/>
      <c r="F4" s="149"/>
      <c r="G4" s="149"/>
      <c r="H4" s="149"/>
      <c r="I4" s="149"/>
      <c r="J4" s="149"/>
      <c r="K4" s="149"/>
      <c r="L4" s="149"/>
      <c r="M4" s="149"/>
      <c r="N4" s="155"/>
      <c r="O4" s="31" t="str">
        <f>IF(C4="","入力してください","")</f>
        <v/>
      </c>
    </row>
    <row r="5" spans="1:15" ht="7.5" customHeight="1" x14ac:dyDescent="0.2">
      <c r="B5" s="15"/>
      <c r="C5" s="15"/>
      <c r="D5" s="15"/>
      <c r="E5" s="16"/>
      <c r="F5" s="35"/>
      <c r="G5" s="35"/>
      <c r="H5" s="35"/>
      <c r="I5" s="35"/>
      <c r="J5" s="35"/>
      <c r="K5" s="35"/>
      <c r="L5" s="35"/>
      <c r="M5" s="35"/>
      <c r="N5" s="35"/>
    </row>
    <row r="6" spans="1:15" ht="24" customHeight="1" x14ac:dyDescent="0.2">
      <c r="A6" s="14" t="s">
        <v>50</v>
      </c>
      <c r="B6" s="15" t="s">
        <v>51</v>
      </c>
      <c r="C6" s="15"/>
      <c r="D6" s="148" t="s">
        <v>226</v>
      </c>
      <c r="E6" s="149"/>
      <c r="F6" s="149"/>
      <c r="G6" s="149"/>
      <c r="H6" s="155"/>
      <c r="I6" s="17" t="s">
        <v>90</v>
      </c>
      <c r="J6" s="35" t="s">
        <v>91</v>
      </c>
      <c r="K6" s="148" t="s">
        <v>154</v>
      </c>
      <c r="L6" s="149"/>
      <c r="M6" s="149"/>
      <c r="N6" s="155"/>
      <c r="O6" s="31" t="str">
        <f>IF(D6="","入力してください","")</f>
        <v/>
      </c>
    </row>
    <row r="7" spans="1:15" ht="7.5" customHeight="1" x14ac:dyDescent="0.2">
      <c r="B7" s="15"/>
      <c r="C7" s="15"/>
      <c r="D7" s="15"/>
      <c r="E7" s="16"/>
      <c r="F7" s="35"/>
      <c r="G7" s="35"/>
      <c r="H7" s="35"/>
      <c r="I7" s="35"/>
      <c r="J7" s="35"/>
      <c r="K7" s="35"/>
      <c r="L7" s="35"/>
      <c r="M7" s="35"/>
      <c r="N7" s="35"/>
    </row>
    <row r="8" spans="1:15" ht="24" customHeight="1" x14ac:dyDescent="0.2">
      <c r="A8" s="14" t="s">
        <v>14</v>
      </c>
      <c r="B8" s="15" t="s">
        <v>47</v>
      </c>
      <c r="C8" s="148" t="s">
        <v>209</v>
      </c>
      <c r="D8" s="149"/>
      <c r="E8" s="149"/>
      <c r="F8" s="149"/>
      <c r="G8" s="149"/>
      <c r="H8" s="149"/>
      <c r="I8" s="149"/>
      <c r="J8" s="149"/>
      <c r="K8" s="149"/>
      <c r="L8" s="149"/>
      <c r="M8" s="149"/>
      <c r="N8" s="155"/>
      <c r="O8" s="31" t="str">
        <f>IF(C8="","入力してください","")</f>
        <v/>
      </c>
    </row>
    <row r="9" spans="1:15" ht="7.5" customHeight="1" x14ac:dyDescent="0.2">
      <c r="B9" s="15"/>
      <c r="C9" s="15"/>
      <c r="D9" s="15"/>
      <c r="E9" s="16"/>
      <c r="F9" s="35"/>
      <c r="G9" s="35"/>
      <c r="H9" s="35"/>
      <c r="I9" s="35"/>
      <c r="J9" s="35"/>
      <c r="K9" s="35"/>
      <c r="L9" s="35"/>
      <c r="M9" s="35"/>
      <c r="N9" s="35"/>
    </row>
    <row r="10" spans="1:15" ht="24" customHeight="1" x14ac:dyDescent="0.2">
      <c r="A10" s="14" t="s">
        <v>12</v>
      </c>
      <c r="B10" s="15" t="s">
        <v>89</v>
      </c>
      <c r="C10" s="15"/>
      <c r="D10" s="15"/>
      <c r="E10" s="148" t="s">
        <v>155</v>
      </c>
      <c r="F10" s="149"/>
      <c r="G10" s="149"/>
      <c r="H10" s="149"/>
      <c r="I10" s="149"/>
      <c r="J10" s="149"/>
      <c r="K10" s="149"/>
      <c r="L10" s="149"/>
      <c r="M10" s="149"/>
      <c r="N10" s="155"/>
      <c r="O10" s="31" t="str">
        <f>IF(E10="","入力してください","")</f>
        <v/>
      </c>
    </row>
    <row r="11" spans="1:15" ht="7.5" customHeight="1" x14ac:dyDescent="0.2">
      <c r="B11" s="16"/>
      <c r="C11" s="16"/>
      <c r="D11" s="16"/>
      <c r="E11" s="16"/>
      <c r="F11" s="35"/>
      <c r="G11" s="35"/>
      <c r="H11" s="35"/>
      <c r="I11" s="35"/>
      <c r="J11" s="35"/>
      <c r="K11" s="35"/>
      <c r="L11" s="35"/>
      <c r="M11" s="35"/>
      <c r="N11" s="35"/>
    </row>
    <row r="12" spans="1:15" ht="24" customHeight="1" x14ac:dyDescent="0.2">
      <c r="A12" s="14" t="s">
        <v>60</v>
      </c>
      <c r="B12" s="16" t="s">
        <v>61</v>
      </c>
      <c r="C12" s="16"/>
      <c r="D12" s="16"/>
      <c r="E12" s="161" t="s">
        <v>156</v>
      </c>
      <c r="F12" s="162"/>
      <c r="G12" s="17" t="s">
        <v>100</v>
      </c>
      <c r="H12" s="14" t="s">
        <v>101</v>
      </c>
      <c r="N12" s="109" t="s">
        <v>157</v>
      </c>
      <c r="O12" s="31" t="str">
        <f>IF(E12="","入力してください","")</f>
        <v/>
      </c>
    </row>
    <row r="13" spans="1:15" ht="7.5" customHeight="1" x14ac:dyDescent="0.2">
      <c r="B13" s="16"/>
      <c r="C13" s="16"/>
      <c r="D13" s="16"/>
      <c r="E13" s="16"/>
      <c r="F13" s="35"/>
      <c r="G13" s="35"/>
      <c r="H13" s="35"/>
      <c r="I13" s="35"/>
      <c r="J13" s="35"/>
      <c r="K13" s="35"/>
      <c r="L13" s="35"/>
      <c r="M13" s="35"/>
      <c r="N13" s="35"/>
    </row>
    <row r="14" spans="1:15" ht="24" customHeight="1" x14ac:dyDescent="0.2">
      <c r="A14" s="14" t="s">
        <v>55</v>
      </c>
      <c r="B14" s="14" t="s">
        <v>0</v>
      </c>
      <c r="C14" s="157" t="s">
        <v>5</v>
      </c>
      <c r="D14" s="158"/>
      <c r="E14" s="152">
        <v>218</v>
      </c>
      <c r="F14" s="153"/>
      <c r="G14" s="18" t="s">
        <v>8</v>
      </c>
      <c r="I14" s="157" t="s">
        <v>9</v>
      </c>
      <c r="J14" s="158"/>
      <c r="K14" s="152">
        <v>99</v>
      </c>
      <c r="L14" s="159"/>
      <c r="M14" s="153"/>
      <c r="N14" s="19" t="s">
        <v>8</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62</v>
      </c>
      <c r="B16" s="14" t="s">
        <v>72</v>
      </c>
      <c r="F16" s="20"/>
      <c r="G16" s="20"/>
      <c r="H16" s="20"/>
      <c r="I16" s="20"/>
      <c r="J16" s="20"/>
      <c r="K16" s="140">
        <v>58</v>
      </c>
      <c r="L16" s="141"/>
      <c r="M16" s="142"/>
      <c r="N16" s="19" t="s">
        <v>53</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25</v>
      </c>
      <c r="B18" s="14" t="s">
        <v>81</v>
      </c>
      <c r="E18" s="152">
        <v>80</v>
      </c>
      <c r="F18" s="153"/>
      <c r="G18" s="21" t="s">
        <v>22</v>
      </c>
      <c r="H18" s="20"/>
      <c r="K18" s="154"/>
      <c r="L18" s="154"/>
      <c r="M18" s="154"/>
      <c r="N18" s="154"/>
      <c r="O18" s="31" t="str">
        <f>IF(E18="","入力してください","")</f>
        <v/>
      </c>
    </row>
    <row r="19" spans="1:15" ht="7.5" customHeight="1" x14ac:dyDescent="0.2">
      <c r="E19" s="10"/>
      <c r="F19" s="20"/>
      <c r="G19" s="20"/>
      <c r="L19" s="34"/>
      <c r="M19" s="34"/>
      <c r="N19" s="22"/>
    </row>
    <row r="20" spans="1:15" ht="24" customHeight="1" x14ac:dyDescent="0.2">
      <c r="A20" s="14" t="s">
        <v>80</v>
      </c>
      <c r="B20" s="14" t="s">
        <v>82</v>
      </c>
      <c r="E20" s="10"/>
      <c r="F20" s="20"/>
      <c r="G20" s="20"/>
      <c r="H20" s="14" t="s">
        <v>54</v>
      </c>
      <c r="J20" s="143">
        <v>1176</v>
      </c>
      <c r="K20" s="144"/>
      <c r="L20" s="145"/>
      <c r="M20" s="34" t="s">
        <v>53</v>
      </c>
      <c r="N20" s="22"/>
      <c r="O20" s="31" t="str">
        <f>IF(J20="","入力してください","")</f>
        <v/>
      </c>
    </row>
    <row r="21" spans="1:15" ht="7.5" customHeight="1" x14ac:dyDescent="0.2">
      <c r="E21" s="10"/>
      <c r="F21" s="20"/>
      <c r="G21" s="20"/>
      <c r="L21" s="34"/>
      <c r="M21" s="34"/>
      <c r="N21" s="22"/>
    </row>
    <row r="22" spans="1:15" ht="24" customHeight="1" x14ac:dyDescent="0.2">
      <c r="B22" s="29" t="s">
        <v>18</v>
      </c>
      <c r="C22" s="152">
        <v>77</v>
      </c>
      <c r="D22" s="153"/>
      <c r="E22" s="10" t="s">
        <v>23</v>
      </c>
      <c r="F22" s="20"/>
      <c r="G22" s="146" t="s">
        <v>19</v>
      </c>
      <c r="H22" s="146"/>
      <c r="I22" s="152">
        <v>90</v>
      </c>
      <c r="J22" s="153"/>
      <c r="K22" s="17" t="s">
        <v>23</v>
      </c>
      <c r="M22" s="34"/>
      <c r="N22" s="22"/>
    </row>
    <row r="23" spans="1:15" ht="7.5" customHeight="1" x14ac:dyDescent="0.2">
      <c r="B23" s="29"/>
      <c r="C23" s="11"/>
      <c r="D23" s="11"/>
      <c r="E23" s="10"/>
      <c r="F23" s="20"/>
      <c r="G23" s="34"/>
      <c r="H23" s="34"/>
      <c r="I23" s="11"/>
      <c r="J23" s="11"/>
      <c r="K23" s="17"/>
      <c r="M23" s="34"/>
      <c r="N23" s="22"/>
    </row>
    <row r="24" spans="1:15" ht="24" customHeight="1" x14ac:dyDescent="0.2">
      <c r="B24" s="29" t="s">
        <v>20</v>
      </c>
      <c r="C24" s="152">
        <v>467</v>
      </c>
      <c r="D24" s="153"/>
      <c r="E24" s="10" t="s">
        <v>23</v>
      </c>
      <c r="F24" s="20"/>
      <c r="G24" s="146" t="s">
        <v>21</v>
      </c>
      <c r="H24" s="146"/>
      <c r="I24" s="152">
        <v>542</v>
      </c>
      <c r="J24" s="153"/>
      <c r="K24" s="17" t="s">
        <v>23</v>
      </c>
      <c r="M24" s="34"/>
      <c r="N24" s="22"/>
    </row>
    <row r="25" spans="1:15" ht="7.5" customHeight="1" x14ac:dyDescent="0.2">
      <c r="B25" s="29"/>
      <c r="C25" s="11"/>
      <c r="D25" s="11"/>
      <c r="E25" s="10"/>
      <c r="F25" s="20"/>
      <c r="G25" s="34"/>
      <c r="H25" s="34"/>
      <c r="I25" s="11"/>
      <c r="J25" s="11"/>
      <c r="K25" s="17"/>
      <c r="M25" s="34"/>
      <c r="N25" s="22"/>
    </row>
    <row r="26" spans="1:15" ht="24" customHeight="1" x14ac:dyDescent="0.2">
      <c r="B26" s="29" t="s">
        <v>48</v>
      </c>
      <c r="C26" s="152"/>
      <c r="D26" s="153"/>
      <c r="E26" s="10" t="s">
        <v>8</v>
      </c>
      <c r="F26" s="20"/>
      <c r="G26" s="146" t="s">
        <v>49</v>
      </c>
      <c r="H26" s="146"/>
      <c r="I26" s="152"/>
      <c r="J26" s="153"/>
      <c r="K26" s="17" t="s">
        <v>8</v>
      </c>
      <c r="M26" s="34"/>
      <c r="N26" s="22"/>
    </row>
    <row r="27" spans="1:15" ht="7.5" customHeight="1" x14ac:dyDescent="0.2">
      <c r="F27" s="20"/>
      <c r="G27" s="20"/>
      <c r="M27" s="23"/>
      <c r="N27" s="23"/>
    </row>
    <row r="28" spans="1:15" ht="24" customHeight="1" x14ac:dyDescent="0.2">
      <c r="A28" s="14" t="s">
        <v>52</v>
      </c>
      <c r="B28" s="15" t="s">
        <v>79</v>
      </c>
      <c r="C28" s="15"/>
      <c r="D28" s="15"/>
      <c r="E28" s="15"/>
      <c r="F28" s="17"/>
      <c r="G28" s="35"/>
      <c r="H28" s="35"/>
      <c r="I28" s="35"/>
      <c r="J28" s="24"/>
      <c r="K28" s="24"/>
      <c r="L28" s="24"/>
      <c r="M28" s="24"/>
      <c r="N28" s="24"/>
    </row>
    <row r="29" spans="1:15" s="14" customFormat="1" ht="24" customHeight="1" x14ac:dyDescent="0.2">
      <c r="B29" s="147" t="s">
        <v>78</v>
      </c>
      <c r="C29" s="147"/>
      <c r="D29" s="148" t="s">
        <v>158</v>
      </c>
      <c r="E29" s="149"/>
      <c r="F29" s="149"/>
      <c r="G29" s="150" t="s">
        <v>24</v>
      </c>
      <c r="H29" s="147"/>
      <c r="I29" s="151"/>
      <c r="J29" s="148" t="s">
        <v>159</v>
      </c>
      <c r="K29" s="149"/>
      <c r="L29" s="149"/>
      <c r="M29" s="149"/>
      <c r="N29" s="155"/>
      <c r="O29" s="31" t="str">
        <f>IF(OR(D29="",J29=""),"入力してください","")</f>
        <v/>
      </c>
    </row>
    <row r="30" spans="1:15" ht="7.5" customHeight="1" x14ac:dyDescent="0.2">
      <c r="F30" s="20"/>
      <c r="G30" s="20"/>
      <c r="M30" s="23"/>
      <c r="N30" s="23"/>
    </row>
    <row r="31" spans="1:15" ht="24" customHeight="1" x14ac:dyDescent="0.2">
      <c r="A31" s="14" t="s">
        <v>56</v>
      </c>
      <c r="B31" s="15" t="s">
        <v>84</v>
      </c>
      <c r="C31" s="15"/>
      <c r="D31" s="15"/>
      <c r="E31" s="15"/>
      <c r="F31" s="17"/>
      <c r="G31" s="24"/>
      <c r="H31" s="24"/>
      <c r="I31" s="24"/>
      <c r="J31" s="24"/>
      <c r="K31" s="24"/>
      <c r="L31" s="24"/>
      <c r="M31" s="24"/>
      <c r="N31" s="24"/>
    </row>
    <row r="32" spans="1:15" ht="24" customHeight="1" x14ac:dyDescent="0.2">
      <c r="B32" s="148" t="s">
        <v>160</v>
      </c>
      <c r="C32" s="149"/>
      <c r="D32" s="149"/>
      <c r="E32" s="149"/>
      <c r="F32" s="149"/>
      <c r="G32" s="149"/>
      <c r="H32" s="149"/>
      <c r="I32" s="149"/>
      <c r="J32" s="149"/>
      <c r="K32" s="149"/>
      <c r="L32" s="149"/>
      <c r="M32" s="149"/>
      <c r="N32" s="155"/>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47" t="s">
        <v>78</v>
      </c>
      <c r="C34" s="147"/>
      <c r="D34" s="148" t="s">
        <v>161</v>
      </c>
      <c r="E34" s="149"/>
      <c r="F34" s="149"/>
      <c r="G34" s="150" t="s">
        <v>57</v>
      </c>
      <c r="H34" s="147"/>
      <c r="I34" s="151"/>
      <c r="J34" s="148" t="s">
        <v>196</v>
      </c>
      <c r="K34" s="149"/>
      <c r="L34" s="149"/>
      <c r="M34" s="149"/>
      <c r="N34" s="155"/>
      <c r="O34" s="31" t="str">
        <f>IF(OR(D34="",J34=""),"入力してください","")</f>
        <v/>
      </c>
    </row>
    <row r="35" spans="1:15" ht="7.5" customHeight="1" x14ac:dyDescent="0.2">
      <c r="F35" s="35"/>
      <c r="G35" s="35"/>
      <c r="H35" s="35"/>
      <c r="I35" s="35"/>
      <c r="J35" s="35"/>
      <c r="K35" s="35"/>
      <c r="L35" s="35"/>
      <c r="M35" s="35"/>
      <c r="N35" s="35"/>
    </row>
    <row r="36" spans="1:15" ht="24" customHeight="1" x14ac:dyDescent="0.2">
      <c r="A36" s="14" t="s">
        <v>63</v>
      </c>
      <c r="B36" s="14" t="s">
        <v>85</v>
      </c>
      <c r="M36" s="23"/>
      <c r="N36" s="23"/>
    </row>
    <row r="37" spans="1:15" ht="24" customHeight="1" x14ac:dyDescent="0.2">
      <c r="B37" s="148" t="s">
        <v>162</v>
      </c>
      <c r="C37" s="149"/>
      <c r="D37" s="149"/>
      <c r="E37" s="149"/>
      <c r="F37" s="149"/>
      <c r="G37" s="149"/>
      <c r="H37" s="149"/>
      <c r="I37" s="149"/>
      <c r="J37" s="149"/>
      <c r="K37" s="149"/>
      <c r="L37" s="149"/>
      <c r="M37" s="149"/>
      <c r="N37" s="155"/>
      <c r="O37" s="31" t="str">
        <f>IF(B37="","入力してください","")</f>
        <v/>
      </c>
    </row>
    <row r="38" spans="1:15" ht="7.5" customHeight="1" x14ac:dyDescent="0.2">
      <c r="F38" s="35"/>
      <c r="G38" s="35"/>
      <c r="H38" s="35"/>
      <c r="I38" s="35"/>
      <c r="J38" s="35"/>
      <c r="K38" s="35"/>
      <c r="L38" s="35"/>
      <c r="M38" s="35"/>
      <c r="N38" s="35"/>
    </row>
    <row r="39" spans="1:15" s="14" customFormat="1" ht="24" customHeight="1" x14ac:dyDescent="0.2">
      <c r="B39" s="147" t="s">
        <v>78</v>
      </c>
      <c r="C39" s="147"/>
      <c r="D39" s="148" t="s">
        <v>158</v>
      </c>
      <c r="E39" s="149"/>
      <c r="F39" s="149"/>
      <c r="G39" s="150" t="s">
        <v>57</v>
      </c>
      <c r="H39" s="147"/>
      <c r="I39" s="151"/>
      <c r="J39" s="148" t="s">
        <v>197</v>
      </c>
      <c r="K39" s="149"/>
      <c r="L39" s="149"/>
      <c r="M39" s="149"/>
      <c r="N39" s="155"/>
      <c r="O39" s="31" t="str">
        <f>IF(OR(D39="",J39=""),"入力してください","")</f>
        <v/>
      </c>
    </row>
    <row r="40" spans="1:15" ht="7.5" customHeight="1" x14ac:dyDescent="0.2">
      <c r="F40" s="35"/>
      <c r="G40" s="35"/>
      <c r="H40" s="35"/>
      <c r="I40" s="35"/>
      <c r="J40" s="35"/>
      <c r="K40" s="35"/>
      <c r="L40" s="35"/>
      <c r="M40" s="35"/>
      <c r="N40" s="35"/>
    </row>
    <row r="41" spans="1:15" ht="24" customHeight="1" x14ac:dyDescent="0.2">
      <c r="A41" s="14" t="s">
        <v>92</v>
      </c>
      <c r="B41" s="71" t="s">
        <v>71</v>
      </c>
      <c r="E41" s="72"/>
      <c r="F41" s="148" t="s">
        <v>228</v>
      </c>
      <c r="G41" s="149"/>
      <c r="H41" s="149"/>
      <c r="I41" s="149"/>
      <c r="J41" s="149"/>
      <c r="K41" s="149"/>
      <c r="L41" s="149"/>
      <c r="M41" s="149"/>
      <c r="N41" s="155"/>
      <c r="O41" s="31" t="str">
        <f>IF(F41="","入力してください","")</f>
        <v/>
      </c>
    </row>
    <row r="42" spans="1:15" ht="7.5" customHeight="1" x14ac:dyDescent="0.2">
      <c r="F42" s="35"/>
      <c r="G42" s="35"/>
      <c r="H42" s="35"/>
      <c r="I42" s="35"/>
      <c r="J42" s="35"/>
      <c r="K42" s="35"/>
      <c r="L42" s="35"/>
      <c r="M42" s="35"/>
      <c r="N42" s="35"/>
    </row>
    <row r="43" spans="1:15" ht="24" customHeight="1" x14ac:dyDescent="0.2">
      <c r="A43" s="14" t="s">
        <v>102</v>
      </c>
    </row>
    <row r="44" spans="1:15" ht="24" customHeight="1" x14ac:dyDescent="0.2">
      <c r="B44" s="30" t="s">
        <v>1</v>
      </c>
      <c r="C44" s="169" t="s">
        <v>227</v>
      </c>
      <c r="D44" s="170"/>
      <c r="E44" s="170"/>
      <c r="F44" s="170"/>
      <c r="G44" s="170"/>
      <c r="H44" s="170"/>
      <c r="I44" s="26" t="s">
        <v>2</v>
      </c>
      <c r="J44" s="27"/>
      <c r="K44" s="148" t="s">
        <v>164</v>
      </c>
      <c r="L44" s="149"/>
      <c r="M44" s="149"/>
      <c r="N44" s="155"/>
      <c r="O44" s="31" t="str">
        <f>IF(OR(C44="",K44=""),"入力してください","")</f>
        <v/>
      </c>
    </row>
    <row r="45" spans="1:15" ht="24" customHeight="1" x14ac:dyDescent="0.2">
      <c r="B45" s="25" t="s">
        <v>4</v>
      </c>
      <c r="C45" s="163" t="s">
        <v>163</v>
      </c>
      <c r="D45" s="164"/>
      <c r="E45" s="164"/>
      <c r="F45" s="164"/>
      <c r="G45" s="164"/>
      <c r="H45" s="165"/>
      <c r="I45" s="26" t="s">
        <v>3</v>
      </c>
      <c r="J45" s="27"/>
      <c r="K45" s="166" t="s">
        <v>165</v>
      </c>
      <c r="L45" s="167"/>
      <c r="M45" s="167"/>
      <c r="N45" s="168"/>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89" zoomScaleNormal="100" zoomScaleSheetLayoutView="100" workbookViewId="0">
      <selection activeCell="D90" sqref="D90:Z90"/>
    </sheetView>
  </sheetViews>
  <sheetFormatPr defaultColWidth="9" defaultRowHeight="18.75" customHeight="1" x14ac:dyDescent="0.2"/>
  <cols>
    <col min="1" max="1" width="2.33203125" style="13" customWidth="1"/>
    <col min="2" max="2" width="27.77734375" style="13" customWidth="1"/>
    <col min="3" max="13" width="3.33203125" style="13" customWidth="1"/>
    <col min="14" max="14" width="8.88671875" style="13" customWidth="1"/>
    <col min="15" max="15" width="18.88671875" style="13" customWidth="1"/>
    <col min="16" max="26" width="3.33203125" style="13" customWidth="1"/>
    <col min="27" max="16384" width="9" style="13"/>
  </cols>
  <sheetData>
    <row r="1" spans="1:26" ht="15" customHeight="1" x14ac:dyDescent="0.2">
      <c r="W1" s="192" t="s">
        <v>117</v>
      </c>
      <c r="X1" s="192"/>
      <c r="Y1" s="192"/>
      <c r="Z1" s="192"/>
    </row>
    <row r="2" spans="1:26" ht="18" customHeight="1" x14ac:dyDescent="0.2">
      <c r="A2" s="234" t="s">
        <v>69</v>
      </c>
      <c r="B2" s="234"/>
      <c r="C2" s="234"/>
      <c r="D2" s="234"/>
      <c r="E2" s="234"/>
      <c r="F2" s="234"/>
      <c r="G2" s="234"/>
      <c r="H2" s="234"/>
      <c r="I2" s="234"/>
      <c r="J2" s="234"/>
      <c r="K2" s="234"/>
      <c r="L2" s="234"/>
      <c r="M2" s="234"/>
      <c r="N2" s="234"/>
      <c r="O2" s="234"/>
      <c r="P2" s="234"/>
      <c r="Q2" s="234"/>
      <c r="R2" s="234"/>
      <c r="S2" s="234"/>
      <c r="T2" s="234"/>
      <c r="U2" s="234"/>
      <c r="V2" s="234"/>
      <c r="W2" s="234"/>
      <c r="X2" s="234"/>
      <c r="Y2" s="234"/>
      <c r="Z2" s="23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0" t="s">
        <v>166</v>
      </c>
      <c r="P4" s="141"/>
      <c r="Q4" s="141"/>
      <c r="R4" s="141"/>
      <c r="S4" s="141"/>
      <c r="T4" s="141"/>
      <c r="U4" s="141"/>
      <c r="V4" s="141"/>
      <c r="W4" s="141"/>
      <c r="X4" s="141"/>
      <c r="Y4" s="141"/>
      <c r="Z4" s="142"/>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35" t="s">
        <v>207</v>
      </c>
      <c r="C6" s="236"/>
      <c r="D6" s="236"/>
      <c r="E6" s="236"/>
      <c r="F6" s="236"/>
      <c r="G6" s="236"/>
      <c r="H6" s="236"/>
      <c r="I6" s="236"/>
      <c r="J6" s="236"/>
      <c r="K6" s="236"/>
      <c r="L6" s="236"/>
      <c r="M6" s="236"/>
      <c r="N6" s="236"/>
      <c r="O6" s="236"/>
      <c r="P6" s="236"/>
      <c r="Q6" s="236"/>
      <c r="R6" s="236"/>
      <c r="S6" s="236"/>
      <c r="T6" s="236"/>
      <c r="U6" s="236"/>
      <c r="V6" s="236"/>
      <c r="W6" s="236"/>
      <c r="X6" s="236"/>
      <c r="Y6" s="236"/>
      <c r="Z6" s="237"/>
    </row>
    <row r="7" spans="1:26" ht="18" customHeight="1" x14ac:dyDescent="0.2">
      <c r="B7" s="238"/>
      <c r="C7" s="239"/>
      <c r="D7" s="239"/>
      <c r="E7" s="239"/>
      <c r="F7" s="239"/>
      <c r="G7" s="239"/>
      <c r="H7" s="239"/>
      <c r="I7" s="239"/>
      <c r="J7" s="239"/>
      <c r="K7" s="239"/>
      <c r="L7" s="239"/>
      <c r="M7" s="239"/>
      <c r="N7" s="239"/>
      <c r="O7" s="239"/>
      <c r="P7" s="239"/>
      <c r="Q7" s="239"/>
      <c r="R7" s="239"/>
      <c r="S7" s="239"/>
      <c r="T7" s="239"/>
      <c r="U7" s="239"/>
      <c r="V7" s="239"/>
      <c r="W7" s="239"/>
      <c r="X7" s="239"/>
      <c r="Y7" s="239"/>
      <c r="Z7" s="240"/>
    </row>
    <row r="8" spans="1:26" ht="18" customHeight="1" x14ac:dyDescent="0.2">
      <c r="B8" s="238"/>
      <c r="C8" s="239"/>
      <c r="D8" s="239"/>
      <c r="E8" s="239"/>
      <c r="F8" s="239"/>
      <c r="G8" s="239"/>
      <c r="H8" s="239"/>
      <c r="I8" s="239"/>
      <c r="J8" s="239"/>
      <c r="K8" s="239"/>
      <c r="L8" s="239"/>
      <c r="M8" s="239"/>
      <c r="N8" s="239"/>
      <c r="O8" s="239"/>
      <c r="P8" s="239"/>
      <c r="Q8" s="239"/>
      <c r="R8" s="239"/>
      <c r="S8" s="239"/>
      <c r="T8" s="239"/>
      <c r="U8" s="239"/>
      <c r="V8" s="239"/>
      <c r="W8" s="239"/>
      <c r="X8" s="239"/>
      <c r="Y8" s="239"/>
      <c r="Z8" s="240"/>
    </row>
    <row r="9" spans="1:26" ht="18" customHeight="1" x14ac:dyDescent="0.2">
      <c r="B9" s="238"/>
      <c r="C9" s="239"/>
      <c r="D9" s="239"/>
      <c r="E9" s="239"/>
      <c r="F9" s="239"/>
      <c r="G9" s="239"/>
      <c r="H9" s="239"/>
      <c r="I9" s="239"/>
      <c r="J9" s="239"/>
      <c r="K9" s="239"/>
      <c r="L9" s="239"/>
      <c r="M9" s="239"/>
      <c r="N9" s="239"/>
      <c r="O9" s="239"/>
      <c r="P9" s="239"/>
      <c r="Q9" s="239"/>
      <c r="R9" s="239"/>
      <c r="S9" s="239"/>
      <c r="T9" s="239"/>
      <c r="U9" s="239"/>
      <c r="V9" s="239"/>
      <c r="W9" s="239"/>
      <c r="X9" s="239"/>
      <c r="Y9" s="239"/>
      <c r="Z9" s="240"/>
    </row>
    <row r="10" spans="1:26" ht="18" customHeight="1" x14ac:dyDescent="0.2">
      <c r="B10" s="238"/>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0"/>
    </row>
    <row r="11" spans="1:26" ht="18" customHeight="1" x14ac:dyDescent="0.2">
      <c r="B11" s="242"/>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24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33" t="s">
        <v>130</v>
      </c>
      <c r="B13" s="233"/>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row>
    <row r="14" spans="1:26" ht="18" customHeight="1" x14ac:dyDescent="0.2">
      <c r="A14" s="233"/>
      <c r="B14" s="23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row>
    <row r="15" spans="1:26" ht="18" customHeight="1" x14ac:dyDescent="0.2">
      <c r="A15" s="14"/>
      <c r="B15" s="140" t="s">
        <v>104</v>
      </c>
      <c r="C15" s="141"/>
      <c r="D15" s="141"/>
      <c r="E15" s="141"/>
      <c r="F15" s="142"/>
      <c r="G15" s="30" t="s">
        <v>146</v>
      </c>
      <c r="H15" s="104" t="s">
        <v>145</v>
      </c>
      <c r="I15" s="141" t="s">
        <v>105</v>
      </c>
      <c r="J15" s="141"/>
      <c r="K15" s="141"/>
      <c r="L15" s="73" t="s">
        <v>108</v>
      </c>
      <c r="M15" s="73" t="s">
        <v>111</v>
      </c>
      <c r="N15" s="140" t="s">
        <v>104</v>
      </c>
      <c r="O15" s="141"/>
      <c r="P15" s="141"/>
      <c r="Q15" s="141"/>
      <c r="R15" s="141"/>
      <c r="S15" s="142"/>
      <c r="T15" s="30" t="s">
        <v>146</v>
      </c>
      <c r="U15" s="104" t="s">
        <v>145</v>
      </c>
      <c r="V15" s="141" t="s">
        <v>105</v>
      </c>
      <c r="W15" s="141"/>
      <c r="X15" s="141"/>
      <c r="Y15" s="73" t="s">
        <v>108</v>
      </c>
      <c r="Z15" s="73" t="s">
        <v>111</v>
      </c>
    </row>
    <row r="16" spans="1:26" ht="18" customHeight="1" x14ac:dyDescent="0.2">
      <c r="A16" s="14"/>
      <c r="B16" s="193" t="s">
        <v>168</v>
      </c>
      <c r="C16" s="194"/>
      <c r="D16" s="194"/>
      <c r="E16" s="194"/>
      <c r="F16" s="195"/>
      <c r="G16" s="105">
        <v>2</v>
      </c>
      <c r="H16" s="105" t="s">
        <v>167</v>
      </c>
      <c r="I16" s="230" t="s">
        <v>169</v>
      </c>
      <c r="J16" s="231"/>
      <c r="K16" s="232"/>
      <c r="L16" s="105" t="s">
        <v>167</v>
      </c>
      <c r="M16" s="105"/>
      <c r="N16" s="171"/>
      <c r="O16" s="172"/>
      <c r="P16" s="172"/>
      <c r="Q16" s="172"/>
      <c r="R16" s="172"/>
      <c r="S16" s="173"/>
      <c r="T16" s="105"/>
      <c r="U16" s="105"/>
      <c r="V16" s="230"/>
      <c r="W16" s="231"/>
      <c r="X16" s="232"/>
      <c r="Y16" s="105"/>
      <c r="Z16" s="105"/>
    </row>
    <row r="17" spans="1:26" ht="18" customHeight="1" x14ac:dyDescent="0.2">
      <c r="A17" s="14"/>
      <c r="B17" s="186" t="s">
        <v>170</v>
      </c>
      <c r="C17" s="187"/>
      <c r="D17" s="187"/>
      <c r="E17" s="187"/>
      <c r="F17" s="188"/>
      <c r="G17" s="106">
        <v>2</v>
      </c>
      <c r="H17" s="106" t="s">
        <v>167</v>
      </c>
      <c r="I17" s="180" t="s">
        <v>169</v>
      </c>
      <c r="J17" s="181"/>
      <c r="K17" s="182"/>
      <c r="L17" s="106" t="s">
        <v>167</v>
      </c>
      <c r="M17" s="106" t="s">
        <v>167</v>
      </c>
      <c r="N17" s="174"/>
      <c r="O17" s="175"/>
      <c r="P17" s="175"/>
      <c r="Q17" s="175"/>
      <c r="R17" s="175"/>
      <c r="S17" s="176"/>
      <c r="T17" s="106"/>
      <c r="U17" s="106"/>
      <c r="V17" s="180"/>
      <c r="W17" s="181"/>
      <c r="X17" s="182"/>
      <c r="Y17" s="106"/>
      <c r="Z17" s="106"/>
    </row>
    <row r="18" spans="1:26" ht="18" customHeight="1" x14ac:dyDescent="0.2">
      <c r="A18" s="14"/>
      <c r="B18" s="186"/>
      <c r="C18" s="187"/>
      <c r="D18" s="187"/>
      <c r="E18" s="187"/>
      <c r="F18" s="188"/>
      <c r="G18" s="106"/>
      <c r="H18" s="106"/>
      <c r="I18" s="180"/>
      <c r="J18" s="181"/>
      <c r="K18" s="182"/>
      <c r="L18" s="106"/>
      <c r="M18" s="106"/>
      <c r="N18" s="174"/>
      <c r="O18" s="175"/>
      <c r="P18" s="175"/>
      <c r="Q18" s="175"/>
      <c r="R18" s="175"/>
      <c r="S18" s="176"/>
      <c r="T18" s="106"/>
      <c r="U18" s="106"/>
      <c r="V18" s="180"/>
      <c r="W18" s="181"/>
      <c r="X18" s="182"/>
      <c r="Y18" s="106"/>
      <c r="Z18" s="106"/>
    </row>
    <row r="19" spans="1:26" ht="18" customHeight="1" x14ac:dyDescent="0.2">
      <c r="A19" s="14"/>
      <c r="B19" s="186"/>
      <c r="C19" s="187"/>
      <c r="D19" s="187"/>
      <c r="E19" s="187"/>
      <c r="F19" s="188"/>
      <c r="G19" s="106"/>
      <c r="H19" s="106"/>
      <c r="I19" s="180"/>
      <c r="J19" s="181"/>
      <c r="K19" s="182"/>
      <c r="L19" s="106"/>
      <c r="M19" s="106"/>
      <c r="N19" s="174"/>
      <c r="O19" s="175"/>
      <c r="P19" s="175"/>
      <c r="Q19" s="175"/>
      <c r="R19" s="175"/>
      <c r="S19" s="176"/>
      <c r="T19" s="106"/>
      <c r="U19" s="106"/>
      <c r="V19" s="180"/>
      <c r="W19" s="181"/>
      <c r="X19" s="182"/>
      <c r="Y19" s="106"/>
      <c r="Z19" s="106"/>
    </row>
    <row r="20" spans="1:26" ht="18" customHeight="1" x14ac:dyDescent="0.2">
      <c r="A20" s="14"/>
      <c r="B20" s="186"/>
      <c r="C20" s="187"/>
      <c r="D20" s="187"/>
      <c r="E20" s="187"/>
      <c r="F20" s="188"/>
      <c r="G20" s="106"/>
      <c r="H20" s="106"/>
      <c r="I20" s="180"/>
      <c r="J20" s="181"/>
      <c r="K20" s="182"/>
      <c r="L20" s="106"/>
      <c r="M20" s="106"/>
      <c r="N20" s="174"/>
      <c r="O20" s="175"/>
      <c r="P20" s="175"/>
      <c r="Q20" s="175"/>
      <c r="R20" s="175"/>
      <c r="S20" s="176"/>
      <c r="T20" s="106"/>
      <c r="U20" s="106"/>
      <c r="V20" s="180"/>
      <c r="W20" s="181"/>
      <c r="X20" s="182"/>
      <c r="Y20" s="106"/>
      <c r="Z20" s="106"/>
    </row>
    <row r="21" spans="1:26" ht="18" customHeight="1" x14ac:dyDescent="0.2">
      <c r="A21" s="29"/>
      <c r="B21" s="186"/>
      <c r="C21" s="187"/>
      <c r="D21" s="187"/>
      <c r="E21" s="187"/>
      <c r="F21" s="188"/>
      <c r="G21" s="106"/>
      <c r="H21" s="106"/>
      <c r="I21" s="180"/>
      <c r="J21" s="181"/>
      <c r="K21" s="182"/>
      <c r="L21" s="106"/>
      <c r="M21" s="106"/>
      <c r="N21" s="174"/>
      <c r="O21" s="175"/>
      <c r="P21" s="175"/>
      <c r="Q21" s="175"/>
      <c r="R21" s="175"/>
      <c r="S21" s="176"/>
      <c r="T21" s="106"/>
      <c r="U21" s="106"/>
      <c r="V21" s="180"/>
      <c r="W21" s="181"/>
      <c r="X21" s="182"/>
      <c r="Y21" s="106"/>
      <c r="Z21" s="106"/>
    </row>
    <row r="22" spans="1:26" ht="18" customHeight="1" x14ac:dyDescent="0.2">
      <c r="A22" s="29"/>
      <c r="B22" s="189"/>
      <c r="C22" s="190"/>
      <c r="D22" s="190"/>
      <c r="E22" s="190"/>
      <c r="F22" s="191"/>
      <c r="G22" s="107"/>
      <c r="H22" s="107"/>
      <c r="I22" s="183"/>
      <c r="J22" s="184"/>
      <c r="K22" s="185"/>
      <c r="L22" s="113"/>
      <c r="M22" s="113"/>
      <c r="N22" s="177"/>
      <c r="O22" s="178"/>
      <c r="P22" s="178"/>
      <c r="Q22" s="178"/>
      <c r="R22" s="178"/>
      <c r="S22" s="179"/>
      <c r="T22" s="107"/>
      <c r="U22" s="107"/>
      <c r="V22" s="183"/>
      <c r="W22" s="184"/>
      <c r="X22" s="185"/>
      <c r="Y22" s="113"/>
      <c r="Z22" s="113"/>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33" t="s">
        <v>131</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row>
    <row r="25" spans="1:26" ht="18" customHeight="1" x14ac:dyDescent="0.2">
      <c r="A25" s="233"/>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row>
    <row r="26" spans="1:26" ht="18" customHeight="1" x14ac:dyDescent="0.2">
      <c r="A26" s="14"/>
      <c r="B26" s="140" t="s">
        <v>104</v>
      </c>
      <c r="C26" s="141"/>
      <c r="D26" s="141"/>
      <c r="E26" s="141"/>
      <c r="F26" s="142"/>
      <c r="G26" s="30" t="s">
        <v>146</v>
      </c>
      <c r="H26" s="104" t="s">
        <v>145</v>
      </c>
      <c r="I26" s="141" t="s">
        <v>105</v>
      </c>
      <c r="J26" s="141"/>
      <c r="K26" s="141"/>
      <c r="L26" s="73" t="s">
        <v>132</v>
      </c>
      <c r="M26" s="73" t="s">
        <v>133</v>
      </c>
      <c r="N26" s="140" t="s">
        <v>104</v>
      </c>
      <c r="O26" s="141"/>
      <c r="P26" s="141"/>
      <c r="Q26" s="141"/>
      <c r="R26" s="141"/>
      <c r="S26" s="142"/>
      <c r="T26" s="30" t="s">
        <v>146</v>
      </c>
      <c r="U26" s="104" t="s">
        <v>145</v>
      </c>
      <c r="V26" s="141" t="s">
        <v>105</v>
      </c>
      <c r="W26" s="141"/>
      <c r="X26" s="141"/>
      <c r="Y26" s="73" t="s">
        <v>132</v>
      </c>
      <c r="Z26" s="73" t="s">
        <v>133</v>
      </c>
    </row>
    <row r="27" spans="1:26" ht="18" customHeight="1" x14ac:dyDescent="0.2">
      <c r="A27" s="14"/>
      <c r="B27" s="193" t="s">
        <v>168</v>
      </c>
      <c r="C27" s="194"/>
      <c r="D27" s="194"/>
      <c r="E27" s="194"/>
      <c r="F27" s="195"/>
      <c r="G27" s="105">
        <v>2</v>
      </c>
      <c r="H27" s="105" t="s">
        <v>167</v>
      </c>
      <c r="I27" s="230" t="s">
        <v>169</v>
      </c>
      <c r="J27" s="231"/>
      <c r="K27" s="232"/>
      <c r="L27" s="105" t="s">
        <v>167</v>
      </c>
      <c r="M27" s="105" t="s">
        <v>167</v>
      </c>
      <c r="N27" s="171"/>
      <c r="O27" s="172"/>
      <c r="P27" s="172"/>
      <c r="Q27" s="172"/>
      <c r="R27" s="172"/>
      <c r="S27" s="173"/>
      <c r="T27" s="105"/>
      <c r="U27" s="105"/>
      <c r="V27" s="230"/>
      <c r="W27" s="231"/>
      <c r="X27" s="232"/>
      <c r="Y27" s="105"/>
      <c r="Z27" s="105"/>
    </row>
    <row r="28" spans="1:26" ht="18" customHeight="1" x14ac:dyDescent="0.2">
      <c r="A28" s="14"/>
      <c r="B28" s="186"/>
      <c r="C28" s="187"/>
      <c r="D28" s="187"/>
      <c r="E28" s="187"/>
      <c r="F28" s="188"/>
      <c r="G28" s="106"/>
      <c r="H28" s="106"/>
      <c r="I28" s="180"/>
      <c r="J28" s="181"/>
      <c r="K28" s="182"/>
      <c r="L28" s="106"/>
      <c r="M28" s="106"/>
      <c r="N28" s="174"/>
      <c r="O28" s="175"/>
      <c r="P28" s="175"/>
      <c r="Q28" s="175"/>
      <c r="R28" s="175"/>
      <c r="S28" s="176"/>
      <c r="T28" s="106"/>
      <c r="U28" s="106"/>
      <c r="V28" s="180"/>
      <c r="W28" s="181"/>
      <c r="X28" s="182"/>
      <c r="Y28" s="106"/>
      <c r="Z28" s="106"/>
    </row>
    <row r="29" spans="1:26" ht="18" customHeight="1" x14ac:dyDescent="0.2">
      <c r="A29" s="14"/>
      <c r="B29" s="186"/>
      <c r="C29" s="187"/>
      <c r="D29" s="187"/>
      <c r="E29" s="187"/>
      <c r="F29" s="188"/>
      <c r="G29" s="106"/>
      <c r="H29" s="106"/>
      <c r="I29" s="180"/>
      <c r="J29" s="181"/>
      <c r="K29" s="182"/>
      <c r="L29" s="106"/>
      <c r="M29" s="106"/>
      <c r="N29" s="174"/>
      <c r="O29" s="175"/>
      <c r="P29" s="175"/>
      <c r="Q29" s="175"/>
      <c r="R29" s="175"/>
      <c r="S29" s="176"/>
      <c r="T29" s="106"/>
      <c r="U29" s="106"/>
      <c r="V29" s="180"/>
      <c r="W29" s="181"/>
      <c r="X29" s="182"/>
      <c r="Y29" s="106"/>
      <c r="Z29" s="106"/>
    </row>
    <row r="30" spans="1:26" ht="18" customHeight="1" x14ac:dyDescent="0.2">
      <c r="A30" s="14"/>
      <c r="B30" s="186"/>
      <c r="C30" s="187"/>
      <c r="D30" s="187"/>
      <c r="E30" s="187"/>
      <c r="F30" s="188"/>
      <c r="G30" s="106"/>
      <c r="H30" s="106"/>
      <c r="I30" s="180"/>
      <c r="J30" s="181"/>
      <c r="K30" s="182"/>
      <c r="L30" s="106"/>
      <c r="M30" s="106"/>
      <c r="N30" s="174"/>
      <c r="O30" s="175"/>
      <c r="P30" s="175"/>
      <c r="Q30" s="175"/>
      <c r="R30" s="175"/>
      <c r="S30" s="176"/>
      <c r="T30" s="106"/>
      <c r="U30" s="106"/>
      <c r="V30" s="180"/>
      <c r="W30" s="181"/>
      <c r="X30" s="182"/>
      <c r="Y30" s="106"/>
      <c r="Z30" s="106"/>
    </row>
    <row r="31" spans="1:26" ht="18" customHeight="1" x14ac:dyDescent="0.2">
      <c r="A31" s="14"/>
      <c r="B31" s="186"/>
      <c r="C31" s="187"/>
      <c r="D31" s="187"/>
      <c r="E31" s="187"/>
      <c r="F31" s="188"/>
      <c r="G31" s="106"/>
      <c r="H31" s="106"/>
      <c r="I31" s="180"/>
      <c r="J31" s="181"/>
      <c r="K31" s="182"/>
      <c r="L31" s="106"/>
      <c r="M31" s="106"/>
      <c r="N31" s="174"/>
      <c r="O31" s="175"/>
      <c r="P31" s="175"/>
      <c r="Q31" s="175"/>
      <c r="R31" s="175"/>
      <c r="S31" s="176"/>
      <c r="T31" s="106"/>
      <c r="U31" s="106"/>
      <c r="V31" s="180"/>
      <c r="W31" s="181"/>
      <c r="X31" s="182"/>
      <c r="Y31" s="106"/>
      <c r="Z31" s="106"/>
    </row>
    <row r="32" spans="1:26" ht="18" customHeight="1" x14ac:dyDescent="0.2">
      <c r="A32" s="14"/>
      <c r="B32" s="186"/>
      <c r="C32" s="187"/>
      <c r="D32" s="187"/>
      <c r="E32" s="187"/>
      <c r="F32" s="188"/>
      <c r="G32" s="106"/>
      <c r="H32" s="106"/>
      <c r="I32" s="180"/>
      <c r="J32" s="181"/>
      <c r="K32" s="182"/>
      <c r="L32" s="106"/>
      <c r="M32" s="106"/>
      <c r="N32" s="174"/>
      <c r="O32" s="175"/>
      <c r="P32" s="175"/>
      <c r="Q32" s="175"/>
      <c r="R32" s="175"/>
      <c r="S32" s="176"/>
      <c r="T32" s="106"/>
      <c r="U32" s="106"/>
      <c r="V32" s="180"/>
      <c r="W32" s="181"/>
      <c r="X32" s="182"/>
      <c r="Y32" s="106"/>
      <c r="Z32" s="106"/>
    </row>
    <row r="33" spans="1:26" ht="18" customHeight="1" x14ac:dyDescent="0.2">
      <c r="A33" s="14"/>
      <c r="B33" s="189"/>
      <c r="C33" s="190"/>
      <c r="D33" s="190"/>
      <c r="E33" s="190"/>
      <c r="F33" s="191"/>
      <c r="G33" s="107"/>
      <c r="H33" s="107"/>
      <c r="I33" s="183"/>
      <c r="J33" s="184"/>
      <c r="K33" s="185"/>
      <c r="L33" s="113"/>
      <c r="M33" s="113"/>
      <c r="N33" s="177"/>
      <c r="O33" s="178"/>
      <c r="P33" s="178"/>
      <c r="Q33" s="178"/>
      <c r="R33" s="178"/>
      <c r="S33" s="179"/>
      <c r="T33" s="107"/>
      <c r="U33" s="107"/>
      <c r="V33" s="183"/>
      <c r="W33" s="184"/>
      <c r="X33" s="185"/>
      <c r="Y33" s="113"/>
      <c r="Z33" s="113"/>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33" t="s">
        <v>134</v>
      </c>
      <c r="B35" s="233"/>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row>
    <row r="36" spans="1:26" ht="18" customHeight="1" x14ac:dyDescent="0.2">
      <c r="A36" s="233"/>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row>
    <row r="37" spans="1:26" ht="18" customHeight="1" x14ac:dyDescent="0.2">
      <c r="A37" s="14"/>
      <c r="B37" s="140" t="s">
        <v>104</v>
      </c>
      <c r="C37" s="141"/>
      <c r="D37" s="141"/>
      <c r="E37" s="141"/>
      <c r="F37" s="142"/>
      <c r="G37" s="30" t="s">
        <v>146</v>
      </c>
      <c r="H37" s="104" t="s">
        <v>145</v>
      </c>
      <c r="I37" s="140" t="s">
        <v>105</v>
      </c>
      <c r="J37" s="141"/>
      <c r="K37" s="142"/>
      <c r="L37" s="73" t="s">
        <v>135</v>
      </c>
      <c r="M37" s="73" t="s">
        <v>136</v>
      </c>
      <c r="N37" s="140" t="s">
        <v>104</v>
      </c>
      <c r="O37" s="141"/>
      <c r="P37" s="141"/>
      <c r="Q37" s="141"/>
      <c r="R37" s="141"/>
      <c r="S37" s="142"/>
      <c r="T37" s="30" t="s">
        <v>146</v>
      </c>
      <c r="U37" s="104" t="s">
        <v>145</v>
      </c>
      <c r="V37" s="140" t="s">
        <v>105</v>
      </c>
      <c r="W37" s="141"/>
      <c r="X37" s="142"/>
      <c r="Y37" s="73" t="s">
        <v>135</v>
      </c>
      <c r="Z37" s="73" t="s">
        <v>136</v>
      </c>
    </row>
    <row r="38" spans="1:26" ht="18" customHeight="1" x14ac:dyDescent="0.2">
      <c r="A38" s="29"/>
      <c r="B38" s="193" t="s">
        <v>170</v>
      </c>
      <c r="C38" s="194"/>
      <c r="D38" s="194"/>
      <c r="E38" s="194"/>
      <c r="F38" s="195"/>
      <c r="G38" s="105">
        <v>2</v>
      </c>
      <c r="H38" s="105" t="s">
        <v>167</v>
      </c>
      <c r="I38" s="230" t="s">
        <v>169</v>
      </c>
      <c r="J38" s="231"/>
      <c r="K38" s="232"/>
      <c r="L38" s="105" t="s">
        <v>167</v>
      </c>
      <c r="M38" s="105" t="s">
        <v>167</v>
      </c>
      <c r="N38" s="171"/>
      <c r="O38" s="172"/>
      <c r="P38" s="172"/>
      <c r="Q38" s="172"/>
      <c r="R38" s="172"/>
      <c r="S38" s="173"/>
      <c r="T38" s="105"/>
      <c r="U38" s="105"/>
      <c r="V38" s="230"/>
      <c r="W38" s="231"/>
      <c r="X38" s="232"/>
      <c r="Y38" s="105"/>
      <c r="Z38" s="105"/>
    </row>
    <row r="39" spans="1:26" ht="18" customHeight="1" x14ac:dyDescent="0.2">
      <c r="A39" s="29"/>
      <c r="B39" s="186"/>
      <c r="C39" s="187"/>
      <c r="D39" s="187"/>
      <c r="E39" s="187"/>
      <c r="F39" s="188"/>
      <c r="G39" s="106"/>
      <c r="H39" s="106"/>
      <c r="I39" s="180"/>
      <c r="J39" s="181"/>
      <c r="K39" s="182"/>
      <c r="L39" s="106"/>
      <c r="M39" s="106"/>
      <c r="N39" s="174"/>
      <c r="O39" s="175"/>
      <c r="P39" s="175"/>
      <c r="Q39" s="175"/>
      <c r="R39" s="175"/>
      <c r="S39" s="176"/>
      <c r="T39" s="106"/>
      <c r="U39" s="106"/>
      <c r="V39" s="180"/>
      <c r="W39" s="181"/>
      <c r="X39" s="182"/>
      <c r="Y39" s="106"/>
      <c r="Z39" s="106"/>
    </row>
    <row r="40" spans="1:26" ht="18" customHeight="1" x14ac:dyDescent="0.2">
      <c r="A40" s="29"/>
      <c r="B40" s="186"/>
      <c r="C40" s="187"/>
      <c r="D40" s="187"/>
      <c r="E40" s="187"/>
      <c r="F40" s="188"/>
      <c r="G40" s="106"/>
      <c r="H40" s="106"/>
      <c r="I40" s="180"/>
      <c r="J40" s="181"/>
      <c r="K40" s="182"/>
      <c r="L40" s="106"/>
      <c r="M40" s="106"/>
      <c r="N40" s="174"/>
      <c r="O40" s="175"/>
      <c r="P40" s="175"/>
      <c r="Q40" s="175"/>
      <c r="R40" s="175"/>
      <c r="S40" s="176"/>
      <c r="T40" s="106"/>
      <c r="U40" s="106"/>
      <c r="V40" s="180"/>
      <c r="W40" s="181"/>
      <c r="X40" s="182"/>
      <c r="Y40" s="106"/>
      <c r="Z40" s="106"/>
    </row>
    <row r="41" spans="1:26" ht="18" customHeight="1" x14ac:dyDescent="0.2">
      <c r="A41" s="29"/>
      <c r="B41" s="186"/>
      <c r="C41" s="187"/>
      <c r="D41" s="187"/>
      <c r="E41" s="187"/>
      <c r="F41" s="188"/>
      <c r="G41" s="106"/>
      <c r="H41" s="106"/>
      <c r="I41" s="180"/>
      <c r="J41" s="181"/>
      <c r="K41" s="182"/>
      <c r="L41" s="106"/>
      <c r="M41" s="106"/>
      <c r="N41" s="174"/>
      <c r="O41" s="175"/>
      <c r="P41" s="175"/>
      <c r="Q41" s="175"/>
      <c r="R41" s="175"/>
      <c r="S41" s="176"/>
      <c r="T41" s="106"/>
      <c r="U41" s="106"/>
      <c r="V41" s="180"/>
      <c r="W41" s="181"/>
      <c r="X41" s="182"/>
      <c r="Y41" s="106"/>
      <c r="Z41" s="106"/>
    </row>
    <row r="42" spans="1:26" ht="18" customHeight="1" x14ac:dyDescent="0.2">
      <c r="A42" s="29"/>
      <c r="B42" s="186"/>
      <c r="C42" s="187"/>
      <c r="D42" s="187"/>
      <c r="E42" s="187"/>
      <c r="F42" s="188"/>
      <c r="G42" s="106"/>
      <c r="H42" s="106"/>
      <c r="I42" s="180"/>
      <c r="J42" s="181"/>
      <c r="K42" s="182"/>
      <c r="L42" s="106"/>
      <c r="M42" s="106"/>
      <c r="N42" s="174"/>
      <c r="O42" s="175"/>
      <c r="P42" s="175"/>
      <c r="Q42" s="175"/>
      <c r="R42" s="175"/>
      <c r="S42" s="176"/>
      <c r="T42" s="106"/>
      <c r="U42" s="106"/>
      <c r="V42" s="180"/>
      <c r="W42" s="181"/>
      <c r="X42" s="182"/>
      <c r="Y42" s="106"/>
      <c r="Z42" s="106"/>
    </row>
    <row r="43" spans="1:26" ht="18" customHeight="1" x14ac:dyDescent="0.2">
      <c r="A43" s="29"/>
      <c r="B43" s="186"/>
      <c r="C43" s="187"/>
      <c r="D43" s="187"/>
      <c r="E43" s="187"/>
      <c r="F43" s="188"/>
      <c r="G43" s="106"/>
      <c r="H43" s="106"/>
      <c r="I43" s="180"/>
      <c r="J43" s="181"/>
      <c r="K43" s="182"/>
      <c r="L43" s="106"/>
      <c r="M43" s="106"/>
      <c r="N43" s="174"/>
      <c r="O43" s="175"/>
      <c r="P43" s="175"/>
      <c r="Q43" s="175"/>
      <c r="R43" s="175"/>
      <c r="S43" s="176"/>
      <c r="T43" s="106"/>
      <c r="U43" s="106"/>
      <c r="V43" s="180"/>
      <c r="W43" s="181"/>
      <c r="X43" s="182"/>
      <c r="Y43" s="106"/>
      <c r="Z43" s="106"/>
    </row>
    <row r="44" spans="1:26" ht="18" customHeight="1" x14ac:dyDescent="0.2">
      <c r="A44" s="29"/>
      <c r="B44" s="189"/>
      <c r="C44" s="190"/>
      <c r="D44" s="190"/>
      <c r="E44" s="190"/>
      <c r="F44" s="191"/>
      <c r="G44" s="107"/>
      <c r="H44" s="107"/>
      <c r="I44" s="183"/>
      <c r="J44" s="184"/>
      <c r="K44" s="185"/>
      <c r="L44" s="113"/>
      <c r="M44" s="113"/>
      <c r="N44" s="177"/>
      <c r="O44" s="178"/>
      <c r="P44" s="178"/>
      <c r="Q44" s="178"/>
      <c r="R44" s="178"/>
      <c r="S44" s="179"/>
      <c r="T44" s="107"/>
      <c r="U44" s="107"/>
      <c r="V44" s="183"/>
      <c r="W44" s="184"/>
      <c r="X44" s="185"/>
      <c r="Y44" s="113"/>
      <c r="Z44" s="113"/>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33" t="s">
        <v>137</v>
      </c>
      <c r="B46" s="233"/>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row>
    <row r="47" spans="1:26" ht="18" customHeight="1" x14ac:dyDescent="0.2">
      <c r="A47" s="233"/>
      <c r="B47" s="233"/>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row>
    <row r="48" spans="1:26" ht="18" customHeight="1" x14ac:dyDescent="0.2">
      <c r="A48" s="14"/>
      <c r="B48" s="140" t="s">
        <v>104</v>
      </c>
      <c r="C48" s="141"/>
      <c r="D48" s="141"/>
      <c r="E48" s="141"/>
      <c r="F48" s="142"/>
      <c r="G48" s="30" t="s">
        <v>146</v>
      </c>
      <c r="H48" s="104" t="s">
        <v>145</v>
      </c>
      <c r="I48" s="140" t="s">
        <v>105</v>
      </c>
      <c r="J48" s="141"/>
      <c r="K48" s="142"/>
      <c r="L48" s="73" t="s">
        <v>110</v>
      </c>
      <c r="M48" s="73" t="s">
        <v>112</v>
      </c>
      <c r="N48" s="140" t="s">
        <v>104</v>
      </c>
      <c r="O48" s="141"/>
      <c r="P48" s="141"/>
      <c r="Q48" s="141"/>
      <c r="R48" s="141"/>
      <c r="S48" s="142"/>
      <c r="T48" s="30" t="s">
        <v>146</v>
      </c>
      <c r="U48" s="104" t="s">
        <v>145</v>
      </c>
      <c r="V48" s="140" t="s">
        <v>105</v>
      </c>
      <c r="W48" s="141"/>
      <c r="X48" s="142"/>
      <c r="Y48" s="73" t="s">
        <v>110</v>
      </c>
      <c r="Z48" s="73" t="s">
        <v>112</v>
      </c>
    </row>
    <row r="49" spans="1:26" ht="18" customHeight="1" x14ac:dyDescent="0.2">
      <c r="A49" s="29"/>
      <c r="B49" s="193" t="s">
        <v>168</v>
      </c>
      <c r="C49" s="194"/>
      <c r="D49" s="194"/>
      <c r="E49" s="194"/>
      <c r="F49" s="195"/>
      <c r="G49" s="105">
        <v>2</v>
      </c>
      <c r="H49" s="105" t="s">
        <v>167</v>
      </c>
      <c r="I49" s="230" t="s">
        <v>169</v>
      </c>
      <c r="J49" s="231"/>
      <c r="K49" s="232"/>
      <c r="L49" s="105" t="s">
        <v>167</v>
      </c>
      <c r="M49" s="105" t="s">
        <v>167</v>
      </c>
      <c r="N49" s="171"/>
      <c r="O49" s="172"/>
      <c r="P49" s="172"/>
      <c r="Q49" s="172"/>
      <c r="R49" s="172"/>
      <c r="S49" s="173"/>
      <c r="T49" s="105"/>
      <c r="U49" s="105"/>
      <c r="V49" s="230"/>
      <c r="W49" s="231"/>
      <c r="X49" s="232"/>
      <c r="Y49" s="105"/>
      <c r="Z49" s="105"/>
    </row>
    <row r="50" spans="1:26" ht="18" customHeight="1" x14ac:dyDescent="0.2">
      <c r="A50" s="29"/>
      <c r="B50" s="186" t="s">
        <v>171</v>
      </c>
      <c r="C50" s="187"/>
      <c r="D50" s="187"/>
      <c r="E50" s="187"/>
      <c r="F50" s="188"/>
      <c r="G50" s="106">
        <v>2</v>
      </c>
      <c r="H50" s="106" t="s">
        <v>167</v>
      </c>
      <c r="I50" s="180" t="s">
        <v>169</v>
      </c>
      <c r="J50" s="181"/>
      <c r="K50" s="182"/>
      <c r="L50" s="106" t="s">
        <v>167</v>
      </c>
      <c r="M50" s="106"/>
      <c r="N50" s="174"/>
      <c r="O50" s="175"/>
      <c r="P50" s="175"/>
      <c r="Q50" s="175"/>
      <c r="R50" s="175"/>
      <c r="S50" s="176"/>
      <c r="T50" s="106"/>
      <c r="U50" s="106"/>
      <c r="V50" s="180"/>
      <c r="W50" s="181"/>
      <c r="X50" s="182"/>
      <c r="Y50" s="106"/>
      <c r="Z50" s="106"/>
    </row>
    <row r="51" spans="1:26" ht="18" customHeight="1" x14ac:dyDescent="0.2">
      <c r="A51" s="29"/>
      <c r="B51" s="186"/>
      <c r="C51" s="187"/>
      <c r="D51" s="187"/>
      <c r="E51" s="187"/>
      <c r="F51" s="188"/>
      <c r="G51" s="106"/>
      <c r="H51" s="106"/>
      <c r="I51" s="180"/>
      <c r="J51" s="181"/>
      <c r="K51" s="182"/>
      <c r="L51" s="106"/>
      <c r="M51" s="106"/>
      <c r="N51" s="174"/>
      <c r="O51" s="175"/>
      <c r="P51" s="175"/>
      <c r="Q51" s="175"/>
      <c r="R51" s="175"/>
      <c r="S51" s="176"/>
      <c r="T51" s="106"/>
      <c r="U51" s="106"/>
      <c r="V51" s="180"/>
      <c r="W51" s="181"/>
      <c r="X51" s="182"/>
      <c r="Y51" s="106"/>
      <c r="Z51" s="106"/>
    </row>
    <row r="52" spans="1:26" ht="18" customHeight="1" x14ac:dyDescent="0.2">
      <c r="A52" s="29"/>
      <c r="B52" s="186"/>
      <c r="C52" s="187"/>
      <c r="D52" s="187"/>
      <c r="E52" s="187"/>
      <c r="F52" s="188"/>
      <c r="G52" s="106"/>
      <c r="H52" s="106"/>
      <c r="I52" s="180"/>
      <c r="J52" s="181"/>
      <c r="K52" s="182"/>
      <c r="L52" s="106"/>
      <c r="M52" s="106"/>
      <c r="N52" s="174"/>
      <c r="O52" s="175"/>
      <c r="P52" s="175"/>
      <c r="Q52" s="175"/>
      <c r="R52" s="175"/>
      <c r="S52" s="176"/>
      <c r="T52" s="106"/>
      <c r="U52" s="106"/>
      <c r="V52" s="180"/>
      <c r="W52" s="181"/>
      <c r="X52" s="182"/>
      <c r="Y52" s="106"/>
      <c r="Z52" s="106"/>
    </row>
    <row r="53" spans="1:26" ht="18" customHeight="1" x14ac:dyDescent="0.2">
      <c r="A53" s="29"/>
      <c r="B53" s="186"/>
      <c r="C53" s="187"/>
      <c r="D53" s="187"/>
      <c r="E53" s="187"/>
      <c r="F53" s="188"/>
      <c r="G53" s="106"/>
      <c r="H53" s="106"/>
      <c r="I53" s="180"/>
      <c r="J53" s="181"/>
      <c r="K53" s="182"/>
      <c r="L53" s="106"/>
      <c r="M53" s="106"/>
      <c r="N53" s="174"/>
      <c r="O53" s="175"/>
      <c r="P53" s="175"/>
      <c r="Q53" s="175"/>
      <c r="R53" s="175"/>
      <c r="S53" s="176"/>
      <c r="T53" s="106"/>
      <c r="U53" s="106"/>
      <c r="V53" s="180"/>
      <c r="W53" s="181"/>
      <c r="X53" s="182"/>
      <c r="Y53" s="106"/>
      <c r="Z53" s="106"/>
    </row>
    <row r="54" spans="1:26" ht="18" customHeight="1" x14ac:dyDescent="0.2">
      <c r="A54" s="29"/>
      <c r="B54" s="186"/>
      <c r="C54" s="187"/>
      <c r="D54" s="187"/>
      <c r="E54" s="187"/>
      <c r="F54" s="188"/>
      <c r="G54" s="106"/>
      <c r="H54" s="106"/>
      <c r="I54" s="180"/>
      <c r="J54" s="181"/>
      <c r="K54" s="182"/>
      <c r="L54" s="106"/>
      <c r="M54" s="106"/>
      <c r="N54" s="174"/>
      <c r="O54" s="175"/>
      <c r="P54" s="175"/>
      <c r="Q54" s="175"/>
      <c r="R54" s="175"/>
      <c r="S54" s="176"/>
      <c r="T54" s="106"/>
      <c r="U54" s="106"/>
      <c r="V54" s="180"/>
      <c r="W54" s="181"/>
      <c r="X54" s="182"/>
      <c r="Y54" s="106"/>
      <c r="Z54" s="106"/>
    </row>
    <row r="55" spans="1:26" ht="18" customHeight="1" x14ac:dyDescent="0.2">
      <c r="A55" s="29"/>
      <c r="B55" s="189"/>
      <c r="C55" s="190"/>
      <c r="D55" s="190"/>
      <c r="E55" s="190"/>
      <c r="F55" s="191"/>
      <c r="G55" s="107"/>
      <c r="H55" s="107"/>
      <c r="I55" s="183"/>
      <c r="J55" s="184"/>
      <c r="K55" s="185"/>
      <c r="L55" s="113"/>
      <c r="M55" s="113"/>
      <c r="N55" s="177"/>
      <c r="O55" s="178"/>
      <c r="P55" s="178"/>
      <c r="Q55" s="178"/>
      <c r="R55" s="178"/>
      <c r="S55" s="179"/>
      <c r="T55" s="107"/>
      <c r="U55" s="107"/>
      <c r="V55" s="183"/>
      <c r="W55" s="184"/>
      <c r="X55" s="185"/>
      <c r="Y55" s="113"/>
      <c r="Z55" s="113"/>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33" t="s">
        <v>138</v>
      </c>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row>
    <row r="58" spans="1:26" ht="18" customHeight="1" x14ac:dyDescent="0.2">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spans="1:26" ht="18" customHeight="1" x14ac:dyDescent="0.2">
      <c r="A59" s="14"/>
      <c r="B59" s="140" t="s">
        <v>104</v>
      </c>
      <c r="C59" s="141"/>
      <c r="D59" s="141"/>
      <c r="E59" s="142"/>
      <c r="F59" s="30" t="s">
        <v>146</v>
      </c>
      <c r="G59" s="104" t="s">
        <v>145</v>
      </c>
      <c r="H59" s="99" t="s">
        <v>105</v>
      </c>
      <c r="I59" s="100"/>
      <c r="J59" s="101"/>
      <c r="K59" s="73" t="s">
        <v>109</v>
      </c>
      <c r="L59" s="73" t="s">
        <v>139</v>
      </c>
      <c r="M59" s="73" t="s">
        <v>140</v>
      </c>
      <c r="N59" s="140" t="s">
        <v>104</v>
      </c>
      <c r="O59" s="141"/>
      <c r="P59" s="141"/>
      <c r="Q59" s="141"/>
      <c r="R59" s="142"/>
      <c r="S59" s="30" t="s">
        <v>146</v>
      </c>
      <c r="T59" s="104" t="s">
        <v>145</v>
      </c>
      <c r="U59" s="99" t="s">
        <v>105</v>
      </c>
      <c r="V59" s="100"/>
      <c r="W59" s="101"/>
      <c r="X59" s="73" t="s">
        <v>109</v>
      </c>
      <c r="Y59" s="73" t="s">
        <v>139</v>
      </c>
      <c r="Z59" s="73" t="s">
        <v>140</v>
      </c>
    </row>
    <row r="60" spans="1:26" ht="18" customHeight="1" x14ac:dyDescent="0.2">
      <c r="A60" s="29"/>
      <c r="B60" s="216" t="s">
        <v>191</v>
      </c>
      <c r="C60" s="200"/>
      <c r="D60" s="200"/>
      <c r="E60" s="201"/>
      <c r="F60" s="124">
        <v>2</v>
      </c>
      <c r="G60" s="124" t="s">
        <v>167</v>
      </c>
      <c r="H60" s="196" t="s">
        <v>169</v>
      </c>
      <c r="I60" s="197"/>
      <c r="J60" s="198"/>
      <c r="K60" s="123" t="s">
        <v>186</v>
      </c>
      <c r="L60" s="124"/>
      <c r="M60" s="124"/>
      <c r="N60" s="171"/>
      <c r="O60" s="172"/>
      <c r="P60" s="172"/>
      <c r="Q60" s="172"/>
      <c r="R60" s="173"/>
      <c r="S60" s="105"/>
      <c r="T60" s="105"/>
      <c r="U60" s="230"/>
      <c r="V60" s="231"/>
      <c r="W60" s="232"/>
      <c r="X60" s="112"/>
      <c r="Y60" s="105"/>
      <c r="Z60" s="105"/>
    </row>
    <row r="61" spans="1:26" ht="18" customHeight="1" x14ac:dyDescent="0.2">
      <c r="A61" s="29"/>
      <c r="B61" s="174" t="s">
        <v>172</v>
      </c>
      <c r="C61" s="175"/>
      <c r="D61" s="175"/>
      <c r="E61" s="176"/>
      <c r="F61" s="106">
        <v>1</v>
      </c>
      <c r="G61" s="106" t="s">
        <v>167</v>
      </c>
      <c r="H61" s="180" t="s">
        <v>169</v>
      </c>
      <c r="I61" s="181"/>
      <c r="J61" s="182"/>
      <c r="K61" s="122" t="s">
        <v>186</v>
      </c>
      <c r="L61" s="106" t="s">
        <v>167</v>
      </c>
      <c r="M61" s="106" t="s">
        <v>167</v>
      </c>
      <c r="N61" s="174"/>
      <c r="O61" s="175"/>
      <c r="P61" s="175"/>
      <c r="Q61" s="175"/>
      <c r="R61" s="176"/>
      <c r="S61" s="106"/>
      <c r="T61" s="106"/>
      <c r="U61" s="180"/>
      <c r="V61" s="181"/>
      <c r="W61" s="182"/>
      <c r="X61" s="110"/>
      <c r="Y61" s="106"/>
      <c r="Z61" s="106"/>
    </row>
    <row r="62" spans="1:26" ht="18" customHeight="1" x14ac:dyDescent="0.2">
      <c r="A62" s="29"/>
      <c r="B62" s="125" t="s">
        <v>173</v>
      </c>
      <c r="C62" s="126"/>
      <c r="D62" s="126"/>
      <c r="E62" s="127"/>
      <c r="F62" s="128">
        <v>2</v>
      </c>
      <c r="G62" s="128" t="s">
        <v>167</v>
      </c>
      <c r="H62" s="245" t="s">
        <v>169</v>
      </c>
      <c r="I62" s="146"/>
      <c r="J62" s="246"/>
      <c r="K62" s="129" t="s">
        <v>186</v>
      </c>
      <c r="L62" s="128" t="s">
        <v>167</v>
      </c>
      <c r="M62" s="128" t="s">
        <v>167</v>
      </c>
      <c r="N62" s="174"/>
      <c r="O62" s="175"/>
      <c r="P62" s="175"/>
      <c r="Q62" s="175"/>
      <c r="R62" s="176"/>
      <c r="S62" s="106"/>
      <c r="T62" s="106"/>
      <c r="U62" s="180"/>
      <c r="V62" s="181"/>
      <c r="W62" s="182"/>
      <c r="X62" s="110"/>
      <c r="Y62" s="106"/>
      <c r="Z62" s="106"/>
    </row>
    <row r="63" spans="1:26" ht="18" customHeight="1" x14ac:dyDescent="0.2">
      <c r="A63" s="29"/>
      <c r="B63" s="117" t="s">
        <v>174</v>
      </c>
      <c r="C63" s="118"/>
      <c r="D63" s="118"/>
      <c r="E63" s="119"/>
      <c r="F63" s="106">
        <v>1.5</v>
      </c>
      <c r="G63" s="106" t="s">
        <v>167</v>
      </c>
      <c r="H63" s="180" t="s">
        <v>169</v>
      </c>
      <c r="I63" s="181"/>
      <c r="J63" s="182"/>
      <c r="K63" s="120" t="s">
        <v>175</v>
      </c>
      <c r="L63" s="106"/>
      <c r="M63" s="106"/>
      <c r="N63" s="174"/>
      <c r="O63" s="175"/>
      <c r="P63" s="175"/>
      <c r="Q63" s="175"/>
      <c r="R63" s="176"/>
      <c r="S63" s="106"/>
      <c r="T63" s="106"/>
      <c r="U63" s="180"/>
      <c r="V63" s="181"/>
      <c r="W63" s="182"/>
      <c r="X63" s="110"/>
      <c r="Y63" s="106"/>
      <c r="Z63" s="106"/>
    </row>
    <row r="64" spans="1:26" ht="18" customHeight="1" x14ac:dyDescent="0.2">
      <c r="A64" s="29"/>
      <c r="B64" s="117"/>
      <c r="C64" s="118"/>
      <c r="D64" s="118"/>
      <c r="E64" s="119"/>
      <c r="F64" s="106"/>
      <c r="G64" s="106"/>
      <c r="H64" s="130"/>
      <c r="I64" s="131"/>
      <c r="J64" s="129"/>
      <c r="K64" s="120"/>
      <c r="L64" s="106"/>
      <c r="M64" s="106"/>
      <c r="N64" s="174"/>
      <c r="O64" s="175"/>
      <c r="P64" s="175"/>
      <c r="Q64" s="175"/>
      <c r="R64" s="176"/>
      <c r="S64" s="106"/>
      <c r="T64" s="106"/>
      <c r="U64" s="180"/>
      <c r="V64" s="181"/>
      <c r="W64" s="182"/>
      <c r="X64" s="110"/>
      <c r="Y64" s="106"/>
      <c r="Z64" s="106"/>
    </row>
    <row r="65" spans="1:26" ht="18" customHeight="1" x14ac:dyDescent="0.2">
      <c r="A65" s="29"/>
      <c r="B65" s="174"/>
      <c r="C65" s="175"/>
      <c r="D65" s="175"/>
      <c r="E65" s="176"/>
      <c r="F65" s="106"/>
      <c r="G65" s="106"/>
      <c r="H65" s="180"/>
      <c r="I65" s="181"/>
      <c r="J65" s="182"/>
      <c r="K65" s="110"/>
      <c r="L65" s="106"/>
      <c r="M65" s="106"/>
      <c r="N65" s="174"/>
      <c r="O65" s="175"/>
      <c r="P65" s="175"/>
      <c r="Q65" s="175"/>
      <c r="R65" s="176"/>
      <c r="S65" s="106"/>
      <c r="T65" s="106"/>
      <c r="U65" s="180"/>
      <c r="V65" s="181"/>
      <c r="W65" s="182"/>
      <c r="X65" s="110"/>
      <c r="Y65" s="106"/>
      <c r="Z65" s="106"/>
    </row>
    <row r="66" spans="1:26" ht="18" customHeight="1" x14ac:dyDescent="0.2">
      <c r="A66" s="29"/>
      <c r="B66" s="177"/>
      <c r="C66" s="178"/>
      <c r="D66" s="178"/>
      <c r="E66" s="179"/>
      <c r="F66" s="107"/>
      <c r="G66" s="107"/>
      <c r="H66" s="183"/>
      <c r="I66" s="184"/>
      <c r="J66" s="185"/>
      <c r="K66" s="111"/>
      <c r="L66" s="113"/>
      <c r="M66" s="113"/>
      <c r="N66" s="177"/>
      <c r="O66" s="178"/>
      <c r="P66" s="178"/>
      <c r="Q66" s="178"/>
      <c r="R66" s="179"/>
      <c r="S66" s="107"/>
      <c r="T66" s="107"/>
      <c r="U66" s="183"/>
      <c r="V66" s="184"/>
      <c r="W66" s="185"/>
      <c r="X66" s="111"/>
      <c r="Y66" s="113"/>
      <c r="Z66" s="113"/>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0" t="s">
        <v>104</v>
      </c>
      <c r="C69" s="141"/>
      <c r="D69" s="141"/>
      <c r="E69" s="141"/>
      <c r="F69" s="142"/>
      <c r="G69" s="140" t="s">
        <v>151</v>
      </c>
      <c r="H69" s="141"/>
      <c r="I69" s="141"/>
      <c r="J69" s="141"/>
      <c r="K69" s="141"/>
      <c r="L69" s="141"/>
      <c r="M69" s="142"/>
      <c r="N69" s="196" t="s">
        <v>104</v>
      </c>
      <c r="O69" s="197"/>
      <c r="P69" s="197"/>
      <c r="Q69" s="197"/>
      <c r="R69" s="197"/>
      <c r="S69" s="198"/>
      <c r="T69" s="140" t="s">
        <v>151</v>
      </c>
      <c r="U69" s="141"/>
      <c r="V69" s="141"/>
      <c r="W69" s="141"/>
      <c r="X69" s="141"/>
      <c r="Y69" s="141"/>
      <c r="Z69" s="142"/>
    </row>
    <row r="70" spans="1:26" ht="18" customHeight="1" x14ac:dyDescent="0.2">
      <c r="A70" s="29"/>
      <c r="B70" s="216" t="s">
        <v>192</v>
      </c>
      <c r="C70" s="200"/>
      <c r="D70" s="200"/>
      <c r="E70" s="200"/>
      <c r="F70" s="201"/>
      <c r="G70" s="250" t="s">
        <v>190</v>
      </c>
      <c r="H70" s="251"/>
      <c r="I70" s="251"/>
      <c r="J70" s="251"/>
      <c r="K70" s="251"/>
      <c r="L70" s="251"/>
      <c r="M70" s="252"/>
      <c r="N70" s="171"/>
      <c r="O70" s="172"/>
      <c r="P70" s="172"/>
      <c r="Q70" s="172"/>
      <c r="R70" s="172"/>
      <c r="S70" s="173"/>
      <c r="T70" s="247"/>
      <c r="U70" s="248"/>
      <c r="V70" s="248"/>
      <c r="W70" s="248"/>
      <c r="X70" s="248"/>
      <c r="Y70" s="248"/>
      <c r="Z70" s="249"/>
    </row>
    <row r="71" spans="1:26" ht="18" customHeight="1" x14ac:dyDescent="0.2">
      <c r="A71" s="29"/>
      <c r="B71" s="174" t="s">
        <v>168</v>
      </c>
      <c r="C71" s="175"/>
      <c r="D71" s="175"/>
      <c r="E71" s="175"/>
      <c r="F71" s="176"/>
      <c r="G71" s="186" t="s">
        <v>176</v>
      </c>
      <c r="H71" s="187"/>
      <c r="I71" s="187"/>
      <c r="J71" s="187"/>
      <c r="K71" s="187"/>
      <c r="L71" s="187"/>
      <c r="M71" s="188"/>
      <c r="N71" s="174"/>
      <c r="O71" s="175"/>
      <c r="P71" s="175"/>
      <c r="Q71" s="175"/>
      <c r="R71" s="175"/>
      <c r="S71" s="176"/>
      <c r="T71" s="213"/>
      <c r="U71" s="214"/>
      <c r="V71" s="214"/>
      <c r="W71" s="214"/>
      <c r="X71" s="214"/>
      <c r="Y71" s="214"/>
      <c r="Z71" s="215"/>
    </row>
    <row r="72" spans="1:26" ht="18" customHeight="1" x14ac:dyDescent="0.2">
      <c r="A72" s="29"/>
      <c r="B72" s="174" t="s">
        <v>168</v>
      </c>
      <c r="C72" s="175"/>
      <c r="D72" s="175"/>
      <c r="E72" s="175"/>
      <c r="F72" s="176"/>
      <c r="G72" s="186" t="s">
        <v>177</v>
      </c>
      <c r="H72" s="187"/>
      <c r="I72" s="187"/>
      <c r="J72" s="187"/>
      <c r="K72" s="187"/>
      <c r="L72" s="187"/>
      <c r="M72" s="188"/>
      <c r="N72" s="174"/>
      <c r="O72" s="175"/>
      <c r="P72" s="175"/>
      <c r="Q72" s="175"/>
      <c r="R72" s="175"/>
      <c r="S72" s="176"/>
      <c r="T72" s="213"/>
      <c r="U72" s="214"/>
      <c r="V72" s="214"/>
      <c r="W72" s="214"/>
      <c r="X72" s="214"/>
      <c r="Y72" s="214"/>
      <c r="Z72" s="215"/>
    </row>
    <row r="73" spans="1:26" ht="18" customHeight="1" x14ac:dyDescent="0.2">
      <c r="A73" s="29"/>
      <c r="B73" s="254"/>
      <c r="C73" s="255"/>
      <c r="D73" s="255"/>
      <c r="E73" s="255"/>
      <c r="F73" s="256"/>
      <c r="G73" s="257"/>
      <c r="H73" s="258"/>
      <c r="I73" s="258"/>
      <c r="J73" s="258"/>
      <c r="K73" s="258"/>
      <c r="L73" s="258"/>
      <c r="M73" s="259"/>
      <c r="N73" s="174"/>
      <c r="O73" s="175"/>
      <c r="P73" s="175"/>
      <c r="Q73" s="175"/>
      <c r="R73" s="175"/>
      <c r="S73" s="176"/>
      <c r="T73" s="213"/>
      <c r="U73" s="214"/>
      <c r="V73" s="214"/>
      <c r="W73" s="214"/>
      <c r="X73" s="214"/>
      <c r="Y73" s="214"/>
      <c r="Z73" s="215"/>
    </row>
    <row r="74" spans="1:26" ht="18" customHeight="1" x14ac:dyDescent="0.2">
      <c r="A74" s="29"/>
      <c r="B74" s="174"/>
      <c r="C74" s="175"/>
      <c r="D74" s="175"/>
      <c r="E74" s="175"/>
      <c r="F74" s="176"/>
      <c r="G74" s="213"/>
      <c r="H74" s="214"/>
      <c r="I74" s="214"/>
      <c r="J74" s="214"/>
      <c r="K74" s="214"/>
      <c r="L74" s="214"/>
      <c r="M74" s="215"/>
      <c r="N74" s="174"/>
      <c r="O74" s="175"/>
      <c r="P74" s="175"/>
      <c r="Q74" s="175"/>
      <c r="R74" s="175"/>
      <c r="S74" s="176"/>
      <c r="T74" s="213"/>
      <c r="U74" s="214"/>
      <c r="V74" s="214"/>
      <c r="W74" s="214"/>
      <c r="X74" s="214"/>
      <c r="Y74" s="214"/>
      <c r="Z74" s="215"/>
    </row>
    <row r="75" spans="1:26" ht="18" customHeight="1" x14ac:dyDescent="0.2">
      <c r="A75" s="29"/>
      <c r="B75" s="174"/>
      <c r="C75" s="175"/>
      <c r="D75" s="175"/>
      <c r="E75" s="175"/>
      <c r="F75" s="176"/>
      <c r="G75" s="213"/>
      <c r="H75" s="214"/>
      <c r="I75" s="214"/>
      <c r="J75" s="214"/>
      <c r="K75" s="214"/>
      <c r="L75" s="214"/>
      <c r="M75" s="215"/>
      <c r="N75" s="174"/>
      <c r="O75" s="175"/>
      <c r="P75" s="175"/>
      <c r="Q75" s="175"/>
      <c r="R75" s="175"/>
      <c r="S75" s="176"/>
      <c r="T75" s="213"/>
      <c r="U75" s="214"/>
      <c r="V75" s="214"/>
      <c r="W75" s="214"/>
      <c r="X75" s="214"/>
      <c r="Y75" s="214"/>
      <c r="Z75" s="215"/>
    </row>
    <row r="76" spans="1:26" ht="18" customHeight="1" x14ac:dyDescent="0.2">
      <c r="A76" s="29"/>
      <c r="B76" s="177"/>
      <c r="C76" s="178"/>
      <c r="D76" s="178"/>
      <c r="E76" s="178"/>
      <c r="F76" s="179"/>
      <c r="G76" s="210"/>
      <c r="H76" s="211"/>
      <c r="I76" s="211"/>
      <c r="J76" s="211"/>
      <c r="K76" s="211"/>
      <c r="L76" s="211"/>
      <c r="M76" s="212"/>
      <c r="N76" s="177"/>
      <c r="O76" s="178"/>
      <c r="P76" s="178"/>
      <c r="Q76" s="178"/>
      <c r="R76" s="178"/>
      <c r="S76" s="179"/>
      <c r="T76" s="210"/>
      <c r="U76" s="211"/>
      <c r="V76" s="211"/>
      <c r="W76" s="211"/>
      <c r="X76" s="211"/>
      <c r="Y76" s="211"/>
      <c r="Z76" s="212"/>
    </row>
    <row r="77" spans="1:26" ht="18" customHeight="1" x14ac:dyDescent="0.2">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2">
      <c r="A78" s="13" t="s">
        <v>147</v>
      </c>
    </row>
    <row r="79" spans="1:26" ht="18.75" customHeight="1" x14ac:dyDescent="0.2">
      <c r="B79" s="76" t="s">
        <v>106</v>
      </c>
      <c r="C79" s="77"/>
      <c r="D79" s="270" t="s">
        <v>107</v>
      </c>
      <c r="E79" s="270"/>
      <c r="F79" s="270"/>
      <c r="G79" s="270"/>
      <c r="H79" s="270"/>
      <c r="I79" s="270"/>
      <c r="J79" s="270"/>
      <c r="K79" s="270"/>
      <c r="L79" s="270"/>
      <c r="M79" s="270"/>
      <c r="N79" s="270"/>
      <c r="O79" s="270"/>
      <c r="P79" s="270"/>
      <c r="Q79" s="270"/>
      <c r="R79" s="270"/>
      <c r="S79" s="270"/>
      <c r="T79" s="270"/>
      <c r="U79" s="270"/>
      <c r="V79" s="270"/>
      <c r="W79" s="270"/>
      <c r="X79" s="270"/>
      <c r="Y79" s="270"/>
      <c r="Z79" s="271"/>
    </row>
    <row r="80" spans="1:26" ht="78" customHeight="1" x14ac:dyDescent="0.2">
      <c r="B80" s="262" t="s">
        <v>113</v>
      </c>
      <c r="C80" s="82" t="s">
        <v>108</v>
      </c>
      <c r="D80" s="266" t="s">
        <v>198</v>
      </c>
      <c r="E80" s="251"/>
      <c r="F80" s="251"/>
      <c r="G80" s="251"/>
      <c r="H80" s="251"/>
      <c r="I80" s="251"/>
      <c r="J80" s="251"/>
      <c r="K80" s="251"/>
      <c r="L80" s="251"/>
      <c r="M80" s="251"/>
      <c r="N80" s="251"/>
      <c r="O80" s="251"/>
      <c r="P80" s="251"/>
      <c r="Q80" s="251"/>
      <c r="R80" s="251"/>
      <c r="S80" s="251"/>
      <c r="T80" s="251"/>
      <c r="U80" s="251"/>
      <c r="V80" s="251"/>
      <c r="W80" s="251"/>
      <c r="X80" s="251"/>
      <c r="Y80" s="251"/>
      <c r="Z80" s="252"/>
    </row>
    <row r="81" spans="1:26" ht="35.25" customHeight="1" x14ac:dyDescent="0.2">
      <c r="B81" s="263"/>
      <c r="C81" s="102" t="s">
        <v>142</v>
      </c>
      <c r="D81" s="217" t="s">
        <v>193</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47.25" customHeight="1" x14ac:dyDescent="0.2">
      <c r="B82" s="260" t="s">
        <v>114</v>
      </c>
      <c r="C82" s="78" t="s">
        <v>132</v>
      </c>
      <c r="D82" s="220" t="s">
        <v>194</v>
      </c>
      <c r="E82" s="221"/>
      <c r="F82" s="221"/>
      <c r="G82" s="221"/>
      <c r="H82" s="221"/>
      <c r="I82" s="221"/>
      <c r="J82" s="221"/>
      <c r="K82" s="221"/>
      <c r="L82" s="221"/>
      <c r="M82" s="221"/>
      <c r="N82" s="221"/>
      <c r="O82" s="221"/>
      <c r="P82" s="221"/>
      <c r="Q82" s="221"/>
      <c r="R82" s="221"/>
      <c r="S82" s="221"/>
      <c r="T82" s="221"/>
      <c r="U82" s="221"/>
      <c r="V82" s="221"/>
      <c r="W82" s="221"/>
      <c r="X82" s="221"/>
      <c r="Y82" s="221"/>
      <c r="Z82" s="222"/>
    </row>
    <row r="83" spans="1:26" ht="51" customHeight="1" x14ac:dyDescent="0.2">
      <c r="B83" s="261"/>
      <c r="C83" s="103" t="s">
        <v>133</v>
      </c>
      <c r="D83" s="226" t="s">
        <v>199</v>
      </c>
      <c r="E83" s="227"/>
      <c r="F83" s="227"/>
      <c r="G83" s="227"/>
      <c r="H83" s="227"/>
      <c r="I83" s="227"/>
      <c r="J83" s="227"/>
      <c r="K83" s="227"/>
      <c r="L83" s="227"/>
      <c r="M83" s="227"/>
      <c r="N83" s="227"/>
      <c r="O83" s="227"/>
      <c r="P83" s="227"/>
      <c r="Q83" s="227"/>
      <c r="R83" s="227"/>
      <c r="S83" s="227"/>
      <c r="T83" s="227"/>
      <c r="U83" s="227"/>
      <c r="V83" s="227"/>
      <c r="W83" s="227"/>
      <c r="X83" s="227"/>
      <c r="Y83" s="227"/>
      <c r="Z83" s="228"/>
    </row>
    <row r="84" spans="1:26" ht="50.25" customHeight="1" x14ac:dyDescent="0.2">
      <c r="B84" s="260" t="s">
        <v>115</v>
      </c>
      <c r="C84" s="78" t="s">
        <v>135</v>
      </c>
      <c r="D84" s="229" t="s">
        <v>200</v>
      </c>
      <c r="E84" s="194"/>
      <c r="F84" s="194"/>
      <c r="G84" s="194"/>
      <c r="H84" s="194"/>
      <c r="I84" s="194"/>
      <c r="J84" s="194"/>
      <c r="K84" s="194"/>
      <c r="L84" s="194"/>
      <c r="M84" s="194"/>
      <c r="N84" s="194"/>
      <c r="O84" s="194"/>
      <c r="P84" s="194"/>
      <c r="Q84" s="194"/>
      <c r="R84" s="194"/>
      <c r="S84" s="194"/>
      <c r="T84" s="194"/>
      <c r="U84" s="194"/>
      <c r="V84" s="194"/>
      <c r="W84" s="194"/>
      <c r="X84" s="194"/>
      <c r="Y84" s="194"/>
      <c r="Z84" s="195"/>
    </row>
    <row r="85" spans="1:26" ht="52.5" customHeight="1" x14ac:dyDescent="0.2">
      <c r="B85" s="261"/>
      <c r="C85" s="80" t="s">
        <v>136</v>
      </c>
      <c r="D85" s="223" t="s">
        <v>195</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78.75" customHeight="1" x14ac:dyDescent="0.2">
      <c r="B86" s="262" t="s">
        <v>143</v>
      </c>
      <c r="C86" s="82" t="s">
        <v>110</v>
      </c>
      <c r="D86" s="266" t="s">
        <v>201</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49.2" customHeight="1" x14ac:dyDescent="0.2">
      <c r="B87" s="265"/>
      <c r="C87" s="79" t="s">
        <v>112</v>
      </c>
      <c r="D87" s="267" t="s">
        <v>202</v>
      </c>
      <c r="E87" s="268"/>
      <c r="F87" s="268"/>
      <c r="G87" s="268"/>
      <c r="H87" s="268"/>
      <c r="I87" s="268"/>
      <c r="J87" s="268"/>
      <c r="K87" s="268"/>
      <c r="L87" s="268"/>
      <c r="M87" s="268"/>
      <c r="N87" s="268"/>
      <c r="O87" s="268"/>
      <c r="P87" s="268"/>
      <c r="Q87" s="268"/>
      <c r="R87" s="268"/>
      <c r="S87" s="268"/>
      <c r="T87" s="268"/>
      <c r="U87" s="268"/>
      <c r="V87" s="268"/>
      <c r="W87" s="268"/>
      <c r="X87" s="268"/>
      <c r="Y87" s="268"/>
      <c r="Z87" s="269"/>
    </row>
    <row r="88" spans="1:26" ht="150" customHeight="1" x14ac:dyDescent="0.2">
      <c r="B88" s="262" t="s">
        <v>144</v>
      </c>
      <c r="C88" s="78" t="s">
        <v>109</v>
      </c>
      <c r="D88" s="264" t="s">
        <v>203</v>
      </c>
      <c r="E88" s="172"/>
      <c r="F88" s="172"/>
      <c r="G88" s="172"/>
      <c r="H88" s="172"/>
      <c r="I88" s="172"/>
      <c r="J88" s="172"/>
      <c r="K88" s="172"/>
      <c r="L88" s="172"/>
      <c r="M88" s="172"/>
      <c r="N88" s="172"/>
      <c r="O88" s="172"/>
      <c r="P88" s="172"/>
      <c r="Q88" s="172"/>
      <c r="R88" s="172"/>
      <c r="S88" s="172"/>
      <c r="T88" s="172"/>
      <c r="U88" s="172"/>
      <c r="V88" s="172"/>
      <c r="W88" s="172"/>
      <c r="X88" s="172"/>
      <c r="Y88" s="172"/>
      <c r="Z88" s="173"/>
    </row>
    <row r="89" spans="1:26" ht="98.55" customHeight="1" x14ac:dyDescent="0.2">
      <c r="B89" s="263"/>
      <c r="C89" s="79" t="s">
        <v>139</v>
      </c>
      <c r="D89" s="253" t="s">
        <v>204</v>
      </c>
      <c r="E89" s="175"/>
      <c r="F89" s="175"/>
      <c r="G89" s="175"/>
      <c r="H89" s="175"/>
      <c r="I89" s="175"/>
      <c r="J89" s="175"/>
      <c r="K89" s="175"/>
      <c r="L89" s="175"/>
      <c r="M89" s="175"/>
      <c r="N89" s="175"/>
      <c r="O89" s="175"/>
      <c r="P89" s="175"/>
      <c r="Q89" s="175"/>
      <c r="R89" s="175"/>
      <c r="S89" s="175"/>
      <c r="T89" s="175"/>
      <c r="U89" s="175"/>
      <c r="V89" s="175"/>
      <c r="W89" s="175"/>
      <c r="X89" s="175"/>
      <c r="Y89" s="175"/>
      <c r="Z89" s="176"/>
    </row>
    <row r="90" spans="1:26" ht="75" customHeight="1" x14ac:dyDescent="0.2">
      <c r="B90" s="261"/>
      <c r="C90" s="80" t="s">
        <v>140</v>
      </c>
      <c r="D90" s="253" t="s">
        <v>205</v>
      </c>
      <c r="E90" s="175"/>
      <c r="F90" s="175"/>
      <c r="G90" s="175"/>
      <c r="H90" s="175"/>
      <c r="I90" s="175"/>
      <c r="J90" s="175"/>
      <c r="K90" s="175"/>
      <c r="L90" s="175"/>
      <c r="M90" s="175"/>
      <c r="N90" s="175"/>
      <c r="O90" s="175"/>
      <c r="P90" s="175"/>
      <c r="Q90" s="175"/>
      <c r="R90" s="175"/>
      <c r="S90" s="175"/>
      <c r="T90" s="175"/>
      <c r="U90" s="175"/>
      <c r="V90" s="175"/>
      <c r="W90" s="175"/>
      <c r="X90" s="175"/>
      <c r="Y90" s="175"/>
      <c r="Z90" s="176"/>
    </row>
    <row r="91" spans="1:26" ht="6" customHeight="1" x14ac:dyDescent="0.2"/>
    <row r="92" spans="1:26" ht="18.75" customHeight="1" x14ac:dyDescent="0.2">
      <c r="A92" s="13" t="s">
        <v>148</v>
      </c>
    </row>
    <row r="93" spans="1:26" ht="18.75" customHeight="1" x14ac:dyDescent="0.2">
      <c r="B93" s="199" t="s">
        <v>225</v>
      </c>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1"/>
    </row>
    <row r="94" spans="1:26" ht="18.75" customHeight="1" x14ac:dyDescent="0.2">
      <c r="B94" s="202"/>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203"/>
    </row>
    <row r="95" spans="1:26" ht="43.2" customHeight="1" x14ac:dyDescent="0.2">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2"/>
    <row r="97" spans="1:26" ht="15" customHeight="1" x14ac:dyDescent="0.2">
      <c r="A97" s="13" t="s">
        <v>149</v>
      </c>
    </row>
    <row r="98" spans="1:26" ht="15" customHeight="1" x14ac:dyDescent="0.2">
      <c r="B98" s="207" t="s">
        <v>178</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4">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5:E65"/>
    <mergeCell ref="B66:E66"/>
    <mergeCell ref="D81:Z81"/>
    <mergeCell ref="D82:Z82"/>
    <mergeCell ref="D85:Z85"/>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5:J65"/>
    <mergeCell ref="H66:J66"/>
  </mergeCells>
  <phoneticPr fontId="1"/>
  <dataValidations count="4">
    <dataValidation type="list" allowBlank="1" showInputMessage="1" showErrorMessage="1" sqref="Y16:Z22 L16:M22 Y27:Z33 L27:M33 L38:M44 Y38:Z44 L49:M55 Y49:Z55 Y60:Z66 H16:H22 U16:U22 H27:H33 U27:U33 H38:H44 U38:U44 H49:H55 U49:U55 T60:T66 L60:M66 G60:G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U74:Z77 T70:T77 U70:Z71 G70:M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showZeros="0" view="pageBreakPreview" zoomScaleNormal="100" zoomScaleSheetLayoutView="100" workbookViewId="0">
      <selection activeCell="D15" sqref="D15"/>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72" t="s">
        <v>65</v>
      </c>
      <c r="G1" s="272"/>
      <c r="H1" s="272"/>
      <c r="I1" s="272"/>
      <c r="J1" s="272"/>
      <c r="K1" s="272"/>
      <c r="L1" s="272"/>
      <c r="M1" s="272"/>
      <c r="N1" s="272"/>
      <c r="O1" s="272"/>
      <c r="P1" s="272"/>
      <c r="Q1" s="272"/>
      <c r="R1" s="272"/>
    </row>
    <row r="2" spans="1:20" ht="18" customHeight="1" x14ac:dyDescent="0.2">
      <c r="A2" s="273" t="s">
        <v>93</v>
      </c>
      <c r="B2" s="273"/>
      <c r="C2" s="273"/>
      <c r="D2" s="273"/>
      <c r="E2" s="273"/>
      <c r="F2" s="273"/>
      <c r="G2" s="273"/>
      <c r="H2" s="273"/>
      <c r="I2" s="273"/>
      <c r="J2" s="273"/>
      <c r="K2" s="273"/>
      <c r="L2" s="273"/>
      <c r="M2" s="273"/>
      <c r="N2" s="273"/>
      <c r="O2" s="273"/>
      <c r="P2" s="273"/>
      <c r="Q2" s="273"/>
      <c r="R2" s="273"/>
      <c r="S2" s="4"/>
    </row>
    <row r="3" spans="1:20" ht="7.5" customHeight="1" x14ac:dyDescent="0.2">
      <c r="A3" s="36"/>
      <c r="B3" s="36"/>
      <c r="C3" s="36"/>
      <c r="D3" s="36"/>
      <c r="E3" s="36"/>
      <c r="F3" s="36"/>
      <c r="G3" s="36"/>
      <c r="H3" s="36"/>
      <c r="I3" s="36"/>
      <c r="J3" s="36"/>
      <c r="K3" s="36"/>
      <c r="L3" s="36"/>
      <c r="M3" s="36"/>
      <c r="N3" s="36"/>
      <c r="O3" s="36"/>
      <c r="P3" s="36"/>
      <c r="Q3" s="36"/>
      <c r="R3" s="36"/>
    </row>
    <row r="4" spans="1:20" ht="18" customHeight="1" x14ac:dyDescent="0.2">
      <c r="A4" s="4" t="s">
        <v>152</v>
      </c>
      <c r="B4" s="4"/>
      <c r="C4" s="274" t="str">
        <f>'様式１　大学等概要'!E12</f>
        <v>令和２</v>
      </c>
      <c r="D4" s="275"/>
      <c r="E4" s="36" t="s">
        <v>118</v>
      </c>
      <c r="F4" s="36"/>
      <c r="G4" s="36"/>
      <c r="H4" s="36"/>
      <c r="I4" s="36"/>
      <c r="J4" s="83"/>
      <c r="K4" s="36"/>
      <c r="L4" s="36"/>
      <c r="M4" s="108"/>
      <c r="N4" s="115"/>
      <c r="O4" s="108"/>
      <c r="P4" s="108"/>
      <c r="Q4" s="108"/>
      <c r="R4" s="108"/>
    </row>
    <row r="5" spans="1:20" ht="6" customHeight="1" x14ac:dyDescent="0.2">
      <c r="A5" s="36"/>
      <c r="B5" s="36"/>
      <c r="C5" s="36"/>
      <c r="D5" s="36"/>
      <c r="E5" s="36"/>
      <c r="F5" s="36"/>
      <c r="G5" s="36"/>
      <c r="H5" s="36"/>
      <c r="I5" s="36"/>
      <c r="J5" s="36"/>
      <c r="K5" s="36"/>
      <c r="L5" s="36"/>
      <c r="M5" s="36"/>
      <c r="N5" s="36"/>
      <c r="O5" s="36"/>
      <c r="P5" s="36"/>
      <c r="Q5" s="36"/>
      <c r="R5" s="36"/>
    </row>
    <row r="6" spans="1:20" ht="18" customHeight="1" x14ac:dyDescent="0.2">
      <c r="A6" s="4" t="s">
        <v>150</v>
      </c>
      <c r="B6" s="36"/>
      <c r="C6" s="36"/>
      <c r="D6" s="36"/>
      <c r="E6" s="36"/>
      <c r="F6" s="36"/>
      <c r="G6" s="36"/>
      <c r="H6" s="36"/>
      <c r="I6" s="36"/>
      <c r="J6" s="36"/>
      <c r="K6" s="36"/>
      <c r="L6" s="36"/>
      <c r="M6" s="36"/>
      <c r="N6" s="36"/>
      <c r="O6" s="36"/>
      <c r="P6" s="36"/>
      <c r="Q6" s="36"/>
      <c r="R6" s="36"/>
    </row>
    <row r="7" spans="1:20" ht="6" customHeight="1" x14ac:dyDescent="0.2">
      <c r="A7" s="4"/>
      <c r="B7" s="36"/>
      <c r="C7" s="36"/>
      <c r="D7" s="36"/>
      <c r="E7" s="36"/>
      <c r="F7" s="36"/>
      <c r="G7" s="36"/>
      <c r="H7" s="36"/>
      <c r="I7" s="36"/>
      <c r="J7" s="36"/>
      <c r="K7" s="36"/>
      <c r="L7" s="36"/>
      <c r="M7" s="36"/>
      <c r="N7" s="36"/>
      <c r="O7" s="36"/>
      <c r="P7" s="36"/>
      <c r="Q7" s="36"/>
      <c r="R7" s="36"/>
    </row>
    <row r="8" spans="1:20" ht="18" customHeight="1" x14ac:dyDescent="0.2">
      <c r="B8" s="276" t="s">
        <v>83</v>
      </c>
      <c r="C8" s="278" t="s">
        <v>88</v>
      </c>
      <c r="D8" s="280" t="s">
        <v>70</v>
      </c>
      <c r="E8" s="282" t="s">
        <v>94</v>
      </c>
      <c r="F8" s="282"/>
      <c r="G8" s="282" t="s">
        <v>95</v>
      </c>
      <c r="H8" s="282"/>
      <c r="I8" s="282" t="s">
        <v>96</v>
      </c>
      <c r="J8" s="282"/>
      <c r="K8" s="283" t="s">
        <v>97</v>
      </c>
      <c r="L8" s="284"/>
      <c r="M8" s="283" t="s">
        <v>98</v>
      </c>
      <c r="N8" s="284"/>
      <c r="O8" s="283" t="s">
        <v>99</v>
      </c>
      <c r="P8" s="284"/>
      <c r="Q8" s="285" t="s">
        <v>64</v>
      </c>
      <c r="R8" s="287" t="s">
        <v>58</v>
      </c>
      <c r="T8" s="32"/>
    </row>
    <row r="9" spans="1:20" ht="18" customHeight="1" x14ac:dyDescent="0.2">
      <c r="A9" s="4"/>
      <c r="B9" s="277"/>
      <c r="C9" s="279"/>
      <c r="D9" s="281"/>
      <c r="E9" s="41" t="s">
        <v>46</v>
      </c>
      <c r="F9" s="42" t="s">
        <v>45</v>
      </c>
      <c r="G9" s="43" t="s">
        <v>46</v>
      </c>
      <c r="H9" s="44" t="s">
        <v>45</v>
      </c>
      <c r="I9" s="41" t="s">
        <v>46</v>
      </c>
      <c r="J9" s="42" t="s">
        <v>45</v>
      </c>
      <c r="K9" s="43" t="s">
        <v>46</v>
      </c>
      <c r="L9" s="44" t="s">
        <v>45</v>
      </c>
      <c r="M9" s="41" t="s">
        <v>46</v>
      </c>
      <c r="N9" s="42" t="s">
        <v>45</v>
      </c>
      <c r="O9" s="43" t="s">
        <v>46</v>
      </c>
      <c r="P9" s="44" t="s">
        <v>45</v>
      </c>
      <c r="Q9" s="286"/>
      <c r="R9" s="288"/>
      <c r="T9" s="32"/>
    </row>
    <row r="10" spans="1:20" ht="18" customHeight="1" x14ac:dyDescent="0.2">
      <c r="A10" s="45"/>
      <c r="B10" s="84" t="s">
        <v>179</v>
      </c>
      <c r="C10" s="45">
        <v>20</v>
      </c>
      <c r="D10" s="46">
        <v>80</v>
      </c>
      <c r="E10" s="47">
        <v>10</v>
      </c>
      <c r="F10" s="48">
        <v>0</v>
      </c>
      <c r="G10" s="49">
        <v>15</v>
      </c>
      <c r="H10" s="50">
        <v>4</v>
      </c>
      <c r="I10" s="47">
        <v>0</v>
      </c>
      <c r="J10" s="48">
        <v>0</v>
      </c>
      <c r="K10" s="49">
        <v>0</v>
      </c>
      <c r="L10" s="50">
        <v>0</v>
      </c>
      <c r="M10" s="47">
        <v>0</v>
      </c>
      <c r="N10" s="48">
        <v>0</v>
      </c>
      <c r="O10" s="49">
        <v>0</v>
      </c>
      <c r="P10" s="50">
        <v>0</v>
      </c>
      <c r="Q10" s="51">
        <f>E10+G10+I10+K10+M10+O10</f>
        <v>25</v>
      </c>
      <c r="R10" s="52">
        <f>Q10/D10</f>
        <v>0.3125</v>
      </c>
    </row>
    <row r="11" spans="1:20" ht="18" customHeight="1" x14ac:dyDescent="0.2">
      <c r="A11" s="45"/>
      <c r="B11" s="85" t="s">
        <v>180</v>
      </c>
      <c r="C11" s="61">
        <v>15</v>
      </c>
      <c r="D11" s="54">
        <v>60</v>
      </c>
      <c r="E11" s="55">
        <v>19</v>
      </c>
      <c r="F11" s="56">
        <v>0</v>
      </c>
      <c r="G11" s="57">
        <v>18</v>
      </c>
      <c r="H11" s="58">
        <v>12</v>
      </c>
      <c r="I11" s="55">
        <v>0</v>
      </c>
      <c r="J11" s="56">
        <v>0</v>
      </c>
      <c r="K11" s="57">
        <v>0</v>
      </c>
      <c r="L11" s="58">
        <v>0</v>
      </c>
      <c r="M11" s="55">
        <v>0</v>
      </c>
      <c r="N11" s="56">
        <v>0</v>
      </c>
      <c r="O11" s="57">
        <v>0</v>
      </c>
      <c r="P11" s="58">
        <v>0</v>
      </c>
      <c r="Q11" s="59">
        <f t="shared" ref="Q11:Q29" si="0">E11+G11+I11+K11+M11+O11</f>
        <v>37</v>
      </c>
      <c r="R11" s="60">
        <f t="shared" ref="R11:R29" si="1">Q11/D11</f>
        <v>0.6166666666666667</v>
      </c>
    </row>
    <row r="12" spans="1:20" ht="18" customHeight="1" x14ac:dyDescent="0.2">
      <c r="A12" s="45"/>
      <c r="B12" s="85" t="s">
        <v>181</v>
      </c>
      <c r="C12" s="61">
        <v>15</v>
      </c>
      <c r="D12" s="54">
        <v>60</v>
      </c>
      <c r="E12" s="55">
        <v>29</v>
      </c>
      <c r="F12" s="56">
        <v>0</v>
      </c>
      <c r="G12" s="57">
        <v>22</v>
      </c>
      <c r="H12" s="58">
        <v>17</v>
      </c>
      <c r="I12" s="55">
        <v>0</v>
      </c>
      <c r="J12" s="56">
        <v>0</v>
      </c>
      <c r="K12" s="57">
        <v>0</v>
      </c>
      <c r="L12" s="58">
        <v>0</v>
      </c>
      <c r="M12" s="55">
        <v>0</v>
      </c>
      <c r="N12" s="56">
        <v>0</v>
      </c>
      <c r="O12" s="57">
        <v>0</v>
      </c>
      <c r="P12" s="58">
        <v>0</v>
      </c>
      <c r="Q12" s="59">
        <f t="shared" si="0"/>
        <v>51</v>
      </c>
      <c r="R12" s="60">
        <f t="shared" si="1"/>
        <v>0.85</v>
      </c>
    </row>
    <row r="13" spans="1:20" ht="18" customHeight="1" x14ac:dyDescent="0.2">
      <c r="A13" s="45"/>
      <c r="B13" s="85" t="s">
        <v>182</v>
      </c>
      <c r="C13" s="61">
        <v>20</v>
      </c>
      <c r="D13" s="54">
        <v>80</v>
      </c>
      <c r="E13" s="55">
        <v>8</v>
      </c>
      <c r="F13" s="56">
        <v>0</v>
      </c>
      <c r="G13" s="57">
        <v>10</v>
      </c>
      <c r="H13" s="58">
        <v>7</v>
      </c>
      <c r="I13" s="55">
        <v>0</v>
      </c>
      <c r="J13" s="56">
        <v>0</v>
      </c>
      <c r="K13" s="57">
        <v>0</v>
      </c>
      <c r="L13" s="58">
        <v>0</v>
      </c>
      <c r="M13" s="55">
        <v>0</v>
      </c>
      <c r="N13" s="56">
        <v>0</v>
      </c>
      <c r="O13" s="57">
        <v>0</v>
      </c>
      <c r="P13" s="58">
        <v>0</v>
      </c>
      <c r="Q13" s="59">
        <f t="shared" si="0"/>
        <v>18</v>
      </c>
      <c r="R13" s="60">
        <f t="shared" si="1"/>
        <v>0.22500000000000001</v>
      </c>
    </row>
    <row r="14" spans="1:20" ht="18" customHeight="1" x14ac:dyDescent="0.2">
      <c r="A14" s="45"/>
      <c r="B14" s="85" t="s">
        <v>183</v>
      </c>
      <c r="C14" s="61">
        <v>10</v>
      </c>
      <c r="D14" s="54">
        <v>40</v>
      </c>
      <c r="E14" s="55">
        <v>11</v>
      </c>
      <c r="F14" s="56">
        <v>0</v>
      </c>
      <c r="G14" s="57">
        <v>17</v>
      </c>
      <c r="H14" s="58">
        <v>6</v>
      </c>
      <c r="I14" s="55">
        <v>0</v>
      </c>
      <c r="J14" s="56">
        <v>0</v>
      </c>
      <c r="K14" s="57">
        <v>0</v>
      </c>
      <c r="L14" s="58">
        <v>0</v>
      </c>
      <c r="M14" s="55">
        <v>0</v>
      </c>
      <c r="N14" s="56">
        <v>0</v>
      </c>
      <c r="O14" s="57">
        <v>0</v>
      </c>
      <c r="P14" s="58">
        <v>0</v>
      </c>
      <c r="Q14" s="59">
        <f t="shared" si="0"/>
        <v>28</v>
      </c>
      <c r="R14" s="60">
        <f t="shared" si="1"/>
        <v>0.7</v>
      </c>
    </row>
    <row r="15" spans="1:20" ht="18" customHeight="1" x14ac:dyDescent="0.2">
      <c r="A15" s="45"/>
      <c r="B15" s="85"/>
      <c r="C15" s="61"/>
      <c r="D15" s="54"/>
      <c r="E15" s="55"/>
      <c r="F15" s="56"/>
      <c r="G15" s="57"/>
      <c r="H15" s="58"/>
      <c r="I15" s="55"/>
      <c r="J15" s="56"/>
      <c r="K15" s="57"/>
      <c r="L15" s="58"/>
      <c r="M15" s="55"/>
      <c r="N15" s="56"/>
      <c r="O15" s="57"/>
      <c r="P15" s="58"/>
      <c r="Q15" s="59">
        <f t="shared" si="0"/>
        <v>0</v>
      </c>
      <c r="R15" s="60" t="e">
        <f t="shared" si="1"/>
        <v>#DIV/0!</v>
      </c>
    </row>
    <row r="16" spans="1:20" ht="18" customHeight="1" x14ac:dyDescent="0.2">
      <c r="A16" s="45"/>
      <c r="B16" s="85"/>
      <c r="C16" s="61"/>
      <c r="D16" s="54"/>
      <c r="E16" s="55"/>
      <c r="F16" s="56"/>
      <c r="G16" s="57"/>
      <c r="H16" s="58"/>
      <c r="I16" s="55"/>
      <c r="J16" s="56"/>
      <c r="K16" s="57"/>
      <c r="L16" s="58"/>
      <c r="M16" s="55"/>
      <c r="N16" s="56"/>
      <c r="O16" s="57"/>
      <c r="P16" s="58"/>
      <c r="Q16" s="59">
        <f t="shared" si="0"/>
        <v>0</v>
      </c>
      <c r="R16" s="60" t="e">
        <f t="shared" si="1"/>
        <v>#DIV/0!</v>
      </c>
    </row>
    <row r="17" spans="1:18" ht="18" customHeight="1" x14ac:dyDescent="0.2">
      <c r="A17" s="45"/>
      <c r="B17" s="85"/>
      <c r="C17" s="61"/>
      <c r="D17" s="54"/>
      <c r="E17" s="55"/>
      <c r="F17" s="56"/>
      <c r="G17" s="57"/>
      <c r="H17" s="58"/>
      <c r="I17" s="55"/>
      <c r="J17" s="56"/>
      <c r="K17" s="57"/>
      <c r="L17" s="58"/>
      <c r="M17" s="55"/>
      <c r="N17" s="56"/>
      <c r="O17" s="57"/>
      <c r="P17" s="58"/>
      <c r="Q17" s="59">
        <f t="shared" si="0"/>
        <v>0</v>
      </c>
      <c r="R17" s="60" t="e">
        <f t="shared" si="1"/>
        <v>#DIV/0!</v>
      </c>
    </row>
    <row r="18" spans="1:18" ht="18" customHeight="1" x14ac:dyDescent="0.2">
      <c r="A18" s="45"/>
      <c r="B18" s="85"/>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2">
      <c r="A19" s="45"/>
      <c r="B19" s="85"/>
      <c r="C19" s="61"/>
      <c r="D19" s="54"/>
      <c r="E19" s="55"/>
      <c r="F19" s="56"/>
      <c r="G19" s="57"/>
      <c r="H19" s="58"/>
      <c r="I19" s="55"/>
      <c r="J19" s="56"/>
      <c r="K19" s="57"/>
      <c r="L19" s="58"/>
      <c r="M19" s="55"/>
      <c r="N19" s="56"/>
      <c r="O19" s="57"/>
      <c r="P19" s="58"/>
      <c r="Q19" s="59">
        <f t="shared" si="0"/>
        <v>0</v>
      </c>
      <c r="R19" s="60" t="e">
        <f t="shared" si="1"/>
        <v>#DIV/0!</v>
      </c>
    </row>
    <row r="20" spans="1:18" ht="18" customHeight="1" x14ac:dyDescent="0.2">
      <c r="A20" s="45"/>
      <c r="B20" s="85"/>
      <c r="C20" s="61"/>
      <c r="D20" s="54"/>
      <c r="E20" s="55"/>
      <c r="F20" s="56"/>
      <c r="G20" s="57"/>
      <c r="H20" s="58"/>
      <c r="I20" s="55"/>
      <c r="J20" s="56"/>
      <c r="K20" s="57"/>
      <c r="L20" s="58"/>
      <c r="M20" s="55"/>
      <c r="N20" s="56"/>
      <c r="O20" s="57"/>
      <c r="P20" s="58"/>
      <c r="Q20" s="59">
        <f t="shared" si="0"/>
        <v>0</v>
      </c>
      <c r="R20" s="60" t="e">
        <f t="shared" si="1"/>
        <v>#DIV/0!</v>
      </c>
    </row>
    <row r="21" spans="1:18" ht="18" customHeight="1" x14ac:dyDescent="0.2">
      <c r="A21" s="45"/>
      <c r="B21" s="85"/>
      <c r="C21" s="61"/>
      <c r="D21" s="54"/>
      <c r="E21" s="55"/>
      <c r="F21" s="56"/>
      <c r="G21" s="57"/>
      <c r="H21" s="58"/>
      <c r="I21" s="55"/>
      <c r="J21" s="56"/>
      <c r="K21" s="57"/>
      <c r="L21" s="58"/>
      <c r="M21" s="55"/>
      <c r="N21" s="56"/>
      <c r="O21" s="57"/>
      <c r="P21" s="58"/>
      <c r="Q21" s="59">
        <f t="shared" si="0"/>
        <v>0</v>
      </c>
      <c r="R21" s="60" t="e">
        <f t="shared" si="1"/>
        <v>#DIV/0!</v>
      </c>
    </row>
    <row r="22" spans="1:18" ht="18" customHeight="1" x14ac:dyDescent="0.2">
      <c r="A22" s="45"/>
      <c r="B22" s="85"/>
      <c r="C22" s="61"/>
      <c r="D22" s="54"/>
      <c r="E22" s="55"/>
      <c r="F22" s="56"/>
      <c r="G22" s="57"/>
      <c r="H22" s="58"/>
      <c r="I22" s="55"/>
      <c r="J22" s="56"/>
      <c r="K22" s="57"/>
      <c r="L22" s="58"/>
      <c r="M22" s="55"/>
      <c r="N22" s="56"/>
      <c r="O22" s="57"/>
      <c r="P22" s="58"/>
      <c r="Q22" s="59">
        <f t="shared" si="0"/>
        <v>0</v>
      </c>
      <c r="R22" s="60" t="e">
        <f t="shared" si="1"/>
        <v>#DIV/0!</v>
      </c>
    </row>
    <row r="23" spans="1:18" ht="18" customHeight="1" x14ac:dyDescent="0.2">
      <c r="A23" s="45"/>
      <c r="B23" s="85"/>
      <c r="C23" s="61"/>
      <c r="D23" s="54"/>
      <c r="E23" s="55"/>
      <c r="F23" s="56"/>
      <c r="G23" s="57"/>
      <c r="H23" s="58"/>
      <c r="I23" s="55"/>
      <c r="J23" s="56"/>
      <c r="K23" s="57"/>
      <c r="L23" s="58"/>
      <c r="M23" s="55"/>
      <c r="N23" s="56"/>
      <c r="O23" s="57"/>
      <c r="P23" s="58"/>
      <c r="Q23" s="59">
        <f t="shared" si="0"/>
        <v>0</v>
      </c>
      <c r="R23" s="60" t="e">
        <f t="shared" si="1"/>
        <v>#DIV/0!</v>
      </c>
    </row>
    <row r="24" spans="1:18" ht="18" customHeight="1" x14ac:dyDescent="0.2">
      <c r="A24" s="45"/>
      <c r="B24" s="85"/>
      <c r="C24" s="61"/>
      <c r="D24" s="54"/>
      <c r="E24" s="55"/>
      <c r="F24" s="56"/>
      <c r="G24" s="57"/>
      <c r="H24" s="58"/>
      <c r="I24" s="55"/>
      <c r="J24" s="56"/>
      <c r="K24" s="57"/>
      <c r="L24" s="58"/>
      <c r="M24" s="55"/>
      <c r="N24" s="56"/>
      <c r="O24" s="57"/>
      <c r="P24" s="58"/>
      <c r="Q24" s="59">
        <f t="shared" si="0"/>
        <v>0</v>
      </c>
      <c r="R24" s="60" t="e">
        <f t="shared" si="1"/>
        <v>#DIV/0!</v>
      </c>
    </row>
    <row r="25" spans="1:18" ht="18" customHeight="1" x14ac:dyDescent="0.2">
      <c r="A25" s="45"/>
      <c r="B25" s="85"/>
      <c r="C25" s="61"/>
      <c r="D25" s="54"/>
      <c r="E25" s="55"/>
      <c r="F25" s="56"/>
      <c r="G25" s="57"/>
      <c r="H25" s="58"/>
      <c r="I25" s="55"/>
      <c r="J25" s="56"/>
      <c r="K25" s="57"/>
      <c r="L25" s="58"/>
      <c r="M25" s="55"/>
      <c r="N25" s="56"/>
      <c r="O25" s="57"/>
      <c r="P25" s="58"/>
      <c r="Q25" s="59">
        <f t="shared" si="0"/>
        <v>0</v>
      </c>
      <c r="R25" s="60" t="e">
        <f t="shared" si="1"/>
        <v>#DIV/0!</v>
      </c>
    </row>
    <row r="26" spans="1:18" ht="18" customHeight="1" x14ac:dyDescent="0.2">
      <c r="A26" s="45"/>
      <c r="B26" s="85"/>
      <c r="C26" s="61"/>
      <c r="D26" s="54"/>
      <c r="E26" s="55"/>
      <c r="F26" s="56"/>
      <c r="G26" s="57"/>
      <c r="H26" s="58"/>
      <c r="I26" s="55"/>
      <c r="J26" s="56"/>
      <c r="K26" s="57"/>
      <c r="L26" s="58"/>
      <c r="M26" s="55"/>
      <c r="N26" s="56"/>
      <c r="O26" s="57"/>
      <c r="P26" s="58"/>
      <c r="Q26" s="59">
        <f t="shared" si="0"/>
        <v>0</v>
      </c>
      <c r="R26" s="60" t="e">
        <f t="shared" si="1"/>
        <v>#DIV/0!</v>
      </c>
    </row>
    <row r="27" spans="1:18" ht="18" customHeight="1" x14ac:dyDescent="0.2">
      <c r="A27" s="45"/>
      <c r="B27" s="85"/>
      <c r="C27" s="53"/>
      <c r="D27" s="54"/>
      <c r="E27" s="55"/>
      <c r="F27" s="56"/>
      <c r="G27" s="57"/>
      <c r="H27" s="58"/>
      <c r="I27" s="55"/>
      <c r="J27" s="56"/>
      <c r="K27" s="57"/>
      <c r="L27" s="58"/>
      <c r="M27" s="55"/>
      <c r="N27" s="56"/>
      <c r="O27" s="57"/>
      <c r="P27" s="58"/>
      <c r="Q27" s="59">
        <f t="shared" si="0"/>
        <v>0</v>
      </c>
      <c r="R27" s="60" t="e">
        <f t="shared" si="1"/>
        <v>#DIV/0!</v>
      </c>
    </row>
    <row r="28" spans="1:18" ht="18" customHeight="1" x14ac:dyDescent="0.2">
      <c r="A28" s="45"/>
      <c r="B28" s="85"/>
      <c r="C28" s="53"/>
      <c r="D28" s="54"/>
      <c r="E28" s="55"/>
      <c r="F28" s="121"/>
      <c r="G28" s="57"/>
      <c r="H28" s="58"/>
      <c r="I28" s="55"/>
      <c r="J28" s="56"/>
      <c r="K28" s="57"/>
      <c r="L28" s="58"/>
      <c r="M28" s="55"/>
      <c r="N28" s="56"/>
      <c r="O28" s="114"/>
      <c r="P28" s="58"/>
      <c r="Q28" s="59">
        <f t="shared" si="0"/>
        <v>0</v>
      </c>
      <c r="R28" s="60" t="e">
        <f t="shared" si="1"/>
        <v>#DIV/0!</v>
      </c>
    </row>
    <row r="29" spans="1:18" ht="18" customHeight="1" thickBot="1" x14ac:dyDescent="0.25">
      <c r="A29" s="45"/>
      <c r="B29" s="86"/>
      <c r="C29" s="87"/>
      <c r="D29" s="46"/>
      <c r="E29" s="47"/>
      <c r="F29" s="48"/>
      <c r="G29" s="49"/>
      <c r="H29" s="50"/>
      <c r="I29" s="47"/>
      <c r="J29" s="48"/>
      <c r="K29" s="49"/>
      <c r="L29" s="50"/>
      <c r="M29" s="47"/>
      <c r="N29" s="48"/>
      <c r="O29" s="49"/>
      <c r="P29" s="50"/>
      <c r="Q29" s="62">
        <f t="shared" si="0"/>
        <v>0</v>
      </c>
      <c r="R29" s="52" t="e">
        <f t="shared" si="1"/>
        <v>#DIV/0!</v>
      </c>
    </row>
    <row r="30" spans="1:18" ht="18" customHeight="1" thickTop="1" x14ac:dyDescent="0.2">
      <c r="B30" s="88" t="s">
        <v>59</v>
      </c>
      <c r="C30" s="89">
        <f t="shared" ref="C30:Q30" si="2">SUM(C10:C29)</f>
        <v>80</v>
      </c>
      <c r="D30" s="63">
        <f t="shared" si="2"/>
        <v>320</v>
      </c>
      <c r="E30" s="64">
        <f t="shared" si="2"/>
        <v>77</v>
      </c>
      <c r="F30" s="116"/>
      <c r="G30" s="64">
        <f t="shared" si="2"/>
        <v>82</v>
      </c>
      <c r="H30" s="65">
        <f t="shared" si="2"/>
        <v>46</v>
      </c>
      <c r="I30" s="64">
        <f t="shared" si="2"/>
        <v>0</v>
      </c>
      <c r="J30" s="65">
        <f t="shared" si="2"/>
        <v>0</v>
      </c>
      <c r="K30" s="66">
        <f t="shared" si="2"/>
        <v>0</v>
      </c>
      <c r="L30" s="67">
        <f t="shared" si="2"/>
        <v>0</v>
      </c>
      <c r="M30" s="64">
        <f t="shared" si="2"/>
        <v>0</v>
      </c>
      <c r="N30" s="65">
        <f t="shared" si="2"/>
        <v>0</v>
      </c>
      <c r="O30" s="66">
        <f t="shared" si="2"/>
        <v>0</v>
      </c>
      <c r="P30" s="67"/>
      <c r="Q30" s="68">
        <f t="shared" si="2"/>
        <v>159</v>
      </c>
      <c r="R30" s="69">
        <f>Q30/D30</f>
        <v>0.49687500000000001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tabSelected="1" view="pageBreakPreview" topLeftCell="A19" zoomScale="130" zoomScaleNormal="100" zoomScaleSheetLayoutView="130" workbookViewId="0">
      <selection activeCell="B30" sqref="B30:J30"/>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119</v>
      </c>
      <c r="J1" s="39" t="s">
        <v>120</v>
      </c>
    </row>
    <row r="2" spans="1:11" ht="18.75" customHeight="1" x14ac:dyDescent="0.2">
      <c r="A2" s="273" t="s">
        <v>66</v>
      </c>
      <c r="B2" s="273"/>
      <c r="C2" s="273"/>
      <c r="D2" s="273"/>
      <c r="E2" s="273"/>
      <c r="F2" s="273"/>
      <c r="G2" s="273"/>
      <c r="H2" s="273"/>
      <c r="I2" s="273"/>
      <c r="J2" s="273"/>
    </row>
    <row r="3" spans="1:11" ht="7.5" customHeight="1" x14ac:dyDescent="0.2">
      <c r="B3" s="36"/>
      <c r="C3" s="36"/>
      <c r="D3" s="36"/>
      <c r="E3" s="36"/>
      <c r="F3" s="36"/>
      <c r="G3" s="36"/>
      <c r="H3" s="36"/>
      <c r="I3" s="36"/>
      <c r="J3" s="36"/>
    </row>
    <row r="4" spans="1:11" ht="18.75" customHeight="1" x14ac:dyDescent="0.2">
      <c r="A4" s="1" t="s">
        <v>6</v>
      </c>
      <c r="B4" s="4" t="s">
        <v>76</v>
      </c>
      <c r="C4" s="4"/>
      <c r="D4" s="4"/>
      <c r="E4" s="4"/>
      <c r="F4" s="4"/>
      <c r="G4" s="4"/>
      <c r="H4" s="4"/>
      <c r="I4" s="36"/>
      <c r="J4" s="36"/>
    </row>
    <row r="5" spans="1:11" ht="18.75" customHeight="1" x14ac:dyDescent="0.2">
      <c r="A5" s="1"/>
      <c r="B5" s="169" t="s">
        <v>184</v>
      </c>
      <c r="C5" s="170"/>
      <c r="D5" s="170"/>
      <c r="E5" s="170"/>
      <c r="F5" s="170"/>
      <c r="G5" s="170"/>
      <c r="H5" s="170"/>
      <c r="I5" s="170"/>
      <c r="J5" s="310"/>
      <c r="K5" s="31" t="str">
        <f>IF(B5="","入力してください","")</f>
        <v/>
      </c>
    </row>
    <row r="6" spans="1:11" ht="7.5" customHeight="1" x14ac:dyDescent="0.2">
      <c r="B6" s="36"/>
      <c r="C6" s="36"/>
      <c r="D6" s="36"/>
      <c r="E6" s="36"/>
      <c r="F6" s="36"/>
      <c r="G6" s="36"/>
      <c r="H6" s="36"/>
      <c r="I6" s="36"/>
      <c r="J6" s="36"/>
    </row>
    <row r="7" spans="1:11" s="4" customFormat="1" ht="18.75" customHeight="1" x14ac:dyDescent="0.2">
      <c r="A7" s="1" t="s">
        <v>10</v>
      </c>
      <c r="B7" s="1" t="s">
        <v>41</v>
      </c>
      <c r="C7" s="1"/>
      <c r="D7" s="1"/>
      <c r="E7" s="1"/>
      <c r="F7" s="1"/>
      <c r="G7" s="1"/>
      <c r="H7" s="1"/>
      <c r="I7" s="1"/>
      <c r="J7" s="1"/>
      <c r="K7" s="33"/>
    </row>
    <row r="8" spans="1:11" s="4" customFormat="1" ht="18.75" customHeight="1" x14ac:dyDescent="0.2">
      <c r="A8" s="90"/>
      <c r="B8" s="289" t="s">
        <v>212</v>
      </c>
      <c r="C8" s="290"/>
      <c r="D8" s="290"/>
      <c r="E8" s="290"/>
      <c r="F8" s="290"/>
      <c r="G8" s="290"/>
      <c r="H8" s="290"/>
      <c r="I8" s="298"/>
      <c r="J8" s="299"/>
      <c r="K8" s="31" t="str">
        <f>IF(B8="","入力してください","")</f>
        <v/>
      </c>
    </row>
    <row r="9" spans="1:11" s="4" customFormat="1" ht="18.75" customHeight="1" x14ac:dyDescent="0.2">
      <c r="A9" s="90"/>
      <c r="B9" s="300"/>
      <c r="C9" s="301"/>
      <c r="D9" s="301"/>
      <c r="E9" s="301"/>
      <c r="F9" s="301"/>
      <c r="G9" s="301"/>
      <c r="H9" s="301"/>
      <c r="I9" s="301"/>
      <c r="J9" s="302"/>
      <c r="K9" s="31"/>
    </row>
    <row r="10" spans="1:11" s="4" customFormat="1" ht="18.75" customHeight="1" x14ac:dyDescent="0.2">
      <c r="A10" s="90"/>
      <c r="B10" s="300"/>
      <c r="C10" s="301"/>
      <c r="D10" s="301"/>
      <c r="E10" s="301"/>
      <c r="F10" s="301"/>
      <c r="G10" s="301"/>
      <c r="H10" s="301"/>
      <c r="I10" s="301"/>
      <c r="J10" s="302"/>
      <c r="K10" s="31"/>
    </row>
    <row r="11" spans="1:11" s="4" customFormat="1" ht="18.75" customHeight="1" x14ac:dyDescent="0.2">
      <c r="A11" s="90"/>
      <c r="B11" s="300"/>
      <c r="C11" s="301"/>
      <c r="D11" s="301"/>
      <c r="E11" s="301"/>
      <c r="F11" s="301"/>
      <c r="G11" s="301"/>
      <c r="H11" s="301"/>
      <c r="I11" s="301"/>
      <c r="J11" s="302"/>
      <c r="K11" s="31"/>
    </row>
    <row r="12" spans="1:11" s="4" customFormat="1" ht="57.6" customHeight="1" x14ac:dyDescent="0.2">
      <c r="A12" s="90"/>
      <c r="B12" s="303"/>
      <c r="C12" s="304"/>
      <c r="D12" s="304"/>
      <c r="E12" s="304"/>
      <c r="F12" s="304"/>
      <c r="G12" s="304"/>
      <c r="H12" s="304"/>
      <c r="I12" s="304"/>
      <c r="J12" s="305"/>
      <c r="K12" s="31"/>
    </row>
    <row r="13" spans="1:11" s="4" customFormat="1" ht="7.5" customHeight="1" x14ac:dyDescent="0.2">
      <c r="A13" s="90"/>
      <c r="B13" s="90"/>
      <c r="C13" s="90"/>
      <c r="D13" s="90"/>
      <c r="E13" s="90"/>
      <c r="F13" s="90"/>
      <c r="G13" s="90"/>
      <c r="H13" s="90"/>
      <c r="I13" s="90"/>
      <c r="J13" s="90"/>
      <c r="K13" s="31"/>
    </row>
    <row r="14" spans="1:11" s="4" customFormat="1" ht="18.75" customHeight="1" x14ac:dyDescent="0.2">
      <c r="A14" s="91" t="s">
        <v>11</v>
      </c>
      <c r="B14" s="91" t="s">
        <v>16</v>
      </c>
      <c r="C14" s="91"/>
      <c r="D14" s="91"/>
      <c r="E14" s="91"/>
      <c r="F14" s="91"/>
      <c r="G14" s="91"/>
      <c r="H14" s="91"/>
      <c r="I14" s="91"/>
      <c r="J14" s="91"/>
      <c r="K14" s="31"/>
    </row>
    <row r="15" spans="1:11" s="4" customFormat="1" ht="18.75" customHeight="1" x14ac:dyDescent="0.2">
      <c r="A15" s="90"/>
      <c r="B15" s="289" t="s">
        <v>213</v>
      </c>
      <c r="C15" s="290"/>
      <c r="D15" s="290"/>
      <c r="E15" s="290"/>
      <c r="F15" s="290"/>
      <c r="G15" s="290"/>
      <c r="H15" s="290"/>
      <c r="I15" s="298"/>
      <c r="J15" s="299"/>
      <c r="K15" s="31" t="str">
        <f>IF(B15="","入力してください","")</f>
        <v/>
      </c>
    </row>
    <row r="16" spans="1:11" s="4" customFormat="1" ht="18.75" customHeight="1" x14ac:dyDescent="0.2">
      <c r="A16" s="90"/>
      <c r="B16" s="300"/>
      <c r="C16" s="301"/>
      <c r="D16" s="301"/>
      <c r="E16" s="301"/>
      <c r="F16" s="301"/>
      <c r="G16" s="301"/>
      <c r="H16" s="301"/>
      <c r="I16" s="301"/>
      <c r="J16" s="302"/>
      <c r="K16" s="31"/>
    </row>
    <row r="17" spans="1:11" s="4" customFormat="1" ht="18.75" customHeight="1" x14ac:dyDescent="0.2">
      <c r="A17" s="90"/>
      <c r="B17" s="300"/>
      <c r="C17" s="301"/>
      <c r="D17" s="301"/>
      <c r="E17" s="301"/>
      <c r="F17" s="301"/>
      <c r="G17" s="301"/>
      <c r="H17" s="301"/>
      <c r="I17" s="301"/>
      <c r="J17" s="302"/>
      <c r="K17" s="31"/>
    </row>
    <row r="18" spans="1:11" s="4" customFormat="1" ht="18.75" customHeight="1" x14ac:dyDescent="0.2">
      <c r="A18" s="90"/>
      <c r="B18" s="300"/>
      <c r="C18" s="301"/>
      <c r="D18" s="301"/>
      <c r="E18" s="301"/>
      <c r="F18" s="301"/>
      <c r="G18" s="301"/>
      <c r="H18" s="301"/>
      <c r="I18" s="301"/>
      <c r="J18" s="302"/>
      <c r="K18" s="31"/>
    </row>
    <row r="19" spans="1:11" s="4" customFormat="1" ht="18.75" customHeight="1" x14ac:dyDescent="0.2">
      <c r="A19" s="90"/>
      <c r="B19" s="300"/>
      <c r="C19" s="301"/>
      <c r="D19" s="301"/>
      <c r="E19" s="301"/>
      <c r="F19" s="301"/>
      <c r="G19" s="301"/>
      <c r="H19" s="301"/>
      <c r="I19" s="301"/>
      <c r="J19" s="302"/>
      <c r="K19" s="31"/>
    </row>
    <row r="20" spans="1:11" s="4" customFormat="1" ht="18.75" customHeight="1" x14ac:dyDescent="0.2">
      <c r="A20" s="90"/>
      <c r="B20" s="300"/>
      <c r="C20" s="301"/>
      <c r="D20" s="301"/>
      <c r="E20" s="301"/>
      <c r="F20" s="301"/>
      <c r="G20" s="301"/>
      <c r="H20" s="301"/>
      <c r="I20" s="301"/>
      <c r="J20" s="302"/>
      <c r="K20" s="31"/>
    </row>
    <row r="21" spans="1:11" s="4" customFormat="1" ht="18.75" customHeight="1" x14ac:dyDescent="0.2">
      <c r="A21" s="90"/>
      <c r="B21" s="300"/>
      <c r="C21" s="301"/>
      <c r="D21" s="301"/>
      <c r="E21" s="301"/>
      <c r="F21" s="301"/>
      <c r="G21" s="301"/>
      <c r="H21" s="301"/>
      <c r="I21" s="301"/>
      <c r="J21" s="302"/>
      <c r="K21" s="31"/>
    </row>
    <row r="22" spans="1:11" s="4" customFormat="1" ht="18.75" customHeight="1" x14ac:dyDescent="0.2">
      <c r="A22" s="90"/>
      <c r="B22" s="300"/>
      <c r="C22" s="301"/>
      <c r="D22" s="301"/>
      <c r="E22" s="301"/>
      <c r="F22" s="301"/>
      <c r="G22" s="301"/>
      <c r="H22" s="301"/>
      <c r="I22" s="301"/>
      <c r="J22" s="302"/>
      <c r="K22" s="31"/>
    </row>
    <row r="23" spans="1:11" s="4" customFormat="1" ht="18.75" customHeight="1" x14ac:dyDescent="0.2">
      <c r="A23" s="90"/>
      <c r="B23" s="300"/>
      <c r="C23" s="301"/>
      <c r="D23" s="301"/>
      <c r="E23" s="301"/>
      <c r="F23" s="301"/>
      <c r="G23" s="301"/>
      <c r="H23" s="301"/>
      <c r="I23" s="301"/>
      <c r="J23" s="302"/>
      <c r="K23" s="31"/>
    </row>
    <row r="24" spans="1:11" s="4" customFormat="1" ht="18.75" customHeight="1" x14ac:dyDescent="0.2">
      <c r="A24" s="90"/>
      <c r="B24" s="300"/>
      <c r="C24" s="301"/>
      <c r="D24" s="301"/>
      <c r="E24" s="301"/>
      <c r="F24" s="301"/>
      <c r="G24" s="301"/>
      <c r="H24" s="301"/>
      <c r="I24" s="301"/>
      <c r="J24" s="302"/>
      <c r="K24" s="31"/>
    </row>
    <row r="25" spans="1:11" s="4" customFormat="1" ht="20.55" customHeight="1" x14ac:dyDescent="0.2">
      <c r="A25" s="90"/>
      <c r="B25" s="303"/>
      <c r="C25" s="304"/>
      <c r="D25" s="304"/>
      <c r="E25" s="304"/>
      <c r="F25" s="304"/>
      <c r="G25" s="304"/>
      <c r="H25" s="304"/>
      <c r="I25" s="304"/>
      <c r="J25" s="305"/>
      <c r="K25" s="31"/>
    </row>
    <row r="26" spans="1:11" ht="7.5" customHeight="1" x14ac:dyDescent="0.2">
      <c r="A26" s="37"/>
      <c r="B26" s="37"/>
      <c r="C26" s="37"/>
      <c r="D26" s="37"/>
      <c r="E26" s="37"/>
      <c r="F26" s="37"/>
      <c r="G26" s="37"/>
      <c r="H26" s="37"/>
      <c r="I26" s="37"/>
      <c r="J26" s="37"/>
    </row>
    <row r="27" spans="1:11" s="4" customFormat="1" ht="18.75" customHeight="1" x14ac:dyDescent="0.2">
      <c r="A27" s="1" t="s">
        <v>14</v>
      </c>
      <c r="B27" s="1" t="s">
        <v>27</v>
      </c>
      <c r="C27" s="1"/>
      <c r="D27" s="1"/>
      <c r="E27" s="1"/>
      <c r="F27" s="1"/>
      <c r="G27" s="1"/>
      <c r="H27" s="1"/>
      <c r="I27" s="1"/>
      <c r="J27" s="1"/>
      <c r="K27" s="31"/>
    </row>
    <row r="28" spans="1:11" s="29" customFormat="1" ht="18.75" customHeight="1" x14ac:dyDescent="0.2">
      <c r="B28" s="92" t="s">
        <v>121</v>
      </c>
      <c r="C28" s="132">
        <f>'様式３　履修者等数の実績'!R30</f>
        <v>0.49687500000000001</v>
      </c>
      <c r="D28" s="133"/>
      <c r="E28" s="133" t="s">
        <v>122</v>
      </c>
      <c r="F28" s="132">
        <v>0.75</v>
      </c>
      <c r="G28" s="133"/>
      <c r="H28" s="133" t="s">
        <v>123</v>
      </c>
      <c r="I28" s="134">
        <v>1</v>
      </c>
      <c r="J28" s="93"/>
      <c r="K28" s="31"/>
    </row>
    <row r="29" spans="1:11" s="29" customFormat="1" ht="18.75" customHeight="1" x14ac:dyDescent="0.2">
      <c r="B29" s="81" t="s">
        <v>124</v>
      </c>
      <c r="C29" s="135">
        <v>1</v>
      </c>
      <c r="D29" s="136"/>
      <c r="E29" s="136" t="s">
        <v>125</v>
      </c>
      <c r="F29" s="135">
        <v>1</v>
      </c>
      <c r="G29" s="136"/>
      <c r="H29" s="136" t="s">
        <v>126</v>
      </c>
      <c r="I29" s="137">
        <f>'様式３　履修者等数の実績'!D30</f>
        <v>320</v>
      </c>
      <c r="J29" s="94"/>
      <c r="K29" s="33"/>
    </row>
    <row r="30" spans="1:11" s="4" customFormat="1" ht="18.75" customHeight="1" x14ac:dyDescent="0.2">
      <c r="A30" s="1"/>
      <c r="B30" s="213" t="s">
        <v>127</v>
      </c>
      <c r="C30" s="214"/>
      <c r="D30" s="214"/>
      <c r="E30" s="214"/>
      <c r="F30" s="214"/>
      <c r="G30" s="214"/>
      <c r="H30" s="214"/>
      <c r="I30" s="214"/>
      <c r="J30" s="215"/>
      <c r="K30" s="33"/>
    </row>
    <row r="31" spans="1:11" s="4" customFormat="1" ht="18.75" customHeight="1" x14ac:dyDescent="0.2">
      <c r="A31" s="1"/>
      <c r="B31" s="307" t="s">
        <v>214</v>
      </c>
      <c r="C31" s="308"/>
      <c r="D31" s="308"/>
      <c r="E31" s="308"/>
      <c r="F31" s="308"/>
      <c r="G31" s="308"/>
      <c r="H31" s="308"/>
      <c r="I31" s="308"/>
      <c r="J31" s="309"/>
      <c r="K31" s="33" t="str">
        <f>IF(B31="","入力してください","")</f>
        <v/>
      </c>
    </row>
    <row r="32" spans="1:11" s="4" customFormat="1" ht="18.75" customHeight="1" x14ac:dyDescent="0.2">
      <c r="A32" s="1"/>
      <c r="B32" s="300"/>
      <c r="C32" s="301"/>
      <c r="D32" s="301"/>
      <c r="E32" s="301"/>
      <c r="F32" s="301"/>
      <c r="G32" s="301"/>
      <c r="H32" s="301"/>
      <c r="I32" s="301"/>
      <c r="J32" s="302"/>
      <c r="K32" s="33"/>
    </row>
    <row r="33" spans="1:11" s="4" customFormat="1" ht="18.75" customHeight="1" x14ac:dyDescent="0.2">
      <c r="A33" s="1"/>
      <c r="B33" s="300"/>
      <c r="C33" s="301"/>
      <c r="D33" s="301"/>
      <c r="E33" s="301"/>
      <c r="F33" s="301"/>
      <c r="G33" s="301"/>
      <c r="H33" s="301"/>
      <c r="I33" s="301"/>
      <c r="J33" s="302"/>
      <c r="K33" s="33"/>
    </row>
    <row r="34" spans="1:11" s="4" customFormat="1" ht="18.75" customHeight="1" x14ac:dyDescent="0.2">
      <c r="A34" s="1"/>
      <c r="B34" s="300"/>
      <c r="C34" s="301"/>
      <c r="D34" s="301"/>
      <c r="E34" s="301"/>
      <c r="F34" s="301"/>
      <c r="G34" s="301"/>
      <c r="H34" s="301"/>
      <c r="I34" s="301"/>
      <c r="J34" s="302"/>
      <c r="K34" s="33"/>
    </row>
    <row r="35" spans="1:11" s="4" customFormat="1" ht="18.75" customHeight="1" x14ac:dyDescent="0.2">
      <c r="A35" s="1"/>
      <c r="B35" s="300"/>
      <c r="C35" s="301"/>
      <c r="D35" s="301"/>
      <c r="E35" s="301"/>
      <c r="F35" s="301"/>
      <c r="G35" s="301"/>
      <c r="H35" s="301"/>
      <c r="I35" s="301"/>
      <c r="J35" s="302"/>
      <c r="K35" s="33"/>
    </row>
    <row r="36" spans="1:11" s="4" customFormat="1" ht="18.75" customHeight="1" x14ac:dyDescent="0.2">
      <c r="A36" s="1"/>
      <c r="B36" s="300"/>
      <c r="C36" s="301"/>
      <c r="D36" s="301"/>
      <c r="E36" s="301"/>
      <c r="F36" s="301"/>
      <c r="G36" s="301"/>
      <c r="H36" s="301"/>
      <c r="I36" s="301"/>
      <c r="J36" s="302"/>
      <c r="K36" s="33"/>
    </row>
    <row r="37" spans="1:11" s="4" customFormat="1" ht="18.75" customHeight="1" x14ac:dyDescent="0.2">
      <c r="A37" s="1"/>
      <c r="B37" s="300"/>
      <c r="C37" s="301"/>
      <c r="D37" s="301"/>
      <c r="E37" s="301"/>
      <c r="F37" s="301"/>
      <c r="G37" s="301"/>
      <c r="H37" s="301"/>
      <c r="I37" s="301"/>
      <c r="J37" s="302"/>
      <c r="K37" s="33"/>
    </row>
    <row r="38" spans="1:11" s="4" customFormat="1" ht="18.75" customHeight="1" x14ac:dyDescent="0.2">
      <c r="A38" s="1"/>
      <c r="B38" s="300"/>
      <c r="C38" s="301"/>
      <c r="D38" s="301"/>
      <c r="E38" s="301"/>
      <c r="F38" s="301"/>
      <c r="G38" s="301"/>
      <c r="H38" s="301"/>
      <c r="I38" s="301"/>
      <c r="J38" s="302"/>
      <c r="K38" s="33"/>
    </row>
    <row r="39" spans="1:11" s="4" customFormat="1" ht="18.75" customHeight="1" x14ac:dyDescent="0.2">
      <c r="A39" s="1"/>
      <c r="B39" s="300"/>
      <c r="C39" s="301"/>
      <c r="D39" s="301"/>
      <c r="E39" s="301"/>
      <c r="F39" s="301"/>
      <c r="G39" s="301"/>
      <c r="H39" s="301"/>
      <c r="I39" s="301"/>
      <c r="J39" s="302"/>
      <c r="K39" s="33"/>
    </row>
    <row r="40" spans="1:11" s="4" customFormat="1" ht="18.75" customHeight="1" x14ac:dyDescent="0.2">
      <c r="A40" s="1"/>
      <c r="B40" s="300"/>
      <c r="C40" s="301"/>
      <c r="D40" s="301"/>
      <c r="E40" s="301"/>
      <c r="F40" s="301"/>
      <c r="G40" s="301"/>
      <c r="H40" s="301"/>
      <c r="I40" s="301"/>
      <c r="J40" s="302"/>
      <c r="K40" s="33"/>
    </row>
    <row r="41" spans="1:11" s="4" customFormat="1" ht="18.75" customHeight="1" x14ac:dyDescent="0.2">
      <c r="A41" s="1"/>
      <c r="B41" s="300"/>
      <c r="C41" s="301"/>
      <c r="D41" s="301"/>
      <c r="E41" s="301"/>
      <c r="F41" s="301"/>
      <c r="G41" s="301"/>
      <c r="H41" s="301"/>
      <c r="I41" s="301"/>
      <c r="J41" s="302"/>
      <c r="K41" s="33"/>
    </row>
    <row r="42" spans="1:11" s="4" customFormat="1" ht="15.75" customHeight="1" x14ac:dyDescent="0.2">
      <c r="A42" s="1"/>
      <c r="B42" s="300"/>
      <c r="C42" s="301"/>
      <c r="D42" s="301"/>
      <c r="E42" s="301"/>
      <c r="F42" s="301"/>
      <c r="G42" s="301"/>
      <c r="H42" s="301"/>
      <c r="I42" s="301"/>
      <c r="J42" s="302"/>
      <c r="K42" s="33"/>
    </row>
    <row r="43" spans="1:11" ht="32.549999999999997" customHeight="1" x14ac:dyDescent="0.2">
      <c r="A43" s="37"/>
      <c r="B43" s="300"/>
      <c r="C43" s="301"/>
      <c r="D43" s="301"/>
      <c r="E43" s="301"/>
      <c r="F43" s="301"/>
      <c r="G43" s="301"/>
      <c r="H43" s="301"/>
      <c r="I43" s="301"/>
      <c r="J43" s="302"/>
      <c r="K43" s="33"/>
    </row>
    <row r="44" spans="1:11" ht="13.05" customHeight="1" x14ac:dyDescent="0.2">
      <c r="A44" s="37"/>
      <c r="B44" s="303"/>
      <c r="C44" s="304"/>
      <c r="D44" s="304"/>
      <c r="E44" s="304"/>
      <c r="F44" s="304"/>
      <c r="G44" s="304"/>
      <c r="H44" s="304"/>
      <c r="I44" s="304"/>
      <c r="J44" s="305"/>
    </row>
    <row r="45" spans="1:11" s="4" customFormat="1" ht="18.75" customHeight="1" x14ac:dyDescent="0.2">
      <c r="A45" s="95" t="s">
        <v>12</v>
      </c>
      <c r="B45" s="1" t="s">
        <v>67</v>
      </c>
      <c r="C45" s="1"/>
      <c r="D45" s="1"/>
      <c r="E45" s="1"/>
      <c r="F45" s="1"/>
      <c r="G45" s="1"/>
      <c r="H45" s="1"/>
      <c r="I45" s="95"/>
      <c r="J45" s="95"/>
      <c r="K45" s="31"/>
    </row>
    <row r="46" spans="1:11" ht="18.75" customHeight="1" x14ac:dyDescent="0.2">
      <c r="A46" s="37"/>
      <c r="B46" s="289" t="s">
        <v>187</v>
      </c>
      <c r="C46" s="290"/>
      <c r="D46" s="290"/>
      <c r="E46" s="290"/>
      <c r="F46" s="290"/>
      <c r="G46" s="290"/>
      <c r="H46" s="290"/>
      <c r="I46" s="290"/>
      <c r="J46" s="291"/>
      <c r="K46" s="31" t="str">
        <f>IF(B46="","入力してください","")</f>
        <v/>
      </c>
    </row>
    <row r="47" spans="1:11" ht="18.75" customHeight="1" x14ac:dyDescent="0.2">
      <c r="A47" s="37"/>
      <c r="B47" s="292"/>
      <c r="C47" s="293"/>
      <c r="D47" s="293"/>
      <c r="E47" s="293"/>
      <c r="F47" s="293"/>
      <c r="G47" s="293"/>
      <c r="H47" s="293"/>
      <c r="I47" s="293"/>
      <c r="J47" s="294"/>
    </row>
    <row r="48" spans="1:11" ht="18.75" customHeight="1" x14ac:dyDescent="0.2">
      <c r="A48" s="37"/>
      <c r="B48" s="292"/>
      <c r="C48" s="293"/>
      <c r="D48" s="293"/>
      <c r="E48" s="293"/>
      <c r="F48" s="293"/>
      <c r="G48" s="293"/>
      <c r="H48" s="293"/>
      <c r="I48" s="293"/>
      <c r="J48" s="294"/>
    </row>
    <row r="49" spans="1:10" ht="18.75" customHeight="1" x14ac:dyDescent="0.2">
      <c r="A49" s="37"/>
      <c r="B49" s="292"/>
      <c r="C49" s="293"/>
      <c r="D49" s="293"/>
      <c r="E49" s="293"/>
      <c r="F49" s="293"/>
      <c r="G49" s="293"/>
      <c r="H49" s="293"/>
      <c r="I49" s="293"/>
      <c r="J49" s="294"/>
    </row>
    <row r="50" spans="1:10" ht="18.75" customHeight="1" x14ac:dyDescent="0.2">
      <c r="A50" s="37"/>
      <c r="B50" s="292"/>
      <c r="C50" s="293"/>
      <c r="D50" s="293"/>
      <c r="E50" s="293"/>
      <c r="F50" s="293"/>
      <c r="G50" s="293"/>
      <c r="H50" s="293"/>
      <c r="I50" s="293"/>
      <c r="J50" s="294"/>
    </row>
    <row r="51" spans="1:10" ht="18.75" customHeight="1" x14ac:dyDescent="0.2">
      <c r="A51" s="37"/>
      <c r="B51" s="292"/>
      <c r="C51" s="293"/>
      <c r="D51" s="293"/>
      <c r="E51" s="293"/>
      <c r="F51" s="293"/>
      <c r="G51" s="293"/>
      <c r="H51" s="293"/>
      <c r="I51" s="293"/>
      <c r="J51" s="294"/>
    </row>
    <row r="52" spans="1:10" ht="18.75" customHeight="1" x14ac:dyDescent="0.2">
      <c r="A52" s="37"/>
      <c r="B52" s="292"/>
      <c r="C52" s="293"/>
      <c r="D52" s="293"/>
      <c r="E52" s="293"/>
      <c r="F52" s="293"/>
      <c r="G52" s="293"/>
      <c r="H52" s="293"/>
      <c r="I52" s="293"/>
      <c r="J52" s="294"/>
    </row>
    <row r="53" spans="1:10" ht="18.75" customHeight="1" x14ac:dyDescent="0.2">
      <c r="A53" s="37"/>
      <c r="B53" s="292"/>
      <c r="C53" s="293"/>
      <c r="D53" s="293"/>
      <c r="E53" s="293"/>
      <c r="F53" s="293"/>
      <c r="G53" s="293"/>
      <c r="H53" s="293"/>
      <c r="I53" s="293"/>
      <c r="J53" s="294"/>
    </row>
    <row r="54" spans="1:10" ht="18.75" customHeight="1" x14ac:dyDescent="0.2">
      <c r="A54" s="37"/>
      <c r="B54" s="292"/>
      <c r="C54" s="293"/>
      <c r="D54" s="293"/>
      <c r="E54" s="293"/>
      <c r="F54" s="293"/>
      <c r="G54" s="293"/>
      <c r="H54" s="293"/>
      <c r="I54" s="293"/>
      <c r="J54" s="294"/>
    </row>
    <row r="55" spans="1:10" ht="18.75" customHeight="1" x14ac:dyDescent="0.2">
      <c r="A55" s="37"/>
      <c r="B55" s="292"/>
      <c r="C55" s="293"/>
      <c r="D55" s="293"/>
      <c r="E55" s="293"/>
      <c r="F55" s="293"/>
      <c r="G55" s="293"/>
      <c r="H55" s="293"/>
      <c r="I55" s="293"/>
      <c r="J55" s="294"/>
    </row>
    <row r="56" spans="1:10" ht="18.75" customHeight="1" x14ac:dyDescent="0.2">
      <c r="A56" s="37"/>
      <c r="B56" s="292"/>
      <c r="C56" s="293"/>
      <c r="D56" s="293"/>
      <c r="E56" s="293"/>
      <c r="F56" s="293"/>
      <c r="G56" s="293"/>
      <c r="H56" s="293"/>
      <c r="I56" s="293"/>
      <c r="J56" s="294"/>
    </row>
    <row r="57" spans="1:10" ht="18.75" customHeight="1" x14ac:dyDescent="0.2">
      <c r="A57" s="37"/>
      <c r="B57" s="292"/>
      <c r="C57" s="293"/>
      <c r="D57" s="293"/>
      <c r="E57" s="293"/>
      <c r="F57" s="293"/>
      <c r="G57" s="293"/>
      <c r="H57" s="293"/>
      <c r="I57" s="293"/>
      <c r="J57" s="294"/>
    </row>
    <row r="58" spans="1:10" ht="18.75" customHeight="1" x14ac:dyDescent="0.2">
      <c r="A58" s="37"/>
      <c r="B58" s="292"/>
      <c r="C58" s="293"/>
      <c r="D58" s="293"/>
      <c r="E58" s="293"/>
      <c r="F58" s="293"/>
      <c r="G58" s="293"/>
      <c r="H58" s="293"/>
      <c r="I58" s="293"/>
      <c r="J58" s="294"/>
    </row>
    <row r="59" spans="1:10" ht="18.75" customHeight="1" x14ac:dyDescent="0.2">
      <c r="A59" s="37"/>
      <c r="B59" s="292"/>
      <c r="C59" s="293"/>
      <c r="D59" s="293"/>
      <c r="E59" s="293"/>
      <c r="F59" s="293"/>
      <c r="G59" s="293"/>
      <c r="H59" s="293"/>
      <c r="I59" s="293"/>
      <c r="J59" s="294"/>
    </row>
    <row r="60" spans="1:10" ht="18.75" customHeight="1" x14ac:dyDescent="0.2">
      <c r="A60" s="37"/>
      <c r="B60" s="292"/>
      <c r="C60" s="293"/>
      <c r="D60" s="293"/>
      <c r="E60" s="293"/>
      <c r="F60" s="293"/>
      <c r="G60" s="293"/>
      <c r="H60" s="293"/>
      <c r="I60" s="293"/>
      <c r="J60" s="294"/>
    </row>
    <row r="61" spans="1:10" ht="18.75" customHeight="1" x14ac:dyDescent="0.2">
      <c r="A61" s="37"/>
      <c r="B61" s="292"/>
      <c r="C61" s="293"/>
      <c r="D61" s="293"/>
      <c r="E61" s="293"/>
      <c r="F61" s="293"/>
      <c r="G61" s="293"/>
      <c r="H61" s="293"/>
      <c r="I61" s="293"/>
      <c r="J61" s="294"/>
    </row>
    <row r="62" spans="1:10" ht="18.75" customHeight="1" x14ac:dyDescent="0.2">
      <c r="A62" s="37"/>
      <c r="B62" s="292"/>
      <c r="C62" s="293"/>
      <c r="D62" s="293"/>
      <c r="E62" s="293"/>
      <c r="F62" s="293"/>
      <c r="G62" s="293"/>
      <c r="H62" s="293"/>
      <c r="I62" s="293"/>
      <c r="J62" s="294"/>
    </row>
    <row r="63" spans="1:10" ht="18.75" customHeight="1" x14ac:dyDescent="0.2">
      <c r="A63" s="37"/>
      <c r="B63" s="292"/>
      <c r="C63" s="293"/>
      <c r="D63" s="293"/>
      <c r="E63" s="293"/>
      <c r="F63" s="293"/>
      <c r="G63" s="293"/>
      <c r="H63" s="293"/>
      <c r="I63" s="293"/>
      <c r="J63" s="294"/>
    </row>
    <row r="64" spans="1:10" ht="18.75" customHeight="1" x14ac:dyDescent="0.2">
      <c r="A64" s="37"/>
      <c r="B64" s="292"/>
      <c r="C64" s="293"/>
      <c r="D64" s="293"/>
      <c r="E64" s="293"/>
      <c r="F64" s="293"/>
      <c r="G64" s="293"/>
      <c r="H64" s="293"/>
      <c r="I64" s="293"/>
      <c r="J64" s="294"/>
    </row>
    <row r="65" spans="1:11" ht="18.75" customHeight="1" x14ac:dyDescent="0.2">
      <c r="A65" s="37"/>
      <c r="B65" s="292"/>
      <c r="C65" s="293"/>
      <c r="D65" s="293"/>
      <c r="E65" s="293"/>
      <c r="F65" s="293"/>
      <c r="G65" s="293"/>
      <c r="H65" s="293"/>
      <c r="I65" s="293"/>
      <c r="J65" s="294"/>
    </row>
    <row r="66" spans="1:11" ht="18.75" customHeight="1" x14ac:dyDescent="0.2">
      <c r="A66" s="37"/>
      <c r="B66" s="295"/>
      <c r="C66" s="296"/>
      <c r="D66" s="296"/>
      <c r="E66" s="296"/>
      <c r="F66" s="296"/>
      <c r="G66" s="296"/>
      <c r="H66" s="296"/>
      <c r="I66" s="296"/>
      <c r="J66" s="297"/>
    </row>
    <row r="67" spans="1:11" ht="7.5" customHeight="1" x14ac:dyDescent="0.2">
      <c r="A67" s="37"/>
      <c r="B67" s="37"/>
      <c r="C67" s="37"/>
      <c r="D67" s="37"/>
      <c r="E67" s="37"/>
      <c r="F67" s="37"/>
      <c r="G67" s="37"/>
      <c r="H67" s="37"/>
      <c r="I67" s="37"/>
      <c r="J67" s="37"/>
    </row>
    <row r="68" spans="1:11" s="4" customFormat="1" ht="18.75" customHeight="1" x14ac:dyDescent="0.2">
      <c r="A68" s="1" t="s">
        <v>15</v>
      </c>
      <c r="B68" s="1" t="s">
        <v>75</v>
      </c>
      <c r="C68" s="1"/>
      <c r="D68" s="1"/>
      <c r="E68" s="1"/>
      <c r="F68" s="1"/>
      <c r="G68" s="1"/>
      <c r="H68" s="1"/>
      <c r="I68" s="1"/>
      <c r="J68" s="1"/>
      <c r="K68" s="31"/>
    </row>
    <row r="69" spans="1:11" s="4" customFormat="1" ht="18.75" customHeight="1" x14ac:dyDescent="0.2">
      <c r="A69" s="1"/>
      <c r="B69" s="289" t="s">
        <v>208</v>
      </c>
      <c r="C69" s="290"/>
      <c r="D69" s="290"/>
      <c r="E69" s="290"/>
      <c r="F69" s="290"/>
      <c r="G69" s="290"/>
      <c r="H69" s="290"/>
      <c r="I69" s="298"/>
      <c r="J69" s="299"/>
      <c r="K69" s="33" t="str">
        <f>IF(B69="","入力してください","")</f>
        <v/>
      </c>
    </row>
    <row r="70" spans="1:11" s="4" customFormat="1" ht="18.75" customHeight="1" x14ac:dyDescent="0.2">
      <c r="A70" s="1"/>
      <c r="B70" s="300"/>
      <c r="C70" s="301"/>
      <c r="D70" s="301"/>
      <c r="E70" s="301"/>
      <c r="F70" s="301"/>
      <c r="G70" s="301"/>
      <c r="H70" s="301"/>
      <c r="I70" s="301"/>
      <c r="J70" s="302"/>
      <c r="K70" s="33"/>
    </row>
    <row r="71" spans="1:11" s="4" customFormat="1" ht="18.75" customHeight="1" x14ac:dyDescent="0.2">
      <c r="A71" s="31"/>
      <c r="B71" s="300"/>
      <c r="C71" s="301"/>
      <c r="D71" s="301"/>
      <c r="E71" s="301"/>
      <c r="F71" s="301"/>
      <c r="G71" s="301"/>
      <c r="H71" s="301"/>
      <c r="I71" s="301"/>
      <c r="J71" s="302"/>
      <c r="K71" s="33"/>
    </row>
    <row r="72" spans="1:11" s="4" customFormat="1" ht="18.75" customHeight="1" x14ac:dyDescent="0.2">
      <c r="A72" s="1"/>
      <c r="B72" s="300"/>
      <c r="C72" s="301"/>
      <c r="D72" s="301"/>
      <c r="E72" s="301"/>
      <c r="F72" s="301"/>
      <c r="G72" s="301"/>
      <c r="H72" s="301"/>
      <c r="I72" s="301"/>
      <c r="J72" s="302"/>
      <c r="K72" s="33"/>
    </row>
    <row r="73" spans="1:11" s="4" customFormat="1" ht="18.75" customHeight="1" x14ac:dyDescent="0.2">
      <c r="A73" s="1"/>
      <c r="B73" s="300"/>
      <c r="C73" s="301"/>
      <c r="D73" s="301"/>
      <c r="E73" s="301"/>
      <c r="F73" s="301"/>
      <c r="G73" s="301"/>
      <c r="H73" s="301"/>
      <c r="I73" s="301"/>
      <c r="J73" s="302"/>
      <c r="K73" s="33"/>
    </row>
    <row r="74" spans="1:11" s="4" customFormat="1" ht="18.75" customHeight="1" x14ac:dyDescent="0.2">
      <c r="A74" s="1"/>
      <c r="B74" s="300"/>
      <c r="C74" s="301"/>
      <c r="D74" s="301"/>
      <c r="E74" s="301"/>
      <c r="F74" s="301"/>
      <c r="G74" s="301"/>
      <c r="H74" s="301"/>
      <c r="I74" s="301"/>
      <c r="J74" s="302"/>
      <c r="K74" s="33"/>
    </row>
    <row r="75" spans="1:11" s="4" customFormat="1" ht="18.75" customHeight="1" x14ac:dyDescent="0.2">
      <c r="A75" s="1"/>
      <c r="B75" s="300"/>
      <c r="C75" s="301"/>
      <c r="D75" s="301"/>
      <c r="E75" s="301"/>
      <c r="F75" s="301"/>
      <c r="G75" s="301"/>
      <c r="H75" s="301"/>
      <c r="I75" s="301"/>
      <c r="J75" s="302"/>
      <c r="K75" s="33"/>
    </row>
    <row r="76" spans="1:11" s="4" customFormat="1" ht="18.75" customHeight="1" x14ac:dyDescent="0.2">
      <c r="A76" s="1"/>
      <c r="B76" s="300"/>
      <c r="C76" s="301"/>
      <c r="D76" s="301"/>
      <c r="E76" s="301"/>
      <c r="F76" s="301"/>
      <c r="G76" s="301"/>
      <c r="H76" s="301"/>
      <c r="I76" s="301"/>
      <c r="J76" s="302"/>
      <c r="K76" s="33"/>
    </row>
    <row r="77" spans="1:11" s="4" customFormat="1" ht="18.75" customHeight="1" x14ac:dyDescent="0.2">
      <c r="A77" s="1"/>
      <c r="B77" s="300"/>
      <c r="C77" s="301"/>
      <c r="D77" s="301"/>
      <c r="E77" s="301"/>
      <c r="F77" s="301"/>
      <c r="G77" s="301"/>
      <c r="H77" s="301"/>
      <c r="I77" s="301"/>
      <c r="J77" s="302"/>
      <c r="K77" s="33"/>
    </row>
    <row r="78" spans="1:11" s="4" customFormat="1" ht="18.75" customHeight="1" x14ac:dyDescent="0.2">
      <c r="A78" s="1"/>
      <c r="B78" s="300"/>
      <c r="C78" s="301"/>
      <c r="D78" s="301"/>
      <c r="E78" s="301"/>
      <c r="F78" s="301"/>
      <c r="G78" s="301"/>
      <c r="H78" s="301"/>
      <c r="I78" s="301"/>
      <c r="J78" s="302"/>
      <c r="K78" s="33"/>
    </row>
    <row r="79" spans="1:11" s="4" customFormat="1" ht="18.75" customHeight="1" x14ac:dyDescent="0.2">
      <c r="A79" s="1"/>
      <c r="B79" s="300"/>
      <c r="C79" s="301"/>
      <c r="D79" s="301"/>
      <c r="E79" s="301"/>
      <c r="F79" s="301"/>
      <c r="G79" s="301"/>
      <c r="H79" s="301"/>
      <c r="I79" s="301"/>
      <c r="J79" s="302"/>
      <c r="K79" s="33"/>
    </row>
    <row r="80" spans="1:11" s="4" customFormat="1" ht="18.75" customHeight="1" x14ac:dyDescent="0.2">
      <c r="A80" s="1"/>
      <c r="B80" s="300"/>
      <c r="C80" s="301"/>
      <c r="D80" s="301"/>
      <c r="E80" s="301"/>
      <c r="F80" s="301"/>
      <c r="G80" s="301"/>
      <c r="H80" s="301"/>
      <c r="I80" s="301"/>
      <c r="J80" s="302"/>
      <c r="K80" s="33"/>
    </row>
    <row r="81" spans="1:11" s="4" customFormat="1" ht="18.75" customHeight="1" x14ac:dyDescent="0.2">
      <c r="A81" s="1"/>
      <c r="B81" s="300"/>
      <c r="C81" s="301"/>
      <c r="D81" s="301"/>
      <c r="E81" s="301"/>
      <c r="F81" s="301"/>
      <c r="G81" s="301"/>
      <c r="H81" s="301"/>
      <c r="I81" s="301"/>
      <c r="J81" s="302"/>
      <c r="K81" s="33"/>
    </row>
    <row r="82" spans="1:11" s="4" customFormat="1" ht="18.75" customHeight="1" x14ac:dyDescent="0.2">
      <c r="A82" s="1"/>
      <c r="B82" s="300"/>
      <c r="C82" s="301"/>
      <c r="D82" s="301"/>
      <c r="E82" s="301"/>
      <c r="F82" s="301"/>
      <c r="G82" s="301"/>
      <c r="H82" s="301"/>
      <c r="I82" s="301"/>
      <c r="J82" s="302"/>
      <c r="K82" s="33"/>
    </row>
    <row r="83" spans="1:11" s="4" customFormat="1" ht="18.75" customHeight="1" x14ac:dyDescent="0.2">
      <c r="A83" s="1"/>
      <c r="B83" s="300"/>
      <c r="C83" s="301"/>
      <c r="D83" s="301"/>
      <c r="E83" s="301"/>
      <c r="F83" s="301"/>
      <c r="G83" s="301"/>
      <c r="H83" s="301"/>
      <c r="I83" s="301"/>
      <c r="J83" s="302"/>
      <c r="K83" s="33"/>
    </row>
    <row r="84" spans="1:11" s="4" customFormat="1" ht="18.75" customHeight="1" x14ac:dyDescent="0.2">
      <c r="A84" s="1"/>
      <c r="B84" s="300"/>
      <c r="C84" s="301"/>
      <c r="D84" s="301"/>
      <c r="E84" s="301"/>
      <c r="F84" s="301"/>
      <c r="G84" s="301"/>
      <c r="H84" s="301"/>
      <c r="I84" s="301"/>
      <c r="J84" s="302"/>
      <c r="K84" s="33"/>
    </row>
    <row r="85" spans="1:11" ht="18.75" customHeight="1" x14ac:dyDescent="0.2">
      <c r="A85" s="37"/>
      <c r="B85" s="300"/>
      <c r="C85" s="301"/>
      <c r="D85" s="301"/>
      <c r="E85" s="301"/>
      <c r="F85" s="301"/>
      <c r="G85" s="301"/>
      <c r="H85" s="301"/>
      <c r="I85" s="301"/>
      <c r="J85" s="302"/>
      <c r="K85" s="33"/>
    </row>
    <row r="86" spans="1:11" ht="18.75" customHeight="1" x14ac:dyDescent="0.2">
      <c r="A86" s="37"/>
      <c r="B86" s="303"/>
      <c r="C86" s="304"/>
      <c r="D86" s="304"/>
      <c r="E86" s="304"/>
      <c r="F86" s="304"/>
      <c r="G86" s="304"/>
      <c r="H86" s="304"/>
      <c r="I86" s="304"/>
      <c r="J86" s="305"/>
      <c r="K86" s="33"/>
    </row>
    <row r="87" spans="1:11" ht="7.5" customHeight="1" x14ac:dyDescent="0.2">
      <c r="A87" s="37"/>
      <c r="B87" s="37"/>
      <c r="C87" s="37"/>
      <c r="D87" s="37"/>
      <c r="E87" s="37"/>
      <c r="F87" s="37"/>
      <c r="G87" s="37"/>
      <c r="H87" s="37"/>
      <c r="I87" s="37"/>
      <c r="J87" s="37"/>
    </row>
    <row r="88" spans="1:11" s="4" customFormat="1" ht="18.75" customHeight="1" x14ac:dyDescent="0.2">
      <c r="A88" s="1" t="s">
        <v>13</v>
      </c>
      <c r="B88" s="1" t="s">
        <v>29</v>
      </c>
      <c r="C88" s="1"/>
      <c r="D88" s="1"/>
      <c r="E88" s="1"/>
      <c r="F88" s="1"/>
      <c r="G88" s="1"/>
      <c r="H88" s="1"/>
      <c r="I88" s="1"/>
      <c r="J88" s="1"/>
      <c r="K88" s="31"/>
    </row>
    <row r="89" spans="1:11" s="4" customFormat="1" ht="18.75" customHeight="1" x14ac:dyDescent="0.2">
      <c r="A89" s="1"/>
      <c r="B89" s="289" t="s">
        <v>206</v>
      </c>
      <c r="C89" s="290"/>
      <c r="D89" s="290"/>
      <c r="E89" s="290"/>
      <c r="F89" s="290"/>
      <c r="G89" s="290"/>
      <c r="H89" s="290"/>
      <c r="I89" s="298"/>
      <c r="J89" s="299"/>
      <c r="K89" s="31"/>
    </row>
    <row r="90" spans="1:11" s="4" customFormat="1" ht="18.75" customHeight="1" x14ac:dyDescent="0.2">
      <c r="A90" s="1"/>
      <c r="B90" s="300"/>
      <c r="C90" s="301"/>
      <c r="D90" s="301"/>
      <c r="E90" s="301"/>
      <c r="F90" s="301"/>
      <c r="G90" s="301"/>
      <c r="H90" s="301"/>
      <c r="I90" s="301"/>
      <c r="J90" s="302"/>
      <c r="K90" s="33"/>
    </row>
    <row r="91" spans="1:11" s="4" customFormat="1" ht="18.75" customHeight="1" x14ac:dyDescent="0.2">
      <c r="A91" s="1"/>
      <c r="B91" s="300"/>
      <c r="C91" s="301"/>
      <c r="D91" s="301"/>
      <c r="E91" s="301"/>
      <c r="F91" s="301"/>
      <c r="G91" s="301"/>
      <c r="H91" s="301"/>
      <c r="I91" s="301"/>
      <c r="J91" s="302"/>
      <c r="K91" s="33" t="str">
        <f>IF(B89="","入力してください","")</f>
        <v/>
      </c>
    </row>
    <row r="92" spans="1:11" s="4" customFormat="1" ht="18.75" customHeight="1" x14ac:dyDescent="0.2">
      <c r="A92" s="1"/>
      <c r="B92" s="300"/>
      <c r="C92" s="301"/>
      <c r="D92" s="301"/>
      <c r="E92" s="301"/>
      <c r="F92" s="301"/>
      <c r="G92" s="301"/>
      <c r="H92" s="301"/>
      <c r="I92" s="301"/>
      <c r="J92" s="302"/>
      <c r="K92" s="33"/>
    </row>
    <row r="93" spans="1:11" s="4" customFormat="1" ht="18.75" customHeight="1" x14ac:dyDescent="0.2">
      <c r="A93" s="1"/>
      <c r="B93" s="300"/>
      <c r="C93" s="301"/>
      <c r="D93" s="301"/>
      <c r="E93" s="301"/>
      <c r="F93" s="301"/>
      <c r="G93" s="301"/>
      <c r="H93" s="301"/>
      <c r="I93" s="301"/>
      <c r="J93" s="302"/>
      <c r="K93" s="33"/>
    </row>
    <row r="94" spans="1:11" s="4" customFormat="1" ht="18.75" customHeight="1" x14ac:dyDescent="0.2">
      <c r="A94" s="1"/>
      <c r="B94" s="300"/>
      <c r="C94" s="301"/>
      <c r="D94" s="301"/>
      <c r="E94" s="301"/>
      <c r="F94" s="301"/>
      <c r="G94" s="301"/>
      <c r="H94" s="301"/>
      <c r="I94" s="301"/>
      <c r="J94" s="302"/>
      <c r="K94" s="33"/>
    </row>
    <row r="95" spans="1:11" s="4" customFormat="1" ht="18.75" customHeight="1" x14ac:dyDescent="0.2">
      <c r="A95" s="1"/>
      <c r="B95" s="300"/>
      <c r="C95" s="301"/>
      <c r="D95" s="301"/>
      <c r="E95" s="301"/>
      <c r="F95" s="301"/>
      <c r="G95" s="301"/>
      <c r="H95" s="301"/>
      <c r="I95" s="301"/>
      <c r="J95" s="302"/>
      <c r="K95" s="33"/>
    </row>
    <row r="96" spans="1:11" s="4" customFormat="1" ht="18.75" customHeight="1" x14ac:dyDescent="0.2">
      <c r="A96" s="1"/>
      <c r="B96" s="300"/>
      <c r="C96" s="301"/>
      <c r="D96" s="301"/>
      <c r="E96" s="301"/>
      <c r="F96" s="301"/>
      <c r="G96" s="301"/>
      <c r="H96" s="301"/>
      <c r="I96" s="301"/>
      <c r="J96" s="302"/>
      <c r="K96" s="33"/>
    </row>
    <row r="97" spans="1:11" s="4" customFormat="1" ht="18.75" customHeight="1" x14ac:dyDescent="0.2">
      <c r="A97" s="1"/>
      <c r="B97" s="300"/>
      <c r="C97" s="301"/>
      <c r="D97" s="301"/>
      <c r="E97" s="301"/>
      <c r="F97" s="301"/>
      <c r="G97" s="301"/>
      <c r="H97" s="301"/>
      <c r="I97" s="301"/>
      <c r="J97" s="302"/>
      <c r="K97" s="33"/>
    </row>
    <row r="98" spans="1:11" s="4" customFormat="1" ht="18.75" customHeight="1" x14ac:dyDescent="0.2">
      <c r="A98" s="1"/>
      <c r="B98" s="300"/>
      <c r="C98" s="301"/>
      <c r="D98" s="301"/>
      <c r="E98" s="301"/>
      <c r="F98" s="301"/>
      <c r="G98" s="301"/>
      <c r="H98" s="301"/>
      <c r="I98" s="301"/>
      <c r="J98" s="302"/>
      <c r="K98" s="33"/>
    </row>
    <row r="99" spans="1:11" s="4" customFormat="1" ht="18.75" customHeight="1" x14ac:dyDescent="0.2">
      <c r="A99" s="1"/>
      <c r="B99" s="300"/>
      <c r="C99" s="301"/>
      <c r="D99" s="301"/>
      <c r="E99" s="301"/>
      <c r="F99" s="301"/>
      <c r="G99" s="301"/>
      <c r="H99" s="301"/>
      <c r="I99" s="301"/>
      <c r="J99" s="302"/>
      <c r="K99" s="33"/>
    </row>
    <row r="100" spans="1:11" s="4" customFormat="1" ht="18.75" customHeight="1" x14ac:dyDescent="0.2">
      <c r="A100" s="1"/>
      <c r="B100" s="300"/>
      <c r="C100" s="301"/>
      <c r="D100" s="301"/>
      <c r="E100" s="301"/>
      <c r="F100" s="301"/>
      <c r="G100" s="301"/>
      <c r="H100" s="301"/>
      <c r="I100" s="301"/>
      <c r="J100" s="302"/>
      <c r="K100" s="33"/>
    </row>
    <row r="101" spans="1:11" s="4" customFormat="1" ht="18.75" customHeight="1" x14ac:dyDescent="0.2">
      <c r="A101" s="1"/>
      <c r="B101" s="300"/>
      <c r="C101" s="301"/>
      <c r="D101" s="301"/>
      <c r="E101" s="301"/>
      <c r="F101" s="301"/>
      <c r="G101" s="301"/>
      <c r="H101" s="301"/>
      <c r="I101" s="301"/>
      <c r="J101" s="302"/>
      <c r="K101" s="33"/>
    </row>
    <row r="102" spans="1:11" s="4" customFormat="1" ht="18.75" customHeight="1" x14ac:dyDescent="0.2">
      <c r="A102" s="1"/>
      <c r="B102" s="300"/>
      <c r="C102" s="301"/>
      <c r="D102" s="301"/>
      <c r="E102" s="301"/>
      <c r="F102" s="301"/>
      <c r="G102" s="301"/>
      <c r="H102" s="301"/>
      <c r="I102" s="301"/>
      <c r="J102" s="302"/>
      <c r="K102" s="33"/>
    </row>
    <row r="103" spans="1:11" s="4" customFormat="1" ht="18.75" customHeight="1" x14ac:dyDescent="0.2">
      <c r="A103" s="1"/>
      <c r="B103" s="300"/>
      <c r="C103" s="301"/>
      <c r="D103" s="301"/>
      <c r="E103" s="301"/>
      <c r="F103" s="301"/>
      <c r="G103" s="301"/>
      <c r="H103" s="301"/>
      <c r="I103" s="301"/>
      <c r="J103" s="302"/>
      <c r="K103" s="33"/>
    </row>
    <row r="104" spans="1:11" s="4" customFormat="1" ht="18.75" customHeight="1" x14ac:dyDescent="0.2">
      <c r="A104" s="1"/>
      <c r="B104" s="300"/>
      <c r="C104" s="301"/>
      <c r="D104" s="301"/>
      <c r="E104" s="301"/>
      <c r="F104" s="301"/>
      <c r="G104" s="301"/>
      <c r="H104" s="301"/>
      <c r="I104" s="301"/>
      <c r="J104" s="302"/>
      <c r="K104" s="33"/>
    </row>
    <row r="105" spans="1:11" s="4" customFormat="1" ht="18.75" customHeight="1" x14ac:dyDescent="0.2">
      <c r="A105" s="1"/>
      <c r="B105" s="300"/>
      <c r="C105" s="301"/>
      <c r="D105" s="301"/>
      <c r="E105" s="301"/>
      <c r="F105" s="301"/>
      <c r="G105" s="301"/>
      <c r="H105" s="301"/>
      <c r="I105" s="301"/>
      <c r="J105" s="302"/>
      <c r="K105" s="33"/>
    </row>
    <row r="106" spans="1:11" s="4" customFormat="1" ht="18.75" customHeight="1" x14ac:dyDescent="0.2">
      <c r="A106" s="1"/>
      <c r="B106" s="300"/>
      <c r="C106" s="301"/>
      <c r="D106" s="301"/>
      <c r="E106" s="301"/>
      <c r="F106" s="301"/>
      <c r="G106" s="301"/>
      <c r="H106" s="301"/>
      <c r="I106" s="301"/>
      <c r="J106" s="302"/>
      <c r="K106" s="33"/>
    </row>
    <row r="107" spans="1:11" ht="18.75" customHeight="1" x14ac:dyDescent="0.2">
      <c r="A107" s="37"/>
      <c r="B107" s="300"/>
      <c r="C107" s="301"/>
      <c r="D107" s="301"/>
      <c r="E107" s="301"/>
      <c r="F107" s="301"/>
      <c r="G107" s="301"/>
      <c r="H107" s="301"/>
      <c r="I107" s="301"/>
      <c r="J107" s="302"/>
      <c r="K107" s="33"/>
    </row>
    <row r="108" spans="1:11" ht="18.75" customHeight="1" x14ac:dyDescent="0.2">
      <c r="A108" s="37"/>
      <c r="B108" s="303"/>
      <c r="C108" s="304"/>
      <c r="D108" s="304"/>
      <c r="E108" s="304"/>
      <c r="F108" s="304"/>
      <c r="G108" s="304"/>
      <c r="H108" s="304"/>
      <c r="I108" s="304"/>
      <c r="J108" s="305"/>
      <c r="K108" s="33"/>
    </row>
    <row r="109" spans="1:11" ht="7.5" customHeight="1" x14ac:dyDescent="0.2">
      <c r="A109" s="37"/>
      <c r="B109" s="37"/>
      <c r="C109" s="37"/>
      <c r="D109" s="37"/>
      <c r="E109" s="37"/>
      <c r="F109" s="37"/>
      <c r="G109" s="37"/>
      <c r="H109" s="37"/>
      <c r="I109" s="37"/>
      <c r="J109" s="37"/>
    </row>
    <row r="110" spans="1:11" s="4" customFormat="1" ht="18.75" customHeight="1" x14ac:dyDescent="0.2">
      <c r="A110" s="1" t="s">
        <v>55</v>
      </c>
      <c r="B110" s="306" t="s">
        <v>86</v>
      </c>
      <c r="C110" s="306"/>
      <c r="D110" s="306"/>
      <c r="E110" s="306"/>
      <c r="F110" s="306"/>
      <c r="G110" s="306"/>
      <c r="H110" s="306"/>
      <c r="I110" s="306"/>
      <c r="J110" s="306"/>
      <c r="K110" s="31"/>
    </row>
    <row r="111" spans="1:11" ht="18.75" customHeight="1" x14ac:dyDescent="0.2">
      <c r="A111" s="37"/>
      <c r="B111" s="289" t="s">
        <v>211</v>
      </c>
      <c r="C111" s="290"/>
      <c r="D111" s="290"/>
      <c r="E111" s="290"/>
      <c r="F111" s="290"/>
      <c r="G111" s="290"/>
      <c r="H111" s="290"/>
      <c r="I111" s="298"/>
      <c r="J111" s="299"/>
    </row>
    <row r="112" spans="1:11" ht="18.75" customHeight="1" x14ac:dyDescent="0.2">
      <c r="A112" s="37"/>
      <c r="B112" s="300"/>
      <c r="C112" s="301"/>
      <c r="D112" s="301"/>
      <c r="E112" s="301"/>
      <c r="F112" s="301"/>
      <c r="G112" s="301"/>
      <c r="H112" s="301"/>
      <c r="I112" s="301"/>
      <c r="J112" s="302"/>
      <c r="K112" s="33"/>
    </row>
    <row r="113" spans="1:11" ht="18.75" customHeight="1" x14ac:dyDescent="0.2">
      <c r="A113" s="37"/>
      <c r="B113" s="300"/>
      <c r="C113" s="301"/>
      <c r="D113" s="301"/>
      <c r="E113" s="301"/>
      <c r="F113" s="301"/>
      <c r="G113" s="301"/>
      <c r="H113" s="301"/>
      <c r="I113" s="301"/>
      <c r="J113" s="302"/>
      <c r="K113" s="31" t="str">
        <f>IF(B111="","入力してください","")</f>
        <v/>
      </c>
    </row>
    <row r="114" spans="1:11" ht="18.75" customHeight="1" x14ac:dyDescent="0.2">
      <c r="A114" s="37"/>
      <c r="B114" s="300"/>
      <c r="C114" s="301"/>
      <c r="D114" s="301"/>
      <c r="E114" s="301"/>
      <c r="F114" s="301"/>
      <c r="G114" s="301"/>
      <c r="H114" s="301"/>
      <c r="I114" s="301"/>
      <c r="J114" s="302"/>
    </row>
    <row r="115" spans="1:11" ht="18.75" customHeight="1" x14ac:dyDescent="0.2">
      <c r="A115" s="37"/>
      <c r="B115" s="300"/>
      <c r="C115" s="301"/>
      <c r="D115" s="301"/>
      <c r="E115" s="301"/>
      <c r="F115" s="301"/>
      <c r="G115" s="301"/>
      <c r="H115" s="301"/>
      <c r="I115" s="301"/>
      <c r="J115" s="302"/>
    </row>
    <row r="116" spans="1:11" ht="18.75" customHeight="1" x14ac:dyDescent="0.2">
      <c r="A116" s="37"/>
      <c r="B116" s="300"/>
      <c r="C116" s="301"/>
      <c r="D116" s="301"/>
      <c r="E116" s="301"/>
      <c r="F116" s="301"/>
      <c r="G116" s="301"/>
      <c r="H116" s="301"/>
      <c r="I116" s="301"/>
      <c r="J116" s="302"/>
    </row>
    <row r="117" spans="1:11" ht="18.75" customHeight="1" x14ac:dyDescent="0.2">
      <c r="A117" s="37"/>
      <c r="B117" s="300"/>
      <c r="C117" s="301"/>
      <c r="D117" s="301"/>
      <c r="E117" s="301"/>
      <c r="F117" s="301"/>
      <c r="G117" s="301"/>
      <c r="H117" s="301"/>
      <c r="I117" s="301"/>
      <c r="J117" s="302"/>
    </row>
    <row r="118" spans="1:11" ht="18.75" customHeight="1" x14ac:dyDescent="0.2">
      <c r="A118" s="37"/>
      <c r="B118" s="300"/>
      <c r="C118" s="301"/>
      <c r="D118" s="301"/>
      <c r="E118" s="301"/>
      <c r="F118" s="301"/>
      <c r="G118" s="301"/>
      <c r="H118" s="301"/>
      <c r="I118" s="301"/>
      <c r="J118" s="302"/>
    </row>
    <row r="119" spans="1:11" ht="18.75" customHeight="1" x14ac:dyDescent="0.2">
      <c r="A119" s="37"/>
      <c r="B119" s="300"/>
      <c r="C119" s="301"/>
      <c r="D119" s="301"/>
      <c r="E119" s="301"/>
      <c r="F119" s="301"/>
      <c r="G119" s="301"/>
      <c r="H119" s="301"/>
      <c r="I119" s="301"/>
      <c r="J119" s="302"/>
    </row>
    <row r="120" spans="1:11" ht="18.75" customHeight="1" x14ac:dyDescent="0.2">
      <c r="A120" s="37"/>
      <c r="B120" s="300"/>
      <c r="C120" s="301"/>
      <c r="D120" s="301"/>
      <c r="E120" s="301"/>
      <c r="F120" s="301"/>
      <c r="G120" s="301"/>
      <c r="H120" s="301"/>
      <c r="I120" s="301"/>
      <c r="J120" s="302"/>
    </row>
    <row r="121" spans="1:11" ht="18.75" customHeight="1" x14ac:dyDescent="0.2">
      <c r="A121" s="37"/>
      <c r="B121" s="300"/>
      <c r="C121" s="301"/>
      <c r="D121" s="301"/>
      <c r="E121" s="301"/>
      <c r="F121" s="301"/>
      <c r="G121" s="301"/>
      <c r="H121" s="301"/>
      <c r="I121" s="301"/>
      <c r="J121" s="302"/>
    </row>
    <row r="122" spans="1:11" ht="18.75" customHeight="1" x14ac:dyDescent="0.2">
      <c r="A122" s="37"/>
      <c r="B122" s="300"/>
      <c r="C122" s="301"/>
      <c r="D122" s="301"/>
      <c r="E122" s="301"/>
      <c r="F122" s="301"/>
      <c r="G122" s="301"/>
      <c r="H122" s="301"/>
      <c r="I122" s="301"/>
      <c r="J122" s="302"/>
    </row>
    <row r="123" spans="1:11" ht="18.75" customHeight="1" x14ac:dyDescent="0.2">
      <c r="A123" s="37"/>
      <c r="B123" s="300"/>
      <c r="C123" s="301"/>
      <c r="D123" s="301"/>
      <c r="E123" s="301"/>
      <c r="F123" s="301"/>
      <c r="G123" s="301"/>
      <c r="H123" s="301"/>
      <c r="I123" s="301"/>
      <c r="J123" s="302"/>
    </row>
    <row r="124" spans="1:11" ht="18.75" customHeight="1" x14ac:dyDescent="0.2">
      <c r="A124" s="37"/>
      <c r="B124" s="300"/>
      <c r="C124" s="301"/>
      <c r="D124" s="301"/>
      <c r="E124" s="301"/>
      <c r="F124" s="301"/>
      <c r="G124" s="301"/>
      <c r="H124" s="301"/>
      <c r="I124" s="301"/>
      <c r="J124" s="302"/>
    </row>
    <row r="125" spans="1:11" ht="18.75" customHeight="1" x14ac:dyDescent="0.2">
      <c r="A125" s="37"/>
      <c r="B125" s="300"/>
      <c r="C125" s="301"/>
      <c r="D125" s="301"/>
      <c r="E125" s="301"/>
      <c r="F125" s="301"/>
      <c r="G125" s="301"/>
      <c r="H125" s="301"/>
      <c r="I125" s="301"/>
      <c r="J125" s="302"/>
    </row>
    <row r="126" spans="1:11" ht="18.75" customHeight="1" x14ac:dyDescent="0.2">
      <c r="A126" s="37"/>
      <c r="B126" s="300"/>
      <c r="C126" s="301"/>
      <c r="D126" s="301"/>
      <c r="E126" s="301"/>
      <c r="F126" s="301"/>
      <c r="G126" s="301"/>
      <c r="H126" s="301"/>
      <c r="I126" s="301"/>
      <c r="J126" s="302"/>
    </row>
    <row r="127" spans="1:11" ht="18.75" customHeight="1" x14ac:dyDescent="0.2">
      <c r="A127" s="37"/>
      <c r="B127" s="300"/>
      <c r="C127" s="301"/>
      <c r="D127" s="301"/>
      <c r="E127" s="301"/>
      <c r="F127" s="301"/>
      <c r="G127" s="301"/>
      <c r="H127" s="301"/>
      <c r="I127" s="301"/>
      <c r="J127" s="302"/>
    </row>
    <row r="128" spans="1:11" ht="18.75" customHeight="1" x14ac:dyDescent="0.2">
      <c r="A128" s="37"/>
      <c r="B128" s="300"/>
      <c r="C128" s="301"/>
      <c r="D128" s="301"/>
      <c r="E128" s="301"/>
      <c r="F128" s="301"/>
      <c r="G128" s="301"/>
      <c r="H128" s="301"/>
      <c r="I128" s="301"/>
      <c r="J128" s="302"/>
    </row>
    <row r="129" spans="1:10" ht="18.75" customHeight="1" x14ac:dyDescent="0.2">
      <c r="A129" s="37"/>
      <c r="B129" s="303"/>
      <c r="C129" s="304"/>
      <c r="D129" s="304"/>
      <c r="E129" s="304"/>
      <c r="F129" s="304"/>
      <c r="G129" s="304"/>
      <c r="H129" s="304"/>
      <c r="I129" s="304"/>
      <c r="J129" s="305"/>
    </row>
    <row r="130" spans="1:10" ht="7.5" customHeight="1" x14ac:dyDescent="0.2">
      <c r="A130" s="37"/>
      <c r="B130" s="96"/>
      <c r="C130" s="96"/>
      <c r="D130" s="96"/>
      <c r="E130" s="96"/>
      <c r="F130" s="96"/>
      <c r="G130" s="96"/>
      <c r="H130" s="96"/>
      <c r="I130" s="96"/>
      <c r="J130" s="96"/>
    </row>
    <row r="131" spans="1:10" ht="18.75" customHeight="1" x14ac:dyDescent="0.2">
      <c r="A131" s="37"/>
      <c r="B131" s="37"/>
      <c r="C131" s="37"/>
      <c r="D131" s="37"/>
      <c r="E131" s="37"/>
      <c r="F131" s="37"/>
      <c r="G131" s="37"/>
      <c r="H131" s="37"/>
      <c r="I131" s="37"/>
      <c r="J131" s="37"/>
    </row>
    <row r="132" spans="1:10" ht="18.75" customHeight="1" x14ac:dyDescent="0.2">
      <c r="A132" s="37"/>
      <c r="B132" s="37"/>
      <c r="C132" s="37"/>
      <c r="D132" s="37"/>
      <c r="E132" s="37"/>
      <c r="F132" s="37"/>
      <c r="G132" s="37"/>
      <c r="H132" s="37"/>
      <c r="I132" s="37"/>
      <c r="J132" s="37"/>
    </row>
    <row r="133" spans="1:10" ht="18.75" customHeight="1" x14ac:dyDescent="0.2">
      <c r="A133" s="37"/>
      <c r="B133" s="37"/>
      <c r="C133" s="37"/>
      <c r="D133" s="37"/>
      <c r="E133" s="37"/>
      <c r="F133" s="37"/>
      <c r="G133" s="37"/>
      <c r="H133" s="37"/>
      <c r="I133" s="37"/>
      <c r="J133" s="37"/>
    </row>
    <row r="134" spans="1:10" ht="18.75" customHeight="1" x14ac:dyDescent="0.2">
      <c r="A134" s="37"/>
      <c r="B134" s="37"/>
      <c r="C134" s="37"/>
      <c r="D134" s="37"/>
      <c r="E134" s="37"/>
      <c r="F134" s="37"/>
      <c r="G134" s="37"/>
      <c r="H134" s="37"/>
      <c r="I134" s="37"/>
      <c r="J134" s="37"/>
    </row>
    <row r="135" spans="1:10" ht="18.75" customHeight="1" x14ac:dyDescent="0.2">
      <c r="A135" s="37"/>
      <c r="B135" s="37"/>
      <c r="C135" s="37"/>
      <c r="D135" s="37"/>
      <c r="E135" s="37"/>
      <c r="F135" s="37"/>
      <c r="G135" s="37"/>
      <c r="H135" s="37"/>
      <c r="I135" s="37"/>
      <c r="J135" s="37"/>
    </row>
    <row r="136" spans="1:10" ht="18.75" customHeight="1" x14ac:dyDescent="0.2">
      <c r="A136" s="37"/>
      <c r="B136" s="37"/>
      <c r="C136" s="37"/>
      <c r="D136" s="37"/>
      <c r="E136" s="37"/>
      <c r="F136" s="37"/>
      <c r="G136" s="37"/>
      <c r="H136" s="37"/>
      <c r="I136" s="37"/>
      <c r="J136" s="37"/>
    </row>
    <row r="137" spans="1:10" ht="18.75" customHeight="1" x14ac:dyDescent="0.2">
      <c r="A137" s="37"/>
      <c r="B137" s="37"/>
      <c r="C137" s="37"/>
      <c r="D137" s="37"/>
      <c r="E137" s="37"/>
      <c r="F137" s="37"/>
      <c r="G137" s="37"/>
      <c r="H137" s="37"/>
      <c r="I137" s="37"/>
      <c r="J137" s="37"/>
    </row>
    <row r="138" spans="1:10" ht="18.75" customHeight="1" x14ac:dyDescent="0.2">
      <c r="A138" s="37"/>
      <c r="B138" s="37"/>
      <c r="C138" s="37"/>
      <c r="D138" s="37"/>
      <c r="E138" s="37"/>
      <c r="F138" s="37"/>
      <c r="G138" s="37"/>
      <c r="H138" s="37"/>
      <c r="I138" s="37"/>
      <c r="J138" s="37"/>
    </row>
    <row r="139" spans="1:10" ht="18.75" customHeight="1" x14ac:dyDescent="0.2">
      <c r="A139" s="37"/>
      <c r="B139" s="37"/>
      <c r="C139" s="37"/>
      <c r="D139" s="37"/>
      <c r="E139" s="37"/>
      <c r="F139" s="37"/>
      <c r="G139" s="37"/>
      <c r="H139" s="37"/>
      <c r="I139" s="37"/>
      <c r="J139" s="37"/>
    </row>
    <row r="140" spans="1:10" ht="18.75" customHeight="1" x14ac:dyDescent="0.2">
      <c r="A140" s="37"/>
      <c r="B140" s="37"/>
      <c r="C140" s="37"/>
      <c r="D140" s="37"/>
      <c r="E140" s="37"/>
      <c r="F140" s="37"/>
      <c r="G140" s="37"/>
      <c r="H140" s="37"/>
      <c r="I140" s="37"/>
      <c r="J140" s="37"/>
    </row>
    <row r="141" spans="1:10" ht="18.75" customHeight="1" x14ac:dyDescent="0.2">
      <c r="A141" s="37"/>
      <c r="B141" s="37"/>
      <c r="C141" s="37"/>
      <c r="D141" s="37"/>
      <c r="E141" s="37"/>
      <c r="F141" s="37"/>
      <c r="G141" s="37"/>
      <c r="H141" s="37"/>
      <c r="I141" s="37"/>
      <c r="J141" s="37"/>
    </row>
    <row r="142" spans="1:10" ht="18.75" customHeight="1" x14ac:dyDescent="0.2">
      <c r="A142" s="37"/>
      <c r="B142" s="37"/>
      <c r="C142" s="37"/>
      <c r="D142" s="37"/>
      <c r="E142" s="37"/>
      <c r="F142" s="37"/>
      <c r="G142" s="37"/>
      <c r="H142" s="37"/>
      <c r="I142" s="37"/>
      <c r="J142" s="37"/>
    </row>
    <row r="143" spans="1:10" ht="14.4" x14ac:dyDescent="0.2">
      <c r="A143" s="37"/>
      <c r="B143" s="37"/>
      <c r="C143" s="37"/>
      <c r="D143" s="37"/>
      <c r="E143" s="37"/>
      <c r="F143" s="37"/>
      <c r="G143" s="37"/>
      <c r="H143" s="37"/>
      <c r="I143" s="37"/>
      <c r="J143" s="37"/>
    </row>
    <row r="144" spans="1:10" ht="7.5" customHeight="1" x14ac:dyDescent="0.2">
      <c r="A144" s="97"/>
      <c r="B144" s="97"/>
      <c r="C144" s="97"/>
      <c r="D144" s="97"/>
      <c r="E144" s="97"/>
      <c r="F144" s="97"/>
      <c r="G144" s="97"/>
      <c r="H144" s="97"/>
      <c r="I144" s="97"/>
      <c r="J144" s="9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4"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topLeftCell="A55" zoomScale="120" zoomScaleNormal="100" zoomScaleSheetLayoutView="120" workbookViewId="0">
      <selection activeCell="E5" sqref="E5:J5"/>
    </sheetView>
  </sheetViews>
  <sheetFormatPr defaultColWidth="11.33203125" defaultRowHeight="22.5" customHeight="1" x14ac:dyDescent="0.2"/>
  <cols>
    <col min="1" max="3" width="2.77734375" style="1" customWidth="1"/>
    <col min="4" max="4" width="22.109375" style="1" customWidth="1"/>
    <col min="5" max="5" width="21.6640625" style="1" customWidth="1"/>
    <col min="6" max="7" width="7.77734375" style="1" customWidth="1"/>
    <col min="8" max="8" width="33.33203125" style="1" customWidth="1"/>
    <col min="9" max="9" width="24.33203125" style="1" customWidth="1"/>
    <col min="10" max="10" width="5.33203125" style="1" customWidth="1"/>
    <col min="11" max="11" width="4.109375" style="31" customWidth="1"/>
    <col min="12" max="16384" width="11.33203125" style="1"/>
  </cols>
  <sheetData>
    <row r="1" spans="1:11" ht="18.75" customHeight="1" x14ac:dyDescent="0.2">
      <c r="A1" s="1" t="s">
        <v>128</v>
      </c>
      <c r="J1" s="39" t="s">
        <v>77</v>
      </c>
    </row>
    <row r="2" spans="1:11" ht="18.75" customHeight="1" x14ac:dyDescent="0.2">
      <c r="A2" s="273" t="s">
        <v>44</v>
      </c>
      <c r="B2" s="273"/>
      <c r="C2" s="273"/>
      <c r="D2" s="273"/>
      <c r="E2" s="273"/>
      <c r="F2" s="273"/>
      <c r="G2" s="273"/>
      <c r="H2" s="273"/>
      <c r="I2" s="273"/>
      <c r="J2" s="273"/>
    </row>
    <row r="3" spans="1:11" ht="7.5" customHeight="1" x14ac:dyDescent="0.2">
      <c r="A3" s="40"/>
      <c r="B3" s="40"/>
      <c r="C3" s="40"/>
      <c r="D3" s="40"/>
      <c r="E3" s="40"/>
      <c r="F3" s="40"/>
      <c r="G3" s="40"/>
      <c r="H3" s="40"/>
      <c r="I3" s="40"/>
      <c r="J3" s="40"/>
    </row>
    <row r="4" spans="1:11" ht="18.75" customHeight="1" x14ac:dyDescent="0.2">
      <c r="A4" s="1" t="s">
        <v>6</v>
      </c>
      <c r="B4" s="4" t="s">
        <v>43</v>
      </c>
      <c r="C4" s="37"/>
      <c r="D4" s="37"/>
      <c r="E4" s="38"/>
      <c r="F4" s="38"/>
      <c r="G4" s="38"/>
      <c r="H4" s="38"/>
      <c r="I4" s="38"/>
      <c r="J4" s="38"/>
    </row>
    <row r="5" spans="1:11" ht="18.75" customHeight="1" x14ac:dyDescent="0.2">
      <c r="B5" s="326" t="s">
        <v>40</v>
      </c>
      <c r="C5" s="327"/>
      <c r="D5" s="328"/>
      <c r="E5" s="329" t="s">
        <v>42</v>
      </c>
      <c r="F5" s="329"/>
      <c r="G5" s="329"/>
      <c r="H5" s="329"/>
      <c r="I5" s="329"/>
      <c r="J5" s="330"/>
    </row>
    <row r="6" spans="1:11" ht="18.75" customHeight="1" x14ac:dyDescent="0.2">
      <c r="B6" s="3" t="s">
        <v>30</v>
      </c>
      <c r="C6" s="37"/>
      <c r="D6" s="7"/>
      <c r="I6" s="38"/>
      <c r="J6" s="5"/>
    </row>
    <row r="7" spans="1:11" ht="80.55" customHeight="1" x14ac:dyDescent="0.2">
      <c r="B7" s="6"/>
      <c r="C7" s="317" t="s">
        <v>31</v>
      </c>
      <c r="D7" s="318"/>
      <c r="E7" s="323" t="s">
        <v>224</v>
      </c>
      <c r="F7" s="319"/>
      <c r="G7" s="319"/>
      <c r="H7" s="319"/>
      <c r="I7" s="319"/>
      <c r="J7" s="320"/>
      <c r="K7" s="31" t="str">
        <f>IF(E7="","入力してください","")</f>
        <v/>
      </c>
    </row>
    <row r="8" spans="1:11" ht="80.55" customHeight="1" x14ac:dyDescent="0.2">
      <c r="A8" s="1" t="s">
        <v>210</v>
      </c>
      <c r="B8" s="6"/>
      <c r="C8" s="324" t="s">
        <v>32</v>
      </c>
      <c r="D8" s="325"/>
      <c r="E8" s="323" t="s">
        <v>215</v>
      </c>
      <c r="F8" s="319"/>
      <c r="G8" s="319"/>
      <c r="H8" s="319"/>
      <c r="I8" s="319"/>
      <c r="J8" s="320"/>
    </row>
    <row r="9" spans="1:11" ht="80.55" customHeight="1" x14ac:dyDescent="0.2">
      <c r="B9" s="6"/>
      <c r="C9" s="317" t="s">
        <v>33</v>
      </c>
      <c r="D9" s="318"/>
      <c r="E9" s="323" t="s">
        <v>216</v>
      </c>
      <c r="F9" s="319"/>
      <c r="G9" s="319"/>
      <c r="H9" s="319"/>
      <c r="I9" s="319"/>
      <c r="J9" s="320"/>
      <c r="K9" s="31" t="str">
        <f>IF(E9="","入力してください","")</f>
        <v/>
      </c>
    </row>
    <row r="10" spans="1:11" ht="64.05" customHeight="1" x14ac:dyDescent="0.2">
      <c r="B10" s="6"/>
      <c r="C10" s="317" t="s">
        <v>34</v>
      </c>
      <c r="D10" s="318"/>
      <c r="E10" s="323" t="s">
        <v>217</v>
      </c>
      <c r="F10" s="319"/>
      <c r="G10" s="319"/>
      <c r="H10" s="319"/>
      <c r="I10" s="319"/>
      <c r="J10" s="320"/>
      <c r="K10" s="31" t="str">
        <f>IF(E10="","入力してください","")</f>
        <v/>
      </c>
    </row>
    <row r="11" spans="1:11" ht="91.5" customHeight="1" x14ac:dyDescent="0.2">
      <c r="B11" s="6"/>
      <c r="C11" s="317" t="s">
        <v>35</v>
      </c>
      <c r="D11" s="318"/>
      <c r="E11" s="323" t="s">
        <v>218</v>
      </c>
      <c r="F11" s="319"/>
      <c r="G11" s="319"/>
      <c r="H11" s="319"/>
      <c r="I11" s="319"/>
      <c r="J11" s="320"/>
      <c r="K11" s="31" t="str">
        <f>IF(E11="","入力してください","")</f>
        <v/>
      </c>
    </row>
    <row r="12" spans="1:11" ht="18.75" customHeight="1" x14ac:dyDescent="0.2">
      <c r="B12" s="9" t="s">
        <v>36</v>
      </c>
      <c r="C12" s="28"/>
      <c r="D12" s="8"/>
      <c r="E12" s="138"/>
      <c r="F12" s="138"/>
      <c r="G12" s="138"/>
      <c r="H12" s="138"/>
      <c r="I12" s="138"/>
      <c r="J12" s="139"/>
    </row>
    <row r="13" spans="1:11" ht="92.55" customHeight="1" x14ac:dyDescent="0.2">
      <c r="B13" s="6"/>
      <c r="C13" s="317" t="s">
        <v>37</v>
      </c>
      <c r="D13" s="318"/>
      <c r="E13" s="319" t="s">
        <v>188</v>
      </c>
      <c r="F13" s="319"/>
      <c r="G13" s="319"/>
      <c r="H13" s="319"/>
      <c r="I13" s="319"/>
      <c r="J13" s="320"/>
      <c r="K13" s="31" t="str">
        <f>IF(E13="","入力してください","")</f>
        <v/>
      </c>
    </row>
    <row r="14" spans="1:11" ht="92.55" customHeight="1" x14ac:dyDescent="0.2">
      <c r="B14" s="6"/>
      <c r="C14" s="317" t="s">
        <v>38</v>
      </c>
      <c r="D14" s="318"/>
      <c r="E14" s="319" t="s">
        <v>189</v>
      </c>
      <c r="F14" s="319"/>
      <c r="G14" s="319"/>
      <c r="H14" s="319"/>
      <c r="I14" s="319"/>
      <c r="J14" s="320"/>
      <c r="K14" s="31" t="str">
        <f>IF(E14="","入力してください","")</f>
        <v/>
      </c>
    </row>
    <row r="15" spans="1:11" ht="92.55" customHeight="1" x14ac:dyDescent="0.2">
      <c r="B15" s="321" t="s">
        <v>39</v>
      </c>
      <c r="C15" s="322"/>
      <c r="D15" s="318"/>
      <c r="E15" s="319" t="s">
        <v>219</v>
      </c>
      <c r="F15" s="319"/>
      <c r="G15" s="319"/>
      <c r="H15" s="319"/>
      <c r="I15" s="319"/>
      <c r="J15" s="320"/>
      <c r="K15" s="31" t="str">
        <f>IF(E15="","入力してください","")</f>
        <v/>
      </c>
    </row>
    <row r="16" spans="1:11" ht="92.55" customHeight="1" x14ac:dyDescent="0.2">
      <c r="A16" s="31"/>
      <c r="B16" s="311" t="s">
        <v>68</v>
      </c>
      <c r="C16" s="312"/>
      <c r="D16" s="313"/>
      <c r="E16" s="296" t="s">
        <v>220</v>
      </c>
      <c r="F16" s="296"/>
      <c r="G16" s="296"/>
      <c r="H16" s="296"/>
      <c r="I16" s="296"/>
      <c r="J16" s="297"/>
      <c r="K16" s="31" t="str">
        <f>IF(E16="","入力してください","")</f>
        <v/>
      </c>
    </row>
    <row r="17" spans="1:11" ht="7.5" customHeight="1" x14ac:dyDescent="0.2">
      <c r="B17" s="37"/>
      <c r="C17" s="37"/>
      <c r="D17" s="37"/>
      <c r="E17" s="38"/>
      <c r="F17" s="38"/>
      <c r="G17" s="38"/>
      <c r="H17" s="38"/>
      <c r="I17" s="38"/>
      <c r="J17" s="38"/>
    </row>
    <row r="18" spans="1:11" ht="18.75" customHeight="1" x14ac:dyDescent="0.2">
      <c r="A18" s="1" t="s">
        <v>129</v>
      </c>
      <c r="B18" s="4"/>
      <c r="C18" s="37"/>
      <c r="D18" s="37"/>
      <c r="E18" s="38"/>
      <c r="F18" s="91"/>
      <c r="G18" s="314" t="s">
        <v>178</v>
      </c>
      <c r="H18" s="315"/>
      <c r="I18" s="315"/>
      <c r="J18" s="316"/>
      <c r="K18" s="31" t="str">
        <f>IF(G18="","入力してください","")</f>
        <v/>
      </c>
    </row>
    <row r="19" spans="1:11" ht="22.5" customHeight="1" x14ac:dyDescent="0.2">
      <c r="B19" s="37"/>
      <c r="C19" s="37"/>
      <c r="D19" s="37"/>
      <c r="E19" s="38"/>
      <c r="F19" s="38"/>
      <c r="G19" s="38"/>
      <c r="H19" s="38"/>
      <c r="I19" s="38"/>
      <c r="J19" s="38"/>
    </row>
    <row r="20" spans="1:11" ht="22.5" customHeight="1" x14ac:dyDescent="0.2">
      <c r="B20" s="37"/>
      <c r="C20" s="37"/>
      <c r="D20" s="37"/>
      <c r="E20" s="38"/>
      <c r="F20" s="38"/>
      <c r="G20" s="38"/>
      <c r="H20" s="38"/>
      <c r="I20" s="38"/>
      <c r="J20" s="38"/>
    </row>
    <row r="21" spans="1:11" ht="22.5" customHeight="1" x14ac:dyDescent="0.2">
      <c r="B21" s="37"/>
      <c r="C21" s="37"/>
      <c r="D21" s="37"/>
      <c r="E21" s="38"/>
      <c r="F21" s="38"/>
      <c r="G21" s="38"/>
      <c r="H21" s="38"/>
      <c r="I21" s="38"/>
      <c r="J21" s="38"/>
    </row>
    <row r="22" spans="1:11" ht="22.5" customHeight="1" x14ac:dyDescent="0.2">
      <c r="B22" s="37"/>
      <c r="C22" s="37"/>
      <c r="D22" s="37"/>
      <c r="E22" s="38"/>
      <c r="F22" s="38"/>
      <c r="G22" s="38"/>
      <c r="H22" s="38"/>
      <c r="I22" s="38"/>
      <c r="J22" s="38"/>
    </row>
    <row r="23" spans="1:11" ht="22.5" customHeight="1" x14ac:dyDescent="0.2">
      <c r="B23" s="37"/>
      <c r="C23" s="37"/>
      <c r="D23" s="37"/>
      <c r="E23" s="38"/>
      <c r="F23" s="38"/>
      <c r="G23" s="38"/>
      <c r="H23" s="38"/>
      <c r="I23" s="38"/>
      <c r="J23" s="38"/>
    </row>
    <row r="24" spans="1:11" ht="22.5" customHeight="1" x14ac:dyDescent="0.2">
      <c r="B24" s="98"/>
      <c r="C24" s="98"/>
      <c r="D24" s="98"/>
      <c r="E24" s="98"/>
      <c r="F24" s="98"/>
      <c r="G24" s="98"/>
      <c r="H24" s="98"/>
      <c r="I24" s="98"/>
      <c r="J24" s="98"/>
    </row>
    <row r="25" spans="1:11" ht="22.5" customHeight="1" x14ac:dyDescent="0.2">
      <c r="B25" s="98"/>
      <c r="C25" s="98"/>
      <c r="D25" s="98"/>
      <c r="E25" s="98"/>
      <c r="F25" s="98"/>
      <c r="G25" s="98"/>
      <c r="H25" s="98"/>
      <c r="I25" s="98"/>
      <c r="J25" s="98"/>
    </row>
    <row r="26" spans="1:11" ht="22.5" customHeight="1" x14ac:dyDescent="0.2">
      <c r="B26" s="98"/>
      <c r="C26" s="98"/>
      <c r="D26" s="98"/>
      <c r="E26" s="98"/>
      <c r="F26" s="98"/>
      <c r="G26" s="98"/>
      <c r="H26" s="98"/>
      <c r="I26" s="98"/>
      <c r="J26" s="9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rowBreaks count="1" manualBreakCount="1">
    <brk id="1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election activeCell="B85" sqref="B85:F124"/>
    </sheetView>
  </sheetViews>
  <sheetFormatPr defaultColWidth="11.33203125" defaultRowHeight="18.75" customHeight="1" x14ac:dyDescent="0.2"/>
  <cols>
    <col min="1" max="1" width="3.33203125" style="1" customWidth="1"/>
    <col min="2" max="2" width="15.332031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72" t="s">
        <v>7</v>
      </c>
      <c r="F1" s="272"/>
    </row>
    <row r="2" spans="1:6" ht="18.75" customHeight="1" x14ac:dyDescent="0.2">
      <c r="A2" s="331" t="s">
        <v>185</v>
      </c>
      <c r="B2" s="331"/>
      <c r="C2" s="331"/>
      <c r="D2" s="331"/>
      <c r="E2" s="331"/>
      <c r="F2" s="331"/>
    </row>
    <row r="3" spans="1:6" ht="7.5" customHeight="1" x14ac:dyDescent="0.2">
      <c r="A3" s="36"/>
      <c r="B3" s="36"/>
      <c r="C3" s="36"/>
      <c r="D3" s="36"/>
      <c r="E3" s="36"/>
      <c r="F3" s="36"/>
    </row>
    <row r="4" spans="1:6" ht="18.75" customHeight="1" x14ac:dyDescent="0.2">
      <c r="A4" s="36" t="s">
        <v>6</v>
      </c>
      <c r="B4" s="4" t="s">
        <v>28</v>
      </c>
      <c r="C4" s="36"/>
      <c r="D4" s="36"/>
      <c r="E4" s="36"/>
      <c r="F4" s="36"/>
    </row>
    <row r="5" spans="1:6" ht="18" customHeight="1" x14ac:dyDescent="0.2">
      <c r="A5" s="36"/>
      <c r="B5" s="332" t="s">
        <v>221</v>
      </c>
      <c r="C5" s="298"/>
      <c r="D5" s="298"/>
      <c r="E5" s="298"/>
      <c r="F5" s="299"/>
    </row>
    <row r="6" spans="1:6" ht="18" customHeight="1" x14ac:dyDescent="0.2">
      <c r="A6" s="36"/>
      <c r="B6" s="300"/>
      <c r="C6" s="301"/>
      <c r="D6" s="301"/>
      <c r="E6" s="301"/>
      <c r="F6" s="302"/>
    </row>
    <row r="7" spans="1:6" ht="18" customHeight="1" x14ac:dyDescent="0.2">
      <c r="A7" s="36"/>
      <c r="B7" s="300"/>
      <c r="C7" s="301"/>
      <c r="D7" s="301"/>
      <c r="E7" s="301"/>
      <c r="F7" s="302"/>
    </row>
    <row r="8" spans="1:6" ht="18" customHeight="1" x14ac:dyDescent="0.2">
      <c r="A8" s="36"/>
      <c r="B8" s="300"/>
      <c r="C8" s="301"/>
      <c r="D8" s="301"/>
      <c r="E8" s="301"/>
      <c r="F8" s="302"/>
    </row>
    <row r="9" spans="1:6" ht="18" customHeight="1" x14ac:dyDescent="0.2">
      <c r="A9" s="36"/>
      <c r="B9" s="300"/>
      <c r="C9" s="301"/>
      <c r="D9" s="301"/>
      <c r="E9" s="301"/>
      <c r="F9" s="302"/>
    </row>
    <row r="10" spans="1:6" ht="18" customHeight="1" x14ac:dyDescent="0.2">
      <c r="A10" s="36"/>
      <c r="B10" s="300"/>
      <c r="C10" s="301"/>
      <c r="D10" s="301"/>
      <c r="E10" s="301"/>
      <c r="F10" s="302"/>
    </row>
    <row r="11" spans="1:6" ht="18" customHeight="1" x14ac:dyDescent="0.2">
      <c r="A11" s="36"/>
      <c r="B11" s="300"/>
      <c r="C11" s="301"/>
      <c r="D11" s="301"/>
      <c r="E11" s="301"/>
      <c r="F11" s="302"/>
    </row>
    <row r="12" spans="1:6" ht="18" customHeight="1" x14ac:dyDescent="0.2">
      <c r="A12" s="36"/>
      <c r="B12" s="300"/>
      <c r="C12" s="301"/>
      <c r="D12" s="301"/>
      <c r="E12" s="301"/>
      <c r="F12" s="302"/>
    </row>
    <row r="13" spans="1:6" ht="18" customHeight="1" x14ac:dyDescent="0.2">
      <c r="A13" s="36"/>
      <c r="B13" s="300"/>
      <c r="C13" s="301"/>
      <c r="D13" s="301"/>
      <c r="E13" s="301"/>
      <c r="F13" s="302"/>
    </row>
    <row r="14" spans="1:6" ht="18" customHeight="1" x14ac:dyDescent="0.2">
      <c r="A14" s="36"/>
      <c r="B14" s="300"/>
      <c r="C14" s="301"/>
      <c r="D14" s="301"/>
      <c r="E14" s="301"/>
      <c r="F14" s="302"/>
    </row>
    <row r="15" spans="1:6" ht="18" customHeight="1" x14ac:dyDescent="0.2">
      <c r="A15" s="36"/>
      <c r="B15" s="300"/>
      <c r="C15" s="301"/>
      <c r="D15" s="301"/>
      <c r="E15" s="301"/>
      <c r="F15" s="302"/>
    </row>
    <row r="16" spans="1:6" ht="18" customHeight="1" x14ac:dyDescent="0.2">
      <c r="A16" s="36"/>
      <c r="B16" s="300"/>
      <c r="C16" s="301"/>
      <c r="D16" s="301"/>
      <c r="E16" s="301"/>
      <c r="F16" s="302"/>
    </row>
    <row r="17" spans="1:6" ht="18" customHeight="1" x14ac:dyDescent="0.2">
      <c r="A17" s="36"/>
      <c r="B17" s="300"/>
      <c r="C17" s="301"/>
      <c r="D17" s="301"/>
      <c r="E17" s="301"/>
      <c r="F17" s="302"/>
    </row>
    <row r="18" spans="1:6" ht="18" customHeight="1" x14ac:dyDescent="0.2">
      <c r="A18" s="36"/>
      <c r="B18" s="300"/>
      <c r="C18" s="301"/>
      <c r="D18" s="301"/>
      <c r="E18" s="301"/>
      <c r="F18" s="302"/>
    </row>
    <row r="19" spans="1:6" ht="18" customHeight="1" x14ac:dyDescent="0.2">
      <c r="A19" s="36"/>
      <c r="B19" s="300"/>
      <c r="C19" s="301"/>
      <c r="D19" s="301"/>
      <c r="E19" s="301"/>
      <c r="F19" s="302"/>
    </row>
    <row r="20" spans="1:6" ht="18" customHeight="1" x14ac:dyDescent="0.2">
      <c r="A20" s="36"/>
      <c r="B20" s="300"/>
      <c r="C20" s="301"/>
      <c r="D20" s="301"/>
      <c r="E20" s="301"/>
      <c r="F20" s="302"/>
    </row>
    <row r="21" spans="1:6" ht="18" customHeight="1" x14ac:dyDescent="0.2">
      <c r="A21" s="36"/>
      <c r="B21" s="300"/>
      <c r="C21" s="301"/>
      <c r="D21" s="301"/>
      <c r="E21" s="301"/>
      <c r="F21" s="302"/>
    </row>
    <row r="22" spans="1:6" ht="18" customHeight="1" x14ac:dyDescent="0.2">
      <c r="A22" s="36"/>
      <c r="B22" s="300"/>
      <c r="C22" s="301"/>
      <c r="D22" s="301"/>
      <c r="E22" s="301"/>
      <c r="F22" s="302"/>
    </row>
    <row r="23" spans="1:6" ht="18" customHeight="1" x14ac:dyDescent="0.2">
      <c r="A23" s="36"/>
      <c r="B23" s="300"/>
      <c r="C23" s="301"/>
      <c r="D23" s="301"/>
      <c r="E23" s="301"/>
      <c r="F23" s="302"/>
    </row>
    <row r="24" spans="1:6" ht="18" customHeight="1" x14ac:dyDescent="0.2">
      <c r="A24" s="36"/>
      <c r="B24" s="300"/>
      <c r="C24" s="301"/>
      <c r="D24" s="301"/>
      <c r="E24" s="301"/>
      <c r="F24" s="302"/>
    </row>
    <row r="25" spans="1:6" ht="18" customHeight="1" x14ac:dyDescent="0.2">
      <c r="A25" s="36"/>
      <c r="B25" s="300"/>
      <c r="C25" s="301"/>
      <c r="D25" s="301"/>
      <c r="E25" s="301"/>
      <c r="F25" s="302"/>
    </row>
    <row r="26" spans="1:6" ht="18" customHeight="1" x14ac:dyDescent="0.2">
      <c r="A26" s="36"/>
      <c r="B26" s="300"/>
      <c r="C26" s="301"/>
      <c r="D26" s="301"/>
      <c r="E26" s="301"/>
      <c r="F26" s="302"/>
    </row>
    <row r="27" spans="1:6" ht="18" customHeight="1" x14ac:dyDescent="0.2">
      <c r="A27" s="36"/>
      <c r="B27" s="300"/>
      <c r="C27" s="301"/>
      <c r="D27" s="301"/>
      <c r="E27" s="301"/>
      <c r="F27" s="302"/>
    </row>
    <row r="28" spans="1:6" ht="18" customHeight="1" x14ac:dyDescent="0.2">
      <c r="A28" s="36"/>
      <c r="B28" s="300"/>
      <c r="C28" s="301"/>
      <c r="D28" s="301"/>
      <c r="E28" s="301"/>
      <c r="F28" s="302"/>
    </row>
    <row r="29" spans="1:6" ht="18" customHeight="1" x14ac:dyDescent="0.2">
      <c r="A29" s="36"/>
      <c r="B29" s="300"/>
      <c r="C29" s="301"/>
      <c r="D29" s="301"/>
      <c r="E29" s="301"/>
      <c r="F29" s="302"/>
    </row>
    <row r="30" spans="1:6" ht="18" customHeight="1" x14ac:dyDescent="0.2">
      <c r="A30" s="36"/>
      <c r="B30" s="300"/>
      <c r="C30" s="301"/>
      <c r="D30" s="301"/>
      <c r="E30" s="301"/>
      <c r="F30" s="302"/>
    </row>
    <row r="31" spans="1:6" ht="18" customHeight="1" x14ac:dyDescent="0.2">
      <c r="A31" s="36"/>
      <c r="B31" s="300"/>
      <c r="C31" s="301"/>
      <c r="D31" s="301"/>
      <c r="E31" s="301"/>
      <c r="F31" s="302"/>
    </row>
    <row r="32" spans="1:6" ht="18" customHeight="1" x14ac:dyDescent="0.2">
      <c r="A32" s="36"/>
      <c r="B32" s="300"/>
      <c r="C32" s="301"/>
      <c r="D32" s="301"/>
      <c r="E32" s="301"/>
      <c r="F32" s="302"/>
    </row>
    <row r="33" spans="1:6" ht="18" customHeight="1" x14ac:dyDescent="0.2">
      <c r="A33" s="36"/>
      <c r="B33" s="300"/>
      <c r="C33" s="301"/>
      <c r="D33" s="301"/>
      <c r="E33" s="301"/>
      <c r="F33" s="302"/>
    </row>
    <row r="34" spans="1:6" ht="18" customHeight="1" x14ac:dyDescent="0.2">
      <c r="A34" s="36"/>
      <c r="B34" s="300"/>
      <c r="C34" s="301"/>
      <c r="D34" s="301"/>
      <c r="E34" s="301"/>
      <c r="F34" s="302"/>
    </row>
    <row r="35" spans="1:6" ht="18" customHeight="1" x14ac:dyDescent="0.2">
      <c r="A35" s="36"/>
      <c r="B35" s="300"/>
      <c r="C35" s="301"/>
      <c r="D35" s="301"/>
      <c r="E35" s="301"/>
      <c r="F35" s="302"/>
    </row>
    <row r="36" spans="1:6" ht="18" customHeight="1" x14ac:dyDescent="0.2">
      <c r="A36" s="36"/>
      <c r="B36" s="300"/>
      <c r="C36" s="301"/>
      <c r="D36" s="301"/>
      <c r="E36" s="301"/>
      <c r="F36" s="302"/>
    </row>
    <row r="37" spans="1:6" ht="18" customHeight="1" x14ac:dyDescent="0.2">
      <c r="A37" s="36"/>
      <c r="B37" s="300"/>
      <c r="C37" s="301"/>
      <c r="D37" s="301"/>
      <c r="E37" s="301"/>
      <c r="F37" s="302"/>
    </row>
    <row r="38" spans="1:6" ht="18" customHeight="1" x14ac:dyDescent="0.2">
      <c r="A38" s="36"/>
      <c r="B38" s="300"/>
      <c r="C38" s="301"/>
      <c r="D38" s="301"/>
      <c r="E38" s="301"/>
      <c r="F38" s="302"/>
    </row>
    <row r="39" spans="1:6" ht="18" customHeight="1" x14ac:dyDescent="0.2">
      <c r="A39" s="36"/>
      <c r="B39" s="300"/>
      <c r="C39" s="301"/>
      <c r="D39" s="301"/>
      <c r="E39" s="301"/>
      <c r="F39" s="302"/>
    </row>
    <row r="40" spans="1:6" ht="18" customHeight="1" x14ac:dyDescent="0.2">
      <c r="A40" s="36"/>
      <c r="B40" s="300"/>
      <c r="C40" s="301"/>
      <c r="D40" s="301"/>
      <c r="E40" s="301"/>
      <c r="F40" s="302"/>
    </row>
    <row r="41" spans="1:6" ht="45" customHeight="1" x14ac:dyDescent="0.2">
      <c r="A41" s="36"/>
      <c r="B41" s="300"/>
      <c r="C41" s="301"/>
      <c r="D41" s="301"/>
      <c r="E41" s="301"/>
      <c r="F41" s="302"/>
    </row>
    <row r="42" spans="1:6" ht="41.4" customHeight="1" x14ac:dyDescent="0.2">
      <c r="A42" s="36"/>
      <c r="B42" s="303"/>
      <c r="C42" s="304"/>
      <c r="D42" s="304"/>
      <c r="E42" s="304"/>
      <c r="F42" s="305"/>
    </row>
    <row r="43" spans="1:6" ht="18.75" customHeight="1" x14ac:dyDescent="0.2">
      <c r="A43" s="36" t="s">
        <v>10</v>
      </c>
      <c r="B43" s="4" t="s">
        <v>73</v>
      </c>
      <c r="C43" s="36"/>
      <c r="D43" s="36"/>
      <c r="E43" s="36"/>
      <c r="F43" s="36"/>
    </row>
    <row r="44" spans="1:6" ht="18.75" customHeight="1" x14ac:dyDescent="0.2">
      <c r="A44" s="36"/>
      <c r="B44" s="289" t="s">
        <v>222</v>
      </c>
      <c r="C44" s="298"/>
      <c r="D44" s="298"/>
      <c r="E44" s="298"/>
      <c r="F44" s="299"/>
    </row>
    <row r="45" spans="1:6" ht="18.75" customHeight="1" x14ac:dyDescent="0.2">
      <c r="A45" s="36"/>
      <c r="B45" s="300"/>
      <c r="C45" s="301"/>
      <c r="D45" s="301"/>
      <c r="E45" s="301"/>
      <c r="F45" s="302"/>
    </row>
    <row r="46" spans="1:6" ht="18.75" customHeight="1" x14ac:dyDescent="0.2">
      <c r="A46" s="36"/>
      <c r="B46" s="300"/>
      <c r="C46" s="301"/>
      <c r="D46" s="301"/>
      <c r="E46" s="301"/>
      <c r="F46" s="302"/>
    </row>
    <row r="47" spans="1:6" ht="18.75" customHeight="1" x14ac:dyDescent="0.2">
      <c r="A47" s="36"/>
      <c r="B47" s="300"/>
      <c r="C47" s="301"/>
      <c r="D47" s="301"/>
      <c r="E47" s="301"/>
      <c r="F47" s="302"/>
    </row>
    <row r="48" spans="1:6" ht="18.75" customHeight="1" x14ac:dyDescent="0.2">
      <c r="A48" s="36"/>
      <c r="B48" s="300"/>
      <c r="C48" s="301"/>
      <c r="D48" s="301"/>
      <c r="E48" s="301"/>
      <c r="F48" s="302"/>
    </row>
    <row r="49" spans="1:6" ht="18.75" customHeight="1" x14ac:dyDescent="0.2">
      <c r="A49" s="36"/>
      <c r="B49" s="300"/>
      <c r="C49" s="301"/>
      <c r="D49" s="301"/>
      <c r="E49" s="301"/>
      <c r="F49" s="302"/>
    </row>
    <row r="50" spans="1:6" ht="18.75" customHeight="1" x14ac:dyDescent="0.2">
      <c r="A50" s="36"/>
      <c r="B50" s="300"/>
      <c r="C50" s="301"/>
      <c r="D50" s="301"/>
      <c r="E50" s="301"/>
      <c r="F50" s="302"/>
    </row>
    <row r="51" spans="1:6" ht="18.75" customHeight="1" x14ac:dyDescent="0.2">
      <c r="A51" s="36"/>
      <c r="B51" s="300"/>
      <c r="C51" s="301"/>
      <c r="D51" s="301"/>
      <c r="E51" s="301"/>
      <c r="F51" s="302"/>
    </row>
    <row r="52" spans="1:6" ht="18.75" customHeight="1" x14ac:dyDescent="0.2">
      <c r="A52" s="36"/>
      <c r="B52" s="300"/>
      <c r="C52" s="301"/>
      <c r="D52" s="301"/>
      <c r="E52" s="301"/>
      <c r="F52" s="302"/>
    </row>
    <row r="53" spans="1:6" ht="18.75" customHeight="1" x14ac:dyDescent="0.2">
      <c r="A53" s="36"/>
      <c r="B53" s="300"/>
      <c r="C53" s="301"/>
      <c r="D53" s="301"/>
      <c r="E53" s="301"/>
      <c r="F53" s="302"/>
    </row>
    <row r="54" spans="1:6" ht="18.75" customHeight="1" x14ac:dyDescent="0.2">
      <c r="A54" s="36"/>
      <c r="B54" s="300"/>
      <c r="C54" s="301"/>
      <c r="D54" s="301"/>
      <c r="E54" s="301"/>
      <c r="F54" s="302"/>
    </row>
    <row r="55" spans="1:6" ht="18.75" customHeight="1" x14ac:dyDescent="0.2">
      <c r="A55" s="36"/>
      <c r="B55" s="300"/>
      <c r="C55" s="301"/>
      <c r="D55" s="301"/>
      <c r="E55" s="301"/>
      <c r="F55" s="302"/>
    </row>
    <row r="56" spans="1:6" ht="18.75" customHeight="1" x14ac:dyDescent="0.2">
      <c r="A56" s="36"/>
      <c r="B56" s="300"/>
      <c r="C56" s="301"/>
      <c r="D56" s="301"/>
      <c r="E56" s="301"/>
      <c r="F56" s="302"/>
    </row>
    <row r="57" spans="1:6" ht="18.75" customHeight="1" x14ac:dyDescent="0.2">
      <c r="A57" s="36"/>
      <c r="B57" s="300"/>
      <c r="C57" s="301"/>
      <c r="D57" s="301"/>
      <c r="E57" s="301"/>
      <c r="F57" s="302"/>
    </row>
    <row r="58" spans="1:6" ht="18.75" customHeight="1" x14ac:dyDescent="0.2">
      <c r="A58" s="36"/>
      <c r="B58" s="300"/>
      <c r="C58" s="301"/>
      <c r="D58" s="301"/>
      <c r="E58" s="301"/>
      <c r="F58" s="302"/>
    </row>
    <row r="59" spans="1:6" ht="18.75" customHeight="1" x14ac:dyDescent="0.2">
      <c r="A59" s="36"/>
      <c r="B59" s="300"/>
      <c r="C59" s="301"/>
      <c r="D59" s="301"/>
      <c r="E59" s="301"/>
      <c r="F59" s="302"/>
    </row>
    <row r="60" spans="1:6" ht="18.75" customHeight="1" x14ac:dyDescent="0.2">
      <c r="A60" s="36"/>
      <c r="B60" s="300"/>
      <c r="C60" s="301"/>
      <c r="D60" s="301"/>
      <c r="E60" s="301"/>
      <c r="F60" s="302"/>
    </row>
    <row r="61" spans="1:6" ht="18.75" customHeight="1" x14ac:dyDescent="0.2">
      <c r="A61" s="36"/>
      <c r="B61" s="300"/>
      <c r="C61" s="301"/>
      <c r="D61" s="301"/>
      <c r="E61" s="301"/>
      <c r="F61" s="302"/>
    </row>
    <row r="62" spans="1:6" ht="18.75" customHeight="1" x14ac:dyDescent="0.2">
      <c r="A62" s="36"/>
      <c r="B62" s="300"/>
      <c r="C62" s="301"/>
      <c r="D62" s="301"/>
      <c r="E62" s="301"/>
      <c r="F62" s="302"/>
    </row>
    <row r="63" spans="1:6" ht="18.75" customHeight="1" x14ac:dyDescent="0.2">
      <c r="A63" s="36"/>
      <c r="B63" s="300"/>
      <c r="C63" s="301"/>
      <c r="D63" s="301"/>
      <c r="E63" s="301"/>
      <c r="F63" s="302"/>
    </row>
    <row r="64" spans="1:6" ht="18.75" customHeight="1" x14ac:dyDescent="0.2">
      <c r="A64" s="36"/>
      <c r="B64" s="300"/>
      <c r="C64" s="301"/>
      <c r="D64" s="301"/>
      <c r="E64" s="301"/>
      <c r="F64" s="302"/>
    </row>
    <row r="65" spans="1:6" ht="18.75" customHeight="1" x14ac:dyDescent="0.2">
      <c r="A65" s="36"/>
      <c r="B65" s="300"/>
      <c r="C65" s="301"/>
      <c r="D65" s="301"/>
      <c r="E65" s="301"/>
      <c r="F65" s="302"/>
    </row>
    <row r="66" spans="1:6" ht="18.75" customHeight="1" x14ac:dyDescent="0.2">
      <c r="A66" s="36"/>
      <c r="B66" s="300"/>
      <c r="C66" s="301"/>
      <c r="D66" s="301"/>
      <c r="E66" s="301"/>
      <c r="F66" s="302"/>
    </row>
    <row r="67" spans="1:6" ht="18.75" customHeight="1" x14ac:dyDescent="0.2">
      <c r="A67" s="36"/>
      <c r="B67" s="300"/>
      <c r="C67" s="301"/>
      <c r="D67" s="301"/>
      <c r="E67" s="301"/>
      <c r="F67" s="302"/>
    </row>
    <row r="68" spans="1:6" ht="18.75" customHeight="1" x14ac:dyDescent="0.2">
      <c r="A68" s="36"/>
      <c r="B68" s="300"/>
      <c r="C68" s="301"/>
      <c r="D68" s="301"/>
      <c r="E68" s="301"/>
      <c r="F68" s="302"/>
    </row>
    <row r="69" spans="1:6" ht="18.75" customHeight="1" x14ac:dyDescent="0.2">
      <c r="A69" s="36"/>
      <c r="B69" s="300"/>
      <c r="C69" s="301"/>
      <c r="D69" s="301"/>
      <c r="E69" s="301"/>
      <c r="F69" s="302"/>
    </row>
    <row r="70" spans="1:6" ht="18.75" customHeight="1" x14ac:dyDescent="0.2">
      <c r="A70" s="36"/>
      <c r="B70" s="300"/>
      <c r="C70" s="301"/>
      <c r="D70" s="301"/>
      <c r="E70" s="301"/>
      <c r="F70" s="302"/>
    </row>
    <row r="71" spans="1:6" ht="18.75" customHeight="1" x14ac:dyDescent="0.2">
      <c r="A71" s="36"/>
      <c r="B71" s="300"/>
      <c r="C71" s="301"/>
      <c r="D71" s="301"/>
      <c r="E71" s="301"/>
      <c r="F71" s="302"/>
    </row>
    <row r="72" spans="1:6" ht="18.75" customHeight="1" x14ac:dyDescent="0.2">
      <c r="A72" s="36"/>
      <c r="B72" s="300"/>
      <c r="C72" s="301"/>
      <c r="D72" s="301"/>
      <c r="E72" s="301"/>
      <c r="F72" s="302"/>
    </row>
    <row r="73" spans="1:6" ht="18.75" customHeight="1" x14ac:dyDescent="0.2">
      <c r="A73" s="36"/>
      <c r="B73" s="300"/>
      <c r="C73" s="301"/>
      <c r="D73" s="301"/>
      <c r="E73" s="301"/>
      <c r="F73" s="302"/>
    </row>
    <row r="74" spans="1:6" ht="18.75" customHeight="1" x14ac:dyDescent="0.2">
      <c r="A74" s="36"/>
      <c r="B74" s="300"/>
      <c r="C74" s="301"/>
      <c r="D74" s="301"/>
      <c r="E74" s="301"/>
      <c r="F74" s="302"/>
    </row>
    <row r="75" spans="1:6" ht="18.75" customHeight="1" x14ac:dyDescent="0.2">
      <c r="A75" s="36"/>
      <c r="B75" s="300"/>
      <c r="C75" s="301"/>
      <c r="D75" s="301"/>
      <c r="E75" s="301"/>
      <c r="F75" s="302"/>
    </row>
    <row r="76" spans="1:6" ht="18.75" customHeight="1" x14ac:dyDescent="0.2">
      <c r="A76" s="36"/>
      <c r="B76" s="300"/>
      <c r="C76" s="301"/>
      <c r="D76" s="301"/>
      <c r="E76" s="301"/>
      <c r="F76" s="302"/>
    </row>
    <row r="77" spans="1:6" ht="18.75" customHeight="1" x14ac:dyDescent="0.2">
      <c r="A77" s="36"/>
      <c r="B77" s="300"/>
      <c r="C77" s="301"/>
      <c r="D77" s="301"/>
      <c r="E77" s="301"/>
      <c r="F77" s="302"/>
    </row>
    <row r="78" spans="1:6" ht="18.75" customHeight="1" x14ac:dyDescent="0.2">
      <c r="A78" s="36"/>
      <c r="B78" s="300"/>
      <c r="C78" s="301"/>
      <c r="D78" s="301"/>
      <c r="E78" s="301"/>
      <c r="F78" s="302"/>
    </row>
    <row r="79" spans="1:6" ht="18.75" customHeight="1" x14ac:dyDescent="0.2">
      <c r="A79" s="36"/>
      <c r="B79" s="300"/>
      <c r="C79" s="301"/>
      <c r="D79" s="301"/>
      <c r="E79" s="301"/>
      <c r="F79" s="302"/>
    </row>
    <row r="80" spans="1:6" ht="18.75" customHeight="1" x14ac:dyDescent="0.2">
      <c r="A80" s="36"/>
      <c r="B80" s="300"/>
      <c r="C80" s="301"/>
      <c r="D80" s="301"/>
      <c r="E80" s="301"/>
      <c r="F80" s="302"/>
    </row>
    <row r="81" spans="1:6" ht="18.75" customHeight="1" x14ac:dyDescent="0.2">
      <c r="A81" s="36"/>
      <c r="B81" s="300"/>
      <c r="C81" s="301"/>
      <c r="D81" s="301"/>
      <c r="E81" s="301"/>
      <c r="F81" s="302"/>
    </row>
    <row r="82" spans="1:6" ht="18.75" customHeight="1" x14ac:dyDescent="0.2">
      <c r="A82" s="36"/>
      <c r="B82" s="300"/>
      <c r="C82" s="301"/>
      <c r="D82" s="301"/>
      <c r="E82" s="301"/>
      <c r="F82" s="302"/>
    </row>
    <row r="83" spans="1:6" ht="18.75" customHeight="1" x14ac:dyDescent="0.2">
      <c r="A83" s="36"/>
      <c r="B83" s="303"/>
      <c r="C83" s="304"/>
      <c r="D83" s="304"/>
      <c r="E83" s="304"/>
      <c r="F83" s="305"/>
    </row>
    <row r="84" spans="1:6" ht="18.75" customHeight="1" x14ac:dyDescent="0.2">
      <c r="A84" s="4" t="s">
        <v>11</v>
      </c>
      <c r="B84" s="4" t="s">
        <v>74</v>
      </c>
      <c r="C84" s="4"/>
      <c r="D84" s="4"/>
      <c r="E84" s="4"/>
      <c r="F84" s="4"/>
    </row>
    <row r="85" spans="1:6" ht="18.75" customHeight="1" x14ac:dyDescent="0.2">
      <c r="A85" s="36"/>
      <c r="B85" s="289" t="s">
        <v>223</v>
      </c>
      <c r="C85" s="298"/>
      <c r="D85" s="298"/>
      <c r="E85" s="298"/>
      <c r="F85" s="299"/>
    </row>
    <row r="86" spans="1:6" ht="18.75" customHeight="1" x14ac:dyDescent="0.2">
      <c r="A86" s="36"/>
      <c r="B86" s="300"/>
      <c r="C86" s="301"/>
      <c r="D86" s="301"/>
      <c r="E86" s="301"/>
      <c r="F86" s="302"/>
    </row>
    <row r="87" spans="1:6" ht="18.75" customHeight="1" x14ac:dyDescent="0.2">
      <c r="A87" s="36"/>
      <c r="B87" s="300"/>
      <c r="C87" s="301"/>
      <c r="D87" s="301"/>
      <c r="E87" s="301"/>
      <c r="F87" s="302"/>
    </row>
    <row r="88" spans="1:6" ht="18.75" customHeight="1" x14ac:dyDescent="0.2">
      <c r="A88" s="36"/>
      <c r="B88" s="300"/>
      <c r="C88" s="301"/>
      <c r="D88" s="301"/>
      <c r="E88" s="301"/>
      <c r="F88" s="302"/>
    </row>
    <row r="89" spans="1:6" ht="18.75" customHeight="1" x14ac:dyDescent="0.2">
      <c r="A89" s="36"/>
      <c r="B89" s="300"/>
      <c r="C89" s="301"/>
      <c r="D89" s="301"/>
      <c r="E89" s="301"/>
      <c r="F89" s="302"/>
    </row>
    <row r="90" spans="1:6" ht="18.75" customHeight="1" x14ac:dyDescent="0.2">
      <c r="A90" s="36"/>
      <c r="B90" s="300"/>
      <c r="C90" s="301"/>
      <c r="D90" s="301"/>
      <c r="E90" s="301"/>
      <c r="F90" s="302"/>
    </row>
    <row r="91" spans="1:6" ht="18.75" customHeight="1" x14ac:dyDescent="0.2">
      <c r="A91" s="36"/>
      <c r="B91" s="300"/>
      <c r="C91" s="301"/>
      <c r="D91" s="301"/>
      <c r="E91" s="301"/>
      <c r="F91" s="302"/>
    </row>
    <row r="92" spans="1:6" ht="18.75" customHeight="1" x14ac:dyDescent="0.2">
      <c r="A92" s="36"/>
      <c r="B92" s="300"/>
      <c r="C92" s="301"/>
      <c r="D92" s="301"/>
      <c r="E92" s="301"/>
      <c r="F92" s="302"/>
    </row>
    <row r="93" spans="1:6" ht="18.75" customHeight="1" x14ac:dyDescent="0.2">
      <c r="A93" s="36"/>
      <c r="B93" s="300"/>
      <c r="C93" s="301"/>
      <c r="D93" s="301"/>
      <c r="E93" s="301"/>
      <c r="F93" s="302"/>
    </row>
    <row r="94" spans="1:6" ht="18.75" customHeight="1" x14ac:dyDescent="0.2">
      <c r="A94" s="36"/>
      <c r="B94" s="300"/>
      <c r="C94" s="301"/>
      <c r="D94" s="301"/>
      <c r="E94" s="301"/>
      <c r="F94" s="302"/>
    </row>
    <row r="95" spans="1:6" ht="18.75" customHeight="1" x14ac:dyDescent="0.2">
      <c r="A95" s="36"/>
      <c r="B95" s="300"/>
      <c r="C95" s="301"/>
      <c r="D95" s="301"/>
      <c r="E95" s="301"/>
      <c r="F95" s="302"/>
    </row>
    <row r="96" spans="1:6" ht="18.75" customHeight="1" x14ac:dyDescent="0.2">
      <c r="A96" s="36"/>
      <c r="B96" s="300"/>
      <c r="C96" s="301"/>
      <c r="D96" s="301"/>
      <c r="E96" s="301"/>
      <c r="F96" s="302"/>
    </row>
    <row r="97" spans="1:6" ht="18.75" customHeight="1" x14ac:dyDescent="0.2">
      <c r="A97" s="36"/>
      <c r="B97" s="300"/>
      <c r="C97" s="301"/>
      <c r="D97" s="301"/>
      <c r="E97" s="301"/>
      <c r="F97" s="302"/>
    </row>
    <row r="98" spans="1:6" ht="18.75" customHeight="1" x14ac:dyDescent="0.2">
      <c r="A98" s="36"/>
      <c r="B98" s="300"/>
      <c r="C98" s="301"/>
      <c r="D98" s="301"/>
      <c r="E98" s="301"/>
      <c r="F98" s="302"/>
    </row>
    <row r="99" spans="1:6" ht="18.75" customHeight="1" x14ac:dyDescent="0.2">
      <c r="A99" s="36"/>
      <c r="B99" s="300"/>
      <c r="C99" s="301"/>
      <c r="D99" s="301"/>
      <c r="E99" s="301"/>
      <c r="F99" s="302"/>
    </row>
    <row r="100" spans="1:6" ht="18.75" customHeight="1" x14ac:dyDescent="0.2">
      <c r="A100" s="36"/>
      <c r="B100" s="300"/>
      <c r="C100" s="301"/>
      <c r="D100" s="301"/>
      <c r="E100" s="301"/>
      <c r="F100" s="302"/>
    </row>
    <row r="101" spans="1:6" ht="18.75" customHeight="1" x14ac:dyDescent="0.2">
      <c r="A101" s="36"/>
      <c r="B101" s="300"/>
      <c r="C101" s="301"/>
      <c r="D101" s="301"/>
      <c r="E101" s="301"/>
      <c r="F101" s="302"/>
    </row>
    <row r="102" spans="1:6" ht="18.75" customHeight="1" x14ac:dyDescent="0.2">
      <c r="A102" s="36"/>
      <c r="B102" s="300"/>
      <c r="C102" s="301"/>
      <c r="D102" s="301"/>
      <c r="E102" s="301"/>
      <c r="F102" s="302"/>
    </row>
    <row r="103" spans="1:6" ht="18.75" customHeight="1" x14ac:dyDescent="0.2">
      <c r="A103" s="36"/>
      <c r="B103" s="300"/>
      <c r="C103" s="301"/>
      <c r="D103" s="301"/>
      <c r="E103" s="301"/>
      <c r="F103" s="302"/>
    </row>
    <row r="104" spans="1:6" ht="18.75" customHeight="1" x14ac:dyDescent="0.2">
      <c r="A104" s="36"/>
      <c r="B104" s="300"/>
      <c r="C104" s="301"/>
      <c r="D104" s="301"/>
      <c r="E104" s="301"/>
      <c r="F104" s="302"/>
    </row>
    <row r="105" spans="1:6" ht="18.75" customHeight="1" x14ac:dyDescent="0.2">
      <c r="A105" s="36"/>
      <c r="B105" s="300"/>
      <c r="C105" s="301"/>
      <c r="D105" s="301"/>
      <c r="E105" s="301"/>
      <c r="F105" s="302"/>
    </row>
    <row r="106" spans="1:6" ht="18.75" customHeight="1" x14ac:dyDescent="0.2">
      <c r="A106" s="36"/>
      <c r="B106" s="300"/>
      <c r="C106" s="301"/>
      <c r="D106" s="301"/>
      <c r="E106" s="301"/>
      <c r="F106" s="302"/>
    </row>
    <row r="107" spans="1:6" ht="18.75" customHeight="1" x14ac:dyDescent="0.2">
      <c r="A107" s="36"/>
      <c r="B107" s="300"/>
      <c r="C107" s="301"/>
      <c r="D107" s="301"/>
      <c r="E107" s="301"/>
      <c r="F107" s="302"/>
    </row>
    <row r="108" spans="1:6" ht="18.75" customHeight="1" x14ac:dyDescent="0.2">
      <c r="A108" s="36"/>
      <c r="B108" s="300"/>
      <c r="C108" s="301"/>
      <c r="D108" s="301"/>
      <c r="E108" s="301"/>
      <c r="F108" s="302"/>
    </row>
    <row r="109" spans="1:6" ht="18.75" customHeight="1" x14ac:dyDescent="0.2">
      <c r="A109" s="36"/>
      <c r="B109" s="300"/>
      <c r="C109" s="301"/>
      <c r="D109" s="301"/>
      <c r="E109" s="301"/>
      <c r="F109" s="302"/>
    </row>
    <row r="110" spans="1:6" ht="18.75" customHeight="1" x14ac:dyDescent="0.2">
      <c r="A110" s="36"/>
      <c r="B110" s="300"/>
      <c r="C110" s="301"/>
      <c r="D110" s="301"/>
      <c r="E110" s="301"/>
      <c r="F110" s="302"/>
    </row>
    <row r="111" spans="1:6" ht="18.75" customHeight="1" x14ac:dyDescent="0.2">
      <c r="A111" s="36"/>
      <c r="B111" s="300"/>
      <c r="C111" s="301"/>
      <c r="D111" s="301"/>
      <c r="E111" s="301"/>
      <c r="F111" s="302"/>
    </row>
    <row r="112" spans="1:6" ht="18.75" customHeight="1" x14ac:dyDescent="0.2">
      <c r="A112" s="36"/>
      <c r="B112" s="300"/>
      <c r="C112" s="301"/>
      <c r="D112" s="301"/>
      <c r="E112" s="301"/>
      <c r="F112" s="302"/>
    </row>
    <row r="113" spans="1:6" ht="18.75" customHeight="1" x14ac:dyDescent="0.2">
      <c r="A113" s="36"/>
      <c r="B113" s="300"/>
      <c r="C113" s="301"/>
      <c r="D113" s="301"/>
      <c r="E113" s="301"/>
      <c r="F113" s="302"/>
    </row>
    <row r="114" spans="1:6" ht="18.75" customHeight="1" x14ac:dyDescent="0.2">
      <c r="A114" s="36"/>
      <c r="B114" s="300"/>
      <c r="C114" s="301"/>
      <c r="D114" s="301"/>
      <c r="E114" s="301"/>
      <c r="F114" s="302"/>
    </row>
    <row r="115" spans="1:6" ht="18.75" customHeight="1" x14ac:dyDescent="0.2">
      <c r="A115" s="36"/>
      <c r="B115" s="300"/>
      <c r="C115" s="301"/>
      <c r="D115" s="301"/>
      <c r="E115" s="301"/>
      <c r="F115" s="302"/>
    </row>
    <row r="116" spans="1:6" ht="18.75" customHeight="1" x14ac:dyDescent="0.2">
      <c r="A116" s="36"/>
      <c r="B116" s="300"/>
      <c r="C116" s="301"/>
      <c r="D116" s="301"/>
      <c r="E116" s="301"/>
      <c r="F116" s="302"/>
    </row>
    <row r="117" spans="1:6" ht="18.75" customHeight="1" x14ac:dyDescent="0.2">
      <c r="A117" s="36"/>
      <c r="B117" s="300"/>
      <c r="C117" s="301"/>
      <c r="D117" s="301"/>
      <c r="E117" s="301"/>
      <c r="F117" s="302"/>
    </row>
    <row r="118" spans="1:6" ht="18.75" customHeight="1" x14ac:dyDescent="0.2">
      <c r="A118" s="36"/>
      <c r="B118" s="300"/>
      <c r="C118" s="301"/>
      <c r="D118" s="301"/>
      <c r="E118" s="301"/>
      <c r="F118" s="302"/>
    </row>
    <row r="119" spans="1:6" ht="18.75" customHeight="1" x14ac:dyDescent="0.2">
      <c r="A119" s="36"/>
      <c r="B119" s="300"/>
      <c r="C119" s="301"/>
      <c r="D119" s="301"/>
      <c r="E119" s="301"/>
      <c r="F119" s="302"/>
    </row>
    <row r="120" spans="1:6" ht="18.75" customHeight="1" x14ac:dyDescent="0.2">
      <c r="A120" s="36"/>
      <c r="B120" s="300"/>
      <c r="C120" s="301"/>
      <c r="D120" s="301"/>
      <c r="E120" s="301"/>
      <c r="F120" s="302"/>
    </row>
    <row r="121" spans="1:6" ht="18.75" customHeight="1" x14ac:dyDescent="0.2">
      <c r="A121" s="36"/>
      <c r="B121" s="300"/>
      <c r="C121" s="301"/>
      <c r="D121" s="301"/>
      <c r="E121" s="301"/>
      <c r="F121" s="302"/>
    </row>
    <row r="122" spans="1:6" ht="18.75" customHeight="1" x14ac:dyDescent="0.2">
      <c r="A122" s="36"/>
      <c r="B122" s="300"/>
      <c r="C122" s="301"/>
      <c r="D122" s="301"/>
      <c r="E122" s="301"/>
      <c r="F122" s="302"/>
    </row>
    <row r="123" spans="1:6" ht="18.75" customHeight="1" x14ac:dyDescent="0.2">
      <c r="A123" s="36"/>
      <c r="B123" s="300"/>
      <c r="C123" s="301"/>
      <c r="D123" s="301"/>
      <c r="E123" s="301"/>
      <c r="F123" s="302"/>
    </row>
    <row r="124" spans="1:6" ht="18.75" customHeight="1" x14ac:dyDescent="0.2">
      <c r="A124" s="36"/>
      <c r="B124" s="303"/>
      <c r="C124" s="304"/>
      <c r="D124" s="304"/>
      <c r="E124" s="304"/>
      <c r="F124" s="305"/>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scale="97"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佐竹 秀夫</cp:lastModifiedBy>
  <cp:lastPrinted>2022-05-01T20:31:15Z</cp:lastPrinted>
  <dcterms:created xsi:type="dcterms:W3CDTF">2011-06-14T05:32:50Z</dcterms:created>
  <dcterms:modified xsi:type="dcterms:W3CDTF">2022-05-24T07:53:01Z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