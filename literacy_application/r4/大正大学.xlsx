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c-file\share\apollon\a28総合学修支援部\1_機構DAC・総合学修支援部運営関連\数理・データサイエンス・AI教育プログラム認定制度申請書類\提出資料データ作成過程資料\01大正大学_リテラシー_修正\"/>
    </mc:Choice>
  </mc:AlternateContent>
  <bookViews>
    <workbookView xWindow="0" yWindow="0" windowWidth="28800" windowHeight="3810" tabRatio="885" firstSheet="1" activeTab="4"/>
  </bookViews>
  <sheets>
    <sheet name="様式１　大学等概要" sheetId="8" r:id="rId1"/>
    <sheet name="様式２　プログラムを構成する授業科目 " sheetId="44"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 '!#REF!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 '!$A$1:$Z$98</definedName>
    <definedName name="_xlnm.Print_Area" localSheetId="2">'様式３　履修者等数の実績'!$A$1:$R$30</definedName>
    <definedName name="_xlnm.Print_Area" localSheetId="3">'様式４　教育の質・履修者数を向上させるための体制・計画'!$A$1:$J$124</definedName>
    <definedName name="_xlnm.Print_Area" localSheetId="4">'様式５　自己点検・評価'!$A$1:$J$18</definedName>
    <definedName name="_xlnm.Print_Area" localSheetId="5">'様式６　特色ある取組'!$A$1:$F$120</definedName>
  </definedNames>
  <calcPr calcId="162913"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3" i="41" l="1"/>
  <c r="R12" i="40"/>
  <c r="R11" i="40"/>
  <c r="Q12" i="40"/>
  <c r="D11" i="40" l="1"/>
  <c r="J20" i="8" l="1"/>
  <c r="K18" i="42" l="1"/>
  <c r="K109" i="41"/>
  <c r="K87" i="41"/>
  <c r="K67" i="41"/>
  <c r="K44" i="41"/>
  <c r="K35" i="41"/>
  <c r="K19" i="41"/>
  <c r="K8" i="41"/>
  <c r="K5" i="41"/>
  <c r="C4" i="40"/>
  <c r="O12" i="8"/>
  <c r="O10" i="8"/>
  <c r="K16" i="42" l="1"/>
  <c r="K15" i="42"/>
  <c r="K14" i="42"/>
  <c r="K13" i="42"/>
  <c r="K11" i="42"/>
  <c r="K10" i="42"/>
  <c r="K9" i="42"/>
  <c r="K8" i="42"/>
  <c r="K7" i="42"/>
  <c r="P30" i="40" l="1"/>
  <c r="O30" i="40"/>
  <c r="N30" i="40"/>
  <c r="M30" i="40"/>
  <c r="L30" i="40"/>
  <c r="K30" i="40"/>
  <c r="J30" i="40"/>
  <c r="I30" i="40"/>
  <c r="H30" i="40"/>
  <c r="G30" i="40"/>
  <c r="F30" i="40"/>
  <c r="E30" i="40"/>
  <c r="D30" i="40"/>
  <c r="C30" i="40"/>
  <c r="Q29" i="40"/>
  <c r="R29" i="40" s="1"/>
  <c r="Q28" i="40"/>
  <c r="R28" i="40" s="1"/>
  <c r="Q27" i="40"/>
  <c r="R27" i="40" s="1"/>
  <c r="R26" i="40"/>
  <c r="Q26" i="40"/>
  <c r="Q25" i="40"/>
  <c r="R25" i="40" s="1"/>
  <c r="R24" i="40"/>
  <c r="Q24" i="40"/>
  <c r="Q23" i="40"/>
  <c r="R23" i="40" s="1"/>
  <c r="R22" i="40"/>
  <c r="Q22" i="40"/>
  <c r="Q21" i="40"/>
  <c r="R21" i="40" s="1"/>
  <c r="Q20" i="40"/>
  <c r="R20" i="40" s="1"/>
  <c r="Q19" i="40"/>
  <c r="R19" i="40" s="1"/>
  <c r="Q18" i="40"/>
  <c r="R18" i="40" s="1"/>
  <c r="Q17" i="40"/>
  <c r="R17" i="40" s="1"/>
  <c r="Q16" i="40"/>
  <c r="R16" i="40" s="1"/>
  <c r="Q15" i="40"/>
  <c r="R15" i="40" s="1"/>
  <c r="Q14" i="40"/>
  <c r="R14" i="40" s="1"/>
  <c r="Q13" i="40"/>
  <c r="R13" i="40" s="1"/>
  <c r="Q11" i="40"/>
  <c r="Q10" i="40"/>
  <c r="Q30" i="40" l="1"/>
  <c r="R30" i="40" s="1"/>
  <c r="C32" i="41" s="1"/>
  <c r="R10" i="40"/>
  <c r="O4" i="8"/>
  <c r="O45" i="8"/>
  <c r="O44" i="8"/>
  <c r="O41" i="8"/>
  <c r="O37" i="8"/>
  <c r="O39" i="8"/>
  <c r="O34" i="8"/>
  <c r="O29" i="8"/>
  <c r="O32" i="8"/>
  <c r="O20" i="8"/>
  <c r="O18" i="8"/>
  <c r="O16" i="8"/>
  <c r="O14" i="8"/>
  <c r="O8" i="8"/>
  <c r="O6" i="8"/>
</calcChain>
</file>

<file path=xl/sharedStrings.xml><?xml version="1.0" encoding="utf-8"?>
<sst xmlns="http://schemas.openxmlformats.org/spreadsheetml/2006/main" count="453" uniqueCount="232">
  <si>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</si>
  <si>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</si>
  <si>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</si>
  <si>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</si>
  <si>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</si>
  <si>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</si>
  <si>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</si>
  <si>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</si>
  <si>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</si>
  <si>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</si>
  <si>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</si>
  <si>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</si>
  <si>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</si>
  <si>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</si>
  <si>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</si>
  <si>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</si>
  <si>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</si>
  <si>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</si>
  <si>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</si>
  <si>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</si>
  <si>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</si>
  <si>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</si>
  <si>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</si>
  <si>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</si>
  <si>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</si>
  <si>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</si>
  <si>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</si>
  <si>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</si>
  <si>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</si>
  <si>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</si>
  <si>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</si>
  <si>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</si>
  <si>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</si>
  <si>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</si>
  <si>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</si>
  <si>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</si>
  <si>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</si>
  <si>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</si>
  <si>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</si>
  <si>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</si>
  <si>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</si>
  <si>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</si>
  <si>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</si>
  <si>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</si>
  <si>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</si>
  <si>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</si>
  <si>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</si>
  <si>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</si>
  <si>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</si>
  <si>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</si>
  <si>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</si>
  <si>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</si>
  <si>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</si>
  <si>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</si>
  <si>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</si>
  <si>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</si>
  <si>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</si>
  <si>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</si>
  <si>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</si>
  <si>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</si>
  <si>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</si>
  <si>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</si>
  <si>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</si>
  <si>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</si>
  <si>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</si>
  <si>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</si>
  <si>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</si>
  <si>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</si>
  <si>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</si>
  <si>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</si>
  <si>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</si>
  <si>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</si>
  <si>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</si>
  <si>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</si>
  <si>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</si>
  <si>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</si>
  <si>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</si>
  <si>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</si>
  <si>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</si>
  <si>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</si>
  <si>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</si>
  <si>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</si>
  <si>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</si>
  <si>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</si>
  <si>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</si>
  <si>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</si>
  <si>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</si>
  <si>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</si>
  <si>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</si>
  <si>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</si>
  <si>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</si>
  <si>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</si>
  <si>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</si>
  <si>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</si>
  <si>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</si>
  <si>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</si>
  <si>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</si>
  <si>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</si>
  <si>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</si>
  <si>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</si>
  <si>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</si>
  <si>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</si>
  <si>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</si>
  <si>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</si>
  <si>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</si>
  <si>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</si>
  <si>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</si>
  <si>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</si>
  <si>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</si>
  <si>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</si>
  <si>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</si>
  <si>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</si>
  <si>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</si>
  <si>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選択</t>
    <rPh sb="0" eb="2">
      <t>センタク</t>
    </rPh>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</si>
  <si>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</si>
  <si>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</si>
  <si>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</si>
  <si>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</si>
  <si>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</si>
  <si>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</si>
  <si>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</si>
  <si>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</si>
  <si>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</si>
  <si>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</si>
  <si>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</si>
  <si>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</si>
  <si>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</si>
  <si>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</si>
  <si>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</si>
  <si>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</si>
  <si>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</si>
  <si>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</si>
  <si>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</si>
  <si>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</si>
  <si>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</si>
  <si>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</si>
  <si>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</si>
  <si>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</si>
  <si>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</si>
  <si>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</si>
  <si>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</si>
  <si>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</si>
  <si>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</si>
  <si>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</si>
  <si>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</si>
  <si>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</si>
  <si>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</si>
  <si>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</si>
  <si>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</si>
  <si>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</si>
  <si>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</si>
  <si>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4-1統計および数理基礎</t>
  </si>
  <si>
    <t>全学開講</t>
  </si>
  <si>
    <t>○</t>
  </si>
  <si>
    <t>学部・学科によって、修了要件は相違しない</t>
  </si>
  <si>
    <t>①プログラム開設年度</t>
    <rPh sb="6" eb="8">
      <t>カイセツ</t>
    </rPh>
    <rPh sb="8" eb="10">
      <t>ネンド</t>
    </rPh>
    <phoneticPr fontId="1"/>
  </si>
  <si>
    <t>大正大学</t>
    <rPh sb="0" eb="4">
      <t>タイショウ</t>
    </rPh>
    <phoneticPr fontId="1"/>
  </si>
  <si>
    <t>学校法人　大正大学</t>
    <rPh sb="0" eb="2">
      <t>ガッコウ</t>
    </rPh>
    <rPh sb="2" eb="4">
      <t>ホウジン</t>
    </rPh>
    <rPh sb="5" eb="9">
      <t>タイショウ</t>
    </rPh>
    <phoneticPr fontId="1"/>
  </si>
  <si>
    <t>私立大学</t>
    <rPh sb="0" eb="2">
      <t>シリツ</t>
    </rPh>
    <rPh sb="2" eb="4">
      <t>ダイガク</t>
    </rPh>
    <phoneticPr fontId="1"/>
  </si>
  <si>
    <t xml:space="preserve"> 東京都豊島区西巣鴨３丁目２０−１</t>
    <rPh sb="1" eb="4">
      <t>トウキョウト</t>
    </rPh>
    <rPh sb="4" eb="6">
      <t>トシマ</t>
    </rPh>
    <rPh sb="6" eb="7">
      <t>ク</t>
    </rPh>
    <rPh sb="7" eb="10">
      <t>ニシスガモ</t>
    </rPh>
    <rPh sb="11" eb="13">
      <t>チョウメ</t>
    </rPh>
    <phoneticPr fontId="1"/>
  </si>
  <si>
    <t>データサイエンス</t>
    <phoneticPr fontId="1"/>
  </si>
  <si>
    <t>令和２</t>
    <rPh sb="0" eb="2">
      <t>レイワ</t>
    </rPh>
    <phoneticPr fontId="1"/>
  </si>
  <si>
    <t>無</t>
  </si>
  <si>
    <t>前田 長子</t>
    <rPh sb="0" eb="5">
      <t>マエダ</t>
    </rPh>
    <phoneticPr fontId="1"/>
  </si>
  <si>
    <t>認定教育プログラムと認定教育プログラム+（プラス）</t>
  </si>
  <si>
    <t>君島　菜菜</t>
    <rPh sb="0" eb="2">
      <t>キミジマ</t>
    </rPh>
    <rPh sb="3" eb="5">
      <t>ナナ</t>
    </rPh>
    <phoneticPr fontId="1"/>
  </si>
  <si>
    <t>n_kimijima@mail.tais.ac.jp</t>
    <phoneticPr fontId="1"/>
  </si>
  <si>
    <t>03-5394-3064</t>
    <phoneticPr fontId="1"/>
  </si>
  <si>
    <t>データサイエンスⅠ</t>
    <phoneticPr fontId="1"/>
  </si>
  <si>
    <t>データサイエンスⅡ</t>
    <phoneticPr fontId="1"/>
  </si>
  <si>
    <t>データサイエンスⅢ</t>
    <phoneticPr fontId="1"/>
  </si>
  <si>
    <t>データサイエンスⅣ</t>
    <phoneticPr fontId="1"/>
  </si>
  <si>
    <t>データサイエンスⅤ</t>
    <phoneticPr fontId="1"/>
  </si>
  <si>
    <t>データサイエンスⅥ</t>
    <phoneticPr fontId="1"/>
  </si>
  <si>
    <t>データサイエンスⅠ～Ⅵ</t>
    <phoneticPr fontId="1"/>
  </si>
  <si>
    <t>4‐4時系列データ解析</t>
  </si>
  <si>
    <t>データサイエンスⅡ～Ⅵ</t>
    <phoneticPr fontId="1"/>
  </si>
  <si>
    <t>4‐7データハンドリング</t>
  </si>
  <si>
    <t>4‐8データ活用実践（教師あり学習）</t>
  </si>
  <si>
    <t>データサイエンスⅤ～Ⅵ</t>
    <phoneticPr fontId="1"/>
  </si>
  <si>
    <t>表現学部</t>
    <rPh sb="0" eb="2">
      <t>ヒョウゲン</t>
    </rPh>
    <rPh sb="2" eb="4">
      <t>ガクブ</t>
    </rPh>
    <phoneticPr fontId="1"/>
  </si>
  <si>
    <t>地域創生学部</t>
    <rPh sb="0" eb="6">
      <t>チイキソウセイガクブ</t>
    </rPh>
    <phoneticPr fontId="1"/>
  </si>
  <si>
    <t>社会共生学部</t>
    <rPh sb="0" eb="2">
      <t>シャカイ</t>
    </rPh>
    <rPh sb="2" eb="4">
      <t>キョウセイ</t>
    </rPh>
    <rPh sb="4" eb="6">
      <t>ガクブ</t>
    </rPh>
    <phoneticPr fontId="1"/>
  </si>
  <si>
    <t>文学部</t>
    <rPh sb="0" eb="3">
      <t>ブンガクブ</t>
    </rPh>
    <phoneticPr fontId="1"/>
  </si>
  <si>
    <t>仏教学部</t>
    <rPh sb="0" eb="2">
      <t>ブッキョウ</t>
    </rPh>
    <rPh sb="2" eb="4">
      <t>ガクブ</t>
    </rPh>
    <phoneticPr fontId="1"/>
  </si>
  <si>
    <t>心理社会学部</t>
    <rPh sb="0" eb="6">
      <t>シンリシャカイガクブ</t>
    </rPh>
    <phoneticPr fontId="1"/>
  </si>
  <si>
    <t>学長</t>
    <rPh sb="0" eb="2">
      <t>ガクチョウ</t>
    </rPh>
    <phoneticPr fontId="1"/>
  </si>
  <si>
    <t>令和2年度より3学部のみでの先行必修化、令和3年度からは全6学部での必修科目となったため、令和6年度には履修率100%を達成できる見込み。</t>
    <rPh sb="0" eb="2">
      <t>レイワ</t>
    </rPh>
    <rPh sb="3" eb="5">
      <t>ネンド</t>
    </rPh>
    <rPh sb="8" eb="10">
      <t>ガクブ</t>
    </rPh>
    <rPh sb="14" eb="16">
      <t>センコウ</t>
    </rPh>
    <rPh sb="16" eb="18">
      <t>ヒッシュウ</t>
    </rPh>
    <rPh sb="18" eb="19">
      <t>カ</t>
    </rPh>
    <rPh sb="20" eb="22">
      <t>レイワ</t>
    </rPh>
    <rPh sb="23" eb="25">
      <t>ネンド</t>
    </rPh>
    <rPh sb="28" eb="29">
      <t>ゼン</t>
    </rPh>
    <rPh sb="30" eb="32">
      <t>ガクブ</t>
    </rPh>
    <rPh sb="34" eb="36">
      <t>ヒッシュウ</t>
    </rPh>
    <rPh sb="36" eb="38">
      <t>カモク</t>
    </rPh>
    <rPh sb="45" eb="47">
      <t>レイワ</t>
    </rPh>
    <rPh sb="48" eb="50">
      <t>ネンド</t>
    </rPh>
    <rPh sb="52" eb="55">
      <t>リシュウリツ</t>
    </rPh>
    <rPh sb="60" eb="62">
      <t>タッセイ</t>
    </rPh>
    <rPh sb="65" eb="67">
      <t>ミコ</t>
    </rPh>
    <phoneticPr fontId="1"/>
  </si>
  <si>
    <t>主観的な判断ではなく、データをもとに意思決定を行うデータドリブンな思考を高め社会の課題を解決し、価値を創造していく人材育成を教育目標とし、
情報リテラシー、基本統計知識、ＡＩ基礎知識、Exceleによる基本的な情報処理スキル、Tableauによるデータ可視化スキルを身に付ける。最終的には複数のデータ分析から多面的な課題抽出を行い、課題の発見と解決策の提案ができる力をつける。</t>
    <rPh sb="59" eb="61">
      <t>イクセイ</t>
    </rPh>
    <rPh sb="62" eb="64">
      <t>キョウイク</t>
    </rPh>
    <rPh sb="64" eb="66">
      <t>モクヒョウ</t>
    </rPh>
    <rPh sb="70" eb="72">
      <t>ジョウホウ</t>
    </rPh>
    <rPh sb="78" eb="80">
      <t>キホン</t>
    </rPh>
    <rPh sb="80" eb="82">
      <t>トウケイ</t>
    </rPh>
    <rPh sb="82" eb="84">
      <t>チシキ</t>
    </rPh>
    <rPh sb="87" eb="89">
      <t>キソ</t>
    </rPh>
    <rPh sb="89" eb="91">
      <t>チシキ</t>
    </rPh>
    <rPh sb="101" eb="104">
      <t>キホンテキ</t>
    </rPh>
    <rPh sb="105" eb="107">
      <t>ジョウホウ</t>
    </rPh>
    <rPh sb="107" eb="109">
      <t>ショリ</t>
    </rPh>
    <rPh sb="126" eb="129">
      <t>カシカ</t>
    </rPh>
    <rPh sb="133" eb="134">
      <t>ミ</t>
    </rPh>
    <rPh sb="135" eb="136">
      <t>ツ</t>
    </rPh>
    <rPh sb="139" eb="141">
      <t>サイシュウ</t>
    </rPh>
    <rPh sb="141" eb="142">
      <t>テキ</t>
    </rPh>
    <rPh sb="176" eb="178">
      <t>テイアン</t>
    </rPh>
    <rPh sb="182" eb="183">
      <t>チカラ</t>
    </rPh>
    <phoneticPr fontId="1"/>
  </si>
  <si>
    <t>プログラムを構成するデータサイエンスⅠ～Ⅵ（各1単位）を必修として合計6単位を取得すること。</t>
    <rPh sb="22" eb="23">
      <t>カク</t>
    </rPh>
    <rPh sb="24" eb="26">
      <t>タンイ</t>
    </rPh>
    <rPh sb="28" eb="30">
      <t>ヒッシュウ</t>
    </rPh>
    <rPh sb="33" eb="35">
      <t>ゴウケイ</t>
    </rPh>
    <rPh sb="36" eb="38">
      <t>タンイ</t>
    </rPh>
    <rPh sb="39" eb="41">
      <t>シュトク</t>
    </rPh>
    <phoneticPr fontId="1"/>
  </si>
  <si>
    <t>総合学修支援機構DAC運営・連絡会議</t>
    <rPh sb="0" eb="2">
      <t>ソウゴウ</t>
    </rPh>
    <rPh sb="2" eb="4">
      <t>ガクシュウ</t>
    </rPh>
    <rPh sb="4" eb="8">
      <t>シエンキコウ</t>
    </rPh>
    <rPh sb="14" eb="16">
      <t>レンラク</t>
    </rPh>
    <rPh sb="16" eb="18">
      <t>カイギ</t>
    </rPh>
    <phoneticPr fontId="1"/>
  </si>
  <si>
    <t>神達 知純</t>
    <rPh sb="0" eb="2">
      <t>カミタチ</t>
    </rPh>
    <rPh sb="3" eb="4">
      <t>チ</t>
    </rPh>
    <rPh sb="4" eb="5">
      <t>ジュン</t>
    </rPh>
    <phoneticPr fontId="1"/>
  </si>
  <si>
    <t>総合学修支援機構DAC教授
トランジション教育副チーム長</t>
    <rPh sb="0" eb="11">
      <t>ソウゴウガクシュウ</t>
    </rPh>
    <rPh sb="11" eb="13">
      <t>キョウジュ</t>
    </rPh>
    <rPh sb="21" eb="23">
      <t>キョウイク</t>
    </rPh>
    <rPh sb="23" eb="24">
      <t>フク</t>
    </rPh>
    <rPh sb="27" eb="28">
      <t>チョウ</t>
    </rPh>
    <phoneticPr fontId="1"/>
  </si>
  <si>
    <t>人間学部※R2年4月より募集停止</t>
    <rPh sb="0" eb="2">
      <t>ニンゲン</t>
    </rPh>
    <rPh sb="2" eb="4">
      <t>ガクブ</t>
    </rPh>
    <rPh sb="7" eb="8">
      <t>ネン</t>
    </rPh>
    <rPh sb="9" eb="10">
      <t>ガツ</t>
    </rPh>
    <rPh sb="12" eb="14">
      <t>ボシュウ</t>
    </rPh>
    <rPh sb="14" eb="16">
      <t>テイシ</t>
    </rPh>
    <phoneticPr fontId="1"/>
  </si>
  <si>
    <t>大学自己点検・評価委員会</t>
    <rPh sb="0" eb="2">
      <t>ダイガク</t>
    </rPh>
    <rPh sb="2" eb="4">
      <t>ジコ</t>
    </rPh>
    <rPh sb="4" eb="6">
      <t>テンケン</t>
    </rPh>
    <rPh sb="7" eb="9">
      <t>ヒョウカ</t>
    </rPh>
    <rPh sb="9" eb="12">
      <t>イインカイ</t>
    </rPh>
    <phoneticPr fontId="1"/>
  </si>
  <si>
    <t>髙橋 秀裕</t>
    <rPh sb="0" eb="2">
      <t>タカハシ</t>
    </rPh>
    <phoneticPr fontId="1"/>
  </si>
  <si>
    <t>総合学修支援機構DAC規程</t>
    <rPh sb="11" eb="13">
      <t>キテイ</t>
    </rPh>
    <phoneticPr fontId="1"/>
  </si>
  <si>
    <t xml:space="preserve">専務理事   柏木　正博
学長   髙橋　秀裕
副学長 兼 総合学修支援機DAC機構長　  神達　知純
副学長  首藤　 正治
学長補佐 兼 教務部長／文学部歴史学科教授   小林　伸二
総合学修支援機構DAC教授／トランジション教育副チーム長（データサイエンス教育担当）　前田 長子 
事務局長   平盛 　聖樹
副事務局長   阿部　海秀
総合学修支援部長   君島　菜菜
魅力化推進部長   髙橋 　慈海
総合政策部長   島村　富雄
総合政策課係長   福中　裕之
</t>
    <rPh sb="28" eb="29">
      <t>ケン</t>
    </rPh>
    <rPh sb="69" eb="70">
      <t>ケン</t>
    </rPh>
    <rPh sb="105" eb="107">
      <t>キョウジュ</t>
    </rPh>
    <rPh sb="115" eb="117">
      <t>キョウイク</t>
    </rPh>
    <rPh sb="117" eb="118">
      <t>フク</t>
    </rPh>
    <rPh sb="121" eb="122">
      <t>チョウ</t>
    </rPh>
    <rPh sb="131" eb="133">
      <t>キョウイク</t>
    </rPh>
    <rPh sb="133" eb="135">
      <t>タントウ</t>
    </rPh>
    <phoneticPr fontId="1"/>
  </si>
  <si>
    <t>数理・データサイエンス・AI教育プログラム認定制度（応用基礎 レベル）プラス　申請書</t>
    <rPh sb="0" eb="2">
      <t>スウリ</t>
    </rPh>
    <rPh sb="14" eb="16">
      <t>キョウイク</t>
    </rPh>
    <rPh sb="21" eb="23">
      <t>ニンテイ</t>
    </rPh>
    <rPh sb="23" eb="25">
      <t>セイド</t>
    </rPh>
    <rPh sb="26" eb="28">
      <t>オウヨウ</t>
    </rPh>
    <rPh sb="28" eb="30">
      <t>キソ</t>
    </rPh>
    <rPh sb="39" eb="42">
      <t>シンセイショ</t>
    </rPh>
    <phoneticPr fontId="1"/>
  </si>
  <si>
    <t>　全学必修科目とし、学部・学科に関係なく学生全員が受講可能となる制度としている。また、再履修者については学生の所属学科の各教員と連携し、卒業までに単位取得できるように、個別支援を実施している。</t>
    <rPh sb="1" eb="3">
      <t>ゼンガク</t>
    </rPh>
    <rPh sb="3" eb="5">
      <t>ヒッシュウ</t>
    </rPh>
    <rPh sb="5" eb="7">
      <t>カモク</t>
    </rPh>
    <rPh sb="10" eb="12">
      <t>ガクブ</t>
    </rPh>
    <rPh sb="13" eb="15">
      <t>ガッカ</t>
    </rPh>
    <rPh sb="16" eb="18">
      <t>カンケイ</t>
    </rPh>
    <rPh sb="20" eb="22">
      <t>ガクセイ</t>
    </rPh>
    <rPh sb="22" eb="24">
      <t>ゼンイン</t>
    </rPh>
    <rPh sb="25" eb="27">
      <t>ジュコウ</t>
    </rPh>
    <rPh sb="27" eb="29">
      <t>カノウ</t>
    </rPh>
    <rPh sb="32" eb="34">
      <t>セイド</t>
    </rPh>
    <rPh sb="43" eb="47">
      <t>サイリシュウシャ</t>
    </rPh>
    <rPh sb="52" eb="54">
      <t>ガクセイ</t>
    </rPh>
    <rPh sb="55" eb="57">
      <t>ショゾク</t>
    </rPh>
    <rPh sb="57" eb="59">
      <t>ガッカ</t>
    </rPh>
    <rPh sb="60" eb="61">
      <t>カク</t>
    </rPh>
    <rPh sb="61" eb="63">
      <t>キョウイン</t>
    </rPh>
    <rPh sb="64" eb="66">
      <t>レンケイ</t>
    </rPh>
    <rPh sb="68" eb="70">
      <t>ソツギョウ</t>
    </rPh>
    <rPh sb="73" eb="75">
      <t>タンイ</t>
    </rPh>
    <rPh sb="75" eb="77">
      <t>シュトク</t>
    </rPh>
    <rPh sb="84" eb="86">
      <t>コベツ</t>
    </rPh>
    <rPh sb="86" eb="88">
      <t>シエン</t>
    </rPh>
    <rPh sb="89" eb="91">
      <t>ジッシ</t>
    </rPh>
    <phoneticPr fontId="1"/>
  </si>
  <si>
    <t>　全学必修科目とし、学部・学科に関係なく学生全員が受講可能となる制度としている。履修要項、ホームページ、ガイダンス等でデータサイエンス科目の概要等についての説明を実施している。</t>
    <rPh sb="40" eb="42">
      <t>リシュウ</t>
    </rPh>
    <rPh sb="42" eb="44">
      <t>ヨウコウ</t>
    </rPh>
    <rPh sb="57" eb="58">
      <t>ナド</t>
    </rPh>
    <rPh sb="67" eb="69">
      <t>カモク</t>
    </rPh>
    <rPh sb="70" eb="72">
      <t>ガイヨウ</t>
    </rPh>
    <rPh sb="72" eb="73">
      <t>ナド</t>
    </rPh>
    <rPh sb="78" eb="80">
      <t>セツメイ</t>
    </rPh>
    <rPh sb="81" eb="83">
      <t>ジッシ</t>
    </rPh>
    <phoneticPr fontId="1"/>
  </si>
  <si>
    <t>　全学必修科目とし、学部・学科に関係なく学生全員が受講可能となる制度としている。単位修得に向けたサポートについては、教員・チューター・SAにより、授業内外における学修支援体制を整備している。「ひとりもとりこぼさない教育」を目標に、上記支援体制にて習熟度別のクラス編成対応、eポートフォリオやteams等のシステムを活用した欠席者や課題未提出者への連絡・相談対応、ラーニングコモンズフロアでの相談窓口対応、テスト対策としての補講開催など、さまざまな形式で支援を行っている。極少数となるが、再履修となった学生の履修指導については、REガイダンス（学修支援ガイダンス）開催前に、該当学生の学修状況を確認し、履修計画の指導を行い、なるべく早期の履修を促している。</t>
    <rPh sb="40" eb="42">
      <t>タンイ</t>
    </rPh>
    <rPh sb="42" eb="44">
      <t>シュウトク</t>
    </rPh>
    <rPh sb="45" eb="46">
      <t>ム</t>
    </rPh>
    <rPh sb="58" eb="60">
      <t>キョウイン</t>
    </rPh>
    <rPh sb="73" eb="75">
      <t>ジュギョウ</t>
    </rPh>
    <rPh sb="75" eb="76">
      <t>ナイ</t>
    </rPh>
    <rPh sb="76" eb="77">
      <t>ガイ</t>
    </rPh>
    <rPh sb="81" eb="83">
      <t>ガクシュウ</t>
    </rPh>
    <rPh sb="83" eb="85">
      <t>シエン</t>
    </rPh>
    <rPh sb="85" eb="87">
      <t>タイセイ</t>
    </rPh>
    <rPh sb="88" eb="90">
      <t>セイビ</t>
    </rPh>
    <rPh sb="107" eb="109">
      <t>キョウイク</t>
    </rPh>
    <rPh sb="111" eb="113">
      <t>モクヒョウ</t>
    </rPh>
    <rPh sb="115" eb="117">
      <t>ジョウキ</t>
    </rPh>
    <rPh sb="117" eb="119">
      <t>シエン</t>
    </rPh>
    <rPh sb="119" eb="121">
      <t>タイセイ</t>
    </rPh>
    <rPh sb="123" eb="125">
      <t>シュウジュク</t>
    </rPh>
    <rPh sb="125" eb="126">
      <t>ド</t>
    </rPh>
    <rPh sb="126" eb="127">
      <t>ベツ</t>
    </rPh>
    <rPh sb="131" eb="133">
      <t>ヘンセイ</t>
    </rPh>
    <rPh sb="133" eb="135">
      <t>タイオウ</t>
    </rPh>
    <rPh sb="150" eb="151">
      <t>トウ</t>
    </rPh>
    <rPh sb="157" eb="159">
      <t>カツヨウ</t>
    </rPh>
    <rPh sb="161" eb="164">
      <t>ケッセキシャ</t>
    </rPh>
    <rPh sb="165" eb="167">
      <t>カダイ</t>
    </rPh>
    <rPh sb="167" eb="170">
      <t>ミテイシュツ</t>
    </rPh>
    <rPh sb="170" eb="171">
      <t>シャ</t>
    </rPh>
    <rPh sb="173" eb="175">
      <t>レンラク</t>
    </rPh>
    <rPh sb="176" eb="178">
      <t>ソウダン</t>
    </rPh>
    <rPh sb="178" eb="180">
      <t>タイオウ</t>
    </rPh>
    <rPh sb="195" eb="197">
      <t>ソウダン</t>
    </rPh>
    <rPh sb="197" eb="199">
      <t>マドグチ</t>
    </rPh>
    <rPh sb="199" eb="201">
      <t>タイオウ</t>
    </rPh>
    <rPh sb="205" eb="207">
      <t>タイサク</t>
    </rPh>
    <rPh sb="211" eb="213">
      <t>ホコウ</t>
    </rPh>
    <rPh sb="213" eb="215">
      <t>カイサイ</t>
    </rPh>
    <rPh sb="223" eb="225">
      <t>ケイシキ</t>
    </rPh>
    <rPh sb="226" eb="228">
      <t>シエン</t>
    </rPh>
    <rPh sb="229" eb="230">
      <t>オコナ</t>
    </rPh>
    <rPh sb="235" eb="236">
      <t>ゴク</t>
    </rPh>
    <rPh sb="236" eb="238">
      <t>ショウスウ</t>
    </rPh>
    <rPh sb="243" eb="244">
      <t>サイ</t>
    </rPh>
    <rPh sb="244" eb="246">
      <t>リシュウ</t>
    </rPh>
    <rPh sb="250" eb="252">
      <t>ガクセイ</t>
    </rPh>
    <rPh sb="253" eb="255">
      <t>リシュウ</t>
    </rPh>
    <rPh sb="255" eb="257">
      <t>シドウ</t>
    </rPh>
    <rPh sb="271" eb="273">
      <t>ガクシュウ</t>
    </rPh>
    <rPh sb="273" eb="275">
      <t>シエン</t>
    </rPh>
    <rPh sb="281" eb="283">
      <t>カイサイ</t>
    </rPh>
    <rPh sb="283" eb="284">
      <t>マエ</t>
    </rPh>
    <rPh sb="286" eb="288">
      <t>ガイトウ</t>
    </rPh>
    <rPh sb="288" eb="290">
      <t>ガクセイ</t>
    </rPh>
    <rPh sb="291" eb="293">
      <t>ガクシュウ</t>
    </rPh>
    <rPh sb="293" eb="295">
      <t>ジョウキョウ</t>
    </rPh>
    <rPh sb="296" eb="298">
      <t>カクニン</t>
    </rPh>
    <rPh sb="300" eb="302">
      <t>リシュウ</t>
    </rPh>
    <rPh sb="302" eb="304">
      <t>ケイカク</t>
    </rPh>
    <rPh sb="305" eb="307">
      <t>シドウ</t>
    </rPh>
    <rPh sb="308" eb="309">
      <t>オコナ</t>
    </rPh>
    <rPh sb="315" eb="317">
      <t>ソウキ</t>
    </rPh>
    <rPh sb="318" eb="320">
      <t>リシュウ</t>
    </rPh>
    <rPh sb="321" eb="322">
      <t>ウナガ</t>
    </rPh>
    <phoneticPr fontId="1"/>
  </si>
  <si>
    <t>　本教育プログラム受講者全員に対して科目終了時に授業評価アンケートと授業振り返りアンケートを実施している。それらと出欠状況や成績評価を合わせて定量面、定性面で分析し、データサイエンスの教育目標に対するそれぞれの達成度を測っている。また、その結果をDAC運営・連絡会議（令和3年度は年9回開催）、学部長等が構成員である教育改革特別委員会（令和３年度は年１回開催）で報告し、様々な角度から指摘を受け、教育の質の向上につなげている。</t>
    <rPh sb="1" eb="2">
      <t>ホン</t>
    </rPh>
    <rPh sb="2" eb="4">
      <t>キョウイク</t>
    </rPh>
    <rPh sb="9" eb="12">
      <t>ジュコウシャ</t>
    </rPh>
    <rPh sb="12" eb="14">
      <t>ゼンイン</t>
    </rPh>
    <rPh sb="15" eb="16">
      <t>タイ</t>
    </rPh>
    <rPh sb="18" eb="20">
      <t>カモク</t>
    </rPh>
    <rPh sb="20" eb="23">
      <t>シュウリョウジ</t>
    </rPh>
    <rPh sb="24" eb="26">
      <t>ジュギョウ</t>
    </rPh>
    <rPh sb="26" eb="28">
      <t>ヒョウカ</t>
    </rPh>
    <rPh sb="34" eb="36">
      <t>ジュギョウ</t>
    </rPh>
    <rPh sb="36" eb="37">
      <t>フ</t>
    </rPh>
    <rPh sb="38" eb="39">
      <t>カエ</t>
    </rPh>
    <rPh sb="46" eb="48">
      <t>ジッシ</t>
    </rPh>
    <rPh sb="57" eb="59">
      <t>シュッケツ</t>
    </rPh>
    <rPh sb="59" eb="61">
      <t>ジョウキョウ</t>
    </rPh>
    <rPh sb="62" eb="64">
      <t>セイセキ</t>
    </rPh>
    <rPh sb="64" eb="66">
      <t>ヒョウカ</t>
    </rPh>
    <rPh sb="67" eb="68">
      <t>ア</t>
    </rPh>
    <rPh sb="71" eb="73">
      <t>テイリョウ</t>
    </rPh>
    <rPh sb="73" eb="74">
      <t>メン</t>
    </rPh>
    <rPh sb="75" eb="77">
      <t>テイセイ</t>
    </rPh>
    <rPh sb="77" eb="78">
      <t>メン</t>
    </rPh>
    <rPh sb="79" eb="81">
      <t>ブンセキ</t>
    </rPh>
    <rPh sb="92" eb="94">
      <t>キョウイク</t>
    </rPh>
    <rPh sb="94" eb="96">
      <t>モクヒョウ</t>
    </rPh>
    <rPh sb="97" eb="98">
      <t>タイ</t>
    </rPh>
    <rPh sb="105" eb="107">
      <t>タッセイ</t>
    </rPh>
    <rPh sb="107" eb="108">
      <t>ド</t>
    </rPh>
    <rPh sb="109" eb="110">
      <t>ハカ</t>
    </rPh>
    <rPh sb="120" eb="122">
      <t>ケッカ</t>
    </rPh>
    <rPh sb="134" eb="136">
      <t>レイワ</t>
    </rPh>
    <rPh sb="137" eb="139">
      <t>ネンド</t>
    </rPh>
    <rPh sb="140" eb="141">
      <t>ネン</t>
    </rPh>
    <rPh sb="142" eb="143">
      <t>カイ</t>
    </rPh>
    <rPh sb="143" eb="145">
      <t>カイサイ</t>
    </rPh>
    <rPh sb="147" eb="150">
      <t>ガクブチョウ</t>
    </rPh>
    <rPh sb="150" eb="151">
      <t>ナド</t>
    </rPh>
    <rPh sb="152" eb="155">
      <t>コウセイイン</t>
    </rPh>
    <rPh sb="158" eb="160">
      <t>キョウイク</t>
    </rPh>
    <rPh sb="160" eb="162">
      <t>カイカク</t>
    </rPh>
    <rPh sb="162" eb="164">
      <t>トクベツ</t>
    </rPh>
    <rPh sb="164" eb="167">
      <t>イインカイ</t>
    </rPh>
    <rPh sb="168" eb="169">
      <t>レイ</t>
    </rPh>
    <rPh sb="169" eb="170">
      <t>ワ</t>
    </rPh>
    <rPh sb="171" eb="173">
      <t>ネンド</t>
    </rPh>
    <rPh sb="174" eb="175">
      <t>ネン</t>
    </rPh>
    <rPh sb="176" eb="177">
      <t>カイ</t>
    </rPh>
    <rPh sb="177" eb="179">
      <t>カイサイ</t>
    </rPh>
    <rPh sb="181" eb="183">
      <t>ホウコク</t>
    </rPh>
    <rPh sb="185" eb="187">
      <t>サマザマ</t>
    </rPh>
    <rPh sb="188" eb="190">
      <t>カクド</t>
    </rPh>
    <rPh sb="192" eb="194">
      <t>シテキ</t>
    </rPh>
    <rPh sb="195" eb="196">
      <t>ウ</t>
    </rPh>
    <rPh sb="198" eb="200">
      <t>キョウイク</t>
    </rPh>
    <rPh sb="201" eb="202">
      <t>シツ</t>
    </rPh>
    <rPh sb="203" eb="205">
      <t>コウジョウ</t>
    </rPh>
    <phoneticPr fontId="1"/>
  </si>
  <si>
    <t>　本教育プログラム受講者全員に対して科目終了時に授業評価アンケートと授業振り返りアンケートを実施している。授業評価アンケートをもとに、授業内容、教授法、教材の改善を図っている。また授業振り返りアンケートでは総合学修支援機構DACのデータサイエンス教育チームにおいて教育目標の達成度の把握や、学生の授業や演習のテーマ別の理解度と習熟度を分析している。また全クラス共通して習熟度の低い授業テーマや演習においては、次の科目で（DSⅡで低い項目はDSⅢで）復習パートや演習を盛り込むなど工夫も行っている。</t>
    <rPh sb="18" eb="20">
      <t>カモク</t>
    </rPh>
    <rPh sb="20" eb="23">
      <t>シュウリョウジ</t>
    </rPh>
    <rPh sb="24" eb="26">
      <t>ジュギョウ</t>
    </rPh>
    <rPh sb="26" eb="28">
      <t>ヒョウカ</t>
    </rPh>
    <rPh sb="34" eb="36">
      <t>ジュギョウ</t>
    </rPh>
    <rPh sb="36" eb="37">
      <t>フ</t>
    </rPh>
    <rPh sb="38" eb="39">
      <t>カエ</t>
    </rPh>
    <rPh sb="53" eb="55">
      <t>ジュギョウ</t>
    </rPh>
    <rPh sb="55" eb="57">
      <t>ヒョウカ</t>
    </rPh>
    <rPh sb="67" eb="69">
      <t>ジュギョウ</t>
    </rPh>
    <rPh sb="69" eb="71">
      <t>ナイヨウ</t>
    </rPh>
    <rPh sb="72" eb="75">
      <t>キョウジュホウ</t>
    </rPh>
    <rPh sb="76" eb="78">
      <t>キョウザイ</t>
    </rPh>
    <rPh sb="79" eb="81">
      <t>カイゼン</t>
    </rPh>
    <rPh sb="82" eb="83">
      <t>ハカ</t>
    </rPh>
    <rPh sb="90" eb="92">
      <t>ジュギョウ</t>
    </rPh>
    <rPh sb="92" eb="93">
      <t>フ</t>
    </rPh>
    <rPh sb="94" eb="95">
      <t>カエ</t>
    </rPh>
    <rPh sb="103" eb="111">
      <t>ソウゴウガクシュウシエンキコウ</t>
    </rPh>
    <rPh sb="123" eb="125">
      <t>キョウイク</t>
    </rPh>
    <rPh sb="132" eb="134">
      <t>キョウイク</t>
    </rPh>
    <rPh sb="134" eb="136">
      <t>モクヒョウ</t>
    </rPh>
    <rPh sb="148" eb="150">
      <t>ジュギョウ</t>
    </rPh>
    <rPh sb="151" eb="153">
      <t>エンシュウ</t>
    </rPh>
    <rPh sb="157" eb="158">
      <t>ベツ</t>
    </rPh>
    <rPh sb="163" eb="166">
      <t>シュウジュクド</t>
    </rPh>
    <rPh sb="176" eb="177">
      <t>ゼン</t>
    </rPh>
    <rPh sb="180" eb="182">
      <t>キョウツウ</t>
    </rPh>
    <rPh sb="184" eb="187">
      <t>シュウジュクド</t>
    </rPh>
    <rPh sb="188" eb="189">
      <t>ヒク</t>
    </rPh>
    <rPh sb="190" eb="192">
      <t>ジュギョウ</t>
    </rPh>
    <rPh sb="196" eb="198">
      <t>エンシュウ</t>
    </rPh>
    <rPh sb="204" eb="205">
      <t>ツギ</t>
    </rPh>
    <rPh sb="206" eb="208">
      <t>カモク</t>
    </rPh>
    <rPh sb="214" eb="215">
      <t>ヒク</t>
    </rPh>
    <rPh sb="216" eb="218">
      <t>コウモク</t>
    </rPh>
    <rPh sb="224" eb="226">
      <t>フクシュウ</t>
    </rPh>
    <rPh sb="230" eb="232">
      <t>エンシュウ</t>
    </rPh>
    <rPh sb="233" eb="234">
      <t>モ</t>
    </rPh>
    <rPh sb="235" eb="236">
      <t>コ</t>
    </rPh>
    <rPh sb="239" eb="241">
      <t>クフウ</t>
    </rPh>
    <rPh sb="242" eb="243">
      <t>オコナ</t>
    </rPh>
    <phoneticPr fontId="1"/>
  </si>
  <si>
    <t>　データサイエンス教育を履修した学生がSAとして学修支援を行っているが、その中でデータサイエンス科目修得済みの学生モデルとして、後輩学生の数学苦手意識を払拭するようなメンター的役割も果たしている。また、日本学術振興会「知識集約型人材育成事業委員会」による現地視察においては、本学学生への直接ヒアリングを通して、「データサイエンス科目では、学修支援におけるチューターとのコミュニケーションによって、学生の満足度が高まっている」と評価を得ている。その他、データサイエンス科目履修者における優秀な学生のヒアリングも直接実施し、「データから結論を導く思考法が身に付いた」というコメントを得た。</t>
    <rPh sb="9" eb="11">
      <t>キョウイク</t>
    </rPh>
    <rPh sb="12" eb="14">
      <t>リシュウ</t>
    </rPh>
    <rPh sb="16" eb="18">
      <t>ガクセイ</t>
    </rPh>
    <rPh sb="24" eb="26">
      <t>ガクシュウ</t>
    </rPh>
    <rPh sb="26" eb="28">
      <t>シエン</t>
    </rPh>
    <rPh sb="29" eb="30">
      <t>オコナ</t>
    </rPh>
    <rPh sb="38" eb="39">
      <t>ナカ</t>
    </rPh>
    <rPh sb="48" eb="50">
      <t>カモク</t>
    </rPh>
    <rPh sb="50" eb="52">
      <t>シュウトク</t>
    </rPh>
    <rPh sb="52" eb="53">
      <t>ズ</t>
    </rPh>
    <rPh sb="55" eb="57">
      <t>ガクセイ</t>
    </rPh>
    <rPh sb="64" eb="66">
      <t>コウハイ</t>
    </rPh>
    <rPh sb="66" eb="68">
      <t>ガクセイ</t>
    </rPh>
    <rPh sb="69" eb="71">
      <t>スウガク</t>
    </rPh>
    <rPh sb="71" eb="73">
      <t>ニガテ</t>
    </rPh>
    <rPh sb="73" eb="75">
      <t>イシキ</t>
    </rPh>
    <rPh sb="76" eb="78">
      <t>フッショク</t>
    </rPh>
    <rPh sb="87" eb="88">
      <t>テキ</t>
    </rPh>
    <rPh sb="88" eb="90">
      <t>ヤクワリ</t>
    </rPh>
    <rPh sb="91" eb="92">
      <t>ハ</t>
    </rPh>
    <rPh sb="151" eb="152">
      <t>トオ</t>
    </rPh>
    <rPh sb="223" eb="224">
      <t>ホカ</t>
    </rPh>
    <rPh sb="233" eb="235">
      <t>カモク</t>
    </rPh>
    <rPh sb="235" eb="237">
      <t>リシュウ</t>
    </rPh>
    <rPh sb="237" eb="238">
      <t>シャ</t>
    </rPh>
    <rPh sb="242" eb="244">
      <t>ユウシュウ</t>
    </rPh>
    <rPh sb="245" eb="247">
      <t>ガクセイ</t>
    </rPh>
    <rPh sb="254" eb="256">
      <t>チョクセツ</t>
    </rPh>
    <rPh sb="256" eb="258">
      <t>ジッシ</t>
    </rPh>
    <rPh sb="275" eb="276">
      <t>ミ</t>
    </rPh>
    <rPh sb="277" eb="278">
      <t>ツ</t>
    </rPh>
    <rPh sb="289" eb="290">
      <t>エ</t>
    </rPh>
    <phoneticPr fontId="1"/>
  </si>
  <si>
    <t>　本教育プログラムを必修科目として、履修者数・履修率の向上を図っている。また、単位未修得による再履修学生を最小限におさえるため、各クラスでの学修態度、習熟度に問題のある学生をリストアップし、チューターが中心となり、期中で個別面談・個別学修支援・補修授業等を行い、履修者数（単位取得者数）が向上できるような学修支援体制を構築している。</t>
    <rPh sb="1" eb="2">
      <t>ホン</t>
    </rPh>
    <rPh sb="2" eb="4">
      <t>キョウイク</t>
    </rPh>
    <rPh sb="10" eb="12">
      <t>ヒッシュウ</t>
    </rPh>
    <rPh sb="12" eb="14">
      <t>カモク</t>
    </rPh>
    <rPh sb="39" eb="41">
      <t>タンイ</t>
    </rPh>
    <rPh sb="41" eb="44">
      <t>ミシュウトク</t>
    </rPh>
    <rPh sb="47" eb="50">
      <t>サイリシュウ</t>
    </rPh>
    <rPh sb="50" eb="52">
      <t>ガクセイ</t>
    </rPh>
    <rPh sb="53" eb="56">
      <t>サイショウゲン</t>
    </rPh>
    <rPh sb="64" eb="65">
      <t>カク</t>
    </rPh>
    <rPh sb="70" eb="72">
      <t>ガクシュウ</t>
    </rPh>
    <rPh sb="72" eb="74">
      <t>タイド</t>
    </rPh>
    <rPh sb="75" eb="78">
      <t>シュウジュクド</t>
    </rPh>
    <rPh sb="79" eb="81">
      <t>モンダイ</t>
    </rPh>
    <rPh sb="84" eb="86">
      <t>ガクセイ</t>
    </rPh>
    <rPh sb="101" eb="103">
      <t>チュウシン</t>
    </rPh>
    <rPh sb="107" eb="109">
      <t>キチュウ</t>
    </rPh>
    <rPh sb="110" eb="112">
      <t>コベツ</t>
    </rPh>
    <rPh sb="112" eb="114">
      <t>メンダン</t>
    </rPh>
    <rPh sb="115" eb="117">
      <t>コベツ</t>
    </rPh>
    <rPh sb="117" eb="119">
      <t>ガクシュウ</t>
    </rPh>
    <rPh sb="119" eb="121">
      <t>シエン</t>
    </rPh>
    <rPh sb="122" eb="124">
      <t>ホシュウ</t>
    </rPh>
    <rPh sb="124" eb="126">
      <t>ジュギョウ</t>
    </rPh>
    <rPh sb="126" eb="127">
      <t>ナド</t>
    </rPh>
    <rPh sb="128" eb="129">
      <t>オコナ</t>
    </rPh>
    <rPh sb="131" eb="133">
      <t>リシュウ</t>
    </rPh>
    <rPh sb="133" eb="134">
      <t>シャ</t>
    </rPh>
    <rPh sb="134" eb="135">
      <t>スウ</t>
    </rPh>
    <rPh sb="136" eb="138">
      <t>タンイ</t>
    </rPh>
    <rPh sb="138" eb="140">
      <t>シュトク</t>
    </rPh>
    <rPh sb="140" eb="141">
      <t>シャ</t>
    </rPh>
    <rPh sb="141" eb="142">
      <t>スウ</t>
    </rPh>
    <rPh sb="144" eb="146">
      <t>コウジョウ</t>
    </rPh>
    <rPh sb="152" eb="154">
      <t>ガクシュウ</t>
    </rPh>
    <rPh sb="154" eb="156">
      <t>シエン</t>
    </rPh>
    <rPh sb="156" eb="158">
      <t>タイセイ</t>
    </rPh>
    <rPh sb="159" eb="161">
      <t>コウチク</t>
    </rPh>
    <phoneticPr fontId="1"/>
  </si>
  <si>
    <t>総合学修支援機構DAC／総合学修支援部</t>
    <rPh sb="0" eb="11">
      <t>ソウゴウガクシュウ</t>
    </rPh>
    <phoneticPr fontId="1"/>
  </si>
  <si>
    <t>副学長 兼 
総合学修支援機構DAC機構長</t>
    <rPh sb="0" eb="3">
      <t>フクガクチョウ</t>
    </rPh>
    <rPh sb="4" eb="5">
      <t>ケン</t>
    </rPh>
    <rPh sb="7" eb="15">
      <t>ソウゴウガクシュウシエンキコウ</t>
    </rPh>
    <rPh sb="18" eb="20">
      <t>キコウ</t>
    </rPh>
    <rPh sb="20" eb="21">
      <t>チョウ</t>
    </rPh>
    <phoneticPr fontId="1"/>
  </si>
  <si>
    <t>【社会で起きている変化】
情報リテラシー①　アカウント管理の重要性/コンピュータウィルスと対策方法/情報セキュリティ対策の重要性 「データサイエンスⅠ」（1回目）
データサイエンス基礎①　データサイエンスとは何か。身近な事例から考える 「データサイエンスⅠ」（２回目）
データサイエンス基礎②　「ディープラーニングの夜明け」　「データサイエンスⅡ」（7回目）
データサイエンス基礎④　「society5.0時代における５Gの活用について理解を深める」　「データサイエンスⅢ」（７回目）
tableauで始めるデータサイエンス①　「tableauで始めるデータサイエンス」　「データサイエンスⅣ」（１回目）
データサイエンス基礎⑤　「Dialogflowを使ってAIチャットボットを実装してみよう！」　　「データサイエンスⅤ」（６回目）</t>
    <rPh sb="1" eb="3">
      <t>シャカイ</t>
    </rPh>
    <rPh sb="4" eb="5">
      <t>オ</t>
    </rPh>
    <rPh sb="9" eb="11">
      <t>ヘンカ</t>
    </rPh>
    <phoneticPr fontId="1"/>
  </si>
  <si>
    <t>【社会で活用されているデータ】
統計の基礎②　「単純集計表とクロス集計表」　　 「データサイエンスⅠ」（３回目）
統計の基礎③　「統計の概要と平均」　　 「データサイエンスⅠ」（４回目）
統計の基礎④　「基本統計量」　 「データサイエンスⅠ」（５回目）
統計の基礎⑤　「尺度」　　 「データサイエンスⅠ」（６回目）　　
統計の基礎⑦　「分散・標準偏差」　　 「データサイエンスⅡ」（４回目）
統計の基礎復習①　「尺度」とtableauのメジャーとディメンションについて　「データサイエンスⅢ」（3回目）
統計の基礎復習②　「割合」と「分布」を表すグラフの復習　「データサイエンスⅢ」（４回目）
統計の基礎復習③　複数のメジャーを使ったグラフの復習　　 「データサイエンスⅢ」（５回目）
統計の基礎復習④　「単純集計表」と「クロス集計表」の復習　　 「データサイエンスⅢ」（６回目）
統計の基本①　時系列分析 「データ形式について」　「データサイエンスⅣ」（1回目）
統計の基本②　時系列分析 「指数・増減率・成長率他」　「データサイエンスⅣ」（２回目）
統計の基本③　時系列分析 「移動平均」　「データサイエンスⅣ」（３回目）
情報リテラシー②　「データベースとは何か」　 「データサイエンスⅠ」（６回目）
情報リテラシー③　「データの可視化の基本」　 「データサイエンスⅡ」（２回目）
情報リテラシー④　「データ属性とは何か」　　 「データサイエンスⅢ」（３回目）
データサイエンス基礎①　データサイエンスとは何か。身近な事例から考える 「データサイエンスⅠ」（２回目）
データサイエンス基礎②　「ディープラーニングの夜明け」　「データサイエンスⅡ」（7回目）
データサイエンス基礎④　「society5.0時代における５Gの活用について理解を深める」　「データサイエンスⅢ」（７回目）
tableauで始めるデータサイエンス①　「tableauで始めるデータサイエンス」　「データサイエンスⅣ」（１回目）
データサイエンス基礎⑤　「Dialogflowを使ってAIチャットボットを実装してみよう！」　　「データサイエンスⅤ」（６回目）
社会の課題解決Ⅰ「問題解決型ミッション形式」　「データサイエンスⅤ」（１回目）
社会の課題解決Ⅱ「価値創造型ミッション形式」　「データサイエンスⅥ」（１回目）</t>
    <rPh sb="1" eb="3">
      <t>シャカイ</t>
    </rPh>
    <rPh sb="4" eb="6">
      <t>カツヨウ</t>
    </rPh>
    <phoneticPr fontId="1"/>
  </si>
  <si>
    <t>【データ・AIの活用領域】
統計の基礎②　「単純集計表とクロス集計表」　　 「データサイエンスⅠ」（３回目）
統計の基礎③　「統計の概要と平均」　　 「データサイエンスⅠ」（４回目）
統計の基礎④　「基本統計量」　 「データサイエンスⅠ」（５回目）
統計の基礎⑤　「尺度」　　 「データサイエンスⅠ」（６回目）　　
統計の基礎⑦　「分散・標準偏差」　　 「データサイエンスⅡ」（４回目）
統計の基礎復習①　「尺度」とtableauのメジャーとディメンションについて　「データサイエンスⅢ」（3回目）
統計の基礎復習②　「割合」と「分布」を表すグラフの復習　「データサイエンスⅢ」（４回目）
統計の基礎復習③　複数のメジャーを使ったグラフの復習　　 「データサイエンスⅢ」（５回目）
統計の基礎復習④　「単純集計表」と「クロス集計表」の復習　　 「データサイエンスⅢ」（６回目）
統計の基本①　時系列分析 「データ形式について」　「データサイエンスⅣ」（1回目）
統計の基本②　時系列分析 「指数・増減率・成長率他」　「データサイエンスⅣ」（２回目）
統計の基本③　時系列分析 「移動平均」　「データサイエンスⅣ」（３回目）
情報リテラシー②　「データベースとは何か」　 「データサイエンスⅠ」（６回目）
情報リテラシー③　「データの可視化の基本」　 「データサイエンスⅡ」（２回目）
情報リテラシー④　「データ属性とは何か」　　 「データサイエンスⅢ」（３回目）
データサイエンス基礎①　データサイエンスとは何か。身近な事例から考える 「データサイエンスⅠ」（２回目）
データサイエンス基礎②　「ディープラーニングの夜明け」　「データサイエンスⅡ」（7回目）
データサイエンス基礎④　「society5.0時代における５Gの活用について理解を深める」　「データサイエンスⅢ」（７回目）
tableauで始めるデータサイエンス①　「tableauで始めるデータサイエンス」　「データサイエンスⅣ」（１回目）
データサイエンス基礎⑤　「Dialogflowを使ってAIチャットボットを実装してみよう！」　　「データサイエンスⅤ」（６回目）
社会の課題解決Ⅰ「問題解決型ミッション形式」　「データサイエンスⅤ」（１回目）
社会の課題解決Ⅱ「価値創造型ミッション形式」　「データサイエンスⅥ」（１回目）</t>
    <rPh sb="8" eb="10">
      <t>カツヨウ</t>
    </rPh>
    <rPh sb="10" eb="12">
      <t>リョウイキ</t>
    </rPh>
    <phoneticPr fontId="1"/>
  </si>
  <si>
    <t>【データ・AI利活用のための技術】
情報リテラシー①　アカウント管理の重要性/コンピュータウィルスと対策方法/情報セキュリティ対策の重要性 「データサイエンスⅠ」（1回目）
データサイエンス基礎①　データサイエンスとは何か。身近な事例から考える 「データサイエンスⅠ」（２回目）
データサイエンス基礎②　「ディープラーニングの夜明け」　「データサイエンスⅡ」（7回目）
データサイエンス基礎④　「society5.0時代における５Gの活用について理解を深める」　「データサイエンスⅢ」（７回目）
tableauで始めるデータサイエンス①　「tableauで始めるデータサイエンス」　「データサイエンスⅣ」（１回目）
tableauで始めるデータサイエンス③　ダッシュボードについて　「データサイエンスⅣ」（５回目）
tableauで始めるデータサイエンス④　接続前に整形が必要なデータの例　「データサイエンスⅣ」（６回目）
データサイエンス基礎⑤　「Dialogflowを使ってAIチャットボットを実装してみよう！」　　「データサイエンスⅤ」（６回目）</t>
    <rPh sb="7" eb="10">
      <t>リカツヨウ</t>
    </rPh>
    <rPh sb="14" eb="16">
      <t>ギジュツ</t>
    </rPh>
    <phoneticPr fontId="1"/>
  </si>
  <si>
    <t>【データ・AI利活用のための現場】
情報リテラシー①　アカウント管理の重要性/コンピュータウィルスと対策方法/情報セキュリティ対策の重要性 「データサイエンスⅠ」（1回目）
データサイエンス基礎①　データサイエンスとは何か。身近な事例から考える 「データサイエンスⅠ」（２回目）
データサイエンス基礎②　「ディープラーニングの夜明け」　「データサイエンスⅡ」（7回目）
データサイエンス基礎④　「society5.0時代における５Gの活用について理解を深める」　「データサイエンスⅢ」（７回目）
情報リテラシー⑤　データ利活用の契約（秘密保持契約）について　「データサイエンⅣ」（２回目）
社会の課題解決「問題解決型ミッション形式①」秘密※の誓約書作成　「データサイエンⅤ」（１回目）
データサイエンス基礎⑤　「Dialogflowを使ってAIチャットボットを実装してみよう！」　　「データサイエンスⅤ」（６回目）</t>
    <rPh sb="7" eb="10">
      <t>リカツヨウ</t>
    </rPh>
    <rPh sb="14" eb="16">
      <t>ゲンバ</t>
    </rPh>
    <phoneticPr fontId="1"/>
  </si>
  <si>
    <t>【データ・AI利活用における留意事項】
情報リテラシー①　アカウント管理の重要性/コンピュータウィルスと対策方法/情報セキュリティ対策の重要性 「データサイエンスⅠ」（1回目）
データサイエンス基礎②　「ディープラーニングの夜明け」　「データサイエンスⅡ」（7回目）
データサイエンス基礎④　「society5.0時代における５Gの活用について理解を深める」　「データサイエンスⅢ」（７回目）
情報リテラシー⑤　データ利活用の契約（秘密保持契約）について　「データサイエンⅣ」（２回目）
社会の課題解決「問題解決型ミッション形式①」秘密※の誓約書作成　「データサイエンⅤ」（１回目）
データサイエンス基礎⑤　「Dialogflowを使ってAIチャットボットを実装してみよう！」　　「データサイエンスⅤ」（６回目）</t>
    <rPh sb="7" eb="10">
      <t>リカツヨウ</t>
    </rPh>
    <rPh sb="14" eb="16">
      <t>リュウイ</t>
    </rPh>
    <rPh sb="16" eb="18">
      <t>ジコウ</t>
    </rPh>
    <rPh sb="244" eb="246">
      <t>シャカイ</t>
    </rPh>
    <rPh sb="247" eb="249">
      <t>カダイ</t>
    </rPh>
    <rPh sb="249" eb="251">
      <t>カイケツ</t>
    </rPh>
    <rPh sb="252" eb="254">
      <t>モンダイ</t>
    </rPh>
    <rPh sb="254" eb="256">
      <t>カイケツ</t>
    </rPh>
    <rPh sb="256" eb="257">
      <t>ガタ</t>
    </rPh>
    <rPh sb="262" eb="264">
      <t>ケイシキ</t>
    </rPh>
    <rPh sb="266" eb="269">
      <t>ヒミツホシ</t>
    </rPh>
    <rPh sb="270" eb="273">
      <t>セイヤクショ</t>
    </rPh>
    <rPh sb="273" eb="275">
      <t>サクセイ</t>
    </rPh>
    <phoneticPr fontId="1"/>
  </si>
  <si>
    <t>【データを守るうえでの留意事項】
情報リテラシー①　アカウント管理の重要性/コンピュータウィルスと対策方法/情報セキュリティ対策の重要性 「データサイエンスⅠ」（1回目）
データサイエンス基礎②　「ディープラーニングの夜明け」　「データサイエンスⅡ」（7回目）
データサイエンス基礎④　「society5.0時代における５Gの活用について理解を深める」　「データサイエンスⅢ」（７回目）
情報リテラシー⑤　データ利活用の契約（秘密保持契約）について　「データサイエンⅣ」（２回目）
社会の課題解決「問題解決型ミッション形式①」秘密※の誓約書作成　「データサイエンⅤ」（１回目）
データサイエンス基礎⑤　「Dialogflowを使ってAIチャットボットを実装してみよう！」　　「データサイエンスⅤ」（６回目）</t>
    <rPh sb="5" eb="6">
      <t>マモ</t>
    </rPh>
    <rPh sb="11" eb="13">
      <t>リュウイ</t>
    </rPh>
    <rPh sb="13" eb="15">
      <t>ジコウ</t>
    </rPh>
    <phoneticPr fontId="1"/>
  </si>
  <si>
    <t>【データを読む】
統計の基礎⑥「グラフの基本」　　「データサイエンスⅠ」（７回目）
グラフの読み取りと表現①　「グラフの読みとりと表現の基本」　　「データサイエンスⅡ」（２回目）
グラフの読み取りと表現②「２つのデータの関係（相関）を読み取る」　　「データサイエンスⅡ」（３回目）
グラフの読み取りと表現③「社会の中での使われている様々なデータを読み取る」　　「データサイエンスⅡ」（４回目）
tableau基礎⑤「さなざまなビジュアライズ I」　　「データサイエンスⅢ」（５回目）
tableau基礎⑥「さなざまなビジュアライズⅡ」　　「データサイエンスⅢ」（６回目）
tableau応用① 計算の基本　　「データサイエンスⅣ」（３回目）
tableau応用② 表計算の基本　　「データサイエンスⅣ」（４回目）
tableau応用② データの整形と複数のデータの扱い方①　　「データサイエンスⅣ」（５回目）
tableau応用③ ダッシュボードの基本　　「データサイエンスⅣ」（６回目）
tableau応用④ ストーリーの使い方　　「データサイエンスⅣ」（７回目）
社会の課題解決Ⅰ「問題解決型ミッション形式」　「データサイエンスⅤ」（１回目～５回目）
社会の課題解決Ⅱ「価値創造型ミッション形式」　「データサイエンスⅥ」（１回目～７回目）</t>
    <rPh sb="5" eb="6">
      <t>ヨ</t>
    </rPh>
    <phoneticPr fontId="1"/>
  </si>
  <si>
    <t>【データを説明する】
グラフの読み取りと表現①　「グラフの読みとりと表現の基本」　　「データサイエンスⅡ」（２回目）
グラフの読み取りと表現②「２つのデータの関係（相関）を読み取る」　　「データサイエンスⅡ」（３回目）
グラフの読み取りと表現③「社会の中での使われている様々なデータを読み取る」　　「データサイエンスⅡ」（４回目）
tableau基礎⑤「さなざまなビジュアライズ I」　　「データサイエンスⅢ」（５回目）
tableau基礎⑥「さなざまなビジュアライズⅡ」　　「データサイエンスⅢ」（６回目）
ableau応用① 計算の基本　　「データサイエンスⅣ」（３回目）
tableau応用② 表計算の基本　　「データサイエンスⅣ」（４回目）
tableau応用② データの整形と複数のデータの扱い方①　　「データサイエンスⅣ」（５回目）
tableau応用③ ダッシュボードの基本　　「データサイエンスⅣ」（６回目）
tableau応用④ ストーリーの使い方　　「データサイエンスⅣ」（７回目）
社会の課題解決Ⅰ「問題解決型ミッション形式」　「データサイエンスⅤ」（１回目～５回目）
社会の課題解決Ⅱ「価値創造型ミッション形式」　「データサイエンスⅥ」（１回目～７回目）</t>
    <rPh sb="5" eb="7">
      <t>セツメイ</t>
    </rPh>
    <phoneticPr fontId="1"/>
  </si>
  <si>
    <t>【データを扱う】
Excel基礎①「データサイエンスⅠ」（１回目） / Excel基礎②「データサイエンスⅠ」（２回目）
Excel基本①「データサイエンスⅠ」（３回目） / Excel基本②「データサイエンスⅠ」（４回目）
Excel基本③「データサイエンスⅠ」（５回目） / Excel基本④「データサイエンスⅠ」（６回目）
Excel応用②「データサイエンスⅡ」（1回目） / Excel応用③「データサイエンスⅡ」（２回目）
Excel応用④「データサイエンスⅡ」（３回目） / Excel応用⑤「データサイエンスⅡ」（４回目）
Excel応用⑥「データサイエンスⅡ」（５回目） / tableau基礎①「データサイエンスⅢ」（１回目）
tableau基礎②「データサイエンスⅢ」（２回目） / tableau基礎③「データサイエンスⅢ」（３回目） 
tableau基礎④「データサイエンスⅢ」（４回目） / tableau基礎⑤「データサイエンスⅢ」（５回目） 
tableau基礎⑥ 「データサイエンスⅢ」（６回目） / tableau基礎⑦「データサイエンスⅣ」（１回目）
tableau基礎⑧「データサイエンスⅣ」（２回目） / tableau応用①「データサイエンスⅣ」（３回目）
tableau応用②「データサイエンスⅣ」（４回目） / tableau応用②「データサイエンスⅣ」（５回目）
tableau応用③「データサイエンスⅣ」（６回目） / tableau応用④「データサイエンスⅣ」（７回目）
tableau応用⑤「データサイエンスⅤ」（１回目） / tableau応用⑥「データサイエンスⅤ」（２回目）
tableau応用⑦「データサイエンスⅤ」（２回目） / tableau応用⑧ 「データサイエンスⅤ」（７回目）
ｔableau実践①「データサイエンスⅥ」（３回目） / ｔableau実践②「データサイエンスⅥ」（４回目）
社会の課題解決Ⅰ「問題解決型ミッション形式」　「データサイエンスⅤ」（１回目～５回目）
社会の課題解決Ⅱ「価値創造型ミッション形式」　「データサイエンスⅥ」（１回目～７回目）</t>
    <rPh sb="5" eb="6">
      <t>アツカ</t>
    </rPh>
    <phoneticPr fontId="1"/>
  </si>
  <si>
    <t>【データ・AI利活用の最新動向】
情報リテラシー①　アカウント管理の重要性/コンピュータウィルスと対策方法/情報セキュリティ対策の重要性 「データサイエンスⅠ」（1回目）
データサイエンス基礎①　データサイエンスとは何か。身近な事例から考える 「データサイエンスⅠ」（２回目）
データサイエンス基礎②　「ディープラーニングの夜明け」　「データサイエンスⅡ」（7回目）
データサイエンス基礎④　「society5.0時代における５Gの活用について理解を深める」　「データサイエンスⅢ」（７回目）
tableauで始めるデータサイエンス①　「tableauで始めるデータサイエンス」　「データサイエンスⅣ」（１回目）
データサイエンス基礎⑤　「Dialogflowを使ってAIチャットボットを実装してみよう！」　　「データサイエンスⅤ」（６回目）</t>
    <rPh sb="7" eb="10">
      <t>リカツヨウ</t>
    </rPh>
    <rPh sb="11" eb="13">
      <t>サイシン</t>
    </rPh>
    <rPh sb="13" eb="15">
      <t>ドウコウ</t>
    </rPh>
    <phoneticPr fontId="1"/>
  </si>
  <si>
    <t>　本教育プログラムについての履修をeポートフォリオにて管理し、学生とのコミュニケーションはTeamsのクラスを通じて行っているため、学生は授業時間以外に不明点等をTeamsのチャットを通じて質問できる体制となっている。クラス全体への質問と教員やチューターへの個別の質問両方が可能となっている。また対面では7号館2階にある総合学修支援部にてデータサイエンス授業時間以外の9時～17時の時間帯はチューターが在席し、学修支援、対応を行っている。</t>
    <rPh sb="31" eb="33">
      <t>ガクセイ</t>
    </rPh>
    <rPh sb="55" eb="56">
      <t>ツウ</t>
    </rPh>
    <rPh sb="58" eb="59">
      <t>オコナ</t>
    </rPh>
    <rPh sb="95" eb="97">
      <t>シツモン</t>
    </rPh>
    <rPh sb="100" eb="102">
      <t>タイセイ</t>
    </rPh>
    <rPh sb="112" eb="114">
      <t>ゼンタイ</t>
    </rPh>
    <rPh sb="116" eb="118">
      <t>シツモン</t>
    </rPh>
    <rPh sb="119" eb="121">
      <t>キョウイン</t>
    </rPh>
    <rPh sb="129" eb="131">
      <t>コベツ</t>
    </rPh>
    <rPh sb="132" eb="134">
      <t>シツモン</t>
    </rPh>
    <rPh sb="134" eb="136">
      <t>リョウホウ</t>
    </rPh>
    <rPh sb="137" eb="139">
      <t>カノウ</t>
    </rPh>
    <rPh sb="148" eb="150">
      <t>タイメン</t>
    </rPh>
    <rPh sb="153" eb="155">
      <t>ゴウカン</t>
    </rPh>
    <rPh sb="156" eb="157">
      <t>カイ</t>
    </rPh>
    <rPh sb="177" eb="179">
      <t>ジュギョウ</t>
    </rPh>
    <rPh sb="179" eb="181">
      <t>ジカン</t>
    </rPh>
    <rPh sb="181" eb="183">
      <t>イガイ</t>
    </rPh>
    <rPh sb="201" eb="203">
      <t>ザイセキ</t>
    </rPh>
    <phoneticPr fontId="1"/>
  </si>
  <si>
    <t>　総合学修支援機構DACにおいて、プログラムの履修・取得状況の分析を実施している。eポートフォリオなどの活用により、受講者毎の講義演習進捗状況や課題の提出状況を把握することができる。また共通科目のため、小テスト、テストの結果も問いごと、クラスごと、学部学科ごとの平均点を集計・可視化を行い、都度学生の習熟度の把握から単位取得できるように学修支援や補習の実施などの対策を講じている。</t>
    <rPh sb="1" eb="3">
      <t>ソウゴウ</t>
    </rPh>
    <rPh sb="3" eb="5">
      <t>ガクシュウ</t>
    </rPh>
    <rPh sb="5" eb="9">
      <t>シエンキコウ</t>
    </rPh>
    <rPh sb="75" eb="77">
      <t>テイシュツ</t>
    </rPh>
    <rPh sb="93" eb="95">
      <t>キョウツウ</t>
    </rPh>
    <rPh sb="95" eb="97">
      <t>カモク</t>
    </rPh>
    <rPh sb="101" eb="102">
      <t>ショウ</t>
    </rPh>
    <rPh sb="110" eb="112">
      <t>ケッカ</t>
    </rPh>
    <rPh sb="124" eb="126">
      <t>ガクブ</t>
    </rPh>
    <rPh sb="126" eb="128">
      <t>ガッカ</t>
    </rPh>
    <rPh sb="131" eb="134">
      <t>ヘイキンテン</t>
    </rPh>
    <rPh sb="135" eb="137">
      <t>シュウケイ</t>
    </rPh>
    <rPh sb="138" eb="141">
      <t>カシカ</t>
    </rPh>
    <rPh sb="142" eb="143">
      <t>オコナ</t>
    </rPh>
    <rPh sb="145" eb="147">
      <t>ツド</t>
    </rPh>
    <rPh sb="147" eb="149">
      <t>ガクセイ</t>
    </rPh>
    <rPh sb="150" eb="153">
      <t>シュウジュクド</t>
    </rPh>
    <rPh sb="154" eb="156">
      <t>ハアク</t>
    </rPh>
    <phoneticPr fontId="1"/>
  </si>
  <si>
    <t>　毎週FDを実施し、前週の授業のリフレクションや提出されたワークブックの取り組み状況、小テストなどの結果などを踏まえて、各クラス共通して習熟度、理解度が低いテーマについては次の授業で再度取り上げ、分かりやすい内容で説明する、もしくは復習の時間をとるなどの対応をとっている。さらに期末ごとに実施している授業振り返りアンケートにより判明した全クラス共通して習熟度、理解度の低い授業テーマや演習においては、次の科目で（例：DSⅡで低い項目はDSⅢで）反復学習ができるよう工夫している。</t>
    <rPh sb="1" eb="3">
      <t>マイシュウ</t>
    </rPh>
    <rPh sb="6" eb="8">
      <t>ジッシ</t>
    </rPh>
    <rPh sb="10" eb="12">
      <t>ゼンシュウ</t>
    </rPh>
    <rPh sb="13" eb="15">
      <t>ジュギョウ</t>
    </rPh>
    <rPh sb="24" eb="26">
      <t>テイシュツ</t>
    </rPh>
    <rPh sb="36" eb="37">
      <t>ト</t>
    </rPh>
    <rPh sb="38" eb="39">
      <t>ク</t>
    </rPh>
    <rPh sb="40" eb="42">
      <t>ジョウキョウ</t>
    </rPh>
    <rPh sb="43" eb="44">
      <t>ショウ</t>
    </rPh>
    <rPh sb="50" eb="52">
      <t>ケッカ</t>
    </rPh>
    <rPh sb="55" eb="56">
      <t>フ</t>
    </rPh>
    <rPh sb="60" eb="61">
      <t>カク</t>
    </rPh>
    <rPh sb="64" eb="66">
      <t>キョウツウ</t>
    </rPh>
    <rPh sb="68" eb="71">
      <t>シュウジュクド</t>
    </rPh>
    <rPh sb="72" eb="75">
      <t>リカイド</t>
    </rPh>
    <rPh sb="76" eb="77">
      <t>ヒク</t>
    </rPh>
    <rPh sb="86" eb="87">
      <t>ツギ</t>
    </rPh>
    <rPh sb="88" eb="90">
      <t>ジュギョウ</t>
    </rPh>
    <rPh sb="91" eb="93">
      <t>サイド</t>
    </rPh>
    <rPh sb="93" eb="94">
      <t>ト</t>
    </rPh>
    <rPh sb="95" eb="96">
      <t>ア</t>
    </rPh>
    <rPh sb="98" eb="99">
      <t>ワ</t>
    </rPh>
    <rPh sb="104" eb="106">
      <t>ナイヨウ</t>
    </rPh>
    <rPh sb="107" eb="109">
      <t>セツメイ</t>
    </rPh>
    <rPh sb="116" eb="118">
      <t>フクシュウ</t>
    </rPh>
    <rPh sb="119" eb="121">
      <t>ジカン</t>
    </rPh>
    <rPh sb="127" eb="129">
      <t>タイオウ</t>
    </rPh>
    <rPh sb="139" eb="141">
      <t>キマツ</t>
    </rPh>
    <rPh sb="144" eb="146">
      <t>ジッシ</t>
    </rPh>
    <rPh sb="164" eb="166">
      <t>ハンメイ</t>
    </rPh>
    <rPh sb="180" eb="183">
      <t>リカイド</t>
    </rPh>
    <rPh sb="206" eb="207">
      <t>レイ</t>
    </rPh>
    <rPh sb="222" eb="226">
      <t>ハンプクガクシュウ</t>
    </rPh>
    <phoneticPr fontId="1"/>
  </si>
  <si>
    <t>　総合学修支援機構DACは、Society5.0社会の地域で活躍する人材育成教育プログラムを開発し、教職員・チューター・産官学の多様な人材の協働による全学横断的な教育・学修支援体制を運営する組織である。令和2年に文部科学省助成「知識集約型社会を支える人材育成事業」に採択され、教育組織と事務組織を統合する第三のハブ組織として教育改革・事業推進の位置付けを強化した。機構DACには、「チュートリアル教育チーム」、「データサイエンス教育チーム」、「アントレプレナーシップ教育チーム」、「クロスディスプリン教育チーム」を設置し、DAC運営・連絡会議により、各組織の有機的な連携を図り、事業を推進している。令和3年度は年9回開催し、本事業の重要事項を審議、各チームの教育開発・運営・成果について点検・評価、検証等を行った。なお、令和４年度からチュートリアル教育・データサイエンス教育２チームを統合し、「トランジション教育チーム」に改編した。</t>
    <phoneticPr fontId="1"/>
  </si>
  <si>
    <t>　数学が苦手と思い込んでいる学生に興味関心引き出すため、学生の生活の延長上にあるテーマなどを選定し、講義や演習を行っている。特に最初のDSⅠ演習で扱うデータは、スポーツ選手のデータやパン屋の販売データなどを用い、学修が進むにつれて、e-Statなどのオープンデータを扱い、各専門分野へ繋がるよう取り組んでいる。最終的には産官学連携の実データ、実課題に取り組むことで、社会接続をイメージしながら学修意欲と習熟度が両輪で向上していく工夫を行っている。AIに関しては、AI活用した画像生成、オリジナルのチャットボット作成演習やワークを通して、実際に手を動かしながら理解を深めることができるように取り組んでいる。</t>
    <rPh sb="1" eb="3">
      <t>スウガク</t>
    </rPh>
    <rPh sb="4" eb="6">
      <t>ニガテ</t>
    </rPh>
    <rPh sb="7" eb="8">
      <t>オモ</t>
    </rPh>
    <rPh sb="9" eb="10">
      <t>コ</t>
    </rPh>
    <rPh sb="14" eb="16">
      <t>ガクセイ</t>
    </rPh>
    <rPh sb="17" eb="19">
      <t>キョウミ</t>
    </rPh>
    <rPh sb="19" eb="21">
      <t>カンシン</t>
    </rPh>
    <rPh sb="21" eb="22">
      <t>ヒ</t>
    </rPh>
    <rPh sb="23" eb="24">
      <t>ダ</t>
    </rPh>
    <rPh sb="28" eb="30">
      <t>ガクセイ</t>
    </rPh>
    <rPh sb="31" eb="33">
      <t>セイカツ</t>
    </rPh>
    <rPh sb="34" eb="37">
      <t>エンチョウジョウ</t>
    </rPh>
    <rPh sb="46" eb="48">
      <t>センテイ</t>
    </rPh>
    <rPh sb="50" eb="52">
      <t>コウギ</t>
    </rPh>
    <rPh sb="53" eb="55">
      <t>エンシュウ</t>
    </rPh>
    <rPh sb="56" eb="57">
      <t>オコナ</t>
    </rPh>
    <rPh sb="62" eb="63">
      <t>トク</t>
    </rPh>
    <rPh sb="64" eb="66">
      <t>サイショ</t>
    </rPh>
    <rPh sb="70" eb="72">
      <t>エンシュウ</t>
    </rPh>
    <rPh sb="73" eb="74">
      <t>アツカ</t>
    </rPh>
    <rPh sb="84" eb="86">
      <t>センシュ</t>
    </rPh>
    <rPh sb="93" eb="94">
      <t>ヤ</t>
    </rPh>
    <rPh sb="95" eb="97">
      <t>ハンバイ</t>
    </rPh>
    <rPh sb="103" eb="104">
      <t>モチ</t>
    </rPh>
    <rPh sb="106" eb="108">
      <t>ガクシュウ</t>
    </rPh>
    <rPh sb="109" eb="110">
      <t>スス</t>
    </rPh>
    <rPh sb="133" eb="134">
      <t>アツカ</t>
    </rPh>
    <rPh sb="136" eb="137">
      <t>カク</t>
    </rPh>
    <rPh sb="137" eb="141">
      <t>センモンブンヤ</t>
    </rPh>
    <rPh sb="142" eb="143">
      <t>ツナ</t>
    </rPh>
    <rPh sb="147" eb="148">
      <t>ト</t>
    </rPh>
    <rPh sb="149" eb="150">
      <t>ク</t>
    </rPh>
    <rPh sb="155" eb="158">
      <t>サイシュウテキ</t>
    </rPh>
    <rPh sb="166" eb="167">
      <t>ジツ</t>
    </rPh>
    <rPh sb="171" eb="172">
      <t>ジツ</t>
    </rPh>
    <rPh sb="172" eb="174">
      <t>カダイ</t>
    </rPh>
    <rPh sb="175" eb="176">
      <t>ト</t>
    </rPh>
    <rPh sb="177" eb="178">
      <t>ク</t>
    </rPh>
    <rPh sb="183" eb="187">
      <t>シャカイセツゾク</t>
    </rPh>
    <rPh sb="196" eb="198">
      <t>ガクシュウ</t>
    </rPh>
    <rPh sb="198" eb="200">
      <t>イヨク</t>
    </rPh>
    <rPh sb="201" eb="204">
      <t>シュウジュクド</t>
    </rPh>
    <rPh sb="205" eb="207">
      <t>リョウリン</t>
    </rPh>
    <rPh sb="208" eb="210">
      <t>コウジョウ</t>
    </rPh>
    <rPh sb="214" eb="216">
      <t>クフウ</t>
    </rPh>
    <rPh sb="217" eb="218">
      <t>オコナ</t>
    </rPh>
    <rPh sb="226" eb="227">
      <t>カン</t>
    </rPh>
    <rPh sb="233" eb="235">
      <t>カツヨウ</t>
    </rPh>
    <rPh sb="237" eb="239">
      <t>ガゾウ</t>
    </rPh>
    <rPh sb="239" eb="241">
      <t>セイセイ</t>
    </rPh>
    <rPh sb="255" eb="257">
      <t>サクセイ</t>
    </rPh>
    <rPh sb="257" eb="259">
      <t>エンシュウ</t>
    </rPh>
    <rPh sb="264" eb="265">
      <t>トオ</t>
    </rPh>
    <rPh sb="268" eb="270">
      <t>ジッサイ</t>
    </rPh>
    <rPh sb="271" eb="272">
      <t>テ</t>
    </rPh>
    <rPh sb="273" eb="274">
      <t>ウゴ</t>
    </rPh>
    <rPh sb="279" eb="281">
      <t>リカイ</t>
    </rPh>
    <rPh sb="282" eb="283">
      <t>フカ</t>
    </rPh>
    <rPh sb="294" eb="295">
      <t>ト</t>
    </rPh>
    <rPh sb="296" eb="297">
      <t>ク</t>
    </rPh>
    <phoneticPr fontId="1"/>
  </si>
  <si>
    <t xml:space="preserve">　令和2年度開始のため本プログラム修了者の卒業生はなく、今後の取組みとなる。ただし、令和3年度産官学連携でのプレゼン後には、連携先から以下の学生評価を得た。「データに基づいた説得力のあるプレゼンテーション、質問や意図に沿った回答をしている。」「予想していたよりはるかに面白く聞かせてもらった。弊社としても色々な気付きをもらった。更にデータを元に改善提案し、その結果数値がどう変化したもしくはしなかったかなど施策の効果検証までできると非常によい。」「聞きやすく、気づきがあった。すぐにアクションを起こすことはできないが、この提案からの気づきを商品開発部へ報告したい。」
　また、「知識集約型人材育成事業委員会」の現地視察委員より、学生ヒアリングの結果「データサイエンス科目必修化について、学生自身がその有益さを理解し、将来、自分自身のキャリアに役立つことを認識しているプログラムとなっている」と評価を得た。
</t>
    <phoneticPr fontId="1"/>
  </si>
  <si>
    <t>　令和3年度の授業終了後には産官学連携先に対してインタビューを実施した。教育プログラムの講義内容及び実データを活用した演習等の手法について意見を収集し、令和4年度の教材開発、授業運営に反映している。また学生への課題やデータの提示を行う前に、担当教員が分析シュミレーションを行い、結果を産官学連携先へ報告。連携先との意見交換の後、提供データの見直しや教材のブラッシュアップを行うという取り組みも行ってきた。さらに、学外有識者（他大学、企業等）から構成される「大正大学外部評価委員会」（年２回開催）により、事業の適切性、進捗状況等についても評価を得ている。</t>
    <rPh sb="1" eb="3">
      <t>レイワ</t>
    </rPh>
    <rPh sb="4" eb="6">
      <t>ネンド</t>
    </rPh>
    <rPh sb="7" eb="9">
      <t>ジュギョウ</t>
    </rPh>
    <rPh sb="9" eb="12">
      <t>シュウリョウゴ</t>
    </rPh>
    <rPh sb="17" eb="19">
      <t>レンケイ</t>
    </rPh>
    <rPh sb="19" eb="20">
      <t>サキ</t>
    </rPh>
    <rPh sb="76" eb="78">
      <t>レイワ</t>
    </rPh>
    <rPh sb="79" eb="81">
      <t>ネンド</t>
    </rPh>
    <rPh sb="82" eb="84">
      <t>キョウザイ</t>
    </rPh>
    <rPh sb="84" eb="86">
      <t>カイハツ</t>
    </rPh>
    <rPh sb="87" eb="89">
      <t>ジュギョウ</t>
    </rPh>
    <rPh sb="89" eb="91">
      <t>ウンエイ</t>
    </rPh>
    <rPh sb="92" eb="94">
      <t>ハンエイ</t>
    </rPh>
    <rPh sb="101" eb="103">
      <t>ガクセイ</t>
    </rPh>
    <rPh sb="105" eb="107">
      <t>カダイ</t>
    </rPh>
    <rPh sb="112" eb="114">
      <t>テイジ</t>
    </rPh>
    <rPh sb="115" eb="116">
      <t>オコナ</t>
    </rPh>
    <rPh sb="117" eb="118">
      <t>マエ</t>
    </rPh>
    <rPh sb="120" eb="122">
      <t>タントウ</t>
    </rPh>
    <rPh sb="122" eb="124">
      <t>キョウイン</t>
    </rPh>
    <rPh sb="125" eb="127">
      <t>ブンセキ</t>
    </rPh>
    <rPh sb="136" eb="137">
      <t>オコナ</t>
    </rPh>
    <rPh sb="139" eb="141">
      <t>ケッカ</t>
    </rPh>
    <rPh sb="149" eb="151">
      <t>ホウコク</t>
    </rPh>
    <rPh sb="152" eb="154">
      <t>レンケイ</t>
    </rPh>
    <rPh sb="154" eb="155">
      <t>サキ</t>
    </rPh>
    <rPh sb="157" eb="161">
      <t>イケンコウカン</t>
    </rPh>
    <rPh sb="162" eb="163">
      <t>ノチ</t>
    </rPh>
    <rPh sb="164" eb="166">
      <t>テイキョウ</t>
    </rPh>
    <rPh sb="170" eb="172">
      <t>ミナオ</t>
    </rPh>
    <rPh sb="174" eb="176">
      <t>キョウザイ</t>
    </rPh>
    <rPh sb="186" eb="187">
      <t>オコナ</t>
    </rPh>
    <rPh sb="191" eb="192">
      <t>ト</t>
    </rPh>
    <rPh sb="193" eb="194">
      <t>ク</t>
    </rPh>
    <rPh sb="196" eb="197">
      <t>オコナ</t>
    </rPh>
    <phoneticPr fontId="1"/>
  </si>
  <si>
    <r>
      <t xml:space="preserve">　本プログラムは、「リテラシーレベル」の教育プログラムとして全学部において必須のプログラムとなっている。さらに、本学において「応用基礎レベル」に対応する「アントレプレナーシップ教育（令和4年度開講予定）」への学修の橋渡しとなる仕組みを構築している。
・「ひとりもとりこぼさない教育」の実践について
　「ひとりもとりこぼさない教育」を目標に教員、チューター、SAのチーム・ティーチングと授業前後の学修支援で、学生への伴走支援体制を構築し、文科系学生であることを念頭に置いた学修者の苦手意識の克服・リテラシー向上を重視したデータサイエンス教育を推進している。
・分かりやすさと反復学修について
　学生が自分事としてデータサイエンスを学修できることを目指し、社会での様々な分野での身近なテーマを教材として扱っている。またExcelでの情報処理、Tableauの可視化の中でも学んだ統計を繰り返し復習できる教材を開発し、さらには復習用の演習（ExcelやTableauのワークブック）の提供なども行い、学生が常に反復学習ができるように工夫している。
・実データ・実課題を活用したリアリティのある学修について
　産官学連携先からは連携先が直面するリアルな課題の提示を受け、その課題解決のために活用できる実データの提供を受けている。具体的な事例では、㈱サイゼリヤからは販売データ（POSデータ）の提供を受け、グランドメニューの見直しによる顧客満足度向上にむけた提言、三鷹市からは市民満足度・意識調査結果のアンケートデータの提供を受け、市民の減災意識を向上させるための提言などである。
・学修意欲の向上について
　実データを用いて実課題を解決する実践型の演習を段階的に充実させていくことによりデータサイエンスを学修する意義を実感させ、学修意欲を高めている。またデータサイエンスⅤ、Ⅵの最終回では産官学連携先が授業に参加し、プレゼンの講評やフィードバックを行うなど、リアリティのある学びの場を提供することで学習意欲の向上を図っている。
・実務家教員による実践的な教材開発について
　データサイエンス科目は、新卒採用の入社時点でも基本的なデータ分析作法を心得ている学生を輩出するため、実践的な知識やスキルの習得を前提としている。科目担当教員の17名中、15名が実務家教員、そのうち11名が非常勤講師である。非常勤講師の大半は大手企業でＩＴやデータを扱う第一戦の部門で働いている社会人や経営者などであり、彼らの意見も取り入れながら、時代に即応した実践的スキルが高まる教材開発を行っている。
・学生の習熟度や専門性を踏まえた学習内容とクラス編成について
　データサイエンスⅠ～Ⅲは習熟度を踏まえたクラス編成となっており、学生の状況に応じた授業運営を行っている。特に習熟度や理解度が低い学生に対しては基礎的内容の反復や個別学修支援の強化などに取り組んでいる。またデータサイエンスⅣ～Ⅵは学科別クラスとなっており、公共政策学科の学生は自治体（三鷹市）の課題解決に取り組むなど、産官学連携先や扱うデータや課題解決が専門の学問につながるように工夫している。
・データサイエンス教育の質保証のためのFD実施について
　データサイエンス科目の教員とコアチューター（専門職員）で開講期間中は週1回のＦＤを年21回実施している。前週の授業内容や教材、学修支援を振り返り、継続的な改善・向上を図ると同時に、当該週の授業運営方法や教材について意見交換を行い、ブラッシュアップを図り準備を進める。尚、FDへの教員の出席率はほぼ100%となっているが、共通科目であるため、教員間で教育のバラツキがでないように、出席できない教員には録画を試聴してもらうなどの対策をとっている。
</t>
    </r>
    <r>
      <rPr>
        <sz val="12"/>
        <color theme="1"/>
        <rFont val="ＭＳ Ｐゴシック"/>
        <family val="3"/>
        <charset val="128"/>
        <scheme val="minor"/>
      </rPr>
      <t/>
    </r>
    <rPh sb="1" eb="2">
      <t>ホン</t>
    </rPh>
    <rPh sb="20" eb="22">
      <t>キョウイク</t>
    </rPh>
    <rPh sb="30" eb="33">
      <t>ゼンガクブ</t>
    </rPh>
    <rPh sb="37" eb="39">
      <t>ヒッス</t>
    </rPh>
    <rPh sb="56" eb="58">
      <t>ホンガク</t>
    </rPh>
    <rPh sb="88" eb="90">
      <t>キョウイク</t>
    </rPh>
    <rPh sb="91" eb="93">
      <t>レイワ</t>
    </rPh>
    <rPh sb="94" eb="96">
      <t>ネンド</t>
    </rPh>
    <rPh sb="96" eb="98">
      <t>カイコウ</t>
    </rPh>
    <rPh sb="98" eb="100">
      <t>ヨテイ</t>
    </rPh>
    <rPh sb="104" eb="106">
      <t>ガクシュウ</t>
    </rPh>
    <rPh sb="107" eb="109">
      <t>ハシワタ</t>
    </rPh>
    <rPh sb="117" eb="119">
      <t>コウチク</t>
    </rPh>
    <rPh sb="139" eb="141">
      <t>キョウイク</t>
    </rPh>
    <rPh sb="143" eb="145">
      <t>ジッセン</t>
    </rPh>
    <rPh sb="204" eb="206">
      <t>ガクセイ</t>
    </rPh>
    <rPh sb="215" eb="217">
      <t>コウチク</t>
    </rPh>
    <rPh sb="233" eb="234">
      <t>オ</t>
    </rPh>
    <rPh sb="288" eb="290">
      <t>ハンプク</t>
    </rPh>
    <rPh sb="290" eb="292">
      <t>ガクシュウ</t>
    </rPh>
    <rPh sb="298" eb="300">
      <t>ガクセイ</t>
    </rPh>
    <rPh sb="301" eb="304">
      <t>ジブンゴト</t>
    </rPh>
    <rPh sb="316" eb="318">
      <t>ガクシュウ</t>
    </rPh>
    <rPh sb="324" eb="326">
      <t>メザ</t>
    </rPh>
    <rPh sb="328" eb="330">
      <t>シャカイ</t>
    </rPh>
    <rPh sb="332" eb="334">
      <t>サマザマ</t>
    </rPh>
    <rPh sb="335" eb="337">
      <t>ブンヤ</t>
    </rPh>
    <rPh sb="339" eb="341">
      <t>ミジカ</t>
    </rPh>
    <rPh sb="346" eb="348">
      <t>キョウザイ</t>
    </rPh>
    <rPh sb="351" eb="352">
      <t>アツカ</t>
    </rPh>
    <rPh sb="366" eb="368">
      <t>ジョウホウ</t>
    </rPh>
    <rPh sb="368" eb="370">
      <t>ショリ</t>
    </rPh>
    <rPh sb="379" eb="382">
      <t>カシカ</t>
    </rPh>
    <rPh sb="383" eb="384">
      <t>ナカ</t>
    </rPh>
    <rPh sb="386" eb="387">
      <t>マナ</t>
    </rPh>
    <rPh sb="389" eb="391">
      <t>トウケイ</t>
    </rPh>
    <rPh sb="392" eb="393">
      <t>ク</t>
    </rPh>
    <rPh sb="394" eb="395">
      <t>カエ</t>
    </rPh>
    <rPh sb="396" eb="398">
      <t>フクシュウ</t>
    </rPh>
    <rPh sb="401" eb="403">
      <t>キョウザイ</t>
    </rPh>
    <rPh sb="404" eb="406">
      <t>カイハツ</t>
    </rPh>
    <rPh sb="446" eb="447">
      <t>オコナ</t>
    </rPh>
    <rPh sb="449" eb="451">
      <t>ガクセイ</t>
    </rPh>
    <rPh sb="452" eb="453">
      <t>ツネ</t>
    </rPh>
    <rPh sb="454" eb="456">
      <t>ハンプク</t>
    </rPh>
    <rPh sb="456" eb="458">
      <t>ガクシュウ</t>
    </rPh>
    <rPh sb="465" eb="467">
      <t>クフウ</t>
    </rPh>
    <rPh sb="484" eb="486">
      <t>カツヨウ</t>
    </rPh>
    <rPh sb="505" eb="506">
      <t>カン</t>
    </rPh>
    <rPh sb="517" eb="519">
      <t>チョクメン</t>
    </rPh>
    <rPh sb="528" eb="530">
      <t>テイジ</t>
    </rPh>
    <rPh sb="531" eb="532">
      <t>ウ</t>
    </rPh>
    <rPh sb="567" eb="569">
      <t>ジレイ</t>
    </rPh>
    <rPh sb="616" eb="618">
      <t>コキャク</t>
    </rPh>
    <rPh sb="618" eb="621">
      <t>マンゾクド</t>
    </rPh>
    <rPh sb="621" eb="623">
      <t>コウジョウ</t>
    </rPh>
    <rPh sb="696" eb="698">
      <t>コウジョウ</t>
    </rPh>
    <rPh sb="764" eb="766">
      <t>ガクシュウ</t>
    </rPh>
    <rPh sb="795" eb="796">
      <t>カン</t>
    </rPh>
    <rPh sb="842" eb="844">
      <t>テイキョウ</t>
    </rPh>
    <rPh sb="849" eb="851">
      <t>ガクシュウ</t>
    </rPh>
    <rPh sb="851" eb="853">
      <t>イヨク</t>
    </rPh>
    <rPh sb="854" eb="856">
      <t>コウジョウ</t>
    </rPh>
    <rPh sb="857" eb="858">
      <t>ハカ</t>
    </rPh>
    <rPh sb="874" eb="877">
      <t>ジッセンテキ</t>
    </rPh>
    <rPh sb="900" eb="902">
      <t>シンソツ</t>
    </rPh>
    <rPh sb="902" eb="904">
      <t>サイヨウ</t>
    </rPh>
    <rPh sb="905" eb="907">
      <t>ニュウシャ</t>
    </rPh>
    <rPh sb="907" eb="909">
      <t>ジテン</t>
    </rPh>
    <rPh sb="962" eb="964">
      <t>タントウ</t>
    </rPh>
    <rPh sb="970" eb="971">
      <t>チュウ</t>
    </rPh>
    <rPh sb="974" eb="975">
      <t>メイ</t>
    </rPh>
    <rPh sb="979" eb="981">
      <t>キョウイン</t>
    </rPh>
    <rPh sb="988" eb="989">
      <t>メイ</t>
    </rPh>
    <rPh sb="1026" eb="1028">
      <t>ブモン</t>
    </rPh>
    <rPh sb="1061" eb="1063">
      <t>ジダイ</t>
    </rPh>
    <rPh sb="1064" eb="1066">
      <t>ソクオウ</t>
    </rPh>
    <rPh sb="1068" eb="1071">
      <t>ジッセンテキ</t>
    </rPh>
    <rPh sb="1115" eb="1117">
      <t>ヘンセイ</t>
    </rPh>
    <rPh sb="1139" eb="1140">
      <t>フ</t>
    </rPh>
    <rPh sb="1146" eb="1148">
      <t>ヘンセイ</t>
    </rPh>
    <rPh sb="1169" eb="1170">
      <t>オコナ</t>
    </rPh>
    <rPh sb="1175" eb="1176">
      <t>トク</t>
    </rPh>
    <rPh sb="1190" eb="1191">
      <t>タイ</t>
    </rPh>
    <rPh sb="1194" eb="1197">
      <t>キソテキ</t>
    </rPh>
    <rPh sb="1197" eb="1199">
      <t>ナイヨウ</t>
    </rPh>
    <rPh sb="1200" eb="1202">
      <t>ハンプク</t>
    </rPh>
    <rPh sb="1203" eb="1205">
      <t>コベツ</t>
    </rPh>
    <rPh sb="1205" eb="1207">
      <t>ガクシュウ</t>
    </rPh>
    <rPh sb="1207" eb="1209">
      <t>シエン</t>
    </rPh>
    <rPh sb="1210" eb="1212">
      <t>キョウカ</t>
    </rPh>
    <rPh sb="1215" eb="1216">
      <t>ト</t>
    </rPh>
    <rPh sb="1217" eb="1218">
      <t>ク</t>
    </rPh>
    <rPh sb="1250" eb="1254">
      <t>コウキョウセイサク</t>
    </rPh>
    <rPh sb="1254" eb="1256">
      <t>ガッカ</t>
    </rPh>
    <rPh sb="1257" eb="1259">
      <t>ガクセイ</t>
    </rPh>
    <rPh sb="1260" eb="1263">
      <t>ジチタイ</t>
    </rPh>
    <rPh sb="1264" eb="1267">
      <t>ミタカシ</t>
    </rPh>
    <rPh sb="1269" eb="1271">
      <t>カダイ</t>
    </rPh>
    <rPh sb="1271" eb="1273">
      <t>カイケツ</t>
    </rPh>
    <rPh sb="1274" eb="1275">
      <t>ト</t>
    </rPh>
    <rPh sb="1276" eb="1277">
      <t>ク</t>
    </rPh>
    <rPh sb="1282" eb="1283">
      <t>カン</t>
    </rPh>
    <rPh sb="1294" eb="1296">
      <t>カダイ</t>
    </rPh>
    <rPh sb="1296" eb="1298">
      <t>カイケツ</t>
    </rPh>
    <rPh sb="1312" eb="1314">
      <t>クフウ</t>
    </rPh>
    <rPh sb="1330" eb="1332">
      <t>キョウイク</t>
    </rPh>
    <rPh sb="1333" eb="1334">
      <t>シツ</t>
    </rPh>
    <rPh sb="1334" eb="1336">
      <t>ホショウ</t>
    </rPh>
    <rPh sb="1342" eb="1344">
      <t>ジッシ</t>
    </rPh>
    <rPh sb="1358" eb="1360">
      <t>カモク</t>
    </rPh>
    <rPh sb="1361" eb="1363">
      <t>キョウイン</t>
    </rPh>
    <rPh sb="1372" eb="1374">
      <t>センモン</t>
    </rPh>
    <rPh sb="1374" eb="1376">
      <t>ショクイン</t>
    </rPh>
    <rPh sb="1378" eb="1380">
      <t>カイコウ</t>
    </rPh>
    <rPh sb="1380" eb="1382">
      <t>キカン</t>
    </rPh>
    <rPh sb="1382" eb="1383">
      <t>ナカ</t>
    </rPh>
    <rPh sb="1384" eb="1385">
      <t>シュウ</t>
    </rPh>
    <rPh sb="1386" eb="1387">
      <t>カイ</t>
    </rPh>
    <rPh sb="1391" eb="1392">
      <t>ネン</t>
    </rPh>
    <rPh sb="1394" eb="1395">
      <t>カイ</t>
    </rPh>
    <rPh sb="1395" eb="1397">
      <t>ジッシ</t>
    </rPh>
    <rPh sb="1402" eb="1404">
      <t>ゼンシュウ</t>
    </rPh>
    <rPh sb="1405" eb="1407">
      <t>ジュギョウ</t>
    </rPh>
    <rPh sb="1407" eb="1409">
      <t>ナイヨウ</t>
    </rPh>
    <rPh sb="1410" eb="1412">
      <t>キョウザイ</t>
    </rPh>
    <rPh sb="1413" eb="1415">
      <t>ガクシュウ</t>
    </rPh>
    <rPh sb="1415" eb="1417">
      <t>シエン</t>
    </rPh>
    <rPh sb="1418" eb="1419">
      <t>フ</t>
    </rPh>
    <rPh sb="1420" eb="1421">
      <t>カエ</t>
    </rPh>
    <rPh sb="1423" eb="1426">
      <t>ケイゾクテキ</t>
    </rPh>
    <rPh sb="1427" eb="1429">
      <t>カイゼン</t>
    </rPh>
    <rPh sb="1430" eb="1432">
      <t>コウジョウ</t>
    </rPh>
    <rPh sb="1433" eb="1434">
      <t>ハカ</t>
    </rPh>
    <rPh sb="1436" eb="1438">
      <t>ドウジ</t>
    </rPh>
    <rPh sb="1440" eb="1442">
      <t>トウガイ</t>
    </rPh>
    <rPh sb="1442" eb="1443">
      <t>シュウ</t>
    </rPh>
    <rPh sb="1444" eb="1446">
      <t>ジュギョウ</t>
    </rPh>
    <rPh sb="1446" eb="1448">
      <t>ウンエイ</t>
    </rPh>
    <rPh sb="1448" eb="1450">
      <t>ホウホウ</t>
    </rPh>
    <rPh sb="1451" eb="1453">
      <t>キョウザイ</t>
    </rPh>
    <rPh sb="1457" eb="1459">
      <t>イケン</t>
    </rPh>
    <rPh sb="1459" eb="1461">
      <t>コウカン</t>
    </rPh>
    <rPh sb="1462" eb="1463">
      <t>オコナ</t>
    </rPh>
    <rPh sb="1474" eb="1475">
      <t>ハカ</t>
    </rPh>
    <rPh sb="1476" eb="1478">
      <t>ジュンビ</t>
    </rPh>
    <rPh sb="1479" eb="1480">
      <t>スス</t>
    </rPh>
    <rPh sb="1483" eb="1484">
      <t>ナオ</t>
    </rPh>
    <rPh sb="1489" eb="1491">
      <t>キョウイン</t>
    </rPh>
    <rPh sb="1492" eb="1494">
      <t>シュッセキ</t>
    </rPh>
    <rPh sb="1494" eb="1495">
      <t>リツ</t>
    </rPh>
    <rPh sb="1524" eb="1526">
      <t>キョウイク</t>
    </rPh>
    <rPh sb="1539" eb="1541">
      <t>シュッセキ</t>
    </rPh>
    <rPh sb="1545" eb="1547">
      <t>キョウイン</t>
    </rPh>
    <rPh sb="1549" eb="1551">
      <t>ロクガ</t>
    </rPh>
    <rPh sb="1552" eb="1554">
      <t>シチョウ</t>
    </rPh>
    <rPh sb="1562" eb="1564">
      <t>タイサク</t>
    </rPh>
    <phoneticPr fontId="1"/>
  </si>
  <si>
    <t>　本プログラムでは、以下の独自の学修支援を実施している。
・学修支援システムの構築について
　受講生の履修管理、出欠管理、課題提出、小テスト・テスト、振り返り、授業アンケートなどをeポートフォリオとTeams上で一括して管理している。これらのシステムを活用し、教員とチューターが受講生の理解度・習熟度をタイムリーに且つ的確に把握することにより、それぞれの受講生に応じた適切な指導が可能となっている。
・チューターとSAの学修支援体制について
　１クラス１００名に対して、２名のチューターと３～４名のSAを配置することにより受講生が質問・問題解決しやすい環境を用意している。コアチューター（専任職員）がチューターとSAをマネジメントしており、授業のみならず、授業前後の効果的な学修支援体制の充実を図っている。
・教員とチューターによるチームティーチングについて
　授業中のみならず、授業後の演習の取り組み状況を教員が確認し、習熟度や理解度が低い学生をピックアップし、次の授業までにキャッチアップできるようにチューターが個別学修支援を実施する体制を構築している。
・補完的な教育の実施について（正課科目　テスト対策の補習とプレゼン対策の学修相談実施）
　授業前後の日常的な学修支援とは別に、テスト対策としての補習とプレゼンにむけた学修相談会を定期的に実施している。令和3年度はデータサイエンスⅠ～Ⅵ科目トータルで25種類の補習（20分～1時間）を約100回開催し、延べ699名の学生が参加した。産官学連携のプレゼンに向けた学修相談会には個別に118名と15チームが参加した。いずれも対面、オンラインの受講形式を選択でき、受講生が反復学習やプレゼン準備の学修支援ができる仕組みが構築されている。
・補完的な教育の実施について（正課外①　資格取得対策講座の定期開講）
　春休みと夏休みを活用し、授業で学んだことを資格取得につなげていく正課外の科目「データサイエンス科目特別プログラム」を令和3年度3月から開講した。令和3年度は「統計検定4級 対策講座」「Tableau Desktop Specialist 対策講座」「MOS Excel一般レベル 対策講座」の3講座を開講し、115名の学生が受講した。今後も春・夏年2回の定期開催を予定している。
・補完的な教育の実施について（正課外②　学外コンテストへの参加支援）
　データサイエンス科目での学修を通して、学生の学外コンテストへの参加支援も行っている。令和3年度は公共政策学科の2年生の有志学生が三鷹市の「学生によるミタカ・ミライ研究アワード2021」へ参加し、「優秀賞・市長賞（最優秀賞）」を獲得した。
・チューターとSAの学修支援の質向上のための研修会実施について
　チューター、SAの教育と育成のためにそれぞれ年２回の研修会と、年２回のTableau、Excel勉強会を実施し、チューター、SAによる学修支援の質の向上を図っている。研修会はチューター、SAごとに具体的な学修支援方法について学ぶ機会と位置づけ、Tableau、Excel勉強会は学修支援者のスキルアップのために実施している。
・学修成果の可視化等の導入について
　学生はeポートフォリオ上で授業の出席状況、課題の提出状況、成績などを時系列で把握できるように可視化されている。eポートフォリオでは事前事後学修の計画を立てることが可能となっている。また教員、チューターは、クラス別、学生別の時系列の出席状況、課題の提出状況、テストの結果、成績評価などのクラス全体の学修状況をTeams、eポートフォリオで把握できるようになっている。</t>
    <rPh sb="1" eb="2">
      <t>ホン</t>
    </rPh>
    <rPh sb="10" eb="12">
      <t>イカ</t>
    </rPh>
    <rPh sb="13" eb="15">
      <t>ドクジ</t>
    </rPh>
    <rPh sb="21" eb="23">
      <t>ジッシ</t>
    </rPh>
    <rPh sb="32" eb="33">
      <t>シュウ</t>
    </rPh>
    <rPh sb="48" eb="51">
      <t>ジュコウセイ</t>
    </rPh>
    <rPh sb="52" eb="56">
      <t>リシュウカンリ</t>
    </rPh>
    <rPh sb="57" eb="59">
      <t>シュッケツ</t>
    </rPh>
    <rPh sb="59" eb="61">
      <t>カンリ</t>
    </rPh>
    <rPh sb="62" eb="66">
      <t>カダイテイシュツ</t>
    </rPh>
    <rPh sb="67" eb="68">
      <t>ショウ</t>
    </rPh>
    <rPh sb="76" eb="77">
      <t>フ</t>
    </rPh>
    <rPh sb="78" eb="79">
      <t>カエ</t>
    </rPh>
    <rPh sb="81" eb="83">
      <t>ジュギョウ</t>
    </rPh>
    <rPh sb="105" eb="106">
      <t>ジョウ</t>
    </rPh>
    <rPh sb="107" eb="109">
      <t>イッカツ</t>
    </rPh>
    <rPh sb="111" eb="113">
      <t>カンリ</t>
    </rPh>
    <rPh sb="127" eb="129">
      <t>カツヨウ</t>
    </rPh>
    <rPh sb="131" eb="133">
      <t>キョウイン</t>
    </rPh>
    <rPh sb="140" eb="143">
      <t>ジュコウセイ</t>
    </rPh>
    <rPh sb="144" eb="147">
      <t>リカイド</t>
    </rPh>
    <rPh sb="148" eb="151">
      <t>シュウジュクド</t>
    </rPh>
    <rPh sb="158" eb="159">
      <t>カ</t>
    </rPh>
    <rPh sb="160" eb="162">
      <t>テキカク</t>
    </rPh>
    <rPh sb="163" eb="165">
      <t>ハアク</t>
    </rPh>
    <rPh sb="178" eb="181">
      <t>ジュコウセイ</t>
    </rPh>
    <rPh sb="182" eb="183">
      <t>オウ</t>
    </rPh>
    <rPh sb="185" eb="187">
      <t>テキセツ</t>
    </rPh>
    <rPh sb="188" eb="190">
      <t>シドウ</t>
    </rPh>
    <rPh sb="191" eb="193">
      <t>カノウ</t>
    </rPh>
    <rPh sb="281" eb="283">
      <t>ヨウイ</t>
    </rPh>
    <rPh sb="358" eb="360">
      <t>キョウイン</t>
    </rPh>
    <rPh sb="384" eb="386">
      <t>ジュギョウ</t>
    </rPh>
    <rPh sb="386" eb="387">
      <t>チュウ</t>
    </rPh>
    <rPh sb="393" eb="396">
      <t>ジュギョウゴ</t>
    </rPh>
    <rPh sb="397" eb="399">
      <t>エンシュウ</t>
    </rPh>
    <rPh sb="400" eb="401">
      <t>ト</t>
    </rPh>
    <rPh sb="402" eb="403">
      <t>ク</t>
    </rPh>
    <rPh sb="404" eb="406">
      <t>ジョウキョウ</t>
    </rPh>
    <rPh sb="407" eb="409">
      <t>キョウイン</t>
    </rPh>
    <rPh sb="410" eb="412">
      <t>カクニン</t>
    </rPh>
    <rPh sb="414" eb="417">
      <t>シュウジュクド</t>
    </rPh>
    <rPh sb="418" eb="421">
      <t>リカイド</t>
    </rPh>
    <rPh sb="422" eb="423">
      <t>ヒク</t>
    </rPh>
    <rPh sb="424" eb="426">
      <t>ガクセイ</t>
    </rPh>
    <rPh sb="435" eb="436">
      <t>ツギ</t>
    </rPh>
    <rPh sb="437" eb="439">
      <t>ジュギョウ</t>
    </rPh>
    <rPh sb="461" eb="463">
      <t>コベツ</t>
    </rPh>
    <rPh sb="463" eb="465">
      <t>ガクシュウ</t>
    </rPh>
    <rPh sb="465" eb="467">
      <t>シエン</t>
    </rPh>
    <rPh sb="468" eb="470">
      <t>ジッシ</t>
    </rPh>
    <rPh sb="472" eb="474">
      <t>タイセイ</t>
    </rPh>
    <rPh sb="475" eb="477">
      <t>コウチク</t>
    </rPh>
    <rPh sb="499" eb="500">
      <t>セイ</t>
    </rPh>
    <rPh sb="507" eb="509">
      <t>タイサク</t>
    </rPh>
    <rPh sb="510" eb="512">
      <t>ホシュウ</t>
    </rPh>
    <rPh sb="517" eb="519">
      <t>タイサク</t>
    </rPh>
    <rPh sb="520" eb="522">
      <t>ガクシュウ</t>
    </rPh>
    <rPh sb="522" eb="524">
      <t>ソウダン</t>
    </rPh>
    <rPh sb="524" eb="526">
      <t>ジッシ</t>
    </rPh>
    <rPh sb="550" eb="552">
      <t>タイサク</t>
    </rPh>
    <rPh sb="556" eb="558">
      <t>ホシュウ</t>
    </rPh>
    <rPh sb="567" eb="569">
      <t>ガクシュウ</t>
    </rPh>
    <rPh sb="569" eb="572">
      <t>ソウダンカイ</t>
    </rPh>
    <rPh sb="573" eb="576">
      <t>テイキテキ</t>
    </rPh>
    <rPh sb="577" eb="579">
      <t>ジッシ</t>
    </rPh>
    <rPh sb="584" eb="586">
      <t>レイワ</t>
    </rPh>
    <rPh sb="587" eb="589">
      <t>ネンド</t>
    </rPh>
    <rPh sb="601" eb="603">
      <t>カモク</t>
    </rPh>
    <rPh sb="610" eb="612">
      <t>シュルイ</t>
    </rPh>
    <rPh sb="613" eb="615">
      <t>ホシュウ</t>
    </rPh>
    <rPh sb="618" eb="619">
      <t>フン</t>
    </rPh>
    <rPh sb="621" eb="623">
      <t>ジカン</t>
    </rPh>
    <rPh sb="625" eb="626">
      <t>ヤク</t>
    </rPh>
    <rPh sb="629" eb="630">
      <t>カイ</t>
    </rPh>
    <rPh sb="630" eb="632">
      <t>カイサイ</t>
    </rPh>
    <rPh sb="634" eb="635">
      <t>ノ</t>
    </rPh>
    <rPh sb="639" eb="640">
      <t>メイ</t>
    </rPh>
    <rPh sb="641" eb="643">
      <t>ガクセイ</t>
    </rPh>
    <rPh sb="644" eb="646">
      <t>サンカ</t>
    </rPh>
    <rPh sb="652" eb="654">
      <t>レンケイ</t>
    </rPh>
    <rPh sb="660" eb="661">
      <t>ム</t>
    </rPh>
    <rPh sb="663" eb="665">
      <t>ガクシュウ</t>
    </rPh>
    <rPh sb="665" eb="667">
      <t>ソウダン</t>
    </rPh>
    <rPh sb="667" eb="668">
      <t>カイ</t>
    </rPh>
    <rPh sb="670" eb="672">
      <t>コベツ</t>
    </rPh>
    <rPh sb="676" eb="677">
      <t>メイ</t>
    </rPh>
    <rPh sb="684" eb="686">
      <t>サンカ</t>
    </rPh>
    <rPh sb="693" eb="695">
      <t>タイメン</t>
    </rPh>
    <rPh sb="702" eb="706">
      <t>ジュコウケイシキ</t>
    </rPh>
    <rPh sb="707" eb="709">
      <t>センタク</t>
    </rPh>
    <rPh sb="712" eb="715">
      <t>ジュコウセイ</t>
    </rPh>
    <rPh sb="716" eb="718">
      <t>ハンプク</t>
    </rPh>
    <rPh sb="718" eb="720">
      <t>ガクシュウ</t>
    </rPh>
    <rPh sb="725" eb="727">
      <t>ジュンビ</t>
    </rPh>
    <rPh sb="728" eb="730">
      <t>ガクシュウ</t>
    </rPh>
    <rPh sb="730" eb="732">
      <t>シエン</t>
    </rPh>
    <rPh sb="736" eb="738">
      <t>シク</t>
    </rPh>
    <rPh sb="740" eb="742">
      <t>コウチク</t>
    </rPh>
    <rPh sb="767" eb="768">
      <t>ガイ</t>
    </rPh>
    <rPh sb="770" eb="772">
      <t>シカク</t>
    </rPh>
    <rPh sb="772" eb="774">
      <t>シュトク</t>
    </rPh>
    <rPh sb="774" eb="776">
      <t>タイサク</t>
    </rPh>
    <rPh sb="776" eb="778">
      <t>コウザ</t>
    </rPh>
    <rPh sb="779" eb="783">
      <t>テイキカイコウ</t>
    </rPh>
    <rPh sb="798" eb="800">
      <t>ジュギョウ</t>
    </rPh>
    <rPh sb="801" eb="802">
      <t>マナ</t>
    </rPh>
    <rPh sb="807" eb="809">
      <t>シカク</t>
    </rPh>
    <rPh sb="809" eb="811">
      <t>シュトク</t>
    </rPh>
    <rPh sb="818" eb="821">
      <t>セイカガイ</t>
    </rPh>
    <rPh sb="822" eb="824">
      <t>カモク</t>
    </rPh>
    <rPh sb="833" eb="835">
      <t>カモク</t>
    </rPh>
    <rPh sb="835" eb="837">
      <t>トクベツ</t>
    </rPh>
    <rPh sb="844" eb="846">
      <t>レイワ</t>
    </rPh>
    <rPh sb="847" eb="849">
      <t>ネンド</t>
    </rPh>
    <rPh sb="850" eb="851">
      <t>ガツ</t>
    </rPh>
    <rPh sb="853" eb="855">
      <t>カイコウ</t>
    </rPh>
    <rPh sb="858" eb="860">
      <t>レイワ</t>
    </rPh>
    <rPh sb="861" eb="863">
      <t>ネンド</t>
    </rPh>
    <rPh sb="933" eb="935">
      <t>コウザ</t>
    </rPh>
    <rPh sb="936" eb="938">
      <t>カイコウ</t>
    </rPh>
    <rPh sb="943" eb="944">
      <t>メイ</t>
    </rPh>
    <rPh sb="945" eb="947">
      <t>ガクセイ</t>
    </rPh>
    <rPh sb="948" eb="950">
      <t>ジュコウ</t>
    </rPh>
    <rPh sb="953" eb="955">
      <t>コンゴ</t>
    </rPh>
    <rPh sb="956" eb="957">
      <t>ハル</t>
    </rPh>
    <rPh sb="958" eb="959">
      <t>ナツ</t>
    </rPh>
    <rPh sb="959" eb="960">
      <t>ネン</t>
    </rPh>
    <rPh sb="961" eb="962">
      <t>カイ</t>
    </rPh>
    <rPh sb="963" eb="965">
      <t>テイキ</t>
    </rPh>
    <rPh sb="965" eb="967">
      <t>カイサイ</t>
    </rPh>
    <rPh sb="968" eb="970">
      <t>ヨテイ</t>
    </rPh>
    <rPh sb="997" eb="999">
      <t>ガクガイ</t>
    </rPh>
    <rPh sb="1006" eb="1008">
      <t>サンカ</t>
    </rPh>
    <rPh sb="1008" eb="1010">
      <t>シエン</t>
    </rPh>
    <rPh sb="1021" eb="1023">
      <t>カモク</t>
    </rPh>
    <rPh sb="1025" eb="1027">
      <t>ガクシュウ</t>
    </rPh>
    <rPh sb="1028" eb="1029">
      <t>トオ</t>
    </rPh>
    <rPh sb="1032" eb="1034">
      <t>ガクセイ</t>
    </rPh>
    <rPh sb="1035" eb="1037">
      <t>ガクガイ</t>
    </rPh>
    <rPh sb="1044" eb="1046">
      <t>サンカ</t>
    </rPh>
    <rPh sb="1046" eb="1048">
      <t>シエン</t>
    </rPh>
    <rPh sb="1049" eb="1050">
      <t>オコナ</t>
    </rPh>
    <rPh sb="1055" eb="1057">
      <t>レイワ</t>
    </rPh>
    <rPh sb="1058" eb="1060">
      <t>ネンド</t>
    </rPh>
    <rPh sb="1061" eb="1065">
      <t>コウキョウセイサク</t>
    </rPh>
    <rPh sb="1065" eb="1067">
      <t>ガッカ</t>
    </rPh>
    <rPh sb="1069" eb="1071">
      <t>ネンセイ</t>
    </rPh>
    <rPh sb="1072" eb="1074">
      <t>ユウシ</t>
    </rPh>
    <rPh sb="1074" eb="1076">
      <t>ガクセイ</t>
    </rPh>
    <rPh sb="1077" eb="1080">
      <t>ミタカシ</t>
    </rPh>
    <rPh sb="1106" eb="1108">
      <t>サンカ</t>
    </rPh>
    <rPh sb="1111" eb="1114">
      <t>ユウシュウショウ</t>
    </rPh>
    <rPh sb="1115" eb="1118">
      <t>シチョウショウ</t>
    </rPh>
    <rPh sb="1119" eb="1123">
      <t>サイユウシュウショウ</t>
    </rPh>
    <rPh sb="1126" eb="1128">
      <t>カクトク</t>
    </rPh>
    <rPh sb="1143" eb="1145">
      <t>ガクシュウ</t>
    </rPh>
    <rPh sb="1145" eb="1147">
      <t>シエン</t>
    </rPh>
    <rPh sb="1148" eb="1149">
      <t>シツ</t>
    </rPh>
    <rPh sb="1149" eb="1151">
      <t>コウジョウ</t>
    </rPh>
    <rPh sb="1155" eb="1158">
      <t>ケンシュウカイ</t>
    </rPh>
    <rPh sb="1158" eb="1160">
      <t>ジッシ</t>
    </rPh>
    <rPh sb="1238" eb="1239">
      <t>シツ</t>
    </rPh>
    <rPh sb="1240" eb="1242">
      <t>コウジョウ</t>
    </rPh>
    <rPh sb="1243" eb="1244">
      <t>ハカ</t>
    </rPh>
    <rPh sb="1283" eb="1285">
      <t>イチ</t>
    </rPh>
    <rPh sb="1360" eb="1361">
      <t>ジョウ</t>
    </rPh>
    <rPh sb="1362" eb="1364">
      <t>ジュギョウ</t>
    </rPh>
    <rPh sb="1365" eb="1367">
      <t>シュッセキ</t>
    </rPh>
    <rPh sb="1367" eb="1369">
      <t>ジョウキョウ</t>
    </rPh>
    <rPh sb="1370" eb="1372">
      <t>カダイ</t>
    </rPh>
    <rPh sb="1373" eb="1375">
      <t>テイシュツ</t>
    </rPh>
    <rPh sb="1375" eb="1377">
      <t>ジョウキョウ</t>
    </rPh>
    <rPh sb="1378" eb="1380">
      <t>セイセキ</t>
    </rPh>
    <rPh sb="1383" eb="1386">
      <t>ジケイレツ</t>
    </rPh>
    <rPh sb="1387" eb="1389">
      <t>ハアク</t>
    </rPh>
    <rPh sb="1395" eb="1398">
      <t>カシカ</t>
    </rPh>
    <rPh sb="1414" eb="1416">
      <t>ジゼン</t>
    </rPh>
    <rPh sb="1416" eb="1418">
      <t>ジゴ</t>
    </rPh>
    <rPh sb="1418" eb="1420">
      <t>ガクシュウ</t>
    </rPh>
    <rPh sb="1421" eb="1423">
      <t>ケイカク</t>
    </rPh>
    <rPh sb="1424" eb="1425">
      <t>タ</t>
    </rPh>
    <rPh sb="1430" eb="1432">
      <t>カノウ</t>
    </rPh>
    <rPh sb="1441" eb="1443">
      <t>キョウイン</t>
    </rPh>
    <rPh sb="1454" eb="1455">
      <t>ベツ</t>
    </rPh>
    <rPh sb="1456" eb="1458">
      <t>ガクセイ</t>
    </rPh>
    <rPh sb="1458" eb="1459">
      <t>ベツ</t>
    </rPh>
    <rPh sb="1460" eb="1463">
      <t>ジケイレツ</t>
    </rPh>
    <rPh sb="1464" eb="1466">
      <t>シュッセキ</t>
    </rPh>
    <rPh sb="1466" eb="1468">
      <t>ジョウキョウ</t>
    </rPh>
    <rPh sb="1469" eb="1471">
      <t>カダイ</t>
    </rPh>
    <rPh sb="1472" eb="1474">
      <t>テイシュツ</t>
    </rPh>
    <rPh sb="1474" eb="1476">
      <t>ジョウキョウ</t>
    </rPh>
    <rPh sb="1481" eb="1483">
      <t>ケッカ</t>
    </rPh>
    <rPh sb="1484" eb="1486">
      <t>セイセキ</t>
    </rPh>
    <rPh sb="1486" eb="1488">
      <t>ヒョウカ</t>
    </rPh>
    <rPh sb="1494" eb="1496">
      <t>ゼンタイ</t>
    </rPh>
    <rPh sb="1497" eb="1499">
      <t>ガクシュウ</t>
    </rPh>
    <rPh sb="1499" eb="1501">
      <t>ジョウキョウ</t>
    </rPh>
    <rPh sb="1517" eb="1519">
      <t>ハアク</t>
    </rPh>
    <phoneticPr fontId="1"/>
  </si>
  <si>
    <t>　本プログラムでは、以下のような外部連携を実施している。
・地域連携や産業界との連携について
　データサイエンスⅤ、Ⅵでは産官学連携の契約や協定を締結し、実データを用いた実課題の解決を目指す取り組みを実施している。令和3年度は三鷹市、サイゼリヤ㈱、㈱ニューラルポケットと連携したが、令和4年度は2社１自治体に加えて、Softbank㈱、キリンホールディングスの2社とも新たに連携を開始する。連携先から実データの提供と合わせて企業や自治体が抱える課題を学生へ提示し、学生による最終プレゼンでは、各連携先から個々の学生や、発表グループに対して直接講評やフィードバックをもらっている。さらに連携先から教育内容に関するフィードバックを受けるなど本学の授業改善にもつなげている。
・教育プログラムや教材の公開や情報提供について
　第9回 Tableau大学ユーザー会において、日本の文系大学の共通教育における必修科目での導入について、積極的に情報を公開し、データサイエンス教育内容や取り組みについて説明している。またTableau導入についての他大学からの問い合わせについても可能な範囲で情報提供をおこなっている。</t>
    <rPh sb="16" eb="18">
      <t>ガイブ</t>
    </rPh>
    <rPh sb="18" eb="20">
      <t>レンケイ</t>
    </rPh>
    <rPh sb="65" eb="67">
      <t>レンケイ</t>
    </rPh>
    <rPh sb="68" eb="70">
      <t>ケイヤク</t>
    </rPh>
    <rPh sb="71" eb="73">
      <t>キョウテイ</t>
    </rPh>
    <rPh sb="74" eb="76">
      <t>テイケツ</t>
    </rPh>
    <rPh sb="78" eb="79">
      <t>ジツ</t>
    </rPh>
    <rPh sb="83" eb="84">
      <t>モチ</t>
    </rPh>
    <rPh sb="86" eb="89">
      <t>ジツカダイ</t>
    </rPh>
    <rPh sb="90" eb="92">
      <t>カイケツ</t>
    </rPh>
    <rPh sb="93" eb="95">
      <t>メザ</t>
    </rPh>
    <rPh sb="108" eb="110">
      <t>レイワ</t>
    </rPh>
    <rPh sb="111" eb="113">
      <t>ネンド</t>
    </rPh>
    <rPh sb="114" eb="117">
      <t>ミタカシ</t>
    </rPh>
    <rPh sb="136" eb="138">
      <t>レンケイ</t>
    </rPh>
    <rPh sb="142" eb="144">
      <t>レイワ</t>
    </rPh>
    <rPh sb="145" eb="147">
      <t>ネンド</t>
    </rPh>
    <rPh sb="149" eb="150">
      <t>シャ</t>
    </rPh>
    <rPh sb="151" eb="154">
      <t>ジチタイ</t>
    </rPh>
    <rPh sb="155" eb="156">
      <t>クワ</t>
    </rPh>
    <rPh sb="182" eb="183">
      <t>シャ</t>
    </rPh>
    <rPh sb="185" eb="186">
      <t>アラ</t>
    </rPh>
    <rPh sb="188" eb="190">
      <t>レンケイ</t>
    </rPh>
    <rPh sb="191" eb="193">
      <t>カイシ</t>
    </rPh>
    <rPh sb="196" eb="198">
      <t>レンケイ</t>
    </rPh>
    <rPh sb="198" eb="199">
      <t>サキ</t>
    </rPh>
    <rPh sb="201" eb="202">
      <t>ジツ</t>
    </rPh>
    <rPh sb="206" eb="208">
      <t>テイキョウ</t>
    </rPh>
    <rPh sb="209" eb="210">
      <t>ア</t>
    </rPh>
    <rPh sb="213" eb="215">
      <t>キギョウ</t>
    </rPh>
    <rPh sb="216" eb="219">
      <t>ジチタイ</t>
    </rPh>
    <rPh sb="220" eb="221">
      <t>カカ</t>
    </rPh>
    <rPh sb="223" eb="225">
      <t>カダイ</t>
    </rPh>
    <rPh sb="226" eb="228">
      <t>ガクセイ</t>
    </rPh>
    <rPh sb="229" eb="231">
      <t>テイジ</t>
    </rPh>
    <rPh sb="233" eb="235">
      <t>ガクセイ</t>
    </rPh>
    <rPh sb="238" eb="240">
      <t>サイシュウ</t>
    </rPh>
    <rPh sb="247" eb="248">
      <t>カク</t>
    </rPh>
    <rPh sb="248" eb="251">
      <t>レンケイサキ</t>
    </rPh>
    <rPh sb="253" eb="255">
      <t>ココ</t>
    </rPh>
    <rPh sb="256" eb="258">
      <t>ガクセイ</t>
    </rPh>
    <rPh sb="260" eb="262">
      <t>ハッピョウ</t>
    </rPh>
    <rPh sb="267" eb="268">
      <t>タイ</t>
    </rPh>
    <rPh sb="270" eb="272">
      <t>チョクセツ</t>
    </rPh>
    <rPh sb="272" eb="274">
      <t>コウヒョウ</t>
    </rPh>
    <rPh sb="293" eb="296">
      <t>レンケイサキ</t>
    </rPh>
    <rPh sb="298" eb="302">
      <t>キョウイクナイヨウ</t>
    </rPh>
    <rPh sb="303" eb="304">
      <t>カン</t>
    </rPh>
    <rPh sb="314" eb="315">
      <t>ウ</t>
    </rPh>
    <rPh sb="319" eb="321">
      <t>ホンガク</t>
    </rPh>
    <rPh sb="322" eb="326">
      <t>ジュギョウカイゼン</t>
    </rPh>
    <rPh sb="338" eb="340">
      <t>キョウイク</t>
    </rPh>
    <rPh sb="346" eb="348">
      <t>キョウザイ</t>
    </rPh>
    <rPh sb="349" eb="351">
      <t>コウカイ</t>
    </rPh>
    <rPh sb="352" eb="354">
      <t>ジョウホウ</t>
    </rPh>
    <rPh sb="354" eb="356">
      <t>テイキョウ</t>
    </rPh>
    <rPh sb="385" eb="387">
      <t>ニホン</t>
    </rPh>
    <rPh sb="388" eb="390">
      <t>ブンケイ</t>
    </rPh>
    <rPh sb="390" eb="392">
      <t>ダイガク</t>
    </rPh>
    <rPh sb="393" eb="395">
      <t>キョウツウ</t>
    </rPh>
    <rPh sb="395" eb="397">
      <t>キョウイク</t>
    </rPh>
    <rPh sb="401" eb="403">
      <t>ヒッシュウ</t>
    </rPh>
    <rPh sb="403" eb="405">
      <t>カモク</t>
    </rPh>
    <rPh sb="407" eb="409">
      <t>ドウニュウ</t>
    </rPh>
    <rPh sb="438" eb="439">
      <t>ト</t>
    </rPh>
    <rPh sb="440" eb="441">
      <t>ク</t>
    </rPh>
    <rPh sb="462" eb="464">
      <t>ドウニュウ</t>
    </rPh>
    <rPh sb="469" eb="472">
      <t>タダイガク</t>
    </rPh>
    <rPh sb="475" eb="476">
      <t>ト</t>
    </rPh>
    <rPh sb="477" eb="478">
      <t>ア</t>
    </rPh>
    <rPh sb="485" eb="487">
      <t>カノウ</t>
    </rPh>
    <rPh sb="488" eb="490">
      <t>ハンイ</t>
    </rPh>
    <rPh sb="491" eb="493">
      <t>ジョウホウ</t>
    </rPh>
    <rPh sb="493" eb="495">
      <t>テイキョウ</t>
    </rPh>
    <phoneticPr fontId="1"/>
  </si>
  <si>
    <t>様式２</t>
    <phoneticPr fontId="1"/>
  </si>
  <si>
    <t>https://www.tais.ac.jp/p/tu-knowledge/learning/data-science/</t>
    <phoneticPr fontId="1"/>
  </si>
  <si>
    <t>https://www.tais.ac.jp/p/tu-knowledge/assets/doc/data-science-report-r3.pdf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</si>
</sst>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3"/>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3"/>
      <charset val="128"/>
      <scheme val="minor"/>
    </font>
    <font>
      <sz val="8"/>
      <name val="ＭＳ Ｐゴシック"/>
      <family val="3"/>
      <charset val="128"/>
      <scheme val="minor"/>
    </font>
    <font>
      <u/>
      <sz val="11"/>
      <name val="ＭＳ Ｐゴシック"/>
      <family val="3"/>
      <charset val="128"/>
      <scheme val="minor"/>
    </font>
    <font>
      <sz val="10"/>
      <name val="ＭＳ Ｐゴシック"/>
      <family val="3"/>
      <charset val="128"/>
      <scheme val="minor"/>
    </font>
    <font>
      <sz val="7"/>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3" fillId="0" borderId="0" applyFont="0" applyFill="0" applyBorder="0" applyAlignment="0" applyProtection="0">
      <alignment vertical="center"/>
    </xf>
    <xf numFmtId="0" fontId="4" fillId="0" borderId="0" applyNumberFormat="0" applyFill="0" applyBorder="0" applyAlignment="0" applyProtection="0">
      <alignment vertical="center"/>
    </xf>
  </cellStyleXfs>
  <cellXfs count="296">
    <xf numFmtId="0" fontId="0" fillId="0" borderId="0" xfId="0">
      <alignment vertical="center"/>
    </xf>
    <xf numFmtId="0" fontId="5" fillId="0" borderId="0" xfId="0" applyFont="1" applyFill="1">
      <alignment vertical="center"/>
    </xf>
    <xf numFmtId="0" fontId="5" fillId="0" borderId="23" xfId="0" applyFont="1" applyFill="1" applyBorder="1" applyAlignment="1">
      <alignment horizontal="center" vertical="center" shrinkToFit="1"/>
    </xf>
    <xf numFmtId="0" fontId="5" fillId="0" borderId="23" xfId="0" applyFont="1" applyFill="1" applyBorder="1" applyAlignment="1">
      <alignment vertical="center" shrinkToFit="1"/>
    </xf>
    <xf numFmtId="0" fontId="5" fillId="0" borderId="19" xfId="0" applyFont="1" applyFill="1" applyBorder="1" applyAlignment="1">
      <alignment horizontal="left" vertical="center" shrinkToFit="1"/>
    </xf>
    <xf numFmtId="0" fontId="5" fillId="0" borderId="20" xfId="0" applyFont="1" applyFill="1" applyBorder="1" applyAlignment="1">
      <alignment horizontal="left" vertical="center" shrinkToFit="1"/>
    </xf>
    <xf numFmtId="0" fontId="5" fillId="0" borderId="18" xfId="0" applyFont="1" applyFill="1" applyBorder="1" applyAlignment="1">
      <alignment horizontal="left" vertical="center" shrinkToFit="1"/>
    </xf>
    <xf numFmtId="0" fontId="5" fillId="0" borderId="0" xfId="0" applyFont="1" applyFill="1" applyAlignment="1">
      <alignment vertical="center"/>
    </xf>
    <xf numFmtId="0" fontId="5" fillId="0" borderId="0" xfId="0" applyFont="1" applyFill="1" applyAlignment="1">
      <alignment horizontal="left" vertical="center"/>
    </xf>
    <xf numFmtId="0" fontId="5" fillId="0" borderId="0" xfId="0" applyFont="1" applyFill="1" applyBorder="1" applyAlignment="1">
      <alignment vertical="center" shrinkToFit="1"/>
    </xf>
    <xf numFmtId="0" fontId="5" fillId="0" borderId="0" xfId="0" applyFont="1" applyFill="1" applyBorder="1" applyAlignment="1">
      <alignment vertical="center"/>
    </xf>
    <xf numFmtId="0" fontId="5" fillId="0" borderId="1" xfId="0" applyFont="1" applyFill="1" applyBorder="1" applyAlignment="1">
      <alignment vertical="center" shrinkToFit="1"/>
    </xf>
    <xf numFmtId="0" fontId="5" fillId="0" borderId="5" xfId="0" applyFont="1" applyFill="1" applyBorder="1">
      <alignment vertical="center"/>
    </xf>
    <xf numFmtId="176" fontId="5" fillId="0" borderId="0" xfId="0" applyNumberFormat="1" applyFont="1" applyFill="1" applyBorder="1" applyAlignment="1">
      <alignment vertical="center" wrapText="1"/>
    </xf>
    <xf numFmtId="0" fontId="5" fillId="0" borderId="0" xfId="0" applyFont="1" applyFill="1" applyBorder="1">
      <alignment vertical="center"/>
    </xf>
    <xf numFmtId="176" fontId="5" fillId="0" borderId="5" xfId="0" applyNumberFormat="1" applyFont="1" applyFill="1" applyBorder="1" applyAlignment="1">
      <alignment vertical="center"/>
    </xf>
    <xf numFmtId="176" fontId="5" fillId="0" borderId="0" xfId="0" applyNumberFormat="1" applyFont="1" applyFill="1" applyBorder="1">
      <alignment vertical="center"/>
    </xf>
    <xf numFmtId="0" fontId="5" fillId="0" borderId="0" xfId="0" applyFont="1" applyFill="1" applyBorder="1" applyAlignment="1">
      <alignment horizontal="center" vertical="center"/>
    </xf>
    <xf numFmtId="176" fontId="5" fillId="0" borderId="0" xfId="0" applyNumberFormat="1" applyFont="1" applyFill="1" applyAlignment="1">
      <alignment vertical="center" wrapText="1"/>
    </xf>
    <xf numFmtId="0" fontId="5" fillId="0" borderId="0" xfId="0" applyFont="1" applyFill="1" applyAlignment="1">
      <alignment horizontal="center" vertical="center"/>
    </xf>
    <xf numFmtId="176" fontId="5" fillId="0" borderId="3" xfId="0" applyNumberFormat="1" applyFont="1" applyFill="1" applyBorder="1" applyAlignment="1">
      <alignment vertical="center" shrinkToFit="1"/>
    </xf>
    <xf numFmtId="176" fontId="5" fillId="0" borderId="0" xfId="0" applyNumberFormat="1" applyFont="1" applyFill="1" applyAlignment="1">
      <alignment horizontal="left" vertical="center" wrapText="1"/>
    </xf>
    <xf numFmtId="0" fontId="5" fillId="0" borderId="6" xfId="0" applyFont="1" applyFill="1" applyBorder="1" applyAlignment="1">
      <alignment vertical="center" shrinkToFit="1"/>
    </xf>
    <xf numFmtId="0" fontId="5" fillId="0" borderId="0" xfId="0" applyFont="1" applyFill="1" applyBorder="1" applyAlignment="1">
      <alignment horizontal="center" vertical="center" shrinkToFit="1"/>
    </xf>
    <xf numFmtId="0" fontId="5" fillId="0" borderId="10" xfId="0" applyFont="1" applyFill="1" applyBorder="1" applyAlignment="1">
      <alignment vertical="center" shrinkToFit="1"/>
    </xf>
    <xf numFmtId="0" fontId="5" fillId="0" borderId="2" xfId="0" applyFont="1" applyFill="1" applyBorder="1">
      <alignment vertical="center"/>
    </xf>
    <xf numFmtId="0" fontId="5" fillId="0" borderId="4" xfId="0" applyFont="1" applyFill="1" applyBorder="1">
      <alignment vertical="center"/>
    </xf>
    <xf numFmtId="0" fontId="5" fillId="0" borderId="1" xfId="0" applyFont="1" applyFill="1" applyBorder="1">
      <alignment vertical="center"/>
    </xf>
    <xf numFmtId="0" fontId="5" fillId="0" borderId="0" xfId="0" applyFont="1" applyFill="1" applyAlignment="1">
      <alignment vertical="center" wrapText="1"/>
    </xf>
    <xf numFmtId="0" fontId="6" fillId="0" borderId="0" xfId="0" applyFont="1" applyFill="1">
      <alignment vertical="center"/>
    </xf>
    <xf numFmtId="0" fontId="5" fillId="0" borderId="0" xfId="0" applyFont="1" applyFill="1" applyAlignment="1">
      <alignment vertical="center" wrapText="1"/>
    </xf>
    <xf numFmtId="0" fontId="11" fillId="0" borderId="4" xfId="0" applyFont="1" applyFill="1" applyBorder="1" applyAlignment="1">
      <alignment horizontal="center" vertical="center" shrinkToFit="1"/>
    </xf>
    <xf numFmtId="49" fontId="9" fillId="0" borderId="1" xfId="0" applyNumberFormat="1" applyFont="1" applyFill="1" applyBorder="1" applyAlignment="1">
      <alignment horizontal="center" vertical="center"/>
    </xf>
    <xf numFmtId="0" fontId="5" fillId="0" borderId="14" xfId="0" applyFont="1" applyFill="1" applyBorder="1" applyAlignment="1">
      <alignment horizontal="center" vertical="center" shrinkToFit="1"/>
    </xf>
    <xf numFmtId="0" fontId="5" fillId="0" borderId="14" xfId="0" applyFont="1" applyFill="1" applyBorder="1" applyAlignment="1">
      <alignment vertical="center" shrinkToFit="1"/>
    </xf>
    <xf numFmtId="0" fontId="5" fillId="0" borderId="13" xfId="0" applyFont="1" applyFill="1" applyBorder="1" applyAlignment="1">
      <alignment horizontal="center" vertical="center" shrinkToFit="1"/>
    </xf>
    <xf numFmtId="0" fontId="5" fillId="0" borderId="43" xfId="0" applyFont="1" applyFill="1" applyBorder="1" applyAlignment="1">
      <alignment vertical="center" shrinkToFit="1"/>
    </xf>
    <xf numFmtId="0" fontId="5" fillId="0" borderId="0" xfId="0" applyFont="1" applyFill="1" applyAlignment="1">
      <alignment vertical="center" shrinkToFit="1"/>
    </xf>
    <xf numFmtId="0" fontId="5" fillId="0" borderId="37" xfId="0" applyFont="1" applyFill="1" applyBorder="1" applyAlignment="1">
      <alignment horizontal="left" vertical="center" shrinkToFit="1"/>
    </xf>
    <xf numFmtId="0" fontId="5" fillId="0" borderId="39" xfId="0" applyFont="1" applyFill="1" applyBorder="1" applyAlignment="1">
      <alignment horizontal="left" vertical="center" shrinkToFit="1"/>
    </xf>
    <xf numFmtId="0" fontId="5" fillId="0" borderId="38" xfId="0" applyFont="1" applyFill="1" applyBorder="1" applyAlignment="1">
      <alignment horizontal="left" vertical="center" shrinkToFit="1"/>
    </xf>
    <xf numFmtId="0" fontId="5" fillId="0" borderId="0" xfId="0" applyFont="1" applyFill="1" applyAlignment="1">
      <alignment vertical="top" wrapText="1"/>
    </xf>
    <xf numFmtId="0" fontId="5" fillId="0" borderId="2" xfId="0" applyFont="1" applyFill="1" applyBorder="1" applyAlignment="1">
      <alignment vertical="center"/>
    </xf>
    <xf numFmtId="0" fontId="5" fillId="0" borderId="3" xfId="0" applyFont="1" applyFill="1" applyBorder="1" applyAlignment="1">
      <alignment vertical="center"/>
    </xf>
    <xf numFmtId="0" fontId="5" fillId="0" borderId="4" xfId="0" applyFont="1" applyFill="1" applyBorder="1" applyAlignment="1">
      <alignment vertical="center"/>
    </xf>
    <xf numFmtId="0" fontId="5" fillId="0" borderId="38" xfId="0" applyFont="1" applyFill="1" applyBorder="1" applyAlignment="1">
      <alignment vertical="center"/>
    </xf>
    <xf numFmtId="0" fontId="5" fillId="0" borderId="18" xfId="0" applyFont="1" applyFill="1" applyBorder="1" applyAlignment="1">
      <alignment vertical="center"/>
    </xf>
    <xf numFmtId="0" fontId="5" fillId="0" borderId="42" xfId="0" applyFont="1" applyFill="1" applyBorder="1" applyAlignment="1">
      <alignment vertical="center"/>
    </xf>
    <xf numFmtId="49" fontId="9" fillId="0" borderId="51" xfId="0" applyNumberFormat="1" applyFont="1" applyFill="1" applyBorder="1" applyAlignment="1">
      <alignment horizontal="center" vertical="center"/>
    </xf>
    <xf numFmtId="49" fontId="9" fillId="0" borderId="52" xfId="0" applyNumberFormat="1" applyFont="1" applyFill="1" applyBorder="1" applyAlignment="1">
      <alignment horizontal="center" vertical="center"/>
    </xf>
    <xf numFmtId="49" fontId="9" fillId="0" borderId="47" xfId="0" applyNumberFormat="1" applyFont="1" applyFill="1" applyBorder="1" applyAlignment="1">
      <alignment horizontal="center" vertical="center"/>
    </xf>
    <xf numFmtId="49" fontId="9" fillId="0" borderId="29" xfId="0" applyNumberFormat="1" applyFont="1" applyFill="1" applyBorder="1" applyAlignment="1">
      <alignment horizontal="center" vertical="center"/>
    </xf>
    <xf numFmtId="49" fontId="9" fillId="0" borderId="50" xfId="0" applyNumberFormat="1" applyFont="1" applyFill="1" applyBorder="1" applyAlignment="1">
      <alignment horizontal="center" vertical="center"/>
    </xf>
    <xf numFmtId="49" fontId="9" fillId="0" borderId="33" xfId="0" applyNumberFormat="1" applyFont="1" applyFill="1" applyBorder="1" applyAlignment="1">
      <alignment horizontal="center" vertical="center"/>
    </xf>
    <xf numFmtId="0" fontId="10" fillId="0" borderId="0" xfId="0" applyFont="1" applyFill="1">
      <alignment vertical="center"/>
    </xf>
    <xf numFmtId="0" fontId="14" fillId="0" borderId="11" xfId="0" applyFont="1" applyFill="1" applyBorder="1" applyAlignment="1">
      <alignment horizontal="center" vertical="center"/>
    </xf>
    <xf numFmtId="0" fontId="14" fillId="0" borderId="29" xfId="0" applyFont="1" applyFill="1" applyBorder="1" applyAlignment="1">
      <alignment horizontal="center" vertical="center" wrapText="1"/>
    </xf>
    <xf numFmtId="0" fontId="14" fillId="0" borderId="30" xfId="0" applyFont="1" applyFill="1" applyBorder="1" applyAlignment="1">
      <alignment horizontal="center" vertical="center"/>
    </xf>
    <xf numFmtId="0" fontId="14" fillId="0" borderId="12" xfId="0" applyFont="1" applyFill="1" applyBorder="1" applyAlignment="1">
      <alignment horizontal="center" vertical="center" wrapText="1"/>
    </xf>
    <xf numFmtId="0" fontId="5" fillId="0" borderId="14" xfId="0" applyFont="1" applyFill="1" applyBorder="1" applyAlignment="1">
      <alignment horizontal="left" vertical="center" shrinkToFit="1"/>
    </xf>
    <xf numFmtId="176" fontId="5" fillId="0" borderId="32" xfId="0" applyNumberFormat="1" applyFont="1" applyFill="1" applyBorder="1" applyAlignment="1">
      <alignment vertical="center" shrinkToFit="1"/>
    </xf>
    <xf numFmtId="176" fontId="5" fillId="0" borderId="10" xfId="0" applyNumberFormat="1" applyFont="1" applyFill="1" applyBorder="1" applyAlignment="1">
      <alignment vertical="center" shrinkToFit="1"/>
    </xf>
    <xf numFmtId="176" fontId="5" fillId="0" borderId="5" xfId="0" applyNumberFormat="1" applyFont="1" applyFill="1" applyBorder="1" applyAlignment="1">
      <alignment vertical="center" shrinkToFit="1"/>
    </xf>
    <xf numFmtId="176" fontId="5" fillId="0" borderId="31" xfId="0" applyNumberFormat="1" applyFont="1" applyFill="1" applyBorder="1" applyAlignment="1">
      <alignment vertical="center" shrinkToFit="1"/>
    </xf>
    <xf numFmtId="176" fontId="5" fillId="0" borderId="14" xfId="0" applyNumberFormat="1" applyFont="1" applyFill="1" applyBorder="1" applyAlignment="1">
      <alignment vertical="center" shrinkToFit="1"/>
    </xf>
    <xf numFmtId="9" fontId="5" fillId="0" borderId="10" xfId="0" applyNumberFormat="1" applyFont="1" applyFill="1" applyBorder="1" applyAlignment="1">
      <alignment vertical="center" shrinkToFit="1"/>
    </xf>
    <xf numFmtId="0" fontId="5" fillId="0" borderId="23" xfId="0" applyFont="1" applyFill="1" applyBorder="1" applyAlignment="1">
      <alignment horizontal="left" vertical="center" shrinkToFit="1"/>
    </xf>
    <xf numFmtId="0" fontId="5" fillId="0" borderId="20" xfId="0" applyFont="1" applyFill="1" applyBorder="1" applyAlignment="1">
      <alignment vertical="center" shrinkToFit="1"/>
    </xf>
    <xf numFmtId="0" fontId="5" fillId="0" borderId="19" xfId="0" applyFont="1" applyFill="1" applyBorder="1" applyAlignment="1">
      <alignment vertical="center" shrinkToFit="1"/>
    </xf>
    <xf numFmtId="176" fontId="5" fillId="0" borderId="34" xfId="0" applyNumberFormat="1" applyFont="1" applyFill="1" applyBorder="1" applyAlignment="1">
      <alignment vertical="center" shrinkToFit="1"/>
    </xf>
    <xf numFmtId="176" fontId="5" fillId="0" borderId="18" xfId="0" applyNumberFormat="1" applyFont="1" applyFill="1" applyBorder="1" applyAlignment="1">
      <alignment vertical="center" shrinkToFit="1"/>
    </xf>
    <xf numFmtId="176" fontId="5" fillId="0" borderId="19" xfId="0" applyNumberFormat="1" applyFont="1" applyFill="1" applyBorder="1" applyAlignment="1">
      <alignment vertical="center" shrinkToFit="1"/>
    </xf>
    <xf numFmtId="176" fontId="5" fillId="0" borderId="33" xfId="0" applyNumberFormat="1" applyFont="1" applyFill="1" applyBorder="1" applyAlignment="1">
      <alignment vertical="center" shrinkToFit="1"/>
    </xf>
    <xf numFmtId="176" fontId="5" fillId="0" borderId="23" xfId="0" applyNumberFormat="1" applyFont="1" applyFill="1" applyBorder="1" applyAlignment="1">
      <alignment vertical="center" shrinkToFit="1"/>
    </xf>
    <xf numFmtId="9" fontId="5" fillId="0" borderId="23" xfId="0" applyNumberFormat="1" applyFont="1" applyFill="1" applyBorder="1" applyAlignment="1">
      <alignment vertical="center" shrinkToFit="1"/>
    </xf>
    <xf numFmtId="0" fontId="5" fillId="0" borderId="5" xfId="0" applyFont="1" applyFill="1" applyBorder="1" applyAlignment="1">
      <alignment vertical="center" shrinkToFit="1"/>
    </xf>
    <xf numFmtId="0" fontId="5" fillId="0" borderId="18" xfId="0" applyFont="1" applyFill="1" applyBorder="1" applyAlignment="1">
      <alignment vertical="center" shrinkToFit="1"/>
    </xf>
    <xf numFmtId="0" fontId="5" fillId="0" borderId="24" xfId="0" applyFont="1" applyFill="1" applyBorder="1" applyAlignment="1">
      <alignment horizontal="left" vertical="center" shrinkToFit="1"/>
    </xf>
    <xf numFmtId="176" fontId="5" fillId="0" borderId="24" xfId="0" applyNumberFormat="1" applyFont="1" applyFill="1" applyBorder="1" applyAlignment="1">
      <alignment vertical="center" shrinkToFit="1"/>
    </xf>
    <xf numFmtId="0" fontId="5" fillId="0" borderId="28" xfId="0" applyFont="1" applyFill="1" applyBorder="1" applyAlignment="1">
      <alignment horizontal="center" vertical="center" shrinkToFit="1"/>
    </xf>
    <xf numFmtId="0" fontId="5" fillId="0" borderId="26" xfId="0" applyFont="1" applyFill="1" applyBorder="1" applyAlignment="1">
      <alignment vertical="center" shrinkToFit="1"/>
    </xf>
    <xf numFmtId="176" fontId="5" fillId="0" borderId="25" xfId="0" applyNumberFormat="1" applyFont="1" applyFill="1" applyBorder="1" applyAlignment="1">
      <alignment vertical="center" shrinkToFit="1"/>
    </xf>
    <xf numFmtId="176" fontId="5" fillId="0" borderId="35" xfId="0" applyNumberFormat="1" applyFont="1" applyFill="1" applyBorder="1" applyAlignment="1">
      <alignment vertical="center" shrinkToFit="1"/>
    </xf>
    <xf numFmtId="176" fontId="5" fillId="0" borderId="36" xfId="0" applyNumberFormat="1" applyFont="1" applyFill="1" applyBorder="1" applyAlignment="1">
      <alignment vertical="center" shrinkToFit="1"/>
    </xf>
    <xf numFmtId="176" fontId="5" fillId="0" borderId="27" xfId="0" applyNumberFormat="1" applyFont="1" applyFill="1" applyBorder="1" applyAlignment="1">
      <alignment vertical="center" shrinkToFit="1"/>
    </xf>
    <xf numFmtId="176" fontId="5" fillId="0" borderId="28" xfId="0" applyNumberFormat="1" applyFont="1" applyFill="1" applyBorder="1" applyAlignment="1">
      <alignment vertical="center" shrinkToFit="1"/>
    </xf>
    <xf numFmtId="9" fontId="5" fillId="0" borderId="27" xfId="0" applyNumberFormat="1" applyFont="1" applyFill="1" applyBorder="1" applyAlignment="1">
      <alignment vertical="center" shrinkToFit="1"/>
    </xf>
    <xf numFmtId="176" fontId="5" fillId="0" borderId="0" xfId="0" applyNumberFormat="1" applyFont="1" applyFill="1">
      <alignment vertical="center"/>
    </xf>
    <xf numFmtId="0" fontId="5" fillId="0" borderId="25" xfId="0" applyFont="1" applyFill="1" applyBorder="1" applyAlignment="1">
      <alignment vertical="center" shrinkToFit="1"/>
    </xf>
    <xf numFmtId="0" fontId="9" fillId="0" borderId="0" xfId="0" applyFont="1" applyFill="1">
      <alignment vertical="center"/>
    </xf>
    <xf numFmtId="0" fontId="5" fillId="0" borderId="0" xfId="0" applyFont="1" applyFill="1" applyAlignment="1">
      <alignment horizontal="right" vertical="center"/>
    </xf>
    <xf numFmtId="0" fontId="9" fillId="0" borderId="0" xfId="0" applyFont="1" applyFill="1" applyAlignment="1">
      <alignment vertical="top" wrapText="1"/>
    </xf>
    <xf numFmtId="0" fontId="5" fillId="0" borderId="7" xfId="0" applyFont="1" applyFill="1" applyBorder="1" applyAlignment="1">
      <alignment horizontal="center" vertical="center" wrapText="1" shrinkToFit="1"/>
    </xf>
    <xf numFmtId="9" fontId="5" fillId="0" borderId="8" xfId="0" applyNumberFormat="1" applyFont="1" applyFill="1" applyBorder="1" applyAlignment="1">
      <alignment horizontal="center" vertical="center" wrapText="1" shrinkToFit="1"/>
    </xf>
    <xf numFmtId="0" fontId="5" fillId="0" borderId="8" xfId="0" applyFont="1" applyFill="1" applyBorder="1" applyAlignment="1">
      <alignment horizontal="center" vertical="center" wrapText="1" shrinkToFit="1"/>
    </xf>
    <xf numFmtId="9" fontId="5" fillId="0" borderId="8" xfId="0" applyNumberFormat="1" applyFont="1" applyFill="1" applyBorder="1" applyAlignment="1">
      <alignment horizontal="center" vertical="center" shrinkToFit="1"/>
    </xf>
    <xf numFmtId="0" fontId="5" fillId="0" borderId="9" xfId="0" applyFont="1" applyFill="1" applyBorder="1" applyAlignment="1">
      <alignment horizontal="center" vertical="center" shrinkToFit="1"/>
    </xf>
    <xf numFmtId="0" fontId="5" fillId="0" borderId="44" xfId="0" applyFont="1" applyFill="1" applyBorder="1" applyAlignment="1">
      <alignment horizontal="center" vertical="center" shrinkToFit="1"/>
    </xf>
    <xf numFmtId="9" fontId="5" fillId="0" borderId="45" xfId="0" applyNumberFormat="1" applyFont="1" applyFill="1" applyBorder="1" applyAlignment="1">
      <alignment horizontal="center" vertical="center" shrinkToFit="1"/>
    </xf>
    <xf numFmtId="0" fontId="5" fillId="0" borderId="45" xfId="0" applyFont="1" applyFill="1" applyBorder="1" applyAlignment="1">
      <alignment horizontal="center" vertical="center" shrinkToFit="1"/>
    </xf>
    <xf numFmtId="176" fontId="5" fillId="0" borderId="45" xfId="0" applyNumberFormat="1" applyFont="1" applyFill="1" applyBorder="1" applyAlignment="1">
      <alignment horizontal="center" vertical="center" shrinkToFit="1"/>
    </xf>
    <xf numFmtId="0" fontId="5" fillId="0" borderId="46" xfId="0" applyFont="1" applyFill="1" applyBorder="1" applyAlignment="1">
      <alignment horizontal="center" vertical="center" shrinkToFit="1"/>
    </xf>
    <xf numFmtId="0" fontId="9" fillId="0" borderId="0" xfId="0" applyFont="1" applyFill="1" applyAlignment="1">
      <alignment vertical="top" shrinkToFit="1"/>
    </xf>
    <xf numFmtId="0" fontId="9" fillId="0" borderId="0" xfId="0" applyFont="1" applyFill="1" applyAlignment="1">
      <alignment vertical="center" wrapText="1"/>
    </xf>
    <xf numFmtId="0" fontId="8" fillId="0" borderId="0" xfId="0" applyFont="1" applyFill="1" applyAlignment="1">
      <alignment horizontal="center" vertical="center"/>
    </xf>
    <xf numFmtId="0" fontId="9" fillId="0" borderId="10" xfId="0" applyFont="1" applyFill="1" applyBorder="1" applyAlignment="1">
      <alignment vertical="top" wrapText="1"/>
    </xf>
    <xf numFmtId="0" fontId="9" fillId="0" borderId="5" xfId="0" applyFont="1" applyFill="1" applyBorder="1" applyAlignment="1">
      <alignment vertical="top" wrapText="1"/>
    </xf>
    <xf numFmtId="0" fontId="5" fillId="0" borderId="16" xfId="0" applyFont="1" applyFill="1" applyBorder="1">
      <alignment vertical="center"/>
    </xf>
    <xf numFmtId="0" fontId="9" fillId="0" borderId="20" xfId="0" applyFont="1" applyFill="1" applyBorder="1" applyAlignment="1">
      <alignment vertical="top" wrapText="1"/>
    </xf>
    <xf numFmtId="0" fontId="9" fillId="0" borderId="18" xfId="0" applyFont="1" applyFill="1" applyBorder="1" applyAlignment="1">
      <alignment vertical="top" wrapText="1"/>
    </xf>
    <xf numFmtId="0" fontId="9" fillId="0" borderId="20" xfId="0" applyFont="1" applyFill="1" applyBorder="1" applyAlignment="1">
      <alignment vertical="top" shrinkToFit="1"/>
    </xf>
    <xf numFmtId="0" fontId="9" fillId="0" borderId="18" xfId="0" applyFont="1" applyFill="1" applyBorder="1" applyAlignment="1">
      <alignment vertical="top" shrinkToFit="1"/>
    </xf>
    <xf numFmtId="0" fontId="6" fillId="0" borderId="0" xfId="0" applyFont="1" applyFill="1" applyAlignment="1">
      <alignment vertical="center" wrapText="1"/>
    </xf>
    <xf numFmtId="0" fontId="5" fillId="0" borderId="0" xfId="0" applyFont="1" applyFill="1" applyAlignment="1">
      <alignment horizontal="center" vertical="center" wrapText="1"/>
    </xf>
    <xf numFmtId="0" fontId="5" fillId="0" borderId="0" xfId="0" applyFont="1" applyFill="1" applyBorder="1" applyAlignment="1">
      <alignment vertical="center" shrinkToFit="1"/>
    </xf>
    <xf numFmtId="0" fontId="5" fillId="0" borderId="19" xfId="0" applyFont="1" applyFill="1" applyBorder="1" applyAlignment="1">
      <alignment vertical="center" shrinkToFit="1"/>
    </xf>
    <xf numFmtId="0" fontId="5" fillId="0" borderId="20" xfId="0" applyFont="1" applyFill="1" applyBorder="1" applyAlignment="1">
      <alignment vertical="center" shrinkToFit="1"/>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176" fontId="5" fillId="0" borderId="2" xfId="0" applyNumberFormat="1" applyFont="1" applyFill="1" applyBorder="1" applyAlignment="1">
      <alignment horizontal="center" vertical="center"/>
    </xf>
    <xf numFmtId="0" fontId="5" fillId="0" borderId="0" xfId="0" applyFont="1" applyFill="1" applyBorder="1" applyAlignment="1">
      <alignment horizontal="center" vertical="center"/>
    </xf>
    <xf numFmtId="0" fontId="5" fillId="0" borderId="0" xfId="0" applyFont="1" applyFill="1" applyBorder="1" applyAlignment="1">
      <alignment horizontal="right" vertical="center" shrinkToFit="1"/>
    </xf>
    <xf numFmtId="0" fontId="5" fillId="0" borderId="2" xfId="0" applyFont="1" applyFill="1" applyBorder="1" applyAlignment="1">
      <alignment horizontal="center" vertical="center" shrinkToFit="1"/>
    </xf>
    <xf numFmtId="0" fontId="5" fillId="0" borderId="3" xfId="0" applyFont="1" applyFill="1" applyBorder="1" applyAlignment="1">
      <alignment horizontal="center" vertical="center" shrinkToFit="1"/>
    </xf>
    <xf numFmtId="0" fontId="5" fillId="0" borderId="5" xfId="0" applyFont="1" applyFill="1" applyBorder="1" applyAlignment="1">
      <alignment horizontal="right" vertical="center" shrinkToFit="1"/>
    </xf>
    <xf numFmtId="0" fontId="5" fillId="0" borderId="10" xfId="0" applyFont="1" applyFill="1" applyBorder="1" applyAlignment="1">
      <alignment horizontal="right" vertical="center" shrinkToFit="1"/>
    </xf>
    <xf numFmtId="176" fontId="5" fillId="0" borderId="2" xfId="0" applyNumberFormat="1" applyFont="1" applyFill="1" applyBorder="1" applyAlignment="1">
      <alignment horizontal="center" vertical="center" shrinkToFit="1"/>
    </xf>
    <xf numFmtId="176" fontId="5" fillId="0" borderId="4" xfId="0" applyNumberFormat="1" applyFont="1" applyFill="1" applyBorder="1" applyAlignment="1">
      <alignment horizontal="center" vertical="center" shrinkToFit="1"/>
    </xf>
    <xf numFmtId="0" fontId="5" fillId="0" borderId="0" xfId="0" applyFont="1" applyFill="1" applyBorder="1" applyAlignment="1">
      <alignment vertical="center" shrinkToFit="1"/>
    </xf>
    <xf numFmtId="0" fontId="5" fillId="0" borderId="4" xfId="0" applyFont="1" applyFill="1" applyBorder="1" applyAlignment="1">
      <alignment horizontal="center" vertical="center" shrinkToFit="1"/>
    </xf>
    <xf numFmtId="0" fontId="5" fillId="0" borderId="0" xfId="0" applyFont="1" applyFill="1" applyAlignment="1">
      <alignment horizontal="right" vertical="center"/>
    </xf>
    <xf numFmtId="0" fontId="5" fillId="0" borderId="0" xfId="0" applyFont="1" applyFill="1" applyBorder="1" applyAlignment="1">
      <alignment horizontal="right" vertical="center"/>
    </xf>
    <xf numFmtId="0" fontId="5" fillId="0" borderId="10" xfId="0" applyFont="1" applyFill="1" applyBorder="1" applyAlignment="1">
      <alignment horizontal="right" vertical="center"/>
    </xf>
    <xf numFmtId="176" fontId="5" fillId="0" borderId="3" xfId="0" applyNumberFormat="1" applyFont="1" applyFill="1" applyBorder="1" applyAlignment="1">
      <alignment horizontal="center" vertical="center" shrinkToFit="1"/>
    </xf>
    <xf numFmtId="0" fontId="7" fillId="0" borderId="0" xfId="0" applyFont="1" applyFill="1" applyAlignment="1">
      <alignment horizontal="center" vertical="center"/>
    </xf>
    <xf numFmtId="0" fontId="5" fillId="0" borderId="2" xfId="0" applyNumberFormat="1" applyFont="1" applyFill="1" applyBorder="1" applyAlignment="1">
      <alignment horizontal="center" vertical="center"/>
    </xf>
    <xf numFmtId="0" fontId="5" fillId="0" borderId="4" xfId="0" applyNumberFormat="1" applyFont="1" applyFill="1" applyBorder="1" applyAlignment="1">
      <alignment horizontal="center" vertical="center"/>
    </xf>
    <xf numFmtId="49" fontId="12" fillId="0" borderId="2" xfId="2" applyNumberFormat="1" applyFont="1" applyFill="1" applyBorder="1" applyAlignment="1">
      <alignment vertical="center" shrinkToFit="1"/>
    </xf>
    <xf numFmtId="49" fontId="5" fillId="0" borderId="3" xfId="0" applyNumberFormat="1" applyFont="1" applyFill="1" applyBorder="1" applyAlignment="1">
      <alignment vertical="center" shrinkToFit="1"/>
    </xf>
    <xf numFmtId="49" fontId="5" fillId="0" borderId="4" xfId="0" applyNumberFormat="1" applyFont="1" applyFill="1" applyBorder="1" applyAlignment="1">
      <alignment vertical="center" shrinkToFit="1"/>
    </xf>
    <xf numFmtId="49" fontId="5" fillId="0" borderId="2" xfId="1" applyNumberFormat="1" applyFont="1" applyFill="1" applyBorder="1" applyAlignment="1">
      <alignment horizontal="center" vertical="center" shrinkToFit="1"/>
    </xf>
    <xf numFmtId="49" fontId="5" fillId="0" borderId="3" xfId="1" applyNumberFormat="1" applyFont="1" applyFill="1" applyBorder="1" applyAlignment="1">
      <alignment horizontal="center" vertical="center" shrinkToFit="1"/>
    </xf>
    <xf numFmtId="49" fontId="5" fillId="0" borderId="4" xfId="1" applyNumberFormat="1" applyFont="1" applyFill="1" applyBorder="1" applyAlignment="1">
      <alignment horizontal="center" vertical="center" shrinkToFit="1"/>
    </xf>
    <xf numFmtId="0" fontId="5" fillId="0" borderId="2" xfId="0" applyFont="1" applyFill="1" applyBorder="1" applyAlignment="1">
      <alignment vertical="center" shrinkToFit="1"/>
    </xf>
    <xf numFmtId="0" fontId="5" fillId="0" borderId="3" xfId="0" applyFont="1" applyFill="1" applyBorder="1" applyAlignment="1">
      <alignment vertical="center" shrinkToFit="1"/>
    </xf>
    <xf numFmtId="0" fontId="5" fillId="0" borderId="2" xfId="0" applyFont="1" applyFill="1" applyBorder="1" applyAlignment="1">
      <alignment horizontal="center" vertical="center" wrapText="1" shrinkToFit="1"/>
    </xf>
    <xf numFmtId="0" fontId="10" fillId="0" borderId="7" xfId="0" applyFont="1" applyFill="1" applyBorder="1" applyAlignment="1">
      <alignment vertical="center" wrapText="1" shrinkToFit="1"/>
    </xf>
    <xf numFmtId="0" fontId="10" fillId="0" borderId="8" xfId="0" applyFont="1" applyFill="1" applyBorder="1" applyAlignment="1">
      <alignment vertical="center" shrinkToFit="1"/>
    </xf>
    <xf numFmtId="0" fontId="10" fillId="0" borderId="9" xfId="0" applyFont="1" applyFill="1" applyBorder="1" applyAlignment="1">
      <alignment vertical="center" shrinkToFit="1"/>
    </xf>
    <xf numFmtId="0" fontId="10" fillId="0" borderId="5" xfId="0" applyFont="1" applyFill="1" applyBorder="1" applyAlignment="1">
      <alignment vertical="center" shrinkToFit="1"/>
    </xf>
    <xf numFmtId="0" fontId="10" fillId="0" borderId="0" xfId="0" applyFont="1" applyFill="1" applyBorder="1" applyAlignment="1">
      <alignment vertical="center" shrinkToFit="1"/>
    </xf>
    <xf numFmtId="0" fontId="10" fillId="0" borderId="10" xfId="0" applyFont="1" applyFill="1" applyBorder="1" applyAlignment="1">
      <alignment vertical="center" shrinkToFit="1"/>
    </xf>
    <xf numFmtId="0" fontId="10" fillId="0" borderId="11" xfId="0" applyFont="1" applyFill="1" applyBorder="1" applyAlignment="1">
      <alignment vertical="center" shrinkToFit="1"/>
    </xf>
    <xf numFmtId="0" fontId="10" fillId="0" borderId="6" xfId="0" applyFont="1" applyFill="1" applyBorder="1" applyAlignment="1">
      <alignment vertical="center" shrinkToFit="1"/>
    </xf>
    <xf numFmtId="0" fontId="10" fillId="0" borderId="12" xfId="0" applyFont="1" applyFill="1" applyBorder="1" applyAlignment="1">
      <alignment vertical="center" shrinkToFit="1"/>
    </xf>
    <xf numFmtId="0" fontId="4" fillId="0" borderId="2" xfId="2" applyFill="1" applyBorder="1" applyAlignment="1">
      <alignment vertical="center" shrinkToFit="1"/>
    </xf>
    <xf numFmtId="0" fontId="5" fillId="0" borderId="4" xfId="0" applyFont="1" applyFill="1" applyBorder="1" applyAlignment="1">
      <alignment vertical="center" shrinkToFit="1"/>
    </xf>
    <xf numFmtId="0" fontId="5" fillId="0" borderId="19" xfId="0" applyFont="1" applyFill="1" applyBorder="1" applyAlignment="1">
      <alignment horizontal="left" vertical="center" shrinkToFit="1"/>
    </xf>
    <xf numFmtId="0" fontId="5" fillId="0" borderId="20" xfId="0" applyFont="1" applyFill="1" applyBorder="1" applyAlignment="1">
      <alignment horizontal="left" vertical="center" shrinkToFit="1"/>
    </xf>
    <xf numFmtId="0" fontId="5" fillId="0" borderId="18" xfId="0" applyFont="1" applyFill="1" applyBorder="1" applyAlignment="1">
      <alignment horizontal="left" vertical="center" shrinkToFit="1"/>
    </xf>
    <xf numFmtId="0" fontId="10" fillId="0" borderId="48" xfId="0" applyFont="1" applyFill="1" applyBorder="1" applyAlignment="1">
      <alignment vertical="center" wrapText="1"/>
    </xf>
    <xf numFmtId="0" fontId="10" fillId="0" borderId="32" xfId="0" applyFont="1" applyFill="1" applyBorder="1" applyAlignment="1">
      <alignment vertical="center" wrapText="1"/>
    </xf>
    <xf numFmtId="0" fontId="13" fillId="0" borderId="39" xfId="0" applyFont="1" applyFill="1" applyBorder="1" applyAlignment="1">
      <alignment horizontal="left" vertical="center" wrapText="1" shrinkToFit="1"/>
    </xf>
    <xf numFmtId="0" fontId="13" fillId="0" borderId="39" xfId="0" applyFont="1" applyFill="1" applyBorder="1" applyAlignment="1">
      <alignment horizontal="left" vertical="center" shrinkToFit="1"/>
    </xf>
    <xf numFmtId="0" fontId="13" fillId="0" borderId="38" xfId="0" applyFont="1" applyFill="1" applyBorder="1" applyAlignment="1">
      <alignment horizontal="left" vertical="center" shrinkToFit="1"/>
    </xf>
    <xf numFmtId="38" fontId="10" fillId="0" borderId="48" xfId="1" applyFont="1" applyFill="1" applyBorder="1" applyAlignment="1">
      <alignment horizontal="center" vertical="center" wrapText="1"/>
    </xf>
    <xf numFmtId="38" fontId="10" fillId="0" borderId="32" xfId="1" applyFont="1" applyFill="1" applyBorder="1" applyAlignment="1">
      <alignment horizontal="center" vertical="center" wrapText="1"/>
    </xf>
    <xf numFmtId="38" fontId="10" fillId="0" borderId="49" xfId="1" applyFont="1" applyFill="1" applyBorder="1" applyAlignment="1">
      <alignment horizontal="center" vertical="center" wrapText="1"/>
    </xf>
    <xf numFmtId="0" fontId="10" fillId="0" borderId="49" xfId="0" applyFont="1" applyFill="1" applyBorder="1" applyAlignment="1">
      <alignment vertical="center" wrapText="1"/>
    </xf>
    <xf numFmtId="0" fontId="13" fillId="0" borderId="22" xfId="0" applyFont="1" applyFill="1" applyBorder="1" applyAlignment="1">
      <alignment horizontal="left" vertical="center" wrapText="1" shrinkToFit="1"/>
    </xf>
    <xf numFmtId="0" fontId="13" fillId="0" borderId="22" xfId="0" applyFont="1" applyFill="1" applyBorder="1" applyAlignment="1">
      <alignment horizontal="left" vertical="center" shrinkToFit="1"/>
    </xf>
    <xf numFmtId="0" fontId="13" fillId="0" borderId="21" xfId="0" applyFont="1" applyFill="1" applyBorder="1" applyAlignment="1">
      <alignment horizontal="left" vertical="center" shrinkToFit="1"/>
    </xf>
    <xf numFmtId="0" fontId="13" fillId="0" borderId="41" xfId="0" applyFont="1" applyFill="1" applyBorder="1" applyAlignment="1">
      <alignment horizontal="left" vertical="center" wrapText="1" shrinkToFit="1"/>
    </xf>
    <xf numFmtId="0" fontId="13" fillId="0" borderId="41" xfId="0" applyFont="1" applyFill="1" applyBorder="1" applyAlignment="1">
      <alignment horizontal="left" vertical="center" shrinkToFit="1"/>
    </xf>
    <xf numFmtId="0" fontId="13" fillId="0" borderId="42" xfId="0" applyFont="1" applyFill="1" applyBorder="1" applyAlignment="1">
      <alignment horizontal="left" vertical="center" shrinkToFit="1"/>
    </xf>
    <xf numFmtId="0" fontId="5" fillId="0" borderId="40" xfId="0" applyFont="1" applyFill="1" applyBorder="1" applyAlignment="1">
      <alignment vertical="center" shrinkToFit="1"/>
    </xf>
    <xf numFmtId="0" fontId="5" fillId="0" borderId="41" xfId="0" applyFont="1" applyFill="1" applyBorder="1" applyAlignment="1">
      <alignment vertical="center" shrinkToFit="1"/>
    </xf>
    <xf numFmtId="0" fontId="5" fillId="0" borderId="42" xfId="0" applyFont="1" applyFill="1" applyBorder="1" applyAlignment="1">
      <alignment vertical="center" shrinkToFit="1"/>
    </xf>
    <xf numFmtId="0" fontId="5" fillId="0" borderId="40" xfId="0" applyFont="1" applyFill="1" applyBorder="1" applyAlignment="1">
      <alignment horizontal="center" vertical="center" shrinkToFit="1"/>
    </xf>
    <xf numFmtId="0" fontId="5" fillId="0" borderId="41" xfId="0" applyFont="1" applyFill="1" applyBorder="1" applyAlignment="1">
      <alignment horizontal="center" vertical="center" shrinkToFit="1"/>
    </xf>
    <xf numFmtId="0" fontId="5" fillId="0" borderId="42" xfId="0" applyFont="1" applyFill="1" applyBorder="1" applyAlignment="1">
      <alignment horizontal="center" vertical="center" shrinkToFit="1"/>
    </xf>
    <xf numFmtId="0" fontId="13" fillId="0" borderId="8" xfId="0" applyFont="1" applyFill="1" applyBorder="1" applyAlignment="1">
      <alignment horizontal="left" vertical="center" wrapText="1" shrinkToFit="1"/>
    </xf>
    <xf numFmtId="0" fontId="13" fillId="0" borderId="8" xfId="0" applyFont="1" applyFill="1" applyBorder="1" applyAlignment="1">
      <alignment horizontal="left" vertical="center" shrinkToFit="1"/>
    </xf>
    <xf numFmtId="0" fontId="13" fillId="0" borderId="9" xfId="0" applyFont="1" applyFill="1" applyBorder="1" applyAlignment="1">
      <alignment horizontal="left" vertical="center" shrinkToFit="1"/>
    </xf>
    <xf numFmtId="0" fontId="5" fillId="0" borderId="19" xfId="0" applyFont="1" applyFill="1" applyBorder="1" applyAlignment="1">
      <alignment vertical="center" shrinkToFit="1"/>
    </xf>
    <xf numFmtId="0" fontId="5" fillId="0" borderId="20" xfId="0" applyFont="1" applyFill="1" applyBorder="1" applyAlignment="1">
      <alignment vertical="center" shrinkToFit="1"/>
    </xf>
    <xf numFmtId="0" fontId="5" fillId="0" borderId="18" xfId="0" applyFont="1" applyFill="1" applyBorder="1" applyAlignment="1">
      <alignment vertical="center" shrinkToFit="1"/>
    </xf>
    <xf numFmtId="0" fontId="5" fillId="0" borderId="19" xfId="0" applyFont="1" applyFill="1" applyBorder="1" applyAlignment="1">
      <alignment horizontal="center" vertical="center" shrinkToFit="1"/>
    </xf>
    <xf numFmtId="0" fontId="5" fillId="0" borderId="20" xfId="0" applyFont="1" applyFill="1" applyBorder="1" applyAlignment="1">
      <alignment horizontal="center" vertical="center" shrinkToFit="1"/>
    </xf>
    <xf numFmtId="0" fontId="5" fillId="0" borderId="18" xfId="0" applyFont="1" applyFill="1" applyBorder="1" applyAlignment="1">
      <alignment horizontal="center" vertical="center" shrinkToFit="1"/>
    </xf>
    <xf numFmtId="0" fontId="5" fillId="0" borderId="37" xfId="0" applyFont="1" applyFill="1" applyBorder="1" applyAlignment="1">
      <alignment vertical="center" shrinkToFit="1"/>
    </xf>
    <xf numFmtId="0" fontId="5" fillId="0" borderId="39" xfId="0" applyFont="1" applyFill="1" applyBorder="1" applyAlignment="1">
      <alignment vertical="center" shrinkToFit="1"/>
    </xf>
    <xf numFmtId="0" fontId="5" fillId="0" borderId="38" xfId="0" applyFont="1" applyFill="1" applyBorder="1" applyAlignment="1">
      <alignment vertical="center" shrinkToFit="1"/>
    </xf>
    <xf numFmtId="0" fontId="5" fillId="0" borderId="37" xfId="0" applyFont="1" applyFill="1" applyBorder="1" applyAlignment="1">
      <alignment horizontal="center" vertical="center" shrinkToFit="1"/>
    </xf>
    <xf numFmtId="0" fontId="5" fillId="0" borderId="39" xfId="0" applyFont="1" applyFill="1" applyBorder="1" applyAlignment="1">
      <alignment horizontal="center" vertical="center" shrinkToFit="1"/>
    </xf>
    <xf numFmtId="0" fontId="5" fillId="0" borderId="38" xfId="0" applyFont="1" applyFill="1" applyBorder="1" applyAlignment="1">
      <alignment horizontal="center" vertical="center" shrinkToFit="1"/>
    </xf>
    <xf numFmtId="0" fontId="5" fillId="0" borderId="40" xfId="0" applyFont="1" applyFill="1" applyBorder="1" applyAlignment="1">
      <alignment horizontal="center" vertical="center"/>
    </xf>
    <xf numFmtId="0" fontId="5" fillId="0" borderId="41" xfId="0" applyFont="1" applyFill="1" applyBorder="1" applyAlignment="1">
      <alignment horizontal="center" vertical="center"/>
    </xf>
    <xf numFmtId="0" fontId="5" fillId="0" borderId="42" xfId="0" applyFont="1" applyFill="1" applyBorder="1" applyAlignment="1">
      <alignment horizontal="center" vertical="center"/>
    </xf>
    <xf numFmtId="0" fontId="5" fillId="0" borderId="7" xfId="0" applyFont="1" applyFill="1" applyBorder="1" applyAlignment="1">
      <alignment horizontal="center" vertical="center"/>
    </xf>
    <xf numFmtId="0" fontId="5" fillId="0" borderId="8" xfId="0" applyFont="1" applyFill="1" applyBorder="1" applyAlignment="1">
      <alignment horizontal="center" vertical="center"/>
    </xf>
    <xf numFmtId="0" fontId="5" fillId="0" borderId="9" xfId="0" applyFont="1" applyFill="1" applyBorder="1" applyAlignment="1">
      <alignment horizontal="center" vertical="center"/>
    </xf>
    <xf numFmtId="0" fontId="5" fillId="0" borderId="19" xfId="0" applyFont="1" applyFill="1" applyBorder="1" applyAlignment="1">
      <alignment horizontal="center" vertical="center"/>
    </xf>
    <xf numFmtId="0" fontId="5" fillId="0" borderId="20" xfId="0" applyFont="1" applyFill="1" applyBorder="1" applyAlignment="1">
      <alignment horizontal="center" vertical="center"/>
    </xf>
    <xf numFmtId="0" fontId="5" fillId="0" borderId="18" xfId="0" applyFont="1" applyFill="1" applyBorder="1" applyAlignment="1">
      <alignment horizontal="center" vertical="center"/>
    </xf>
    <xf numFmtId="0" fontId="5" fillId="0" borderId="37" xfId="0" applyFont="1" applyFill="1" applyBorder="1" applyAlignment="1">
      <alignment horizontal="center" vertical="center"/>
    </xf>
    <xf numFmtId="0" fontId="5" fillId="0" borderId="39" xfId="0" applyFont="1" applyFill="1" applyBorder="1" applyAlignment="1">
      <alignment horizontal="center" vertical="center"/>
    </xf>
    <xf numFmtId="0" fontId="5" fillId="0" borderId="38" xfId="0" applyFont="1" applyFill="1" applyBorder="1" applyAlignment="1">
      <alignment horizontal="center" vertical="center"/>
    </xf>
    <xf numFmtId="0" fontId="5" fillId="0" borderId="40" xfId="0" applyFont="1" applyFill="1" applyBorder="1" applyAlignment="1">
      <alignment horizontal="left" vertical="center" shrinkToFit="1"/>
    </xf>
    <xf numFmtId="0" fontId="5" fillId="0" borderId="41" xfId="0" applyFont="1" applyFill="1" applyBorder="1" applyAlignment="1">
      <alignment horizontal="left" vertical="center" shrinkToFit="1"/>
    </xf>
    <xf numFmtId="0" fontId="5" fillId="0" borderId="42" xfId="0" applyFont="1" applyFill="1" applyBorder="1" applyAlignment="1">
      <alignment horizontal="left" vertical="center" shrinkToFit="1"/>
    </xf>
    <xf numFmtId="0" fontId="5" fillId="0" borderId="0" xfId="0" applyFont="1" applyFill="1" applyAlignment="1">
      <alignment vertical="center" wrapText="1"/>
    </xf>
    <xf numFmtId="0" fontId="5" fillId="0" borderId="37" xfId="0" applyFont="1" applyFill="1" applyBorder="1" applyAlignment="1">
      <alignment horizontal="left" vertical="center" shrinkToFit="1"/>
    </xf>
    <xf numFmtId="0" fontId="5" fillId="0" borderId="39" xfId="0" applyFont="1" applyFill="1" applyBorder="1" applyAlignment="1">
      <alignment horizontal="left" vertical="center" shrinkToFit="1"/>
    </xf>
    <xf numFmtId="0" fontId="5" fillId="0" borderId="38" xfId="0" applyFont="1" applyFill="1" applyBorder="1" applyAlignment="1">
      <alignment horizontal="left" vertical="center" shrinkToFit="1"/>
    </xf>
    <xf numFmtId="0" fontId="6" fillId="0" borderId="0" xfId="0" applyFont="1" applyFill="1" applyAlignment="1">
      <alignment horizontal="center" vertical="center"/>
    </xf>
    <xf numFmtId="0" fontId="5" fillId="0" borderId="0" xfId="0" applyFont="1" applyFill="1" applyAlignment="1">
      <alignment horizontal="center" vertical="center"/>
    </xf>
    <xf numFmtId="0" fontId="8" fillId="0" borderId="0" xfId="0" applyFont="1" applyFill="1" applyAlignment="1">
      <alignment horizontal="center" vertical="center"/>
    </xf>
    <xf numFmtId="0" fontId="10" fillId="0" borderId="7" xfId="0" applyFont="1" applyFill="1" applyBorder="1" applyAlignment="1">
      <alignment horizontal="left" vertical="top" wrapText="1" shrinkToFit="1"/>
    </xf>
    <xf numFmtId="0" fontId="5" fillId="0" borderId="8" xfId="0" applyFont="1" applyFill="1" applyBorder="1" applyAlignment="1">
      <alignment horizontal="left" vertical="top" wrapText="1" shrinkToFit="1"/>
    </xf>
    <xf numFmtId="0" fontId="5" fillId="0" borderId="9" xfId="0" applyFont="1" applyFill="1" applyBorder="1" applyAlignment="1">
      <alignment horizontal="left" vertical="top" wrapText="1" shrinkToFit="1"/>
    </xf>
    <xf numFmtId="0" fontId="5" fillId="0" borderId="5" xfId="0" applyFont="1" applyFill="1" applyBorder="1" applyAlignment="1">
      <alignment horizontal="left" vertical="top" wrapText="1" shrinkToFit="1"/>
    </xf>
    <xf numFmtId="0" fontId="5" fillId="0" borderId="0" xfId="0" applyFont="1" applyFill="1" applyBorder="1" applyAlignment="1">
      <alignment horizontal="left" vertical="top" wrapText="1" shrinkToFit="1"/>
    </xf>
    <xf numFmtId="0" fontId="5" fillId="0" borderId="10" xfId="0" applyFont="1" applyFill="1" applyBorder="1" applyAlignment="1">
      <alignment horizontal="left" vertical="top" wrapText="1" shrinkToFit="1"/>
    </xf>
    <xf numFmtId="0" fontId="5" fillId="0" borderId="0" xfId="0" applyFont="1" applyFill="1" applyAlignment="1">
      <alignment horizontal="left" vertical="top" wrapText="1" shrinkToFit="1"/>
    </xf>
    <xf numFmtId="0" fontId="5" fillId="0" borderId="11" xfId="0" applyFont="1" applyFill="1" applyBorder="1" applyAlignment="1">
      <alignment horizontal="left" vertical="top" wrapText="1" shrinkToFit="1"/>
    </xf>
    <xf numFmtId="0" fontId="5" fillId="0" borderId="6" xfId="0" applyFont="1" applyFill="1" applyBorder="1" applyAlignment="1">
      <alignment horizontal="left" vertical="top" wrapText="1" shrinkToFit="1"/>
    </xf>
    <xf numFmtId="0" fontId="5" fillId="0" borderId="12" xfId="0" applyFont="1" applyFill="1" applyBorder="1" applyAlignment="1">
      <alignment horizontal="left" vertical="top" wrapText="1" shrinkToFit="1"/>
    </xf>
    <xf numFmtId="0" fontId="5" fillId="0" borderId="2" xfId="0" applyNumberFormat="1" applyFont="1" applyFill="1" applyBorder="1" applyAlignment="1">
      <alignment horizontal="center" vertical="center" shrinkToFit="1"/>
    </xf>
    <xf numFmtId="0" fontId="5" fillId="0" borderId="4" xfId="0" applyNumberFormat="1" applyFont="1" applyFill="1" applyBorder="1" applyAlignment="1">
      <alignment horizontal="center" vertical="center" shrinkToFit="1"/>
    </xf>
    <xf numFmtId="0" fontId="5" fillId="0" borderId="15" xfId="0" applyFont="1" applyFill="1" applyBorder="1" applyAlignment="1">
      <alignment horizontal="center" vertical="center"/>
    </xf>
    <xf numFmtId="0" fontId="5" fillId="0" borderId="13" xfId="0" applyFont="1" applyFill="1" applyBorder="1" applyAlignment="1">
      <alignment horizontal="center" vertical="center"/>
    </xf>
    <xf numFmtId="0" fontId="13" fillId="0" borderId="8" xfId="0" applyFont="1" applyFill="1" applyBorder="1" applyAlignment="1">
      <alignment horizontal="center" vertical="center" wrapText="1"/>
    </xf>
    <xf numFmtId="0" fontId="13" fillId="0" borderId="6" xfId="0" applyFont="1" applyFill="1" applyBorder="1" applyAlignment="1">
      <alignment horizontal="center" vertical="center"/>
    </xf>
    <xf numFmtId="0" fontId="13" fillId="0" borderId="7" xfId="0" applyFont="1" applyFill="1" applyBorder="1" applyAlignment="1">
      <alignment horizontal="center" vertical="center" wrapText="1"/>
    </xf>
    <xf numFmtId="0" fontId="13" fillId="0" borderId="11" xfId="0" applyFont="1" applyFill="1" applyBorder="1" applyAlignment="1">
      <alignment horizontal="center" vertical="center"/>
    </xf>
    <xf numFmtId="0" fontId="5" fillId="0" borderId="14" xfId="0" applyFont="1" applyFill="1" applyBorder="1" applyAlignment="1">
      <alignment horizontal="center" vertical="center"/>
    </xf>
    <xf numFmtId="0" fontId="14" fillId="0" borderId="15" xfId="0" applyFont="1" applyFill="1" applyBorder="1" applyAlignment="1">
      <alignment horizontal="center" vertical="center" wrapText="1"/>
    </xf>
    <xf numFmtId="0" fontId="14" fillId="0" borderId="13" xfId="0" applyFont="1" applyFill="1" applyBorder="1" applyAlignment="1">
      <alignment horizontal="center" vertical="center"/>
    </xf>
    <xf numFmtId="0" fontId="13" fillId="0" borderId="9" xfId="0" applyFont="1" applyFill="1" applyBorder="1" applyAlignment="1">
      <alignment horizontal="center" vertical="center"/>
    </xf>
    <xf numFmtId="0" fontId="13" fillId="0" borderId="12" xfId="0" applyFont="1" applyFill="1" applyBorder="1" applyAlignment="1">
      <alignment horizontal="center" vertical="center"/>
    </xf>
    <xf numFmtId="0" fontId="5" fillId="0" borderId="7" xfId="0" applyFont="1" applyFill="1" applyBorder="1" applyAlignment="1">
      <alignment vertical="top" wrapText="1" shrinkToFit="1"/>
    </xf>
    <xf numFmtId="0" fontId="5" fillId="0" borderId="8" xfId="0" applyFont="1" applyFill="1" applyBorder="1" applyAlignment="1">
      <alignment vertical="top" wrapText="1" shrinkToFit="1"/>
    </xf>
    <xf numFmtId="0" fontId="5" fillId="0" borderId="9" xfId="0" applyFont="1" applyFill="1" applyBorder="1" applyAlignment="1">
      <alignment vertical="top" wrapText="1" shrinkToFit="1"/>
    </xf>
    <xf numFmtId="0" fontId="5" fillId="0" borderId="5" xfId="0" applyFont="1" applyFill="1" applyBorder="1" applyAlignment="1">
      <alignment vertical="top" wrapText="1" shrinkToFit="1"/>
    </xf>
    <xf numFmtId="0" fontId="5" fillId="0" borderId="0" xfId="0" applyFont="1" applyFill="1" applyAlignment="1">
      <alignment vertical="top" wrapText="1" shrinkToFit="1"/>
    </xf>
    <xf numFmtId="0" fontId="5" fillId="0" borderId="10" xfId="0" applyFont="1" applyFill="1" applyBorder="1" applyAlignment="1">
      <alignment vertical="top" wrapText="1" shrinkToFit="1"/>
    </xf>
    <xf numFmtId="0" fontId="5" fillId="0" borderId="11" xfId="0" applyFont="1" applyFill="1" applyBorder="1" applyAlignment="1">
      <alignment vertical="top" wrapText="1" shrinkToFit="1"/>
    </xf>
    <xf numFmtId="0" fontId="5" fillId="0" borderId="6" xfId="0" applyFont="1" applyFill="1" applyBorder="1" applyAlignment="1">
      <alignment vertical="top" wrapText="1" shrinkToFit="1"/>
    </xf>
    <xf numFmtId="0" fontId="5" fillId="0" borderId="12" xfId="0" applyFont="1" applyFill="1" applyBorder="1" applyAlignment="1">
      <alignment vertical="top" wrapText="1" shrinkToFit="1"/>
    </xf>
    <xf numFmtId="0" fontId="5" fillId="0" borderId="8" xfId="0" applyFont="1" applyFill="1" applyBorder="1" applyAlignment="1">
      <alignment vertical="top" shrinkToFit="1"/>
    </xf>
    <xf numFmtId="0" fontId="5" fillId="0" borderId="9" xfId="0" applyFont="1" applyFill="1" applyBorder="1" applyAlignment="1">
      <alignment vertical="top" shrinkToFit="1"/>
    </xf>
    <xf numFmtId="0" fontId="5" fillId="0" borderId="5" xfId="0" applyFont="1" applyFill="1" applyBorder="1" applyAlignment="1">
      <alignment vertical="top" shrinkToFit="1"/>
    </xf>
    <xf numFmtId="0" fontId="5" fillId="0" borderId="0" xfId="0" applyFont="1" applyFill="1" applyAlignment="1">
      <alignment vertical="top" shrinkToFit="1"/>
    </xf>
    <xf numFmtId="0" fontId="5" fillId="0" borderId="10" xfId="0" applyFont="1" applyFill="1" applyBorder="1" applyAlignment="1">
      <alignment vertical="top" shrinkToFit="1"/>
    </xf>
    <xf numFmtId="0" fontId="5" fillId="0" borderId="11" xfId="0" applyFont="1" applyFill="1" applyBorder="1" applyAlignment="1">
      <alignment vertical="top" shrinkToFit="1"/>
    </xf>
    <xf numFmtId="0" fontId="5" fillId="0" borderId="6" xfId="0" applyFont="1" applyFill="1" applyBorder="1" applyAlignment="1">
      <alignment vertical="top" shrinkToFit="1"/>
    </xf>
    <xf numFmtId="0" fontId="5" fillId="0" borderId="12" xfId="0" applyFont="1" applyFill="1" applyBorder="1" applyAlignment="1">
      <alignment vertical="top" shrinkToFit="1"/>
    </xf>
    <xf numFmtId="0" fontId="5" fillId="0" borderId="6" xfId="0" applyFont="1" applyFill="1" applyBorder="1">
      <alignment vertical="center"/>
    </xf>
    <xf numFmtId="0" fontId="5" fillId="0" borderId="16" xfId="0" applyFont="1" applyFill="1" applyBorder="1" applyAlignment="1">
      <alignment vertical="top" wrapText="1" shrinkToFit="1"/>
    </xf>
    <xf numFmtId="0" fontId="5" fillId="0" borderId="22" xfId="0" applyFont="1" applyFill="1" applyBorder="1" applyAlignment="1">
      <alignment vertical="top" wrapText="1" shrinkToFit="1"/>
    </xf>
    <xf numFmtId="0" fontId="5" fillId="0" borderId="21" xfId="0" applyFont="1" applyFill="1" applyBorder="1" applyAlignment="1">
      <alignment vertical="top" wrapText="1" shrinkToFit="1"/>
    </xf>
    <xf numFmtId="0" fontId="5" fillId="0" borderId="11" xfId="0" applyFont="1" applyFill="1" applyBorder="1" applyAlignment="1">
      <alignment vertical="center" wrapText="1"/>
    </xf>
    <xf numFmtId="0" fontId="5" fillId="0" borderId="6" xfId="0" applyFont="1" applyFill="1" applyBorder="1" applyAlignment="1">
      <alignment vertical="center" wrapText="1"/>
    </xf>
    <xf numFmtId="0" fontId="5" fillId="0" borderId="12" xfId="0" applyFont="1" applyFill="1" applyBorder="1" applyAlignment="1">
      <alignment vertical="center" wrapText="1"/>
    </xf>
    <xf numFmtId="0" fontId="12" fillId="0" borderId="3" xfId="2" applyFont="1" applyFill="1" applyBorder="1" applyAlignment="1">
      <alignment horizontal="center" vertical="center" shrinkToFit="1"/>
    </xf>
    <xf numFmtId="0" fontId="12" fillId="0" borderId="4" xfId="2" applyFont="1" applyFill="1" applyBorder="1" applyAlignment="1">
      <alignment horizontal="center" vertical="center" shrinkToFit="1"/>
    </xf>
    <xf numFmtId="0" fontId="5" fillId="0" borderId="17" xfId="0" applyFont="1" applyFill="1" applyBorder="1" applyAlignment="1">
      <alignment vertical="center" wrapText="1"/>
    </xf>
    <xf numFmtId="0" fontId="5" fillId="0" borderId="18" xfId="0" applyFont="1" applyFill="1" applyBorder="1" applyAlignment="1">
      <alignment vertical="center" wrapText="1"/>
    </xf>
    <xf numFmtId="0" fontId="5" fillId="0" borderId="20" xfId="0" applyFont="1" applyFill="1" applyBorder="1" applyAlignment="1">
      <alignment vertical="top" wrapText="1" shrinkToFit="1"/>
    </xf>
    <xf numFmtId="0" fontId="5" fillId="0" borderId="18" xfId="0" applyFont="1" applyFill="1" applyBorder="1" applyAlignment="1">
      <alignment vertical="top" wrapText="1" shrinkToFit="1"/>
    </xf>
    <xf numFmtId="0" fontId="5" fillId="0" borderId="19" xfId="0" applyFont="1" applyFill="1" applyBorder="1" applyAlignment="1">
      <alignment vertical="center" wrapText="1"/>
    </xf>
    <xf numFmtId="0" fontId="5" fillId="0" borderId="20" xfId="0" applyFont="1" applyFill="1" applyBorder="1" applyAlignment="1">
      <alignment vertical="center" wrapText="1"/>
    </xf>
    <xf numFmtId="0" fontId="5" fillId="0" borderId="19" xfId="0" applyFont="1" applyFill="1" applyBorder="1" applyAlignment="1">
      <alignment vertical="top" wrapText="1" shrinkToFit="1"/>
    </xf>
    <xf numFmtId="0" fontId="5" fillId="0" borderId="17" xfId="0" applyFont="1" applyFill="1" applyBorder="1">
      <alignment vertical="center"/>
    </xf>
    <xf numFmtId="0" fontId="10" fillId="0" borderId="18" xfId="0" applyFont="1" applyFill="1" applyBorder="1">
      <alignment vertical="center"/>
    </xf>
    <xf numFmtId="0" fontId="6" fillId="0" borderId="0" xfId="0" applyFont="1" applyFill="1" applyAlignment="1">
      <alignment horizontal="right" vertical="center"/>
    </xf>
    <xf numFmtId="0" fontId="10" fillId="0" borderId="7" xfId="0" applyFont="1" applyFill="1" applyBorder="1" applyAlignment="1">
      <alignment vertical="top" wrapText="1" shrinkToFit="1"/>
    </xf>
    <xf numFmtId="0" fontId="10" fillId="0" borderId="8" xfId="0" applyFont="1" applyFill="1" applyBorder="1" applyAlignment="1">
      <alignment vertical="top" wrapText="1" shrinkToFit="1"/>
    </xf>
    <xf numFmtId="0" fontId="10" fillId="0" borderId="9" xfId="0" applyFont="1" applyFill="1" applyBorder="1" applyAlignment="1">
      <alignment vertical="top" wrapText="1" shrinkToFit="1"/>
    </xf>
    <xf numFmtId="0" fontId="10" fillId="0" borderId="5" xfId="0" applyFont="1" applyFill="1" applyBorder="1" applyAlignment="1">
      <alignment vertical="top" wrapText="1" shrinkToFit="1"/>
    </xf>
    <xf numFmtId="0" fontId="10" fillId="0" borderId="0" xfId="0" applyFont="1" applyFill="1" applyAlignment="1">
      <alignment vertical="top" wrapText="1" shrinkToFit="1"/>
    </xf>
    <xf numFmtId="0" fontId="10" fillId="0" borderId="10" xfId="0" applyFont="1" applyFill="1" applyBorder="1" applyAlignment="1">
      <alignment vertical="top" wrapText="1" shrinkToFit="1"/>
    </xf>
    <xf numFmtId="0" fontId="10" fillId="0" borderId="11" xfId="0" applyFont="1" applyFill="1" applyBorder="1" applyAlignment="1">
      <alignment vertical="top" wrapText="1" shrinkToFit="1"/>
    </xf>
    <xf numFmtId="0" fontId="10" fillId="0" borderId="6" xfId="0" applyFont="1" applyFill="1" applyBorder="1" applyAlignment="1">
      <alignment vertical="top" wrapText="1" shrinkToFit="1"/>
    </xf>
    <xf numFmtId="0" fontId="10" fillId="0" borderId="12" xfId="0" applyFont="1" applyFill="1" applyBorder="1" applyAlignment="1">
      <alignment vertical="top" wrapText="1" shrinkToFit="1"/>
    </xf>
    <xf numFmtId="0" fontId="10" fillId="0" borderId="8" xfId="0" applyFont="1" applyFill="1" applyBorder="1" applyAlignment="1">
      <alignment vertical="top" shrinkToFit="1"/>
    </xf>
    <xf numFmtId="0" fontId="10" fillId="0" borderId="9" xfId="0" applyFont="1" applyFill="1" applyBorder="1" applyAlignment="1">
      <alignment vertical="top" shrinkToFit="1"/>
    </xf>
    <xf numFmtId="0" fontId="10" fillId="0" borderId="5" xfId="0" applyFont="1" applyFill="1" applyBorder="1" applyAlignment="1">
      <alignment vertical="top" shrinkToFit="1"/>
    </xf>
    <xf numFmtId="0" fontId="10" fillId="0" borderId="0" xfId="0" applyFont="1" applyFill="1" applyAlignment="1">
      <alignment vertical="top" shrinkToFit="1"/>
    </xf>
    <xf numFmtId="0" fontId="10" fillId="0" borderId="10" xfId="0" applyFont="1" applyFill="1" applyBorder="1" applyAlignment="1">
      <alignment vertical="top" shrinkToFit="1"/>
    </xf>
    <xf numFmtId="0" fontId="10" fillId="0" borderId="11" xfId="0" applyFont="1" applyFill="1" applyBorder="1" applyAlignment="1">
      <alignment vertical="top" shrinkToFit="1"/>
    </xf>
    <xf numFmtId="0" fontId="10" fillId="0" borderId="6" xfId="0" applyFont="1" applyFill="1" applyBorder="1" applyAlignment="1">
      <alignment vertical="top" shrinkToFit="1"/>
    </xf>
    <xf numFmtId="0" fontId="10" fillId="0" borderId="12" xfId="0" applyFont="1" applyFill="1" applyBorder="1" applyAlignment="1">
      <alignment vertical="top" shrinkToFit="1"/>
    </xf>
    <xf numFmtId="0" fontId="4" fillId="0" borderId="2" xfId="2" applyFill="1" applyBorder="1" applyAlignment="1">
      <alignment horizontal="center" vertical="center"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n_kimijima@mail.tais.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tais.ac.jp/p/tu-knowledge/learning/data-scienc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tais.ac.jp/p/tu-knowledge/assets/doc/data-science-report-r3.pdf"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2"/>
  <sheetViews>
    <sheetView showGridLines="0" view="pageBreakPreview" topLeftCell="A28" zoomScaleNormal="100" zoomScaleSheetLayoutView="100" workbookViewId="0">
      <selection activeCell="B48" sqref="E48"/>
    </sheetView>
  </sheetViews>
  <sheetFormatPr defaultColWidth="9" defaultRowHeight="18.75" customHeight="1" x14ac:dyDescent="0.25"/>
  <cols>
    <col min="1" max="1" width="3.3984375" style="1" customWidth="1"/>
    <col min="2" max="2" width="11.1328125" style="1" customWidth="1"/>
    <col min="3" max="8" width="6.59765625" style="1" customWidth="1"/>
    <col min="9" max="9" width="3.3984375" style="1" customWidth="1"/>
    <col min="10" max="10" width="10" style="1" customWidth="1"/>
    <col min="11" max="11" width="3.3984375" style="1" customWidth="1"/>
    <col min="12" max="12" width="7.73046875" style="1" customWidth="1"/>
    <col min="13" max="13" width="3.3984375" style="1" customWidth="1"/>
    <col min="14" max="14" width="4.46484375" style="1" customWidth="1"/>
    <col min="15" max="16384" width="9" style="1"/>
  </cols>
  <sheetData>
    <row r="1" spans="1:15" ht="24" customHeight="1" x14ac:dyDescent="0.25">
      <c r="M1" s="131" t="s">
        <v>26</v>
      </c>
      <c r="N1" s="131"/>
    </row>
    <row r="2" spans="1:15" ht="24" customHeight="1" x14ac:dyDescent="0.25">
      <c r="A2" s="135" t="s">
        <v>87</v>
      </c>
      <c r="B2" s="135"/>
      <c r="C2" s="135"/>
      <c r="D2" s="135"/>
      <c r="E2" s="135"/>
      <c r="F2" s="135"/>
      <c r="G2" s="135"/>
      <c r="H2" s="135"/>
      <c r="I2" s="135"/>
      <c r="J2" s="135"/>
      <c r="K2" s="135"/>
      <c r="L2" s="135"/>
      <c r="M2" s="135"/>
      <c r="N2" s="135"/>
    </row>
    <row r="3" spans="1:15" ht="24" customHeight="1" x14ac:dyDescent="0.25"/>
    <row r="4" spans="1:15" ht="24" customHeight="1" x14ac:dyDescent="0.25">
      <c r="A4" s="1" t="s">
        <v>6</v>
      </c>
      <c r="B4" s="7" t="s">
        <v>17</v>
      </c>
      <c r="C4" s="123" t="s">
        <v>156</v>
      </c>
      <c r="D4" s="124"/>
      <c r="E4" s="124"/>
      <c r="F4" s="124"/>
      <c r="G4" s="124"/>
      <c r="H4" s="124"/>
      <c r="I4" s="124"/>
      <c r="J4" s="124"/>
      <c r="K4" s="124"/>
      <c r="L4" s="124"/>
      <c r="M4" s="124"/>
      <c r="N4" s="130"/>
      <c r="O4" s="1" t="str">
        <f>IF(C4="","入力してください","")</f>
        <v/>
      </c>
    </row>
    <row r="5" spans="1:15" ht="7.5" customHeight="1" x14ac:dyDescent="0.25">
      <c r="B5" s="7"/>
      <c r="C5" s="7"/>
      <c r="D5" s="7"/>
      <c r="E5" s="8"/>
      <c r="F5" s="9"/>
      <c r="G5" s="9"/>
      <c r="H5" s="9"/>
      <c r="I5" s="9"/>
      <c r="J5" s="9"/>
      <c r="K5" s="9"/>
      <c r="L5" s="9"/>
      <c r="M5" s="9"/>
      <c r="N5" s="9"/>
    </row>
    <row r="6" spans="1:15" ht="24" customHeight="1" x14ac:dyDescent="0.25">
      <c r="A6" s="1" t="s">
        <v>50</v>
      </c>
      <c r="B6" s="7" t="s">
        <v>51</v>
      </c>
      <c r="C6" s="7"/>
      <c r="D6" s="123" t="s">
        <v>157</v>
      </c>
      <c r="E6" s="124"/>
      <c r="F6" s="124"/>
      <c r="G6" s="124"/>
      <c r="H6" s="130"/>
      <c r="I6" s="10" t="s">
        <v>90</v>
      </c>
      <c r="J6" s="9" t="s">
        <v>91</v>
      </c>
      <c r="K6" s="123" t="s">
        <v>158</v>
      </c>
      <c r="L6" s="124"/>
      <c r="M6" s="124"/>
      <c r="N6" s="130"/>
      <c r="O6" s="1" t="str">
        <f>IF(D6="","入力してください","")</f>
        <v/>
      </c>
    </row>
    <row r="7" spans="1:15" ht="7.5" customHeight="1" x14ac:dyDescent="0.25">
      <c r="B7" s="7"/>
      <c r="C7" s="7"/>
      <c r="D7" s="7"/>
      <c r="E7" s="8"/>
      <c r="F7" s="9"/>
      <c r="G7" s="9"/>
      <c r="H7" s="9"/>
      <c r="I7" s="9"/>
      <c r="J7" s="9"/>
      <c r="K7" s="9"/>
      <c r="L7" s="9"/>
      <c r="M7" s="9"/>
      <c r="N7" s="9"/>
    </row>
    <row r="8" spans="1:15" ht="24" customHeight="1" x14ac:dyDescent="0.25">
      <c r="A8" s="1" t="s">
        <v>14</v>
      </c>
      <c r="B8" s="7" t="s">
        <v>47</v>
      </c>
      <c r="C8" s="123" t="s">
        <v>159</v>
      </c>
      <c r="D8" s="124"/>
      <c r="E8" s="124"/>
      <c r="F8" s="124"/>
      <c r="G8" s="124"/>
      <c r="H8" s="124"/>
      <c r="I8" s="124"/>
      <c r="J8" s="124"/>
      <c r="K8" s="124"/>
      <c r="L8" s="124"/>
      <c r="M8" s="124"/>
      <c r="N8" s="130"/>
      <c r="O8" s="1" t="str">
        <f>IF(C8="","入力してください","")</f>
        <v/>
      </c>
    </row>
    <row r="9" spans="1:15" ht="7.5" customHeight="1" x14ac:dyDescent="0.25">
      <c r="B9" s="7"/>
      <c r="C9" s="7"/>
      <c r="D9" s="7"/>
      <c r="E9" s="8"/>
      <c r="F9" s="9"/>
      <c r="G9" s="9"/>
      <c r="H9" s="9"/>
      <c r="I9" s="9"/>
      <c r="J9" s="9"/>
      <c r="K9" s="9"/>
      <c r="L9" s="9"/>
      <c r="M9" s="9"/>
      <c r="N9" s="9"/>
    </row>
    <row r="10" spans="1:15" ht="24" customHeight="1" x14ac:dyDescent="0.25">
      <c r="A10" s="1" t="s">
        <v>12</v>
      </c>
      <c r="B10" s="7" t="s">
        <v>89</v>
      </c>
      <c r="C10" s="7"/>
      <c r="D10" s="7"/>
      <c r="E10" s="123" t="s">
        <v>160</v>
      </c>
      <c r="F10" s="124"/>
      <c r="G10" s="124"/>
      <c r="H10" s="124"/>
      <c r="I10" s="124"/>
      <c r="J10" s="124"/>
      <c r="K10" s="124"/>
      <c r="L10" s="124"/>
      <c r="M10" s="124"/>
      <c r="N10" s="130"/>
      <c r="O10" s="1" t="str">
        <f>IF(E10="","入力してください","")</f>
        <v/>
      </c>
    </row>
    <row r="11" spans="1:15" ht="7.5" customHeight="1" x14ac:dyDescent="0.25">
      <c r="B11" s="8"/>
      <c r="C11" s="8"/>
      <c r="D11" s="8"/>
      <c r="E11" s="8"/>
      <c r="F11" s="9"/>
      <c r="G11" s="9"/>
      <c r="H11" s="9"/>
      <c r="I11" s="9"/>
      <c r="J11" s="9"/>
      <c r="K11" s="9"/>
      <c r="L11" s="9"/>
      <c r="M11" s="9"/>
      <c r="N11" s="9"/>
    </row>
    <row r="12" spans="1:15" ht="24" customHeight="1" x14ac:dyDescent="0.25">
      <c r="A12" s="1" t="s">
        <v>60</v>
      </c>
      <c r="B12" s="8" t="s">
        <v>61</v>
      </c>
      <c r="C12" s="8"/>
      <c r="D12" s="8"/>
      <c r="E12" s="136" t="s">
        <v>161</v>
      </c>
      <c r="F12" s="137"/>
      <c r="G12" s="10" t="s">
        <v>100</v>
      </c>
      <c r="H12" s="1" t="s">
        <v>101</v>
      </c>
      <c r="N12" s="11" t="s">
        <v>162</v>
      </c>
      <c r="O12" s="1" t="str">
        <f>IF(E12="","入力してください","")</f>
        <v/>
      </c>
    </row>
    <row r="13" spans="1:15" ht="7.5" customHeight="1" x14ac:dyDescent="0.25">
      <c r="B13" s="8"/>
      <c r="C13" s="8"/>
      <c r="D13" s="8"/>
      <c r="E13" s="8"/>
      <c r="F13" s="9"/>
      <c r="G13" s="9"/>
      <c r="H13" s="9"/>
      <c r="I13" s="9"/>
      <c r="J13" s="9"/>
      <c r="K13" s="9"/>
      <c r="L13" s="9"/>
      <c r="M13" s="9"/>
      <c r="N13" s="9"/>
    </row>
    <row r="14" spans="1:15" ht="24" customHeight="1" x14ac:dyDescent="0.25">
      <c r="A14" s="1" t="s">
        <v>55</v>
      </c>
      <c r="B14" s="1" t="s">
        <v>0</v>
      </c>
      <c r="C14" s="132" t="s">
        <v>5</v>
      </c>
      <c r="D14" s="133"/>
      <c r="E14" s="127">
        <v>159</v>
      </c>
      <c r="F14" s="128"/>
      <c r="G14" s="12" t="s">
        <v>8</v>
      </c>
      <c r="I14" s="132" t="s">
        <v>9</v>
      </c>
      <c r="J14" s="133"/>
      <c r="K14" s="127">
        <v>345</v>
      </c>
      <c r="L14" s="134"/>
      <c r="M14" s="128"/>
      <c r="N14" s="13" t="s">
        <v>8</v>
      </c>
      <c r="O14" s="1" t="str">
        <f>IF(OR(E14="",K14=""),"入力してください","")</f>
        <v/>
      </c>
    </row>
    <row r="15" spans="1:15" ht="7.5" customHeight="1" x14ac:dyDescent="0.25">
      <c r="F15" s="14"/>
      <c r="G15" s="14"/>
      <c r="H15" s="14"/>
      <c r="I15" s="14"/>
      <c r="J15" s="14"/>
      <c r="K15" s="14"/>
      <c r="L15" s="14"/>
      <c r="M15" s="13"/>
      <c r="N15" s="13"/>
    </row>
    <row r="16" spans="1:15" ht="24" customHeight="1" x14ac:dyDescent="0.25">
      <c r="A16" s="1" t="s">
        <v>62</v>
      </c>
      <c r="B16" s="1" t="s">
        <v>72</v>
      </c>
      <c r="F16" s="14"/>
      <c r="G16" s="14"/>
      <c r="H16" s="14"/>
      <c r="I16" s="14"/>
      <c r="J16" s="14"/>
      <c r="K16" s="117">
        <v>17</v>
      </c>
      <c r="L16" s="118"/>
      <c r="M16" s="119"/>
      <c r="N16" s="13" t="s">
        <v>53</v>
      </c>
      <c r="O16" s="1" t="str">
        <f>IF(K16="","入力してください","")</f>
        <v/>
      </c>
    </row>
    <row r="17" spans="1:15" ht="7.5" customHeight="1" x14ac:dyDescent="0.25">
      <c r="F17" s="14"/>
      <c r="G17" s="14"/>
      <c r="H17" s="14"/>
      <c r="I17" s="14"/>
      <c r="J17" s="14"/>
      <c r="K17" s="14"/>
      <c r="L17" s="14"/>
      <c r="M17" s="13"/>
      <c r="N17" s="13"/>
    </row>
    <row r="18" spans="1:15" ht="24" customHeight="1" x14ac:dyDescent="0.25">
      <c r="A18" s="1" t="s">
        <v>25</v>
      </c>
      <c r="B18" s="1" t="s">
        <v>81</v>
      </c>
      <c r="E18" s="127">
        <v>1125</v>
      </c>
      <c r="F18" s="128"/>
      <c r="G18" s="15" t="s">
        <v>22</v>
      </c>
      <c r="H18" s="14"/>
      <c r="K18" s="129"/>
      <c r="L18" s="129"/>
      <c r="M18" s="129"/>
      <c r="N18" s="129"/>
      <c r="O18" s="1" t="str">
        <f>IF(E18="","入力してください","")</f>
        <v/>
      </c>
    </row>
    <row r="19" spans="1:15" ht="7.5" customHeight="1" x14ac:dyDescent="0.25">
      <c r="E19" s="16"/>
      <c r="F19" s="14"/>
      <c r="G19" s="14"/>
      <c r="L19" s="17"/>
      <c r="M19" s="17"/>
      <c r="N19" s="18"/>
    </row>
    <row r="20" spans="1:15" ht="24" customHeight="1" x14ac:dyDescent="0.25">
      <c r="A20" s="1" t="s">
        <v>80</v>
      </c>
      <c r="B20" s="1" t="s">
        <v>82</v>
      </c>
      <c r="E20" s="16"/>
      <c r="F20" s="14"/>
      <c r="G20" s="14"/>
      <c r="H20" s="1" t="s">
        <v>54</v>
      </c>
      <c r="J20" s="120">
        <f>SUM(C22,C24,I22,I24)</f>
        <v>4676</v>
      </c>
      <c r="K20" s="118"/>
      <c r="L20" s="119"/>
      <c r="M20" s="17" t="s">
        <v>53</v>
      </c>
      <c r="N20" s="18"/>
      <c r="O20" s="1" t="str">
        <f>IF(J20="","入力してください","")</f>
        <v/>
      </c>
    </row>
    <row r="21" spans="1:15" ht="7.5" customHeight="1" x14ac:dyDescent="0.25">
      <c r="E21" s="16"/>
      <c r="F21" s="14"/>
      <c r="G21" s="14"/>
      <c r="L21" s="17"/>
      <c r="M21" s="17"/>
      <c r="N21" s="18"/>
    </row>
    <row r="22" spans="1:15" ht="24" customHeight="1" x14ac:dyDescent="0.25">
      <c r="B22" s="19" t="s">
        <v>18</v>
      </c>
      <c r="C22" s="127">
        <v>1129</v>
      </c>
      <c r="D22" s="128"/>
      <c r="E22" s="16" t="s">
        <v>23</v>
      </c>
      <c r="F22" s="14"/>
      <c r="G22" s="121" t="s">
        <v>19</v>
      </c>
      <c r="H22" s="121"/>
      <c r="I22" s="127">
        <v>1184</v>
      </c>
      <c r="J22" s="128"/>
      <c r="K22" s="10" t="s">
        <v>23</v>
      </c>
      <c r="M22" s="17"/>
      <c r="N22" s="18"/>
    </row>
    <row r="23" spans="1:15" ht="7.5" customHeight="1" x14ac:dyDescent="0.25">
      <c r="B23" s="19"/>
      <c r="C23" s="20"/>
      <c r="D23" s="20"/>
      <c r="E23" s="16"/>
      <c r="F23" s="14"/>
      <c r="G23" s="17"/>
      <c r="H23" s="17"/>
      <c r="I23" s="20"/>
      <c r="J23" s="20"/>
      <c r="K23" s="10"/>
      <c r="M23" s="17"/>
      <c r="N23" s="18"/>
    </row>
    <row r="24" spans="1:15" ht="24" customHeight="1" x14ac:dyDescent="0.25">
      <c r="B24" s="19" t="s">
        <v>20</v>
      </c>
      <c r="C24" s="127">
        <v>1151</v>
      </c>
      <c r="D24" s="128"/>
      <c r="E24" s="16" t="s">
        <v>23</v>
      </c>
      <c r="F24" s="14"/>
      <c r="G24" s="121" t="s">
        <v>21</v>
      </c>
      <c r="H24" s="121"/>
      <c r="I24" s="127">
        <v>1212</v>
      </c>
      <c r="J24" s="128"/>
      <c r="K24" s="10" t="s">
        <v>23</v>
      </c>
      <c r="M24" s="17"/>
      <c r="N24" s="18"/>
    </row>
    <row r="25" spans="1:15" ht="7.5" customHeight="1" x14ac:dyDescent="0.25">
      <c r="B25" s="19"/>
      <c r="C25" s="20"/>
      <c r="D25" s="20"/>
      <c r="E25" s="16"/>
      <c r="F25" s="14"/>
      <c r="G25" s="17"/>
      <c r="H25" s="17"/>
      <c r="I25" s="20"/>
      <c r="J25" s="20"/>
      <c r="K25" s="10"/>
      <c r="M25" s="17"/>
      <c r="N25" s="18"/>
    </row>
    <row r="26" spans="1:15" ht="24" customHeight="1" x14ac:dyDescent="0.25">
      <c r="B26" s="19" t="s">
        <v>48</v>
      </c>
      <c r="C26" s="127"/>
      <c r="D26" s="128"/>
      <c r="E26" s="16" t="s">
        <v>8</v>
      </c>
      <c r="F26" s="14"/>
      <c r="G26" s="121" t="s">
        <v>49</v>
      </c>
      <c r="H26" s="121"/>
      <c r="I26" s="127"/>
      <c r="J26" s="128"/>
      <c r="K26" s="10" t="s">
        <v>8</v>
      </c>
      <c r="M26" s="17"/>
      <c r="N26" s="18"/>
    </row>
    <row r="27" spans="1:15" ht="7.5" customHeight="1" x14ac:dyDescent="0.25">
      <c r="F27" s="14"/>
      <c r="G27" s="14"/>
      <c r="M27" s="21"/>
      <c r="N27" s="21"/>
    </row>
    <row r="28" spans="1:15" ht="24" customHeight="1" x14ac:dyDescent="0.25">
      <c r="A28" s="1" t="s">
        <v>52</v>
      </c>
      <c r="B28" s="7" t="s">
        <v>79</v>
      </c>
      <c r="C28" s="7"/>
      <c r="D28" s="7"/>
      <c r="E28" s="7"/>
      <c r="F28" s="10"/>
      <c r="G28" s="9"/>
      <c r="H28" s="9"/>
      <c r="I28" s="9"/>
      <c r="J28" s="22"/>
      <c r="K28" s="22"/>
      <c r="L28" s="22"/>
      <c r="M28" s="22"/>
      <c r="N28" s="22"/>
    </row>
    <row r="29" spans="1:15" ht="31.5" customHeight="1" x14ac:dyDescent="0.25">
      <c r="B29" s="122" t="s">
        <v>78</v>
      </c>
      <c r="C29" s="122"/>
      <c r="D29" s="123" t="s">
        <v>163</v>
      </c>
      <c r="E29" s="124"/>
      <c r="F29" s="124"/>
      <c r="G29" s="125" t="s">
        <v>24</v>
      </c>
      <c r="H29" s="122"/>
      <c r="I29" s="126"/>
      <c r="J29" s="146" t="s">
        <v>192</v>
      </c>
      <c r="K29" s="124"/>
      <c r="L29" s="124"/>
      <c r="M29" s="124"/>
      <c r="N29" s="130"/>
      <c r="O29" s="1" t="str">
        <f>IF(OR(D29="",J29=""),"入力してください","")</f>
        <v/>
      </c>
    </row>
    <row r="30" spans="1:15" ht="7.5" customHeight="1" x14ac:dyDescent="0.25">
      <c r="F30" s="14"/>
      <c r="G30" s="14"/>
      <c r="M30" s="21"/>
      <c r="N30" s="21"/>
    </row>
    <row r="31" spans="1:15" ht="24" customHeight="1" x14ac:dyDescent="0.25">
      <c r="A31" s="1" t="s">
        <v>56</v>
      </c>
      <c r="B31" s="7" t="s">
        <v>84</v>
      </c>
      <c r="C31" s="7"/>
      <c r="D31" s="7"/>
      <c r="E31" s="7"/>
      <c r="F31" s="10"/>
      <c r="G31" s="22"/>
      <c r="H31" s="22"/>
      <c r="I31" s="22"/>
      <c r="J31" s="22"/>
      <c r="K31" s="22"/>
      <c r="L31" s="22"/>
      <c r="M31" s="22"/>
      <c r="N31" s="22"/>
    </row>
    <row r="32" spans="1:15" ht="24" customHeight="1" x14ac:dyDescent="0.25">
      <c r="B32" s="123" t="s">
        <v>190</v>
      </c>
      <c r="C32" s="124"/>
      <c r="D32" s="124"/>
      <c r="E32" s="124"/>
      <c r="F32" s="124"/>
      <c r="G32" s="124"/>
      <c r="H32" s="124"/>
      <c r="I32" s="124"/>
      <c r="J32" s="124"/>
      <c r="K32" s="124"/>
      <c r="L32" s="124"/>
      <c r="M32" s="124"/>
      <c r="N32" s="130"/>
      <c r="O32" s="1" t="str">
        <f>IF(B32="","入力してください","")</f>
        <v/>
      </c>
    </row>
    <row r="33" spans="1:15" ht="7.5" customHeight="1" x14ac:dyDescent="0.25">
      <c r="B33" s="23"/>
      <c r="C33" s="23"/>
      <c r="D33" s="23"/>
      <c r="E33" s="23"/>
      <c r="F33" s="23"/>
      <c r="G33" s="23"/>
      <c r="H33" s="23"/>
      <c r="I33" s="23"/>
      <c r="J33" s="23"/>
      <c r="K33" s="23"/>
      <c r="L33" s="23"/>
      <c r="M33" s="23"/>
      <c r="N33" s="23"/>
    </row>
    <row r="34" spans="1:15" ht="33.4" customHeight="1" x14ac:dyDescent="0.25">
      <c r="B34" s="122" t="s">
        <v>78</v>
      </c>
      <c r="C34" s="122"/>
      <c r="D34" s="123" t="s">
        <v>191</v>
      </c>
      <c r="E34" s="124"/>
      <c r="F34" s="124"/>
      <c r="G34" s="125" t="s">
        <v>57</v>
      </c>
      <c r="H34" s="122"/>
      <c r="I34" s="126"/>
      <c r="J34" s="146" t="s">
        <v>207</v>
      </c>
      <c r="K34" s="124"/>
      <c r="L34" s="124"/>
      <c r="M34" s="124"/>
      <c r="N34" s="130"/>
      <c r="O34" s="1" t="str">
        <f>IF(OR(D34="",J34=""),"入力してください","")</f>
        <v/>
      </c>
    </row>
    <row r="35" spans="1:15" ht="7.5" customHeight="1" x14ac:dyDescent="0.25">
      <c r="F35" s="9"/>
      <c r="G35" s="9"/>
      <c r="H35" s="9"/>
      <c r="I35" s="9"/>
      <c r="J35" s="9"/>
      <c r="K35" s="9"/>
      <c r="L35" s="9"/>
      <c r="M35" s="9"/>
      <c r="N35" s="9"/>
    </row>
    <row r="36" spans="1:15" ht="24" customHeight="1" x14ac:dyDescent="0.25">
      <c r="A36" s="1" t="s">
        <v>63</v>
      </c>
      <c r="B36" s="1" t="s">
        <v>85</v>
      </c>
      <c r="M36" s="21"/>
      <c r="N36" s="21"/>
    </row>
    <row r="37" spans="1:15" ht="24" customHeight="1" x14ac:dyDescent="0.25">
      <c r="B37" s="123" t="s">
        <v>194</v>
      </c>
      <c r="C37" s="124"/>
      <c r="D37" s="124"/>
      <c r="E37" s="124"/>
      <c r="F37" s="124"/>
      <c r="G37" s="124"/>
      <c r="H37" s="124"/>
      <c r="I37" s="124"/>
      <c r="J37" s="124"/>
      <c r="K37" s="124"/>
      <c r="L37" s="124"/>
      <c r="M37" s="124"/>
      <c r="N37" s="130"/>
      <c r="O37" s="1" t="str">
        <f>IF(B37="","入力してください","")</f>
        <v/>
      </c>
    </row>
    <row r="38" spans="1:15" ht="7.5" customHeight="1" x14ac:dyDescent="0.25">
      <c r="F38" s="9"/>
      <c r="G38" s="9"/>
      <c r="H38" s="9"/>
      <c r="I38" s="9"/>
      <c r="J38" s="9"/>
      <c r="K38" s="9"/>
      <c r="L38" s="9"/>
      <c r="M38" s="9"/>
      <c r="N38" s="9"/>
    </row>
    <row r="39" spans="1:15" ht="24" customHeight="1" x14ac:dyDescent="0.25">
      <c r="B39" s="122" t="s">
        <v>78</v>
      </c>
      <c r="C39" s="122"/>
      <c r="D39" s="123" t="s">
        <v>195</v>
      </c>
      <c r="E39" s="124"/>
      <c r="F39" s="124"/>
      <c r="G39" s="125" t="s">
        <v>57</v>
      </c>
      <c r="H39" s="122"/>
      <c r="I39" s="126"/>
      <c r="J39" s="123" t="s">
        <v>186</v>
      </c>
      <c r="K39" s="124"/>
      <c r="L39" s="124"/>
      <c r="M39" s="124"/>
      <c r="N39" s="130"/>
      <c r="O39" s="1" t="str">
        <f>IF(OR(D39="",J39=""),"入力してください","")</f>
        <v/>
      </c>
    </row>
    <row r="40" spans="1:15" ht="7.5" customHeight="1" x14ac:dyDescent="0.25">
      <c r="F40" s="9"/>
      <c r="G40" s="9"/>
      <c r="H40" s="9"/>
      <c r="I40" s="9"/>
      <c r="J40" s="9"/>
      <c r="K40" s="9"/>
      <c r="L40" s="9"/>
      <c r="M40" s="9"/>
      <c r="N40" s="9"/>
    </row>
    <row r="41" spans="1:15" ht="24" customHeight="1" x14ac:dyDescent="0.25">
      <c r="A41" s="1" t="s">
        <v>92</v>
      </c>
      <c r="B41" s="1" t="s">
        <v>71</v>
      </c>
      <c r="E41" s="24"/>
      <c r="F41" s="123" t="s">
        <v>164</v>
      </c>
      <c r="G41" s="124"/>
      <c r="H41" s="124"/>
      <c r="I41" s="124"/>
      <c r="J41" s="124"/>
      <c r="K41" s="124"/>
      <c r="L41" s="124"/>
      <c r="M41" s="124"/>
      <c r="N41" s="130"/>
      <c r="O41" s="1" t="str">
        <f>IF(F41="","入力してください","")</f>
        <v/>
      </c>
    </row>
    <row r="42" spans="1:15" ht="7.5" customHeight="1" x14ac:dyDescent="0.25">
      <c r="F42" s="9"/>
      <c r="G42" s="9"/>
      <c r="H42" s="9"/>
      <c r="I42" s="9"/>
      <c r="J42" s="9"/>
      <c r="K42" s="9"/>
      <c r="L42" s="9"/>
      <c r="M42" s="9"/>
      <c r="N42" s="9"/>
    </row>
    <row r="43" spans="1:15" ht="24" customHeight="1" x14ac:dyDescent="0.25">
      <c r="A43" s="1" t="s">
        <v>102</v>
      </c>
    </row>
    <row r="44" spans="1:15" ht="24" customHeight="1" x14ac:dyDescent="0.25">
      <c r="B44" s="11" t="s">
        <v>1</v>
      </c>
      <c r="C44" s="144" t="s">
        <v>206</v>
      </c>
      <c r="D44" s="145"/>
      <c r="E44" s="145"/>
      <c r="F44" s="145"/>
      <c r="G44" s="145"/>
      <c r="H44" s="145"/>
      <c r="I44" s="25" t="s">
        <v>2</v>
      </c>
      <c r="J44" s="26"/>
      <c r="K44" s="123" t="s">
        <v>165</v>
      </c>
      <c r="L44" s="124"/>
      <c r="M44" s="124"/>
      <c r="N44" s="130"/>
      <c r="O44" s="1" t="str">
        <f>IF(OR(C44="",K44=""),"入力してください","")</f>
        <v/>
      </c>
    </row>
    <row r="45" spans="1:15" ht="24" customHeight="1" x14ac:dyDescent="0.25">
      <c r="B45" s="27" t="s">
        <v>4</v>
      </c>
      <c r="C45" s="138" t="s">
        <v>166</v>
      </c>
      <c r="D45" s="139"/>
      <c r="E45" s="139"/>
      <c r="F45" s="139"/>
      <c r="G45" s="139"/>
      <c r="H45" s="140"/>
      <c r="I45" s="25" t="s">
        <v>3</v>
      </c>
      <c r="J45" s="26"/>
      <c r="K45" s="141" t="s">
        <v>167</v>
      </c>
      <c r="L45" s="142"/>
      <c r="M45" s="142"/>
      <c r="N45" s="143"/>
      <c r="O45" s="1" t="str">
        <f>IF(OR(C45="",K45=""),"入力してください","")</f>
        <v/>
      </c>
    </row>
    <row r="82" spans="4:4" ht="18.75" customHeight="1" x14ac:dyDescent="0.25">
      <c r="D82" s="28"/>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scale="98"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8"/>
  <sheetViews>
    <sheetView showGridLines="0" showZeros="0" view="pageBreakPreview" topLeftCell="A86" zoomScale="50" zoomScaleNormal="100" zoomScaleSheetLayoutView="50" workbookViewId="0">
      <selection activeCell="AJ88" sqref="AJ88"/>
    </sheetView>
  </sheetViews>
  <sheetFormatPr defaultColWidth="9" defaultRowHeight="18.75" customHeight="1" x14ac:dyDescent="0.25"/>
  <cols>
    <col min="1" max="1" width="2.46484375" style="29" customWidth="1"/>
    <col min="2" max="2" width="27.73046875" style="29" customWidth="1"/>
    <col min="3" max="13" width="3.3984375" style="29" customWidth="1"/>
    <col min="14" max="14" width="8.86328125" style="29" customWidth="1"/>
    <col min="15" max="15" width="18.86328125" style="29" customWidth="1"/>
    <col min="16" max="19" width="3.3984375" style="29" customWidth="1"/>
    <col min="20" max="20" width="3.46484375" style="29" customWidth="1"/>
    <col min="21" max="26" width="3.3984375" style="29" customWidth="1"/>
    <col min="27" max="16384" width="9" style="29"/>
  </cols>
  <sheetData>
    <row r="1" spans="1:26" ht="15" customHeight="1" x14ac:dyDescent="0.25">
      <c r="W1" s="216" t="s">
        <v>229</v>
      </c>
      <c r="X1" s="217"/>
      <c r="Y1" s="217"/>
      <c r="Z1" s="217"/>
    </row>
    <row r="2" spans="1:26" ht="18" customHeight="1" x14ac:dyDescent="0.25">
      <c r="A2" s="218" t="s">
        <v>69</v>
      </c>
      <c r="B2" s="218"/>
      <c r="C2" s="218"/>
      <c r="D2" s="218"/>
      <c r="E2" s="218"/>
      <c r="F2" s="218"/>
      <c r="G2" s="218"/>
      <c r="H2" s="218"/>
      <c r="I2" s="218"/>
      <c r="J2" s="218"/>
      <c r="K2" s="218"/>
      <c r="L2" s="218"/>
      <c r="M2" s="218"/>
      <c r="N2" s="218"/>
      <c r="O2" s="218"/>
      <c r="P2" s="218"/>
      <c r="Q2" s="218"/>
      <c r="R2" s="218"/>
      <c r="S2" s="218"/>
      <c r="T2" s="218"/>
      <c r="U2" s="218"/>
      <c r="V2" s="218"/>
      <c r="W2" s="218"/>
      <c r="X2" s="218"/>
      <c r="Y2" s="218"/>
      <c r="Z2" s="218"/>
    </row>
    <row r="3" spans="1:26" ht="15" customHeight="1" x14ac:dyDescent="0.25">
      <c r="B3" s="19"/>
      <c r="C3" s="19"/>
      <c r="D3" s="19"/>
      <c r="E3" s="19"/>
      <c r="F3" s="19"/>
      <c r="G3" s="19"/>
      <c r="H3" s="19"/>
      <c r="I3" s="19"/>
      <c r="J3" s="19"/>
      <c r="K3" s="19"/>
      <c r="L3" s="19"/>
      <c r="M3" s="19"/>
      <c r="N3" s="19"/>
      <c r="O3" s="19"/>
      <c r="P3" s="19"/>
      <c r="Q3" s="19"/>
      <c r="R3" s="19"/>
      <c r="S3" s="19"/>
      <c r="T3" s="19"/>
      <c r="U3" s="19"/>
      <c r="V3" s="19"/>
      <c r="W3" s="19"/>
      <c r="X3" s="19"/>
      <c r="Y3" s="19"/>
      <c r="Z3" s="19"/>
    </row>
    <row r="4" spans="1:26" ht="18" customHeight="1" x14ac:dyDescent="0.25">
      <c r="A4" s="29" t="s">
        <v>103</v>
      </c>
      <c r="B4" s="19"/>
      <c r="C4" s="19"/>
      <c r="D4" s="19"/>
      <c r="E4" s="19"/>
      <c r="F4" s="19"/>
      <c r="G4" s="19"/>
      <c r="H4" s="7" t="s">
        <v>117</v>
      </c>
      <c r="I4" s="19"/>
      <c r="J4" s="19"/>
      <c r="K4" s="19"/>
      <c r="L4" s="19"/>
      <c r="M4" s="19"/>
      <c r="N4" s="19"/>
      <c r="O4" s="117" t="s">
        <v>154</v>
      </c>
      <c r="P4" s="118"/>
      <c r="Q4" s="118"/>
      <c r="R4" s="118"/>
      <c r="S4" s="118"/>
      <c r="T4" s="118"/>
      <c r="U4" s="118"/>
      <c r="V4" s="118"/>
      <c r="W4" s="118"/>
      <c r="X4" s="118"/>
      <c r="Y4" s="118"/>
      <c r="Z4" s="119"/>
    </row>
    <row r="5" spans="1:26" ht="6" customHeight="1" x14ac:dyDescent="0.25">
      <c r="B5" s="19"/>
      <c r="C5" s="19"/>
      <c r="D5" s="19"/>
      <c r="E5" s="19"/>
      <c r="F5" s="19"/>
      <c r="G5" s="19"/>
      <c r="H5" s="19"/>
      <c r="I5" s="19"/>
      <c r="J5" s="19"/>
      <c r="K5" s="19"/>
      <c r="L5" s="19"/>
      <c r="M5" s="19"/>
      <c r="N5" s="19"/>
      <c r="O5" s="8"/>
      <c r="P5" s="19"/>
      <c r="Q5" s="19"/>
      <c r="R5" s="19"/>
      <c r="S5" s="19"/>
      <c r="T5" s="19"/>
      <c r="U5" s="19"/>
      <c r="V5" s="19"/>
      <c r="W5" s="19"/>
      <c r="X5" s="19"/>
      <c r="Y5" s="19"/>
      <c r="Z5" s="19"/>
    </row>
    <row r="6" spans="1:26" ht="18" customHeight="1" x14ac:dyDescent="0.25">
      <c r="B6" s="219" t="s">
        <v>189</v>
      </c>
      <c r="C6" s="220"/>
      <c r="D6" s="220"/>
      <c r="E6" s="220"/>
      <c r="F6" s="220"/>
      <c r="G6" s="220"/>
      <c r="H6" s="220"/>
      <c r="I6" s="220"/>
      <c r="J6" s="220"/>
      <c r="K6" s="220"/>
      <c r="L6" s="220"/>
      <c r="M6" s="220"/>
      <c r="N6" s="220"/>
      <c r="O6" s="220"/>
      <c r="P6" s="220"/>
      <c r="Q6" s="220"/>
      <c r="R6" s="220"/>
      <c r="S6" s="220"/>
      <c r="T6" s="220"/>
      <c r="U6" s="220"/>
      <c r="V6" s="220"/>
      <c r="W6" s="220"/>
      <c r="X6" s="220"/>
      <c r="Y6" s="220"/>
      <c r="Z6" s="221"/>
    </row>
    <row r="7" spans="1:26" ht="18" customHeight="1" x14ac:dyDescent="0.25">
      <c r="B7" s="222"/>
      <c r="C7" s="223"/>
      <c r="D7" s="223"/>
      <c r="E7" s="223"/>
      <c r="F7" s="223"/>
      <c r="G7" s="223"/>
      <c r="H7" s="223"/>
      <c r="I7" s="223"/>
      <c r="J7" s="223"/>
      <c r="K7" s="223"/>
      <c r="L7" s="223"/>
      <c r="M7" s="223"/>
      <c r="N7" s="223"/>
      <c r="O7" s="223"/>
      <c r="P7" s="223"/>
      <c r="Q7" s="223"/>
      <c r="R7" s="223"/>
      <c r="S7" s="223"/>
      <c r="T7" s="223"/>
      <c r="U7" s="223"/>
      <c r="V7" s="223"/>
      <c r="W7" s="223"/>
      <c r="X7" s="223"/>
      <c r="Y7" s="223"/>
      <c r="Z7" s="224"/>
    </row>
    <row r="8" spans="1:26" ht="18" customHeight="1" x14ac:dyDescent="0.25">
      <c r="B8" s="222"/>
      <c r="C8" s="223"/>
      <c r="D8" s="223"/>
      <c r="E8" s="223"/>
      <c r="F8" s="223"/>
      <c r="G8" s="223"/>
      <c r="H8" s="223"/>
      <c r="I8" s="223"/>
      <c r="J8" s="223"/>
      <c r="K8" s="223"/>
      <c r="L8" s="223"/>
      <c r="M8" s="223"/>
      <c r="N8" s="223"/>
      <c r="O8" s="223"/>
      <c r="P8" s="223"/>
      <c r="Q8" s="223"/>
      <c r="R8" s="223"/>
      <c r="S8" s="223"/>
      <c r="T8" s="223"/>
      <c r="U8" s="223"/>
      <c r="V8" s="223"/>
      <c r="W8" s="223"/>
      <c r="X8" s="223"/>
      <c r="Y8" s="223"/>
      <c r="Z8" s="224"/>
    </row>
    <row r="9" spans="1:26" ht="18" customHeight="1" x14ac:dyDescent="0.25">
      <c r="B9" s="222"/>
      <c r="C9" s="223"/>
      <c r="D9" s="223"/>
      <c r="E9" s="223"/>
      <c r="F9" s="223"/>
      <c r="G9" s="223"/>
      <c r="H9" s="223"/>
      <c r="I9" s="223"/>
      <c r="J9" s="223"/>
      <c r="K9" s="223"/>
      <c r="L9" s="223"/>
      <c r="M9" s="223"/>
      <c r="N9" s="223"/>
      <c r="O9" s="223"/>
      <c r="P9" s="223"/>
      <c r="Q9" s="223"/>
      <c r="R9" s="223"/>
      <c r="S9" s="223"/>
      <c r="T9" s="223"/>
      <c r="U9" s="223"/>
      <c r="V9" s="223"/>
      <c r="W9" s="223"/>
      <c r="X9" s="223"/>
      <c r="Y9" s="223"/>
      <c r="Z9" s="224"/>
    </row>
    <row r="10" spans="1:26" ht="18" customHeight="1" x14ac:dyDescent="0.25">
      <c r="B10" s="222"/>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4"/>
    </row>
    <row r="11" spans="1:26" ht="18" customHeight="1" x14ac:dyDescent="0.25">
      <c r="B11" s="226"/>
      <c r="C11" s="227"/>
      <c r="D11" s="227"/>
      <c r="E11" s="227"/>
      <c r="F11" s="227"/>
      <c r="G11" s="227"/>
      <c r="H11" s="227"/>
      <c r="I11" s="227"/>
      <c r="J11" s="227"/>
      <c r="K11" s="227"/>
      <c r="L11" s="227"/>
      <c r="M11" s="227"/>
      <c r="N11" s="227"/>
      <c r="O11" s="227"/>
      <c r="P11" s="227"/>
      <c r="Q11" s="227"/>
      <c r="R11" s="227"/>
      <c r="S11" s="227"/>
      <c r="T11" s="227"/>
      <c r="U11" s="227"/>
      <c r="V11" s="227"/>
      <c r="W11" s="227"/>
      <c r="X11" s="227"/>
      <c r="Y11" s="227"/>
      <c r="Z11" s="228"/>
    </row>
    <row r="12" spans="1:26" ht="7.5" customHeight="1" x14ac:dyDescent="0.25">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ht="18" customHeight="1" x14ac:dyDescent="0.25">
      <c r="A13" s="212" t="s">
        <v>130</v>
      </c>
      <c r="B13" s="212"/>
      <c r="C13" s="212"/>
      <c r="D13" s="212"/>
      <c r="E13" s="212"/>
      <c r="F13" s="212"/>
      <c r="G13" s="212"/>
      <c r="H13" s="212"/>
      <c r="I13" s="212"/>
      <c r="J13" s="212"/>
      <c r="K13" s="212"/>
      <c r="L13" s="212"/>
      <c r="M13" s="212"/>
      <c r="N13" s="212"/>
      <c r="O13" s="212"/>
      <c r="P13" s="212"/>
      <c r="Q13" s="212"/>
      <c r="R13" s="212"/>
      <c r="S13" s="212"/>
      <c r="T13" s="212"/>
      <c r="U13" s="212"/>
      <c r="V13" s="212"/>
      <c r="W13" s="212"/>
      <c r="X13" s="212"/>
      <c r="Y13" s="212"/>
      <c r="Z13" s="212"/>
    </row>
    <row r="14" spans="1:26" ht="18" customHeight="1" x14ac:dyDescent="0.25">
      <c r="A14" s="212"/>
      <c r="B14" s="212"/>
      <c r="C14" s="212"/>
      <c r="D14" s="212"/>
      <c r="E14" s="212"/>
      <c r="F14" s="212"/>
      <c r="G14" s="212"/>
      <c r="H14" s="212"/>
      <c r="I14" s="212"/>
      <c r="J14" s="212"/>
      <c r="K14" s="212"/>
      <c r="L14" s="212"/>
      <c r="M14" s="212"/>
      <c r="N14" s="212"/>
      <c r="O14" s="212"/>
      <c r="P14" s="212"/>
      <c r="Q14" s="212"/>
      <c r="R14" s="212"/>
      <c r="S14" s="212"/>
      <c r="T14" s="212"/>
      <c r="U14" s="212"/>
      <c r="V14" s="212"/>
      <c r="W14" s="212"/>
      <c r="X14" s="212"/>
      <c r="Y14" s="212"/>
      <c r="Z14" s="212"/>
    </row>
    <row r="15" spans="1:26" ht="18" customHeight="1" x14ac:dyDescent="0.25">
      <c r="A15" s="1"/>
      <c r="B15" s="117" t="s">
        <v>104</v>
      </c>
      <c r="C15" s="118"/>
      <c r="D15" s="118"/>
      <c r="E15" s="118"/>
      <c r="F15" s="119"/>
      <c r="G15" s="11" t="s">
        <v>146</v>
      </c>
      <c r="H15" s="31" t="s">
        <v>145</v>
      </c>
      <c r="I15" s="118" t="s">
        <v>105</v>
      </c>
      <c r="J15" s="118"/>
      <c r="K15" s="118"/>
      <c r="L15" s="32" t="s">
        <v>108</v>
      </c>
      <c r="M15" s="32" t="s">
        <v>111</v>
      </c>
      <c r="N15" s="117" t="s">
        <v>104</v>
      </c>
      <c r="O15" s="118"/>
      <c r="P15" s="118"/>
      <c r="Q15" s="118"/>
      <c r="R15" s="118"/>
      <c r="S15" s="119"/>
      <c r="T15" s="11" t="s">
        <v>146</v>
      </c>
      <c r="U15" s="31" t="s">
        <v>145</v>
      </c>
      <c r="V15" s="118" t="s">
        <v>105</v>
      </c>
      <c r="W15" s="118"/>
      <c r="X15" s="118"/>
      <c r="Y15" s="32" t="s">
        <v>108</v>
      </c>
      <c r="Z15" s="32" t="s">
        <v>111</v>
      </c>
    </row>
    <row r="16" spans="1:26" ht="18" customHeight="1" x14ac:dyDescent="0.25">
      <c r="A16" s="1"/>
      <c r="B16" s="213" t="s">
        <v>168</v>
      </c>
      <c r="C16" s="214"/>
      <c r="D16" s="214"/>
      <c r="E16" s="214"/>
      <c r="F16" s="215"/>
      <c r="G16" s="33">
        <v>1</v>
      </c>
      <c r="H16" s="33" t="s">
        <v>153</v>
      </c>
      <c r="I16" s="206" t="s">
        <v>152</v>
      </c>
      <c r="J16" s="207"/>
      <c r="K16" s="208"/>
      <c r="L16" s="34" t="s">
        <v>153</v>
      </c>
      <c r="M16" s="34" t="s">
        <v>153</v>
      </c>
      <c r="N16" s="191"/>
      <c r="O16" s="192"/>
      <c r="P16" s="192"/>
      <c r="Q16" s="192"/>
      <c r="R16" s="192"/>
      <c r="S16" s="193"/>
      <c r="T16" s="33"/>
      <c r="U16" s="33"/>
      <c r="V16" s="206"/>
      <c r="W16" s="207"/>
      <c r="X16" s="208"/>
      <c r="Y16" s="34"/>
      <c r="Z16" s="34"/>
    </row>
    <row r="17" spans="1:26" ht="18" customHeight="1" x14ac:dyDescent="0.25">
      <c r="A17" s="1"/>
      <c r="B17" s="158" t="s">
        <v>169</v>
      </c>
      <c r="C17" s="159"/>
      <c r="D17" s="159"/>
      <c r="E17" s="159"/>
      <c r="F17" s="160"/>
      <c r="G17" s="2">
        <v>1</v>
      </c>
      <c r="H17" s="2" t="s">
        <v>153</v>
      </c>
      <c r="I17" s="203" t="s">
        <v>152</v>
      </c>
      <c r="J17" s="204"/>
      <c r="K17" s="205"/>
      <c r="L17" s="3" t="s">
        <v>153</v>
      </c>
      <c r="M17" s="3" t="s">
        <v>153</v>
      </c>
      <c r="N17" s="185"/>
      <c r="O17" s="186"/>
      <c r="P17" s="186"/>
      <c r="Q17" s="186"/>
      <c r="R17" s="186"/>
      <c r="S17" s="187"/>
      <c r="T17" s="2"/>
      <c r="U17" s="2"/>
      <c r="V17" s="203"/>
      <c r="W17" s="204"/>
      <c r="X17" s="205"/>
      <c r="Y17" s="3"/>
      <c r="Z17" s="3"/>
    </row>
    <row r="18" spans="1:26" ht="18" customHeight="1" x14ac:dyDescent="0.25">
      <c r="A18" s="1"/>
      <c r="B18" s="158" t="s">
        <v>170</v>
      </c>
      <c r="C18" s="159"/>
      <c r="D18" s="159"/>
      <c r="E18" s="159"/>
      <c r="F18" s="160"/>
      <c r="G18" s="2">
        <v>1</v>
      </c>
      <c r="H18" s="2" t="s">
        <v>153</v>
      </c>
      <c r="I18" s="203" t="s">
        <v>152</v>
      </c>
      <c r="J18" s="204"/>
      <c r="K18" s="205"/>
      <c r="L18" s="3" t="s">
        <v>153</v>
      </c>
      <c r="M18" s="3" t="s">
        <v>153</v>
      </c>
      <c r="N18" s="185"/>
      <c r="O18" s="186"/>
      <c r="P18" s="186"/>
      <c r="Q18" s="186"/>
      <c r="R18" s="186"/>
      <c r="S18" s="187"/>
      <c r="T18" s="2"/>
      <c r="U18" s="2"/>
      <c r="V18" s="203"/>
      <c r="W18" s="204"/>
      <c r="X18" s="205"/>
      <c r="Y18" s="3"/>
      <c r="Z18" s="3"/>
    </row>
    <row r="19" spans="1:26" ht="18" customHeight="1" x14ac:dyDescent="0.25">
      <c r="A19" s="1"/>
      <c r="B19" s="158" t="s">
        <v>171</v>
      </c>
      <c r="C19" s="159"/>
      <c r="D19" s="159"/>
      <c r="E19" s="159"/>
      <c r="F19" s="160"/>
      <c r="G19" s="2">
        <v>1</v>
      </c>
      <c r="H19" s="2" t="s">
        <v>153</v>
      </c>
      <c r="I19" s="203" t="s">
        <v>152</v>
      </c>
      <c r="J19" s="204"/>
      <c r="K19" s="205"/>
      <c r="L19" s="3" t="s">
        <v>153</v>
      </c>
      <c r="M19" s="3" t="s">
        <v>153</v>
      </c>
      <c r="N19" s="185"/>
      <c r="O19" s="186"/>
      <c r="P19" s="186"/>
      <c r="Q19" s="186"/>
      <c r="R19" s="186"/>
      <c r="S19" s="187"/>
      <c r="T19" s="2"/>
      <c r="U19" s="2"/>
      <c r="V19" s="203"/>
      <c r="W19" s="204"/>
      <c r="X19" s="205"/>
      <c r="Y19" s="3"/>
      <c r="Z19" s="3"/>
    </row>
    <row r="20" spans="1:26" ht="18" customHeight="1" x14ac:dyDescent="0.25">
      <c r="A20" s="1"/>
      <c r="B20" s="158" t="s">
        <v>172</v>
      </c>
      <c r="C20" s="159"/>
      <c r="D20" s="159"/>
      <c r="E20" s="159"/>
      <c r="F20" s="160"/>
      <c r="G20" s="2">
        <v>1</v>
      </c>
      <c r="H20" s="2" t="s">
        <v>153</v>
      </c>
      <c r="I20" s="203" t="s">
        <v>152</v>
      </c>
      <c r="J20" s="204"/>
      <c r="K20" s="205"/>
      <c r="L20" s="3" t="s">
        <v>153</v>
      </c>
      <c r="M20" s="3" t="s">
        <v>153</v>
      </c>
      <c r="N20" s="185"/>
      <c r="O20" s="186"/>
      <c r="P20" s="186"/>
      <c r="Q20" s="186"/>
      <c r="R20" s="186"/>
      <c r="S20" s="187"/>
      <c r="T20" s="2"/>
      <c r="U20" s="2"/>
      <c r="V20" s="203"/>
      <c r="W20" s="204"/>
      <c r="X20" s="205"/>
      <c r="Y20" s="3"/>
      <c r="Z20" s="3"/>
    </row>
    <row r="21" spans="1:26" ht="18" customHeight="1" x14ac:dyDescent="0.25">
      <c r="A21" s="19"/>
      <c r="B21" s="158"/>
      <c r="C21" s="159"/>
      <c r="D21" s="159"/>
      <c r="E21" s="159"/>
      <c r="F21" s="160"/>
      <c r="G21" s="2"/>
      <c r="H21" s="2"/>
      <c r="I21" s="203"/>
      <c r="J21" s="204"/>
      <c r="K21" s="205"/>
      <c r="L21" s="3"/>
      <c r="M21" s="3"/>
      <c r="N21" s="185"/>
      <c r="O21" s="186"/>
      <c r="P21" s="186"/>
      <c r="Q21" s="186"/>
      <c r="R21" s="186"/>
      <c r="S21" s="187"/>
      <c r="T21" s="2"/>
      <c r="U21" s="2"/>
      <c r="V21" s="203"/>
      <c r="W21" s="204"/>
      <c r="X21" s="205"/>
      <c r="Y21" s="3"/>
      <c r="Z21" s="3"/>
    </row>
    <row r="22" spans="1:26" ht="18" customHeight="1" x14ac:dyDescent="0.25">
      <c r="A22" s="19"/>
      <c r="B22" s="209"/>
      <c r="C22" s="210"/>
      <c r="D22" s="210"/>
      <c r="E22" s="210"/>
      <c r="F22" s="211"/>
      <c r="G22" s="35"/>
      <c r="H22" s="35"/>
      <c r="I22" s="197"/>
      <c r="J22" s="198"/>
      <c r="K22" s="199"/>
      <c r="L22" s="36"/>
      <c r="M22" s="36"/>
      <c r="N22" s="176"/>
      <c r="O22" s="177"/>
      <c r="P22" s="177"/>
      <c r="Q22" s="177"/>
      <c r="R22" s="177"/>
      <c r="S22" s="178"/>
      <c r="T22" s="35"/>
      <c r="U22" s="35"/>
      <c r="V22" s="197"/>
      <c r="W22" s="198"/>
      <c r="X22" s="199"/>
      <c r="Y22" s="36"/>
      <c r="Z22" s="36"/>
    </row>
    <row r="23" spans="1:26" ht="7.5" customHeight="1" x14ac:dyDescent="0.25">
      <c r="A23" s="19"/>
      <c r="B23" s="37"/>
      <c r="C23" s="37"/>
      <c r="D23" s="19"/>
      <c r="E23" s="19"/>
      <c r="F23" s="19"/>
      <c r="G23" s="19"/>
      <c r="H23" s="19"/>
      <c r="I23" s="19"/>
      <c r="J23" s="19"/>
      <c r="K23" s="19"/>
      <c r="L23" s="37"/>
      <c r="M23" s="37"/>
      <c r="N23" s="37"/>
      <c r="O23" s="37"/>
      <c r="P23" s="37"/>
      <c r="Q23" s="37"/>
      <c r="R23" s="37"/>
      <c r="S23" s="37"/>
      <c r="T23" s="37"/>
      <c r="U23" s="37"/>
      <c r="V23" s="37"/>
      <c r="W23" s="37"/>
      <c r="X23" s="37"/>
      <c r="Y23" s="37"/>
      <c r="Z23" s="19"/>
    </row>
    <row r="24" spans="1:26" ht="18" customHeight="1" x14ac:dyDescent="0.25">
      <c r="A24" s="212" t="s">
        <v>131</v>
      </c>
      <c r="B24" s="212"/>
      <c r="C24" s="212"/>
      <c r="D24" s="212"/>
      <c r="E24" s="212"/>
      <c r="F24" s="212"/>
      <c r="G24" s="212"/>
      <c r="H24" s="212"/>
      <c r="I24" s="212"/>
      <c r="J24" s="212"/>
      <c r="K24" s="212"/>
      <c r="L24" s="212"/>
      <c r="M24" s="212"/>
      <c r="N24" s="212"/>
      <c r="O24" s="212"/>
      <c r="P24" s="212"/>
      <c r="Q24" s="212"/>
      <c r="R24" s="212"/>
      <c r="S24" s="212"/>
      <c r="T24" s="212"/>
      <c r="U24" s="212"/>
      <c r="V24" s="212"/>
      <c r="W24" s="212"/>
      <c r="X24" s="212"/>
      <c r="Y24" s="212"/>
      <c r="Z24" s="212"/>
    </row>
    <row r="25" spans="1:26" ht="18" customHeight="1" x14ac:dyDescent="0.25">
      <c r="A25" s="212"/>
      <c r="B25" s="212"/>
      <c r="C25" s="212"/>
      <c r="D25" s="212"/>
      <c r="E25" s="212"/>
      <c r="F25" s="212"/>
      <c r="G25" s="212"/>
      <c r="H25" s="212"/>
      <c r="I25" s="212"/>
      <c r="J25" s="212"/>
      <c r="K25" s="212"/>
      <c r="L25" s="212"/>
      <c r="M25" s="212"/>
      <c r="N25" s="212"/>
      <c r="O25" s="212"/>
      <c r="P25" s="212"/>
      <c r="Q25" s="212"/>
      <c r="R25" s="212"/>
      <c r="S25" s="212"/>
      <c r="T25" s="212"/>
      <c r="U25" s="212"/>
      <c r="V25" s="212"/>
      <c r="W25" s="212"/>
      <c r="X25" s="212"/>
      <c r="Y25" s="212"/>
      <c r="Z25" s="212"/>
    </row>
    <row r="26" spans="1:26" ht="18" customHeight="1" x14ac:dyDescent="0.25">
      <c r="A26" s="1"/>
      <c r="B26" s="117" t="s">
        <v>104</v>
      </c>
      <c r="C26" s="118"/>
      <c r="D26" s="118"/>
      <c r="E26" s="118"/>
      <c r="F26" s="119"/>
      <c r="G26" s="11" t="s">
        <v>146</v>
      </c>
      <c r="H26" s="31" t="s">
        <v>145</v>
      </c>
      <c r="I26" s="118" t="s">
        <v>105</v>
      </c>
      <c r="J26" s="118"/>
      <c r="K26" s="118"/>
      <c r="L26" s="32" t="s">
        <v>132</v>
      </c>
      <c r="M26" s="32" t="s">
        <v>133</v>
      </c>
      <c r="N26" s="117" t="s">
        <v>104</v>
      </c>
      <c r="O26" s="118"/>
      <c r="P26" s="118"/>
      <c r="Q26" s="118"/>
      <c r="R26" s="118"/>
      <c r="S26" s="119"/>
      <c r="T26" s="11" t="s">
        <v>146</v>
      </c>
      <c r="U26" s="31" t="s">
        <v>145</v>
      </c>
      <c r="V26" s="118" t="s">
        <v>105</v>
      </c>
      <c r="W26" s="118"/>
      <c r="X26" s="118"/>
      <c r="Y26" s="32" t="s">
        <v>132</v>
      </c>
      <c r="Z26" s="32" t="s">
        <v>133</v>
      </c>
    </row>
    <row r="27" spans="1:26" ht="18" customHeight="1" x14ac:dyDescent="0.25">
      <c r="A27" s="1"/>
      <c r="B27" s="213" t="s">
        <v>168</v>
      </c>
      <c r="C27" s="214"/>
      <c r="D27" s="214"/>
      <c r="E27" s="214"/>
      <c r="F27" s="215"/>
      <c r="G27" s="33">
        <v>1</v>
      </c>
      <c r="H27" s="33" t="s">
        <v>153</v>
      </c>
      <c r="I27" s="206" t="s">
        <v>152</v>
      </c>
      <c r="J27" s="207"/>
      <c r="K27" s="208"/>
      <c r="L27" s="34" t="s">
        <v>153</v>
      </c>
      <c r="M27" s="34" t="s">
        <v>153</v>
      </c>
      <c r="N27" s="191"/>
      <c r="O27" s="192"/>
      <c r="P27" s="192"/>
      <c r="Q27" s="192"/>
      <c r="R27" s="192"/>
      <c r="S27" s="193"/>
      <c r="T27" s="33"/>
      <c r="U27" s="33"/>
      <c r="V27" s="206"/>
      <c r="W27" s="207"/>
      <c r="X27" s="208"/>
      <c r="Y27" s="34"/>
      <c r="Z27" s="34"/>
    </row>
    <row r="28" spans="1:26" ht="18" customHeight="1" x14ac:dyDescent="0.25">
      <c r="A28" s="1"/>
      <c r="B28" s="158" t="s">
        <v>169</v>
      </c>
      <c r="C28" s="159"/>
      <c r="D28" s="159"/>
      <c r="E28" s="159"/>
      <c r="F28" s="160"/>
      <c r="G28" s="2">
        <v>1</v>
      </c>
      <c r="H28" s="2" t="s">
        <v>153</v>
      </c>
      <c r="I28" s="203" t="s">
        <v>152</v>
      </c>
      <c r="J28" s="204"/>
      <c r="K28" s="205"/>
      <c r="L28" s="3" t="s">
        <v>153</v>
      </c>
      <c r="M28" s="3" t="s">
        <v>153</v>
      </c>
      <c r="N28" s="185"/>
      <c r="O28" s="186"/>
      <c r="P28" s="186"/>
      <c r="Q28" s="186"/>
      <c r="R28" s="186"/>
      <c r="S28" s="187"/>
      <c r="T28" s="2"/>
      <c r="U28" s="2"/>
      <c r="V28" s="203"/>
      <c r="W28" s="204"/>
      <c r="X28" s="205"/>
      <c r="Y28" s="3"/>
      <c r="Z28" s="3"/>
    </row>
    <row r="29" spans="1:26" ht="18" customHeight="1" x14ac:dyDescent="0.25">
      <c r="A29" s="1"/>
      <c r="B29" s="158" t="s">
        <v>170</v>
      </c>
      <c r="C29" s="159"/>
      <c r="D29" s="159"/>
      <c r="E29" s="159"/>
      <c r="F29" s="160"/>
      <c r="G29" s="2">
        <v>1</v>
      </c>
      <c r="H29" s="2" t="s">
        <v>153</v>
      </c>
      <c r="I29" s="203" t="s">
        <v>152</v>
      </c>
      <c r="J29" s="204"/>
      <c r="K29" s="205"/>
      <c r="L29" s="3" t="s">
        <v>153</v>
      </c>
      <c r="M29" s="3" t="s">
        <v>153</v>
      </c>
      <c r="N29" s="185"/>
      <c r="O29" s="186"/>
      <c r="P29" s="186"/>
      <c r="Q29" s="186"/>
      <c r="R29" s="186"/>
      <c r="S29" s="187"/>
      <c r="T29" s="2"/>
      <c r="U29" s="2"/>
      <c r="V29" s="203"/>
      <c r="W29" s="204"/>
      <c r="X29" s="205"/>
      <c r="Y29" s="3"/>
      <c r="Z29" s="3"/>
    </row>
    <row r="30" spans="1:26" ht="18" customHeight="1" x14ac:dyDescent="0.25">
      <c r="A30" s="1"/>
      <c r="B30" s="158" t="s">
        <v>171</v>
      </c>
      <c r="C30" s="159"/>
      <c r="D30" s="159"/>
      <c r="E30" s="159"/>
      <c r="F30" s="160"/>
      <c r="G30" s="2">
        <v>1</v>
      </c>
      <c r="H30" s="2" t="s">
        <v>153</v>
      </c>
      <c r="I30" s="203" t="s">
        <v>152</v>
      </c>
      <c r="J30" s="204"/>
      <c r="K30" s="205"/>
      <c r="L30" s="3" t="s">
        <v>153</v>
      </c>
      <c r="M30" s="3" t="s">
        <v>153</v>
      </c>
      <c r="N30" s="185"/>
      <c r="O30" s="186"/>
      <c r="P30" s="186"/>
      <c r="Q30" s="186"/>
      <c r="R30" s="186"/>
      <c r="S30" s="187"/>
      <c r="T30" s="2"/>
      <c r="U30" s="2"/>
      <c r="V30" s="203"/>
      <c r="W30" s="204"/>
      <c r="X30" s="205"/>
      <c r="Y30" s="3"/>
      <c r="Z30" s="3"/>
    </row>
    <row r="31" spans="1:26" ht="18" customHeight="1" x14ac:dyDescent="0.25">
      <c r="A31" s="1"/>
      <c r="B31" s="158" t="s">
        <v>172</v>
      </c>
      <c r="C31" s="159"/>
      <c r="D31" s="159"/>
      <c r="E31" s="159"/>
      <c r="F31" s="160"/>
      <c r="G31" s="2">
        <v>1</v>
      </c>
      <c r="H31" s="2" t="s">
        <v>153</v>
      </c>
      <c r="I31" s="203" t="s">
        <v>152</v>
      </c>
      <c r="J31" s="204"/>
      <c r="K31" s="205"/>
      <c r="L31" s="3" t="s">
        <v>153</v>
      </c>
      <c r="M31" s="3" t="s">
        <v>153</v>
      </c>
      <c r="N31" s="185"/>
      <c r="O31" s="186"/>
      <c r="P31" s="186"/>
      <c r="Q31" s="186"/>
      <c r="R31" s="186"/>
      <c r="S31" s="187"/>
      <c r="T31" s="2"/>
      <c r="U31" s="2"/>
      <c r="V31" s="203"/>
      <c r="W31" s="204"/>
      <c r="X31" s="205"/>
      <c r="Y31" s="3"/>
      <c r="Z31" s="3"/>
    </row>
    <row r="32" spans="1:26" ht="18" customHeight="1" x14ac:dyDescent="0.25">
      <c r="A32" s="1"/>
      <c r="B32" s="158" t="s">
        <v>173</v>
      </c>
      <c r="C32" s="159"/>
      <c r="D32" s="159"/>
      <c r="E32" s="159"/>
      <c r="F32" s="160"/>
      <c r="G32" s="2">
        <v>1</v>
      </c>
      <c r="H32" s="2" t="s">
        <v>153</v>
      </c>
      <c r="I32" s="203" t="s">
        <v>152</v>
      </c>
      <c r="J32" s="204"/>
      <c r="K32" s="205"/>
      <c r="L32" s="3" t="s">
        <v>153</v>
      </c>
      <c r="M32" s="3" t="s">
        <v>153</v>
      </c>
      <c r="N32" s="185"/>
      <c r="O32" s="186"/>
      <c r="P32" s="186"/>
      <c r="Q32" s="186"/>
      <c r="R32" s="186"/>
      <c r="S32" s="187"/>
      <c r="T32" s="2"/>
      <c r="U32" s="2"/>
      <c r="V32" s="203"/>
      <c r="W32" s="204"/>
      <c r="X32" s="205"/>
      <c r="Y32" s="3"/>
      <c r="Z32" s="3"/>
    </row>
    <row r="33" spans="1:26" ht="18" customHeight="1" x14ac:dyDescent="0.25">
      <c r="A33" s="1"/>
      <c r="B33" s="209"/>
      <c r="C33" s="210"/>
      <c r="D33" s="210"/>
      <c r="E33" s="210"/>
      <c r="F33" s="211"/>
      <c r="G33" s="35"/>
      <c r="H33" s="35"/>
      <c r="I33" s="197"/>
      <c r="J33" s="198"/>
      <c r="K33" s="199"/>
      <c r="L33" s="36"/>
      <c r="M33" s="36"/>
      <c r="N33" s="176"/>
      <c r="O33" s="177"/>
      <c r="P33" s="177"/>
      <c r="Q33" s="177"/>
      <c r="R33" s="177"/>
      <c r="S33" s="178"/>
      <c r="T33" s="35"/>
      <c r="U33" s="35"/>
      <c r="V33" s="197"/>
      <c r="W33" s="198"/>
      <c r="X33" s="199"/>
      <c r="Y33" s="36"/>
      <c r="Z33" s="36"/>
    </row>
    <row r="34" spans="1:26" ht="33.4" customHeight="1" x14ac:dyDescent="0.25">
      <c r="A34" s="19"/>
      <c r="B34" s="37"/>
      <c r="C34" s="37"/>
      <c r="D34" s="19"/>
      <c r="E34" s="19"/>
      <c r="F34" s="19"/>
      <c r="G34" s="19"/>
      <c r="H34" s="19"/>
      <c r="I34" s="19"/>
      <c r="J34" s="113"/>
      <c r="K34" s="19"/>
      <c r="L34" s="37"/>
      <c r="M34" s="37"/>
      <c r="N34" s="37"/>
      <c r="O34" s="37"/>
      <c r="P34" s="37"/>
      <c r="Q34" s="37"/>
      <c r="R34" s="37"/>
      <c r="S34" s="37"/>
      <c r="T34" s="37"/>
      <c r="U34" s="37"/>
      <c r="V34" s="37"/>
      <c r="W34" s="37"/>
      <c r="X34" s="37"/>
      <c r="Y34" s="37"/>
      <c r="Z34" s="19"/>
    </row>
    <row r="35" spans="1:26" ht="18" customHeight="1" x14ac:dyDescent="0.25">
      <c r="A35" s="212" t="s">
        <v>134</v>
      </c>
      <c r="B35" s="212"/>
      <c r="C35" s="212"/>
      <c r="D35" s="212"/>
      <c r="E35" s="212"/>
      <c r="F35" s="212"/>
      <c r="G35" s="212"/>
      <c r="H35" s="212"/>
      <c r="I35" s="212"/>
      <c r="J35" s="212"/>
      <c r="K35" s="212"/>
      <c r="L35" s="212"/>
      <c r="M35" s="212"/>
      <c r="N35" s="212"/>
      <c r="O35" s="212"/>
      <c r="P35" s="212"/>
      <c r="Q35" s="212"/>
      <c r="R35" s="212"/>
      <c r="S35" s="212"/>
      <c r="T35" s="212"/>
      <c r="U35" s="212"/>
      <c r="V35" s="212"/>
      <c r="W35" s="212"/>
      <c r="X35" s="212"/>
      <c r="Y35" s="212"/>
      <c r="Z35" s="212"/>
    </row>
    <row r="36" spans="1:26" ht="18" customHeight="1" x14ac:dyDescent="0.25">
      <c r="A36" s="212"/>
      <c r="B36" s="212"/>
      <c r="C36" s="212"/>
      <c r="D36" s="212"/>
      <c r="E36" s="212"/>
      <c r="F36" s="212"/>
      <c r="G36" s="212"/>
      <c r="H36" s="212"/>
      <c r="I36" s="212"/>
      <c r="J36" s="212"/>
      <c r="K36" s="212"/>
      <c r="L36" s="212"/>
      <c r="M36" s="212"/>
      <c r="N36" s="212"/>
      <c r="O36" s="212"/>
      <c r="P36" s="212"/>
      <c r="Q36" s="212"/>
      <c r="R36" s="212"/>
      <c r="S36" s="212"/>
      <c r="T36" s="212"/>
      <c r="U36" s="212"/>
      <c r="V36" s="212"/>
      <c r="W36" s="212"/>
      <c r="X36" s="212"/>
      <c r="Y36" s="212"/>
      <c r="Z36" s="212"/>
    </row>
    <row r="37" spans="1:26" ht="18" customHeight="1" x14ac:dyDescent="0.25">
      <c r="A37" s="1"/>
      <c r="B37" s="117" t="s">
        <v>104</v>
      </c>
      <c r="C37" s="118"/>
      <c r="D37" s="118"/>
      <c r="E37" s="118"/>
      <c r="F37" s="119"/>
      <c r="G37" s="11" t="s">
        <v>146</v>
      </c>
      <c r="H37" s="31" t="s">
        <v>145</v>
      </c>
      <c r="I37" s="117" t="s">
        <v>105</v>
      </c>
      <c r="J37" s="118"/>
      <c r="K37" s="119"/>
      <c r="L37" s="32" t="s">
        <v>135</v>
      </c>
      <c r="M37" s="32" t="s">
        <v>136</v>
      </c>
      <c r="N37" s="117" t="s">
        <v>104</v>
      </c>
      <c r="O37" s="118"/>
      <c r="P37" s="118"/>
      <c r="Q37" s="118"/>
      <c r="R37" s="118"/>
      <c r="S37" s="119"/>
      <c r="T37" s="11" t="s">
        <v>146</v>
      </c>
      <c r="U37" s="31" t="s">
        <v>145</v>
      </c>
      <c r="V37" s="117" t="s">
        <v>105</v>
      </c>
      <c r="W37" s="118"/>
      <c r="X37" s="119"/>
      <c r="Y37" s="32" t="s">
        <v>135</v>
      </c>
      <c r="Z37" s="32" t="s">
        <v>136</v>
      </c>
    </row>
    <row r="38" spans="1:26" ht="18" customHeight="1" x14ac:dyDescent="0.25">
      <c r="A38" s="19"/>
      <c r="B38" s="38" t="s">
        <v>168</v>
      </c>
      <c r="C38" s="39"/>
      <c r="D38" s="39"/>
      <c r="E38" s="39"/>
      <c r="F38" s="40"/>
      <c r="G38" s="33">
        <v>1</v>
      </c>
      <c r="H38" s="33" t="s">
        <v>153</v>
      </c>
      <c r="I38" s="206" t="s">
        <v>152</v>
      </c>
      <c r="J38" s="207"/>
      <c r="K38" s="208"/>
      <c r="L38" s="34" t="s">
        <v>153</v>
      </c>
      <c r="M38" s="34" t="s">
        <v>153</v>
      </c>
      <c r="N38" s="191"/>
      <c r="O38" s="192"/>
      <c r="P38" s="192"/>
      <c r="Q38" s="192"/>
      <c r="R38" s="192"/>
      <c r="S38" s="193"/>
      <c r="T38" s="33"/>
      <c r="U38" s="33"/>
      <c r="V38" s="206"/>
      <c r="W38" s="207"/>
      <c r="X38" s="208"/>
      <c r="Y38" s="34"/>
      <c r="Z38" s="34"/>
    </row>
    <row r="39" spans="1:26" ht="18" customHeight="1" x14ac:dyDescent="0.25">
      <c r="A39" s="19"/>
      <c r="B39" s="4" t="s">
        <v>169</v>
      </c>
      <c r="C39" s="5"/>
      <c r="D39" s="5"/>
      <c r="E39" s="5"/>
      <c r="F39" s="6"/>
      <c r="G39" s="2">
        <v>1</v>
      </c>
      <c r="H39" s="2" t="s">
        <v>153</v>
      </c>
      <c r="I39" s="203" t="s">
        <v>152</v>
      </c>
      <c r="J39" s="204"/>
      <c r="K39" s="205"/>
      <c r="L39" s="3" t="s">
        <v>153</v>
      </c>
      <c r="M39" s="3" t="s">
        <v>153</v>
      </c>
      <c r="N39" s="185"/>
      <c r="O39" s="186"/>
      <c r="P39" s="186"/>
      <c r="Q39" s="186"/>
      <c r="R39" s="186"/>
      <c r="S39" s="187"/>
      <c r="T39" s="2"/>
      <c r="U39" s="2"/>
      <c r="V39" s="203"/>
      <c r="W39" s="204"/>
      <c r="X39" s="205"/>
      <c r="Y39" s="3"/>
      <c r="Z39" s="3"/>
    </row>
    <row r="40" spans="1:26" ht="18" customHeight="1" x14ac:dyDescent="0.25">
      <c r="A40" s="19"/>
      <c r="B40" s="4" t="s">
        <v>170</v>
      </c>
      <c r="C40" s="5"/>
      <c r="D40" s="5"/>
      <c r="E40" s="5"/>
      <c r="F40" s="6"/>
      <c r="G40" s="2">
        <v>1</v>
      </c>
      <c r="H40" s="2" t="s">
        <v>153</v>
      </c>
      <c r="I40" s="203" t="s">
        <v>152</v>
      </c>
      <c r="J40" s="204"/>
      <c r="K40" s="205"/>
      <c r="L40" s="3" t="s">
        <v>153</v>
      </c>
      <c r="M40" s="3" t="s">
        <v>153</v>
      </c>
      <c r="N40" s="185"/>
      <c r="O40" s="186"/>
      <c r="P40" s="186"/>
      <c r="Q40" s="186"/>
      <c r="R40" s="186"/>
      <c r="S40" s="187"/>
      <c r="T40" s="2"/>
      <c r="U40" s="2"/>
      <c r="V40" s="203"/>
      <c r="W40" s="204"/>
      <c r="X40" s="205"/>
      <c r="Y40" s="3"/>
      <c r="Z40" s="3"/>
    </row>
    <row r="41" spans="1:26" ht="18" customHeight="1" x14ac:dyDescent="0.25">
      <c r="A41" s="19"/>
      <c r="B41" s="4" t="s">
        <v>171</v>
      </c>
      <c r="C41" s="5"/>
      <c r="D41" s="5"/>
      <c r="E41" s="5"/>
      <c r="F41" s="6"/>
      <c r="G41" s="2">
        <v>1</v>
      </c>
      <c r="H41" s="2" t="s">
        <v>153</v>
      </c>
      <c r="I41" s="203" t="s">
        <v>152</v>
      </c>
      <c r="J41" s="204"/>
      <c r="K41" s="205"/>
      <c r="L41" s="3" t="s">
        <v>153</v>
      </c>
      <c r="M41" s="3" t="s">
        <v>153</v>
      </c>
      <c r="N41" s="185"/>
      <c r="O41" s="186"/>
      <c r="P41" s="186"/>
      <c r="Q41" s="186"/>
      <c r="R41" s="186"/>
      <c r="S41" s="187"/>
      <c r="T41" s="2"/>
      <c r="U41" s="2"/>
      <c r="V41" s="203"/>
      <c r="W41" s="204"/>
      <c r="X41" s="205"/>
      <c r="Y41" s="3"/>
      <c r="Z41" s="3"/>
    </row>
    <row r="42" spans="1:26" ht="18" customHeight="1" x14ac:dyDescent="0.25">
      <c r="A42" s="19"/>
      <c r="B42" s="4" t="s">
        <v>172</v>
      </c>
      <c r="C42" s="5"/>
      <c r="D42" s="5"/>
      <c r="E42" s="5"/>
      <c r="F42" s="6"/>
      <c r="G42" s="2">
        <v>1</v>
      </c>
      <c r="H42" s="2" t="s">
        <v>153</v>
      </c>
      <c r="I42" s="203" t="s">
        <v>152</v>
      </c>
      <c r="J42" s="204"/>
      <c r="K42" s="205"/>
      <c r="L42" s="3" t="s">
        <v>153</v>
      </c>
      <c r="M42" s="3" t="s">
        <v>153</v>
      </c>
      <c r="N42" s="185"/>
      <c r="O42" s="186"/>
      <c r="P42" s="186"/>
      <c r="Q42" s="186"/>
      <c r="R42" s="186"/>
      <c r="S42" s="187"/>
      <c r="T42" s="2"/>
      <c r="U42" s="2"/>
      <c r="V42" s="203"/>
      <c r="W42" s="204"/>
      <c r="X42" s="205"/>
      <c r="Y42" s="3"/>
      <c r="Z42" s="3"/>
    </row>
    <row r="43" spans="1:26" ht="18" customHeight="1" x14ac:dyDescent="0.25">
      <c r="A43" s="19"/>
      <c r="B43" s="158"/>
      <c r="C43" s="159"/>
      <c r="D43" s="159"/>
      <c r="E43" s="159"/>
      <c r="F43" s="160"/>
      <c r="G43" s="2"/>
      <c r="H43" s="2"/>
      <c r="I43" s="203"/>
      <c r="J43" s="204"/>
      <c r="K43" s="205"/>
      <c r="L43" s="3"/>
      <c r="M43" s="3"/>
      <c r="N43" s="185"/>
      <c r="O43" s="186"/>
      <c r="P43" s="186"/>
      <c r="Q43" s="186"/>
      <c r="R43" s="186"/>
      <c r="S43" s="187"/>
      <c r="T43" s="2"/>
      <c r="U43" s="2"/>
      <c r="V43" s="203"/>
      <c r="W43" s="204"/>
      <c r="X43" s="205"/>
      <c r="Y43" s="3"/>
      <c r="Z43" s="3"/>
    </row>
    <row r="44" spans="1:26" ht="18" customHeight="1" x14ac:dyDescent="0.25">
      <c r="A44" s="19"/>
      <c r="B44" s="209"/>
      <c r="C44" s="210"/>
      <c r="D44" s="210"/>
      <c r="E44" s="210"/>
      <c r="F44" s="211"/>
      <c r="G44" s="35"/>
      <c r="H44" s="35"/>
      <c r="I44" s="197"/>
      <c r="J44" s="198"/>
      <c r="K44" s="199"/>
      <c r="L44" s="36"/>
      <c r="M44" s="36"/>
      <c r="N44" s="176"/>
      <c r="O44" s="177"/>
      <c r="P44" s="177"/>
      <c r="Q44" s="177"/>
      <c r="R44" s="177"/>
      <c r="S44" s="178"/>
      <c r="T44" s="35"/>
      <c r="U44" s="35"/>
      <c r="V44" s="197"/>
      <c r="W44" s="198"/>
      <c r="X44" s="199"/>
      <c r="Y44" s="36"/>
      <c r="Z44" s="36"/>
    </row>
    <row r="45" spans="1:26" ht="7.5" customHeight="1" x14ac:dyDescent="0.25">
      <c r="B45" s="41"/>
      <c r="C45" s="41"/>
      <c r="D45" s="41"/>
      <c r="E45" s="41"/>
      <c r="F45" s="41"/>
      <c r="G45" s="41"/>
      <c r="H45" s="41"/>
      <c r="I45" s="41"/>
      <c r="J45" s="41"/>
      <c r="K45" s="41"/>
      <c r="L45" s="41"/>
      <c r="M45" s="41"/>
      <c r="N45" s="41"/>
      <c r="O45" s="41"/>
      <c r="P45" s="41"/>
      <c r="Q45" s="41"/>
      <c r="R45" s="41"/>
      <c r="S45" s="41"/>
      <c r="T45" s="41"/>
      <c r="U45" s="41"/>
      <c r="V45" s="41"/>
      <c r="W45" s="41"/>
      <c r="X45" s="41"/>
      <c r="Y45" s="41"/>
    </row>
    <row r="46" spans="1:26" ht="18" customHeight="1" x14ac:dyDescent="0.25">
      <c r="A46" s="212" t="s">
        <v>137</v>
      </c>
      <c r="B46" s="212"/>
      <c r="C46" s="212"/>
      <c r="D46" s="212"/>
      <c r="E46" s="212"/>
      <c r="F46" s="212"/>
      <c r="G46" s="212"/>
      <c r="H46" s="212"/>
      <c r="I46" s="212"/>
      <c r="J46" s="212"/>
      <c r="K46" s="212"/>
      <c r="L46" s="212"/>
      <c r="M46" s="212"/>
      <c r="N46" s="212"/>
      <c r="O46" s="212"/>
      <c r="P46" s="212"/>
      <c r="Q46" s="212"/>
      <c r="R46" s="212"/>
      <c r="S46" s="212"/>
      <c r="T46" s="212"/>
      <c r="U46" s="212"/>
      <c r="V46" s="212"/>
      <c r="W46" s="212"/>
      <c r="X46" s="212"/>
      <c r="Y46" s="212"/>
      <c r="Z46" s="212"/>
    </row>
    <row r="47" spans="1:26" ht="18" customHeight="1" x14ac:dyDescent="0.25">
      <c r="A47" s="212"/>
      <c r="B47" s="212"/>
      <c r="C47" s="212"/>
      <c r="D47" s="212"/>
      <c r="E47" s="212"/>
      <c r="F47" s="212"/>
      <c r="G47" s="212"/>
      <c r="H47" s="212"/>
      <c r="I47" s="212"/>
      <c r="J47" s="212"/>
      <c r="K47" s="212"/>
      <c r="L47" s="212"/>
      <c r="M47" s="212"/>
      <c r="N47" s="212"/>
      <c r="O47" s="212"/>
      <c r="P47" s="212"/>
      <c r="Q47" s="212"/>
      <c r="R47" s="212"/>
      <c r="S47" s="212"/>
      <c r="T47" s="212"/>
      <c r="U47" s="212"/>
      <c r="V47" s="212"/>
      <c r="W47" s="212"/>
      <c r="X47" s="212"/>
      <c r="Y47" s="212"/>
      <c r="Z47" s="212"/>
    </row>
    <row r="48" spans="1:26" ht="18" customHeight="1" x14ac:dyDescent="0.25">
      <c r="A48" s="1"/>
      <c r="B48" s="117" t="s">
        <v>104</v>
      </c>
      <c r="C48" s="118"/>
      <c r="D48" s="118"/>
      <c r="E48" s="118"/>
      <c r="F48" s="119"/>
      <c r="G48" s="11" t="s">
        <v>146</v>
      </c>
      <c r="H48" s="31" t="s">
        <v>145</v>
      </c>
      <c r="I48" s="117" t="s">
        <v>105</v>
      </c>
      <c r="J48" s="118"/>
      <c r="K48" s="119"/>
      <c r="L48" s="32" t="s">
        <v>110</v>
      </c>
      <c r="M48" s="32" t="s">
        <v>112</v>
      </c>
      <c r="N48" s="117" t="s">
        <v>104</v>
      </c>
      <c r="O48" s="118"/>
      <c r="P48" s="118"/>
      <c r="Q48" s="118"/>
      <c r="R48" s="118"/>
      <c r="S48" s="119"/>
      <c r="T48" s="11" t="s">
        <v>146</v>
      </c>
      <c r="U48" s="31" t="s">
        <v>145</v>
      </c>
      <c r="V48" s="117" t="s">
        <v>105</v>
      </c>
      <c r="W48" s="118"/>
      <c r="X48" s="119"/>
      <c r="Y48" s="32" t="s">
        <v>110</v>
      </c>
      <c r="Z48" s="32" t="s">
        <v>112</v>
      </c>
    </row>
    <row r="49" spans="1:26" ht="18" customHeight="1" x14ac:dyDescent="0.25">
      <c r="A49" s="19"/>
      <c r="B49" s="38" t="s">
        <v>168</v>
      </c>
      <c r="C49" s="39"/>
      <c r="D49" s="39"/>
      <c r="E49" s="39"/>
      <c r="F49" s="40"/>
      <c r="G49" s="33">
        <v>1</v>
      </c>
      <c r="H49" s="33" t="s">
        <v>153</v>
      </c>
      <c r="I49" s="206" t="s">
        <v>152</v>
      </c>
      <c r="J49" s="207"/>
      <c r="K49" s="208"/>
      <c r="L49" s="34" t="s">
        <v>153</v>
      </c>
      <c r="M49" s="34" t="s">
        <v>153</v>
      </c>
      <c r="N49" s="191"/>
      <c r="O49" s="192"/>
      <c r="P49" s="192"/>
      <c r="Q49" s="192"/>
      <c r="R49" s="192"/>
      <c r="S49" s="193"/>
      <c r="T49" s="33"/>
      <c r="U49" s="33"/>
      <c r="V49" s="206"/>
      <c r="W49" s="207"/>
      <c r="X49" s="208"/>
      <c r="Y49" s="34"/>
      <c r="Z49" s="34"/>
    </row>
    <row r="50" spans="1:26" ht="18" customHeight="1" x14ac:dyDescent="0.25">
      <c r="A50" s="19"/>
      <c r="B50" s="4" t="s">
        <v>169</v>
      </c>
      <c r="C50" s="5"/>
      <c r="D50" s="5"/>
      <c r="E50" s="5"/>
      <c r="F50" s="6"/>
      <c r="G50" s="2">
        <v>1</v>
      </c>
      <c r="H50" s="2" t="s">
        <v>153</v>
      </c>
      <c r="I50" s="203" t="s">
        <v>152</v>
      </c>
      <c r="J50" s="204"/>
      <c r="K50" s="205"/>
      <c r="L50" s="3" t="s">
        <v>153</v>
      </c>
      <c r="M50" s="3" t="s">
        <v>153</v>
      </c>
      <c r="N50" s="185"/>
      <c r="O50" s="186"/>
      <c r="P50" s="186"/>
      <c r="Q50" s="186"/>
      <c r="R50" s="186"/>
      <c r="S50" s="187"/>
      <c r="T50" s="2"/>
      <c r="U50" s="2"/>
      <c r="V50" s="203"/>
      <c r="W50" s="204"/>
      <c r="X50" s="205"/>
      <c r="Y50" s="3"/>
      <c r="Z50" s="3"/>
    </row>
    <row r="51" spans="1:26" ht="18" customHeight="1" x14ac:dyDescent="0.25">
      <c r="A51" s="19"/>
      <c r="B51" s="4" t="s">
        <v>170</v>
      </c>
      <c r="C51" s="5"/>
      <c r="D51" s="5"/>
      <c r="E51" s="5"/>
      <c r="F51" s="6"/>
      <c r="G51" s="2">
        <v>1</v>
      </c>
      <c r="H51" s="2" t="s">
        <v>153</v>
      </c>
      <c r="I51" s="203" t="s">
        <v>152</v>
      </c>
      <c r="J51" s="204"/>
      <c r="K51" s="205"/>
      <c r="L51" s="3" t="s">
        <v>153</v>
      </c>
      <c r="M51" s="3" t="s">
        <v>153</v>
      </c>
      <c r="N51" s="185"/>
      <c r="O51" s="186"/>
      <c r="P51" s="186"/>
      <c r="Q51" s="186"/>
      <c r="R51" s="186"/>
      <c r="S51" s="187"/>
      <c r="T51" s="2"/>
      <c r="U51" s="2"/>
      <c r="V51" s="203"/>
      <c r="W51" s="204"/>
      <c r="X51" s="205"/>
      <c r="Y51" s="3"/>
      <c r="Z51" s="3"/>
    </row>
    <row r="52" spans="1:26" ht="18" customHeight="1" x14ac:dyDescent="0.25">
      <c r="A52" s="19"/>
      <c r="B52" s="4" t="s">
        <v>171</v>
      </c>
      <c r="C52" s="5"/>
      <c r="D52" s="5"/>
      <c r="E52" s="5"/>
      <c r="F52" s="6"/>
      <c r="G52" s="2">
        <v>1</v>
      </c>
      <c r="H52" s="2" t="s">
        <v>153</v>
      </c>
      <c r="I52" s="203" t="s">
        <v>152</v>
      </c>
      <c r="J52" s="204"/>
      <c r="K52" s="205"/>
      <c r="L52" s="3" t="s">
        <v>153</v>
      </c>
      <c r="M52" s="3" t="s">
        <v>153</v>
      </c>
      <c r="N52" s="185"/>
      <c r="O52" s="186"/>
      <c r="P52" s="186"/>
      <c r="Q52" s="186"/>
      <c r="R52" s="186"/>
      <c r="S52" s="187"/>
      <c r="T52" s="2"/>
      <c r="U52" s="2"/>
      <c r="V52" s="203"/>
      <c r="W52" s="204"/>
      <c r="X52" s="205"/>
      <c r="Y52" s="3"/>
      <c r="Z52" s="3"/>
    </row>
    <row r="53" spans="1:26" ht="18" customHeight="1" x14ac:dyDescent="0.25">
      <c r="A53" s="19"/>
      <c r="B53" s="4" t="s">
        <v>172</v>
      </c>
      <c r="C53" s="5"/>
      <c r="D53" s="5"/>
      <c r="E53" s="5"/>
      <c r="F53" s="6"/>
      <c r="G53" s="2">
        <v>1</v>
      </c>
      <c r="H53" s="2" t="s">
        <v>153</v>
      </c>
      <c r="I53" s="203" t="s">
        <v>152</v>
      </c>
      <c r="J53" s="204"/>
      <c r="K53" s="205"/>
      <c r="L53" s="3" t="s">
        <v>153</v>
      </c>
      <c r="M53" s="3" t="s">
        <v>153</v>
      </c>
      <c r="N53" s="185"/>
      <c r="O53" s="186"/>
      <c r="P53" s="186"/>
      <c r="Q53" s="186"/>
      <c r="R53" s="186"/>
      <c r="S53" s="187"/>
      <c r="T53" s="2"/>
      <c r="U53" s="2"/>
      <c r="V53" s="203"/>
      <c r="W53" s="204"/>
      <c r="X53" s="205"/>
      <c r="Y53" s="3"/>
      <c r="Z53" s="3"/>
    </row>
    <row r="54" spans="1:26" ht="18" customHeight="1" x14ac:dyDescent="0.25">
      <c r="A54" s="19"/>
      <c r="B54" s="158"/>
      <c r="C54" s="159"/>
      <c r="D54" s="159"/>
      <c r="E54" s="159"/>
      <c r="F54" s="160"/>
      <c r="G54" s="2"/>
      <c r="H54" s="2"/>
      <c r="I54" s="203"/>
      <c r="J54" s="204"/>
      <c r="K54" s="205"/>
      <c r="L54" s="3"/>
      <c r="M54" s="3"/>
      <c r="N54" s="185"/>
      <c r="O54" s="186"/>
      <c r="P54" s="186"/>
      <c r="Q54" s="186"/>
      <c r="R54" s="186"/>
      <c r="S54" s="187"/>
      <c r="T54" s="2"/>
      <c r="U54" s="2"/>
      <c r="V54" s="203"/>
      <c r="W54" s="204"/>
      <c r="X54" s="205"/>
      <c r="Y54" s="3"/>
      <c r="Z54" s="3"/>
    </row>
    <row r="55" spans="1:26" ht="18" customHeight="1" x14ac:dyDescent="0.25">
      <c r="A55" s="19"/>
      <c r="B55" s="209"/>
      <c r="C55" s="210"/>
      <c r="D55" s="210"/>
      <c r="E55" s="210"/>
      <c r="F55" s="211"/>
      <c r="G55" s="35"/>
      <c r="H55" s="35"/>
      <c r="I55" s="197"/>
      <c r="J55" s="198"/>
      <c r="K55" s="199"/>
      <c r="L55" s="36"/>
      <c r="M55" s="36"/>
      <c r="N55" s="176"/>
      <c r="O55" s="177"/>
      <c r="P55" s="177"/>
      <c r="Q55" s="177"/>
      <c r="R55" s="177"/>
      <c r="S55" s="178"/>
      <c r="T55" s="35"/>
      <c r="U55" s="35"/>
      <c r="V55" s="197"/>
      <c r="W55" s="198"/>
      <c r="X55" s="199"/>
      <c r="Y55" s="36"/>
      <c r="Z55" s="36"/>
    </row>
    <row r="56" spans="1:26" ht="7.5" customHeight="1" x14ac:dyDescent="0.25">
      <c r="B56" s="41"/>
      <c r="C56" s="41"/>
      <c r="D56" s="41"/>
      <c r="E56" s="41"/>
      <c r="F56" s="41"/>
      <c r="G56" s="41"/>
      <c r="H56" s="41"/>
      <c r="I56" s="41"/>
      <c r="J56" s="41"/>
      <c r="K56" s="41"/>
      <c r="L56" s="41"/>
      <c r="M56" s="41"/>
      <c r="N56" s="41"/>
      <c r="O56" s="41"/>
      <c r="P56" s="41"/>
      <c r="Q56" s="41"/>
      <c r="R56" s="41"/>
      <c r="S56" s="41"/>
      <c r="T56" s="41"/>
      <c r="U56" s="41"/>
      <c r="V56" s="41"/>
      <c r="W56" s="41"/>
      <c r="X56" s="41"/>
      <c r="Y56" s="41"/>
    </row>
    <row r="57" spans="1:26" ht="18" customHeight="1" x14ac:dyDescent="0.25">
      <c r="A57" s="212" t="s">
        <v>138</v>
      </c>
      <c r="B57" s="212"/>
      <c r="C57" s="212"/>
      <c r="D57" s="212"/>
      <c r="E57" s="212"/>
      <c r="F57" s="212"/>
      <c r="G57" s="212"/>
      <c r="H57" s="212"/>
      <c r="I57" s="212"/>
      <c r="J57" s="212"/>
      <c r="K57" s="212"/>
      <c r="L57" s="212"/>
      <c r="M57" s="212"/>
      <c r="N57" s="212"/>
      <c r="O57" s="212"/>
      <c r="P57" s="212"/>
      <c r="Q57" s="212"/>
      <c r="R57" s="212"/>
      <c r="S57" s="212"/>
      <c r="T57" s="212"/>
      <c r="U57" s="212"/>
      <c r="V57" s="212"/>
      <c r="W57" s="212"/>
      <c r="X57" s="212"/>
      <c r="Y57" s="212"/>
      <c r="Z57" s="212"/>
    </row>
    <row r="58" spans="1:26" ht="18" customHeight="1" x14ac:dyDescent="0.25">
      <c r="A58" s="212"/>
      <c r="B58" s="212"/>
      <c r="C58" s="212"/>
      <c r="D58" s="212"/>
      <c r="E58" s="212"/>
      <c r="F58" s="212"/>
      <c r="G58" s="212"/>
      <c r="H58" s="212"/>
      <c r="I58" s="212"/>
      <c r="J58" s="212"/>
      <c r="K58" s="212"/>
      <c r="L58" s="212"/>
      <c r="M58" s="212"/>
      <c r="N58" s="212"/>
      <c r="O58" s="212"/>
      <c r="P58" s="212"/>
      <c r="Q58" s="212"/>
      <c r="R58" s="212"/>
      <c r="S58" s="212"/>
      <c r="T58" s="212"/>
      <c r="U58" s="212"/>
      <c r="V58" s="212"/>
      <c r="W58" s="212"/>
      <c r="X58" s="212"/>
      <c r="Y58" s="212"/>
      <c r="Z58" s="212"/>
    </row>
    <row r="59" spans="1:26" ht="18" customHeight="1" x14ac:dyDescent="0.25">
      <c r="A59" s="1"/>
      <c r="B59" s="117" t="s">
        <v>104</v>
      </c>
      <c r="C59" s="118"/>
      <c r="D59" s="118"/>
      <c r="E59" s="119"/>
      <c r="F59" s="11" t="s">
        <v>146</v>
      </c>
      <c r="G59" s="31" t="s">
        <v>145</v>
      </c>
      <c r="H59" s="42" t="s">
        <v>105</v>
      </c>
      <c r="I59" s="43"/>
      <c r="J59" s="44"/>
      <c r="K59" s="32" t="s">
        <v>109</v>
      </c>
      <c r="L59" s="32" t="s">
        <v>139</v>
      </c>
      <c r="M59" s="32" t="s">
        <v>140</v>
      </c>
      <c r="N59" s="117" t="s">
        <v>104</v>
      </c>
      <c r="O59" s="118"/>
      <c r="P59" s="118"/>
      <c r="Q59" s="118"/>
      <c r="R59" s="119"/>
      <c r="S59" s="11" t="s">
        <v>146</v>
      </c>
      <c r="T59" s="31" t="s">
        <v>145</v>
      </c>
      <c r="U59" s="42" t="s">
        <v>105</v>
      </c>
      <c r="V59" s="43"/>
      <c r="W59" s="44"/>
      <c r="X59" s="32" t="s">
        <v>109</v>
      </c>
      <c r="Y59" s="32" t="s">
        <v>139</v>
      </c>
      <c r="Z59" s="32" t="s">
        <v>140</v>
      </c>
    </row>
    <row r="60" spans="1:26" ht="18" customHeight="1" x14ac:dyDescent="0.25">
      <c r="A60" s="19"/>
      <c r="B60" s="191" t="s">
        <v>168</v>
      </c>
      <c r="C60" s="192"/>
      <c r="D60" s="192"/>
      <c r="E60" s="193"/>
      <c r="F60" s="33">
        <v>1</v>
      </c>
      <c r="G60" s="33" t="s">
        <v>153</v>
      </c>
      <c r="H60" s="206" t="s">
        <v>152</v>
      </c>
      <c r="I60" s="207"/>
      <c r="J60" s="208"/>
      <c r="K60" s="34" t="s">
        <v>153</v>
      </c>
      <c r="L60" s="34"/>
      <c r="M60" s="34" t="s">
        <v>153</v>
      </c>
      <c r="N60" s="191"/>
      <c r="O60" s="192"/>
      <c r="P60" s="192"/>
      <c r="Q60" s="192"/>
      <c r="R60" s="193"/>
      <c r="S60" s="33"/>
      <c r="T60" s="33"/>
      <c r="U60" s="206"/>
      <c r="V60" s="207"/>
      <c r="W60" s="208"/>
      <c r="X60" s="45"/>
      <c r="Y60" s="34"/>
      <c r="Z60" s="34"/>
    </row>
    <row r="61" spans="1:26" ht="18" customHeight="1" x14ac:dyDescent="0.25">
      <c r="A61" s="19"/>
      <c r="B61" s="185" t="s">
        <v>169</v>
      </c>
      <c r="C61" s="186"/>
      <c r="D61" s="186"/>
      <c r="E61" s="187"/>
      <c r="F61" s="2">
        <v>1</v>
      </c>
      <c r="G61" s="2" t="s">
        <v>153</v>
      </c>
      <c r="H61" s="203" t="s">
        <v>152</v>
      </c>
      <c r="I61" s="204"/>
      <c r="J61" s="205"/>
      <c r="K61" s="3" t="s">
        <v>153</v>
      </c>
      <c r="L61" s="3" t="s">
        <v>153</v>
      </c>
      <c r="M61" s="3" t="s">
        <v>153</v>
      </c>
      <c r="N61" s="185"/>
      <c r="O61" s="186"/>
      <c r="P61" s="186"/>
      <c r="Q61" s="186"/>
      <c r="R61" s="187"/>
      <c r="S61" s="2"/>
      <c r="T61" s="2"/>
      <c r="U61" s="203"/>
      <c r="V61" s="204"/>
      <c r="W61" s="205"/>
      <c r="X61" s="46"/>
      <c r="Y61" s="3"/>
      <c r="Z61" s="3"/>
    </row>
    <row r="62" spans="1:26" ht="18" customHeight="1" x14ac:dyDescent="0.25">
      <c r="A62" s="19"/>
      <c r="B62" s="185" t="s">
        <v>170</v>
      </c>
      <c r="C62" s="186"/>
      <c r="D62" s="186"/>
      <c r="E62" s="187"/>
      <c r="F62" s="2">
        <v>1</v>
      </c>
      <c r="G62" s="2" t="s">
        <v>153</v>
      </c>
      <c r="H62" s="203" t="s">
        <v>152</v>
      </c>
      <c r="I62" s="204"/>
      <c r="J62" s="205"/>
      <c r="K62" s="3" t="s">
        <v>153</v>
      </c>
      <c r="L62" s="3" t="s">
        <v>153</v>
      </c>
      <c r="M62" s="3" t="s">
        <v>153</v>
      </c>
      <c r="N62" s="185"/>
      <c r="O62" s="186"/>
      <c r="P62" s="186"/>
      <c r="Q62" s="186"/>
      <c r="R62" s="187"/>
      <c r="S62" s="2"/>
      <c r="T62" s="2"/>
      <c r="U62" s="203"/>
      <c r="V62" s="204"/>
      <c r="W62" s="205"/>
      <c r="X62" s="46"/>
      <c r="Y62" s="3"/>
      <c r="Z62" s="3"/>
    </row>
    <row r="63" spans="1:26" ht="18" customHeight="1" x14ac:dyDescent="0.25">
      <c r="A63" s="19"/>
      <c r="B63" s="185" t="s">
        <v>171</v>
      </c>
      <c r="C63" s="186"/>
      <c r="D63" s="186"/>
      <c r="E63" s="187"/>
      <c r="F63" s="2">
        <v>1</v>
      </c>
      <c r="G63" s="2" t="s">
        <v>153</v>
      </c>
      <c r="H63" s="203" t="s">
        <v>152</v>
      </c>
      <c r="I63" s="204"/>
      <c r="J63" s="205"/>
      <c r="K63" s="3" t="s">
        <v>153</v>
      </c>
      <c r="L63" s="3" t="s">
        <v>153</v>
      </c>
      <c r="M63" s="3" t="s">
        <v>153</v>
      </c>
      <c r="N63" s="185"/>
      <c r="O63" s="186"/>
      <c r="P63" s="186"/>
      <c r="Q63" s="186"/>
      <c r="R63" s="187"/>
      <c r="S63" s="2"/>
      <c r="T63" s="2"/>
      <c r="U63" s="203"/>
      <c r="V63" s="204"/>
      <c r="W63" s="205"/>
      <c r="X63" s="46"/>
      <c r="Y63" s="3"/>
      <c r="Z63" s="3"/>
    </row>
    <row r="64" spans="1:26" ht="18" customHeight="1" x14ac:dyDescent="0.25">
      <c r="A64" s="19"/>
      <c r="B64" s="185" t="s">
        <v>172</v>
      </c>
      <c r="C64" s="186"/>
      <c r="D64" s="186"/>
      <c r="E64" s="187"/>
      <c r="F64" s="2">
        <v>1</v>
      </c>
      <c r="G64" s="2" t="s">
        <v>153</v>
      </c>
      <c r="H64" s="203" t="s">
        <v>152</v>
      </c>
      <c r="I64" s="204"/>
      <c r="J64" s="205"/>
      <c r="K64" s="3" t="s">
        <v>153</v>
      </c>
      <c r="L64" s="3" t="s">
        <v>153</v>
      </c>
      <c r="M64" s="3" t="s">
        <v>153</v>
      </c>
      <c r="N64" s="185"/>
      <c r="O64" s="186"/>
      <c r="P64" s="186"/>
      <c r="Q64" s="186"/>
      <c r="R64" s="187"/>
      <c r="S64" s="2"/>
      <c r="T64" s="2"/>
      <c r="U64" s="203"/>
      <c r="V64" s="204"/>
      <c r="W64" s="205"/>
      <c r="X64" s="46"/>
      <c r="Y64" s="3"/>
      <c r="Z64" s="3"/>
    </row>
    <row r="65" spans="1:26" ht="18" customHeight="1" x14ac:dyDescent="0.25">
      <c r="A65" s="19"/>
      <c r="B65" s="185" t="s">
        <v>173</v>
      </c>
      <c r="C65" s="186"/>
      <c r="D65" s="186"/>
      <c r="E65" s="187"/>
      <c r="F65" s="2">
        <v>1</v>
      </c>
      <c r="G65" s="2" t="s">
        <v>153</v>
      </c>
      <c r="H65" s="203" t="s">
        <v>152</v>
      </c>
      <c r="I65" s="204"/>
      <c r="J65" s="205"/>
      <c r="K65" s="3" t="s">
        <v>153</v>
      </c>
      <c r="L65" s="3" t="s">
        <v>153</v>
      </c>
      <c r="M65" s="3" t="s">
        <v>153</v>
      </c>
      <c r="N65" s="185"/>
      <c r="O65" s="186"/>
      <c r="P65" s="186"/>
      <c r="Q65" s="186"/>
      <c r="R65" s="187"/>
      <c r="S65" s="2"/>
      <c r="T65" s="2"/>
      <c r="U65" s="203"/>
      <c r="V65" s="204"/>
      <c r="W65" s="205"/>
      <c r="X65" s="46"/>
      <c r="Y65" s="3"/>
      <c r="Z65" s="3"/>
    </row>
    <row r="66" spans="1:26" ht="18" customHeight="1" x14ac:dyDescent="0.25">
      <c r="A66" s="19"/>
      <c r="B66" s="176"/>
      <c r="C66" s="177"/>
      <c r="D66" s="177"/>
      <c r="E66" s="178"/>
      <c r="F66" s="35"/>
      <c r="G66" s="35"/>
      <c r="H66" s="197"/>
      <c r="I66" s="198"/>
      <c r="J66" s="199"/>
      <c r="K66" s="47"/>
      <c r="L66" s="36"/>
      <c r="M66" s="36"/>
      <c r="N66" s="176"/>
      <c r="O66" s="177"/>
      <c r="P66" s="177"/>
      <c r="Q66" s="177"/>
      <c r="R66" s="178"/>
      <c r="S66" s="35"/>
      <c r="T66" s="35"/>
      <c r="U66" s="197"/>
      <c r="V66" s="198"/>
      <c r="W66" s="199"/>
      <c r="X66" s="47"/>
      <c r="Y66" s="36"/>
      <c r="Z66" s="36"/>
    </row>
    <row r="67" spans="1:26" ht="7.5" customHeight="1" x14ac:dyDescent="0.25">
      <c r="B67" s="41"/>
      <c r="C67" s="41"/>
      <c r="D67" s="41"/>
      <c r="E67" s="41"/>
      <c r="F67" s="41"/>
      <c r="G67" s="41"/>
      <c r="H67" s="41"/>
      <c r="I67" s="41"/>
      <c r="J67" s="41"/>
      <c r="K67" s="41"/>
      <c r="L67" s="41"/>
      <c r="M67" s="41"/>
      <c r="N67" s="41"/>
      <c r="O67" s="41"/>
      <c r="P67" s="41"/>
      <c r="Q67" s="41"/>
      <c r="R67" s="41"/>
      <c r="S67" s="41"/>
      <c r="T67" s="41"/>
      <c r="U67" s="41"/>
      <c r="V67" s="41"/>
      <c r="W67" s="41"/>
      <c r="X67" s="41"/>
      <c r="Y67" s="41"/>
    </row>
    <row r="68" spans="1:26" ht="18" customHeight="1" x14ac:dyDescent="0.25">
      <c r="A68" s="1" t="s">
        <v>141</v>
      </c>
      <c r="B68" s="1"/>
      <c r="C68" s="1"/>
      <c r="D68" s="1"/>
      <c r="E68" s="1"/>
      <c r="F68" s="1"/>
      <c r="G68" s="1"/>
      <c r="H68" s="1"/>
      <c r="I68" s="1"/>
      <c r="J68" s="1"/>
      <c r="K68" s="1"/>
      <c r="L68" s="19"/>
      <c r="M68" s="19"/>
      <c r="N68" s="19"/>
      <c r="O68" s="19"/>
      <c r="P68" s="19"/>
      <c r="Q68" s="19"/>
      <c r="R68" s="19"/>
      <c r="S68" s="19"/>
      <c r="T68" s="19"/>
      <c r="U68" s="19"/>
      <c r="V68" s="19"/>
      <c r="W68" s="19"/>
      <c r="X68" s="19"/>
      <c r="Y68" s="19"/>
      <c r="Z68" s="19"/>
    </row>
    <row r="69" spans="1:26" ht="18" customHeight="1" x14ac:dyDescent="0.25">
      <c r="A69" s="1"/>
      <c r="B69" s="117" t="s">
        <v>104</v>
      </c>
      <c r="C69" s="118"/>
      <c r="D69" s="118"/>
      <c r="E69" s="118"/>
      <c r="F69" s="119"/>
      <c r="G69" s="117" t="s">
        <v>113</v>
      </c>
      <c r="H69" s="118"/>
      <c r="I69" s="118"/>
      <c r="J69" s="118"/>
      <c r="K69" s="118"/>
      <c r="L69" s="118"/>
      <c r="M69" s="119"/>
      <c r="N69" s="200" t="s">
        <v>104</v>
      </c>
      <c r="O69" s="201"/>
      <c r="P69" s="201"/>
      <c r="Q69" s="201"/>
      <c r="R69" s="201"/>
      <c r="S69" s="202"/>
      <c r="T69" s="117" t="s">
        <v>113</v>
      </c>
      <c r="U69" s="118"/>
      <c r="V69" s="118"/>
      <c r="W69" s="118"/>
      <c r="X69" s="118"/>
      <c r="Y69" s="118"/>
      <c r="Z69" s="119"/>
    </row>
    <row r="70" spans="1:26" ht="18" customHeight="1" x14ac:dyDescent="0.25">
      <c r="A70" s="19"/>
      <c r="B70" s="191" t="s">
        <v>174</v>
      </c>
      <c r="C70" s="192"/>
      <c r="D70" s="192"/>
      <c r="E70" s="192"/>
      <c r="F70" s="193"/>
      <c r="G70" s="194" t="s">
        <v>151</v>
      </c>
      <c r="H70" s="195"/>
      <c r="I70" s="195"/>
      <c r="J70" s="195"/>
      <c r="K70" s="195"/>
      <c r="L70" s="195"/>
      <c r="M70" s="196"/>
      <c r="N70" s="191"/>
      <c r="O70" s="192"/>
      <c r="P70" s="192"/>
      <c r="Q70" s="192"/>
      <c r="R70" s="192"/>
      <c r="S70" s="193"/>
      <c r="T70" s="194"/>
      <c r="U70" s="195"/>
      <c r="V70" s="195"/>
      <c r="W70" s="195"/>
      <c r="X70" s="195"/>
      <c r="Y70" s="195"/>
      <c r="Z70" s="196"/>
    </row>
    <row r="71" spans="1:26" ht="18" customHeight="1" x14ac:dyDescent="0.25">
      <c r="A71" s="19"/>
      <c r="B71" s="185" t="s">
        <v>176</v>
      </c>
      <c r="C71" s="186"/>
      <c r="D71" s="186"/>
      <c r="E71" s="186"/>
      <c r="F71" s="187"/>
      <c r="G71" s="188" t="s">
        <v>175</v>
      </c>
      <c r="H71" s="189"/>
      <c r="I71" s="189"/>
      <c r="J71" s="189"/>
      <c r="K71" s="189"/>
      <c r="L71" s="189"/>
      <c r="M71" s="190"/>
      <c r="N71" s="185"/>
      <c r="O71" s="186"/>
      <c r="P71" s="186"/>
      <c r="Q71" s="186"/>
      <c r="R71" s="186"/>
      <c r="S71" s="187"/>
      <c r="T71" s="188"/>
      <c r="U71" s="189"/>
      <c r="V71" s="189"/>
      <c r="W71" s="189"/>
      <c r="X71" s="189"/>
      <c r="Y71" s="189"/>
      <c r="Z71" s="190"/>
    </row>
    <row r="72" spans="1:26" ht="18" customHeight="1" x14ac:dyDescent="0.25">
      <c r="A72" s="19"/>
      <c r="B72" s="185" t="s">
        <v>174</v>
      </c>
      <c r="C72" s="186"/>
      <c r="D72" s="186"/>
      <c r="E72" s="186"/>
      <c r="F72" s="187"/>
      <c r="G72" s="188" t="s">
        <v>177</v>
      </c>
      <c r="H72" s="189"/>
      <c r="I72" s="189"/>
      <c r="J72" s="189"/>
      <c r="K72" s="189"/>
      <c r="L72" s="189"/>
      <c r="M72" s="190"/>
      <c r="N72" s="185"/>
      <c r="O72" s="186"/>
      <c r="P72" s="186"/>
      <c r="Q72" s="186"/>
      <c r="R72" s="186"/>
      <c r="S72" s="187"/>
      <c r="T72" s="188"/>
      <c r="U72" s="189"/>
      <c r="V72" s="189"/>
      <c r="W72" s="189"/>
      <c r="X72" s="189"/>
      <c r="Y72" s="189"/>
      <c r="Z72" s="190"/>
    </row>
    <row r="73" spans="1:26" ht="18" customHeight="1" x14ac:dyDescent="0.25">
      <c r="A73" s="19"/>
      <c r="B73" s="185" t="s">
        <v>179</v>
      </c>
      <c r="C73" s="186"/>
      <c r="D73" s="186"/>
      <c r="E73" s="186"/>
      <c r="F73" s="187"/>
      <c r="G73" s="188" t="s">
        <v>178</v>
      </c>
      <c r="H73" s="189"/>
      <c r="I73" s="189"/>
      <c r="J73" s="189"/>
      <c r="K73" s="189"/>
      <c r="L73" s="189"/>
      <c r="M73" s="190"/>
      <c r="N73" s="185"/>
      <c r="O73" s="186"/>
      <c r="P73" s="186"/>
      <c r="Q73" s="186"/>
      <c r="R73" s="186"/>
      <c r="S73" s="187"/>
      <c r="T73" s="188"/>
      <c r="U73" s="189"/>
      <c r="V73" s="189"/>
      <c r="W73" s="189"/>
      <c r="X73" s="189"/>
      <c r="Y73" s="189"/>
      <c r="Z73" s="190"/>
    </row>
    <row r="74" spans="1:26" ht="18" customHeight="1" x14ac:dyDescent="0.25">
      <c r="A74" s="19"/>
      <c r="B74" s="185"/>
      <c r="C74" s="186"/>
      <c r="D74" s="186"/>
      <c r="E74" s="186"/>
      <c r="F74" s="187"/>
      <c r="G74" s="188"/>
      <c r="H74" s="189"/>
      <c r="I74" s="189"/>
      <c r="J74" s="189"/>
      <c r="K74" s="189"/>
      <c r="L74" s="189"/>
      <c r="M74" s="190"/>
      <c r="N74" s="185"/>
      <c r="O74" s="186"/>
      <c r="P74" s="186"/>
      <c r="Q74" s="186"/>
      <c r="R74" s="186"/>
      <c r="S74" s="187"/>
      <c r="T74" s="188"/>
      <c r="U74" s="189"/>
      <c r="V74" s="189"/>
      <c r="W74" s="189"/>
      <c r="X74" s="189"/>
      <c r="Y74" s="189"/>
      <c r="Z74" s="190"/>
    </row>
    <row r="75" spans="1:26" ht="18" customHeight="1" x14ac:dyDescent="0.25">
      <c r="A75" s="19"/>
      <c r="B75" s="185"/>
      <c r="C75" s="186"/>
      <c r="D75" s="186"/>
      <c r="E75" s="186"/>
      <c r="F75" s="187"/>
      <c r="G75" s="188"/>
      <c r="H75" s="189"/>
      <c r="I75" s="189"/>
      <c r="J75" s="189"/>
      <c r="K75" s="189"/>
      <c r="L75" s="189"/>
      <c r="M75" s="190"/>
      <c r="N75" s="185"/>
      <c r="O75" s="186"/>
      <c r="P75" s="186"/>
      <c r="Q75" s="186"/>
      <c r="R75" s="186"/>
      <c r="S75" s="187"/>
      <c r="T75" s="188"/>
      <c r="U75" s="189"/>
      <c r="V75" s="189"/>
      <c r="W75" s="189"/>
      <c r="X75" s="189"/>
      <c r="Y75" s="189"/>
      <c r="Z75" s="190"/>
    </row>
    <row r="76" spans="1:26" ht="18" customHeight="1" x14ac:dyDescent="0.25">
      <c r="A76" s="19"/>
      <c r="B76" s="176"/>
      <c r="C76" s="177"/>
      <c r="D76" s="177"/>
      <c r="E76" s="177"/>
      <c r="F76" s="178"/>
      <c r="G76" s="179"/>
      <c r="H76" s="180"/>
      <c r="I76" s="180"/>
      <c r="J76" s="180"/>
      <c r="K76" s="180"/>
      <c r="L76" s="180"/>
      <c r="M76" s="181"/>
      <c r="N76" s="176"/>
      <c r="O76" s="177"/>
      <c r="P76" s="177"/>
      <c r="Q76" s="177"/>
      <c r="R76" s="177"/>
      <c r="S76" s="178"/>
      <c r="T76" s="179"/>
      <c r="U76" s="180"/>
      <c r="V76" s="180"/>
      <c r="W76" s="180"/>
      <c r="X76" s="180"/>
      <c r="Y76" s="180"/>
      <c r="Z76" s="181"/>
    </row>
    <row r="77" spans="1:26" ht="18" customHeight="1" x14ac:dyDescent="0.25">
      <c r="A77" s="19"/>
      <c r="B77" s="9"/>
      <c r="C77" s="9"/>
      <c r="D77" s="9"/>
      <c r="E77" s="9"/>
      <c r="F77" s="9"/>
      <c r="G77" s="23"/>
      <c r="H77" s="23"/>
      <c r="I77" s="23"/>
      <c r="J77" s="23"/>
      <c r="K77" s="23"/>
      <c r="L77" s="23"/>
      <c r="M77" s="23"/>
      <c r="N77" s="9"/>
      <c r="O77" s="9"/>
      <c r="P77" s="9"/>
      <c r="Q77" s="9"/>
      <c r="R77" s="9"/>
      <c r="S77" s="9"/>
      <c r="T77" s="23"/>
      <c r="U77" s="23"/>
      <c r="V77" s="23"/>
      <c r="W77" s="23"/>
      <c r="X77" s="23"/>
      <c r="Y77" s="23"/>
      <c r="Z77" s="23"/>
    </row>
    <row r="78" spans="1:26" ht="18.75" customHeight="1" x14ac:dyDescent="0.25">
      <c r="A78" s="29" t="s">
        <v>147</v>
      </c>
    </row>
    <row r="79" spans="1:26" ht="18.75" customHeight="1" x14ac:dyDescent="0.25">
      <c r="B79" s="25" t="s">
        <v>106</v>
      </c>
      <c r="C79" s="26"/>
      <c r="D79" s="118" t="s">
        <v>107</v>
      </c>
      <c r="E79" s="118"/>
      <c r="F79" s="118"/>
      <c r="G79" s="118"/>
      <c r="H79" s="118"/>
      <c r="I79" s="118"/>
      <c r="J79" s="118"/>
      <c r="K79" s="118"/>
      <c r="L79" s="118"/>
      <c r="M79" s="118"/>
      <c r="N79" s="118"/>
      <c r="O79" s="118"/>
      <c r="P79" s="118"/>
      <c r="Q79" s="118"/>
      <c r="R79" s="118"/>
      <c r="S79" s="118"/>
      <c r="T79" s="118"/>
      <c r="U79" s="118"/>
      <c r="V79" s="118"/>
      <c r="W79" s="118"/>
      <c r="X79" s="118"/>
      <c r="Y79" s="118"/>
      <c r="Z79" s="119"/>
    </row>
    <row r="80" spans="1:26" ht="109.5" customHeight="1" x14ac:dyDescent="0.25">
      <c r="B80" s="161" t="s">
        <v>114</v>
      </c>
      <c r="C80" s="48" t="s">
        <v>108</v>
      </c>
      <c r="D80" s="182" t="s">
        <v>208</v>
      </c>
      <c r="E80" s="183"/>
      <c r="F80" s="183"/>
      <c r="G80" s="183"/>
      <c r="H80" s="183"/>
      <c r="I80" s="183"/>
      <c r="J80" s="183"/>
      <c r="K80" s="183"/>
      <c r="L80" s="183"/>
      <c r="M80" s="183"/>
      <c r="N80" s="183"/>
      <c r="O80" s="183"/>
      <c r="P80" s="183"/>
      <c r="Q80" s="183"/>
      <c r="R80" s="183"/>
      <c r="S80" s="183"/>
      <c r="T80" s="183"/>
      <c r="U80" s="183"/>
      <c r="V80" s="183"/>
      <c r="W80" s="183"/>
      <c r="X80" s="183"/>
      <c r="Y80" s="183"/>
      <c r="Z80" s="184"/>
    </row>
    <row r="81" spans="1:26" ht="109.9" customHeight="1" x14ac:dyDescent="0.25">
      <c r="B81" s="162"/>
      <c r="C81" s="49" t="s">
        <v>142</v>
      </c>
      <c r="D81" s="170" t="s">
        <v>218</v>
      </c>
      <c r="E81" s="171"/>
      <c r="F81" s="171"/>
      <c r="G81" s="171"/>
      <c r="H81" s="171"/>
      <c r="I81" s="171"/>
      <c r="J81" s="171"/>
      <c r="K81" s="171"/>
      <c r="L81" s="171"/>
      <c r="M81" s="171"/>
      <c r="N81" s="171"/>
      <c r="O81" s="171"/>
      <c r="P81" s="171"/>
      <c r="Q81" s="171"/>
      <c r="R81" s="171"/>
      <c r="S81" s="171"/>
      <c r="T81" s="171"/>
      <c r="U81" s="171"/>
      <c r="V81" s="171"/>
      <c r="W81" s="171"/>
      <c r="X81" s="171"/>
      <c r="Y81" s="171"/>
      <c r="Z81" s="172"/>
    </row>
    <row r="82" spans="1:26" ht="287.25" customHeight="1" x14ac:dyDescent="0.25">
      <c r="B82" s="161" t="s">
        <v>115</v>
      </c>
      <c r="C82" s="50" t="s">
        <v>132</v>
      </c>
      <c r="D82" s="170" t="s">
        <v>209</v>
      </c>
      <c r="E82" s="171"/>
      <c r="F82" s="171"/>
      <c r="G82" s="171"/>
      <c r="H82" s="171"/>
      <c r="I82" s="171"/>
      <c r="J82" s="171"/>
      <c r="K82" s="171"/>
      <c r="L82" s="171"/>
      <c r="M82" s="171"/>
      <c r="N82" s="171"/>
      <c r="O82" s="171"/>
      <c r="P82" s="171"/>
      <c r="Q82" s="171"/>
      <c r="R82" s="171"/>
      <c r="S82" s="171"/>
      <c r="T82" s="171"/>
      <c r="U82" s="171"/>
      <c r="V82" s="171"/>
      <c r="W82" s="171"/>
      <c r="X82" s="171"/>
      <c r="Y82" s="171"/>
      <c r="Z82" s="172"/>
    </row>
    <row r="83" spans="1:26" ht="288.39999999999998" customHeight="1" x14ac:dyDescent="0.25">
      <c r="B83" s="169"/>
      <c r="C83" s="51" t="s">
        <v>133</v>
      </c>
      <c r="D83" s="173" t="s">
        <v>210</v>
      </c>
      <c r="E83" s="174"/>
      <c r="F83" s="174"/>
      <c r="G83" s="174"/>
      <c r="H83" s="174"/>
      <c r="I83" s="174"/>
      <c r="J83" s="174"/>
      <c r="K83" s="174"/>
      <c r="L83" s="174"/>
      <c r="M83" s="174"/>
      <c r="N83" s="174"/>
      <c r="O83" s="174"/>
      <c r="P83" s="174"/>
      <c r="Q83" s="174"/>
      <c r="R83" s="174"/>
      <c r="S83" s="174"/>
      <c r="T83" s="174"/>
      <c r="U83" s="174"/>
      <c r="V83" s="174"/>
      <c r="W83" s="174"/>
      <c r="X83" s="174"/>
      <c r="Y83" s="174"/>
      <c r="Z83" s="175"/>
    </row>
    <row r="84" spans="1:26" ht="132.75" customHeight="1" x14ac:dyDescent="0.25">
      <c r="B84" s="161" t="s">
        <v>116</v>
      </c>
      <c r="C84" s="50" t="s">
        <v>135</v>
      </c>
      <c r="D84" s="163" t="s">
        <v>211</v>
      </c>
      <c r="E84" s="164"/>
      <c r="F84" s="164"/>
      <c r="G84" s="164"/>
      <c r="H84" s="164"/>
      <c r="I84" s="164"/>
      <c r="J84" s="164"/>
      <c r="K84" s="164"/>
      <c r="L84" s="164"/>
      <c r="M84" s="164"/>
      <c r="N84" s="164"/>
      <c r="O84" s="164"/>
      <c r="P84" s="164"/>
      <c r="Q84" s="164"/>
      <c r="R84" s="164"/>
      <c r="S84" s="164"/>
      <c r="T84" s="164"/>
      <c r="U84" s="164"/>
      <c r="V84" s="164"/>
      <c r="W84" s="164"/>
      <c r="X84" s="164"/>
      <c r="Y84" s="164"/>
      <c r="Z84" s="165"/>
    </row>
    <row r="85" spans="1:26" ht="120" customHeight="1" x14ac:dyDescent="0.25">
      <c r="B85" s="169"/>
      <c r="C85" s="52" t="s">
        <v>136</v>
      </c>
      <c r="D85" s="163" t="s">
        <v>212</v>
      </c>
      <c r="E85" s="164"/>
      <c r="F85" s="164"/>
      <c r="G85" s="164"/>
      <c r="H85" s="164"/>
      <c r="I85" s="164"/>
      <c r="J85" s="164"/>
      <c r="K85" s="164"/>
      <c r="L85" s="164"/>
      <c r="M85" s="164"/>
      <c r="N85" s="164"/>
      <c r="O85" s="164"/>
      <c r="P85" s="164"/>
      <c r="Q85" s="164"/>
      <c r="R85" s="164"/>
      <c r="S85" s="164"/>
      <c r="T85" s="164"/>
      <c r="U85" s="164"/>
      <c r="V85" s="164"/>
      <c r="W85" s="164"/>
      <c r="X85" s="164"/>
      <c r="Y85" s="164"/>
      <c r="Z85" s="165"/>
    </row>
    <row r="86" spans="1:26" ht="105.4" customHeight="1" x14ac:dyDescent="0.25">
      <c r="B86" s="161" t="s">
        <v>143</v>
      </c>
      <c r="C86" s="48" t="s">
        <v>110</v>
      </c>
      <c r="D86" s="163" t="s">
        <v>213</v>
      </c>
      <c r="E86" s="164"/>
      <c r="F86" s="164"/>
      <c r="G86" s="164"/>
      <c r="H86" s="164"/>
      <c r="I86" s="164"/>
      <c r="J86" s="164"/>
      <c r="K86" s="164"/>
      <c r="L86" s="164"/>
      <c r="M86" s="164"/>
      <c r="N86" s="164"/>
      <c r="O86" s="164"/>
      <c r="P86" s="164"/>
      <c r="Q86" s="164"/>
      <c r="R86" s="164"/>
      <c r="S86" s="164"/>
      <c r="T86" s="164"/>
      <c r="U86" s="164"/>
      <c r="V86" s="164"/>
      <c r="W86" s="164"/>
      <c r="X86" s="164"/>
      <c r="Y86" s="164"/>
      <c r="Z86" s="165"/>
    </row>
    <row r="87" spans="1:26" ht="106.9" customHeight="1" x14ac:dyDescent="0.25">
      <c r="B87" s="162"/>
      <c r="C87" s="53" t="s">
        <v>112</v>
      </c>
      <c r="D87" s="163" t="s">
        <v>214</v>
      </c>
      <c r="E87" s="164"/>
      <c r="F87" s="164"/>
      <c r="G87" s="164"/>
      <c r="H87" s="164"/>
      <c r="I87" s="164"/>
      <c r="J87" s="164"/>
      <c r="K87" s="164"/>
      <c r="L87" s="164"/>
      <c r="M87" s="164"/>
      <c r="N87" s="164"/>
      <c r="O87" s="164"/>
      <c r="P87" s="164"/>
      <c r="Q87" s="164"/>
      <c r="R87" s="164"/>
      <c r="S87" s="164"/>
      <c r="T87" s="164"/>
      <c r="U87" s="164"/>
      <c r="V87" s="164"/>
      <c r="W87" s="164"/>
      <c r="X87" s="164"/>
      <c r="Y87" s="164"/>
      <c r="Z87" s="165"/>
    </row>
    <row r="88" spans="1:26" ht="184.5" customHeight="1" x14ac:dyDescent="0.25">
      <c r="B88" s="166" t="s">
        <v>144</v>
      </c>
      <c r="C88" s="50" t="s">
        <v>109</v>
      </c>
      <c r="D88" s="163" t="s">
        <v>215</v>
      </c>
      <c r="E88" s="164"/>
      <c r="F88" s="164"/>
      <c r="G88" s="164"/>
      <c r="H88" s="164"/>
      <c r="I88" s="164"/>
      <c r="J88" s="164"/>
      <c r="K88" s="164"/>
      <c r="L88" s="164"/>
      <c r="M88" s="164"/>
      <c r="N88" s="164"/>
      <c r="O88" s="164"/>
      <c r="P88" s="164"/>
      <c r="Q88" s="164"/>
      <c r="R88" s="164"/>
      <c r="S88" s="164"/>
      <c r="T88" s="164"/>
      <c r="U88" s="164"/>
      <c r="V88" s="164"/>
      <c r="W88" s="164"/>
      <c r="X88" s="164"/>
      <c r="Y88" s="164"/>
      <c r="Z88" s="165"/>
    </row>
    <row r="89" spans="1:26" ht="168.4" customHeight="1" x14ac:dyDescent="0.25">
      <c r="B89" s="167"/>
      <c r="C89" s="53" t="s">
        <v>139</v>
      </c>
      <c r="D89" s="163" t="s">
        <v>216</v>
      </c>
      <c r="E89" s="164"/>
      <c r="F89" s="164"/>
      <c r="G89" s="164"/>
      <c r="H89" s="164"/>
      <c r="I89" s="164"/>
      <c r="J89" s="164"/>
      <c r="K89" s="164"/>
      <c r="L89" s="164"/>
      <c r="M89" s="164"/>
      <c r="N89" s="164"/>
      <c r="O89" s="164"/>
      <c r="P89" s="164"/>
      <c r="Q89" s="164"/>
      <c r="R89" s="164"/>
      <c r="S89" s="164"/>
      <c r="T89" s="164"/>
      <c r="U89" s="164"/>
      <c r="V89" s="164"/>
      <c r="W89" s="164"/>
      <c r="X89" s="164"/>
      <c r="Y89" s="164"/>
      <c r="Z89" s="165"/>
    </row>
    <row r="90" spans="1:26" ht="235.5" customHeight="1" x14ac:dyDescent="0.25">
      <c r="B90" s="168"/>
      <c r="C90" s="51" t="s">
        <v>140</v>
      </c>
      <c r="D90" s="163" t="s">
        <v>217</v>
      </c>
      <c r="E90" s="164"/>
      <c r="F90" s="164"/>
      <c r="G90" s="164"/>
      <c r="H90" s="164"/>
      <c r="I90" s="164"/>
      <c r="J90" s="164"/>
      <c r="K90" s="164"/>
      <c r="L90" s="164"/>
      <c r="M90" s="164"/>
      <c r="N90" s="164"/>
      <c r="O90" s="164"/>
      <c r="P90" s="164"/>
      <c r="Q90" s="164"/>
      <c r="R90" s="164"/>
      <c r="S90" s="164"/>
      <c r="T90" s="164"/>
      <c r="U90" s="164"/>
      <c r="V90" s="164"/>
      <c r="W90" s="164"/>
      <c r="X90" s="164"/>
      <c r="Y90" s="164"/>
      <c r="Z90" s="165"/>
    </row>
    <row r="91" spans="1:26" ht="6" customHeight="1" x14ac:dyDescent="0.25"/>
    <row r="92" spans="1:26" ht="18.75" customHeight="1" x14ac:dyDescent="0.25">
      <c r="A92" s="29" t="s">
        <v>148</v>
      </c>
    </row>
    <row r="93" spans="1:26" ht="18.75" customHeight="1" x14ac:dyDescent="0.25">
      <c r="B93" s="147" t="s">
        <v>188</v>
      </c>
      <c r="C93" s="148"/>
      <c r="D93" s="148"/>
      <c r="E93" s="148"/>
      <c r="F93" s="148"/>
      <c r="G93" s="148"/>
      <c r="H93" s="148"/>
      <c r="I93" s="148"/>
      <c r="J93" s="148"/>
      <c r="K93" s="148"/>
      <c r="L93" s="148"/>
      <c r="M93" s="148"/>
      <c r="N93" s="148"/>
      <c r="O93" s="148"/>
      <c r="P93" s="148"/>
      <c r="Q93" s="148"/>
      <c r="R93" s="148"/>
      <c r="S93" s="148"/>
      <c r="T93" s="148"/>
      <c r="U93" s="148"/>
      <c r="V93" s="148"/>
      <c r="W93" s="148"/>
      <c r="X93" s="148"/>
      <c r="Y93" s="148"/>
      <c r="Z93" s="149"/>
    </row>
    <row r="94" spans="1:26" ht="18.75" customHeight="1" x14ac:dyDescent="0.25">
      <c r="B94" s="150"/>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2"/>
    </row>
    <row r="95" spans="1:26" ht="18.75" customHeight="1" x14ac:dyDescent="0.25">
      <c r="B95" s="153"/>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5"/>
    </row>
    <row r="96" spans="1:26" ht="6" customHeight="1" x14ac:dyDescent="0.25"/>
    <row r="97" spans="1:26" ht="15" customHeight="1" x14ac:dyDescent="0.25">
      <c r="A97" s="29" t="s">
        <v>149</v>
      </c>
    </row>
    <row r="98" spans="1:26" ht="15" customHeight="1" x14ac:dyDescent="0.25">
      <c r="B98" s="156" t="s">
        <v>230</v>
      </c>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57"/>
    </row>
  </sheetData>
  <mergeCells count="20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I38:K38"/>
    <mergeCell ref="N38:S38"/>
    <mergeCell ref="V38:X38"/>
    <mergeCell ref="I39:K39"/>
    <mergeCell ref="N39:S39"/>
    <mergeCell ref="V39:X39"/>
    <mergeCell ref="B33:F33"/>
    <mergeCell ref="I33:K33"/>
    <mergeCell ref="N33:S33"/>
    <mergeCell ref="V33:X33"/>
    <mergeCell ref="A35:Z36"/>
    <mergeCell ref="B37:F37"/>
    <mergeCell ref="I37:K37"/>
    <mergeCell ref="N37:S37"/>
    <mergeCell ref="V37:X37"/>
    <mergeCell ref="I42:K42"/>
    <mergeCell ref="N42:S42"/>
    <mergeCell ref="V42:X42"/>
    <mergeCell ref="B43:F43"/>
    <mergeCell ref="I43:K43"/>
    <mergeCell ref="N43:S43"/>
    <mergeCell ref="V43:X43"/>
    <mergeCell ref="I40:K40"/>
    <mergeCell ref="N40:S40"/>
    <mergeCell ref="V40:X40"/>
    <mergeCell ref="I41:K41"/>
    <mergeCell ref="N41:S41"/>
    <mergeCell ref="V41:X41"/>
    <mergeCell ref="I49:K49"/>
    <mergeCell ref="N49:S49"/>
    <mergeCell ref="V49:X49"/>
    <mergeCell ref="I50:K50"/>
    <mergeCell ref="N50:S50"/>
    <mergeCell ref="V50:X50"/>
    <mergeCell ref="B44:F44"/>
    <mergeCell ref="I44:K44"/>
    <mergeCell ref="N44:S44"/>
    <mergeCell ref="V44:X44"/>
    <mergeCell ref="A46:Z47"/>
    <mergeCell ref="B48:F48"/>
    <mergeCell ref="I48:K48"/>
    <mergeCell ref="N48:S48"/>
    <mergeCell ref="V48:X48"/>
    <mergeCell ref="I53:K53"/>
    <mergeCell ref="N53:S53"/>
    <mergeCell ref="V53:X53"/>
    <mergeCell ref="I54:K54"/>
    <mergeCell ref="N54:S54"/>
    <mergeCell ref="V54:X54"/>
    <mergeCell ref="I51:K51"/>
    <mergeCell ref="N51:S51"/>
    <mergeCell ref="V51:X51"/>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93:Z95"/>
    <mergeCell ref="B98:Z98"/>
    <mergeCell ref="B54:F54"/>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27:I33 V27:V33 H60:H66 V38:V44 I16:I22 V49:V55 I49:I55 U60:U66 I38:I44">
      <formula1>"全学開講,一部開講"</formula1>
    </dataValidation>
    <dataValidation type="list" allowBlank="1" showInputMessage="1" showErrorMessage="1" sqref="Y16:Z22 L66:M66 Y27:Z33 G60:G66 Y38:Z44 L27:M33 Y49:Z55 Y60:Z66 L16:M22 H16:H22 U16:U22 K60:M65 U27:U33 H27:H33 U38:U44 U49:U55 H38:H44 T60:T66 L38:M44 L49:M55 H49:H55">
      <formula1>"○"</formula1>
    </dataValidation>
  </dataValidations>
  <hyperlinks>
    <hyperlink ref="B98" r:id="rId1"/>
  </hyperlinks>
  <printOptions horizontalCentered="1"/>
  <pageMargins left="0.78740157480314965" right="0.78740157480314965" top="0.59055118110236227" bottom="0.19685039370078741" header="0.31496062992125984" footer="0.31496062992125984"/>
  <pageSetup paperSize="9" scale="65" fitToHeight="0" orientation="portrait"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4"/>
  <sheetViews>
    <sheetView showGridLines="0" view="pageBreakPreview" topLeftCell="B4" zoomScaleNormal="100" zoomScaleSheetLayoutView="100" workbookViewId="0">
      <selection activeCell="B48" sqref="E48"/>
    </sheetView>
  </sheetViews>
  <sheetFormatPr defaultColWidth="9" defaultRowHeight="18.75" customHeight="1" x14ac:dyDescent="0.25"/>
  <cols>
    <col min="1" max="1" width="2.73046875" style="1" customWidth="1"/>
    <col min="2" max="2" width="30" style="1" customWidth="1"/>
    <col min="3" max="17" width="6.1328125" style="1" customWidth="1"/>
    <col min="18" max="18" width="6.59765625" style="1" customWidth="1"/>
    <col min="19" max="16384" width="9" style="1"/>
  </cols>
  <sheetData>
    <row r="1" spans="1:20" ht="18" customHeight="1" x14ac:dyDescent="0.25">
      <c r="F1" s="131" t="s">
        <v>65</v>
      </c>
      <c r="G1" s="131"/>
      <c r="H1" s="131"/>
      <c r="I1" s="131"/>
      <c r="J1" s="131"/>
      <c r="K1" s="131"/>
      <c r="L1" s="131"/>
      <c r="M1" s="131"/>
      <c r="N1" s="131"/>
      <c r="O1" s="131"/>
      <c r="P1" s="131"/>
      <c r="Q1" s="131"/>
      <c r="R1" s="131"/>
    </row>
    <row r="2" spans="1:20" ht="18" customHeight="1" x14ac:dyDescent="0.25">
      <c r="A2" s="218" t="s">
        <v>93</v>
      </c>
      <c r="B2" s="218"/>
      <c r="C2" s="218"/>
      <c r="D2" s="218"/>
      <c r="E2" s="218"/>
      <c r="F2" s="218"/>
      <c r="G2" s="218"/>
      <c r="H2" s="218"/>
      <c r="I2" s="218"/>
      <c r="J2" s="218"/>
      <c r="K2" s="218"/>
      <c r="L2" s="218"/>
      <c r="M2" s="218"/>
      <c r="N2" s="218"/>
      <c r="O2" s="218"/>
      <c r="P2" s="218"/>
      <c r="Q2" s="218"/>
      <c r="R2" s="218"/>
    </row>
    <row r="3" spans="1:20" ht="7.5" customHeight="1" x14ac:dyDescent="0.25">
      <c r="A3" s="19"/>
      <c r="B3" s="19"/>
      <c r="C3" s="19"/>
      <c r="D3" s="19"/>
      <c r="E3" s="19"/>
      <c r="F3" s="19"/>
      <c r="G3" s="19"/>
      <c r="H3" s="19"/>
      <c r="I3" s="19"/>
      <c r="J3" s="19"/>
      <c r="K3" s="19"/>
      <c r="L3" s="19"/>
      <c r="M3" s="19"/>
      <c r="N3" s="19"/>
      <c r="O3" s="19"/>
      <c r="P3" s="19"/>
      <c r="Q3" s="19"/>
      <c r="R3" s="19"/>
    </row>
    <row r="4" spans="1:20" ht="18" customHeight="1" x14ac:dyDescent="0.25">
      <c r="A4" s="1" t="s">
        <v>155</v>
      </c>
      <c r="C4" s="229" t="str">
        <f>'様式１　大学等概要'!E12</f>
        <v>令和２</v>
      </c>
      <c r="D4" s="230"/>
      <c r="E4" s="19" t="s">
        <v>118</v>
      </c>
      <c r="F4" s="19"/>
      <c r="G4" s="19"/>
      <c r="H4" s="19"/>
      <c r="I4" s="19"/>
      <c r="J4" s="8"/>
      <c r="K4" s="19"/>
      <c r="L4" s="19"/>
      <c r="M4" s="9"/>
      <c r="N4" s="9"/>
      <c r="O4" s="9"/>
      <c r="P4" s="9"/>
      <c r="Q4" s="9"/>
      <c r="R4" s="9"/>
    </row>
    <row r="5" spans="1:20" ht="6" customHeight="1" x14ac:dyDescent="0.25">
      <c r="A5" s="19"/>
      <c r="B5" s="19"/>
      <c r="C5" s="19"/>
      <c r="D5" s="19"/>
      <c r="E5" s="19"/>
      <c r="F5" s="19"/>
      <c r="G5" s="19"/>
      <c r="H5" s="19"/>
      <c r="I5" s="19"/>
      <c r="J5" s="19"/>
      <c r="K5" s="19"/>
      <c r="L5" s="19"/>
      <c r="M5" s="19"/>
      <c r="N5" s="19"/>
      <c r="O5" s="19"/>
      <c r="P5" s="19"/>
      <c r="Q5" s="19"/>
      <c r="R5" s="19"/>
    </row>
    <row r="6" spans="1:20" ht="18" customHeight="1" x14ac:dyDescent="0.25">
      <c r="A6" s="1" t="s">
        <v>150</v>
      </c>
      <c r="B6" s="19"/>
      <c r="C6" s="19"/>
      <c r="D6" s="19"/>
      <c r="E6" s="19"/>
      <c r="F6" s="19"/>
      <c r="G6" s="19"/>
      <c r="H6" s="19"/>
      <c r="I6" s="19"/>
      <c r="J6" s="19"/>
      <c r="K6" s="19"/>
      <c r="L6" s="19"/>
      <c r="M6" s="19"/>
      <c r="N6" s="19"/>
      <c r="O6" s="19"/>
      <c r="P6" s="19"/>
      <c r="Q6" s="19"/>
      <c r="R6" s="19"/>
    </row>
    <row r="7" spans="1:20" ht="6" customHeight="1" x14ac:dyDescent="0.25">
      <c r="B7" s="19"/>
      <c r="C7" s="19"/>
      <c r="D7" s="19"/>
      <c r="E7" s="19"/>
      <c r="F7" s="19"/>
      <c r="G7" s="19"/>
      <c r="H7" s="19"/>
      <c r="I7" s="19"/>
      <c r="J7" s="19"/>
      <c r="K7" s="19"/>
      <c r="L7" s="19"/>
      <c r="M7" s="19"/>
      <c r="N7" s="19"/>
      <c r="O7" s="19"/>
      <c r="P7" s="19"/>
      <c r="Q7" s="19"/>
      <c r="R7" s="19"/>
    </row>
    <row r="8" spans="1:20" ht="18" customHeight="1" x14ac:dyDescent="0.25">
      <c r="B8" s="231" t="s">
        <v>83</v>
      </c>
      <c r="C8" s="233" t="s">
        <v>88</v>
      </c>
      <c r="D8" s="235" t="s">
        <v>70</v>
      </c>
      <c r="E8" s="237" t="s">
        <v>94</v>
      </c>
      <c r="F8" s="237"/>
      <c r="G8" s="237" t="s">
        <v>95</v>
      </c>
      <c r="H8" s="237"/>
      <c r="I8" s="237" t="s">
        <v>96</v>
      </c>
      <c r="J8" s="237"/>
      <c r="K8" s="206" t="s">
        <v>97</v>
      </c>
      <c r="L8" s="208"/>
      <c r="M8" s="206" t="s">
        <v>98</v>
      </c>
      <c r="N8" s="208"/>
      <c r="O8" s="206" t="s">
        <v>99</v>
      </c>
      <c r="P8" s="208"/>
      <c r="Q8" s="238" t="s">
        <v>64</v>
      </c>
      <c r="R8" s="240" t="s">
        <v>58</v>
      </c>
      <c r="T8" s="54"/>
    </row>
    <row r="9" spans="1:20" ht="18" customHeight="1" x14ac:dyDescent="0.25">
      <c r="B9" s="232"/>
      <c r="C9" s="234"/>
      <c r="D9" s="236"/>
      <c r="E9" s="55" t="s">
        <v>46</v>
      </c>
      <c r="F9" s="56" t="s">
        <v>45</v>
      </c>
      <c r="G9" s="57" t="s">
        <v>46</v>
      </c>
      <c r="H9" s="58" t="s">
        <v>45</v>
      </c>
      <c r="I9" s="55" t="s">
        <v>46</v>
      </c>
      <c r="J9" s="56" t="s">
        <v>45</v>
      </c>
      <c r="K9" s="57" t="s">
        <v>46</v>
      </c>
      <c r="L9" s="58" t="s">
        <v>45</v>
      </c>
      <c r="M9" s="55" t="s">
        <v>46</v>
      </c>
      <c r="N9" s="56" t="s">
        <v>45</v>
      </c>
      <c r="O9" s="57" t="s">
        <v>46</v>
      </c>
      <c r="P9" s="58" t="s">
        <v>45</v>
      </c>
      <c r="Q9" s="239"/>
      <c r="R9" s="241"/>
      <c r="T9" s="54"/>
    </row>
    <row r="10" spans="1:20" ht="18" customHeight="1" x14ac:dyDescent="0.25">
      <c r="A10" s="37"/>
      <c r="B10" s="59" t="s">
        <v>180</v>
      </c>
      <c r="C10" s="114">
        <v>205</v>
      </c>
      <c r="D10" s="75">
        <v>826</v>
      </c>
      <c r="E10" s="60">
        <v>215</v>
      </c>
      <c r="F10" s="61">
        <v>209</v>
      </c>
      <c r="G10" s="60">
        <v>213</v>
      </c>
      <c r="H10" s="61">
        <v>213</v>
      </c>
      <c r="I10" s="60">
        <v>0</v>
      </c>
      <c r="J10" s="61">
        <v>0</v>
      </c>
      <c r="K10" s="60">
        <v>0</v>
      </c>
      <c r="L10" s="61">
        <v>0</v>
      </c>
      <c r="M10" s="62">
        <v>0</v>
      </c>
      <c r="N10" s="63">
        <v>0</v>
      </c>
      <c r="O10" s="60">
        <v>0</v>
      </c>
      <c r="P10" s="61">
        <v>0</v>
      </c>
      <c r="Q10" s="64">
        <f>E10+G10+I10+K10+M10+O10</f>
        <v>428</v>
      </c>
      <c r="R10" s="65">
        <f>Q10/D10</f>
        <v>0.51815980629539948</v>
      </c>
    </row>
    <row r="11" spans="1:20" ht="18" customHeight="1" x14ac:dyDescent="0.25">
      <c r="A11" s="37"/>
      <c r="B11" s="66" t="s">
        <v>181</v>
      </c>
      <c r="C11" s="116">
        <v>100</v>
      </c>
      <c r="D11" s="115">
        <f t="shared" ref="D11" si="0">C11*4</f>
        <v>400</v>
      </c>
      <c r="E11" s="69">
        <v>91</v>
      </c>
      <c r="F11" s="70">
        <v>91</v>
      </c>
      <c r="G11" s="69">
        <v>95</v>
      </c>
      <c r="H11" s="70">
        <v>94</v>
      </c>
      <c r="I11" s="69">
        <v>0</v>
      </c>
      <c r="J11" s="70">
        <v>0</v>
      </c>
      <c r="K11" s="69">
        <v>0</v>
      </c>
      <c r="L11" s="70">
        <v>0</v>
      </c>
      <c r="M11" s="71">
        <v>0</v>
      </c>
      <c r="N11" s="72">
        <v>0</v>
      </c>
      <c r="O11" s="69">
        <v>0</v>
      </c>
      <c r="P11" s="70">
        <v>0</v>
      </c>
      <c r="Q11" s="73">
        <f t="shared" ref="Q11:Q29" si="1">E11+G11+I11+K11+M11+O11</f>
        <v>186</v>
      </c>
      <c r="R11" s="74">
        <f>Q11/D11</f>
        <v>0.46500000000000002</v>
      </c>
    </row>
    <row r="12" spans="1:20" ht="18" customHeight="1" x14ac:dyDescent="0.25">
      <c r="A12" s="37"/>
      <c r="B12" s="66" t="s">
        <v>182</v>
      </c>
      <c r="C12" s="116">
        <v>195</v>
      </c>
      <c r="D12" s="115">
        <v>390</v>
      </c>
      <c r="E12" s="69">
        <v>168</v>
      </c>
      <c r="F12" s="70">
        <v>162</v>
      </c>
      <c r="G12" s="69">
        <v>148</v>
      </c>
      <c r="H12" s="70">
        <v>148</v>
      </c>
      <c r="I12" s="69">
        <v>0</v>
      </c>
      <c r="J12" s="70">
        <v>0</v>
      </c>
      <c r="K12" s="69">
        <v>0</v>
      </c>
      <c r="L12" s="70">
        <v>0</v>
      </c>
      <c r="M12" s="71">
        <v>0</v>
      </c>
      <c r="N12" s="72">
        <v>0</v>
      </c>
      <c r="O12" s="69">
        <v>0</v>
      </c>
      <c r="P12" s="70">
        <v>0</v>
      </c>
      <c r="Q12" s="73">
        <f>E12+G12+I12+K12+M12+O12</f>
        <v>316</v>
      </c>
      <c r="R12" s="74">
        <f>Q12/D12</f>
        <v>0.81025641025641026</v>
      </c>
    </row>
    <row r="13" spans="1:20" ht="18" customHeight="1" x14ac:dyDescent="0.25">
      <c r="A13" s="37"/>
      <c r="B13" s="66" t="s">
        <v>183</v>
      </c>
      <c r="C13" s="116">
        <v>295</v>
      </c>
      <c r="D13" s="115">
        <v>1192</v>
      </c>
      <c r="E13" s="69">
        <v>292</v>
      </c>
      <c r="F13" s="70">
        <v>281</v>
      </c>
      <c r="G13" s="69">
        <v>0</v>
      </c>
      <c r="H13" s="70">
        <v>0</v>
      </c>
      <c r="I13" s="69">
        <v>0</v>
      </c>
      <c r="J13" s="70">
        <v>0</v>
      </c>
      <c r="K13" s="69">
        <v>0</v>
      </c>
      <c r="L13" s="70">
        <v>0</v>
      </c>
      <c r="M13" s="71">
        <v>0</v>
      </c>
      <c r="N13" s="72">
        <v>0</v>
      </c>
      <c r="O13" s="69">
        <v>0</v>
      </c>
      <c r="P13" s="70">
        <v>0</v>
      </c>
      <c r="Q13" s="73">
        <f t="shared" si="1"/>
        <v>292</v>
      </c>
      <c r="R13" s="74">
        <f t="shared" ref="R13:R29" si="2">Q13/D13</f>
        <v>0.24496644295302014</v>
      </c>
    </row>
    <row r="14" spans="1:20" ht="18" customHeight="1" x14ac:dyDescent="0.25">
      <c r="A14" s="37"/>
      <c r="B14" s="66" t="s">
        <v>184</v>
      </c>
      <c r="C14" s="116">
        <v>100</v>
      </c>
      <c r="D14" s="115">
        <v>450</v>
      </c>
      <c r="E14" s="69">
        <v>105</v>
      </c>
      <c r="F14" s="70">
        <v>89</v>
      </c>
      <c r="G14" s="69">
        <v>0</v>
      </c>
      <c r="H14" s="70">
        <v>0</v>
      </c>
      <c r="I14" s="69">
        <v>0</v>
      </c>
      <c r="J14" s="70">
        <v>0</v>
      </c>
      <c r="K14" s="69">
        <v>0</v>
      </c>
      <c r="L14" s="70">
        <v>0</v>
      </c>
      <c r="M14" s="71">
        <v>0</v>
      </c>
      <c r="N14" s="72">
        <v>0</v>
      </c>
      <c r="O14" s="69">
        <v>0</v>
      </c>
      <c r="P14" s="70">
        <v>0</v>
      </c>
      <c r="Q14" s="73">
        <f t="shared" si="1"/>
        <v>105</v>
      </c>
      <c r="R14" s="74">
        <f t="shared" si="2"/>
        <v>0.23333333333333334</v>
      </c>
    </row>
    <row r="15" spans="1:20" ht="18" customHeight="1" x14ac:dyDescent="0.25">
      <c r="A15" s="37"/>
      <c r="B15" s="66" t="s">
        <v>185</v>
      </c>
      <c r="C15" s="116">
        <v>230</v>
      </c>
      <c r="D15" s="3">
        <v>936</v>
      </c>
      <c r="E15" s="69">
        <v>230</v>
      </c>
      <c r="F15" s="70">
        <v>221</v>
      </c>
      <c r="G15" s="69">
        <v>0</v>
      </c>
      <c r="H15" s="70">
        <v>0</v>
      </c>
      <c r="I15" s="69">
        <v>0</v>
      </c>
      <c r="J15" s="70">
        <v>0</v>
      </c>
      <c r="K15" s="69">
        <v>0</v>
      </c>
      <c r="L15" s="70">
        <v>0</v>
      </c>
      <c r="M15" s="71">
        <v>0</v>
      </c>
      <c r="N15" s="72">
        <v>0</v>
      </c>
      <c r="O15" s="69">
        <v>0</v>
      </c>
      <c r="P15" s="70">
        <v>0</v>
      </c>
      <c r="Q15" s="73">
        <f t="shared" si="1"/>
        <v>230</v>
      </c>
      <c r="R15" s="74">
        <f t="shared" si="2"/>
        <v>0.24572649572649571</v>
      </c>
    </row>
    <row r="16" spans="1:20" ht="18" customHeight="1" x14ac:dyDescent="0.25">
      <c r="A16" s="37"/>
      <c r="B16" s="66"/>
      <c r="C16" s="114"/>
      <c r="D16" s="75"/>
      <c r="E16" s="60"/>
      <c r="F16" s="61"/>
      <c r="G16" s="60"/>
      <c r="H16" s="61"/>
      <c r="I16" s="60"/>
      <c r="J16" s="61"/>
      <c r="K16" s="60"/>
      <c r="L16" s="61"/>
      <c r="M16" s="62"/>
      <c r="N16" s="63"/>
      <c r="O16" s="60"/>
      <c r="P16" s="61"/>
      <c r="Q16" s="73">
        <f t="shared" si="1"/>
        <v>0</v>
      </c>
      <c r="R16" s="74" t="e">
        <f t="shared" si="2"/>
        <v>#DIV/0!</v>
      </c>
    </row>
    <row r="17" spans="1:18" ht="18" customHeight="1" x14ac:dyDescent="0.25">
      <c r="A17" s="37"/>
      <c r="B17" s="66" t="s">
        <v>193</v>
      </c>
      <c r="C17" s="116">
        <v>0</v>
      </c>
      <c r="D17" s="115">
        <v>396</v>
      </c>
      <c r="E17" s="69"/>
      <c r="F17" s="70"/>
      <c r="G17" s="69"/>
      <c r="H17" s="70"/>
      <c r="I17" s="69"/>
      <c r="J17" s="70"/>
      <c r="K17" s="69"/>
      <c r="L17" s="70"/>
      <c r="M17" s="71"/>
      <c r="N17" s="72"/>
      <c r="O17" s="69"/>
      <c r="P17" s="70"/>
      <c r="Q17" s="73">
        <f t="shared" si="1"/>
        <v>0</v>
      </c>
      <c r="R17" s="74">
        <f t="shared" si="2"/>
        <v>0</v>
      </c>
    </row>
    <row r="18" spans="1:18" ht="18" customHeight="1" x14ac:dyDescent="0.25">
      <c r="A18" s="37"/>
      <c r="B18" s="66"/>
      <c r="C18" s="67"/>
      <c r="D18" s="68"/>
      <c r="E18" s="69"/>
      <c r="F18" s="70"/>
      <c r="G18" s="69"/>
      <c r="H18" s="70"/>
      <c r="I18" s="69"/>
      <c r="J18" s="70"/>
      <c r="K18" s="69"/>
      <c r="L18" s="70"/>
      <c r="M18" s="71"/>
      <c r="N18" s="72"/>
      <c r="O18" s="69"/>
      <c r="P18" s="70"/>
      <c r="Q18" s="73">
        <f>E18+G18+I18+K18+M18+O18</f>
        <v>0</v>
      </c>
      <c r="R18" s="74" t="e">
        <f t="shared" si="2"/>
        <v>#DIV/0!</v>
      </c>
    </row>
    <row r="19" spans="1:18" ht="18" customHeight="1" x14ac:dyDescent="0.25">
      <c r="A19" s="37"/>
      <c r="B19" s="66"/>
      <c r="C19" s="67"/>
      <c r="D19" s="68"/>
      <c r="E19" s="69"/>
      <c r="F19" s="70"/>
      <c r="G19" s="69"/>
      <c r="H19" s="70"/>
      <c r="I19" s="69"/>
      <c r="J19" s="70"/>
      <c r="K19" s="69"/>
      <c r="L19" s="70"/>
      <c r="M19" s="71"/>
      <c r="N19" s="72"/>
      <c r="O19" s="69"/>
      <c r="P19" s="70"/>
      <c r="Q19" s="73">
        <f t="shared" si="1"/>
        <v>0</v>
      </c>
      <c r="R19" s="74" t="e">
        <f t="shared" si="2"/>
        <v>#DIV/0!</v>
      </c>
    </row>
    <row r="20" spans="1:18" ht="18" customHeight="1" x14ac:dyDescent="0.25">
      <c r="A20" s="37"/>
      <c r="B20" s="66"/>
      <c r="C20" s="67"/>
      <c r="D20" s="68"/>
      <c r="E20" s="69"/>
      <c r="F20" s="70"/>
      <c r="G20" s="69"/>
      <c r="H20" s="70"/>
      <c r="I20" s="69"/>
      <c r="J20" s="70"/>
      <c r="K20" s="69"/>
      <c r="L20" s="70"/>
      <c r="M20" s="71"/>
      <c r="N20" s="72"/>
      <c r="O20" s="69"/>
      <c r="P20" s="70"/>
      <c r="Q20" s="73">
        <f t="shared" si="1"/>
        <v>0</v>
      </c>
      <c r="R20" s="74" t="e">
        <f t="shared" si="2"/>
        <v>#DIV/0!</v>
      </c>
    </row>
    <row r="21" spans="1:18" ht="18" customHeight="1" x14ac:dyDescent="0.25">
      <c r="A21" s="37"/>
      <c r="B21" s="66"/>
      <c r="C21" s="67"/>
      <c r="D21" s="68"/>
      <c r="E21" s="69"/>
      <c r="F21" s="70"/>
      <c r="G21" s="69"/>
      <c r="H21" s="70"/>
      <c r="I21" s="69"/>
      <c r="J21" s="70"/>
      <c r="K21" s="69"/>
      <c r="L21" s="70"/>
      <c r="M21" s="71"/>
      <c r="N21" s="72"/>
      <c r="O21" s="69"/>
      <c r="P21" s="70"/>
      <c r="Q21" s="73">
        <f t="shared" si="1"/>
        <v>0</v>
      </c>
      <c r="R21" s="74" t="e">
        <f t="shared" si="2"/>
        <v>#DIV/0!</v>
      </c>
    </row>
    <row r="22" spans="1:18" ht="18" customHeight="1" x14ac:dyDescent="0.25">
      <c r="A22" s="37"/>
      <c r="B22" s="66"/>
      <c r="C22" s="67"/>
      <c r="D22" s="68"/>
      <c r="E22" s="71"/>
      <c r="F22" s="72"/>
      <c r="G22" s="69"/>
      <c r="H22" s="70"/>
      <c r="I22" s="71"/>
      <c r="J22" s="72"/>
      <c r="K22" s="69"/>
      <c r="L22" s="70"/>
      <c r="M22" s="71"/>
      <c r="N22" s="72"/>
      <c r="O22" s="69"/>
      <c r="P22" s="70"/>
      <c r="Q22" s="73">
        <f t="shared" si="1"/>
        <v>0</v>
      </c>
      <c r="R22" s="74" t="e">
        <f t="shared" si="2"/>
        <v>#DIV/0!</v>
      </c>
    </row>
    <row r="23" spans="1:18" ht="18" customHeight="1" x14ac:dyDescent="0.25">
      <c r="A23" s="37"/>
      <c r="B23" s="66"/>
      <c r="C23" s="67"/>
      <c r="D23" s="68"/>
      <c r="E23" s="71"/>
      <c r="F23" s="72"/>
      <c r="G23" s="69"/>
      <c r="H23" s="70"/>
      <c r="I23" s="71"/>
      <c r="J23" s="72"/>
      <c r="K23" s="69"/>
      <c r="L23" s="70"/>
      <c r="M23" s="71"/>
      <c r="N23" s="72"/>
      <c r="O23" s="69"/>
      <c r="P23" s="70"/>
      <c r="Q23" s="73">
        <f t="shared" si="1"/>
        <v>0</v>
      </c>
      <c r="R23" s="74" t="e">
        <f t="shared" si="2"/>
        <v>#DIV/0!</v>
      </c>
    </row>
    <row r="24" spans="1:18" ht="18" customHeight="1" x14ac:dyDescent="0.25">
      <c r="A24" s="37"/>
      <c r="B24" s="66"/>
      <c r="C24" s="67"/>
      <c r="D24" s="68"/>
      <c r="E24" s="71"/>
      <c r="F24" s="72"/>
      <c r="G24" s="69"/>
      <c r="H24" s="70"/>
      <c r="I24" s="71"/>
      <c r="J24" s="72"/>
      <c r="K24" s="69"/>
      <c r="L24" s="70"/>
      <c r="M24" s="71"/>
      <c r="N24" s="72"/>
      <c r="O24" s="69"/>
      <c r="P24" s="70"/>
      <c r="Q24" s="73">
        <f t="shared" si="1"/>
        <v>0</v>
      </c>
      <c r="R24" s="74" t="e">
        <f t="shared" si="2"/>
        <v>#DIV/0!</v>
      </c>
    </row>
    <row r="25" spans="1:18" ht="18" customHeight="1" x14ac:dyDescent="0.25">
      <c r="A25" s="37"/>
      <c r="B25" s="66"/>
      <c r="C25" s="67"/>
      <c r="D25" s="68"/>
      <c r="E25" s="71"/>
      <c r="F25" s="72"/>
      <c r="G25" s="69"/>
      <c r="H25" s="70"/>
      <c r="I25" s="71"/>
      <c r="J25" s="72"/>
      <c r="K25" s="69"/>
      <c r="L25" s="70"/>
      <c r="M25" s="71"/>
      <c r="N25" s="72"/>
      <c r="O25" s="69"/>
      <c r="P25" s="70"/>
      <c r="Q25" s="73">
        <f t="shared" si="1"/>
        <v>0</v>
      </c>
      <c r="R25" s="74" t="e">
        <f t="shared" si="2"/>
        <v>#DIV/0!</v>
      </c>
    </row>
    <row r="26" spans="1:18" ht="18" customHeight="1" x14ac:dyDescent="0.25">
      <c r="A26" s="37"/>
      <c r="B26" s="66"/>
      <c r="C26" s="67"/>
      <c r="D26" s="68"/>
      <c r="E26" s="71"/>
      <c r="F26" s="72"/>
      <c r="G26" s="69"/>
      <c r="H26" s="70"/>
      <c r="I26" s="71"/>
      <c r="J26" s="72"/>
      <c r="K26" s="69"/>
      <c r="L26" s="70"/>
      <c r="M26" s="71"/>
      <c r="N26" s="72"/>
      <c r="O26" s="69"/>
      <c r="P26" s="70"/>
      <c r="Q26" s="73">
        <f t="shared" si="1"/>
        <v>0</v>
      </c>
      <c r="R26" s="74" t="e">
        <f t="shared" si="2"/>
        <v>#DIV/0!</v>
      </c>
    </row>
    <row r="27" spans="1:18" ht="18" customHeight="1" x14ac:dyDescent="0.25">
      <c r="A27" s="37"/>
      <c r="B27" s="66"/>
      <c r="C27" s="76"/>
      <c r="D27" s="68"/>
      <c r="E27" s="71"/>
      <c r="F27" s="72"/>
      <c r="G27" s="69"/>
      <c r="H27" s="70"/>
      <c r="I27" s="71"/>
      <c r="J27" s="72"/>
      <c r="K27" s="69"/>
      <c r="L27" s="70"/>
      <c r="M27" s="71"/>
      <c r="N27" s="72"/>
      <c r="O27" s="69"/>
      <c r="P27" s="70"/>
      <c r="Q27" s="73">
        <f t="shared" si="1"/>
        <v>0</v>
      </c>
      <c r="R27" s="74" t="e">
        <f t="shared" si="2"/>
        <v>#DIV/0!</v>
      </c>
    </row>
    <row r="28" spans="1:18" ht="18" customHeight="1" x14ac:dyDescent="0.25">
      <c r="A28" s="37"/>
      <c r="B28" s="66"/>
      <c r="C28" s="76"/>
      <c r="D28" s="68"/>
      <c r="E28" s="71"/>
      <c r="F28" s="72"/>
      <c r="G28" s="69"/>
      <c r="H28" s="70"/>
      <c r="I28" s="71"/>
      <c r="J28" s="72"/>
      <c r="K28" s="69"/>
      <c r="L28" s="70"/>
      <c r="M28" s="71"/>
      <c r="N28" s="72"/>
      <c r="O28" s="69"/>
      <c r="P28" s="70"/>
      <c r="Q28" s="73">
        <f t="shared" si="1"/>
        <v>0</v>
      </c>
      <c r="R28" s="74" t="e">
        <f t="shared" si="2"/>
        <v>#DIV/0!</v>
      </c>
    </row>
    <row r="29" spans="1:18" ht="18" customHeight="1" thickBot="1" x14ac:dyDescent="0.3">
      <c r="A29" s="37"/>
      <c r="B29" s="77"/>
      <c r="C29" s="24"/>
      <c r="D29" s="75"/>
      <c r="E29" s="62"/>
      <c r="F29" s="63"/>
      <c r="G29" s="60"/>
      <c r="H29" s="61"/>
      <c r="I29" s="62"/>
      <c r="J29" s="63"/>
      <c r="K29" s="60"/>
      <c r="L29" s="61"/>
      <c r="M29" s="62"/>
      <c r="N29" s="63"/>
      <c r="O29" s="60"/>
      <c r="P29" s="61"/>
      <c r="Q29" s="78">
        <f t="shared" si="1"/>
        <v>0</v>
      </c>
      <c r="R29" s="65" t="e">
        <f t="shared" si="2"/>
        <v>#DIV/0!</v>
      </c>
    </row>
    <row r="30" spans="1:18" ht="18" customHeight="1" thickTop="1" x14ac:dyDescent="0.25">
      <c r="B30" s="79" t="s">
        <v>59</v>
      </c>
      <c r="C30" s="80">
        <f t="shared" ref="C30:Q30" si="3">SUM(C10:C29)</f>
        <v>1125</v>
      </c>
      <c r="D30" s="88">
        <f t="shared" si="3"/>
        <v>4590</v>
      </c>
      <c r="E30" s="81">
        <f t="shared" si="3"/>
        <v>1101</v>
      </c>
      <c r="F30" s="82">
        <f t="shared" si="3"/>
        <v>1053</v>
      </c>
      <c r="G30" s="83">
        <f t="shared" si="3"/>
        <v>456</v>
      </c>
      <c r="H30" s="84">
        <f t="shared" si="3"/>
        <v>455</v>
      </c>
      <c r="I30" s="81">
        <f t="shared" si="3"/>
        <v>0</v>
      </c>
      <c r="J30" s="82">
        <f t="shared" si="3"/>
        <v>0</v>
      </c>
      <c r="K30" s="83">
        <f t="shared" si="3"/>
        <v>0</v>
      </c>
      <c r="L30" s="84">
        <f t="shared" si="3"/>
        <v>0</v>
      </c>
      <c r="M30" s="81">
        <f t="shared" si="3"/>
        <v>0</v>
      </c>
      <c r="N30" s="82">
        <f t="shared" si="3"/>
        <v>0</v>
      </c>
      <c r="O30" s="83">
        <f t="shared" si="3"/>
        <v>0</v>
      </c>
      <c r="P30" s="84">
        <f t="shared" si="3"/>
        <v>0</v>
      </c>
      <c r="Q30" s="85">
        <f t="shared" si="3"/>
        <v>1557</v>
      </c>
      <c r="R30" s="86">
        <f>Q30/D30</f>
        <v>0.33921568627450982</v>
      </c>
    </row>
    <row r="32" spans="1:18" ht="18.75" customHeight="1" x14ac:dyDescent="0.25">
      <c r="I32" s="87"/>
      <c r="K32" s="87"/>
      <c r="M32" s="87"/>
    </row>
    <row r="34" spans="10:10" ht="33.4" customHeight="1" x14ac:dyDescent="0.25">
      <c r="J34" s="30"/>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6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8"/>
  <sheetViews>
    <sheetView showGridLines="0" showZeros="0" view="pageBreakPreview" topLeftCell="A19" zoomScaleNormal="100" zoomScaleSheetLayoutView="100" workbookViewId="0">
      <selection activeCell="B44" sqref="B44:J64"/>
    </sheetView>
  </sheetViews>
  <sheetFormatPr defaultColWidth="11.3984375" defaultRowHeight="18.75" customHeight="1" x14ac:dyDescent="0.25"/>
  <cols>
    <col min="1" max="1" width="2.73046875" style="89" customWidth="1"/>
    <col min="2" max="2" width="16.59765625" style="1" customWidth="1"/>
    <col min="3" max="3" width="8.86328125" style="1" customWidth="1"/>
    <col min="4" max="4" width="2.265625" style="1" customWidth="1"/>
    <col min="5" max="5" width="16.59765625" style="1" customWidth="1"/>
    <col min="6" max="6" width="8.86328125" style="1" customWidth="1"/>
    <col min="7" max="7" width="2.265625" style="1" customWidth="1"/>
    <col min="8" max="8" width="16.59765625" style="1" customWidth="1"/>
    <col min="9" max="9" width="8.86328125" style="1" customWidth="1"/>
    <col min="10" max="10" width="2.265625" style="1" customWidth="1"/>
    <col min="11" max="16384" width="11.3984375" style="1"/>
  </cols>
  <sheetData>
    <row r="1" spans="1:11" ht="18.75" customHeight="1" x14ac:dyDescent="0.25">
      <c r="A1" s="89" t="s">
        <v>119</v>
      </c>
      <c r="J1" s="90" t="s">
        <v>120</v>
      </c>
    </row>
    <row r="2" spans="1:11" ht="18.75" customHeight="1" x14ac:dyDescent="0.25">
      <c r="A2" s="218" t="s">
        <v>66</v>
      </c>
      <c r="B2" s="218"/>
      <c r="C2" s="218"/>
      <c r="D2" s="218"/>
      <c r="E2" s="218"/>
      <c r="F2" s="218"/>
      <c r="G2" s="218"/>
      <c r="H2" s="218"/>
      <c r="I2" s="218"/>
      <c r="J2" s="218"/>
    </row>
    <row r="3" spans="1:11" ht="7.5" customHeight="1" x14ac:dyDescent="0.25">
      <c r="B3" s="19"/>
      <c r="C3" s="19"/>
      <c r="D3" s="19"/>
      <c r="E3" s="19"/>
      <c r="F3" s="19"/>
      <c r="G3" s="19"/>
      <c r="H3" s="19"/>
      <c r="I3" s="19"/>
      <c r="J3" s="19"/>
    </row>
    <row r="4" spans="1:11" ht="18.75" customHeight="1" x14ac:dyDescent="0.25">
      <c r="A4" s="1" t="s">
        <v>6</v>
      </c>
      <c r="B4" s="1" t="s">
        <v>76</v>
      </c>
      <c r="I4" s="19"/>
      <c r="J4" s="19"/>
    </row>
    <row r="5" spans="1:11" ht="18.75" customHeight="1" x14ac:dyDescent="0.25">
      <c r="A5" s="1"/>
      <c r="B5" s="144" t="s">
        <v>196</v>
      </c>
      <c r="C5" s="145"/>
      <c r="D5" s="145"/>
      <c r="E5" s="145"/>
      <c r="F5" s="145"/>
      <c r="G5" s="145"/>
      <c r="H5" s="145"/>
      <c r="I5" s="145"/>
      <c r="J5" s="157"/>
      <c r="K5" s="1" t="str">
        <f>IF(B5="","入力してください","")</f>
        <v/>
      </c>
    </row>
    <row r="6" spans="1:11" ht="7.5" customHeight="1" x14ac:dyDescent="0.25">
      <c r="B6" s="19"/>
      <c r="C6" s="19"/>
      <c r="D6" s="19"/>
      <c r="E6" s="19"/>
      <c r="F6" s="19"/>
      <c r="G6" s="19"/>
      <c r="H6" s="19"/>
      <c r="I6" s="19"/>
      <c r="J6" s="19"/>
    </row>
    <row r="7" spans="1:11" ht="18.75" customHeight="1" x14ac:dyDescent="0.25">
      <c r="A7" s="1" t="s">
        <v>10</v>
      </c>
      <c r="B7" s="1" t="s">
        <v>41</v>
      </c>
      <c r="K7" s="7"/>
    </row>
    <row r="8" spans="1:11" ht="18.75" customHeight="1" x14ac:dyDescent="0.25">
      <c r="A8" s="41"/>
      <c r="B8" s="242" t="s">
        <v>222</v>
      </c>
      <c r="C8" s="243"/>
      <c r="D8" s="243"/>
      <c r="E8" s="243"/>
      <c r="F8" s="243"/>
      <c r="G8" s="243"/>
      <c r="H8" s="243"/>
      <c r="I8" s="251"/>
      <c r="J8" s="252"/>
      <c r="K8" s="1" t="str">
        <f>IF(B8="","入力してください","")</f>
        <v/>
      </c>
    </row>
    <row r="9" spans="1:11" ht="18.75" customHeight="1" x14ac:dyDescent="0.25">
      <c r="A9" s="41"/>
      <c r="B9" s="253"/>
      <c r="C9" s="254"/>
      <c r="D9" s="254"/>
      <c r="E9" s="254"/>
      <c r="F9" s="254"/>
      <c r="G9" s="254"/>
      <c r="H9" s="254"/>
      <c r="I9" s="254"/>
      <c r="J9" s="255"/>
    </row>
    <row r="10" spans="1:11" ht="18.75" customHeight="1" x14ac:dyDescent="0.25">
      <c r="A10" s="41"/>
      <c r="B10" s="253"/>
      <c r="C10" s="254"/>
      <c r="D10" s="254"/>
      <c r="E10" s="254"/>
      <c r="F10" s="254"/>
      <c r="G10" s="254"/>
      <c r="H10" s="254"/>
      <c r="I10" s="254"/>
      <c r="J10" s="255"/>
    </row>
    <row r="11" spans="1:11" ht="18.75" customHeight="1" x14ac:dyDescent="0.25">
      <c r="A11" s="41"/>
      <c r="B11" s="253"/>
      <c r="C11" s="254"/>
      <c r="D11" s="254"/>
      <c r="E11" s="254"/>
      <c r="F11" s="254"/>
      <c r="G11" s="254"/>
      <c r="H11" s="254"/>
      <c r="I11" s="254"/>
      <c r="J11" s="255"/>
    </row>
    <row r="12" spans="1:11" ht="18.75" customHeight="1" x14ac:dyDescent="0.25">
      <c r="A12" s="41"/>
      <c r="B12" s="253"/>
      <c r="C12" s="254"/>
      <c r="D12" s="254"/>
      <c r="E12" s="254"/>
      <c r="F12" s="254"/>
      <c r="G12" s="254"/>
      <c r="H12" s="254"/>
      <c r="I12" s="254"/>
      <c r="J12" s="255"/>
    </row>
    <row r="13" spans="1:11" ht="18.75" customHeight="1" x14ac:dyDescent="0.25">
      <c r="A13" s="41"/>
      <c r="B13" s="253"/>
      <c r="C13" s="254"/>
      <c r="D13" s="254"/>
      <c r="E13" s="254"/>
      <c r="F13" s="254"/>
      <c r="G13" s="254"/>
      <c r="H13" s="254"/>
      <c r="I13" s="254"/>
      <c r="J13" s="255"/>
    </row>
    <row r="14" spans="1:11" ht="18.75" customHeight="1" x14ac:dyDescent="0.25">
      <c r="A14" s="41"/>
      <c r="B14" s="253"/>
      <c r="C14" s="254"/>
      <c r="D14" s="254"/>
      <c r="E14" s="254"/>
      <c r="F14" s="254"/>
      <c r="G14" s="254"/>
      <c r="H14" s="254"/>
      <c r="I14" s="254"/>
      <c r="J14" s="255"/>
    </row>
    <row r="15" spans="1:11" ht="18.75" customHeight="1" x14ac:dyDescent="0.25">
      <c r="A15" s="41"/>
      <c r="B15" s="253"/>
      <c r="C15" s="254"/>
      <c r="D15" s="254"/>
      <c r="E15" s="254"/>
      <c r="F15" s="254"/>
      <c r="G15" s="254"/>
      <c r="H15" s="254"/>
      <c r="I15" s="254"/>
      <c r="J15" s="255"/>
    </row>
    <row r="16" spans="1:11" ht="18.75" customHeight="1" x14ac:dyDescent="0.25">
      <c r="A16" s="41"/>
      <c r="B16" s="256"/>
      <c r="C16" s="257"/>
      <c r="D16" s="257"/>
      <c r="E16" s="257"/>
      <c r="F16" s="257"/>
      <c r="G16" s="257"/>
      <c r="H16" s="257"/>
      <c r="I16" s="257"/>
      <c r="J16" s="258"/>
    </row>
    <row r="17" spans="1:11" ht="7.5" customHeight="1" x14ac:dyDescent="0.25">
      <c r="A17" s="41"/>
      <c r="B17" s="41"/>
      <c r="C17" s="41"/>
      <c r="D17" s="41"/>
      <c r="E17" s="41"/>
      <c r="F17" s="41"/>
      <c r="G17" s="41"/>
      <c r="H17" s="41"/>
      <c r="I17" s="41"/>
      <c r="J17" s="41"/>
    </row>
    <row r="18" spans="1:11" ht="18.75" customHeight="1" x14ac:dyDescent="0.25">
      <c r="A18" s="28" t="s">
        <v>11</v>
      </c>
      <c r="B18" s="28" t="s">
        <v>16</v>
      </c>
      <c r="C18" s="28"/>
      <c r="D18" s="28"/>
      <c r="E18" s="28"/>
      <c r="F18" s="28"/>
      <c r="G18" s="28"/>
      <c r="H18" s="28"/>
      <c r="I18" s="28"/>
      <c r="J18" s="28"/>
    </row>
    <row r="19" spans="1:11" ht="18.75" customHeight="1" x14ac:dyDescent="0.25">
      <c r="A19" s="41"/>
      <c r="B19" s="242" t="s">
        <v>197</v>
      </c>
      <c r="C19" s="243"/>
      <c r="D19" s="243"/>
      <c r="E19" s="243"/>
      <c r="F19" s="243"/>
      <c r="G19" s="243"/>
      <c r="H19" s="243"/>
      <c r="I19" s="251"/>
      <c r="J19" s="252"/>
      <c r="K19" s="1" t="str">
        <f>IF(B19="","入力してください","")</f>
        <v/>
      </c>
    </row>
    <row r="20" spans="1:11" ht="18.75" customHeight="1" x14ac:dyDescent="0.25">
      <c r="A20" s="41"/>
      <c r="B20" s="253"/>
      <c r="C20" s="254"/>
      <c r="D20" s="254"/>
      <c r="E20" s="254"/>
      <c r="F20" s="254"/>
      <c r="G20" s="254"/>
      <c r="H20" s="254"/>
      <c r="I20" s="254"/>
      <c r="J20" s="255"/>
    </row>
    <row r="21" spans="1:11" ht="18.75" customHeight="1" x14ac:dyDescent="0.25">
      <c r="A21" s="41"/>
      <c r="B21" s="253"/>
      <c r="C21" s="254"/>
      <c r="D21" s="254"/>
      <c r="E21" s="254"/>
      <c r="F21" s="254"/>
      <c r="G21" s="254"/>
      <c r="H21" s="254"/>
      <c r="I21" s="254"/>
      <c r="J21" s="255"/>
    </row>
    <row r="22" spans="1:11" ht="18.75" customHeight="1" x14ac:dyDescent="0.25">
      <c r="A22" s="41"/>
      <c r="B22" s="253"/>
      <c r="C22" s="254"/>
      <c r="D22" s="254"/>
      <c r="E22" s="254"/>
      <c r="F22" s="254"/>
      <c r="G22" s="254"/>
      <c r="H22" s="254"/>
      <c r="I22" s="254"/>
      <c r="J22" s="255"/>
    </row>
    <row r="23" spans="1:11" ht="18.75" customHeight="1" x14ac:dyDescent="0.25">
      <c r="A23" s="41"/>
      <c r="B23" s="253"/>
      <c r="C23" s="254"/>
      <c r="D23" s="254"/>
      <c r="E23" s="254"/>
      <c r="F23" s="254"/>
      <c r="G23" s="254"/>
      <c r="H23" s="254"/>
      <c r="I23" s="254"/>
      <c r="J23" s="255"/>
    </row>
    <row r="24" spans="1:11" ht="18.75" customHeight="1" x14ac:dyDescent="0.25">
      <c r="A24" s="41"/>
      <c r="B24" s="253"/>
      <c r="C24" s="254"/>
      <c r="D24" s="254"/>
      <c r="E24" s="254"/>
      <c r="F24" s="254"/>
      <c r="G24" s="254"/>
      <c r="H24" s="254"/>
      <c r="I24" s="254"/>
      <c r="J24" s="255"/>
    </row>
    <row r="25" spans="1:11" ht="18.75" customHeight="1" x14ac:dyDescent="0.25">
      <c r="A25" s="41"/>
      <c r="B25" s="253"/>
      <c r="C25" s="254"/>
      <c r="D25" s="254"/>
      <c r="E25" s="254"/>
      <c r="F25" s="254"/>
      <c r="G25" s="254"/>
      <c r="H25" s="254"/>
      <c r="I25" s="254"/>
      <c r="J25" s="255"/>
    </row>
    <row r="26" spans="1:11" ht="18.75" customHeight="1" x14ac:dyDescent="0.25">
      <c r="A26" s="41"/>
      <c r="B26" s="253"/>
      <c r="C26" s="254"/>
      <c r="D26" s="254"/>
      <c r="E26" s="254"/>
      <c r="F26" s="254"/>
      <c r="G26" s="254"/>
      <c r="H26" s="254"/>
      <c r="I26" s="254"/>
      <c r="J26" s="255"/>
    </row>
    <row r="27" spans="1:11" ht="18.75" customHeight="1" x14ac:dyDescent="0.25">
      <c r="A27" s="41"/>
      <c r="B27" s="253"/>
      <c r="C27" s="254"/>
      <c r="D27" s="254"/>
      <c r="E27" s="254"/>
      <c r="F27" s="254"/>
      <c r="G27" s="254"/>
      <c r="H27" s="254"/>
      <c r="I27" s="254"/>
      <c r="J27" s="255"/>
    </row>
    <row r="28" spans="1:11" ht="18.75" customHeight="1" x14ac:dyDescent="0.25">
      <c r="A28" s="41"/>
      <c r="B28" s="253"/>
      <c r="C28" s="254"/>
      <c r="D28" s="254"/>
      <c r="E28" s="254"/>
      <c r="F28" s="254"/>
      <c r="G28" s="254"/>
      <c r="H28" s="254"/>
      <c r="I28" s="254"/>
      <c r="J28" s="255"/>
    </row>
    <row r="29" spans="1:11" ht="18.75" customHeight="1" x14ac:dyDescent="0.25">
      <c r="A29" s="41"/>
      <c r="B29" s="256"/>
      <c r="C29" s="257"/>
      <c r="D29" s="257"/>
      <c r="E29" s="257"/>
      <c r="F29" s="257"/>
      <c r="G29" s="257"/>
      <c r="H29" s="257"/>
      <c r="I29" s="257"/>
      <c r="J29" s="258"/>
    </row>
    <row r="30" spans="1:11" ht="7.5" customHeight="1" x14ac:dyDescent="0.25">
      <c r="A30" s="91"/>
      <c r="B30" s="91"/>
      <c r="C30" s="91"/>
      <c r="D30" s="91"/>
      <c r="E30" s="91"/>
      <c r="F30" s="91"/>
      <c r="G30" s="91"/>
      <c r="H30" s="91"/>
      <c r="I30" s="91"/>
      <c r="J30" s="91"/>
    </row>
    <row r="31" spans="1:11" ht="18.75" customHeight="1" x14ac:dyDescent="0.25">
      <c r="A31" s="1" t="s">
        <v>14</v>
      </c>
      <c r="B31" s="1" t="s">
        <v>27</v>
      </c>
    </row>
    <row r="32" spans="1:11" s="19" customFormat="1" ht="18.75" customHeight="1" x14ac:dyDescent="0.25">
      <c r="B32" s="92" t="s">
        <v>121</v>
      </c>
      <c r="C32" s="93">
        <f>'様式３　履修者等数の実績'!R30</f>
        <v>0.33921568627450982</v>
      </c>
      <c r="D32" s="94"/>
      <c r="E32" s="94" t="s">
        <v>122</v>
      </c>
      <c r="F32" s="93">
        <v>0.57999999999999996</v>
      </c>
      <c r="G32" s="94"/>
      <c r="H32" s="94" t="s">
        <v>123</v>
      </c>
      <c r="I32" s="95">
        <v>0.83</v>
      </c>
      <c r="J32" s="96"/>
      <c r="K32" s="1"/>
    </row>
    <row r="33" spans="1:11" s="19" customFormat="1" ht="18.75" customHeight="1" x14ac:dyDescent="0.25">
      <c r="B33" s="97" t="s">
        <v>124</v>
      </c>
      <c r="C33" s="98">
        <v>1</v>
      </c>
      <c r="D33" s="99"/>
      <c r="E33" s="99" t="s">
        <v>125</v>
      </c>
      <c r="F33" s="98">
        <v>1</v>
      </c>
      <c r="G33" s="99"/>
      <c r="H33" s="99" t="s">
        <v>126</v>
      </c>
      <c r="I33" s="100">
        <f>'様式３　履修者等数の実績'!D30</f>
        <v>4590</v>
      </c>
      <c r="J33" s="101"/>
      <c r="K33" s="7"/>
    </row>
    <row r="34" spans="1:11" ht="33.4" customHeight="1" x14ac:dyDescent="0.25">
      <c r="A34" s="1"/>
      <c r="B34" s="188" t="s">
        <v>127</v>
      </c>
      <c r="C34" s="189"/>
      <c r="D34" s="189"/>
      <c r="E34" s="189"/>
      <c r="F34" s="189"/>
      <c r="G34" s="189"/>
      <c r="H34" s="189"/>
      <c r="I34" s="189"/>
      <c r="J34" s="190"/>
      <c r="K34" s="7"/>
    </row>
    <row r="35" spans="1:11" ht="18.75" customHeight="1" x14ac:dyDescent="0.25">
      <c r="A35" s="1"/>
      <c r="B35" s="260" t="s">
        <v>187</v>
      </c>
      <c r="C35" s="261"/>
      <c r="D35" s="261"/>
      <c r="E35" s="261"/>
      <c r="F35" s="261"/>
      <c r="G35" s="261"/>
      <c r="H35" s="261"/>
      <c r="I35" s="261"/>
      <c r="J35" s="262"/>
      <c r="K35" s="7" t="str">
        <f>IF(B35="","入力してください","")</f>
        <v/>
      </c>
    </row>
    <row r="36" spans="1:11" ht="18.75" customHeight="1" x14ac:dyDescent="0.25">
      <c r="A36" s="1"/>
      <c r="B36" s="245"/>
      <c r="C36" s="246"/>
      <c r="D36" s="246"/>
      <c r="E36" s="246"/>
      <c r="F36" s="246"/>
      <c r="G36" s="246"/>
      <c r="H36" s="246"/>
      <c r="I36" s="246"/>
      <c r="J36" s="247"/>
      <c r="K36" s="7"/>
    </row>
    <row r="37" spans="1:11" ht="18.75" customHeight="1" x14ac:dyDescent="0.25">
      <c r="A37" s="1"/>
      <c r="B37" s="245"/>
      <c r="C37" s="246"/>
      <c r="D37" s="246"/>
      <c r="E37" s="246"/>
      <c r="F37" s="246"/>
      <c r="G37" s="246"/>
      <c r="H37" s="246"/>
      <c r="I37" s="246"/>
      <c r="J37" s="247"/>
      <c r="K37" s="7"/>
    </row>
    <row r="38" spans="1:11" ht="18.75" customHeight="1" x14ac:dyDescent="0.25">
      <c r="A38" s="1"/>
      <c r="B38" s="245"/>
      <c r="C38" s="246"/>
      <c r="D38" s="246"/>
      <c r="E38" s="246"/>
      <c r="F38" s="246"/>
      <c r="G38" s="246"/>
      <c r="H38" s="246"/>
      <c r="I38" s="246"/>
      <c r="J38" s="247"/>
      <c r="K38" s="7"/>
    </row>
    <row r="39" spans="1:11" ht="18.75" customHeight="1" x14ac:dyDescent="0.25">
      <c r="A39" s="1"/>
      <c r="B39" s="245"/>
      <c r="C39" s="246"/>
      <c r="D39" s="246"/>
      <c r="E39" s="246"/>
      <c r="F39" s="246"/>
      <c r="G39" s="246"/>
      <c r="H39" s="246"/>
      <c r="I39" s="246"/>
      <c r="J39" s="247"/>
      <c r="K39" s="7"/>
    </row>
    <row r="40" spans="1:11" ht="18.75" customHeight="1" x14ac:dyDescent="0.25">
      <c r="A40" s="1"/>
      <c r="B40" s="245"/>
      <c r="C40" s="246"/>
      <c r="D40" s="246"/>
      <c r="E40" s="246"/>
      <c r="F40" s="246"/>
      <c r="G40" s="246"/>
      <c r="H40" s="246"/>
      <c r="I40" s="246"/>
      <c r="J40" s="247"/>
      <c r="K40" s="7"/>
    </row>
    <row r="41" spans="1:11" ht="18.75" customHeight="1" x14ac:dyDescent="0.25">
      <c r="A41" s="91"/>
      <c r="B41" s="245"/>
      <c r="C41" s="246"/>
      <c r="D41" s="246"/>
      <c r="E41" s="246"/>
      <c r="F41" s="246"/>
      <c r="G41" s="246"/>
      <c r="H41" s="246"/>
      <c r="I41" s="246"/>
      <c r="J41" s="247"/>
      <c r="K41" s="7"/>
    </row>
    <row r="42" spans="1:11" ht="18.75" customHeight="1" x14ac:dyDescent="0.25">
      <c r="A42" s="91"/>
      <c r="B42" s="248"/>
      <c r="C42" s="249"/>
      <c r="D42" s="249"/>
      <c r="E42" s="249"/>
      <c r="F42" s="249"/>
      <c r="G42" s="249"/>
      <c r="H42" s="249"/>
      <c r="I42" s="249"/>
      <c r="J42" s="250"/>
    </row>
    <row r="43" spans="1:11" ht="18.75" customHeight="1" x14ac:dyDescent="0.25">
      <c r="A43" s="28" t="s">
        <v>12</v>
      </c>
      <c r="B43" s="1" t="s">
        <v>67</v>
      </c>
      <c r="I43" s="28"/>
      <c r="J43" s="28"/>
    </row>
    <row r="44" spans="1:11" ht="18.75" customHeight="1" x14ac:dyDescent="0.25">
      <c r="A44" s="91"/>
      <c r="B44" s="242" t="s">
        <v>199</v>
      </c>
      <c r="C44" s="243"/>
      <c r="D44" s="243"/>
      <c r="E44" s="243"/>
      <c r="F44" s="243"/>
      <c r="G44" s="243"/>
      <c r="H44" s="243"/>
      <c r="I44" s="243"/>
      <c r="J44" s="244"/>
      <c r="K44" s="1" t="str">
        <f>IF(B44="","入力してください","")</f>
        <v/>
      </c>
    </row>
    <row r="45" spans="1:11" ht="18.75" customHeight="1" x14ac:dyDescent="0.25">
      <c r="A45" s="91"/>
      <c r="B45" s="245"/>
      <c r="C45" s="246"/>
      <c r="D45" s="246"/>
      <c r="E45" s="246"/>
      <c r="F45" s="246"/>
      <c r="G45" s="246"/>
      <c r="H45" s="246"/>
      <c r="I45" s="246"/>
      <c r="J45" s="247"/>
    </row>
    <row r="46" spans="1:11" ht="18.75" customHeight="1" x14ac:dyDescent="0.25">
      <c r="A46" s="91"/>
      <c r="B46" s="245"/>
      <c r="C46" s="246"/>
      <c r="D46" s="246"/>
      <c r="E46" s="246"/>
      <c r="F46" s="246"/>
      <c r="G46" s="246"/>
      <c r="H46" s="246"/>
      <c r="I46" s="246"/>
      <c r="J46" s="247"/>
    </row>
    <row r="47" spans="1:11" ht="18.75" customHeight="1" x14ac:dyDescent="0.25">
      <c r="A47" s="91"/>
      <c r="B47" s="245"/>
      <c r="C47" s="246"/>
      <c r="D47" s="246"/>
      <c r="E47" s="246"/>
      <c r="F47" s="246"/>
      <c r="G47" s="246"/>
      <c r="H47" s="246"/>
      <c r="I47" s="246"/>
      <c r="J47" s="247"/>
    </row>
    <row r="48" spans="1:11" ht="18.75" customHeight="1" x14ac:dyDescent="0.25">
      <c r="A48" s="91"/>
      <c r="B48" s="245"/>
      <c r="C48" s="246"/>
      <c r="D48" s="246"/>
      <c r="E48" s="246"/>
      <c r="F48" s="246"/>
      <c r="G48" s="246"/>
      <c r="H48" s="246"/>
      <c r="I48" s="246"/>
      <c r="J48" s="247"/>
    </row>
    <row r="49" spans="1:10" ht="18.75" customHeight="1" x14ac:dyDescent="0.25">
      <c r="A49" s="91"/>
      <c r="B49" s="245"/>
      <c r="C49" s="246"/>
      <c r="D49" s="246"/>
      <c r="E49" s="246"/>
      <c r="F49" s="246"/>
      <c r="G49" s="246"/>
      <c r="H49" s="246"/>
      <c r="I49" s="246"/>
      <c r="J49" s="247"/>
    </row>
    <row r="50" spans="1:10" ht="18.75" customHeight="1" x14ac:dyDescent="0.25">
      <c r="A50" s="91"/>
      <c r="B50" s="245"/>
      <c r="C50" s="246"/>
      <c r="D50" s="246"/>
      <c r="E50" s="246"/>
      <c r="F50" s="246"/>
      <c r="G50" s="246"/>
      <c r="H50" s="246"/>
      <c r="I50" s="246"/>
      <c r="J50" s="247"/>
    </row>
    <row r="51" spans="1:10" ht="18.75" customHeight="1" x14ac:dyDescent="0.25">
      <c r="A51" s="91"/>
      <c r="B51" s="245"/>
      <c r="C51" s="246"/>
      <c r="D51" s="246"/>
      <c r="E51" s="246"/>
      <c r="F51" s="246"/>
      <c r="G51" s="246"/>
      <c r="H51" s="246"/>
      <c r="I51" s="246"/>
      <c r="J51" s="247"/>
    </row>
    <row r="52" spans="1:10" ht="18.75" customHeight="1" x14ac:dyDescent="0.25">
      <c r="A52" s="91"/>
      <c r="B52" s="245"/>
      <c r="C52" s="246"/>
      <c r="D52" s="246"/>
      <c r="E52" s="246"/>
      <c r="F52" s="246"/>
      <c r="G52" s="246"/>
      <c r="H52" s="246"/>
      <c r="I52" s="246"/>
      <c r="J52" s="247"/>
    </row>
    <row r="53" spans="1:10" ht="18.75" customHeight="1" x14ac:dyDescent="0.25">
      <c r="A53" s="91"/>
      <c r="B53" s="245"/>
      <c r="C53" s="246"/>
      <c r="D53" s="246"/>
      <c r="E53" s="246"/>
      <c r="F53" s="246"/>
      <c r="G53" s="246"/>
      <c r="H53" s="246"/>
      <c r="I53" s="246"/>
      <c r="J53" s="247"/>
    </row>
    <row r="54" spans="1:10" ht="18.75" customHeight="1" x14ac:dyDescent="0.25">
      <c r="A54" s="91"/>
      <c r="B54" s="245"/>
      <c r="C54" s="246"/>
      <c r="D54" s="246"/>
      <c r="E54" s="246"/>
      <c r="F54" s="246"/>
      <c r="G54" s="246"/>
      <c r="H54" s="246"/>
      <c r="I54" s="246"/>
      <c r="J54" s="247"/>
    </row>
    <row r="55" spans="1:10" ht="18.75" customHeight="1" x14ac:dyDescent="0.25">
      <c r="A55" s="91"/>
      <c r="B55" s="245"/>
      <c r="C55" s="246"/>
      <c r="D55" s="246"/>
      <c r="E55" s="246"/>
      <c r="F55" s="246"/>
      <c r="G55" s="246"/>
      <c r="H55" s="246"/>
      <c r="I55" s="246"/>
      <c r="J55" s="247"/>
    </row>
    <row r="56" spans="1:10" ht="18.75" customHeight="1" x14ac:dyDescent="0.25">
      <c r="A56" s="91"/>
      <c r="B56" s="245"/>
      <c r="C56" s="246"/>
      <c r="D56" s="246"/>
      <c r="E56" s="246"/>
      <c r="F56" s="246"/>
      <c r="G56" s="246"/>
      <c r="H56" s="246"/>
      <c r="I56" s="246"/>
      <c r="J56" s="247"/>
    </row>
    <row r="57" spans="1:10" ht="18.75" customHeight="1" x14ac:dyDescent="0.25">
      <c r="A57" s="91"/>
      <c r="B57" s="245"/>
      <c r="C57" s="246"/>
      <c r="D57" s="246"/>
      <c r="E57" s="246"/>
      <c r="F57" s="246"/>
      <c r="G57" s="246"/>
      <c r="H57" s="246"/>
      <c r="I57" s="246"/>
      <c r="J57" s="247"/>
    </row>
    <row r="58" spans="1:10" ht="18.75" customHeight="1" x14ac:dyDescent="0.25">
      <c r="A58" s="91"/>
      <c r="B58" s="245"/>
      <c r="C58" s="246"/>
      <c r="D58" s="246"/>
      <c r="E58" s="246"/>
      <c r="F58" s="246"/>
      <c r="G58" s="246"/>
      <c r="H58" s="246"/>
      <c r="I58" s="246"/>
      <c r="J58" s="247"/>
    </row>
    <row r="59" spans="1:10" ht="18.75" customHeight="1" x14ac:dyDescent="0.25">
      <c r="A59" s="91"/>
      <c r="B59" s="245"/>
      <c r="C59" s="246"/>
      <c r="D59" s="246"/>
      <c r="E59" s="246"/>
      <c r="F59" s="246"/>
      <c r="G59" s="246"/>
      <c r="H59" s="246"/>
      <c r="I59" s="246"/>
      <c r="J59" s="247"/>
    </row>
    <row r="60" spans="1:10" ht="18.75" customHeight="1" x14ac:dyDescent="0.25">
      <c r="A60" s="91"/>
      <c r="B60" s="245"/>
      <c r="C60" s="246"/>
      <c r="D60" s="246"/>
      <c r="E60" s="246"/>
      <c r="F60" s="246"/>
      <c r="G60" s="246"/>
      <c r="H60" s="246"/>
      <c r="I60" s="246"/>
      <c r="J60" s="247"/>
    </row>
    <row r="61" spans="1:10" ht="18.75" customHeight="1" x14ac:dyDescent="0.25">
      <c r="A61" s="91"/>
      <c r="B61" s="245"/>
      <c r="C61" s="246"/>
      <c r="D61" s="246"/>
      <c r="E61" s="246"/>
      <c r="F61" s="246"/>
      <c r="G61" s="246"/>
      <c r="H61" s="246"/>
      <c r="I61" s="246"/>
      <c r="J61" s="247"/>
    </row>
    <row r="62" spans="1:10" ht="18.75" customHeight="1" x14ac:dyDescent="0.25">
      <c r="A62" s="91"/>
      <c r="B62" s="245"/>
      <c r="C62" s="246"/>
      <c r="D62" s="246"/>
      <c r="E62" s="246"/>
      <c r="F62" s="246"/>
      <c r="G62" s="246"/>
      <c r="H62" s="246"/>
      <c r="I62" s="246"/>
      <c r="J62" s="247"/>
    </row>
    <row r="63" spans="1:10" ht="18.75" customHeight="1" x14ac:dyDescent="0.25">
      <c r="A63" s="91"/>
      <c r="B63" s="245"/>
      <c r="C63" s="246"/>
      <c r="D63" s="246"/>
      <c r="E63" s="246"/>
      <c r="F63" s="246"/>
      <c r="G63" s="246"/>
      <c r="H63" s="246"/>
      <c r="I63" s="246"/>
      <c r="J63" s="247"/>
    </row>
    <row r="64" spans="1:10" ht="18.75" customHeight="1" x14ac:dyDescent="0.25">
      <c r="A64" s="91"/>
      <c r="B64" s="248"/>
      <c r="C64" s="249"/>
      <c r="D64" s="249"/>
      <c r="E64" s="249"/>
      <c r="F64" s="249"/>
      <c r="G64" s="249"/>
      <c r="H64" s="249"/>
      <c r="I64" s="249"/>
      <c r="J64" s="250"/>
    </row>
    <row r="65" spans="1:11" ht="7.5" customHeight="1" x14ac:dyDescent="0.25">
      <c r="A65" s="91"/>
      <c r="B65" s="91"/>
      <c r="C65" s="91"/>
      <c r="D65" s="91"/>
      <c r="E65" s="91"/>
      <c r="F65" s="91"/>
      <c r="G65" s="91"/>
      <c r="H65" s="91"/>
      <c r="I65" s="91"/>
      <c r="J65" s="91"/>
    </row>
    <row r="66" spans="1:11" ht="18.75" customHeight="1" x14ac:dyDescent="0.25">
      <c r="A66" s="1" t="s">
        <v>15</v>
      </c>
      <c r="B66" s="1" t="s">
        <v>75</v>
      </c>
    </row>
    <row r="67" spans="1:11" ht="18.75" customHeight="1" x14ac:dyDescent="0.25">
      <c r="A67" s="1"/>
      <c r="B67" s="242" t="s">
        <v>200</v>
      </c>
      <c r="C67" s="243"/>
      <c r="D67" s="243"/>
      <c r="E67" s="243"/>
      <c r="F67" s="243"/>
      <c r="G67" s="243"/>
      <c r="H67" s="243"/>
      <c r="I67" s="251"/>
      <c r="J67" s="252"/>
      <c r="K67" s="7" t="str">
        <f>IF(B67="","入力してください","")</f>
        <v/>
      </c>
    </row>
    <row r="68" spans="1:11" ht="18.75" customHeight="1" x14ac:dyDescent="0.25">
      <c r="A68" s="1"/>
      <c r="B68" s="253"/>
      <c r="C68" s="254"/>
      <c r="D68" s="254"/>
      <c r="E68" s="254"/>
      <c r="F68" s="254"/>
      <c r="G68" s="254"/>
      <c r="H68" s="254"/>
      <c r="I68" s="254"/>
      <c r="J68" s="255"/>
      <c r="K68" s="7"/>
    </row>
    <row r="69" spans="1:11" ht="18.75" customHeight="1" x14ac:dyDescent="0.25">
      <c r="A69" s="1"/>
      <c r="B69" s="253"/>
      <c r="C69" s="254"/>
      <c r="D69" s="254"/>
      <c r="E69" s="254"/>
      <c r="F69" s="254"/>
      <c r="G69" s="254"/>
      <c r="H69" s="254"/>
      <c r="I69" s="254"/>
      <c r="J69" s="255"/>
      <c r="K69" s="7"/>
    </row>
    <row r="70" spans="1:11" ht="18.75" customHeight="1" x14ac:dyDescent="0.25">
      <c r="A70" s="1"/>
      <c r="B70" s="253"/>
      <c r="C70" s="254"/>
      <c r="D70" s="254"/>
      <c r="E70" s="254"/>
      <c r="F70" s="254"/>
      <c r="G70" s="254"/>
      <c r="H70" s="254"/>
      <c r="I70" s="254"/>
      <c r="J70" s="255"/>
      <c r="K70" s="7"/>
    </row>
    <row r="71" spans="1:11" ht="18.75" customHeight="1" x14ac:dyDescent="0.25">
      <c r="A71" s="1"/>
      <c r="B71" s="253"/>
      <c r="C71" s="254"/>
      <c r="D71" s="254"/>
      <c r="E71" s="254"/>
      <c r="F71" s="254"/>
      <c r="G71" s="254"/>
      <c r="H71" s="254"/>
      <c r="I71" s="254"/>
      <c r="J71" s="255"/>
      <c r="K71" s="7"/>
    </row>
    <row r="72" spans="1:11" ht="18.75" customHeight="1" x14ac:dyDescent="0.25">
      <c r="A72" s="1"/>
      <c r="B72" s="253"/>
      <c r="C72" s="254"/>
      <c r="D72" s="254"/>
      <c r="E72" s="254"/>
      <c r="F72" s="254"/>
      <c r="G72" s="254"/>
      <c r="H72" s="254"/>
      <c r="I72" s="254"/>
      <c r="J72" s="255"/>
      <c r="K72" s="7"/>
    </row>
    <row r="73" spans="1:11" ht="18.75" customHeight="1" x14ac:dyDescent="0.25">
      <c r="A73" s="1"/>
      <c r="B73" s="253"/>
      <c r="C73" s="254"/>
      <c r="D73" s="254"/>
      <c r="E73" s="254"/>
      <c r="F73" s="254"/>
      <c r="G73" s="254"/>
      <c r="H73" s="254"/>
      <c r="I73" s="254"/>
      <c r="J73" s="255"/>
      <c r="K73" s="7"/>
    </row>
    <row r="74" spans="1:11" ht="18.75" customHeight="1" x14ac:dyDescent="0.25">
      <c r="A74" s="1"/>
      <c r="B74" s="253"/>
      <c r="C74" s="254"/>
      <c r="D74" s="254"/>
      <c r="E74" s="254"/>
      <c r="F74" s="254"/>
      <c r="G74" s="254"/>
      <c r="H74" s="254"/>
      <c r="I74" s="254"/>
      <c r="J74" s="255"/>
      <c r="K74" s="7"/>
    </row>
    <row r="75" spans="1:11" ht="18.75" customHeight="1" x14ac:dyDescent="0.25">
      <c r="A75" s="1"/>
      <c r="B75" s="253"/>
      <c r="C75" s="254"/>
      <c r="D75" s="254"/>
      <c r="E75" s="254"/>
      <c r="F75" s="254"/>
      <c r="G75" s="254"/>
      <c r="H75" s="254"/>
      <c r="I75" s="254"/>
      <c r="J75" s="255"/>
      <c r="K75" s="7"/>
    </row>
    <row r="76" spans="1:11" ht="18.75" customHeight="1" x14ac:dyDescent="0.25">
      <c r="A76" s="1"/>
      <c r="B76" s="253"/>
      <c r="C76" s="254"/>
      <c r="D76" s="254"/>
      <c r="E76" s="254"/>
      <c r="F76" s="254"/>
      <c r="G76" s="254"/>
      <c r="H76" s="254"/>
      <c r="I76" s="254"/>
      <c r="J76" s="255"/>
      <c r="K76" s="7"/>
    </row>
    <row r="77" spans="1:11" ht="18.75" customHeight="1" x14ac:dyDescent="0.25">
      <c r="A77" s="1"/>
      <c r="B77" s="253"/>
      <c r="C77" s="254"/>
      <c r="D77" s="254"/>
      <c r="E77" s="254"/>
      <c r="F77" s="254"/>
      <c r="G77" s="254"/>
      <c r="H77" s="254"/>
      <c r="I77" s="254"/>
      <c r="J77" s="255"/>
      <c r="K77" s="7"/>
    </row>
    <row r="78" spans="1:11" ht="18.75" customHeight="1" x14ac:dyDescent="0.25">
      <c r="A78" s="1"/>
      <c r="B78" s="253"/>
      <c r="C78" s="254"/>
      <c r="D78" s="254"/>
      <c r="E78" s="254"/>
      <c r="F78" s="254"/>
      <c r="G78" s="254"/>
      <c r="H78" s="254"/>
      <c r="I78" s="254"/>
      <c r="J78" s="255"/>
      <c r="K78" s="7"/>
    </row>
    <row r="79" spans="1:11" ht="18.75" customHeight="1" x14ac:dyDescent="0.25">
      <c r="A79" s="1"/>
      <c r="B79" s="253"/>
      <c r="C79" s="254"/>
      <c r="D79" s="254"/>
      <c r="E79" s="254"/>
      <c r="F79" s="254"/>
      <c r="G79" s="254"/>
      <c r="H79" s="254"/>
      <c r="I79" s="254"/>
      <c r="J79" s="255"/>
      <c r="K79" s="7"/>
    </row>
    <row r="80" spans="1:11" ht="18.75" customHeight="1" x14ac:dyDescent="0.25">
      <c r="A80" s="1"/>
      <c r="B80" s="253"/>
      <c r="C80" s="254"/>
      <c r="D80" s="254"/>
      <c r="E80" s="254"/>
      <c r="F80" s="254"/>
      <c r="G80" s="254"/>
      <c r="H80" s="254"/>
      <c r="I80" s="254"/>
      <c r="J80" s="255"/>
      <c r="K80" s="7"/>
    </row>
    <row r="81" spans="1:11" ht="18.75" customHeight="1" x14ac:dyDescent="0.25">
      <c r="A81" s="91"/>
      <c r="B81" s="253"/>
      <c r="C81" s="254"/>
      <c r="D81" s="254"/>
      <c r="E81" s="254"/>
      <c r="F81" s="254"/>
      <c r="G81" s="254"/>
      <c r="H81" s="254"/>
      <c r="I81" s="254"/>
      <c r="J81" s="255"/>
      <c r="K81" s="7"/>
    </row>
    <row r="82" spans="1:11" ht="18.75" customHeight="1" x14ac:dyDescent="0.25">
      <c r="A82" s="91"/>
      <c r="B82" s="256"/>
      <c r="C82" s="257"/>
      <c r="D82" s="257"/>
      <c r="E82" s="257"/>
      <c r="F82" s="257"/>
      <c r="G82" s="257"/>
      <c r="H82" s="257"/>
      <c r="I82" s="257"/>
      <c r="J82" s="258"/>
      <c r="K82" s="7"/>
    </row>
    <row r="83" spans="1:11" ht="7.5" customHeight="1" x14ac:dyDescent="0.25">
      <c r="A83" s="91"/>
      <c r="B83" s="91"/>
      <c r="C83" s="91"/>
      <c r="D83" s="91"/>
      <c r="E83" s="91"/>
      <c r="F83" s="91"/>
      <c r="G83" s="91"/>
      <c r="H83" s="91"/>
      <c r="I83" s="91"/>
      <c r="J83" s="91"/>
    </row>
    <row r="84" spans="1:11" ht="18.75" customHeight="1" x14ac:dyDescent="0.25">
      <c r="A84" s="1" t="s">
        <v>13</v>
      </c>
      <c r="B84" s="1" t="s">
        <v>29</v>
      </c>
    </row>
    <row r="85" spans="1:11" ht="18.75" customHeight="1" x14ac:dyDescent="0.25">
      <c r="A85" s="1"/>
      <c r="B85" s="242" t="s">
        <v>201</v>
      </c>
      <c r="C85" s="243"/>
      <c r="D85" s="243"/>
      <c r="E85" s="243"/>
      <c r="F85" s="243"/>
      <c r="G85" s="243"/>
      <c r="H85" s="243"/>
      <c r="I85" s="251"/>
      <c r="J85" s="252"/>
    </row>
    <row r="86" spans="1:11" ht="18.75" customHeight="1" x14ac:dyDescent="0.25">
      <c r="A86" s="1"/>
      <c r="B86" s="253"/>
      <c r="C86" s="254"/>
      <c r="D86" s="254"/>
      <c r="E86" s="254"/>
      <c r="F86" s="254"/>
      <c r="G86" s="254"/>
      <c r="H86" s="254"/>
      <c r="I86" s="254"/>
      <c r="J86" s="255"/>
      <c r="K86" s="7"/>
    </row>
    <row r="87" spans="1:11" ht="18.75" customHeight="1" x14ac:dyDescent="0.25">
      <c r="A87" s="1"/>
      <c r="B87" s="253"/>
      <c r="C87" s="254"/>
      <c r="D87" s="254"/>
      <c r="E87" s="254"/>
      <c r="F87" s="254"/>
      <c r="G87" s="254"/>
      <c r="H87" s="254"/>
      <c r="I87" s="254"/>
      <c r="J87" s="255"/>
      <c r="K87" s="7" t="str">
        <f>IF(B85="","入力してください","")</f>
        <v/>
      </c>
    </row>
    <row r="88" spans="1:11" ht="18.75" customHeight="1" x14ac:dyDescent="0.25">
      <c r="A88" s="1"/>
      <c r="B88" s="253"/>
      <c r="C88" s="254"/>
      <c r="D88" s="254"/>
      <c r="E88" s="254"/>
      <c r="F88" s="254"/>
      <c r="G88" s="254"/>
      <c r="H88" s="254"/>
      <c r="I88" s="254"/>
      <c r="J88" s="255"/>
      <c r="K88" s="7"/>
    </row>
    <row r="89" spans="1:11" ht="18.75" customHeight="1" x14ac:dyDescent="0.25">
      <c r="A89" s="1"/>
      <c r="B89" s="253"/>
      <c r="C89" s="254"/>
      <c r="D89" s="254"/>
      <c r="E89" s="254"/>
      <c r="F89" s="254"/>
      <c r="G89" s="254"/>
      <c r="H89" s="254"/>
      <c r="I89" s="254"/>
      <c r="J89" s="255"/>
      <c r="K89" s="7"/>
    </row>
    <row r="90" spans="1:11" ht="18.75" customHeight="1" x14ac:dyDescent="0.25">
      <c r="A90" s="1"/>
      <c r="B90" s="253"/>
      <c r="C90" s="254"/>
      <c r="D90" s="254"/>
      <c r="E90" s="254"/>
      <c r="F90" s="254"/>
      <c r="G90" s="254"/>
      <c r="H90" s="254"/>
      <c r="I90" s="254"/>
      <c r="J90" s="255"/>
      <c r="K90" s="7"/>
    </row>
    <row r="91" spans="1:11" ht="18.75" customHeight="1" x14ac:dyDescent="0.25">
      <c r="A91" s="1"/>
      <c r="B91" s="253"/>
      <c r="C91" s="254"/>
      <c r="D91" s="254"/>
      <c r="E91" s="254"/>
      <c r="F91" s="254"/>
      <c r="G91" s="254"/>
      <c r="H91" s="254"/>
      <c r="I91" s="254"/>
      <c r="J91" s="255"/>
      <c r="K91" s="7"/>
    </row>
    <row r="92" spans="1:11" ht="18.75" customHeight="1" x14ac:dyDescent="0.25">
      <c r="A92" s="1"/>
      <c r="B92" s="253"/>
      <c r="C92" s="254"/>
      <c r="D92" s="254"/>
      <c r="E92" s="254"/>
      <c r="F92" s="254"/>
      <c r="G92" s="254"/>
      <c r="H92" s="254"/>
      <c r="I92" s="254"/>
      <c r="J92" s="255"/>
      <c r="K92" s="7"/>
    </row>
    <row r="93" spans="1:11" ht="18.75" customHeight="1" x14ac:dyDescent="0.25">
      <c r="A93" s="1"/>
      <c r="B93" s="253"/>
      <c r="C93" s="254"/>
      <c r="D93" s="254"/>
      <c r="E93" s="254"/>
      <c r="F93" s="254"/>
      <c r="G93" s="254"/>
      <c r="H93" s="254"/>
      <c r="I93" s="254"/>
      <c r="J93" s="255"/>
      <c r="K93" s="7"/>
    </row>
    <row r="94" spans="1:11" ht="18.75" customHeight="1" x14ac:dyDescent="0.25">
      <c r="A94" s="1"/>
      <c r="B94" s="253"/>
      <c r="C94" s="254"/>
      <c r="D94" s="254"/>
      <c r="E94" s="254"/>
      <c r="F94" s="254"/>
      <c r="G94" s="254"/>
      <c r="H94" s="254"/>
      <c r="I94" s="254"/>
      <c r="J94" s="255"/>
      <c r="K94" s="7"/>
    </row>
    <row r="95" spans="1:11" ht="18.75" customHeight="1" x14ac:dyDescent="0.25">
      <c r="A95" s="1"/>
      <c r="B95" s="253"/>
      <c r="C95" s="254"/>
      <c r="D95" s="254"/>
      <c r="E95" s="254"/>
      <c r="F95" s="254"/>
      <c r="G95" s="254"/>
      <c r="H95" s="254"/>
      <c r="I95" s="254"/>
      <c r="J95" s="255"/>
      <c r="K95" s="7"/>
    </row>
    <row r="96" spans="1:11" ht="18.75" customHeight="1" x14ac:dyDescent="0.25">
      <c r="A96" s="1"/>
      <c r="B96" s="253"/>
      <c r="C96" s="254"/>
      <c r="D96" s="254"/>
      <c r="E96" s="254"/>
      <c r="F96" s="254"/>
      <c r="G96" s="254"/>
      <c r="H96" s="254"/>
      <c r="I96" s="254"/>
      <c r="J96" s="255"/>
      <c r="K96" s="7"/>
    </row>
    <row r="97" spans="1:11" ht="18.75" customHeight="1" x14ac:dyDescent="0.25">
      <c r="A97" s="1"/>
      <c r="B97" s="253"/>
      <c r="C97" s="254"/>
      <c r="D97" s="254"/>
      <c r="E97" s="254"/>
      <c r="F97" s="254"/>
      <c r="G97" s="254"/>
      <c r="H97" s="254"/>
      <c r="I97" s="254"/>
      <c r="J97" s="255"/>
      <c r="K97" s="7"/>
    </row>
    <row r="98" spans="1:11" ht="18.75" customHeight="1" x14ac:dyDescent="0.25">
      <c r="A98" s="1"/>
      <c r="B98" s="253"/>
      <c r="C98" s="254"/>
      <c r="D98" s="254"/>
      <c r="E98" s="254"/>
      <c r="F98" s="254"/>
      <c r="G98" s="254"/>
      <c r="H98" s="254"/>
      <c r="I98" s="254"/>
      <c r="J98" s="255"/>
      <c r="K98" s="7"/>
    </row>
    <row r="99" spans="1:11" ht="18.75" customHeight="1" x14ac:dyDescent="0.25">
      <c r="A99" s="1"/>
      <c r="B99" s="253"/>
      <c r="C99" s="254"/>
      <c r="D99" s="254"/>
      <c r="E99" s="254"/>
      <c r="F99" s="254"/>
      <c r="G99" s="254"/>
      <c r="H99" s="254"/>
      <c r="I99" s="254"/>
      <c r="J99" s="255"/>
      <c r="K99" s="7"/>
    </row>
    <row r="100" spans="1:11" ht="18.75" customHeight="1" x14ac:dyDescent="0.25">
      <c r="A100" s="1"/>
      <c r="B100" s="253"/>
      <c r="C100" s="254"/>
      <c r="D100" s="254"/>
      <c r="E100" s="254"/>
      <c r="F100" s="254"/>
      <c r="G100" s="254"/>
      <c r="H100" s="254"/>
      <c r="I100" s="254"/>
      <c r="J100" s="255"/>
      <c r="K100" s="7"/>
    </row>
    <row r="101" spans="1:11" ht="18.75" customHeight="1" x14ac:dyDescent="0.25">
      <c r="A101" s="1"/>
      <c r="B101" s="253"/>
      <c r="C101" s="254"/>
      <c r="D101" s="254"/>
      <c r="E101" s="254"/>
      <c r="F101" s="254"/>
      <c r="G101" s="254"/>
      <c r="H101" s="254"/>
      <c r="I101" s="254"/>
      <c r="J101" s="255"/>
      <c r="K101" s="7"/>
    </row>
    <row r="102" spans="1:11" ht="18.75" customHeight="1" x14ac:dyDescent="0.25">
      <c r="A102" s="1"/>
      <c r="B102" s="253"/>
      <c r="C102" s="254"/>
      <c r="D102" s="254"/>
      <c r="E102" s="254"/>
      <c r="F102" s="254"/>
      <c r="G102" s="254"/>
      <c r="H102" s="254"/>
      <c r="I102" s="254"/>
      <c r="J102" s="255"/>
      <c r="K102" s="7"/>
    </row>
    <row r="103" spans="1:11" ht="18.75" customHeight="1" x14ac:dyDescent="0.25">
      <c r="A103" s="91"/>
      <c r="B103" s="253"/>
      <c r="C103" s="254"/>
      <c r="D103" s="254"/>
      <c r="E103" s="254"/>
      <c r="F103" s="254"/>
      <c r="G103" s="254"/>
      <c r="H103" s="254"/>
      <c r="I103" s="254"/>
      <c r="J103" s="255"/>
      <c r="K103" s="7"/>
    </row>
    <row r="104" spans="1:11" ht="18.75" customHeight="1" x14ac:dyDescent="0.25">
      <c r="A104" s="91"/>
      <c r="B104" s="256"/>
      <c r="C104" s="257"/>
      <c r="D104" s="257"/>
      <c r="E104" s="257"/>
      <c r="F104" s="257"/>
      <c r="G104" s="257"/>
      <c r="H104" s="257"/>
      <c r="I104" s="257"/>
      <c r="J104" s="258"/>
      <c r="K104" s="7"/>
    </row>
    <row r="105" spans="1:11" ht="7.5" customHeight="1" x14ac:dyDescent="0.25">
      <c r="A105" s="91"/>
      <c r="B105" s="91"/>
      <c r="C105" s="91"/>
      <c r="D105" s="91"/>
      <c r="E105" s="91"/>
      <c r="F105" s="91"/>
      <c r="G105" s="91"/>
      <c r="H105" s="91"/>
      <c r="I105" s="91"/>
      <c r="J105" s="91"/>
    </row>
    <row r="106" spans="1:11" ht="18.75" customHeight="1" x14ac:dyDescent="0.25">
      <c r="A106" s="1" t="s">
        <v>55</v>
      </c>
      <c r="B106" s="259" t="s">
        <v>86</v>
      </c>
      <c r="C106" s="259"/>
      <c r="D106" s="259"/>
      <c r="E106" s="259"/>
      <c r="F106" s="259"/>
      <c r="G106" s="259"/>
      <c r="H106" s="259"/>
      <c r="I106" s="259"/>
      <c r="J106" s="259"/>
    </row>
    <row r="107" spans="1:11" ht="18.75" customHeight="1" x14ac:dyDescent="0.25">
      <c r="A107" s="91"/>
      <c r="B107" s="242" t="s">
        <v>219</v>
      </c>
      <c r="C107" s="243"/>
      <c r="D107" s="243"/>
      <c r="E107" s="243"/>
      <c r="F107" s="243"/>
      <c r="G107" s="243"/>
      <c r="H107" s="243"/>
      <c r="I107" s="251"/>
      <c r="J107" s="252"/>
    </row>
    <row r="108" spans="1:11" ht="18.75" customHeight="1" x14ac:dyDescent="0.25">
      <c r="A108" s="91"/>
      <c r="B108" s="253"/>
      <c r="C108" s="254"/>
      <c r="D108" s="254"/>
      <c r="E108" s="254"/>
      <c r="F108" s="254"/>
      <c r="G108" s="254"/>
      <c r="H108" s="254"/>
      <c r="I108" s="254"/>
      <c r="J108" s="255"/>
      <c r="K108" s="7"/>
    </row>
    <row r="109" spans="1:11" ht="18.75" customHeight="1" x14ac:dyDescent="0.25">
      <c r="A109" s="91"/>
      <c r="B109" s="253"/>
      <c r="C109" s="254"/>
      <c r="D109" s="254"/>
      <c r="E109" s="254"/>
      <c r="F109" s="254"/>
      <c r="G109" s="254"/>
      <c r="H109" s="254"/>
      <c r="I109" s="254"/>
      <c r="J109" s="255"/>
      <c r="K109" s="1" t="str">
        <f>IF(B107="","入力してください","")</f>
        <v/>
      </c>
    </row>
    <row r="110" spans="1:11" ht="18.75" customHeight="1" x14ac:dyDescent="0.25">
      <c r="A110" s="91"/>
      <c r="B110" s="253"/>
      <c r="C110" s="254"/>
      <c r="D110" s="254"/>
      <c r="E110" s="254"/>
      <c r="F110" s="254"/>
      <c r="G110" s="254"/>
      <c r="H110" s="254"/>
      <c r="I110" s="254"/>
      <c r="J110" s="255"/>
    </row>
    <row r="111" spans="1:11" ht="18.75" customHeight="1" x14ac:dyDescent="0.25">
      <c r="A111" s="91"/>
      <c r="B111" s="253"/>
      <c r="C111" s="254"/>
      <c r="D111" s="254"/>
      <c r="E111" s="254"/>
      <c r="F111" s="254"/>
      <c r="G111" s="254"/>
      <c r="H111" s="254"/>
      <c r="I111" s="254"/>
      <c r="J111" s="255"/>
    </row>
    <row r="112" spans="1:11" ht="18.75" customHeight="1" x14ac:dyDescent="0.25">
      <c r="A112" s="91"/>
      <c r="B112" s="253"/>
      <c r="C112" s="254"/>
      <c r="D112" s="254"/>
      <c r="E112" s="254"/>
      <c r="F112" s="254"/>
      <c r="G112" s="254"/>
      <c r="H112" s="254"/>
      <c r="I112" s="254"/>
      <c r="J112" s="255"/>
    </row>
    <row r="113" spans="1:10" ht="18.75" customHeight="1" x14ac:dyDescent="0.25">
      <c r="A113" s="91"/>
      <c r="B113" s="253"/>
      <c r="C113" s="254"/>
      <c r="D113" s="254"/>
      <c r="E113" s="254"/>
      <c r="F113" s="254"/>
      <c r="G113" s="254"/>
      <c r="H113" s="254"/>
      <c r="I113" s="254"/>
      <c r="J113" s="255"/>
    </row>
    <row r="114" spans="1:10" ht="18.75" customHeight="1" x14ac:dyDescent="0.25">
      <c r="A114" s="91"/>
      <c r="B114" s="253"/>
      <c r="C114" s="254"/>
      <c r="D114" s="254"/>
      <c r="E114" s="254"/>
      <c r="F114" s="254"/>
      <c r="G114" s="254"/>
      <c r="H114" s="254"/>
      <c r="I114" s="254"/>
      <c r="J114" s="255"/>
    </row>
    <row r="115" spans="1:10" ht="18.75" customHeight="1" x14ac:dyDescent="0.25">
      <c r="A115" s="91"/>
      <c r="B115" s="253"/>
      <c r="C115" s="254"/>
      <c r="D115" s="254"/>
      <c r="E115" s="254"/>
      <c r="F115" s="254"/>
      <c r="G115" s="254"/>
      <c r="H115" s="254"/>
      <c r="I115" s="254"/>
      <c r="J115" s="255"/>
    </row>
    <row r="116" spans="1:10" ht="18.75" customHeight="1" x14ac:dyDescent="0.25">
      <c r="A116" s="91"/>
      <c r="B116" s="253"/>
      <c r="C116" s="254"/>
      <c r="D116" s="254"/>
      <c r="E116" s="254"/>
      <c r="F116" s="254"/>
      <c r="G116" s="254"/>
      <c r="H116" s="254"/>
      <c r="I116" s="254"/>
      <c r="J116" s="255"/>
    </row>
    <row r="117" spans="1:10" ht="18.75" customHeight="1" x14ac:dyDescent="0.25">
      <c r="A117" s="91"/>
      <c r="B117" s="253"/>
      <c r="C117" s="254"/>
      <c r="D117" s="254"/>
      <c r="E117" s="254"/>
      <c r="F117" s="254"/>
      <c r="G117" s="254"/>
      <c r="H117" s="254"/>
      <c r="I117" s="254"/>
      <c r="J117" s="255"/>
    </row>
    <row r="118" spans="1:10" ht="18.75" customHeight="1" x14ac:dyDescent="0.25">
      <c r="A118" s="91"/>
      <c r="B118" s="253"/>
      <c r="C118" s="254"/>
      <c r="D118" s="254"/>
      <c r="E118" s="254"/>
      <c r="F118" s="254"/>
      <c r="G118" s="254"/>
      <c r="H118" s="254"/>
      <c r="I118" s="254"/>
      <c r="J118" s="255"/>
    </row>
    <row r="119" spans="1:10" ht="18.75" customHeight="1" x14ac:dyDescent="0.25">
      <c r="A119" s="91"/>
      <c r="B119" s="253"/>
      <c r="C119" s="254"/>
      <c r="D119" s="254"/>
      <c r="E119" s="254"/>
      <c r="F119" s="254"/>
      <c r="G119" s="254"/>
      <c r="H119" s="254"/>
      <c r="I119" s="254"/>
      <c r="J119" s="255"/>
    </row>
    <row r="120" spans="1:10" ht="18.75" customHeight="1" x14ac:dyDescent="0.25">
      <c r="A120" s="91"/>
      <c r="B120" s="253"/>
      <c r="C120" s="254"/>
      <c r="D120" s="254"/>
      <c r="E120" s="254"/>
      <c r="F120" s="254"/>
      <c r="G120" s="254"/>
      <c r="H120" s="254"/>
      <c r="I120" s="254"/>
      <c r="J120" s="255"/>
    </row>
    <row r="121" spans="1:10" ht="18.75" customHeight="1" x14ac:dyDescent="0.25">
      <c r="A121" s="91"/>
      <c r="B121" s="253"/>
      <c r="C121" s="254"/>
      <c r="D121" s="254"/>
      <c r="E121" s="254"/>
      <c r="F121" s="254"/>
      <c r="G121" s="254"/>
      <c r="H121" s="254"/>
      <c r="I121" s="254"/>
      <c r="J121" s="255"/>
    </row>
    <row r="122" spans="1:10" ht="18.75" customHeight="1" x14ac:dyDescent="0.25">
      <c r="A122" s="91"/>
      <c r="B122" s="253"/>
      <c r="C122" s="254"/>
      <c r="D122" s="254"/>
      <c r="E122" s="254"/>
      <c r="F122" s="254"/>
      <c r="G122" s="254"/>
      <c r="H122" s="254"/>
      <c r="I122" s="254"/>
      <c r="J122" s="255"/>
    </row>
    <row r="123" spans="1:10" ht="18.75" customHeight="1" x14ac:dyDescent="0.25">
      <c r="A123" s="91"/>
      <c r="B123" s="256"/>
      <c r="C123" s="257"/>
      <c r="D123" s="257"/>
      <c r="E123" s="257"/>
      <c r="F123" s="257"/>
      <c r="G123" s="257"/>
      <c r="H123" s="257"/>
      <c r="I123" s="257"/>
      <c r="J123" s="258"/>
    </row>
    <row r="124" spans="1:10" ht="7.5" customHeight="1" x14ac:dyDescent="0.25">
      <c r="A124" s="91"/>
      <c r="B124" s="102"/>
      <c r="C124" s="102"/>
      <c r="D124" s="102"/>
      <c r="E124" s="102"/>
      <c r="F124" s="102"/>
      <c r="G124" s="102"/>
      <c r="H124" s="102"/>
      <c r="I124" s="102"/>
      <c r="J124" s="102"/>
    </row>
    <row r="125" spans="1:10" ht="18.75" customHeight="1" x14ac:dyDescent="0.25">
      <c r="A125" s="91"/>
      <c r="B125" s="91"/>
      <c r="C125" s="91"/>
      <c r="D125" s="91"/>
      <c r="E125" s="91"/>
      <c r="F125" s="91"/>
      <c r="G125" s="91"/>
      <c r="H125" s="91"/>
      <c r="I125" s="91"/>
      <c r="J125" s="91"/>
    </row>
    <row r="126" spans="1:10" ht="18.75" customHeight="1" x14ac:dyDescent="0.25">
      <c r="A126" s="91"/>
      <c r="B126" s="91"/>
      <c r="C126" s="91"/>
      <c r="D126" s="91"/>
      <c r="E126" s="91"/>
      <c r="F126" s="91"/>
      <c r="G126" s="91"/>
      <c r="H126" s="91"/>
      <c r="I126" s="91"/>
      <c r="J126" s="91"/>
    </row>
    <row r="127" spans="1:10" ht="18.75" customHeight="1" x14ac:dyDescent="0.25">
      <c r="A127" s="91"/>
      <c r="B127" s="91"/>
      <c r="C127" s="91"/>
      <c r="D127" s="91"/>
      <c r="E127" s="91"/>
      <c r="F127" s="91"/>
      <c r="G127" s="91"/>
      <c r="H127" s="91"/>
      <c r="I127" s="91"/>
      <c r="J127" s="91"/>
    </row>
    <row r="128" spans="1:10" ht="18.75" customHeight="1" x14ac:dyDescent="0.25">
      <c r="A128" s="91"/>
      <c r="B128" s="91"/>
      <c r="C128" s="91"/>
      <c r="D128" s="91"/>
      <c r="E128" s="91"/>
      <c r="F128" s="91"/>
      <c r="G128" s="91"/>
      <c r="H128" s="91"/>
      <c r="I128" s="91"/>
      <c r="J128" s="91"/>
    </row>
    <row r="129" spans="1:10" ht="18.75" customHeight="1" x14ac:dyDescent="0.25">
      <c r="A129" s="91"/>
      <c r="B129" s="91"/>
      <c r="C129" s="91"/>
      <c r="D129" s="91"/>
      <c r="E129" s="91"/>
      <c r="F129" s="91"/>
      <c r="G129" s="91"/>
      <c r="H129" s="91"/>
      <c r="I129" s="91"/>
      <c r="J129" s="91"/>
    </row>
    <row r="130" spans="1:10" ht="18.75" customHeight="1" x14ac:dyDescent="0.25">
      <c r="A130" s="91"/>
      <c r="B130" s="91"/>
      <c r="C130" s="91"/>
      <c r="D130" s="91"/>
      <c r="E130" s="91"/>
      <c r="F130" s="91"/>
      <c r="G130" s="91"/>
      <c r="H130" s="91"/>
      <c r="I130" s="91"/>
      <c r="J130" s="91"/>
    </row>
    <row r="131" spans="1:10" ht="18.75" customHeight="1" x14ac:dyDescent="0.25">
      <c r="A131" s="91"/>
      <c r="B131" s="91"/>
      <c r="C131" s="91"/>
      <c r="D131" s="91"/>
      <c r="E131" s="91"/>
      <c r="F131" s="91"/>
      <c r="G131" s="91"/>
      <c r="H131" s="91"/>
      <c r="I131" s="91"/>
      <c r="J131" s="91"/>
    </row>
    <row r="132" spans="1:10" ht="18.75" customHeight="1" x14ac:dyDescent="0.25">
      <c r="A132" s="91"/>
      <c r="B132" s="91"/>
      <c r="C132" s="91"/>
      <c r="D132" s="91"/>
      <c r="E132" s="91"/>
      <c r="F132" s="91"/>
      <c r="G132" s="91"/>
      <c r="H132" s="91"/>
      <c r="I132" s="91"/>
      <c r="J132" s="91"/>
    </row>
    <row r="133" spans="1:10" ht="18.75" customHeight="1" x14ac:dyDescent="0.25">
      <c r="A133" s="91"/>
      <c r="B133" s="91"/>
      <c r="C133" s="91"/>
      <c r="D133" s="91"/>
      <c r="E133" s="91"/>
      <c r="F133" s="91"/>
      <c r="G133" s="91"/>
      <c r="H133" s="91"/>
      <c r="I133" s="91"/>
      <c r="J133" s="91"/>
    </row>
    <row r="134" spans="1:10" ht="18.75" customHeight="1" x14ac:dyDescent="0.25">
      <c r="A134" s="91"/>
      <c r="B134" s="91"/>
      <c r="C134" s="91"/>
      <c r="D134" s="91"/>
      <c r="E134" s="91"/>
      <c r="F134" s="91"/>
      <c r="G134" s="91"/>
      <c r="H134" s="91"/>
      <c r="I134" s="91"/>
      <c r="J134" s="91"/>
    </row>
    <row r="135" spans="1:10" ht="18.75" customHeight="1" x14ac:dyDescent="0.25">
      <c r="A135" s="91"/>
      <c r="B135" s="91"/>
      <c r="C135" s="91"/>
      <c r="D135" s="91"/>
      <c r="E135" s="91"/>
      <c r="F135" s="91"/>
      <c r="G135" s="91"/>
      <c r="H135" s="91"/>
      <c r="I135" s="91"/>
      <c r="J135" s="91"/>
    </row>
    <row r="136" spans="1:10" ht="18.75" customHeight="1" x14ac:dyDescent="0.25">
      <c r="A136" s="91"/>
      <c r="B136" s="91"/>
      <c r="C136" s="91"/>
      <c r="D136" s="91"/>
      <c r="E136" s="91"/>
      <c r="F136" s="91"/>
      <c r="G136" s="91"/>
      <c r="H136" s="91"/>
      <c r="I136" s="91"/>
      <c r="J136" s="91"/>
    </row>
    <row r="137" spans="1:10" ht="14.25" x14ac:dyDescent="0.25">
      <c r="A137" s="91"/>
      <c r="B137" s="91"/>
      <c r="C137" s="91"/>
      <c r="D137" s="91"/>
      <c r="E137" s="91"/>
      <c r="F137" s="91"/>
      <c r="G137" s="91"/>
      <c r="H137" s="91"/>
      <c r="I137" s="91"/>
      <c r="J137" s="91"/>
    </row>
    <row r="138" spans="1:10" ht="7.5" customHeight="1" x14ac:dyDescent="0.25">
      <c r="A138" s="103"/>
      <c r="B138" s="103"/>
      <c r="C138" s="103"/>
      <c r="D138" s="103"/>
      <c r="E138" s="103"/>
      <c r="F138" s="103"/>
      <c r="G138" s="103"/>
      <c r="H138" s="103"/>
      <c r="I138" s="103"/>
      <c r="J138" s="103"/>
    </row>
  </sheetData>
  <mergeCells count="11">
    <mergeCell ref="B35:J42"/>
    <mergeCell ref="A2:J2"/>
    <mergeCell ref="B5:J5"/>
    <mergeCell ref="B8:J16"/>
    <mergeCell ref="B19:J29"/>
    <mergeCell ref="B34:J34"/>
    <mergeCell ref="B44:J64"/>
    <mergeCell ref="B67:J82"/>
    <mergeCell ref="B85:J104"/>
    <mergeCell ref="B106:J106"/>
    <mergeCell ref="B107:J123"/>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9" man="1"/>
    <brk id="83"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4"/>
  <sheetViews>
    <sheetView showGridLines="0" showZeros="0" tabSelected="1" view="pageBreakPreview" topLeftCell="A16" zoomScaleNormal="100" zoomScaleSheetLayoutView="100" workbookViewId="0">
      <selection activeCell="H22" sqref="H22"/>
    </sheetView>
  </sheetViews>
  <sheetFormatPr defaultColWidth="11.3984375" defaultRowHeight="22.5" customHeight="1" x14ac:dyDescent="0.25"/>
  <cols>
    <col min="1" max="3" width="2.73046875" style="1" customWidth="1"/>
    <col min="4" max="4" width="22.265625" style="1" customWidth="1"/>
    <col min="5" max="5" width="21.59765625" style="1" customWidth="1"/>
    <col min="6" max="7" width="7.73046875" style="1" customWidth="1"/>
    <col min="8" max="8" width="33.3984375" style="1" customWidth="1"/>
    <col min="9" max="9" width="24.46484375" style="1" customWidth="1"/>
    <col min="10" max="10" width="5.46484375" style="1" customWidth="1"/>
    <col min="11" max="11" width="4.1328125" style="1" customWidth="1"/>
    <col min="12" max="16384" width="11.3984375" style="1"/>
  </cols>
  <sheetData>
    <row r="1" spans="1:11" ht="18.75" customHeight="1" x14ac:dyDescent="0.25">
      <c r="A1" s="1" t="s">
        <v>128</v>
      </c>
      <c r="J1" s="90" t="s">
        <v>77</v>
      </c>
    </row>
    <row r="2" spans="1:11" ht="18.75" customHeight="1" x14ac:dyDescent="0.25">
      <c r="A2" s="218" t="s">
        <v>44</v>
      </c>
      <c r="B2" s="218"/>
      <c r="C2" s="218"/>
      <c r="D2" s="218"/>
      <c r="E2" s="218"/>
      <c r="F2" s="218"/>
      <c r="G2" s="218"/>
      <c r="H2" s="218"/>
      <c r="I2" s="218"/>
      <c r="J2" s="218"/>
    </row>
    <row r="3" spans="1:11" ht="7.5" customHeight="1" x14ac:dyDescent="0.25">
      <c r="A3" s="104"/>
      <c r="B3" s="104"/>
      <c r="C3" s="104"/>
      <c r="D3" s="104"/>
      <c r="E3" s="104"/>
      <c r="F3" s="104"/>
      <c r="G3" s="104"/>
      <c r="H3" s="104"/>
      <c r="I3" s="104"/>
      <c r="J3" s="104"/>
    </row>
    <row r="4" spans="1:11" ht="18.75" customHeight="1" x14ac:dyDescent="0.25">
      <c r="A4" s="1" t="s">
        <v>6</v>
      </c>
      <c r="B4" s="1" t="s">
        <v>43</v>
      </c>
      <c r="C4" s="91"/>
      <c r="D4" s="91"/>
      <c r="E4" s="91"/>
      <c r="F4" s="91"/>
      <c r="G4" s="91"/>
      <c r="H4" s="91"/>
      <c r="I4" s="91"/>
      <c r="J4" s="91"/>
    </row>
    <row r="5" spans="1:11" ht="18.75" customHeight="1" x14ac:dyDescent="0.25">
      <c r="B5" s="117" t="s">
        <v>40</v>
      </c>
      <c r="C5" s="118"/>
      <c r="D5" s="119"/>
      <c r="E5" s="118" t="s">
        <v>42</v>
      </c>
      <c r="F5" s="118"/>
      <c r="G5" s="118"/>
      <c r="H5" s="118"/>
      <c r="I5" s="118"/>
      <c r="J5" s="119"/>
    </row>
    <row r="6" spans="1:11" ht="18.75" customHeight="1" x14ac:dyDescent="0.25">
      <c r="B6" s="12" t="s">
        <v>30</v>
      </c>
      <c r="C6" s="91"/>
      <c r="D6" s="105"/>
      <c r="I6" s="91"/>
      <c r="J6" s="105"/>
    </row>
    <row r="7" spans="1:11" ht="83.45" customHeight="1" x14ac:dyDescent="0.25">
      <c r="B7" s="106"/>
      <c r="C7" s="268" t="s">
        <v>31</v>
      </c>
      <c r="D7" s="269"/>
      <c r="E7" s="274" t="s">
        <v>220</v>
      </c>
      <c r="F7" s="270"/>
      <c r="G7" s="270"/>
      <c r="H7" s="270"/>
      <c r="I7" s="270"/>
      <c r="J7" s="271"/>
      <c r="K7" s="1" t="str">
        <f>IF(E7="","入力してください","")</f>
        <v/>
      </c>
    </row>
    <row r="8" spans="1:11" ht="95.65" customHeight="1" x14ac:dyDescent="0.25">
      <c r="B8" s="106"/>
      <c r="C8" s="275" t="s">
        <v>32</v>
      </c>
      <c r="D8" s="276"/>
      <c r="E8" s="274" t="s">
        <v>202</v>
      </c>
      <c r="F8" s="270"/>
      <c r="G8" s="270"/>
      <c r="H8" s="270"/>
      <c r="I8" s="270"/>
      <c r="J8" s="271"/>
      <c r="K8" s="1" t="str">
        <f t="shared" ref="K8:K16" si="0">IF(E8="","入力してください","")</f>
        <v/>
      </c>
    </row>
    <row r="9" spans="1:11" ht="102" customHeight="1" x14ac:dyDescent="0.25">
      <c r="B9" s="106"/>
      <c r="C9" s="268" t="s">
        <v>33</v>
      </c>
      <c r="D9" s="269"/>
      <c r="E9" s="274" t="s">
        <v>203</v>
      </c>
      <c r="F9" s="270"/>
      <c r="G9" s="270"/>
      <c r="H9" s="270"/>
      <c r="I9" s="270"/>
      <c r="J9" s="271"/>
      <c r="K9" s="1" t="str">
        <f t="shared" si="0"/>
        <v/>
      </c>
    </row>
    <row r="10" spans="1:11" ht="101.25" customHeight="1" x14ac:dyDescent="0.25">
      <c r="B10" s="106"/>
      <c r="C10" s="268" t="s">
        <v>34</v>
      </c>
      <c r="D10" s="269"/>
      <c r="E10" s="274" t="s">
        <v>204</v>
      </c>
      <c r="F10" s="270"/>
      <c r="G10" s="270"/>
      <c r="H10" s="270"/>
      <c r="I10" s="270"/>
      <c r="J10" s="271"/>
      <c r="K10" s="1" t="str">
        <f t="shared" si="0"/>
        <v/>
      </c>
    </row>
    <row r="11" spans="1:11" ht="96.75" customHeight="1" x14ac:dyDescent="0.25">
      <c r="B11" s="106"/>
      <c r="C11" s="268" t="s">
        <v>35</v>
      </c>
      <c r="D11" s="269"/>
      <c r="E11" s="274" t="s">
        <v>205</v>
      </c>
      <c r="F11" s="270"/>
      <c r="G11" s="270"/>
      <c r="H11" s="270"/>
      <c r="I11" s="270"/>
      <c r="J11" s="271"/>
      <c r="K11" s="1" t="str">
        <f t="shared" si="0"/>
        <v/>
      </c>
    </row>
    <row r="12" spans="1:11" ht="31.5" customHeight="1" x14ac:dyDescent="0.25">
      <c r="B12" s="107" t="s">
        <v>36</v>
      </c>
      <c r="C12" s="108"/>
      <c r="D12" s="109"/>
      <c r="E12" s="110"/>
      <c r="F12" s="110"/>
      <c r="G12" s="110"/>
      <c r="H12" s="110"/>
      <c r="I12" s="110"/>
      <c r="J12" s="111"/>
    </row>
    <row r="13" spans="1:11" ht="177.75" customHeight="1" x14ac:dyDescent="0.25">
      <c r="B13" s="106"/>
      <c r="C13" s="268" t="s">
        <v>37</v>
      </c>
      <c r="D13" s="269"/>
      <c r="E13" s="270" t="s">
        <v>224</v>
      </c>
      <c r="F13" s="270"/>
      <c r="G13" s="270"/>
      <c r="H13" s="270"/>
      <c r="I13" s="270"/>
      <c r="J13" s="271"/>
      <c r="K13" s="1" t="str">
        <f t="shared" si="0"/>
        <v/>
      </c>
    </row>
    <row r="14" spans="1:11" ht="96.75" customHeight="1" x14ac:dyDescent="0.25">
      <c r="B14" s="106"/>
      <c r="C14" s="268" t="s">
        <v>38</v>
      </c>
      <c r="D14" s="269"/>
      <c r="E14" s="270" t="s">
        <v>225</v>
      </c>
      <c r="F14" s="270"/>
      <c r="G14" s="270"/>
      <c r="H14" s="270"/>
      <c r="I14" s="270"/>
      <c r="J14" s="271"/>
      <c r="K14" s="1" t="str">
        <f t="shared" si="0"/>
        <v/>
      </c>
    </row>
    <row r="15" spans="1:11" ht="113.25" customHeight="1" x14ac:dyDescent="0.25">
      <c r="B15" s="272" t="s">
        <v>39</v>
      </c>
      <c r="C15" s="273"/>
      <c r="D15" s="269"/>
      <c r="E15" s="270" t="s">
        <v>223</v>
      </c>
      <c r="F15" s="270"/>
      <c r="G15" s="270"/>
      <c r="H15" s="270"/>
      <c r="I15" s="270"/>
      <c r="J15" s="271"/>
      <c r="K15" s="1" t="str">
        <f t="shared" si="0"/>
        <v/>
      </c>
    </row>
    <row r="16" spans="1:11" ht="116.25" customHeight="1" x14ac:dyDescent="0.25">
      <c r="B16" s="263" t="s">
        <v>68</v>
      </c>
      <c r="C16" s="264"/>
      <c r="D16" s="265"/>
      <c r="E16" s="249" t="s">
        <v>221</v>
      </c>
      <c r="F16" s="249"/>
      <c r="G16" s="249"/>
      <c r="H16" s="249"/>
      <c r="I16" s="249"/>
      <c r="J16" s="250"/>
      <c r="K16" s="1" t="str">
        <f t="shared" si="0"/>
        <v/>
      </c>
    </row>
    <row r="17" spans="1:11" ht="7.5" customHeight="1" x14ac:dyDescent="0.25">
      <c r="B17" s="91"/>
      <c r="C17" s="91"/>
      <c r="D17" s="91"/>
      <c r="E17" s="91"/>
      <c r="F17" s="91"/>
      <c r="G17" s="91"/>
      <c r="H17" s="91"/>
      <c r="I17" s="91"/>
      <c r="J17" s="91"/>
    </row>
    <row r="18" spans="1:11" ht="18.75" customHeight="1" x14ac:dyDescent="0.25">
      <c r="A18" s="1" t="s">
        <v>129</v>
      </c>
      <c r="C18" s="91"/>
      <c r="D18" s="91"/>
      <c r="E18" s="91"/>
      <c r="F18" s="28"/>
      <c r="G18" s="295" t="s">
        <v>231</v>
      </c>
      <c r="H18" s="266"/>
      <c r="I18" s="266"/>
      <c r="J18" s="267"/>
      <c r="K18" s="1" t="str">
        <f>IF(G18="","公表は必須事項です","")</f>
        <v/>
      </c>
    </row>
    <row r="19" spans="1:11" ht="22.5" customHeight="1" x14ac:dyDescent="0.25">
      <c r="B19" s="91"/>
      <c r="C19" s="91"/>
      <c r="D19" s="91"/>
      <c r="E19" s="91"/>
      <c r="F19" s="91"/>
      <c r="G19" s="91"/>
      <c r="H19" s="91"/>
      <c r="I19" s="91"/>
      <c r="J19" s="91"/>
    </row>
    <row r="20" spans="1:11" ht="22.5" customHeight="1" x14ac:dyDescent="0.25">
      <c r="B20" s="91"/>
      <c r="C20" s="91"/>
      <c r="D20" s="91"/>
      <c r="E20" s="91"/>
      <c r="F20" s="91"/>
      <c r="G20" s="91"/>
      <c r="H20" s="91"/>
      <c r="I20" s="91"/>
      <c r="J20" s="91"/>
    </row>
    <row r="21" spans="1:11" ht="22.5" customHeight="1" x14ac:dyDescent="0.25">
      <c r="B21" s="91"/>
      <c r="C21" s="91"/>
      <c r="D21" s="91"/>
      <c r="E21" s="91"/>
      <c r="F21" s="91"/>
      <c r="G21" s="91"/>
      <c r="H21" s="91"/>
      <c r="I21" s="91"/>
      <c r="J21" s="91"/>
    </row>
    <row r="22" spans="1:11" ht="22.5" customHeight="1" x14ac:dyDescent="0.25">
      <c r="B22" s="91"/>
      <c r="C22" s="91"/>
      <c r="D22" s="91"/>
      <c r="E22" s="91"/>
      <c r="F22" s="91"/>
      <c r="G22" s="91"/>
      <c r="H22" s="91"/>
      <c r="I22" s="91"/>
      <c r="J22" s="91"/>
    </row>
    <row r="23" spans="1:11" ht="22.5" customHeight="1" x14ac:dyDescent="0.25">
      <c r="B23" s="91"/>
      <c r="C23" s="91"/>
      <c r="D23" s="91"/>
      <c r="E23" s="91"/>
      <c r="F23" s="91"/>
      <c r="G23" s="91"/>
      <c r="H23" s="91"/>
      <c r="I23" s="91"/>
      <c r="J23" s="91"/>
    </row>
    <row r="24" spans="1:11" ht="22.5" customHeight="1" x14ac:dyDescent="0.25">
      <c r="B24" s="41"/>
      <c r="C24" s="41"/>
      <c r="D24" s="41"/>
      <c r="E24" s="41"/>
      <c r="F24" s="41"/>
      <c r="G24" s="41"/>
      <c r="H24" s="41"/>
      <c r="I24" s="41"/>
      <c r="J24" s="41"/>
    </row>
    <row r="25" spans="1:11" ht="22.5" customHeight="1" x14ac:dyDescent="0.25">
      <c r="B25" s="41"/>
      <c r="C25" s="41"/>
      <c r="D25" s="41"/>
      <c r="E25" s="41"/>
      <c r="F25" s="41"/>
      <c r="G25" s="41"/>
      <c r="H25" s="41"/>
      <c r="I25" s="41"/>
      <c r="J25" s="41"/>
    </row>
    <row r="26" spans="1:11" ht="22.5" customHeight="1" x14ac:dyDescent="0.25">
      <c r="B26" s="41"/>
      <c r="C26" s="41"/>
      <c r="D26" s="41"/>
      <c r="E26" s="41"/>
      <c r="F26" s="41"/>
      <c r="G26" s="41"/>
      <c r="H26" s="41"/>
      <c r="I26" s="41"/>
      <c r="J26" s="41"/>
    </row>
    <row r="34" spans="10:10" ht="33.4" customHeight="1" x14ac:dyDescent="0.25">
      <c r="J34" s="30"/>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scale="66" fitToHeight="0"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0"/>
  <sheetViews>
    <sheetView showGridLines="0" showZeros="0" view="pageBreakPreview" topLeftCell="A103" zoomScale="75" zoomScaleNormal="100" zoomScaleSheetLayoutView="75" workbookViewId="0">
      <selection activeCell="B48" sqref="E48"/>
    </sheetView>
  </sheetViews>
  <sheetFormatPr defaultColWidth="11.3984375" defaultRowHeight="18.75" customHeight="1" x14ac:dyDescent="0.25"/>
  <cols>
    <col min="1" max="1" width="3.3984375" style="29" customWidth="1"/>
    <col min="2" max="2" width="15.46484375" style="29" customWidth="1"/>
    <col min="3" max="3" width="37.73046875" style="29" customWidth="1"/>
    <col min="4" max="4" width="1.1328125" style="29" customWidth="1"/>
    <col min="5" max="5" width="21.1328125" style="29" customWidth="1"/>
    <col min="6" max="6" width="7.73046875" style="29" customWidth="1"/>
    <col min="7" max="7" width="2.265625" style="29" customWidth="1"/>
    <col min="8" max="8" width="2.1328125" style="29" customWidth="1"/>
    <col min="9" max="16384" width="11.3984375" style="29"/>
  </cols>
  <sheetData>
    <row r="1" spans="1:6" ht="18.75" customHeight="1" x14ac:dyDescent="0.25">
      <c r="E1" s="277" t="s">
        <v>7</v>
      </c>
      <c r="F1" s="277"/>
    </row>
    <row r="2" spans="1:6" ht="18.75" customHeight="1" x14ac:dyDescent="0.25">
      <c r="A2" s="217" t="s">
        <v>198</v>
      </c>
      <c r="B2" s="217"/>
      <c r="C2" s="217"/>
      <c r="D2" s="217"/>
      <c r="E2" s="217"/>
      <c r="F2" s="217"/>
    </row>
    <row r="3" spans="1:6" ht="7.5" customHeight="1" x14ac:dyDescent="0.25">
      <c r="A3" s="19"/>
      <c r="B3" s="19"/>
      <c r="C3" s="19"/>
      <c r="D3" s="19"/>
      <c r="E3" s="19"/>
      <c r="F3" s="19"/>
    </row>
    <row r="4" spans="1:6" ht="18.75" customHeight="1" x14ac:dyDescent="0.25">
      <c r="A4" s="19" t="s">
        <v>6</v>
      </c>
      <c r="B4" s="1" t="s">
        <v>28</v>
      </c>
      <c r="C4" s="19"/>
      <c r="D4" s="19"/>
      <c r="E4" s="19"/>
      <c r="F4" s="19"/>
    </row>
    <row r="5" spans="1:6" ht="18.75" customHeight="1" x14ac:dyDescent="0.25">
      <c r="A5" s="19"/>
      <c r="B5" s="278" t="s">
        <v>226</v>
      </c>
      <c r="C5" s="279"/>
      <c r="D5" s="279"/>
      <c r="E5" s="279"/>
      <c r="F5" s="280"/>
    </row>
    <row r="6" spans="1:6" ht="18.75" customHeight="1" x14ac:dyDescent="0.25">
      <c r="A6" s="19"/>
      <c r="B6" s="281"/>
      <c r="C6" s="282"/>
      <c r="D6" s="282"/>
      <c r="E6" s="282"/>
      <c r="F6" s="283"/>
    </row>
    <row r="7" spans="1:6" ht="18.75" customHeight="1" x14ac:dyDescent="0.25">
      <c r="A7" s="19"/>
      <c r="B7" s="281"/>
      <c r="C7" s="282"/>
      <c r="D7" s="282"/>
      <c r="E7" s="282"/>
      <c r="F7" s="283"/>
    </row>
    <row r="8" spans="1:6" ht="18.75" customHeight="1" x14ac:dyDescent="0.25">
      <c r="A8" s="19"/>
      <c r="B8" s="281"/>
      <c r="C8" s="282"/>
      <c r="D8" s="282"/>
      <c r="E8" s="282"/>
      <c r="F8" s="283"/>
    </row>
    <row r="9" spans="1:6" ht="18.75" customHeight="1" x14ac:dyDescent="0.25">
      <c r="A9" s="19"/>
      <c r="B9" s="281"/>
      <c r="C9" s="282"/>
      <c r="D9" s="282"/>
      <c r="E9" s="282"/>
      <c r="F9" s="283"/>
    </row>
    <row r="10" spans="1:6" ht="18.75" customHeight="1" x14ac:dyDescent="0.25">
      <c r="A10" s="19"/>
      <c r="B10" s="281"/>
      <c r="C10" s="282"/>
      <c r="D10" s="282"/>
      <c r="E10" s="282"/>
      <c r="F10" s="283"/>
    </row>
    <row r="11" spans="1:6" ht="18.75" customHeight="1" x14ac:dyDescent="0.25">
      <c r="A11" s="19"/>
      <c r="B11" s="281"/>
      <c r="C11" s="282"/>
      <c r="D11" s="282"/>
      <c r="E11" s="282"/>
      <c r="F11" s="283"/>
    </row>
    <row r="12" spans="1:6" ht="18.75" customHeight="1" x14ac:dyDescent="0.25">
      <c r="A12" s="19"/>
      <c r="B12" s="281"/>
      <c r="C12" s="282"/>
      <c r="D12" s="282"/>
      <c r="E12" s="282"/>
      <c r="F12" s="283"/>
    </row>
    <row r="13" spans="1:6" ht="18.75" customHeight="1" x14ac:dyDescent="0.25">
      <c r="A13" s="19"/>
      <c r="B13" s="281"/>
      <c r="C13" s="282"/>
      <c r="D13" s="282"/>
      <c r="E13" s="282"/>
      <c r="F13" s="283"/>
    </row>
    <row r="14" spans="1:6" ht="18.75" customHeight="1" x14ac:dyDescent="0.25">
      <c r="A14" s="19"/>
      <c r="B14" s="281"/>
      <c r="C14" s="282"/>
      <c r="D14" s="282"/>
      <c r="E14" s="282"/>
      <c r="F14" s="283"/>
    </row>
    <row r="15" spans="1:6" ht="18.75" customHeight="1" x14ac:dyDescent="0.25">
      <c r="A15" s="19"/>
      <c r="B15" s="281"/>
      <c r="C15" s="282"/>
      <c r="D15" s="282"/>
      <c r="E15" s="282"/>
      <c r="F15" s="283"/>
    </row>
    <row r="16" spans="1:6" ht="18.75" customHeight="1" x14ac:dyDescent="0.25">
      <c r="A16" s="19"/>
      <c r="B16" s="281"/>
      <c r="C16" s="282"/>
      <c r="D16" s="282"/>
      <c r="E16" s="282"/>
      <c r="F16" s="283"/>
    </row>
    <row r="17" spans="1:6" ht="18.75" customHeight="1" x14ac:dyDescent="0.25">
      <c r="A17" s="19"/>
      <c r="B17" s="281"/>
      <c r="C17" s="282"/>
      <c r="D17" s="282"/>
      <c r="E17" s="282"/>
      <c r="F17" s="283"/>
    </row>
    <row r="18" spans="1:6" ht="18.75" customHeight="1" x14ac:dyDescent="0.25">
      <c r="A18" s="19"/>
      <c r="B18" s="281"/>
      <c r="C18" s="282"/>
      <c r="D18" s="282"/>
      <c r="E18" s="282"/>
      <c r="F18" s="283"/>
    </row>
    <row r="19" spans="1:6" ht="18.75" customHeight="1" x14ac:dyDescent="0.25">
      <c r="A19" s="19"/>
      <c r="B19" s="281"/>
      <c r="C19" s="282"/>
      <c r="D19" s="282"/>
      <c r="E19" s="282"/>
      <c r="F19" s="283"/>
    </row>
    <row r="20" spans="1:6" ht="18.75" customHeight="1" x14ac:dyDescent="0.25">
      <c r="A20" s="19"/>
      <c r="B20" s="281"/>
      <c r="C20" s="282"/>
      <c r="D20" s="282"/>
      <c r="E20" s="282"/>
      <c r="F20" s="283"/>
    </row>
    <row r="21" spans="1:6" ht="18.75" customHeight="1" x14ac:dyDescent="0.25">
      <c r="A21" s="19"/>
      <c r="B21" s="281"/>
      <c r="C21" s="282"/>
      <c r="D21" s="282"/>
      <c r="E21" s="282"/>
      <c r="F21" s="283"/>
    </row>
    <row r="22" spans="1:6" ht="18.75" customHeight="1" x14ac:dyDescent="0.25">
      <c r="A22" s="19"/>
      <c r="B22" s="281"/>
      <c r="C22" s="282"/>
      <c r="D22" s="282"/>
      <c r="E22" s="282"/>
      <c r="F22" s="283"/>
    </row>
    <row r="23" spans="1:6" ht="18.75" customHeight="1" x14ac:dyDescent="0.25">
      <c r="A23" s="19"/>
      <c r="B23" s="281"/>
      <c r="C23" s="282"/>
      <c r="D23" s="282"/>
      <c r="E23" s="282"/>
      <c r="F23" s="283"/>
    </row>
    <row r="24" spans="1:6" ht="18.75" customHeight="1" x14ac:dyDescent="0.25">
      <c r="A24" s="19"/>
      <c r="B24" s="281"/>
      <c r="C24" s="282"/>
      <c r="D24" s="282"/>
      <c r="E24" s="282"/>
      <c r="F24" s="283"/>
    </row>
    <row r="25" spans="1:6" ht="18.75" customHeight="1" x14ac:dyDescent="0.25">
      <c r="A25" s="19"/>
      <c r="B25" s="281"/>
      <c r="C25" s="282"/>
      <c r="D25" s="282"/>
      <c r="E25" s="282"/>
      <c r="F25" s="283"/>
    </row>
    <row r="26" spans="1:6" ht="18.75" customHeight="1" x14ac:dyDescent="0.25">
      <c r="A26" s="19"/>
      <c r="B26" s="281"/>
      <c r="C26" s="282"/>
      <c r="D26" s="282"/>
      <c r="E26" s="282"/>
      <c r="F26" s="283"/>
    </row>
    <row r="27" spans="1:6" ht="18.75" customHeight="1" x14ac:dyDescent="0.25">
      <c r="A27" s="19"/>
      <c r="B27" s="281"/>
      <c r="C27" s="282"/>
      <c r="D27" s="282"/>
      <c r="E27" s="282"/>
      <c r="F27" s="283"/>
    </row>
    <row r="28" spans="1:6" ht="18.75" customHeight="1" x14ac:dyDescent="0.25">
      <c r="A28" s="19"/>
      <c r="B28" s="281"/>
      <c r="C28" s="282"/>
      <c r="D28" s="282"/>
      <c r="E28" s="282"/>
      <c r="F28" s="283"/>
    </row>
    <row r="29" spans="1:6" ht="18.75" customHeight="1" x14ac:dyDescent="0.25">
      <c r="A29" s="19"/>
      <c r="B29" s="281"/>
      <c r="C29" s="282"/>
      <c r="D29" s="282"/>
      <c r="E29" s="282"/>
      <c r="F29" s="283"/>
    </row>
    <row r="30" spans="1:6" ht="18.75" customHeight="1" x14ac:dyDescent="0.25">
      <c r="A30" s="19"/>
      <c r="B30" s="281"/>
      <c r="C30" s="282"/>
      <c r="D30" s="282"/>
      <c r="E30" s="282"/>
      <c r="F30" s="283"/>
    </row>
    <row r="31" spans="1:6" ht="18.75" customHeight="1" x14ac:dyDescent="0.25">
      <c r="A31" s="19"/>
      <c r="B31" s="281"/>
      <c r="C31" s="282"/>
      <c r="D31" s="282"/>
      <c r="E31" s="282"/>
      <c r="F31" s="283"/>
    </row>
    <row r="32" spans="1:6" ht="18.75" customHeight="1" x14ac:dyDescent="0.25">
      <c r="A32" s="19"/>
      <c r="B32" s="281"/>
      <c r="C32" s="282"/>
      <c r="D32" s="282"/>
      <c r="E32" s="282"/>
      <c r="F32" s="283"/>
    </row>
    <row r="33" spans="1:10" ht="18.75" customHeight="1" x14ac:dyDescent="0.25">
      <c r="A33" s="19"/>
      <c r="B33" s="281"/>
      <c r="C33" s="282"/>
      <c r="D33" s="282"/>
      <c r="E33" s="282"/>
      <c r="F33" s="283"/>
    </row>
    <row r="34" spans="1:10" ht="33.4" customHeight="1" x14ac:dyDescent="0.25">
      <c r="A34" s="19"/>
      <c r="B34" s="281"/>
      <c r="C34" s="282"/>
      <c r="D34" s="282"/>
      <c r="E34" s="282"/>
      <c r="F34" s="283"/>
      <c r="J34" s="112"/>
    </row>
    <row r="35" spans="1:10" ht="18.75" customHeight="1" x14ac:dyDescent="0.25">
      <c r="A35" s="19"/>
      <c r="B35" s="281"/>
      <c r="C35" s="282"/>
      <c r="D35" s="282"/>
      <c r="E35" s="282"/>
      <c r="F35" s="283"/>
    </row>
    <row r="36" spans="1:10" ht="18.75" customHeight="1" x14ac:dyDescent="0.25">
      <c r="A36" s="19"/>
      <c r="B36" s="281"/>
      <c r="C36" s="282"/>
      <c r="D36" s="282"/>
      <c r="E36" s="282"/>
      <c r="F36" s="283"/>
    </row>
    <row r="37" spans="1:10" ht="18.75" customHeight="1" x14ac:dyDescent="0.25">
      <c r="A37" s="19"/>
      <c r="B37" s="281"/>
      <c r="C37" s="282"/>
      <c r="D37" s="282"/>
      <c r="E37" s="282"/>
      <c r="F37" s="283"/>
    </row>
    <row r="38" spans="1:10" ht="18.75" customHeight="1" x14ac:dyDescent="0.25">
      <c r="A38" s="19"/>
      <c r="B38" s="281"/>
      <c r="C38" s="282"/>
      <c r="D38" s="282"/>
      <c r="E38" s="282"/>
      <c r="F38" s="283"/>
    </row>
    <row r="39" spans="1:10" ht="18.75" customHeight="1" x14ac:dyDescent="0.25">
      <c r="A39" s="19"/>
      <c r="B39" s="281"/>
      <c r="C39" s="282"/>
      <c r="D39" s="282"/>
      <c r="E39" s="282"/>
      <c r="F39" s="283"/>
    </row>
    <row r="40" spans="1:10" ht="18.75" customHeight="1" x14ac:dyDescent="0.25">
      <c r="A40" s="19"/>
      <c r="B40" s="284"/>
      <c r="C40" s="285"/>
      <c r="D40" s="285"/>
      <c r="E40" s="285"/>
      <c r="F40" s="286"/>
    </row>
    <row r="41" spans="1:10" ht="18.75" customHeight="1" x14ac:dyDescent="0.25">
      <c r="A41" s="19" t="s">
        <v>10</v>
      </c>
      <c r="B41" s="1" t="s">
        <v>73</v>
      </c>
      <c r="C41" s="19"/>
      <c r="D41" s="19"/>
      <c r="E41" s="19"/>
      <c r="F41" s="19"/>
    </row>
    <row r="42" spans="1:10" ht="18.75" customHeight="1" x14ac:dyDescent="0.25">
      <c r="A42" s="19"/>
      <c r="B42" s="278" t="s">
        <v>227</v>
      </c>
      <c r="C42" s="287"/>
      <c r="D42" s="287"/>
      <c r="E42" s="287"/>
      <c r="F42" s="288"/>
    </row>
    <row r="43" spans="1:10" ht="18.75" customHeight="1" x14ac:dyDescent="0.25">
      <c r="A43" s="19"/>
      <c r="B43" s="289"/>
      <c r="C43" s="290"/>
      <c r="D43" s="290"/>
      <c r="E43" s="290"/>
      <c r="F43" s="291"/>
    </row>
    <row r="44" spans="1:10" ht="18.75" customHeight="1" x14ac:dyDescent="0.25">
      <c r="A44" s="19"/>
      <c r="B44" s="289"/>
      <c r="C44" s="290"/>
      <c r="D44" s="290"/>
      <c r="E44" s="290"/>
      <c r="F44" s="291"/>
    </row>
    <row r="45" spans="1:10" ht="18.75" customHeight="1" x14ac:dyDescent="0.25">
      <c r="A45" s="19"/>
      <c r="B45" s="289"/>
      <c r="C45" s="290"/>
      <c r="D45" s="290"/>
      <c r="E45" s="290"/>
      <c r="F45" s="291"/>
    </row>
    <row r="46" spans="1:10" ht="18.75" customHeight="1" x14ac:dyDescent="0.25">
      <c r="A46" s="19"/>
      <c r="B46" s="289"/>
      <c r="C46" s="290"/>
      <c r="D46" s="290"/>
      <c r="E46" s="290"/>
      <c r="F46" s="291"/>
    </row>
    <row r="47" spans="1:10" ht="18.75" customHeight="1" x14ac:dyDescent="0.25">
      <c r="A47" s="19"/>
      <c r="B47" s="289"/>
      <c r="C47" s="290"/>
      <c r="D47" s="290"/>
      <c r="E47" s="290"/>
      <c r="F47" s="291"/>
    </row>
    <row r="48" spans="1:10" ht="18.75" customHeight="1" x14ac:dyDescent="0.25">
      <c r="A48" s="19"/>
      <c r="B48" s="289"/>
      <c r="C48" s="290"/>
      <c r="D48" s="290"/>
      <c r="E48" s="290"/>
      <c r="F48" s="291"/>
    </row>
    <row r="49" spans="1:6" ht="18.75" customHeight="1" x14ac:dyDescent="0.25">
      <c r="A49" s="19"/>
      <c r="B49" s="289"/>
      <c r="C49" s="290"/>
      <c r="D49" s="290"/>
      <c r="E49" s="290"/>
      <c r="F49" s="291"/>
    </row>
    <row r="50" spans="1:6" ht="18.75" customHeight="1" x14ac:dyDescent="0.25">
      <c r="A50" s="19"/>
      <c r="B50" s="289"/>
      <c r="C50" s="290"/>
      <c r="D50" s="290"/>
      <c r="E50" s="290"/>
      <c r="F50" s="291"/>
    </row>
    <row r="51" spans="1:6" ht="18.75" customHeight="1" x14ac:dyDescent="0.25">
      <c r="A51" s="19"/>
      <c r="B51" s="289"/>
      <c r="C51" s="290"/>
      <c r="D51" s="290"/>
      <c r="E51" s="290"/>
      <c r="F51" s="291"/>
    </row>
    <row r="52" spans="1:6" ht="18.75" customHeight="1" x14ac:dyDescent="0.25">
      <c r="A52" s="19"/>
      <c r="B52" s="289"/>
      <c r="C52" s="290"/>
      <c r="D52" s="290"/>
      <c r="E52" s="290"/>
      <c r="F52" s="291"/>
    </row>
    <row r="53" spans="1:6" ht="18.75" customHeight="1" x14ac:dyDescent="0.25">
      <c r="A53" s="19"/>
      <c r="B53" s="289"/>
      <c r="C53" s="290"/>
      <c r="D53" s="290"/>
      <c r="E53" s="290"/>
      <c r="F53" s="291"/>
    </row>
    <row r="54" spans="1:6" ht="18.75" customHeight="1" x14ac:dyDescent="0.25">
      <c r="A54" s="19"/>
      <c r="B54" s="289"/>
      <c r="C54" s="290"/>
      <c r="D54" s="290"/>
      <c r="E54" s="290"/>
      <c r="F54" s="291"/>
    </row>
    <row r="55" spans="1:6" ht="18.75" customHeight="1" x14ac:dyDescent="0.25">
      <c r="A55" s="19"/>
      <c r="B55" s="289"/>
      <c r="C55" s="290"/>
      <c r="D55" s="290"/>
      <c r="E55" s="290"/>
      <c r="F55" s="291"/>
    </row>
    <row r="56" spans="1:6" ht="18.75" customHeight="1" x14ac:dyDescent="0.25">
      <c r="A56" s="19"/>
      <c r="B56" s="289"/>
      <c r="C56" s="290"/>
      <c r="D56" s="290"/>
      <c r="E56" s="290"/>
      <c r="F56" s="291"/>
    </row>
    <row r="57" spans="1:6" ht="18.75" customHeight="1" x14ac:dyDescent="0.25">
      <c r="A57" s="19"/>
      <c r="B57" s="289"/>
      <c r="C57" s="290"/>
      <c r="D57" s="290"/>
      <c r="E57" s="290"/>
      <c r="F57" s="291"/>
    </row>
    <row r="58" spans="1:6" ht="18.75" customHeight="1" x14ac:dyDescent="0.25">
      <c r="A58" s="19"/>
      <c r="B58" s="289"/>
      <c r="C58" s="290"/>
      <c r="D58" s="290"/>
      <c r="E58" s="290"/>
      <c r="F58" s="291"/>
    </row>
    <row r="59" spans="1:6" ht="18.75" customHeight="1" x14ac:dyDescent="0.25">
      <c r="A59" s="19"/>
      <c r="B59" s="289"/>
      <c r="C59" s="290"/>
      <c r="D59" s="290"/>
      <c r="E59" s="290"/>
      <c r="F59" s="291"/>
    </row>
    <row r="60" spans="1:6" ht="18.75" customHeight="1" x14ac:dyDescent="0.25">
      <c r="A60" s="19"/>
      <c r="B60" s="289"/>
      <c r="C60" s="290"/>
      <c r="D60" s="290"/>
      <c r="E60" s="290"/>
      <c r="F60" s="291"/>
    </row>
    <row r="61" spans="1:6" ht="18.75" customHeight="1" x14ac:dyDescent="0.25">
      <c r="A61" s="19"/>
      <c r="B61" s="289"/>
      <c r="C61" s="290"/>
      <c r="D61" s="290"/>
      <c r="E61" s="290"/>
      <c r="F61" s="291"/>
    </row>
    <row r="62" spans="1:6" ht="18.75" customHeight="1" x14ac:dyDescent="0.25">
      <c r="A62" s="19"/>
      <c r="B62" s="289"/>
      <c r="C62" s="290"/>
      <c r="D62" s="290"/>
      <c r="E62" s="290"/>
      <c r="F62" s="291"/>
    </row>
    <row r="63" spans="1:6" ht="18.75" customHeight="1" x14ac:dyDescent="0.25">
      <c r="A63" s="19"/>
      <c r="B63" s="289"/>
      <c r="C63" s="290"/>
      <c r="D63" s="290"/>
      <c r="E63" s="290"/>
      <c r="F63" s="291"/>
    </row>
    <row r="64" spans="1:6" ht="18.75" customHeight="1" x14ac:dyDescent="0.25">
      <c r="A64" s="19"/>
      <c r="B64" s="289"/>
      <c r="C64" s="290"/>
      <c r="D64" s="290"/>
      <c r="E64" s="290"/>
      <c r="F64" s="291"/>
    </row>
    <row r="65" spans="1:6" ht="18.75" customHeight="1" x14ac:dyDescent="0.25">
      <c r="A65" s="19"/>
      <c r="B65" s="289"/>
      <c r="C65" s="290"/>
      <c r="D65" s="290"/>
      <c r="E65" s="290"/>
      <c r="F65" s="291"/>
    </row>
    <row r="66" spans="1:6" ht="18.75" customHeight="1" x14ac:dyDescent="0.25">
      <c r="A66" s="19"/>
      <c r="B66" s="289"/>
      <c r="C66" s="290"/>
      <c r="D66" s="290"/>
      <c r="E66" s="290"/>
      <c r="F66" s="291"/>
    </row>
    <row r="67" spans="1:6" ht="18.75" customHeight="1" x14ac:dyDescent="0.25">
      <c r="A67" s="19"/>
      <c r="B67" s="289"/>
      <c r="C67" s="290"/>
      <c r="D67" s="290"/>
      <c r="E67" s="290"/>
      <c r="F67" s="291"/>
    </row>
    <row r="68" spans="1:6" ht="18.75" customHeight="1" x14ac:dyDescent="0.25">
      <c r="A68" s="19"/>
      <c r="B68" s="289"/>
      <c r="C68" s="290"/>
      <c r="D68" s="290"/>
      <c r="E68" s="290"/>
      <c r="F68" s="291"/>
    </row>
    <row r="69" spans="1:6" ht="18.75" customHeight="1" x14ac:dyDescent="0.25">
      <c r="A69" s="19"/>
      <c r="B69" s="289"/>
      <c r="C69" s="290"/>
      <c r="D69" s="290"/>
      <c r="E69" s="290"/>
      <c r="F69" s="291"/>
    </row>
    <row r="70" spans="1:6" ht="18.75" customHeight="1" x14ac:dyDescent="0.25">
      <c r="A70" s="19"/>
      <c r="B70" s="289"/>
      <c r="C70" s="290"/>
      <c r="D70" s="290"/>
      <c r="E70" s="290"/>
      <c r="F70" s="291"/>
    </row>
    <row r="71" spans="1:6" ht="18.75" customHeight="1" x14ac:dyDescent="0.25">
      <c r="A71" s="19"/>
      <c r="B71" s="289"/>
      <c r="C71" s="290"/>
      <c r="D71" s="290"/>
      <c r="E71" s="290"/>
      <c r="F71" s="291"/>
    </row>
    <row r="72" spans="1:6" ht="18.75" customHeight="1" x14ac:dyDescent="0.25">
      <c r="A72" s="19"/>
      <c r="B72" s="289"/>
      <c r="C72" s="290"/>
      <c r="D72" s="290"/>
      <c r="E72" s="290"/>
      <c r="F72" s="291"/>
    </row>
    <row r="73" spans="1:6" ht="18.75" customHeight="1" x14ac:dyDescent="0.25">
      <c r="A73" s="19"/>
      <c r="B73" s="289"/>
      <c r="C73" s="290"/>
      <c r="D73" s="290"/>
      <c r="E73" s="290"/>
      <c r="F73" s="291"/>
    </row>
    <row r="74" spans="1:6" ht="18.75" customHeight="1" x14ac:dyDescent="0.25">
      <c r="A74" s="19"/>
      <c r="B74" s="289"/>
      <c r="C74" s="290"/>
      <c r="D74" s="290"/>
      <c r="E74" s="290"/>
      <c r="F74" s="291"/>
    </row>
    <row r="75" spans="1:6" ht="18.75" customHeight="1" x14ac:dyDescent="0.25">
      <c r="A75" s="19"/>
      <c r="B75" s="289"/>
      <c r="C75" s="290"/>
      <c r="D75" s="290"/>
      <c r="E75" s="290"/>
      <c r="F75" s="291"/>
    </row>
    <row r="76" spans="1:6" ht="18.75" customHeight="1" x14ac:dyDescent="0.25">
      <c r="A76" s="19"/>
      <c r="B76" s="289"/>
      <c r="C76" s="290"/>
      <c r="D76" s="290"/>
      <c r="E76" s="290"/>
      <c r="F76" s="291"/>
    </row>
    <row r="77" spans="1:6" ht="18.75" customHeight="1" x14ac:dyDescent="0.25">
      <c r="A77" s="19"/>
      <c r="B77" s="289"/>
      <c r="C77" s="290"/>
      <c r="D77" s="290"/>
      <c r="E77" s="290"/>
      <c r="F77" s="291"/>
    </row>
    <row r="78" spans="1:6" ht="18.75" customHeight="1" x14ac:dyDescent="0.25">
      <c r="A78" s="19"/>
      <c r="B78" s="289"/>
      <c r="C78" s="290"/>
      <c r="D78" s="290"/>
      <c r="E78" s="290"/>
      <c r="F78" s="291"/>
    </row>
    <row r="79" spans="1:6" ht="18.75" customHeight="1" x14ac:dyDescent="0.25">
      <c r="A79" s="19"/>
      <c r="B79" s="289"/>
      <c r="C79" s="290"/>
      <c r="D79" s="290"/>
      <c r="E79" s="290"/>
      <c r="F79" s="291"/>
    </row>
    <row r="80" spans="1:6" ht="18.75" customHeight="1" x14ac:dyDescent="0.25">
      <c r="A80" s="19"/>
      <c r="B80" s="292"/>
      <c r="C80" s="293"/>
      <c r="D80" s="293"/>
      <c r="E80" s="293"/>
      <c r="F80" s="294"/>
    </row>
    <row r="81" spans="1:6" ht="18.75" customHeight="1" x14ac:dyDescent="0.25">
      <c r="A81" s="1" t="s">
        <v>11</v>
      </c>
      <c r="B81" s="1" t="s">
        <v>74</v>
      </c>
      <c r="C81" s="1"/>
      <c r="D81" s="1"/>
      <c r="E81" s="1"/>
      <c r="F81" s="1"/>
    </row>
    <row r="82" spans="1:6" ht="18.75" customHeight="1" x14ac:dyDescent="0.25">
      <c r="A82" s="19"/>
      <c r="B82" s="278" t="s">
        <v>228</v>
      </c>
      <c r="C82" s="287"/>
      <c r="D82" s="287"/>
      <c r="E82" s="287"/>
      <c r="F82" s="288"/>
    </row>
    <row r="83" spans="1:6" ht="18.75" customHeight="1" x14ac:dyDescent="0.25">
      <c r="A83" s="19"/>
      <c r="B83" s="289"/>
      <c r="C83" s="290"/>
      <c r="D83" s="290"/>
      <c r="E83" s="290"/>
      <c r="F83" s="291"/>
    </row>
    <row r="84" spans="1:6" ht="18.75" customHeight="1" x14ac:dyDescent="0.25">
      <c r="A84" s="19"/>
      <c r="B84" s="289"/>
      <c r="C84" s="290"/>
      <c r="D84" s="290"/>
      <c r="E84" s="290"/>
      <c r="F84" s="291"/>
    </row>
    <row r="85" spans="1:6" ht="18.75" customHeight="1" x14ac:dyDescent="0.25">
      <c r="A85" s="19"/>
      <c r="B85" s="289"/>
      <c r="C85" s="290"/>
      <c r="D85" s="290"/>
      <c r="E85" s="290"/>
      <c r="F85" s="291"/>
    </row>
    <row r="86" spans="1:6" ht="18.75" customHeight="1" x14ac:dyDescent="0.25">
      <c r="A86" s="19"/>
      <c r="B86" s="289"/>
      <c r="C86" s="290"/>
      <c r="D86" s="290"/>
      <c r="E86" s="290"/>
      <c r="F86" s="291"/>
    </row>
    <row r="87" spans="1:6" ht="18.75" customHeight="1" x14ac:dyDescent="0.25">
      <c r="A87" s="19"/>
      <c r="B87" s="289"/>
      <c r="C87" s="290"/>
      <c r="D87" s="290"/>
      <c r="E87" s="290"/>
      <c r="F87" s="291"/>
    </row>
    <row r="88" spans="1:6" ht="18.75" customHeight="1" x14ac:dyDescent="0.25">
      <c r="A88" s="19"/>
      <c r="B88" s="289"/>
      <c r="C88" s="290"/>
      <c r="D88" s="290"/>
      <c r="E88" s="290"/>
      <c r="F88" s="291"/>
    </row>
    <row r="89" spans="1:6" ht="18.75" customHeight="1" x14ac:dyDescent="0.25">
      <c r="A89" s="19"/>
      <c r="B89" s="289"/>
      <c r="C89" s="290"/>
      <c r="D89" s="290"/>
      <c r="E89" s="290"/>
      <c r="F89" s="291"/>
    </row>
    <row r="90" spans="1:6" ht="18.75" customHeight="1" x14ac:dyDescent="0.25">
      <c r="A90" s="19"/>
      <c r="B90" s="289"/>
      <c r="C90" s="290"/>
      <c r="D90" s="290"/>
      <c r="E90" s="290"/>
      <c r="F90" s="291"/>
    </row>
    <row r="91" spans="1:6" ht="18.75" customHeight="1" x14ac:dyDescent="0.25">
      <c r="A91" s="19"/>
      <c r="B91" s="289"/>
      <c r="C91" s="290"/>
      <c r="D91" s="290"/>
      <c r="E91" s="290"/>
      <c r="F91" s="291"/>
    </row>
    <row r="92" spans="1:6" ht="18.75" customHeight="1" x14ac:dyDescent="0.25">
      <c r="A92" s="19"/>
      <c r="B92" s="289"/>
      <c r="C92" s="290"/>
      <c r="D92" s="290"/>
      <c r="E92" s="290"/>
      <c r="F92" s="291"/>
    </row>
    <row r="93" spans="1:6" ht="18.75" customHeight="1" x14ac:dyDescent="0.25">
      <c r="A93" s="19"/>
      <c r="B93" s="289"/>
      <c r="C93" s="290"/>
      <c r="D93" s="290"/>
      <c r="E93" s="290"/>
      <c r="F93" s="291"/>
    </row>
    <row r="94" spans="1:6" ht="18.75" customHeight="1" x14ac:dyDescent="0.25">
      <c r="A94" s="19"/>
      <c r="B94" s="289"/>
      <c r="C94" s="290"/>
      <c r="D94" s="290"/>
      <c r="E94" s="290"/>
      <c r="F94" s="291"/>
    </row>
    <row r="95" spans="1:6" ht="18.75" customHeight="1" x14ac:dyDescent="0.25">
      <c r="A95" s="19"/>
      <c r="B95" s="289"/>
      <c r="C95" s="290"/>
      <c r="D95" s="290"/>
      <c r="E95" s="290"/>
      <c r="F95" s="291"/>
    </row>
    <row r="96" spans="1:6" ht="18.75" customHeight="1" x14ac:dyDescent="0.25">
      <c r="A96" s="19"/>
      <c r="B96" s="289"/>
      <c r="C96" s="290"/>
      <c r="D96" s="290"/>
      <c r="E96" s="290"/>
      <c r="F96" s="291"/>
    </row>
    <row r="97" spans="1:6" ht="18.75" customHeight="1" x14ac:dyDescent="0.25">
      <c r="A97" s="19"/>
      <c r="B97" s="289"/>
      <c r="C97" s="290"/>
      <c r="D97" s="290"/>
      <c r="E97" s="290"/>
      <c r="F97" s="291"/>
    </row>
    <row r="98" spans="1:6" ht="18.75" customHeight="1" x14ac:dyDescent="0.25">
      <c r="A98" s="19"/>
      <c r="B98" s="289"/>
      <c r="C98" s="290"/>
      <c r="D98" s="290"/>
      <c r="E98" s="290"/>
      <c r="F98" s="291"/>
    </row>
    <row r="99" spans="1:6" ht="18.75" customHeight="1" x14ac:dyDescent="0.25">
      <c r="A99" s="19"/>
      <c r="B99" s="289"/>
      <c r="C99" s="290"/>
      <c r="D99" s="290"/>
      <c r="E99" s="290"/>
      <c r="F99" s="291"/>
    </row>
    <row r="100" spans="1:6" ht="18.75" customHeight="1" x14ac:dyDescent="0.25">
      <c r="A100" s="19"/>
      <c r="B100" s="289"/>
      <c r="C100" s="290"/>
      <c r="D100" s="290"/>
      <c r="E100" s="290"/>
      <c r="F100" s="291"/>
    </row>
    <row r="101" spans="1:6" ht="18.75" customHeight="1" x14ac:dyDescent="0.25">
      <c r="A101" s="19"/>
      <c r="B101" s="289"/>
      <c r="C101" s="290"/>
      <c r="D101" s="290"/>
      <c r="E101" s="290"/>
      <c r="F101" s="291"/>
    </row>
    <row r="102" spans="1:6" ht="18.75" customHeight="1" x14ac:dyDescent="0.25">
      <c r="A102" s="19"/>
      <c r="B102" s="289"/>
      <c r="C102" s="290"/>
      <c r="D102" s="290"/>
      <c r="E102" s="290"/>
      <c r="F102" s="291"/>
    </row>
    <row r="103" spans="1:6" ht="18.75" customHeight="1" x14ac:dyDescent="0.25">
      <c r="A103" s="19"/>
      <c r="B103" s="289"/>
      <c r="C103" s="290"/>
      <c r="D103" s="290"/>
      <c r="E103" s="290"/>
      <c r="F103" s="291"/>
    </row>
    <row r="104" spans="1:6" ht="18.75" customHeight="1" x14ac:dyDescent="0.25">
      <c r="A104" s="19"/>
      <c r="B104" s="289"/>
      <c r="C104" s="290"/>
      <c r="D104" s="290"/>
      <c r="E104" s="290"/>
      <c r="F104" s="291"/>
    </row>
    <row r="105" spans="1:6" ht="18.75" customHeight="1" x14ac:dyDescent="0.25">
      <c r="A105" s="19"/>
      <c r="B105" s="289"/>
      <c r="C105" s="290"/>
      <c r="D105" s="290"/>
      <c r="E105" s="290"/>
      <c r="F105" s="291"/>
    </row>
    <row r="106" spans="1:6" ht="18.75" customHeight="1" x14ac:dyDescent="0.25">
      <c r="A106" s="19"/>
      <c r="B106" s="289"/>
      <c r="C106" s="290"/>
      <c r="D106" s="290"/>
      <c r="E106" s="290"/>
      <c r="F106" s="291"/>
    </row>
    <row r="107" spans="1:6" ht="18.75" customHeight="1" x14ac:dyDescent="0.25">
      <c r="A107" s="19"/>
      <c r="B107" s="289"/>
      <c r="C107" s="290"/>
      <c r="D107" s="290"/>
      <c r="E107" s="290"/>
      <c r="F107" s="291"/>
    </row>
    <row r="108" spans="1:6" ht="18.75" customHeight="1" x14ac:dyDescent="0.25">
      <c r="A108" s="19"/>
      <c r="B108" s="289"/>
      <c r="C108" s="290"/>
      <c r="D108" s="290"/>
      <c r="E108" s="290"/>
      <c r="F108" s="291"/>
    </row>
    <row r="109" spans="1:6" ht="18.75" customHeight="1" x14ac:dyDescent="0.25">
      <c r="A109" s="19"/>
      <c r="B109" s="289"/>
      <c r="C109" s="290"/>
      <c r="D109" s="290"/>
      <c r="E109" s="290"/>
      <c r="F109" s="291"/>
    </row>
    <row r="110" spans="1:6" ht="18.75" customHeight="1" x14ac:dyDescent="0.25">
      <c r="A110" s="19"/>
      <c r="B110" s="289"/>
      <c r="C110" s="290"/>
      <c r="D110" s="290"/>
      <c r="E110" s="290"/>
      <c r="F110" s="291"/>
    </row>
    <row r="111" spans="1:6" ht="18.75" customHeight="1" x14ac:dyDescent="0.25">
      <c r="A111" s="19"/>
      <c r="B111" s="289"/>
      <c r="C111" s="290"/>
      <c r="D111" s="290"/>
      <c r="E111" s="290"/>
      <c r="F111" s="291"/>
    </row>
    <row r="112" spans="1:6" ht="18.75" customHeight="1" x14ac:dyDescent="0.25">
      <c r="A112" s="19"/>
      <c r="B112" s="289"/>
      <c r="C112" s="290"/>
      <c r="D112" s="290"/>
      <c r="E112" s="290"/>
      <c r="F112" s="291"/>
    </row>
    <row r="113" spans="1:6" ht="18.75" customHeight="1" x14ac:dyDescent="0.25">
      <c r="A113" s="19"/>
      <c r="B113" s="289"/>
      <c r="C113" s="290"/>
      <c r="D113" s="290"/>
      <c r="E113" s="290"/>
      <c r="F113" s="291"/>
    </row>
    <row r="114" spans="1:6" ht="18.75" customHeight="1" x14ac:dyDescent="0.25">
      <c r="A114" s="19"/>
      <c r="B114" s="289"/>
      <c r="C114" s="290"/>
      <c r="D114" s="290"/>
      <c r="E114" s="290"/>
      <c r="F114" s="291"/>
    </row>
    <row r="115" spans="1:6" ht="18.75" customHeight="1" x14ac:dyDescent="0.25">
      <c r="A115" s="19"/>
      <c r="B115" s="289"/>
      <c r="C115" s="290"/>
      <c r="D115" s="290"/>
      <c r="E115" s="290"/>
      <c r="F115" s="291"/>
    </row>
    <row r="116" spans="1:6" ht="18.75" customHeight="1" x14ac:dyDescent="0.25">
      <c r="A116" s="19"/>
      <c r="B116" s="289"/>
      <c r="C116" s="290"/>
      <c r="D116" s="290"/>
      <c r="E116" s="290"/>
      <c r="F116" s="291"/>
    </row>
    <row r="117" spans="1:6" ht="18.75" customHeight="1" x14ac:dyDescent="0.25">
      <c r="A117" s="19"/>
      <c r="B117" s="289"/>
      <c r="C117" s="290"/>
      <c r="D117" s="290"/>
      <c r="E117" s="290"/>
      <c r="F117" s="291"/>
    </row>
    <row r="118" spans="1:6" ht="18.75" customHeight="1" x14ac:dyDescent="0.25">
      <c r="A118" s="19"/>
      <c r="B118" s="289"/>
      <c r="C118" s="290"/>
      <c r="D118" s="290"/>
      <c r="E118" s="290"/>
      <c r="F118" s="291"/>
    </row>
    <row r="119" spans="1:6" ht="18.75" customHeight="1" x14ac:dyDescent="0.25">
      <c r="A119" s="19"/>
      <c r="B119" s="289"/>
      <c r="C119" s="290"/>
      <c r="D119" s="290"/>
      <c r="E119" s="290"/>
      <c r="F119" s="291"/>
    </row>
    <row r="120" spans="1:6" ht="18.75" customHeight="1" x14ac:dyDescent="0.25">
      <c r="A120" s="19"/>
      <c r="B120" s="292"/>
      <c r="C120" s="293"/>
      <c r="D120" s="293"/>
      <c r="E120" s="293"/>
      <c r="F120" s="294"/>
    </row>
  </sheetData>
  <mergeCells count="5">
    <mergeCell ref="E1:F1"/>
    <mergeCell ref="A2:F2"/>
    <mergeCell ref="B5:F40"/>
    <mergeCell ref="B42:F80"/>
    <mergeCell ref="B82:F12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0" max="5" man="1"/>
    <brk id="80"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 </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 '!Print_Area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n_kimijima</cp:lastModifiedBy>
  <cp:lastPrinted>2022-06-01T02:52:23Z</cp:lastPrinted>
  <dcterms:created xsi:type="dcterms:W3CDTF">2011-06-14T05:32:50Z</dcterms:created>
  <dcterms:modified xsi:type="dcterms:W3CDTF">2022-07-14T08:07:24Z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