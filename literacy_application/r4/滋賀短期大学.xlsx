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jc-honbu\新共通\短大\学務課\教務課\教務\数理・データサイエンス・AI\R4申請\提出書類\滋賀短期大学\01滋賀短期大学_リテラシー\"/>
    </mc:Choice>
  </mc:AlternateContent>
  <bookViews>
    <workbookView xWindow="0" yWindow="0" windowWidth="20490" windowHeight="7155" tabRatio="885"/>
  </bookViews>
  <sheets>
    <sheet name="様式１　大学等概要" sheetId="42" r:id="rId1"/>
    <sheet name="様式２-1　プログラムを構成する授業科目" sheetId="45" r:id="rId2"/>
    <sheet name="様式２-2　プログラムを構成する授業科目" sheetId="46" r:id="rId3"/>
    <sheet name="様式２-3　プログラムを構成する授業科目" sheetId="47" r:id="rId4"/>
    <sheet name="様式３　履修者等数の実績" sheetId="43" r:id="rId5"/>
    <sheet name="様式４　教育の質・履修者数を向上させるための体制・計画" sheetId="41" r:id="rId6"/>
    <sheet name="様式５　自己点検・評価" sheetId="44" r:id="rId7"/>
  </sheets>
  <externalReferences>
    <externalReference r:id="rId8"/>
  </externalReferences>
  <definedNames>
    <definedName name="_xlnm._FilterDatabase" localSheetId="1" hidden="1">'様式２-1　プログラムを構成する授業科目'!#REF!</definedName>
    <definedName name="_xlnm._FilterDatabase" localSheetId="2" hidden="1">'様式２-2　プログラムを構成する授業科目'!#REF!</definedName>
    <definedName name="_xlnm._FilterDatabase" localSheetId="3" hidden="1">'様式２-3　プログラムを構成する授業科目'!#REF!</definedName>
    <definedName name="_xlnm._FilterDatabase" localSheetId="4" hidden="1">'様式３　履修者等数の実績'!#REF!</definedName>
    <definedName name="_xlnm.Print_Area" localSheetId="0">'様式１　大学等概要'!$A$1:$N$45</definedName>
    <definedName name="_xlnm.Print_Area" localSheetId="1">'様式２-1　プログラムを構成する授業科目'!$A$1:$Z$98</definedName>
    <definedName name="_xlnm.Print_Area" localSheetId="2">'様式２-2　プログラムを構成する授業科目'!$A$1:$Z$97</definedName>
    <definedName name="_xlnm.Print_Area" localSheetId="3">'様式２-3　プログラムを構成する授業科目'!$A$1:$Z$98</definedName>
    <definedName name="_xlnm.Print_Area" localSheetId="4">'様式３　履修者等数の実績'!$A$1:$R$30</definedName>
    <definedName name="_xlnm.Print_Area" localSheetId="5">'様式４　教育の質・履修者数を向上させるための体制・計画'!$A$1:$J$123</definedName>
    <definedName name="_xlnm.Print_Area" localSheetId="6">'様式５　自己点検・評価'!$A$1:$J$18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44" l="1"/>
  <c r="K16" i="44"/>
  <c r="K15" i="44"/>
  <c r="K14" i="44"/>
  <c r="K13" i="44"/>
  <c r="K11" i="44"/>
  <c r="K10" i="44"/>
  <c r="K9" i="44"/>
  <c r="K8" i="44"/>
  <c r="K7" i="44"/>
  <c r="P30" i="43" l="1"/>
  <c r="O30" i="43"/>
  <c r="N30" i="43"/>
  <c r="M30" i="43"/>
  <c r="L30" i="43"/>
  <c r="K30" i="43"/>
  <c r="J30" i="43"/>
  <c r="I30" i="43"/>
  <c r="H30" i="43"/>
  <c r="G30" i="43"/>
  <c r="F30" i="43"/>
  <c r="E30" i="43"/>
  <c r="D30" i="43"/>
  <c r="C30" i="43"/>
  <c r="R29" i="43"/>
  <c r="Q29" i="43"/>
  <c r="R28" i="43"/>
  <c r="Q28" i="43"/>
  <c r="R27" i="43"/>
  <c r="Q27" i="43"/>
  <c r="Q26" i="43"/>
  <c r="R26" i="43" s="1"/>
  <c r="R25" i="43"/>
  <c r="Q25" i="43"/>
  <c r="R24" i="43"/>
  <c r="Q24" i="43"/>
  <c r="R23" i="43"/>
  <c r="Q23" i="43"/>
  <c r="Q22" i="43"/>
  <c r="R22" i="43" s="1"/>
  <c r="R21" i="43"/>
  <c r="Q21" i="43"/>
  <c r="R20" i="43"/>
  <c r="Q20" i="43"/>
  <c r="R19" i="43"/>
  <c r="Q19" i="43"/>
  <c r="Q18" i="43"/>
  <c r="R18" i="43" s="1"/>
  <c r="R17" i="43"/>
  <c r="Q17" i="43"/>
  <c r="R16" i="43"/>
  <c r="Q16" i="43"/>
  <c r="R15" i="43"/>
  <c r="Q15" i="43"/>
  <c r="Q14" i="43"/>
  <c r="R14" i="43" s="1"/>
  <c r="R13" i="43"/>
  <c r="Q13" i="43"/>
  <c r="R12" i="43"/>
  <c r="Q12" i="43"/>
  <c r="R11" i="43"/>
  <c r="Q11" i="43"/>
  <c r="Q10" i="43"/>
  <c r="Q30" i="43" s="1"/>
  <c r="R30" i="43" s="1"/>
  <c r="C4" i="43"/>
  <c r="O45" i="42"/>
  <c r="O44" i="42"/>
  <c r="O41" i="42"/>
  <c r="O39" i="42"/>
  <c r="O37" i="42"/>
  <c r="O34" i="42"/>
  <c r="O32" i="42"/>
  <c r="O29" i="42"/>
  <c r="O20" i="42"/>
  <c r="O18" i="42"/>
  <c r="O16" i="42"/>
  <c r="O14" i="42"/>
  <c r="O12" i="42"/>
  <c r="O10" i="42"/>
  <c r="O8" i="42"/>
  <c r="O6" i="42"/>
  <c r="O4" i="42"/>
  <c r="R10" i="43" l="1"/>
  <c r="K106" i="41"/>
  <c r="K84" i="41"/>
  <c r="K62" i="41"/>
  <c r="K39" i="41"/>
  <c r="K26" i="41"/>
  <c r="K15" i="41"/>
  <c r="K8" i="41"/>
  <c r="K5" i="41"/>
</calcChain>
</file>

<file path=xl/sharedStrings.xml><?xml version="1.0" encoding="utf-8"?>
<sst xmlns="http://schemas.openxmlformats.org/spreadsheetml/2006/main" count="604" uniqueCount="217">
  <si>
    <t>①</t>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</si>
  <si>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</si>
  <si>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</si>
  <si>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</si>
  <si>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</si>
  <si>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</si>
  <si>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</si>
  <si>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</si>
  <si>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</si>
  <si>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</si>
  <si>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体制の目的</t>
    <rPh sb="0" eb="2">
      <t>タイセイ</t>
    </rPh>
    <rPh sb="3" eb="5">
      <t>モクテキ</t>
    </rPh>
    <phoneticPr fontId="1"/>
  </si>
  <si>
    <t>⑧</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</si>
  <si>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</si>
  <si>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プログラムを構成する授業科目について</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</si>
  <si>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</si>
  <si>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</si>
  <si>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授業時間内外で学習指導、質問を受け付ける具体的な仕組み</t>
    <rPh sb="20" eb="23">
      <t>グタイテキ</t>
    </rPh>
    <phoneticPr fontId="1"/>
  </si>
  <si>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</si>
  <si>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</si>
  <si>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</si>
  <si>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</si>
  <si>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</si>
  <si>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</si>
  <si>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</si>
  <si>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</si>
  <si>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</si>
  <si>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</si>
  <si>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選択</t>
    <rPh sb="0" eb="2">
      <t>センタク</t>
    </rPh>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</si>
  <si>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</si>
  <si>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</si>
  <si>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</si>
  <si>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</si>
  <si>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</si>
  <si>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</si>
  <si>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</si>
  <si>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</si>
  <si>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</si>
  <si>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</si>
  <si>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</si>
  <si>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</si>
  <si>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</si>
  <si>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</si>
  <si>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</si>
  <si>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</si>
  <si>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</si>
  <si>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</si>
  <si>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</si>
  <si>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</si>
  <si>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</si>
  <si>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</si>
  <si>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</si>
  <si>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</si>
  <si>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</si>
  <si>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</si>
  <si>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</si>
  <si>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</si>
  <si>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</si>
  <si>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</si>
  <si>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</si>
  <si>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</si>
  <si>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</si>
  <si>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全学開講</t>
  </si>
  <si>
    <t>○</t>
  </si>
  <si>
    <t>コンピュータリテラシー（データ処理）Ⅱ</t>
    <rPh sb="15" eb="17">
      <t>ショリ</t>
    </rPh>
    <phoneticPr fontId="1"/>
  </si>
  <si>
    <t>データ分析入門</t>
    <phoneticPr fontId="1"/>
  </si>
  <si>
    <t>一部開講</t>
  </si>
  <si>
    <t>学部・学科によって、修了要件は相違する</t>
  </si>
  <si>
    <t>データ分析入門</t>
    <rPh sb="3" eb="5">
      <t>ブンセキ</t>
    </rPh>
    <rPh sb="5" eb="7">
      <t>ニュウモン</t>
    </rPh>
    <phoneticPr fontId="1"/>
  </si>
  <si>
    <t xml:space="preserve">・データを用いた分析とその応用範囲（データ分析入門第1回目、第15回目）
</t>
    <rPh sb="5" eb="6">
      <t>モチ</t>
    </rPh>
    <rPh sb="8" eb="10">
      <t>ブンセキ</t>
    </rPh>
    <rPh sb="13" eb="15">
      <t>オウヨウ</t>
    </rPh>
    <rPh sb="15" eb="17">
      <t>ハンイ</t>
    </rPh>
    <rPh sb="21" eb="23">
      <t>ブンセキ</t>
    </rPh>
    <rPh sb="23" eb="25">
      <t>ニュウモン</t>
    </rPh>
    <rPh sb="25" eb="26">
      <t>ダイ</t>
    </rPh>
    <rPh sb="27" eb="29">
      <t>カイメ</t>
    </rPh>
    <rPh sb="30" eb="31">
      <t>ダイ</t>
    </rPh>
    <rPh sb="33" eb="35">
      <t>カイメ</t>
    </rPh>
    <phoneticPr fontId="1"/>
  </si>
  <si>
    <t>情報処理基礎Ⅱ（幼教）</t>
    <rPh sb="0" eb="2">
      <t>ジョウホウ</t>
    </rPh>
    <rPh sb="2" eb="4">
      <t>ショリ</t>
    </rPh>
    <rPh sb="4" eb="6">
      <t>キソ</t>
    </rPh>
    <rPh sb="8" eb="10">
      <t>ヨウキョウ</t>
    </rPh>
    <phoneticPr fontId="1"/>
  </si>
  <si>
    <t xml:space="preserve">・データサイエンスが社会や企業に与える影響について（データ分析入門1回目）
</t>
    <rPh sb="10" eb="12">
      <t>シャカイ</t>
    </rPh>
    <phoneticPr fontId="1"/>
  </si>
  <si>
    <t>情報処理基礎Ⅱ（生活）</t>
    <rPh sb="0" eb="4">
      <t>ジョウホウショリ</t>
    </rPh>
    <rPh sb="4" eb="6">
      <t>キソ</t>
    </rPh>
    <rPh sb="8" eb="10">
      <t>セイカツ</t>
    </rPh>
    <phoneticPr fontId="1"/>
  </si>
  <si>
    <t>・データ分析を用いた企業の問題解決の例（データ分析入門　第12回、第13回目、第14回目）</t>
    <rPh sb="4" eb="6">
      <t>ブンセキ</t>
    </rPh>
    <rPh sb="7" eb="8">
      <t>モチ</t>
    </rPh>
    <rPh sb="10" eb="12">
      <t>キギョウ</t>
    </rPh>
    <rPh sb="13" eb="17">
      <t>モンダイカイケツ</t>
    </rPh>
    <rPh sb="18" eb="19">
      <t>レイ</t>
    </rPh>
    <rPh sb="23" eb="25">
      <t>ブンセキ</t>
    </rPh>
    <rPh sb="25" eb="27">
      <t>ニュウモン</t>
    </rPh>
    <rPh sb="28" eb="29">
      <t>ダイ</t>
    </rPh>
    <rPh sb="31" eb="32">
      <t>カイ</t>
    </rPh>
    <rPh sb="33" eb="34">
      <t>ダイ</t>
    </rPh>
    <rPh sb="36" eb="38">
      <t>カイメ</t>
    </rPh>
    <rPh sb="39" eb="40">
      <t>ダイ</t>
    </rPh>
    <rPh sb="42" eb="44">
      <t>カイメ</t>
    </rPh>
    <phoneticPr fontId="1"/>
  </si>
  <si>
    <t>・データ利用・データの取り扱いにおける留意点（情報倫理・セキュリティ・ブラックボックス化）（データ分析入門　第15回）
・情報モラルと個人情報の管理 （情報処理基礎Ⅱ（幼教）　第9回）</t>
    <rPh sb="4" eb="6">
      <t>リヨウ</t>
    </rPh>
    <phoneticPr fontId="1"/>
  </si>
  <si>
    <t xml:space="preserve">・データ利用データの取り扱いにおける留意点（情報倫理・セキュリティ・ブラックボックス化）（データ分析入門　第15回）
・情報モラルと個人情報の管理 （情報処理基礎Ⅱ（幼教）　第9回）
</t>
    <rPh sb="4" eb="6">
      <t>リヨウ</t>
    </rPh>
    <rPh sb="48" eb="50">
      <t>ブンセキ</t>
    </rPh>
    <rPh sb="50" eb="52">
      <t>ニュウモン</t>
    </rPh>
    <rPh sb="53" eb="54">
      <t>ダイ</t>
    </rPh>
    <rPh sb="56" eb="57">
      <t>カイ</t>
    </rPh>
    <rPh sb="75" eb="79">
      <t>ジョウホウショリ</t>
    </rPh>
    <rPh sb="79" eb="81">
      <t>キソ</t>
    </rPh>
    <rPh sb="83" eb="85">
      <t>ヨウキョウ</t>
    </rPh>
    <rPh sb="87" eb="88">
      <t>ダイ</t>
    </rPh>
    <rPh sb="89" eb="90">
      <t>カイ</t>
    </rPh>
    <phoneticPr fontId="1"/>
  </si>
  <si>
    <t>・実務データの分析（データ分析入門　第11回、第12回、第13回、第14回）</t>
    <rPh sb="1" eb="3">
      <t>ジツム</t>
    </rPh>
    <rPh sb="7" eb="9">
      <t>ブンセキ</t>
    </rPh>
    <rPh sb="13" eb="15">
      <t>ブンセキ</t>
    </rPh>
    <rPh sb="15" eb="17">
      <t>ニュウモン</t>
    </rPh>
    <rPh sb="18" eb="19">
      <t>ダイ</t>
    </rPh>
    <rPh sb="21" eb="22">
      <t>カイ</t>
    </rPh>
    <rPh sb="23" eb="24">
      <t>ダイ</t>
    </rPh>
    <rPh sb="26" eb="27">
      <t>カイ</t>
    </rPh>
    <rPh sb="28" eb="29">
      <t>ダイ</t>
    </rPh>
    <rPh sb="31" eb="32">
      <t>カイ</t>
    </rPh>
    <rPh sb="33" eb="34">
      <t>ダイ</t>
    </rPh>
    <rPh sb="36" eb="37">
      <t>カイ</t>
    </rPh>
    <phoneticPr fontId="1"/>
  </si>
  <si>
    <t>・データ分析結果発表（データ分析入門　第11回、第12回、第13回、第14回）</t>
    <rPh sb="4" eb="6">
      <t>ブンセキ</t>
    </rPh>
    <rPh sb="6" eb="8">
      <t>ケッカ</t>
    </rPh>
    <rPh sb="8" eb="10">
      <t>ハッピョウ</t>
    </rPh>
    <rPh sb="14" eb="16">
      <t>ブンセキ</t>
    </rPh>
    <rPh sb="16" eb="18">
      <t>ニュウモン</t>
    </rPh>
    <rPh sb="19" eb="20">
      <t>ダイ</t>
    </rPh>
    <rPh sb="22" eb="23">
      <t>カイ</t>
    </rPh>
    <rPh sb="24" eb="25">
      <t>ダイ</t>
    </rPh>
    <rPh sb="27" eb="28">
      <t>カイ</t>
    </rPh>
    <rPh sb="29" eb="30">
      <t>ダイ</t>
    </rPh>
    <rPh sb="32" eb="33">
      <t>カイ</t>
    </rPh>
    <rPh sb="34" eb="35">
      <t>ダイ</t>
    </rPh>
    <rPh sb="37" eb="38">
      <t>カイ</t>
    </rPh>
    <phoneticPr fontId="1"/>
  </si>
  <si>
    <t>1. データの収集・加工・処理、データの分析、分析結果の解釈とその活用というデータサイエンスの3要素について基本的な技術を身につける。
2. データサイエンスの応用事例について理解する。</t>
    <phoneticPr fontId="1"/>
  </si>
  <si>
    <t>学部・学科に関係なく希望する学生全員が受講可能となるような必要な体制・取組等</t>
    <phoneticPr fontId="1"/>
  </si>
  <si>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</si>
  <si>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</si>
  <si>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学校名</t>
    <rPh sb="0" eb="2">
      <t>ガッコウ</t>
    </rPh>
    <rPh sb="2" eb="3">
      <t>メイ</t>
    </rPh>
    <phoneticPr fontId="1"/>
  </si>
  <si>
    <t>滋賀短期大学</t>
    <rPh sb="0" eb="6">
      <t>シガタンキダイガク</t>
    </rPh>
    <phoneticPr fontId="1"/>
  </si>
  <si>
    <t>大学等の設置者</t>
  </si>
  <si>
    <t>学校法人純美禮学園</t>
    <rPh sb="0" eb="2">
      <t>ガッコウ</t>
    </rPh>
    <rPh sb="2" eb="4">
      <t>ホウジン</t>
    </rPh>
    <rPh sb="4" eb="5">
      <t>ジュン</t>
    </rPh>
    <rPh sb="5" eb="6">
      <t>ミ</t>
    </rPh>
    <rPh sb="6" eb="7">
      <t>レイ</t>
    </rPh>
    <rPh sb="7" eb="9">
      <t>ガクエン</t>
    </rPh>
    <phoneticPr fontId="1"/>
  </si>
  <si>
    <t>③</t>
  </si>
  <si>
    <t>設置形態</t>
    <phoneticPr fontId="1"/>
  </si>
  <si>
    <t>所在地</t>
    <phoneticPr fontId="1"/>
  </si>
  <si>
    <t>滋賀県大津市竜が丘２４番４号</t>
    <rPh sb="0" eb="3">
      <t>シガケン</t>
    </rPh>
    <rPh sb="3" eb="6">
      <t>オオツシ</t>
    </rPh>
    <rPh sb="6" eb="7">
      <t>タツ</t>
    </rPh>
    <rPh sb="8" eb="9">
      <t>オカ</t>
    </rPh>
    <rPh sb="11" eb="12">
      <t>バン</t>
    </rPh>
    <rPh sb="13" eb="14">
      <t>ゴウ</t>
    </rPh>
    <phoneticPr fontId="1"/>
  </si>
  <si>
    <t>申請するプログラム名称</t>
    <rPh sb="0" eb="2">
      <t>シンセイ</t>
    </rPh>
    <rPh sb="9" eb="11">
      <t>メイショウ</t>
    </rPh>
    <phoneticPr fontId="1"/>
  </si>
  <si>
    <t>実務人材育成のためのデジタル教育推進プログラム</t>
    <rPh sb="0" eb="4">
      <t>ジツムジンザイ</t>
    </rPh>
    <rPh sb="4" eb="6">
      <t>イクセイ</t>
    </rPh>
    <rPh sb="14" eb="16">
      <t>キョウイク</t>
    </rPh>
    <rPh sb="16" eb="18">
      <t>スイシン</t>
    </rPh>
    <phoneticPr fontId="1"/>
  </si>
  <si>
    <t>プログラムの開設年度</t>
    <rPh sb="6" eb="8">
      <t>カイセツ</t>
    </rPh>
    <rPh sb="8" eb="10">
      <t>ネンド</t>
    </rPh>
    <phoneticPr fontId="1"/>
  </si>
  <si>
    <t>令和3</t>
    <rPh sb="0" eb="2">
      <t>レイワ</t>
    </rPh>
    <phoneticPr fontId="1"/>
  </si>
  <si>
    <t>年度</t>
    <rPh sb="0" eb="2">
      <t>ネンド</t>
    </rPh>
    <phoneticPr fontId="1"/>
  </si>
  <si>
    <t>⑦応用基礎レベルの申請の有無</t>
    <phoneticPr fontId="1"/>
  </si>
  <si>
    <t>無</t>
  </si>
  <si>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</si>
  <si>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</si>
  <si>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</si>
  <si>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</si>
  <si>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</si>
  <si>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</si>
  <si>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</si>
  <si>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</si>
  <si>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</si>
  <si>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</si>
  <si>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</si>
  <si>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</si>
  <si>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</si>
  <si>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</si>
  <si>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</si>
  <si>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</si>
  <si>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</si>
  <si>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</si>
  <si>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</si>
  <si>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</si>
  <si>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</si>
  <si>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小山内幸治</t>
    <rPh sb="0" eb="3">
      <t>オサナイ</t>
    </rPh>
    <rPh sb="3" eb="5">
      <t>コウジ</t>
    </rPh>
    <phoneticPr fontId="1"/>
  </si>
  <si>
    <t>（役職名）</t>
    <rPh sb="1" eb="4">
      <t>ヤクショクメイ</t>
    </rPh>
    <phoneticPr fontId="1"/>
  </si>
  <si>
    <t>副学長</t>
    <rPh sb="0" eb="3">
      <t>フクガクチョウ</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</si>
  <si>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</si>
  <si>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</si>
  <si>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</si>
  <si>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</si>
  <si>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自己点検・評価委員会</t>
    <rPh sb="0" eb="4">
      <t>ジコテンケン</t>
    </rPh>
    <rPh sb="5" eb="7">
      <t>ヒョウカ</t>
    </rPh>
    <rPh sb="7" eb="10">
      <t>イインカイ</t>
    </rPh>
    <phoneticPr fontId="1"/>
  </si>
  <si>
    <t>秋山元秀</t>
    <rPh sb="0" eb="2">
      <t>アキヤマ</t>
    </rPh>
    <rPh sb="2" eb="4">
      <t>モトヒデ</t>
    </rPh>
    <phoneticPr fontId="1"/>
  </si>
  <si>
    <t>学長</t>
    <rPh sb="0" eb="2">
      <t>ガクチョウ</t>
    </rPh>
    <phoneticPr fontId="1"/>
  </si>
  <si>
    <t>⑮</t>
    <phoneticPr fontId="1"/>
  </si>
  <si>
    <t>申請する認定プログラム</t>
    <rPh sb="0" eb="2">
      <t>シンセイ</t>
    </rPh>
    <rPh sb="4" eb="6">
      <t>ニンテイ</t>
    </rPh>
    <phoneticPr fontId="1"/>
  </si>
  <si>
    <t>認定教育プログラム</t>
  </si>
  <si>
    <t>連絡先</t>
  </si>
  <si>
    <t>所属部署名</t>
    <rPh sb="0" eb="2">
      <t>ショゾク</t>
    </rPh>
    <rPh sb="2" eb="4">
      <t>ブショ</t>
    </rPh>
    <rPh sb="4" eb="5">
      <t>メイ</t>
    </rPh>
    <phoneticPr fontId="1"/>
  </si>
  <si>
    <t>学務課</t>
    <rPh sb="0" eb="3">
      <t>ガクムカ</t>
    </rPh>
    <phoneticPr fontId="1"/>
  </si>
  <si>
    <t>担当者名</t>
    <rPh sb="0" eb="2">
      <t>タントウ</t>
    </rPh>
    <rPh sb="2" eb="3">
      <t>シャ</t>
    </rPh>
    <rPh sb="3" eb="4">
      <t>メイ</t>
    </rPh>
    <phoneticPr fontId="1"/>
  </si>
  <si>
    <t>小杉ゆう子</t>
    <rPh sb="0" eb="2">
      <t>コスギ</t>
    </rPh>
    <rPh sb="4" eb="5">
      <t>コ</t>
    </rPh>
    <phoneticPr fontId="1"/>
  </si>
  <si>
    <t>E-mail</t>
  </si>
  <si>
    <t>tkyoumu@sumire.ac.jp</t>
    <phoneticPr fontId="1"/>
  </si>
  <si>
    <t>電話番号</t>
  </si>
  <si>
    <t>077-524-3638</t>
    <phoneticPr fontId="1"/>
  </si>
  <si>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</si>
  <si>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</si>
  <si>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</si>
  <si>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</si>
  <si>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</si>
  <si>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</si>
  <si>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</si>
  <si>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</si>
  <si>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</si>
  <si>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</si>
  <si>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</si>
  <si>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</si>
  <si>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</si>
  <si>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</si>
  <si>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</si>
  <si>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</si>
  <si>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</si>
  <si>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生活学科</t>
    <rPh sb="0" eb="4">
      <t>セイカツガッカ</t>
    </rPh>
    <phoneticPr fontId="1"/>
  </si>
  <si>
    <t>幼児教育保育学科</t>
    <rPh sb="0" eb="6">
      <t>ヨウジキョウイクホイク</t>
    </rPh>
    <rPh sb="6" eb="8">
      <t>ガッカ</t>
    </rPh>
    <phoneticPr fontId="1"/>
  </si>
  <si>
    <t>ビジネスコミュニケーション学科</t>
    <rPh sb="13" eb="15">
      <t>ガッカ</t>
    </rPh>
    <phoneticPr fontId="1"/>
  </si>
  <si>
    <t>合　計</t>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</si>
  <si>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</si>
  <si>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</si>
  <si>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</si>
  <si>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</si>
  <si>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</si>
  <si>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</si>
  <si>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</si>
  <si>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</si>
  <si>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全学デジタル教育推進WGにおいて、プログラムの履修状況及び単位修得状況を分析し、プログラム構成科目のカリキュラム上での位置づけ及び授業内容の適正化を図り、履修・修得状況を改善する。
令和3年度は、プログラム構成科目として全学開講した「データ分析入門」の履修者が極めて少なかった。「データ分析入門」を含む共通科目７科目を同一の曜限に開講し、本人の希望による選択を認めることとしているため、大多数の学生が他の科目へ分散するのを防ぐことができなかった。
令和４年度入学者に対しては、プログラム構成科目として全学開講共通科目「データサイエンス・リテラシー」を新設し、幼児教育保育学科を除く３学科で必修化する。また、必修でない学科の学生も履修・単位修得がしやすくなるよう、プログラム構成科目のカリキュラム上での位置づけを見直す。</t>
    <rPh sb="0" eb="2">
      <t>ゼンガク</t>
    </rPh>
    <rPh sb="6" eb="8">
      <t>キョウイク</t>
    </rPh>
    <rPh sb="8" eb="10">
      <t>スイシン</t>
    </rPh>
    <rPh sb="23" eb="27">
      <t>リシュウジョウキョウ</t>
    </rPh>
    <rPh sb="27" eb="28">
      <t>オヨ</t>
    </rPh>
    <rPh sb="29" eb="33">
      <t>タンイシュウトク</t>
    </rPh>
    <rPh sb="33" eb="35">
      <t>ジョウキョウ</t>
    </rPh>
    <rPh sb="36" eb="38">
      <t>ブンセキ</t>
    </rPh>
    <rPh sb="45" eb="49">
      <t>コウセイカモク</t>
    </rPh>
    <rPh sb="56" eb="57">
      <t>ジョウ</t>
    </rPh>
    <rPh sb="59" eb="61">
      <t>イチ</t>
    </rPh>
    <rPh sb="63" eb="64">
      <t>オヨ</t>
    </rPh>
    <rPh sb="65" eb="67">
      <t>ジュギョウ</t>
    </rPh>
    <rPh sb="67" eb="69">
      <t>ナイヨウ</t>
    </rPh>
    <rPh sb="70" eb="73">
      <t>テキセイカ</t>
    </rPh>
    <rPh sb="74" eb="75">
      <t>ハカ</t>
    </rPh>
    <rPh sb="85" eb="87">
      <t>カイゼン</t>
    </rPh>
    <rPh sb="91" eb="93">
      <t>レイワ</t>
    </rPh>
    <rPh sb="94" eb="96">
      <t>ネンド</t>
    </rPh>
    <rPh sb="103" eb="105">
      <t>コウセイ</t>
    </rPh>
    <rPh sb="105" eb="107">
      <t>カモク</t>
    </rPh>
    <rPh sb="110" eb="112">
      <t>ゼンガク</t>
    </rPh>
    <rPh sb="112" eb="114">
      <t>カイコウ</t>
    </rPh>
    <rPh sb="120" eb="124">
      <t>ブンセキニュウモン</t>
    </rPh>
    <rPh sb="126" eb="128">
      <t>リシュウ</t>
    </rPh>
    <rPh sb="128" eb="129">
      <t>シャ</t>
    </rPh>
    <rPh sb="130" eb="131">
      <t>キワ</t>
    </rPh>
    <rPh sb="133" eb="134">
      <t>スク</t>
    </rPh>
    <rPh sb="143" eb="147">
      <t>ブンセキニュウモン</t>
    </rPh>
    <rPh sb="149" eb="150">
      <t>フク</t>
    </rPh>
    <rPh sb="151" eb="153">
      <t>キョウツウ</t>
    </rPh>
    <rPh sb="153" eb="155">
      <t>カモク</t>
    </rPh>
    <rPh sb="156" eb="158">
      <t>カモク</t>
    </rPh>
    <rPh sb="159" eb="161">
      <t>ドウイツ</t>
    </rPh>
    <rPh sb="169" eb="171">
      <t>ホンニン</t>
    </rPh>
    <rPh sb="172" eb="174">
      <t>キボウ</t>
    </rPh>
    <rPh sb="177" eb="179">
      <t>センタク</t>
    </rPh>
    <rPh sb="180" eb="181">
      <t>ミト</t>
    </rPh>
    <rPh sb="193" eb="196">
      <t>ダイタスウ</t>
    </rPh>
    <rPh sb="197" eb="199">
      <t>ガクセイ</t>
    </rPh>
    <rPh sb="200" eb="201">
      <t>タ</t>
    </rPh>
    <rPh sb="202" eb="204">
      <t>カモク</t>
    </rPh>
    <rPh sb="205" eb="207">
      <t>ブンサン</t>
    </rPh>
    <rPh sb="211" eb="212">
      <t>フセ</t>
    </rPh>
    <rPh sb="224" eb="226">
      <t>レイワ</t>
    </rPh>
    <rPh sb="227" eb="229">
      <t>ネンド</t>
    </rPh>
    <rPh sb="229" eb="232">
      <t>ニュウガクシャ</t>
    </rPh>
    <rPh sb="233" eb="234">
      <t>タイ</t>
    </rPh>
    <rPh sb="243" eb="245">
      <t>コウセイ</t>
    </rPh>
    <rPh sb="245" eb="247">
      <t>カモク</t>
    </rPh>
    <rPh sb="250" eb="252">
      <t>ゼンガク</t>
    </rPh>
    <rPh sb="252" eb="254">
      <t>カイコウ</t>
    </rPh>
    <rPh sb="254" eb="258">
      <t>キョウツウカモク</t>
    </rPh>
    <rPh sb="275" eb="277">
      <t>シンセツ</t>
    </rPh>
    <rPh sb="279" eb="287">
      <t>ヨウジキョウイクホイクガッカ</t>
    </rPh>
    <rPh sb="288" eb="289">
      <t>ノゾ</t>
    </rPh>
    <rPh sb="291" eb="293">
      <t>ガッカ</t>
    </rPh>
    <rPh sb="294" eb="297">
      <t>ヒッシュウカ</t>
    </rPh>
    <rPh sb="303" eb="305">
      <t>ヒッシュウ</t>
    </rPh>
    <rPh sb="308" eb="310">
      <t>ガッカ</t>
    </rPh>
    <rPh sb="311" eb="313">
      <t>ガクセイ</t>
    </rPh>
    <rPh sb="314" eb="316">
      <t>リシュウ</t>
    </rPh>
    <rPh sb="317" eb="319">
      <t>タンイ</t>
    </rPh>
    <rPh sb="319" eb="321">
      <t>シュウトク</t>
    </rPh>
    <rPh sb="336" eb="340">
      <t>コウセイカモク</t>
    </rPh>
    <rPh sb="347" eb="348">
      <t>ジョウ</t>
    </rPh>
    <rPh sb="350" eb="352">
      <t>イチ</t>
    </rPh>
    <rPh sb="355" eb="357">
      <t>ミナオ</t>
    </rPh>
    <phoneticPr fontId="1"/>
  </si>
  <si>
    <t>学修成果</t>
    <rPh sb="0" eb="2">
      <t>ガクシュウ</t>
    </rPh>
    <rPh sb="2" eb="4">
      <t>セイカ</t>
    </rPh>
    <phoneticPr fontId="1"/>
  </si>
  <si>
    <t>シラバスに明示された到達目標と評価基準に基づき、成績評価を厳格に行った上、プログラム構成科目の単位修得率、平均GPA及び成績分布状況を確認することにより、プログラムの学修成果を評価する。また、授業評価アンケートの結果により、学修成果の把握と分析を行う。</t>
    <rPh sb="5" eb="7">
      <t>メイジ</t>
    </rPh>
    <rPh sb="10" eb="14">
      <t>トウタツモクヒョウ</t>
    </rPh>
    <rPh sb="15" eb="19">
      <t>ヒョウカキジュン</t>
    </rPh>
    <rPh sb="20" eb="21">
      <t>モト</t>
    </rPh>
    <rPh sb="24" eb="26">
      <t>セイセキ</t>
    </rPh>
    <rPh sb="26" eb="28">
      <t>ヒョウカ</t>
    </rPh>
    <rPh sb="29" eb="31">
      <t>ゲンカク</t>
    </rPh>
    <rPh sb="32" eb="33">
      <t>オコナ</t>
    </rPh>
    <rPh sb="35" eb="36">
      <t>ウエ</t>
    </rPh>
    <rPh sb="42" eb="44">
      <t>コウセイ</t>
    </rPh>
    <rPh sb="44" eb="46">
      <t>カモク</t>
    </rPh>
    <rPh sb="47" eb="49">
      <t>タンイ</t>
    </rPh>
    <rPh sb="49" eb="52">
      <t>シュウトクリツ</t>
    </rPh>
    <rPh sb="53" eb="55">
      <t>ヘイキン</t>
    </rPh>
    <rPh sb="58" eb="59">
      <t>オヨ</t>
    </rPh>
    <rPh sb="60" eb="62">
      <t>セイセキ</t>
    </rPh>
    <rPh sb="62" eb="66">
      <t>ブンプジョウキョウ</t>
    </rPh>
    <rPh sb="67" eb="69">
      <t>カクニン</t>
    </rPh>
    <rPh sb="88" eb="90">
      <t>ヒョウカ</t>
    </rPh>
    <rPh sb="96" eb="98">
      <t>ジュギョウ</t>
    </rPh>
    <rPh sb="98" eb="100">
      <t>ヒョウカ</t>
    </rPh>
    <rPh sb="106" eb="108">
      <t>ケッカ</t>
    </rPh>
    <rPh sb="112" eb="114">
      <t>ガクシュウ</t>
    </rPh>
    <rPh sb="114" eb="116">
      <t>セイカ</t>
    </rPh>
    <rPh sb="117" eb="119">
      <t>ハアク</t>
    </rPh>
    <rPh sb="120" eb="122">
      <t>ブンセキ</t>
    </rPh>
    <rPh sb="123" eb="124">
      <t>オコナ</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</si>
  <si>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</si>
  <si>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全授業科目で授業評価アンケートを実施し、結果を分析して授業改善に役立てる。
令和3年度の授業評価アンケートにおける、授業の理解度を問う質問に対する回答（４点満点）：
・「情報処理基礎Ⅱ（生活学科）」　3.28
・「コンピュータリテラシー（データ処理）Ⅱ（ﾋﾞｼﾞﾈｽｺﾐｭﾆｹｰｼｮﾝ学科）」　3.43　</t>
    <rPh sb="0" eb="5">
      <t>ゼンジュギョウカモク</t>
    </rPh>
    <rPh sb="6" eb="8">
      <t>ジュギョウ</t>
    </rPh>
    <rPh sb="8" eb="10">
      <t>ヒョウカ</t>
    </rPh>
    <rPh sb="16" eb="18">
      <t>ジッシ</t>
    </rPh>
    <rPh sb="20" eb="22">
      <t>ケッカ</t>
    </rPh>
    <rPh sb="23" eb="25">
      <t>ブンセキ</t>
    </rPh>
    <rPh sb="27" eb="31">
      <t>ジュギョウカイゼン</t>
    </rPh>
    <rPh sb="32" eb="34">
      <t>ヤクダ</t>
    </rPh>
    <rPh sb="39" eb="41">
      <t>レイワ</t>
    </rPh>
    <rPh sb="42" eb="44">
      <t>ネンド</t>
    </rPh>
    <rPh sb="45" eb="47">
      <t>ジュギョウ</t>
    </rPh>
    <rPh sb="47" eb="49">
      <t>ヒョウカ</t>
    </rPh>
    <rPh sb="59" eb="61">
      <t>ジュギョウ</t>
    </rPh>
    <rPh sb="62" eb="64">
      <t>リカイ</t>
    </rPh>
    <rPh sb="64" eb="65">
      <t>ド</t>
    </rPh>
    <rPh sb="66" eb="67">
      <t>ト</t>
    </rPh>
    <rPh sb="68" eb="70">
      <t>シツモン</t>
    </rPh>
    <rPh sb="71" eb="72">
      <t>タイ</t>
    </rPh>
    <rPh sb="74" eb="76">
      <t>カイトウ</t>
    </rPh>
    <rPh sb="78" eb="79">
      <t>テン</t>
    </rPh>
    <rPh sb="79" eb="81">
      <t>マンテン</t>
    </rPh>
    <rPh sb="86" eb="92">
      <t>ジョウホウショリキソ</t>
    </rPh>
    <rPh sb="94" eb="98">
      <t>セイカツガッカ</t>
    </rPh>
    <rPh sb="123" eb="125">
      <t>ショリ</t>
    </rPh>
    <rPh sb="143" eb="145">
      <t>ガッカ</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</si>
  <si>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</si>
  <si>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後輩等他の学生への推奨度については、令和３年度は調査を行わなかったため不明である。今後、授業評価アンケート項目の見直しを行う。
令和３年度の授業評価アンケートにおける、授業の満足度を問う質問に対する回答（４点満点）：
・「情報処理基礎Ⅱ（生活学科）」　3.38
・「コンピュータリテラシー（データ処理）Ⅱ（ﾋﾞｼﾞﾈｽｺﾐｭﾆｹｰｼｮﾝ学科）」　3.38　</t>
    <rPh sb="44" eb="46">
      <t>ジュギョウ</t>
    </rPh>
    <rPh sb="46" eb="48">
      <t>ヒョウカ</t>
    </rPh>
    <rPh sb="64" eb="66">
      <t>レイワ</t>
    </rPh>
    <rPh sb="67" eb="69">
      <t>ネンド</t>
    </rPh>
    <rPh sb="70" eb="72">
      <t>ジュギョウ</t>
    </rPh>
    <rPh sb="72" eb="74">
      <t>ヒョウカ</t>
    </rPh>
    <rPh sb="84" eb="86">
      <t>ジュギョウ</t>
    </rPh>
    <rPh sb="87" eb="89">
      <t>マンゾク</t>
    </rPh>
    <rPh sb="89" eb="90">
      <t>ド</t>
    </rPh>
    <rPh sb="91" eb="92">
      <t>ト</t>
    </rPh>
    <rPh sb="93" eb="95">
      <t>シツモン</t>
    </rPh>
    <rPh sb="96" eb="97">
      <t>タイ</t>
    </rPh>
    <rPh sb="99" eb="101">
      <t>カイトウ</t>
    </rPh>
    <rPh sb="103" eb="104">
      <t>テン</t>
    </rPh>
    <rPh sb="104" eb="106">
      <t>マンテン</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</si>
  <si>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</si>
  <si>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令和４年度には、全学開講の共通科目「データサイエンス・リテラシー」を新設し、プログラムの構成科目とする。生活学科、ビジネスコミュニケーション学科、デジタルライフビジネス学科については、「データサイエンス・リテラシー」を卒業必修科目とすることにより、プログラム履修率100％を達成する。幼児教育保育学科については、「データサイエンス・リテラシー」の必修化に向け、他の共通科目及び専門科目のカリキュラムの見直しを検討する。</t>
    <rPh sb="0" eb="2">
      <t>レイワ</t>
    </rPh>
    <rPh sb="3" eb="5">
      <t>ネンド</t>
    </rPh>
    <rPh sb="8" eb="10">
      <t>ゼンガク</t>
    </rPh>
    <rPh sb="10" eb="12">
      <t>カイコウ</t>
    </rPh>
    <rPh sb="13" eb="17">
      <t>キョウツウカモク</t>
    </rPh>
    <rPh sb="34" eb="36">
      <t>シンセツ</t>
    </rPh>
    <rPh sb="44" eb="46">
      <t>コウセイ</t>
    </rPh>
    <rPh sb="46" eb="48">
      <t>カモク</t>
    </rPh>
    <rPh sb="52" eb="54">
      <t>セイカツ</t>
    </rPh>
    <rPh sb="54" eb="56">
      <t>ガッカ</t>
    </rPh>
    <rPh sb="70" eb="72">
      <t>ガッカ</t>
    </rPh>
    <rPh sb="84" eb="86">
      <t>ガッカ</t>
    </rPh>
    <rPh sb="109" eb="111">
      <t>ソツギョウ</t>
    </rPh>
    <rPh sb="111" eb="113">
      <t>ヒッシュウ</t>
    </rPh>
    <rPh sb="113" eb="115">
      <t>カモク</t>
    </rPh>
    <rPh sb="129" eb="132">
      <t>リシュウリツ</t>
    </rPh>
    <rPh sb="137" eb="139">
      <t>タッセイ</t>
    </rPh>
    <rPh sb="142" eb="150">
      <t>ヨウジキョウイクホイクガッカ</t>
    </rPh>
    <rPh sb="173" eb="176">
      <t>ヒッシュウカ</t>
    </rPh>
    <rPh sb="177" eb="178">
      <t>ム</t>
    </rPh>
    <rPh sb="180" eb="181">
      <t>タ</t>
    </rPh>
    <rPh sb="182" eb="186">
      <t>キョウツウカモク</t>
    </rPh>
    <rPh sb="186" eb="187">
      <t>オヨ</t>
    </rPh>
    <rPh sb="188" eb="190">
      <t>センモン</t>
    </rPh>
    <rPh sb="190" eb="192">
      <t>カモク</t>
    </rPh>
    <rPh sb="200" eb="202">
      <t>ミナオ</t>
    </rPh>
    <rPh sb="204" eb="206">
      <t>ケントウ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</si>
  <si>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</si>
  <si>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</si>
  <si>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キャリア支援課が、プログラム修了者の就職先に対し、就職後の活躍状況や能力評価等についてヒアリング調査を行う。また、プログラムを修了し就職した者に対し、プログラムの評価のためのアンケートを実施する。</t>
    <rPh sb="4" eb="7">
      <t>シエンカ</t>
    </rPh>
    <rPh sb="14" eb="17">
      <t>シュウリョウシャ</t>
    </rPh>
    <rPh sb="18" eb="21">
      <t>シュウショクサキ</t>
    </rPh>
    <rPh sb="22" eb="23">
      <t>タイ</t>
    </rPh>
    <rPh sb="25" eb="28">
      <t>シュウショクゴ</t>
    </rPh>
    <rPh sb="29" eb="31">
      <t>カツヤク</t>
    </rPh>
    <rPh sb="31" eb="33">
      <t>ジョウキョウ</t>
    </rPh>
    <rPh sb="34" eb="36">
      <t>ノウリョク</t>
    </rPh>
    <rPh sb="36" eb="38">
      <t>ヒョウカ</t>
    </rPh>
    <rPh sb="38" eb="39">
      <t>トウ</t>
    </rPh>
    <rPh sb="48" eb="50">
      <t>チョウサ</t>
    </rPh>
    <rPh sb="51" eb="52">
      <t>オコナ</t>
    </rPh>
    <rPh sb="63" eb="65">
      <t>シュウリョウ</t>
    </rPh>
    <rPh sb="66" eb="68">
      <t>シュウショク</t>
    </rPh>
    <rPh sb="70" eb="71">
      <t>モノ</t>
    </rPh>
    <rPh sb="72" eb="73">
      <t>タイ</t>
    </rPh>
    <rPh sb="81" eb="83">
      <t>ヒョウカ</t>
    </rPh>
    <rPh sb="93" eb="95">
      <t>ジッシ</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</si>
  <si>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</si>
  <si>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学外実習、インターンシップ又は地域連携事業等の機会に、実習先、企業等から、本学学生に卒業までに身に付けてほしいデジタル実務能力を具体的に聞き取り、教育プログラムの開発と改善の参考とする。</t>
    <rPh sb="0" eb="2">
      <t>ガクガイ</t>
    </rPh>
    <rPh sb="2" eb="4">
      <t>ジッシュウ</t>
    </rPh>
    <rPh sb="13" eb="14">
      <t>マタ</t>
    </rPh>
    <rPh sb="15" eb="17">
      <t>チイキ</t>
    </rPh>
    <rPh sb="17" eb="19">
      <t>レンケイ</t>
    </rPh>
    <rPh sb="19" eb="21">
      <t>ジギョウ</t>
    </rPh>
    <rPh sb="21" eb="22">
      <t>トウ</t>
    </rPh>
    <rPh sb="23" eb="25">
      <t>キカイ</t>
    </rPh>
    <rPh sb="27" eb="29">
      <t>ジッシュウ</t>
    </rPh>
    <rPh sb="29" eb="30">
      <t>サキ</t>
    </rPh>
    <rPh sb="31" eb="33">
      <t>キギョウ</t>
    </rPh>
    <rPh sb="33" eb="34">
      <t>トウ</t>
    </rPh>
    <rPh sb="37" eb="39">
      <t>ホンガク</t>
    </rPh>
    <rPh sb="39" eb="41">
      <t>ガクセイ</t>
    </rPh>
    <rPh sb="42" eb="44">
      <t>ソツギョウ</t>
    </rPh>
    <rPh sb="47" eb="48">
      <t>ミ</t>
    </rPh>
    <rPh sb="49" eb="50">
      <t>ツ</t>
    </rPh>
    <rPh sb="59" eb="61">
      <t>ジツム</t>
    </rPh>
    <rPh sb="61" eb="63">
      <t>ノウリョク</t>
    </rPh>
    <rPh sb="64" eb="67">
      <t>グタイテキ</t>
    </rPh>
    <rPh sb="68" eb="69">
      <t>キ</t>
    </rPh>
    <rPh sb="70" eb="71">
      <t>ト</t>
    </rPh>
    <rPh sb="73" eb="75">
      <t>キョウイク</t>
    </rPh>
    <rPh sb="81" eb="83">
      <t>カイハツ</t>
    </rPh>
    <rPh sb="84" eb="86">
      <t>カイゼン</t>
    </rPh>
    <rPh sb="87" eb="89">
      <t>サンコウ</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</si>
  <si>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</si>
  <si>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学科ごとに異なる専門科目をプログラム構成科目とし、各学科の専門分野に関係する実データ、実課題を用いた演習などを取り入れることで、学生の興味・関心を高め、楽しく学ぶことができるようにしている。また、学生が学ぶことの意義を実感できるよう、就職後に各専門分野の実務レベルでデジタルスキルを活かすことができる教育プログラムとする。</t>
    <rPh sb="0" eb="2">
      <t>ガッカ</t>
    </rPh>
    <rPh sb="5" eb="6">
      <t>コト</t>
    </rPh>
    <rPh sb="8" eb="10">
      <t>センモン</t>
    </rPh>
    <rPh sb="10" eb="12">
      <t>カモク</t>
    </rPh>
    <rPh sb="18" eb="20">
      <t>コウセイ</t>
    </rPh>
    <rPh sb="20" eb="22">
      <t>カモク</t>
    </rPh>
    <rPh sb="25" eb="28">
      <t>カクガッカ</t>
    </rPh>
    <rPh sb="55" eb="56">
      <t>ト</t>
    </rPh>
    <rPh sb="57" eb="58">
      <t>イ</t>
    </rPh>
    <rPh sb="64" eb="66">
      <t>ガクセイ</t>
    </rPh>
    <rPh sb="67" eb="69">
      <t>キョウミ</t>
    </rPh>
    <rPh sb="70" eb="72">
      <t>カンシン</t>
    </rPh>
    <rPh sb="73" eb="74">
      <t>タカ</t>
    </rPh>
    <rPh sb="76" eb="77">
      <t>タノ</t>
    </rPh>
    <rPh sb="98" eb="100">
      <t>ガクセイ</t>
    </rPh>
    <rPh sb="101" eb="102">
      <t>マナ</t>
    </rPh>
    <rPh sb="106" eb="108">
      <t>イギ</t>
    </rPh>
    <rPh sb="109" eb="111">
      <t>ジッカン</t>
    </rPh>
    <rPh sb="117" eb="120">
      <t>シュウショクゴ</t>
    </rPh>
    <rPh sb="127" eb="129">
      <t>ジツム</t>
    </rPh>
    <rPh sb="141" eb="142">
      <t>イ</t>
    </rPh>
    <rPh sb="150" eb="152">
      <t>キョウイク</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</si>
  <si>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</si>
  <si>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②自己点検・評価体制における意見等を公表しているアドレス</t>
    <phoneticPr fontId="1"/>
  </si>
  <si>
    <t>令和3年度は、「データ分析入門」、「コンピュータリテラシー（データ処理）Ⅱ」、「情報処理基礎Ⅱ」に関する質問や疑問にについては、ラーニングサポートセンターで、教員または非常勤のコンピュータ教育サポーターが対応していた。
令和4年度からは「データサイエンス・リテラシー」（2単位）が、滋賀大学データサイエンス学部が作成した教材を用いてオンデマンドで開講される。オンデマンドで使用されるgaccoシステムでのオンデマンド教育を補完するために、本学のオンライン教育システムのGoogle Classroomに「データサイエンスリテラシー」のクラスを設け、進度の管理と授業理解のための補足資料やビデオを配信している。さらに、学生の学習を支援する施設であるラーニングサポートセンターに週5時間、「データサイエンス・リテラシー」の担当教員が在室し、対面で直接学生の質問に答えたり、技術的な解決の支援を行う。</t>
    <rPh sb="11" eb="13">
      <t>ブンセキ</t>
    </rPh>
    <rPh sb="13" eb="15">
      <t>ニュウモン</t>
    </rPh>
    <rPh sb="33" eb="35">
      <t>ショリ</t>
    </rPh>
    <rPh sb="40" eb="42">
      <t>ジョウホウ</t>
    </rPh>
    <rPh sb="42" eb="44">
      <t>ショリ</t>
    </rPh>
    <rPh sb="44" eb="46">
      <t>キソ</t>
    </rPh>
    <rPh sb="49" eb="50">
      <t>カン</t>
    </rPh>
    <rPh sb="52" eb="54">
      <t>シツモン</t>
    </rPh>
    <rPh sb="79" eb="81">
      <t>キョウイン</t>
    </rPh>
    <rPh sb="84" eb="87">
      <t>ヒジョウキン</t>
    </rPh>
    <rPh sb="94" eb="96">
      <t>キョウイク</t>
    </rPh>
    <rPh sb="102" eb="104">
      <t>タイオウ</t>
    </rPh>
    <rPh sb="308" eb="310">
      <t>ガクセイ</t>
    </rPh>
    <rPh sb="311" eb="313">
      <t>ガクシュウ</t>
    </rPh>
    <rPh sb="314" eb="316">
      <t>シエン</t>
    </rPh>
    <rPh sb="318" eb="320">
      <t>シセツ</t>
    </rPh>
    <rPh sb="337" eb="338">
      <t>シュウ</t>
    </rPh>
    <rPh sb="339" eb="341">
      <t>ジカン</t>
    </rPh>
    <rPh sb="359" eb="363">
      <t>タントウキョウイン</t>
    </rPh>
    <rPh sb="364" eb="366">
      <t>ザイシツ</t>
    </rPh>
    <rPh sb="368" eb="370">
      <t>タイメン</t>
    </rPh>
    <rPh sb="371" eb="373">
      <t>チョクセツ</t>
    </rPh>
    <rPh sb="373" eb="375">
      <t>ガクセイ</t>
    </rPh>
    <rPh sb="376" eb="378">
      <t>シツモン</t>
    </rPh>
    <rPh sb="379" eb="380">
      <t>コタ</t>
    </rPh>
    <rPh sb="384" eb="387">
      <t>ギジュツテキ</t>
    </rPh>
    <rPh sb="388" eb="390">
      <t>カイケツ</t>
    </rPh>
    <rPh sb="391" eb="393">
      <t>シエン</t>
    </rPh>
    <rPh sb="394" eb="395">
      <t>オコナ</t>
    </rPh>
    <phoneticPr fontId="1"/>
  </si>
  <si>
    <t>本学学生の学習全般を支援するラーニングサポートセンターに、非常勤のコンピュータ教育サポータを配置し、授業時間外の学習支援を行っている。
令和４年度からは、データサイエンス・リテラシーの担当教員が、決まった曜日の決まった時間（週5時間程度）ラーニングサポートセンターに在室し、学生の質問や、技術的問題に対処する。本教育プログラムの授業については、滋賀大学データサイエンス学部が作成した教材を、gaccoを用いて視聴する形態をとるが、平行して本学のオンライン学習システムGoogle Classroomによる進度管理、質問受付、ビデオ視聴後のレポート作成なども取り入れ、学生がモチベーションをもちつづけながら学習がつづけられるように工夫する。</t>
    <rPh sb="7" eb="9">
      <t>ゼンパン</t>
    </rPh>
    <rPh sb="10" eb="12">
      <t>シエン</t>
    </rPh>
    <rPh sb="29" eb="32">
      <t>ヒジョウキン</t>
    </rPh>
    <rPh sb="39" eb="41">
      <t>キョウイク</t>
    </rPh>
    <rPh sb="46" eb="48">
      <t>ハイチ</t>
    </rPh>
    <rPh sb="50" eb="52">
      <t>ジュギョウ</t>
    </rPh>
    <rPh sb="52" eb="55">
      <t>ジカンガイ</t>
    </rPh>
    <rPh sb="56" eb="58">
      <t>ガクシュウ</t>
    </rPh>
    <rPh sb="58" eb="60">
      <t>シエン</t>
    </rPh>
    <rPh sb="61" eb="62">
      <t>オコナ</t>
    </rPh>
    <rPh sb="68" eb="70">
      <t>レイワ</t>
    </rPh>
    <rPh sb="71" eb="73">
      <t>ネンド</t>
    </rPh>
    <rPh sb="116" eb="118">
      <t>テイド</t>
    </rPh>
    <rPh sb="257" eb="259">
      <t>シツモン</t>
    </rPh>
    <rPh sb="259" eb="261">
      <t>ウケツケ</t>
    </rPh>
    <rPh sb="265" eb="268">
      <t>シチョウゴ</t>
    </rPh>
    <rPh sb="302" eb="304">
      <t>ガクシュウ</t>
    </rPh>
    <rPh sb="314" eb="316">
      <t>クフウ</t>
    </rPh>
    <phoneticPr fontId="1"/>
  </si>
  <si>
    <t xml:space="preserve">・データ利用・データの取り扱いにおける留意点（情報倫理・セキュリティ・ブラックボックス化）（データ分析入門　第15回）
</t>
    <rPh sb="4" eb="6">
      <t>リヨウ</t>
    </rPh>
    <phoneticPr fontId="1"/>
  </si>
  <si>
    <t xml:space="preserve">・データ利用データの取り扱いにおける留意点（情報倫理・セキュリティ・ブラックボックス化）（データ分析入門　第15回）
</t>
    <rPh sb="4" eb="6">
      <t>リヨウ</t>
    </rPh>
    <rPh sb="48" eb="50">
      <t>ブンセキ</t>
    </rPh>
    <rPh sb="50" eb="52">
      <t>ニュウモン</t>
    </rPh>
    <rPh sb="53" eb="54">
      <t>ダイ</t>
    </rPh>
    <rPh sb="56" eb="57">
      <t>カイ</t>
    </rPh>
    <phoneticPr fontId="1"/>
  </si>
  <si>
    <t xml:space="preserve">・データの形式と収集について（データ分析入門　第1回）
・Excelの基本操作（情報処理基礎Ⅱ（生活）第2回～第10回）
</t>
    <rPh sb="5" eb="7">
      <t>ケイシキ</t>
    </rPh>
    <rPh sb="8" eb="10">
      <t>シュウシュウ</t>
    </rPh>
    <rPh sb="18" eb="20">
      <t>ブンセキ</t>
    </rPh>
    <rPh sb="20" eb="22">
      <t>ニュウモン</t>
    </rPh>
    <rPh sb="23" eb="24">
      <t>ダイ</t>
    </rPh>
    <rPh sb="25" eb="26">
      <t>カイ</t>
    </rPh>
    <rPh sb="48" eb="50">
      <t>セイカツ</t>
    </rPh>
    <phoneticPr fontId="1"/>
  </si>
  <si>
    <t>・データの形式と収集について（データ分析入門　第1回）
・Excelの基本操作（情報処理基礎Ⅱ（幼教）第2回～第6回）</t>
    <rPh sb="5" eb="7">
      <t>ケイシキ</t>
    </rPh>
    <rPh sb="8" eb="10">
      <t>シュウシュウ</t>
    </rPh>
    <rPh sb="18" eb="20">
      <t>ブンセキ</t>
    </rPh>
    <rPh sb="20" eb="22">
      <t>ニュウモン</t>
    </rPh>
    <rPh sb="23" eb="24">
      <t>ダイ</t>
    </rPh>
    <rPh sb="25" eb="26">
      <t>カイ</t>
    </rPh>
    <rPh sb="35" eb="39">
      <t>キホンソウサ</t>
    </rPh>
    <rPh sb="40" eb="44">
      <t>ジョウホウショリ</t>
    </rPh>
    <rPh sb="44" eb="46">
      <t>キソ</t>
    </rPh>
    <rPh sb="48" eb="50">
      <t>ヨウキョウ</t>
    </rPh>
    <rPh sb="51" eb="52">
      <t>ダイ</t>
    </rPh>
    <rPh sb="53" eb="54">
      <t>カイ</t>
    </rPh>
    <rPh sb="55" eb="56">
      <t>ダイ</t>
    </rPh>
    <rPh sb="57" eb="58">
      <t>カイ</t>
    </rPh>
    <phoneticPr fontId="1"/>
  </si>
  <si>
    <t>令和3年度は、全学共通科目「データ分析入門」（全学科　選択）の他、各学科の専門科目「コンピュータリテラシー（データ処理）Ⅱ」（ビジネスコミュニケーション学科　必修）、「情報処理基礎Ⅱ」（幼児教育保育学科　必修）及び「情報処理基礎Ⅱ」（生活学科　必修）をプログラム構成科目として設置した。各学科専門科目は必修であるが、選択科目の全学共通科目「データ分析入門」の履修希望者が少なかったため、プログラム履修率が低い結果となった。
令和4年度からは、「データ分析入門」を不開講とし、データサイエンスの基礎的内容を網羅する「データサイエンス・リテラシー」を新たに設置し、これを生活学科とビジネスコミュニケーション学科は必修、幼児教育保育学科は選択とする。また、令和5年度からは、幼児教育保育学科が加わり、全学科必修とする予定である。これにより、本学では、基幹科目となる「データサイエンス・リテラシー」、それを補完する「コンピュータリテラシー（データ処理）Ⅱ」（ビジネスコミュニケーション学科・デジタルライフビジネス学科　必修）、「情報処理基礎Ⅱ」（幼児教育保育学科　必修）、「情報処理基礎Ⅱ」（生活学科　必修）科目がすべて必修となり、学生全員がデータサイエンスの基礎を身につけることができる体制が整う予定である。さらに、令和4年度から「データサイエンス入門」（デジタルライフビジネス学科　必修、ビジネスコミュニケーション学科選択　2単位）、「データサイエンス応用」（デジタルライフビジネス学科　必修、ビジネスコミュニケーション学科選択　2単位）も設置し、プログラムの充実を図る。</t>
    <rPh sb="0" eb="2">
      <t>レイワ</t>
    </rPh>
    <rPh sb="3" eb="5">
      <t>ネンド</t>
    </rPh>
    <rPh sb="7" eb="9">
      <t>ゼンガク</t>
    </rPh>
    <rPh sb="9" eb="11">
      <t>キョウツウ</t>
    </rPh>
    <rPh sb="11" eb="13">
      <t>カモク</t>
    </rPh>
    <rPh sb="17" eb="19">
      <t>ブンセキ</t>
    </rPh>
    <rPh sb="19" eb="21">
      <t>ニュウモン</t>
    </rPh>
    <rPh sb="23" eb="26">
      <t>ゼンガッカ</t>
    </rPh>
    <rPh sb="27" eb="29">
      <t>センタク</t>
    </rPh>
    <rPh sb="31" eb="32">
      <t>ホカ</t>
    </rPh>
    <rPh sb="33" eb="36">
      <t>カクガッカ</t>
    </rPh>
    <rPh sb="37" eb="41">
      <t>センモンカモク</t>
    </rPh>
    <rPh sb="57" eb="59">
      <t>ショリ</t>
    </rPh>
    <rPh sb="76" eb="78">
      <t>ガッカ</t>
    </rPh>
    <rPh sb="79" eb="81">
      <t>ヒッシュウ</t>
    </rPh>
    <rPh sb="84" eb="88">
      <t>ジョウホウショリ</t>
    </rPh>
    <rPh sb="88" eb="90">
      <t>キソ</t>
    </rPh>
    <rPh sb="93" eb="95">
      <t>ヨウジ</t>
    </rPh>
    <rPh sb="95" eb="97">
      <t>キョウイク</t>
    </rPh>
    <rPh sb="97" eb="99">
      <t>ホイク</t>
    </rPh>
    <rPh sb="99" eb="101">
      <t>ガッカ</t>
    </rPh>
    <rPh sb="102" eb="104">
      <t>ヒッシュウ</t>
    </rPh>
    <rPh sb="105" eb="106">
      <t>オヨ</t>
    </rPh>
    <rPh sb="108" eb="112">
      <t>ジョウホウショリ</t>
    </rPh>
    <rPh sb="112" eb="114">
      <t>キソ</t>
    </rPh>
    <rPh sb="117" eb="119">
      <t>セイカツ</t>
    </rPh>
    <rPh sb="119" eb="121">
      <t>ガッカ</t>
    </rPh>
    <rPh sb="122" eb="124">
      <t>ヒッシュウ</t>
    </rPh>
    <rPh sb="131" eb="133">
      <t>コウセイ</t>
    </rPh>
    <rPh sb="133" eb="135">
      <t>カモク</t>
    </rPh>
    <rPh sb="138" eb="140">
      <t>セッチ</t>
    </rPh>
    <rPh sb="143" eb="146">
      <t>カクガッカ</t>
    </rPh>
    <rPh sb="146" eb="148">
      <t>センモン</t>
    </rPh>
    <rPh sb="148" eb="150">
      <t>カモク</t>
    </rPh>
    <rPh sb="151" eb="153">
      <t>ヒッシュウ</t>
    </rPh>
    <rPh sb="158" eb="162">
      <t>センタクカモク</t>
    </rPh>
    <rPh sb="163" eb="165">
      <t>ゼンガク</t>
    </rPh>
    <rPh sb="165" eb="169">
      <t>キョウツウカモク</t>
    </rPh>
    <rPh sb="173" eb="175">
      <t>ブンセキ</t>
    </rPh>
    <rPh sb="175" eb="177">
      <t>ニュウモン</t>
    </rPh>
    <rPh sb="179" eb="184">
      <t>リシュウキボウシャ</t>
    </rPh>
    <rPh sb="185" eb="186">
      <t>スク</t>
    </rPh>
    <rPh sb="198" eb="201">
      <t>リシュウリツ</t>
    </rPh>
    <rPh sb="202" eb="203">
      <t>ヒク</t>
    </rPh>
    <rPh sb="204" eb="206">
      <t>ケッカ</t>
    </rPh>
    <rPh sb="212" eb="214">
      <t>レイワ</t>
    </rPh>
    <rPh sb="215" eb="217">
      <t>ネンド</t>
    </rPh>
    <rPh sb="225" eb="227">
      <t>ブンセキ</t>
    </rPh>
    <rPh sb="227" eb="229">
      <t>ニュウモン</t>
    </rPh>
    <rPh sb="231" eb="232">
      <t>フ</t>
    </rPh>
    <rPh sb="232" eb="234">
      <t>カイコウ</t>
    </rPh>
    <rPh sb="246" eb="249">
      <t>キソテキ</t>
    </rPh>
    <rPh sb="249" eb="251">
      <t>ナイヨウ</t>
    </rPh>
    <rPh sb="252" eb="254">
      <t>モウラ</t>
    </rPh>
    <rPh sb="273" eb="274">
      <t>アラ</t>
    </rPh>
    <rPh sb="276" eb="278">
      <t>セッチ</t>
    </rPh>
    <rPh sb="283" eb="285">
      <t>セイカツ</t>
    </rPh>
    <rPh sb="285" eb="287">
      <t>ガッカ</t>
    </rPh>
    <rPh sb="301" eb="303">
      <t>ガッカ</t>
    </rPh>
    <rPh sb="304" eb="306">
      <t>ヒッシュウ</t>
    </rPh>
    <rPh sb="307" eb="311">
      <t>ヨウジキョウイク</t>
    </rPh>
    <rPh sb="311" eb="315">
      <t>ホイクガッカ</t>
    </rPh>
    <rPh sb="316" eb="318">
      <t>センタク</t>
    </rPh>
    <rPh sb="325" eb="327">
      <t>レイワ</t>
    </rPh>
    <rPh sb="328" eb="330">
      <t>ネンド</t>
    </rPh>
    <rPh sb="334" eb="336">
      <t>ヨウジ</t>
    </rPh>
    <rPh sb="336" eb="338">
      <t>キョウイク</t>
    </rPh>
    <rPh sb="338" eb="340">
      <t>ホイク</t>
    </rPh>
    <rPh sb="340" eb="342">
      <t>ガッカ</t>
    </rPh>
    <rPh sb="343" eb="344">
      <t>クワ</t>
    </rPh>
    <rPh sb="347" eb="350">
      <t>ゼンガッカ</t>
    </rPh>
    <rPh sb="350" eb="352">
      <t>ヒッシュウ</t>
    </rPh>
    <rPh sb="355" eb="357">
      <t>ヨテイ</t>
    </rPh>
    <rPh sb="367" eb="369">
      <t>ホンガク</t>
    </rPh>
    <rPh sb="372" eb="374">
      <t>キカン</t>
    </rPh>
    <rPh sb="374" eb="376">
      <t>カモク</t>
    </rPh>
    <rPh sb="399" eb="401">
      <t>ホカン</t>
    </rPh>
    <rPh sb="452" eb="454">
      <t>ガッカ</t>
    </rPh>
    <rPh sb="500" eb="502">
      <t>カモク</t>
    </rPh>
    <rPh sb="506" eb="508">
      <t>ヒッシュウ</t>
    </rPh>
    <rPh sb="512" eb="514">
      <t>ガクセイ</t>
    </rPh>
    <rPh sb="514" eb="516">
      <t>ゼンイン</t>
    </rPh>
    <rPh sb="526" eb="528">
      <t>キソ</t>
    </rPh>
    <rPh sb="529" eb="530">
      <t>ミ</t>
    </rPh>
    <rPh sb="540" eb="542">
      <t>タイセイ</t>
    </rPh>
    <rPh sb="543" eb="544">
      <t>トトノ</t>
    </rPh>
    <rPh sb="545" eb="547">
      <t>ヨテイ</t>
    </rPh>
    <rPh sb="555" eb="557">
      <t>レイワ</t>
    </rPh>
    <rPh sb="558" eb="560">
      <t>ネンド</t>
    </rPh>
    <rPh sb="571" eb="573">
      <t>ニュウモン</t>
    </rPh>
    <rPh sb="586" eb="588">
      <t>ガッカ</t>
    </rPh>
    <rPh sb="589" eb="591">
      <t>ヒッシュウ</t>
    </rPh>
    <rPh sb="605" eb="607">
      <t>ガッカ</t>
    </rPh>
    <rPh sb="607" eb="609">
      <t>センタク</t>
    </rPh>
    <rPh sb="611" eb="613">
      <t>タンイ</t>
    </rPh>
    <rPh sb="624" eb="626">
      <t>オウヨウ</t>
    </rPh>
    <rPh sb="668" eb="670">
      <t>セッチ</t>
    </rPh>
    <rPh sb="678" eb="680">
      <t>ジュウジツ</t>
    </rPh>
    <rPh sb="681" eb="682">
      <t>ハカ</t>
    </rPh>
    <phoneticPr fontId="1"/>
  </si>
  <si>
    <t>滋賀短期大学委員会規程</t>
    <rPh sb="0" eb="6">
      <t>シガタンキダイガク</t>
    </rPh>
    <rPh sb="6" eb="9">
      <t>イインカイ</t>
    </rPh>
    <rPh sb="9" eb="11">
      <t>キテイ</t>
    </rPh>
    <phoneticPr fontId="1"/>
  </si>
  <si>
    <t>全学デジタル教育推進WG
副学長　ビジネスコミュニケーション学科　教授　小山内 幸治
ビジネスコミュニケーション学科　教授　江見 和明
幼児教育保育学科　准教授　久米 央也
学務課長補佐　小杉 ゆう子
総務課主任　松岡 佑樹</t>
    <rPh sb="0" eb="2">
      <t>ゼンガク</t>
    </rPh>
    <rPh sb="6" eb="10">
      <t>キョウイクスイシン</t>
    </rPh>
    <rPh sb="13" eb="16">
      <t>フクガクチョウ</t>
    </rPh>
    <rPh sb="30" eb="32">
      <t>ガッカ</t>
    </rPh>
    <rPh sb="33" eb="35">
      <t>キョウジュ</t>
    </rPh>
    <rPh sb="36" eb="39">
      <t>オサナイ</t>
    </rPh>
    <rPh sb="40" eb="42">
      <t>コウジ</t>
    </rPh>
    <rPh sb="56" eb="58">
      <t>ガッカ</t>
    </rPh>
    <rPh sb="59" eb="61">
      <t>キョウジュ</t>
    </rPh>
    <rPh sb="62" eb="64">
      <t>エミ</t>
    </rPh>
    <rPh sb="65" eb="67">
      <t>カズアキ</t>
    </rPh>
    <rPh sb="68" eb="72">
      <t>ヨウジキョウイク</t>
    </rPh>
    <rPh sb="72" eb="76">
      <t>ホイクガッカ</t>
    </rPh>
    <rPh sb="77" eb="80">
      <t>ジュンキョウジュ</t>
    </rPh>
    <rPh sb="81" eb="83">
      <t>クメ</t>
    </rPh>
    <rPh sb="84" eb="85">
      <t>オウ</t>
    </rPh>
    <rPh sb="85" eb="86">
      <t>ヤ</t>
    </rPh>
    <rPh sb="87" eb="89">
      <t>ガクム</t>
    </rPh>
    <rPh sb="89" eb="91">
      <t>カチョウ</t>
    </rPh>
    <rPh sb="91" eb="93">
      <t>ホサ</t>
    </rPh>
    <rPh sb="94" eb="96">
      <t>コスギ</t>
    </rPh>
    <rPh sb="99" eb="100">
      <t>コ</t>
    </rPh>
    <rPh sb="101" eb="104">
      <t>ソウムカ</t>
    </rPh>
    <rPh sb="104" eb="106">
      <t>シュニン</t>
    </rPh>
    <rPh sb="107" eb="109">
      <t>マツオカ</t>
    </rPh>
    <rPh sb="110" eb="112">
      <t>ユウキ</t>
    </rPh>
    <phoneticPr fontId="1"/>
  </si>
  <si>
    <t>全学デジタル教育推進WG</t>
    <rPh sb="0" eb="2">
      <t>ゼンガク</t>
    </rPh>
    <rPh sb="6" eb="8">
      <t>キョウイク</t>
    </rPh>
    <rPh sb="8" eb="10">
      <t>スイシン</t>
    </rPh>
    <phoneticPr fontId="1"/>
  </si>
  <si>
    <t xml:space="preserve">・ビジネスコミュニケーション学科
基礎教育科目「データ分析入門」（２単位）、専門科目「コンピュータリテラシー（データ処理）Ⅱ」（1単位）、計３単位を取得すること。
</t>
    <rPh sb="14" eb="16">
      <t>ガッカ</t>
    </rPh>
    <rPh sb="17" eb="21">
      <t>キソキョウイク</t>
    </rPh>
    <rPh sb="21" eb="23">
      <t>カモク</t>
    </rPh>
    <rPh sb="27" eb="29">
      <t>ブンセキ</t>
    </rPh>
    <rPh sb="29" eb="31">
      <t>ニュウモン</t>
    </rPh>
    <rPh sb="38" eb="42">
      <t>センモンカモク</t>
    </rPh>
    <rPh sb="58" eb="60">
      <t>ショリ</t>
    </rPh>
    <rPh sb="65" eb="67">
      <t>タンイ</t>
    </rPh>
    <rPh sb="69" eb="70">
      <t>ケイ</t>
    </rPh>
    <rPh sb="71" eb="73">
      <t>タンイ</t>
    </rPh>
    <rPh sb="74" eb="76">
      <t>シュトク</t>
    </rPh>
    <phoneticPr fontId="1"/>
  </si>
  <si>
    <t>・データサイエンスが社会や企業に与える影響について（データ分析入門1回目）</t>
    <rPh sb="10" eb="12">
      <t>シャカイ</t>
    </rPh>
    <phoneticPr fontId="1"/>
  </si>
  <si>
    <t>・データを用いた分析とその応用範囲（データ分析入門第1回目、第15回目）</t>
    <rPh sb="5" eb="6">
      <t>モチ</t>
    </rPh>
    <rPh sb="8" eb="10">
      <t>ブンセキ</t>
    </rPh>
    <rPh sb="13" eb="15">
      <t>オウヨウ</t>
    </rPh>
    <rPh sb="15" eb="17">
      <t>ハンイ</t>
    </rPh>
    <rPh sb="21" eb="23">
      <t>ブンセキ</t>
    </rPh>
    <rPh sb="23" eb="25">
      <t>ニュウモン</t>
    </rPh>
    <rPh sb="25" eb="26">
      <t>ダイ</t>
    </rPh>
    <rPh sb="27" eb="29">
      <t>カイメ</t>
    </rPh>
    <rPh sb="30" eb="31">
      <t>ダイ</t>
    </rPh>
    <rPh sb="33" eb="35">
      <t>カイメ</t>
    </rPh>
    <phoneticPr fontId="1"/>
  </si>
  <si>
    <t>・データ利用データの取り扱いにおける留意点（情報倫理・セキュリティ・ブラックボックス化）（データ分析入門　第15回）</t>
    <rPh sb="4" eb="6">
      <t>リヨウ</t>
    </rPh>
    <rPh sb="48" eb="50">
      <t>ブンセキ</t>
    </rPh>
    <rPh sb="50" eb="52">
      <t>ニュウモン</t>
    </rPh>
    <rPh sb="53" eb="54">
      <t>ダイ</t>
    </rPh>
    <rPh sb="56" eb="57">
      <t>カイ</t>
    </rPh>
    <phoneticPr fontId="1"/>
  </si>
  <si>
    <t>・データ利用・データの取り扱いにおける留意点（情報倫理・セキュリティ・ブラックボックス化）（データ分析入門　第15回）</t>
    <rPh sb="4" eb="6">
      <t>リヨウ</t>
    </rPh>
    <phoneticPr fontId="1"/>
  </si>
  <si>
    <t>全学デジタル教育推進WG
本学で実施する次の各号に掲げる事項について全学的に連絡調整を行い、本学におけるデジタル教育全般の推進及び質向上を図ることを目的とする。
(1) デジタル教育および数理・データサイエンス・AI教育プログラムの開発、管理及び運営に関すること。
(2) デジタル教育および数理・データサイエンス・AI教育プログラムの質向上に関すること。
２　本WGは、前項各号のほか次に掲げる業務を行う。
(1) 数理・データサイエンス・AI教育プログラム認定制度に関すること。
(2) デジタル教育および数理・データサイエンス・AI教育プログラムの自己点検・評価に関すること。
(3) その他デジタル教育および数理・データサイエンス・AI教育に関すること。</t>
    <rPh sb="0" eb="2">
      <t>ゼンガク</t>
    </rPh>
    <rPh sb="6" eb="8">
      <t>キョウイク</t>
    </rPh>
    <rPh sb="8" eb="10">
      <t>スイシン</t>
    </rPh>
    <rPh sb="13" eb="15">
      <t>ホンガク</t>
    </rPh>
    <rPh sb="56" eb="58">
      <t>キョウイク</t>
    </rPh>
    <rPh sb="58" eb="60">
      <t>ゼンパン</t>
    </rPh>
    <rPh sb="89" eb="91">
      <t>キョウイク</t>
    </rPh>
    <rPh sb="181" eb="182">
      <t>ホン</t>
    </rPh>
    <rPh sb="250" eb="252">
      <t>キョウイク</t>
    </rPh>
    <phoneticPr fontId="1"/>
  </si>
  <si>
    <t xml:space="preserve">令和3年度は、プログラム構成科目「データ分析入門」を全学共通科目として開講し、学科を問わず希望者が選択できる体制とした。
令和4年度から、「データサイエンス・リテラシー」（2単位）が、滋賀大学データサイエンス学部が作成した教材を用いてオンデマンドで開講される。オンデマンドで使用されるgaccoシステムでのオンデマンド教育を補完するために、本学のオンライン教育システムのGoogle Classroomに「データサイエンスリテラシー」のクラスを設け、進度の管理と授業理解のための補足資料やビデオを配信する。
</t>
    <rPh sb="0" eb="2">
      <t>レイワ</t>
    </rPh>
    <rPh sb="3" eb="5">
      <t>ネンド</t>
    </rPh>
    <rPh sb="12" eb="14">
      <t>コウセイ</t>
    </rPh>
    <rPh sb="14" eb="16">
      <t>カモク</t>
    </rPh>
    <rPh sb="20" eb="22">
      <t>ブンセキ</t>
    </rPh>
    <rPh sb="22" eb="24">
      <t>ニュウモン</t>
    </rPh>
    <rPh sb="26" eb="32">
      <t>ゼンガクキョウツウカモク</t>
    </rPh>
    <rPh sb="35" eb="37">
      <t>カイコウ</t>
    </rPh>
    <rPh sb="39" eb="41">
      <t>ガッカ</t>
    </rPh>
    <rPh sb="42" eb="43">
      <t>ト</t>
    </rPh>
    <rPh sb="45" eb="47">
      <t>キボウ</t>
    </rPh>
    <rPh sb="47" eb="48">
      <t>シャ</t>
    </rPh>
    <rPh sb="49" eb="51">
      <t>センタク</t>
    </rPh>
    <rPh sb="54" eb="56">
      <t>タイセイ</t>
    </rPh>
    <rPh sb="61" eb="63">
      <t>レイワ</t>
    </rPh>
    <rPh sb="64" eb="66">
      <t>ネンド</t>
    </rPh>
    <rPh sb="87" eb="89">
      <t>タンイ</t>
    </rPh>
    <rPh sb="114" eb="115">
      <t>モチ</t>
    </rPh>
    <rPh sb="124" eb="126">
      <t>カイコウ</t>
    </rPh>
    <rPh sb="137" eb="139">
      <t>シヨウ</t>
    </rPh>
    <rPh sb="159" eb="161">
      <t>キョウイク</t>
    </rPh>
    <rPh sb="162" eb="164">
      <t>ホカン</t>
    </rPh>
    <rPh sb="170" eb="172">
      <t>ホンガク</t>
    </rPh>
    <rPh sb="178" eb="180">
      <t>キョウイク</t>
    </rPh>
    <rPh sb="222" eb="223">
      <t>モウ</t>
    </rPh>
    <rPh sb="225" eb="227">
      <t>シンド</t>
    </rPh>
    <rPh sb="228" eb="230">
      <t>カンリ</t>
    </rPh>
    <rPh sb="231" eb="235">
      <t>ジュギョウリカイ</t>
    </rPh>
    <rPh sb="239" eb="241">
      <t>ホソク</t>
    </rPh>
    <rPh sb="241" eb="243">
      <t>シリョウ</t>
    </rPh>
    <rPh sb="248" eb="250">
      <t>ハイシン</t>
    </rPh>
    <phoneticPr fontId="1"/>
  </si>
  <si>
    <t xml:space="preserve">・生活学科
基礎教育科目「データ分析入門」（２単位）、専門科目「情報処理基礎Ⅱ」（1単位）、計3単位を取得すること。
</t>
    <rPh sb="1" eb="5">
      <t>セイカツガッカ</t>
    </rPh>
    <rPh sb="32" eb="34">
      <t>ジョウホウ</t>
    </rPh>
    <rPh sb="34" eb="36">
      <t>ショリ</t>
    </rPh>
    <rPh sb="36" eb="38">
      <t>キソ</t>
    </rPh>
    <phoneticPr fontId="1"/>
  </si>
  <si>
    <t>・幼児教育保育学科
基礎教育科目「データ分析入門」（２単位）、専門科目「情報処理基礎Ⅱ」（1単位）、計3単位を取得すること。</t>
    <rPh sb="1" eb="3">
      <t>ヨウジ</t>
    </rPh>
    <rPh sb="3" eb="5">
      <t>キョウイク</t>
    </rPh>
    <rPh sb="5" eb="7">
      <t>ホイク</t>
    </rPh>
    <rPh sb="7" eb="9">
      <t>ガッカ</t>
    </rPh>
    <rPh sb="36" eb="38">
      <t>ジョウホウ</t>
    </rPh>
    <rPh sb="38" eb="40">
      <t>ショリ</t>
    </rPh>
    <rPh sb="40" eb="42">
      <t>キソ</t>
    </rPh>
    <phoneticPr fontId="1"/>
  </si>
  <si>
    <t>令和3年度は、入学後のガイダンス、SNSで学生に周知した。
本プログラムは、令和4年度から一部学科を除き必修化、令和5年度からは全学必修化される予定であるため、入学予定者に対してもプログラムの内容と意義を周知する。本学のWEBサイトホームページトップ画面に、プログラム専用ページへのリンクを掲載し、学生だけでなく学外関係者も情報を受け取りやすい環境を整備する予定である。</t>
    <rPh sb="0" eb="2">
      <t>レイワ</t>
    </rPh>
    <rPh sb="3" eb="5">
      <t>ネンド</t>
    </rPh>
    <rPh sb="21" eb="23">
      <t>ガクセイ</t>
    </rPh>
    <rPh sb="24" eb="26">
      <t>シュウチ</t>
    </rPh>
    <rPh sb="30" eb="31">
      <t>ホン</t>
    </rPh>
    <rPh sb="38" eb="40">
      <t>レイワ</t>
    </rPh>
    <rPh sb="41" eb="43">
      <t>ネンド</t>
    </rPh>
    <rPh sb="45" eb="49">
      <t>イチブガッカ</t>
    </rPh>
    <rPh sb="50" eb="51">
      <t>ノゾ</t>
    </rPh>
    <rPh sb="52" eb="55">
      <t>ヒッシュウカ</t>
    </rPh>
    <rPh sb="56" eb="58">
      <t>レイワ</t>
    </rPh>
    <rPh sb="59" eb="61">
      <t>ネンド</t>
    </rPh>
    <rPh sb="64" eb="66">
      <t>ゼンガク</t>
    </rPh>
    <rPh sb="66" eb="69">
      <t>ヒッシュウカ</t>
    </rPh>
    <rPh sb="72" eb="74">
      <t>ヨテイ</t>
    </rPh>
    <rPh sb="80" eb="85">
      <t>ニュウガクヨテイシャ</t>
    </rPh>
    <rPh sb="86" eb="87">
      <t>タイ</t>
    </rPh>
    <rPh sb="96" eb="98">
      <t>ナイヨウ</t>
    </rPh>
    <rPh sb="99" eb="101">
      <t>イギ</t>
    </rPh>
    <rPh sb="102" eb="104">
      <t>シュウチ</t>
    </rPh>
    <rPh sb="156" eb="158">
      <t>ガクガイ</t>
    </rPh>
    <rPh sb="158" eb="161">
      <t>カンケイシャ</t>
    </rPh>
    <rPh sb="179" eb="181">
      <t>ヨテイ</t>
    </rPh>
    <phoneticPr fontId="1"/>
  </si>
  <si>
    <t>令和3年度は、「データ分析入門」、「コンピュータリテラシー（データ処理）Ⅱ」、「情報処理基礎Ⅱ」に関する質問や疑問にについては、ラーニングサポートセンターで、教員または非常勤のコンピュータ教育サポーターが対応していた。
令和4年度から「データサイエンスリテラシー」（2単位）が、滋賀大学データサイエンス学部が作成した教材を用いてオンデマンドで開講される。講義の視聴は、日時は指定されておらず、学生の空き時間を利用してフレキシブルに学習することが可能となっている。オンデマンドで使用されるgaccoシステムでのオンデマンド教育を補完するために、本学のオンライン教育システムのGoogle Classroomに「データサイエンスリテラシー」のクラスを設け、質問を受け付けるほか、進度の管理と授業理解のための補足資料やビデオを配信する。</t>
    <rPh sb="326" eb="328">
      <t>シツモン</t>
    </rPh>
    <rPh sb="329" eb="330">
      <t>ウ</t>
    </rPh>
    <rPh sb="331" eb="332">
      <t>ツ</t>
    </rPh>
    <phoneticPr fontId="1"/>
  </si>
  <si>
    <t>・企業におけるデータ分析の活用（データ分析入門　第1回、第1２回、第1３回、第14回、第15回）</t>
    <rPh sb="24" eb="25">
      <t>ダイ</t>
    </rPh>
    <rPh sb="26" eb="27">
      <t>カイ</t>
    </rPh>
    <rPh sb="38" eb="39">
      <t>ダイ</t>
    </rPh>
    <rPh sb="41" eb="42">
      <t>カイ</t>
    </rPh>
    <rPh sb="43" eb="44">
      <t>ダイ</t>
    </rPh>
    <rPh sb="46" eb="47">
      <t>カイ</t>
    </rPh>
    <phoneticPr fontId="1"/>
  </si>
  <si>
    <t xml:space="preserve">・企業におけるデータ分析の活用（データ分析入門　第1回、第1２回、第1３回、第14回、第15回）
</t>
    <rPh sb="24" eb="25">
      <t>ダイ</t>
    </rPh>
    <rPh sb="26" eb="27">
      <t>カイ</t>
    </rPh>
    <rPh sb="38" eb="39">
      <t>ダイ</t>
    </rPh>
    <rPh sb="41" eb="42">
      <t>カイ</t>
    </rPh>
    <rPh sb="43" eb="44">
      <t>ダイ</t>
    </rPh>
    <rPh sb="46" eb="47">
      <t>カイ</t>
    </rPh>
    <phoneticPr fontId="1"/>
  </si>
  <si>
    <t xml:space="preserve">・データの形式と収集について（データ分析入門　第1回）
・Excelの基本操作（コンピュータリテラシー（データ処理）Ⅱ　第4回～第14回）
</t>
    <rPh sb="5" eb="7">
      <t>ケイシキ</t>
    </rPh>
    <rPh sb="8" eb="10">
      <t>シュウシュウ</t>
    </rPh>
    <rPh sb="18" eb="20">
      <t>ブンセキ</t>
    </rPh>
    <rPh sb="20" eb="22">
      <t>ニュウモン</t>
    </rPh>
    <rPh sb="23" eb="24">
      <t>ダイ</t>
    </rPh>
    <rPh sb="25" eb="26">
      <t>カイ</t>
    </rPh>
    <rPh sb="55" eb="57">
      <t>ショリ</t>
    </rPh>
    <rPh sb="60" eb="61">
      <t>ダイ</t>
    </rPh>
    <rPh sb="62" eb="63">
      <t>カイ</t>
    </rPh>
    <rPh sb="64" eb="65">
      <t>ダイ</t>
    </rPh>
    <rPh sb="67" eb="68">
      <t>カイ</t>
    </rPh>
    <phoneticPr fontId="1"/>
  </si>
  <si>
    <t>https://www.sumire.ac.jp/tandai/news/13742/</t>
    <phoneticPr fontId="1"/>
  </si>
  <si>
    <t>https://www.sumire.ac.jp/tandai/news/13742/</t>
    <phoneticPr fontId="1"/>
  </si>
  <si>
    <t>短期大学</t>
  </si>
  <si>
    <t>様式２-１</t>
    <phoneticPr fontId="1"/>
  </si>
  <si>
    <t>様式２-２</t>
    <phoneticPr fontId="1"/>
  </si>
  <si>
    <t>様式２-３</t>
    <phoneticPr fontId="1"/>
  </si>
  <si>
    <t>https://www.sumire.ac.jp/tandai/news/wp-content/uploads/2022/05/a1023dbd124d5381ce219b9ec6d36427.pdf</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</si>
</sst>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3" x14ac:knownFonts="1">
    <font>
      <sz val="11"/>
      <color theme="1"/>
      <name val="ＭＳ Ｐゴシック"/>
      <family val="2"/>
      <charset val="128"/>
      <scheme val="minor"/>
    </font>
    <font>
      <sz val="6"/>
      <name val="ＭＳ Ｐゴシック"/>
      <family val="2"/>
      <charset val="128"/>
      <scheme val="minor"/>
    </font>
    <font>
      <sz val="12"/>
      <name val="ＭＳ Ｐゴシック"/>
      <family val="3"/>
      <charset val="128"/>
      <scheme val="minor"/>
    </font>
    <font>
      <sz val="12"/>
      <name val="ＭＳ Ｐゴシック"/>
      <family val="2"/>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1"/>
      <color theme="1"/>
      <name val="ＭＳ Ｐゴシック"/>
      <family val="2"/>
      <charset val="128"/>
      <scheme val="minor"/>
    </font>
    <font>
      <sz val="12"/>
      <color rgb="FFFF0000"/>
      <name val="ＭＳ Ｐゴシック"/>
      <family val="2"/>
      <charset val="128"/>
      <scheme val="minor"/>
    </font>
    <font>
      <sz val="13"/>
      <name val="ＭＳ Ｐゴシック"/>
      <family val="3"/>
      <charset val="128"/>
      <scheme val="minor"/>
    </font>
    <font>
      <u/>
      <sz val="11"/>
      <color theme="10"/>
      <name val="ＭＳ Ｐゴシック"/>
      <family val="2"/>
      <charset val="128"/>
      <scheme val="minor"/>
    </font>
    <font>
      <sz val="12"/>
      <color theme="1"/>
      <name val="ＭＳ Ｐゴシック"/>
      <family val="2"/>
      <charset val="128"/>
      <scheme val="minor"/>
    </font>
    <font>
      <sz val="14"/>
      <color theme="1"/>
      <name val="ＭＳ Ｐゴシック"/>
      <family val="3"/>
      <charset val="128"/>
      <scheme val="minor"/>
    </font>
    <font>
      <sz val="12"/>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1"/>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9"/>
      <color rgb="FFFF0000"/>
      <name val="ＭＳ Ｐゴシック"/>
      <family val="3"/>
      <charset val="128"/>
      <scheme val="minor"/>
    </font>
    <font>
      <u/>
      <sz val="11"/>
      <color rgb="FFFF0000"/>
      <name val="ＭＳ Ｐゴシック"/>
      <family val="2"/>
      <charset val="128"/>
      <scheme val="minor"/>
    </font>
  </fonts>
  <fills count="2">
    <fill>
      <patternFill patternType="none"/>
    </fill>
    <fill>
      <patternFill patternType="gray125"/>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style="thin">
        <color auto="1"/>
      </right>
      <top style="double">
        <color auto="1"/>
      </top>
      <bottom style="thin">
        <color auto="1"/>
      </bottom>
      <diagonal/>
    </border>
    <border>
      <left/>
      <right/>
      <top style="double">
        <color auto="1"/>
      </top>
      <bottom style="thin">
        <color auto="1"/>
      </bottom>
      <diagonal/>
    </border>
    <border>
      <left style="thin">
        <color auto="1"/>
      </left>
      <right/>
      <top style="double">
        <color auto="1"/>
      </top>
      <bottom style="thin">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double">
        <color auto="1"/>
      </top>
      <bottom style="thin">
        <color auto="1"/>
      </bottom>
      <diagonal/>
    </border>
    <border>
      <left style="hair">
        <color auto="1"/>
      </left>
      <right/>
      <top style="hair">
        <color auto="1"/>
      </top>
      <bottom style="hair">
        <color auto="1"/>
      </bottom>
      <diagonal/>
    </border>
  </borders>
  <cellStyleXfs count="3">
    <xf numFmtId="0" fontId="0" fillId="0" borderId="0">
      <alignment vertical="center"/>
    </xf>
    <xf numFmtId="38" fontId="9" fillId="0" borderId="0" applyFont="0" applyFill="0" applyBorder="0" applyAlignment="0" applyProtection="0">
      <alignment vertical="center"/>
    </xf>
    <xf numFmtId="0" fontId="12" fillId="0" borderId="0" applyNumberFormat="0" applyFill="0" applyBorder="0" applyAlignment="0" applyProtection="0">
      <alignment vertical="center"/>
    </xf>
  </cellStyleXfs>
  <cellXfs count="301">
    <xf numFmtId="0" fontId="0" fillId="0" borderId="0" xfId="0">
      <alignment vertical="center"/>
    </xf>
    <xf numFmtId="0" fontId="2" fillId="0" borderId="0" xfId="0" applyFont="1" applyBorder="1" applyAlignment="1">
      <alignment horizontal="center" vertical="center" shrinkToFit="1"/>
    </xf>
    <xf numFmtId="0" fontId="3" fillId="0" borderId="0" xfId="0" applyFont="1">
      <alignment vertical="center"/>
    </xf>
    <xf numFmtId="0" fontId="2" fillId="0" borderId="0" xfId="0" applyFont="1" applyAlignment="1">
      <alignment horizontal="left" vertical="center"/>
    </xf>
    <xf numFmtId="0" fontId="2" fillId="0" borderId="1" xfId="0" applyFont="1" applyBorder="1" applyAlignment="1">
      <alignment vertical="center" shrinkToFit="1"/>
    </xf>
    <xf numFmtId="49" fontId="5" fillId="0" borderId="1" xfId="0" applyNumberFormat="1" applyFont="1" applyBorder="1" applyAlignment="1">
      <alignment horizontal="center" vertical="center"/>
    </xf>
    <xf numFmtId="0" fontId="2" fillId="0" borderId="14" xfId="0" applyFont="1" applyBorder="1" applyAlignment="1">
      <alignment vertical="center" shrinkToFit="1"/>
    </xf>
    <xf numFmtId="0" fontId="2" fillId="0" borderId="22" xfId="0" applyFont="1" applyBorder="1" applyAlignment="1">
      <alignment vertical="center" shrinkToFit="1"/>
    </xf>
    <xf numFmtId="0" fontId="2" fillId="0" borderId="32" xfId="0" applyFont="1" applyBorder="1" applyAlignment="1">
      <alignment vertical="center" shrinkToFit="1"/>
    </xf>
    <xf numFmtId="0" fontId="2" fillId="0" borderId="0" xfId="0" applyFont="1" applyAlignment="1">
      <alignment vertical="center" shrinkToFit="1"/>
    </xf>
    <xf numFmtId="0" fontId="3" fillId="0" borderId="2" xfId="0" applyFont="1" applyBorder="1">
      <alignment vertical="center"/>
    </xf>
    <xf numFmtId="0" fontId="3" fillId="0" borderId="4" xfId="0" applyFont="1" applyBorder="1">
      <alignment vertical="center"/>
    </xf>
    <xf numFmtId="49" fontId="5" fillId="0" borderId="36" xfId="0" applyNumberFormat="1" applyFont="1" applyBorder="1" applyAlignment="1">
      <alignment horizontal="center" vertical="center"/>
    </xf>
    <xf numFmtId="49" fontId="5" fillId="0" borderId="25" xfId="0" applyNumberFormat="1" applyFont="1" applyBorder="1" applyAlignment="1">
      <alignment horizontal="center" vertical="center"/>
    </xf>
    <xf numFmtId="49" fontId="5" fillId="0" borderId="39" xfId="0" applyNumberFormat="1" applyFont="1" applyBorder="1" applyAlignment="1">
      <alignment horizontal="center" vertical="center"/>
    </xf>
    <xf numFmtId="49" fontId="5" fillId="0" borderId="40" xfId="0" applyNumberFormat="1" applyFont="1" applyBorder="1" applyAlignment="1">
      <alignment horizontal="center"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2" fillId="0" borderId="27" xfId="0" applyFont="1" applyBorder="1" applyAlignment="1">
      <alignment vertical="center"/>
    </xf>
    <xf numFmtId="0" fontId="2" fillId="0" borderId="17" xfId="0" applyFont="1" applyBorder="1" applyAlignment="1">
      <alignment vertical="center"/>
    </xf>
    <xf numFmtId="0" fontId="2" fillId="0" borderId="31" xfId="0" applyFont="1" applyBorder="1" applyAlignment="1">
      <alignment vertical="center"/>
    </xf>
    <xf numFmtId="49" fontId="5" fillId="0" borderId="41" xfId="0" applyNumberFormat="1" applyFont="1" applyBorder="1" applyAlignment="1">
      <alignment horizontal="center" vertical="center"/>
    </xf>
    <xf numFmtId="49" fontId="5" fillId="0" borderId="23" xfId="0" applyNumberFormat="1" applyFont="1" applyBorder="1" applyAlignment="1">
      <alignment horizontal="center" vertical="center"/>
    </xf>
    <xf numFmtId="0" fontId="8" fillId="0" borderId="4" xfId="0" applyFont="1" applyBorder="1" applyAlignment="1">
      <alignment horizontal="center" vertical="center" shrinkToFit="1"/>
    </xf>
    <xf numFmtId="0" fontId="2" fillId="0" borderId="14" xfId="0" applyFont="1" applyBorder="1" applyAlignment="1">
      <alignment horizontal="center" vertical="center" shrinkToFit="1"/>
    </xf>
    <xf numFmtId="0" fontId="2" fillId="0" borderId="22"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0" xfId="0" applyFont="1">
      <alignment vertical="center"/>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top" wrapText="1"/>
    </xf>
    <xf numFmtId="0" fontId="2" fillId="0" borderId="7" xfId="0" applyFont="1" applyBorder="1" applyAlignment="1">
      <alignment horizontal="center" vertical="center" wrapText="1" shrinkToFit="1"/>
    </xf>
    <xf numFmtId="0" fontId="2" fillId="0" borderId="8" xfId="0" applyFont="1" applyBorder="1" applyAlignment="1">
      <alignment horizontal="center" vertical="center" wrapText="1" shrinkToFit="1"/>
    </xf>
    <xf numFmtId="0" fontId="2" fillId="0" borderId="9"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right" vertical="center"/>
    </xf>
    <xf numFmtId="0" fontId="5" fillId="0" borderId="0" xfId="0" applyFont="1">
      <alignment vertical="center"/>
    </xf>
    <xf numFmtId="9" fontId="2" fillId="0" borderId="8" xfId="0" applyNumberFormat="1" applyFont="1" applyBorder="1" applyAlignment="1">
      <alignment horizontal="center" vertical="center" wrapText="1" shrinkToFit="1"/>
    </xf>
    <xf numFmtId="9" fontId="2" fillId="0" borderId="8" xfId="0" applyNumberFormat="1" applyFont="1" applyBorder="1" applyAlignment="1">
      <alignment horizontal="center" vertical="center" shrinkToFit="1"/>
    </xf>
    <xf numFmtId="9" fontId="2" fillId="0" borderId="34" xfId="0" applyNumberFormat="1" applyFont="1" applyBorder="1" applyAlignment="1">
      <alignment horizontal="center" vertical="center" shrinkToFit="1"/>
    </xf>
    <xf numFmtId="176" fontId="2" fillId="0" borderId="34" xfId="0" applyNumberFormat="1" applyFont="1" applyBorder="1" applyAlignment="1">
      <alignment horizontal="center" vertical="center" shrinkToFit="1"/>
    </xf>
    <xf numFmtId="0" fontId="5" fillId="0" borderId="0" xfId="0" applyFont="1" applyAlignment="1">
      <alignment vertical="top" wrapText="1"/>
    </xf>
    <xf numFmtId="0" fontId="2" fillId="0" borderId="0" xfId="0" applyFont="1" applyAlignment="1">
      <alignment vertical="center" wrapText="1"/>
    </xf>
    <xf numFmtId="0" fontId="5" fillId="0" borderId="0" xfId="0" applyFont="1" applyAlignment="1">
      <alignment vertical="top" shrinkToFit="1"/>
    </xf>
    <xf numFmtId="0" fontId="5" fillId="0" borderId="0" xfId="0" applyFont="1" applyAlignment="1">
      <alignment vertical="center" wrapText="1"/>
    </xf>
    <xf numFmtId="0" fontId="2" fillId="0" borderId="42" xfId="0" applyFont="1" applyBorder="1" applyAlignment="1">
      <alignment horizontal="center" vertical="center" shrinkToFit="1"/>
    </xf>
    <xf numFmtId="0" fontId="2" fillId="0" borderId="1" xfId="0" applyFont="1" applyBorder="1" applyAlignment="1">
      <alignment horizontal="center" vertical="center" shrinkToFit="1"/>
    </xf>
    <xf numFmtId="0" fontId="2" fillId="0" borderId="0" xfId="0" applyFont="1" applyBorder="1" applyAlignment="1">
      <alignment vertical="center" shrinkToFit="1"/>
    </xf>
    <xf numFmtId="0" fontId="2" fillId="0" borderId="10" xfId="0" applyFont="1" applyBorder="1" applyAlignment="1">
      <alignment vertical="center" shrinkToFit="1"/>
    </xf>
    <xf numFmtId="0" fontId="2" fillId="0" borderId="6" xfId="0" applyFont="1" applyBorder="1" applyAlignment="1">
      <alignment vertical="center" shrinkToFit="1"/>
    </xf>
    <xf numFmtId="0" fontId="2" fillId="0" borderId="0" xfId="0" applyFont="1" applyBorder="1" applyAlignment="1">
      <alignment vertical="center" shrinkToFit="1"/>
    </xf>
    <xf numFmtId="0" fontId="10" fillId="0" borderId="0" xfId="0" applyFont="1">
      <alignment vertical="center"/>
    </xf>
    <xf numFmtId="0" fontId="2" fillId="0" borderId="0" xfId="0" applyFont="1" applyBorder="1" applyAlignment="1">
      <alignment vertical="center"/>
    </xf>
    <xf numFmtId="0" fontId="2" fillId="0" borderId="5" xfId="0" applyFont="1" applyBorder="1">
      <alignment vertical="center"/>
    </xf>
    <xf numFmtId="176" fontId="2" fillId="0" borderId="0" xfId="0" applyNumberFormat="1" applyFont="1" applyBorder="1" applyAlignment="1">
      <alignment vertical="center" wrapText="1"/>
    </xf>
    <xf numFmtId="0" fontId="2" fillId="0" borderId="0" xfId="0" applyFont="1" applyBorder="1">
      <alignment vertical="center"/>
    </xf>
    <xf numFmtId="176" fontId="2" fillId="0" borderId="5" xfId="0" applyNumberFormat="1" applyFont="1" applyBorder="1" applyAlignment="1">
      <alignment vertical="center"/>
    </xf>
    <xf numFmtId="176" fontId="2" fillId="0" borderId="0" xfId="0" applyNumberFormat="1" applyFont="1" applyBorder="1">
      <alignment vertical="center"/>
    </xf>
    <xf numFmtId="0" fontId="2" fillId="0" borderId="0" xfId="0" applyFont="1" applyBorder="1" applyAlignment="1">
      <alignment horizontal="center" vertical="center"/>
    </xf>
    <xf numFmtId="176" fontId="2" fillId="0" borderId="0" xfId="0" applyNumberFormat="1" applyFont="1" applyAlignment="1">
      <alignment vertical="center" wrapText="1"/>
    </xf>
    <xf numFmtId="176" fontId="2" fillId="0" borderId="3" xfId="0" applyNumberFormat="1" applyFont="1" applyBorder="1" applyAlignment="1">
      <alignment vertical="center" shrinkToFit="1"/>
    </xf>
    <xf numFmtId="176" fontId="2" fillId="0" borderId="0" xfId="0" applyNumberFormat="1" applyFont="1" applyAlignment="1">
      <alignment horizontal="left" vertical="center" wrapText="1"/>
    </xf>
    <xf numFmtId="0" fontId="2" fillId="0" borderId="0" xfId="0" applyFont="1" applyFill="1">
      <alignment vertical="center"/>
    </xf>
    <xf numFmtId="0" fontId="2" fillId="0" borderId="2" xfId="0" applyFont="1" applyBorder="1">
      <alignment vertical="center"/>
    </xf>
    <xf numFmtId="0" fontId="2" fillId="0" borderId="4" xfId="0" applyFont="1" applyBorder="1">
      <alignment vertical="center"/>
    </xf>
    <xf numFmtId="0" fontId="2" fillId="0" borderId="1" xfId="0" applyFont="1" applyBorder="1">
      <alignment vertical="center"/>
    </xf>
    <xf numFmtId="0" fontId="13" fillId="0" borderId="0" xfId="0" applyFont="1">
      <alignment vertical="center"/>
    </xf>
    <xf numFmtId="0" fontId="15" fillId="0" borderId="0" xfId="0" applyFont="1">
      <alignment vertical="center"/>
    </xf>
    <xf numFmtId="0" fontId="15" fillId="0" borderId="0" xfId="0" applyFont="1" applyAlignment="1">
      <alignment horizontal="center" vertical="center"/>
    </xf>
    <xf numFmtId="0" fontId="15" fillId="0" borderId="0" xfId="0" applyFont="1" applyAlignment="1">
      <alignment horizontal="left" vertical="center"/>
    </xf>
    <xf numFmtId="0" fontId="15" fillId="0" borderId="0" xfId="0" applyFont="1" applyBorder="1" applyAlignment="1">
      <alignment vertical="center" shrinkToFit="1"/>
    </xf>
    <xf numFmtId="0" fontId="18" fillId="0" borderId="0" xfId="0" applyFont="1">
      <alignment vertical="center"/>
    </xf>
    <xf numFmtId="0" fontId="17" fillId="0" borderId="11" xfId="0" applyFont="1" applyBorder="1" applyAlignment="1">
      <alignment horizontal="center" vertical="center"/>
    </xf>
    <xf numFmtId="0" fontId="17" fillId="0" borderId="23" xfId="0" applyFont="1" applyBorder="1" applyAlignment="1">
      <alignment horizontal="center" vertical="center" wrapText="1"/>
    </xf>
    <xf numFmtId="0" fontId="17" fillId="0" borderId="43" xfId="0" applyFont="1" applyBorder="1" applyAlignment="1">
      <alignment horizontal="center" vertical="center"/>
    </xf>
    <xf numFmtId="0" fontId="17" fillId="0" borderId="12" xfId="0" applyFont="1" applyBorder="1" applyAlignment="1">
      <alignment horizontal="center" vertical="center" wrapText="1"/>
    </xf>
    <xf numFmtId="0" fontId="15" fillId="0" borderId="0" xfId="0" applyFont="1" applyAlignment="1">
      <alignment vertical="center" shrinkToFit="1"/>
    </xf>
    <xf numFmtId="0" fontId="15" fillId="0" borderId="14" xfId="0" applyFont="1" applyBorder="1" applyAlignment="1">
      <alignment horizontal="left" vertical="center" shrinkToFit="1"/>
    </xf>
    <xf numFmtId="0" fontId="15" fillId="0" borderId="5" xfId="0" applyFont="1" applyBorder="1" applyAlignment="1">
      <alignment vertical="center" shrinkToFit="1"/>
    </xf>
    <xf numFmtId="176" fontId="15" fillId="0" borderId="5" xfId="0" applyNumberFormat="1" applyFont="1" applyBorder="1" applyAlignment="1">
      <alignment vertical="center" shrinkToFit="1"/>
    </xf>
    <xf numFmtId="176" fontId="15" fillId="0" borderId="44" xfId="0" applyNumberFormat="1" applyFont="1" applyBorder="1" applyAlignment="1">
      <alignment vertical="center" shrinkToFit="1"/>
    </xf>
    <xf numFmtId="176" fontId="15" fillId="0" borderId="24" xfId="0" applyNumberFormat="1" applyFont="1" applyBorder="1" applyAlignment="1">
      <alignment vertical="center" shrinkToFit="1"/>
    </xf>
    <xf numFmtId="176" fontId="15" fillId="0" borderId="10" xfId="0" applyNumberFormat="1" applyFont="1" applyBorder="1" applyAlignment="1">
      <alignment vertical="center" shrinkToFit="1"/>
    </xf>
    <xf numFmtId="176" fontId="15" fillId="0" borderId="14" xfId="0" applyNumberFormat="1" applyFont="1" applyBorder="1" applyAlignment="1">
      <alignment vertical="center" shrinkToFit="1"/>
    </xf>
    <xf numFmtId="9" fontId="15" fillId="0" borderId="10" xfId="0" applyNumberFormat="1" applyFont="1" applyBorder="1" applyAlignment="1">
      <alignment vertical="center" shrinkToFit="1"/>
    </xf>
    <xf numFmtId="0" fontId="15" fillId="0" borderId="22" xfId="0" applyFont="1" applyBorder="1" applyAlignment="1">
      <alignment horizontal="left" vertical="center" shrinkToFit="1"/>
    </xf>
    <xf numFmtId="0" fontId="15" fillId="0" borderId="19" xfId="0" applyFont="1" applyBorder="1" applyAlignment="1">
      <alignment vertical="center" shrinkToFit="1"/>
    </xf>
    <xf numFmtId="0" fontId="15" fillId="0" borderId="18" xfId="0" applyFont="1" applyBorder="1" applyAlignment="1">
      <alignment vertical="center" shrinkToFit="1"/>
    </xf>
    <xf numFmtId="176" fontId="15" fillId="0" borderId="18" xfId="0" applyNumberFormat="1" applyFont="1" applyBorder="1" applyAlignment="1">
      <alignment vertical="center" shrinkToFit="1"/>
    </xf>
    <xf numFmtId="176" fontId="15" fillId="0" borderId="25" xfId="0" applyNumberFormat="1" applyFont="1" applyBorder="1" applyAlignment="1">
      <alignment vertical="center" shrinkToFit="1"/>
    </xf>
    <xf numFmtId="176" fontId="15" fillId="0" borderId="45" xfId="0" applyNumberFormat="1" applyFont="1" applyBorder="1" applyAlignment="1">
      <alignment vertical="center" shrinkToFit="1"/>
    </xf>
    <xf numFmtId="176" fontId="15" fillId="0" borderId="17" xfId="0" applyNumberFormat="1" applyFont="1" applyBorder="1" applyAlignment="1">
      <alignment vertical="center" shrinkToFit="1"/>
    </xf>
    <xf numFmtId="176" fontId="15" fillId="0" borderId="22" xfId="0" applyNumberFormat="1" applyFont="1" applyBorder="1" applyAlignment="1">
      <alignment vertical="center" shrinkToFit="1"/>
    </xf>
    <xf numFmtId="9" fontId="15" fillId="0" borderId="22" xfId="0" applyNumberFormat="1" applyFont="1" applyBorder="1" applyAlignment="1">
      <alignment vertical="center" shrinkToFit="1"/>
    </xf>
    <xf numFmtId="0" fontId="15" fillId="0" borderId="17" xfId="0" applyFont="1" applyBorder="1" applyAlignment="1">
      <alignment vertical="center" shrinkToFit="1"/>
    </xf>
    <xf numFmtId="0" fontId="15" fillId="0" borderId="46" xfId="0" applyFont="1" applyBorder="1" applyAlignment="1">
      <alignment horizontal="left" vertical="center" shrinkToFit="1"/>
    </xf>
    <xf numFmtId="0" fontId="15" fillId="0" borderId="10" xfId="0" applyFont="1" applyBorder="1" applyAlignment="1">
      <alignment vertical="center" shrinkToFit="1"/>
    </xf>
    <xf numFmtId="176" fontId="15" fillId="0" borderId="46" xfId="0" applyNumberFormat="1" applyFont="1" applyBorder="1" applyAlignment="1">
      <alignment vertical="center" shrinkToFit="1"/>
    </xf>
    <xf numFmtId="0" fontId="15" fillId="0" borderId="47" xfId="0" applyFont="1" applyBorder="1" applyAlignment="1">
      <alignment horizontal="center" vertical="center" shrinkToFit="1"/>
    </xf>
    <xf numFmtId="0" fontId="15" fillId="0" borderId="48" xfId="0" applyFont="1" applyBorder="1" applyAlignment="1">
      <alignment vertical="center" shrinkToFit="1"/>
    </xf>
    <xf numFmtId="0" fontId="15" fillId="0" borderId="49" xfId="0" applyFont="1" applyBorder="1" applyAlignment="1">
      <alignment vertical="center" shrinkToFit="1"/>
    </xf>
    <xf numFmtId="176" fontId="15" fillId="0" borderId="49" xfId="0" applyNumberFormat="1" applyFont="1" applyBorder="1" applyAlignment="1">
      <alignment vertical="center" shrinkToFit="1"/>
    </xf>
    <xf numFmtId="176" fontId="15" fillId="0" borderId="50" xfId="0" applyNumberFormat="1" applyFont="1" applyBorder="1" applyAlignment="1">
      <alignment vertical="center" shrinkToFit="1"/>
    </xf>
    <xf numFmtId="176" fontId="15" fillId="0" borderId="51" xfId="0" applyNumberFormat="1" applyFont="1" applyBorder="1" applyAlignment="1">
      <alignment vertical="center" shrinkToFit="1"/>
    </xf>
    <xf numFmtId="176" fontId="15" fillId="0" borderId="52" xfId="0" applyNumberFormat="1" applyFont="1" applyBorder="1" applyAlignment="1">
      <alignment vertical="center" shrinkToFit="1"/>
    </xf>
    <xf numFmtId="176" fontId="15" fillId="0" borderId="47" xfId="0" applyNumberFormat="1" applyFont="1" applyBorder="1" applyAlignment="1">
      <alignment vertical="center" shrinkToFit="1"/>
    </xf>
    <xf numFmtId="9" fontId="15" fillId="0" borderId="52" xfId="0" applyNumberFormat="1" applyFont="1" applyBorder="1" applyAlignment="1">
      <alignment vertical="center" shrinkToFit="1"/>
    </xf>
    <xf numFmtId="0" fontId="13" fillId="0" borderId="0" xfId="0" applyFont="1" applyAlignment="1">
      <alignment horizontal="right" vertical="center"/>
    </xf>
    <xf numFmtId="0" fontId="14" fillId="0" borderId="0" xfId="0" applyFont="1" applyAlignment="1">
      <alignment horizontal="center" vertical="center"/>
    </xf>
    <xf numFmtId="0" fontId="19" fillId="0" borderId="0" xfId="0" applyFont="1" applyAlignment="1">
      <alignment vertical="top" wrapText="1"/>
    </xf>
    <xf numFmtId="0" fontId="20" fillId="0" borderId="0" xfId="0" applyFont="1" applyAlignment="1">
      <alignment vertical="top" wrapText="1"/>
    </xf>
    <xf numFmtId="0" fontId="13" fillId="0" borderId="5" xfId="0" applyFont="1" applyBorder="1">
      <alignment vertical="center"/>
    </xf>
    <xf numFmtId="0" fontId="19" fillId="0" borderId="10" xfId="0" applyFont="1" applyBorder="1" applyAlignment="1">
      <alignment vertical="top" wrapText="1"/>
    </xf>
    <xf numFmtId="0" fontId="20" fillId="0" borderId="10" xfId="0" applyFont="1" applyBorder="1" applyAlignment="1">
      <alignment vertical="top" wrapText="1"/>
    </xf>
    <xf numFmtId="0" fontId="19" fillId="0" borderId="5" xfId="0" applyFont="1" applyBorder="1" applyAlignment="1">
      <alignment vertical="top" wrapText="1"/>
    </xf>
    <xf numFmtId="0" fontId="13" fillId="0" borderId="16" xfId="0" applyFont="1" applyBorder="1">
      <alignment vertical="center"/>
    </xf>
    <xf numFmtId="0" fontId="19" fillId="0" borderId="19" xfId="0" applyFont="1" applyBorder="1" applyAlignment="1">
      <alignment vertical="top" wrapText="1"/>
    </xf>
    <xf numFmtId="0" fontId="19" fillId="0" borderId="17" xfId="0" applyFont="1" applyBorder="1" applyAlignment="1">
      <alignment vertical="top" wrapText="1"/>
    </xf>
    <xf numFmtId="0" fontId="21" fillId="0" borderId="19" xfId="0" applyFont="1" applyBorder="1" applyAlignment="1">
      <alignment vertical="top" shrinkToFit="1"/>
    </xf>
    <xf numFmtId="0" fontId="21" fillId="0" borderId="17" xfId="0" applyFont="1" applyBorder="1" applyAlignment="1">
      <alignment vertical="top" shrinkToFit="1"/>
    </xf>
    <xf numFmtId="0" fontId="15" fillId="0" borderId="0" xfId="0" applyFont="1" applyAlignment="1">
      <alignment vertical="center" wrapText="1"/>
    </xf>
    <xf numFmtId="0" fontId="13" fillId="0" borderId="0" xfId="0" applyFont="1" applyAlignment="1">
      <alignment vertical="top" wrapText="1"/>
    </xf>
    <xf numFmtId="0" fontId="2" fillId="0" borderId="0" xfId="0" applyFont="1" applyBorder="1" applyAlignment="1">
      <alignment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0" xfId="0" applyFont="1" applyAlignment="1">
      <alignment horizontal="right" vertical="center"/>
    </xf>
    <xf numFmtId="0" fontId="11" fillId="0" borderId="0" xfId="0" applyFont="1" applyAlignment="1">
      <alignment horizontal="center" vertical="center"/>
    </xf>
    <xf numFmtId="0" fontId="2" fillId="0" borderId="2" xfId="0" applyNumberFormat="1" applyFont="1" applyBorder="1" applyAlignment="1">
      <alignment horizontal="center" vertical="center"/>
    </xf>
    <xf numFmtId="0" fontId="2" fillId="0" borderId="4" xfId="0" applyNumberFormat="1" applyFont="1" applyBorder="1" applyAlignment="1">
      <alignment horizontal="center" vertical="center"/>
    </xf>
    <xf numFmtId="0" fontId="2" fillId="0" borderId="0" xfId="0" applyFont="1" applyBorder="1" applyAlignment="1">
      <alignment horizontal="right" vertical="center"/>
    </xf>
    <xf numFmtId="0" fontId="2" fillId="0" borderId="10" xfId="0" applyFont="1" applyBorder="1" applyAlignment="1">
      <alignment horizontal="right" vertical="center"/>
    </xf>
    <xf numFmtId="176" fontId="2" fillId="0" borderId="2" xfId="0" applyNumberFormat="1" applyFont="1" applyBorder="1" applyAlignment="1">
      <alignment horizontal="center" vertical="center" shrinkToFit="1"/>
    </xf>
    <xf numFmtId="176" fontId="2" fillId="0" borderId="4" xfId="0" applyNumberFormat="1" applyFont="1" applyBorder="1" applyAlignment="1">
      <alignment horizontal="center" vertical="center" shrinkToFit="1"/>
    </xf>
    <xf numFmtId="176" fontId="2" fillId="0" borderId="3" xfId="0" applyNumberFormat="1"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Border="1" applyAlignment="1">
      <alignment vertical="center" shrinkToFit="1"/>
    </xf>
    <xf numFmtId="176" fontId="2" fillId="0" borderId="2" xfId="0" applyNumberFormat="1" applyFont="1" applyBorder="1" applyAlignment="1">
      <alignment horizontal="center" vertical="center"/>
    </xf>
    <xf numFmtId="176" fontId="2" fillId="0" borderId="3" xfId="0" applyNumberFormat="1" applyFont="1" applyBorder="1" applyAlignment="1">
      <alignment horizontal="center" vertical="center"/>
    </xf>
    <xf numFmtId="176" fontId="2" fillId="0" borderId="4" xfId="0" applyNumberFormat="1" applyFont="1" applyBorder="1" applyAlignment="1">
      <alignment horizontal="center" vertical="center"/>
    </xf>
    <xf numFmtId="0" fontId="2" fillId="0" borderId="0" xfId="0" applyFont="1" applyBorder="1" applyAlignment="1">
      <alignment horizontal="center" vertical="center"/>
    </xf>
    <xf numFmtId="0" fontId="2" fillId="0" borderId="0" xfId="0" applyFont="1" applyBorder="1" applyAlignment="1">
      <alignment horizontal="right" vertical="center" shrinkToFit="1"/>
    </xf>
    <xf numFmtId="0" fontId="2" fillId="0" borderId="5" xfId="0" applyFont="1" applyBorder="1" applyAlignment="1">
      <alignment horizontal="right" vertical="center" shrinkToFit="1"/>
    </xf>
    <xf numFmtId="0" fontId="2" fillId="0" borderId="10" xfId="0" applyFont="1" applyBorder="1" applyAlignment="1">
      <alignment horizontal="right" vertical="center"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49" fontId="12" fillId="0" borderId="2" xfId="2" applyNumberFormat="1" applyBorder="1" applyAlignment="1">
      <alignment vertical="center" shrinkToFit="1"/>
    </xf>
    <xf numFmtId="49" fontId="2" fillId="0" borderId="3" xfId="0" applyNumberFormat="1" applyFont="1" applyBorder="1" applyAlignment="1">
      <alignment vertical="center" shrinkToFit="1"/>
    </xf>
    <xf numFmtId="49" fontId="2" fillId="0" borderId="4" xfId="0" applyNumberFormat="1" applyFont="1" applyBorder="1" applyAlignment="1">
      <alignment vertical="center" shrinkToFit="1"/>
    </xf>
    <xf numFmtId="49" fontId="2" fillId="0" borderId="2" xfId="1" applyNumberFormat="1" applyFont="1" applyBorder="1" applyAlignment="1">
      <alignment horizontal="center" vertical="center" shrinkToFit="1"/>
    </xf>
    <xf numFmtId="49" fontId="2" fillId="0" borderId="3" xfId="1" applyNumberFormat="1" applyFont="1" applyBorder="1" applyAlignment="1">
      <alignment horizontal="center" vertical="center" shrinkToFit="1"/>
    </xf>
    <xf numFmtId="49" fontId="2" fillId="0" borderId="4" xfId="1" applyNumberFormat="1" applyFont="1" applyBorder="1" applyAlignment="1">
      <alignment horizontal="center" vertical="center" shrinkToFit="1"/>
    </xf>
    <xf numFmtId="0" fontId="2" fillId="0" borderId="7" xfId="0" applyFont="1" applyBorder="1" applyAlignment="1">
      <alignment vertical="center" wrapText="1" shrinkToFit="1"/>
    </xf>
    <xf numFmtId="0" fontId="2" fillId="0" borderId="8" xfId="0" applyFont="1" applyBorder="1" applyAlignment="1">
      <alignment vertical="center" shrinkToFit="1"/>
    </xf>
    <xf numFmtId="0" fontId="2" fillId="0" borderId="9" xfId="0" applyFont="1" applyBorder="1" applyAlignment="1">
      <alignment vertical="center" shrinkToFit="1"/>
    </xf>
    <xf numFmtId="0" fontId="2" fillId="0" borderId="5" xfId="0" applyFont="1" applyBorder="1" applyAlignment="1">
      <alignment vertical="center" shrinkToFit="1"/>
    </xf>
    <xf numFmtId="0" fontId="2" fillId="0" borderId="10" xfId="0" applyFont="1" applyBorder="1" applyAlignment="1">
      <alignment vertical="center" shrinkToFit="1"/>
    </xf>
    <xf numFmtId="0" fontId="2" fillId="0" borderId="11" xfId="0" applyFont="1" applyBorder="1" applyAlignment="1">
      <alignment vertical="center"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12" fillId="0" borderId="2" xfId="2" applyBorder="1" applyAlignment="1">
      <alignment vertical="center" shrinkToFit="1"/>
    </xf>
    <xf numFmtId="0" fontId="2" fillId="0" borderId="4" xfId="0" applyFont="1" applyBorder="1" applyAlignment="1">
      <alignment vertical="center" shrinkToFit="1"/>
    </xf>
    <xf numFmtId="0" fontId="6" fillId="0" borderId="37" xfId="0" applyFont="1" applyBorder="1" applyAlignment="1">
      <alignment vertical="center" wrapText="1"/>
    </xf>
    <xf numFmtId="0" fontId="7" fillId="0" borderId="24" xfId="0" applyFont="1" applyBorder="1" applyAlignment="1">
      <alignment vertical="center" wrapTex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19" xfId="0" applyFont="1" applyBorder="1" applyAlignment="1">
      <alignment horizontal="left" vertical="top" wrapText="1" shrinkToFit="1"/>
    </xf>
    <xf numFmtId="0" fontId="2" fillId="0" borderId="19" xfId="0" applyFont="1" applyBorder="1" applyAlignment="1">
      <alignment horizontal="left" vertical="top" shrinkToFit="1"/>
    </xf>
    <xf numFmtId="0" fontId="2" fillId="0" borderId="17" xfId="0" applyFont="1" applyBorder="1" applyAlignment="1">
      <alignment horizontal="left" vertical="top" shrinkToFit="1"/>
    </xf>
    <xf numFmtId="0" fontId="6" fillId="0" borderId="24" xfId="0" applyFont="1" applyBorder="1" applyAlignment="1">
      <alignment vertical="center" wrapText="1"/>
    </xf>
    <xf numFmtId="0" fontId="7" fillId="0" borderId="38" xfId="0" applyFont="1" applyBorder="1" applyAlignment="1">
      <alignment vertical="center" wrapText="1"/>
    </xf>
    <xf numFmtId="0" fontId="2" fillId="0" borderId="28" xfId="0" applyFont="1" applyBorder="1" applyAlignment="1">
      <alignment vertical="top" wrapText="1" shrinkToFit="1"/>
    </xf>
    <xf numFmtId="0" fontId="2" fillId="0" borderId="28" xfId="0" applyFont="1" applyBorder="1" applyAlignment="1">
      <alignment vertical="top" shrinkToFit="1"/>
    </xf>
    <xf numFmtId="0" fontId="2" fillId="0" borderId="27" xfId="0" applyFont="1" applyBorder="1" applyAlignment="1">
      <alignment vertical="top"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29" xfId="0" applyFont="1" applyBorder="1" applyAlignment="1">
      <alignment vertical="center" shrinkToFit="1"/>
    </xf>
    <xf numFmtId="0" fontId="2" fillId="0" borderId="30" xfId="0" applyFont="1" applyBorder="1" applyAlignment="1">
      <alignment vertical="center" shrinkToFit="1"/>
    </xf>
    <xf numFmtId="0" fontId="2" fillId="0" borderId="31" xfId="0" applyFont="1" applyBorder="1" applyAlignment="1">
      <alignment vertical="center" shrinkToFit="1"/>
    </xf>
    <xf numFmtId="0" fontId="7" fillId="0" borderId="37" xfId="0" applyFont="1" applyBorder="1" applyAlignment="1">
      <alignment vertical="center" wrapText="1"/>
    </xf>
    <xf numFmtId="0" fontId="2" fillId="0" borderId="28" xfId="0" applyFont="1" applyBorder="1" applyAlignment="1">
      <alignment horizontal="left" vertical="center" wrapText="1" shrinkToFit="1"/>
    </xf>
    <xf numFmtId="0" fontId="2" fillId="0" borderId="28" xfId="0" applyFont="1" applyBorder="1" applyAlignment="1">
      <alignment horizontal="left" vertical="center" shrinkToFit="1"/>
    </xf>
    <xf numFmtId="0" fontId="2" fillId="0" borderId="27" xfId="0" applyFont="1" applyBorder="1" applyAlignment="1">
      <alignment horizontal="left" vertical="center" shrinkToFit="1"/>
    </xf>
    <xf numFmtId="0" fontId="2" fillId="0" borderId="30" xfId="0" applyFont="1" applyBorder="1" applyAlignment="1">
      <alignment horizontal="left" vertical="center" shrinkToFit="1"/>
    </xf>
    <xf numFmtId="0" fontId="2" fillId="0" borderId="31" xfId="0" applyFont="1" applyBorder="1" applyAlignment="1">
      <alignment horizontal="left" vertical="center" shrinkToFit="1"/>
    </xf>
    <xf numFmtId="0" fontId="2" fillId="0" borderId="21" xfId="0" applyFont="1" applyBorder="1" applyAlignment="1">
      <alignment horizontal="left" vertical="center" wrapText="1" shrinkToFit="1"/>
    </xf>
    <xf numFmtId="0" fontId="2" fillId="0" borderId="21" xfId="0" applyFont="1" applyBorder="1" applyAlignment="1">
      <alignment horizontal="left" vertical="center" shrinkToFit="1"/>
    </xf>
    <xf numFmtId="0" fontId="2" fillId="0" borderId="20" xfId="0" applyFont="1" applyBorder="1" applyAlignment="1">
      <alignment horizontal="left" vertical="center" shrinkToFit="1"/>
    </xf>
    <xf numFmtId="0" fontId="2" fillId="0" borderId="29"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31" xfId="0" applyFont="1" applyBorder="1" applyAlignment="1">
      <alignment horizontal="center" vertical="center" shrinkToFi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6" xfId="0" applyFont="1" applyBorder="1" applyAlignment="1">
      <alignment vertical="center" shrinkToFit="1"/>
    </xf>
    <xf numFmtId="0" fontId="2" fillId="0" borderId="28" xfId="0" applyFont="1" applyBorder="1" applyAlignment="1">
      <alignment vertical="center" shrinkToFit="1"/>
    </xf>
    <xf numFmtId="0" fontId="2" fillId="0" borderId="27" xfId="0" applyFont="1" applyBorder="1" applyAlignment="1">
      <alignment vertical="center" shrinkToFit="1"/>
    </xf>
    <xf numFmtId="0" fontId="2" fillId="0" borderId="26" xfId="0" applyFont="1" applyBorder="1" applyAlignment="1">
      <alignment horizontal="center" vertical="center" shrinkToFit="1"/>
    </xf>
    <xf numFmtId="0" fontId="2" fillId="0" borderId="28" xfId="0" applyFont="1" applyBorder="1" applyAlignment="1">
      <alignment horizontal="center" vertical="center" shrinkToFit="1"/>
    </xf>
    <xf numFmtId="0" fontId="2" fillId="0" borderId="27" xfId="0" applyFont="1" applyBorder="1" applyAlignment="1">
      <alignment horizontal="center" vertical="center" shrinkToFit="1"/>
    </xf>
    <xf numFmtId="0" fontId="2" fillId="0" borderId="29" xfId="0" applyFont="1" applyBorder="1" applyAlignment="1">
      <alignment horizontal="left" vertical="center" shrinkToFit="1"/>
    </xf>
    <xf numFmtId="0" fontId="2" fillId="0" borderId="29" xfId="0" applyFont="1" applyBorder="1" applyAlignment="1">
      <alignment horizontal="center"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8" xfId="0" applyFont="1" applyBorder="1" applyAlignment="1">
      <alignment horizontal="left" vertical="center" shrinkToFit="1"/>
    </xf>
    <xf numFmtId="0" fontId="2" fillId="0" borderId="19" xfId="0" applyFont="1" applyBorder="1" applyAlignment="1">
      <alignment horizontal="left" vertical="center" shrinkToFi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17" xfId="0" applyFont="1" applyBorder="1" applyAlignment="1">
      <alignment horizontal="center" vertical="center"/>
    </xf>
    <xf numFmtId="0" fontId="2" fillId="0" borderId="17" xfId="0" applyFont="1" applyBorder="1" applyAlignment="1">
      <alignment horizontal="left" vertical="center" shrinkToFit="1"/>
    </xf>
    <xf numFmtId="0" fontId="2" fillId="0" borderId="26" xfId="0" applyFont="1" applyBorder="1" applyAlignment="1">
      <alignment horizontal="center" vertical="center"/>
    </xf>
    <xf numFmtId="0" fontId="2" fillId="0" borderId="28" xfId="0" applyFont="1" applyBorder="1" applyAlignment="1">
      <alignment horizontal="center" vertical="center"/>
    </xf>
    <xf numFmtId="0" fontId="2" fillId="0" borderId="27" xfId="0" applyFont="1" applyBorder="1" applyAlignment="1">
      <alignment horizontal="center" vertical="center"/>
    </xf>
    <xf numFmtId="0" fontId="2" fillId="0" borderId="0" xfId="0" applyFont="1" applyAlignment="1">
      <alignment vertical="center" wrapText="1"/>
    </xf>
    <xf numFmtId="0" fontId="2" fillId="0" borderId="26" xfId="0" applyFont="1" applyBorder="1" applyAlignment="1">
      <alignment horizontal="left" vertical="center" shrinkToFit="1"/>
    </xf>
    <xf numFmtId="0" fontId="2" fillId="0" borderId="33" xfId="0" applyFont="1" applyBorder="1" applyAlignment="1">
      <alignment horizontal="left" vertical="center" shrinkToFit="1"/>
    </xf>
    <xf numFmtId="0" fontId="2" fillId="0" borderId="34" xfId="0" applyFont="1" applyBorder="1" applyAlignment="1">
      <alignment horizontal="left" vertical="center" shrinkToFit="1"/>
    </xf>
    <xf numFmtId="0" fontId="2" fillId="0" borderId="35" xfId="0" applyFont="1" applyBorder="1" applyAlignment="1">
      <alignment horizontal="left" vertical="center" shrinkToFit="1"/>
    </xf>
    <xf numFmtId="0" fontId="3" fillId="0" borderId="0" xfId="0" applyFont="1" applyAlignment="1">
      <alignment horizontal="center" vertical="center"/>
    </xf>
    <xf numFmtId="0" fontId="4" fillId="0" borderId="0" xfId="0" applyFont="1" applyAlignment="1">
      <alignment horizontal="center" vertical="center"/>
    </xf>
    <xf numFmtId="0" fontId="7"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Border="1" applyAlignment="1">
      <alignment horizontal="left" vertical="top" wrapText="1" shrinkToFit="1"/>
    </xf>
    <xf numFmtId="0" fontId="2" fillId="0" borderId="10"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19" xfId="0" applyFont="1" applyBorder="1" applyAlignment="1">
      <alignment horizontal="left" vertical="center" wrapText="1" shrinkToFit="1"/>
    </xf>
    <xf numFmtId="0" fontId="15" fillId="0" borderId="26" xfId="0" applyFont="1" applyBorder="1" applyAlignment="1">
      <alignment horizontal="center" vertical="center"/>
    </xf>
    <xf numFmtId="0" fontId="15" fillId="0" borderId="27" xfId="0" applyFont="1" applyBorder="1" applyAlignment="1">
      <alignment horizontal="center" vertical="center"/>
    </xf>
    <xf numFmtId="0" fontId="17" fillId="0" borderId="15" xfId="0" applyFont="1" applyBorder="1" applyAlignment="1">
      <alignment horizontal="center" vertical="center" wrapText="1"/>
    </xf>
    <xf numFmtId="0" fontId="17" fillId="0" borderId="13" xfId="0" applyFont="1" applyBorder="1" applyAlignment="1">
      <alignment horizontal="center" vertical="center"/>
    </xf>
    <xf numFmtId="0" fontId="16" fillId="0" borderId="9" xfId="0" applyFont="1" applyBorder="1" applyAlignment="1">
      <alignment horizontal="center" vertical="center"/>
    </xf>
    <xf numFmtId="0" fontId="16" fillId="0" borderId="12" xfId="0" applyFont="1" applyBorder="1" applyAlignment="1">
      <alignment horizontal="center" vertical="center"/>
    </xf>
    <xf numFmtId="0" fontId="13" fillId="0" borderId="0" xfId="0" applyFont="1" applyAlignment="1">
      <alignment horizontal="right" vertical="center"/>
    </xf>
    <xf numFmtId="0" fontId="14" fillId="0" borderId="0" xfId="0" applyFont="1" applyAlignment="1">
      <alignment horizontal="center" vertical="center"/>
    </xf>
    <xf numFmtId="0" fontId="15" fillId="0" borderId="2" xfId="0" applyNumberFormat="1" applyFont="1" applyBorder="1" applyAlignment="1">
      <alignment horizontal="center" vertical="center" shrinkToFit="1"/>
    </xf>
    <xf numFmtId="0" fontId="15" fillId="0" borderId="4" xfId="0" applyNumberFormat="1" applyFont="1" applyBorder="1" applyAlignment="1">
      <alignment horizontal="center" vertical="center" shrinkToFit="1"/>
    </xf>
    <xf numFmtId="0" fontId="15" fillId="0" borderId="15" xfId="0" applyFont="1" applyBorder="1" applyAlignment="1">
      <alignment horizontal="center" vertical="center"/>
    </xf>
    <xf numFmtId="0" fontId="15" fillId="0" borderId="13"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wrapText="1"/>
    </xf>
    <xf numFmtId="0" fontId="16" fillId="0" borderId="11" xfId="0" applyFont="1" applyBorder="1" applyAlignment="1">
      <alignment horizontal="center" vertical="center"/>
    </xf>
    <xf numFmtId="0" fontId="15" fillId="0" borderId="14"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wrapText="1"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wrapText="1" shrinkToFit="1"/>
    </xf>
    <xf numFmtId="0" fontId="2" fillId="0" borderId="11" xfId="0" applyFont="1" applyBorder="1" applyAlignment="1">
      <alignment vertical="top" wrapText="1" shrinkToFi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8" xfId="0" applyFont="1" applyBorder="1" applyAlignment="1">
      <alignment vertical="top"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6" xfId="0" applyFont="1" applyBorder="1">
      <alignment vertical="center"/>
    </xf>
    <xf numFmtId="0" fontId="2" fillId="0" borderId="0" xfId="0" applyFont="1" applyBorder="1" applyAlignment="1">
      <alignment vertical="top" wrapText="1" shrinkToFit="1"/>
    </xf>
    <xf numFmtId="0" fontId="2" fillId="0" borderId="16" xfId="0" applyFont="1" applyBorder="1" applyAlignment="1">
      <alignment horizontal="center" vertical="center" shrinkToFit="1"/>
    </xf>
    <xf numFmtId="0" fontId="2" fillId="0" borderId="21" xfId="0" applyFont="1" applyBorder="1" applyAlignment="1">
      <alignment horizontal="center" vertical="center" shrinkToFit="1"/>
    </xf>
    <xf numFmtId="0" fontId="2" fillId="0" borderId="20" xfId="0" applyFont="1" applyBorder="1" applyAlignment="1">
      <alignment horizontal="center" vertical="center" shrinkToFit="1"/>
    </xf>
    <xf numFmtId="0" fontId="13" fillId="0" borderId="53" xfId="0" applyFont="1" applyBorder="1">
      <alignment vertical="center"/>
    </xf>
    <xf numFmtId="0" fontId="0" fillId="0" borderId="17" xfId="0"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13" fillId="0" borderId="53" xfId="0" applyFont="1" applyBorder="1" applyAlignment="1">
      <alignment vertical="center" wrapText="1"/>
    </xf>
    <xf numFmtId="0" fontId="13" fillId="0" borderId="17" xfId="0" applyFont="1" applyBorder="1" applyAlignment="1">
      <alignment vertical="center" wrapTex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2" fillId="0" borderId="3" xfId="2" applyFont="1" applyBorder="1" applyAlignment="1">
      <alignment vertical="center" shrinkToFit="1"/>
    </xf>
    <xf numFmtId="0" fontId="22" fillId="0" borderId="4" xfId="2" applyFont="1" applyBorder="1" applyAlignment="1">
      <alignment vertical="center" shrinkToFit="1"/>
    </xf>
    <xf numFmtId="0" fontId="13" fillId="0" borderId="18" xfId="0" applyFont="1" applyBorder="1" applyAlignment="1">
      <alignment vertical="center" wrapText="1"/>
    </xf>
    <xf numFmtId="0" fontId="13" fillId="0" borderId="19"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0701;&#22823;/&#23398;&#21209;&#35506;/&#25945;&#21209;&#35506;/&#25945;&#21209;/&#25968;&#29702;&#12539;&#12487;&#12540;&#12479;&#12469;&#12452;&#12456;&#12531;&#12473;&#12539;AI/R4&#30003;&#35531;/&#30003;&#35531;&#27096;&#2433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様式１　大学等概要"/>
      <sheetName val="様式２　プログラムを構成する授業科目"/>
      <sheetName val="様式３　履修者等数の実績"/>
      <sheetName val="様式４　教育の質・履修者数を向上させるための体制・計画"/>
      <sheetName val="様式５　自己点検・評価"/>
      <sheetName val="様式６　特色ある取組"/>
    </sheetNames>
    <sheetDataSet>
      <sheetData sheetId="0">
        <row r="12">
          <cell r="E12" t="str">
            <v>令和3</v>
          </cell>
        </row>
      </sheetData>
      <sheetData sheetId="1"/>
      <sheetData sheetId="2"/>
      <sheetData sheetId="3"/>
      <sheetData sheetId="4"/>
      <sheetData sheetId="5"/>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tkyoumu@sumire.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sumire.ac.jp/tandai/news/13742/"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sumire.ac.jp/tandai/news/13742/"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sumire.ac.jp/tandai/news/13742/"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sumire.ac.jp/tandai/news/wp-content/uploads/2022/05/a1023dbd124d5381ce219b9ec6d3642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tabSelected="1" view="pageBreakPreview" zoomScaleNormal="100" zoomScaleSheetLayoutView="100" workbookViewId="0">
      <selection activeCell="Q10" sqref="Q10"/>
    </sheetView>
  </sheetViews>
  <sheetFormatPr defaultColWidth="9" defaultRowHeight="18.75" customHeight="1" x14ac:dyDescent="0.15"/>
  <cols>
    <col min="1" max="1" width="3.375" style="28" customWidth="1"/>
    <col min="2" max="2" width="11.125" style="28" customWidth="1"/>
    <col min="3" max="8" width="6.625" style="28" customWidth="1"/>
    <col min="9" max="9" width="3.375" style="28" customWidth="1"/>
    <col min="10" max="10" width="10" style="28" customWidth="1"/>
    <col min="11" max="11" width="3.375" style="28" customWidth="1"/>
    <col min="12" max="12" width="7.75" style="28" customWidth="1"/>
    <col min="13" max="13" width="3.375" style="28" customWidth="1"/>
    <col min="14" max="14" width="4.5" style="28" customWidth="1"/>
    <col min="15" max="15" width="9" style="54"/>
    <col min="16" max="16384" width="9" style="2"/>
  </cols>
  <sheetData>
    <row r="1" spans="1:15" ht="24" customHeight="1" x14ac:dyDescent="0.15">
      <c r="M1" s="129" t="s">
        <v>79</v>
      </c>
      <c r="N1" s="129"/>
    </row>
    <row r="2" spans="1:15" ht="24" customHeight="1" x14ac:dyDescent="0.15">
      <c r="A2" s="130" t="s">
        <v>80</v>
      </c>
      <c r="B2" s="130"/>
      <c r="C2" s="130"/>
      <c r="D2" s="130"/>
      <c r="E2" s="130"/>
      <c r="F2" s="130"/>
      <c r="G2" s="130"/>
      <c r="H2" s="130"/>
      <c r="I2" s="130"/>
      <c r="J2" s="130"/>
      <c r="K2" s="130"/>
      <c r="L2" s="130"/>
      <c r="M2" s="130"/>
      <c r="N2" s="130"/>
    </row>
    <row r="3" spans="1:15" ht="24" customHeight="1" x14ac:dyDescent="0.15"/>
    <row r="4" spans="1:15" ht="24" customHeight="1" x14ac:dyDescent="0.15">
      <c r="A4" s="28" t="s">
        <v>0</v>
      </c>
      <c r="B4" s="29" t="s">
        <v>81</v>
      </c>
      <c r="C4" s="126" t="s">
        <v>82</v>
      </c>
      <c r="D4" s="127"/>
      <c r="E4" s="127"/>
      <c r="F4" s="127"/>
      <c r="G4" s="127"/>
      <c r="H4" s="127"/>
      <c r="I4" s="127"/>
      <c r="J4" s="127"/>
      <c r="K4" s="127"/>
      <c r="L4" s="127"/>
      <c r="M4" s="127"/>
      <c r="N4" s="128"/>
      <c r="O4" s="54" t="str">
        <f>IF(C4="","入力してください","")</f>
        <v/>
      </c>
    </row>
    <row r="5" spans="1:15" ht="7.5" customHeight="1" x14ac:dyDescent="0.15">
      <c r="B5" s="29"/>
      <c r="C5" s="29"/>
      <c r="D5" s="29"/>
      <c r="E5" s="3"/>
      <c r="F5" s="50"/>
      <c r="G5" s="50"/>
      <c r="H5" s="50"/>
      <c r="I5" s="50"/>
      <c r="J5" s="50"/>
      <c r="K5" s="50"/>
      <c r="L5" s="50"/>
      <c r="M5" s="50"/>
      <c r="N5" s="50"/>
    </row>
    <row r="6" spans="1:15" ht="24" customHeight="1" x14ac:dyDescent="0.15">
      <c r="A6" s="28" t="s">
        <v>1</v>
      </c>
      <c r="B6" s="29" t="s">
        <v>83</v>
      </c>
      <c r="C6" s="29"/>
      <c r="D6" s="126" t="s">
        <v>84</v>
      </c>
      <c r="E6" s="127"/>
      <c r="F6" s="127"/>
      <c r="G6" s="127"/>
      <c r="H6" s="128"/>
      <c r="I6" s="55" t="s">
        <v>85</v>
      </c>
      <c r="J6" s="50" t="s">
        <v>86</v>
      </c>
      <c r="K6" s="126" t="s">
        <v>212</v>
      </c>
      <c r="L6" s="127"/>
      <c r="M6" s="127"/>
      <c r="N6" s="128"/>
      <c r="O6" s="54" t="str">
        <f>IF(D6="","入力してください","")</f>
        <v/>
      </c>
    </row>
    <row r="7" spans="1:15" ht="7.5" customHeight="1" x14ac:dyDescent="0.15">
      <c r="B7" s="29"/>
      <c r="C7" s="29"/>
      <c r="D7" s="29"/>
      <c r="E7" s="3"/>
      <c r="F7" s="50"/>
      <c r="G7" s="50"/>
      <c r="H7" s="50"/>
      <c r="I7" s="50"/>
      <c r="J7" s="50"/>
      <c r="K7" s="50"/>
      <c r="L7" s="50"/>
      <c r="M7" s="50"/>
      <c r="N7" s="50"/>
    </row>
    <row r="8" spans="1:15" ht="24" customHeight="1" x14ac:dyDescent="0.15">
      <c r="A8" s="28" t="s">
        <v>5</v>
      </c>
      <c r="B8" s="29" t="s">
        <v>87</v>
      </c>
      <c r="C8" s="126" t="s">
        <v>88</v>
      </c>
      <c r="D8" s="127"/>
      <c r="E8" s="127"/>
      <c r="F8" s="127"/>
      <c r="G8" s="127"/>
      <c r="H8" s="127"/>
      <c r="I8" s="127"/>
      <c r="J8" s="127"/>
      <c r="K8" s="127"/>
      <c r="L8" s="127"/>
      <c r="M8" s="127"/>
      <c r="N8" s="128"/>
      <c r="O8" s="54" t="str">
        <f>IF(C8="","入力してください","")</f>
        <v/>
      </c>
    </row>
    <row r="9" spans="1:15" ht="7.5" customHeight="1" x14ac:dyDescent="0.15">
      <c r="B9" s="29"/>
      <c r="C9" s="29"/>
      <c r="D9" s="29"/>
      <c r="E9" s="3"/>
      <c r="F9" s="50"/>
      <c r="G9" s="50"/>
      <c r="H9" s="50"/>
      <c r="I9" s="50"/>
      <c r="J9" s="50"/>
      <c r="K9" s="50"/>
      <c r="L9" s="50"/>
      <c r="M9" s="50"/>
      <c r="N9" s="50"/>
    </row>
    <row r="10" spans="1:15" ht="24" customHeight="1" x14ac:dyDescent="0.15">
      <c r="A10" s="28" t="s">
        <v>3</v>
      </c>
      <c r="B10" s="29" t="s">
        <v>89</v>
      </c>
      <c r="C10" s="29"/>
      <c r="D10" s="29"/>
      <c r="E10" s="126" t="s">
        <v>90</v>
      </c>
      <c r="F10" s="127"/>
      <c r="G10" s="127"/>
      <c r="H10" s="127"/>
      <c r="I10" s="127"/>
      <c r="J10" s="127"/>
      <c r="K10" s="127"/>
      <c r="L10" s="127"/>
      <c r="M10" s="127"/>
      <c r="N10" s="128"/>
      <c r="O10" s="54" t="str">
        <f>IF(E10="","入力してください","")</f>
        <v/>
      </c>
    </row>
    <row r="11" spans="1:15" ht="7.5" customHeight="1" x14ac:dyDescent="0.15">
      <c r="B11" s="3"/>
      <c r="C11" s="3"/>
      <c r="D11" s="3"/>
      <c r="E11" s="3"/>
      <c r="F11" s="50"/>
      <c r="G11" s="50"/>
      <c r="H11" s="50"/>
      <c r="I11" s="50"/>
      <c r="J11" s="50"/>
      <c r="K11" s="50"/>
      <c r="L11" s="50"/>
      <c r="M11" s="50"/>
      <c r="N11" s="50"/>
    </row>
    <row r="12" spans="1:15" ht="24" customHeight="1" x14ac:dyDescent="0.15">
      <c r="A12" s="28" t="s">
        <v>6</v>
      </c>
      <c r="B12" s="3" t="s">
        <v>91</v>
      </c>
      <c r="C12" s="3"/>
      <c r="D12" s="3"/>
      <c r="E12" s="131" t="s">
        <v>92</v>
      </c>
      <c r="F12" s="132"/>
      <c r="G12" s="55" t="s">
        <v>93</v>
      </c>
      <c r="H12" s="28" t="s">
        <v>94</v>
      </c>
      <c r="N12" s="49" t="s">
        <v>95</v>
      </c>
      <c r="O12" s="54" t="str">
        <f>IF(E12="","入力してください","")</f>
        <v/>
      </c>
    </row>
    <row r="13" spans="1:15" ht="7.5" customHeight="1" x14ac:dyDescent="0.15">
      <c r="B13" s="3"/>
      <c r="C13" s="3"/>
      <c r="D13" s="3"/>
      <c r="E13" s="3"/>
      <c r="F13" s="50"/>
      <c r="G13" s="50"/>
      <c r="H13" s="50"/>
      <c r="I13" s="50"/>
      <c r="J13" s="50"/>
      <c r="K13" s="50"/>
      <c r="L13" s="50"/>
      <c r="M13" s="50"/>
      <c r="N13" s="50"/>
    </row>
    <row r="14" spans="1:15" ht="24" customHeight="1" x14ac:dyDescent="0.15">
      <c r="A14" s="28" t="s">
        <v>11</v>
      </c>
      <c r="B14" s="28" t="s">
        <v>96</v>
      </c>
      <c r="C14" s="133" t="s">
        <v>97</v>
      </c>
      <c r="D14" s="134"/>
      <c r="E14" s="135">
        <v>27</v>
      </c>
      <c r="F14" s="136"/>
      <c r="G14" s="56" t="s">
        <v>98</v>
      </c>
      <c r="I14" s="133" t="s">
        <v>99</v>
      </c>
      <c r="J14" s="134"/>
      <c r="K14" s="135">
        <v>93</v>
      </c>
      <c r="L14" s="137"/>
      <c r="M14" s="136"/>
      <c r="N14" s="57" t="s">
        <v>98</v>
      </c>
      <c r="O14" s="54" t="str">
        <f>IF(OR(E14="",K14=""),"入力してください","")</f>
        <v/>
      </c>
    </row>
    <row r="15" spans="1:15" ht="7.5" customHeight="1" x14ac:dyDescent="0.15">
      <c r="F15" s="58"/>
      <c r="G15" s="58"/>
      <c r="H15" s="58"/>
      <c r="I15" s="58"/>
      <c r="J15" s="58"/>
      <c r="K15" s="58"/>
      <c r="L15" s="58"/>
      <c r="M15" s="57"/>
      <c r="N15" s="57"/>
    </row>
    <row r="16" spans="1:15" ht="24" customHeight="1" x14ac:dyDescent="0.15">
      <c r="A16" s="28" t="s">
        <v>100</v>
      </c>
      <c r="B16" s="28" t="s">
        <v>101</v>
      </c>
      <c r="F16" s="58"/>
      <c r="G16" s="58"/>
      <c r="H16" s="58"/>
      <c r="I16" s="58"/>
      <c r="J16" s="58"/>
      <c r="K16" s="138">
        <v>3</v>
      </c>
      <c r="L16" s="139"/>
      <c r="M16" s="140"/>
      <c r="N16" s="57" t="s">
        <v>98</v>
      </c>
      <c r="O16" s="54" t="str">
        <f>IF(K16="","入力してください","")</f>
        <v/>
      </c>
    </row>
    <row r="17" spans="1:15" ht="7.5" customHeight="1" x14ac:dyDescent="0.15">
      <c r="F17" s="58"/>
      <c r="G17" s="58"/>
      <c r="H17" s="58"/>
      <c r="I17" s="58"/>
      <c r="J17" s="58"/>
      <c r="K17" s="58"/>
      <c r="L17" s="58"/>
      <c r="M17" s="57"/>
      <c r="N17" s="57"/>
    </row>
    <row r="18" spans="1:15" ht="24" customHeight="1" x14ac:dyDescent="0.15">
      <c r="A18" s="28" t="s">
        <v>102</v>
      </c>
      <c r="B18" s="28" t="s">
        <v>103</v>
      </c>
      <c r="E18" s="135">
        <v>330</v>
      </c>
      <c r="F18" s="136"/>
      <c r="G18" s="59" t="s">
        <v>104</v>
      </c>
      <c r="H18" s="58"/>
      <c r="K18" s="141"/>
      <c r="L18" s="141"/>
      <c r="M18" s="141"/>
      <c r="N18" s="141"/>
      <c r="O18" s="54" t="str">
        <f>IF(E18="","入力してください","")</f>
        <v/>
      </c>
    </row>
    <row r="19" spans="1:15" ht="7.5" customHeight="1" x14ac:dyDescent="0.15">
      <c r="E19" s="60"/>
      <c r="F19" s="58"/>
      <c r="G19" s="58"/>
      <c r="L19" s="61"/>
      <c r="M19" s="61"/>
      <c r="N19" s="62"/>
    </row>
    <row r="20" spans="1:15" ht="24" customHeight="1" x14ac:dyDescent="0.15">
      <c r="A20" s="28" t="s">
        <v>105</v>
      </c>
      <c r="B20" s="28" t="s">
        <v>106</v>
      </c>
      <c r="E20" s="60"/>
      <c r="F20" s="58"/>
      <c r="G20" s="58"/>
      <c r="H20" s="28" t="s">
        <v>107</v>
      </c>
      <c r="J20" s="142">
        <v>614</v>
      </c>
      <c r="K20" s="143"/>
      <c r="L20" s="144"/>
      <c r="M20" s="61" t="s">
        <v>98</v>
      </c>
      <c r="N20" s="62"/>
      <c r="O20" s="54" t="str">
        <f>IF(J20="","入力してください","")</f>
        <v/>
      </c>
    </row>
    <row r="21" spans="1:15" ht="7.5" customHeight="1" x14ac:dyDescent="0.15">
      <c r="E21" s="60"/>
      <c r="F21" s="58"/>
      <c r="G21" s="58"/>
      <c r="L21" s="61"/>
      <c r="M21" s="61"/>
      <c r="N21" s="62"/>
    </row>
    <row r="22" spans="1:15" ht="24" customHeight="1" x14ac:dyDescent="0.15">
      <c r="B22" s="30" t="s">
        <v>108</v>
      </c>
      <c r="C22" s="135">
        <v>328</v>
      </c>
      <c r="D22" s="136"/>
      <c r="E22" s="60" t="s">
        <v>98</v>
      </c>
      <c r="F22" s="58"/>
      <c r="G22" s="145" t="s">
        <v>109</v>
      </c>
      <c r="H22" s="145"/>
      <c r="I22" s="135">
        <v>286</v>
      </c>
      <c r="J22" s="136"/>
      <c r="K22" s="55" t="s">
        <v>98</v>
      </c>
      <c r="M22" s="61"/>
      <c r="N22" s="62"/>
    </row>
    <row r="23" spans="1:15" ht="7.5" customHeight="1" x14ac:dyDescent="0.15">
      <c r="B23" s="30"/>
      <c r="C23" s="63"/>
      <c r="D23" s="63"/>
      <c r="E23" s="60"/>
      <c r="F23" s="58"/>
      <c r="G23" s="61"/>
      <c r="H23" s="61"/>
      <c r="I23" s="63"/>
      <c r="J23" s="63"/>
      <c r="K23" s="55"/>
      <c r="M23" s="61"/>
      <c r="N23" s="62"/>
    </row>
    <row r="24" spans="1:15" ht="24" customHeight="1" x14ac:dyDescent="0.15">
      <c r="B24" s="30" t="s">
        <v>110</v>
      </c>
      <c r="C24" s="135"/>
      <c r="D24" s="136"/>
      <c r="E24" s="60" t="s">
        <v>98</v>
      </c>
      <c r="F24" s="58"/>
      <c r="G24" s="145" t="s">
        <v>111</v>
      </c>
      <c r="H24" s="145"/>
      <c r="I24" s="135"/>
      <c r="J24" s="136"/>
      <c r="K24" s="55" t="s">
        <v>98</v>
      </c>
      <c r="M24" s="61"/>
      <c r="N24" s="62"/>
    </row>
    <row r="25" spans="1:15" ht="7.5" customHeight="1" x14ac:dyDescent="0.15">
      <c r="B25" s="30"/>
      <c r="C25" s="63"/>
      <c r="D25" s="63"/>
      <c r="E25" s="60"/>
      <c r="F25" s="58"/>
      <c r="G25" s="61"/>
      <c r="H25" s="61"/>
      <c r="I25" s="63"/>
      <c r="J25" s="63"/>
      <c r="K25" s="55"/>
      <c r="M25" s="61"/>
      <c r="N25" s="62"/>
    </row>
    <row r="26" spans="1:15" ht="24" customHeight="1" x14ac:dyDescent="0.15">
      <c r="B26" s="30" t="s">
        <v>112</v>
      </c>
      <c r="C26" s="135"/>
      <c r="D26" s="136"/>
      <c r="E26" s="60" t="s">
        <v>98</v>
      </c>
      <c r="F26" s="58"/>
      <c r="G26" s="145" t="s">
        <v>113</v>
      </c>
      <c r="H26" s="145"/>
      <c r="I26" s="135"/>
      <c r="J26" s="136"/>
      <c r="K26" s="55" t="s">
        <v>98</v>
      </c>
      <c r="M26" s="61"/>
      <c r="N26" s="62"/>
    </row>
    <row r="27" spans="1:15" ht="7.5" customHeight="1" x14ac:dyDescent="0.15">
      <c r="F27" s="58"/>
      <c r="G27" s="58"/>
      <c r="M27" s="64"/>
      <c r="N27" s="64"/>
    </row>
    <row r="28" spans="1:15" ht="24" customHeight="1" x14ac:dyDescent="0.15">
      <c r="A28" s="28" t="s">
        <v>114</v>
      </c>
      <c r="B28" s="29" t="s">
        <v>115</v>
      </c>
      <c r="C28" s="29"/>
      <c r="D28" s="29"/>
      <c r="E28" s="29"/>
      <c r="F28" s="55"/>
      <c r="G28" s="50"/>
      <c r="H28" s="50"/>
      <c r="I28" s="50"/>
      <c r="J28" s="52"/>
      <c r="K28" s="52"/>
      <c r="L28" s="52"/>
      <c r="M28" s="52"/>
      <c r="N28" s="52"/>
    </row>
    <row r="29" spans="1:15" s="28" customFormat="1" ht="24" customHeight="1" x14ac:dyDescent="0.15">
      <c r="B29" s="146" t="s">
        <v>116</v>
      </c>
      <c r="C29" s="146"/>
      <c r="D29" s="126" t="s">
        <v>117</v>
      </c>
      <c r="E29" s="127"/>
      <c r="F29" s="127"/>
      <c r="G29" s="147" t="s">
        <v>118</v>
      </c>
      <c r="H29" s="146"/>
      <c r="I29" s="148"/>
      <c r="J29" s="126" t="s">
        <v>119</v>
      </c>
      <c r="K29" s="127"/>
      <c r="L29" s="127"/>
      <c r="M29" s="127"/>
      <c r="N29" s="128"/>
      <c r="O29" s="54" t="str">
        <f>IF(OR(D29="",J29=""),"入力してください","")</f>
        <v/>
      </c>
    </row>
    <row r="30" spans="1:15" ht="7.5" customHeight="1" x14ac:dyDescent="0.15">
      <c r="F30" s="58"/>
      <c r="G30" s="58"/>
      <c r="M30" s="64"/>
      <c r="N30" s="64"/>
    </row>
    <row r="31" spans="1:15" ht="24" customHeight="1" x14ac:dyDescent="0.15">
      <c r="A31" s="28" t="s">
        <v>120</v>
      </c>
      <c r="B31" s="29" t="s">
        <v>121</v>
      </c>
      <c r="C31" s="29"/>
      <c r="D31" s="29"/>
      <c r="E31" s="29"/>
      <c r="F31" s="55"/>
      <c r="G31" s="52"/>
      <c r="H31" s="52"/>
      <c r="I31" s="52"/>
      <c r="J31" s="52"/>
      <c r="K31" s="52"/>
      <c r="L31" s="52"/>
      <c r="M31" s="52"/>
      <c r="N31" s="52"/>
    </row>
    <row r="32" spans="1:15" ht="24" customHeight="1" x14ac:dyDescent="0.15">
      <c r="B32" s="126" t="s">
        <v>195</v>
      </c>
      <c r="C32" s="127"/>
      <c r="D32" s="127"/>
      <c r="E32" s="127"/>
      <c r="F32" s="127"/>
      <c r="G32" s="127"/>
      <c r="H32" s="127"/>
      <c r="I32" s="127"/>
      <c r="J32" s="127"/>
      <c r="K32" s="127"/>
      <c r="L32" s="127"/>
      <c r="M32" s="127"/>
      <c r="N32" s="128"/>
      <c r="O32" s="54" t="str">
        <f>IF(B32="","入力してください","")</f>
        <v/>
      </c>
    </row>
    <row r="33" spans="1:15" ht="7.5" customHeight="1" x14ac:dyDescent="0.15">
      <c r="B33" s="1"/>
      <c r="C33" s="1"/>
      <c r="D33" s="1"/>
      <c r="E33" s="1"/>
      <c r="F33" s="1"/>
      <c r="G33" s="1"/>
      <c r="H33" s="1"/>
      <c r="I33" s="1"/>
      <c r="J33" s="1"/>
      <c r="K33" s="1"/>
      <c r="L33" s="1"/>
      <c r="M33" s="1"/>
      <c r="N33" s="1"/>
    </row>
    <row r="34" spans="1:15" s="28" customFormat="1" ht="24" customHeight="1" x14ac:dyDescent="0.15">
      <c r="B34" s="146" t="s">
        <v>116</v>
      </c>
      <c r="C34" s="146"/>
      <c r="D34" s="126" t="s">
        <v>117</v>
      </c>
      <c r="E34" s="127"/>
      <c r="F34" s="127"/>
      <c r="G34" s="147" t="s">
        <v>118</v>
      </c>
      <c r="H34" s="146"/>
      <c r="I34" s="148"/>
      <c r="J34" s="126" t="s">
        <v>119</v>
      </c>
      <c r="K34" s="127"/>
      <c r="L34" s="127"/>
      <c r="M34" s="127"/>
      <c r="N34" s="128"/>
      <c r="O34" s="54" t="str">
        <f>IF(OR(D34="",J34=""),"入力してください","")</f>
        <v/>
      </c>
    </row>
    <row r="35" spans="1:15" ht="7.5" customHeight="1" x14ac:dyDescent="0.15">
      <c r="F35" s="50"/>
      <c r="G35" s="50"/>
      <c r="H35" s="50"/>
      <c r="I35" s="50"/>
      <c r="J35" s="50"/>
      <c r="K35" s="50"/>
      <c r="L35" s="50"/>
      <c r="M35" s="50"/>
      <c r="N35" s="50"/>
    </row>
    <row r="36" spans="1:15" ht="24" customHeight="1" x14ac:dyDescent="0.15">
      <c r="A36" s="28" t="s">
        <v>122</v>
      </c>
      <c r="B36" s="28" t="s">
        <v>123</v>
      </c>
      <c r="M36" s="64"/>
      <c r="N36" s="64"/>
    </row>
    <row r="37" spans="1:15" ht="24" customHeight="1" x14ac:dyDescent="0.15">
      <c r="B37" s="126" t="s">
        <v>124</v>
      </c>
      <c r="C37" s="127"/>
      <c r="D37" s="127"/>
      <c r="E37" s="127"/>
      <c r="F37" s="127"/>
      <c r="G37" s="127"/>
      <c r="H37" s="127"/>
      <c r="I37" s="127"/>
      <c r="J37" s="127"/>
      <c r="K37" s="127"/>
      <c r="L37" s="127"/>
      <c r="M37" s="127"/>
      <c r="N37" s="128"/>
      <c r="O37" s="54" t="str">
        <f>IF(B37="","入力してください","")</f>
        <v/>
      </c>
    </row>
    <row r="38" spans="1:15" ht="7.5" customHeight="1" x14ac:dyDescent="0.15">
      <c r="F38" s="50"/>
      <c r="G38" s="50"/>
      <c r="H38" s="50"/>
      <c r="I38" s="50"/>
      <c r="J38" s="50"/>
      <c r="K38" s="50"/>
      <c r="L38" s="50"/>
      <c r="M38" s="50"/>
      <c r="N38" s="50"/>
    </row>
    <row r="39" spans="1:15" s="28" customFormat="1" ht="24" customHeight="1" x14ac:dyDescent="0.15">
      <c r="B39" s="146" t="s">
        <v>116</v>
      </c>
      <c r="C39" s="146"/>
      <c r="D39" s="126" t="s">
        <v>125</v>
      </c>
      <c r="E39" s="127"/>
      <c r="F39" s="127"/>
      <c r="G39" s="147" t="s">
        <v>118</v>
      </c>
      <c r="H39" s="146"/>
      <c r="I39" s="148"/>
      <c r="J39" s="126" t="s">
        <v>126</v>
      </c>
      <c r="K39" s="127"/>
      <c r="L39" s="127"/>
      <c r="M39" s="127"/>
      <c r="N39" s="128"/>
      <c r="O39" s="54" t="str">
        <f>IF(OR(D39="",J39=""),"入力してください","")</f>
        <v/>
      </c>
    </row>
    <row r="40" spans="1:15" ht="7.5" customHeight="1" x14ac:dyDescent="0.15">
      <c r="F40" s="50"/>
      <c r="G40" s="50"/>
      <c r="H40" s="50"/>
      <c r="I40" s="50"/>
      <c r="J40" s="50"/>
      <c r="K40" s="50"/>
      <c r="L40" s="50"/>
      <c r="M40" s="50"/>
      <c r="N40" s="50"/>
    </row>
    <row r="41" spans="1:15" ht="24" customHeight="1" x14ac:dyDescent="0.15">
      <c r="A41" s="28" t="s">
        <v>127</v>
      </c>
      <c r="B41" s="65" t="s">
        <v>128</v>
      </c>
      <c r="E41" s="51"/>
      <c r="F41" s="126" t="s">
        <v>129</v>
      </c>
      <c r="G41" s="127"/>
      <c r="H41" s="127"/>
      <c r="I41" s="127"/>
      <c r="J41" s="127"/>
      <c r="K41" s="127"/>
      <c r="L41" s="127"/>
      <c r="M41" s="127"/>
      <c r="N41" s="128"/>
      <c r="O41" s="54" t="str">
        <f>IF(F41="","入力してください","")</f>
        <v/>
      </c>
    </row>
    <row r="42" spans="1:15" ht="7.5" customHeight="1" x14ac:dyDescent="0.15">
      <c r="F42" s="50"/>
      <c r="G42" s="50"/>
      <c r="H42" s="50"/>
      <c r="I42" s="50"/>
      <c r="J42" s="50"/>
      <c r="K42" s="50"/>
      <c r="L42" s="50"/>
      <c r="M42" s="50"/>
      <c r="N42" s="50"/>
    </row>
    <row r="43" spans="1:15" ht="24" customHeight="1" x14ac:dyDescent="0.15">
      <c r="A43" s="28" t="s">
        <v>130</v>
      </c>
    </row>
    <row r="44" spans="1:15" ht="24" customHeight="1" x14ac:dyDescent="0.15">
      <c r="B44" s="4" t="s">
        <v>131</v>
      </c>
      <c r="C44" s="149" t="s">
        <v>132</v>
      </c>
      <c r="D44" s="150"/>
      <c r="E44" s="150"/>
      <c r="F44" s="150"/>
      <c r="G44" s="150"/>
      <c r="H44" s="150"/>
      <c r="I44" s="66" t="s">
        <v>133</v>
      </c>
      <c r="J44" s="67"/>
      <c r="K44" s="126" t="s">
        <v>134</v>
      </c>
      <c r="L44" s="127"/>
      <c r="M44" s="127"/>
      <c r="N44" s="128"/>
      <c r="O44" s="54" t="str">
        <f>IF(OR(C44="",K44=""),"入力してください","")</f>
        <v/>
      </c>
    </row>
    <row r="45" spans="1:15" ht="24" customHeight="1" x14ac:dyDescent="0.15">
      <c r="B45" s="68" t="s">
        <v>135</v>
      </c>
      <c r="C45" s="151" t="s">
        <v>136</v>
      </c>
      <c r="D45" s="152"/>
      <c r="E45" s="152"/>
      <c r="F45" s="152"/>
      <c r="G45" s="152"/>
      <c r="H45" s="153"/>
      <c r="I45" s="66" t="s">
        <v>137</v>
      </c>
      <c r="J45" s="67"/>
      <c r="K45" s="154" t="s">
        <v>138</v>
      </c>
      <c r="L45" s="155"/>
      <c r="M45" s="155"/>
      <c r="N45" s="156"/>
      <c r="O45" s="54" t="str">
        <f>IF(OR(C45="",K45=""),"入力してください","")</f>
        <v/>
      </c>
    </row>
  </sheetData>
  <mergeCells count="44">
    <mergeCell ref="C44:H44"/>
    <mergeCell ref="K44:N44"/>
    <mergeCell ref="C45:H45"/>
    <mergeCell ref="K45:N45"/>
    <mergeCell ref="B37:N37"/>
    <mergeCell ref="B39:C39"/>
    <mergeCell ref="D39:F39"/>
    <mergeCell ref="G39:I39"/>
    <mergeCell ref="J39:N39"/>
    <mergeCell ref="F41:N41"/>
    <mergeCell ref="B34:C34"/>
    <mergeCell ref="D34:F34"/>
    <mergeCell ref="G34:I34"/>
    <mergeCell ref="J34:N34"/>
    <mergeCell ref="C24:D24"/>
    <mergeCell ref="G24:H24"/>
    <mergeCell ref="I24:J24"/>
    <mergeCell ref="C26:D26"/>
    <mergeCell ref="G26:H26"/>
    <mergeCell ref="I26:J26"/>
    <mergeCell ref="B29:C29"/>
    <mergeCell ref="D29:F29"/>
    <mergeCell ref="G29:I29"/>
    <mergeCell ref="J29:N29"/>
    <mergeCell ref="B32:N32"/>
    <mergeCell ref="K16:M16"/>
    <mergeCell ref="E18:F18"/>
    <mergeCell ref="K18:N18"/>
    <mergeCell ref="J20:L20"/>
    <mergeCell ref="C22:D22"/>
    <mergeCell ref="G22:H22"/>
    <mergeCell ref="I22:J22"/>
    <mergeCell ref="E10:N10"/>
    <mergeCell ref="E12:F12"/>
    <mergeCell ref="C14:D14"/>
    <mergeCell ref="E14:F14"/>
    <mergeCell ref="I14:J14"/>
    <mergeCell ref="K14:M14"/>
    <mergeCell ref="C8:N8"/>
    <mergeCell ref="M1:N1"/>
    <mergeCell ref="A2:N2"/>
    <mergeCell ref="C4:N4"/>
    <mergeCell ref="D6:H6"/>
    <mergeCell ref="K6:N6"/>
  </mergeCells>
  <phoneticPr fontId="1"/>
  <dataValidations count="3">
    <dataValidation type="list" allowBlank="1" showInputMessage="1" showErrorMessage="1" sqref="F41:N41">
      <formula1>"認定教育プログラム,認定教育プログラム+（プラス）,認定教育プログラムと認定教育プログラム+（プラス）"</formula1>
    </dataValidation>
    <dataValidation type="list" allowBlank="1" showInputMessage="1" showErrorMessage="1" sqref="N12">
      <formula1>"有,無"</formula1>
    </dataValidation>
    <dataValidation type="list" allowBlank="1" showInputMessage="1" showErrorMessage="1" sqref="K6">
      <formula1>"国立大学, 公立大学, 私立大学, 短期大学, 高等専門学校, その他"</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82" zoomScaleNormal="100" zoomScaleSheetLayoutView="100" workbookViewId="0">
      <selection activeCell="D100" sqref="D100"/>
    </sheetView>
  </sheetViews>
  <sheetFormatPr defaultColWidth="9" defaultRowHeight="18.75" customHeight="1" x14ac:dyDescent="0.15"/>
  <cols>
    <col min="1" max="1" width="2.5" style="2" customWidth="1"/>
    <col min="2" max="2" width="27.75" style="2" customWidth="1"/>
    <col min="3" max="13" width="3.375" style="2" customWidth="1"/>
    <col min="14" max="14" width="8.875" style="2" customWidth="1"/>
    <col min="15" max="15" width="18.875" style="2" customWidth="1"/>
    <col min="16" max="19" width="3.375" style="2" customWidth="1"/>
    <col min="20" max="20" width="3.5" style="2" customWidth="1"/>
    <col min="21" max="26" width="3.375" style="2" customWidth="1"/>
    <col min="27" max="16384" width="9" style="2"/>
  </cols>
  <sheetData>
    <row r="1" spans="1:26" ht="15" customHeight="1" x14ac:dyDescent="0.15">
      <c r="W1" s="230" t="s">
        <v>213</v>
      </c>
      <c r="X1" s="230"/>
      <c r="Y1" s="230"/>
      <c r="Z1" s="230"/>
    </row>
    <row r="2" spans="1:26" ht="18" customHeight="1" x14ac:dyDescent="0.15">
      <c r="A2" s="231" t="s">
        <v>13</v>
      </c>
      <c r="B2" s="231"/>
      <c r="C2" s="231"/>
      <c r="D2" s="231"/>
      <c r="E2" s="231"/>
      <c r="F2" s="231"/>
      <c r="G2" s="231"/>
      <c r="H2" s="231"/>
      <c r="I2" s="231"/>
      <c r="J2" s="231"/>
      <c r="K2" s="231"/>
      <c r="L2" s="231"/>
      <c r="M2" s="231"/>
      <c r="N2" s="231"/>
      <c r="O2" s="231"/>
      <c r="P2" s="231"/>
      <c r="Q2" s="231"/>
      <c r="R2" s="231"/>
      <c r="S2" s="231"/>
      <c r="T2" s="231"/>
      <c r="U2" s="231"/>
      <c r="V2" s="231"/>
      <c r="W2" s="231"/>
      <c r="X2" s="231"/>
      <c r="Y2" s="231"/>
      <c r="Z2" s="231"/>
    </row>
    <row r="3" spans="1:26" ht="15" customHeight="1" x14ac:dyDescent="0.15">
      <c r="B3" s="30"/>
      <c r="C3" s="30"/>
      <c r="D3" s="30"/>
      <c r="E3" s="30"/>
      <c r="F3" s="30"/>
      <c r="G3" s="30"/>
      <c r="H3" s="30"/>
      <c r="I3" s="30"/>
      <c r="J3" s="30"/>
      <c r="K3" s="30"/>
      <c r="L3" s="30"/>
      <c r="M3" s="30"/>
      <c r="N3" s="30"/>
      <c r="O3" s="30"/>
      <c r="P3" s="30"/>
      <c r="Q3" s="30"/>
      <c r="R3" s="30"/>
      <c r="S3" s="30"/>
      <c r="T3" s="30"/>
      <c r="U3" s="30"/>
      <c r="V3" s="30"/>
      <c r="W3" s="30"/>
      <c r="X3" s="30"/>
      <c r="Y3" s="30"/>
      <c r="Z3" s="30"/>
    </row>
    <row r="4" spans="1:26" ht="18" customHeight="1" x14ac:dyDescent="0.15">
      <c r="A4" s="2" t="s">
        <v>17</v>
      </c>
      <c r="B4" s="30"/>
      <c r="C4" s="30"/>
      <c r="D4" s="30"/>
      <c r="E4" s="30"/>
      <c r="F4" s="30"/>
      <c r="G4" s="30"/>
      <c r="H4" s="29" t="s">
        <v>31</v>
      </c>
      <c r="I4" s="30"/>
      <c r="J4" s="30"/>
      <c r="K4" s="30"/>
      <c r="L4" s="30"/>
      <c r="M4" s="30"/>
      <c r="N4" s="30"/>
      <c r="O4" s="138" t="s">
        <v>66</v>
      </c>
      <c r="P4" s="139"/>
      <c r="Q4" s="139"/>
      <c r="R4" s="139"/>
      <c r="S4" s="139"/>
      <c r="T4" s="139"/>
      <c r="U4" s="139"/>
      <c r="V4" s="139"/>
      <c r="W4" s="139"/>
      <c r="X4" s="139"/>
      <c r="Y4" s="139"/>
      <c r="Z4" s="140"/>
    </row>
    <row r="5" spans="1:26" ht="6" customHeight="1" x14ac:dyDescent="0.15">
      <c r="B5" s="30"/>
      <c r="C5" s="30"/>
      <c r="D5" s="30"/>
      <c r="E5" s="30"/>
      <c r="F5" s="30"/>
      <c r="G5" s="30"/>
      <c r="H5" s="30"/>
      <c r="I5" s="30"/>
      <c r="J5" s="30"/>
      <c r="K5" s="30"/>
      <c r="L5" s="30"/>
      <c r="M5" s="30"/>
      <c r="N5" s="30"/>
      <c r="O5" s="3"/>
      <c r="P5" s="30"/>
      <c r="Q5" s="30"/>
      <c r="R5" s="30"/>
      <c r="S5" s="30"/>
      <c r="T5" s="30"/>
      <c r="U5" s="30"/>
      <c r="V5" s="30"/>
      <c r="W5" s="30"/>
      <c r="X5" s="30"/>
      <c r="Y5" s="30"/>
      <c r="Z5" s="30"/>
    </row>
    <row r="6" spans="1:26" ht="18" customHeight="1" x14ac:dyDescent="0.15">
      <c r="B6" s="232" t="s">
        <v>196</v>
      </c>
      <c r="C6" s="233"/>
      <c r="D6" s="233"/>
      <c r="E6" s="233"/>
      <c r="F6" s="233"/>
      <c r="G6" s="233"/>
      <c r="H6" s="233"/>
      <c r="I6" s="233"/>
      <c r="J6" s="233"/>
      <c r="K6" s="233"/>
      <c r="L6" s="233"/>
      <c r="M6" s="233"/>
      <c r="N6" s="233"/>
      <c r="O6" s="233"/>
      <c r="P6" s="233"/>
      <c r="Q6" s="233"/>
      <c r="R6" s="233"/>
      <c r="S6" s="233"/>
      <c r="T6" s="233"/>
      <c r="U6" s="233"/>
      <c r="V6" s="233"/>
      <c r="W6" s="233"/>
      <c r="X6" s="233"/>
      <c r="Y6" s="233"/>
      <c r="Z6" s="234"/>
    </row>
    <row r="7" spans="1:26" ht="18" customHeight="1" x14ac:dyDescent="0.15">
      <c r="B7" s="235"/>
      <c r="C7" s="236"/>
      <c r="D7" s="236"/>
      <c r="E7" s="236"/>
      <c r="F7" s="236"/>
      <c r="G7" s="236"/>
      <c r="H7" s="236"/>
      <c r="I7" s="236"/>
      <c r="J7" s="236"/>
      <c r="K7" s="236"/>
      <c r="L7" s="236"/>
      <c r="M7" s="236"/>
      <c r="N7" s="236"/>
      <c r="O7" s="236"/>
      <c r="P7" s="236"/>
      <c r="Q7" s="236"/>
      <c r="R7" s="236"/>
      <c r="S7" s="236"/>
      <c r="T7" s="236"/>
      <c r="U7" s="236"/>
      <c r="V7" s="236"/>
      <c r="W7" s="236"/>
      <c r="X7" s="236"/>
      <c r="Y7" s="236"/>
      <c r="Z7" s="237"/>
    </row>
    <row r="8" spans="1:26" ht="18" customHeight="1" x14ac:dyDescent="0.15">
      <c r="B8" s="235"/>
      <c r="C8" s="236"/>
      <c r="D8" s="236"/>
      <c r="E8" s="236"/>
      <c r="F8" s="236"/>
      <c r="G8" s="236"/>
      <c r="H8" s="236"/>
      <c r="I8" s="236"/>
      <c r="J8" s="236"/>
      <c r="K8" s="236"/>
      <c r="L8" s="236"/>
      <c r="M8" s="236"/>
      <c r="N8" s="236"/>
      <c r="O8" s="236"/>
      <c r="P8" s="236"/>
      <c r="Q8" s="236"/>
      <c r="R8" s="236"/>
      <c r="S8" s="236"/>
      <c r="T8" s="236"/>
      <c r="U8" s="236"/>
      <c r="V8" s="236"/>
      <c r="W8" s="236"/>
      <c r="X8" s="236"/>
      <c r="Y8" s="236"/>
      <c r="Z8" s="237"/>
    </row>
    <row r="9" spans="1:26" ht="18" customHeight="1" x14ac:dyDescent="0.15">
      <c r="B9" s="235"/>
      <c r="C9" s="236"/>
      <c r="D9" s="236"/>
      <c r="E9" s="236"/>
      <c r="F9" s="236"/>
      <c r="G9" s="236"/>
      <c r="H9" s="236"/>
      <c r="I9" s="236"/>
      <c r="J9" s="236"/>
      <c r="K9" s="236"/>
      <c r="L9" s="236"/>
      <c r="M9" s="236"/>
      <c r="N9" s="236"/>
      <c r="O9" s="236"/>
      <c r="P9" s="236"/>
      <c r="Q9" s="236"/>
      <c r="R9" s="236"/>
      <c r="S9" s="236"/>
      <c r="T9" s="236"/>
      <c r="U9" s="236"/>
      <c r="V9" s="236"/>
      <c r="W9" s="236"/>
      <c r="X9" s="236"/>
      <c r="Y9" s="236"/>
      <c r="Z9" s="237"/>
    </row>
    <row r="10" spans="1:26" ht="18" customHeight="1" x14ac:dyDescent="0.15">
      <c r="B10" s="235"/>
      <c r="C10" s="238"/>
      <c r="D10" s="238"/>
      <c r="E10" s="238"/>
      <c r="F10" s="238"/>
      <c r="G10" s="238"/>
      <c r="H10" s="238"/>
      <c r="I10" s="238"/>
      <c r="J10" s="238"/>
      <c r="K10" s="238"/>
      <c r="L10" s="238"/>
      <c r="M10" s="238"/>
      <c r="N10" s="238"/>
      <c r="O10" s="238"/>
      <c r="P10" s="238"/>
      <c r="Q10" s="238"/>
      <c r="R10" s="238"/>
      <c r="S10" s="238"/>
      <c r="T10" s="238"/>
      <c r="U10" s="238"/>
      <c r="V10" s="238"/>
      <c r="W10" s="238"/>
      <c r="X10" s="238"/>
      <c r="Y10" s="238"/>
      <c r="Z10" s="237"/>
    </row>
    <row r="11" spans="1:26" ht="15.75" customHeight="1" x14ac:dyDescent="0.15">
      <c r="B11" s="239"/>
      <c r="C11" s="240"/>
      <c r="D11" s="240"/>
      <c r="E11" s="240"/>
      <c r="F11" s="240"/>
      <c r="G11" s="240"/>
      <c r="H11" s="240"/>
      <c r="I11" s="240"/>
      <c r="J11" s="240"/>
      <c r="K11" s="240"/>
      <c r="L11" s="240"/>
      <c r="M11" s="240"/>
      <c r="N11" s="240"/>
      <c r="O11" s="240"/>
      <c r="P11" s="240"/>
      <c r="Q11" s="240"/>
      <c r="R11" s="240"/>
      <c r="S11" s="240"/>
      <c r="T11" s="240"/>
      <c r="U11" s="240"/>
      <c r="V11" s="240"/>
      <c r="W11" s="240"/>
      <c r="X11" s="240"/>
      <c r="Y11" s="240"/>
      <c r="Z11" s="241"/>
    </row>
    <row r="12" spans="1:26" ht="7.5" customHeight="1" x14ac:dyDescent="0.15">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spans="1:26" ht="18" customHeight="1" x14ac:dyDescent="0.15">
      <c r="A13" s="225" t="s">
        <v>41</v>
      </c>
      <c r="B13" s="225"/>
      <c r="C13" s="225"/>
      <c r="D13" s="225"/>
      <c r="E13" s="225"/>
      <c r="F13" s="225"/>
      <c r="G13" s="225"/>
      <c r="H13" s="225"/>
      <c r="I13" s="225"/>
      <c r="J13" s="225"/>
      <c r="K13" s="225"/>
      <c r="L13" s="225"/>
      <c r="M13" s="225"/>
      <c r="N13" s="225"/>
      <c r="O13" s="225"/>
      <c r="P13" s="225"/>
      <c r="Q13" s="225"/>
      <c r="R13" s="225"/>
      <c r="S13" s="225"/>
      <c r="T13" s="225"/>
      <c r="U13" s="225"/>
      <c r="V13" s="225"/>
      <c r="W13" s="225"/>
      <c r="X13" s="225"/>
      <c r="Y13" s="225"/>
      <c r="Z13" s="225"/>
    </row>
    <row r="14" spans="1:26" ht="18" customHeight="1" x14ac:dyDescent="0.15">
      <c r="A14" s="225"/>
      <c r="B14" s="225"/>
      <c r="C14" s="225"/>
      <c r="D14" s="225"/>
      <c r="E14" s="225"/>
      <c r="F14" s="225"/>
      <c r="G14" s="225"/>
      <c r="H14" s="225"/>
      <c r="I14" s="225"/>
      <c r="J14" s="225"/>
      <c r="K14" s="225"/>
      <c r="L14" s="225"/>
      <c r="M14" s="225"/>
      <c r="N14" s="225"/>
      <c r="O14" s="225"/>
      <c r="P14" s="225"/>
      <c r="Q14" s="225"/>
      <c r="R14" s="225"/>
      <c r="S14" s="225"/>
      <c r="T14" s="225"/>
      <c r="U14" s="225"/>
      <c r="V14" s="225"/>
      <c r="W14" s="225"/>
      <c r="X14" s="225"/>
      <c r="Y14" s="225"/>
      <c r="Z14" s="225"/>
    </row>
    <row r="15" spans="1:26" ht="18" customHeight="1" x14ac:dyDescent="0.15">
      <c r="A15" s="28"/>
      <c r="B15" s="138" t="s">
        <v>18</v>
      </c>
      <c r="C15" s="139"/>
      <c r="D15" s="139"/>
      <c r="E15" s="139"/>
      <c r="F15" s="140"/>
      <c r="G15" s="4" t="s">
        <v>57</v>
      </c>
      <c r="H15" s="24" t="s">
        <v>56</v>
      </c>
      <c r="I15" s="139" t="s">
        <v>19</v>
      </c>
      <c r="J15" s="139"/>
      <c r="K15" s="139"/>
      <c r="L15" s="5" t="s">
        <v>22</v>
      </c>
      <c r="M15" s="5" t="s">
        <v>25</v>
      </c>
      <c r="N15" s="138" t="s">
        <v>18</v>
      </c>
      <c r="O15" s="139"/>
      <c r="P15" s="139"/>
      <c r="Q15" s="139"/>
      <c r="R15" s="139"/>
      <c r="S15" s="140"/>
      <c r="T15" s="4" t="s">
        <v>57</v>
      </c>
      <c r="U15" s="24" t="s">
        <v>56</v>
      </c>
      <c r="V15" s="139" t="s">
        <v>19</v>
      </c>
      <c r="W15" s="139"/>
      <c r="X15" s="139"/>
      <c r="Y15" s="5" t="s">
        <v>22</v>
      </c>
      <c r="Z15" s="5" t="s">
        <v>25</v>
      </c>
    </row>
    <row r="16" spans="1:26" ht="18" customHeight="1" x14ac:dyDescent="0.15">
      <c r="A16" s="28"/>
      <c r="B16" s="226" t="s">
        <v>67</v>
      </c>
      <c r="C16" s="188"/>
      <c r="D16" s="188"/>
      <c r="E16" s="188"/>
      <c r="F16" s="189"/>
      <c r="G16" s="25">
        <v>2</v>
      </c>
      <c r="H16" s="25" t="s">
        <v>62</v>
      </c>
      <c r="I16" s="222" t="s">
        <v>61</v>
      </c>
      <c r="J16" s="223"/>
      <c r="K16" s="224"/>
      <c r="L16" s="6" t="s">
        <v>62</v>
      </c>
      <c r="M16" s="6" t="s">
        <v>62</v>
      </c>
      <c r="N16" s="203"/>
      <c r="O16" s="204"/>
      <c r="P16" s="204"/>
      <c r="Q16" s="204"/>
      <c r="R16" s="204"/>
      <c r="S16" s="205"/>
      <c r="T16" s="25"/>
      <c r="U16" s="25"/>
      <c r="V16" s="222"/>
      <c r="W16" s="223"/>
      <c r="X16" s="224"/>
      <c r="Y16" s="6"/>
      <c r="Z16" s="6"/>
    </row>
    <row r="17" spans="1:26" ht="18" customHeight="1" x14ac:dyDescent="0.15">
      <c r="A17" s="28"/>
      <c r="B17" s="227"/>
      <c r="C17" s="228"/>
      <c r="D17" s="228"/>
      <c r="E17" s="228"/>
      <c r="F17" s="229"/>
      <c r="G17" s="26"/>
      <c r="H17" s="26"/>
      <c r="I17" s="218"/>
      <c r="J17" s="219"/>
      <c r="K17" s="220"/>
      <c r="L17" s="7"/>
      <c r="M17" s="7"/>
      <c r="N17" s="180"/>
      <c r="O17" s="181"/>
      <c r="P17" s="181"/>
      <c r="Q17" s="181"/>
      <c r="R17" s="181"/>
      <c r="S17" s="182"/>
      <c r="T17" s="26"/>
      <c r="U17" s="26"/>
      <c r="V17" s="218"/>
      <c r="W17" s="219"/>
      <c r="X17" s="220"/>
      <c r="Y17" s="7"/>
      <c r="Z17" s="7"/>
    </row>
    <row r="18" spans="1:26" ht="18" customHeight="1" x14ac:dyDescent="0.15">
      <c r="A18" s="28"/>
      <c r="B18" s="216"/>
      <c r="C18" s="217"/>
      <c r="D18" s="217"/>
      <c r="E18" s="217"/>
      <c r="F18" s="221"/>
      <c r="G18" s="26"/>
      <c r="H18" s="26"/>
      <c r="I18" s="218"/>
      <c r="J18" s="219"/>
      <c r="K18" s="220"/>
      <c r="L18" s="7"/>
      <c r="M18" s="7"/>
      <c r="N18" s="180"/>
      <c r="O18" s="181"/>
      <c r="P18" s="181"/>
      <c r="Q18" s="181"/>
      <c r="R18" s="181"/>
      <c r="S18" s="182"/>
      <c r="T18" s="26"/>
      <c r="U18" s="26"/>
      <c r="V18" s="218"/>
      <c r="W18" s="219"/>
      <c r="X18" s="220"/>
      <c r="Y18" s="7"/>
      <c r="Z18" s="7"/>
    </row>
    <row r="19" spans="1:26" ht="18" customHeight="1" x14ac:dyDescent="0.15">
      <c r="A19" s="28"/>
      <c r="B19" s="216"/>
      <c r="C19" s="217"/>
      <c r="D19" s="217"/>
      <c r="E19" s="217"/>
      <c r="F19" s="221"/>
      <c r="G19" s="26"/>
      <c r="H19" s="26"/>
      <c r="I19" s="218"/>
      <c r="J19" s="219"/>
      <c r="K19" s="220"/>
      <c r="L19" s="7"/>
      <c r="M19" s="7"/>
      <c r="N19" s="180"/>
      <c r="O19" s="181"/>
      <c r="P19" s="181"/>
      <c r="Q19" s="181"/>
      <c r="R19" s="181"/>
      <c r="S19" s="182"/>
      <c r="T19" s="26"/>
      <c r="U19" s="26"/>
      <c r="V19" s="218"/>
      <c r="W19" s="219"/>
      <c r="X19" s="220"/>
      <c r="Y19" s="7"/>
      <c r="Z19" s="7"/>
    </row>
    <row r="20" spans="1:26" ht="18" customHeight="1" x14ac:dyDescent="0.15">
      <c r="A20" s="28"/>
      <c r="B20" s="216"/>
      <c r="C20" s="217"/>
      <c r="D20" s="217"/>
      <c r="E20" s="217"/>
      <c r="F20" s="221"/>
      <c r="G20" s="26"/>
      <c r="H20" s="26"/>
      <c r="I20" s="218"/>
      <c r="J20" s="219"/>
      <c r="K20" s="220"/>
      <c r="L20" s="7"/>
      <c r="M20" s="7"/>
      <c r="N20" s="180"/>
      <c r="O20" s="181"/>
      <c r="P20" s="181"/>
      <c r="Q20" s="181"/>
      <c r="R20" s="181"/>
      <c r="S20" s="182"/>
      <c r="T20" s="26"/>
      <c r="U20" s="26"/>
      <c r="V20" s="218"/>
      <c r="W20" s="219"/>
      <c r="X20" s="220"/>
      <c r="Y20" s="7"/>
      <c r="Z20" s="7"/>
    </row>
    <row r="21" spans="1:26" ht="18" customHeight="1" x14ac:dyDescent="0.15">
      <c r="A21" s="30"/>
      <c r="B21" s="216"/>
      <c r="C21" s="217"/>
      <c r="D21" s="217"/>
      <c r="E21" s="217"/>
      <c r="F21" s="221"/>
      <c r="G21" s="26"/>
      <c r="H21" s="26"/>
      <c r="I21" s="218"/>
      <c r="J21" s="219"/>
      <c r="K21" s="220"/>
      <c r="L21" s="7"/>
      <c r="M21" s="7"/>
      <c r="N21" s="180"/>
      <c r="O21" s="181"/>
      <c r="P21" s="181"/>
      <c r="Q21" s="181"/>
      <c r="R21" s="181"/>
      <c r="S21" s="182"/>
      <c r="T21" s="26"/>
      <c r="U21" s="26"/>
      <c r="V21" s="218"/>
      <c r="W21" s="219"/>
      <c r="X21" s="220"/>
      <c r="Y21" s="7"/>
      <c r="Z21" s="7"/>
    </row>
    <row r="22" spans="1:26" ht="18" customHeight="1" x14ac:dyDescent="0.15">
      <c r="A22" s="30"/>
      <c r="B22" s="209"/>
      <c r="C22" s="190"/>
      <c r="D22" s="190"/>
      <c r="E22" s="190"/>
      <c r="F22" s="191"/>
      <c r="G22" s="27"/>
      <c r="H22" s="27"/>
      <c r="I22" s="210"/>
      <c r="J22" s="211"/>
      <c r="K22" s="212"/>
      <c r="L22" s="8"/>
      <c r="M22" s="8"/>
      <c r="N22" s="183"/>
      <c r="O22" s="184"/>
      <c r="P22" s="184"/>
      <c r="Q22" s="184"/>
      <c r="R22" s="184"/>
      <c r="S22" s="185"/>
      <c r="T22" s="27"/>
      <c r="U22" s="27"/>
      <c r="V22" s="210"/>
      <c r="W22" s="211"/>
      <c r="X22" s="212"/>
      <c r="Y22" s="8"/>
      <c r="Z22" s="8"/>
    </row>
    <row r="23" spans="1:26" ht="7.5" customHeight="1" x14ac:dyDescent="0.15">
      <c r="A23" s="30"/>
      <c r="B23" s="9"/>
      <c r="C23" s="9"/>
      <c r="D23" s="30"/>
      <c r="E23" s="30"/>
      <c r="F23" s="30"/>
      <c r="G23" s="30"/>
      <c r="H23" s="30"/>
      <c r="I23" s="30"/>
      <c r="J23" s="30"/>
      <c r="K23" s="30"/>
      <c r="L23" s="9"/>
      <c r="M23" s="9"/>
      <c r="N23" s="9"/>
      <c r="O23" s="9"/>
      <c r="P23" s="9"/>
      <c r="Q23" s="9"/>
      <c r="R23" s="9"/>
      <c r="S23" s="9"/>
      <c r="T23" s="9"/>
      <c r="U23" s="9"/>
      <c r="V23" s="9"/>
      <c r="W23" s="9"/>
      <c r="X23" s="9"/>
      <c r="Y23" s="9"/>
      <c r="Z23" s="30"/>
    </row>
    <row r="24" spans="1:26" ht="18" customHeight="1" x14ac:dyDescent="0.15">
      <c r="A24" s="225" t="s">
        <v>42</v>
      </c>
      <c r="B24" s="225"/>
      <c r="C24" s="225"/>
      <c r="D24" s="225"/>
      <c r="E24" s="225"/>
      <c r="F24" s="225"/>
      <c r="G24" s="225"/>
      <c r="H24" s="225"/>
      <c r="I24" s="225"/>
      <c r="J24" s="225"/>
      <c r="K24" s="225"/>
      <c r="L24" s="225"/>
      <c r="M24" s="225"/>
      <c r="N24" s="225"/>
      <c r="O24" s="225"/>
      <c r="P24" s="225"/>
      <c r="Q24" s="225"/>
      <c r="R24" s="225"/>
      <c r="S24" s="225"/>
      <c r="T24" s="225"/>
      <c r="U24" s="225"/>
      <c r="V24" s="225"/>
      <c r="W24" s="225"/>
      <c r="X24" s="225"/>
      <c r="Y24" s="225"/>
      <c r="Z24" s="225"/>
    </row>
    <row r="25" spans="1:26" ht="18" customHeight="1" x14ac:dyDescent="0.15">
      <c r="A25" s="225"/>
      <c r="B25" s="225"/>
      <c r="C25" s="225"/>
      <c r="D25" s="225"/>
      <c r="E25" s="225"/>
      <c r="F25" s="225"/>
      <c r="G25" s="225"/>
      <c r="H25" s="225"/>
      <c r="I25" s="225"/>
      <c r="J25" s="225"/>
      <c r="K25" s="225"/>
      <c r="L25" s="225"/>
      <c r="M25" s="225"/>
      <c r="N25" s="225"/>
      <c r="O25" s="225"/>
      <c r="P25" s="225"/>
      <c r="Q25" s="225"/>
      <c r="R25" s="225"/>
      <c r="S25" s="225"/>
      <c r="T25" s="225"/>
      <c r="U25" s="225"/>
      <c r="V25" s="225"/>
      <c r="W25" s="225"/>
      <c r="X25" s="225"/>
      <c r="Y25" s="225"/>
      <c r="Z25" s="225"/>
    </row>
    <row r="26" spans="1:26" ht="18" customHeight="1" x14ac:dyDescent="0.15">
      <c r="A26" s="28"/>
      <c r="B26" s="138" t="s">
        <v>18</v>
      </c>
      <c r="C26" s="139"/>
      <c r="D26" s="139"/>
      <c r="E26" s="139"/>
      <c r="F26" s="140"/>
      <c r="G26" s="4" t="s">
        <v>57</v>
      </c>
      <c r="H26" s="24" t="s">
        <v>56</v>
      </c>
      <c r="I26" s="139" t="s">
        <v>19</v>
      </c>
      <c r="J26" s="139"/>
      <c r="K26" s="139"/>
      <c r="L26" s="5" t="s">
        <v>43</v>
      </c>
      <c r="M26" s="5" t="s">
        <v>44</v>
      </c>
      <c r="N26" s="138" t="s">
        <v>18</v>
      </c>
      <c r="O26" s="139"/>
      <c r="P26" s="139"/>
      <c r="Q26" s="139"/>
      <c r="R26" s="139"/>
      <c r="S26" s="140"/>
      <c r="T26" s="4" t="s">
        <v>57</v>
      </c>
      <c r="U26" s="24" t="s">
        <v>56</v>
      </c>
      <c r="V26" s="139" t="s">
        <v>19</v>
      </c>
      <c r="W26" s="139"/>
      <c r="X26" s="139"/>
      <c r="Y26" s="5" t="s">
        <v>43</v>
      </c>
      <c r="Z26" s="5" t="s">
        <v>44</v>
      </c>
    </row>
    <row r="27" spans="1:26" ht="18" customHeight="1" x14ac:dyDescent="0.15">
      <c r="A27" s="28"/>
      <c r="B27" s="226" t="s">
        <v>64</v>
      </c>
      <c r="C27" s="188"/>
      <c r="D27" s="188"/>
      <c r="E27" s="188"/>
      <c r="F27" s="189"/>
      <c r="G27" s="25">
        <v>2</v>
      </c>
      <c r="H27" s="25" t="s">
        <v>62</v>
      </c>
      <c r="I27" s="222" t="s">
        <v>61</v>
      </c>
      <c r="J27" s="223"/>
      <c r="K27" s="224"/>
      <c r="L27" s="6" t="s">
        <v>62</v>
      </c>
      <c r="M27" s="6" t="s">
        <v>62</v>
      </c>
      <c r="N27" s="203"/>
      <c r="O27" s="204"/>
      <c r="P27" s="204"/>
      <c r="Q27" s="204"/>
      <c r="R27" s="204"/>
      <c r="S27" s="205"/>
      <c r="T27" s="25"/>
      <c r="U27" s="25"/>
      <c r="V27" s="222"/>
      <c r="W27" s="223"/>
      <c r="X27" s="224"/>
      <c r="Y27" s="6"/>
      <c r="Z27" s="6"/>
    </row>
    <row r="28" spans="1:26" ht="18" customHeight="1" x14ac:dyDescent="0.15">
      <c r="A28" s="28"/>
      <c r="B28" s="216"/>
      <c r="C28" s="217"/>
      <c r="D28" s="217"/>
      <c r="E28" s="217"/>
      <c r="F28" s="221"/>
      <c r="G28" s="26"/>
      <c r="H28" s="26"/>
      <c r="I28" s="218"/>
      <c r="J28" s="219"/>
      <c r="K28" s="220"/>
      <c r="L28" s="7"/>
      <c r="M28" s="7"/>
      <c r="N28" s="180"/>
      <c r="O28" s="181"/>
      <c r="P28" s="181"/>
      <c r="Q28" s="181"/>
      <c r="R28" s="181"/>
      <c r="S28" s="182"/>
      <c r="T28" s="26"/>
      <c r="U28" s="26"/>
      <c r="V28" s="218"/>
      <c r="W28" s="219"/>
      <c r="X28" s="220"/>
      <c r="Y28" s="7"/>
      <c r="Z28" s="7"/>
    </row>
    <row r="29" spans="1:26" ht="18" customHeight="1" x14ac:dyDescent="0.15">
      <c r="A29" s="28"/>
      <c r="B29" s="216"/>
      <c r="C29" s="217"/>
      <c r="D29" s="217"/>
      <c r="E29" s="217"/>
      <c r="F29" s="221"/>
      <c r="G29" s="26"/>
      <c r="H29" s="26"/>
      <c r="I29" s="218"/>
      <c r="J29" s="219"/>
      <c r="K29" s="220"/>
      <c r="L29" s="7"/>
      <c r="M29" s="7"/>
      <c r="N29" s="180"/>
      <c r="O29" s="181"/>
      <c r="P29" s="181"/>
      <c r="Q29" s="181"/>
      <c r="R29" s="181"/>
      <c r="S29" s="182"/>
      <c r="T29" s="26"/>
      <c r="U29" s="26"/>
      <c r="V29" s="218"/>
      <c r="W29" s="219"/>
      <c r="X29" s="220"/>
      <c r="Y29" s="7"/>
      <c r="Z29" s="7"/>
    </row>
    <row r="30" spans="1:26" ht="18" customHeight="1" x14ac:dyDescent="0.15">
      <c r="A30" s="28"/>
      <c r="B30" s="216"/>
      <c r="C30" s="217"/>
      <c r="D30" s="217"/>
      <c r="E30" s="217"/>
      <c r="F30" s="221"/>
      <c r="G30" s="26"/>
      <c r="H30" s="26"/>
      <c r="I30" s="218"/>
      <c r="J30" s="219"/>
      <c r="K30" s="220"/>
      <c r="L30" s="7"/>
      <c r="M30" s="7"/>
      <c r="N30" s="180"/>
      <c r="O30" s="181"/>
      <c r="P30" s="181"/>
      <c r="Q30" s="181"/>
      <c r="R30" s="181"/>
      <c r="S30" s="182"/>
      <c r="T30" s="26"/>
      <c r="U30" s="26"/>
      <c r="V30" s="218"/>
      <c r="W30" s="219"/>
      <c r="X30" s="220"/>
      <c r="Y30" s="7"/>
      <c r="Z30" s="7"/>
    </row>
    <row r="31" spans="1:26" ht="18" customHeight="1" x14ac:dyDescent="0.15">
      <c r="A31" s="28"/>
      <c r="B31" s="216"/>
      <c r="C31" s="217"/>
      <c r="D31" s="217"/>
      <c r="E31" s="217"/>
      <c r="F31" s="221"/>
      <c r="G31" s="26"/>
      <c r="H31" s="26"/>
      <c r="I31" s="218"/>
      <c r="J31" s="219"/>
      <c r="K31" s="220"/>
      <c r="L31" s="7"/>
      <c r="M31" s="7"/>
      <c r="N31" s="180"/>
      <c r="O31" s="181"/>
      <c r="P31" s="181"/>
      <c r="Q31" s="181"/>
      <c r="R31" s="181"/>
      <c r="S31" s="182"/>
      <c r="T31" s="26"/>
      <c r="U31" s="26"/>
      <c r="V31" s="218"/>
      <c r="W31" s="219"/>
      <c r="X31" s="220"/>
      <c r="Y31" s="7"/>
      <c r="Z31" s="7"/>
    </row>
    <row r="32" spans="1:26" ht="18" customHeight="1" x14ac:dyDescent="0.15">
      <c r="A32" s="28"/>
      <c r="B32" s="216"/>
      <c r="C32" s="217"/>
      <c r="D32" s="217"/>
      <c r="E32" s="217"/>
      <c r="F32" s="221"/>
      <c r="G32" s="26"/>
      <c r="H32" s="26"/>
      <c r="I32" s="218"/>
      <c r="J32" s="219"/>
      <c r="K32" s="220"/>
      <c r="L32" s="7"/>
      <c r="M32" s="7"/>
      <c r="N32" s="180"/>
      <c r="O32" s="181"/>
      <c r="P32" s="181"/>
      <c r="Q32" s="181"/>
      <c r="R32" s="181"/>
      <c r="S32" s="182"/>
      <c r="T32" s="26"/>
      <c r="U32" s="26"/>
      <c r="V32" s="218"/>
      <c r="W32" s="219"/>
      <c r="X32" s="220"/>
      <c r="Y32" s="7"/>
      <c r="Z32" s="7"/>
    </row>
    <row r="33" spans="1:26" ht="18" customHeight="1" x14ac:dyDescent="0.15">
      <c r="A33" s="28"/>
      <c r="B33" s="209"/>
      <c r="C33" s="190"/>
      <c r="D33" s="190"/>
      <c r="E33" s="190"/>
      <c r="F33" s="191"/>
      <c r="G33" s="27"/>
      <c r="H33" s="27"/>
      <c r="I33" s="210"/>
      <c r="J33" s="211"/>
      <c r="K33" s="212"/>
      <c r="L33" s="8"/>
      <c r="M33" s="8"/>
      <c r="N33" s="183"/>
      <c r="O33" s="184"/>
      <c r="P33" s="184"/>
      <c r="Q33" s="184"/>
      <c r="R33" s="184"/>
      <c r="S33" s="185"/>
      <c r="T33" s="27"/>
      <c r="U33" s="27"/>
      <c r="V33" s="210"/>
      <c r="W33" s="211"/>
      <c r="X33" s="212"/>
      <c r="Y33" s="8"/>
      <c r="Z33" s="8"/>
    </row>
    <row r="34" spans="1:26" ht="7.5" customHeight="1" x14ac:dyDescent="0.15">
      <c r="A34" s="30"/>
      <c r="B34" s="9"/>
      <c r="C34" s="9"/>
      <c r="D34" s="30"/>
      <c r="E34" s="30"/>
      <c r="F34" s="30"/>
      <c r="G34" s="30"/>
      <c r="H34" s="30"/>
      <c r="I34" s="30"/>
      <c r="J34" s="30"/>
      <c r="K34" s="30"/>
      <c r="L34" s="9"/>
      <c r="M34" s="9"/>
      <c r="N34" s="9"/>
      <c r="O34" s="9"/>
      <c r="P34" s="9"/>
      <c r="Q34" s="9"/>
      <c r="R34" s="9"/>
      <c r="S34" s="9"/>
      <c r="T34" s="9"/>
      <c r="U34" s="9"/>
      <c r="V34" s="9"/>
      <c r="W34" s="9"/>
      <c r="X34" s="9"/>
      <c r="Y34" s="9"/>
      <c r="Z34" s="30"/>
    </row>
    <row r="35" spans="1:26" ht="18" customHeight="1" x14ac:dyDescent="0.15">
      <c r="A35" s="225" t="s">
        <v>45</v>
      </c>
      <c r="B35" s="225"/>
      <c r="C35" s="225"/>
      <c r="D35" s="225"/>
      <c r="E35" s="225"/>
      <c r="F35" s="225"/>
      <c r="G35" s="225"/>
      <c r="H35" s="225"/>
      <c r="I35" s="225"/>
      <c r="J35" s="225"/>
      <c r="K35" s="225"/>
      <c r="L35" s="225"/>
      <c r="M35" s="225"/>
      <c r="N35" s="225"/>
      <c r="O35" s="225"/>
      <c r="P35" s="225"/>
      <c r="Q35" s="225"/>
      <c r="R35" s="225"/>
      <c r="S35" s="225"/>
      <c r="T35" s="225"/>
      <c r="U35" s="225"/>
      <c r="V35" s="225"/>
      <c r="W35" s="225"/>
      <c r="X35" s="225"/>
      <c r="Y35" s="225"/>
      <c r="Z35" s="225"/>
    </row>
    <row r="36" spans="1:26" ht="18" customHeight="1" x14ac:dyDescent="0.15">
      <c r="A36" s="225"/>
      <c r="B36" s="225"/>
      <c r="C36" s="225"/>
      <c r="D36" s="225"/>
      <c r="E36" s="225"/>
      <c r="F36" s="225"/>
      <c r="G36" s="225"/>
      <c r="H36" s="225"/>
      <c r="I36" s="225"/>
      <c r="J36" s="225"/>
      <c r="K36" s="225"/>
      <c r="L36" s="225"/>
      <c r="M36" s="225"/>
      <c r="N36" s="225"/>
      <c r="O36" s="225"/>
      <c r="P36" s="225"/>
      <c r="Q36" s="225"/>
      <c r="R36" s="225"/>
      <c r="S36" s="225"/>
      <c r="T36" s="225"/>
      <c r="U36" s="225"/>
      <c r="V36" s="225"/>
      <c r="W36" s="225"/>
      <c r="X36" s="225"/>
      <c r="Y36" s="225"/>
      <c r="Z36" s="225"/>
    </row>
    <row r="37" spans="1:26" ht="18" customHeight="1" x14ac:dyDescent="0.15">
      <c r="A37" s="28"/>
      <c r="B37" s="138" t="s">
        <v>18</v>
      </c>
      <c r="C37" s="139"/>
      <c r="D37" s="139"/>
      <c r="E37" s="139"/>
      <c r="F37" s="140"/>
      <c r="G37" s="4" t="s">
        <v>57</v>
      </c>
      <c r="H37" s="24" t="s">
        <v>56</v>
      </c>
      <c r="I37" s="138" t="s">
        <v>19</v>
      </c>
      <c r="J37" s="139"/>
      <c r="K37" s="140"/>
      <c r="L37" s="5" t="s">
        <v>46</v>
      </c>
      <c r="M37" s="5" t="s">
        <v>47</v>
      </c>
      <c r="N37" s="138" t="s">
        <v>18</v>
      </c>
      <c r="O37" s="139"/>
      <c r="P37" s="139"/>
      <c r="Q37" s="139"/>
      <c r="R37" s="139"/>
      <c r="S37" s="140"/>
      <c r="T37" s="4" t="s">
        <v>57</v>
      </c>
      <c r="U37" s="24" t="s">
        <v>56</v>
      </c>
      <c r="V37" s="138" t="s">
        <v>19</v>
      </c>
      <c r="W37" s="139"/>
      <c r="X37" s="140"/>
      <c r="Y37" s="5" t="s">
        <v>46</v>
      </c>
      <c r="Z37" s="5" t="s">
        <v>47</v>
      </c>
    </row>
    <row r="38" spans="1:26" ht="18" customHeight="1" x14ac:dyDescent="0.15">
      <c r="A38" s="30"/>
      <c r="B38" s="216" t="s">
        <v>67</v>
      </c>
      <c r="C38" s="217"/>
      <c r="D38" s="217"/>
      <c r="E38" s="217"/>
      <c r="F38" s="221"/>
      <c r="G38" s="25">
        <v>2</v>
      </c>
      <c r="H38" s="25" t="s">
        <v>62</v>
      </c>
      <c r="I38" s="222" t="s">
        <v>61</v>
      </c>
      <c r="J38" s="223"/>
      <c r="K38" s="224"/>
      <c r="L38" s="6" t="s">
        <v>62</v>
      </c>
      <c r="M38" s="6" t="s">
        <v>62</v>
      </c>
      <c r="N38" s="203"/>
      <c r="O38" s="204"/>
      <c r="P38" s="204"/>
      <c r="Q38" s="204"/>
      <c r="R38" s="204"/>
      <c r="S38" s="205"/>
      <c r="T38" s="25"/>
      <c r="U38" s="25"/>
      <c r="V38" s="222"/>
      <c r="W38" s="223"/>
      <c r="X38" s="224"/>
      <c r="Y38" s="6"/>
      <c r="Z38" s="6"/>
    </row>
    <row r="39" spans="1:26" ht="18" customHeight="1" x14ac:dyDescent="0.15">
      <c r="A39" s="30"/>
      <c r="B39" s="216"/>
      <c r="C39" s="217"/>
      <c r="D39" s="217"/>
      <c r="E39" s="217"/>
      <c r="F39" s="221"/>
      <c r="G39" s="26"/>
      <c r="H39" s="26"/>
      <c r="I39" s="218"/>
      <c r="J39" s="219"/>
      <c r="K39" s="220"/>
      <c r="L39" s="7"/>
      <c r="M39" s="7"/>
      <c r="N39" s="180"/>
      <c r="O39" s="181"/>
      <c r="P39" s="181"/>
      <c r="Q39" s="181"/>
      <c r="R39" s="181"/>
      <c r="S39" s="182"/>
      <c r="T39" s="26"/>
      <c r="U39" s="26"/>
      <c r="V39" s="218"/>
      <c r="W39" s="219"/>
      <c r="X39" s="220"/>
      <c r="Y39" s="7"/>
      <c r="Z39" s="7"/>
    </row>
    <row r="40" spans="1:26" ht="18" customHeight="1" x14ac:dyDescent="0.15">
      <c r="A40" s="30"/>
      <c r="B40" s="216"/>
      <c r="C40" s="217"/>
      <c r="D40" s="217"/>
      <c r="E40" s="217"/>
      <c r="F40" s="221"/>
      <c r="G40" s="26"/>
      <c r="H40" s="26"/>
      <c r="I40" s="218"/>
      <c r="J40" s="219"/>
      <c r="K40" s="220"/>
      <c r="L40" s="7"/>
      <c r="M40" s="7"/>
      <c r="N40" s="180"/>
      <c r="O40" s="181"/>
      <c r="P40" s="181"/>
      <c r="Q40" s="181"/>
      <c r="R40" s="181"/>
      <c r="S40" s="182"/>
      <c r="T40" s="26"/>
      <c r="U40" s="26"/>
      <c r="V40" s="218"/>
      <c r="W40" s="219"/>
      <c r="X40" s="220"/>
      <c r="Y40" s="7"/>
      <c r="Z40" s="7"/>
    </row>
    <row r="41" spans="1:26" ht="18" customHeight="1" x14ac:dyDescent="0.15">
      <c r="A41" s="30"/>
      <c r="B41" s="216"/>
      <c r="C41" s="217"/>
      <c r="D41" s="217"/>
      <c r="E41" s="217"/>
      <c r="F41" s="221"/>
      <c r="G41" s="26"/>
      <c r="H41" s="26"/>
      <c r="I41" s="218"/>
      <c r="J41" s="219"/>
      <c r="K41" s="220"/>
      <c r="L41" s="7"/>
      <c r="M41" s="7"/>
      <c r="N41" s="180"/>
      <c r="O41" s="181"/>
      <c r="P41" s="181"/>
      <c r="Q41" s="181"/>
      <c r="R41" s="181"/>
      <c r="S41" s="182"/>
      <c r="T41" s="26"/>
      <c r="U41" s="26"/>
      <c r="V41" s="218"/>
      <c r="W41" s="219"/>
      <c r="X41" s="220"/>
      <c r="Y41" s="7"/>
      <c r="Z41" s="7"/>
    </row>
    <row r="42" spans="1:26" ht="18" customHeight="1" x14ac:dyDescent="0.15">
      <c r="A42" s="30"/>
      <c r="B42" s="216"/>
      <c r="C42" s="217"/>
      <c r="D42" s="217"/>
      <c r="E42" s="217"/>
      <c r="F42" s="221"/>
      <c r="G42" s="26"/>
      <c r="H42" s="26"/>
      <c r="I42" s="218"/>
      <c r="J42" s="219"/>
      <c r="K42" s="220"/>
      <c r="L42" s="7"/>
      <c r="M42" s="7"/>
      <c r="N42" s="180"/>
      <c r="O42" s="181"/>
      <c r="P42" s="181"/>
      <c r="Q42" s="181"/>
      <c r="R42" s="181"/>
      <c r="S42" s="182"/>
      <c r="T42" s="26"/>
      <c r="U42" s="26"/>
      <c r="V42" s="218"/>
      <c r="W42" s="219"/>
      <c r="X42" s="220"/>
      <c r="Y42" s="7"/>
      <c r="Z42" s="7"/>
    </row>
    <row r="43" spans="1:26" ht="18" customHeight="1" x14ac:dyDescent="0.15">
      <c r="A43" s="30"/>
      <c r="B43" s="216"/>
      <c r="C43" s="217"/>
      <c r="D43" s="217"/>
      <c r="E43" s="217"/>
      <c r="F43" s="221"/>
      <c r="G43" s="26"/>
      <c r="H43" s="26"/>
      <c r="I43" s="218"/>
      <c r="J43" s="219"/>
      <c r="K43" s="220"/>
      <c r="L43" s="7"/>
      <c r="M43" s="7"/>
      <c r="N43" s="180"/>
      <c r="O43" s="181"/>
      <c r="P43" s="181"/>
      <c r="Q43" s="181"/>
      <c r="R43" s="181"/>
      <c r="S43" s="182"/>
      <c r="T43" s="26"/>
      <c r="U43" s="26"/>
      <c r="V43" s="218"/>
      <c r="W43" s="219"/>
      <c r="X43" s="220"/>
      <c r="Y43" s="7"/>
      <c r="Z43" s="7"/>
    </row>
    <row r="44" spans="1:26" ht="18" customHeight="1" x14ac:dyDescent="0.15">
      <c r="A44" s="30"/>
      <c r="B44" s="209"/>
      <c r="C44" s="190"/>
      <c r="D44" s="190"/>
      <c r="E44" s="190"/>
      <c r="F44" s="191"/>
      <c r="G44" s="27"/>
      <c r="H44" s="27"/>
      <c r="I44" s="210"/>
      <c r="J44" s="211"/>
      <c r="K44" s="212"/>
      <c r="L44" s="8"/>
      <c r="M44" s="8"/>
      <c r="N44" s="183"/>
      <c r="O44" s="184"/>
      <c r="P44" s="184"/>
      <c r="Q44" s="184"/>
      <c r="R44" s="184"/>
      <c r="S44" s="185"/>
      <c r="T44" s="27"/>
      <c r="U44" s="27"/>
      <c r="V44" s="210"/>
      <c r="W44" s="211"/>
      <c r="X44" s="212"/>
      <c r="Y44" s="8"/>
      <c r="Z44" s="8"/>
    </row>
    <row r="45" spans="1:26" ht="7.5" customHeight="1" x14ac:dyDescent="0.15">
      <c r="B45" s="31"/>
      <c r="C45" s="31"/>
      <c r="D45" s="31"/>
      <c r="E45" s="31"/>
      <c r="F45" s="31"/>
      <c r="G45" s="31"/>
      <c r="H45" s="31"/>
      <c r="I45" s="31"/>
      <c r="J45" s="31"/>
      <c r="K45" s="31"/>
      <c r="L45" s="31"/>
      <c r="M45" s="31"/>
      <c r="N45" s="31"/>
      <c r="O45" s="31"/>
      <c r="P45" s="31"/>
      <c r="Q45" s="31"/>
      <c r="R45" s="31"/>
      <c r="S45" s="31"/>
      <c r="T45" s="31"/>
      <c r="U45" s="31"/>
      <c r="V45" s="31"/>
      <c r="W45" s="31"/>
      <c r="X45" s="31"/>
      <c r="Y45" s="31"/>
    </row>
    <row r="46" spans="1:26" ht="18" customHeight="1" x14ac:dyDescent="0.15">
      <c r="A46" s="225" t="s">
        <v>48</v>
      </c>
      <c r="B46" s="225"/>
      <c r="C46" s="225"/>
      <c r="D46" s="225"/>
      <c r="E46" s="225"/>
      <c r="F46" s="225"/>
      <c r="G46" s="225"/>
      <c r="H46" s="225"/>
      <c r="I46" s="225"/>
      <c r="J46" s="225"/>
      <c r="K46" s="225"/>
      <c r="L46" s="225"/>
      <c r="M46" s="225"/>
      <c r="N46" s="225"/>
      <c r="O46" s="225"/>
      <c r="P46" s="225"/>
      <c r="Q46" s="225"/>
      <c r="R46" s="225"/>
      <c r="S46" s="225"/>
      <c r="T46" s="225"/>
      <c r="U46" s="225"/>
      <c r="V46" s="225"/>
      <c r="W46" s="225"/>
      <c r="X46" s="225"/>
      <c r="Y46" s="225"/>
      <c r="Z46" s="225"/>
    </row>
    <row r="47" spans="1:26" ht="18" customHeight="1" x14ac:dyDescent="0.15">
      <c r="A47" s="225"/>
      <c r="B47" s="225"/>
      <c r="C47" s="225"/>
      <c r="D47" s="225"/>
      <c r="E47" s="225"/>
      <c r="F47" s="225"/>
      <c r="G47" s="225"/>
      <c r="H47" s="225"/>
      <c r="I47" s="225"/>
      <c r="J47" s="225"/>
      <c r="K47" s="225"/>
      <c r="L47" s="225"/>
      <c r="M47" s="225"/>
      <c r="N47" s="225"/>
      <c r="O47" s="225"/>
      <c r="P47" s="225"/>
      <c r="Q47" s="225"/>
      <c r="R47" s="225"/>
      <c r="S47" s="225"/>
      <c r="T47" s="225"/>
      <c r="U47" s="225"/>
      <c r="V47" s="225"/>
      <c r="W47" s="225"/>
      <c r="X47" s="225"/>
      <c r="Y47" s="225"/>
      <c r="Z47" s="225"/>
    </row>
    <row r="48" spans="1:26" ht="18" customHeight="1" x14ac:dyDescent="0.15">
      <c r="A48" s="28"/>
      <c r="B48" s="138" t="s">
        <v>18</v>
      </c>
      <c r="C48" s="139"/>
      <c r="D48" s="139"/>
      <c r="E48" s="139"/>
      <c r="F48" s="140"/>
      <c r="G48" s="4" t="s">
        <v>57</v>
      </c>
      <c r="H48" s="24" t="s">
        <v>56</v>
      </c>
      <c r="I48" s="138" t="s">
        <v>19</v>
      </c>
      <c r="J48" s="139"/>
      <c r="K48" s="140"/>
      <c r="L48" s="5" t="s">
        <v>24</v>
      </c>
      <c r="M48" s="5" t="s">
        <v>26</v>
      </c>
      <c r="N48" s="138" t="s">
        <v>18</v>
      </c>
      <c r="O48" s="139"/>
      <c r="P48" s="139"/>
      <c r="Q48" s="139"/>
      <c r="R48" s="139"/>
      <c r="S48" s="140"/>
      <c r="T48" s="4" t="s">
        <v>57</v>
      </c>
      <c r="U48" s="24" t="s">
        <v>56</v>
      </c>
      <c r="V48" s="138" t="s">
        <v>19</v>
      </c>
      <c r="W48" s="139"/>
      <c r="X48" s="140"/>
      <c r="Y48" s="5" t="s">
        <v>24</v>
      </c>
      <c r="Z48" s="5" t="s">
        <v>26</v>
      </c>
    </row>
    <row r="49" spans="1:26" ht="18" customHeight="1" x14ac:dyDescent="0.15">
      <c r="A49" s="30"/>
      <c r="B49" s="226" t="s">
        <v>67</v>
      </c>
      <c r="C49" s="188"/>
      <c r="D49" s="188"/>
      <c r="E49" s="188"/>
      <c r="F49" s="189"/>
      <c r="G49" s="25">
        <v>2</v>
      </c>
      <c r="H49" s="25" t="s">
        <v>62</v>
      </c>
      <c r="I49" s="222" t="s">
        <v>61</v>
      </c>
      <c r="J49" s="223"/>
      <c r="K49" s="224"/>
      <c r="L49" s="6" t="s">
        <v>62</v>
      </c>
      <c r="M49" s="6" t="s">
        <v>62</v>
      </c>
      <c r="N49" s="203"/>
      <c r="O49" s="204"/>
      <c r="P49" s="204"/>
      <c r="Q49" s="204"/>
      <c r="R49" s="204"/>
      <c r="S49" s="205"/>
      <c r="T49" s="25"/>
      <c r="U49" s="25"/>
      <c r="V49" s="222"/>
      <c r="W49" s="223"/>
      <c r="X49" s="224"/>
      <c r="Y49" s="6"/>
      <c r="Z49" s="6"/>
    </row>
    <row r="50" spans="1:26" ht="18" customHeight="1" x14ac:dyDescent="0.15">
      <c r="A50" s="30"/>
      <c r="B50" s="216"/>
      <c r="C50" s="217"/>
      <c r="D50" s="217"/>
      <c r="E50" s="217"/>
      <c r="F50" s="221"/>
      <c r="G50" s="26"/>
      <c r="H50" s="26"/>
      <c r="I50" s="218"/>
      <c r="J50" s="219"/>
      <c r="K50" s="220"/>
      <c r="L50" s="7"/>
      <c r="M50" s="7"/>
      <c r="N50" s="180"/>
      <c r="O50" s="181"/>
      <c r="P50" s="181"/>
      <c r="Q50" s="181"/>
      <c r="R50" s="181"/>
      <c r="S50" s="182"/>
      <c r="T50" s="26"/>
      <c r="U50" s="26"/>
      <c r="V50" s="218"/>
      <c r="W50" s="219"/>
      <c r="X50" s="220"/>
      <c r="Y50" s="7"/>
      <c r="Z50" s="7"/>
    </row>
    <row r="51" spans="1:26" ht="18" customHeight="1" x14ac:dyDescent="0.15">
      <c r="A51" s="30"/>
      <c r="B51" s="216"/>
      <c r="C51" s="217"/>
      <c r="D51" s="217"/>
      <c r="E51" s="217"/>
      <c r="F51" s="221"/>
      <c r="G51" s="26"/>
      <c r="H51" s="26"/>
      <c r="I51" s="218"/>
      <c r="J51" s="219"/>
      <c r="K51" s="220"/>
      <c r="L51" s="7"/>
      <c r="M51" s="7"/>
      <c r="N51" s="180"/>
      <c r="O51" s="181"/>
      <c r="P51" s="181"/>
      <c r="Q51" s="181"/>
      <c r="R51" s="181"/>
      <c r="S51" s="182"/>
      <c r="T51" s="26"/>
      <c r="U51" s="26"/>
      <c r="V51" s="218"/>
      <c r="W51" s="219"/>
      <c r="X51" s="220"/>
      <c r="Y51" s="7"/>
      <c r="Z51" s="7"/>
    </row>
    <row r="52" spans="1:26" ht="18" customHeight="1" x14ac:dyDescent="0.15">
      <c r="A52" s="30"/>
      <c r="B52" s="216"/>
      <c r="C52" s="217"/>
      <c r="D52" s="217"/>
      <c r="E52" s="217"/>
      <c r="F52" s="221"/>
      <c r="G52" s="26"/>
      <c r="H52" s="26"/>
      <c r="I52" s="218"/>
      <c r="J52" s="219"/>
      <c r="K52" s="220"/>
      <c r="L52" s="7"/>
      <c r="M52" s="7"/>
      <c r="N52" s="180"/>
      <c r="O52" s="181"/>
      <c r="P52" s="181"/>
      <c r="Q52" s="181"/>
      <c r="R52" s="181"/>
      <c r="S52" s="182"/>
      <c r="T52" s="26"/>
      <c r="U52" s="26"/>
      <c r="V52" s="218"/>
      <c r="W52" s="219"/>
      <c r="X52" s="220"/>
      <c r="Y52" s="7"/>
      <c r="Z52" s="7"/>
    </row>
    <row r="53" spans="1:26" ht="18" customHeight="1" x14ac:dyDescent="0.15">
      <c r="A53" s="30"/>
      <c r="B53" s="216"/>
      <c r="C53" s="217"/>
      <c r="D53" s="217"/>
      <c r="E53" s="217"/>
      <c r="F53" s="221"/>
      <c r="G53" s="26"/>
      <c r="H53" s="26"/>
      <c r="I53" s="218"/>
      <c r="J53" s="219"/>
      <c r="K53" s="220"/>
      <c r="L53" s="7"/>
      <c r="M53" s="7"/>
      <c r="N53" s="180"/>
      <c r="O53" s="181"/>
      <c r="P53" s="181"/>
      <c r="Q53" s="181"/>
      <c r="R53" s="181"/>
      <c r="S53" s="182"/>
      <c r="T53" s="26"/>
      <c r="U53" s="26"/>
      <c r="V53" s="218"/>
      <c r="W53" s="219"/>
      <c r="X53" s="220"/>
      <c r="Y53" s="7"/>
      <c r="Z53" s="7"/>
    </row>
    <row r="54" spans="1:26" ht="18" customHeight="1" x14ac:dyDescent="0.15">
      <c r="A54" s="30"/>
      <c r="B54" s="216"/>
      <c r="C54" s="217"/>
      <c r="D54" s="217"/>
      <c r="E54" s="217"/>
      <c r="F54" s="221"/>
      <c r="G54" s="26"/>
      <c r="H54" s="26"/>
      <c r="I54" s="218"/>
      <c r="J54" s="219"/>
      <c r="K54" s="220"/>
      <c r="L54" s="7"/>
      <c r="M54" s="7"/>
      <c r="N54" s="180"/>
      <c r="O54" s="181"/>
      <c r="P54" s="181"/>
      <c r="Q54" s="181"/>
      <c r="R54" s="181"/>
      <c r="S54" s="182"/>
      <c r="T54" s="26"/>
      <c r="U54" s="26"/>
      <c r="V54" s="218"/>
      <c r="W54" s="219"/>
      <c r="X54" s="220"/>
      <c r="Y54" s="7"/>
      <c r="Z54" s="7"/>
    </row>
    <row r="55" spans="1:26" ht="18" customHeight="1" x14ac:dyDescent="0.15">
      <c r="A55" s="30"/>
      <c r="B55" s="209"/>
      <c r="C55" s="190"/>
      <c r="D55" s="190"/>
      <c r="E55" s="190"/>
      <c r="F55" s="191"/>
      <c r="G55" s="27"/>
      <c r="H55" s="27"/>
      <c r="I55" s="210"/>
      <c r="J55" s="211"/>
      <c r="K55" s="212"/>
      <c r="L55" s="8"/>
      <c r="M55" s="8"/>
      <c r="N55" s="183"/>
      <c r="O55" s="184"/>
      <c r="P55" s="184"/>
      <c r="Q55" s="184"/>
      <c r="R55" s="184"/>
      <c r="S55" s="185"/>
      <c r="T55" s="27"/>
      <c r="U55" s="27"/>
      <c r="V55" s="210"/>
      <c r="W55" s="211"/>
      <c r="X55" s="212"/>
      <c r="Y55" s="8"/>
      <c r="Z55" s="8"/>
    </row>
    <row r="56" spans="1:26" ht="7.5" customHeight="1" x14ac:dyDescent="0.15">
      <c r="B56" s="31"/>
      <c r="C56" s="31"/>
      <c r="D56" s="31"/>
      <c r="E56" s="31"/>
      <c r="F56" s="31"/>
      <c r="G56" s="31"/>
      <c r="H56" s="31"/>
      <c r="I56" s="31"/>
      <c r="J56" s="31"/>
      <c r="K56" s="31"/>
      <c r="L56" s="31"/>
      <c r="M56" s="31"/>
      <c r="N56" s="31"/>
      <c r="O56" s="31"/>
      <c r="P56" s="31"/>
      <c r="Q56" s="31"/>
      <c r="R56" s="31"/>
      <c r="S56" s="31"/>
      <c r="T56" s="31"/>
      <c r="U56" s="31"/>
      <c r="V56" s="31"/>
      <c r="W56" s="31"/>
      <c r="X56" s="31"/>
      <c r="Y56" s="31"/>
    </row>
    <row r="57" spans="1:26" ht="18" customHeight="1" x14ac:dyDescent="0.15">
      <c r="A57" s="225" t="s">
        <v>49</v>
      </c>
      <c r="B57" s="225"/>
      <c r="C57" s="225"/>
      <c r="D57" s="225"/>
      <c r="E57" s="225"/>
      <c r="F57" s="225"/>
      <c r="G57" s="225"/>
      <c r="H57" s="225"/>
      <c r="I57" s="225"/>
      <c r="J57" s="225"/>
      <c r="K57" s="225"/>
      <c r="L57" s="225"/>
      <c r="M57" s="225"/>
      <c r="N57" s="225"/>
      <c r="O57" s="225"/>
      <c r="P57" s="225"/>
      <c r="Q57" s="225"/>
      <c r="R57" s="225"/>
      <c r="S57" s="225"/>
      <c r="T57" s="225"/>
      <c r="U57" s="225"/>
      <c r="V57" s="225"/>
      <c r="W57" s="225"/>
      <c r="X57" s="225"/>
      <c r="Y57" s="225"/>
      <c r="Z57" s="225"/>
    </row>
    <row r="58" spans="1:26" ht="18" customHeight="1" x14ac:dyDescent="0.15">
      <c r="A58" s="225"/>
      <c r="B58" s="225"/>
      <c r="C58" s="225"/>
      <c r="D58" s="225"/>
      <c r="E58" s="225"/>
      <c r="F58" s="225"/>
      <c r="G58" s="225"/>
      <c r="H58" s="225"/>
      <c r="I58" s="225"/>
      <c r="J58" s="225"/>
      <c r="K58" s="225"/>
      <c r="L58" s="225"/>
      <c r="M58" s="225"/>
      <c r="N58" s="225"/>
      <c r="O58" s="225"/>
      <c r="P58" s="225"/>
      <c r="Q58" s="225"/>
      <c r="R58" s="225"/>
      <c r="S58" s="225"/>
      <c r="T58" s="225"/>
      <c r="U58" s="225"/>
      <c r="V58" s="225"/>
      <c r="W58" s="225"/>
      <c r="X58" s="225"/>
      <c r="Y58" s="225"/>
      <c r="Z58" s="225"/>
    </row>
    <row r="59" spans="1:26" ht="18" customHeight="1" x14ac:dyDescent="0.15">
      <c r="A59" s="28"/>
      <c r="B59" s="138" t="s">
        <v>18</v>
      </c>
      <c r="C59" s="139"/>
      <c r="D59" s="139"/>
      <c r="E59" s="140"/>
      <c r="F59" s="4" t="s">
        <v>57</v>
      </c>
      <c r="G59" s="24" t="s">
        <v>56</v>
      </c>
      <c r="H59" s="16" t="s">
        <v>19</v>
      </c>
      <c r="I59" s="17"/>
      <c r="J59" s="18"/>
      <c r="K59" s="5" t="s">
        <v>23</v>
      </c>
      <c r="L59" s="5" t="s">
        <v>50</v>
      </c>
      <c r="M59" s="5" t="s">
        <v>51</v>
      </c>
      <c r="N59" s="138" t="s">
        <v>18</v>
      </c>
      <c r="O59" s="139"/>
      <c r="P59" s="139"/>
      <c r="Q59" s="139"/>
      <c r="R59" s="140"/>
      <c r="S59" s="4" t="s">
        <v>57</v>
      </c>
      <c r="T59" s="24" t="s">
        <v>56</v>
      </c>
      <c r="U59" s="16" t="s">
        <v>19</v>
      </c>
      <c r="V59" s="17"/>
      <c r="W59" s="18"/>
      <c r="X59" s="5" t="s">
        <v>23</v>
      </c>
      <c r="Y59" s="5" t="s">
        <v>50</v>
      </c>
      <c r="Z59" s="5" t="s">
        <v>51</v>
      </c>
    </row>
    <row r="60" spans="1:26" ht="18" customHeight="1" x14ac:dyDescent="0.15">
      <c r="A60" s="30"/>
      <c r="B60" s="203" t="s">
        <v>67</v>
      </c>
      <c r="C60" s="204"/>
      <c r="D60" s="204"/>
      <c r="E60" s="205"/>
      <c r="F60" s="25">
        <v>2</v>
      </c>
      <c r="G60" s="25" t="s">
        <v>62</v>
      </c>
      <c r="H60" s="222" t="s">
        <v>61</v>
      </c>
      <c r="I60" s="223"/>
      <c r="J60" s="224"/>
      <c r="K60" s="19" t="s">
        <v>62</v>
      </c>
      <c r="L60" s="6" t="s">
        <v>62</v>
      </c>
      <c r="M60" s="6" t="s">
        <v>62</v>
      </c>
      <c r="N60" s="203"/>
      <c r="O60" s="204"/>
      <c r="P60" s="204"/>
      <c r="Q60" s="204"/>
      <c r="R60" s="205"/>
      <c r="S60" s="25"/>
      <c r="T60" s="25"/>
      <c r="U60" s="222"/>
      <c r="V60" s="223"/>
      <c r="W60" s="224"/>
      <c r="X60" s="19"/>
      <c r="Y60" s="6"/>
      <c r="Z60" s="6"/>
    </row>
    <row r="61" spans="1:26" ht="18" customHeight="1" x14ac:dyDescent="0.15">
      <c r="A61" s="30"/>
      <c r="B61" s="216" t="s">
        <v>63</v>
      </c>
      <c r="C61" s="217"/>
      <c r="D61" s="217"/>
      <c r="E61" s="221"/>
      <c r="F61" s="26">
        <v>1</v>
      </c>
      <c r="G61" s="26" t="s">
        <v>62</v>
      </c>
      <c r="H61" s="218" t="s">
        <v>65</v>
      </c>
      <c r="I61" s="219"/>
      <c r="J61" s="220"/>
      <c r="K61" s="20" t="s">
        <v>62</v>
      </c>
      <c r="L61" s="7"/>
      <c r="M61" s="7"/>
      <c r="N61" s="180"/>
      <c r="O61" s="181"/>
      <c r="P61" s="181"/>
      <c r="Q61" s="181"/>
      <c r="R61" s="182"/>
      <c r="S61" s="26"/>
      <c r="T61" s="26"/>
      <c r="U61" s="218"/>
      <c r="V61" s="219"/>
      <c r="W61" s="220"/>
      <c r="X61" s="20"/>
      <c r="Y61" s="7"/>
      <c r="Z61" s="7"/>
    </row>
    <row r="62" spans="1:26" ht="18" customHeight="1" x14ac:dyDescent="0.15">
      <c r="A62" s="30"/>
      <c r="B62" s="216"/>
      <c r="C62" s="217"/>
      <c r="D62" s="217"/>
      <c r="E62" s="221"/>
      <c r="F62" s="26"/>
      <c r="G62" s="26"/>
      <c r="H62" s="218"/>
      <c r="I62" s="219"/>
      <c r="J62" s="220"/>
      <c r="K62" s="20"/>
      <c r="L62" s="7"/>
      <c r="M62" s="7"/>
      <c r="N62" s="180"/>
      <c r="O62" s="181"/>
      <c r="P62" s="181"/>
      <c r="Q62" s="181"/>
      <c r="R62" s="182"/>
      <c r="S62" s="26"/>
      <c r="T62" s="26"/>
      <c r="U62" s="218"/>
      <c r="V62" s="219"/>
      <c r="W62" s="220"/>
      <c r="X62" s="20"/>
      <c r="Y62" s="7"/>
      <c r="Z62" s="7"/>
    </row>
    <row r="63" spans="1:26" ht="18" customHeight="1" x14ac:dyDescent="0.15">
      <c r="A63" s="30"/>
      <c r="B63" s="216"/>
      <c r="C63" s="217"/>
      <c r="D63" s="217"/>
      <c r="E63" s="217"/>
      <c r="F63" s="48"/>
      <c r="G63" s="26"/>
      <c r="H63" s="218"/>
      <c r="I63" s="219"/>
      <c r="J63" s="220"/>
      <c r="K63" s="20"/>
      <c r="L63" s="7"/>
      <c r="M63" s="7"/>
      <c r="N63" s="180"/>
      <c r="O63" s="181"/>
      <c r="P63" s="181"/>
      <c r="Q63" s="181"/>
      <c r="R63" s="182"/>
      <c r="S63" s="26"/>
      <c r="T63" s="26"/>
      <c r="U63" s="218"/>
      <c r="V63" s="219"/>
      <c r="W63" s="220"/>
      <c r="X63" s="20"/>
      <c r="Y63" s="7"/>
      <c r="Z63" s="7"/>
    </row>
    <row r="64" spans="1:26" ht="18" customHeight="1" x14ac:dyDescent="0.15">
      <c r="A64" s="30"/>
      <c r="B64" s="216"/>
      <c r="C64" s="217"/>
      <c r="D64" s="217"/>
      <c r="E64" s="217"/>
      <c r="F64" s="26"/>
      <c r="G64" s="26"/>
      <c r="H64" s="218"/>
      <c r="I64" s="219"/>
      <c r="J64" s="220"/>
      <c r="K64" s="20"/>
      <c r="L64" s="7"/>
      <c r="M64" s="7"/>
      <c r="N64" s="180"/>
      <c r="O64" s="181"/>
      <c r="P64" s="181"/>
      <c r="Q64" s="181"/>
      <c r="R64" s="182"/>
      <c r="S64" s="26"/>
      <c r="T64" s="26"/>
      <c r="U64" s="218"/>
      <c r="V64" s="219"/>
      <c r="W64" s="220"/>
      <c r="X64" s="20"/>
      <c r="Y64" s="7"/>
      <c r="Z64" s="7"/>
    </row>
    <row r="65" spans="1:26" ht="18" customHeight="1" x14ac:dyDescent="0.15">
      <c r="A65" s="30"/>
      <c r="B65" s="216"/>
      <c r="C65" s="217"/>
      <c r="D65" s="217"/>
      <c r="E65" s="217"/>
      <c r="F65" s="26"/>
      <c r="G65" s="26"/>
      <c r="H65" s="218"/>
      <c r="I65" s="219"/>
      <c r="J65" s="220"/>
      <c r="K65" s="20"/>
      <c r="L65" s="7"/>
      <c r="M65" s="7"/>
      <c r="N65" s="180"/>
      <c r="O65" s="181"/>
      <c r="P65" s="181"/>
      <c r="Q65" s="181"/>
      <c r="R65" s="182"/>
      <c r="S65" s="26"/>
      <c r="T65" s="26"/>
      <c r="U65" s="218"/>
      <c r="V65" s="219"/>
      <c r="W65" s="220"/>
      <c r="X65" s="20"/>
      <c r="Y65" s="7"/>
      <c r="Z65" s="7"/>
    </row>
    <row r="66" spans="1:26" ht="18" customHeight="1" x14ac:dyDescent="0.15">
      <c r="A66" s="30"/>
      <c r="B66" s="209"/>
      <c r="C66" s="190"/>
      <c r="D66" s="190"/>
      <c r="E66" s="190"/>
      <c r="F66" s="27"/>
      <c r="G66" s="27"/>
      <c r="H66" s="210"/>
      <c r="I66" s="211"/>
      <c r="J66" s="212"/>
      <c r="K66" s="21"/>
      <c r="L66" s="8"/>
      <c r="M66" s="8"/>
      <c r="N66" s="183"/>
      <c r="O66" s="184"/>
      <c r="P66" s="184"/>
      <c r="Q66" s="184"/>
      <c r="R66" s="185"/>
      <c r="S66" s="27"/>
      <c r="T66" s="27"/>
      <c r="U66" s="210"/>
      <c r="V66" s="211"/>
      <c r="W66" s="212"/>
      <c r="X66" s="21"/>
      <c r="Y66" s="8"/>
      <c r="Z66" s="8"/>
    </row>
    <row r="67" spans="1:26" ht="7.5" customHeight="1" x14ac:dyDescent="0.15">
      <c r="B67" s="31"/>
      <c r="C67" s="31"/>
      <c r="D67" s="31"/>
      <c r="E67" s="31"/>
      <c r="F67" s="31"/>
      <c r="G67" s="31"/>
      <c r="H67" s="31"/>
      <c r="I67" s="31"/>
      <c r="J67" s="31"/>
      <c r="K67" s="31"/>
      <c r="L67" s="31"/>
      <c r="M67" s="31"/>
      <c r="N67" s="31"/>
      <c r="O67" s="31"/>
      <c r="P67" s="31"/>
      <c r="Q67" s="31"/>
      <c r="R67" s="31"/>
      <c r="S67" s="31"/>
      <c r="T67" s="31"/>
      <c r="U67" s="31"/>
      <c r="V67" s="31"/>
      <c r="W67" s="31"/>
      <c r="X67" s="31"/>
      <c r="Y67" s="31"/>
    </row>
    <row r="68" spans="1:26" ht="18" customHeight="1" x14ac:dyDescent="0.15">
      <c r="A68" s="28" t="s">
        <v>52</v>
      </c>
      <c r="B68" s="28"/>
      <c r="C68" s="28"/>
      <c r="D68" s="28"/>
      <c r="E68" s="28"/>
      <c r="F68" s="28"/>
      <c r="G68" s="28"/>
      <c r="H68" s="28"/>
      <c r="I68" s="28"/>
      <c r="J68" s="28"/>
      <c r="K68" s="28"/>
      <c r="L68" s="30"/>
      <c r="M68" s="30"/>
      <c r="N68" s="30"/>
      <c r="O68" s="30"/>
      <c r="P68" s="30"/>
      <c r="Q68" s="30"/>
      <c r="R68" s="30"/>
      <c r="S68" s="30"/>
      <c r="T68" s="30"/>
      <c r="U68" s="30"/>
      <c r="V68" s="30"/>
      <c r="W68" s="30"/>
      <c r="X68" s="30"/>
      <c r="Y68" s="30"/>
      <c r="Z68" s="30"/>
    </row>
    <row r="69" spans="1:26" ht="18" customHeight="1" x14ac:dyDescent="0.15">
      <c r="A69" s="28"/>
      <c r="B69" s="138" t="s">
        <v>18</v>
      </c>
      <c r="C69" s="139"/>
      <c r="D69" s="139"/>
      <c r="E69" s="139"/>
      <c r="F69" s="140"/>
      <c r="G69" s="138" t="s">
        <v>27</v>
      </c>
      <c r="H69" s="139"/>
      <c r="I69" s="139"/>
      <c r="J69" s="139"/>
      <c r="K69" s="139"/>
      <c r="L69" s="139"/>
      <c r="M69" s="140"/>
      <c r="N69" s="213" t="s">
        <v>18</v>
      </c>
      <c r="O69" s="214"/>
      <c r="P69" s="214"/>
      <c r="Q69" s="214"/>
      <c r="R69" s="214"/>
      <c r="S69" s="215"/>
      <c r="T69" s="138" t="s">
        <v>27</v>
      </c>
      <c r="U69" s="139"/>
      <c r="V69" s="139"/>
      <c r="W69" s="139"/>
      <c r="X69" s="139"/>
      <c r="Y69" s="139"/>
      <c r="Z69" s="140"/>
    </row>
    <row r="70" spans="1:26" ht="18" customHeight="1" x14ac:dyDescent="0.15">
      <c r="A70" s="30"/>
      <c r="B70" s="203"/>
      <c r="C70" s="204"/>
      <c r="D70" s="204"/>
      <c r="E70" s="204"/>
      <c r="F70" s="205"/>
      <c r="G70" s="206"/>
      <c r="H70" s="207"/>
      <c r="I70" s="207"/>
      <c r="J70" s="207"/>
      <c r="K70" s="207"/>
      <c r="L70" s="207"/>
      <c r="M70" s="208"/>
      <c r="N70" s="203"/>
      <c r="O70" s="204"/>
      <c r="P70" s="204"/>
      <c r="Q70" s="204"/>
      <c r="R70" s="204"/>
      <c r="S70" s="205"/>
      <c r="T70" s="206"/>
      <c r="U70" s="207"/>
      <c r="V70" s="207"/>
      <c r="W70" s="207"/>
      <c r="X70" s="207"/>
      <c r="Y70" s="207"/>
      <c r="Z70" s="208"/>
    </row>
    <row r="71" spans="1:26" ht="18" customHeight="1" x14ac:dyDescent="0.15">
      <c r="A71" s="30"/>
      <c r="B71" s="180"/>
      <c r="C71" s="181"/>
      <c r="D71" s="181"/>
      <c r="E71" s="181"/>
      <c r="F71" s="182"/>
      <c r="G71" s="200"/>
      <c r="H71" s="201"/>
      <c r="I71" s="201"/>
      <c r="J71" s="201"/>
      <c r="K71" s="201"/>
      <c r="L71" s="201"/>
      <c r="M71" s="202"/>
      <c r="N71" s="180"/>
      <c r="O71" s="181"/>
      <c r="P71" s="181"/>
      <c r="Q71" s="181"/>
      <c r="R71" s="181"/>
      <c r="S71" s="182"/>
      <c r="T71" s="200"/>
      <c r="U71" s="201"/>
      <c r="V71" s="201"/>
      <c r="W71" s="201"/>
      <c r="X71" s="201"/>
      <c r="Y71" s="201"/>
      <c r="Z71" s="202"/>
    </row>
    <row r="72" spans="1:26" ht="18" customHeight="1" x14ac:dyDescent="0.15">
      <c r="A72" s="30"/>
      <c r="B72" s="180"/>
      <c r="C72" s="181"/>
      <c r="D72" s="181"/>
      <c r="E72" s="181"/>
      <c r="F72" s="182"/>
      <c r="G72" s="200"/>
      <c r="H72" s="201"/>
      <c r="I72" s="201"/>
      <c r="J72" s="201"/>
      <c r="K72" s="201"/>
      <c r="L72" s="201"/>
      <c r="M72" s="202"/>
      <c r="N72" s="180"/>
      <c r="O72" s="181"/>
      <c r="P72" s="181"/>
      <c r="Q72" s="181"/>
      <c r="R72" s="181"/>
      <c r="S72" s="182"/>
      <c r="T72" s="200"/>
      <c r="U72" s="201"/>
      <c r="V72" s="201"/>
      <c r="W72" s="201"/>
      <c r="X72" s="201"/>
      <c r="Y72" s="201"/>
      <c r="Z72" s="202"/>
    </row>
    <row r="73" spans="1:26" ht="18" customHeight="1" x14ac:dyDescent="0.15">
      <c r="A73" s="30"/>
      <c r="B73" s="180"/>
      <c r="C73" s="181"/>
      <c r="D73" s="181"/>
      <c r="E73" s="181"/>
      <c r="F73" s="182"/>
      <c r="G73" s="200"/>
      <c r="H73" s="201"/>
      <c r="I73" s="201"/>
      <c r="J73" s="201"/>
      <c r="K73" s="201"/>
      <c r="L73" s="201"/>
      <c r="M73" s="202"/>
      <c r="N73" s="180"/>
      <c r="O73" s="181"/>
      <c r="P73" s="181"/>
      <c r="Q73" s="181"/>
      <c r="R73" s="181"/>
      <c r="S73" s="182"/>
      <c r="T73" s="200"/>
      <c r="U73" s="201"/>
      <c r="V73" s="201"/>
      <c r="W73" s="201"/>
      <c r="X73" s="201"/>
      <c r="Y73" s="201"/>
      <c r="Z73" s="202"/>
    </row>
    <row r="74" spans="1:26" ht="18" customHeight="1" x14ac:dyDescent="0.15">
      <c r="A74" s="30"/>
      <c r="B74" s="180"/>
      <c r="C74" s="181"/>
      <c r="D74" s="181"/>
      <c r="E74" s="181"/>
      <c r="F74" s="182"/>
      <c r="G74" s="200"/>
      <c r="H74" s="201"/>
      <c r="I74" s="201"/>
      <c r="J74" s="201"/>
      <c r="K74" s="201"/>
      <c r="L74" s="201"/>
      <c r="M74" s="202"/>
      <c r="N74" s="180"/>
      <c r="O74" s="181"/>
      <c r="P74" s="181"/>
      <c r="Q74" s="181"/>
      <c r="R74" s="181"/>
      <c r="S74" s="182"/>
      <c r="T74" s="200"/>
      <c r="U74" s="201"/>
      <c r="V74" s="201"/>
      <c r="W74" s="201"/>
      <c r="X74" s="201"/>
      <c r="Y74" s="201"/>
      <c r="Z74" s="202"/>
    </row>
    <row r="75" spans="1:26" ht="18" customHeight="1" x14ac:dyDescent="0.15">
      <c r="A75" s="30"/>
      <c r="B75" s="180"/>
      <c r="C75" s="181"/>
      <c r="D75" s="181"/>
      <c r="E75" s="181"/>
      <c r="F75" s="182"/>
      <c r="G75" s="200"/>
      <c r="H75" s="201"/>
      <c r="I75" s="201"/>
      <c r="J75" s="201"/>
      <c r="K75" s="201"/>
      <c r="L75" s="201"/>
      <c r="M75" s="202"/>
      <c r="N75" s="180"/>
      <c r="O75" s="181"/>
      <c r="P75" s="181"/>
      <c r="Q75" s="181"/>
      <c r="R75" s="181"/>
      <c r="S75" s="182"/>
      <c r="T75" s="200"/>
      <c r="U75" s="201"/>
      <c r="V75" s="201"/>
      <c r="W75" s="201"/>
      <c r="X75" s="201"/>
      <c r="Y75" s="201"/>
      <c r="Z75" s="202"/>
    </row>
    <row r="76" spans="1:26" ht="18" customHeight="1" x14ac:dyDescent="0.15">
      <c r="A76" s="30"/>
      <c r="B76" s="183"/>
      <c r="C76" s="184"/>
      <c r="D76" s="184"/>
      <c r="E76" s="184"/>
      <c r="F76" s="185"/>
      <c r="G76" s="195"/>
      <c r="H76" s="196"/>
      <c r="I76" s="196"/>
      <c r="J76" s="196"/>
      <c r="K76" s="196"/>
      <c r="L76" s="196"/>
      <c r="M76" s="197"/>
      <c r="N76" s="183"/>
      <c r="O76" s="184"/>
      <c r="P76" s="184"/>
      <c r="Q76" s="184"/>
      <c r="R76" s="184"/>
      <c r="S76" s="185"/>
      <c r="T76" s="195"/>
      <c r="U76" s="196"/>
      <c r="V76" s="196"/>
      <c r="W76" s="196"/>
      <c r="X76" s="196"/>
      <c r="Y76" s="196"/>
      <c r="Z76" s="197"/>
    </row>
    <row r="77" spans="1:26" ht="18" customHeight="1" x14ac:dyDescent="0.15">
      <c r="A77" s="30"/>
      <c r="B77" s="53"/>
      <c r="C77" s="53"/>
      <c r="D77" s="53"/>
      <c r="E77" s="53"/>
      <c r="F77" s="53"/>
      <c r="G77" s="1"/>
      <c r="H77" s="1"/>
      <c r="I77" s="1"/>
      <c r="J77" s="1"/>
      <c r="K77" s="1"/>
      <c r="L77" s="1"/>
      <c r="M77" s="1"/>
      <c r="N77" s="53"/>
      <c r="O77" s="53"/>
      <c r="P77" s="53"/>
      <c r="Q77" s="53"/>
      <c r="R77" s="53"/>
      <c r="S77" s="53"/>
      <c r="T77" s="1"/>
      <c r="U77" s="1"/>
      <c r="V77" s="1"/>
      <c r="W77" s="1"/>
      <c r="X77" s="1"/>
      <c r="Y77" s="1"/>
      <c r="Z77" s="1"/>
    </row>
    <row r="78" spans="1:26" ht="18.75" customHeight="1" x14ac:dyDescent="0.15">
      <c r="A78" s="2" t="s">
        <v>58</v>
      </c>
    </row>
    <row r="79" spans="1:26" ht="18.75" customHeight="1" x14ac:dyDescent="0.15">
      <c r="B79" s="10" t="s">
        <v>20</v>
      </c>
      <c r="C79" s="11"/>
      <c r="D79" s="198" t="s">
        <v>21</v>
      </c>
      <c r="E79" s="198"/>
      <c r="F79" s="198"/>
      <c r="G79" s="198"/>
      <c r="H79" s="198"/>
      <c r="I79" s="198"/>
      <c r="J79" s="198"/>
      <c r="K79" s="198"/>
      <c r="L79" s="198"/>
      <c r="M79" s="198"/>
      <c r="N79" s="198"/>
      <c r="O79" s="198"/>
      <c r="P79" s="198"/>
      <c r="Q79" s="198"/>
      <c r="R79" s="198"/>
      <c r="S79" s="198"/>
      <c r="T79" s="198"/>
      <c r="U79" s="198"/>
      <c r="V79" s="198"/>
      <c r="W79" s="198"/>
      <c r="X79" s="198"/>
      <c r="Y79" s="198"/>
      <c r="Z79" s="199"/>
    </row>
    <row r="80" spans="1:26" ht="78" customHeight="1" x14ac:dyDescent="0.15">
      <c r="B80" s="167" t="s">
        <v>28</v>
      </c>
      <c r="C80" s="15" t="s">
        <v>22</v>
      </c>
      <c r="D80" s="169" t="s">
        <v>197</v>
      </c>
      <c r="E80" s="170"/>
      <c r="F80" s="170"/>
      <c r="G80" s="170"/>
      <c r="H80" s="170"/>
      <c r="I80" s="170"/>
      <c r="J80" s="170"/>
      <c r="K80" s="170"/>
      <c r="L80" s="170"/>
      <c r="M80" s="170"/>
      <c r="N80" s="170"/>
      <c r="O80" s="170"/>
      <c r="P80" s="170"/>
      <c r="Q80" s="170"/>
      <c r="R80" s="170"/>
      <c r="S80" s="170"/>
      <c r="T80" s="170"/>
      <c r="U80" s="170"/>
      <c r="V80" s="170"/>
      <c r="W80" s="170"/>
      <c r="X80" s="170"/>
      <c r="Y80" s="170"/>
      <c r="Z80" s="171"/>
    </row>
    <row r="81" spans="1:26" ht="78" customHeight="1" x14ac:dyDescent="0.15">
      <c r="B81" s="175"/>
      <c r="C81" s="22" t="s">
        <v>53</v>
      </c>
      <c r="D81" s="192" t="s">
        <v>207</v>
      </c>
      <c r="E81" s="193"/>
      <c r="F81" s="193"/>
      <c r="G81" s="193"/>
      <c r="H81" s="193"/>
      <c r="I81" s="193"/>
      <c r="J81" s="193"/>
      <c r="K81" s="193"/>
      <c r="L81" s="193"/>
      <c r="M81" s="193"/>
      <c r="N81" s="193"/>
      <c r="O81" s="193"/>
      <c r="P81" s="193"/>
      <c r="Q81" s="193"/>
      <c r="R81" s="193"/>
      <c r="S81" s="193"/>
      <c r="T81" s="193"/>
      <c r="U81" s="193"/>
      <c r="V81" s="193"/>
      <c r="W81" s="193"/>
      <c r="X81" s="193"/>
      <c r="Y81" s="193"/>
      <c r="Z81" s="194"/>
    </row>
    <row r="82" spans="1:26" ht="78" customHeight="1" x14ac:dyDescent="0.15">
      <c r="B82" s="186" t="s">
        <v>29</v>
      </c>
      <c r="C82" s="12" t="s">
        <v>43</v>
      </c>
      <c r="D82" s="187" t="s">
        <v>198</v>
      </c>
      <c r="E82" s="188"/>
      <c r="F82" s="188"/>
      <c r="G82" s="188"/>
      <c r="H82" s="188"/>
      <c r="I82" s="188"/>
      <c r="J82" s="188"/>
      <c r="K82" s="188"/>
      <c r="L82" s="188"/>
      <c r="M82" s="188"/>
      <c r="N82" s="188"/>
      <c r="O82" s="188"/>
      <c r="P82" s="188"/>
      <c r="Q82" s="188"/>
      <c r="R82" s="188"/>
      <c r="S82" s="188"/>
      <c r="T82" s="188"/>
      <c r="U82" s="188"/>
      <c r="V82" s="188"/>
      <c r="W82" s="188"/>
      <c r="X82" s="188"/>
      <c r="Y82" s="188"/>
      <c r="Z82" s="189"/>
    </row>
    <row r="83" spans="1:26" ht="78" customHeight="1" x14ac:dyDescent="0.15">
      <c r="B83" s="176"/>
      <c r="C83" s="23" t="s">
        <v>44</v>
      </c>
      <c r="D83" s="190" t="s">
        <v>72</v>
      </c>
      <c r="E83" s="190"/>
      <c r="F83" s="190"/>
      <c r="G83" s="190"/>
      <c r="H83" s="190"/>
      <c r="I83" s="190"/>
      <c r="J83" s="190"/>
      <c r="K83" s="190"/>
      <c r="L83" s="190"/>
      <c r="M83" s="190"/>
      <c r="N83" s="190"/>
      <c r="O83" s="190"/>
      <c r="P83" s="190"/>
      <c r="Q83" s="190"/>
      <c r="R83" s="190"/>
      <c r="S83" s="190"/>
      <c r="T83" s="190"/>
      <c r="U83" s="190"/>
      <c r="V83" s="190"/>
      <c r="W83" s="190"/>
      <c r="X83" s="190"/>
      <c r="Y83" s="190"/>
      <c r="Z83" s="191"/>
    </row>
    <row r="84" spans="1:26" ht="66" customHeight="1" x14ac:dyDescent="0.15">
      <c r="B84" s="186" t="s">
        <v>30</v>
      </c>
      <c r="C84" s="12" t="s">
        <v>46</v>
      </c>
      <c r="D84" s="169" t="s">
        <v>208</v>
      </c>
      <c r="E84" s="170"/>
      <c r="F84" s="170"/>
      <c r="G84" s="170"/>
      <c r="H84" s="170"/>
      <c r="I84" s="170"/>
      <c r="J84" s="170"/>
      <c r="K84" s="170"/>
      <c r="L84" s="170"/>
      <c r="M84" s="170"/>
      <c r="N84" s="170"/>
      <c r="O84" s="170"/>
      <c r="P84" s="170"/>
      <c r="Q84" s="170"/>
      <c r="R84" s="170"/>
      <c r="S84" s="170"/>
      <c r="T84" s="170"/>
      <c r="U84" s="170"/>
      <c r="V84" s="170"/>
      <c r="W84" s="170"/>
      <c r="X84" s="170"/>
      <c r="Y84" s="170"/>
      <c r="Z84" s="171"/>
    </row>
    <row r="85" spans="1:26" ht="66" customHeight="1" x14ac:dyDescent="0.15">
      <c r="B85" s="176"/>
      <c r="C85" s="14" t="s">
        <v>47</v>
      </c>
      <c r="D85" s="192" t="s">
        <v>208</v>
      </c>
      <c r="E85" s="193"/>
      <c r="F85" s="193"/>
      <c r="G85" s="193"/>
      <c r="H85" s="193"/>
      <c r="I85" s="193"/>
      <c r="J85" s="193"/>
      <c r="K85" s="193"/>
      <c r="L85" s="193"/>
      <c r="M85" s="193"/>
      <c r="N85" s="193"/>
      <c r="O85" s="193"/>
      <c r="P85" s="193"/>
      <c r="Q85" s="193"/>
      <c r="R85" s="193"/>
      <c r="S85" s="193"/>
      <c r="T85" s="193"/>
      <c r="U85" s="193"/>
      <c r="V85" s="193"/>
      <c r="W85" s="193"/>
      <c r="X85" s="193"/>
      <c r="Y85" s="193"/>
      <c r="Z85" s="194"/>
    </row>
    <row r="86" spans="1:26" ht="66" customHeight="1" x14ac:dyDescent="0.15">
      <c r="B86" s="167" t="s">
        <v>54</v>
      </c>
      <c r="C86" s="15" t="s">
        <v>24</v>
      </c>
      <c r="D86" s="169" t="s">
        <v>189</v>
      </c>
      <c r="E86" s="170"/>
      <c r="F86" s="170"/>
      <c r="G86" s="170"/>
      <c r="H86" s="170"/>
      <c r="I86" s="170"/>
      <c r="J86" s="170"/>
      <c r="K86" s="170"/>
      <c r="L86" s="170"/>
      <c r="M86" s="170"/>
      <c r="N86" s="170"/>
      <c r="O86" s="170"/>
      <c r="P86" s="170"/>
      <c r="Q86" s="170"/>
      <c r="R86" s="170"/>
      <c r="S86" s="170"/>
      <c r="T86" s="170"/>
      <c r="U86" s="170"/>
      <c r="V86" s="170"/>
      <c r="W86" s="170"/>
      <c r="X86" s="170"/>
      <c r="Y86" s="170"/>
      <c r="Z86" s="171"/>
    </row>
    <row r="87" spans="1:26" ht="66" customHeight="1" x14ac:dyDescent="0.15">
      <c r="B87" s="168"/>
      <c r="C87" s="13" t="s">
        <v>26</v>
      </c>
      <c r="D87" s="172" t="s">
        <v>188</v>
      </c>
      <c r="E87" s="173"/>
      <c r="F87" s="173"/>
      <c r="G87" s="173"/>
      <c r="H87" s="173"/>
      <c r="I87" s="173"/>
      <c r="J87" s="173"/>
      <c r="K87" s="173"/>
      <c r="L87" s="173"/>
      <c r="M87" s="173"/>
      <c r="N87" s="173"/>
      <c r="O87" s="173"/>
      <c r="P87" s="173"/>
      <c r="Q87" s="173"/>
      <c r="R87" s="173"/>
      <c r="S87" s="173"/>
      <c r="T87" s="173"/>
      <c r="U87" s="173"/>
      <c r="V87" s="173"/>
      <c r="W87" s="173"/>
      <c r="X87" s="173"/>
      <c r="Y87" s="173"/>
      <c r="Z87" s="174"/>
    </row>
    <row r="88" spans="1:26" ht="66" customHeight="1" x14ac:dyDescent="0.15">
      <c r="B88" s="167" t="s">
        <v>55</v>
      </c>
      <c r="C88" s="12" t="s">
        <v>23</v>
      </c>
      <c r="D88" s="177" t="s">
        <v>209</v>
      </c>
      <c r="E88" s="178"/>
      <c r="F88" s="178"/>
      <c r="G88" s="178"/>
      <c r="H88" s="178"/>
      <c r="I88" s="178"/>
      <c r="J88" s="178"/>
      <c r="K88" s="178"/>
      <c r="L88" s="178"/>
      <c r="M88" s="178"/>
      <c r="N88" s="178"/>
      <c r="O88" s="178"/>
      <c r="P88" s="178"/>
      <c r="Q88" s="178"/>
      <c r="R88" s="178"/>
      <c r="S88" s="178"/>
      <c r="T88" s="178"/>
      <c r="U88" s="178"/>
      <c r="V88" s="178"/>
      <c r="W88" s="178"/>
      <c r="X88" s="178"/>
      <c r="Y88" s="178"/>
      <c r="Z88" s="179"/>
    </row>
    <row r="89" spans="1:26" ht="66" customHeight="1" x14ac:dyDescent="0.15">
      <c r="B89" s="175"/>
      <c r="C89" s="13" t="s">
        <v>50</v>
      </c>
      <c r="D89" s="180" t="s">
        <v>76</v>
      </c>
      <c r="E89" s="181"/>
      <c r="F89" s="181"/>
      <c r="G89" s="181"/>
      <c r="H89" s="181"/>
      <c r="I89" s="181"/>
      <c r="J89" s="181"/>
      <c r="K89" s="181"/>
      <c r="L89" s="181"/>
      <c r="M89" s="181"/>
      <c r="N89" s="181"/>
      <c r="O89" s="181"/>
      <c r="P89" s="181"/>
      <c r="Q89" s="181"/>
      <c r="R89" s="181"/>
      <c r="S89" s="181"/>
      <c r="T89" s="181"/>
      <c r="U89" s="181"/>
      <c r="V89" s="181"/>
      <c r="W89" s="181"/>
      <c r="X89" s="181"/>
      <c r="Y89" s="181"/>
      <c r="Z89" s="182"/>
    </row>
    <row r="90" spans="1:26" ht="66" customHeight="1" x14ac:dyDescent="0.15">
      <c r="B90" s="176"/>
      <c r="C90" s="14" t="s">
        <v>51</v>
      </c>
      <c r="D90" s="183" t="s">
        <v>75</v>
      </c>
      <c r="E90" s="184"/>
      <c r="F90" s="184"/>
      <c r="G90" s="184"/>
      <c r="H90" s="184"/>
      <c r="I90" s="184"/>
      <c r="J90" s="184"/>
      <c r="K90" s="184"/>
      <c r="L90" s="184"/>
      <c r="M90" s="184"/>
      <c r="N90" s="184"/>
      <c r="O90" s="184"/>
      <c r="P90" s="184"/>
      <c r="Q90" s="184"/>
      <c r="R90" s="184"/>
      <c r="S90" s="184"/>
      <c r="T90" s="184"/>
      <c r="U90" s="184"/>
      <c r="V90" s="184"/>
      <c r="W90" s="184"/>
      <c r="X90" s="184"/>
      <c r="Y90" s="184"/>
      <c r="Z90" s="185"/>
    </row>
    <row r="91" spans="1:26" ht="6" customHeight="1" x14ac:dyDescent="0.15"/>
    <row r="92" spans="1:26" ht="18.75" customHeight="1" x14ac:dyDescent="0.15">
      <c r="A92" s="2" t="s">
        <v>59</v>
      </c>
    </row>
    <row r="93" spans="1:26" ht="18.75" customHeight="1" x14ac:dyDescent="0.15">
      <c r="B93" s="157" t="s">
        <v>77</v>
      </c>
      <c r="C93" s="158"/>
      <c r="D93" s="158"/>
      <c r="E93" s="158"/>
      <c r="F93" s="158"/>
      <c r="G93" s="158"/>
      <c r="H93" s="158"/>
      <c r="I93" s="158"/>
      <c r="J93" s="158"/>
      <c r="K93" s="158"/>
      <c r="L93" s="158"/>
      <c r="M93" s="158"/>
      <c r="N93" s="158"/>
      <c r="O93" s="158"/>
      <c r="P93" s="158"/>
      <c r="Q93" s="158"/>
      <c r="R93" s="158"/>
      <c r="S93" s="158"/>
      <c r="T93" s="158"/>
      <c r="U93" s="158"/>
      <c r="V93" s="158"/>
      <c r="W93" s="158"/>
      <c r="X93" s="158"/>
      <c r="Y93" s="158"/>
      <c r="Z93" s="159"/>
    </row>
    <row r="94" spans="1:26" ht="18.75" customHeight="1" x14ac:dyDescent="0.15">
      <c r="B94" s="160"/>
      <c r="C94" s="141"/>
      <c r="D94" s="141"/>
      <c r="E94" s="141"/>
      <c r="F94" s="141"/>
      <c r="G94" s="141"/>
      <c r="H94" s="141"/>
      <c r="I94" s="141"/>
      <c r="J94" s="141"/>
      <c r="K94" s="141"/>
      <c r="L94" s="141"/>
      <c r="M94" s="141"/>
      <c r="N94" s="141"/>
      <c r="O94" s="141"/>
      <c r="P94" s="141"/>
      <c r="Q94" s="141"/>
      <c r="R94" s="141"/>
      <c r="S94" s="141"/>
      <c r="T94" s="141"/>
      <c r="U94" s="141"/>
      <c r="V94" s="141"/>
      <c r="W94" s="141"/>
      <c r="X94" s="141"/>
      <c r="Y94" s="141"/>
      <c r="Z94" s="161"/>
    </row>
    <row r="95" spans="1:26" ht="18.75" customHeight="1" x14ac:dyDescent="0.15">
      <c r="B95" s="162"/>
      <c r="C95" s="163"/>
      <c r="D95" s="163"/>
      <c r="E95" s="163"/>
      <c r="F95" s="163"/>
      <c r="G95" s="163"/>
      <c r="H95" s="163"/>
      <c r="I95" s="163"/>
      <c r="J95" s="163"/>
      <c r="K95" s="163"/>
      <c r="L95" s="163"/>
      <c r="M95" s="163"/>
      <c r="N95" s="163"/>
      <c r="O95" s="163"/>
      <c r="P95" s="163"/>
      <c r="Q95" s="163"/>
      <c r="R95" s="163"/>
      <c r="S95" s="163"/>
      <c r="T95" s="163"/>
      <c r="U95" s="163"/>
      <c r="V95" s="163"/>
      <c r="W95" s="163"/>
      <c r="X95" s="163"/>
      <c r="Y95" s="163"/>
      <c r="Z95" s="164"/>
    </row>
    <row r="96" spans="1:26" ht="6" customHeight="1" x14ac:dyDescent="0.15"/>
    <row r="97" spans="1:26" ht="15" customHeight="1" x14ac:dyDescent="0.15">
      <c r="A97" s="2" t="s">
        <v>60</v>
      </c>
    </row>
    <row r="98" spans="1:26" ht="15" customHeight="1" x14ac:dyDescent="0.15">
      <c r="B98" s="165" t="s">
        <v>211</v>
      </c>
      <c r="C98" s="150"/>
      <c r="D98" s="150"/>
      <c r="E98" s="150"/>
      <c r="F98" s="150"/>
      <c r="G98" s="150"/>
      <c r="H98" s="150"/>
      <c r="I98" s="150"/>
      <c r="J98" s="150"/>
      <c r="K98" s="150"/>
      <c r="L98" s="150"/>
      <c r="M98" s="150"/>
      <c r="N98" s="150"/>
      <c r="O98" s="150"/>
      <c r="P98" s="150"/>
      <c r="Q98" s="150"/>
      <c r="R98" s="150"/>
      <c r="S98" s="150"/>
      <c r="T98" s="150"/>
      <c r="U98" s="150"/>
      <c r="V98" s="150"/>
      <c r="W98" s="150"/>
      <c r="X98" s="150"/>
      <c r="Y98" s="150"/>
      <c r="Z98" s="166"/>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38:I44 V27:V33 I16:I22 V38:V44 I27:I33 V49:V55 I49:I55 U60:U66 H60:H66">
      <formula1>"全学開講,一部開講"</formula1>
    </dataValidation>
    <dataValidation type="list" allowBlank="1" showInputMessage="1" showErrorMessage="1" sqref="Y16:Z22 L16:M22 Y27:Z33 L27:M33 H49:H55 Y38:Z44 L49:M55 Y49:Z55 Y60:Z66 L38:M44 H16:H22 U16:U22 U27:U33 H38:H44 U38:U44 H27:H33 U49:U55 G60:G66 T60:T66 L60:M66 K60:K64">
      <formula1>"○"</formula1>
    </dataValidation>
  </dataValidations>
  <hyperlinks>
    <hyperlink ref="B98" r:id="rId1"/>
  </hyperlinks>
  <printOptions horizontalCentered="1"/>
  <pageMargins left="0.78740157480314965" right="0.78740157480314965" top="0.59055118110236227" bottom="0.19685039370078741" header="0.31496062992125984" footer="0.31496062992125984"/>
  <pageSetup paperSize="9" scale="99"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7"/>
  <sheetViews>
    <sheetView showZeros="0" view="pageBreakPreview" topLeftCell="A67" zoomScaleNormal="100" zoomScaleSheetLayoutView="100" workbookViewId="0">
      <selection activeCell="B97" sqref="B97:Z97"/>
    </sheetView>
  </sheetViews>
  <sheetFormatPr defaultColWidth="9" defaultRowHeight="18.75" customHeight="1" x14ac:dyDescent="0.15"/>
  <cols>
    <col min="1" max="1" width="2.5" style="2" customWidth="1"/>
    <col min="2" max="2" width="27.75" style="2" customWidth="1"/>
    <col min="3" max="13" width="3.375" style="2" customWidth="1"/>
    <col min="14" max="14" width="8.875" style="2" customWidth="1"/>
    <col min="15" max="15" width="18.875" style="2" customWidth="1"/>
    <col min="16" max="19" width="3.375" style="2" customWidth="1"/>
    <col min="20" max="20" width="3.5" style="2" customWidth="1"/>
    <col min="21" max="26" width="3.375" style="2" customWidth="1"/>
    <col min="27" max="16384" width="9" style="2"/>
  </cols>
  <sheetData>
    <row r="1" spans="1:26" ht="15" customHeight="1" x14ac:dyDescent="0.15">
      <c r="W1" s="230" t="s">
        <v>214</v>
      </c>
      <c r="X1" s="230"/>
      <c r="Y1" s="230"/>
      <c r="Z1" s="230"/>
    </row>
    <row r="2" spans="1:26" ht="18" customHeight="1" x14ac:dyDescent="0.15">
      <c r="A2" s="231" t="s">
        <v>13</v>
      </c>
      <c r="B2" s="231"/>
      <c r="C2" s="231"/>
      <c r="D2" s="231"/>
      <c r="E2" s="231"/>
      <c r="F2" s="231"/>
      <c r="G2" s="231"/>
      <c r="H2" s="231"/>
      <c r="I2" s="231"/>
      <c r="J2" s="231"/>
      <c r="K2" s="231"/>
      <c r="L2" s="231"/>
      <c r="M2" s="231"/>
      <c r="N2" s="231"/>
      <c r="O2" s="231"/>
      <c r="P2" s="231"/>
      <c r="Q2" s="231"/>
      <c r="R2" s="231"/>
      <c r="S2" s="231"/>
      <c r="T2" s="231"/>
      <c r="U2" s="231"/>
      <c r="V2" s="231"/>
      <c r="W2" s="231"/>
      <c r="X2" s="231"/>
      <c r="Y2" s="231"/>
      <c r="Z2" s="231"/>
    </row>
    <row r="3" spans="1:26" ht="15" customHeight="1" x14ac:dyDescent="0.15">
      <c r="B3" s="30"/>
      <c r="C3" s="30"/>
      <c r="D3" s="30"/>
      <c r="E3" s="30"/>
      <c r="F3" s="30"/>
      <c r="G3" s="30"/>
      <c r="H3" s="30"/>
      <c r="I3" s="30"/>
      <c r="J3" s="30"/>
      <c r="K3" s="30"/>
      <c r="L3" s="30"/>
      <c r="M3" s="30"/>
      <c r="N3" s="30"/>
      <c r="O3" s="30"/>
      <c r="P3" s="30"/>
      <c r="Q3" s="30"/>
      <c r="R3" s="30"/>
      <c r="S3" s="30"/>
      <c r="T3" s="30"/>
      <c r="U3" s="30"/>
      <c r="V3" s="30"/>
      <c r="W3" s="30"/>
      <c r="X3" s="30"/>
      <c r="Y3" s="30"/>
      <c r="Z3" s="30"/>
    </row>
    <row r="4" spans="1:26" ht="18" customHeight="1" x14ac:dyDescent="0.15">
      <c r="A4" s="2" t="s">
        <v>17</v>
      </c>
      <c r="B4" s="30"/>
      <c r="C4" s="30"/>
      <c r="D4" s="30"/>
      <c r="E4" s="30"/>
      <c r="F4" s="30"/>
      <c r="G4" s="30"/>
      <c r="H4" s="29" t="s">
        <v>31</v>
      </c>
      <c r="I4" s="30"/>
      <c r="J4" s="30"/>
      <c r="K4" s="30"/>
      <c r="L4" s="30"/>
      <c r="M4" s="30"/>
      <c r="N4" s="30"/>
      <c r="O4" s="138" t="s">
        <v>66</v>
      </c>
      <c r="P4" s="139"/>
      <c r="Q4" s="139"/>
      <c r="R4" s="139"/>
      <c r="S4" s="139"/>
      <c r="T4" s="139"/>
      <c r="U4" s="139"/>
      <c r="V4" s="139"/>
      <c r="W4" s="139"/>
      <c r="X4" s="139"/>
      <c r="Y4" s="139"/>
      <c r="Z4" s="140"/>
    </row>
    <row r="5" spans="1:26" ht="6" customHeight="1" x14ac:dyDescent="0.15">
      <c r="B5" s="30"/>
      <c r="C5" s="30"/>
      <c r="D5" s="30"/>
      <c r="E5" s="30"/>
      <c r="F5" s="30"/>
      <c r="G5" s="30"/>
      <c r="H5" s="30"/>
      <c r="I5" s="30"/>
      <c r="J5" s="30"/>
      <c r="K5" s="30"/>
      <c r="L5" s="30"/>
      <c r="M5" s="30"/>
      <c r="N5" s="30"/>
      <c r="O5" s="3"/>
      <c r="P5" s="30"/>
      <c r="Q5" s="30"/>
      <c r="R5" s="30"/>
      <c r="S5" s="30"/>
      <c r="T5" s="30"/>
      <c r="U5" s="30"/>
      <c r="V5" s="30"/>
      <c r="W5" s="30"/>
      <c r="X5" s="30"/>
      <c r="Y5" s="30"/>
      <c r="Z5" s="30"/>
    </row>
    <row r="6" spans="1:26" ht="18" customHeight="1" x14ac:dyDescent="0.15">
      <c r="B6" s="232" t="s">
        <v>203</v>
      </c>
      <c r="C6" s="233"/>
      <c r="D6" s="233"/>
      <c r="E6" s="233"/>
      <c r="F6" s="233"/>
      <c r="G6" s="233"/>
      <c r="H6" s="233"/>
      <c r="I6" s="233"/>
      <c r="J6" s="233"/>
      <c r="K6" s="233"/>
      <c r="L6" s="233"/>
      <c r="M6" s="233"/>
      <c r="N6" s="233"/>
      <c r="O6" s="233"/>
      <c r="P6" s="233"/>
      <c r="Q6" s="233"/>
      <c r="R6" s="233"/>
      <c r="S6" s="233"/>
      <c r="T6" s="233"/>
      <c r="U6" s="233"/>
      <c r="V6" s="233"/>
      <c r="W6" s="233"/>
      <c r="X6" s="233"/>
      <c r="Y6" s="233"/>
      <c r="Z6" s="234"/>
    </row>
    <row r="7" spans="1:26" ht="18" customHeight="1" x14ac:dyDescent="0.15">
      <c r="B7" s="235"/>
      <c r="C7" s="236"/>
      <c r="D7" s="236"/>
      <c r="E7" s="236"/>
      <c r="F7" s="236"/>
      <c r="G7" s="236"/>
      <c r="H7" s="236"/>
      <c r="I7" s="236"/>
      <c r="J7" s="236"/>
      <c r="K7" s="236"/>
      <c r="L7" s="236"/>
      <c r="M7" s="236"/>
      <c r="N7" s="236"/>
      <c r="O7" s="236"/>
      <c r="P7" s="236"/>
      <c r="Q7" s="236"/>
      <c r="R7" s="236"/>
      <c r="S7" s="236"/>
      <c r="T7" s="236"/>
      <c r="U7" s="236"/>
      <c r="V7" s="236"/>
      <c r="W7" s="236"/>
      <c r="X7" s="236"/>
      <c r="Y7" s="236"/>
      <c r="Z7" s="237"/>
    </row>
    <row r="8" spans="1:26" ht="18" customHeight="1" x14ac:dyDescent="0.15">
      <c r="B8" s="235"/>
      <c r="C8" s="236"/>
      <c r="D8" s="236"/>
      <c r="E8" s="236"/>
      <c r="F8" s="236"/>
      <c r="G8" s="236"/>
      <c r="H8" s="236"/>
      <c r="I8" s="236"/>
      <c r="J8" s="236"/>
      <c r="K8" s="236"/>
      <c r="L8" s="236"/>
      <c r="M8" s="236"/>
      <c r="N8" s="236"/>
      <c r="O8" s="236"/>
      <c r="P8" s="236"/>
      <c r="Q8" s="236"/>
      <c r="R8" s="236"/>
      <c r="S8" s="236"/>
      <c r="T8" s="236"/>
      <c r="U8" s="236"/>
      <c r="V8" s="236"/>
      <c r="W8" s="236"/>
      <c r="X8" s="236"/>
      <c r="Y8" s="236"/>
      <c r="Z8" s="237"/>
    </row>
    <row r="9" spans="1:26" ht="18" customHeight="1" x14ac:dyDescent="0.15">
      <c r="B9" s="235"/>
      <c r="C9" s="236"/>
      <c r="D9" s="236"/>
      <c r="E9" s="236"/>
      <c r="F9" s="236"/>
      <c r="G9" s="236"/>
      <c r="H9" s="236"/>
      <c r="I9" s="236"/>
      <c r="J9" s="236"/>
      <c r="K9" s="236"/>
      <c r="L9" s="236"/>
      <c r="M9" s="236"/>
      <c r="N9" s="236"/>
      <c r="O9" s="236"/>
      <c r="P9" s="236"/>
      <c r="Q9" s="236"/>
      <c r="R9" s="236"/>
      <c r="S9" s="236"/>
      <c r="T9" s="236"/>
      <c r="U9" s="236"/>
      <c r="V9" s="236"/>
      <c r="W9" s="236"/>
      <c r="X9" s="236"/>
      <c r="Y9" s="236"/>
      <c r="Z9" s="237"/>
    </row>
    <row r="10" spans="1:26" ht="18" customHeight="1" x14ac:dyDescent="0.15">
      <c r="B10" s="235"/>
      <c r="C10" s="238"/>
      <c r="D10" s="238"/>
      <c r="E10" s="238"/>
      <c r="F10" s="238"/>
      <c r="G10" s="238"/>
      <c r="H10" s="238"/>
      <c r="I10" s="238"/>
      <c r="J10" s="238"/>
      <c r="K10" s="238"/>
      <c r="L10" s="238"/>
      <c r="M10" s="238"/>
      <c r="N10" s="238"/>
      <c r="O10" s="238"/>
      <c r="P10" s="238"/>
      <c r="Q10" s="238"/>
      <c r="R10" s="238"/>
      <c r="S10" s="238"/>
      <c r="T10" s="238"/>
      <c r="U10" s="238"/>
      <c r="V10" s="238"/>
      <c r="W10" s="238"/>
      <c r="X10" s="238"/>
      <c r="Y10" s="238"/>
      <c r="Z10" s="237"/>
    </row>
    <row r="11" spans="1:26" ht="15.75" customHeight="1" x14ac:dyDescent="0.15">
      <c r="B11" s="239"/>
      <c r="C11" s="240"/>
      <c r="D11" s="240"/>
      <c r="E11" s="240"/>
      <c r="F11" s="240"/>
      <c r="G11" s="240"/>
      <c r="H11" s="240"/>
      <c r="I11" s="240"/>
      <c r="J11" s="240"/>
      <c r="K11" s="240"/>
      <c r="L11" s="240"/>
      <c r="M11" s="240"/>
      <c r="N11" s="240"/>
      <c r="O11" s="240"/>
      <c r="P11" s="240"/>
      <c r="Q11" s="240"/>
      <c r="R11" s="240"/>
      <c r="S11" s="240"/>
      <c r="T11" s="240"/>
      <c r="U11" s="240"/>
      <c r="V11" s="240"/>
      <c r="W11" s="240"/>
      <c r="X11" s="240"/>
      <c r="Y11" s="240"/>
      <c r="Z11" s="241"/>
    </row>
    <row r="12" spans="1:26" ht="7.5" customHeight="1" x14ac:dyDescent="0.15">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spans="1:26" ht="18" customHeight="1" x14ac:dyDescent="0.15">
      <c r="A13" s="225" t="s">
        <v>41</v>
      </c>
      <c r="B13" s="225"/>
      <c r="C13" s="225"/>
      <c r="D13" s="225"/>
      <c r="E13" s="225"/>
      <c r="F13" s="225"/>
      <c r="G13" s="225"/>
      <c r="H13" s="225"/>
      <c r="I13" s="225"/>
      <c r="J13" s="225"/>
      <c r="K13" s="225"/>
      <c r="L13" s="225"/>
      <c r="M13" s="225"/>
      <c r="N13" s="225"/>
      <c r="O13" s="225"/>
      <c r="P13" s="225"/>
      <c r="Q13" s="225"/>
      <c r="R13" s="225"/>
      <c r="S13" s="225"/>
      <c r="T13" s="225"/>
      <c r="U13" s="225"/>
      <c r="V13" s="225"/>
      <c r="W13" s="225"/>
      <c r="X13" s="225"/>
      <c r="Y13" s="225"/>
      <c r="Z13" s="225"/>
    </row>
    <row r="14" spans="1:26" ht="18" customHeight="1" x14ac:dyDescent="0.15">
      <c r="A14" s="225"/>
      <c r="B14" s="225"/>
      <c r="C14" s="225"/>
      <c r="D14" s="225"/>
      <c r="E14" s="225"/>
      <c r="F14" s="225"/>
      <c r="G14" s="225"/>
      <c r="H14" s="225"/>
      <c r="I14" s="225"/>
      <c r="J14" s="225"/>
      <c r="K14" s="225"/>
      <c r="L14" s="225"/>
      <c r="M14" s="225"/>
      <c r="N14" s="225"/>
      <c r="O14" s="225"/>
      <c r="P14" s="225"/>
      <c r="Q14" s="225"/>
      <c r="R14" s="225"/>
      <c r="S14" s="225"/>
      <c r="T14" s="225"/>
      <c r="U14" s="225"/>
      <c r="V14" s="225"/>
      <c r="W14" s="225"/>
      <c r="X14" s="225"/>
      <c r="Y14" s="225"/>
      <c r="Z14" s="225"/>
    </row>
    <row r="15" spans="1:26" ht="18" customHeight="1" x14ac:dyDescent="0.15">
      <c r="A15" s="28"/>
      <c r="B15" s="138" t="s">
        <v>18</v>
      </c>
      <c r="C15" s="139"/>
      <c r="D15" s="139"/>
      <c r="E15" s="139"/>
      <c r="F15" s="140"/>
      <c r="G15" s="4" t="s">
        <v>57</v>
      </c>
      <c r="H15" s="24" t="s">
        <v>56</v>
      </c>
      <c r="I15" s="139" t="s">
        <v>19</v>
      </c>
      <c r="J15" s="139"/>
      <c r="K15" s="139"/>
      <c r="L15" s="5" t="s">
        <v>22</v>
      </c>
      <c r="M15" s="5" t="s">
        <v>25</v>
      </c>
      <c r="N15" s="138" t="s">
        <v>18</v>
      </c>
      <c r="O15" s="139"/>
      <c r="P15" s="139"/>
      <c r="Q15" s="139"/>
      <c r="R15" s="139"/>
      <c r="S15" s="140"/>
      <c r="T15" s="4" t="s">
        <v>57</v>
      </c>
      <c r="U15" s="24" t="s">
        <v>56</v>
      </c>
      <c r="V15" s="139" t="s">
        <v>19</v>
      </c>
      <c r="W15" s="139"/>
      <c r="X15" s="139"/>
      <c r="Y15" s="5" t="s">
        <v>22</v>
      </c>
      <c r="Z15" s="5" t="s">
        <v>25</v>
      </c>
    </row>
    <row r="16" spans="1:26" ht="18" customHeight="1" x14ac:dyDescent="0.15">
      <c r="A16" s="28"/>
      <c r="B16" s="226" t="s">
        <v>67</v>
      </c>
      <c r="C16" s="188"/>
      <c r="D16" s="188"/>
      <c r="E16" s="188"/>
      <c r="F16" s="189"/>
      <c r="G16" s="25">
        <v>2</v>
      </c>
      <c r="H16" s="25" t="s">
        <v>62</v>
      </c>
      <c r="I16" s="222" t="s">
        <v>61</v>
      </c>
      <c r="J16" s="223"/>
      <c r="K16" s="224"/>
      <c r="L16" s="6" t="s">
        <v>62</v>
      </c>
      <c r="M16" s="6" t="s">
        <v>62</v>
      </c>
      <c r="N16" s="203"/>
      <c r="O16" s="204"/>
      <c r="P16" s="204"/>
      <c r="Q16" s="204"/>
      <c r="R16" s="204"/>
      <c r="S16" s="205"/>
      <c r="T16" s="25"/>
      <c r="U16" s="25"/>
      <c r="V16" s="222"/>
      <c r="W16" s="223"/>
      <c r="X16" s="224"/>
      <c r="Y16" s="6"/>
      <c r="Z16" s="6"/>
    </row>
    <row r="17" spans="1:26" ht="18" customHeight="1" x14ac:dyDescent="0.15">
      <c r="A17" s="28"/>
      <c r="B17" s="227"/>
      <c r="C17" s="228"/>
      <c r="D17" s="228"/>
      <c r="E17" s="228"/>
      <c r="F17" s="229"/>
      <c r="G17" s="26"/>
      <c r="H17" s="26"/>
      <c r="I17" s="218"/>
      <c r="J17" s="219"/>
      <c r="K17" s="220"/>
      <c r="L17" s="7"/>
      <c r="M17" s="7"/>
      <c r="N17" s="180"/>
      <c r="O17" s="181"/>
      <c r="P17" s="181"/>
      <c r="Q17" s="181"/>
      <c r="R17" s="181"/>
      <c r="S17" s="182"/>
      <c r="T17" s="26"/>
      <c r="U17" s="26"/>
      <c r="V17" s="218"/>
      <c r="W17" s="219"/>
      <c r="X17" s="220"/>
      <c r="Y17" s="7"/>
      <c r="Z17" s="7"/>
    </row>
    <row r="18" spans="1:26" ht="18" customHeight="1" x14ac:dyDescent="0.15">
      <c r="A18" s="28"/>
      <c r="B18" s="216"/>
      <c r="C18" s="217"/>
      <c r="D18" s="217"/>
      <c r="E18" s="217"/>
      <c r="F18" s="221"/>
      <c r="G18" s="26"/>
      <c r="H18" s="26"/>
      <c r="I18" s="218"/>
      <c r="J18" s="219"/>
      <c r="K18" s="220"/>
      <c r="L18" s="7"/>
      <c r="M18" s="7"/>
      <c r="N18" s="180"/>
      <c r="O18" s="181"/>
      <c r="P18" s="181"/>
      <c r="Q18" s="181"/>
      <c r="R18" s="181"/>
      <c r="S18" s="182"/>
      <c r="T18" s="26"/>
      <c r="U18" s="26"/>
      <c r="V18" s="218"/>
      <c r="W18" s="219"/>
      <c r="X18" s="220"/>
      <c r="Y18" s="7"/>
      <c r="Z18" s="7"/>
    </row>
    <row r="19" spans="1:26" ht="18" customHeight="1" x14ac:dyDescent="0.15">
      <c r="A19" s="28"/>
      <c r="B19" s="216"/>
      <c r="C19" s="217"/>
      <c r="D19" s="217"/>
      <c r="E19" s="217"/>
      <c r="F19" s="221"/>
      <c r="G19" s="26"/>
      <c r="H19" s="26"/>
      <c r="I19" s="218"/>
      <c r="J19" s="219"/>
      <c r="K19" s="220"/>
      <c r="L19" s="7"/>
      <c r="M19" s="7"/>
      <c r="N19" s="180"/>
      <c r="O19" s="181"/>
      <c r="P19" s="181"/>
      <c r="Q19" s="181"/>
      <c r="R19" s="181"/>
      <c r="S19" s="182"/>
      <c r="T19" s="26"/>
      <c r="U19" s="26"/>
      <c r="V19" s="218"/>
      <c r="W19" s="219"/>
      <c r="X19" s="220"/>
      <c r="Y19" s="7"/>
      <c r="Z19" s="7"/>
    </row>
    <row r="20" spans="1:26" ht="18" customHeight="1" x14ac:dyDescent="0.15">
      <c r="A20" s="28"/>
      <c r="B20" s="216"/>
      <c r="C20" s="217"/>
      <c r="D20" s="217"/>
      <c r="E20" s="217"/>
      <c r="F20" s="221"/>
      <c r="G20" s="26"/>
      <c r="H20" s="26"/>
      <c r="I20" s="218"/>
      <c r="J20" s="219"/>
      <c r="K20" s="220"/>
      <c r="L20" s="7"/>
      <c r="M20" s="7"/>
      <c r="N20" s="180"/>
      <c r="O20" s="181"/>
      <c r="P20" s="181"/>
      <c r="Q20" s="181"/>
      <c r="R20" s="181"/>
      <c r="S20" s="182"/>
      <c r="T20" s="26"/>
      <c r="U20" s="26"/>
      <c r="V20" s="218"/>
      <c r="W20" s="219"/>
      <c r="X20" s="220"/>
      <c r="Y20" s="7"/>
      <c r="Z20" s="7"/>
    </row>
    <row r="21" spans="1:26" ht="18" customHeight="1" x14ac:dyDescent="0.15">
      <c r="A21" s="30"/>
      <c r="B21" s="216"/>
      <c r="C21" s="217"/>
      <c r="D21" s="217"/>
      <c r="E21" s="217"/>
      <c r="F21" s="221"/>
      <c r="G21" s="26"/>
      <c r="H21" s="26"/>
      <c r="I21" s="218"/>
      <c r="J21" s="219"/>
      <c r="K21" s="220"/>
      <c r="L21" s="7"/>
      <c r="M21" s="7"/>
      <c r="N21" s="180"/>
      <c r="O21" s="181"/>
      <c r="P21" s="181"/>
      <c r="Q21" s="181"/>
      <c r="R21" s="181"/>
      <c r="S21" s="182"/>
      <c r="T21" s="26"/>
      <c r="U21" s="26"/>
      <c r="V21" s="218"/>
      <c r="W21" s="219"/>
      <c r="X21" s="220"/>
      <c r="Y21" s="7"/>
      <c r="Z21" s="7"/>
    </row>
    <row r="22" spans="1:26" ht="18" customHeight="1" x14ac:dyDescent="0.15">
      <c r="A22" s="30"/>
      <c r="B22" s="209"/>
      <c r="C22" s="190"/>
      <c r="D22" s="190"/>
      <c r="E22" s="190"/>
      <c r="F22" s="191"/>
      <c r="G22" s="27"/>
      <c r="H22" s="27"/>
      <c r="I22" s="210"/>
      <c r="J22" s="211"/>
      <c r="K22" s="212"/>
      <c r="L22" s="8"/>
      <c r="M22" s="8"/>
      <c r="N22" s="183"/>
      <c r="O22" s="184"/>
      <c r="P22" s="184"/>
      <c r="Q22" s="184"/>
      <c r="R22" s="184"/>
      <c r="S22" s="185"/>
      <c r="T22" s="27"/>
      <c r="U22" s="27"/>
      <c r="V22" s="210"/>
      <c r="W22" s="211"/>
      <c r="X22" s="212"/>
      <c r="Y22" s="8"/>
      <c r="Z22" s="8"/>
    </row>
    <row r="23" spans="1:26" ht="7.5" customHeight="1" x14ac:dyDescent="0.15">
      <c r="A23" s="30"/>
      <c r="B23" s="9"/>
      <c r="C23" s="9"/>
      <c r="D23" s="30"/>
      <c r="E23" s="30"/>
      <c r="F23" s="30"/>
      <c r="G23" s="30"/>
      <c r="H23" s="30"/>
      <c r="I23" s="30"/>
      <c r="J23" s="30"/>
      <c r="K23" s="30"/>
      <c r="L23" s="9"/>
      <c r="M23" s="9"/>
      <c r="N23" s="9"/>
      <c r="O23" s="9"/>
      <c r="P23" s="9"/>
      <c r="Q23" s="9"/>
      <c r="R23" s="9"/>
      <c r="S23" s="9"/>
      <c r="T23" s="9"/>
      <c r="U23" s="9"/>
      <c r="V23" s="9"/>
      <c r="W23" s="9"/>
      <c r="X23" s="9"/>
      <c r="Y23" s="9"/>
      <c r="Z23" s="30"/>
    </row>
    <row r="24" spans="1:26" ht="18" customHeight="1" x14ac:dyDescent="0.15">
      <c r="A24" s="225" t="s">
        <v>42</v>
      </c>
      <c r="B24" s="225"/>
      <c r="C24" s="225"/>
      <c r="D24" s="225"/>
      <c r="E24" s="225"/>
      <c r="F24" s="225"/>
      <c r="G24" s="225"/>
      <c r="H24" s="225"/>
      <c r="I24" s="225"/>
      <c r="J24" s="225"/>
      <c r="K24" s="225"/>
      <c r="L24" s="225"/>
      <c r="M24" s="225"/>
      <c r="N24" s="225"/>
      <c r="O24" s="225"/>
      <c r="P24" s="225"/>
      <c r="Q24" s="225"/>
      <c r="R24" s="225"/>
      <c r="S24" s="225"/>
      <c r="T24" s="225"/>
      <c r="U24" s="225"/>
      <c r="V24" s="225"/>
      <c r="W24" s="225"/>
      <c r="X24" s="225"/>
      <c r="Y24" s="225"/>
      <c r="Z24" s="225"/>
    </row>
    <row r="25" spans="1:26" ht="18" customHeight="1" x14ac:dyDescent="0.15">
      <c r="A25" s="225"/>
      <c r="B25" s="225"/>
      <c r="C25" s="225"/>
      <c r="D25" s="225"/>
      <c r="E25" s="225"/>
      <c r="F25" s="225"/>
      <c r="G25" s="225"/>
      <c r="H25" s="225"/>
      <c r="I25" s="225"/>
      <c r="J25" s="225"/>
      <c r="K25" s="225"/>
      <c r="L25" s="225"/>
      <c r="M25" s="225"/>
      <c r="N25" s="225"/>
      <c r="O25" s="225"/>
      <c r="P25" s="225"/>
      <c r="Q25" s="225"/>
      <c r="R25" s="225"/>
      <c r="S25" s="225"/>
      <c r="T25" s="225"/>
      <c r="U25" s="225"/>
      <c r="V25" s="225"/>
      <c r="W25" s="225"/>
      <c r="X25" s="225"/>
      <c r="Y25" s="225"/>
      <c r="Z25" s="225"/>
    </row>
    <row r="26" spans="1:26" ht="18" customHeight="1" x14ac:dyDescent="0.15">
      <c r="A26" s="28"/>
      <c r="B26" s="138" t="s">
        <v>18</v>
      </c>
      <c r="C26" s="139"/>
      <c r="D26" s="139"/>
      <c r="E26" s="139"/>
      <c r="F26" s="140"/>
      <c r="G26" s="4" t="s">
        <v>57</v>
      </c>
      <c r="H26" s="24" t="s">
        <v>56</v>
      </c>
      <c r="I26" s="139" t="s">
        <v>19</v>
      </c>
      <c r="J26" s="139"/>
      <c r="K26" s="139"/>
      <c r="L26" s="5" t="s">
        <v>43</v>
      </c>
      <c r="M26" s="5" t="s">
        <v>44</v>
      </c>
      <c r="N26" s="138" t="s">
        <v>18</v>
      </c>
      <c r="O26" s="139"/>
      <c r="P26" s="139"/>
      <c r="Q26" s="139"/>
      <c r="R26" s="139"/>
      <c r="S26" s="140"/>
      <c r="T26" s="4" t="s">
        <v>57</v>
      </c>
      <c r="U26" s="24" t="s">
        <v>56</v>
      </c>
      <c r="V26" s="139" t="s">
        <v>19</v>
      </c>
      <c r="W26" s="139"/>
      <c r="X26" s="139"/>
      <c r="Y26" s="5" t="s">
        <v>43</v>
      </c>
      <c r="Z26" s="5" t="s">
        <v>44</v>
      </c>
    </row>
    <row r="27" spans="1:26" ht="18" customHeight="1" x14ac:dyDescent="0.15">
      <c r="A27" s="28"/>
      <c r="B27" s="226" t="s">
        <v>64</v>
      </c>
      <c r="C27" s="188"/>
      <c r="D27" s="188"/>
      <c r="E27" s="188"/>
      <c r="F27" s="189"/>
      <c r="G27" s="25">
        <v>2</v>
      </c>
      <c r="H27" s="25" t="s">
        <v>62</v>
      </c>
      <c r="I27" s="222" t="s">
        <v>61</v>
      </c>
      <c r="J27" s="223"/>
      <c r="K27" s="224"/>
      <c r="L27" s="6" t="s">
        <v>62</v>
      </c>
      <c r="M27" s="6" t="s">
        <v>62</v>
      </c>
      <c r="N27" s="203"/>
      <c r="O27" s="204"/>
      <c r="P27" s="204"/>
      <c r="Q27" s="204"/>
      <c r="R27" s="204"/>
      <c r="S27" s="205"/>
      <c r="T27" s="25"/>
      <c r="U27" s="25"/>
      <c r="V27" s="222"/>
      <c r="W27" s="223"/>
      <c r="X27" s="224"/>
      <c r="Y27" s="6"/>
      <c r="Z27" s="6"/>
    </row>
    <row r="28" spans="1:26" ht="18" customHeight="1" x14ac:dyDescent="0.15">
      <c r="A28" s="28"/>
      <c r="B28" s="216"/>
      <c r="C28" s="217"/>
      <c r="D28" s="217"/>
      <c r="E28" s="217"/>
      <c r="F28" s="221"/>
      <c r="G28" s="26"/>
      <c r="H28" s="26"/>
      <c r="I28" s="218"/>
      <c r="J28" s="219"/>
      <c r="K28" s="220"/>
      <c r="L28" s="7"/>
      <c r="M28" s="7"/>
      <c r="N28" s="180"/>
      <c r="O28" s="181"/>
      <c r="P28" s="181"/>
      <c r="Q28" s="181"/>
      <c r="R28" s="181"/>
      <c r="S28" s="182"/>
      <c r="T28" s="26"/>
      <c r="U28" s="26"/>
      <c r="V28" s="218"/>
      <c r="W28" s="219"/>
      <c r="X28" s="220"/>
      <c r="Y28" s="7"/>
      <c r="Z28" s="7"/>
    </row>
    <row r="29" spans="1:26" ht="18" customHeight="1" x14ac:dyDescent="0.15">
      <c r="A29" s="28"/>
      <c r="B29" s="216"/>
      <c r="C29" s="217"/>
      <c r="D29" s="217"/>
      <c r="E29" s="217"/>
      <c r="F29" s="221"/>
      <c r="G29" s="26"/>
      <c r="H29" s="26"/>
      <c r="I29" s="218"/>
      <c r="J29" s="219"/>
      <c r="K29" s="220"/>
      <c r="L29" s="7"/>
      <c r="M29" s="7"/>
      <c r="N29" s="180"/>
      <c r="O29" s="181"/>
      <c r="P29" s="181"/>
      <c r="Q29" s="181"/>
      <c r="R29" s="181"/>
      <c r="S29" s="182"/>
      <c r="T29" s="26"/>
      <c r="U29" s="26"/>
      <c r="V29" s="218"/>
      <c r="W29" s="219"/>
      <c r="X29" s="220"/>
      <c r="Y29" s="7"/>
      <c r="Z29" s="7"/>
    </row>
    <row r="30" spans="1:26" ht="18" customHeight="1" x14ac:dyDescent="0.15">
      <c r="A30" s="28"/>
      <c r="B30" s="216"/>
      <c r="C30" s="217"/>
      <c r="D30" s="217"/>
      <c r="E30" s="217"/>
      <c r="F30" s="221"/>
      <c r="G30" s="26"/>
      <c r="H30" s="26"/>
      <c r="I30" s="218"/>
      <c r="J30" s="219"/>
      <c r="K30" s="220"/>
      <c r="L30" s="7"/>
      <c r="M30" s="7"/>
      <c r="N30" s="180"/>
      <c r="O30" s="181"/>
      <c r="P30" s="181"/>
      <c r="Q30" s="181"/>
      <c r="R30" s="181"/>
      <c r="S30" s="182"/>
      <c r="T30" s="26"/>
      <c r="U30" s="26"/>
      <c r="V30" s="218"/>
      <c r="W30" s="219"/>
      <c r="X30" s="220"/>
      <c r="Y30" s="7"/>
      <c r="Z30" s="7"/>
    </row>
    <row r="31" spans="1:26" ht="18" customHeight="1" x14ac:dyDescent="0.15">
      <c r="A31" s="28"/>
      <c r="B31" s="216"/>
      <c r="C31" s="217"/>
      <c r="D31" s="217"/>
      <c r="E31" s="217"/>
      <c r="F31" s="221"/>
      <c r="G31" s="26"/>
      <c r="H31" s="26"/>
      <c r="I31" s="218"/>
      <c r="J31" s="219"/>
      <c r="K31" s="220"/>
      <c r="L31" s="7"/>
      <c r="M31" s="7"/>
      <c r="N31" s="180"/>
      <c r="O31" s="181"/>
      <c r="P31" s="181"/>
      <c r="Q31" s="181"/>
      <c r="R31" s="181"/>
      <c r="S31" s="182"/>
      <c r="T31" s="26"/>
      <c r="U31" s="26"/>
      <c r="V31" s="218"/>
      <c r="W31" s="219"/>
      <c r="X31" s="220"/>
      <c r="Y31" s="7"/>
      <c r="Z31" s="7"/>
    </row>
    <row r="32" spans="1:26" ht="18" customHeight="1" x14ac:dyDescent="0.15">
      <c r="A32" s="28"/>
      <c r="B32" s="216"/>
      <c r="C32" s="217"/>
      <c r="D32" s="217"/>
      <c r="E32" s="217"/>
      <c r="F32" s="221"/>
      <c r="G32" s="26"/>
      <c r="H32" s="26"/>
      <c r="I32" s="218"/>
      <c r="J32" s="219"/>
      <c r="K32" s="220"/>
      <c r="L32" s="7"/>
      <c r="M32" s="7"/>
      <c r="N32" s="180"/>
      <c r="O32" s="181"/>
      <c r="P32" s="181"/>
      <c r="Q32" s="181"/>
      <c r="R32" s="181"/>
      <c r="S32" s="182"/>
      <c r="T32" s="26"/>
      <c r="U32" s="26"/>
      <c r="V32" s="218"/>
      <c r="W32" s="219"/>
      <c r="X32" s="220"/>
      <c r="Y32" s="7"/>
      <c r="Z32" s="7"/>
    </row>
    <row r="33" spans="1:26" ht="18" customHeight="1" x14ac:dyDescent="0.15">
      <c r="A33" s="28"/>
      <c r="B33" s="209"/>
      <c r="C33" s="190"/>
      <c r="D33" s="190"/>
      <c r="E33" s="190"/>
      <c r="F33" s="191"/>
      <c r="G33" s="27"/>
      <c r="H33" s="27"/>
      <c r="I33" s="210"/>
      <c r="J33" s="211"/>
      <c r="K33" s="212"/>
      <c r="L33" s="8"/>
      <c r="M33" s="8"/>
      <c r="N33" s="183"/>
      <c r="O33" s="184"/>
      <c r="P33" s="184"/>
      <c r="Q33" s="184"/>
      <c r="R33" s="184"/>
      <c r="S33" s="185"/>
      <c r="T33" s="27"/>
      <c r="U33" s="27"/>
      <c r="V33" s="210"/>
      <c r="W33" s="211"/>
      <c r="X33" s="212"/>
      <c r="Y33" s="8"/>
      <c r="Z33" s="8"/>
    </row>
    <row r="34" spans="1:26" ht="7.5" customHeight="1" x14ac:dyDescent="0.15">
      <c r="A34" s="30"/>
      <c r="B34" s="9"/>
      <c r="C34" s="9"/>
      <c r="D34" s="30"/>
      <c r="E34" s="30"/>
      <c r="F34" s="30"/>
      <c r="G34" s="30"/>
      <c r="H34" s="30"/>
      <c r="I34" s="30"/>
      <c r="J34" s="30"/>
      <c r="K34" s="30"/>
      <c r="L34" s="9"/>
      <c r="M34" s="9"/>
      <c r="N34" s="9"/>
      <c r="O34" s="9"/>
      <c r="P34" s="9"/>
      <c r="Q34" s="9"/>
      <c r="R34" s="9"/>
      <c r="S34" s="9"/>
      <c r="T34" s="9"/>
      <c r="U34" s="9"/>
      <c r="V34" s="9"/>
      <c r="W34" s="9"/>
      <c r="X34" s="9"/>
      <c r="Y34" s="9"/>
      <c r="Z34" s="30"/>
    </row>
    <row r="35" spans="1:26" ht="18" customHeight="1" x14ac:dyDescent="0.15">
      <c r="A35" s="225" t="s">
        <v>45</v>
      </c>
      <c r="B35" s="225"/>
      <c r="C35" s="225"/>
      <c r="D35" s="225"/>
      <c r="E35" s="225"/>
      <c r="F35" s="225"/>
      <c r="G35" s="225"/>
      <c r="H35" s="225"/>
      <c r="I35" s="225"/>
      <c r="J35" s="225"/>
      <c r="K35" s="225"/>
      <c r="L35" s="225"/>
      <c r="M35" s="225"/>
      <c r="N35" s="225"/>
      <c r="O35" s="225"/>
      <c r="P35" s="225"/>
      <c r="Q35" s="225"/>
      <c r="R35" s="225"/>
      <c r="S35" s="225"/>
      <c r="T35" s="225"/>
      <c r="U35" s="225"/>
      <c r="V35" s="225"/>
      <c r="W35" s="225"/>
      <c r="X35" s="225"/>
      <c r="Y35" s="225"/>
      <c r="Z35" s="225"/>
    </row>
    <row r="36" spans="1:26" ht="18" customHeight="1" x14ac:dyDescent="0.15">
      <c r="A36" s="225"/>
      <c r="B36" s="225"/>
      <c r="C36" s="225"/>
      <c r="D36" s="225"/>
      <c r="E36" s="225"/>
      <c r="F36" s="225"/>
      <c r="G36" s="225"/>
      <c r="H36" s="225"/>
      <c r="I36" s="225"/>
      <c r="J36" s="225"/>
      <c r="K36" s="225"/>
      <c r="L36" s="225"/>
      <c r="M36" s="225"/>
      <c r="N36" s="225"/>
      <c r="O36" s="225"/>
      <c r="P36" s="225"/>
      <c r="Q36" s="225"/>
      <c r="R36" s="225"/>
      <c r="S36" s="225"/>
      <c r="T36" s="225"/>
      <c r="U36" s="225"/>
      <c r="V36" s="225"/>
      <c r="W36" s="225"/>
      <c r="X36" s="225"/>
      <c r="Y36" s="225"/>
      <c r="Z36" s="225"/>
    </row>
    <row r="37" spans="1:26" ht="18" customHeight="1" x14ac:dyDescent="0.15">
      <c r="A37" s="28"/>
      <c r="B37" s="138" t="s">
        <v>18</v>
      </c>
      <c r="C37" s="139"/>
      <c r="D37" s="139"/>
      <c r="E37" s="139"/>
      <c r="F37" s="140"/>
      <c r="G37" s="4" t="s">
        <v>57</v>
      </c>
      <c r="H37" s="24" t="s">
        <v>56</v>
      </c>
      <c r="I37" s="138" t="s">
        <v>19</v>
      </c>
      <c r="J37" s="139"/>
      <c r="K37" s="140"/>
      <c r="L37" s="5" t="s">
        <v>46</v>
      </c>
      <c r="M37" s="5" t="s">
        <v>47</v>
      </c>
      <c r="N37" s="138" t="s">
        <v>18</v>
      </c>
      <c r="O37" s="139"/>
      <c r="P37" s="139"/>
      <c r="Q37" s="139"/>
      <c r="R37" s="139"/>
      <c r="S37" s="140"/>
      <c r="T37" s="4" t="s">
        <v>57</v>
      </c>
      <c r="U37" s="24" t="s">
        <v>56</v>
      </c>
      <c r="V37" s="138" t="s">
        <v>19</v>
      </c>
      <c r="W37" s="139"/>
      <c r="X37" s="140"/>
      <c r="Y37" s="5" t="s">
        <v>46</v>
      </c>
      <c r="Z37" s="5" t="s">
        <v>47</v>
      </c>
    </row>
    <row r="38" spans="1:26" ht="18" customHeight="1" x14ac:dyDescent="0.15">
      <c r="A38" s="30"/>
      <c r="B38" s="216" t="s">
        <v>67</v>
      </c>
      <c r="C38" s="217"/>
      <c r="D38" s="217"/>
      <c r="E38" s="217"/>
      <c r="F38" s="221"/>
      <c r="G38" s="25">
        <v>2</v>
      </c>
      <c r="H38" s="25" t="s">
        <v>62</v>
      </c>
      <c r="I38" s="222" t="s">
        <v>61</v>
      </c>
      <c r="J38" s="223"/>
      <c r="K38" s="224"/>
      <c r="L38" s="6" t="s">
        <v>62</v>
      </c>
      <c r="M38" s="6" t="s">
        <v>62</v>
      </c>
      <c r="N38" s="203"/>
      <c r="O38" s="204"/>
      <c r="P38" s="204"/>
      <c r="Q38" s="204"/>
      <c r="R38" s="204"/>
      <c r="S38" s="205"/>
      <c r="T38" s="25"/>
      <c r="U38" s="25"/>
      <c r="V38" s="222"/>
      <c r="W38" s="223"/>
      <c r="X38" s="224"/>
      <c r="Y38" s="6"/>
      <c r="Z38" s="6"/>
    </row>
    <row r="39" spans="1:26" ht="18" customHeight="1" x14ac:dyDescent="0.15">
      <c r="A39" s="30"/>
      <c r="B39" s="216"/>
      <c r="C39" s="217"/>
      <c r="D39" s="217"/>
      <c r="E39" s="217"/>
      <c r="F39" s="221"/>
      <c r="G39" s="26"/>
      <c r="H39" s="26"/>
      <c r="I39" s="218"/>
      <c r="J39" s="219"/>
      <c r="K39" s="220"/>
      <c r="L39" s="7"/>
      <c r="M39" s="7"/>
      <c r="N39" s="180"/>
      <c r="O39" s="181"/>
      <c r="P39" s="181"/>
      <c r="Q39" s="181"/>
      <c r="R39" s="181"/>
      <c r="S39" s="182"/>
      <c r="T39" s="26"/>
      <c r="U39" s="26"/>
      <c r="V39" s="218"/>
      <c r="W39" s="219"/>
      <c r="X39" s="220"/>
      <c r="Y39" s="7"/>
      <c r="Z39" s="7"/>
    </row>
    <row r="40" spans="1:26" ht="18" customHeight="1" x14ac:dyDescent="0.15">
      <c r="A40" s="30"/>
      <c r="B40" s="216"/>
      <c r="C40" s="217"/>
      <c r="D40" s="217"/>
      <c r="E40" s="217"/>
      <c r="F40" s="221"/>
      <c r="G40" s="26"/>
      <c r="H40" s="26"/>
      <c r="I40" s="218"/>
      <c r="J40" s="219"/>
      <c r="K40" s="220"/>
      <c r="L40" s="7"/>
      <c r="M40" s="7"/>
      <c r="N40" s="180"/>
      <c r="O40" s="181"/>
      <c r="P40" s="181"/>
      <c r="Q40" s="181"/>
      <c r="R40" s="181"/>
      <c r="S40" s="182"/>
      <c r="T40" s="26"/>
      <c r="U40" s="26"/>
      <c r="V40" s="218"/>
      <c r="W40" s="219"/>
      <c r="X40" s="220"/>
      <c r="Y40" s="7"/>
      <c r="Z40" s="7"/>
    </row>
    <row r="41" spans="1:26" ht="18" customHeight="1" x14ac:dyDescent="0.15">
      <c r="A41" s="30"/>
      <c r="B41" s="216"/>
      <c r="C41" s="217"/>
      <c r="D41" s="217"/>
      <c r="E41" s="217"/>
      <c r="F41" s="221"/>
      <c r="G41" s="26"/>
      <c r="H41" s="26"/>
      <c r="I41" s="218"/>
      <c r="J41" s="219"/>
      <c r="K41" s="220"/>
      <c r="L41" s="7"/>
      <c r="M41" s="7"/>
      <c r="N41" s="180"/>
      <c r="O41" s="181"/>
      <c r="P41" s="181"/>
      <c r="Q41" s="181"/>
      <c r="R41" s="181"/>
      <c r="S41" s="182"/>
      <c r="T41" s="26"/>
      <c r="U41" s="26"/>
      <c r="V41" s="218"/>
      <c r="W41" s="219"/>
      <c r="X41" s="220"/>
      <c r="Y41" s="7"/>
      <c r="Z41" s="7"/>
    </row>
    <row r="42" spans="1:26" ht="18" customHeight="1" x14ac:dyDescent="0.15">
      <c r="A42" s="30"/>
      <c r="B42" s="216"/>
      <c r="C42" s="217"/>
      <c r="D42" s="217"/>
      <c r="E42" s="217"/>
      <c r="F42" s="221"/>
      <c r="G42" s="26"/>
      <c r="H42" s="26"/>
      <c r="I42" s="218"/>
      <c r="J42" s="219"/>
      <c r="K42" s="220"/>
      <c r="L42" s="7"/>
      <c r="M42" s="7"/>
      <c r="N42" s="180"/>
      <c r="O42" s="181"/>
      <c r="P42" s="181"/>
      <c r="Q42" s="181"/>
      <c r="R42" s="181"/>
      <c r="S42" s="182"/>
      <c r="T42" s="26"/>
      <c r="U42" s="26"/>
      <c r="V42" s="218"/>
      <c r="W42" s="219"/>
      <c r="X42" s="220"/>
      <c r="Y42" s="7"/>
      <c r="Z42" s="7"/>
    </row>
    <row r="43" spans="1:26" ht="18" customHeight="1" x14ac:dyDescent="0.15">
      <c r="A43" s="30"/>
      <c r="B43" s="216"/>
      <c r="C43" s="217"/>
      <c r="D43" s="217"/>
      <c r="E43" s="217"/>
      <c r="F43" s="221"/>
      <c r="G43" s="26"/>
      <c r="H43" s="26"/>
      <c r="I43" s="218"/>
      <c r="J43" s="219"/>
      <c r="K43" s="220"/>
      <c r="L43" s="7"/>
      <c r="M43" s="7"/>
      <c r="N43" s="180"/>
      <c r="O43" s="181"/>
      <c r="P43" s="181"/>
      <c r="Q43" s="181"/>
      <c r="R43" s="181"/>
      <c r="S43" s="182"/>
      <c r="T43" s="26"/>
      <c r="U43" s="26"/>
      <c r="V43" s="218"/>
      <c r="W43" s="219"/>
      <c r="X43" s="220"/>
      <c r="Y43" s="7"/>
      <c r="Z43" s="7"/>
    </row>
    <row r="44" spans="1:26" ht="18" customHeight="1" x14ac:dyDescent="0.15">
      <c r="A44" s="30"/>
      <c r="B44" s="209"/>
      <c r="C44" s="190"/>
      <c r="D44" s="190"/>
      <c r="E44" s="190"/>
      <c r="F44" s="191"/>
      <c r="G44" s="27"/>
      <c r="H44" s="27"/>
      <c r="I44" s="210"/>
      <c r="J44" s="211"/>
      <c r="K44" s="212"/>
      <c r="L44" s="8"/>
      <c r="M44" s="8"/>
      <c r="N44" s="183"/>
      <c r="O44" s="184"/>
      <c r="P44" s="184"/>
      <c r="Q44" s="184"/>
      <c r="R44" s="184"/>
      <c r="S44" s="185"/>
      <c r="T44" s="27"/>
      <c r="U44" s="27"/>
      <c r="V44" s="210"/>
      <c r="W44" s="211"/>
      <c r="X44" s="212"/>
      <c r="Y44" s="8"/>
      <c r="Z44" s="8"/>
    </row>
    <row r="45" spans="1:26" ht="7.5" customHeight="1" x14ac:dyDescent="0.15">
      <c r="B45" s="31"/>
      <c r="C45" s="31"/>
      <c r="D45" s="31"/>
      <c r="E45" s="31"/>
      <c r="F45" s="31"/>
      <c r="G45" s="31"/>
      <c r="H45" s="31"/>
      <c r="I45" s="31"/>
      <c r="J45" s="31"/>
      <c r="K45" s="31"/>
      <c r="L45" s="31"/>
      <c r="M45" s="31"/>
      <c r="N45" s="31"/>
      <c r="O45" s="31"/>
      <c r="P45" s="31"/>
      <c r="Q45" s="31"/>
      <c r="R45" s="31"/>
      <c r="S45" s="31"/>
      <c r="T45" s="31"/>
      <c r="U45" s="31"/>
      <c r="V45" s="31"/>
      <c r="W45" s="31"/>
      <c r="X45" s="31"/>
      <c r="Y45" s="31"/>
    </row>
    <row r="46" spans="1:26" ht="18" customHeight="1" x14ac:dyDescent="0.15">
      <c r="A46" s="225" t="s">
        <v>48</v>
      </c>
      <c r="B46" s="225"/>
      <c r="C46" s="225"/>
      <c r="D46" s="225"/>
      <c r="E46" s="225"/>
      <c r="F46" s="225"/>
      <c r="G46" s="225"/>
      <c r="H46" s="225"/>
      <c r="I46" s="225"/>
      <c r="J46" s="225"/>
      <c r="K46" s="225"/>
      <c r="L46" s="225"/>
      <c r="M46" s="225"/>
      <c r="N46" s="225"/>
      <c r="O46" s="225"/>
      <c r="P46" s="225"/>
      <c r="Q46" s="225"/>
      <c r="R46" s="225"/>
      <c r="S46" s="225"/>
      <c r="T46" s="225"/>
      <c r="U46" s="225"/>
      <c r="V46" s="225"/>
      <c r="W46" s="225"/>
      <c r="X46" s="225"/>
      <c r="Y46" s="225"/>
      <c r="Z46" s="225"/>
    </row>
    <row r="47" spans="1:26" ht="18" customHeight="1" x14ac:dyDescent="0.15">
      <c r="A47" s="225"/>
      <c r="B47" s="225"/>
      <c r="C47" s="225"/>
      <c r="D47" s="225"/>
      <c r="E47" s="225"/>
      <c r="F47" s="225"/>
      <c r="G47" s="225"/>
      <c r="H47" s="225"/>
      <c r="I47" s="225"/>
      <c r="J47" s="225"/>
      <c r="K47" s="225"/>
      <c r="L47" s="225"/>
      <c r="M47" s="225"/>
      <c r="N47" s="225"/>
      <c r="O47" s="225"/>
      <c r="P47" s="225"/>
      <c r="Q47" s="225"/>
      <c r="R47" s="225"/>
      <c r="S47" s="225"/>
      <c r="T47" s="225"/>
      <c r="U47" s="225"/>
      <c r="V47" s="225"/>
      <c r="W47" s="225"/>
      <c r="X47" s="225"/>
      <c r="Y47" s="225"/>
      <c r="Z47" s="225"/>
    </row>
    <row r="48" spans="1:26" ht="18" customHeight="1" x14ac:dyDescent="0.15">
      <c r="A48" s="28"/>
      <c r="B48" s="138" t="s">
        <v>18</v>
      </c>
      <c r="C48" s="139"/>
      <c r="D48" s="139"/>
      <c r="E48" s="139"/>
      <c r="F48" s="140"/>
      <c r="G48" s="4" t="s">
        <v>57</v>
      </c>
      <c r="H48" s="24" t="s">
        <v>56</v>
      </c>
      <c r="I48" s="138" t="s">
        <v>19</v>
      </c>
      <c r="J48" s="139"/>
      <c r="K48" s="140"/>
      <c r="L48" s="5" t="s">
        <v>24</v>
      </c>
      <c r="M48" s="5" t="s">
        <v>26</v>
      </c>
      <c r="N48" s="138" t="s">
        <v>18</v>
      </c>
      <c r="O48" s="139"/>
      <c r="P48" s="139"/>
      <c r="Q48" s="139"/>
      <c r="R48" s="139"/>
      <c r="S48" s="140"/>
      <c r="T48" s="4" t="s">
        <v>57</v>
      </c>
      <c r="U48" s="24" t="s">
        <v>56</v>
      </c>
      <c r="V48" s="138" t="s">
        <v>19</v>
      </c>
      <c r="W48" s="139"/>
      <c r="X48" s="140"/>
      <c r="Y48" s="5" t="s">
        <v>24</v>
      </c>
      <c r="Z48" s="5" t="s">
        <v>26</v>
      </c>
    </row>
    <row r="49" spans="1:26" ht="18" customHeight="1" x14ac:dyDescent="0.15">
      <c r="A49" s="30"/>
      <c r="B49" s="226" t="s">
        <v>67</v>
      </c>
      <c r="C49" s="188"/>
      <c r="D49" s="188"/>
      <c r="E49" s="188"/>
      <c r="F49" s="189"/>
      <c r="G49" s="25">
        <v>2</v>
      </c>
      <c r="H49" s="25" t="s">
        <v>62</v>
      </c>
      <c r="I49" s="222" t="s">
        <v>61</v>
      </c>
      <c r="J49" s="223"/>
      <c r="K49" s="224"/>
      <c r="L49" s="6" t="s">
        <v>62</v>
      </c>
      <c r="M49" s="6" t="s">
        <v>62</v>
      </c>
      <c r="N49" s="203"/>
      <c r="O49" s="204"/>
      <c r="P49" s="204"/>
      <c r="Q49" s="204"/>
      <c r="R49" s="204"/>
      <c r="S49" s="205"/>
      <c r="T49" s="25"/>
      <c r="U49" s="25"/>
      <c r="V49" s="222"/>
      <c r="W49" s="223"/>
      <c r="X49" s="224"/>
      <c r="Y49" s="6"/>
      <c r="Z49" s="6"/>
    </row>
    <row r="50" spans="1:26" ht="18" customHeight="1" x14ac:dyDescent="0.15">
      <c r="A50" s="30"/>
      <c r="B50" s="216"/>
      <c r="C50" s="217"/>
      <c r="D50" s="217"/>
      <c r="E50" s="217"/>
      <c r="F50" s="221"/>
      <c r="G50" s="26"/>
      <c r="H50" s="26"/>
      <c r="I50" s="218"/>
      <c r="J50" s="219"/>
      <c r="K50" s="220"/>
      <c r="L50" s="7"/>
      <c r="M50" s="7"/>
      <c r="N50" s="180"/>
      <c r="O50" s="181"/>
      <c r="P50" s="181"/>
      <c r="Q50" s="181"/>
      <c r="R50" s="181"/>
      <c r="S50" s="182"/>
      <c r="T50" s="26"/>
      <c r="U50" s="26"/>
      <c r="V50" s="218"/>
      <c r="W50" s="219"/>
      <c r="X50" s="220"/>
      <c r="Y50" s="7"/>
      <c r="Z50" s="7"/>
    </row>
    <row r="51" spans="1:26" ht="18" customHeight="1" x14ac:dyDescent="0.15">
      <c r="A51" s="30"/>
      <c r="B51" s="216"/>
      <c r="C51" s="217"/>
      <c r="D51" s="217"/>
      <c r="E51" s="217"/>
      <c r="F51" s="221"/>
      <c r="G51" s="26"/>
      <c r="H51" s="26"/>
      <c r="I51" s="218"/>
      <c r="J51" s="219"/>
      <c r="K51" s="220"/>
      <c r="L51" s="7"/>
      <c r="M51" s="7"/>
      <c r="N51" s="180"/>
      <c r="O51" s="181"/>
      <c r="P51" s="181"/>
      <c r="Q51" s="181"/>
      <c r="R51" s="181"/>
      <c r="S51" s="182"/>
      <c r="T51" s="26"/>
      <c r="U51" s="26"/>
      <c r="V51" s="218"/>
      <c r="W51" s="219"/>
      <c r="X51" s="220"/>
      <c r="Y51" s="7"/>
      <c r="Z51" s="7"/>
    </row>
    <row r="52" spans="1:26" ht="18" customHeight="1" x14ac:dyDescent="0.15">
      <c r="A52" s="30"/>
      <c r="B52" s="216"/>
      <c r="C52" s="217"/>
      <c r="D52" s="217"/>
      <c r="E52" s="217"/>
      <c r="F52" s="221"/>
      <c r="G52" s="26"/>
      <c r="H52" s="26"/>
      <c r="I52" s="218"/>
      <c r="J52" s="219"/>
      <c r="K52" s="220"/>
      <c r="L52" s="7"/>
      <c r="M52" s="7"/>
      <c r="N52" s="180"/>
      <c r="O52" s="181"/>
      <c r="P52" s="181"/>
      <c r="Q52" s="181"/>
      <c r="R52" s="181"/>
      <c r="S52" s="182"/>
      <c r="T52" s="26"/>
      <c r="U52" s="26"/>
      <c r="V52" s="218"/>
      <c r="W52" s="219"/>
      <c r="X52" s="220"/>
      <c r="Y52" s="7"/>
      <c r="Z52" s="7"/>
    </row>
    <row r="53" spans="1:26" ht="18" customHeight="1" x14ac:dyDescent="0.15">
      <c r="A53" s="30"/>
      <c r="B53" s="216"/>
      <c r="C53" s="217"/>
      <c r="D53" s="217"/>
      <c r="E53" s="217"/>
      <c r="F53" s="221"/>
      <c r="G53" s="26"/>
      <c r="H53" s="26"/>
      <c r="I53" s="218"/>
      <c r="J53" s="219"/>
      <c r="K53" s="220"/>
      <c r="L53" s="7"/>
      <c r="M53" s="7"/>
      <c r="N53" s="180"/>
      <c r="O53" s="181"/>
      <c r="P53" s="181"/>
      <c r="Q53" s="181"/>
      <c r="R53" s="181"/>
      <c r="S53" s="182"/>
      <c r="T53" s="26"/>
      <c r="U53" s="26"/>
      <c r="V53" s="218"/>
      <c r="W53" s="219"/>
      <c r="X53" s="220"/>
      <c r="Y53" s="7"/>
      <c r="Z53" s="7"/>
    </row>
    <row r="54" spans="1:26" ht="18" customHeight="1" x14ac:dyDescent="0.15">
      <c r="A54" s="30"/>
      <c r="B54" s="216"/>
      <c r="C54" s="217"/>
      <c r="D54" s="217"/>
      <c r="E54" s="217"/>
      <c r="F54" s="221"/>
      <c r="G54" s="26"/>
      <c r="H54" s="26"/>
      <c r="I54" s="218"/>
      <c r="J54" s="219"/>
      <c r="K54" s="220"/>
      <c r="L54" s="7"/>
      <c r="M54" s="7"/>
      <c r="N54" s="180"/>
      <c r="O54" s="181"/>
      <c r="P54" s="181"/>
      <c r="Q54" s="181"/>
      <c r="R54" s="181"/>
      <c r="S54" s="182"/>
      <c r="T54" s="26"/>
      <c r="U54" s="26"/>
      <c r="V54" s="218"/>
      <c r="W54" s="219"/>
      <c r="X54" s="220"/>
      <c r="Y54" s="7"/>
      <c r="Z54" s="7"/>
    </row>
    <row r="55" spans="1:26" ht="18" customHeight="1" x14ac:dyDescent="0.15">
      <c r="A55" s="30"/>
      <c r="B55" s="209"/>
      <c r="C55" s="190"/>
      <c r="D55" s="190"/>
      <c r="E55" s="190"/>
      <c r="F55" s="191"/>
      <c r="G55" s="27"/>
      <c r="H55" s="27"/>
      <c r="I55" s="210"/>
      <c r="J55" s="211"/>
      <c r="K55" s="212"/>
      <c r="L55" s="8"/>
      <c r="M55" s="8"/>
      <c r="N55" s="183"/>
      <c r="O55" s="184"/>
      <c r="P55" s="184"/>
      <c r="Q55" s="184"/>
      <c r="R55" s="184"/>
      <c r="S55" s="185"/>
      <c r="T55" s="27"/>
      <c r="U55" s="27"/>
      <c r="V55" s="210"/>
      <c r="W55" s="211"/>
      <c r="X55" s="212"/>
      <c r="Y55" s="8"/>
      <c r="Z55" s="8"/>
    </row>
    <row r="56" spans="1:26" ht="7.5" customHeight="1" x14ac:dyDescent="0.15">
      <c r="B56" s="31"/>
      <c r="C56" s="31"/>
      <c r="D56" s="31"/>
      <c r="E56" s="31"/>
      <c r="F56" s="31"/>
      <c r="G56" s="31"/>
      <c r="H56" s="31"/>
      <c r="I56" s="31"/>
      <c r="J56" s="31"/>
      <c r="K56" s="31"/>
      <c r="L56" s="31"/>
      <c r="M56" s="31"/>
      <c r="N56" s="31"/>
      <c r="O56" s="31"/>
      <c r="P56" s="31"/>
      <c r="Q56" s="31"/>
      <c r="R56" s="31"/>
      <c r="S56" s="31"/>
      <c r="T56" s="31"/>
      <c r="U56" s="31"/>
      <c r="V56" s="31"/>
      <c r="W56" s="31"/>
      <c r="X56" s="31"/>
      <c r="Y56" s="31"/>
    </row>
    <row r="57" spans="1:26" ht="18" customHeight="1" x14ac:dyDescent="0.15">
      <c r="A57" s="225" t="s">
        <v>49</v>
      </c>
      <c r="B57" s="225"/>
      <c r="C57" s="225"/>
      <c r="D57" s="225"/>
      <c r="E57" s="225"/>
      <c r="F57" s="225"/>
      <c r="G57" s="225"/>
      <c r="H57" s="225"/>
      <c r="I57" s="225"/>
      <c r="J57" s="225"/>
      <c r="K57" s="225"/>
      <c r="L57" s="225"/>
      <c r="M57" s="225"/>
      <c r="N57" s="225"/>
      <c r="O57" s="225"/>
      <c r="P57" s="225"/>
      <c r="Q57" s="225"/>
      <c r="R57" s="225"/>
      <c r="S57" s="225"/>
      <c r="T57" s="225"/>
      <c r="U57" s="225"/>
      <c r="V57" s="225"/>
      <c r="W57" s="225"/>
      <c r="X57" s="225"/>
      <c r="Y57" s="225"/>
      <c r="Z57" s="225"/>
    </row>
    <row r="58" spans="1:26" ht="18" customHeight="1" x14ac:dyDescent="0.15">
      <c r="A58" s="225"/>
      <c r="B58" s="225"/>
      <c r="C58" s="225"/>
      <c r="D58" s="225"/>
      <c r="E58" s="225"/>
      <c r="F58" s="225"/>
      <c r="G58" s="225"/>
      <c r="H58" s="225"/>
      <c r="I58" s="225"/>
      <c r="J58" s="225"/>
      <c r="K58" s="225"/>
      <c r="L58" s="225"/>
      <c r="M58" s="225"/>
      <c r="N58" s="225"/>
      <c r="O58" s="225"/>
      <c r="P58" s="225"/>
      <c r="Q58" s="225"/>
      <c r="R58" s="225"/>
      <c r="S58" s="225"/>
      <c r="T58" s="225"/>
      <c r="U58" s="225"/>
      <c r="V58" s="225"/>
      <c r="W58" s="225"/>
      <c r="X58" s="225"/>
      <c r="Y58" s="225"/>
      <c r="Z58" s="225"/>
    </row>
    <row r="59" spans="1:26" ht="18" customHeight="1" x14ac:dyDescent="0.15">
      <c r="A59" s="28"/>
      <c r="B59" s="138" t="s">
        <v>18</v>
      </c>
      <c r="C59" s="139"/>
      <c r="D59" s="139"/>
      <c r="E59" s="140"/>
      <c r="F59" s="4" t="s">
        <v>57</v>
      </c>
      <c r="G59" s="24" t="s">
        <v>56</v>
      </c>
      <c r="H59" s="16" t="s">
        <v>19</v>
      </c>
      <c r="I59" s="17"/>
      <c r="J59" s="18"/>
      <c r="K59" s="5" t="s">
        <v>23</v>
      </c>
      <c r="L59" s="5" t="s">
        <v>50</v>
      </c>
      <c r="M59" s="5" t="s">
        <v>51</v>
      </c>
      <c r="N59" s="138" t="s">
        <v>18</v>
      </c>
      <c r="O59" s="139"/>
      <c r="P59" s="139"/>
      <c r="Q59" s="139"/>
      <c r="R59" s="140"/>
      <c r="S59" s="4" t="s">
        <v>57</v>
      </c>
      <c r="T59" s="24" t="s">
        <v>56</v>
      </c>
      <c r="U59" s="16" t="s">
        <v>19</v>
      </c>
      <c r="V59" s="17"/>
      <c r="W59" s="18"/>
      <c r="X59" s="5" t="s">
        <v>23</v>
      </c>
      <c r="Y59" s="5" t="s">
        <v>50</v>
      </c>
      <c r="Z59" s="5" t="s">
        <v>51</v>
      </c>
    </row>
    <row r="60" spans="1:26" ht="18" customHeight="1" x14ac:dyDescent="0.15">
      <c r="A60" s="30"/>
      <c r="B60" s="203" t="s">
        <v>67</v>
      </c>
      <c r="C60" s="204"/>
      <c r="D60" s="204"/>
      <c r="E60" s="205"/>
      <c r="F60" s="25">
        <v>2</v>
      </c>
      <c r="G60" s="25" t="s">
        <v>62</v>
      </c>
      <c r="H60" s="222" t="s">
        <v>61</v>
      </c>
      <c r="I60" s="223"/>
      <c r="J60" s="224"/>
      <c r="K60" s="19" t="s">
        <v>62</v>
      </c>
      <c r="L60" s="6" t="s">
        <v>62</v>
      </c>
      <c r="M60" s="6" t="s">
        <v>62</v>
      </c>
      <c r="N60" s="203"/>
      <c r="O60" s="204"/>
      <c r="P60" s="204"/>
      <c r="Q60" s="204"/>
      <c r="R60" s="205"/>
      <c r="S60" s="25"/>
      <c r="T60" s="25"/>
      <c r="U60" s="222"/>
      <c r="V60" s="223"/>
      <c r="W60" s="224"/>
      <c r="X60" s="19"/>
      <c r="Y60" s="6"/>
      <c r="Z60" s="6"/>
    </row>
    <row r="61" spans="1:26" ht="18" customHeight="1" x14ac:dyDescent="0.15">
      <c r="A61" s="30"/>
      <c r="B61" s="216" t="s">
        <v>71</v>
      </c>
      <c r="C61" s="217"/>
      <c r="D61" s="217"/>
      <c r="E61" s="221"/>
      <c r="F61" s="26">
        <v>1</v>
      </c>
      <c r="G61" s="26" t="s">
        <v>62</v>
      </c>
      <c r="H61" s="218" t="s">
        <v>65</v>
      </c>
      <c r="I61" s="219"/>
      <c r="J61" s="220"/>
      <c r="K61" s="20" t="s">
        <v>62</v>
      </c>
      <c r="L61" s="7"/>
      <c r="M61" s="7"/>
      <c r="N61" s="180"/>
      <c r="O61" s="181"/>
      <c r="P61" s="181"/>
      <c r="Q61" s="181"/>
      <c r="R61" s="182"/>
      <c r="S61" s="26"/>
      <c r="T61" s="26"/>
      <c r="U61" s="218"/>
      <c r="V61" s="219"/>
      <c r="W61" s="220"/>
      <c r="X61" s="20"/>
      <c r="Y61" s="7"/>
      <c r="Z61" s="7"/>
    </row>
    <row r="62" spans="1:26" ht="18" customHeight="1" x14ac:dyDescent="0.15">
      <c r="A62" s="30"/>
      <c r="B62" s="216"/>
      <c r="C62" s="217"/>
      <c r="D62" s="217"/>
      <c r="E62" s="217"/>
      <c r="F62" s="26"/>
      <c r="G62" s="26"/>
      <c r="H62" s="218"/>
      <c r="I62" s="219"/>
      <c r="J62" s="220"/>
      <c r="K62" s="20"/>
      <c r="L62" s="7"/>
      <c r="M62" s="7"/>
      <c r="N62" s="180"/>
      <c r="O62" s="181"/>
      <c r="P62" s="181"/>
      <c r="Q62" s="181"/>
      <c r="R62" s="182"/>
      <c r="S62" s="26"/>
      <c r="T62" s="26"/>
      <c r="U62" s="218"/>
      <c r="V62" s="219"/>
      <c r="W62" s="220"/>
      <c r="X62" s="20"/>
      <c r="Y62" s="7"/>
      <c r="Z62" s="7"/>
    </row>
    <row r="63" spans="1:26" ht="18" customHeight="1" x14ac:dyDescent="0.15">
      <c r="A63" s="30"/>
      <c r="B63" s="216"/>
      <c r="C63" s="217"/>
      <c r="D63" s="217"/>
      <c r="E63" s="217"/>
      <c r="F63" s="26"/>
      <c r="G63" s="26"/>
      <c r="H63" s="218"/>
      <c r="I63" s="219"/>
      <c r="J63" s="220"/>
      <c r="K63" s="20"/>
      <c r="L63" s="7"/>
      <c r="M63" s="7"/>
      <c r="N63" s="180"/>
      <c r="O63" s="181"/>
      <c r="P63" s="181"/>
      <c r="Q63" s="181"/>
      <c r="R63" s="182"/>
      <c r="S63" s="26"/>
      <c r="T63" s="26"/>
      <c r="U63" s="218"/>
      <c r="V63" s="219"/>
      <c r="W63" s="220"/>
      <c r="X63" s="20"/>
      <c r="Y63" s="7"/>
      <c r="Z63" s="7"/>
    </row>
    <row r="64" spans="1:26" ht="18" customHeight="1" x14ac:dyDescent="0.15">
      <c r="A64" s="30"/>
      <c r="B64" s="216"/>
      <c r="C64" s="217"/>
      <c r="D64" s="217"/>
      <c r="E64" s="217"/>
      <c r="F64" s="26"/>
      <c r="G64" s="26"/>
      <c r="H64" s="218"/>
      <c r="I64" s="219"/>
      <c r="J64" s="220"/>
      <c r="K64" s="20"/>
      <c r="L64" s="7"/>
      <c r="M64" s="7"/>
      <c r="N64" s="180"/>
      <c r="O64" s="181"/>
      <c r="P64" s="181"/>
      <c r="Q64" s="181"/>
      <c r="R64" s="182"/>
      <c r="S64" s="26"/>
      <c r="T64" s="26"/>
      <c r="U64" s="218"/>
      <c r="V64" s="219"/>
      <c r="W64" s="220"/>
      <c r="X64" s="20"/>
      <c r="Y64" s="7"/>
      <c r="Z64" s="7"/>
    </row>
    <row r="65" spans="1:26" ht="18" customHeight="1" x14ac:dyDescent="0.15">
      <c r="A65" s="30"/>
      <c r="B65" s="209"/>
      <c r="C65" s="190"/>
      <c r="D65" s="190"/>
      <c r="E65" s="191"/>
      <c r="F65" s="27"/>
      <c r="G65" s="27"/>
      <c r="H65" s="210"/>
      <c r="I65" s="211"/>
      <c r="J65" s="212"/>
      <c r="K65" s="21"/>
      <c r="L65" s="8"/>
      <c r="M65" s="8"/>
      <c r="N65" s="183"/>
      <c r="O65" s="184"/>
      <c r="P65" s="184"/>
      <c r="Q65" s="184"/>
      <c r="R65" s="185"/>
      <c r="S65" s="27"/>
      <c r="T65" s="27"/>
      <c r="U65" s="210"/>
      <c r="V65" s="211"/>
      <c r="W65" s="212"/>
      <c r="X65" s="21"/>
      <c r="Y65" s="8"/>
      <c r="Z65" s="8"/>
    </row>
    <row r="66" spans="1:26" ht="7.5" customHeight="1" x14ac:dyDescent="0.15">
      <c r="B66" s="31"/>
      <c r="C66" s="31"/>
      <c r="D66" s="31"/>
      <c r="E66" s="31"/>
      <c r="F66" s="31"/>
      <c r="G66" s="31"/>
      <c r="H66" s="31"/>
      <c r="I66" s="31"/>
      <c r="J66" s="31"/>
      <c r="K66" s="31"/>
      <c r="L66" s="31"/>
      <c r="M66" s="31"/>
      <c r="N66" s="31"/>
      <c r="O66" s="31"/>
      <c r="P66" s="31"/>
      <c r="Q66" s="31"/>
      <c r="R66" s="31"/>
      <c r="S66" s="31"/>
      <c r="T66" s="31"/>
      <c r="U66" s="31"/>
      <c r="V66" s="31"/>
      <c r="W66" s="31"/>
      <c r="X66" s="31"/>
      <c r="Y66" s="31"/>
    </row>
    <row r="67" spans="1:26" ht="18" customHeight="1" x14ac:dyDescent="0.15">
      <c r="A67" s="28" t="s">
        <v>52</v>
      </c>
      <c r="B67" s="28"/>
      <c r="C67" s="28"/>
      <c r="D67" s="28"/>
      <c r="E67" s="28"/>
      <c r="F67" s="28"/>
      <c r="G67" s="28"/>
      <c r="H67" s="28"/>
      <c r="I67" s="28"/>
      <c r="J67" s="28"/>
      <c r="K67" s="28"/>
      <c r="L67" s="30"/>
      <c r="M67" s="30"/>
      <c r="N67" s="30"/>
      <c r="O67" s="30"/>
      <c r="P67" s="30"/>
      <c r="Q67" s="30"/>
      <c r="R67" s="30"/>
      <c r="S67" s="30"/>
      <c r="T67" s="30"/>
      <c r="U67" s="30"/>
      <c r="V67" s="30"/>
      <c r="W67" s="30"/>
      <c r="X67" s="30"/>
      <c r="Y67" s="30"/>
      <c r="Z67" s="30"/>
    </row>
    <row r="68" spans="1:26" ht="18" customHeight="1" x14ac:dyDescent="0.15">
      <c r="A68" s="28"/>
      <c r="B68" s="138" t="s">
        <v>18</v>
      </c>
      <c r="C68" s="139"/>
      <c r="D68" s="139"/>
      <c r="E68" s="139"/>
      <c r="F68" s="140"/>
      <c r="G68" s="138" t="s">
        <v>27</v>
      </c>
      <c r="H68" s="139"/>
      <c r="I68" s="139"/>
      <c r="J68" s="139"/>
      <c r="K68" s="139"/>
      <c r="L68" s="139"/>
      <c r="M68" s="140"/>
      <c r="N68" s="213" t="s">
        <v>18</v>
      </c>
      <c r="O68" s="214"/>
      <c r="P68" s="214"/>
      <c r="Q68" s="214"/>
      <c r="R68" s="214"/>
      <c r="S68" s="215"/>
      <c r="T68" s="138" t="s">
        <v>27</v>
      </c>
      <c r="U68" s="139"/>
      <c r="V68" s="139"/>
      <c r="W68" s="139"/>
      <c r="X68" s="139"/>
      <c r="Y68" s="139"/>
      <c r="Z68" s="140"/>
    </row>
    <row r="69" spans="1:26" ht="18" customHeight="1" x14ac:dyDescent="0.15">
      <c r="A69" s="30"/>
      <c r="B69" s="203"/>
      <c r="C69" s="204"/>
      <c r="D69" s="204"/>
      <c r="E69" s="204"/>
      <c r="F69" s="205"/>
      <c r="G69" s="206"/>
      <c r="H69" s="207"/>
      <c r="I69" s="207"/>
      <c r="J69" s="207"/>
      <c r="K69" s="207"/>
      <c r="L69" s="207"/>
      <c r="M69" s="208"/>
      <c r="N69" s="203"/>
      <c r="O69" s="204"/>
      <c r="P69" s="204"/>
      <c r="Q69" s="204"/>
      <c r="R69" s="204"/>
      <c r="S69" s="205"/>
      <c r="T69" s="206"/>
      <c r="U69" s="207"/>
      <c r="V69" s="207"/>
      <c r="W69" s="207"/>
      <c r="X69" s="207"/>
      <c r="Y69" s="207"/>
      <c r="Z69" s="208"/>
    </row>
    <row r="70" spans="1:26" ht="18" customHeight="1" x14ac:dyDescent="0.15">
      <c r="A70" s="30"/>
      <c r="B70" s="180"/>
      <c r="C70" s="181"/>
      <c r="D70" s="181"/>
      <c r="E70" s="181"/>
      <c r="F70" s="182"/>
      <c r="G70" s="200"/>
      <c r="H70" s="201"/>
      <c r="I70" s="201"/>
      <c r="J70" s="201"/>
      <c r="K70" s="201"/>
      <c r="L70" s="201"/>
      <c r="M70" s="202"/>
      <c r="N70" s="180"/>
      <c r="O70" s="181"/>
      <c r="P70" s="181"/>
      <c r="Q70" s="181"/>
      <c r="R70" s="181"/>
      <c r="S70" s="182"/>
      <c r="T70" s="200"/>
      <c r="U70" s="201"/>
      <c r="V70" s="201"/>
      <c r="W70" s="201"/>
      <c r="X70" s="201"/>
      <c r="Y70" s="201"/>
      <c r="Z70" s="202"/>
    </row>
    <row r="71" spans="1:26" ht="18" customHeight="1" x14ac:dyDescent="0.15">
      <c r="A71" s="30"/>
      <c r="B71" s="180"/>
      <c r="C71" s="181"/>
      <c r="D71" s="181"/>
      <c r="E71" s="181"/>
      <c r="F71" s="182"/>
      <c r="G71" s="200"/>
      <c r="H71" s="201"/>
      <c r="I71" s="201"/>
      <c r="J71" s="201"/>
      <c r="K71" s="201"/>
      <c r="L71" s="201"/>
      <c r="M71" s="202"/>
      <c r="N71" s="180"/>
      <c r="O71" s="181"/>
      <c r="P71" s="181"/>
      <c r="Q71" s="181"/>
      <c r="R71" s="181"/>
      <c r="S71" s="182"/>
      <c r="T71" s="200"/>
      <c r="U71" s="201"/>
      <c r="V71" s="201"/>
      <c r="W71" s="201"/>
      <c r="X71" s="201"/>
      <c r="Y71" s="201"/>
      <c r="Z71" s="202"/>
    </row>
    <row r="72" spans="1:26" ht="18" customHeight="1" x14ac:dyDescent="0.15">
      <c r="A72" s="30"/>
      <c r="B72" s="180"/>
      <c r="C72" s="181"/>
      <c r="D72" s="181"/>
      <c r="E72" s="181"/>
      <c r="F72" s="182"/>
      <c r="G72" s="200"/>
      <c r="H72" s="201"/>
      <c r="I72" s="201"/>
      <c r="J72" s="201"/>
      <c r="K72" s="201"/>
      <c r="L72" s="201"/>
      <c r="M72" s="202"/>
      <c r="N72" s="180"/>
      <c r="O72" s="181"/>
      <c r="P72" s="181"/>
      <c r="Q72" s="181"/>
      <c r="R72" s="181"/>
      <c r="S72" s="182"/>
      <c r="T72" s="200"/>
      <c r="U72" s="201"/>
      <c r="V72" s="201"/>
      <c r="W72" s="201"/>
      <c r="X72" s="201"/>
      <c r="Y72" s="201"/>
      <c r="Z72" s="202"/>
    </row>
    <row r="73" spans="1:26" ht="18" customHeight="1" x14ac:dyDescent="0.15">
      <c r="A73" s="30"/>
      <c r="B73" s="180"/>
      <c r="C73" s="181"/>
      <c r="D73" s="181"/>
      <c r="E73" s="181"/>
      <c r="F73" s="182"/>
      <c r="G73" s="200"/>
      <c r="H73" s="201"/>
      <c r="I73" s="201"/>
      <c r="J73" s="201"/>
      <c r="K73" s="201"/>
      <c r="L73" s="201"/>
      <c r="M73" s="202"/>
      <c r="N73" s="180"/>
      <c r="O73" s="181"/>
      <c r="P73" s="181"/>
      <c r="Q73" s="181"/>
      <c r="R73" s="181"/>
      <c r="S73" s="182"/>
      <c r="T73" s="200"/>
      <c r="U73" s="201"/>
      <c r="V73" s="201"/>
      <c r="W73" s="201"/>
      <c r="X73" s="201"/>
      <c r="Y73" s="201"/>
      <c r="Z73" s="202"/>
    </row>
    <row r="74" spans="1:26" ht="18" customHeight="1" x14ac:dyDescent="0.15">
      <c r="A74" s="30"/>
      <c r="B74" s="180"/>
      <c r="C74" s="181"/>
      <c r="D74" s="181"/>
      <c r="E74" s="181"/>
      <c r="F74" s="182"/>
      <c r="G74" s="200"/>
      <c r="H74" s="201"/>
      <c r="I74" s="201"/>
      <c r="J74" s="201"/>
      <c r="K74" s="201"/>
      <c r="L74" s="201"/>
      <c r="M74" s="202"/>
      <c r="N74" s="180"/>
      <c r="O74" s="181"/>
      <c r="P74" s="181"/>
      <c r="Q74" s="181"/>
      <c r="R74" s="181"/>
      <c r="S74" s="182"/>
      <c r="T74" s="200"/>
      <c r="U74" s="201"/>
      <c r="V74" s="201"/>
      <c r="W74" s="201"/>
      <c r="X74" s="201"/>
      <c r="Y74" s="201"/>
      <c r="Z74" s="202"/>
    </row>
    <row r="75" spans="1:26" ht="18" customHeight="1" x14ac:dyDescent="0.15">
      <c r="A75" s="30"/>
      <c r="B75" s="183"/>
      <c r="C75" s="184"/>
      <c r="D75" s="184"/>
      <c r="E75" s="184"/>
      <c r="F75" s="185"/>
      <c r="G75" s="195"/>
      <c r="H75" s="196"/>
      <c r="I75" s="196"/>
      <c r="J75" s="196"/>
      <c r="K75" s="196"/>
      <c r="L75" s="196"/>
      <c r="M75" s="197"/>
      <c r="N75" s="183"/>
      <c r="O75" s="184"/>
      <c r="P75" s="184"/>
      <c r="Q75" s="184"/>
      <c r="R75" s="184"/>
      <c r="S75" s="185"/>
      <c r="T75" s="195"/>
      <c r="U75" s="196"/>
      <c r="V75" s="196"/>
      <c r="W75" s="196"/>
      <c r="X75" s="196"/>
      <c r="Y75" s="196"/>
      <c r="Z75" s="197"/>
    </row>
    <row r="76" spans="1:26" ht="18" customHeight="1" x14ac:dyDescent="0.15">
      <c r="A76" s="30"/>
      <c r="B76" s="125"/>
      <c r="C76" s="125"/>
      <c r="D76" s="125"/>
      <c r="E76" s="125"/>
      <c r="F76" s="125"/>
      <c r="G76" s="1"/>
      <c r="H76" s="1"/>
      <c r="I76" s="1"/>
      <c r="J76" s="1"/>
      <c r="K76" s="1"/>
      <c r="L76" s="1"/>
      <c r="M76" s="1"/>
      <c r="N76" s="125"/>
      <c r="O76" s="125"/>
      <c r="P76" s="125"/>
      <c r="Q76" s="125"/>
      <c r="R76" s="125"/>
      <c r="S76" s="125"/>
      <c r="T76" s="1"/>
      <c r="U76" s="1"/>
      <c r="V76" s="1"/>
      <c r="W76" s="1"/>
      <c r="X76" s="1"/>
      <c r="Y76" s="1"/>
      <c r="Z76" s="1"/>
    </row>
    <row r="77" spans="1:26" ht="18.75" customHeight="1" x14ac:dyDescent="0.15">
      <c r="A77" s="2" t="s">
        <v>58</v>
      </c>
    </row>
    <row r="78" spans="1:26" ht="18.75" customHeight="1" x14ac:dyDescent="0.15">
      <c r="B78" s="10" t="s">
        <v>20</v>
      </c>
      <c r="C78" s="11"/>
      <c r="D78" s="198" t="s">
        <v>21</v>
      </c>
      <c r="E78" s="198"/>
      <c r="F78" s="198"/>
      <c r="G78" s="198"/>
      <c r="H78" s="198"/>
      <c r="I78" s="198"/>
      <c r="J78" s="198"/>
      <c r="K78" s="198"/>
      <c r="L78" s="198"/>
      <c r="M78" s="198"/>
      <c r="N78" s="198"/>
      <c r="O78" s="198"/>
      <c r="P78" s="198"/>
      <c r="Q78" s="198"/>
      <c r="R78" s="198"/>
      <c r="S78" s="198"/>
      <c r="T78" s="198"/>
      <c r="U78" s="198"/>
      <c r="V78" s="198"/>
      <c r="W78" s="198"/>
      <c r="X78" s="198"/>
      <c r="Y78" s="198"/>
      <c r="Z78" s="199"/>
    </row>
    <row r="79" spans="1:26" ht="78" customHeight="1" x14ac:dyDescent="0.15">
      <c r="B79" s="167" t="s">
        <v>28</v>
      </c>
      <c r="C79" s="15" t="s">
        <v>22</v>
      </c>
      <c r="D79" s="169" t="s">
        <v>197</v>
      </c>
      <c r="E79" s="170"/>
      <c r="F79" s="170"/>
      <c r="G79" s="170"/>
      <c r="H79" s="170"/>
      <c r="I79" s="170"/>
      <c r="J79" s="170"/>
      <c r="K79" s="170"/>
      <c r="L79" s="170"/>
      <c r="M79" s="170"/>
      <c r="N79" s="170"/>
      <c r="O79" s="170"/>
      <c r="P79" s="170"/>
      <c r="Q79" s="170"/>
      <c r="R79" s="170"/>
      <c r="S79" s="170"/>
      <c r="T79" s="170"/>
      <c r="U79" s="170"/>
      <c r="V79" s="170"/>
      <c r="W79" s="170"/>
      <c r="X79" s="170"/>
      <c r="Y79" s="170"/>
      <c r="Z79" s="171"/>
    </row>
    <row r="80" spans="1:26" ht="78" customHeight="1" x14ac:dyDescent="0.15">
      <c r="B80" s="175"/>
      <c r="C80" s="22" t="s">
        <v>53</v>
      </c>
      <c r="D80" s="192" t="s">
        <v>207</v>
      </c>
      <c r="E80" s="193"/>
      <c r="F80" s="193"/>
      <c r="G80" s="193"/>
      <c r="H80" s="193"/>
      <c r="I80" s="193"/>
      <c r="J80" s="193"/>
      <c r="K80" s="193"/>
      <c r="L80" s="193"/>
      <c r="M80" s="193"/>
      <c r="N80" s="193"/>
      <c r="O80" s="193"/>
      <c r="P80" s="193"/>
      <c r="Q80" s="193"/>
      <c r="R80" s="193"/>
      <c r="S80" s="193"/>
      <c r="T80" s="193"/>
      <c r="U80" s="193"/>
      <c r="V80" s="193"/>
      <c r="W80" s="193"/>
      <c r="X80" s="193"/>
      <c r="Y80" s="193"/>
      <c r="Z80" s="194"/>
    </row>
    <row r="81" spans="1:26" ht="78" customHeight="1" x14ac:dyDescent="0.15">
      <c r="B81" s="186" t="s">
        <v>29</v>
      </c>
      <c r="C81" s="12" t="s">
        <v>43</v>
      </c>
      <c r="D81" s="187" t="s">
        <v>198</v>
      </c>
      <c r="E81" s="188"/>
      <c r="F81" s="188"/>
      <c r="G81" s="188"/>
      <c r="H81" s="188"/>
      <c r="I81" s="188"/>
      <c r="J81" s="188"/>
      <c r="K81" s="188"/>
      <c r="L81" s="188"/>
      <c r="M81" s="188"/>
      <c r="N81" s="188"/>
      <c r="O81" s="188"/>
      <c r="P81" s="188"/>
      <c r="Q81" s="188"/>
      <c r="R81" s="188"/>
      <c r="S81" s="188"/>
      <c r="T81" s="188"/>
      <c r="U81" s="188"/>
      <c r="V81" s="188"/>
      <c r="W81" s="188"/>
      <c r="X81" s="188"/>
      <c r="Y81" s="188"/>
      <c r="Z81" s="189"/>
    </row>
    <row r="82" spans="1:26" ht="78" customHeight="1" x14ac:dyDescent="0.15">
      <c r="B82" s="176"/>
      <c r="C82" s="23" t="s">
        <v>44</v>
      </c>
      <c r="D82" s="190" t="s">
        <v>72</v>
      </c>
      <c r="E82" s="190"/>
      <c r="F82" s="190"/>
      <c r="G82" s="190"/>
      <c r="H82" s="190"/>
      <c r="I82" s="190"/>
      <c r="J82" s="190"/>
      <c r="K82" s="190"/>
      <c r="L82" s="190"/>
      <c r="M82" s="190"/>
      <c r="N82" s="190"/>
      <c r="O82" s="190"/>
      <c r="P82" s="190"/>
      <c r="Q82" s="190"/>
      <c r="R82" s="190"/>
      <c r="S82" s="190"/>
      <c r="T82" s="190"/>
      <c r="U82" s="190"/>
      <c r="V82" s="190"/>
      <c r="W82" s="190"/>
      <c r="X82" s="190"/>
      <c r="Y82" s="190"/>
      <c r="Z82" s="191"/>
    </row>
    <row r="83" spans="1:26" ht="66" customHeight="1" x14ac:dyDescent="0.15">
      <c r="B83" s="186" t="s">
        <v>30</v>
      </c>
      <c r="C83" s="12" t="s">
        <v>46</v>
      </c>
      <c r="D83" s="169" t="s">
        <v>207</v>
      </c>
      <c r="E83" s="170"/>
      <c r="F83" s="170"/>
      <c r="G83" s="170"/>
      <c r="H83" s="170"/>
      <c r="I83" s="170"/>
      <c r="J83" s="170"/>
      <c r="K83" s="170"/>
      <c r="L83" s="170"/>
      <c r="M83" s="170"/>
      <c r="N83" s="170"/>
      <c r="O83" s="170"/>
      <c r="P83" s="170"/>
      <c r="Q83" s="170"/>
      <c r="R83" s="170"/>
      <c r="S83" s="170"/>
      <c r="T83" s="170"/>
      <c r="U83" s="170"/>
      <c r="V83" s="170"/>
      <c r="W83" s="170"/>
      <c r="X83" s="170"/>
      <c r="Y83" s="170"/>
      <c r="Z83" s="171"/>
    </row>
    <row r="84" spans="1:26" ht="66" customHeight="1" x14ac:dyDescent="0.15">
      <c r="B84" s="176"/>
      <c r="C84" s="14" t="s">
        <v>47</v>
      </c>
      <c r="D84" s="192" t="s">
        <v>207</v>
      </c>
      <c r="E84" s="193"/>
      <c r="F84" s="193"/>
      <c r="G84" s="193"/>
      <c r="H84" s="193"/>
      <c r="I84" s="193"/>
      <c r="J84" s="193"/>
      <c r="K84" s="193"/>
      <c r="L84" s="193"/>
      <c r="M84" s="193"/>
      <c r="N84" s="193"/>
      <c r="O84" s="193"/>
      <c r="P84" s="193"/>
      <c r="Q84" s="193"/>
      <c r="R84" s="193"/>
      <c r="S84" s="193"/>
      <c r="T84" s="193"/>
      <c r="U84" s="193"/>
      <c r="V84" s="193"/>
      <c r="W84" s="193"/>
      <c r="X84" s="193"/>
      <c r="Y84" s="193"/>
      <c r="Z84" s="194"/>
    </row>
    <row r="85" spans="1:26" ht="66" customHeight="1" x14ac:dyDescent="0.15">
      <c r="B85" s="167" t="s">
        <v>54</v>
      </c>
      <c r="C85" s="15" t="s">
        <v>24</v>
      </c>
      <c r="D85" s="169" t="s">
        <v>199</v>
      </c>
      <c r="E85" s="170"/>
      <c r="F85" s="170"/>
      <c r="G85" s="170"/>
      <c r="H85" s="170"/>
      <c r="I85" s="170"/>
      <c r="J85" s="170"/>
      <c r="K85" s="170"/>
      <c r="L85" s="170"/>
      <c r="M85" s="170"/>
      <c r="N85" s="170"/>
      <c r="O85" s="170"/>
      <c r="P85" s="170"/>
      <c r="Q85" s="170"/>
      <c r="R85" s="170"/>
      <c r="S85" s="170"/>
      <c r="T85" s="170"/>
      <c r="U85" s="170"/>
      <c r="V85" s="170"/>
      <c r="W85" s="170"/>
      <c r="X85" s="170"/>
      <c r="Y85" s="170"/>
      <c r="Z85" s="171"/>
    </row>
    <row r="86" spans="1:26" ht="66" customHeight="1" x14ac:dyDescent="0.15">
      <c r="B86" s="168"/>
      <c r="C86" s="13" t="s">
        <v>26</v>
      </c>
      <c r="D86" s="242" t="s">
        <v>200</v>
      </c>
      <c r="E86" s="217"/>
      <c r="F86" s="217"/>
      <c r="G86" s="217"/>
      <c r="H86" s="217"/>
      <c r="I86" s="217"/>
      <c r="J86" s="217"/>
      <c r="K86" s="217"/>
      <c r="L86" s="217"/>
      <c r="M86" s="217"/>
      <c r="N86" s="217"/>
      <c r="O86" s="217"/>
      <c r="P86" s="217"/>
      <c r="Q86" s="217"/>
      <c r="R86" s="217"/>
      <c r="S86" s="217"/>
      <c r="T86" s="217"/>
      <c r="U86" s="217"/>
      <c r="V86" s="217"/>
      <c r="W86" s="217"/>
      <c r="X86" s="217"/>
      <c r="Y86" s="217"/>
      <c r="Z86" s="221"/>
    </row>
    <row r="87" spans="1:26" ht="66" customHeight="1" x14ac:dyDescent="0.15">
      <c r="B87" s="167" t="s">
        <v>55</v>
      </c>
      <c r="C87" s="12" t="s">
        <v>23</v>
      </c>
      <c r="D87" s="177" t="s">
        <v>190</v>
      </c>
      <c r="E87" s="178"/>
      <c r="F87" s="178"/>
      <c r="G87" s="178"/>
      <c r="H87" s="178"/>
      <c r="I87" s="178"/>
      <c r="J87" s="178"/>
      <c r="K87" s="178"/>
      <c r="L87" s="178"/>
      <c r="M87" s="178"/>
      <c r="N87" s="178"/>
      <c r="O87" s="178"/>
      <c r="P87" s="178"/>
      <c r="Q87" s="178"/>
      <c r="R87" s="178"/>
      <c r="S87" s="178"/>
      <c r="T87" s="178"/>
      <c r="U87" s="178"/>
      <c r="V87" s="178"/>
      <c r="W87" s="178"/>
      <c r="X87" s="178"/>
      <c r="Y87" s="178"/>
      <c r="Z87" s="179"/>
    </row>
    <row r="88" spans="1:26" ht="66" customHeight="1" x14ac:dyDescent="0.15">
      <c r="B88" s="175"/>
      <c r="C88" s="13" t="s">
        <v>50</v>
      </c>
      <c r="D88" s="180" t="s">
        <v>76</v>
      </c>
      <c r="E88" s="181"/>
      <c r="F88" s="181"/>
      <c r="G88" s="181"/>
      <c r="H88" s="181"/>
      <c r="I88" s="181"/>
      <c r="J88" s="181"/>
      <c r="K88" s="181"/>
      <c r="L88" s="181"/>
      <c r="M88" s="181"/>
      <c r="N88" s="181"/>
      <c r="O88" s="181"/>
      <c r="P88" s="181"/>
      <c r="Q88" s="181"/>
      <c r="R88" s="181"/>
      <c r="S88" s="181"/>
      <c r="T88" s="181"/>
      <c r="U88" s="181"/>
      <c r="V88" s="181"/>
      <c r="W88" s="181"/>
      <c r="X88" s="181"/>
      <c r="Y88" s="181"/>
      <c r="Z88" s="182"/>
    </row>
    <row r="89" spans="1:26" ht="66" customHeight="1" x14ac:dyDescent="0.15">
      <c r="B89" s="176"/>
      <c r="C89" s="14" t="s">
        <v>51</v>
      </c>
      <c r="D89" s="183" t="s">
        <v>75</v>
      </c>
      <c r="E89" s="184"/>
      <c r="F89" s="184"/>
      <c r="G89" s="184"/>
      <c r="H89" s="184"/>
      <c r="I89" s="184"/>
      <c r="J89" s="184"/>
      <c r="K89" s="184"/>
      <c r="L89" s="184"/>
      <c r="M89" s="184"/>
      <c r="N89" s="184"/>
      <c r="O89" s="184"/>
      <c r="P89" s="184"/>
      <c r="Q89" s="184"/>
      <c r="R89" s="184"/>
      <c r="S89" s="184"/>
      <c r="T89" s="184"/>
      <c r="U89" s="184"/>
      <c r="V89" s="184"/>
      <c r="W89" s="184"/>
      <c r="X89" s="184"/>
      <c r="Y89" s="184"/>
      <c r="Z89" s="185"/>
    </row>
    <row r="90" spans="1:26" ht="6" customHeight="1" x14ac:dyDescent="0.15"/>
    <row r="91" spans="1:26" ht="18.75" customHeight="1" x14ac:dyDescent="0.15">
      <c r="A91" s="2" t="s">
        <v>59</v>
      </c>
    </row>
    <row r="92" spans="1:26" ht="18.75" customHeight="1" x14ac:dyDescent="0.15">
      <c r="B92" s="157" t="s">
        <v>77</v>
      </c>
      <c r="C92" s="158"/>
      <c r="D92" s="158"/>
      <c r="E92" s="158"/>
      <c r="F92" s="158"/>
      <c r="G92" s="158"/>
      <c r="H92" s="158"/>
      <c r="I92" s="158"/>
      <c r="J92" s="158"/>
      <c r="K92" s="158"/>
      <c r="L92" s="158"/>
      <c r="M92" s="158"/>
      <c r="N92" s="158"/>
      <c r="O92" s="158"/>
      <c r="P92" s="158"/>
      <c r="Q92" s="158"/>
      <c r="R92" s="158"/>
      <c r="S92" s="158"/>
      <c r="T92" s="158"/>
      <c r="U92" s="158"/>
      <c r="V92" s="158"/>
      <c r="W92" s="158"/>
      <c r="X92" s="158"/>
      <c r="Y92" s="158"/>
      <c r="Z92" s="159"/>
    </row>
    <row r="93" spans="1:26" ht="18.75" customHeight="1" x14ac:dyDescent="0.15">
      <c r="B93" s="160"/>
      <c r="C93" s="141"/>
      <c r="D93" s="141"/>
      <c r="E93" s="141"/>
      <c r="F93" s="141"/>
      <c r="G93" s="141"/>
      <c r="H93" s="141"/>
      <c r="I93" s="141"/>
      <c r="J93" s="141"/>
      <c r="K93" s="141"/>
      <c r="L93" s="141"/>
      <c r="M93" s="141"/>
      <c r="N93" s="141"/>
      <c r="O93" s="141"/>
      <c r="P93" s="141"/>
      <c r="Q93" s="141"/>
      <c r="R93" s="141"/>
      <c r="S93" s="141"/>
      <c r="T93" s="141"/>
      <c r="U93" s="141"/>
      <c r="V93" s="141"/>
      <c r="W93" s="141"/>
      <c r="X93" s="141"/>
      <c r="Y93" s="141"/>
      <c r="Z93" s="161"/>
    </row>
    <row r="94" spans="1:26" ht="18.75" customHeight="1" x14ac:dyDescent="0.15">
      <c r="B94" s="162"/>
      <c r="C94" s="163"/>
      <c r="D94" s="163"/>
      <c r="E94" s="163"/>
      <c r="F94" s="163"/>
      <c r="G94" s="163"/>
      <c r="H94" s="163"/>
      <c r="I94" s="163"/>
      <c r="J94" s="163"/>
      <c r="K94" s="163"/>
      <c r="L94" s="163"/>
      <c r="M94" s="163"/>
      <c r="N94" s="163"/>
      <c r="O94" s="163"/>
      <c r="P94" s="163"/>
      <c r="Q94" s="163"/>
      <c r="R94" s="163"/>
      <c r="S94" s="163"/>
      <c r="T94" s="163"/>
      <c r="U94" s="163"/>
      <c r="V94" s="163"/>
      <c r="W94" s="163"/>
      <c r="X94" s="163"/>
      <c r="Y94" s="163"/>
      <c r="Z94" s="164"/>
    </row>
    <row r="95" spans="1:26" ht="6" customHeight="1" x14ac:dyDescent="0.15"/>
    <row r="96" spans="1:26" ht="15" customHeight="1" x14ac:dyDescent="0.15">
      <c r="A96" s="2" t="s">
        <v>60</v>
      </c>
    </row>
    <row r="97" spans="2:26" ht="15" customHeight="1" x14ac:dyDescent="0.15">
      <c r="B97" s="165" t="s">
        <v>210</v>
      </c>
      <c r="C97" s="150"/>
      <c r="D97" s="150"/>
      <c r="E97" s="150"/>
      <c r="F97" s="150"/>
      <c r="G97" s="150"/>
      <c r="H97" s="150"/>
      <c r="I97" s="150"/>
      <c r="J97" s="150"/>
      <c r="K97" s="150"/>
      <c r="L97" s="150"/>
      <c r="M97" s="150"/>
      <c r="N97" s="150"/>
      <c r="O97" s="150"/>
      <c r="P97" s="150"/>
      <c r="Q97" s="150"/>
      <c r="R97" s="150"/>
      <c r="S97" s="150"/>
      <c r="T97" s="150"/>
      <c r="U97" s="150"/>
      <c r="V97" s="150"/>
      <c r="W97" s="150"/>
      <c r="X97" s="150"/>
      <c r="Y97" s="150"/>
      <c r="Z97" s="166"/>
    </row>
  </sheetData>
  <mergeCells count="214">
    <mergeCell ref="W1:Z1"/>
    <mergeCell ref="A2:Z2"/>
    <mergeCell ref="B16:F16"/>
    <mergeCell ref="I16:K16"/>
    <mergeCell ref="N16:S16"/>
    <mergeCell ref="V16:X16"/>
    <mergeCell ref="B17:F17"/>
    <mergeCell ref="I17:K17"/>
    <mergeCell ref="N17:S17"/>
    <mergeCell ref="V17:X17"/>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4:F44"/>
    <mergeCell ref="I44:K44"/>
    <mergeCell ref="N44:S44"/>
    <mergeCell ref="V44:X44"/>
    <mergeCell ref="A46:Z47"/>
    <mergeCell ref="B48:F48"/>
    <mergeCell ref="I48:K48"/>
    <mergeCell ref="N48:S48"/>
    <mergeCell ref="V48:X48"/>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68:F68"/>
    <mergeCell ref="G68:M68"/>
    <mergeCell ref="N68:S68"/>
    <mergeCell ref="T68:Z68"/>
    <mergeCell ref="B69:F69"/>
    <mergeCell ref="G69:M69"/>
    <mergeCell ref="N69:S69"/>
    <mergeCell ref="T69:Z69"/>
    <mergeCell ref="B64:E64"/>
    <mergeCell ref="H64:J64"/>
    <mergeCell ref="N64:R64"/>
    <mergeCell ref="U64:W64"/>
    <mergeCell ref="B65:E65"/>
    <mergeCell ref="H65:J65"/>
    <mergeCell ref="N65:R65"/>
    <mergeCell ref="U65:W6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D78:Z78"/>
    <mergeCell ref="B79:B80"/>
    <mergeCell ref="D79:Z79"/>
    <mergeCell ref="D80:Z80"/>
    <mergeCell ref="B81:B82"/>
    <mergeCell ref="D81:Z81"/>
    <mergeCell ref="D82:Z82"/>
    <mergeCell ref="B74:F74"/>
    <mergeCell ref="G74:M74"/>
    <mergeCell ref="N74:S74"/>
    <mergeCell ref="T74:Z74"/>
    <mergeCell ref="B75:F75"/>
    <mergeCell ref="G75:M75"/>
    <mergeCell ref="N75:S75"/>
    <mergeCell ref="T75:Z75"/>
    <mergeCell ref="B87:B89"/>
    <mergeCell ref="D87:Z87"/>
    <mergeCell ref="D88:Z88"/>
    <mergeCell ref="D89:Z89"/>
    <mergeCell ref="B92:Z94"/>
    <mergeCell ref="B97:Z97"/>
    <mergeCell ref="B83:B84"/>
    <mergeCell ref="D83:Z83"/>
    <mergeCell ref="D84:Z84"/>
    <mergeCell ref="B85:B86"/>
    <mergeCell ref="D85:Z85"/>
    <mergeCell ref="D86:Z86"/>
  </mergeCells>
  <phoneticPr fontId="1"/>
  <dataValidations count="4">
    <dataValidation type="list" allowBlank="1" showInputMessage="1" showErrorMessage="1" sqref="Y16:Z22 L16:M22 Y27:Z33 L27:M33 H49:H55 Y38:Z44 L49:M55 Y49:Z55 L38:M44 H16:H22 U16:U22 U27:U33 H38:H44 U38:U44 H27:H33 U49:U55 K60:K63 L60:M65 T60:T65 G60:G65 Y60:Z65">
      <formula1>"○"</formula1>
    </dataValidation>
    <dataValidation type="list" allowBlank="1" showInputMessage="1" showErrorMessage="1" sqref="Z23 Z34 D34:K34 D23:K23 V16:V22 I38:I44 V27:V33 I16:I22 V38:V44 I27:I33 V49:V55 I49:I55 H60:H65 U60:U65">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3:M76 G69:G76 H69:M70 T69:T76 U69:Z70 U73:Z7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7" r:id="rId1"/>
  </hyperlinks>
  <printOptions horizontalCentered="1"/>
  <pageMargins left="0.78740157480314965" right="0.78740157480314965" top="0.59055118110236227" bottom="0.19685039370078741" header="0.31496062992125984" footer="0.31496062992125984"/>
  <pageSetup paperSize="9" scale="99" orientation="landscape" r:id="rId2"/>
  <rowBreaks count="3" manualBreakCount="3">
    <brk id="34" max="25" man="1"/>
    <brk id="66" max="25" man="1"/>
    <brk id="82"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election activeCell="B6" sqref="B6:Z11"/>
    </sheetView>
  </sheetViews>
  <sheetFormatPr defaultColWidth="9" defaultRowHeight="18.75" customHeight="1" x14ac:dyDescent="0.15"/>
  <cols>
    <col min="1" max="1" width="2.5" style="2" customWidth="1"/>
    <col min="2" max="2" width="27.75" style="2" customWidth="1"/>
    <col min="3" max="13" width="3.375" style="2" customWidth="1"/>
    <col min="14" max="14" width="8.875" style="2" customWidth="1"/>
    <col min="15" max="15" width="18.875" style="2" customWidth="1"/>
    <col min="16" max="19" width="3.375" style="2" customWidth="1"/>
    <col min="20" max="20" width="3.5" style="2" customWidth="1"/>
    <col min="21" max="26" width="3.375" style="2" customWidth="1"/>
    <col min="27" max="16384" width="9" style="2"/>
  </cols>
  <sheetData>
    <row r="1" spans="1:26" ht="15" customHeight="1" x14ac:dyDescent="0.15">
      <c r="W1" s="230" t="s">
        <v>215</v>
      </c>
      <c r="X1" s="230"/>
      <c r="Y1" s="230"/>
      <c r="Z1" s="230"/>
    </row>
    <row r="2" spans="1:26" ht="18" customHeight="1" x14ac:dyDescent="0.15">
      <c r="A2" s="231" t="s">
        <v>13</v>
      </c>
      <c r="B2" s="231"/>
      <c r="C2" s="231"/>
      <c r="D2" s="231"/>
      <c r="E2" s="231"/>
      <c r="F2" s="231"/>
      <c r="G2" s="231"/>
      <c r="H2" s="231"/>
      <c r="I2" s="231"/>
      <c r="J2" s="231"/>
      <c r="K2" s="231"/>
      <c r="L2" s="231"/>
      <c r="M2" s="231"/>
      <c r="N2" s="231"/>
      <c r="O2" s="231"/>
      <c r="P2" s="231"/>
      <c r="Q2" s="231"/>
      <c r="R2" s="231"/>
      <c r="S2" s="231"/>
      <c r="T2" s="231"/>
      <c r="U2" s="231"/>
      <c r="V2" s="231"/>
      <c r="W2" s="231"/>
      <c r="X2" s="231"/>
      <c r="Y2" s="231"/>
      <c r="Z2" s="231"/>
    </row>
    <row r="3" spans="1:26" ht="15" customHeight="1" x14ac:dyDescent="0.15">
      <c r="B3" s="30"/>
      <c r="C3" s="30"/>
      <c r="D3" s="30"/>
      <c r="E3" s="30"/>
      <c r="F3" s="30"/>
      <c r="G3" s="30"/>
      <c r="H3" s="30"/>
      <c r="I3" s="30"/>
      <c r="J3" s="30"/>
      <c r="K3" s="30"/>
      <c r="L3" s="30"/>
      <c r="M3" s="30"/>
      <c r="N3" s="30"/>
      <c r="O3" s="30"/>
      <c r="P3" s="30"/>
      <c r="Q3" s="30"/>
      <c r="R3" s="30"/>
      <c r="S3" s="30"/>
      <c r="T3" s="30"/>
      <c r="U3" s="30"/>
      <c r="V3" s="30"/>
      <c r="W3" s="30"/>
      <c r="X3" s="30"/>
      <c r="Y3" s="30"/>
      <c r="Z3" s="30"/>
    </row>
    <row r="4" spans="1:26" ht="18" customHeight="1" x14ac:dyDescent="0.15">
      <c r="A4" s="2" t="s">
        <v>17</v>
      </c>
      <c r="B4" s="30"/>
      <c r="C4" s="30"/>
      <c r="D4" s="30"/>
      <c r="E4" s="30"/>
      <c r="F4" s="30"/>
      <c r="G4" s="30"/>
      <c r="H4" s="29" t="s">
        <v>31</v>
      </c>
      <c r="I4" s="30"/>
      <c r="J4" s="30"/>
      <c r="K4" s="30"/>
      <c r="L4" s="30"/>
      <c r="M4" s="30"/>
      <c r="N4" s="30"/>
      <c r="O4" s="138" t="s">
        <v>66</v>
      </c>
      <c r="P4" s="139"/>
      <c r="Q4" s="139"/>
      <c r="R4" s="139"/>
      <c r="S4" s="139"/>
      <c r="T4" s="139"/>
      <c r="U4" s="139"/>
      <c r="V4" s="139"/>
      <c r="W4" s="139"/>
      <c r="X4" s="139"/>
      <c r="Y4" s="139"/>
      <c r="Z4" s="140"/>
    </row>
    <row r="5" spans="1:26" ht="6" customHeight="1" x14ac:dyDescent="0.15">
      <c r="B5" s="30"/>
      <c r="C5" s="30"/>
      <c r="D5" s="30"/>
      <c r="E5" s="30"/>
      <c r="F5" s="30"/>
      <c r="G5" s="30"/>
      <c r="H5" s="30"/>
      <c r="I5" s="30"/>
      <c r="J5" s="30"/>
      <c r="K5" s="30"/>
      <c r="L5" s="30"/>
      <c r="M5" s="30"/>
      <c r="N5" s="30"/>
      <c r="O5" s="3"/>
      <c r="P5" s="30"/>
      <c r="Q5" s="30"/>
      <c r="R5" s="30"/>
      <c r="S5" s="30"/>
      <c r="T5" s="30"/>
      <c r="U5" s="30"/>
      <c r="V5" s="30"/>
      <c r="W5" s="30"/>
      <c r="X5" s="30"/>
      <c r="Y5" s="30"/>
      <c r="Z5" s="30"/>
    </row>
    <row r="6" spans="1:26" ht="18" customHeight="1" x14ac:dyDescent="0.15">
      <c r="B6" s="232" t="s">
        <v>204</v>
      </c>
      <c r="C6" s="233"/>
      <c r="D6" s="233"/>
      <c r="E6" s="233"/>
      <c r="F6" s="233"/>
      <c r="G6" s="233"/>
      <c r="H6" s="233"/>
      <c r="I6" s="233"/>
      <c r="J6" s="233"/>
      <c r="K6" s="233"/>
      <c r="L6" s="233"/>
      <c r="M6" s="233"/>
      <c r="N6" s="233"/>
      <c r="O6" s="233"/>
      <c r="P6" s="233"/>
      <c r="Q6" s="233"/>
      <c r="R6" s="233"/>
      <c r="S6" s="233"/>
      <c r="T6" s="233"/>
      <c r="U6" s="233"/>
      <c r="V6" s="233"/>
      <c r="W6" s="233"/>
      <c r="X6" s="233"/>
      <c r="Y6" s="233"/>
      <c r="Z6" s="234"/>
    </row>
    <row r="7" spans="1:26" ht="18" customHeight="1" x14ac:dyDescent="0.15">
      <c r="B7" s="235"/>
      <c r="C7" s="236"/>
      <c r="D7" s="236"/>
      <c r="E7" s="236"/>
      <c r="F7" s="236"/>
      <c r="G7" s="236"/>
      <c r="H7" s="236"/>
      <c r="I7" s="236"/>
      <c r="J7" s="236"/>
      <c r="K7" s="236"/>
      <c r="L7" s="236"/>
      <c r="M7" s="236"/>
      <c r="N7" s="236"/>
      <c r="O7" s="236"/>
      <c r="P7" s="236"/>
      <c r="Q7" s="236"/>
      <c r="R7" s="236"/>
      <c r="S7" s="236"/>
      <c r="T7" s="236"/>
      <c r="U7" s="236"/>
      <c r="V7" s="236"/>
      <c r="W7" s="236"/>
      <c r="X7" s="236"/>
      <c r="Y7" s="236"/>
      <c r="Z7" s="237"/>
    </row>
    <row r="8" spans="1:26" ht="18" customHeight="1" x14ac:dyDescent="0.15">
      <c r="B8" s="235"/>
      <c r="C8" s="236"/>
      <c r="D8" s="236"/>
      <c r="E8" s="236"/>
      <c r="F8" s="236"/>
      <c r="G8" s="236"/>
      <c r="H8" s="236"/>
      <c r="I8" s="236"/>
      <c r="J8" s="236"/>
      <c r="K8" s="236"/>
      <c r="L8" s="236"/>
      <c r="M8" s="236"/>
      <c r="N8" s="236"/>
      <c r="O8" s="236"/>
      <c r="P8" s="236"/>
      <c r="Q8" s="236"/>
      <c r="R8" s="236"/>
      <c r="S8" s="236"/>
      <c r="T8" s="236"/>
      <c r="U8" s="236"/>
      <c r="V8" s="236"/>
      <c r="W8" s="236"/>
      <c r="X8" s="236"/>
      <c r="Y8" s="236"/>
      <c r="Z8" s="237"/>
    </row>
    <row r="9" spans="1:26" ht="18" customHeight="1" x14ac:dyDescent="0.15">
      <c r="B9" s="235"/>
      <c r="C9" s="236"/>
      <c r="D9" s="236"/>
      <c r="E9" s="236"/>
      <c r="F9" s="236"/>
      <c r="G9" s="236"/>
      <c r="H9" s="236"/>
      <c r="I9" s="236"/>
      <c r="J9" s="236"/>
      <c r="K9" s="236"/>
      <c r="L9" s="236"/>
      <c r="M9" s="236"/>
      <c r="N9" s="236"/>
      <c r="O9" s="236"/>
      <c r="P9" s="236"/>
      <c r="Q9" s="236"/>
      <c r="R9" s="236"/>
      <c r="S9" s="236"/>
      <c r="T9" s="236"/>
      <c r="U9" s="236"/>
      <c r="V9" s="236"/>
      <c r="W9" s="236"/>
      <c r="X9" s="236"/>
      <c r="Y9" s="236"/>
      <c r="Z9" s="237"/>
    </row>
    <row r="10" spans="1:26" ht="18" customHeight="1" x14ac:dyDescent="0.15">
      <c r="B10" s="235"/>
      <c r="C10" s="238"/>
      <c r="D10" s="238"/>
      <c r="E10" s="238"/>
      <c r="F10" s="238"/>
      <c r="G10" s="238"/>
      <c r="H10" s="238"/>
      <c r="I10" s="238"/>
      <c r="J10" s="238"/>
      <c r="K10" s="238"/>
      <c r="L10" s="238"/>
      <c r="M10" s="238"/>
      <c r="N10" s="238"/>
      <c r="O10" s="238"/>
      <c r="P10" s="238"/>
      <c r="Q10" s="238"/>
      <c r="R10" s="238"/>
      <c r="S10" s="238"/>
      <c r="T10" s="238"/>
      <c r="U10" s="238"/>
      <c r="V10" s="238"/>
      <c r="W10" s="238"/>
      <c r="X10" s="238"/>
      <c r="Y10" s="238"/>
      <c r="Z10" s="237"/>
    </row>
    <row r="11" spans="1:26" ht="15.75" customHeight="1" x14ac:dyDescent="0.15">
      <c r="B11" s="239"/>
      <c r="C11" s="240"/>
      <c r="D11" s="240"/>
      <c r="E11" s="240"/>
      <c r="F11" s="240"/>
      <c r="G11" s="240"/>
      <c r="H11" s="240"/>
      <c r="I11" s="240"/>
      <c r="J11" s="240"/>
      <c r="K11" s="240"/>
      <c r="L11" s="240"/>
      <c r="M11" s="240"/>
      <c r="N11" s="240"/>
      <c r="O11" s="240"/>
      <c r="P11" s="240"/>
      <c r="Q11" s="240"/>
      <c r="R11" s="240"/>
      <c r="S11" s="240"/>
      <c r="T11" s="240"/>
      <c r="U11" s="240"/>
      <c r="V11" s="240"/>
      <c r="W11" s="240"/>
      <c r="X11" s="240"/>
      <c r="Y11" s="240"/>
      <c r="Z11" s="241"/>
    </row>
    <row r="12" spans="1:26" ht="7.5" customHeight="1" x14ac:dyDescent="0.15">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spans="1:26" ht="18" customHeight="1" x14ac:dyDescent="0.15">
      <c r="A13" s="225" t="s">
        <v>41</v>
      </c>
      <c r="B13" s="225"/>
      <c r="C13" s="225"/>
      <c r="D13" s="225"/>
      <c r="E13" s="225"/>
      <c r="F13" s="225"/>
      <c r="G13" s="225"/>
      <c r="H13" s="225"/>
      <c r="I13" s="225"/>
      <c r="J13" s="225"/>
      <c r="K13" s="225"/>
      <c r="L13" s="225"/>
      <c r="M13" s="225"/>
      <c r="N13" s="225"/>
      <c r="O13" s="225"/>
      <c r="P13" s="225"/>
      <c r="Q13" s="225"/>
      <c r="R13" s="225"/>
      <c r="S13" s="225"/>
      <c r="T13" s="225"/>
      <c r="U13" s="225"/>
      <c r="V13" s="225"/>
      <c r="W13" s="225"/>
      <c r="X13" s="225"/>
      <c r="Y13" s="225"/>
      <c r="Z13" s="225"/>
    </row>
    <row r="14" spans="1:26" ht="18" customHeight="1" x14ac:dyDescent="0.15">
      <c r="A14" s="225"/>
      <c r="B14" s="225"/>
      <c r="C14" s="225"/>
      <c r="D14" s="225"/>
      <c r="E14" s="225"/>
      <c r="F14" s="225"/>
      <c r="G14" s="225"/>
      <c r="H14" s="225"/>
      <c r="I14" s="225"/>
      <c r="J14" s="225"/>
      <c r="K14" s="225"/>
      <c r="L14" s="225"/>
      <c r="M14" s="225"/>
      <c r="N14" s="225"/>
      <c r="O14" s="225"/>
      <c r="P14" s="225"/>
      <c r="Q14" s="225"/>
      <c r="R14" s="225"/>
      <c r="S14" s="225"/>
      <c r="T14" s="225"/>
      <c r="U14" s="225"/>
      <c r="V14" s="225"/>
      <c r="W14" s="225"/>
      <c r="X14" s="225"/>
      <c r="Y14" s="225"/>
      <c r="Z14" s="225"/>
    </row>
    <row r="15" spans="1:26" ht="18" customHeight="1" x14ac:dyDescent="0.15">
      <c r="A15" s="28"/>
      <c r="B15" s="138" t="s">
        <v>18</v>
      </c>
      <c r="C15" s="139"/>
      <c r="D15" s="139"/>
      <c r="E15" s="139"/>
      <c r="F15" s="140"/>
      <c r="G15" s="4" t="s">
        <v>57</v>
      </c>
      <c r="H15" s="24" t="s">
        <v>56</v>
      </c>
      <c r="I15" s="139" t="s">
        <v>19</v>
      </c>
      <c r="J15" s="139"/>
      <c r="K15" s="139"/>
      <c r="L15" s="5" t="s">
        <v>22</v>
      </c>
      <c r="M15" s="5" t="s">
        <v>25</v>
      </c>
      <c r="N15" s="138" t="s">
        <v>18</v>
      </c>
      <c r="O15" s="139"/>
      <c r="P15" s="139"/>
      <c r="Q15" s="139"/>
      <c r="R15" s="139"/>
      <c r="S15" s="140"/>
      <c r="T15" s="4" t="s">
        <v>57</v>
      </c>
      <c r="U15" s="24" t="s">
        <v>56</v>
      </c>
      <c r="V15" s="139" t="s">
        <v>19</v>
      </c>
      <c r="W15" s="139"/>
      <c r="X15" s="139"/>
      <c r="Y15" s="5" t="s">
        <v>22</v>
      </c>
      <c r="Z15" s="5" t="s">
        <v>25</v>
      </c>
    </row>
    <row r="16" spans="1:26" ht="18" customHeight="1" x14ac:dyDescent="0.15">
      <c r="A16" s="28"/>
      <c r="B16" s="226" t="s">
        <v>67</v>
      </c>
      <c r="C16" s="188"/>
      <c r="D16" s="188"/>
      <c r="E16" s="188"/>
      <c r="F16" s="189"/>
      <c r="G16" s="25">
        <v>2</v>
      </c>
      <c r="H16" s="25" t="s">
        <v>62</v>
      </c>
      <c r="I16" s="222" t="s">
        <v>61</v>
      </c>
      <c r="J16" s="223"/>
      <c r="K16" s="224"/>
      <c r="L16" s="6" t="s">
        <v>62</v>
      </c>
      <c r="M16" s="6" t="s">
        <v>62</v>
      </c>
      <c r="N16" s="203"/>
      <c r="O16" s="204"/>
      <c r="P16" s="204"/>
      <c r="Q16" s="204"/>
      <c r="R16" s="204"/>
      <c r="S16" s="205"/>
      <c r="T16" s="25"/>
      <c r="U16" s="25"/>
      <c r="V16" s="222"/>
      <c r="W16" s="223"/>
      <c r="X16" s="224"/>
      <c r="Y16" s="6"/>
      <c r="Z16" s="6"/>
    </row>
    <row r="17" spans="1:26" ht="18" customHeight="1" x14ac:dyDescent="0.15">
      <c r="A17" s="28"/>
      <c r="B17" s="227"/>
      <c r="C17" s="228"/>
      <c r="D17" s="228"/>
      <c r="E17" s="228"/>
      <c r="F17" s="229"/>
      <c r="G17" s="26"/>
      <c r="H17" s="26"/>
      <c r="I17" s="218"/>
      <c r="J17" s="219"/>
      <c r="K17" s="220"/>
      <c r="L17" s="7"/>
      <c r="M17" s="7"/>
      <c r="N17" s="180"/>
      <c r="O17" s="181"/>
      <c r="P17" s="181"/>
      <c r="Q17" s="181"/>
      <c r="R17" s="181"/>
      <c r="S17" s="182"/>
      <c r="T17" s="26"/>
      <c r="U17" s="26"/>
      <c r="V17" s="218"/>
      <c r="W17" s="219"/>
      <c r="X17" s="220"/>
      <c r="Y17" s="7"/>
      <c r="Z17" s="7"/>
    </row>
    <row r="18" spans="1:26" ht="18" customHeight="1" x14ac:dyDescent="0.15">
      <c r="A18" s="28"/>
      <c r="B18" s="216"/>
      <c r="C18" s="217"/>
      <c r="D18" s="217"/>
      <c r="E18" s="217"/>
      <c r="F18" s="221"/>
      <c r="G18" s="26"/>
      <c r="H18" s="26"/>
      <c r="I18" s="218"/>
      <c r="J18" s="219"/>
      <c r="K18" s="220"/>
      <c r="L18" s="7"/>
      <c r="M18" s="7"/>
      <c r="N18" s="180"/>
      <c r="O18" s="181"/>
      <c r="P18" s="181"/>
      <c r="Q18" s="181"/>
      <c r="R18" s="181"/>
      <c r="S18" s="182"/>
      <c r="T18" s="26"/>
      <c r="U18" s="26"/>
      <c r="V18" s="218"/>
      <c r="W18" s="219"/>
      <c r="X18" s="220"/>
      <c r="Y18" s="7"/>
      <c r="Z18" s="7"/>
    </row>
    <row r="19" spans="1:26" ht="18" customHeight="1" x14ac:dyDescent="0.15">
      <c r="A19" s="28"/>
      <c r="B19" s="216"/>
      <c r="C19" s="217"/>
      <c r="D19" s="217"/>
      <c r="E19" s="217"/>
      <c r="F19" s="221"/>
      <c r="G19" s="26"/>
      <c r="H19" s="26"/>
      <c r="I19" s="218"/>
      <c r="J19" s="219"/>
      <c r="K19" s="220"/>
      <c r="L19" s="7"/>
      <c r="M19" s="7"/>
      <c r="N19" s="180"/>
      <c r="O19" s="181"/>
      <c r="P19" s="181"/>
      <c r="Q19" s="181"/>
      <c r="R19" s="181"/>
      <c r="S19" s="182"/>
      <c r="T19" s="26"/>
      <c r="U19" s="26"/>
      <c r="V19" s="218"/>
      <c r="W19" s="219"/>
      <c r="X19" s="220"/>
      <c r="Y19" s="7"/>
      <c r="Z19" s="7"/>
    </row>
    <row r="20" spans="1:26" ht="18" customHeight="1" x14ac:dyDescent="0.15">
      <c r="A20" s="28"/>
      <c r="B20" s="216"/>
      <c r="C20" s="217"/>
      <c r="D20" s="217"/>
      <c r="E20" s="217"/>
      <c r="F20" s="221"/>
      <c r="G20" s="26"/>
      <c r="H20" s="26"/>
      <c r="I20" s="218"/>
      <c r="J20" s="219"/>
      <c r="K20" s="220"/>
      <c r="L20" s="7"/>
      <c r="M20" s="7"/>
      <c r="N20" s="180"/>
      <c r="O20" s="181"/>
      <c r="P20" s="181"/>
      <c r="Q20" s="181"/>
      <c r="R20" s="181"/>
      <c r="S20" s="182"/>
      <c r="T20" s="26"/>
      <c r="U20" s="26"/>
      <c r="V20" s="218"/>
      <c r="W20" s="219"/>
      <c r="X20" s="220"/>
      <c r="Y20" s="7"/>
      <c r="Z20" s="7"/>
    </row>
    <row r="21" spans="1:26" ht="18" customHeight="1" x14ac:dyDescent="0.15">
      <c r="A21" s="30"/>
      <c r="B21" s="216"/>
      <c r="C21" s="217"/>
      <c r="D21" s="217"/>
      <c r="E21" s="217"/>
      <c r="F21" s="221"/>
      <c r="G21" s="26"/>
      <c r="H21" s="26"/>
      <c r="I21" s="218"/>
      <c r="J21" s="219"/>
      <c r="K21" s="220"/>
      <c r="L21" s="7"/>
      <c r="M21" s="7"/>
      <c r="N21" s="180"/>
      <c r="O21" s="181"/>
      <c r="P21" s="181"/>
      <c r="Q21" s="181"/>
      <c r="R21" s="181"/>
      <c r="S21" s="182"/>
      <c r="T21" s="26"/>
      <c r="U21" s="26"/>
      <c r="V21" s="218"/>
      <c r="W21" s="219"/>
      <c r="X21" s="220"/>
      <c r="Y21" s="7"/>
      <c r="Z21" s="7"/>
    </row>
    <row r="22" spans="1:26" ht="18" customHeight="1" x14ac:dyDescent="0.15">
      <c r="A22" s="30"/>
      <c r="B22" s="209"/>
      <c r="C22" s="190"/>
      <c r="D22" s="190"/>
      <c r="E22" s="190"/>
      <c r="F22" s="191"/>
      <c r="G22" s="27"/>
      <c r="H22" s="27"/>
      <c r="I22" s="210"/>
      <c r="J22" s="211"/>
      <c r="K22" s="212"/>
      <c r="L22" s="8"/>
      <c r="M22" s="8"/>
      <c r="N22" s="183"/>
      <c r="O22" s="184"/>
      <c r="P22" s="184"/>
      <c r="Q22" s="184"/>
      <c r="R22" s="184"/>
      <c r="S22" s="185"/>
      <c r="T22" s="27"/>
      <c r="U22" s="27"/>
      <c r="V22" s="210"/>
      <c r="W22" s="211"/>
      <c r="X22" s="212"/>
      <c r="Y22" s="8"/>
      <c r="Z22" s="8"/>
    </row>
    <row r="23" spans="1:26" ht="7.5" customHeight="1" x14ac:dyDescent="0.15">
      <c r="A23" s="30"/>
      <c r="B23" s="9"/>
      <c r="C23" s="9"/>
      <c r="D23" s="30"/>
      <c r="E23" s="30"/>
      <c r="F23" s="30"/>
      <c r="G23" s="30"/>
      <c r="H23" s="30"/>
      <c r="I23" s="30"/>
      <c r="J23" s="30"/>
      <c r="K23" s="30"/>
      <c r="L23" s="9"/>
      <c r="M23" s="9"/>
      <c r="N23" s="9"/>
      <c r="O23" s="9"/>
      <c r="P23" s="9"/>
      <c r="Q23" s="9"/>
      <c r="R23" s="9"/>
      <c r="S23" s="9"/>
      <c r="T23" s="9"/>
      <c r="U23" s="9"/>
      <c r="V23" s="9"/>
      <c r="W23" s="9"/>
      <c r="X23" s="9"/>
      <c r="Y23" s="9"/>
      <c r="Z23" s="30"/>
    </row>
    <row r="24" spans="1:26" ht="18" customHeight="1" x14ac:dyDescent="0.15">
      <c r="A24" s="225" t="s">
        <v>42</v>
      </c>
      <c r="B24" s="225"/>
      <c r="C24" s="225"/>
      <c r="D24" s="225"/>
      <c r="E24" s="225"/>
      <c r="F24" s="225"/>
      <c r="G24" s="225"/>
      <c r="H24" s="225"/>
      <c r="I24" s="225"/>
      <c r="J24" s="225"/>
      <c r="K24" s="225"/>
      <c r="L24" s="225"/>
      <c r="M24" s="225"/>
      <c r="N24" s="225"/>
      <c r="O24" s="225"/>
      <c r="P24" s="225"/>
      <c r="Q24" s="225"/>
      <c r="R24" s="225"/>
      <c r="S24" s="225"/>
      <c r="T24" s="225"/>
      <c r="U24" s="225"/>
      <c r="V24" s="225"/>
      <c r="W24" s="225"/>
      <c r="X24" s="225"/>
      <c r="Y24" s="225"/>
      <c r="Z24" s="225"/>
    </row>
    <row r="25" spans="1:26" ht="18" customHeight="1" x14ac:dyDescent="0.15">
      <c r="A25" s="225"/>
      <c r="B25" s="225"/>
      <c r="C25" s="225"/>
      <c r="D25" s="225"/>
      <c r="E25" s="225"/>
      <c r="F25" s="225"/>
      <c r="G25" s="225"/>
      <c r="H25" s="225"/>
      <c r="I25" s="225"/>
      <c r="J25" s="225"/>
      <c r="K25" s="225"/>
      <c r="L25" s="225"/>
      <c r="M25" s="225"/>
      <c r="N25" s="225"/>
      <c r="O25" s="225"/>
      <c r="P25" s="225"/>
      <c r="Q25" s="225"/>
      <c r="R25" s="225"/>
      <c r="S25" s="225"/>
      <c r="T25" s="225"/>
      <c r="U25" s="225"/>
      <c r="V25" s="225"/>
      <c r="W25" s="225"/>
      <c r="X25" s="225"/>
      <c r="Y25" s="225"/>
      <c r="Z25" s="225"/>
    </row>
    <row r="26" spans="1:26" ht="18" customHeight="1" x14ac:dyDescent="0.15">
      <c r="A26" s="28"/>
      <c r="B26" s="138" t="s">
        <v>18</v>
      </c>
      <c r="C26" s="139"/>
      <c r="D26" s="139"/>
      <c r="E26" s="139"/>
      <c r="F26" s="140"/>
      <c r="G26" s="4" t="s">
        <v>57</v>
      </c>
      <c r="H26" s="24" t="s">
        <v>56</v>
      </c>
      <c r="I26" s="139" t="s">
        <v>19</v>
      </c>
      <c r="J26" s="139"/>
      <c r="K26" s="139"/>
      <c r="L26" s="5" t="s">
        <v>43</v>
      </c>
      <c r="M26" s="5" t="s">
        <v>44</v>
      </c>
      <c r="N26" s="138" t="s">
        <v>18</v>
      </c>
      <c r="O26" s="139"/>
      <c r="P26" s="139"/>
      <c r="Q26" s="139"/>
      <c r="R26" s="139"/>
      <c r="S26" s="140"/>
      <c r="T26" s="4" t="s">
        <v>57</v>
      </c>
      <c r="U26" s="24" t="s">
        <v>56</v>
      </c>
      <c r="V26" s="139" t="s">
        <v>19</v>
      </c>
      <c r="W26" s="139"/>
      <c r="X26" s="139"/>
      <c r="Y26" s="5" t="s">
        <v>43</v>
      </c>
      <c r="Z26" s="5" t="s">
        <v>44</v>
      </c>
    </row>
    <row r="27" spans="1:26" ht="18" customHeight="1" x14ac:dyDescent="0.15">
      <c r="A27" s="28"/>
      <c r="B27" s="226" t="s">
        <v>64</v>
      </c>
      <c r="C27" s="188"/>
      <c r="D27" s="188"/>
      <c r="E27" s="188"/>
      <c r="F27" s="189"/>
      <c r="G27" s="25">
        <v>2</v>
      </c>
      <c r="H27" s="25" t="s">
        <v>62</v>
      </c>
      <c r="I27" s="222" t="s">
        <v>61</v>
      </c>
      <c r="J27" s="223"/>
      <c r="K27" s="224"/>
      <c r="L27" s="6" t="s">
        <v>62</v>
      </c>
      <c r="M27" s="6" t="s">
        <v>62</v>
      </c>
      <c r="N27" s="203"/>
      <c r="O27" s="204"/>
      <c r="P27" s="204"/>
      <c r="Q27" s="204"/>
      <c r="R27" s="204"/>
      <c r="S27" s="205"/>
      <c r="T27" s="25"/>
      <c r="U27" s="25"/>
      <c r="V27" s="222"/>
      <c r="W27" s="223"/>
      <c r="X27" s="224"/>
      <c r="Y27" s="6"/>
      <c r="Z27" s="6"/>
    </row>
    <row r="28" spans="1:26" ht="18" customHeight="1" x14ac:dyDescent="0.15">
      <c r="A28" s="28"/>
      <c r="B28" s="216"/>
      <c r="C28" s="217"/>
      <c r="D28" s="217"/>
      <c r="E28" s="217"/>
      <c r="F28" s="221"/>
      <c r="G28" s="26"/>
      <c r="H28" s="26"/>
      <c r="I28" s="218"/>
      <c r="J28" s="219"/>
      <c r="K28" s="220"/>
      <c r="L28" s="7"/>
      <c r="M28" s="7"/>
      <c r="N28" s="180"/>
      <c r="O28" s="181"/>
      <c r="P28" s="181"/>
      <c r="Q28" s="181"/>
      <c r="R28" s="181"/>
      <c r="S28" s="182"/>
      <c r="T28" s="26"/>
      <c r="U28" s="26"/>
      <c r="V28" s="218"/>
      <c r="W28" s="219"/>
      <c r="X28" s="220"/>
      <c r="Y28" s="7"/>
      <c r="Z28" s="7"/>
    </row>
    <row r="29" spans="1:26" ht="18" customHeight="1" x14ac:dyDescent="0.15">
      <c r="A29" s="28"/>
      <c r="B29" s="216"/>
      <c r="C29" s="217"/>
      <c r="D29" s="217"/>
      <c r="E29" s="217"/>
      <c r="F29" s="221"/>
      <c r="G29" s="26"/>
      <c r="H29" s="26"/>
      <c r="I29" s="218"/>
      <c r="J29" s="219"/>
      <c r="K29" s="220"/>
      <c r="L29" s="7"/>
      <c r="M29" s="7"/>
      <c r="N29" s="180"/>
      <c r="O29" s="181"/>
      <c r="P29" s="181"/>
      <c r="Q29" s="181"/>
      <c r="R29" s="181"/>
      <c r="S29" s="182"/>
      <c r="T29" s="26"/>
      <c r="U29" s="26"/>
      <c r="V29" s="218"/>
      <c r="W29" s="219"/>
      <c r="X29" s="220"/>
      <c r="Y29" s="7"/>
      <c r="Z29" s="7"/>
    </row>
    <row r="30" spans="1:26" ht="18" customHeight="1" x14ac:dyDescent="0.15">
      <c r="A30" s="28"/>
      <c r="B30" s="216"/>
      <c r="C30" s="217"/>
      <c r="D30" s="217"/>
      <c r="E30" s="217"/>
      <c r="F30" s="221"/>
      <c r="G30" s="26"/>
      <c r="H30" s="26"/>
      <c r="I30" s="218"/>
      <c r="J30" s="219"/>
      <c r="K30" s="220"/>
      <c r="L30" s="7"/>
      <c r="M30" s="7"/>
      <c r="N30" s="180"/>
      <c r="O30" s="181"/>
      <c r="P30" s="181"/>
      <c r="Q30" s="181"/>
      <c r="R30" s="181"/>
      <c r="S30" s="182"/>
      <c r="T30" s="26"/>
      <c r="U30" s="26"/>
      <c r="V30" s="218"/>
      <c r="W30" s="219"/>
      <c r="X30" s="220"/>
      <c r="Y30" s="7"/>
      <c r="Z30" s="7"/>
    </row>
    <row r="31" spans="1:26" ht="18" customHeight="1" x14ac:dyDescent="0.15">
      <c r="A31" s="28"/>
      <c r="B31" s="216"/>
      <c r="C31" s="217"/>
      <c r="D31" s="217"/>
      <c r="E31" s="217"/>
      <c r="F31" s="221"/>
      <c r="G31" s="26"/>
      <c r="H31" s="26"/>
      <c r="I31" s="218"/>
      <c r="J31" s="219"/>
      <c r="K31" s="220"/>
      <c r="L31" s="7"/>
      <c r="M31" s="7"/>
      <c r="N31" s="180"/>
      <c r="O31" s="181"/>
      <c r="P31" s="181"/>
      <c r="Q31" s="181"/>
      <c r="R31" s="181"/>
      <c r="S31" s="182"/>
      <c r="T31" s="26"/>
      <c r="U31" s="26"/>
      <c r="V31" s="218"/>
      <c r="W31" s="219"/>
      <c r="X31" s="220"/>
      <c r="Y31" s="7"/>
      <c r="Z31" s="7"/>
    </row>
    <row r="32" spans="1:26" ht="18" customHeight="1" x14ac:dyDescent="0.15">
      <c r="A32" s="28"/>
      <c r="B32" s="216"/>
      <c r="C32" s="217"/>
      <c r="D32" s="217"/>
      <c r="E32" s="217"/>
      <c r="F32" s="221"/>
      <c r="G32" s="26"/>
      <c r="H32" s="26"/>
      <c r="I32" s="218"/>
      <c r="J32" s="219"/>
      <c r="K32" s="220"/>
      <c r="L32" s="7"/>
      <c r="M32" s="7"/>
      <c r="N32" s="180"/>
      <c r="O32" s="181"/>
      <c r="P32" s="181"/>
      <c r="Q32" s="181"/>
      <c r="R32" s="181"/>
      <c r="S32" s="182"/>
      <c r="T32" s="26"/>
      <c r="U32" s="26"/>
      <c r="V32" s="218"/>
      <c r="W32" s="219"/>
      <c r="X32" s="220"/>
      <c r="Y32" s="7"/>
      <c r="Z32" s="7"/>
    </row>
    <row r="33" spans="1:26" ht="18" customHeight="1" x14ac:dyDescent="0.15">
      <c r="A33" s="28"/>
      <c r="B33" s="209"/>
      <c r="C33" s="190"/>
      <c r="D33" s="190"/>
      <c r="E33" s="190"/>
      <c r="F33" s="191"/>
      <c r="G33" s="27"/>
      <c r="H33" s="27"/>
      <c r="I33" s="210"/>
      <c r="J33" s="211"/>
      <c r="K33" s="212"/>
      <c r="L33" s="8"/>
      <c r="M33" s="8"/>
      <c r="N33" s="183"/>
      <c r="O33" s="184"/>
      <c r="P33" s="184"/>
      <c r="Q33" s="184"/>
      <c r="R33" s="184"/>
      <c r="S33" s="185"/>
      <c r="T33" s="27"/>
      <c r="U33" s="27"/>
      <c r="V33" s="210"/>
      <c r="W33" s="211"/>
      <c r="X33" s="212"/>
      <c r="Y33" s="8"/>
      <c r="Z33" s="8"/>
    </row>
    <row r="34" spans="1:26" ht="7.5" customHeight="1" x14ac:dyDescent="0.15">
      <c r="A34" s="30"/>
      <c r="B34" s="9"/>
      <c r="C34" s="9"/>
      <c r="D34" s="30"/>
      <c r="E34" s="30"/>
      <c r="F34" s="30"/>
      <c r="G34" s="30"/>
      <c r="H34" s="30"/>
      <c r="I34" s="30"/>
      <c r="J34" s="30"/>
      <c r="K34" s="30"/>
      <c r="L34" s="9"/>
      <c r="M34" s="9"/>
      <c r="N34" s="9"/>
      <c r="O34" s="9"/>
      <c r="P34" s="9"/>
      <c r="Q34" s="9"/>
      <c r="R34" s="9"/>
      <c r="S34" s="9"/>
      <c r="T34" s="9"/>
      <c r="U34" s="9"/>
      <c r="V34" s="9"/>
      <c r="W34" s="9"/>
      <c r="X34" s="9"/>
      <c r="Y34" s="9"/>
      <c r="Z34" s="30"/>
    </row>
    <row r="35" spans="1:26" ht="18" customHeight="1" x14ac:dyDescent="0.15">
      <c r="A35" s="225" t="s">
        <v>45</v>
      </c>
      <c r="B35" s="225"/>
      <c r="C35" s="225"/>
      <c r="D35" s="225"/>
      <c r="E35" s="225"/>
      <c r="F35" s="225"/>
      <c r="G35" s="225"/>
      <c r="H35" s="225"/>
      <c r="I35" s="225"/>
      <c r="J35" s="225"/>
      <c r="K35" s="225"/>
      <c r="L35" s="225"/>
      <c r="M35" s="225"/>
      <c r="N35" s="225"/>
      <c r="O35" s="225"/>
      <c r="P35" s="225"/>
      <c r="Q35" s="225"/>
      <c r="R35" s="225"/>
      <c r="S35" s="225"/>
      <c r="T35" s="225"/>
      <c r="U35" s="225"/>
      <c r="V35" s="225"/>
      <c r="W35" s="225"/>
      <c r="X35" s="225"/>
      <c r="Y35" s="225"/>
      <c r="Z35" s="225"/>
    </row>
    <row r="36" spans="1:26" ht="18" customHeight="1" x14ac:dyDescent="0.15">
      <c r="A36" s="225"/>
      <c r="B36" s="225"/>
      <c r="C36" s="225"/>
      <c r="D36" s="225"/>
      <c r="E36" s="225"/>
      <c r="F36" s="225"/>
      <c r="G36" s="225"/>
      <c r="H36" s="225"/>
      <c r="I36" s="225"/>
      <c r="J36" s="225"/>
      <c r="K36" s="225"/>
      <c r="L36" s="225"/>
      <c r="M36" s="225"/>
      <c r="N36" s="225"/>
      <c r="O36" s="225"/>
      <c r="P36" s="225"/>
      <c r="Q36" s="225"/>
      <c r="R36" s="225"/>
      <c r="S36" s="225"/>
      <c r="T36" s="225"/>
      <c r="U36" s="225"/>
      <c r="V36" s="225"/>
      <c r="W36" s="225"/>
      <c r="X36" s="225"/>
      <c r="Y36" s="225"/>
      <c r="Z36" s="225"/>
    </row>
    <row r="37" spans="1:26" ht="18" customHeight="1" x14ac:dyDescent="0.15">
      <c r="A37" s="28"/>
      <c r="B37" s="138" t="s">
        <v>18</v>
      </c>
      <c r="C37" s="139"/>
      <c r="D37" s="139"/>
      <c r="E37" s="139"/>
      <c r="F37" s="140"/>
      <c r="G37" s="4" t="s">
        <v>57</v>
      </c>
      <c r="H37" s="24" t="s">
        <v>56</v>
      </c>
      <c r="I37" s="138" t="s">
        <v>19</v>
      </c>
      <c r="J37" s="139"/>
      <c r="K37" s="140"/>
      <c r="L37" s="5" t="s">
        <v>46</v>
      </c>
      <c r="M37" s="5" t="s">
        <v>47</v>
      </c>
      <c r="N37" s="138" t="s">
        <v>18</v>
      </c>
      <c r="O37" s="139"/>
      <c r="P37" s="139"/>
      <c r="Q37" s="139"/>
      <c r="R37" s="139"/>
      <c r="S37" s="140"/>
      <c r="T37" s="4" t="s">
        <v>57</v>
      </c>
      <c r="U37" s="24" t="s">
        <v>56</v>
      </c>
      <c r="V37" s="138" t="s">
        <v>19</v>
      </c>
      <c r="W37" s="139"/>
      <c r="X37" s="140"/>
      <c r="Y37" s="5" t="s">
        <v>46</v>
      </c>
      <c r="Z37" s="5" t="s">
        <v>47</v>
      </c>
    </row>
    <row r="38" spans="1:26" ht="18" customHeight="1" x14ac:dyDescent="0.15">
      <c r="A38" s="30"/>
      <c r="B38" s="216" t="s">
        <v>67</v>
      </c>
      <c r="C38" s="217"/>
      <c r="D38" s="217"/>
      <c r="E38" s="217"/>
      <c r="F38" s="221"/>
      <c r="G38" s="25">
        <v>2</v>
      </c>
      <c r="H38" s="25" t="s">
        <v>62</v>
      </c>
      <c r="I38" s="222" t="s">
        <v>61</v>
      </c>
      <c r="J38" s="223"/>
      <c r="K38" s="224"/>
      <c r="L38" s="6" t="s">
        <v>62</v>
      </c>
      <c r="M38" s="6" t="s">
        <v>62</v>
      </c>
      <c r="N38" s="203"/>
      <c r="O38" s="204"/>
      <c r="P38" s="204"/>
      <c r="Q38" s="204"/>
      <c r="R38" s="204"/>
      <c r="S38" s="205"/>
      <c r="T38" s="25"/>
      <c r="U38" s="25"/>
      <c r="V38" s="222"/>
      <c r="W38" s="223"/>
      <c r="X38" s="224"/>
      <c r="Y38" s="6"/>
      <c r="Z38" s="6"/>
    </row>
    <row r="39" spans="1:26" ht="18" customHeight="1" x14ac:dyDescent="0.15">
      <c r="A39" s="30"/>
      <c r="B39" s="216"/>
      <c r="C39" s="217"/>
      <c r="D39" s="217"/>
      <c r="E39" s="217"/>
      <c r="F39" s="221"/>
      <c r="G39" s="26"/>
      <c r="H39" s="26"/>
      <c r="I39" s="218"/>
      <c r="J39" s="219"/>
      <c r="K39" s="220"/>
      <c r="L39" s="7"/>
      <c r="M39" s="7"/>
      <c r="N39" s="180"/>
      <c r="O39" s="181"/>
      <c r="P39" s="181"/>
      <c r="Q39" s="181"/>
      <c r="R39" s="181"/>
      <c r="S39" s="182"/>
      <c r="T39" s="26"/>
      <c r="U39" s="26"/>
      <c r="V39" s="218"/>
      <c r="W39" s="219"/>
      <c r="X39" s="220"/>
      <c r="Y39" s="7"/>
      <c r="Z39" s="7"/>
    </row>
    <row r="40" spans="1:26" ht="18" customHeight="1" x14ac:dyDescent="0.15">
      <c r="A40" s="30"/>
      <c r="B40" s="216"/>
      <c r="C40" s="217"/>
      <c r="D40" s="217"/>
      <c r="E40" s="217"/>
      <c r="F40" s="221"/>
      <c r="G40" s="26"/>
      <c r="H40" s="26"/>
      <c r="I40" s="218"/>
      <c r="J40" s="219"/>
      <c r="K40" s="220"/>
      <c r="L40" s="7"/>
      <c r="M40" s="7"/>
      <c r="N40" s="180"/>
      <c r="O40" s="181"/>
      <c r="P40" s="181"/>
      <c r="Q40" s="181"/>
      <c r="R40" s="181"/>
      <c r="S40" s="182"/>
      <c r="T40" s="26"/>
      <c r="U40" s="26"/>
      <c r="V40" s="218"/>
      <c r="W40" s="219"/>
      <c r="X40" s="220"/>
      <c r="Y40" s="7"/>
      <c r="Z40" s="7"/>
    </row>
    <row r="41" spans="1:26" ht="18" customHeight="1" x14ac:dyDescent="0.15">
      <c r="A41" s="30"/>
      <c r="B41" s="216"/>
      <c r="C41" s="217"/>
      <c r="D41" s="217"/>
      <c r="E41" s="217"/>
      <c r="F41" s="221"/>
      <c r="G41" s="26"/>
      <c r="H41" s="26"/>
      <c r="I41" s="218"/>
      <c r="J41" s="219"/>
      <c r="K41" s="220"/>
      <c r="L41" s="7"/>
      <c r="M41" s="7"/>
      <c r="N41" s="180"/>
      <c r="O41" s="181"/>
      <c r="P41" s="181"/>
      <c r="Q41" s="181"/>
      <c r="R41" s="181"/>
      <c r="S41" s="182"/>
      <c r="T41" s="26"/>
      <c r="U41" s="26"/>
      <c r="V41" s="218"/>
      <c r="W41" s="219"/>
      <c r="X41" s="220"/>
      <c r="Y41" s="7"/>
      <c r="Z41" s="7"/>
    </row>
    <row r="42" spans="1:26" ht="18" customHeight="1" x14ac:dyDescent="0.15">
      <c r="A42" s="30"/>
      <c r="B42" s="216"/>
      <c r="C42" s="217"/>
      <c r="D42" s="217"/>
      <c r="E42" s="217"/>
      <c r="F42" s="221"/>
      <c r="G42" s="26"/>
      <c r="H42" s="26"/>
      <c r="I42" s="218"/>
      <c r="J42" s="219"/>
      <c r="K42" s="220"/>
      <c r="L42" s="7"/>
      <c r="M42" s="7"/>
      <c r="N42" s="180"/>
      <c r="O42" s="181"/>
      <c r="P42" s="181"/>
      <c r="Q42" s="181"/>
      <c r="R42" s="181"/>
      <c r="S42" s="182"/>
      <c r="T42" s="26"/>
      <c r="U42" s="26"/>
      <c r="V42" s="218"/>
      <c r="W42" s="219"/>
      <c r="X42" s="220"/>
      <c r="Y42" s="7"/>
      <c r="Z42" s="7"/>
    </row>
    <row r="43" spans="1:26" ht="18" customHeight="1" x14ac:dyDescent="0.15">
      <c r="A43" s="30"/>
      <c r="B43" s="216"/>
      <c r="C43" s="217"/>
      <c r="D43" s="217"/>
      <c r="E43" s="217"/>
      <c r="F43" s="221"/>
      <c r="G43" s="26"/>
      <c r="H43" s="26"/>
      <c r="I43" s="218"/>
      <c r="J43" s="219"/>
      <c r="K43" s="220"/>
      <c r="L43" s="7"/>
      <c r="M43" s="7"/>
      <c r="N43" s="180"/>
      <c r="O43" s="181"/>
      <c r="P43" s="181"/>
      <c r="Q43" s="181"/>
      <c r="R43" s="181"/>
      <c r="S43" s="182"/>
      <c r="T43" s="26"/>
      <c r="U43" s="26"/>
      <c r="V43" s="218"/>
      <c r="W43" s="219"/>
      <c r="X43" s="220"/>
      <c r="Y43" s="7"/>
      <c r="Z43" s="7"/>
    </row>
    <row r="44" spans="1:26" ht="18" customHeight="1" x14ac:dyDescent="0.15">
      <c r="A44" s="30"/>
      <c r="B44" s="209"/>
      <c r="C44" s="190"/>
      <c r="D44" s="190"/>
      <c r="E44" s="190"/>
      <c r="F44" s="191"/>
      <c r="G44" s="27"/>
      <c r="H44" s="27"/>
      <c r="I44" s="210"/>
      <c r="J44" s="211"/>
      <c r="K44" s="212"/>
      <c r="L44" s="8"/>
      <c r="M44" s="8"/>
      <c r="N44" s="183"/>
      <c r="O44" s="184"/>
      <c r="P44" s="184"/>
      <c r="Q44" s="184"/>
      <c r="R44" s="184"/>
      <c r="S44" s="185"/>
      <c r="T44" s="27"/>
      <c r="U44" s="27"/>
      <c r="V44" s="210"/>
      <c r="W44" s="211"/>
      <c r="X44" s="212"/>
      <c r="Y44" s="8"/>
      <c r="Z44" s="8"/>
    </row>
    <row r="45" spans="1:26" ht="7.5" customHeight="1" x14ac:dyDescent="0.15">
      <c r="B45" s="31"/>
      <c r="C45" s="31"/>
      <c r="D45" s="31"/>
      <c r="E45" s="31"/>
      <c r="F45" s="31"/>
      <c r="G45" s="31"/>
      <c r="H45" s="31"/>
      <c r="I45" s="31"/>
      <c r="J45" s="31"/>
      <c r="K45" s="31"/>
      <c r="L45" s="31"/>
      <c r="M45" s="31"/>
      <c r="N45" s="31"/>
      <c r="O45" s="31"/>
      <c r="P45" s="31"/>
      <c r="Q45" s="31"/>
      <c r="R45" s="31"/>
      <c r="S45" s="31"/>
      <c r="T45" s="31"/>
      <c r="U45" s="31"/>
      <c r="V45" s="31"/>
      <c r="W45" s="31"/>
      <c r="X45" s="31"/>
      <c r="Y45" s="31"/>
    </row>
    <row r="46" spans="1:26" ht="18" customHeight="1" x14ac:dyDescent="0.15">
      <c r="A46" s="225" t="s">
        <v>48</v>
      </c>
      <c r="B46" s="225"/>
      <c r="C46" s="225"/>
      <c r="D46" s="225"/>
      <c r="E46" s="225"/>
      <c r="F46" s="225"/>
      <c r="G46" s="225"/>
      <c r="H46" s="225"/>
      <c r="I46" s="225"/>
      <c r="J46" s="225"/>
      <c r="K46" s="225"/>
      <c r="L46" s="225"/>
      <c r="M46" s="225"/>
      <c r="N46" s="225"/>
      <c r="O46" s="225"/>
      <c r="P46" s="225"/>
      <c r="Q46" s="225"/>
      <c r="R46" s="225"/>
      <c r="S46" s="225"/>
      <c r="T46" s="225"/>
      <c r="U46" s="225"/>
      <c r="V46" s="225"/>
      <c r="W46" s="225"/>
      <c r="X46" s="225"/>
      <c r="Y46" s="225"/>
      <c r="Z46" s="225"/>
    </row>
    <row r="47" spans="1:26" ht="18" customHeight="1" x14ac:dyDescent="0.15">
      <c r="A47" s="225"/>
      <c r="B47" s="225"/>
      <c r="C47" s="225"/>
      <c r="D47" s="225"/>
      <c r="E47" s="225"/>
      <c r="F47" s="225"/>
      <c r="G47" s="225"/>
      <c r="H47" s="225"/>
      <c r="I47" s="225"/>
      <c r="J47" s="225"/>
      <c r="K47" s="225"/>
      <c r="L47" s="225"/>
      <c r="M47" s="225"/>
      <c r="N47" s="225"/>
      <c r="O47" s="225"/>
      <c r="P47" s="225"/>
      <c r="Q47" s="225"/>
      <c r="R47" s="225"/>
      <c r="S47" s="225"/>
      <c r="T47" s="225"/>
      <c r="U47" s="225"/>
      <c r="V47" s="225"/>
      <c r="W47" s="225"/>
      <c r="X47" s="225"/>
      <c r="Y47" s="225"/>
      <c r="Z47" s="225"/>
    </row>
    <row r="48" spans="1:26" ht="18" customHeight="1" x14ac:dyDescent="0.15">
      <c r="A48" s="28"/>
      <c r="B48" s="138" t="s">
        <v>18</v>
      </c>
      <c r="C48" s="139"/>
      <c r="D48" s="139"/>
      <c r="E48" s="139"/>
      <c r="F48" s="140"/>
      <c r="G48" s="4" t="s">
        <v>57</v>
      </c>
      <c r="H48" s="24" t="s">
        <v>56</v>
      </c>
      <c r="I48" s="138" t="s">
        <v>19</v>
      </c>
      <c r="J48" s="139"/>
      <c r="K48" s="140"/>
      <c r="L48" s="5" t="s">
        <v>24</v>
      </c>
      <c r="M48" s="5" t="s">
        <v>26</v>
      </c>
      <c r="N48" s="138" t="s">
        <v>18</v>
      </c>
      <c r="O48" s="139"/>
      <c r="P48" s="139"/>
      <c r="Q48" s="139"/>
      <c r="R48" s="139"/>
      <c r="S48" s="140"/>
      <c r="T48" s="4" t="s">
        <v>57</v>
      </c>
      <c r="U48" s="24" t="s">
        <v>56</v>
      </c>
      <c r="V48" s="138" t="s">
        <v>19</v>
      </c>
      <c r="W48" s="139"/>
      <c r="X48" s="140"/>
      <c r="Y48" s="5" t="s">
        <v>24</v>
      </c>
      <c r="Z48" s="5" t="s">
        <v>26</v>
      </c>
    </row>
    <row r="49" spans="1:26" ht="18" customHeight="1" x14ac:dyDescent="0.15">
      <c r="A49" s="30"/>
      <c r="B49" s="226" t="s">
        <v>67</v>
      </c>
      <c r="C49" s="188"/>
      <c r="D49" s="188"/>
      <c r="E49" s="188"/>
      <c r="F49" s="189"/>
      <c r="G49" s="25">
        <v>2</v>
      </c>
      <c r="H49" s="25" t="s">
        <v>62</v>
      </c>
      <c r="I49" s="222" t="s">
        <v>61</v>
      </c>
      <c r="J49" s="223"/>
      <c r="K49" s="224"/>
      <c r="L49" s="6" t="s">
        <v>62</v>
      </c>
      <c r="M49" s="6" t="s">
        <v>62</v>
      </c>
      <c r="N49" s="203"/>
      <c r="O49" s="204"/>
      <c r="P49" s="204"/>
      <c r="Q49" s="204"/>
      <c r="R49" s="204"/>
      <c r="S49" s="205"/>
      <c r="T49" s="25"/>
      <c r="U49" s="25"/>
      <c r="V49" s="222"/>
      <c r="W49" s="223"/>
      <c r="X49" s="224"/>
      <c r="Y49" s="6"/>
      <c r="Z49" s="6"/>
    </row>
    <row r="50" spans="1:26" ht="18" customHeight="1" x14ac:dyDescent="0.15">
      <c r="A50" s="30"/>
      <c r="B50" s="216"/>
      <c r="C50" s="217"/>
      <c r="D50" s="217"/>
      <c r="E50" s="217"/>
      <c r="F50" s="221"/>
      <c r="G50" s="26"/>
      <c r="H50" s="26"/>
      <c r="I50" s="218"/>
      <c r="J50" s="219"/>
      <c r="K50" s="220"/>
      <c r="L50" s="7"/>
      <c r="M50" s="7"/>
      <c r="N50" s="180"/>
      <c r="O50" s="181"/>
      <c r="P50" s="181"/>
      <c r="Q50" s="181"/>
      <c r="R50" s="181"/>
      <c r="S50" s="182"/>
      <c r="T50" s="26"/>
      <c r="U50" s="26"/>
      <c r="V50" s="218"/>
      <c r="W50" s="219"/>
      <c r="X50" s="220"/>
      <c r="Y50" s="7"/>
      <c r="Z50" s="7"/>
    </row>
    <row r="51" spans="1:26" ht="18" customHeight="1" x14ac:dyDescent="0.15">
      <c r="A51" s="30"/>
      <c r="B51" s="216"/>
      <c r="C51" s="217"/>
      <c r="D51" s="217"/>
      <c r="E51" s="217"/>
      <c r="F51" s="221"/>
      <c r="G51" s="26"/>
      <c r="H51" s="26"/>
      <c r="I51" s="218"/>
      <c r="J51" s="219"/>
      <c r="K51" s="220"/>
      <c r="L51" s="7"/>
      <c r="M51" s="7"/>
      <c r="N51" s="180"/>
      <c r="O51" s="181"/>
      <c r="P51" s="181"/>
      <c r="Q51" s="181"/>
      <c r="R51" s="181"/>
      <c r="S51" s="182"/>
      <c r="T51" s="26"/>
      <c r="U51" s="26"/>
      <c r="V51" s="218"/>
      <c r="W51" s="219"/>
      <c r="X51" s="220"/>
      <c r="Y51" s="7"/>
      <c r="Z51" s="7"/>
    </row>
    <row r="52" spans="1:26" ht="18" customHeight="1" x14ac:dyDescent="0.15">
      <c r="A52" s="30"/>
      <c r="B52" s="216"/>
      <c r="C52" s="217"/>
      <c r="D52" s="217"/>
      <c r="E52" s="217"/>
      <c r="F52" s="221"/>
      <c r="G52" s="26"/>
      <c r="H52" s="26"/>
      <c r="I52" s="218"/>
      <c r="J52" s="219"/>
      <c r="K52" s="220"/>
      <c r="L52" s="7"/>
      <c r="M52" s="7"/>
      <c r="N52" s="180"/>
      <c r="O52" s="181"/>
      <c r="P52" s="181"/>
      <c r="Q52" s="181"/>
      <c r="R52" s="181"/>
      <c r="S52" s="182"/>
      <c r="T52" s="26"/>
      <c r="U52" s="26"/>
      <c r="V52" s="218"/>
      <c r="W52" s="219"/>
      <c r="X52" s="220"/>
      <c r="Y52" s="7"/>
      <c r="Z52" s="7"/>
    </row>
    <row r="53" spans="1:26" ht="18" customHeight="1" x14ac:dyDescent="0.15">
      <c r="A53" s="30"/>
      <c r="B53" s="216"/>
      <c r="C53" s="217"/>
      <c r="D53" s="217"/>
      <c r="E53" s="217"/>
      <c r="F53" s="221"/>
      <c r="G53" s="26"/>
      <c r="H53" s="26"/>
      <c r="I53" s="218"/>
      <c r="J53" s="219"/>
      <c r="K53" s="220"/>
      <c r="L53" s="7"/>
      <c r="M53" s="7"/>
      <c r="N53" s="180"/>
      <c r="O53" s="181"/>
      <c r="P53" s="181"/>
      <c r="Q53" s="181"/>
      <c r="R53" s="181"/>
      <c r="S53" s="182"/>
      <c r="T53" s="26"/>
      <c r="U53" s="26"/>
      <c r="V53" s="218"/>
      <c r="W53" s="219"/>
      <c r="X53" s="220"/>
      <c r="Y53" s="7"/>
      <c r="Z53" s="7"/>
    </row>
    <row r="54" spans="1:26" ht="18" customHeight="1" x14ac:dyDescent="0.15">
      <c r="A54" s="30"/>
      <c r="B54" s="216"/>
      <c r="C54" s="217"/>
      <c r="D54" s="217"/>
      <c r="E54" s="217"/>
      <c r="F54" s="221"/>
      <c r="G54" s="26"/>
      <c r="H54" s="26"/>
      <c r="I54" s="218"/>
      <c r="J54" s="219"/>
      <c r="K54" s="220"/>
      <c r="L54" s="7"/>
      <c r="M54" s="7"/>
      <c r="N54" s="180"/>
      <c r="O54" s="181"/>
      <c r="P54" s="181"/>
      <c r="Q54" s="181"/>
      <c r="R54" s="181"/>
      <c r="S54" s="182"/>
      <c r="T54" s="26"/>
      <c r="U54" s="26"/>
      <c r="V54" s="218"/>
      <c r="W54" s="219"/>
      <c r="X54" s="220"/>
      <c r="Y54" s="7"/>
      <c r="Z54" s="7"/>
    </row>
    <row r="55" spans="1:26" ht="18" customHeight="1" x14ac:dyDescent="0.15">
      <c r="A55" s="30"/>
      <c r="B55" s="209"/>
      <c r="C55" s="190"/>
      <c r="D55" s="190"/>
      <c r="E55" s="190"/>
      <c r="F55" s="191"/>
      <c r="G55" s="27"/>
      <c r="H55" s="27"/>
      <c r="I55" s="210"/>
      <c r="J55" s="211"/>
      <c r="K55" s="212"/>
      <c r="L55" s="8"/>
      <c r="M55" s="8"/>
      <c r="N55" s="183"/>
      <c r="O55" s="184"/>
      <c r="P55" s="184"/>
      <c r="Q55" s="184"/>
      <c r="R55" s="184"/>
      <c r="S55" s="185"/>
      <c r="T55" s="27"/>
      <c r="U55" s="27"/>
      <c r="V55" s="210"/>
      <c r="W55" s="211"/>
      <c r="X55" s="212"/>
      <c r="Y55" s="8"/>
      <c r="Z55" s="8"/>
    </row>
    <row r="56" spans="1:26" ht="7.5" customHeight="1" x14ac:dyDescent="0.15">
      <c r="B56" s="31"/>
      <c r="C56" s="31"/>
      <c r="D56" s="31"/>
      <c r="E56" s="31"/>
      <c r="F56" s="31"/>
      <c r="G56" s="31"/>
      <c r="H56" s="31"/>
      <c r="I56" s="31"/>
      <c r="J56" s="31"/>
      <c r="K56" s="31"/>
      <c r="L56" s="31"/>
      <c r="M56" s="31"/>
      <c r="N56" s="31"/>
      <c r="O56" s="31"/>
      <c r="P56" s="31"/>
      <c r="Q56" s="31"/>
      <c r="R56" s="31"/>
      <c r="S56" s="31"/>
      <c r="T56" s="31"/>
      <c r="U56" s="31"/>
      <c r="V56" s="31"/>
      <c r="W56" s="31"/>
      <c r="X56" s="31"/>
      <c r="Y56" s="31"/>
    </row>
    <row r="57" spans="1:26" ht="18" customHeight="1" x14ac:dyDescent="0.15">
      <c r="A57" s="225" t="s">
        <v>49</v>
      </c>
      <c r="B57" s="225"/>
      <c r="C57" s="225"/>
      <c r="D57" s="225"/>
      <c r="E57" s="225"/>
      <c r="F57" s="225"/>
      <c r="G57" s="225"/>
      <c r="H57" s="225"/>
      <c r="I57" s="225"/>
      <c r="J57" s="225"/>
      <c r="K57" s="225"/>
      <c r="L57" s="225"/>
      <c r="M57" s="225"/>
      <c r="N57" s="225"/>
      <c r="O57" s="225"/>
      <c r="P57" s="225"/>
      <c r="Q57" s="225"/>
      <c r="R57" s="225"/>
      <c r="S57" s="225"/>
      <c r="T57" s="225"/>
      <c r="U57" s="225"/>
      <c r="V57" s="225"/>
      <c r="W57" s="225"/>
      <c r="X57" s="225"/>
      <c r="Y57" s="225"/>
      <c r="Z57" s="225"/>
    </row>
    <row r="58" spans="1:26" ht="18" customHeight="1" x14ac:dyDescent="0.15">
      <c r="A58" s="225"/>
      <c r="B58" s="225"/>
      <c r="C58" s="225"/>
      <c r="D58" s="225"/>
      <c r="E58" s="225"/>
      <c r="F58" s="225"/>
      <c r="G58" s="225"/>
      <c r="H58" s="225"/>
      <c r="I58" s="225"/>
      <c r="J58" s="225"/>
      <c r="K58" s="225"/>
      <c r="L58" s="225"/>
      <c r="M58" s="225"/>
      <c r="N58" s="225"/>
      <c r="O58" s="225"/>
      <c r="P58" s="225"/>
      <c r="Q58" s="225"/>
      <c r="R58" s="225"/>
      <c r="S58" s="225"/>
      <c r="T58" s="225"/>
      <c r="U58" s="225"/>
      <c r="V58" s="225"/>
      <c r="W58" s="225"/>
      <c r="X58" s="225"/>
      <c r="Y58" s="225"/>
      <c r="Z58" s="225"/>
    </row>
    <row r="59" spans="1:26" ht="18" customHeight="1" x14ac:dyDescent="0.15">
      <c r="A59" s="28"/>
      <c r="B59" s="138" t="s">
        <v>18</v>
      </c>
      <c r="C59" s="139"/>
      <c r="D59" s="139"/>
      <c r="E59" s="140"/>
      <c r="F59" s="4" t="s">
        <v>57</v>
      </c>
      <c r="G59" s="24" t="s">
        <v>56</v>
      </c>
      <c r="H59" s="16" t="s">
        <v>19</v>
      </c>
      <c r="I59" s="17"/>
      <c r="J59" s="18"/>
      <c r="K59" s="5" t="s">
        <v>23</v>
      </c>
      <c r="L59" s="5" t="s">
        <v>50</v>
      </c>
      <c r="M59" s="5" t="s">
        <v>51</v>
      </c>
      <c r="N59" s="138" t="s">
        <v>18</v>
      </c>
      <c r="O59" s="139"/>
      <c r="P59" s="139"/>
      <c r="Q59" s="139"/>
      <c r="R59" s="140"/>
      <c r="S59" s="4" t="s">
        <v>57</v>
      </c>
      <c r="T59" s="24" t="s">
        <v>56</v>
      </c>
      <c r="U59" s="16" t="s">
        <v>19</v>
      </c>
      <c r="V59" s="17"/>
      <c r="W59" s="18"/>
      <c r="X59" s="5" t="s">
        <v>23</v>
      </c>
      <c r="Y59" s="5" t="s">
        <v>50</v>
      </c>
      <c r="Z59" s="5" t="s">
        <v>51</v>
      </c>
    </row>
    <row r="60" spans="1:26" ht="18" customHeight="1" x14ac:dyDescent="0.15">
      <c r="A60" s="30"/>
      <c r="B60" s="203" t="s">
        <v>67</v>
      </c>
      <c r="C60" s="204"/>
      <c r="D60" s="204"/>
      <c r="E60" s="205"/>
      <c r="F60" s="25">
        <v>2</v>
      </c>
      <c r="G60" s="25" t="s">
        <v>62</v>
      </c>
      <c r="H60" s="222" t="s">
        <v>61</v>
      </c>
      <c r="I60" s="223"/>
      <c r="J60" s="224"/>
      <c r="K60" s="19" t="s">
        <v>62</v>
      </c>
      <c r="L60" s="6" t="s">
        <v>62</v>
      </c>
      <c r="M60" s="6" t="s">
        <v>62</v>
      </c>
      <c r="N60" s="203"/>
      <c r="O60" s="204"/>
      <c r="P60" s="204"/>
      <c r="Q60" s="204"/>
      <c r="R60" s="205"/>
      <c r="S60" s="25"/>
      <c r="T60" s="25"/>
      <c r="U60" s="222"/>
      <c r="V60" s="223"/>
      <c r="W60" s="224"/>
      <c r="X60" s="19"/>
      <c r="Y60" s="6"/>
      <c r="Z60" s="6"/>
    </row>
    <row r="61" spans="1:26" ht="18" customHeight="1" x14ac:dyDescent="0.15">
      <c r="A61" s="30"/>
      <c r="B61" s="216" t="s">
        <v>69</v>
      </c>
      <c r="C61" s="217"/>
      <c r="D61" s="217"/>
      <c r="E61" s="217"/>
      <c r="F61" s="26">
        <v>1</v>
      </c>
      <c r="G61" s="26" t="s">
        <v>62</v>
      </c>
      <c r="H61" s="218" t="s">
        <v>65</v>
      </c>
      <c r="I61" s="219"/>
      <c r="J61" s="220"/>
      <c r="K61" s="20" t="s">
        <v>62</v>
      </c>
      <c r="L61" s="7"/>
      <c r="M61" s="7"/>
      <c r="N61" s="180"/>
      <c r="O61" s="181"/>
      <c r="P61" s="181"/>
      <c r="Q61" s="181"/>
      <c r="R61" s="182"/>
      <c r="S61" s="26"/>
      <c r="T61" s="26"/>
      <c r="U61" s="218"/>
      <c r="V61" s="219"/>
      <c r="W61" s="220"/>
      <c r="X61" s="20"/>
      <c r="Y61" s="7"/>
      <c r="Z61" s="7"/>
    </row>
    <row r="62" spans="1:26" ht="18" customHeight="1" x14ac:dyDescent="0.15">
      <c r="A62" s="30"/>
      <c r="B62" s="216"/>
      <c r="C62" s="217"/>
      <c r="D62" s="217"/>
      <c r="E62" s="221"/>
      <c r="F62" s="26"/>
      <c r="G62" s="26"/>
      <c r="H62" s="218"/>
      <c r="I62" s="219"/>
      <c r="J62" s="220"/>
      <c r="K62" s="20"/>
      <c r="L62" s="7"/>
      <c r="M62" s="7"/>
      <c r="N62" s="180"/>
      <c r="O62" s="181"/>
      <c r="P62" s="181"/>
      <c r="Q62" s="181"/>
      <c r="R62" s="182"/>
      <c r="S62" s="26"/>
      <c r="T62" s="26"/>
      <c r="U62" s="218"/>
      <c r="V62" s="219"/>
      <c r="W62" s="220"/>
      <c r="X62" s="20"/>
      <c r="Y62" s="7"/>
      <c r="Z62" s="7"/>
    </row>
    <row r="63" spans="1:26" ht="18" customHeight="1" x14ac:dyDescent="0.15">
      <c r="A63" s="30"/>
      <c r="B63" s="216"/>
      <c r="C63" s="217"/>
      <c r="D63" s="217"/>
      <c r="E63" s="217"/>
      <c r="F63" s="26"/>
      <c r="G63" s="26"/>
      <c r="H63" s="218"/>
      <c r="I63" s="219"/>
      <c r="J63" s="220"/>
      <c r="K63" s="20"/>
      <c r="L63" s="7"/>
      <c r="M63" s="7"/>
      <c r="N63" s="180"/>
      <c r="O63" s="181"/>
      <c r="P63" s="181"/>
      <c r="Q63" s="181"/>
      <c r="R63" s="182"/>
      <c r="S63" s="26"/>
      <c r="T63" s="26"/>
      <c r="U63" s="218"/>
      <c r="V63" s="219"/>
      <c r="W63" s="220"/>
      <c r="X63" s="20"/>
      <c r="Y63" s="7"/>
      <c r="Z63" s="7"/>
    </row>
    <row r="64" spans="1:26" ht="18" customHeight="1" x14ac:dyDescent="0.15">
      <c r="A64" s="30"/>
      <c r="B64" s="216"/>
      <c r="C64" s="217"/>
      <c r="D64" s="217"/>
      <c r="E64" s="217"/>
      <c r="F64" s="26"/>
      <c r="G64" s="26"/>
      <c r="H64" s="218"/>
      <c r="I64" s="219"/>
      <c r="J64" s="220"/>
      <c r="K64" s="20"/>
      <c r="L64" s="7"/>
      <c r="M64" s="7"/>
      <c r="N64" s="180"/>
      <c r="O64" s="181"/>
      <c r="P64" s="181"/>
      <c r="Q64" s="181"/>
      <c r="R64" s="182"/>
      <c r="S64" s="26"/>
      <c r="T64" s="26"/>
      <c r="U64" s="218"/>
      <c r="V64" s="219"/>
      <c r="W64" s="220"/>
      <c r="X64" s="20"/>
      <c r="Y64" s="7"/>
      <c r="Z64" s="7"/>
    </row>
    <row r="65" spans="1:26" ht="18" customHeight="1" x14ac:dyDescent="0.15">
      <c r="A65" s="30"/>
      <c r="B65" s="216"/>
      <c r="C65" s="217"/>
      <c r="D65" s="217"/>
      <c r="E65" s="217"/>
      <c r="F65" s="26"/>
      <c r="G65" s="26"/>
      <c r="H65" s="218"/>
      <c r="I65" s="219"/>
      <c r="J65" s="220"/>
      <c r="K65" s="20"/>
      <c r="L65" s="7"/>
      <c r="M65" s="7"/>
      <c r="N65" s="180"/>
      <c r="O65" s="181"/>
      <c r="P65" s="181"/>
      <c r="Q65" s="181"/>
      <c r="R65" s="182"/>
      <c r="S65" s="26"/>
      <c r="T65" s="26"/>
      <c r="U65" s="218"/>
      <c r="V65" s="219"/>
      <c r="W65" s="220"/>
      <c r="X65" s="20"/>
      <c r="Y65" s="7"/>
      <c r="Z65" s="7"/>
    </row>
    <row r="66" spans="1:26" ht="18" customHeight="1" x14ac:dyDescent="0.15">
      <c r="A66" s="30"/>
      <c r="B66" s="209"/>
      <c r="C66" s="190"/>
      <c r="D66" s="190"/>
      <c r="E66" s="191"/>
      <c r="F66" s="27"/>
      <c r="G66" s="27"/>
      <c r="H66" s="210"/>
      <c r="I66" s="211"/>
      <c r="J66" s="212"/>
      <c r="K66" s="21"/>
      <c r="L66" s="8"/>
      <c r="M66" s="8"/>
      <c r="N66" s="183"/>
      <c r="O66" s="184"/>
      <c r="P66" s="184"/>
      <c r="Q66" s="184"/>
      <c r="R66" s="185"/>
      <c r="S66" s="27"/>
      <c r="T66" s="27"/>
      <c r="U66" s="210"/>
      <c r="V66" s="211"/>
      <c r="W66" s="212"/>
      <c r="X66" s="21"/>
      <c r="Y66" s="8"/>
      <c r="Z66" s="8"/>
    </row>
    <row r="67" spans="1:26" ht="7.5" customHeight="1" x14ac:dyDescent="0.15">
      <c r="B67" s="31"/>
      <c r="C67" s="31"/>
      <c r="D67" s="31"/>
      <c r="E67" s="31"/>
      <c r="F67" s="31"/>
      <c r="G67" s="31"/>
      <c r="H67" s="31"/>
      <c r="I67" s="31"/>
      <c r="J67" s="31"/>
      <c r="K67" s="31"/>
      <c r="L67" s="31"/>
      <c r="M67" s="31"/>
      <c r="N67" s="31"/>
      <c r="O67" s="31"/>
      <c r="P67" s="31"/>
      <c r="Q67" s="31"/>
      <c r="R67" s="31"/>
      <c r="S67" s="31"/>
      <c r="T67" s="31"/>
      <c r="U67" s="31"/>
      <c r="V67" s="31"/>
      <c r="W67" s="31"/>
      <c r="X67" s="31"/>
      <c r="Y67" s="31"/>
    </row>
    <row r="68" spans="1:26" ht="18" customHeight="1" x14ac:dyDescent="0.15">
      <c r="A68" s="28" t="s">
        <v>52</v>
      </c>
      <c r="B68" s="28"/>
      <c r="C68" s="28"/>
      <c r="D68" s="28"/>
      <c r="E68" s="28"/>
      <c r="F68" s="28"/>
      <c r="G68" s="28"/>
      <c r="H68" s="28"/>
      <c r="I68" s="28"/>
      <c r="J68" s="28"/>
      <c r="K68" s="28"/>
      <c r="L68" s="30"/>
      <c r="M68" s="30"/>
      <c r="N68" s="30"/>
      <c r="O68" s="30"/>
      <c r="P68" s="30"/>
      <c r="Q68" s="30"/>
      <c r="R68" s="30"/>
      <c r="S68" s="30"/>
      <c r="T68" s="30"/>
      <c r="U68" s="30"/>
      <c r="V68" s="30"/>
      <c r="W68" s="30"/>
      <c r="X68" s="30"/>
      <c r="Y68" s="30"/>
      <c r="Z68" s="30"/>
    </row>
    <row r="69" spans="1:26" ht="18" customHeight="1" x14ac:dyDescent="0.15">
      <c r="A69" s="28"/>
      <c r="B69" s="138" t="s">
        <v>18</v>
      </c>
      <c r="C69" s="139"/>
      <c r="D69" s="139"/>
      <c r="E69" s="139"/>
      <c r="F69" s="140"/>
      <c r="G69" s="138" t="s">
        <v>27</v>
      </c>
      <c r="H69" s="139"/>
      <c r="I69" s="139"/>
      <c r="J69" s="139"/>
      <c r="K69" s="139"/>
      <c r="L69" s="139"/>
      <c r="M69" s="140"/>
      <c r="N69" s="213" t="s">
        <v>18</v>
      </c>
      <c r="O69" s="214"/>
      <c r="P69" s="214"/>
      <c r="Q69" s="214"/>
      <c r="R69" s="214"/>
      <c r="S69" s="215"/>
      <c r="T69" s="138" t="s">
        <v>27</v>
      </c>
      <c r="U69" s="139"/>
      <c r="V69" s="139"/>
      <c r="W69" s="139"/>
      <c r="X69" s="139"/>
      <c r="Y69" s="139"/>
      <c r="Z69" s="140"/>
    </row>
    <row r="70" spans="1:26" ht="18" customHeight="1" x14ac:dyDescent="0.15">
      <c r="A70" s="30"/>
      <c r="B70" s="203"/>
      <c r="C70" s="204"/>
      <c r="D70" s="204"/>
      <c r="E70" s="204"/>
      <c r="F70" s="205"/>
      <c r="G70" s="206"/>
      <c r="H70" s="207"/>
      <c r="I70" s="207"/>
      <c r="J70" s="207"/>
      <c r="K70" s="207"/>
      <c r="L70" s="207"/>
      <c r="M70" s="208"/>
      <c r="N70" s="203"/>
      <c r="O70" s="204"/>
      <c r="P70" s="204"/>
      <c r="Q70" s="204"/>
      <c r="R70" s="204"/>
      <c r="S70" s="205"/>
      <c r="T70" s="206"/>
      <c r="U70" s="207"/>
      <c r="V70" s="207"/>
      <c r="W70" s="207"/>
      <c r="X70" s="207"/>
      <c r="Y70" s="207"/>
      <c r="Z70" s="208"/>
    </row>
    <row r="71" spans="1:26" ht="18" customHeight="1" x14ac:dyDescent="0.15">
      <c r="A71" s="30"/>
      <c r="B71" s="180"/>
      <c r="C71" s="181"/>
      <c r="D71" s="181"/>
      <c r="E71" s="181"/>
      <c r="F71" s="182"/>
      <c r="G71" s="200"/>
      <c r="H71" s="201"/>
      <c r="I71" s="201"/>
      <c r="J71" s="201"/>
      <c r="K71" s="201"/>
      <c r="L71" s="201"/>
      <c r="M71" s="202"/>
      <c r="N71" s="180"/>
      <c r="O71" s="181"/>
      <c r="P71" s="181"/>
      <c r="Q71" s="181"/>
      <c r="R71" s="181"/>
      <c r="S71" s="182"/>
      <c r="T71" s="200"/>
      <c r="U71" s="201"/>
      <c r="V71" s="201"/>
      <c r="W71" s="201"/>
      <c r="X71" s="201"/>
      <c r="Y71" s="201"/>
      <c r="Z71" s="202"/>
    </row>
    <row r="72" spans="1:26" ht="18" customHeight="1" x14ac:dyDescent="0.15">
      <c r="A72" s="30"/>
      <c r="B72" s="180"/>
      <c r="C72" s="181"/>
      <c r="D72" s="181"/>
      <c r="E72" s="181"/>
      <c r="F72" s="182"/>
      <c r="G72" s="200"/>
      <c r="H72" s="201"/>
      <c r="I72" s="201"/>
      <c r="J72" s="201"/>
      <c r="K72" s="201"/>
      <c r="L72" s="201"/>
      <c r="M72" s="202"/>
      <c r="N72" s="180"/>
      <c r="O72" s="181"/>
      <c r="P72" s="181"/>
      <c r="Q72" s="181"/>
      <c r="R72" s="181"/>
      <c r="S72" s="182"/>
      <c r="T72" s="200"/>
      <c r="U72" s="201"/>
      <c r="V72" s="201"/>
      <c r="W72" s="201"/>
      <c r="X72" s="201"/>
      <c r="Y72" s="201"/>
      <c r="Z72" s="202"/>
    </row>
    <row r="73" spans="1:26" ht="18" customHeight="1" x14ac:dyDescent="0.15">
      <c r="A73" s="30"/>
      <c r="B73" s="180"/>
      <c r="C73" s="181"/>
      <c r="D73" s="181"/>
      <c r="E73" s="181"/>
      <c r="F73" s="182"/>
      <c r="G73" s="200"/>
      <c r="H73" s="201"/>
      <c r="I73" s="201"/>
      <c r="J73" s="201"/>
      <c r="K73" s="201"/>
      <c r="L73" s="201"/>
      <c r="M73" s="202"/>
      <c r="N73" s="180"/>
      <c r="O73" s="181"/>
      <c r="P73" s="181"/>
      <c r="Q73" s="181"/>
      <c r="R73" s="181"/>
      <c r="S73" s="182"/>
      <c r="T73" s="200"/>
      <c r="U73" s="201"/>
      <c r="V73" s="201"/>
      <c r="W73" s="201"/>
      <c r="X73" s="201"/>
      <c r="Y73" s="201"/>
      <c r="Z73" s="202"/>
    </row>
    <row r="74" spans="1:26" ht="18" customHeight="1" x14ac:dyDescent="0.15">
      <c r="A74" s="30"/>
      <c r="B74" s="180"/>
      <c r="C74" s="181"/>
      <c r="D74" s="181"/>
      <c r="E74" s="181"/>
      <c r="F74" s="182"/>
      <c r="G74" s="200"/>
      <c r="H74" s="201"/>
      <c r="I74" s="201"/>
      <c r="J74" s="201"/>
      <c r="K74" s="201"/>
      <c r="L74" s="201"/>
      <c r="M74" s="202"/>
      <c r="N74" s="180"/>
      <c r="O74" s="181"/>
      <c r="P74" s="181"/>
      <c r="Q74" s="181"/>
      <c r="R74" s="181"/>
      <c r="S74" s="182"/>
      <c r="T74" s="200"/>
      <c r="U74" s="201"/>
      <c r="V74" s="201"/>
      <c r="W74" s="201"/>
      <c r="X74" s="201"/>
      <c r="Y74" s="201"/>
      <c r="Z74" s="202"/>
    </row>
    <row r="75" spans="1:26" ht="18" customHeight="1" x14ac:dyDescent="0.15">
      <c r="A75" s="30"/>
      <c r="B75" s="180"/>
      <c r="C75" s="181"/>
      <c r="D75" s="181"/>
      <c r="E75" s="181"/>
      <c r="F75" s="182"/>
      <c r="G75" s="200"/>
      <c r="H75" s="201"/>
      <c r="I75" s="201"/>
      <c r="J75" s="201"/>
      <c r="K75" s="201"/>
      <c r="L75" s="201"/>
      <c r="M75" s="202"/>
      <c r="N75" s="180"/>
      <c r="O75" s="181"/>
      <c r="P75" s="181"/>
      <c r="Q75" s="181"/>
      <c r="R75" s="181"/>
      <c r="S75" s="182"/>
      <c r="T75" s="200"/>
      <c r="U75" s="201"/>
      <c r="V75" s="201"/>
      <c r="W75" s="201"/>
      <c r="X75" s="201"/>
      <c r="Y75" s="201"/>
      <c r="Z75" s="202"/>
    </row>
    <row r="76" spans="1:26" ht="18" customHeight="1" x14ac:dyDescent="0.15">
      <c r="A76" s="30"/>
      <c r="B76" s="183"/>
      <c r="C76" s="184"/>
      <c r="D76" s="184"/>
      <c r="E76" s="184"/>
      <c r="F76" s="185"/>
      <c r="G76" s="195"/>
      <c r="H76" s="196"/>
      <c r="I76" s="196"/>
      <c r="J76" s="196"/>
      <c r="K76" s="196"/>
      <c r="L76" s="196"/>
      <c r="M76" s="197"/>
      <c r="N76" s="183"/>
      <c r="O76" s="184"/>
      <c r="P76" s="184"/>
      <c r="Q76" s="184"/>
      <c r="R76" s="184"/>
      <c r="S76" s="185"/>
      <c r="T76" s="195"/>
      <c r="U76" s="196"/>
      <c r="V76" s="196"/>
      <c r="W76" s="196"/>
      <c r="X76" s="196"/>
      <c r="Y76" s="196"/>
      <c r="Z76" s="197"/>
    </row>
    <row r="77" spans="1:26" ht="18" customHeight="1" x14ac:dyDescent="0.15">
      <c r="A77" s="30"/>
      <c r="B77" s="125"/>
      <c r="C77" s="125"/>
      <c r="D77" s="125"/>
      <c r="E77" s="125"/>
      <c r="F77" s="125"/>
      <c r="G77" s="1"/>
      <c r="H77" s="1"/>
      <c r="I77" s="1"/>
      <c r="J77" s="1"/>
      <c r="K77" s="1"/>
      <c r="L77" s="1"/>
      <c r="M77" s="1"/>
      <c r="N77" s="125"/>
      <c r="O77" s="125"/>
      <c r="P77" s="125"/>
      <c r="Q77" s="125"/>
      <c r="R77" s="125"/>
      <c r="S77" s="125"/>
      <c r="T77" s="1"/>
      <c r="U77" s="1"/>
      <c r="V77" s="1"/>
      <c r="W77" s="1"/>
      <c r="X77" s="1"/>
      <c r="Y77" s="1"/>
      <c r="Z77" s="1"/>
    </row>
    <row r="78" spans="1:26" ht="18.75" customHeight="1" x14ac:dyDescent="0.15">
      <c r="A78" s="2" t="s">
        <v>58</v>
      </c>
    </row>
    <row r="79" spans="1:26" ht="18.75" customHeight="1" x14ac:dyDescent="0.15">
      <c r="B79" s="10" t="s">
        <v>20</v>
      </c>
      <c r="C79" s="11"/>
      <c r="D79" s="198" t="s">
        <v>21</v>
      </c>
      <c r="E79" s="198"/>
      <c r="F79" s="198"/>
      <c r="G79" s="198"/>
      <c r="H79" s="198"/>
      <c r="I79" s="198"/>
      <c r="J79" s="198"/>
      <c r="K79" s="198"/>
      <c r="L79" s="198"/>
      <c r="M79" s="198"/>
      <c r="N79" s="198"/>
      <c r="O79" s="198"/>
      <c r="P79" s="198"/>
      <c r="Q79" s="198"/>
      <c r="R79" s="198"/>
      <c r="S79" s="198"/>
      <c r="T79" s="198"/>
      <c r="U79" s="198"/>
      <c r="V79" s="198"/>
      <c r="W79" s="198"/>
      <c r="X79" s="198"/>
      <c r="Y79" s="198"/>
      <c r="Z79" s="199"/>
    </row>
    <row r="80" spans="1:26" ht="78" customHeight="1" x14ac:dyDescent="0.15">
      <c r="B80" s="167" t="s">
        <v>28</v>
      </c>
      <c r="C80" s="15" t="s">
        <v>22</v>
      </c>
      <c r="D80" s="169" t="s">
        <v>70</v>
      </c>
      <c r="E80" s="170"/>
      <c r="F80" s="170"/>
      <c r="G80" s="170"/>
      <c r="H80" s="170"/>
      <c r="I80" s="170"/>
      <c r="J80" s="170"/>
      <c r="K80" s="170"/>
      <c r="L80" s="170"/>
      <c r="M80" s="170"/>
      <c r="N80" s="170"/>
      <c r="O80" s="170"/>
      <c r="P80" s="170"/>
      <c r="Q80" s="170"/>
      <c r="R80" s="170"/>
      <c r="S80" s="170"/>
      <c r="T80" s="170"/>
      <c r="U80" s="170"/>
      <c r="V80" s="170"/>
      <c r="W80" s="170"/>
      <c r="X80" s="170"/>
      <c r="Y80" s="170"/>
      <c r="Z80" s="171"/>
    </row>
    <row r="81" spans="1:26" ht="78" customHeight="1" x14ac:dyDescent="0.15">
      <c r="B81" s="175"/>
      <c r="C81" s="22" t="s">
        <v>53</v>
      </c>
      <c r="D81" s="192" t="s">
        <v>208</v>
      </c>
      <c r="E81" s="193"/>
      <c r="F81" s="193"/>
      <c r="G81" s="193"/>
      <c r="H81" s="193"/>
      <c r="I81" s="193"/>
      <c r="J81" s="193"/>
      <c r="K81" s="193"/>
      <c r="L81" s="193"/>
      <c r="M81" s="193"/>
      <c r="N81" s="193"/>
      <c r="O81" s="193"/>
      <c r="P81" s="193"/>
      <c r="Q81" s="193"/>
      <c r="R81" s="193"/>
      <c r="S81" s="193"/>
      <c r="T81" s="193"/>
      <c r="U81" s="193"/>
      <c r="V81" s="193"/>
      <c r="W81" s="193"/>
      <c r="X81" s="193"/>
      <c r="Y81" s="193"/>
      <c r="Z81" s="194"/>
    </row>
    <row r="82" spans="1:26" ht="78" customHeight="1" x14ac:dyDescent="0.15">
      <c r="B82" s="186" t="s">
        <v>29</v>
      </c>
      <c r="C82" s="12" t="s">
        <v>43</v>
      </c>
      <c r="D82" s="187" t="s">
        <v>68</v>
      </c>
      <c r="E82" s="188"/>
      <c r="F82" s="188"/>
      <c r="G82" s="188"/>
      <c r="H82" s="188"/>
      <c r="I82" s="188"/>
      <c r="J82" s="188"/>
      <c r="K82" s="188"/>
      <c r="L82" s="188"/>
      <c r="M82" s="188"/>
      <c r="N82" s="188"/>
      <c r="O82" s="188"/>
      <c r="P82" s="188"/>
      <c r="Q82" s="188"/>
      <c r="R82" s="188"/>
      <c r="S82" s="188"/>
      <c r="T82" s="188"/>
      <c r="U82" s="188"/>
      <c r="V82" s="188"/>
      <c r="W82" s="188"/>
      <c r="X82" s="188"/>
      <c r="Y82" s="188"/>
      <c r="Z82" s="189"/>
    </row>
    <row r="83" spans="1:26" ht="78" customHeight="1" x14ac:dyDescent="0.15">
      <c r="B83" s="176"/>
      <c r="C83" s="23" t="s">
        <v>44</v>
      </c>
      <c r="D83" s="190" t="s">
        <v>72</v>
      </c>
      <c r="E83" s="190"/>
      <c r="F83" s="190"/>
      <c r="G83" s="190"/>
      <c r="H83" s="190"/>
      <c r="I83" s="190"/>
      <c r="J83" s="190"/>
      <c r="K83" s="190"/>
      <c r="L83" s="190"/>
      <c r="M83" s="190"/>
      <c r="N83" s="190"/>
      <c r="O83" s="190"/>
      <c r="P83" s="190"/>
      <c r="Q83" s="190"/>
      <c r="R83" s="190"/>
      <c r="S83" s="190"/>
      <c r="T83" s="190"/>
      <c r="U83" s="190"/>
      <c r="V83" s="190"/>
      <c r="W83" s="190"/>
      <c r="X83" s="190"/>
      <c r="Y83" s="190"/>
      <c r="Z83" s="191"/>
    </row>
    <row r="84" spans="1:26" ht="66" customHeight="1" x14ac:dyDescent="0.15">
      <c r="B84" s="186" t="s">
        <v>30</v>
      </c>
      <c r="C84" s="12" t="s">
        <v>46</v>
      </c>
      <c r="D84" s="169" t="s">
        <v>208</v>
      </c>
      <c r="E84" s="170"/>
      <c r="F84" s="170"/>
      <c r="G84" s="170"/>
      <c r="H84" s="170"/>
      <c r="I84" s="170"/>
      <c r="J84" s="170"/>
      <c r="K84" s="170"/>
      <c r="L84" s="170"/>
      <c r="M84" s="170"/>
      <c r="N84" s="170"/>
      <c r="O84" s="170"/>
      <c r="P84" s="170"/>
      <c r="Q84" s="170"/>
      <c r="R84" s="170"/>
      <c r="S84" s="170"/>
      <c r="T84" s="170"/>
      <c r="U84" s="170"/>
      <c r="V84" s="170"/>
      <c r="W84" s="170"/>
      <c r="X84" s="170"/>
      <c r="Y84" s="170"/>
      <c r="Z84" s="171"/>
    </row>
    <row r="85" spans="1:26" ht="66" customHeight="1" x14ac:dyDescent="0.15">
      <c r="B85" s="176"/>
      <c r="C85" s="14" t="s">
        <v>47</v>
      </c>
      <c r="D85" s="192" t="s">
        <v>208</v>
      </c>
      <c r="E85" s="193"/>
      <c r="F85" s="193"/>
      <c r="G85" s="193"/>
      <c r="H85" s="193"/>
      <c r="I85" s="193"/>
      <c r="J85" s="193"/>
      <c r="K85" s="193"/>
      <c r="L85" s="193"/>
      <c r="M85" s="193"/>
      <c r="N85" s="193"/>
      <c r="O85" s="193"/>
      <c r="P85" s="193"/>
      <c r="Q85" s="193"/>
      <c r="R85" s="193"/>
      <c r="S85" s="193"/>
      <c r="T85" s="193"/>
      <c r="U85" s="193"/>
      <c r="V85" s="193"/>
      <c r="W85" s="193"/>
      <c r="X85" s="193"/>
      <c r="Y85" s="193"/>
      <c r="Z85" s="194"/>
    </row>
    <row r="86" spans="1:26" ht="66" customHeight="1" x14ac:dyDescent="0.15">
      <c r="B86" s="167" t="s">
        <v>54</v>
      </c>
      <c r="C86" s="15" t="s">
        <v>24</v>
      </c>
      <c r="D86" s="169" t="s">
        <v>74</v>
      </c>
      <c r="E86" s="170"/>
      <c r="F86" s="170"/>
      <c r="G86" s="170"/>
      <c r="H86" s="170"/>
      <c r="I86" s="170"/>
      <c r="J86" s="170"/>
      <c r="K86" s="170"/>
      <c r="L86" s="170"/>
      <c r="M86" s="170"/>
      <c r="N86" s="170"/>
      <c r="O86" s="170"/>
      <c r="P86" s="170"/>
      <c r="Q86" s="170"/>
      <c r="R86" s="170"/>
      <c r="S86" s="170"/>
      <c r="T86" s="170"/>
      <c r="U86" s="170"/>
      <c r="V86" s="170"/>
      <c r="W86" s="170"/>
      <c r="X86" s="170"/>
      <c r="Y86" s="170"/>
      <c r="Z86" s="171"/>
    </row>
    <row r="87" spans="1:26" ht="66" customHeight="1" x14ac:dyDescent="0.15">
      <c r="B87" s="168"/>
      <c r="C87" s="13" t="s">
        <v>26</v>
      </c>
      <c r="D87" s="172" t="s">
        <v>73</v>
      </c>
      <c r="E87" s="173"/>
      <c r="F87" s="173"/>
      <c r="G87" s="173"/>
      <c r="H87" s="173"/>
      <c r="I87" s="173"/>
      <c r="J87" s="173"/>
      <c r="K87" s="173"/>
      <c r="L87" s="173"/>
      <c r="M87" s="173"/>
      <c r="N87" s="173"/>
      <c r="O87" s="173"/>
      <c r="P87" s="173"/>
      <c r="Q87" s="173"/>
      <c r="R87" s="173"/>
      <c r="S87" s="173"/>
      <c r="T87" s="173"/>
      <c r="U87" s="173"/>
      <c r="V87" s="173"/>
      <c r="W87" s="173"/>
      <c r="X87" s="173"/>
      <c r="Y87" s="173"/>
      <c r="Z87" s="174"/>
    </row>
    <row r="88" spans="1:26" ht="66" customHeight="1" x14ac:dyDescent="0.15">
      <c r="B88" s="167" t="s">
        <v>55</v>
      </c>
      <c r="C88" s="12" t="s">
        <v>23</v>
      </c>
      <c r="D88" s="177" t="s">
        <v>191</v>
      </c>
      <c r="E88" s="178"/>
      <c r="F88" s="178"/>
      <c r="G88" s="178"/>
      <c r="H88" s="178"/>
      <c r="I88" s="178"/>
      <c r="J88" s="178"/>
      <c r="K88" s="178"/>
      <c r="L88" s="178"/>
      <c r="M88" s="178"/>
      <c r="N88" s="178"/>
      <c r="O88" s="178"/>
      <c r="P88" s="178"/>
      <c r="Q88" s="178"/>
      <c r="R88" s="178"/>
      <c r="S88" s="178"/>
      <c r="T88" s="178"/>
      <c r="U88" s="178"/>
      <c r="V88" s="178"/>
      <c r="W88" s="178"/>
      <c r="X88" s="178"/>
      <c r="Y88" s="178"/>
      <c r="Z88" s="179"/>
    </row>
    <row r="89" spans="1:26" ht="66" customHeight="1" x14ac:dyDescent="0.15">
      <c r="B89" s="175"/>
      <c r="C89" s="13" t="s">
        <v>50</v>
      </c>
      <c r="D89" s="180" t="s">
        <v>76</v>
      </c>
      <c r="E89" s="181"/>
      <c r="F89" s="181"/>
      <c r="G89" s="181"/>
      <c r="H89" s="181"/>
      <c r="I89" s="181"/>
      <c r="J89" s="181"/>
      <c r="K89" s="181"/>
      <c r="L89" s="181"/>
      <c r="M89" s="181"/>
      <c r="N89" s="181"/>
      <c r="O89" s="181"/>
      <c r="P89" s="181"/>
      <c r="Q89" s="181"/>
      <c r="R89" s="181"/>
      <c r="S89" s="181"/>
      <c r="T89" s="181"/>
      <c r="U89" s="181"/>
      <c r="V89" s="181"/>
      <c r="W89" s="181"/>
      <c r="X89" s="181"/>
      <c r="Y89" s="181"/>
      <c r="Z89" s="182"/>
    </row>
    <row r="90" spans="1:26" ht="66" customHeight="1" x14ac:dyDescent="0.15">
      <c r="B90" s="176"/>
      <c r="C90" s="14" t="s">
        <v>51</v>
      </c>
      <c r="D90" s="183" t="s">
        <v>75</v>
      </c>
      <c r="E90" s="184"/>
      <c r="F90" s="184"/>
      <c r="G90" s="184"/>
      <c r="H90" s="184"/>
      <c r="I90" s="184"/>
      <c r="J90" s="184"/>
      <c r="K90" s="184"/>
      <c r="L90" s="184"/>
      <c r="M90" s="184"/>
      <c r="N90" s="184"/>
      <c r="O90" s="184"/>
      <c r="P90" s="184"/>
      <c r="Q90" s="184"/>
      <c r="R90" s="184"/>
      <c r="S90" s="184"/>
      <c r="T90" s="184"/>
      <c r="U90" s="184"/>
      <c r="V90" s="184"/>
      <c r="W90" s="184"/>
      <c r="X90" s="184"/>
      <c r="Y90" s="184"/>
      <c r="Z90" s="185"/>
    </row>
    <row r="91" spans="1:26" ht="6" customHeight="1" x14ac:dyDescent="0.15"/>
    <row r="92" spans="1:26" ht="18.75" customHeight="1" x14ac:dyDescent="0.15">
      <c r="A92" s="2" t="s">
        <v>59</v>
      </c>
    </row>
    <row r="93" spans="1:26" ht="18.75" customHeight="1" x14ac:dyDescent="0.15">
      <c r="B93" s="157" t="s">
        <v>77</v>
      </c>
      <c r="C93" s="158"/>
      <c r="D93" s="158"/>
      <c r="E93" s="158"/>
      <c r="F93" s="158"/>
      <c r="G93" s="158"/>
      <c r="H93" s="158"/>
      <c r="I93" s="158"/>
      <c r="J93" s="158"/>
      <c r="K93" s="158"/>
      <c r="L93" s="158"/>
      <c r="M93" s="158"/>
      <c r="N93" s="158"/>
      <c r="O93" s="158"/>
      <c r="P93" s="158"/>
      <c r="Q93" s="158"/>
      <c r="R93" s="158"/>
      <c r="S93" s="158"/>
      <c r="T93" s="158"/>
      <c r="U93" s="158"/>
      <c r="V93" s="158"/>
      <c r="W93" s="158"/>
      <c r="X93" s="158"/>
      <c r="Y93" s="158"/>
      <c r="Z93" s="159"/>
    </row>
    <row r="94" spans="1:26" ht="18.75" customHeight="1" x14ac:dyDescent="0.15">
      <c r="B94" s="160"/>
      <c r="C94" s="141"/>
      <c r="D94" s="141"/>
      <c r="E94" s="141"/>
      <c r="F94" s="141"/>
      <c r="G94" s="141"/>
      <c r="H94" s="141"/>
      <c r="I94" s="141"/>
      <c r="J94" s="141"/>
      <c r="K94" s="141"/>
      <c r="L94" s="141"/>
      <c r="M94" s="141"/>
      <c r="N94" s="141"/>
      <c r="O94" s="141"/>
      <c r="P94" s="141"/>
      <c r="Q94" s="141"/>
      <c r="R94" s="141"/>
      <c r="S94" s="141"/>
      <c r="T94" s="141"/>
      <c r="U94" s="141"/>
      <c r="V94" s="141"/>
      <c r="W94" s="141"/>
      <c r="X94" s="141"/>
      <c r="Y94" s="141"/>
      <c r="Z94" s="161"/>
    </row>
    <row r="95" spans="1:26" ht="18.75" customHeight="1" x14ac:dyDescent="0.15">
      <c r="B95" s="162"/>
      <c r="C95" s="163"/>
      <c r="D95" s="163"/>
      <c r="E95" s="163"/>
      <c r="F95" s="163"/>
      <c r="G95" s="163"/>
      <c r="H95" s="163"/>
      <c r="I95" s="163"/>
      <c r="J95" s="163"/>
      <c r="K95" s="163"/>
      <c r="L95" s="163"/>
      <c r="M95" s="163"/>
      <c r="N95" s="163"/>
      <c r="O95" s="163"/>
      <c r="P95" s="163"/>
      <c r="Q95" s="163"/>
      <c r="R95" s="163"/>
      <c r="S95" s="163"/>
      <c r="T95" s="163"/>
      <c r="U95" s="163"/>
      <c r="V95" s="163"/>
      <c r="W95" s="163"/>
      <c r="X95" s="163"/>
      <c r="Y95" s="163"/>
      <c r="Z95" s="164"/>
    </row>
    <row r="96" spans="1:26" ht="6" customHeight="1" x14ac:dyDescent="0.15"/>
    <row r="97" spans="1:26" ht="15" customHeight="1" x14ac:dyDescent="0.15">
      <c r="A97" s="2" t="s">
        <v>60</v>
      </c>
    </row>
    <row r="98" spans="1:26" ht="15" customHeight="1" x14ac:dyDescent="0.15">
      <c r="B98" s="165" t="s">
        <v>210</v>
      </c>
      <c r="C98" s="150"/>
      <c r="D98" s="150"/>
      <c r="E98" s="150"/>
      <c r="F98" s="150"/>
      <c r="G98" s="150"/>
      <c r="H98" s="150"/>
      <c r="I98" s="150"/>
      <c r="J98" s="150"/>
      <c r="K98" s="150"/>
      <c r="L98" s="150"/>
      <c r="M98" s="150"/>
      <c r="N98" s="150"/>
      <c r="O98" s="150"/>
      <c r="P98" s="150"/>
      <c r="Q98" s="150"/>
      <c r="R98" s="150"/>
      <c r="S98" s="150"/>
      <c r="T98" s="150"/>
      <c r="U98" s="150"/>
      <c r="V98" s="150"/>
      <c r="W98" s="150"/>
      <c r="X98" s="150"/>
      <c r="Y98" s="150"/>
      <c r="Z98" s="166"/>
    </row>
  </sheetData>
  <mergeCells count="218">
    <mergeCell ref="W1:Z1"/>
    <mergeCell ref="A2:Z2"/>
    <mergeCell ref="B16:F16"/>
    <mergeCell ref="I16:K16"/>
    <mergeCell ref="N16:S16"/>
    <mergeCell ref="V16:X16"/>
    <mergeCell ref="B17:F17"/>
    <mergeCell ref="I17:K17"/>
    <mergeCell ref="N17:S17"/>
    <mergeCell ref="V17:X17"/>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38:I44 V27:V33 I16:I22 V38:V44 I27:I33 V49:V55 I49:I55 U60:U66 H60:H66">
      <formula1>"全学開講,一部開講"</formula1>
    </dataValidation>
    <dataValidation type="list" allowBlank="1" showInputMessage="1" showErrorMessage="1" sqref="Y16:Z22 L16:M22 Y27:Z33 L27:M33 H49:H55 Y38:Z44 L49:M55 Y49:Z55 Y60:Z66 L38:M44 H16:H22 U16:U22 U27:U33 H38:H44 U38:U44 H27:H33 U49:U55 L61:M66 T60:T66 K61:K64 K60:M60 G60:G66">
      <formula1>"○"</formula1>
    </dataValidation>
  </dataValidations>
  <hyperlinks>
    <hyperlink ref="B98" r:id="rId1"/>
  </hyperlinks>
  <printOptions horizontalCentered="1"/>
  <pageMargins left="0.78740157480314965" right="0.78740157480314965" top="0.59055118110236227" bottom="0.19685039370078741" header="0.31496062992125984" footer="0.31496062992125984"/>
  <pageSetup paperSize="9" scale="99" orientation="landscape" r:id="rId2"/>
  <rowBreaks count="3" manualBreakCount="3">
    <brk id="34" max="25" man="1"/>
    <brk id="67" max="25" man="1"/>
    <brk id="83"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topLeftCell="A22" zoomScaleNormal="100" zoomScaleSheetLayoutView="100" workbookViewId="0">
      <selection activeCell="C11" sqref="C11"/>
    </sheetView>
  </sheetViews>
  <sheetFormatPr defaultColWidth="9" defaultRowHeight="18.75" customHeight="1" x14ac:dyDescent="0.15"/>
  <cols>
    <col min="1" max="1" width="2.75" style="69" customWidth="1"/>
    <col min="2" max="2" width="30" style="69" customWidth="1"/>
    <col min="3" max="17" width="6.125" style="69" customWidth="1"/>
    <col min="18" max="18" width="6.625" style="69" customWidth="1"/>
    <col min="19" max="16384" width="9" style="69"/>
  </cols>
  <sheetData>
    <row r="1" spans="1:20" ht="18" customHeight="1" x14ac:dyDescent="0.15">
      <c r="F1" s="249" t="s">
        <v>139</v>
      </c>
      <c r="G1" s="249"/>
      <c r="H1" s="249"/>
      <c r="I1" s="249"/>
      <c r="J1" s="249"/>
      <c r="K1" s="249"/>
      <c r="L1" s="249"/>
      <c r="M1" s="249"/>
      <c r="N1" s="249"/>
      <c r="O1" s="249"/>
      <c r="P1" s="249"/>
      <c r="Q1" s="249"/>
      <c r="R1" s="249"/>
    </row>
    <row r="2" spans="1:20" ht="18" customHeight="1" x14ac:dyDescent="0.15">
      <c r="A2" s="250" t="s">
        <v>140</v>
      </c>
      <c r="B2" s="250"/>
      <c r="C2" s="250"/>
      <c r="D2" s="250"/>
      <c r="E2" s="250"/>
      <c r="F2" s="250"/>
      <c r="G2" s="250"/>
      <c r="H2" s="250"/>
      <c r="I2" s="250"/>
      <c r="J2" s="250"/>
      <c r="K2" s="250"/>
      <c r="L2" s="250"/>
      <c r="M2" s="250"/>
      <c r="N2" s="250"/>
      <c r="O2" s="250"/>
      <c r="P2" s="250"/>
      <c r="Q2" s="250"/>
      <c r="R2" s="250"/>
      <c r="S2" s="70"/>
    </row>
    <row r="3" spans="1:20" ht="7.5" customHeight="1" x14ac:dyDescent="0.15">
      <c r="A3" s="71"/>
      <c r="B3" s="71"/>
      <c r="C3" s="71"/>
      <c r="D3" s="71"/>
      <c r="E3" s="71"/>
      <c r="F3" s="71"/>
      <c r="G3" s="71"/>
      <c r="H3" s="71"/>
      <c r="I3" s="71"/>
      <c r="J3" s="71"/>
      <c r="K3" s="71"/>
      <c r="L3" s="71"/>
      <c r="M3" s="71"/>
      <c r="N3" s="71"/>
      <c r="O3" s="71"/>
      <c r="P3" s="71"/>
      <c r="Q3" s="71"/>
      <c r="R3" s="71"/>
    </row>
    <row r="4" spans="1:20" ht="18" customHeight="1" x14ac:dyDescent="0.15">
      <c r="A4" s="70" t="s">
        <v>141</v>
      </c>
      <c r="B4" s="70"/>
      <c r="C4" s="251" t="str">
        <f>'[1]様式１　大学等概要'!E12</f>
        <v>令和3</v>
      </c>
      <c r="D4" s="252"/>
      <c r="E4" s="71" t="s">
        <v>93</v>
      </c>
      <c r="F4" s="71"/>
      <c r="G4" s="71"/>
      <c r="H4" s="71"/>
      <c r="I4" s="71"/>
      <c r="J4" s="72"/>
      <c r="K4" s="71"/>
      <c r="L4" s="71"/>
      <c r="M4" s="73"/>
      <c r="N4" s="73"/>
      <c r="O4" s="73"/>
      <c r="P4" s="73"/>
      <c r="Q4" s="73"/>
      <c r="R4" s="73"/>
    </row>
    <row r="5" spans="1:20" ht="6" customHeight="1" x14ac:dyDescent="0.15">
      <c r="A5" s="71"/>
      <c r="B5" s="71"/>
      <c r="C5" s="71"/>
      <c r="D5" s="71"/>
      <c r="E5" s="71"/>
      <c r="F5" s="71"/>
      <c r="G5" s="71"/>
      <c r="H5" s="71"/>
      <c r="I5" s="71"/>
      <c r="J5" s="71"/>
      <c r="K5" s="71"/>
      <c r="L5" s="71"/>
      <c r="M5" s="71"/>
      <c r="N5" s="71"/>
      <c r="O5" s="71"/>
      <c r="P5" s="71"/>
      <c r="Q5" s="71"/>
      <c r="R5" s="71"/>
    </row>
    <row r="6" spans="1:20" ht="18" customHeight="1" x14ac:dyDescent="0.15">
      <c r="A6" s="70" t="s">
        <v>142</v>
      </c>
      <c r="B6" s="71"/>
      <c r="C6" s="71"/>
      <c r="D6" s="71"/>
      <c r="E6" s="71"/>
      <c r="F6" s="71"/>
      <c r="G6" s="71"/>
      <c r="H6" s="71"/>
      <c r="I6" s="71"/>
      <c r="J6" s="71"/>
      <c r="K6" s="71"/>
      <c r="L6" s="71"/>
      <c r="M6" s="71"/>
      <c r="N6" s="71"/>
      <c r="O6" s="71"/>
      <c r="P6" s="71"/>
      <c r="Q6" s="71"/>
      <c r="R6" s="71"/>
    </row>
    <row r="7" spans="1:20" ht="6" customHeight="1" x14ac:dyDescent="0.15">
      <c r="A7" s="70"/>
      <c r="B7" s="71"/>
      <c r="C7" s="71"/>
      <c r="D7" s="71"/>
      <c r="E7" s="71"/>
      <c r="F7" s="71"/>
      <c r="G7" s="71"/>
      <c r="H7" s="71"/>
      <c r="I7" s="71"/>
      <c r="J7" s="71"/>
      <c r="K7" s="71"/>
      <c r="L7" s="71"/>
      <c r="M7" s="71"/>
      <c r="N7" s="71"/>
      <c r="O7" s="71"/>
      <c r="P7" s="71"/>
      <c r="Q7" s="71"/>
      <c r="R7" s="71"/>
    </row>
    <row r="8" spans="1:20" ht="18" customHeight="1" x14ac:dyDescent="0.15">
      <c r="B8" s="253" t="s">
        <v>143</v>
      </c>
      <c r="C8" s="255" t="s">
        <v>144</v>
      </c>
      <c r="D8" s="257" t="s">
        <v>145</v>
      </c>
      <c r="E8" s="259" t="s">
        <v>146</v>
      </c>
      <c r="F8" s="259"/>
      <c r="G8" s="259" t="s">
        <v>147</v>
      </c>
      <c r="H8" s="259"/>
      <c r="I8" s="259" t="s">
        <v>148</v>
      </c>
      <c r="J8" s="259"/>
      <c r="K8" s="243" t="s">
        <v>149</v>
      </c>
      <c r="L8" s="244"/>
      <c r="M8" s="243" t="s">
        <v>150</v>
      </c>
      <c r="N8" s="244"/>
      <c r="O8" s="243" t="s">
        <v>151</v>
      </c>
      <c r="P8" s="244"/>
      <c r="Q8" s="245" t="s">
        <v>152</v>
      </c>
      <c r="R8" s="247" t="s">
        <v>153</v>
      </c>
      <c r="T8" s="74"/>
    </row>
    <row r="9" spans="1:20" ht="18" customHeight="1" x14ac:dyDescent="0.15">
      <c r="A9" s="70"/>
      <c r="B9" s="254"/>
      <c r="C9" s="256"/>
      <c r="D9" s="258"/>
      <c r="E9" s="75" t="s">
        <v>154</v>
      </c>
      <c r="F9" s="76" t="s">
        <v>155</v>
      </c>
      <c r="G9" s="77" t="s">
        <v>154</v>
      </c>
      <c r="H9" s="78" t="s">
        <v>155</v>
      </c>
      <c r="I9" s="75" t="s">
        <v>154</v>
      </c>
      <c r="J9" s="76" t="s">
        <v>155</v>
      </c>
      <c r="K9" s="77" t="s">
        <v>154</v>
      </c>
      <c r="L9" s="78" t="s">
        <v>155</v>
      </c>
      <c r="M9" s="75" t="s">
        <v>154</v>
      </c>
      <c r="N9" s="76" t="s">
        <v>155</v>
      </c>
      <c r="O9" s="77" t="s">
        <v>154</v>
      </c>
      <c r="P9" s="78" t="s">
        <v>155</v>
      </c>
      <c r="Q9" s="246"/>
      <c r="R9" s="248"/>
      <c r="T9" s="74"/>
    </row>
    <row r="10" spans="1:20" ht="18" customHeight="1" x14ac:dyDescent="0.15">
      <c r="A10" s="79"/>
      <c r="B10" s="80" t="s">
        <v>156</v>
      </c>
      <c r="C10" s="79">
        <v>80</v>
      </c>
      <c r="D10" s="81">
        <v>160</v>
      </c>
      <c r="E10" s="82">
        <v>3</v>
      </c>
      <c r="F10" s="83"/>
      <c r="G10" s="84"/>
      <c r="H10" s="85"/>
      <c r="I10" s="82"/>
      <c r="J10" s="83"/>
      <c r="K10" s="84"/>
      <c r="L10" s="85"/>
      <c r="M10" s="82"/>
      <c r="N10" s="83"/>
      <c r="O10" s="84"/>
      <c r="P10" s="85"/>
      <c r="Q10" s="86">
        <f>E10+G10+I10+K10+M10+O10</f>
        <v>3</v>
      </c>
      <c r="R10" s="87">
        <f>Q10/D10</f>
        <v>1.8749999999999999E-2</v>
      </c>
    </row>
    <row r="11" spans="1:20" ht="18" customHeight="1" x14ac:dyDescent="0.15">
      <c r="A11" s="79"/>
      <c r="B11" s="88" t="s">
        <v>157</v>
      </c>
      <c r="C11" s="89">
        <v>150</v>
      </c>
      <c r="D11" s="90">
        <v>300</v>
      </c>
      <c r="E11" s="91">
        <v>0</v>
      </c>
      <c r="F11" s="92"/>
      <c r="G11" s="93"/>
      <c r="H11" s="94"/>
      <c r="I11" s="91"/>
      <c r="J11" s="92"/>
      <c r="K11" s="93"/>
      <c r="L11" s="94"/>
      <c r="M11" s="91"/>
      <c r="N11" s="92"/>
      <c r="O11" s="93"/>
      <c r="P11" s="94"/>
      <c r="Q11" s="95">
        <f t="shared" ref="Q11:Q29" si="0">E11+G11+I11+K11+M11+O11</f>
        <v>0</v>
      </c>
      <c r="R11" s="96">
        <f t="shared" ref="R11:R29" si="1">Q11/D11</f>
        <v>0</v>
      </c>
    </row>
    <row r="12" spans="1:20" ht="18" customHeight="1" x14ac:dyDescent="0.15">
      <c r="A12" s="79"/>
      <c r="B12" s="88" t="s">
        <v>158</v>
      </c>
      <c r="C12" s="89">
        <v>100</v>
      </c>
      <c r="D12" s="90">
        <v>200</v>
      </c>
      <c r="E12" s="91">
        <v>1</v>
      </c>
      <c r="F12" s="92"/>
      <c r="G12" s="93"/>
      <c r="H12" s="94"/>
      <c r="I12" s="91"/>
      <c r="J12" s="92"/>
      <c r="K12" s="93"/>
      <c r="L12" s="94"/>
      <c r="M12" s="91"/>
      <c r="N12" s="92"/>
      <c r="O12" s="93"/>
      <c r="P12" s="94"/>
      <c r="Q12" s="95">
        <f t="shared" si="0"/>
        <v>1</v>
      </c>
      <c r="R12" s="96">
        <f t="shared" si="1"/>
        <v>5.0000000000000001E-3</v>
      </c>
    </row>
    <row r="13" spans="1:20" ht="18" customHeight="1" x14ac:dyDescent="0.15">
      <c r="A13" s="79"/>
      <c r="B13" s="88"/>
      <c r="C13" s="89"/>
      <c r="D13" s="90"/>
      <c r="E13" s="91"/>
      <c r="F13" s="92"/>
      <c r="G13" s="93"/>
      <c r="H13" s="94"/>
      <c r="I13" s="91"/>
      <c r="J13" s="92"/>
      <c r="K13" s="93"/>
      <c r="L13" s="94"/>
      <c r="M13" s="91"/>
      <c r="N13" s="92"/>
      <c r="O13" s="93"/>
      <c r="P13" s="94"/>
      <c r="Q13" s="95">
        <f t="shared" si="0"/>
        <v>0</v>
      </c>
      <c r="R13" s="96" t="e">
        <f t="shared" si="1"/>
        <v>#DIV/0!</v>
      </c>
    </row>
    <row r="14" spans="1:20" ht="18" customHeight="1" x14ac:dyDescent="0.15">
      <c r="A14" s="79"/>
      <c r="B14" s="88"/>
      <c r="C14" s="89"/>
      <c r="D14" s="90"/>
      <c r="E14" s="91"/>
      <c r="F14" s="92"/>
      <c r="G14" s="93"/>
      <c r="H14" s="94"/>
      <c r="I14" s="91"/>
      <c r="J14" s="92"/>
      <c r="K14" s="93"/>
      <c r="L14" s="94"/>
      <c r="M14" s="91"/>
      <c r="N14" s="92"/>
      <c r="O14" s="93"/>
      <c r="P14" s="94"/>
      <c r="Q14" s="95">
        <f t="shared" si="0"/>
        <v>0</v>
      </c>
      <c r="R14" s="96" t="e">
        <f t="shared" si="1"/>
        <v>#DIV/0!</v>
      </c>
    </row>
    <row r="15" spans="1:20" ht="18" customHeight="1" x14ac:dyDescent="0.15">
      <c r="A15" s="79"/>
      <c r="B15" s="88"/>
      <c r="C15" s="89"/>
      <c r="D15" s="90"/>
      <c r="E15" s="91"/>
      <c r="F15" s="92"/>
      <c r="G15" s="93"/>
      <c r="H15" s="94"/>
      <c r="I15" s="91"/>
      <c r="J15" s="92"/>
      <c r="K15" s="93"/>
      <c r="L15" s="94"/>
      <c r="M15" s="91"/>
      <c r="N15" s="92"/>
      <c r="O15" s="93"/>
      <c r="P15" s="94"/>
      <c r="Q15" s="95">
        <f t="shared" si="0"/>
        <v>0</v>
      </c>
      <c r="R15" s="96" t="e">
        <f t="shared" si="1"/>
        <v>#DIV/0!</v>
      </c>
    </row>
    <row r="16" spans="1:20" ht="18" customHeight="1" x14ac:dyDescent="0.15">
      <c r="A16" s="79"/>
      <c r="B16" s="88"/>
      <c r="C16" s="89"/>
      <c r="D16" s="90"/>
      <c r="E16" s="91"/>
      <c r="F16" s="92"/>
      <c r="G16" s="93"/>
      <c r="H16" s="94"/>
      <c r="I16" s="91"/>
      <c r="J16" s="92"/>
      <c r="K16" s="93"/>
      <c r="L16" s="94"/>
      <c r="M16" s="91"/>
      <c r="N16" s="92"/>
      <c r="O16" s="93"/>
      <c r="P16" s="94"/>
      <c r="Q16" s="95">
        <f t="shared" si="0"/>
        <v>0</v>
      </c>
      <c r="R16" s="96" t="e">
        <f t="shared" si="1"/>
        <v>#DIV/0!</v>
      </c>
    </row>
    <row r="17" spans="1:18" ht="18" customHeight="1" x14ac:dyDescent="0.15">
      <c r="A17" s="79"/>
      <c r="B17" s="88"/>
      <c r="C17" s="89"/>
      <c r="D17" s="90"/>
      <c r="E17" s="91"/>
      <c r="F17" s="92"/>
      <c r="G17" s="93"/>
      <c r="H17" s="94"/>
      <c r="I17" s="91"/>
      <c r="J17" s="92"/>
      <c r="K17" s="93"/>
      <c r="L17" s="94"/>
      <c r="M17" s="91"/>
      <c r="N17" s="92"/>
      <c r="O17" s="93"/>
      <c r="P17" s="94"/>
      <c r="Q17" s="95">
        <f t="shared" si="0"/>
        <v>0</v>
      </c>
      <c r="R17" s="96" t="e">
        <f t="shared" si="1"/>
        <v>#DIV/0!</v>
      </c>
    </row>
    <row r="18" spans="1:18" ht="18" customHeight="1" x14ac:dyDescent="0.15">
      <c r="A18" s="79"/>
      <c r="B18" s="88"/>
      <c r="C18" s="89"/>
      <c r="D18" s="90"/>
      <c r="E18" s="91"/>
      <c r="F18" s="92"/>
      <c r="G18" s="93"/>
      <c r="H18" s="94"/>
      <c r="I18" s="91"/>
      <c r="J18" s="92"/>
      <c r="K18" s="93"/>
      <c r="L18" s="94"/>
      <c r="M18" s="91"/>
      <c r="N18" s="92"/>
      <c r="O18" s="93"/>
      <c r="P18" s="94"/>
      <c r="Q18" s="95">
        <f>E18+G18+I18+K18+M18+O18</f>
        <v>0</v>
      </c>
      <c r="R18" s="96" t="e">
        <f t="shared" si="1"/>
        <v>#DIV/0!</v>
      </c>
    </row>
    <row r="19" spans="1:18" ht="18" customHeight="1" x14ac:dyDescent="0.15">
      <c r="A19" s="79"/>
      <c r="B19" s="88"/>
      <c r="C19" s="89"/>
      <c r="D19" s="90"/>
      <c r="E19" s="91"/>
      <c r="F19" s="92"/>
      <c r="G19" s="93"/>
      <c r="H19" s="94"/>
      <c r="I19" s="91"/>
      <c r="J19" s="92"/>
      <c r="K19" s="93"/>
      <c r="L19" s="94"/>
      <c r="M19" s="91"/>
      <c r="N19" s="92"/>
      <c r="O19" s="93"/>
      <c r="P19" s="94"/>
      <c r="Q19" s="95">
        <f t="shared" si="0"/>
        <v>0</v>
      </c>
      <c r="R19" s="96" t="e">
        <f t="shared" si="1"/>
        <v>#DIV/0!</v>
      </c>
    </row>
    <row r="20" spans="1:18" ht="18" customHeight="1" x14ac:dyDescent="0.15">
      <c r="A20" s="79"/>
      <c r="B20" s="88"/>
      <c r="C20" s="89"/>
      <c r="D20" s="90"/>
      <c r="E20" s="91"/>
      <c r="F20" s="92"/>
      <c r="G20" s="93"/>
      <c r="H20" s="94"/>
      <c r="I20" s="91"/>
      <c r="J20" s="92"/>
      <c r="K20" s="93"/>
      <c r="L20" s="94"/>
      <c r="M20" s="91"/>
      <c r="N20" s="92"/>
      <c r="O20" s="93"/>
      <c r="P20" s="94"/>
      <c r="Q20" s="95">
        <f t="shared" si="0"/>
        <v>0</v>
      </c>
      <c r="R20" s="96" t="e">
        <f t="shared" si="1"/>
        <v>#DIV/0!</v>
      </c>
    </row>
    <row r="21" spans="1:18" ht="18" customHeight="1" x14ac:dyDescent="0.15">
      <c r="A21" s="79"/>
      <c r="B21" s="88"/>
      <c r="C21" s="89"/>
      <c r="D21" s="90"/>
      <c r="E21" s="91"/>
      <c r="F21" s="92"/>
      <c r="G21" s="93"/>
      <c r="H21" s="94"/>
      <c r="I21" s="91"/>
      <c r="J21" s="92"/>
      <c r="K21" s="93"/>
      <c r="L21" s="94"/>
      <c r="M21" s="91"/>
      <c r="N21" s="92"/>
      <c r="O21" s="93"/>
      <c r="P21" s="94"/>
      <c r="Q21" s="95">
        <f t="shared" si="0"/>
        <v>0</v>
      </c>
      <c r="R21" s="96" t="e">
        <f t="shared" si="1"/>
        <v>#DIV/0!</v>
      </c>
    </row>
    <row r="22" spans="1:18" ht="18" customHeight="1" x14ac:dyDescent="0.15">
      <c r="A22" s="79"/>
      <c r="B22" s="88"/>
      <c r="C22" s="89"/>
      <c r="D22" s="90"/>
      <c r="E22" s="91"/>
      <c r="F22" s="92"/>
      <c r="G22" s="93"/>
      <c r="H22" s="94"/>
      <c r="I22" s="91"/>
      <c r="J22" s="92"/>
      <c r="K22" s="93"/>
      <c r="L22" s="94"/>
      <c r="M22" s="91"/>
      <c r="N22" s="92"/>
      <c r="O22" s="93"/>
      <c r="P22" s="94"/>
      <c r="Q22" s="95">
        <f t="shared" si="0"/>
        <v>0</v>
      </c>
      <c r="R22" s="96" t="e">
        <f t="shared" si="1"/>
        <v>#DIV/0!</v>
      </c>
    </row>
    <row r="23" spans="1:18" ht="18" customHeight="1" x14ac:dyDescent="0.15">
      <c r="A23" s="79"/>
      <c r="B23" s="88"/>
      <c r="C23" s="89"/>
      <c r="D23" s="90"/>
      <c r="E23" s="91"/>
      <c r="F23" s="92"/>
      <c r="G23" s="93"/>
      <c r="H23" s="94"/>
      <c r="I23" s="91"/>
      <c r="J23" s="92"/>
      <c r="K23" s="93"/>
      <c r="L23" s="94"/>
      <c r="M23" s="91"/>
      <c r="N23" s="92"/>
      <c r="O23" s="93"/>
      <c r="P23" s="94"/>
      <c r="Q23" s="95">
        <f t="shared" si="0"/>
        <v>0</v>
      </c>
      <c r="R23" s="96" t="e">
        <f t="shared" si="1"/>
        <v>#DIV/0!</v>
      </c>
    </row>
    <row r="24" spans="1:18" ht="18" customHeight="1" x14ac:dyDescent="0.15">
      <c r="A24" s="79"/>
      <c r="B24" s="88"/>
      <c r="C24" s="89"/>
      <c r="D24" s="90"/>
      <c r="E24" s="91"/>
      <c r="F24" s="92"/>
      <c r="G24" s="93"/>
      <c r="H24" s="94"/>
      <c r="I24" s="91"/>
      <c r="J24" s="92"/>
      <c r="K24" s="93"/>
      <c r="L24" s="94"/>
      <c r="M24" s="91"/>
      <c r="N24" s="92"/>
      <c r="O24" s="93"/>
      <c r="P24" s="94"/>
      <c r="Q24" s="95">
        <f t="shared" si="0"/>
        <v>0</v>
      </c>
      <c r="R24" s="96" t="e">
        <f t="shared" si="1"/>
        <v>#DIV/0!</v>
      </c>
    </row>
    <row r="25" spans="1:18" ht="18" customHeight="1" x14ac:dyDescent="0.15">
      <c r="A25" s="79"/>
      <c r="B25" s="88"/>
      <c r="C25" s="89"/>
      <c r="D25" s="90"/>
      <c r="E25" s="91"/>
      <c r="F25" s="92"/>
      <c r="G25" s="93"/>
      <c r="H25" s="94"/>
      <c r="I25" s="91"/>
      <c r="J25" s="92"/>
      <c r="K25" s="93"/>
      <c r="L25" s="94"/>
      <c r="M25" s="91"/>
      <c r="N25" s="92"/>
      <c r="O25" s="93"/>
      <c r="P25" s="94"/>
      <c r="Q25" s="95">
        <f t="shared" si="0"/>
        <v>0</v>
      </c>
      <c r="R25" s="96" t="e">
        <f t="shared" si="1"/>
        <v>#DIV/0!</v>
      </c>
    </row>
    <row r="26" spans="1:18" ht="18" customHeight="1" x14ac:dyDescent="0.15">
      <c r="A26" s="79"/>
      <c r="B26" s="88"/>
      <c r="C26" s="89"/>
      <c r="D26" s="90"/>
      <c r="E26" s="91"/>
      <c r="F26" s="92"/>
      <c r="G26" s="93"/>
      <c r="H26" s="94"/>
      <c r="I26" s="91"/>
      <c r="J26" s="92"/>
      <c r="K26" s="93"/>
      <c r="L26" s="94"/>
      <c r="M26" s="91"/>
      <c r="N26" s="92"/>
      <c r="O26" s="93"/>
      <c r="P26" s="94"/>
      <c r="Q26" s="95">
        <f t="shared" si="0"/>
        <v>0</v>
      </c>
      <c r="R26" s="96" t="e">
        <f t="shared" si="1"/>
        <v>#DIV/0!</v>
      </c>
    </row>
    <row r="27" spans="1:18" ht="18" customHeight="1" x14ac:dyDescent="0.15">
      <c r="A27" s="79"/>
      <c r="B27" s="88"/>
      <c r="C27" s="97"/>
      <c r="D27" s="90"/>
      <c r="E27" s="91"/>
      <c r="F27" s="92"/>
      <c r="G27" s="93"/>
      <c r="H27" s="94"/>
      <c r="I27" s="91"/>
      <c r="J27" s="92"/>
      <c r="K27" s="93"/>
      <c r="L27" s="94"/>
      <c r="M27" s="91"/>
      <c r="N27" s="92"/>
      <c r="O27" s="93"/>
      <c r="P27" s="94"/>
      <c r="Q27" s="95">
        <f t="shared" si="0"/>
        <v>0</v>
      </c>
      <c r="R27" s="96" t="e">
        <f t="shared" si="1"/>
        <v>#DIV/0!</v>
      </c>
    </row>
    <row r="28" spans="1:18" ht="18" customHeight="1" x14ac:dyDescent="0.15">
      <c r="A28" s="79"/>
      <c r="B28" s="88"/>
      <c r="C28" s="97"/>
      <c r="D28" s="90"/>
      <c r="E28" s="91"/>
      <c r="F28" s="92"/>
      <c r="G28" s="93"/>
      <c r="H28" s="94"/>
      <c r="I28" s="91"/>
      <c r="J28" s="92"/>
      <c r="K28" s="93"/>
      <c r="L28" s="94"/>
      <c r="M28" s="91"/>
      <c r="N28" s="92"/>
      <c r="O28" s="93"/>
      <c r="P28" s="94"/>
      <c r="Q28" s="95">
        <f t="shared" si="0"/>
        <v>0</v>
      </c>
      <c r="R28" s="96" t="e">
        <f t="shared" si="1"/>
        <v>#DIV/0!</v>
      </c>
    </row>
    <row r="29" spans="1:18" ht="18" customHeight="1" thickBot="1" x14ac:dyDescent="0.2">
      <c r="A29" s="79"/>
      <c r="B29" s="98"/>
      <c r="C29" s="99"/>
      <c r="D29" s="81"/>
      <c r="E29" s="82"/>
      <c r="F29" s="83"/>
      <c r="G29" s="84"/>
      <c r="H29" s="85"/>
      <c r="I29" s="82"/>
      <c r="J29" s="83"/>
      <c r="K29" s="84"/>
      <c r="L29" s="85"/>
      <c r="M29" s="82"/>
      <c r="N29" s="83"/>
      <c r="O29" s="84"/>
      <c r="P29" s="85"/>
      <c r="Q29" s="100">
        <f t="shared" si="0"/>
        <v>0</v>
      </c>
      <c r="R29" s="87" t="e">
        <f t="shared" si="1"/>
        <v>#DIV/0!</v>
      </c>
    </row>
    <row r="30" spans="1:18" ht="18" customHeight="1" thickTop="1" x14ac:dyDescent="0.15">
      <c r="B30" s="101" t="s">
        <v>159</v>
      </c>
      <c r="C30" s="102">
        <f t="shared" ref="C30:Q30" si="2">SUM(C10:C29)</f>
        <v>330</v>
      </c>
      <c r="D30" s="103">
        <f t="shared" si="2"/>
        <v>660</v>
      </c>
      <c r="E30" s="104">
        <f t="shared" si="2"/>
        <v>4</v>
      </c>
      <c r="F30" s="105">
        <f t="shared" si="2"/>
        <v>0</v>
      </c>
      <c r="G30" s="106">
        <f t="shared" si="2"/>
        <v>0</v>
      </c>
      <c r="H30" s="107">
        <f t="shared" si="2"/>
        <v>0</v>
      </c>
      <c r="I30" s="104">
        <f t="shared" si="2"/>
        <v>0</v>
      </c>
      <c r="J30" s="105">
        <f t="shared" si="2"/>
        <v>0</v>
      </c>
      <c r="K30" s="106">
        <f t="shared" si="2"/>
        <v>0</v>
      </c>
      <c r="L30" s="107">
        <f t="shared" si="2"/>
        <v>0</v>
      </c>
      <c r="M30" s="104">
        <f t="shared" si="2"/>
        <v>0</v>
      </c>
      <c r="N30" s="105">
        <f t="shared" si="2"/>
        <v>0</v>
      </c>
      <c r="O30" s="106">
        <f t="shared" si="2"/>
        <v>0</v>
      </c>
      <c r="P30" s="107">
        <f t="shared" si="2"/>
        <v>0</v>
      </c>
      <c r="Q30" s="108">
        <f t="shared" si="2"/>
        <v>4</v>
      </c>
      <c r="R30" s="109">
        <f>Q30/D30</f>
        <v>6.0606060606060606E-3</v>
      </c>
    </row>
  </sheetData>
  <mergeCells count="14">
    <mergeCell ref="M8:N8"/>
    <mergeCell ref="O8:P8"/>
    <mergeCell ref="Q8:Q9"/>
    <mergeCell ref="R8:R9"/>
    <mergeCell ref="F1:R1"/>
    <mergeCell ref="A2:R2"/>
    <mergeCell ref="C4:D4"/>
    <mergeCell ref="B8:B9"/>
    <mergeCell ref="C8:C9"/>
    <mergeCell ref="D8:D9"/>
    <mergeCell ref="E8:F8"/>
    <mergeCell ref="G8:H8"/>
    <mergeCell ref="I8:J8"/>
    <mergeCell ref="K8:L8"/>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7"/>
  <sheetViews>
    <sheetView showZeros="0" view="pageBreakPreview" topLeftCell="A16" zoomScaleNormal="100" zoomScaleSheetLayoutView="100" workbookViewId="0">
      <selection activeCell="B104" sqref="B104:J122"/>
    </sheetView>
  </sheetViews>
  <sheetFormatPr defaultColWidth="11.375" defaultRowHeight="18.75" customHeight="1" x14ac:dyDescent="0.15"/>
  <cols>
    <col min="1" max="1" width="2.75" style="39" customWidth="1"/>
    <col min="2" max="2" width="16.625" style="28" customWidth="1"/>
    <col min="3" max="3" width="8.875" style="28" customWidth="1"/>
    <col min="4" max="4" width="2.25" style="28" customWidth="1"/>
    <col min="5" max="5" width="16.625" style="28" customWidth="1"/>
    <col min="6" max="6" width="8.875" style="28" customWidth="1"/>
    <col min="7" max="7" width="2.25" style="28" customWidth="1"/>
    <col min="8" max="8" width="16.625" style="28" customWidth="1"/>
    <col min="9" max="9" width="8.875" style="28" customWidth="1"/>
    <col min="10" max="10" width="2.25" style="28" customWidth="1"/>
    <col min="11" max="16384" width="11.375" style="28"/>
  </cols>
  <sheetData>
    <row r="1" spans="1:11" ht="18.75" customHeight="1" x14ac:dyDescent="0.15">
      <c r="A1" s="39" t="s">
        <v>32</v>
      </c>
      <c r="J1" s="38" t="s">
        <v>33</v>
      </c>
    </row>
    <row r="2" spans="1:11" ht="18.75" customHeight="1" x14ac:dyDescent="0.15">
      <c r="A2" s="231" t="s">
        <v>12</v>
      </c>
      <c r="B2" s="231"/>
      <c r="C2" s="231"/>
      <c r="D2" s="231"/>
      <c r="E2" s="231"/>
      <c r="F2" s="231"/>
      <c r="G2" s="231"/>
      <c r="H2" s="231"/>
      <c r="I2" s="231"/>
      <c r="J2" s="231"/>
    </row>
    <row r="3" spans="1:11" ht="7.5" customHeight="1" x14ac:dyDescent="0.15">
      <c r="B3" s="30"/>
      <c r="C3" s="30"/>
      <c r="D3" s="30"/>
      <c r="E3" s="30"/>
      <c r="F3" s="30"/>
      <c r="G3" s="30"/>
      <c r="H3" s="30"/>
      <c r="I3" s="30"/>
      <c r="J3" s="30"/>
    </row>
    <row r="4" spans="1:11" ht="18.75" customHeight="1" x14ac:dyDescent="0.15">
      <c r="A4" s="28" t="s">
        <v>0</v>
      </c>
      <c r="B4" s="28" t="s">
        <v>15</v>
      </c>
      <c r="I4" s="30"/>
      <c r="J4" s="30"/>
    </row>
    <row r="5" spans="1:11" ht="18.75" customHeight="1" x14ac:dyDescent="0.15">
      <c r="A5" s="28"/>
      <c r="B5" s="149" t="s">
        <v>193</v>
      </c>
      <c r="C5" s="150"/>
      <c r="D5" s="150"/>
      <c r="E5" s="150"/>
      <c r="F5" s="150"/>
      <c r="G5" s="150"/>
      <c r="H5" s="150"/>
      <c r="I5" s="150"/>
      <c r="J5" s="166"/>
      <c r="K5" s="28" t="str">
        <f>IF(B5="","入力してください","")</f>
        <v/>
      </c>
    </row>
    <row r="6" spans="1:11" ht="7.5" customHeight="1" x14ac:dyDescent="0.15">
      <c r="B6" s="30"/>
      <c r="C6" s="30"/>
      <c r="D6" s="30"/>
      <c r="E6" s="30"/>
      <c r="F6" s="30"/>
      <c r="G6" s="30"/>
      <c r="H6" s="30"/>
      <c r="I6" s="30"/>
      <c r="J6" s="30"/>
    </row>
    <row r="7" spans="1:11" ht="18.75" customHeight="1" x14ac:dyDescent="0.15">
      <c r="A7" s="28" t="s">
        <v>1</v>
      </c>
      <c r="B7" s="28" t="s">
        <v>10</v>
      </c>
      <c r="K7" s="29"/>
    </row>
    <row r="8" spans="1:11" ht="27.75" customHeight="1" x14ac:dyDescent="0.15">
      <c r="A8" s="31"/>
      <c r="B8" s="260" t="s">
        <v>201</v>
      </c>
      <c r="C8" s="261"/>
      <c r="D8" s="261"/>
      <c r="E8" s="261"/>
      <c r="F8" s="261"/>
      <c r="G8" s="261"/>
      <c r="H8" s="261"/>
      <c r="I8" s="269"/>
      <c r="J8" s="270"/>
      <c r="K8" s="28" t="str">
        <f>IF(B8="","入力してください","")</f>
        <v/>
      </c>
    </row>
    <row r="9" spans="1:11" ht="27.75" customHeight="1" x14ac:dyDescent="0.15">
      <c r="A9" s="31"/>
      <c r="B9" s="271"/>
      <c r="C9" s="272"/>
      <c r="D9" s="272"/>
      <c r="E9" s="272"/>
      <c r="F9" s="272"/>
      <c r="G9" s="272"/>
      <c r="H9" s="272"/>
      <c r="I9" s="272"/>
      <c r="J9" s="273"/>
    </row>
    <row r="10" spans="1:11" ht="27.75" customHeight="1" x14ac:dyDescent="0.15">
      <c r="A10" s="31"/>
      <c r="B10" s="271"/>
      <c r="C10" s="272"/>
      <c r="D10" s="272"/>
      <c r="E10" s="272"/>
      <c r="F10" s="272"/>
      <c r="G10" s="272"/>
      <c r="H10" s="272"/>
      <c r="I10" s="272"/>
      <c r="J10" s="273"/>
    </row>
    <row r="11" spans="1:11" ht="27.75" customHeight="1" x14ac:dyDescent="0.15">
      <c r="A11" s="31"/>
      <c r="B11" s="271"/>
      <c r="C11" s="272"/>
      <c r="D11" s="272"/>
      <c r="E11" s="272"/>
      <c r="F11" s="272"/>
      <c r="G11" s="272"/>
      <c r="H11" s="272"/>
      <c r="I11" s="272"/>
      <c r="J11" s="273"/>
    </row>
    <row r="12" spans="1:11" ht="51.75" customHeight="1" x14ac:dyDescent="0.15">
      <c r="A12" s="31"/>
      <c r="B12" s="274"/>
      <c r="C12" s="275"/>
      <c r="D12" s="275"/>
      <c r="E12" s="275"/>
      <c r="F12" s="275"/>
      <c r="G12" s="275"/>
      <c r="H12" s="275"/>
      <c r="I12" s="275"/>
      <c r="J12" s="276"/>
    </row>
    <row r="13" spans="1:11" ht="7.5" customHeight="1" x14ac:dyDescent="0.15">
      <c r="A13" s="31"/>
      <c r="B13" s="31"/>
      <c r="C13" s="31"/>
      <c r="D13" s="31"/>
      <c r="E13" s="31"/>
      <c r="F13" s="31"/>
      <c r="G13" s="31"/>
      <c r="H13" s="31"/>
      <c r="I13" s="31"/>
      <c r="J13" s="31"/>
    </row>
    <row r="14" spans="1:11" ht="18.75" customHeight="1" x14ac:dyDescent="0.15">
      <c r="A14" s="45" t="s">
        <v>2</v>
      </c>
      <c r="B14" s="45" t="s">
        <v>7</v>
      </c>
      <c r="C14" s="45"/>
      <c r="D14" s="45"/>
      <c r="E14" s="45"/>
      <c r="F14" s="45"/>
      <c r="G14" s="45"/>
      <c r="H14" s="45"/>
      <c r="I14" s="45"/>
      <c r="J14" s="45"/>
    </row>
    <row r="15" spans="1:11" ht="18.75" customHeight="1" x14ac:dyDescent="0.15">
      <c r="A15" s="31"/>
      <c r="B15" s="260" t="s">
        <v>194</v>
      </c>
      <c r="C15" s="261"/>
      <c r="D15" s="261"/>
      <c r="E15" s="261"/>
      <c r="F15" s="261"/>
      <c r="G15" s="261"/>
      <c r="H15" s="261"/>
      <c r="I15" s="269"/>
      <c r="J15" s="270"/>
      <c r="K15" s="28" t="str">
        <f>IF(B15="","入力してください","")</f>
        <v/>
      </c>
    </row>
    <row r="16" spans="1:11" ht="18.75" customHeight="1" x14ac:dyDescent="0.15">
      <c r="A16" s="31"/>
      <c r="B16" s="271"/>
      <c r="C16" s="272"/>
      <c r="D16" s="272"/>
      <c r="E16" s="272"/>
      <c r="F16" s="272"/>
      <c r="G16" s="272"/>
      <c r="H16" s="272"/>
      <c r="I16" s="272"/>
      <c r="J16" s="273"/>
    </row>
    <row r="17" spans="1:11" ht="18.75" customHeight="1" x14ac:dyDescent="0.15">
      <c r="A17" s="31"/>
      <c r="B17" s="271"/>
      <c r="C17" s="272"/>
      <c r="D17" s="272"/>
      <c r="E17" s="272"/>
      <c r="F17" s="272"/>
      <c r="G17" s="272"/>
      <c r="H17" s="272"/>
      <c r="I17" s="272"/>
      <c r="J17" s="273"/>
    </row>
    <row r="18" spans="1:11" ht="18.75" customHeight="1" x14ac:dyDescent="0.15">
      <c r="A18" s="31"/>
      <c r="B18" s="271"/>
      <c r="C18" s="272"/>
      <c r="D18" s="272"/>
      <c r="E18" s="272"/>
      <c r="F18" s="272"/>
      <c r="G18" s="272"/>
      <c r="H18" s="272"/>
      <c r="I18" s="272"/>
      <c r="J18" s="273"/>
    </row>
    <row r="19" spans="1:11" ht="18.75" customHeight="1" x14ac:dyDescent="0.15">
      <c r="A19" s="31"/>
      <c r="B19" s="271"/>
      <c r="C19" s="272"/>
      <c r="D19" s="272"/>
      <c r="E19" s="272"/>
      <c r="F19" s="272"/>
      <c r="G19" s="272"/>
      <c r="H19" s="272"/>
      <c r="I19" s="272"/>
      <c r="J19" s="273"/>
    </row>
    <row r="20" spans="1:11" ht="18.75" customHeight="1" x14ac:dyDescent="0.15">
      <c r="A20" s="31"/>
      <c r="B20" s="274"/>
      <c r="C20" s="275"/>
      <c r="D20" s="275"/>
      <c r="E20" s="275"/>
      <c r="F20" s="275"/>
      <c r="G20" s="275"/>
      <c r="H20" s="275"/>
      <c r="I20" s="275"/>
      <c r="J20" s="276"/>
    </row>
    <row r="21" spans="1:11" ht="7.5" customHeight="1" x14ac:dyDescent="0.15">
      <c r="A21" s="44"/>
      <c r="B21" s="44"/>
      <c r="C21" s="44"/>
      <c r="D21" s="44"/>
      <c r="E21" s="44"/>
      <c r="F21" s="44"/>
      <c r="G21" s="44"/>
      <c r="H21" s="44"/>
      <c r="I21" s="44"/>
      <c r="J21" s="44"/>
    </row>
    <row r="22" spans="1:11" ht="18.75" customHeight="1" x14ac:dyDescent="0.15">
      <c r="A22" s="28" t="s">
        <v>5</v>
      </c>
      <c r="B22" s="28" t="s">
        <v>8</v>
      </c>
    </row>
    <row r="23" spans="1:11" s="30" customFormat="1" ht="18.75" customHeight="1" x14ac:dyDescent="0.15">
      <c r="B23" s="32" t="s">
        <v>34</v>
      </c>
      <c r="C23" s="40">
        <v>0.01</v>
      </c>
      <c r="D23" s="33"/>
      <c r="E23" s="33" t="s">
        <v>35</v>
      </c>
      <c r="F23" s="40">
        <v>0.66</v>
      </c>
      <c r="G23" s="33"/>
      <c r="H23" s="33" t="s">
        <v>36</v>
      </c>
      <c r="I23" s="41">
        <v>1</v>
      </c>
      <c r="J23" s="34"/>
      <c r="K23" s="28"/>
    </row>
    <row r="24" spans="1:11" s="30" customFormat="1" ht="18.75" customHeight="1" x14ac:dyDescent="0.15">
      <c r="B24" s="35" t="s">
        <v>37</v>
      </c>
      <c r="C24" s="42">
        <v>1</v>
      </c>
      <c r="D24" s="36"/>
      <c r="E24" s="36" t="s">
        <v>38</v>
      </c>
      <c r="F24" s="42">
        <v>1</v>
      </c>
      <c r="G24" s="36"/>
      <c r="H24" s="36" t="s">
        <v>39</v>
      </c>
      <c r="I24" s="43">
        <v>660</v>
      </c>
      <c r="J24" s="37"/>
      <c r="K24" s="29"/>
    </row>
    <row r="25" spans="1:11" ht="18.75" customHeight="1" x14ac:dyDescent="0.15">
      <c r="A25" s="28"/>
      <c r="B25" s="279" t="s">
        <v>40</v>
      </c>
      <c r="C25" s="280"/>
      <c r="D25" s="280"/>
      <c r="E25" s="280"/>
      <c r="F25" s="280"/>
      <c r="G25" s="280"/>
      <c r="H25" s="280"/>
      <c r="I25" s="280"/>
      <c r="J25" s="281"/>
      <c r="K25" s="29"/>
    </row>
    <row r="26" spans="1:11" ht="18.75" customHeight="1" x14ac:dyDescent="0.15">
      <c r="A26" s="28"/>
      <c r="B26" s="260" t="s">
        <v>192</v>
      </c>
      <c r="C26" s="261"/>
      <c r="D26" s="261"/>
      <c r="E26" s="261"/>
      <c r="F26" s="261"/>
      <c r="G26" s="261"/>
      <c r="H26" s="261"/>
      <c r="I26" s="261"/>
      <c r="J26" s="262"/>
      <c r="K26" s="29" t="str">
        <f>IF(B26="","入力してください","")</f>
        <v/>
      </c>
    </row>
    <row r="27" spans="1:11" ht="18.75" customHeight="1" x14ac:dyDescent="0.15">
      <c r="A27" s="28"/>
      <c r="B27" s="263"/>
      <c r="C27" s="278"/>
      <c r="D27" s="278"/>
      <c r="E27" s="278"/>
      <c r="F27" s="278"/>
      <c r="G27" s="278"/>
      <c r="H27" s="278"/>
      <c r="I27" s="278"/>
      <c r="J27" s="265"/>
      <c r="K27" s="29"/>
    </row>
    <row r="28" spans="1:11" ht="18.75" customHeight="1" x14ac:dyDescent="0.15">
      <c r="A28" s="28"/>
      <c r="B28" s="263"/>
      <c r="C28" s="278"/>
      <c r="D28" s="278"/>
      <c r="E28" s="278"/>
      <c r="F28" s="278"/>
      <c r="G28" s="278"/>
      <c r="H28" s="278"/>
      <c r="I28" s="278"/>
      <c r="J28" s="265"/>
      <c r="K28" s="29"/>
    </row>
    <row r="29" spans="1:11" ht="18.75" customHeight="1" x14ac:dyDescent="0.15">
      <c r="A29" s="28"/>
      <c r="B29" s="263"/>
      <c r="C29" s="278"/>
      <c r="D29" s="278"/>
      <c r="E29" s="278"/>
      <c r="F29" s="278"/>
      <c r="G29" s="278"/>
      <c r="H29" s="278"/>
      <c r="I29" s="278"/>
      <c r="J29" s="265"/>
      <c r="K29" s="29"/>
    </row>
    <row r="30" spans="1:11" ht="18.75" customHeight="1" x14ac:dyDescent="0.15">
      <c r="A30" s="28"/>
      <c r="B30" s="263"/>
      <c r="C30" s="278"/>
      <c r="D30" s="278"/>
      <c r="E30" s="278"/>
      <c r="F30" s="278"/>
      <c r="G30" s="278"/>
      <c r="H30" s="278"/>
      <c r="I30" s="278"/>
      <c r="J30" s="265"/>
      <c r="K30" s="29"/>
    </row>
    <row r="31" spans="1:11" ht="18.75" customHeight="1" x14ac:dyDescent="0.15">
      <c r="A31" s="28"/>
      <c r="B31" s="263"/>
      <c r="C31" s="278"/>
      <c r="D31" s="278"/>
      <c r="E31" s="278"/>
      <c r="F31" s="278"/>
      <c r="G31" s="278"/>
      <c r="H31" s="278"/>
      <c r="I31" s="278"/>
      <c r="J31" s="265"/>
      <c r="K31" s="29"/>
    </row>
    <row r="32" spans="1:11" ht="18.75" customHeight="1" x14ac:dyDescent="0.15">
      <c r="A32" s="28"/>
      <c r="B32" s="263"/>
      <c r="C32" s="278"/>
      <c r="D32" s="278"/>
      <c r="E32" s="278"/>
      <c r="F32" s="278"/>
      <c r="G32" s="278"/>
      <c r="H32" s="278"/>
      <c r="I32" s="278"/>
      <c r="J32" s="265"/>
      <c r="K32" s="29"/>
    </row>
    <row r="33" spans="1:11" ht="18.75" customHeight="1" x14ac:dyDescent="0.15">
      <c r="A33" s="28"/>
      <c r="B33" s="263"/>
      <c r="C33" s="278"/>
      <c r="D33" s="278"/>
      <c r="E33" s="278"/>
      <c r="F33" s="278"/>
      <c r="G33" s="278"/>
      <c r="H33" s="278"/>
      <c r="I33" s="278"/>
      <c r="J33" s="265"/>
      <c r="K33" s="29"/>
    </row>
    <row r="34" spans="1:11" ht="18.75" customHeight="1" x14ac:dyDescent="0.15">
      <c r="A34" s="28"/>
      <c r="B34" s="263"/>
      <c r="C34" s="278"/>
      <c r="D34" s="278"/>
      <c r="E34" s="278"/>
      <c r="F34" s="278"/>
      <c r="G34" s="278"/>
      <c r="H34" s="278"/>
      <c r="I34" s="278"/>
      <c r="J34" s="265"/>
      <c r="K34" s="29"/>
    </row>
    <row r="35" spans="1:11" ht="18.75" customHeight="1" x14ac:dyDescent="0.15">
      <c r="A35" s="28"/>
      <c r="B35" s="263"/>
      <c r="C35" s="278"/>
      <c r="D35" s="278"/>
      <c r="E35" s="278"/>
      <c r="F35" s="278"/>
      <c r="G35" s="278"/>
      <c r="H35" s="278"/>
      <c r="I35" s="278"/>
      <c r="J35" s="265"/>
      <c r="K35" s="29"/>
    </row>
    <row r="36" spans="1:11" ht="18.75" customHeight="1" x14ac:dyDescent="0.15">
      <c r="A36" s="28"/>
      <c r="B36" s="263"/>
      <c r="C36" s="278"/>
      <c r="D36" s="278"/>
      <c r="E36" s="278"/>
      <c r="F36" s="278"/>
      <c r="G36" s="278"/>
      <c r="H36" s="278"/>
      <c r="I36" s="278"/>
      <c r="J36" s="265"/>
      <c r="K36" s="29"/>
    </row>
    <row r="37" spans="1:11" ht="63" customHeight="1" x14ac:dyDescent="0.15">
      <c r="A37" s="28"/>
      <c r="B37" s="266"/>
      <c r="C37" s="267"/>
      <c r="D37" s="267"/>
      <c r="E37" s="267"/>
      <c r="F37" s="267"/>
      <c r="G37" s="267"/>
      <c r="H37" s="267"/>
      <c r="I37" s="267"/>
      <c r="J37" s="268"/>
      <c r="K37" s="29"/>
    </row>
    <row r="38" spans="1:11" ht="18.75" customHeight="1" x14ac:dyDescent="0.15">
      <c r="A38" s="45" t="s">
        <v>3</v>
      </c>
      <c r="B38" s="28" t="s">
        <v>78</v>
      </c>
      <c r="I38" s="45"/>
      <c r="J38" s="45"/>
    </row>
    <row r="39" spans="1:11" ht="18.75" customHeight="1" x14ac:dyDescent="0.15">
      <c r="A39" s="44"/>
      <c r="B39" s="260" t="s">
        <v>202</v>
      </c>
      <c r="C39" s="261"/>
      <c r="D39" s="261"/>
      <c r="E39" s="261"/>
      <c r="F39" s="261"/>
      <c r="G39" s="261"/>
      <c r="H39" s="261"/>
      <c r="I39" s="261"/>
      <c r="J39" s="262"/>
      <c r="K39" s="28" t="str">
        <f>IF(B39="","入力してください","")</f>
        <v/>
      </c>
    </row>
    <row r="40" spans="1:11" ht="18.75" customHeight="1" x14ac:dyDescent="0.15">
      <c r="A40" s="44"/>
      <c r="B40" s="263"/>
      <c r="C40" s="264"/>
      <c r="D40" s="264"/>
      <c r="E40" s="264"/>
      <c r="F40" s="264"/>
      <c r="G40" s="264"/>
      <c r="H40" s="264"/>
      <c r="I40" s="264"/>
      <c r="J40" s="265"/>
    </row>
    <row r="41" spans="1:11" ht="18.75" customHeight="1" x14ac:dyDescent="0.15">
      <c r="A41" s="44"/>
      <c r="B41" s="263"/>
      <c r="C41" s="264"/>
      <c r="D41" s="264"/>
      <c r="E41" s="264"/>
      <c r="F41" s="264"/>
      <c r="G41" s="264"/>
      <c r="H41" s="264"/>
      <c r="I41" s="264"/>
      <c r="J41" s="265"/>
    </row>
    <row r="42" spans="1:11" ht="18.75" customHeight="1" x14ac:dyDescent="0.15">
      <c r="A42" s="44"/>
      <c r="B42" s="263"/>
      <c r="C42" s="264"/>
      <c r="D42" s="264"/>
      <c r="E42" s="264"/>
      <c r="F42" s="264"/>
      <c r="G42" s="264"/>
      <c r="H42" s="264"/>
      <c r="I42" s="264"/>
      <c r="J42" s="265"/>
    </row>
    <row r="43" spans="1:11" ht="18.75" customHeight="1" x14ac:dyDescent="0.15">
      <c r="A43" s="44"/>
      <c r="B43" s="263"/>
      <c r="C43" s="264"/>
      <c r="D43" s="264"/>
      <c r="E43" s="264"/>
      <c r="F43" s="264"/>
      <c r="G43" s="264"/>
      <c r="H43" s="264"/>
      <c r="I43" s="264"/>
      <c r="J43" s="265"/>
    </row>
    <row r="44" spans="1:11" ht="18.75" customHeight="1" x14ac:dyDescent="0.15">
      <c r="A44" s="44"/>
      <c r="B44" s="263"/>
      <c r="C44" s="264"/>
      <c r="D44" s="264"/>
      <c r="E44" s="264"/>
      <c r="F44" s="264"/>
      <c r="G44" s="264"/>
      <c r="H44" s="264"/>
      <c r="I44" s="264"/>
      <c r="J44" s="265"/>
    </row>
    <row r="45" spans="1:11" ht="18.75" customHeight="1" x14ac:dyDescent="0.15">
      <c r="A45" s="44"/>
      <c r="B45" s="263"/>
      <c r="C45" s="264"/>
      <c r="D45" s="264"/>
      <c r="E45" s="264"/>
      <c r="F45" s="264"/>
      <c r="G45" s="264"/>
      <c r="H45" s="264"/>
      <c r="I45" s="264"/>
      <c r="J45" s="265"/>
    </row>
    <row r="46" spans="1:11" ht="18.75" customHeight="1" x14ac:dyDescent="0.15">
      <c r="A46" s="44"/>
      <c r="B46" s="263"/>
      <c r="C46" s="264"/>
      <c r="D46" s="264"/>
      <c r="E46" s="264"/>
      <c r="F46" s="264"/>
      <c r="G46" s="264"/>
      <c r="H46" s="264"/>
      <c r="I46" s="264"/>
      <c r="J46" s="265"/>
    </row>
    <row r="47" spans="1:11" ht="18.75" customHeight="1" x14ac:dyDescent="0.15">
      <c r="A47" s="44"/>
      <c r="B47" s="263"/>
      <c r="C47" s="264"/>
      <c r="D47" s="264"/>
      <c r="E47" s="264"/>
      <c r="F47" s="264"/>
      <c r="G47" s="264"/>
      <c r="H47" s="264"/>
      <c r="I47" s="264"/>
      <c r="J47" s="265"/>
    </row>
    <row r="48" spans="1:11" ht="18.75" customHeight="1" x14ac:dyDescent="0.15">
      <c r="A48" s="44"/>
      <c r="B48" s="263"/>
      <c r="C48" s="264"/>
      <c r="D48" s="264"/>
      <c r="E48" s="264"/>
      <c r="F48" s="264"/>
      <c r="G48" s="264"/>
      <c r="H48" s="264"/>
      <c r="I48" s="264"/>
      <c r="J48" s="265"/>
    </row>
    <row r="49" spans="1:11" ht="18.75" customHeight="1" x14ac:dyDescent="0.15">
      <c r="A49" s="44"/>
      <c r="B49" s="263"/>
      <c r="C49" s="264"/>
      <c r="D49" s="264"/>
      <c r="E49" s="264"/>
      <c r="F49" s="264"/>
      <c r="G49" s="264"/>
      <c r="H49" s="264"/>
      <c r="I49" s="264"/>
      <c r="J49" s="265"/>
    </row>
    <row r="50" spans="1:11" ht="18.75" customHeight="1" x14ac:dyDescent="0.15">
      <c r="A50" s="44"/>
      <c r="B50" s="263"/>
      <c r="C50" s="264"/>
      <c r="D50" s="264"/>
      <c r="E50" s="264"/>
      <c r="F50" s="264"/>
      <c r="G50" s="264"/>
      <c r="H50" s="264"/>
      <c r="I50" s="264"/>
      <c r="J50" s="265"/>
    </row>
    <row r="51" spans="1:11" ht="18.75" customHeight="1" x14ac:dyDescent="0.15">
      <c r="A51" s="44"/>
      <c r="B51" s="263"/>
      <c r="C51" s="264"/>
      <c r="D51" s="264"/>
      <c r="E51" s="264"/>
      <c r="F51" s="264"/>
      <c r="G51" s="264"/>
      <c r="H51" s="264"/>
      <c r="I51" s="264"/>
      <c r="J51" s="265"/>
    </row>
    <row r="52" spans="1:11" ht="18.75" customHeight="1" x14ac:dyDescent="0.15">
      <c r="A52" s="44"/>
      <c r="B52" s="263"/>
      <c r="C52" s="264"/>
      <c r="D52" s="264"/>
      <c r="E52" s="264"/>
      <c r="F52" s="264"/>
      <c r="G52" s="264"/>
      <c r="H52" s="264"/>
      <c r="I52" s="264"/>
      <c r="J52" s="265"/>
    </row>
    <row r="53" spans="1:11" ht="18.75" customHeight="1" x14ac:dyDescent="0.15">
      <c r="A53" s="44"/>
      <c r="B53" s="263"/>
      <c r="C53" s="264"/>
      <c r="D53" s="264"/>
      <c r="E53" s="264"/>
      <c r="F53" s="264"/>
      <c r="G53" s="264"/>
      <c r="H53" s="264"/>
      <c r="I53" s="264"/>
      <c r="J53" s="265"/>
    </row>
    <row r="54" spans="1:11" ht="18.75" customHeight="1" x14ac:dyDescent="0.15">
      <c r="A54" s="44"/>
      <c r="B54" s="263"/>
      <c r="C54" s="264"/>
      <c r="D54" s="264"/>
      <c r="E54" s="264"/>
      <c r="F54" s="264"/>
      <c r="G54" s="264"/>
      <c r="H54" s="264"/>
      <c r="I54" s="264"/>
      <c r="J54" s="265"/>
    </row>
    <row r="55" spans="1:11" ht="18.75" customHeight="1" x14ac:dyDescent="0.15">
      <c r="A55" s="44"/>
      <c r="B55" s="263"/>
      <c r="C55" s="264"/>
      <c r="D55" s="264"/>
      <c r="E55" s="264"/>
      <c r="F55" s="264"/>
      <c r="G55" s="264"/>
      <c r="H55" s="264"/>
      <c r="I55" s="264"/>
      <c r="J55" s="265"/>
    </row>
    <row r="56" spans="1:11" ht="18.75" customHeight="1" x14ac:dyDescent="0.15">
      <c r="A56" s="44"/>
      <c r="B56" s="263"/>
      <c r="C56" s="264"/>
      <c r="D56" s="264"/>
      <c r="E56" s="264"/>
      <c r="F56" s="264"/>
      <c r="G56" s="264"/>
      <c r="H56" s="264"/>
      <c r="I56" s="264"/>
      <c r="J56" s="265"/>
    </row>
    <row r="57" spans="1:11" ht="18.75" customHeight="1" x14ac:dyDescent="0.15">
      <c r="A57" s="44"/>
      <c r="B57" s="263"/>
      <c r="C57" s="264"/>
      <c r="D57" s="264"/>
      <c r="E57" s="264"/>
      <c r="F57" s="264"/>
      <c r="G57" s="264"/>
      <c r="H57" s="264"/>
      <c r="I57" s="264"/>
      <c r="J57" s="265"/>
    </row>
    <row r="58" spans="1:11" ht="18.75" customHeight="1" x14ac:dyDescent="0.15">
      <c r="A58" s="44"/>
      <c r="B58" s="263"/>
      <c r="C58" s="264"/>
      <c r="D58" s="264"/>
      <c r="E58" s="264"/>
      <c r="F58" s="264"/>
      <c r="G58" s="264"/>
      <c r="H58" s="264"/>
      <c r="I58" s="264"/>
      <c r="J58" s="265"/>
    </row>
    <row r="59" spans="1:11" ht="18.75" customHeight="1" x14ac:dyDescent="0.15">
      <c r="A59" s="44"/>
      <c r="B59" s="266"/>
      <c r="C59" s="267"/>
      <c r="D59" s="267"/>
      <c r="E59" s="267"/>
      <c r="F59" s="267"/>
      <c r="G59" s="267"/>
      <c r="H59" s="267"/>
      <c r="I59" s="267"/>
      <c r="J59" s="268"/>
    </row>
    <row r="60" spans="1:11" ht="7.5" customHeight="1" x14ac:dyDescent="0.15">
      <c r="A60" s="44"/>
      <c r="B60" s="44"/>
      <c r="C60" s="44"/>
      <c r="D60" s="44"/>
      <c r="E60" s="44"/>
      <c r="F60" s="44"/>
      <c r="G60" s="44"/>
      <c r="H60" s="44"/>
      <c r="I60" s="44"/>
      <c r="J60" s="44"/>
    </row>
    <row r="61" spans="1:11" ht="18.75" customHeight="1" x14ac:dyDescent="0.15">
      <c r="A61" s="28" t="s">
        <v>6</v>
      </c>
      <c r="B61" s="28" t="s">
        <v>14</v>
      </c>
    </row>
    <row r="62" spans="1:11" ht="18.75" customHeight="1" x14ac:dyDescent="0.15">
      <c r="A62" s="28"/>
      <c r="B62" s="260" t="s">
        <v>205</v>
      </c>
      <c r="C62" s="261"/>
      <c r="D62" s="261"/>
      <c r="E62" s="261"/>
      <c r="F62" s="261"/>
      <c r="G62" s="261"/>
      <c r="H62" s="261"/>
      <c r="I62" s="269"/>
      <c r="J62" s="270"/>
      <c r="K62" s="29" t="str">
        <f>IF(B62="","入力してください","")</f>
        <v/>
      </c>
    </row>
    <row r="63" spans="1:11" ht="18.75" customHeight="1" x14ac:dyDescent="0.15">
      <c r="A63" s="28"/>
      <c r="B63" s="271"/>
      <c r="C63" s="272"/>
      <c r="D63" s="272"/>
      <c r="E63" s="272"/>
      <c r="F63" s="272"/>
      <c r="G63" s="272"/>
      <c r="H63" s="272"/>
      <c r="I63" s="272"/>
      <c r="J63" s="273"/>
      <c r="K63" s="29"/>
    </row>
    <row r="64" spans="1:11" ht="18.75" customHeight="1" x14ac:dyDescent="0.15">
      <c r="A64" s="28"/>
      <c r="B64" s="271"/>
      <c r="C64" s="272"/>
      <c r="D64" s="272"/>
      <c r="E64" s="272"/>
      <c r="F64" s="272"/>
      <c r="G64" s="272"/>
      <c r="H64" s="272"/>
      <c r="I64" s="272"/>
      <c r="J64" s="273"/>
      <c r="K64" s="29"/>
    </row>
    <row r="65" spans="1:11" ht="18.75" customHeight="1" x14ac:dyDescent="0.15">
      <c r="A65" s="28"/>
      <c r="B65" s="271"/>
      <c r="C65" s="272"/>
      <c r="D65" s="272"/>
      <c r="E65" s="272"/>
      <c r="F65" s="272"/>
      <c r="G65" s="272"/>
      <c r="H65" s="272"/>
      <c r="I65" s="272"/>
      <c r="J65" s="273"/>
      <c r="K65" s="29"/>
    </row>
    <row r="66" spans="1:11" ht="18.75" customHeight="1" x14ac:dyDescent="0.15">
      <c r="A66" s="28"/>
      <c r="B66" s="271"/>
      <c r="C66" s="272"/>
      <c r="D66" s="272"/>
      <c r="E66" s="272"/>
      <c r="F66" s="272"/>
      <c r="G66" s="272"/>
      <c r="H66" s="272"/>
      <c r="I66" s="272"/>
      <c r="J66" s="273"/>
      <c r="K66" s="29"/>
    </row>
    <row r="67" spans="1:11" ht="18.75" customHeight="1" x14ac:dyDescent="0.15">
      <c r="A67" s="28"/>
      <c r="B67" s="271"/>
      <c r="C67" s="272"/>
      <c r="D67" s="272"/>
      <c r="E67" s="272"/>
      <c r="F67" s="272"/>
      <c r="G67" s="272"/>
      <c r="H67" s="272"/>
      <c r="I67" s="272"/>
      <c r="J67" s="273"/>
      <c r="K67" s="29"/>
    </row>
    <row r="68" spans="1:11" ht="18.75" customHeight="1" x14ac:dyDescent="0.15">
      <c r="A68" s="28"/>
      <c r="B68" s="271"/>
      <c r="C68" s="272"/>
      <c r="D68" s="272"/>
      <c r="E68" s="272"/>
      <c r="F68" s="272"/>
      <c r="G68" s="272"/>
      <c r="H68" s="272"/>
      <c r="I68" s="272"/>
      <c r="J68" s="273"/>
      <c r="K68" s="29"/>
    </row>
    <row r="69" spans="1:11" ht="18.75" customHeight="1" x14ac:dyDescent="0.15">
      <c r="A69" s="28"/>
      <c r="B69" s="271"/>
      <c r="C69" s="272"/>
      <c r="D69" s="272"/>
      <c r="E69" s="272"/>
      <c r="F69" s="272"/>
      <c r="G69" s="272"/>
      <c r="H69" s="272"/>
      <c r="I69" s="272"/>
      <c r="J69" s="273"/>
      <c r="K69" s="29"/>
    </row>
    <row r="70" spans="1:11" ht="18.75" customHeight="1" x14ac:dyDescent="0.15">
      <c r="A70" s="28"/>
      <c r="B70" s="271"/>
      <c r="C70" s="272"/>
      <c r="D70" s="272"/>
      <c r="E70" s="272"/>
      <c r="F70" s="272"/>
      <c r="G70" s="272"/>
      <c r="H70" s="272"/>
      <c r="I70" s="272"/>
      <c r="J70" s="273"/>
      <c r="K70" s="29"/>
    </row>
    <row r="71" spans="1:11" ht="18.75" customHeight="1" x14ac:dyDescent="0.15">
      <c r="A71" s="28"/>
      <c r="B71" s="271"/>
      <c r="C71" s="272"/>
      <c r="D71" s="272"/>
      <c r="E71" s="272"/>
      <c r="F71" s="272"/>
      <c r="G71" s="272"/>
      <c r="H71" s="272"/>
      <c r="I71" s="272"/>
      <c r="J71" s="273"/>
      <c r="K71" s="29"/>
    </row>
    <row r="72" spans="1:11" ht="18.75" customHeight="1" x14ac:dyDescent="0.15">
      <c r="A72" s="28"/>
      <c r="B72" s="271"/>
      <c r="C72" s="272"/>
      <c r="D72" s="272"/>
      <c r="E72" s="272"/>
      <c r="F72" s="272"/>
      <c r="G72" s="272"/>
      <c r="H72" s="272"/>
      <c r="I72" s="272"/>
      <c r="J72" s="273"/>
      <c r="K72" s="29"/>
    </row>
    <row r="73" spans="1:11" ht="18.75" customHeight="1" x14ac:dyDescent="0.15">
      <c r="A73" s="28"/>
      <c r="B73" s="271"/>
      <c r="C73" s="272"/>
      <c r="D73" s="272"/>
      <c r="E73" s="272"/>
      <c r="F73" s="272"/>
      <c r="G73" s="272"/>
      <c r="H73" s="272"/>
      <c r="I73" s="272"/>
      <c r="J73" s="273"/>
      <c r="K73" s="29"/>
    </row>
    <row r="74" spans="1:11" ht="18.75" customHeight="1" x14ac:dyDescent="0.15">
      <c r="A74" s="28"/>
      <c r="B74" s="271"/>
      <c r="C74" s="272"/>
      <c r="D74" s="272"/>
      <c r="E74" s="272"/>
      <c r="F74" s="272"/>
      <c r="G74" s="272"/>
      <c r="H74" s="272"/>
      <c r="I74" s="272"/>
      <c r="J74" s="273"/>
      <c r="K74" s="29"/>
    </row>
    <row r="75" spans="1:11" ht="18.75" customHeight="1" x14ac:dyDescent="0.15">
      <c r="A75" s="28"/>
      <c r="B75" s="271"/>
      <c r="C75" s="272"/>
      <c r="D75" s="272"/>
      <c r="E75" s="272"/>
      <c r="F75" s="272"/>
      <c r="G75" s="272"/>
      <c r="H75" s="272"/>
      <c r="I75" s="272"/>
      <c r="J75" s="273"/>
      <c r="K75" s="29"/>
    </row>
    <row r="76" spans="1:11" ht="18.75" customHeight="1" x14ac:dyDescent="0.15">
      <c r="A76" s="28"/>
      <c r="B76" s="271"/>
      <c r="C76" s="272"/>
      <c r="D76" s="272"/>
      <c r="E76" s="272"/>
      <c r="F76" s="272"/>
      <c r="G76" s="272"/>
      <c r="H76" s="272"/>
      <c r="I76" s="272"/>
      <c r="J76" s="273"/>
      <c r="K76" s="29"/>
    </row>
    <row r="77" spans="1:11" ht="18.75" customHeight="1" x14ac:dyDescent="0.15">
      <c r="A77" s="28"/>
      <c r="B77" s="271"/>
      <c r="C77" s="272"/>
      <c r="D77" s="272"/>
      <c r="E77" s="272"/>
      <c r="F77" s="272"/>
      <c r="G77" s="272"/>
      <c r="H77" s="272"/>
      <c r="I77" s="272"/>
      <c r="J77" s="273"/>
      <c r="K77" s="29"/>
    </row>
    <row r="78" spans="1:11" ht="18.75" customHeight="1" x14ac:dyDescent="0.15">
      <c r="A78" s="44"/>
      <c r="B78" s="271"/>
      <c r="C78" s="272"/>
      <c r="D78" s="272"/>
      <c r="E78" s="272"/>
      <c r="F78" s="272"/>
      <c r="G78" s="272"/>
      <c r="H78" s="272"/>
      <c r="I78" s="272"/>
      <c r="J78" s="273"/>
      <c r="K78" s="29"/>
    </row>
    <row r="79" spans="1:11" ht="18.75" customHeight="1" x14ac:dyDescent="0.15">
      <c r="A79" s="44"/>
      <c r="B79" s="274"/>
      <c r="C79" s="275"/>
      <c r="D79" s="275"/>
      <c r="E79" s="275"/>
      <c r="F79" s="275"/>
      <c r="G79" s="275"/>
      <c r="H79" s="275"/>
      <c r="I79" s="275"/>
      <c r="J79" s="276"/>
      <c r="K79" s="29"/>
    </row>
    <row r="80" spans="1:11" ht="7.5" customHeight="1" x14ac:dyDescent="0.15">
      <c r="A80" s="44"/>
      <c r="B80" s="44"/>
      <c r="C80" s="44"/>
      <c r="D80" s="44"/>
      <c r="E80" s="44"/>
      <c r="F80" s="44"/>
      <c r="G80" s="44"/>
      <c r="H80" s="44"/>
      <c r="I80" s="44"/>
      <c r="J80" s="44"/>
    </row>
    <row r="81" spans="1:11" ht="18.75" customHeight="1" x14ac:dyDescent="0.15">
      <c r="A81" s="28" t="s">
        <v>4</v>
      </c>
      <c r="B81" s="28" t="s">
        <v>9</v>
      </c>
    </row>
    <row r="82" spans="1:11" ht="18.75" customHeight="1" x14ac:dyDescent="0.15">
      <c r="A82" s="28"/>
      <c r="B82" s="260" t="s">
        <v>206</v>
      </c>
      <c r="C82" s="261"/>
      <c r="D82" s="261"/>
      <c r="E82" s="261"/>
      <c r="F82" s="261"/>
      <c r="G82" s="261"/>
      <c r="H82" s="261"/>
      <c r="I82" s="269"/>
      <c r="J82" s="270"/>
    </row>
    <row r="83" spans="1:11" ht="18.75" customHeight="1" x14ac:dyDescent="0.15">
      <c r="A83" s="28"/>
      <c r="B83" s="271"/>
      <c r="C83" s="272"/>
      <c r="D83" s="272"/>
      <c r="E83" s="272"/>
      <c r="F83" s="272"/>
      <c r="G83" s="272"/>
      <c r="H83" s="272"/>
      <c r="I83" s="272"/>
      <c r="J83" s="273"/>
      <c r="K83" s="29"/>
    </row>
    <row r="84" spans="1:11" ht="18.75" customHeight="1" x14ac:dyDescent="0.15">
      <c r="A84" s="28"/>
      <c r="B84" s="271"/>
      <c r="C84" s="272"/>
      <c r="D84" s="272"/>
      <c r="E84" s="272"/>
      <c r="F84" s="272"/>
      <c r="G84" s="272"/>
      <c r="H84" s="272"/>
      <c r="I84" s="272"/>
      <c r="J84" s="273"/>
      <c r="K84" s="29" t="str">
        <f>IF(B82="","入力してください","")</f>
        <v/>
      </c>
    </row>
    <row r="85" spans="1:11" ht="18.75" customHeight="1" x14ac:dyDescent="0.15">
      <c r="A85" s="28"/>
      <c r="B85" s="271"/>
      <c r="C85" s="272"/>
      <c r="D85" s="272"/>
      <c r="E85" s="272"/>
      <c r="F85" s="272"/>
      <c r="G85" s="272"/>
      <c r="H85" s="272"/>
      <c r="I85" s="272"/>
      <c r="J85" s="273"/>
      <c r="K85" s="29"/>
    </row>
    <row r="86" spans="1:11" ht="18.75" customHeight="1" x14ac:dyDescent="0.15">
      <c r="A86" s="28"/>
      <c r="B86" s="271"/>
      <c r="C86" s="272"/>
      <c r="D86" s="272"/>
      <c r="E86" s="272"/>
      <c r="F86" s="272"/>
      <c r="G86" s="272"/>
      <c r="H86" s="272"/>
      <c r="I86" s="272"/>
      <c r="J86" s="273"/>
      <c r="K86" s="29"/>
    </row>
    <row r="87" spans="1:11" ht="18.75" customHeight="1" x14ac:dyDescent="0.15">
      <c r="A87" s="28"/>
      <c r="B87" s="271"/>
      <c r="C87" s="272"/>
      <c r="D87" s="272"/>
      <c r="E87" s="272"/>
      <c r="F87" s="272"/>
      <c r="G87" s="272"/>
      <c r="H87" s="272"/>
      <c r="I87" s="272"/>
      <c r="J87" s="273"/>
      <c r="K87" s="29"/>
    </row>
    <row r="88" spans="1:11" ht="18.75" customHeight="1" x14ac:dyDescent="0.15">
      <c r="A88" s="28"/>
      <c r="B88" s="271"/>
      <c r="C88" s="272"/>
      <c r="D88" s="272"/>
      <c r="E88" s="272"/>
      <c r="F88" s="272"/>
      <c r="G88" s="272"/>
      <c r="H88" s="272"/>
      <c r="I88" s="272"/>
      <c r="J88" s="273"/>
      <c r="K88" s="29"/>
    </row>
    <row r="89" spans="1:11" ht="18.75" customHeight="1" x14ac:dyDescent="0.15">
      <c r="A89" s="28"/>
      <c r="B89" s="271"/>
      <c r="C89" s="272"/>
      <c r="D89" s="272"/>
      <c r="E89" s="272"/>
      <c r="F89" s="272"/>
      <c r="G89" s="272"/>
      <c r="H89" s="272"/>
      <c r="I89" s="272"/>
      <c r="J89" s="273"/>
      <c r="K89" s="29"/>
    </row>
    <row r="90" spans="1:11" ht="18.75" customHeight="1" x14ac:dyDescent="0.15">
      <c r="A90" s="28"/>
      <c r="B90" s="271"/>
      <c r="C90" s="272"/>
      <c r="D90" s="272"/>
      <c r="E90" s="272"/>
      <c r="F90" s="272"/>
      <c r="G90" s="272"/>
      <c r="H90" s="272"/>
      <c r="I90" s="272"/>
      <c r="J90" s="273"/>
      <c r="K90" s="29"/>
    </row>
    <row r="91" spans="1:11" ht="18.75" customHeight="1" x14ac:dyDescent="0.15">
      <c r="A91" s="28"/>
      <c r="B91" s="271"/>
      <c r="C91" s="272"/>
      <c r="D91" s="272"/>
      <c r="E91" s="272"/>
      <c r="F91" s="272"/>
      <c r="G91" s="272"/>
      <c r="H91" s="272"/>
      <c r="I91" s="272"/>
      <c r="J91" s="273"/>
      <c r="K91" s="29"/>
    </row>
    <row r="92" spans="1:11" ht="18.75" customHeight="1" x14ac:dyDescent="0.15">
      <c r="A92" s="28"/>
      <c r="B92" s="271"/>
      <c r="C92" s="272"/>
      <c r="D92" s="272"/>
      <c r="E92" s="272"/>
      <c r="F92" s="272"/>
      <c r="G92" s="272"/>
      <c r="H92" s="272"/>
      <c r="I92" s="272"/>
      <c r="J92" s="273"/>
      <c r="K92" s="29"/>
    </row>
    <row r="93" spans="1:11" ht="18.75" customHeight="1" x14ac:dyDescent="0.15">
      <c r="A93" s="28"/>
      <c r="B93" s="271"/>
      <c r="C93" s="272"/>
      <c r="D93" s="272"/>
      <c r="E93" s="272"/>
      <c r="F93" s="272"/>
      <c r="G93" s="272"/>
      <c r="H93" s="272"/>
      <c r="I93" s="272"/>
      <c r="J93" s="273"/>
      <c r="K93" s="29"/>
    </row>
    <row r="94" spans="1:11" ht="18.75" customHeight="1" x14ac:dyDescent="0.15">
      <c r="A94" s="28"/>
      <c r="B94" s="271"/>
      <c r="C94" s="272"/>
      <c r="D94" s="272"/>
      <c r="E94" s="272"/>
      <c r="F94" s="272"/>
      <c r="G94" s="272"/>
      <c r="H94" s="272"/>
      <c r="I94" s="272"/>
      <c r="J94" s="273"/>
      <c r="K94" s="29"/>
    </row>
    <row r="95" spans="1:11" ht="18.75" customHeight="1" x14ac:dyDescent="0.15">
      <c r="A95" s="28"/>
      <c r="B95" s="271"/>
      <c r="C95" s="272"/>
      <c r="D95" s="272"/>
      <c r="E95" s="272"/>
      <c r="F95" s="272"/>
      <c r="G95" s="272"/>
      <c r="H95" s="272"/>
      <c r="I95" s="272"/>
      <c r="J95" s="273"/>
      <c r="K95" s="29"/>
    </row>
    <row r="96" spans="1:11" ht="18.75" customHeight="1" x14ac:dyDescent="0.15">
      <c r="A96" s="28"/>
      <c r="B96" s="271"/>
      <c r="C96" s="272"/>
      <c r="D96" s="272"/>
      <c r="E96" s="272"/>
      <c r="F96" s="272"/>
      <c r="G96" s="272"/>
      <c r="H96" s="272"/>
      <c r="I96" s="272"/>
      <c r="J96" s="273"/>
      <c r="K96" s="29"/>
    </row>
    <row r="97" spans="1:11" ht="18.75" customHeight="1" x14ac:dyDescent="0.15">
      <c r="A97" s="28"/>
      <c r="B97" s="271"/>
      <c r="C97" s="272"/>
      <c r="D97" s="272"/>
      <c r="E97" s="272"/>
      <c r="F97" s="272"/>
      <c r="G97" s="272"/>
      <c r="H97" s="272"/>
      <c r="I97" s="272"/>
      <c r="J97" s="273"/>
      <c r="K97" s="29"/>
    </row>
    <row r="98" spans="1:11" ht="18.75" customHeight="1" x14ac:dyDescent="0.15">
      <c r="A98" s="28"/>
      <c r="B98" s="271"/>
      <c r="C98" s="272"/>
      <c r="D98" s="272"/>
      <c r="E98" s="272"/>
      <c r="F98" s="272"/>
      <c r="G98" s="272"/>
      <c r="H98" s="272"/>
      <c r="I98" s="272"/>
      <c r="J98" s="273"/>
      <c r="K98" s="29"/>
    </row>
    <row r="99" spans="1:11" ht="18.75" customHeight="1" x14ac:dyDescent="0.15">
      <c r="A99" s="28"/>
      <c r="B99" s="271"/>
      <c r="C99" s="272"/>
      <c r="D99" s="272"/>
      <c r="E99" s="272"/>
      <c r="F99" s="272"/>
      <c r="G99" s="272"/>
      <c r="H99" s="272"/>
      <c r="I99" s="272"/>
      <c r="J99" s="273"/>
      <c r="K99" s="29"/>
    </row>
    <row r="100" spans="1:11" ht="18.75" customHeight="1" x14ac:dyDescent="0.15">
      <c r="A100" s="44"/>
      <c r="B100" s="271"/>
      <c r="C100" s="272"/>
      <c r="D100" s="272"/>
      <c r="E100" s="272"/>
      <c r="F100" s="272"/>
      <c r="G100" s="272"/>
      <c r="H100" s="272"/>
      <c r="I100" s="272"/>
      <c r="J100" s="273"/>
      <c r="K100" s="29"/>
    </row>
    <row r="101" spans="1:11" ht="18.75" customHeight="1" x14ac:dyDescent="0.15">
      <c r="A101" s="44"/>
      <c r="B101" s="274"/>
      <c r="C101" s="275"/>
      <c r="D101" s="275"/>
      <c r="E101" s="275"/>
      <c r="F101" s="275"/>
      <c r="G101" s="275"/>
      <c r="H101" s="275"/>
      <c r="I101" s="275"/>
      <c r="J101" s="276"/>
      <c r="K101" s="29"/>
    </row>
    <row r="102" spans="1:11" ht="7.5" customHeight="1" x14ac:dyDescent="0.15">
      <c r="A102" s="44"/>
      <c r="B102" s="44"/>
      <c r="C102" s="44"/>
      <c r="D102" s="44"/>
      <c r="E102" s="44"/>
      <c r="F102" s="44"/>
      <c r="G102" s="44"/>
      <c r="H102" s="44"/>
      <c r="I102" s="44"/>
      <c r="J102" s="44"/>
    </row>
    <row r="103" spans="1:11" ht="18.75" customHeight="1" x14ac:dyDescent="0.15">
      <c r="A103" s="28" t="s">
        <v>11</v>
      </c>
      <c r="B103" s="277" t="s">
        <v>16</v>
      </c>
      <c r="C103" s="277"/>
      <c r="D103" s="277"/>
      <c r="E103" s="277"/>
      <c r="F103" s="277"/>
      <c r="G103" s="277"/>
      <c r="H103" s="277"/>
      <c r="I103" s="277"/>
      <c r="J103" s="277"/>
    </row>
    <row r="104" spans="1:11" ht="18.75" customHeight="1" x14ac:dyDescent="0.15">
      <c r="A104" s="44"/>
      <c r="B104" s="260" t="s">
        <v>187</v>
      </c>
      <c r="C104" s="261"/>
      <c r="D104" s="261"/>
      <c r="E104" s="261"/>
      <c r="F104" s="261"/>
      <c r="G104" s="261"/>
      <c r="H104" s="261"/>
      <c r="I104" s="269"/>
      <c r="J104" s="270"/>
    </row>
    <row r="105" spans="1:11" ht="18.75" customHeight="1" x14ac:dyDescent="0.15">
      <c r="A105" s="44"/>
      <c r="B105" s="271"/>
      <c r="C105" s="272"/>
      <c r="D105" s="272"/>
      <c r="E105" s="272"/>
      <c r="F105" s="272"/>
      <c r="G105" s="272"/>
      <c r="H105" s="272"/>
      <c r="I105" s="272"/>
      <c r="J105" s="273"/>
      <c r="K105" s="29"/>
    </row>
    <row r="106" spans="1:11" ht="18.75" customHeight="1" x14ac:dyDescent="0.15">
      <c r="A106" s="44"/>
      <c r="B106" s="271"/>
      <c r="C106" s="272"/>
      <c r="D106" s="272"/>
      <c r="E106" s="272"/>
      <c r="F106" s="272"/>
      <c r="G106" s="272"/>
      <c r="H106" s="272"/>
      <c r="I106" s="272"/>
      <c r="J106" s="273"/>
      <c r="K106" s="28" t="str">
        <f>IF(B104="","入力してください","")</f>
        <v/>
      </c>
    </row>
    <row r="107" spans="1:11" ht="18.75" customHeight="1" x14ac:dyDescent="0.15">
      <c r="A107" s="44"/>
      <c r="B107" s="271"/>
      <c r="C107" s="272"/>
      <c r="D107" s="272"/>
      <c r="E107" s="272"/>
      <c r="F107" s="272"/>
      <c r="G107" s="272"/>
      <c r="H107" s="272"/>
      <c r="I107" s="272"/>
      <c r="J107" s="273"/>
    </row>
    <row r="108" spans="1:11" ht="18.75" customHeight="1" x14ac:dyDescent="0.15">
      <c r="A108" s="44"/>
      <c r="B108" s="271"/>
      <c r="C108" s="272"/>
      <c r="D108" s="272"/>
      <c r="E108" s="272"/>
      <c r="F108" s="272"/>
      <c r="G108" s="272"/>
      <c r="H108" s="272"/>
      <c r="I108" s="272"/>
      <c r="J108" s="273"/>
    </row>
    <row r="109" spans="1:11" ht="18.75" customHeight="1" x14ac:dyDescent="0.15">
      <c r="A109" s="44"/>
      <c r="B109" s="271"/>
      <c r="C109" s="272"/>
      <c r="D109" s="272"/>
      <c r="E109" s="272"/>
      <c r="F109" s="272"/>
      <c r="G109" s="272"/>
      <c r="H109" s="272"/>
      <c r="I109" s="272"/>
      <c r="J109" s="273"/>
    </row>
    <row r="110" spans="1:11" ht="18.75" customHeight="1" x14ac:dyDescent="0.15">
      <c r="A110" s="44"/>
      <c r="B110" s="271"/>
      <c r="C110" s="272"/>
      <c r="D110" s="272"/>
      <c r="E110" s="272"/>
      <c r="F110" s="272"/>
      <c r="G110" s="272"/>
      <c r="H110" s="272"/>
      <c r="I110" s="272"/>
      <c r="J110" s="273"/>
    </row>
    <row r="111" spans="1:11" ht="18.75" customHeight="1" x14ac:dyDescent="0.15">
      <c r="A111" s="44"/>
      <c r="B111" s="271"/>
      <c r="C111" s="272"/>
      <c r="D111" s="272"/>
      <c r="E111" s="272"/>
      <c r="F111" s="272"/>
      <c r="G111" s="272"/>
      <c r="H111" s="272"/>
      <c r="I111" s="272"/>
      <c r="J111" s="273"/>
    </row>
    <row r="112" spans="1:11" ht="18.75" customHeight="1" x14ac:dyDescent="0.15">
      <c r="A112" s="44"/>
      <c r="B112" s="271"/>
      <c r="C112" s="272"/>
      <c r="D112" s="272"/>
      <c r="E112" s="272"/>
      <c r="F112" s="272"/>
      <c r="G112" s="272"/>
      <c r="H112" s="272"/>
      <c r="I112" s="272"/>
      <c r="J112" s="273"/>
    </row>
    <row r="113" spans="1:10" ht="18.75" customHeight="1" x14ac:dyDescent="0.15">
      <c r="A113" s="44"/>
      <c r="B113" s="271"/>
      <c r="C113" s="272"/>
      <c r="D113" s="272"/>
      <c r="E113" s="272"/>
      <c r="F113" s="272"/>
      <c r="G113" s="272"/>
      <c r="H113" s="272"/>
      <c r="I113" s="272"/>
      <c r="J113" s="273"/>
    </row>
    <row r="114" spans="1:10" ht="18.75" customHeight="1" x14ac:dyDescent="0.15">
      <c r="A114" s="44"/>
      <c r="B114" s="271"/>
      <c r="C114" s="272"/>
      <c r="D114" s="272"/>
      <c r="E114" s="272"/>
      <c r="F114" s="272"/>
      <c r="G114" s="272"/>
      <c r="H114" s="272"/>
      <c r="I114" s="272"/>
      <c r="J114" s="273"/>
    </row>
    <row r="115" spans="1:10" ht="18.75" customHeight="1" x14ac:dyDescent="0.15">
      <c r="A115" s="44"/>
      <c r="B115" s="271"/>
      <c r="C115" s="272"/>
      <c r="D115" s="272"/>
      <c r="E115" s="272"/>
      <c r="F115" s="272"/>
      <c r="G115" s="272"/>
      <c r="H115" s="272"/>
      <c r="I115" s="272"/>
      <c r="J115" s="273"/>
    </row>
    <row r="116" spans="1:10" ht="18.75" customHeight="1" x14ac:dyDescent="0.15">
      <c r="A116" s="44"/>
      <c r="B116" s="271"/>
      <c r="C116" s="272"/>
      <c r="D116" s="272"/>
      <c r="E116" s="272"/>
      <c r="F116" s="272"/>
      <c r="G116" s="272"/>
      <c r="H116" s="272"/>
      <c r="I116" s="272"/>
      <c r="J116" s="273"/>
    </row>
    <row r="117" spans="1:10" ht="18.75" customHeight="1" x14ac:dyDescent="0.15">
      <c r="A117" s="44"/>
      <c r="B117" s="271"/>
      <c r="C117" s="272"/>
      <c r="D117" s="272"/>
      <c r="E117" s="272"/>
      <c r="F117" s="272"/>
      <c r="G117" s="272"/>
      <c r="H117" s="272"/>
      <c r="I117" s="272"/>
      <c r="J117" s="273"/>
    </row>
    <row r="118" spans="1:10" ht="18.75" customHeight="1" x14ac:dyDescent="0.15">
      <c r="A118" s="44"/>
      <c r="B118" s="271"/>
      <c r="C118" s="272"/>
      <c r="D118" s="272"/>
      <c r="E118" s="272"/>
      <c r="F118" s="272"/>
      <c r="G118" s="272"/>
      <c r="H118" s="272"/>
      <c r="I118" s="272"/>
      <c r="J118" s="273"/>
    </row>
    <row r="119" spans="1:10" ht="18.75" customHeight="1" x14ac:dyDescent="0.15">
      <c r="A119" s="44"/>
      <c r="B119" s="271"/>
      <c r="C119" s="272"/>
      <c r="D119" s="272"/>
      <c r="E119" s="272"/>
      <c r="F119" s="272"/>
      <c r="G119" s="272"/>
      <c r="H119" s="272"/>
      <c r="I119" s="272"/>
      <c r="J119" s="273"/>
    </row>
    <row r="120" spans="1:10" ht="18.75" customHeight="1" x14ac:dyDescent="0.15">
      <c r="A120" s="44"/>
      <c r="B120" s="271"/>
      <c r="C120" s="272"/>
      <c r="D120" s="272"/>
      <c r="E120" s="272"/>
      <c r="F120" s="272"/>
      <c r="G120" s="272"/>
      <c r="H120" s="272"/>
      <c r="I120" s="272"/>
      <c r="J120" s="273"/>
    </row>
    <row r="121" spans="1:10" ht="18.75" customHeight="1" x14ac:dyDescent="0.15">
      <c r="A121" s="44"/>
      <c r="B121" s="271"/>
      <c r="C121" s="272"/>
      <c r="D121" s="272"/>
      <c r="E121" s="272"/>
      <c r="F121" s="272"/>
      <c r="G121" s="272"/>
      <c r="H121" s="272"/>
      <c r="I121" s="272"/>
      <c r="J121" s="273"/>
    </row>
    <row r="122" spans="1:10" ht="18.75" customHeight="1" x14ac:dyDescent="0.15">
      <c r="A122" s="44"/>
      <c r="B122" s="274"/>
      <c r="C122" s="275"/>
      <c r="D122" s="275"/>
      <c r="E122" s="275"/>
      <c r="F122" s="275"/>
      <c r="G122" s="275"/>
      <c r="H122" s="275"/>
      <c r="I122" s="275"/>
      <c r="J122" s="276"/>
    </row>
    <row r="123" spans="1:10" ht="7.5" customHeight="1" x14ac:dyDescent="0.15">
      <c r="A123" s="44"/>
      <c r="B123" s="46"/>
      <c r="C123" s="46"/>
      <c r="D123" s="46"/>
      <c r="E123" s="46"/>
      <c r="F123" s="46"/>
      <c r="G123" s="46"/>
      <c r="H123" s="46"/>
      <c r="I123" s="46"/>
      <c r="J123" s="46"/>
    </row>
    <row r="124" spans="1:10" ht="18.75" customHeight="1" x14ac:dyDescent="0.15">
      <c r="A124" s="44"/>
      <c r="B124" s="44"/>
      <c r="C124" s="44"/>
      <c r="D124" s="44"/>
      <c r="E124" s="44"/>
      <c r="F124" s="44"/>
      <c r="G124" s="44"/>
      <c r="H124" s="44"/>
      <c r="I124" s="44"/>
      <c r="J124" s="44"/>
    </row>
    <row r="125" spans="1:10" ht="18.75" customHeight="1" x14ac:dyDescent="0.15">
      <c r="A125" s="44"/>
      <c r="B125" s="44"/>
      <c r="C125" s="44"/>
      <c r="D125" s="44"/>
      <c r="E125" s="44"/>
      <c r="F125" s="44"/>
      <c r="G125" s="44"/>
      <c r="H125" s="44"/>
      <c r="I125" s="44"/>
      <c r="J125" s="44"/>
    </row>
    <row r="126" spans="1:10" ht="18.75" customHeight="1" x14ac:dyDescent="0.15">
      <c r="A126" s="44"/>
      <c r="B126" s="44"/>
      <c r="C126" s="44"/>
      <c r="D126" s="44"/>
      <c r="E126" s="44"/>
      <c r="F126" s="44"/>
      <c r="G126" s="44"/>
      <c r="H126" s="44"/>
      <c r="I126" s="44"/>
      <c r="J126" s="44"/>
    </row>
    <row r="127" spans="1:10" ht="18.75" customHeight="1" x14ac:dyDescent="0.15">
      <c r="A127" s="44"/>
      <c r="B127" s="44"/>
      <c r="C127" s="44"/>
      <c r="D127" s="44"/>
      <c r="E127" s="44"/>
      <c r="F127" s="44"/>
      <c r="G127" s="44"/>
      <c r="H127" s="44"/>
      <c r="I127" s="44"/>
      <c r="J127" s="44"/>
    </row>
    <row r="128" spans="1:10" ht="18.75" customHeight="1" x14ac:dyDescent="0.15">
      <c r="A128" s="44"/>
      <c r="B128" s="44"/>
      <c r="C128" s="44"/>
      <c r="D128" s="44"/>
      <c r="E128" s="44"/>
      <c r="F128" s="44"/>
      <c r="G128" s="44"/>
      <c r="H128" s="44"/>
      <c r="I128" s="44"/>
      <c r="J128" s="44"/>
    </row>
    <row r="129" spans="1:10" ht="18.75" customHeight="1" x14ac:dyDescent="0.15">
      <c r="A129" s="44"/>
      <c r="B129" s="44"/>
      <c r="C129" s="44"/>
      <c r="D129" s="44"/>
      <c r="E129" s="44"/>
      <c r="F129" s="44"/>
      <c r="G129" s="44"/>
      <c r="H129" s="44"/>
      <c r="I129" s="44"/>
      <c r="J129" s="44"/>
    </row>
    <row r="130" spans="1:10" ht="18.75" customHeight="1" x14ac:dyDescent="0.15">
      <c r="A130" s="44"/>
      <c r="B130" s="44"/>
      <c r="C130" s="44"/>
      <c r="D130" s="44"/>
      <c r="E130" s="44"/>
      <c r="F130" s="44"/>
      <c r="G130" s="44"/>
      <c r="H130" s="44"/>
      <c r="I130" s="44"/>
      <c r="J130" s="44"/>
    </row>
    <row r="131" spans="1:10" ht="18.75" customHeight="1" x14ac:dyDescent="0.15">
      <c r="A131" s="44"/>
      <c r="B131" s="44"/>
      <c r="C131" s="44"/>
      <c r="D131" s="44"/>
      <c r="E131" s="44"/>
      <c r="F131" s="44"/>
      <c r="G131" s="44"/>
      <c r="H131" s="44"/>
      <c r="I131" s="44"/>
      <c r="J131" s="44"/>
    </row>
    <row r="132" spans="1:10" ht="18.75" customHeight="1" x14ac:dyDescent="0.15">
      <c r="A132" s="44"/>
      <c r="B132" s="44"/>
      <c r="C132" s="44"/>
      <c r="D132" s="44"/>
      <c r="E132" s="44"/>
      <c r="F132" s="44"/>
      <c r="G132" s="44"/>
      <c r="H132" s="44"/>
      <c r="I132" s="44"/>
      <c r="J132" s="44"/>
    </row>
    <row r="133" spans="1:10" ht="18.75" customHeight="1" x14ac:dyDescent="0.15">
      <c r="A133" s="44"/>
      <c r="B133" s="44"/>
      <c r="C133" s="44"/>
      <c r="D133" s="44"/>
      <c r="E133" s="44"/>
      <c r="F133" s="44"/>
      <c r="G133" s="44"/>
      <c r="H133" s="44"/>
      <c r="I133" s="44"/>
      <c r="J133" s="44"/>
    </row>
    <row r="134" spans="1:10" ht="18.75" customHeight="1" x14ac:dyDescent="0.15">
      <c r="A134" s="44"/>
      <c r="B134" s="44"/>
      <c r="C134" s="44"/>
      <c r="D134" s="44"/>
      <c r="E134" s="44"/>
      <c r="F134" s="44"/>
      <c r="G134" s="44"/>
      <c r="H134" s="44"/>
      <c r="I134" s="44"/>
      <c r="J134" s="44"/>
    </row>
    <row r="135" spans="1:10" ht="18.75" customHeight="1" x14ac:dyDescent="0.15">
      <c r="A135" s="44"/>
      <c r="B135" s="44"/>
      <c r="C135" s="44"/>
      <c r="D135" s="44"/>
      <c r="E135" s="44"/>
      <c r="F135" s="44"/>
      <c r="G135" s="44"/>
      <c r="H135" s="44"/>
      <c r="I135" s="44"/>
      <c r="J135" s="44"/>
    </row>
    <row r="136" spans="1:10" ht="14.25" x14ac:dyDescent="0.15">
      <c r="A136" s="44"/>
      <c r="B136" s="44"/>
      <c r="C136" s="44"/>
      <c r="D136" s="44"/>
      <c r="E136" s="44"/>
      <c r="F136" s="44"/>
      <c r="G136" s="44"/>
      <c r="H136" s="44"/>
      <c r="I136" s="44"/>
      <c r="J136" s="44"/>
    </row>
    <row r="137" spans="1:10" ht="7.5" customHeight="1" x14ac:dyDescent="0.15">
      <c r="A137" s="47"/>
      <c r="B137" s="47"/>
      <c r="C137" s="47"/>
      <c r="D137" s="47"/>
      <c r="E137" s="47"/>
      <c r="F137" s="47"/>
      <c r="G137" s="47"/>
      <c r="H137" s="47"/>
      <c r="I137" s="47"/>
      <c r="J137" s="47"/>
    </row>
  </sheetData>
  <mergeCells count="11">
    <mergeCell ref="B26:J37"/>
    <mergeCell ref="A2:J2"/>
    <mergeCell ref="B5:J5"/>
    <mergeCell ref="B8:J12"/>
    <mergeCell ref="B15:J20"/>
    <mergeCell ref="B25:J25"/>
    <mergeCell ref="B39:J59"/>
    <mergeCell ref="B62:J79"/>
    <mergeCell ref="B82:J101"/>
    <mergeCell ref="B103:J103"/>
    <mergeCell ref="B104:J122"/>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37" max="9" man="1"/>
    <brk id="80"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topLeftCell="A16" zoomScaleNormal="100" zoomScaleSheetLayoutView="100" workbookViewId="0">
      <selection activeCell="L16" sqref="L16"/>
    </sheetView>
  </sheetViews>
  <sheetFormatPr defaultColWidth="11.375" defaultRowHeight="22.5" customHeight="1" x14ac:dyDescent="0.15"/>
  <cols>
    <col min="1" max="3" width="2.75" style="69" customWidth="1"/>
    <col min="4" max="4" width="22.25" style="69" customWidth="1"/>
    <col min="5" max="5" width="21.625" style="69" customWidth="1"/>
    <col min="6" max="7" width="7.75" style="69" customWidth="1"/>
    <col min="8" max="8" width="33.375" style="69" customWidth="1"/>
    <col min="9" max="9" width="24.5" style="69" customWidth="1"/>
    <col min="10" max="10" width="5.5" style="69" customWidth="1"/>
    <col min="11" max="11" width="4.125" style="54" customWidth="1"/>
    <col min="12" max="16384" width="11.375" style="69"/>
  </cols>
  <sheetData>
    <row r="1" spans="1:11" ht="18.75" customHeight="1" x14ac:dyDescent="0.15">
      <c r="A1" s="69" t="s">
        <v>160</v>
      </c>
      <c r="J1" s="110" t="s">
        <v>161</v>
      </c>
    </row>
    <row r="2" spans="1:11" ht="18.75" customHeight="1" x14ac:dyDescent="0.15">
      <c r="A2" s="250" t="s">
        <v>162</v>
      </c>
      <c r="B2" s="250"/>
      <c r="C2" s="250"/>
      <c r="D2" s="250"/>
      <c r="E2" s="250"/>
      <c r="F2" s="250"/>
      <c r="G2" s="250"/>
      <c r="H2" s="250"/>
      <c r="I2" s="250"/>
      <c r="J2" s="250"/>
    </row>
    <row r="3" spans="1:11" ht="7.5" customHeight="1" x14ac:dyDescent="0.15">
      <c r="A3" s="111"/>
      <c r="B3" s="111"/>
      <c r="C3" s="111"/>
      <c r="D3" s="111"/>
      <c r="E3" s="111"/>
      <c r="F3" s="111"/>
      <c r="G3" s="111"/>
      <c r="H3" s="111"/>
      <c r="I3" s="111"/>
      <c r="J3" s="111"/>
    </row>
    <row r="4" spans="1:11" ht="18.75" customHeight="1" x14ac:dyDescent="0.15">
      <c r="A4" s="69" t="s">
        <v>0</v>
      </c>
      <c r="B4" s="70" t="s">
        <v>163</v>
      </c>
      <c r="C4" s="112"/>
      <c r="D4" s="112"/>
      <c r="E4" s="113"/>
      <c r="F4" s="113"/>
      <c r="G4" s="113"/>
      <c r="H4" s="113"/>
      <c r="I4" s="113"/>
      <c r="J4" s="113"/>
    </row>
    <row r="5" spans="1:11" ht="18.75" customHeight="1" x14ac:dyDescent="0.15">
      <c r="B5" s="287" t="s">
        <v>164</v>
      </c>
      <c r="C5" s="288"/>
      <c r="D5" s="289"/>
      <c r="E5" s="290" t="s">
        <v>165</v>
      </c>
      <c r="F5" s="290"/>
      <c r="G5" s="290"/>
      <c r="H5" s="290"/>
      <c r="I5" s="290"/>
      <c r="J5" s="291"/>
    </row>
    <row r="6" spans="1:11" ht="18.75" customHeight="1" x14ac:dyDescent="0.15">
      <c r="B6" s="114" t="s">
        <v>166</v>
      </c>
      <c r="C6" s="112"/>
      <c r="D6" s="115"/>
      <c r="I6" s="113"/>
      <c r="J6" s="116"/>
    </row>
    <row r="7" spans="1:11" ht="207" customHeight="1" x14ac:dyDescent="0.15">
      <c r="B7" s="117"/>
      <c r="C7" s="292" t="s">
        <v>167</v>
      </c>
      <c r="D7" s="293"/>
      <c r="E7" s="284" t="s">
        <v>168</v>
      </c>
      <c r="F7" s="285"/>
      <c r="G7" s="285"/>
      <c r="H7" s="285"/>
      <c r="I7" s="285"/>
      <c r="J7" s="286"/>
      <c r="K7" s="54" t="str">
        <f>IF(E7="","入力してください","")</f>
        <v/>
      </c>
    </row>
    <row r="8" spans="1:11" ht="207" customHeight="1" x14ac:dyDescent="0.15">
      <c r="B8" s="117"/>
      <c r="C8" s="282" t="s">
        <v>169</v>
      </c>
      <c r="D8" s="283"/>
      <c r="E8" s="284" t="s">
        <v>170</v>
      </c>
      <c r="F8" s="285"/>
      <c r="G8" s="285"/>
      <c r="H8" s="285"/>
      <c r="I8" s="285"/>
      <c r="J8" s="286"/>
      <c r="K8" s="54" t="str">
        <f>IF(E8="","入力してください","")</f>
        <v/>
      </c>
    </row>
    <row r="9" spans="1:11" ht="172.5" customHeight="1" x14ac:dyDescent="0.15">
      <c r="B9" s="117"/>
      <c r="C9" s="292" t="s">
        <v>171</v>
      </c>
      <c r="D9" s="293"/>
      <c r="E9" s="284" t="s">
        <v>172</v>
      </c>
      <c r="F9" s="285"/>
      <c r="G9" s="285"/>
      <c r="H9" s="285"/>
      <c r="I9" s="285"/>
      <c r="J9" s="286"/>
      <c r="K9" s="54" t="str">
        <f>IF(E9="","入力してください","")</f>
        <v/>
      </c>
    </row>
    <row r="10" spans="1:11" ht="172.5" customHeight="1" x14ac:dyDescent="0.15">
      <c r="B10" s="117"/>
      <c r="C10" s="292" t="s">
        <v>173</v>
      </c>
      <c r="D10" s="293"/>
      <c r="E10" s="284" t="s">
        <v>174</v>
      </c>
      <c r="F10" s="285"/>
      <c r="G10" s="285"/>
      <c r="H10" s="285"/>
      <c r="I10" s="285"/>
      <c r="J10" s="286"/>
      <c r="K10" s="54" t="str">
        <f t="shared" ref="K10:K14" si="0">IF(E10="","入力してください","")</f>
        <v/>
      </c>
    </row>
    <row r="11" spans="1:11" ht="172.5" customHeight="1" x14ac:dyDescent="0.15">
      <c r="B11" s="117"/>
      <c r="C11" s="292" t="s">
        <v>175</v>
      </c>
      <c r="D11" s="293"/>
      <c r="E11" s="284" t="s">
        <v>176</v>
      </c>
      <c r="F11" s="285"/>
      <c r="G11" s="285"/>
      <c r="H11" s="285"/>
      <c r="I11" s="285"/>
      <c r="J11" s="286"/>
      <c r="K11" s="54" t="str">
        <f t="shared" si="0"/>
        <v/>
      </c>
    </row>
    <row r="12" spans="1:11" ht="18.75" customHeight="1" x14ac:dyDescent="0.15">
      <c r="B12" s="118" t="s">
        <v>177</v>
      </c>
      <c r="C12" s="119"/>
      <c r="D12" s="120"/>
      <c r="E12" s="121"/>
      <c r="F12" s="121"/>
      <c r="G12" s="121"/>
      <c r="H12" s="121"/>
      <c r="I12" s="121"/>
      <c r="J12" s="122"/>
    </row>
    <row r="13" spans="1:11" ht="244.15" customHeight="1" x14ac:dyDescent="0.15">
      <c r="B13" s="117"/>
      <c r="C13" s="292" t="s">
        <v>178</v>
      </c>
      <c r="D13" s="293"/>
      <c r="E13" s="285" t="s">
        <v>179</v>
      </c>
      <c r="F13" s="285"/>
      <c r="G13" s="285"/>
      <c r="H13" s="285"/>
      <c r="I13" s="285"/>
      <c r="J13" s="286"/>
      <c r="K13" s="54" t="str">
        <f t="shared" si="0"/>
        <v/>
      </c>
    </row>
    <row r="14" spans="1:11" ht="255" customHeight="1" x14ac:dyDescent="0.15">
      <c r="B14" s="117"/>
      <c r="C14" s="292" t="s">
        <v>180</v>
      </c>
      <c r="D14" s="293"/>
      <c r="E14" s="285" t="s">
        <v>181</v>
      </c>
      <c r="F14" s="285"/>
      <c r="G14" s="285"/>
      <c r="H14" s="285"/>
      <c r="I14" s="285"/>
      <c r="J14" s="286"/>
      <c r="K14" s="54" t="str">
        <f t="shared" si="0"/>
        <v/>
      </c>
    </row>
    <row r="15" spans="1:11" ht="243" customHeight="1" x14ac:dyDescent="0.15">
      <c r="B15" s="299" t="s">
        <v>182</v>
      </c>
      <c r="C15" s="300"/>
      <c r="D15" s="293"/>
      <c r="E15" s="285" t="s">
        <v>183</v>
      </c>
      <c r="F15" s="285"/>
      <c r="G15" s="285"/>
      <c r="H15" s="285"/>
      <c r="I15" s="285"/>
      <c r="J15" s="286"/>
      <c r="K15" s="54" t="str">
        <f>IF(E15="","入力してください","")</f>
        <v/>
      </c>
    </row>
    <row r="16" spans="1:11" ht="243" customHeight="1" x14ac:dyDescent="0.15">
      <c r="A16" s="54"/>
      <c r="B16" s="294" t="s">
        <v>184</v>
      </c>
      <c r="C16" s="295"/>
      <c r="D16" s="296"/>
      <c r="E16" s="267" t="s">
        <v>186</v>
      </c>
      <c r="F16" s="267"/>
      <c r="G16" s="267"/>
      <c r="H16" s="267"/>
      <c r="I16" s="267"/>
      <c r="J16" s="268"/>
      <c r="K16" s="54" t="str">
        <f>IF(E16="","入力してください","")</f>
        <v/>
      </c>
    </row>
    <row r="17" spans="1:11" ht="7.5" customHeight="1" x14ac:dyDescent="0.15">
      <c r="B17" s="112"/>
      <c r="C17" s="112"/>
      <c r="D17" s="112"/>
      <c r="E17" s="113"/>
      <c r="F17" s="113"/>
      <c r="G17" s="113"/>
      <c r="H17" s="113"/>
      <c r="I17" s="113"/>
      <c r="J17" s="113"/>
    </row>
    <row r="18" spans="1:11" ht="18.75" customHeight="1" x14ac:dyDescent="0.15">
      <c r="A18" s="69" t="s">
        <v>185</v>
      </c>
      <c r="B18" s="70"/>
      <c r="C18" s="112"/>
      <c r="D18" s="112"/>
      <c r="E18" s="113"/>
      <c r="F18" s="123"/>
      <c r="G18" s="165" t="s">
        <v>216</v>
      </c>
      <c r="H18" s="297"/>
      <c r="I18" s="297"/>
      <c r="J18" s="298"/>
      <c r="K18" s="54" t="str">
        <f>IF(G18="","入力してください","")</f>
        <v/>
      </c>
    </row>
    <row r="19" spans="1:11" ht="22.5" customHeight="1" x14ac:dyDescent="0.15">
      <c r="B19" s="112"/>
      <c r="C19" s="112"/>
      <c r="D19" s="112"/>
      <c r="E19" s="113"/>
      <c r="F19" s="113"/>
      <c r="G19" s="113"/>
      <c r="H19" s="113"/>
      <c r="I19" s="113"/>
      <c r="J19" s="113"/>
    </row>
    <row r="20" spans="1:11" ht="22.5" customHeight="1" x14ac:dyDescent="0.15">
      <c r="B20" s="112"/>
      <c r="C20" s="112"/>
      <c r="D20" s="112"/>
      <c r="E20" s="113"/>
      <c r="F20" s="113"/>
      <c r="G20" s="113"/>
      <c r="H20" s="113"/>
      <c r="I20" s="113"/>
      <c r="J20" s="113"/>
    </row>
    <row r="21" spans="1:11" ht="22.5" customHeight="1" x14ac:dyDescent="0.15">
      <c r="B21" s="112"/>
      <c r="C21" s="112"/>
      <c r="D21" s="112"/>
      <c r="E21" s="113"/>
      <c r="F21" s="113"/>
      <c r="G21" s="113"/>
      <c r="H21" s="113"/>
      <c r="I21" s="113"/>
      <c r="J21" s="113"/>
    </row>
    <row r="22" spans="1:11" ht="22.5" customHeight="1" x14ac:dyDescent="0.15">
      <c r="B22" s="112"/>
      <c r="C22" s="112"/>
      <c r="D22" s="112"/>
      <c r="E22" s="113"/>
      <c r="F22" s="113"/>
      <c r="G22" s="113"/>
      <c r="H22" s="113"/>
      <c r="I22" s="113"/>
      <c r="J22" s="113"/>
    </row>
    <row r="23" spans="1:11" ht="22.5" customHeight="1" x14ac:dyDescent="0.15">
      <c r="B23" s="112"/>
      <c r="C23" s="112"/>
      <c r="D23" s="112"/>
      <c r="E23" s="113"/>
      <c r="F23" s="113"/>
      <c r="G23" s="113"/>
      <c r="H23" s="113"/>
      <c r="I23" s="113"/>
      <c r="J23" s="113"/>
    </row>
    <row r="24" spans="1:11" ht="22.5" customHeight="1" x14ac:dyDescent="0.15">
      <c r="B24" s="124"/>
      <c r="C24" s="124"/>
      <c r="D24" s="124"/>
      <c r="E24" s="124"/>
      <c r="F24" s="124"/>
      <c r="G24" s="124"/>
      <c r="H24" s="124"/>
      <c r="I24" s="124"/>
      <c r="J24" s="124"/>
    </row>
    <row r="25" spans="1:11" ht="22.5" customHeight="1" x14ac:dyDescent="0.15">
      <c r="B25" s="124"/>
      <c r="C25" s="124"/>
      <c r="D25" s="124"/>
      <c r="E25" s="124"/>
      <c r="F25" s="124"/>
      <c r="G25" s="124"/>
      <c r="H25" s="124"/>
      <c r="I25" s="124"/>
      <c r="J25" s="124"/>
    </row>
    <row r="26" spans="1:11" ht="22.5" customHeight="1" x14ac:dyDescent="0.15">
      <c r="B26" s="124"/>
      <c r="C26" s="124"/>
      <c r="D26" s="124"/>
      <c r="E26" s="124"/>
      <c r="F26" s="124"/>
      <c r="G26" s="124"/>
      <c r="H26" s="124"/>
      <c r="I26" s="124"/>
      <c r="J26" s="124"/>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様式１　大学等概要</vt:lpstr>
      <vt:lpstr>様式２-1　プログラムを構成する授業科目</vt:lpstr>
      <vt:lpstr>様式２-2　プログラムを構成する授業科目</vt:lpstr>
      <vt:lpstr>様式２-3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'様式２-1　プログラムを構成する授業科目'!Print_Area</vt:lpstr>
      <vt:lpstr>'様式２-2　プログラムを構成する授業科目'!Print_Area</vt:lpstr>
      <vt:lpstr>'様式２-3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SMR-331(中塚)</cp:lastModifiedBy>
  <cp:lastPrinted>2022-05-30T23:40:05Z</cp:lastPrinted>
  <dcterms:created xsi:type="dcterms:W3CDTF">2011-06-14T05:32:50Z</dcterms:created>
  <dcterms:modified xsi:type="dcterms:W3CDTF">2022-07-09T05:07:03Z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