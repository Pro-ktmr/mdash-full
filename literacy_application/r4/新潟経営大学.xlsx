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oono\Desktop\"/>
    </mc:Choice>
  </mc:AlternateContent>
  <bookViews>
    <workbookView xWindow="0" yWindow="0" windowWidth="10530" windowHeight="7500" activeTab="1"/>
  </bookViews>
  <sheets>
    <sheet name="様式１　大学等概要" sheetId="2" r:id="rId1"/>
    <sheet name="様式２　プログラムを構成する授業科目" sheetId="1" r:id="rId2"/>
    <sheet name="様式３　履修者等数の実績" sheetId="4" r:id="rId3"/>
    <sheet name="様式４　教育の質・履修者数を向上させるための体制・計画" sheetId="3" r:id="rId4"/>
    <sheet name="様式５　自己点検・評価" sheetId="6"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K7" i="6" l="1"/>
  <c r="L7" i="6"/>
  <c r="K8" i="6"/>
  <c r="L8" i="6"/>
  <c r="K9" i="6"/>
  <c r="L9" i="6"/>
  <c r="K10" i="6"/>
  <c r="L10" i="6"/>
  <c r="K11" i="6"/>
  <c r="L11" i="6"/>
  <c r="L12" i="6"/>
  <c r="K13" i="6"/>
  <c r="L13" i="6"/>
  <c r="K14" i="6"/>
  <c r="L14" i="6"/>
  <c r="K15" i="6"/>
  <c r="L15" i="6"/>
  <c r="K16" i="6"/>
  <c r="L16" i="6"/>
  <c r="K18" i="6"/>
  <c r="I29" i="3" l="1"/>
  <c r="P30" i="4" l="1"/>
  <c r="O30" i="4"/>
  <c r="N30" i="4"/>
  <c r="M30" i="4"/>
  <c r="L30" i="4"/>
  <c r="K30" i="4"/>
  <c r="J30" i="4"/>
  <c r="I30" i="4"/>
  <c r="H30" i="4"/>
  <c r="G30" i="4"/>
  <c r="F30" i="4"/>
  <c r="E30" i="4"/>
  <c r="D30" i="4"/>
  <c r="C30" i="4"/>
  <c r="Q29" i="4"/>
  <c r="R29" i="4" s="1"/>
  <c r="Q28" i="4"/>
  <c r="R28" i="4" s="1"/>
  <c r="Q27" i="4"/>
  <c r="R27" i="4" s="1"/>
  <c r="Q26" i="4"/>
  <c r="R26" i="4" s="1"/>
  <c r="Q25" i="4"/>
  <c r="R25" i="4" s="1"/>
  <c r="Q24" i="4"/>
  <c r="R24" i="4" s="1"/>
  <c r="Q23" i="4"/>
  <c r="R23" i="4" s="1"/>
  <c r="Q22" i="4"/>
  <c r="R22" i="4" s="1"/>
  <c r="Q21" i="4"/>
  <c r="R21" i="4" s="1"/>
  <c r="Q20" i="4"/>
  <c r="R20" i="4" s="1"/>
  <c r="Q19" i="4"/>
  <c r="R19" i="4" s="1"/>
  <c r="Q18" i="4"/>
  <c r="R18" i="4" s="1"/>
  <c r="Q17" i="4"/>
  <c r="R17" i="4" s="1"/>
  <c r="Q16" i="4"/>
  <c r="R16" i="4" s="1"/>
  <c r="Q15" i="4"/>
  <c r="R15" i="4" s="1"/>
  <c r="Q14" i="4"/>
  <c r="R14" i="4" s="1"/>
  <c r="Q13" i="4"/>
  <c r="R13" i="4" s="1"/>
  <c r="Q12" i="4"/>
  <c r="R12" i="4" s="1"/>
  <c r="Q11" i="4"/>
  <c r="R11" i="4" s="1"/>
  <c r="Q10" i="4"/>
  <c r="Q30" i="4" s="1"/>
  <c r="K113" i="3"/>
  <c r="K91" i="3"/>
  <c r="K69" i="3"/>
  <c r="K46" i="3"/>
  <c r="K31" i="3"/>
  <c r="K15" i="3"/>
  <c r="K8" i="3"/>
  <c r="K5" i="3"/>
  <c r="R30" i="4" l="1"/>
  <c r="C28" i="3" s="1"/>
  <c r="R10" i="4"/>
  <c r="O45" i="2" l="1"/>
  <c r="O44" i="2"/>
  <c r="O41" i="2"/>
  <c r="O39" i="2"/>
  <c r="O37" i="2"/>
  <c r="O34" i="2"/>
  <c r="O32" i="2"/>
  <c r="O29" i="2"/>
  <c r="O20" i="2"/>
  <c r="O18" i="2"/>
  <c r="O16" i="2"/>
  <c r="O14" i="2"/>
  <c r="O12" i="2"/>
  <c r="O10" i="2"/>
  <c r="O8" i="2"/>
  <c r="O6" i="2"/>
  <c r="O4" i="2"/>
</calcChain>
</file>

<file path=xl/sharedStrings.xml><?xml version="1.0" encoding="utf-8"?>
<sst xmlns="http://schemas.openxmlformats.org/spreadsheetml/2006/main" count="335" uniqueCount="206">
  <si>
    <t>様式２－○</t>
  </si>
  <si>
    <t>プログラムを構成する授業科目について</t>
    <phoneticPr fontId="3"/>
  </si>
  <si>
    <t>①具体的な修了要件</t>
    <phoneticPr fontId="3"/>
  </si>
  <si>
    <t>②教育プログラムの修了要件</t>
    <phoneticPr fontId="3"/>
  </si>
  <si>
    <t>学部・学科によって、修了要件は相違しない</t>
  </si>
  <si>
    <t>プログラムを構成する4科目を取得すること。
「人工知能論」、「情報リテラシー」、「データサイエンス入門」、「コンピュータリテラシー入門」</t>
    <rPh sb="11" eb="13">
      <t>カモク</t>
    </rPh>
    <rPh sb="31" eb="33">
      <t>ジョウホウ</t>
    </rPh>
    <phoneticPr fontId="3"/>
  </si>
  <si>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3"/>
  </si>
  <si>
    <t>授業科目</t>
    <rPh sb="0" eb="2">
      <t>ジュギョウ</t>
    </rPh>
    <rPh sb="2" eb="4">
      <t>カモク</t>
    </rPh>
    <phoneticPr fontId="3"/>
  </si>
  <si>
    <t>単位数</t>
    <rPh sb="0" eb="3">
      <t>タンイスウ</t>
    </rPh>
    <phoneticPr fontId="3"/>
  </si>
  <si>
    <t>必修</t>
    <rPh sb="0" eb="2">
      <t>ヒッシュウ</t>
    </rPh>
    <phoneticPr fontId="3"/>
  </si>
  <si>
    <t>開講状況</t>
    <phoneticPr fontId="3"/>
  </si>
  <si>
    <t>1-1</t>
    <phoneticPr fontId="3"/>
  </si>
  <si>
    <t>1-6</t>
  </si>
  <si>
    <t>人工知能論</t>
    <rPh sb="0" eb="5">
      <t>ジンコウチノウロン</t>
    </rPh>
    <phoneticPr fontId="3"/>
  </si>
  <si>
    <t>○</t>
  </si>
  <si>
    <t>全学開講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</si>
  <si>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3"/>
  </si>
  <si>
    <t>1-2</t>
    <phoneticPr fontId="3"/>
  </si>
  <si>
    <t>1-3</t>
    <phoneticPr fontId="3"/>
  </si>
  <si>
    <t>情報リテラシー</t>
    <rPh sb="0" eb="2">
      <t>ジョウホウ</t>
    </rPh>
    <phoneticPr fontId="3"/>
  </si>
  <si>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3"/>
  </si>
  <si>
    <t>1-4</t>
    <phoneticPr fontId="3"/>
  </si>
  <si>
    <t>1-5</t>
    <phoneticPr fontId="3"/>
  </si>
  <si>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3"/>
  </si>
  <si>
    <t>3-1</t>
    <phoneticPr fontId="3"/>
  </si>
  <si>
    <t>3-2</t>
    <phoneticPr fontId="3"/>
  </si>
  <si>
    <t>データサイエンス入門</t>
    <phoneticPr fontId="3"/>
  </si>
  <si>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3"/>
  </si>
  <si>
    <t>2-1</t>
    <phoneticPr fontId="3"/>
  </si>
  <si>
    <t>2-2</t>
    <phoneticPr fontId="3"/>
  </si>
  <si>
    <t>2-3</t>
    <phoneticPr fontId="3"/>
  </si>
  <si>
    <t>コンピュータリテラシー入門</t>
    <phoneticPr fontId="3"/>
  </si>
  <si>
    <t>⑧選択「４．オプション」の内容を含む授業科目</t>
    <rPh sb="13" eb="15">
      <t>ナイヨウ</t>
    </rPh>
    <rPh sb="16" eb="17">
      <t>フク</t>
    </rPh>
    <rPh sb="18" eb="20">
      <t>ジュギョウ</t>
    </rPh>
    <rPh sb="20" eb="22">
      <t>カモク</t>
    </rPh>
    <phoneticPr fontId="3"/>
  </si>
  <si>
    <t>選択項目</t>
    <rPh sb="0" eb="2">
      <t>センタク</t>
    </rPh>
    <rPh sb="2" eb="4">
      <t>コウモク</t>
    </rPh>
    <phoneticPr fontId="3"/>
  </si>
  <si>
    <t>4‐2アルゴリズム基礎</t>
  </si>
  <si>
    <t>4‐4時系列データ解析</t>
  </si>
  <si>
    <t>⑨プログラムを構成する授業の内容</t>
    <phoneticPr fontId="3"/>
  </si>
  <si>
    <t>授業に含まれている内容・要素</t>
    <phoneticPr fontId="3"/>
  </si>
  <si>
    <t>講義内容</t>
    <rPh sb="0" eb="2">
      <t>コウギ</t>
    </rPh>
    <rPh sb="2" eb="4">
      <t>ナイヨウ</t>
    </rPh>
    <phoneticPr fontId="3"/>
  </si>
  <si>
    <t>（１）現在進行中の社会変化（第４次産業革命、Society 5.0、データ駆動型社会等）に深く寄与しているものであり、それが自らの生活と密接に結びついている</t>
    <phoneticPr fontId="3"/>
  </si>
  <si>
    <r>
      <t>・ビッグデータ、IoT 、 AI 、 ロボット「人工知能論」（11回目）
・データ量の増加、計算機の処理性能の向上、AI の</t>
    </r>
    <r>
      <rPr>
        <sz val="12"/>
        <rFont val="Microsoft JhengHei UI"/>
        <family val="3"/>
        <charset val="134"/>
      </rPr>
      <t>⾮</t>
    </r>
    <r>
      <rPr>
        <sz val="12"/>
        <rFont val="游ゴシック"/>
        <family val="3"/>
        <charset val="128"/>
        <scheme val="minor"/>
      </rPr>
      <t>連続的進化「人工知能論」（3回目）
・人間の知的活動とAIの関係性「人工知能論」（8回目）</t>
    </r>
    <rPh sb="24" eb="29">
      <t>ジンコウチノウロン</t>
    </rPh>
    <rPh sb="33" eb="35">
      <t>カイメ</t>
    </rPh>
    <rPh sb="77" eb="79">
      <t>カイメ</t>
    </rPh>
    <phoneticPr fontId="3"/>
  </si>
  <si>
    <t>1-6</t>
    <phoneticPr fontId="3"/>
  </si>
  <si>
    <t>（２）「社会で活用されているデータ」や「データの活用領域」は非常に広範囲であって、日常生活や社会の課題を解決する有用なツールになり得るもの</t>
    <phoneticPr fontId="3"/>
  </si>
  <si>
    <t>（３）様々なデータ利活用の現場におけるデータ利活用事例が示され、様々な適用領域（流通、製造、金融、サービス、インフラ、公共、ヘルスケア等）の知見と組み合わせることで価値を創出するもの</t>
    <phoneticPr fontId="3"/>
  </si>
  <si>
    <t>・流通、製造、金融、サービス、インフラ、公共、ヘルスケア等におけるデータ・AI利活用事例紹介「人工知能論」（15回目）</t>
    <phoneticPr fontId="3"/>
  </si>
  <si>
    <t>（４）活用に当たっての様々な留意事項（ELSI、個人情報、データ倫理、ＡＩ社会原則等）を考慮し、情報セキュリティや情報漏洩等、データを守る上での留意事項への理解をする</t>
    <phoneticPr fontId="3"/>
  </si>
  <si>
    <t>・データ倫理：データのねつ造、改ざん、盗用、プライバシー保護「人工知能論」（4回目）
・AI社会原則（公平性、説明責任、透明性、人間中心の判断）「人工知能論」（4回目）
・データバイアス、アルゴリズムバイアス「情報リテラシー」（3回目）
・データ・AI活用における負の事例紹介「情報リテラシー」（13回目、14回目）</t>
    <phoneticPr fontId="3"/>
  </si>
  <si>
    <t>・情報セキュリティ：機密性、完全性、可用性「人工知能論」（5回目）
・匿名加工情報、暗号化、パスワード、悪意ある情報搾取「人工知能論」（6回目、11回目、12回目）
・情報漏洩等によるセキュリティ事故の事例紹介「人工知能論」（6回目、11回目、12回目）</t>
    <phoneticPr fontId="3"/>
  </si>
  <si>
    <t>（５）実データ・実課題（学術データ等を含む）を用いた演習など、社会での実例を題材として、「データを読む、説明する、扱う」といった数理・データサイエンス・ＡＩの基本的な活用法に関するもの</t>
    <phoneticPr fontId="3"/>
  </si>
  <si>
    <t>・データの種類（量的変数、質的変数）「データサイエンス入門」（1回目）
・データの分布(ヒストグラム)と代表値（平均値、中央値、最頻値）「データサイエンス入門」（1回目）
・相関と因果（相関係数、擬似相関、交絡）「データサイエンス入門」（14回目）</t>
    <phoneticPr fontId="3"/>
  </si>
  <si>
    <t>・データ表現（棒グラフ、折線グラフ、散布図、ヒートマップ）「データサイエンス入門」（2回目）</t>
    <rPh sb="38" eb="40">
      <t>ニュウモン</t>
    </rPh>
    <phoneticPr fontId="3"/>
  </si>
  <si>
    <t>・データの集計（和、平均）「コンピュータリテラシー入門」（4回目）
・データの並び替え、ランキング「コンピュータリテラシー入門」（4回目）</t>
    <phoneticPr fontId="3"/>
  </si>
  <si>
    <t>⑩プログラムの学修成果（学生等が身に付けられる能力等）</t>
    <phoneticPr fontId="3"/>
  </si>
  <si>
    <t>・人工知能の特性を正しく理解して修得し、人間の社会的活動に適用できる
・データサイエンスの基本を理解する
・データ分析の要領を身に付ける</t>
    <phoneticPr fontId="3"/>
  </si>
  <si>
    <t>⑪プログラムの授業内容等を公表しているアドレス</t>
    <phoneticPr fontId="3"/>
  </si>
  <si>
    <t>様式１</t>
    <rPh sb="0" eb="2">
      <t>ヨウシキ</t>
    </rPh>
    <phoneticPr fontId="3"/>
  </si>
  <si>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3"/>
  </si>
  <si>
    <t>①</t>
    <phoneticPr fontId="3"/>
  </si>
  <si>
    <t>学校名</t>
    <rPh sb="0" eb="2">
      <t>ガッコウ</t>
    </rPh>
    <rPh sb="2" eb="3">
      <t>メイ</t>
    </rPh>
    <phoneticPr fontId="3"/>
  </si>
  <si>
    <t>新潟経営大学</t>
    <rPh sb="0" eb="6">
      <t>ニイガタケイエイダイガク</t>
    </rPh>
    <phoneticPr fontId="3"/>
  </si>
  <si>
    <t>②</t>
    <phoneticPr fontId="3"/>
  </si>
  <si>
    <t>大学等の設置者</t>
  </si>
  <si>
    <t>学校法人加茂暁星学園</t>
    <rPh sb="0" eb="10">
      <t>ガッコウホウジンカモギョウセイガクエン</t>
    </rPh>
    <phoneticPr fontId="3"/>
  </si>
  <si>
    <t>③</t>
  </si>
  <si>
    <t>設置形態</t>
    <phoneticPr fontId="3"/>
  </si>
  <si>
    <t>私立大学</t>
  </si>
  <si>
    <t>④</t>
    <phoneticPr fontId="3"/>
  </si>
  <si>
    <t>所在地</t>
    <phoneticPr fontId="3"/>
  </si>
  <si>
    <t>新潟県加茂市希望ヶ丘２９０９番地２</t>
    <rPh sb="0" eb="10">
      <t>959-1321</t>
    </rPh>
    <rPh sb="14" eb="16">
      <t>バンチ</t>
    </rPh>
    <phoneticPr fontId="3"/>
  </si>
  <si>
    <t>⑤</t>
    <phoneticPr fontId="3"/>
  </si>
  <si>
    <t>申請するプログラム名称</t>
    <rPh sb="0" eb="2">
      <t>シンセイ</t>
    </rPh>
    <rPh sb="9" eb="11">
      <t>メイショウ</t>
    </rPh>
    <phoneticPr fontId="3"/>
  </si>
  <si>
    <t>⑥</t>
    <phoneticPr fontId="3"/>
  </si>
  <si>
    <t>プログラムの開設年度</t>
    <rPh sb="6" eb="8">
      <t>カイセツ</t>
    </rPh>
    <rPh sb="8" eb="10">
      <t>ネンド</t>
    </rPh>
    <phoneticPr fontId="3"/>
  </si>
  <si>
    <t>令和３</t>
    <rPh sb="0" eb="2">
      <t>レイワ</t>
    </rPh>
    <phoneticPr fontId="3"/>
  </si>
  <si>
    <t>年度</t>
    <rPh sb="0" eb="2">
      <t>ネンド</t>
    </rPh>
    <phoneticPr fontId="3"/>
  </si>
  <si>
    <t>⑦応用基礎レベルの申請の有無</t>
    <phoneticPr fontId="3"/>
  </si>
  <si>
    <t>無</t>
  </si>
  <si>
    <t>⑧</t>
    <phoneticPr fontId="3"/>
  </si>
  <si>
    <t>教員数</t>
    <rPh sb="0" eb="2">
      <t>キョウイン</t>
    </rPh>
    <rPh sb="2" eb="3">
      <t>スウ</t>
    </rPh>
    <phoneticPr fontId="3"/>
  </si>
  <si>
    <t>（常勤）</t>
    <rPh sb="1" eb="3">
      <t>ジョウキン</t>
    </rPh>
    <phoneticPr fontId="3"/>
  </si>
  <si>
    <t>人</t>
    <rPh sb="0" eb="1">
      <t>ニン</t>
    </rPh>
    <phoneticPr fontId="3"/>
  </si>
  <si>
    <t>（非常勤）</t>
    <rPh sb="1" eb="4">
      <t>ヒジョウキン</t>
    </rPh>
    <phoneticPr fontId="3"/>
  </si>
  <si>
    <t>⑨</t>
    <phoneticPr fontId="3"/>
  </si>
  <si>
    <t>プログラムの授業を教えている教員数</t>
    <rPh sb="6" eb="8">
      <t>ジュギョウ</t>
    </rPh>
    <rPh sb="9" eb="10">
      <t>オシ</t>
    </rPh>
    <rPh sb="14" eb="16">
      <t>キョウイン</t>
    </rPh>
    <rPh sb="16" eb="17">
      <t>スウ</t>
    </rPh>
    <phoneticPr fontId="3"/>
  </si>
  <si>
    <t>⑩</t>
    <phoneticPr fontId="3"/>
  </si>
  <si>
    <t>全学部・学科の入学定員</t>
    <rPh sb="0" eb="1">
      <t>ゼン</t>
    </rPh>
    <rPh sb="4" eb="6">
      <t>ガッカ</t>
    </rPh>
    <rPh sb="7" eb="9">
      <t>ニュウガク</t>
    </rPh>
    <rPh sb="9" eb="11">
      <t>テイイン</t>
    </rPh>
    <phoneticPr fontId="3"/>
  </si>
  <si>
    <t>人</t>
  </si>
  <si>
    <t>⑪</t>
    <phoneticPr fontId="3"/>
  </si>
  <si>
    <t>全学部・学科の学生数（学年別）</t>
    <rPh sb="0" eb="1">
      <t>ゼン</t>
    </rPh>
    <rPh sb="4" eb="6">
      <t>ガッカ</t>
    </rPh>
    <rPh sb="7" eb="10">
      <t>ガクセイスウ</t>
    </rPh>
    <rPh sb="11" eb="13">
      <t>ガクネン</t>
    </rPh>
    <rPh sb="13" eb="14">
      <t>ベツ</t>
    </rPh>
    <phoneticPr fontId="3"/>
  </si>
  <si>
    <t>総数</t>
    <rPh sb="0" eb="2">
      <t>ソウスウ</t>
    </rPh>
    <phoneticPr fontId="3"/>
  </si>
  <si>
    <t>１年次</t>
    <rPh sb="1" eb="2">
      <t>ネン</t>
    </rPh>
    <rPh sb="2" eb="3">
      <t>ツギ</t>
    </rPh>
    <phoneticPr fontId="3"/>
  </si>
  <si>
    <t>２年次</t>
    <rPh sb="1" eb="2">
      <t>ネン</t>
    </rPh>
    <rPh sb="2" eb="3">
      <t>ツギ</t>
    </rPh>
    <phoneticPr fontId="3"/>
  </si>
  <si>
    <t>３年次</t>
    <rPh sb="1" eb="2">
      <t>ネン</t>
    </rPh>
    <rPh sb="2" eb="3">
      <t>ツギ</t>
    </rPh>
    <phoneticPr fontId="3"/>
  </si>
  <si>
    <t>４年次</t>
    <rPh sb="1" eb="2">
      <t>ネン</t>
    </rPh>
    <rPh sb="2" eb="3">
      <t>ツギ</t>
    </rPh>
    <phoneticPr fontId="3"/>
  </si>
  <si>
    <t>５年次</t>
    <rPh sb="1" eb="2">
      <t>ネン</t>
    </rPh>
    <rPh sb="2" eb="3">
      <t>ツギ</t>
    </rPh>
    <phoneticPr fontId="3"/>
  </si>
  <si>
    <t>６年次</t>
    <rPh sb="1" eb="2">
      <t>ネン</t>
    </rPh>
    <rPh sb="2" eb="3">
      <t>ツギ</t>
    </rPh>
    <phoneticPr fontId="3"/>
  </si>
  <si>
    <t>⑫</t>
    <phoneticPr fontId="3"/>
  </si>
  <si>
    <t>プログラムの運営責任者</t>
    <phoneticPr fontId="3"/>
  </si>
  <si>
    <t>（責任者名）</t>
    <rPh sb="1" eb="4">
      <t>セキニンシャ</t>
    </rPh>
    <rPh sb="4" eb="5">
      <t>メイ</t>
    </rPh>
    <phoneticPr fontId="3"/>
  </si>
  <si>
    <t>（役職名）</t>
    <rPh sb="1" eb="4">
      <t>ヤクショクメイ</t>
    </rPh>
    <phoneticPr fontId="3"/>
  </si>
  <si>
    <t>⑬</t>
    <phoneticPr fontId="3"/>
  </si>
  <si>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3"/>
  </si>
  <si>
    <t>教務委員会</t>
    <rPh sb="0" eb="5">
      <t>キョウムイインカイ</t>
    </rPh>
    <phoneticPr fontId="3"/>
  </si>
  <si>
    <t>伊部　泰弘</t>
    <rPh sb="0" eb="2">
      <t>イベ</t>
    </rPh>
    <rPh sb="3" eb="5">
      <t>ヤスヒロ</t>
    </rPh>
    <phoneticPr fontId="3"/>
  </si>
  <si>
    <t>教務委員長</t>
    <rPh sb="0" eb="5">
      <t>キョウムイインチョウ</t>
    </rPh>
    <phoneticPr fontId="3"/>
  </si>
  <si>
    <t>⑭</t>
    <phoneticPr fontId="3"/>
  </si>
  <si>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3"/>
  </si>
  <si>
    <t>総務・企画委員会</t>
    <rPh sb="0" eb="2">
      <t>ソウム</t>
    </rPh>
    <rPh sb="3" eb="5">
      <t>キカク</t>
    </rPh>
    <rPh sb="5" eb="8">
      <t>イインカイ</t>
    </rPh>
    <phoneticPr fontId="3"/>
  </si>
  <si>
    <t>大澤　弘幸</t>
    <rPh sb="0" eb="2">
      <t>オオサワ</t>
    </rPh>
    <rPh sb="3" eb="5">
      <t>ヒロユキ</t>
    </rPh>
    <phoneticPr fontId="3"/>
  </si>
  <si>
    <t>総務・企画委員長</t>
    <rPh sb="0" eb="2">
      <t>ソウム</t>
    </rPh>
    <rPh sb="3" eb="5">
      <t>キカク</t>
    </rPh>
    <rPh sb="5" eb="8">
      <t>イインチョウ</t>
    </rPh>
    <phoneticPr fontId="3"/>
  </si>
  <si>
    <t>⑮</t>
    <phoneticPr fontId="3"/>
  </si>
  <si>
    <t>申請する認定プログラム</t>
    <rPh sb="0" eb="2">
      <t>シンセイ</t>
    </rPh>
    <rPh sb="4" eb="6">
      <t>ニンテイ</t>
    </rPh>
    <phoneticPr fontId="3"/>
  </si>
  <si>
    <t>連絡先</t>
  </si>
  <si>
    <t>所属部署名</t>
    <rPh sb="0" eb="2">
      <t>ショゾク</t>
    </rPh>
    <rPh sb="2" eb="4">
      <t>ブショ</t>
    </rPh>
    <rPh sb="4" eb="5">
      <t>メイ</t>
    </rPh>
    <phoneticPr fontId="3"/>
  </si>
  <si>
    <t>新潟経営大学・総務課</t>
    <rPh sb="0" eb="6">
      <t>ニイガタケイエイダイガク</t>
    </rPh>
    <rPh sb="7" eb="10">
      <t>ソウムカ</t>
    </rPh>
    <phoneticPr fontId="3"/>
  </si>
  <si>
    <t>担当者名</t>
    <rPh sb="0" eb="2">
      <t>タントウ</t>
    </rPh>
    <rPh sb="2" eb="3">
      <t>シャ</t>
    </rPh>
    <rPh sb="3" eb="4">
      <t>メイ</t>
    </rPh>
    <phoneticPr fontId="3"/>
  </si>
  <si>
    <t>岡田大介</t>
    <rPh sb="0" eb="4">
      <t>オカダダイスケ</t>
    </rPh>
    <phoneticPr fontId="3"/>
  </si>
  <si>
    <t>E-mail</t>
  </si>
  <si>
    <t>soumu@duck.niigataum.ac.jp</t>
    <phoneticPr fontId="3"/>
  </si>
  <si>
    <t>電話番号</t>
  </si>
  <si>
    <t>0256-53-3000</t>
    <phoneticPr fontId="3"/>
  </si>
  <si>
    <t>　　　　　　　　　　　　　　　　　　　　　　　　　　　　　　　　　　　　　　　　　　　　　　　　　　　　　　　　　　　　　　　　　　　　　　　　　　　　　　　　　　　　　　　　　　　　　　　　　　　　　　　　　　　　　　　　　　　　　　　　　　　　　　　　　　　　　　　　　　　　　　　　　　　　　　　　　　　　　　　　　　　　　　　　　　　　　　　　　　　　　　　　　　　　　　　　　　　　　　　　　　　　　　　　　　　　　　　　　　　　　　　　　　　　　　　　　　　　　　　　　　　　　　　　　　　　　　　　　　　　　　　　　　　　　　　　　　　　　　　　　　　　　　　　　　　　　　　　　　　　　　　　　　　　　　　　　　　　　　　　　　　　　　　　　　　　　　　　　　　　　　　　　　　　　　　　　　　　　　　　　　　　　　　　　　　　　　　　　　　　　　　　　　　　　　　　　　　　　　　　　　　　　　　　　　　　　　　　　　　　　　　　　　　　　　　　　　　　　　　　　　　　　　　　　　　　　　　　　　　　　　　　　　　　　　　　　　　　　　　　　　　　　　　　　　　　　　　　　　　　　　　　　　　　　　　　　　　　　　　　　　　　　　　　　　　　　　　　　　　　　　　　　　　　　　　　　　　　　　　　　　　　　　　　　　　　　　　　　　　　　　　　　　　　　　　　　　　　　　　　　　　　　　　　　　　　　　　　　　　　　　　　　　　　　　　　　　　　　　　　　　　　　　　　　　　　　　　　　　　　　　　　　　　　　　　　　　　　　　　　　　　　　　　　　　　　　　　　　　　　　　　　　　　　　　　　　　　　　　　　　　　　　　　　　　　　　　</t>
    <phoneticPr fontId="3"/>
  </si>
  <si>
    <t>様式４</t>
    <rPh sb="0" eb="2">
      <t>ヨウシキ</t>
    </rPh>
    <phoneticPr fontId="3"/>
  </si>
  <si>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3"/>
  </si>
  <si>
    <t>プログラムを改善・進化させるための体制を定める規則名称</t>
    <phoneticPr fontId="3"/>
  </si>
  <si>
    <t>新潟経営大学教務委員会規程</t>
    <phoneticPr fontId="3"/>
  </si>
  <si>
    <t>体制の目的</t>
    <rPh sb="0" eb="2">
      <t>タイセイ</t>
    </rPh>
    <rPh sb="3" eb="5">
      <t>モクテキ</t>
    </rPh>
    <phoneticPr fontId="3"/>
  </si>
  <si>
    <t>③</t>
    <phoneticPr fontId="3"/>
  </si>
  <si>
    <t>具体的な構成員</t>
    <rPh sb="0" eb="3">
      <t>グタイテキ</t>
    </rPh>
    <rPh sb="4" eb="7">
      <t>コウセイイン</t>
    </rPh>
    <phoneticPr fontId="3"/>
  </si>
  <si>
    <t xml:space="preserve">委員長 (教務部長)　経営情報学部教授　伊部 泰弘
副委員長　経営情報学部教授齊藤 光俊
委員　経営情報学部准教授　後藤 泰則
委員 (経営情報学部　学部長)　経営情報学部教授　大澤 弘幸
委員　経営情報学部講師　落合 純
委員　経営情報学部講師　鈴木 翔
委員　(学務課員 係長)　大野 智大
委員　(学務課員)　髙山 睦紀
</t>
    <rPh sb="112" eb="114">
      <t>イイン</t>
    </rPh>
    <rPh sb="121" eb="123">
      <t>コウシ</t>
    </rPh>
    <rPh sb="152" eb="155">
      <t>ガクムカ</t>
    </rPh>
    <rPh sb="155" eb="156">
      <t>イン</t>
    </rPh>
    <phoneticPr fontId="3"/>
  </si>
  <si>
    <t>履修者数・履修率の向上に向けた計画</t>
    <rPh sb="5" eb="7">
      <t>リシュウ</t>
    </rPh>
    <rPh sb="7" eb="8">
      <t>リツ</t>
    </rPh>
    <phoneticPr fontId="3"/>
  </si>
  <si>
    <t>令和３年度実績</t>
    <rPh sb="0" eb="2">
      <t>レイワ</t>
    </rPh>
    <rPh sb="3" eb="5">
      <t>ネンド</t>
    </rPh>
    <rPh sb="5" eb="7">
      <t>ジッセキ</t>
    </rPh>
    <phoneticPr fontId="3"/>
  </si>
  <si>
    <t>令和４年度予定</t>
    <rPh sb="0" eb="2">
      <t>レイワ</t>
    </rPh>
    <rPh sb="3" eb="5">
      <t>ネンド</t>
    </rPh>
    <rPh sb="5" eb="7">
      <t>ヨテイ</t>
    </rPh>
    <phoneticPr fontId="3"/>
  </si>
  <si>
    <t>令和５年度予定</t>
    <rPh sb="0" eb="2">
      <t>レイワ</t>
    </rPh>
    <rPh sb="3" eb="5">
      <t>ネンド</t>
    </rPh>
    <rPh sb="5" eb="7">
      <t>ヨテイ</t>
    </rPh>
    <phoneticPr fontId="3"/>
  </si>
  <si>
    <t>令和６年度予定</t>
    <rPh sb="0" eb="2">
      <t>レイワ</t>
    </rPh>
    <rPh sb="3" eb="5">
      <t>ネンド</t>
    </rPh>
    <rPh sb="5" eb="7">
      <t>ヨテイ</t>
    </rPh>
    <phoneticPr fontId="3"/>
  </si>
  <si>
    <t>令和７年度予定</t>
    <rPh sb="0" eb="2">
      <t>レイワ</t>
    </rPh>
    <rPh sb="3" eb="5">
      <t>ネンド</t>
    </rPh>
    <rPh sb="5" eb="7">
      <t>ヨテイ</t>
    </rPh>
    <phoneticPr fontId="3"/>
  </si>
  <si>
    <t>収容定員（名）</t>
    <rPh sb="0" eb="4">
      <t>シュウヨウテイイン</t>
    </rPh>
    <rPh sb="5" eb="6">
      <t>メイ</t>
    </rPh>
    <phoneticPr fontId="3"/>
  </si>
  <si>
    <t>具体的な計画</t>
    <rPh sb="0" eb="3">
      <t>グタイテキ</t>
    </rPh>
    <rPh sb="4" eb="6">
      <t>ケイカク</t>
    </rPh>
    <phoneticPr fontId="3"/>
  </si>
  <si>
    <t>目標を実現するために、経営情報学部で従来より必修としていた情報リテラシー、コンピュータリテラシー入門に加え、令和2年度より人工知能論を開講して経営情報学科において必修化、令和3年度よりデータサイエンス入門を開講して経営情報学科およびスポーツマネジメント学科で必修化することで、年次進行で数理・データサイエンス・AI教育のリテラシーレベル修得者を増加させてきている。2021年以降入学者向けの現行カリキュラムでは、既に、情報リテラシー、コンピュータリテラシー入門、データサイエンス入門が全学必修となっており、人工知能論の必修の経営情報学科以外からの履修者も増加傾向であることから、学生全体に占める数理・データサイエンス・AI教育のリテラシーレベルの修得者・履修率は順調に増加している。今後は、人工知能論の全学生必修化を検討し、卒業生に占める数理・データサイエンス・AI教育リテラシーレベルの修得者の割合を90%以上にすることを検討していく。また、大学ホームページにデータサイエンス教育を紹介して学内外に数理・データサイエンス・AI教育をアピールしており、さらなる計画として、令和5年度入学者向け大学パンフレットに、データサイエンス系科目の紹介を掲載予定である。</t>
    <rPh sb="11" eb="17">
      <t>ケイエイジョウホウガクブ</t>
    </rPh>
    <rPh sb="18" eb="20">
      <t>ジュウライ</t>
    </rPh>
    <rPh sb="22" eb="24">
      <t>ヒッシュウ</t>
    </rPh>
    <rPh sb="29" eb="31">
      <t>ジョウホウ</t>
    </rPh>
    <rPh sb="48" eb="50">
      <t>ニュウモン</t>
    </rPh>
    <rPh sb="51" eb="52">
      <t>クワ</t>
    </rPh>
    <rPh sb="61" eb="66">
      <t>ジンコウチノウロン</t>
    </rPh>
    <rPh sb="71" eb="77">
      <t>ケイエイジョウホウガッカ</t>
    </rPh>
    <rPh sb="81" eb="84">
      <t>ヒッシュウカ</t>
    </rPh>
    <rPh sb="100" eb="102">
      <t>ニュウモン</t>
    </rPh>
    <rPh sb="107" eb="113">
      <t>ケイエイジョウホウガッカ</t>
    </rPh>
    <rPh sb="126" eb="128">
      <t>ガッカ</t>
    </rPh>
    <rPh sb="129" eb="132">
      <t>ヒッシュウカ</t>
    </rPh>
    <rPh sb="138" eb="142">
      <t>ネンジシンコウ</t>
    </rPh>
    <rPh sb="168" eb="171">
      <t>シュウトクシャ</t>
    </rPh>
    <rPh sb="172" eb="174">
      <t>ゾウカ</t>
    </rPh>
    <rPh sb="186" eb="189">
      <t>ネンイコウ</t>
    </rPh>
    <rPh sb="189" eb="192">
      <t>ニュウガクシャ</t>
    </rPh>
    <rPh sb="192" eb="193">
      <t>ム</t>
    </rPh>
    <rPh sb="195" eb="197">
      <t>ゲンコウ</t>
    </rPh>
    <rPh sb="206" eb="207">
      <t>スデ</t>
    </rPh>
    <rPh sb="242" eb="246">
      <t>ゼンガクヒッシュウ</t>
    </rPh>
    <rPh sb="259" eb="261">
      <t>ヒッシュウ</t>
    </rPh>
    <rPh sb="262" eb="270">
      <t>ケイエイジョウホウガッカイガイ</t>
    </rPh>
    <rPh sb="273" eb="276">
      <t>リシュウシャ</t>
    </rPh>
    <rPh sb="277" eb="281">
      <t>ゾウカケイコウ</t>
    </rPh>
    <rPh sb="289" eb="293">
      <t>ガクセイゼンタイ</t>
    </rPh>
    <rPh sb="294" eb="295">
      <t>シ</t>
    </rPh>
    <rPh sb="327" eb="330">
      <t>リシュウリツ</t>
    </rPh>
    <rPh sb="331" eb="333">
      <t>ジュンチョウ</t>
    </rPh>
    <rPh sb="334" eb="336">
      <t>ゾウカ</t>
    </rPh>
    <rPh sb="341" eb="343">
      <t>コンゴ</t>
    </rPh>
    <rPh sb="345" eb="350">
      <t>ジンコウチノウロン</t>
    </rPh>
    <rPh sb="351" eb="357">
      <t>ゼンガクセイヒッシュウカ</t>
    </rPh>
    <rPh sb="358" eb="360">
      <t>ケントウ</t>
    </rPh>
    <rPh sb="362" eb="365">
      <t>ソツギョウセイ</t>
    </rPh>
    <rPh sb="398" eb="400">
      <t>ワリアイ</t>
    </rPh>
    <rPh sb="404" eb="406">
      <t>イジョウ</t>
    </rPh>
    <rPh sb="412" eb="414">
      <t>ケントウ</t>
    </rPh>
    <rPh sb="422" eb="424">
      <t>ダイガク</t>
    </rPh>
    <rPh sb="439" eb="441">
      <t>キョウイク</t>
    </rPh>
    <rPh sb="442" eb="444">
      <t>ショウカイ</t>
    </rPh>
    <rPh sb="480" eb="482">
      <t>ケイカク</t>
    </rPh>
    <rPh sb="486" eb="488">
      <t>レイワ</t>
    </rPh>
    <rPh sb="489" eb="491">
      <t>ネンド</t>
    </rPh>
    <rPh sb="491" eb="495">
      <t>ニュウガクシャム</t>
    </rPh>
    <rPh sb="496" eb="498">
      <t>ダイガク</t>
    </rPh>
    <rPh sb="514" eb="515">
      <t>ケイ</t>
    </rPh>
    <rPh sb="515" eb="517">
      <t>カモク</t>
    </rPh>
    <rPh sb="518" eb="520">
      <t>ショウカイ</t>
    </rPh>
    <rPh sb="521" eb="525">
      <t>ケイサイヨテイ</t>
    </rPh>
    <phoneticPr fontId="3"/>
  </si>
  <si>
    <t>学部・学科に関係なく希望する学生全員が受講可能となるような必要な体制・取組等</t>
    <rPh sb="29" eb="31">
      <t>ヒツヨウ</t>
    </rPh>
    <rPh sb="32" eb="34">
      <t>タイセイ</t>
    </rPh>
    <rPh sb="35" eb="37">
      <t>トリクミ</t>
    </rPh>
    <rPh sb="37" eb="38">
      <t>トウ</t>
    </rPh>
    <phoneticPr fontId="3"/>
  </si>
  <si>
    <t>2021年以降入学者向けの現行カリキュラムでは、既に、情報リテラシー、コンピュータリテラシー入門、データサイエンス入門が全学必修となっており、1年次から履修可能な人工知能論をはじめとするすべてのデータサイエンス分野の科目群が学科を問わず全学生が受講可能である。また、データサイエンス分野の専門科目を学ぶために必要な基礎的科目が明確となり、段階的に無理なく修得できるようユニット制を採用・学生周知している。</t>
    <rPh sb="72" eb="74">
      <t>ネンジ</t>
    </rPh>
    <rPh sb="76" eb="80">
      <t>リシュウカノウ</t>
    </rPh>
    <rPh sb="105" eb="107">
      <t>ブンヤ</t>
    </rPh>
    <rPh sb="112" eb="114">
      <t>ガッカ</t>
    </rPh>
    <rPh sb="115" eb="116">
      <t>ト</t>
    </rPh>
    <rPh sb="118" eb="121">
      <t>ゼンガクセイ</t>
    </rPh>
    <rPh sb="122" eb="126">
      <t>ジュコウカノウ</t>
    </rPh>
    <rPh sb="141" eb="143">
      <t>ブンヤ</t>
    </rPh>
    <rPh sb="144" eb="148">
      <t>センモンカモク</t>
    </rPh>
    <rPh sb="149" eb="150">
      <t>マナ</t>
    </rPh>
    <rPh sb="154" eb="156">
      <t>ヒツヨウ</t>
    </rPh>
    <rPh sb="157" eb="160">
      <t>キソテキ</t>
    </rPh>
    <rPh sb="160" eb="162">
      <t>カモク</t>
    </rPh>
    <rPh sb="163" eb="165">
      <t>メイカク</t>
    </rPh>
    <rPh sb="169" eb="172">
      <t>ダンカイテキ</t>
    </rPh>
    <rPh sb="173" eb="175">
      <t>ムリ</t>
    </rPh>
    <rPh sb="177" eb="179">
      <t>シュウトク</t>
    </rPh>
    <rPh sb="188" eb="189">
      <t>セイ</t>
    </rPh>
    <rPh sb="190" eb="192">
      <t>サイヨウ</t>
    </rPh>
    <rPh sb="193" eb="197">
      <t>ガクセイシュウチ</t>
    </rPh>
    <phoneticPr fontId="3"/>
  </si>
  <si>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3"/>
  </si>
  <si>
    <t>大学ホームページにデータサイエンス教育を紹介して学内外に数理・データサイエンス・AI教育をアピールしており、さらなる計画として、令和5年度入学者向け大学パンフレットに、データサイエンス系科目の紹介を掲載予定である。また、コンピュータリテラシー入門、データサイエンス入門の内容に関連する資格試験として日商PC検定データ活用2級および3級は学内でのIBT（インターネットベイスドテスト）受験が可能であり、その受験は学内Webポータル等を通して広く学生に周知している。</t>
    <rPh sb="135" eb="137">
      <t>ナイヨウ</t>
    </rPh>
    <rPh sb="138" eb="140">
      <t>カンレン</t>
    </rPh>
    <rPh sb="142" eb="146">
      <t>シカクシケン</t>
    </rPh>
    <rPh sb="149" eb="151">
      <t>ニッショウ</t>
    </rPh>
    <rPh sb="153" eb="155">
      <t>ケンテイ</t>
    </rPh>
    <rPh sb="158" eb="160">
      <t>カツヨウ</t>
    </rPh>
    <rPh sb="161" eb="162">
      <t>キュウ</t>
    </rPh>
    <rPh sb="166" eb="167">
      <t>キュウ</t>
    </rPh>
    <rPh sb="168" eb="170">
      <t>ガクナイ</t>
    </rPh>
    <rPh sb="191" eb="193">
      <t>ジュケン</t>
    </rPh>
    <rPh sb="194" eb="196">
      <t>カノウ</t>
    </rPh>
    <rPh sb="202" eb="204">
      <t>ジュケン</t>
    </rPh>
    <rPh sb="205" eb="207">
      <t>ガクナイ</t>
    </rPh>
    <rPh sb="214" eb="215">
      <t>トウ</t>
    </rPh>
    <rPh sb="216" eb="217">
      <t>トオ</t>
    </rPh>
    <rPh sb="219" eb="220">
      <t>ヒロ</t>
    </rPh>
    <rPh sb="221" eb="223">
      <t>ガクセイ</t>
    </rPh>
    <rPh sb="224" eb="226">
      <t>シュウチ</t>
    </rPh>
    <phoneticPr fontId="3"/>
  </si>
  <si>
    <t>⑦</t>
    <phoneticPr fontId="3"/>
  </si>
  <si>
    <t>できる限り多くの学生が履修・修得できるようなサポート体制</t>
    <rPh sb="26" eb="28">
      <t>タイセイ</t>
    </rPh>
    <phoneticPr fontId="3"/>
  </si>
  <si>
    <t>授業時間内外で学習指導、質問を受け付ける具体的な仕組み</t>
    <rPh sb="20" eb="23">
      <t>グタイテキ</t>
    </rPh>
    <phoneticPr fontId="3"/>
  </si>
  <si>
    <t>全ての学生が、スマートフォンやパソコンで閲覧可能な大学webポータルシステムから、連絡を受け取ったり質問をしたりすることができる。また授業時間外でも課題を提出し、添削を受けることもできる。さらにすべての学生には、教育機関向けのGoogleアカウントを発行しており、Googleアカウントからログインするシステムからオンラインアプリを通して、授業時間外でも課題を提出し、添削を受けることもできる。これらの機能は本教育プログラムについての履修科目のみではなく、すべての科目に共通である。学生は成績等に関しても、授業時間以外に不明な点などをシステムを通じて確認することができ、質問は各教科担当の教員を通じて返答する体制を整備している。</t>
    <rPh sb="0" eb="1">
      <t>スベ</t>
    </rPh>
    <rPh sb="3" eb="5">
      <t>ガクセイ</t>
    </rPh>
    <rPh sb="20" eb="22">
      <t>エツラン</t>
    </rPh>
    <rPh sb="22" eb="24">
      <t>カノウ</t>
    </rPh>
    <rPh sb="25" eb="27">
      <t>ダイガク</t>
    </rPh>
    <rPh sb="41" eb="43">
      <t>レンラク</t>
    </rPh>
    <rPh sb="44" eb="45">
      <t>ウ</t>
    </rPh>
    <rPh sb="46" eb="47">
      <t>ト</t>
    </rPh>
    <rPh sb="50" eb="52">
      <t>シツモン</t>
    </rPh>
    <rPh sb="81" eb="83">
      <t>テンサク</t>
    </rPh>
    <rPh sb="84" eb="85">
      <t>ウ</t>
    </rPh>
    <rPh sb="101" eb="103">
      <t>ガクセイ</t>
    </rPh>
    <rPh sb="106" eb="111">
      <t>キョウイクキカンム</t>
    </rPh>
    <rPh sb="125" eb="127">
      <t>ハッコウ</t>
    </rPh>
    <rPh sb="166" eb="167">
      <t>トオ</t>
    </rPh>
    <rPh sb="201" eb="203">
      <t>キノウ</t>
    </rPh>
    <rPh sb="219" eb="221">
      <t>カモク</t>
    </rPh>
    <rPh sb="232" eb="234">
      <t>カモク</t>
    </rPh>
    <rPh sb="235" eb="237">
      <t>キョウツウ</t>
    </rPh>
    <rPh sb="244" eb="247">
      <t>セイセキトウ</t>
    </rPh>
    <rPh sb="248" eb="249">
      <t>カン</t>
    </rPh>
    <rPh sb="288" eb="289">
      <t>カク</t>
    </rPh>
    <rPh sb="289" eb="293">
      <t>キョウカタントウ</t>
    </rPh>
    <phoneticPr fontId="3"/>
  </si>
  <si>
    <t>様式３</t>
    <rPh sb="0" eb="2">
      <t>ヨウシキ</t>
    </rPh>
    <phoneticPr fontId="3"/>
  </si>
  <si>
    <t>プログラムの履修者数等の実績について</t>
    <phoneticPr fontId="3"/>
  </si>
  <si>
    <t>①プログラム開設年度</t>
    <rPh sb="6" eb="8">
      <t>カイセツ</t>
    </rPh>
    <rPh sb="8" eb="10">
      <t>ネンド</t>
    </rPh>
    <phoneticPr fontId="3"/>
  </si>
  <si>
    <t>②履修者・修了者の実績</t>
    <rPh sb="1" eb="3">
      <t>リシュウ</t>
    </rPh>
    <rPh sb="3" eb="4">
      <t>シャ</t>
    </rPh>
    <rPh sb="5" eb="8">
      <t>シュウリョウシャ</t>
    </rPh>
    <rPh sb="9" eb="11">
      <t>ジッセキ</t>
    </rPh>
    <phoneticPr fontId="3"/>
  </si>
  <si>
    <t>学部・学科名称</t>
    <rPh sb="0" eb="2">
      <t>ガクブ</t>
    </rPh>
    <rPh sb="3" eb="5">
      <t>ガッカ</t>
    </rPh>
    <rPh sb="5" eb="7">
      <t>メイショウ</t>
    </rPh>
    <phoneticPr fontId="3"/>
  </si>
  <si>
    <t>入学
定員</t>
    <rPh sb="0" eb="2">
      <t>ニュウガク</t>
    </rPh>
    <rPh sb="3" eb="5">
      <t>テイイン</t>
    </rPh>
    <phoneticPr fontId="3"/>
  </si>
  <si>
    <t>収容
定員</t>
    <rPh sb="0" eb="2">
      <t>シュウヨウ</t>
    </rPh>
    <rPh sb="3" eb="5">
      <t>テイイン</t>
    </rPh>
    <phoneticPr fontId="3"/>
  </si>
  <si>
    <t>令和3年度</t>
    <rPh sb="0" eb="2">
      <t>レイワ</t>
    </rPh>
    <rPh sb="3" eb="5">
      <t>ネンド</t>
    </rPh>
    <phoneticPr fontId="3"/>
  </si>
  <si>
    <t>令和2年度</t>
    <rPh sb="0" eb="2">
      <t>レイワ</t>
    </rPh>
    <rPh sb="3" eb="5">
      <t>ネンド</t>
    </rPh>
    <phoneticPr fontId="3"/>
  </si>
  <si>
    <t>令和元年度</t>
    <rPh sb="0" eb="2">
      <t>レイワ</t>
    </rPh>
    <rPh sb="2" eb="3">
      <t>モト</t>
    </rPh>
    <rPh sb="3" eb="5">
      <t>ネンド</t>
    </rPh>
    <phoneticPr fontId="3"/>
  </si>
  <si>
    <t>平成30年度</t>
    <rPh sb="0" eb="2">
      <t>ヘイセイ</t>
    </rPh>
    <rPh sb="4" eb="6">
      <t>ネンド</t>
    </rPh>
    <phoneticPr fontId="3"/>
  </si>
  <si>
    <t>平成29年度</t>
    <rPh sb="0" eb="2">
      <t>ヘイセイ</t>
    </rPh>
    <rPh sb="4" eb="6">
      <t>ネンド</t>
    </rPh>
    <phoneticPr fontId="3"/>
  </si>
  <si>
    <t>平成28年度</t>
    <rPh sb="0" eb="2">
      <t>ヘイセイ</t>
    </rPh>
    <rPh sb="4" eb="6">
      <t>ネンド</t>
    </rPh>
    <phoneticPr fontId="3"/>
  </si>
  <si>
    <t>履修者数
合計</t>
    <rPh sb="0" eb="2">
      <t>リシュウ</t>
    </rPh>
    <rPh sb="2" eb="3">
      <t>シャ</t>
    </rPh>
    <rPh sb="3" eb="4">
      <t>スウ</t>
    </rPh>
    <rPh sb="5" eb="7">
      <t>ゴウケイ</t>
    </rPh>
    <phoneticPr fontId="3"/>
  </si>
  <si>
    <t>履修率</t>
    <rPh sb="0" eb="2">
      <t>リシュウ</t>
    </rPh>
    <rPh sb="2" eb="3">
      <t>リツ</t>
    </rPh>
    <phoneticPr fontId="3"/>
  </si>
  <si>
    <t>履修者数</t>
    <rPh sb="0" eb="2">
      <t>リシュウ</t>
    </rPh>
    <rPh sb="2" eb="3">
      <t>シャ</t>
    </rPh>
    <rPh sb="3" eb="4">
      <t>スウ</t>
    </rPh>
    <phoneticPr fontId="3"/>
  </si>
  <si>
    <t>修了者数</t>
    <rPh sb="0" eb="3">
      <t>シュウリョウシャ</t>
    </rPh>
    <rPh sb="3" eb="4">
      <t>スウ</t>
    </rPh>
    <phoneticPr fontId="3"/>
  </si>
  <si>
    <t>合　計</t>
    <phoneticPr fontId="3"/>
  </si>
  <si>
    <t>②自己点検・評価体制における意見等を公表しているアドレス</t>
    <phoneticPr fontId="3"/>
  </si>
  <si>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3"/>
  </si>
  <si>
    <t>世界的な研究または研究者や、内閣府による調査報告だけでなく、新潟県の事例などを加えることで学生により身近に感じてもらうなどして、興味を持ってもらえるよう心がけている。</t>
    <rPh sb="0" eb="3">
      <t>セカイテキ</t>
    </rPh>
    <rPh sb="4" eb="6">
      <t>ケンキュウ</t>
    </rPh>
    <rPh sb="9" eb="12">
      <t>ケンキュウシャ</t>
    </rPh>
    <rPh sb="14" eb="16">
      <t>ナイカク</t>
    </rPh>
    <rPh sb="16" eb="17">
      <t>フ</t>
    </rPh>
    <rPh sb="20" eb="22">
      <t>チョウサ</t>
    </rPh>
    <rPh sb="22" eb="24">
      <t>ホウコク</t>
    </rPh>
    <rPh sb="30" eb="33">
      <t>ニイガタケン</t>
    </rPh>
    <rPh sb="34" eb="36">
      <t>ジレイ</t>
    </rPh>
    <rPh sb="39" eb="40">
      <t>クワ</t>
    </rPh>
    <rPh sb="50" eb="52">
      <t>ミジカ</t>
    </rPh>
    <rPh sb="53" eb="54">
      <t>カン</t>
    </rPh>
    <rPh sb="67" eb="68">
      <t>モ</t>
    </rPh>
    <phoneticPr fontId="3"/>
  </si>
  <si>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3"/>
  </si>
  <si>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3"/>
  </si>
  <si>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3"/>
  </si>
  <si>
    <t>学外からの視点</t>
    <rPh sb="0" eb="2">
      <t>ガクガイ</t>
    </rPh>
    <rPh sb="5" eb="7">
      <t>シテン</t>
    </rPh>
    <phoneticPr fontId="3"/>
  </si>
  <si>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3"/>
  </si>
  <si>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3"/>
  </si>
  <si>
    <t>毎年、学期末の時期に授業評価アンケートを行っており、2021年度のプログラム適用科目の理解度は、「理解できた」「どちらかといえば理解できた」とする回答が、人工知能論は80％、データサイエンス入門が80％、情報リテラシーが100％、コンピュータリテラシー入門が86％と、いずれも高い割合を示した。</t>
    <rPh sb="0" eb="2">
      <t>マイトシ</t>
    </rPh>
    <rPh sb="3" eb="5">
      <t>ガッキ</t>
    </rPh>
    <rPh sb="5" eb="6">
      <t>マツ</t>
    </rPh>
    <rPh sb="7" eb="9">
      <t>ジキ</t>
    </rPh>
    <rPh sb="10" eb="12">
      <t>ジュギョウ</t>
    </rPh>
    <rPh sb="12" eb="14">
      <t>ヒョウカ</t>
    </rPh>
    <rPh sb="20" eb="21">
      <t>オコナ</t>
    </rPh>
    <phoneticPr fontId="3"/>
  </si>
  <si>
    <t>学生アンケート等を通じた学生の内容の理解度</t>
    <rPh sb="0" eb="2">
      <t>ガクセイ</t>
    </rPh>
    <rPh sb="7" eb="8">
      <t>トウ</t>
    </rPh>
    <rPh sb="9" eb="10">
      <t>ツウ</t>
    </rPh>
    <rPh sb="12" eb="14">
      <t>ガクセイ</t>
    </rPh>
    <rPh sb="15" eb="17">
      <t>ナイヨウ</t>
    </rPh>
    <rPh sb="18" eb="21">
      <t>リカイド</t>
    </rPh>
    <phoneticPr fontId="3"/>
  </si>
  <si>
    <t>学修成果</t>
    <rPh sb="0" eb="2">
      <t>ガクシュウ</t>
    </rPh>
    <rPh sb="2" eb="4">
      <t>セイカ</t>
    </rPh>
    <phoneticPr fontId="3"/>
  </si>
  <si>
    <t>プログラムの履修・修得状況</t>
    <rPh sb="6" eb="8">
      <t>リシュウ</t>
    </rPh>
    <rPh sb="9" eb="11">
      <t>シュウトク</t>
    </rPh>
    <rPh sb="11" eb="13">
      <t>ジョウキョウ</t>
    </rPh>
    <phoneticPr fontId="3"/>
  </si>
  <si>
    <t>学内からの視点</t>
    <rPh sb="0" eb="2">
      <t>ガクナイ</t>
    </rPh>
    <rPh sb="5" eb="7">
      <t>シテン</t>
    </rPh>
    <phoneticPr fontId="3"/>
  </si>
  <si>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3"/>
  </si>
  <si>
    <t>自己点検・評価の視点</t>
    <rPh sb="0" eb="2">
      <t>ジコ</t>
    </rPh>
    <rPh sb="2" eb="4">
      <t>テンケン</t>
    </rPh>
    <rPh sb="5" eb="7">
      <t>ヒョウカ</t>
    </rPh>
    <rPh sb="8" eb="10">
      <t>シテン</t>
    </rPh>
    <phoneticPr fontId="3"/>
  </si>
  <si>
    <t>自己点検・評価体制における意見等</t>
    <rPh sb="15" eb="16">
      <t>トウ</t>
    </rPh>
    <phoneticPr fontId="3"/>
  </si>
  <si>
    <t>自己点検・評価について</t>
    <rPh sb="0" eb="2">
      <t>ジコ</t>
    </rPh>
    <rPh sb="2" eb="4">
      <t>テンケン</t>
    </rPh>
    <rPh sb="5" eb="7">
      <t>ヒョウカ</t>
    </rPh>
    <phoneticPr fontId="3"/>
  </si>
  <si>
    <t>様式５</t>
    <rPh sb="0" eb="2">
      <t>ヨウシキ</t>
    </rPh>
    <phoneticPr fontId="3"/>
  </si>
  <si>
    <t>　　　　　　　　　　　　　　　　　　　　　　　　　　　　　　　　　　　　　　　　　　　　　　　　　　　　　　　　　　　　　　　　　　　　　　　　　</t>
    <phoneticPr fontId="3"/>
  </si>
  <si>
    <t>NUMデータサイエンス教育プログラム</t>
    <phoneticPr fontId="3"/>
  </si>
  <si>
    <t>杉浦 善次郎</t>
    <phoneticPr fontId="3"/>
  </si>
  <si>
    <t>学長</t>
    <rPh sb="0" eb="2">
      <t>ガクチョウ</t>
    </rPh>
    <phoneticPr fontId="3"/>
  </si>
  <si>
    <t>認定教育プログラム</t>
  </si>
  <si>
    <t>経営情報学部・経営情報学科</t>
    <rPh sb="0" eb="6">
      <t>ケイエイジョウホウガクブ</t>
    </rPh>
    <rPh sb="7" eb="13">
      <t>ケイエイジョウホウガッカ</t>
    </rPh>
    <phoneticPr fontId="3"/>
  </si>
  <si>
    <t>経営情報学部・スポーツマネジメント学科</t>
    <rPh sb="0" eb="6">
      <t>ケイエイジョウホウガクブ</t>
    </rPh>
    <rPh sb="17" eb="19">
      <t>ガッカ</t>
    </rPh>
    <phoneticPr fontId="3"/>
  </si>
  <si>
    <t>学生の教育に関するカリキュラムおよび教育全般の管理・運営を行い、よりよい教育環境をつくることを目的として、新潟経営大学教務委員会を置いている。本委員会は、数理・データサイエンス・AI教育プログラム等の教育プログラムなど、教育課程に関する事項を審議し、教育課程を全学的に普及、周知させるなど、その他教務に必要な業務全般を所管している。</t>
    <phoneticPr fontId="3"/>
  </si>
  <si>
    <t>本教育プログラムの科目であるコンピュータリテラシー入門、データサイエンス入門については必修とするだけでなく、複数教員担当科目とすることで、必履修者数に見合った教員数でサポート体制を構築している。具体的には、当該委員会により、教員が作成するシラバスの妥当性をチェックし、改善・指導するなどの業務も行われている。また、本学におけるIBT（インターネットベイスドテスト）の実施や資格取得の指導、奨励、各種学習センターの管理・運営などの教育プログラムや修学環境を改善・進化させる役割を担っている。以上のように、本委員会は最低限必要な教務のみならず、教育の質を担保し、数理・データサイエンス・AI教育プログラムなどの教育プログラムを改善・進化させるために必要な機能を有している。</t>
    <rPh sb="9" eb="11">
      <t>カモク</t>
    </rPh>
    <rPh sb="43" eb="45">
      <t>ヒッシュウ</t>
    </rPh>
    <rPh sb="54" eb="56">
      <t>フクスウ</t>
    </rPh>
    <rPh sb="56" eb="58">
      <t>キョウイン</t>
    </rPh>
    <rPh sb="58" eb="60">
      <t>タントウ</t>
    </rPh>
    <rPh sb="60" eb="62">
      <t>カモク</t>
    </rPh>
    <rPh sb="69" eb="72">
      <t>ヒツリシュウ</t>
    </rPh>
    <rPh sb="72" eb="73">
      <t>シャ</t>
    </rPh>
    <rPh sb="73" eb="74">
      <t>スウ</t>
    </rPh>
    <rPh sb="75" eb="77">
      <t>ミア</t>
    </rPh>
    <rPh sb="79" eb="81">
      <t>キョウイン</t>
    </rPh>
    <rPh sb="81" eb="82">
      <t>スウ</t>
    </rPh>
    <rPh sb="87" eb="89">
      <t>タイセイ</t>
    </rPh>
    <rPh sb="90" eb="92">
      <t>コウチク</t>
    </rPh>
    <phoneticPr fontId="3"/>
  </si>
  <si>
    <t>授業内容が学生にとって理解しやすいような工夫に取り組んでおり、内容・水準の維持に努めている。</t>
    <rPh sb="0" eb="2">
      <t>ジュギョウ</t>
    </rPh>
    <rPh sb="2" eb="4">
      <t>ナイヨウ</t>
    </rPh>
    <rPh sb="5" eb="7">
      <t>ガクセイ</t>
    </rPh>
    <rPh sb="11" eb="13">
      <t>リカイ</t>
    </rPh>
    <rPh sb="20" eb="22">
      <t>クフウ</t>
    </rPh>
    <rPh sb="23" eb="24">
      <t>ト</t>
    </rPh>
    <rPh sb="25" eb="26">
      <t>ク</t>
    </rPh>
    <rPh sb="31" eb="33">
      <t>ナイヨウ</t>
    </rPh>
    <rPh sb="34" eb="36">
      <t>スイジュン</t>
    </rPh>
    <rPh sb="37" eb="39">
      <t>イジ</t>
    </rPh>
    <rPh sb="40" eb="41">
      <t>ツト</t>
    </rPh>
    <phoneticPr fontId="3"/>
  </si>
  <si>
    <t xml:space="preserve">本プログラムを含めた学部の正規の教育課程の編成にあたり、包括連携協定等を締結している地方自治体や複数の地元産業界等から意見を聴取している。
さらに、毎年行っている企業アンケートの項目に加えるなどの対応も検討している。
</t>
    <rPh sb="0" eb="1">
      <t>ホン</t>
    </rPh>
    <rPh sb="7" eb="8">
      <t>フク</t>
    </rPh>
    <rPh sb="74" eb="76">
      <t>マイトシ</t>
    </rPh>
    <rPh sb="76" eb="77">
      <t>オコナ</t>
    </rPh>
    <rPh sb="81" eb="83">
      <t>キギョウ</t>
    </rPh>
    <rPh sb="89" eb="91">
      <t>コウモク</t>
    </rPh>
    <rPh sb="92" eb="93">
      <t>クワ</t>
    </rPh>
    <rPh sb="98" eb="100">
      <t>タイオウ</t>
    </rPh>
    <rPh sb="101" eb="103">
      <t>ケントウ</t>
    </rPh>
    <phoneticPr fontId="3"/>
  </si>
  <si>
    <t xml:space="preserve">本プログラムは令和3年度入学者に適用され、計70名の修了者が出ているが、いずれも現在2年生であり卒業はしていない。
</t>
    <phoneticPr fontId="3"/>
  </si>
  <si>
    <t>経営情報学部で従来より必修としていた情報リテラシー、コンピュータリテラシー入門に加え、令和2年度より人工知能論を開講して経営情報学科において必修化、令和3年度よりデータサイエンス入門を開講して経営情報学科およびスポーツマネジメント学科で必修化してきた。令和3年度以降入学者向けの現行カリキュラムでは、既に、情報リテラシー、コンピュータリテラシー入門、データサイエンス入門は全学必修であり、人工知能論においても必修ではない学科の履修者も増加傾向であることから、学生全体に占める数理・データサイエンス・AI教育のリテラシーレベルの修得者・履修率は順調に増加している。今後は、人工知能論の全学生必修化を検討し、卒業生に占める数理・データサイエンス・AI教育リテラシーレベルの修得者の割合を90%以上にすることを検討していく。また、さらなる計画として、令和5年度入学者向け大学パンフレットに、データサイエンス系科目の紹介を掲載予定である。</t>
    <rPh sb="126" eb="128">
      <t>レイワ</t>
    </rPh>
    <rPh sb="129" eb="130">
      <t>ネン</t>
    </rPh>
    <rPh sb="130" eb="131">
      <t>ド</t>
    </rPh>
    <phoneticPr fontId="3"/>
  </si>
  <si>
    <t>現時点において、各授業の推奨度を直接測定する質問は実施されていないが、比較的高い総合評価（満足度）からある程度の推奨度は得られるものと考えられる。
このため、授業評価アンケートに授業の推奨度を尋ねる質問項目を盛り込むなどの対策を検討している。</t>
    <rPh sb="0" eb="3">
      <t>ゲンジテン</t>
    </rPh>
    <rPh sb="8" eb="9">
      <t>カク</t>
    </rPh>
    <rPh sb="9" eb="11">
      <t>ジュギョウ</t>
    </rPh>
    <rPh sb="12" eb="14">
      <t>スイショウ</t>
    </rPh>
    <rPh sb="14" eb="15">
      <t>ド</t>
    </rPh>
    <rPh sb="16" eb="18">
      <t>チョクセツ</t>
    </rPh>
    <rPh sb="18" eb="20">
      <t>ソクテイ</t>
    </rPh>
    <rPh sb="22" eb="24">
      <t>シツモン</t>
    </rPh>
    <rPh sb="25" eb="27">
      <t>ジッシ</t>
    </rPh>
    <rPh sb="35" eb="38">
      <t>ヒカクテキ</t>
    </rPh>
    <rPh sb="38" eb="39">
      <t>タカ</t>
    </rPh>
    <rPh sb="40" eb="42">
      <t>ソウゴウ</t>
    </rPh>
    <rPh sb="42" eb="44">
      <t>ヒョウカ</t>
    </rPh>
    <rPh sb="45" eb="48">
      <t>マンゾクド</t>
    </rPh>
    <rPh sb="53" eb="55">
      <t>テイド</t>
    </rPh>
    <rPh sb="56" eb="58">
      <t>スイショウ</t>
    </rPh>
    <rPh sb="58" eb="59">
      <t>ド</t>
    </rPh>
    <rPh sb="60" eb="61">
      <t>エ</t>
    </rPh>
    <rPh sb="67" eb="68">
      <t>カンガ</t>
    </rPh>
    <rPh sb="79" eb="81">
      <t>ジュギョウ</t>
    </rPh>
    <rPh sb="81" eb="83">
      <t>ヒョウカ</t>
    </rPh>
    <rPh sb="89" eb="91">
      <t>ジュギョウ</t>
    </rPh>
    <rPh sb="92" eb="94">
      <t>スイショウ</t>
    </rPh>
    <rPh sb="94" eb="95">
      <t>ド</t>
    </rPh>
    <rPh sb="96" eb="97">
      <t>タズ</t>
    </rPh>
    <rPh sb="99" eb="101">
      <t>シツモン</t>
    </rPh>
    <rPh sb="101" eb="103">
      <t>コウモク</t>
    </rPh>
    <rPh sb="104" eb="105">
      <t>モ</t>
    </rPh>
    <rPh sb="106" eb="107">
      <t>コ</t>
    </rPh>
    <rPh sb="111" eb="113">
      <t>タイサク</t>
    </rPh>
    <rPh sb="114" eb="116">
      <t>ケントウ</t>
    </rPh>
    <phoneticPr fontId="3"/>
  </si>
  <si>
    <t>「人工知能論」については、期末評価の前にプレテストを行うことで、学生の学修成果の確保に努めている。
「データサイエンス入門」については、各教員ごとに工夫を凝らしており、例えば教科書の内容をより簡潔にまとめたレジュメを配布するなどして、学生の理解度向上に努めている。
こうした特長により、2021年度のプログラム適用科目の理解度は、「理解できた」「どちらかといえば理解できた」とする回答が、人工知能論は80％、データサイエンス入門が80％、情報リテラシーが100％、コンピュータリテラシー入門が86％と、いずれも高い割合を示した。
また、2021年度のプログラム適用科目の総合評価（満足度と見なすことが可能）についても、「よい」「どちらかといえばよい」とする回答が人工知能論は90％、データサイエンス入門が70％、情報リテラシーが100％、コンピュータリテラシー入門が84％と、いずれも高い割合を示した。</t>
    <rPh sb="1" eb="3">
      <t>ジンコウ</t>
    </rPh>
    <rPh sb="3" eb="5">
      <t>チノウ</t>
    </rPh>
    <rPh sb="5" eb="6">
      <t>ロン</t>
    </rPh>
    <rPh sb="13" eb="15">
      <t>キマツ</t>
    </rPh>
    <rPh sb="15" eb="17">
      <t>ヒョウカ</t>
    </rPh>
    <rPh sb="18" eb="19">
      <t>マエ</t>
    </rPh>
    <rPh sb="26" eb="27">
      <t>オコナ</t>
    </rPh>
    <rPh sb="32" eb="34">
      <t>ガクセイ</t>
    </rPh>
    <rPh sb="35" eb="37">
      <t>ガクシュウ</t>
    </rPh>
    <rPh sb="37" eb="39">
      <t>セイカ</t>
    </rPh>
    <rPh sb="40" eb="42">
      <t>カクホ</t>
    </rPh>
    <rPh sb="43" eb="44">
      <t>ツト</t>
    </rPh>
    <rPh sb="59" eb="61">
      <t>ニュウモン</t>
    </rPh>
    <rPh sb="68" eb="71">
      <t>カクキョウイン</t>
    </rPh>
    <rPh sb="74" eb="76">
      <t>クフウ</t>
    </rPh>
    <rPh sb="77" eb="78">
      <t>コ</t>
    </rPh>
    <rPh sb="84" eb="85">
      <t>タト</t>
    </rPh>
    <rPh sb="87" eb="90">
      <t>キョウカショ</t>
    </rPh>
    <rPh sb="91" eb="93">
      <t>ナイヨウ</t>
    </rPh>
    <rPh sb="96" eb="98">
      <t>カンケツ</t>
    </rPh>
    <rPh sb="108" eb="110">
      <t>ハイフ</t>
    </rPh>
    <rPh sb="117" eb="119">
      <t>ガクセイ</t>
    </rPh>
    <rPh sb="120" eb="123">
      <t>リカイド</t>
    </rPh>
    <rPh sb="123" eb="125">
      <t>コウジョウ</t>
    </rPh>
    <rPh sb="126" eb="127">
      <t>ツト</t>
    </rPh>
    <rPh sb="137" eb="139">
      <t>トクチョウ</t>
    </rPh>
    <rPh sb="147" eb="149">
      <t>ネンド</t>
    </rPh>
    <rPh sb="155" eb="157">
      <t>テキヨウ</t>
    </rPh>
    <rPh sb="157" eb="159">
      <t>カモク</t>
    </rPh>
    <rPh sb="160" eb="163">
      <t>リカイド</t>
    </rPh>
    <rPh sb="166" eb="168">
      <t>リカイ</t>
    </rPh>
    <rPh sb="181" eb="183">
      <t>リカイ</t>
    </rPh>
    <rPh sb="190" eb="192">
      <t>カイトウ</t>
    </rPh>
    <rPh sb="194" eb="196">
      <t>ジンコウ</t>
    </rPh>
    <rPh sb="196" eb="198">
      <t>チノウ</t>
    </rPh>
    <rPh sb="198" eb="199">
      <t>ロン</t>
    </rPh>
    <rPh sb="212" eb="214">
      <t>ニュウモン</t>
    </rPh>
    <rPh sb="219" eb="221">
      <t>ジョウホウ</t>
    </rPh>
    <rPh sb="243" eb="245">
      <t>ニュウモン</t>
    </rPh>
    <rPh sb="255" eb="256">
      <t>タカ</t>
    </rPh>
    <rPh sb="257" eb="259">
      <t>ワリアイ</t>
    </rPh>
    <rPh sb="260" eb="261">
      <t>シメ</t>
    </rPh>
    <rPh sb="285" eb="287">
      <t>ソウゴウ</t>
    </rPh>
    <rPh sb="287" eb="289">
      <t>ヒョウカ</t>
    </rPh>
    <rPh sb="290" eb="293">
      <t>マンゾクド</t>
    </rPh>
    <rPh sb="294" eb="295">
      <t>ミ</t>
    </rPh>
    <rPh sb="300" eb="302">
      <t>カノウ</t>
    </rPh>
    <rPh sb="328" eb="330">
      <t>カイトウ</t>
    </rPh>
    <phoneticPr fontId="3"/>
  </si>
  <si>
    <t>NUMデータサイエンス教育プログラムの中心科目である「人工知能論」は、令和2年度（2020年度）に開講された。また、令和３年度（2021年度）からは「コンピュータリテラシー入門」「データサイエンス入門」を開講した。情報リテラシーについては平成29年度（2017年度）以前より開講している。
該当科目をすべて履修した者が本プログラムの履修者数であり、2021年度の履修状況および修了状況は以下のようになる。
経営情報学科：履修者数　72名　　　修了者数　64名（2022年度現在）
スポーツマネジメント学科：履修者数　10名　　修了者数　6名（2022年度現在）　　　</t>
    <rPh sb="27" eb="29">
      <t>ジンコウ</t>
    </rPh>
    <rPh sb="29" eb="31">
      <t>チノウ</t>
    </rPh>
    <rPh sb="31" eb="32">
      <t>ロン</t>
    </rPh>
    <rPh sb="35" eb="37">
      <t>レイワ</t>
    </rPh>
    <rPh sb="58" eb="60">
      <t>レイワ</t>
    </rPh>
    <rPh sb="61" eb="63">
      <t>ネンド</t>
    </rPh>
    <rPh sb="68" eb="69">
      <t>ネン</t>
    </rPh>
    <rPh sb="69" eb="70">
      <t>ド</t>
    </rPh>
    <rPh sb="86" eb="88">
      <t>ニュウモン</t>
    </rPh>
    <rPh sb="98" eb="100">
      <t>ニュウモン</t>
    </rPh>
    <rPh sb="146" eb="148">
      <t>ガイトウ</t>
    </rPh>
    <rPh sb="148" eb="150">
      <t>カモク</t>
    </rPh>
    <rPh sb="179" eb="181">
      <t>ネンド</t>
    </rPh>
    <rPh sb="194" eb="196">
      <t>イカ</t>
    </rPh>
    <rPh sb="204" eb="206">
      <t>ケイエイ</t>
    </rPh>
    <rPh sb="206" eb="208">
      <t>ジョウホウ</t>
    </rPh>
    <rPh sb="208" eb="210">
      <t>ガッカ</t>
    </rPh>
    <rPh sb="211" eb="213">
      <t>リシュウ</t>
    </rPh>
    <rPh sb="213" eb="214">
      <t>シャ</t>
    </rPh>
    <rPh sb="214" eb="215">
      <t>スウ</t>
    </rPh>
    <rPh sb="218" eb="219">
      <t>メイ</t>
    </rPh>
    <rPh sb="222" eb="225">
      <t>シュウリョウシャ</t>
    </rPh>
    <rPh sb="225" eb="226">
      <t>スウ</t>
    </rPh>
    <rPh sb="229" eb="230">
      <t>メイ</t>
    </rPh>
    <rPh sb="235" eb="237">
      <t>ネンド</t>
    </rPh>
    <rPh sb="237" eb="239">
      <t>ゲンザイ</t>
    </rPh>
    <rPh sb="251" eb="253">
      <t>ガッカ</t>
    </rPh>
    <rPh sb="254" eb="256">
      <t>リシュウ</t>
    </rPh>
    <rPh sb="256" eb="257">
      <t>シャ</t>
    </rPh>
    <rPh sb="257" eb="258">
      <t>スウ</t>
    </rPh>
    <rPh sb="261" eb="262">
      <t>メイ</t>
    </rPh>
    <rPh sb="264" eb="267">
      <t>シュウリョウシャ</t>
    </rPh>
    <rPh sb="267" eb="268">
      <t>スウ</t>
    </rPh>
    <rPh sb="270" eb="271">
      <t>メイ</t>
    </rPh>
    <rPh sb="276" eb="278">
      <t>ネンド</t>
    </rPh>
    <rPh sb="278" eb="280">
      <t>ゲンザイ</t>
    </rPh>
    <phoneticPr fontId="3"/>
  </si>
  <si>
    <r>
      <t>・AI等を活用した新しいビジネスモデル(シェアリングエコノミー、商品のレコメンデーションなど)「人工知能論」（</t>
    </r>
    <r>
      <rPr>
        <sz val="12"/>
        <rFont val="游ゴシック"/>
        <family val="3"/>
        <charset val="128"/>
        <scheme val="minor"/>
      </rPr>
      <t>14回目</t>
    </r>
    <r>
      <rPr>
        <sz val="12"/>
        <rFont val="游ゴシック"/>
        <family val="2"/>
        <charset val="128"/>
        <scheme val="minor"/>
      </rPr>
      <t>）
・AI最新技術の活用例（深層生成モデル、敵対的生成ネットワーク、強化学習、転移学習など）「人工知能論」（</t>
    </r>
    <r>
      <rPr>
        <sz val="12"/>
        <rFont val="游ゴシック"/>
        <family val="3"/>
        <charset val="128"/>
        <scheme val="minor"/>
      </rPr>
      <t>10回目</t>
    </r>
    <r>
      <rPr>
        <sz val="12"/>
        <rFont val="游ゴシック"/>
        <family val="2"/>
        <charset val="128"/>
        <scheme val="minor"/>
      </rPr>
      <t>）</t>
    </r>
    <phoneticPr fontId="3"/>
  </si>
  <si>
    <r>
      <t>・調査データ、実験データ、人の行動ログデータ、機械の稼働ログデータなど「情報リテラシー」（1回目）</t>
    </r>
    <r>
      <rPr>
        <sz val="12"/>
        <rFont val="游ゴシック"/>
        <family val="2"/>
        <charset val="128"/>
        <scheme val="minor"/>
      </rPr>
      <t xml:space="preserve">
</t>
    </r>
    <r>
      <rPr>
        <sz val="12"/>
        <rFont val="游ゴシック"/>
        <family val="3"/>
        <charset val="128"/>
        <scheme val="minor"/>
      </rPr>
      <t>・1次データ、2次データ、データのメタ化「情報リテラシー」（4回目）</t>
    </r>
    <r>
      <rPr>
        <sz val="12"/>
        <rFont val="游ゴシック"/>
        <family val="2"/>
        <charset val="128"/>
        <scheme val="minor"/>
      </rPr>
      <t xml:space="preserve">
</t>
    </r>
    <r>
      <rPr>
        <sz val="12"/>
        <rFont val="游ゴシック"/>
        <family val="3"/>
        <charset val="128"/>
        <scheme val="minor"/>
      </rPr>
      <t>・構造化データ、非構造化データ（文章、画像/動画、音声/音楽など）「人工知能論」（7回目）</t>
    </r>
    <phoneticPr fontId="3"/>
  </si>
  <si>
    <r>
      <t>・データ・AI活用領域の広がり(生産、消費、文化活動など)「情報リテラシー」（1回目）、「人工知能論」（3回目）</t>
    </r>
    <r>
      <rPr>
        <sz val="12"/>
        <rFont val="游ゴシック"/>
        <family val="2"/>
        <charset val="128"/>
        <scheme val="minor"/>
      </rPr>
      <t xml:space="preserve">
・研究開発、調達、製造、物流、販売、マーケティング、サービスなど</t>
    </r>
    <r>
      <rPr>
        <sz val="12"/>
        <rFont val="游ゴシック"/>
        <family val="3"/>
        <charset val="128"/>
        <scheme val="minor"/>
      </rPr>
      <t>「人工知能論」（1回目）
・仮説検証、知識発見、原因究明、計画策定、判断支援、活動代替、新規生成など「人工知能論」（7回目）</t>
    </r>
    <phoneticPr fontId="3"/>
  </si>
  <si>
    <r>
      <t>・データ解析：予測、グルーピング、パターン発見、最適化、シミュレーション・データ同化など「データサイエンス入門」（3回目）
・データ可視化：複合グラフ、2軸グラフ、多次元の可視化、関係性の可視化、地図上の可視化、
挙動・軌跡の可視化、リアルタイム可視化など「データサイエンス入門」（4回目）</t>
    </r>
    <r>
      <rPr>
        <sz val="12"/>
        <rFont val="游ゴシック"/>
        <family val="2"/>
        <charset val="128"/>
        <scheme val="minor"/>
      </rPr>
      <t xml:space="preserve">
・非構造化データ処理：言語処理、画像/動画処理、音声/音楽処理など</t>
    </r>
    <r>
      <rPr>
        <sz val="12"/>
        <rFont val="游ゴシック"/>
        <family val="3"/>
        <charset val="128"/>
        <scheme val="minor"/>
      </rPr>
      <t>「人工知能論」（9回目）
・特化型AIと汎用AI、今のAIで出来ることと出来ないこと、AIとビッグデータ「人工知能論」（10回目）
・認識技術、ルールベース、自動化技術「人工知能論」（11回目）</t>
    </r>
    <phoneticPr fontId="3"/>
  </si>
  <si>
    <t>https://www.niigataum.ac.jp/wp-content/uploads/2022/05/fd5ac0b34ea23ad80bb7aa0728f2e9db.pdf</t>
    <phoneticPr fontId="3"/>
  </si>
  <si>
    <t>https://www.niigataum.ac.jp/wp-content/uploads/2022/05/c0ea5906775ce92e073042571af3a663.pdf</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</si>
</sst>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2" x14ac:knownFonts="1">
    <font>
      <sz val="11"/>
      <color theme="1"/>
      <name val="游ゴシック"/>
      <family val="2"/>
      <charset val="128"/>
      <scheme val="minor"/>
    </font>
    <font>
      <sz val="11"/>
      <color theme="1"/>
      <name val="游ゴシック"/>
      <family val="2"/>
      <charset val="128"/>
      <scheme val="minor"/>
    </font>
    <font>
      <sz val="12"/>
      <name val="游ゴシック"/>
      <family val="2"/>
      <charset val="128"/>
      <scheme val="minor"/>
    </font>
    <font>
      <sz val="6"/>
      <name val="游ゴシック"/>
      <family val="2"/>
      <charset val="128"/>
      <scheme val="minor"/>
    </font>
    <font>
      <sz val="14"/>
      <name val="游ゴシック"/>
      <family val="3"/>
      <charset val="128"/>
      <scheme val="minor"/>
    </font>
    <font>
      <sz val="12"/>
      <name val="游ゴシック"/>
      <family val="3"/>
      <charset val="128"/>
      <scheme val="minor"/>
    </font>
    <font>
      <sz val="8"/>
      <name val="游ゴシック"/>
      <family val="3"/>
      <charset val="128"/>
      <scheme val="minor"/>
    </font>
    <font>
      <sz val="9"/>
      <name val="游ゴシック"/>
      <family val="3"/>
      <charset val="128"/>
      <scheme val="minor"/>
    </font>
    <font>
      <sz val="11"/>
      <name val="游ゴシック"/>
      <family val="2"/>
      <charset val="128"/>
      <scheme val="minor"/>
    </font>
    <font>
      <sz val="12"/>
      <name val="Microsoft JhengHei UI"/>
      <family val="3"/>
      <charset val="134"/>
    </font>
    <font>
      <sz val="11"/>
      <name val="游ゴシック"/>
      <family val="3"/>
      <charset val="128"/>
      <scheme val="minor"/>
    </font>
    <font>
      <sz val="12"/>
      <color rgb="FFFF0000"/>
      <name val="游ゴシック"/>
      <family val="2"/>
      <charset val="128"/>
      <scheme val="minor"/>
    </font>
    <font>
      <sz val="13"/>
      <name val="游ゴシック"/>
      <family val="3"/>
      <charset val="128"/>
      <scheme val="minor"/>
    </font>
    <font>
      <u/>
      <sz val="11"/>
      <color theme="10"/>
      <name val="游ゴシック"/>
      <family val="2"/>
      <charset val="128"/>
      <scheme val="minor"/>
    </font>
    <font>
      <u/>
      <sz val="11"/>
      <name val="游ゴシック"/>
      <family val="3"/>
      <charset val="128"/>
      <scheme val="minor"/>
    </font>
    <font>
      <sz val="12"/>
      <color theme="1"/>
      <name val="游ゴシック"/>
      <family val="2"/>
      <charset val="128"/>
      <scheme val="minor"/>
    </font>
    <font>
      <sz val="14"/>
      <color theme="1"/>
      <name val="游ゴシック"/>
      <family val="3"/>
      <charset val="128"/>
      <scheme val="minor"/>
    </font>
    <font>
      <sz val="12"/>
      <color theme="1"/>
      <name val="游ゴシック"/>
      <family val="3"/>
      <charset val="128"/>
      <scheme val="minor"/>
    </font>
    <font>
      <sz val="10"/>
      <color theme="1"/>
      <name val="游ゴシック"/>
      <family val="3"/>
      <charset val="128"/>
      <scheme val="minor"/>
    </font>
    <font>
      <sz val="7"/>
      <color theme="1"/>
      <name val="游ゴシック"/>
      <family val="3"/>
      <charset val="128"/>
      <scheme val="minor"/>
    </font>
    <font>
      <sz val="11"/>
      <color theme="1"/>
      <name val="游ゴシック"/>
      <family val="3"/>
      <charset val="128"/>
      <scheme val="minor"/>
    </font>
    <font>
      <u/>
      <sz val="11"/>
      <name val="游ゴシック"/>
      <family val="2"/>
      <charset val="128"/>
      <scheme val="minor"/>
    </font>
  </fonts>
  <fills count="2">
    <fill>
      <patternFill patternType="none"/>
    </fill>
    <fill>
      <patternFill patternType="gray125"/>
    </fill>
  </fills>
  <borders count="5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hair">
        <color auto="1"/>
      </top>
      <bottom style="thin">
        <color auto="1"/>
      </bottom>
      <diagonal/>
    </border>
    <border>
      <left style="thin">
        <color auto="1"/>
      </left>
      <right style="hair">
        <color auto="1"/>
      </right>
      <top style="thin">
        <color auto="1"/>
      </top>
      <bottom/>
      <diagonal/>
    </border>
    <border>
      <left style="hair">
        <color auto="1"/>
      </left>
      <right style="thin">
        <color auto="1"/>
      </right>
      <top style="thin">
        <color auto="1"/>
      </top>
      <bottom/>
      <diagonal/>
    </border>
    <border>
      <left style="thin">
        <color auto="1"/>
      </left>
      <right style="hair">
        <color auto="1"/>
      </right>
      <top/>
      <bottom/>
      <diagonal/>
    </border>
    <border>
      <left style="hair">
        <color auto="1"/>
      </left>
      <right style="thin">
        <color auto="1"/>
      </right>
      <top style="hair">
        <color auto="1"/>
      </top>
      <bottom/>
      <diagonal/>
    </border>
    <border>
      <left/>
      <right/>
      <top style="hair">
        <color auto="1"/>
      </top>
      <bottom/>
      <diagonal/>
    </border>
    <border>
      <left/>
      <right style="thin">
        <color auto="1"/>
      </right>
      <top style="hair">
        <color auto="1"/>
      </top>
      <bottom/>
      <diagonal/>
    </border>
    <border>
      <left style="hair">
        <color auto="1"/>
      </left>
      <right style="thin">
        <color auto="1"/>
      </right>
      <top style="thin">
        <color auto="1"/>
      </top>
      <bottom style="hair">
        <color auto="1"/>
      </bottom>
      <diagonal/>
    </border>
    <border>
      <left style="thin">
        <color auto="1"/>
      </left>
      <right style="hair">
        <color auto="1"/>
      </right>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style="thin">
        <color auto="1"/>
      </bottom>
      <diagonal/>
    </border>
    <border>
      <left style="hair">
        <color auto="1"/>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top style="hair">
        <color auto="1"/>
      </top>
      <bottom/>
      <diagonal/>
    </border>
    <border>
      <left style="thin">
        <color auto="1"/>
      </left>
      <right style="thin">
        <color auto="1"/>
      </right>
      <top style="thin">
        <color auto="1"/>
      </top>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style="thin">
        <color auto="1"/>
      </right>
      <top style="double">
        <color auto="1"/>
      </top>
      <bottom style="thin">
        <color auto="1"/>
      </bottom>
      <diagonal/>
    </border>
    <border>
      <left/>
      <right/>
      <top style="double">
        <color auto="1"/>
      </top>
      <bottom style="thin">
        <color auto="1"/>
      </bottom>
      <diagonal/>
    </border>
    <border>
      <left style="thin">
        <color auto="1"/>
      </left>
      <right/>
      <top style="double">
        <color auto="1"/>
      </top>
      <bottom style="thin">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double">
        <color auto="1"/>
      </top>
      <bottom style="thin">
        <color auto="1"/>
      </bottom>
      <diagonal/>
    </border>
    <border>
      <left style="hair">
        <color auto="1"/>
      </left>
      <right/>
      <top style="hair">
        <color auto="1"/>
      </top>
      <bottom style="hair">
        <color auto="1"/>
      </bottom>
      <diagonal/>
    </border>
  </borders>
  <cellStyleXfs count="3">
    <xf numFmtId="0" fontId="0" fillId="0" borderId="0">
      <alignment vertical="center"/>
    </xf>
    <xf numFmtId="38" fontId="1" fillId="0" borderId="0" applyFont="0" applyFill="0" applyBorder="0" applyAlignment="0" applyProtection="0">
      <alignment vertical="center"/>
    </xf>
    <xf numFmtId="0" fontId="13" fillId="0" borderId="0" applyNumberFormat="0" applyFill="0" applyBorder="0" applyAlignment="0" applyProtection="0">
      <alignment vertical="center"/>
    </xf>
  </cellStyleXfs>
  <cellXfs count="294">
    <xf numFmtId="0" fontId="0" fillId="0" borderId="0" xfId="0">
      <alignment vertical="center"/>
    </xf>
    <xf numFmtId="0" fontId="2" fillId="0" borderId="0" xfId="0" applyFont="1">
      <alignment vertical="center"/>
    </xf>
    <xf numFmtId="0" fontId="5" fillId="0" borderId="0" xfId="0" applyFont="1" applyAlignment="1">
      <alignment horizontal="center" vertical="center"/>
    </xf>
    <xf numFmtId="0" fontId="5" fillId="0" borderId="0" xfId="0" applyFont="1">
      <alignment vertical="center"/>
    </xf>
    <xf numFmtId="0" fontId="5" fillId="0" borderId="0" xfId="0" applyFont="1" applyAlignment="1">
      <alignment horizontal="left" vertical="center"/>
    </xf>
    <xf numFmtId="0" fontId="5" fillId="0" borderId="12" xfId="0" applyFont="1" applyBorder="1" applyAlignment="1">
      <alignment vertical="center" shrinkToFit="1"/>
    </xf>
    <xf numFmtId="0" fontId="6" fillId="0" borderId="3" xfId="0" applyFont="1" applyBorder="1" applyAlignment="1">
      <alignment horizontal="center" vertical="center" shrinkToFit="1"/>
    </xf>
    <xf numFmtId="49" fontId="7" fillId="0" borderId="12" xfId="0" applyNumberFormat="1" applyFont="1" applyBorder="1" applyAlignment="1">
      <alignment horizontal="center" vertical="center"/>
    </xf>
    <xf numFmtId="0" fontId="5" fillId="0" borderId="16"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4" xfId="0" applyFont="1" applyBorder="1" applyAlignment="1">
      <alignment horizontal="center" vertical="center" shrinkToFit="1"/>
    </xf>
    <xf numFmtId="0" fontId="5" fillId="0" borderId="25" xfId="0" applyFont="1" applyBorder="1" applyAlignment="1">
      <alignment horizontal="center" vertical="center" shrinkToFit="1"/>
    </xf>
    <xf numFmtId="0" fontId="5" fillId="0" borderId="0" xfId="0" applyFont="1" applyAlignment="1">
      <alignment vertical="center" shrinkToFit="1"/>
    </xf>
    <xf numFmtId="0" fontId="5" fillId="0" borderId="0" xfId="0" applyFont="1" applyAlignment="1">
      <alignment vertical="top" wrapText="1"/>
    </xf>
    <xf numFmtId="0" fontId="5" fillId="0" borderId="1" xfId="0" applyFont="1" applyBorder="1">
      <alignment vertical="center"/>
    </xf>
    <xf numFmtId="0" fontId="5" fillId="0" borderId="2" xfId="0" applyFont="1" applyBorder="1">
      <alignment vertical="center"/>
    </xf>
    <xf numFmtId="0" fontId="5" fillId="0" borderId="3" xfId="0" applyFont="1" applyBorder="1">
      <alignment vertical="center"/>
    </xf>
    <xf numFmtId="0" fontId="5" fillId="0" borderId="0" xfId="0" applyFont="1" applyAlignment="1">
      <alignment horizontal="center" vertical="center" shrinkToFit="1"/>
    </xf>
    <xf numFmtId="0" fontId="2" fillId="0" borderId="1" xfId="0" applyFont="1" applyBorder="1">
      <alignment vertical="center"/>
    </xf>
    <xf numFmtId="0" fontId="2" fillId="0" borderId="3" xfId="0" applyFont="1" applyBorder="1">
      <alignment vertical="center"/>
    </xf>
    <xf numFmtId="49" fontId="7" fillId="0" borderId="27" xfId="0" applyNumberFormat="1" applyFont="1" applyBorder="1" applyAlignment="1">
      <alignment horizontal="center" vertical="center"/>
    </xf>
    <xf numFmtId="49" fontId="7" fillId="0" borderId="29" xfId="0" applyNumberFormat="1" applyFont="1" applyBorder="1" applyAlignment="1">
      <alignment horizontal="center" vertical="center"/>
    </xf>
    <xf numFmtId="49" fontId="7" fillId="0" borderId="32" xfId="0" applyNumberFormat="1" applyFont="1" applyBorder="1" applyAlignment="1">
      <alignment horizontal="center" vertical="center"/>
    </xf>
    <xf numFmtId="49" fontId="7" fillId="0" borderId="34" xfId="0" applyNumberFormat="1" applyFont="1" applyBorder="1" applyAlignment="1">
      <alignment horizontal="center" vertical="center"/>
    </xf>
    <xf numFmtId="49" fontId="7" fillId="0" borderId="35" xfId="0" applyNumberFormat="1" applyFont="1" applyBorder="1" applyAlignment="1">
      <alignment horizontal="center" vertical="center"/>
    </xf>
    <xf numFmtId="49" fontId="7" fillId="0" borderId="36" xfId="0" applyNumberFormat="1" applyFont="1" applyBorder="1" applyAlignment="1">
      <alignment horizontal="center" vertical="center"/>
    </xf>
    <xf numFmtId="0" fontId="11" fillId="0" borderId="0" xfId="0" applyFont="1">
      <alignment vertical="center"/>
    </xf>
    <xf numFmtId="0" fontId="5" fillId="0" borderId="12" xfId="0" applyFont="1" applyBorder="1" applyAlignment="1">
      <alignment horizontal="center" vertical="center" shrinkToFit="1"/>
    </xf>
    <xf numFmtId="0" fontId="5" fillId="0" borderId="7" xfId="0" applyFont="1" applyBorder="1">
      <alignment vertical="center"/>
    </xf>
    <xf numFmtId="176" fontId="5" fillId="0" borderId="0" xfId="0" applyNumberFormat="1" applyFont="1" applyAlignment="1">
      <alignment vertical="center" wrapText="1"/>
    </xf>
    <xf numFmtId="176" fontId="5" fillId="0" borderId="7" xfId="0" applyNumberFormat="1" applyFont="1" applyBorder="1">
      <alignment vertical="center"/>
    </xf>
    <xf numFmtId="176" fontId="5" fillId="0" borderId="0" xfId="0" applyNumberFormat="1" applyFont="1">
      <alignment vertical="center"/>
    </xf>
    <xf numFmtId="176" fontId="5" fillId="0" borderId="2" xfId="0" applyNumberFormat="1" applyFont="1" applyBorder="1" applyAlignment="1">
      <alignment vertical="center" shrinkToFit="1"/>
    </xf>
    <xf numFmtId="176" fontId="5" fillId="0" borderId="0" xfId="0" applyNumberFormat="1" applyFont="1" applyAlignment="1">
      <alignment horizontal="left" vertical="center" wrapText="1"/>
    </xf>
    <xf numFmtId="0" fontId="5" fillId="0" borderId="10" xfId="0" applyFont="1" applyBorder="1" applyAlignment="1">
      <alignment vertical="center" shrinkToFit="1"/>
    </xf>
    <xf numFmtId="0" fontId="5" fillId="0" borderId="8" xfId="0" applyFont="1" applyBorder="1" applyAlignment="1">
      <alignment vertical="center" shrinkToFit="1"/>
    </xf>
    <xf numFmtId="0" fontId="5" fillId="0" borderId="12" xfId="0" applyFont="1" applyBorder="1">
      <alignment vertical="center"/>
    </xf>
    <xf numFmtId="0" fontId="15" fillId="0" borderId="0" xfId="0" applyFont="1">
      <alignment vertical="center"/>
    </xf>
    <xf numFmtId="0" fontId="17" fillId="0" borderId="0" xfId="0" applyFont="1" applyAlignment="1">
      <alignment horizontal="center" vertical="center"/>
    </xf>
    <xf numFmtId="0" fontId="17" fillId="0" borderId="0" xfId="0" applyFont="1">
      <alignment vertical="center"/>
    </xf>
    <xf numFmtId="0" fontId="5" fillId="0" borderId="4" xfId="0" applyFont="1" applyBorder="1" applyAlignment="1">
      <alignment horizontal="center" vertical="center" wrapText="1" shrinkToFit="1"/>
    </xf>
    <xf numFmtId="9" fontId="5" fillId="0" borderId="5" xfId="0" applyNumberFormat="1" applyFont="1" applyBorder="1" applyAlignment="1">
      <alignment horizontal="center" vertical="center" wrapText="1" shrinkToFit="1"/>
    </xf>
    <xf numFmtId="0" fontId="5" fillId="0" borderId="5" xfId="0" applyFont="1" applyBorder="1" applyAlignment="1">
      <alignment horizontal="center" vertical="center" wrapText="1" shrinkToFit="1"/>
    </xf>
    <xf numFmtId="9" fontId="5" fillId="0" borderId="5" xfId="0" applyNumberFormat="1" applyFont="1" applyBorder="1" applyAlignment="1">
      <alignment horizontal="center" vertical="center" shrinkToFit="1"/>
    </xf>
    <xf numFmtId="0" fontId="5" fillId="0" borderId="6" xfId="0" applyFont="1" applyBorder="1" applyAlignment="1">
      <alignment horizontal="center" vertical="center" shrinkToFit="1"/>
    </xf>
    <xf numFmtId="0" fontId="5" fillId="0" borderId="37" xfId="0" applyFont="1" applyBorder="1" applyAlignment="1">
      <alignment horizontal="center" vertical="center" shrinkToFit="1"/>
    </xf>
    <xf numFmtId="9" fontId="5" fillId="0" borderId="38" xfId="0" applyNumberFormat="1" applyFont="1" applyBorder="1" applyAlignment="1">
      <alignment horizontal="center" vertical="center" shrinkToFit="1"/>
    </xf>
    <xf numFmtId="0" fontId="5" fillId="0" borderId="38" xfId="0" applyFont="1" applyBorder="1" applyAlignment="1">
      <alignment horizontal="center" vertical="center" shrinkToFit="1"/>
    </xf>
    <xf numFmtId="176" fontId="5" fillId="0" borderId="38" xfId="0" applyNumberFormat="1" applyFont="1" applyBorder="1" applyAlignment="1">
      <alignment horizontal="center" vertical="center" shrinkToFit="1"/>
    </xf>
    <xf numFmtId="0" fontId="5" fillId="0" borderId="39" xfId="0" applyFont="1" applyBorder="1" applyAlignment="1">
      <alignment horizontal="center" vertical="center" shrinkToFit="1"/>
    </xf>
    <xf numFmtId="0" fontId="17" fillId="0" borderId="0" xfId="0" applyFont="1" applyAlignment="1">
      <alignment horizontal="left" vertical="center"/>
    </xf>
    <xf numFmtId="0" fontId="17" fillId="0" borderId="0" xfId="0" applyFont="1" applyAlignment="1">
      <alignment vertical="center" shrinkToFit="1"/>
    </xf>
    <xf numFmtId="0" fontId="20" fillId="0" borderId="0" xfId="0" applyFont="1">
      <alignment vertical="center"/>
    </xf>
    <xf numFmtId="0" fontId="19" fillId="0" borderId="9" xfId="0" applyFont="1" applyBorder="1" applyAlignment="1">
      <alignment horizontal="center" vertical="center"/>
    </xf>
    <xf numFmtId="0" fontId="19" fillId="0" borderId="34" xfId="0" applyFont="1" applyBorder="1" applyAlignment="1">
      <alignment horizontal="center" vertical="center" wrapText="1"/>
    </xf>
    <xf numFmtId="0" fontId="19" fillId="0" borderId="42" xfId="0" applyFont="1" applyBorder="1" applyAlignment="1">
      <alignment horizontal="center" vertical="center"/>
    </xf>
    <xf numFmtId="0" fontId="19" fillId="0" borderId="11" xfId="0" applyFont="1" applyBorder="1" applyAlignment="1">
      <alignment horizontal="center" vertical="center" wrapText="1"/>
    </xf>
    <xf numFmtId="0" fontId="17" fillId="0" borderId="7" xfId="0" applyFont="1" applyBorder="1" applyAlignment="1">
      <alignment vertical="center" shrinkToFit="1"/>
    </xf>
    <xf numFmtId="176" fontId="17" fillId="0" borderId="7" xfId="0" applyNumberFormat="1" applyFont="1" applyBorder="1" applyAlignment="1">
      <alignment vertical="center" shrinkToFit="1"/>
    </xf>
    <xf numFmtId="176" fontId="17" fillId="0" borderId="43" xfId="0" applyNumberFormat="1" applyFont="1" applyBorder="1" applyAlignment="1">
      <alignment vertical="center" shrinkToFit="1"/>
    </xf>
    <xf numFmtId="176" fontId="17" fillId="0" borderId="28" xfId="0" applyNumberFormat="1" applyFont="1" applyBorder="1" applyAlignment="1">
      <alignment vertical="center" shrinkToFit="1"/>
    </xf>
    <xf numFmtId="176" fontId="17" fillId="0" borderId="8" xfId="0" applyNumberFormat="1" applyFont="1" applyBorder="1" applyAlignment="1">
      <alignment vertical="center" shrinkToFit="1"/>
    </xf>
    <xf numFmtId="176" fontId="17" fillId="0" borderId="16" xfId="0" applyNumberFormat="1" applyFont="1" applyBorder="1" applyAlignment="1">
      <alignment vertical="center" shrinkToFit="1"/>
    </xf>
    <xf numFmtId="9" fontId="17" fillId="0" borderId="8" xfId="0" applyNumberFormat="1" applyFont="1" applyBorder="1" applyAlignment="1">
      <alignment vertical="center" shrinkToFit="1"/>
    </xf>
    <xf numFmtId="0" fontId="17" fillId="0" borderId="20" xfId="0" applyFont="1" applyBorder="1" applyAlignment="1">
      <alignment horizontal="left" vertical="center" shrinkToFit="1"/>
    </xf>
    <xf numFmtId="0" fontId="17" fillId="0" borderId="18" xfId="0" applyFont="1" applyBorder="1" applyAlignment="1">
      <alignment vertical="center" shrinkToFit="1"/>
    </xf>
    <xf numFmtId="0" fontId="17" fillId="0" borderId="17" xfId="0" applyFont="1" applyBorder="1" applyAlignment="1">
      <alignment vertical="center" shrinkToFit="1"/>
    </xf>
    <xf numFmtId="176" fontId="17" fillId="0" borderId="17" xfId="0" applyNumberFormat="1" applyFont="1" applyBorder="1" applyAlignment="1">
      <alignment vertical="center" shrinkToFit="1"/>
    </xf>
    <xf numFmtId="176" fontId="17" fillId="0" borderId="36" xfId="0" applyNumberFormat="1" applyFont="1" applyBorder="1" applyAlignment="1">
      <alignment vertical="center" shrinkToFit="1"/>
    </xf>
    <xf numFmtId="176" fontId="17" fillId="0" borderId="44" xfId="0" applyNumberFormat="1" applyFont="1" applyBorder="1" applyAlignment="1">
      <alignment vertical="center" shrinkToFit="1"/>
    </xf>
    <xf numFmtId="176" fontId="17" fillId="0" borderId="19" xfId="0" applyNumberFormat="1" applyFont="1" applyBorder="1" applyAlignment="1">
      <alignment vertical="center" shrinkToFit="1"/>
    </xf>
    <xf numFmtId="176" fontId="17" fillId="0" borderId="20" xfId="0" applyNumberFormat="1" applyFont="1" applyBorder="1" applyAlignment="1">
      <alignment vertical="center" shrinkToFit="1"/>
    </xf>
    <xf numFmtId="9" fontId="17" fillId="0" borderId="20" xfId="0" applyNumberFormat="1" applyFont="1" applyBorder="1" applyAlignment="1">
      <alignment vertical="center" shrinkToFit="1"/>
    </xf>
    <xf numFmtId="0" fontId="17" fillId="0" borderId="19" xfId="0" applyFont="1" applyBorder="1" applyAlignment="1">
      <alignment vertical="center" shrinkToFit="1"/>
    </xf>
    <xf numFmtId="0" fontId="17" fillId="0" borderId="45" xfId="0" applyFont="1" applyBorder="1" applyAlignment="1">
      <alignment horizontal="left" vertical="center" shrinkToFit="1"/>
    </xf>
    <xf numFmtId="0" fontId="17" fillId="0" borderId="8" xfId="0" applyFont="1" applyBorder="1" applyAlignment="1">
      <alignment vertical="center" shrinkToFit="1"/>
    </xf>
    <xf numFmtId="176" fontId="17" fillId="0" borderId="45" xfId="0" applyNumberFormat="1" applyFont="1" applyBorder="1" applyAlignment="1">
      <alignment vertical="center" shrinkToFit="1"/>
    </xf>
    <xf numFmtId="0" fontId="17" fillId="0" borderId="46" xfId="0" applyFont="1" applyBorder="1" applyAlignment="1">
      <alignment horizontal="center" vertical="center" shrinkToFit="1"/>
    </xf>
    <xf numFmtId="0" fontId="17" fillId="0" borderId="47" xfId="0" applyFont="1" applyBorder="1" applyAlignment="1">
      <alignment vertical="center" shrinkToFit="1"/>
    </xf>
    <xf numFmtId="0" fontId="17" fillId="0" borderId="48" xfId="0" applyFont="1" applyBorder="1" applyAlignment="1">
      <alignment vertical="center" shrinkToFit="1"/>
    </xf>
    <xf numFmtId="176" fontId="17" fillId="0" borderId="48" xfId="0" applyNumberFormat="1" applyFont="1" applyBorder="1" applyAlignment="1">
      <alignment vertical="center" shrinkToFit="1"/>
    </xf>
    <xf numFmtId="176" fontId="17" fillId="0" borderId="49" xfId="0" applyNumberFormat="1" applyFont="1" applyBorder="1" applyAlignment="1">
      <alignment vertical="center" shrinkToFit="1"/>
    </xf>
    <xf numFmtId="176" fontId="17" fillId="0" borderId="50" xfId="0" applyNumberFormat="1" applyFont="1" applyBorder="1" applyAlignment="1">
      <alignment vertical="center" shrinkToFit="1"/>
    </xf>
    <xf numFmtId="176" fontId="17" fillId="0" borderId="51" xfId="0" applyNumberFormat="1" applyFont="1" applyBorder="1" applyAlignment="1">
      <alignment vertical="center" shrinkToFit="1"/>
    </xf>
    <xf numFmtId="176" fontId="17" fillId="0" borderId="46" xfId="0" applyNumberFormat="1" applyFont="1" applyBorder="1" applyAlignment="1">
      <alignment vertical="center" shrinkToFit="1"/>
    </xf>
    <xf numFmtId="9" fontId="17" fillId="0" borderId="51" xfId="0" applyNumberFormat="1" applyFont="1" applyBorder="1" applyAlignment="1">
      <alignment vertical="center" shrinkToFit="1"/>
    </xf>
    <xf numFmtId="0" fontId="17" fillId="0" borderId="0" xfId="0" applyFont="1" applyAlignment="1">
      <alignment vertical="center" shrinkToFit="1"/>
    </xf>
    <xf numFmtId="0" fontId="17" fillId="0" borderId="7" xfId="0" applyFont="1" applyBorder="1" applyAlignment="1">
      <alignment vertical="center" shrinkToFit="1"/>
    </xf>
    <xf numFmtId="176" fontId="17" fillId="0" borderId="7" xfId="0" applyNumberFormat="1" applyFont="1" applyBorder="1" applyAlignment="1">
      <alignment vertical="center" shrinkToFit="1"/>
    </xf>
    <xf numFmtId="176" fontId="17" fillId="0" borderId="43" xfId="0" applyNumberFormat="1" applyFont="1" applyBorder="1" applyAlignment="1">
      <alignment vertical="center" shrinkToFit="1"/>
    </xf>
    <xf numFmtId="0" fontId="17" fillId="0" borderId="20" xfId="0" applyFont="1" applyBorder="1" applyAlignment="1">
      <alignment horizontal="left" vertical="center" shrinkToFit="1"/>
    </xf>
    <xf numFmtId="0" fontId="17" fillId="0" borderId="18" xfId="0" applyFont="1" applyBorder="1" applyAlignment="1">
      <alignment vertical="center" shrinkToFit="1"/>
    </xf>
    <xf numFmtId="0" fontId="17" fillId="0" borderId="17" xfId="0" applyFont="1" applyBorder="1" applyAlignment="1">
      <alignment vertical="center" shrinkToFit="1"/>
    </xf>
    <xf numFmtId="176" fontId="17" fillId="0" borderId="17" xfId="0" applyNumberFormat="1" applyFont="1" applyBorder="1" applyAlignment="1">
      <alignment vertical="center" shrinkToFit="1"/>
    </xf>
    <xf numFmtId="176" fontId="17" fillId="0" borderId="36" xfId="0" applyNumberFormat="1" applyFont="1" applyBorder="1" applyAlignment="1">
      <alignment vertical="center" shrinkToFit="1"/>
    </xf>
    <xf numFmtId="0" fontId="17" fillId="0" borderId="41" xfId="0" applyFont="1" applyBorder="1" applyAlignment="1">
      <alignment horizontal="left" vertical="center" shrinkToFit="1"/>
    </xf>
    <xf numFmtId="0" fontId="5" fillId="0" borderId="0" xfId="0" applyFont="1" applyAlignment="1">
      <alignment horizontal="center" vertical="center"/>
    </xf>
    <xf numFmtId="0" fontId="5" fillId="0" borderId="0" xfId="0" applyFont="1" applyAlignment="1">
      <alignment vertical="center" shrinkToFit="1"/>
    </xf>
    <xf numFmtId="0" fontId="5" fillId="0" borderId="0" xfId="0" applyFont="1" applyAlignment="1">
      <alignment horizontal="right" vertical="center"/>
    </xf>
    <xf numFmtId="0" fontId="5" fillId="0" borderId="23" xfId="0" applyFont="1" applyBorder="1" applyAlignment="1">
      <alignment horizontal="center" vertical="center"/>
    </xf>
    <xf numFmtId="0" fontId="5" fillId="0" borderId="19" xfId="0" applyFont="1" applyBorder="1" applyAlignment="1">
      <alignment horizontal="center" vertical="center"/>
    </xf>
    <xf numFmtId="0" fontId="5" fillId="0" borderId="15" xfId="0" applyFont="1" applyBorder="1" applyAlignment="1">
      <alignment horizontal="center" vertical="center"/>
    </xf>
    <xf numFmtId="0" fontId="5" fillId="0" borderId="0" xfId="0" applyFont="1" applyAlignment="1">
      <alignment vertical="center" wrapText="1"/>
    </xf>
    <xf numFmtId="0" fontId="4" fillId="0" borderId="0" xfId="0" applyFont="1" applyAlignment="1">
      <alignment horizontal="center" vertical="center"/>
    </xf>
    <xf numFmtId="0" fontId="7" fillId="0" borderId="0" xfId="0" applyFont="1">
      <alignment vertical="center"/>
    </xf>
    <xf numFmtId="0" fontId="7" fillId="0" borderId="0" xfId="0" applyFont="1" applyAlignment="1">
      <alignment vertical="top" wrapText="1"/>
    </xf>
    <xf numFmtId="0" fontId="7" fillId="0" borderId="0" xfId="0" applyFont="1" applyAlignment="1">
      <alignment vertical="top" shrinkToFit="1"/>
    </xf>
    <xf numFmtId="0" fontId="7" fillId="0" borderId="0" xfId="0" applyFont="1" applyAlignment="1">
      <alignment vertical="center" wrapText="1"/>
    </xf>
    <xf numFmtId="0" fontId="7" fillId="0" borderId="8" xfId="0" applyFont="1" applyBorder="1" applyAlignment="1">
      <alignment vertical="top" wrapText="1"/>
    </xf>
    <xf numFmtId="0" fontId="7" fillId="0" borderId="7" xfId="0" applyFont="1" applyBorder="1" applyAlignment="1">
      <alignment vertical="top" wrapText="1"/>
    </xf>
    <xf numFmtId="0" fontId="5" fillId="0" borderId="40" xfId="0" applyFont="1" applyBorder="1">
      <alignment vertical="center"/>
    </xf>
    <xf numFmtId="0" fontId="7" fillId="0" borderId="18" xfId="0" applyFont="1" applyBorder="1" applyAlignment="1">
      <alignment vertical="top" wrapText="1"/>
    </xf>
    <xf numFmtId="0" fontId="7" fillId="0" borderId="19" xfId="0" applyFont="1" applyBorder="1" applyAlignment="1">
      <alignment vertical="top" wrapText="1"/>
    </xf>
    <xf numFmtId="0" fontId="7" fillId="0" borderId="18" xfId="0" applyFont="1" applyBorder="1" applyAlignment="1">
      <alignment vertical="top" shrinkToFit="1"/>
    </xf>
    <xf numFmtId="0" fontId="7" fillId="0" borderId="19" xfId="0" applyFont="1" applyBorder="1" applyAlignment="1">
      <alignment vertical="top" shrinkToFit="1"/>
    </xf>
    <xf numFmtId="0" fontId="5" fillId="0" borderId="1" xfId="0" applyFont="1" applyBorder="1" applyAlignment="1">
      <alignment vertical="center" shrinkToFit="1"/>
    </xf>
    <xf numFmtId="0" fontId="5" fillId="0" borderId="2" xfId="0" applyFont="1" applyBorder="1" applyAlignment="1">
      <alignment vertical="center" shrinkToFit="1"/>
    </xf>
    <xf numFmtId="0" fontId="5" fillId="0" borderId="1" xfId="0" applyFont="1" applyBorder="1" applyAlignment="1">
      <alignment horizontal="center"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49" fontId="14" fillId="0" borderId="1" xfId="2" applyNumberFormat="1" applyFont="1" applyBorder="1" applyAlignment="1">
      <alignment vertical="center" shrinkToFit="1"/>
    </xf>
    <xf numFmtId="49" fontId="5" fillId="0" borderId="2" xfId="0" applyNumberFormat="1" applyFont="1" applyBorder="1" applyAlignment="1">
      <alignment vertical="center" shrinkToFit="1"/>
    </xf>
    <xf numFmtId="49" fontId="5" fillId="0" borderId="3" xfId="0" applyNumberFormat="1" applyFont="1" applyBorder="1" applyAlignment="1">
      <alignment vertical="center" shrinkToFit="1"/>
    </xf>
    <xf numFmtId="49" fontId="5" fillId="0" borderId="1" xfId="1" applyNumberFormat="1" applyFont="1" applyBorder="1" applyAlignment="1">
      <alignment horizontal="center" vertical="center" shrinkToFit="1"/>
    </xf>
    <xf numFmtId="49" fontId="5" fillId="0" borderId="2" xfId="1" applyNumberFormat="1" applyFont="1" applyBorder="1" applyAlignment="1">
      <alignment horizontal="center" vertical="center" shrinkToFit="1"/>
    </xf>
    <xf numFmtId="49" fontId="5" fillId="0" borderId="3" xfId="1" applyNumberFormat="1" applyFont="1" applyBorder="1" applyAlignment="1">
      <alignment horizontal="center" vertical="center" shrinkToFit="1"/>
    </xf>
    <xf numFmtId="0" fontId="5" fillId="0" borderId="0" xfId="0" applyFont="1" applyAlignment="1">
      <alignment horizontal="right" vertical="center" shrinkToFit="1"/>
    </xf>
    <xf numFmtId="0" fontId="5" fillId="0" borderId="7" xfId="0" applyFont="1" applyBorder="1" applyAlignment="1">
      <alignment horizontal="right" vertical="center" shrinkToFit="1"/>
    </xf>
    <xf numFmtId="0" fontId="5" fillId="0" borderId="8" xfId="0" applyFont="1" applyBorder="1" applyAlignment="1">
      <alignment horizontal="right" vertical="center" shrinkToFit="1"/>
    </xf>
    <xf numFmtId="176" fontId="5" fillId="0" borderId="1" xfId="0" applyNumberFormat="1" applyFont="1" applyBorder="1" applyAlignment="1">
      <alignment horizontal="center" vertical="center" shrinkToFit="1"/>
    </xf>
    <xf numFmtId="176" fontId="5" fillId="0" borderId="3" xfId="0" applyNumberFormat="1" applyFont="1" applyBorder="1" applyAlignment="1">
      <alignment horizontal="center" vertical="center" shrinkToFit="1"/>
    </xf>
    <xf numFmtId="0" fontId="5" fillId="0" borderId="0" xfId="0" applyFont="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0" xfId="0" applyFont="1" applyAlignment="1">
      <alignment vertical="center" shrinkToFit="1"/>
    </xf>
    <xf numFmtId="176" fontId="5" fillId="0" borderId="1" xfId="0" applyNumberFormat="1" applyFont="1" applyBorder="1" applyAlignment="1">
      <alignment horizontal="center" vertical="center"/>
    </xf>
    <xf numFmtId="176" fontId="5" fillId="0" borderId="2" xfId="0" applyNumberFormat="1" applyFont="1" applyBorder="1" applyAlignment="1">
      <alignment horizontal="center" vertical="center"/>
    </xf>
    <xf numFmtId="176" fontId="5" fillId="0" borderId="3" xfId="0" applyNumberFormat="1" applyFont="1" applyBorder="1" applyAlignment="1">
      <alignment horizontal="center" vertical="center"/>
    </xf>
    <xf numFmtId="0" fontId="5" fillId="0" borderId="0" xfId="0" applyFont="1" applyAlignment="1">
      <alignment horizontal="right" vertical="center"/>
    </xf>
    <xf numFmtId="0" fontId="5" fillId="0" borderId="8" xfId="0" applyFont="1" applyBorder="1" applyAlignment="1">
      <alignment horizontal="right" vertical="center"/>
    </xf>
    <xf numFmtId="176" fontId="5" fillId="0" borderId="2" xfId="0" applyNumberFormat="1" applyFont="1" applyBorder="1" applyAlignment="1">
      <alignment horizontal="center" vertical="center" shrinkToFit="1"/>
    </xf>
    <xf numFmtId="0" fontId="12" fillId="0" borderId="0" xfId="0" applyFont="1" applyAlignment="1">
      <alignment horizontal="center" vertical="center"/>
    </xf>
    <xf numFmtId="0" fontId="2" fillId="0" borderId="4" xfId="0" applyFont="1" applyBorder="1" applyAlignment="1">
      <alignment vertical="center" wrapText="1" shrinkToFit="1"/>
    </xf>
    <xf numFmtId="0" fontId="2" fillId="0" borderId="5" xfId="0" applyFont="1" applyBorder="1" applyAlignment="1">
      <alignment vertical="center" shrinkToFit="1"/>
    </xf>
    <xf numFmtId="0" fontId="2" fillId="0" borderId="6" xfId="0" applyFont="1" applyBorder="1" applyAlignment="1">
      <alignment vertical="center" shrinkToFit="1"/>
    </xf>
    <xf numFmtId="0" fontId="2" fillId="0" borderId="7" xfId="0" applyFont="1" applyBorder="1" applyAlignment="1">
      <alignment vertical="center" shrinkToFit="1"/>
    </xf>
    <xf numFmtId="0" fontId="2" fillId="0" borderId="0" xfId="0" applyFont="1" applyAlignment="1">
      <alignment vertical="center" shrinkToFit="1"/>
    </xf>
    <xf numFmtId="0" fontId="2" fillId="0" borderId="8" xfId="0" applyFont="1" applyBorder="1" applyAlignment="1">
      <alignment vertical="center" shrinkToFit="1"/>
    </xf>
    <xf numFmtId="0" fontId="2" fillId="0" borderId="9" xfId="0" applyFont="1" applyBorder="1" applyAlignment="1">
      <alignment vertical="center" shrinkToFit="1"/>
    </xf>
    <xf numFmtId="0" fontId="2" fillId="0" borderId="10" xfId="0" applyFont="1" applyBorder="1" applyAlignment="1">
      <alignment vertical="center" shrinkToFit="1"/>
    </xf>
    <xf numFmtId="0" fontId="2" fillId="0" borderId="11" xfId="0" applyFont="1" applyBorder="1" applyAlignment="1">
      <alignment vertical="center" shrinkToFit="1"/>
    </xf>
    <xf numFmtId="0" fontId="21" fillId="0" borderId="1" xfId="2" applyFont="1" applyBorder="1" applyAlignment="1">
      <alignment vertical="center" wrapText="1"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8" fillId="0" borderId="26" xfId="0" applyFont="1" applyBorder="1" applyAlignment="1">
      <alignment vertical="center" wrapText="1"/>
    </xf>
    <xf numFmtId="0" fontId="10" fillId="0" borderId="28" xfId="0" applyFont="1" applyBorder="1" applyAlignment="1">
      <alignment vertical="center" wrapText="1"/>
    </xf>
    <xf numFmtId="0" fontId="5" fillId="0" borderId="5" xfId="0" applyFont="1" applyBorder="1" applyAlignment="1">
      <alignment horizontal="left" vertical="center" wrapText="1" shrinkToFit="1"/>
    </xf>
    <xf numFmtId="0" fontId="2" fillId="0" borderId="5" xfId="0" applyFont="1" applyBorder="1" applyAlignment="1">
      <alignment horizontal="left" vertical="center" shrinkToFit="1"/>
    </xf>
    <xf numFmtId="0" fontId="2" fillId="0" borderId="6" xfId="0" applyFont="1" applyBorder="1" applyAlignment="1">
      <alignment horizontal="left" vertical="center" shrinkToFit="1"/>
    </xf>
    <xf numFmtId="0" fontId="5" fillId="0" borderId="18" xfId="0" applyFont="1" applyBorder="1" applyAlignment="1">
      <alignment horizontal="left" vertical="center" wrapText="1" shrinkToFit="1"/>
    </xf>
    <xf numFmtId="0" fontId="2" fillId="0" borderId="18" xfId="0" applyFont="1" applyBorder="1" applyAlignment="1">
      <alignment horizontal="left" vertical="center" shrinkToFit="1"/>
    </xf>
    <xf numFmtId="0" fontId="2" fillId="0" borderId="19" xfId="0" applyFont="1" applyBorder="1" applyAlignment="1">
      <alignment horizontal="left" vertical="center" shrinkToFit="1"/>
    </xf>
    <xf numFmtId="0" fontId="8" fillId="0" borderId="28" xfId="0" applyFont="1" applyBorder="1" applyAlignment="1">
      <alignment vertical="center" wrapText="1"/>
    </xf>
    <xf numFmtId="0" fontId="10" fillId="0" borderId="33" xfId="0" applyFont="1" applyBorder="1" applyAlignment="1">
      <alignment vertical="center" wrapText="1"/>
    </xf>
    <xf numFmtId="0" fontId="2" fillId="0" borderId="14" xfId="0" applyFont="1" applyBorder="1" applyAlignment="1">
      <alignment vertical="center" wrapText="1" shrinkToFit="1"/>
    </xf>
    <xf numFmtId="0" fontId="2" fillId="0" borderId="14" xfId="0" applyFont="1" applyBorder="1" applyAlignment="1">
      <alignment vertical="center" shrinkToFit="1"/>
    </xf>
    <xf numFmtId="0" fontId="2" fillId="0" borderId="15" xfId="0" applyFont="1" applyBorder="1" applyAlignment="1">
      <alignment vertical="center" shrinkToFit="1"/>
    </xf>
    <xf numFmtId="0" fontId="2" fillId="0" borderId="17" xfId="0" applyFont="1" applyBorder="1" applyAlignment="1">
      <alignment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0" xfId="0" applyFont="1" applyBorder="1" applyAlignment="1">
      <alignment vertical="center" wrapText="1" shrinkToFit="1"/>
    </xf>
    <xf numFmtId="0" fontId="10" fillId="0" borderId="26" xfId="0" applyFont="1" applyBorder="1" applyAlignment="1">
      <alignment vertical="center" wrapText="1"/>
    </xf>
    <xf numFmtId="0" fontId="5" fillId="0" borderId="14" xfId="0" applyFont="1" applyBorder="1" applyAlignment="1">
      <alignment horizontal="left" vertical="center" wrapText="1" shrinkToFit="1"/>
    </xf>
    <xf numFmtId="0" fontId="2" fillId="0" borderId="14" xfId="0" applyFont="1" applyBorder="1" applyAlignment="1">
      <alignment horizontal="left" vertical="center" shrinkToFit="1"/>
    </xf>
    <xf numFmtId="0" fontId="2" fillId="0" borderId="15" xfId="0" applyFont="1" applyBorder="1" applyAlignment="1">
      <alignment horizontal="left" vertical="center" shrinkToFit="1"/>
    </xf>
    <xf numFmtId="0" fontId="5"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10" xfId="0" applyFont="1" applyBorder="1" applyAlignment="1">
      <alignment horizontal="left" vertical="center" wrapText="1" shrinkToFit="1"/>
    </xf>
    <xf numFmtId="0" fontId="2" fillId="0" borderId="10" xfId="0" applyFont="1" applyBorder="1" applyAlignment="1">
      <alignment horizontal="left" vertical="center" shrinkToFit="1"/>
    </xf>
    <xf numFmtId="0" fontId="2" fillId="0" borderId="11" xfId="0" applyFont="1" applyBorder="1" applyAlignment="1">
      <alignment horizontal="left" vertical="center" shrinkToFit="1"/>
    </xf>
    <xf numFmtId="0" fontId="5" fillId="0" borderId="21" xfId="0" applyFont="1" applyBorder="1" applyAlignment="1">
      <alignment vertical="center" shrinkToFit="1"/>
    </xf>
    <xf numFmtId="0" fontId="5" fillId="0" borderId="22" xfId="0" applyFont="1" applyBorder="1" applyAlignment="1">
      <alignment vertical="center" shrinkToFit="1"/>
    </xf>
    <xf numFmtId="0" fontId="5" fillId="0" borderId="23" xfId="0" applyFont="1" applyBorder="1" applyAlignment="1">
      <alignment vertical="center" shrinkToFit="1"/>
    </xf>
    <xf numFmtId="0" fontId="5" fillId="0" borderId="21" xfId="0" applyFont="1" applyBorder="1" applyAlignment="1">
      <alignment horizontal="center" vertical="center" shrinkToFit="1"/>
    </xf>
    <xf numFmtId="0" fontId="5" fillId="0" borderId="22" xfId="0" applyFont="1" applyBorder="1" applyAlignment="1">
      <alignment horizontal="center" vertical="center" shrinkToFit="1"/>
    </xf>
    <xf numFmtId="0" fontId="5" fillId="0" borderId="23"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5" fillId="0" borderId="5" xfId="0" applyFont="1" applyBorder="1" applyAlignment="1">
      <alignment horizontal="left" vertical="center" shrinkToFit="1"/>
    </xf>
    <xf numFmtId="0" fontId="5" fillId="0" borderId="6" xfId="0" applyFont="1" applyBorder="1" applyAlignment="1">
      <alignment horizontal="left" vertical="center" shrinkToFit="1"/>
    </xf>
    <xf numFmtId="0" fontId="2" fillId="0" borderId="30" xfId="0" applyFont="1" applyBorder="1" applyAlignment="1">
      <alignment horizontal="left" vertical="center" wrapText="1" shrinkToFit="1"/>
    </xf>
    <xf numFmtId="0" fontId="2" fillId="0" borderId="30" xfId="0" applyFont="1" applyBorder="1" applyAlignment="1">
      <alignment horizontal="left" vertical="center" shrinkToFit="1"/>
    </xf>
    <xf numFmtId="0" fontId="2" fillId="0" borderId="31" xfId="0" applyFont="1" applyBorder="1" applyAlignment="1">
      <alignment horizontal="left" vertical="center" shrinkToFit="1"/>
    </xf>
    <xf numFmtId="0" fontId="5" fillId="0" borderId="17" xfId="0" applyFont="1" applyBorder="1" applyAlignment="1">
      <alignment vertical="center" shrinkToFit="1"/>
    </xf>
    <xf numFmtId="0" fontId="5" fillId="0" borderId="18" xfId="0" applyFont="1" applyBorder="1" applyAlignment="1">
      <alignment vertical="center" shrinkToFit="1"/>
    </xf>
    <xf numFmtId="0" fontId="5" fillId="0" borderId="19" xfId="0" applyFont="1" applyBorder="1" applyAlignment="1">
      <alignment vertical="center" shrinkToFit="1"/>
    </xf>
    <xf numFmtId="0" fontId="5" fillId="0" borderId="17"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13" xfId="0" applyFont="1" applyBorder="1" applyAlignment="1">
      <alignment vertical="center" shrinkToFit="1"/>
    </xf>
    <xf numFmtId="0" fontId="5" fillId="0" borderId="14" xfId="0" applyFont="1" applyBorder="1" applyAlignment="1">
      <alignment vertical="center" shrinkToFit="1"/>
    </xf>
    <xf numFmtId="0" fontId="5" fillId="0" borderId="15" xfId="0" applyFont="1" applyBorder="1" applyAlignment="1">
      <alignment vertical="center" shrinkToFit="1"/>
    </xf>
    <xf numFmtId="0" fontId="5" fillId="0" borderId="13" xfId="0" applyFont="1" applyBorder="1" applyAlignment="1">
      <alignment horizontal="center" vertical="center" shrinkToFit="1"/>
    </xf>
    <xf numFmtId="0" fontId="5" fillId="0" borderId="14" xfId="0" applyFont="1" applyBorder="1" applyAlignment="1">
      <alignment horizontal="center" vertical="center" shrinkToFit="1"/>
    </xf>
    <xf numFmtId="0" fontId="5" fillId="0" borderId="15" xfId="0" applyFont="1" applyBorder="1" applyAlignment="1">
      <alignment horizontal="center" vertical="center" shrinkToFit="1"/>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21" xfId="0" applyFont="1" applyBorder="1" applyAlignment="1">
      <alignment horizontal="left" vertical="center" shrinkToFit="1"/>
    </xf>
    <xf numFmtId="0" fontId="5" fillId="0" borderId="22" xfId="0" applyFont="1" applyBorder="1" applyAlignment="1">
      <alignment horizontal="left" vertical="center" shrinkToFit="1"/>
    </xf>
    <xf numFmtId="0" fontId="5" fillId="0" borderId="23" xfId="0" applyFont="1" applyBorder="1" applyAlignment="1">
      <alignment horizontal="left" vertical="center" shrinkToFit="1"/>
    </xf>
    <xf numFmtId="0" fontId="5" fillId="0" borderId="0" xfId="0" applyFont="1" applyAlignment="1">
      <alignment vertical="center" wrapText="1"/>
    </xf>
    <xf numFmtId="0" fontId="5" fillId="0" borderId="17" xfId="0" applyFont="1" applyBorder="1" applyAlignment="1">
      <alignment horizontal="left" vertical="center" shrinkToFit="1"/>
    </xf>
    <xf numFmtId="0" fontId="5" fillId="0" borderId="18" xfId="0" applyFont="1" applyBorder="1" applyAlignment="1">
      <alignment horizontal="left" vertical="center" shrinkToFit="1"/>
    </xf>
    <xf numFmtId="0" fontId="5" fillId="0" borderId="19" xfId="0" applyFont="1" applyBorder="1" applyAlignment="1">
      <alignment horizontal="left" vertical="center" shrinkToFit="1"/>
    </xf>
    <xf numFmtId="0" fontId="5" fillId="0" borderId="13" xfId="0" applyFont="1" applyBorder="1" applyAlignment="1">
      <alignment horizontal="left" vertical="center" shrinkToFit="1"/>
    </xf>
    <xf numFmtId="0" fontId="5" fillId="0" borderId="14" xfId="0" applyFont="1" applyBorder="1" applyAlignment="1">
      <alignment horizontal="left" vertical="center" shrinkToFit="1"/>
    </xf>
    <xf numFmtId="0" fontId="5" fillId="0" borderId="15" xfId="0" applyFont="1" applyBorder="1" applyAlignment="1">
      <alignment horizontal="left" vertical="center" shrinkToFit="1"/>
    </xf>
    <xf numFmtId="0" fontId="2" fillId="0" borderId="0" xfId="0" applyFont="1" applyAlignment="1">
      <alignment horizontal="center" vertical="center"/>
    </xf>
    <xf numFmtId="0" fontId="4" fillId="0" borderId="0" xfId="0" applyFont="1" applyAlignment="1">
      <alignment horizontal="center" vertical="center"/>
    </xf>
    <xf numFmtId="0" fontId="5" fillId="0" borderId="4" xfId="0" applyFont="1" applyBorder="1" applyAlignment="1">
      <alignment horizontal="left" vertical="top" wrapText="1" shrinkToFit="1"/>
    </xf>
    <xf numFmtId="0" fontId="5" fillId="0" borderId="5" xfId="0" applyFont="1" applyBorder="1" applyAlignment="1">
      <alignment horizontal="left" vertical="top" shrinkToFit="1"/>
    </xf>
    <xf numFmtId="0" fontId="5" fillId="0" borderId="6" xfId="0" applyFont="1" applyBorder="1" applyAlignment="1">
      <alignment horizontal="left" vertical="top" shrinkToFit="1"/>
    </xf>
    <xf numFmtId="0" fontId="5" fillId="0" borderId="7" xfId="0" applyFont="1" applyBorder="1" applyAlignment="1">
      <alignment horizontal="left" vertical="top" shrinkToFit="1"/>
    </xf>
    <xf numFmtId="0" fontId="5" fillId="0" borderId="0" xfId="0" applyFont="1" applyAlignment="1">
      <alignment horizontal="left" vertical="top" shrinkToFit="1"/>
    </xf>
    <xf numFmtId="0" fontId="5" fillId="0" borderId="8" xfId="0" applyFont="1" applyBorder="1" applyAlignment="1">
      <alignment horizontal="left" vertical="top" shrinkToFit="1"/>
    </xf>
    <xf numFmtId="0" fontId="5" fillId="0" borderId="9" xfId="0" applyFont="1" applyBorder="1" applyAlignment="1">
      <alignment horizontal="left" vertical="top" shrinkToFit="1"/>
    </xf>
    <xf numFmtId="0" fontId="5" fillId="0" borderId="10" xfId="0" applyFont="1" applyBorder="1" applyAlignment="1">
      <alignment horizontal="left" vertical="top" shrinkToFit="1"/>
    </xf>
    <xf numFmtId="0" fontId="5" fillId="0" borderId="11" xfId="0" applyFont="1" applyBorder="1" applyAlignment="1">
      <alignment horizontal="left" vertical="top" shrinkToFit="1"/>
    </xf>
    <xf numFmtId="0" fontId="17" fillId="0" borderId="13" xfId="0" applyFont="1" applyBorder="1" applyAlignment="1">
      <alignment horizontal="center" vertical="center"/>
    </xf>
    <xf numFmtId="0" fontId="17" fillId="0" borderId="15" xfId="0" applyFont="1" applyBorder="1" applyAlignment="1">
      <alignment horizontal="center" vertical="center"/>
    </xf>
    <xf numFmtId="0" fontId="19" fillId="0" borderId="41" xfId="0" applyFont="1" applyBorder="1" applyAlignment="1">
      <alignment horizontal="center" vertical="center" wrapText="1"/>
    </xf>
    <xf numFmtId="0" fontId="19" fillId="0" borderId="24" xfId="0" applyFont="1" applyBorder="1" applyAlignment="1">
      <alignment horizontal="center" vertical="center"/>
    </xf>
    <xf numFmtId="0" fontId="18" fillId="0" borderId="6" xfId="0" applyFont="1" applyBorder="1" applyAlignment="1">
      <alignment horizontal="center" vertical="center"/>
    </xf>
    <xf numFmtId="0" fontId="18" fillId="0" borderId="11" xfId="0" applyFont="1" applyBorder="1" applyAlignment="1">
      <alignment horizontal="center" vertical="center"/>
    </xf>
    <xf numFmtId="0" fontId="15" fillId="0" borderId="0" xfId="0" applyFont="1" applyAlignment="1">
      <alignment horizontal="right" vertical="center"/>
    </xf>
    <xf numFmtId="0" fontId="16" fillId="0" borderId="0" xfId="0" applyFont="1" applyAlignment="1">
      <alignment horizontal="center" vertical="center"/>
    </xf>
    <xf numFmtId="0" fontId="17" fillId="0" borderId="1" xfId="0" applyFont="1" applyBorder="1" applyAlignment="1">
      <alignment horizontal="center" vertical="center" shrinkToFit="1"/>
    </xf>
    <xf numFmtId="0" fontId="17" fillId="0" borderId="3" xfId="0" applyFont="1" applyBorder="1" applyAlignment="1">
      <alignment horizontal="center" vertical="center" shrinkToFit="1"/>
    </xf>
    <xf numFmtId="0" fontId="17" fillId="0" borderId="41" xfId="0" applyFont="1" applyBorder="1" applyAlignment="1">
      <alignment horizontal="center" vertical="center"/>
    </xf>
    <xf numFmtId="0" fontId="17" fillId="0" borderId="24" xfId="0" applyFont="1" applyBorder="1" applyAlignment="1">
      <alignment horizontal="center" vertical="center"/>
    </xf>
    <xf numFmtId="0" fontId="18" fillId="0" borderId="5" xfId="0" applyFont="1" applyBorder="1" applyAlignment="1">
      <alignment horizontal="center" vertical="center" wrapText="1"/>
    </xf>
    <xf numFmtId="0" fontId="18" fillId="0" borderId="10" xfId="0" applyFont="1" applyBorder="1" applyAlignment="1">
      <alignment horizontal="center" vertical="center"/>
    </xf>
    <xf numFmtId="0" fontId="18" fillId="0" borderId="4" xfId="0" applyFont="1" applyBorder="1" applyAlignment="1">
      <alignment horizontal="center" vertical="center" wrapText="1"/>
    </xf>
    <xf numFmtId="0" fontId="18" fillId="0" borderId="9" xfId="0" applyFont="1" applyBorder="1" applyAlignment="1">
      <alignment horizontal="center" vertical="center"/>
    </xf>
    <xf numFmtId="0" fontId="17" fillId="0" borderId="16" xfId="0" applyFont="1" applyBorder="1" applyAlignment="1">
      <alignment horizontal="center" vertical="center"/>
    </xf>
    <xf numFmtId="0" fontId="5" fillId="0" borderId="4" xfId="0" applyFont="1" applyBorder="1" applyAlignment="1">
      <alignment vertical="top" wrapText="1" shrinkToFit="1"/>
    </xf>
    <xf numFmtId="0" fontId="5" fillId="0" borderId="5" xfId="0" applyFont="1" applyBorder="1" applyAlignment="1">
      <alignment vertical="top" wrapText="1" shrinkToFit="1"/>
    </xf>
    <xf numFmtId="0" fontId="5" fillId="0" borderId="6" xfId="0" applyFont="1" applyBorder="1" applyAlignment="1">
      <alignment vertical="top" wrapText="1" shrinkToFit="1"/>
    </xf>
    <xf numFmtId="0" fontId="5" fillId="0" borderId="7" xfId="0" applyFont="1" applyBorder="1" applyAlignment="1">
      <alignment vertical="top" wrapText="1" shrinkToFit="1"/>
    </xf>
    <xf numFmtId="0" fontId="5" fillId="0" borderId="0" xfId="0" applyFont="1" applyAlignment="1">
      <alignment vertical="top" wrapText="1" shrinkToFit="1"/>
    </xf>
    <xf numFmtId="0" fontId="5" fillId="0" borderId="8" xfId="0" applyFont="1" applyBorder="1" applyAlignment="1">
      <alignment vertical="top" wrapText="1" shrinkToFit="1"/>
    </xf>
    <xf numFmtId="0" fontId="5" fillId="0" borderId="9" xfId="0" applyFont="1" applyBorder="1" applyAlignment="1">
      <alignment vertical="top" wrapText="1" shrinkToFit="1"/>
    </xf>
    <xf numFmtId="0" fontId="5" fillId="0" borderId="10" xfId="0" applyFont="1" applyBorder="1" applyAlignment="1">
      <alignment vertical="top" wrapText="1" shrinkToFit="1"/>
    </xf>
    <xf numFmtId="0" fontId="5" fillId="0" borderId="11" xfId="0" applyFont="1" applyBorder="1" applyAlignment="1">
      <alignment vertical="top" wrapText="1" shrinkToFit="1"/>
    </xf>
    <xf numFmtId="0" fontId="5" fillId="0" borderId="5" xfId="0" applyFont="1" applyBorder="1" applyAlignment="1">
      <alignment vertical="top" shrinkToFit="1"/>
    </xf>
    <xf numFmtId="0" fontId="5" fillId="0" borderId="6" xfId="0" applyFont="1" applyBorder="1" applyAlignment="1">
      <alignment vertical="top" shrinkToFit="1"/>
    </xf>
    <xf numFmtId="0" fontId="5" fillId="0" borderId="7" xfId="0" applyFont="1" applyBorder="1" applyAlignment="1">
      <alignment vertical="top" shrinkToFit="1"/>
    </xf>
    <xf numFmtId="0" fontId="5" fillId="0" borderId="0" xfId="0" applyFont="1" applyAlignment="1">
      <alignment vertical="top" shrinkToFit="1"/>
    </xf>
    <xf numFmtId="0" fontId="5" fillId="0" borderId="8" xfId="0" applyFont="1" applyBorder="1" applyAlignment="1">
      <alignment vertical="top" shrinkToFit="1"/>
    </xf>
    <xf numFmtId="0" fontId="5" fillId="0" borderId="9" xfId="0" applyFont="1" applyBorder="1" applyAlignment="1">
      <alignment vertical="top" shrinkToFit="1"/>
    </xf>
    <xf numFmtId="0" fontId="5" fillId="0" borderId="10" xfId="0" applyFont="1" applyBorder="1" applyAlignment="1">
      <alignment vertical="top" shrinkToFit="1"/>
    </xf>
    <xf numFmtId="0" fontId="5" fillId="0" borderId="11" xfId="0" applyFont="1" applyBorder="1" applyAlignment="1">
      <alignment vertical="top" shrinkToFit="1"/>
    </xf>
    <xf numFmtId="0" fontId="5" fillId="0" borderId="10" xfId="0" applyFont="1" applyBorder="1">
      <alignment vertical="center"/>
    </xf>
    <xf numFmtId="0" fontId="5" fillId="0" borderId="40" xfId="0" applyFont="1" applyBorder="1" applyAlignment="1">
      <alignment vertical="top" wrapText="1" shrinkToFit="1"/>
    </xf>
    <xf numFmtId="0" fontId="5" fillId="0" borderId="30" xfId="0" applyFont="1" applyBorder="1" applyAlignment="1">
      <alignment vertical="top" wrapText="1" shrinkToFit="1"/>
    </xf>
    <xf numFmtId="0" fontId="5" fillId="0" borderId="31" xfId="0" applyFont="1" applyBorder="1" applyAlignment="1">
      <alignment vertical="top" wrapText="1" shrinkToFit="1"/>
    </xf>
    <xf numFmtId="0" fontId="5" fillId="0" borderId="3" xfId="0" applyFont="1" applyBorder="1" applyAlignment="1">
      <alignment vertical="center" shrinkToFit="1"/>
    </xf>
    <xf numFmtId="0" fontId="5" fillId="0" borderId="52" xfId="0" applyFont="1" applyBorder="1">
      <alignment vertical="center"/>
    </xf>
    <xf numFmtId="0" fontId="10" fillId="0" borderId="19" xfId="0" applyFont="1" applyBorder="1">
      <alignment vertical="center"/>
    </xf>
    <xf numFmtId="0" fontId="5" fillId="0" borderId="17" xfId="0" applyFont="1" applyBorder="1" applyAlignment="1">
      <alignment vertical="top" wrapText="1" shrinkToFit="1"/>
    </xf>
    <xf numFmtId="0" fontId="5" fillId="0" borderId="18" xfId="0" applyFont="1" applyBorder="1" applyAlignment="1">
      <alignment vertical="top" wrapText="1" shrinkToFit="1"/>
    </xf>
    <xf numFmtId="0" fontId="5" fillId="0" borderId="19" xfId="0" applyFont="1" applyBorder="1" applyAlignment="1">
      <alignment vertical="top" wrapText="1" shrinkToFit="1"/>
    </xf>
    <xf numFmtId="0" fontId="5" fillId="0" borderId="52" xfId="0" applyFont="1" applyBorder="1" applyAlignment="1">
      <alignment vertical="center" wrapText="1"/>
    </xf>
    <xf numFmtId="0" fontId="5" fillId="0" borderId="19" xfId="0" applyFont="1" applyBorder="1" applyAlignment="1">
      <alignment vertical="center" wrapText="1"/>
    </xf>
    <xf numFmtId="0" fontId="5" fillId="0" borderId="9" xfId="0" applyFont="1" applyBorder="1" applyAlignment="1">
      <alignment vertical="center" wrapText="1"/>
    </xf>
    <xf numFmtId="0" fontId="5" fillId="0" borderId="10" xfId="0" applyFont="1" applyBorder="1" applyAlignment="1">
      <alignment vertical="center" wrapText="1"/>
    </xf>
    <xf numFmtId="0" fontId="5" fillId="0" borderId="11" xfId="0" applyFont="1" applyBorder="1" applyAlignment="1">
      <alignment vertical="center" wrapText="1"/>
    </xf>
    <xf numFmtId="0" fontId="14" fillId="0" borderId="1" xfId="2" applyFont="1" applyBorder="1" applyAlignment="1">
      <alignment horizontal="center" vertical="center" shrinkToFit="1"/>
    </xf>
    <xf numFmtId="0" fontId="14" fillId="0" borderId="2" xfId="2" applyFont="1" applyBorder="1" applyAlignment="1">
      <alignment horizontal="center" vertical="center" shrinkToFit="1"/>
    </xf>
    <xf numFmtId="0" fontId="14" fillId="0" borderId="3" xfId="2" applyFont="1" applyBorder="1" applyAlignment="1">
      <alignment horizontal="center" vertical="center" shrinkToFit="1"/>
    </xf>
    <xf numFmtId="0" fontId="5" fillId="0" borderId="17" xfId="0" applyFont="1" applyBorder="1" applyAlignment="1">
      <alignment vertical="center" wrapText="1"/>
    </xf>
    <xf numFmtId="0" fontId="5" fillId="0" borderId="18"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sm-ediea.com/niigataum/open/ja/syllabuse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topLeftCell="A13" zoomScaleNormal="100" zoomScaleSheetLayoutView="100" workbookViewId="0">
      <selection activeCell="C4" sqref="C4:N4"/>
    </sheetView>
  </sheetViews>
  <sheetFormatPr defaultColWidth="9" defaultRowHeight="18.75" customHeight="1" x14ac:dyDescent="0.4"/>
  <cols>
    <col min="1" max="1" width="3.375" style="3" customWidth="1"/>
    <col min="2" max="2" width="11.125" style="3" customWidth="1"/>
    <col min="3" max="8" width="6.625" style="3" customWidth="1"/>
    <col min="9" max="9" width="3.375" style="3" customWidth="1"/>
    <col min="10" max="10" width="10" style="3" customWidth="1"/>
    <col min="11" max="11" width="3.375" style="3" customWidth="1"/>
    <col min="12" max="12" width="7.75" style="3" customWidth="1"/>
    <col min="13" max="13" width="3.375" style="3" customWidth="1"/>
    <col min="14" max="14" width="4.5" style="3" customWidth="1"/>
    <col min="15" max="15" width="9" style="26"/>
    <col min="16" max="16384" width="9" style="1"/>
  </cols>
  <sheetData>
    <row r="1" spans="1:15" ht="24" customHeight="1" x14ac:dyDescent="0.4">
      <c r="M1" s="139" t="s">
        <v>55</v>
      </c>
      <c r="N1" s="139"/>
    </row>
    <row r="2" spans="1:15" ht="24" customHeight="1" x14ac:dyDescent="0.4">
      <c r="A2" s="142" t="s">
        <v>56</v>
      </c>
      <c r="B2" s="142"/>
      <c r="C2" s="142"/>
      <c r="D2" s="142"/>
      <c r="E2" s="142"/>
      <c r="F2" s="142"/>
      <c r="G2" s="142"/>
      <c r="H2" s="142"/>
      <c r="I2" s="142"/>
      <c r="J2" s="142"/>
      <c r="K2" s="142"/>
      <c r="L2" s="142"/>
      <c r="M2" s="142"/>
      <c r="N2" s="142"/>
    </row>
    <row r="3" spans="1:15" ht="24" customHeight="1" x14ac:dyDescent="0.4"/>
    <row r="4" spans="1:15" ht="24" customHeight="1" x14ac:dyDescent="0.4">
      <c r="A4" s="3" t="s">
        <v>57</v>
      </c>
      <c r="B4" s="3" t="s">
        <v>58</v>
      </c>
      <c r="C4" s="117" t="s">
        <v>59</v>
      </c>
      <c r="D4" s="118"/>
      <c r="E4" s="118"/>
      <c r="F4" s="118"/>
      <c r="G4" s="118"/>
      <c r="H4" s="118"/>
      <c r="I4" s="118"/>
      <c r="J4" s="118"/>
      <c r="K4" s="118"/>
      <c r="L4" s="118"/>
      <c r="M4" s="118"/>
      <c r="N4" s="119"/>
      <c r="O4" s="26" t="str">
        <f>IF(C4="","入力してください","")</f>
        <v/>
      </c>
    </row>
    <row r="5" spans="1:15" ht="7.5" customHeight="1" x14ac:dyDescent="0.4">
      <c r="E5" s="4"/>
      <c r="F5" s="12"/>
      <c r="G5" s="12"/>
      <c r="H5" s="12"/>
      <c r="I5" s="12"/>
      <c r="J5" s="12"/>
      <c r="K5" s="12"/>
      <c r="L5" s="12"/>
      <c r="M5" s="12"/>
      <c r="N5" s="12"/>
    </row>
    <row r="6" spans="1:15" ht="24" customHeight="1" x14ac:dyDescent="0.4">
      <c r="A6" s="3" t="s">
        <v>60</v>
      </c>
      <c r="B6" s="3" t="s">
        <v>61</v>
      </c>
      <c r="D6" s="117" t="s">
        <v>62</v>
      </c>
      <c r="E6" s="118"/>
      <c r="F6" s="118"/>
      <c r="G6" s="118"/>
      <c r="H6" s="119"/>
      <c r="I6" s="3" t="s">
        <v>63</v>
      </c>
      <c r="J6" s="12" t="s">
        <v>64</v>
      </c>
      <c r="K6" s="117" t="s">
        <v>65</v>
      </c>
      <c r="L6" s="118"/>
      <c r="M6" s="118"/>
      <c r="N6" s="119"/>
      <c r="O6" s="26" t="str">
        <f>IF(D6="","入力してください","")</f>
        <v/>
      </c>
    </row>
    <row r="7" spans="1:15" ht="7.5" customHeight="1" x14ac:dyDescent="0.4">
      <c r="E7" s="4"/>
      <c r="F7" s="12"/>
      <c r="G7" s="12"/>
      <c r="H7" s="12"/>
      <c r="I7" s="12"/>
      <c r="J7" s="12"/>
      <c r="K7" s="12"/>
      <c r="L7" s="12"/>
      <c r="M7" s="12"/>
      <c r="N7" s="12"/>
    </row>
    <row r="8" spans="1:15" ht="24" customHeight="1" x14ac:dyDescent="0.4">
      <c r="A8" s="3" t="s">
        <v>66</v>
      </c>
      <c r="B8" s="3" t="s">
        <v>67</v>
      </c>
      <c r="C8" s="117" t="s">
        <v>68</v>
      </c>
      <c r="D8" s="118"/>
      <c r="E8" s="118"/>
      <c r="F8" s="118"/>
      <c r="G8" s="118"/>
      <c r="H8" s="118"/>
      <c r="I8" s="118"/>
      <c r="J8" s="118"/>
      <c r="K8" s="118"/>
      <c r="L8" s="118"/>
      <c r="M8" s="118"/>
      <c r="N8" s="119"/>
      <c r="O8" s="26" t="str">
        <f>IF(C8="","入力してください","")</f>
        <v/>
      </c>
    </row>
    <row r="9" spans="1:15" ht="7.5" customHeight="1" x14ac:dyDescent="0.4">
      <c r="E9" s="4"/>
      <c r="F9" s="12"/>
      <c r="G9" s="12"/>
      <c r="H9" s="12"/>
      <c r="I9" s="12"/>
      <c r="J9" s="12"/>
      <c r="K9" s="12"/>
      <c r="L9" s="12"/>
      <c r="M9" s="12"/>
      <c r="N9" s="12"/>
    </row>
    <row r="10" spans="1:15" ht="24" customHeight="1" x14ac:dyDescent="0.4">
      <c r="A10" s="3" t="s">
        <v>69</v>
      </c>
      <c r="B10" s="3" t="s">
        <v>70</v>
      </c>
      <c r="E10" s="117" t="s">
        <v>185</v>
      </c>
      <c r="F10" s="118"/>
      <c r="G10" s="118"/>
      <c r="H10" s="118"/>
      <c r="I10" s="118"/>
      <c r="J10" s="118"/>
      <c r="K10" s="118"/>
      <c r="L10" s="118"/>
      <c r="M10" s="118"/>
      <c r="N10" s="119"/>
      <c r="O10" s="26" t="str">
        <f>IF(E10="","入力してください","")</f>
        <v/>
      </c>
    </row>
    <row r="11" spans="1:15" ht="7.5" customHeight="1" x14ac:dyDescent="0.4">
      <c r="B11" s="4"/>
      <c r="C11" s="4"/>
      <c r="D11" s="4"/>
      <c r="E11" s="4"/>
      <c r="F11" s="12"/>
      <c r="G11" s="12"/>
      <c r="H11" s="12"/>
      <c r="I11" s="12"/>
      <c r="J11" s="12"/>
      <c r="K11" s="12"/>
      <c r="L11" s="12"/>
      <c r="M11" s="12"/>
      <c r="N11" s="12"/>
    </row>
    <row r="12" spans="1:15" ht="24" customHeight="1" x14ac:dyDescent="0.4">
      <c r="A12" s="3" t="s">
        <v>71</v>
      </c>
      <c r="B12" s="4" t="s">
        <v>72</v>
      </c>
      <c r="C12" s="4"/>
      <c r="D12" s="4"/>
      <c r="E12" s="132" t="s">
        <v>73</v>
      </c>
      <c r="F12" s="134"/>
      <c r="G12" s="3" t="s">
        <v>74</v>
      </c>
      <c r="H12" s="3" t="s">
        <v>75</v>
      </c>
      <c r="N12" s="27" t="s">
        <v>76</v>
      </c>
      <c r="O12" s="26" t="str">
        <f>IF(E12="","入力してください","")</f>
        <v/>
      </c>
    </row>
    <row r="13" spans="1:15" ht="7.5" customHeight="1" x14ac:dyDescent="0.4">
      <c r="B13" s="4"/>
      <c r="C13" s="4"/>
      <c r="D13" s="4"/>
      <c r="E13" s="4"/>
      <c r="F13" s="12"/>
      <c r="G13" s="12"/>
      <c r="H13" s="12"/>
      <c r="I13" s="12"/>
      <c r="J13" s="12"/>
      <c r="K13" s="12"/>
      <c r="L13" s="12"/>
      <c r="M13" s="12"/>
      <c r="N13" s="12"/>
    </row>
    <row r="14" spans="1:15" ht="24" customHeight="1" x14ac:dyDescent="0.4">
      <c r="A14" s="3" t="s">
        <v>77</v>
      </c>
      <c r="B14" s="3" t="s">
        <v>78</v>
      </c>
      <c r="C14" s="139" t="s">
        <v>79</v>
      </c>
      <c r="D14" s="140"/>
      <c r="E14" s="129">
        <v>33</v>
      </c>
      <c r="F14" s="130"/>
      <c r="G14" s="28" t="s">
        <v>80</v>
      </c>
      <c r="I14" s="139" t="s">
        <v>81</v>
      </c>
      <c r="J14" s="140"/>
      <c r="K14" s="129">
        <v>20</v>
      </c>
      <c r="L14" s="141"/>
      <c r="M14" s="130"/>
      <c r="N14" s="29" t="s">
        <v>80</v>
      </c>
      <c r="O14" s="26" t="str">
        <f>IF(OR(E14="",K14=""),"入力してください","")</f>
        <v/>
      </c>
    </row>
    <row r="15" spans="1:15" ht="7.5" customHeight="1" x14ac:dyDescent="0.4">
      <c r="M15" s="29"/>
      <c r="N15" s="29"/>
    </row>
    <row r="16" spans="1:15" ht="24" customHeight="1" x14ac:dyDescent="0.4">
      <c r="A16" s="3" t="s">
        <v>82</v>
      </c>
      <c r="B16" s="3" t="s">
        <v>83</v>
      </c>
      <c r="K16" s="132">
        <v>5</v>
      </c>
      <c r="L16" s="133"/>
      <c r="M16" s="134"/>
      <c r="N16" s="29" t="s">
        <v>80</v>
      </c>
      <c r="O16" s="26" t="str">
        <f>IF(K16="","入力してください","")</f>
        <v/>
      </c>
    </row>
    <row r="17" spans="1:15" ht="7.5" customHeight="1" x14ac:dyDescent="0.4">
      <c r="M17" s="29"/>
      <c r="N17" s="29"/>
    </row>
    <row r="18" spans="1:15" ht="24" customHeight="1" x14ac:dyDescent="0.4">
      <c r="A18" s="3" t="s">
        <v>84</v>
      </c>
      <c r="B18" s="3" t="s">
        <v>85</v>
      </c>
      <c r="E18" s="129">
        <v>170</v>
      </c>
      <c r="F18" s="130"/>
      <c r="G18" s="30" t="s">
        <v>86</v>
      </c>
      <c r="K18" s="135"/>
      <c r="L18" s="135"/>
      <c r="M18" s="135"/>
      <c r="N18" s="135"/>
      <c r="O18" s="26" t="str">
        <f>IF(E18="","入力してください","")</f>
        <v/>
      </c>
    </row>
    <row r="19" spans="1:15" ht="7.5" customHeight="1" x14ac:dyDescent="0.4">
      <c r="E19" s="31"/>
      <c r="L19" s="2"/>
      <c r="M19" s="2"/>
      <c r="N19" s="29"/>
    </row>
    <row r="20" spans="1:15" ht="24" customHeight="1" x14ac:dyDescent="0.4">
      <c r="A20" s="3" t="s">
        <v>87</v>
      </c>
      <c r="B20" s="3" t="s">
        <v>88</v>
      </c>
      <c r="E20" s="31"/>
      <c r="H20" s="3" t="s">
        <v>89</v>
      </c>
      <c r="J20" s="136">
        <v>594</v>
      </c>
      <c r="K20" s="137"/>
      <c r="L20" s="138"/>
      <c r="M20" s="2" t="s">
        <v>80</v>
      </c>
      <c r="N20" s="29"/>
      <c r="O20" s="26" t="str">
        <f>IF(J20="","入力してください","")</f>
        <v/>
      </c>
    </row>
    <row r="21" spans="1:15" ht="7.5" customHeight="1" x14ac:dyDescent="0.4">
      <c r="E21" s="31"/>
      <c r="L21" s="2"/>
      <c r="M21" s="2"/>
      <c r="N21" s="29"/>
    </row>
    <row r="22" spans="1:15" ht="24" customHeight="1" x14ac:dyDescent="0.4">
      <c r="B22" s="2" t="s">
        <v>90</v>
      </c>
      <c r="C22" s="129">
        <v>126</v>
      </c>
      <c r="D22" s="130"/>
      <c r="E22" s="31" t="s">
        <v>80</v>
      </c>
      <c r="G22" s="131" t="s">
        <v>91</v>
      </c>
      <c r="H22" s="131"/>
      <c r="I22" s="129">
        <v>118</v>
      </c>
      <c r="J22" s="130"/>
      <c r="K22" s="3" t="s">
        <v>80</v>
      </c>
      <c r="M22" s="2"/>
      <c r="N22" s="29"/>
    </row>
    <row r="23" spans="1:15" ht="7.5" customHeight="1" x14ac:dyDescent="0.4">
      <c r="B23" s="2"/>
      <c r="C23" s="32"/>
      <c r="D23" s="32"/>
      <c r="E23" s="31"/>
      <c r="G23" s="2"/>
      <c r="H23" s="2"/>
      <c r="I23" s="32"/>
      <c r="J23" s="32"/>
      <c r="M23" s="2"/>
      <c r="N23" s="29"/>
    </row>
    <row r="24" spans="1:15" ht="24" customHeight="1" x14ac:dyDescent="0.4">
      <c r="B24" s="2" t="s">
        <v>92</v>
      </c>
      <c r="C24" s="129">
        <v>166</v>
      </c>
      <c r="D24" s="130"/>
      <c r="E24" s="31" t="s">
        <v>80</v>
      </c>
      <c r="G24" s="131" t="s">
        <v>93</v>
      </c>
      <c r="H24" s="131"/>
      <c r="I24" s="129">
        <v>184</v>
      </c>
      <c r="J24" s="130"/>
      <c r="K24" s="3" t="s">
        <v>80</v>
      </c>
      <c r="M24" s="2"/>
      <c r="N24" s="29"/>
    </row>
    <row r="25" spans="1:15" ht="7.5" customHeight="1" x14ac:dyDescent="0.4">
      <c r="B25" s="2"/>
      <c r="C25" s="32"/>
      <c r="D25" s="32"/>
      <c r="E25" s="31"/>
      <c r="G25" s="2"/>
      <c r="H25" s="2"/>
      <c r="I25" s="32"/>
      <c r="J25" s="32"/>
      <c r="M25" s="2"/>
      <c r="N25" s="29"/>
    </row>
    <row r="26" spans="1:15" ht="24" customHeight="1" x14ac:dyDescent="0.4">
      <c r="B26" s="2" t="s">
        <v>94</v>
      </c>
      <c r="C26" s="129"/>
      <c r="D26" s="130"/>
      <c r="E26" s="31" t="s">
        <v>80</v>
      </c>
      <c r="G26" s="131" t="s">
        <v>95</v>
      </c>
      <c r="H26" s="131"/>
      <c r="I26" s="129"/>
      <c r="J26" s="130"/>
      <c r="K26" s="3" t="s">
        <v>80</v>
      </c>
      <c r="M26" s="2"/>
      <c r="N26" s="29"/>
    </row>
    <row r="27" spans="1:15" ht="7.5" customHeight="1" x14ac:dyDescent="0.4">
      <c r="M27" s="33"/>
      <c r="N27" s="33"/>
    </row>
    <row r="28" spans="1:15" ht="24" customHeight="1" x14ac:dyDescent="0.4">
      <c r="A28" s="3" t="s">
        <v>96</v>
      </c>
      <c r="B28" s="3" t="s">
        <v>97</v>
      </c>
      <c r="G28" s="12"/>
      <c r="H28" s="12"/>
      <c r="I28" s="12"/>
      <c r="J28" s="34"/>
      <c r="K28" s="34"/>
      <c r="L28" s="34"/>
      <c r="M28" s="34"/>
      <c r="N28" s="34"/>
    </row>
    <row r="29" spans="1:15" s="3" customFormat="1" ht="24" customHeight="1" x14ac:dyDescent="0.4">
      <c r="B29" s="126" t="s">
        <v>98</v>
      </c>
      <c r="C29" s="126"/>
      <c r="D29" s="117" t="s">
        <v>186</v>
      </c>
      <c r="E29" s="118"/>
      <c r="F29" s="118"/>
      <c r="G29" s="127" t="s">
        <v>99</v>
      </c>
      <c r="H29" s="126"/>
      <c r="I29" s="128"/>
      <c r="J29" s="117" t="s">
        <v>187</v>
      </c>
      <c r="K29" s="118"/>
      <c r="L29" s="118"/>
      <c r="M29" s="118"/>
      <c r="N29" s="119"/>
      <c r="O29" s="26" t="str">
        <f>IF(OR(D29="",J29=""),"入力してください","")</f>
        <v/>
      </c>
    </row>
    <row r="30" spans="1:15" ht="7.5" customHeight="1" x14ac:dyDescent="0.4">
      <c r="M30" s="33"/>
      <c r="N30" s="33"/>
    </row>
    <row r="31" spans="1:15" ht="24" customHeight="1" x14ac:dyDescent="0.4">
      <c r="A31" s="3" t="s">
        <v>100</v>
      </c>
      <c r="B31" s="3" t="s">
        <v>101</v>
      </c>
      <c r="G31" s="34"/>
      <c r="H31" s="34"/>
      <c r="I31" s="34"/>
      <c r="J31" s="34"/>
      <c r="K31" s="34"/>
      <c r="L31" s="34"/>
      <c r="M31" s="34"/>
      <c r="N31" s="34"/>
    </row>
    <row r="32" spans="1:15" ht="24" customHeight="1" x14ac:dyDescent="0.4">
      <c r="B32" s="117" t="s">
        <v>102</v>
      </c>
      <c r="C32" s="118"/>
      <c r="D32" s="118"/>
      <c r="E32" s="118"/>
      <c r="F32" s="118"/>
      <c r="G32" s="118"/>
      <c r="H32" s="118"/>
      <c r="I32" s="118"/>
      <c r="J32" s="118"/>
      <c r="K32" s="118"/>
      <c r="L32" s="118"/>
      <c r="M32" s="118"/>
      <c r="N32" s="119"/>
      <c r="O32" s="26" t="str">
        <f>IF(B32="","入力してください","")</f>
        <v/>
      </c>
    </row>
    <row r="33" spans="1:15" ht="7.5" customHeight="1" x14ac:dyDescent="0.4">
      <c r="B33" s="17"/>
      <c r="C33" s="17"/>
      <c r="D33" s="17"/>
      <c r="E33" s="17"/>
      <c r="F33" s="17"/>
      <c r="G33" s="17"/>
      <c r="H33" s="17"/>
      <c r="I33" s="17"/>
      <c r="J33" s="17"/>
      <c r="K33" s="17"/>
      <c r="L33" s="17"/>
      <c r="M33" s="17"/>
      <c r="N33" s="17"/>
    </row>
    <row r="34" spans="1:15" s="3" customFormat="1" ht="24" customHeight="1" x14ac:dyDescent="0.4">
      <c r="B34" s="126" t="s">
        <v>98</v>
      </c>
      <c r="C34" s="126"/>
      <c r="D34" s="117" t="s">
        <v>103</v>
      </c>
      <c r="E34" s="118"/>
      <c r="F34" s="118"/>
      <c r="G34" s="127" t="s">
        <v>99</v>
      </c>
      <c r="H34" s="126"/>
      <c r="I34" s="128"/>
      <c r="J34" s="117" t="s">
        <v>104</v>
      </c>
      <c r="K34" s="118"/>
      <c r="L34" s="118"/>
      <c r="M34" s="118"/>
      <c r="N34" s="119"/>
      <c r="O34" s="26" t="str">
        <f>IF(OR(D34="",J34=""),"入力してください","")</f>
        <v/>
      </c>
    </row>
    <row r="35" spans="1:15" ht="7.5" customHeight="1" x14ac:dyDescent="0.4">
      <c r="F35" s="12"/>
      <c r="G35" s="12"/>
      <c r="H35" s="12"/>
      <c r="I35" s="12"/>
      <c r="J35" s="12"/>
      <c r="K35" s="12"/>
      <c r="L35" s="12"/>
      <c r="M35" s="12"/>
      <c r="N35" s="12"/>
    </row>
    <row r="36" spans="1:15" ht="24" customHeight="1" x14ac:dyDescent="0.4">
      <c r="A36" s="3" t="s">
        <v>105</v>
      </c>
      <c r="B36" s="3" t="s">
        <v>106</v>
      </c>
      <c r="M36" s="33"/>
      <c r="N36" s="33"/>
    </row>
    <row r="37" spans="1:15" ht="24" customHeight="1" x14ac:dyDescent="0.4">
      <c r="B37" s="117" t="s">
        <v>107</v>
      </c>
      <c r="C37" s="118"/>
      <c r="D37" s="118"/>
      <c r="E37" s="118"/>
      <c r="F37" s="118"/>
      <c r="G37" s="118"/>
      <c r="H37" s="118"/>
      <c r="I37" s="118"/>
      <c r="J37" s="118"/>
      <c r="K37" s="118"/>
      <c r="L37" s="118"/>
      <c r="M37" s="118"/>
      <c r="N37" s="119"/>
      <c r="O37" s="26" t="str">
        <f>IF(B37="","入力してください","")</f>
        <v/>
      </c>
    </row>
    <row r="38" spans="1:15" ht="7.5" customHeight="1" x14ac:dyDescent="0.4">
      <c r="F38" s="12"/>
      <c r="G38" s="12"/>
      <c r="H38" s="12"/>
      <c r="I38" s="12"/>
      <c r="J38" s="12"/>
      <c r="K38" s="12"/>
      <c r="L38" s="12"/>
      <c r="M38" s="12"/>
      <c r="N38" s="12"/>
    </row>
    <row r="39" spans="1:15" s="3" customFormat="1" ht="24" customHeight="1" x14ac:dyDescent="0.4">
      <c r="B39" s="126" t="s">
        <v>98</v>
      </c>
      <c r="C39" s="126"/>
      <c r="D39" s="117" t="s">
        <v>108</v>
      </c>
      <c r="E39" s="118"/>
      <c r="F39" s="118"/>
      <c r="G39" s="127" t="s">
        <v>99</v>
      </c>
      <c r="H39" s="126"/>
      <c r="I39" s="128"/>
      <c r="J39" s="117" t="s">
        <v>109</v>
      </c>
      <c r="K39" s="118"/>
      <c r="L39" s="118"/>
      <c r="M39" s="118"/>
      <c r="N39" s="119"/>
      <c r="O39" s="26" t="str">
        <f>IF(OR(D39="",J39=""),"入力してください","")</f>
        <v/>
      </c>
    </row>
    <row r="40" spans="1:15" ht="7.5" customHeight="1" x14ac:dyDescent="0.4">
      <c r="F40" s="12"/>
      <c r="G40" s="12"/>
      <c r="H40" s="12"/>
      <c r="I40" s="12"/>
      <c r="J40" s="12"/>
      <c r="K40" s="12"/>
      <c r="L40" s="12"/>
      <c r="M40" s="12"/>
      <c r="N40" s="12"/>
    </row>
    <row r="41" spans="1:15" ht="24" customHeight="1" x14ac:dyDescent="0.4">
      <c r="A41" s="3" t="s">
        <v>110</v>
      </c>
      <c r="B41" s="3" t="s">
        <v>111</v>
      </c>
      <c r="E41" s="35"/>
      <c r="F41" s="117" t="s">
        <v>188</v>
      </c>
      <c r="G41" s="118"/>
      <c r="H41" s="118"/>
      <c r="I41" s="118"/>
      <c r="J41" s="118"/>
      <c r="K41" s="118"/>
      <c r="L41" s="118"/>
      <c r="M41" s="118"/>
      <c r="N41" s="119"/>
      <c r="O41" s="26" t="str">
        <f>IF(F41="","入力してください","")</f>
        <v/>
      </c>
    </row>
    <row r="42" spans="1:15" ht="7.5" customHeight="1" x14ac:dyDescent="0.4">
      <c r="F42" s="12"/>
      <c r="G42" s="12"/>
      <c r="H42" s="12"/>
      <c r="I42" s="12"/>
      <c r="J42" s="12"/>
      <c r="K42" s="12"/>
      <c r="L42" s="12"/>
      <c r="M42" s="12"/>
      <c r="N42" s="12"/>
    </row>
    <row r="43" spans="1:15" ht="24" customHeight="1" x14ac:dyDescent="0.4">
      <c r="A43" s="3" t="s">
        <v>112</v>
      </c>
    </row>
    <row r="44" spans="1:15" ht="24" customHeight="1" x14ac:dyDescent="0.4">
      <c r="B44" s="5" t="s">
        <v>113</v>
      </c>
      <c r="C44" s="115" t="s">
        <v>114</v>
      </c>
      <c r="D44" s="116"/>
      <c r="E44" s="116"/>
      <c r="F44" s="116"/>
      <c r="G44" s="116"/>
      <c r="H44" s="116"/>
      <c r="I44" s="14" t="s">
        <v>115</v>
      </c>
      <c r="J44" s="16"/>
      <c r="K44" s="117" t="s">
        <v>116</v>
      </c>
      <c r="L44" s="118"/>
      <c r="M44" s="118"/>
      <c r="N44" s="119"/>
      <c r="O44" s="26" t="str">
        <f>IF(OR(C44="",K44=""),"入力してください","")</f>
        <v/>
      </c>
    </row>
    <row r="45" spans="1:15" ht="24" customHeight="1" x14ac:dyDescent="0.4">
      <c r="B45" s="36" t="s">
        <v>117</v>
      </c>
      <c r="C45" s="120" t="s">
        <v>118</v>
      </c>
      <c r="D45" s="121"/>
      <c r="E45" s="121"/>
      <c r="F45" s="121"/>
      <c r="G45" s="121"/>
      <c r="H45" s="122"/>
      <c r="I45" s="14" t="s">
        <v>119</v>
      </c>
      <c r="J45" s="16"/>
      <c r="K45" s="123" t="s">
        <v>120</v>
      </c>
      <c r="L45" s="124"/>
      <c r="M45" s="124"/>
      <c r="N45" s="125"/>
      <c r="O45" s="26" t="str">
        <f>IF(OR(C45="",K45=""),"入力してください","")</f>
        <v/>
      </c>
    </row>
  </sheetData>
  <mergeCells count="44">
    <mergeCell ref="C8:N8"/>
    <mergeCell ref="M1:N1"/>
    <mergeCell ref="A2:N2"/>
    <mergeCell ref="C4:N4"/>
    <mergeCell ref="D6:H6"/>
    <mergeCell ref="K6:N6"/>
    <mergeCell ref="E10:N10"/>
    <mergeCell ref="E12:F12"/>
    <mergeCell ref="C14:D14"/>
    <mergeCell ref="E14:F14"/>
    <mergeCell ref="I14:J14"/>
    <mergeCell ref="K14:M14"/>
    <mergeCell ref="K16:M16"/>
    <mergeCell ref="E18:F18"/>
    <mergeCell ref="K18:N18"/>
    <mergeCell ref="J20:L20"/>
    <mergeCell ref="C22:D22"/>
    <mergeCell ref="G22:H22"/>
    <mergeCell ref="I22:J22"/>
    <mergeCell ref="B34:C34"/>
    <mergeCell ref="D34:F34"/>
    <mergeCell ref="G34:I34"/>
    <mergeCell ref="J34:N34"/>
    <mergeCell ref="C24:D24"/>
    <mergeCell ref="G24:H24"/>
    <mergeCell ref="I24:J24"/>
    <mergeCell ref="C26:D26"/>
    <mergeCell ref="G26:H26"/>
    <mergeCell ref="I26:J26"/>
    <mergeCell ref="B29:C29"/>
    <mergeCell ref="D29:F29"/>
    <mergeCell ref="G29:I29"/>
    <mergeCell ref="J29:N29"/>
    <mergeCell ref="B32:N32"/>
    <mergeCell ref="C44:H44"/>
    <mergeCell ref="K44:N44"/>
    <mergeCell ref="C45:H45"/>
    <mergeCell ref="K45:N45"/>
    <mergeCell ref="B37:N37"/>
    <mergeCell ref="B39:C39"/>
    <mergeCell ref="D39:F39"/>
    <mergeCell ref="G39:I39"/>
    <mergeCell ref="J39:N39"/>
    <mergeCell ref="F41:N41"/>
  </mergeCells>
  <phoneticPr fontId="3"/>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8"/>
  <sheetViews>
    <sheetView showZeros="0" tabSelected="1" view="pageBreakPreview" zoomScale="120" zoomScaleNormal="100" zoomScaleSheetLayoutView="120" workbookViewId="0">
      <selection activeCell="N39" sqref="N39:S39"/>
    </sheetView>
  </sheetViews>
  <sheetFormatPr defaultColWidth="9" defaultRowHeight="18.75" customHeight="1" x14ac:dyDescent="0.4"/>
  <cols>
    <col min="1" max="1" width="2.5" style="1" customWidth="1"/>
    <col min="2" max="2" width="27.75" style="1" customWidth="1"/>
    <col min="3" max="13" width="3.375" style="1" customWidth="1"/>
    <col min="14" max="14" width="8.875" style="1" customWidth="1"/>
    <col min="15" max="15" width="18.875" style="1" customWidth="1"/>
    <col min="16" max="19" width="3.375" style="1" customWidth="1"/>
    <col min="20" max="20" width="3.5" style="1" customWidth="1"/>
    <col min="21" max="26" width="3.375" style="1" customWidth="1"/>
    <col min="27" max="16384" width="9" style="1"/>
  </cols>
  <sheetData>
    <row r="1" spans="1:26" ht="15" customHeight="1" x14ac:dyDescent="0.4">
      <c r="W1" s="229" t="s">
        <v>0</v>
      </c>
      <c r="X1" s="229"/>
      <c r="Y1" s="229"/>
      <c r="Z1" s="229"/>
    </row>
    <row r="2" spans="1:26" ht="18" customHeight="1" x14ac:dyDescent="0.4">
      <c r="A2" s="230" t="s">
        <v>1</v>
      </c>
      <c r="B2" s="230"/>
      <c r="C2" s="230"/>
      <c r="D2" s="230"/>
      <c r="E2" s="230"/>
      <c r="F2" s="230"/>
      <c r="G2" s="230"/>
      <c r="H2" s="230"/>
      <c r="I2" s="230"/>
      <c r="J2" s="230"/>
      <c r="K2" s="230"/>
      <c r="L2" s="230"/>
      <c r="M2" s="230"/>
      <c r="N2" s="230"/>
      <c r="O2" s="230"/>
      <c r="P2" s="230"/>
      <c r="Q2" s="230"/>
      <c r="R2" s="230"/>
      <c r="S2" s="230"/>
      <c r="T2" s="230"/>
      <c r="U2" s="230"/>
      <c r="V2" s="230"/>
      <c r="W2" s="230"/>
      <c r="X2" s="230"/>
      <c r="Y2" s="230"/>
      <c r="Z2" s="230"/>
    </row>
    <row r="3" spans="1:26" ht="15" customHeight="1" x14ac:dyDescent="0.4">
      <c r="B3" s="96"/>
      <c r="C3" s="96"/>
      <c r="D3" s="96"/>
      <c r="E3" s="96"/>
      <c r="F3" s="96"/>
      <c r="G3" s="96"/>
      <c r="H3" s="96"/>
      <c r="I3" s="96"/>
      <c r="J3" s="96"/>
      <c r="K3" s="96"/>
      <c r="L3" s="96"/>
      <c r="M3" s="96"/>
      <c r="N3" s="96"/>
      <c r="O3" s="96"/>
      <c r="P3" s="96"/>
      <c r="Q3" s="96"/>
      <c r="R3" s="96"/>
      <c r="S3" s="96"/>
      <c r="T3" s="96"/>
      <c r="U3" s="96"/>
      <c r="V3" s="96"/>
      <c r="W3" s="96"/>
      <c r="X3" s="96"/>
      <c r="Y3" s="96"/>
      <c r="Z3" s="96"/>
    </row>
    <row r="4" spans="1:26" ht="18" customHeight="1" x14ac:dyDescent="0.4">
      <c r="A4" s="1" t="s">
        <v>2</v>
      </c>
      <c r="B4" s="96"/>
      <c r="C4" s="96"/>
      <c r="D4" s="96"/>
      <c r="E4" s="96"/>
      <c r="F4" s="96"/>
      <c r="G4" s="96"/>
      <c r="H4" s="3" t="s">
        <v>3</v>
      </c>
      <c r="I4" s="96"/>
      <c r="J4" s="96"/>
      <c r="K4" s="96"/>
      <c r="L4" s="96"/>
      <c r="M4" s="96"/>
      <c r="N4" s="96"/>
      <c r="O4" s="132" t="s">
        <v>4</v>
      </c>
      <c r="P4" s="133"/>
      <c r="Q4" s="133"/>
      <c r="R4" s="133"/>
      <c r="S4" s="133"/>
      <c r="T4" s="133"/>
      <c r="U4" s="133"/>
      <c r="V4" s="133"/>
      <c r="W4" s="133"/>
      <c r="X4" s="133"/>
      <c r="Y4" s="133"/>
      <c r="Z4" s="134"/>
    </row>
    <row r="5" spans="1:26" ht="6" customHeight="1" x14ac:dyDescent="0.4">
      <c r="B5" s="96"/>
      <c r="C5" s="96"/>
      <c r="D5" s="96"/>
      <c r="E5" s="96"/>
      <c r="F5" s="96"/>
      <c r="G5" s="96"/>
      <c r="H5" s="96"/>
      <c r="I5" s="96"/>
      <c r="J5" s="96"/>
      <c r="K5" s="96"/>
      <c r="L5" s="96"/>
      <c r="M5" s="96"/>
      <c r="N5" s="96"/>
      <c r="O5" s="4"/>
      <c r="P5" s="96"/>
      <c r="Q5" s="96"/>
      <c r="R5" s="96"/>
      <c r="S5" s="96"/>
      <c r="T5" s="96"/>
      <c r="U5" s="96"/>
      <c r="V5" s="96"/>
      <c r="W5" s="96"/>
      <c r="X5" s="96"/>
      <c r="Y5" s="96"/>
      <c r="Z5" s="96"/>
    </row>
    <row r="6" spans="1:26" ht="18" customHeight="1" x14ac:dyDescent="0.4">
      <c r="B6" s="231" t="s">
        <v>5</v>
      </c>
      <c r="C6" s="232"/>
      <c r="D6" s="232"/>
      <c r="E6" s="232"/>
      <c r="F6" s="232"/>
      <c r="G6" s="232"/>
      <c r="H6" s="232"/>
      <c r="I6" s="232"/>
      <c r="J6" s="232"/>
      <c r="K6" s="232"/>
      <c r="L6" s="232"/>
      <c r="M6" s="232"/>
      <c r="N6" s="232"/>
      <c r="O6" s="232"/>
      <c r="P6" s="232"/>
      <c r="Q6" s="232"/>
      <c r="R6" s="232"/>
      <c r="S6" s="232"/>
      <c r="T6" s="232"/>
      <c r="U6" s="232"/>
      <c r="V6" s="232"/>
      <c r="W6" s="232"/>
      <c r="X6" s="232"/>
      <c r="Y6" s="232"/>
      <c r="Z6" s="233"/>
    </row>
    <row r="7" spans="1:26" ht="18" customHeight="1" x14ac:dyDescent="0.4">
      <c r="B7" s="234"/>
      <c r="C7" s="235"/>
      <c r="D7" s="235"/>
      <c r="E7" s="235"/>
      <c r="F7" s="235"/>
      <c r="G7" s="235"/>
      <c r="H7" s="235"/>
      <c r="I7" s="235"/>
      <c r="J7" s="235"/>
      <c r="K7" s="235"/>
      <c r="L7" s="235"/>
      <c r="M7" s="235"/>
      <c r="N7" s="235"/>
      <c r="O7" s="235"/>
      <c r="P7" s="235"/>
      <c r="Q7" s="235"/>
      <c r="R7" s="235"/>
      <c r="S7" s="235"/>
      <c r="T7" s="235"/>
      <c r="U7" s="235"/>
      <c r="V7" s="235"/>
      <c r="W7" s="235"/>
      <c r="X7" s="235"/>
      <c r="Y7" s="235"/>
      <c r="Z7" s="236"/>
    </row>
    <row r="8" spans="1:26" ht="18" customHeight="1" x14ac:dyDescent="0.4">
      <c r="B8" s="234"/>
      <c r="C8" s="235"/>
      <c r="D8" s="235"/>
      <c r="E8" s="235"/>
      <c r="F8" s="235"/>
      <c r="G8" s="235"/>
      <c r="H8" s="235"/>
      <c r="I8" s="235"/>
      <c r="J8" s="235"/>
      <c r="K8" s="235"/>
      <c r="L8" s="235"/>
      <c r="M8" s="235"/>
      <c r="N8" s="235"/>
      <c r="O8" s="235"/>
      <c r="P8" s="235"/>
      <c r="Q8" s="235"/>
      <c r="R8" s="235"/>
      <c r="S8" s="235"/>
      <c r="T8" s="235"/>
      <c r="U8" s="235"/>
      <c r="V8" s="235"/>
      <c r="W8" s="235"/>
      <c r="X8" s="235"/>
      <c r="Y8" s="235"/>
      <c r="Z8" s="236"/>
    </row>
    <row r="9" spans="1:26" ht="18" customHeight="1" x14ac:dyDescent="0.4">
      <c r="B9" s="234"/>
      <c r="C9" s="235"/>
      <c r="D9" s="235"/>
      <c r="E9" s="235"/>
      <c r="F9" s="235"/>
      <c r="G9" s="235"/>
      <c r="H9" s="235"/>
      <c r="I9" s="235"/>
      <c r="J9" s="235"/>
      <c r="K9" s="235"/>
      <c r="L9" s="235"/>
      <c r="M9" s="235"/>
      <c r="N9" s="235"/>
      <c r="O9" s="235"/>
      <c r="P9" s="235"/>
      <c r="Q9" s="235"/>
      <c r="R9" s="235"/>
      <c r="S9" s="235"/>
      <c r="T9" s="235"/>
      <c r="U9" s="235"/>
      <c r="V9" s="235"/>
      <c r="W9" s="235"/>
      <c r="X9" s="235"/>
      <c r="Y9" s="235"/>
      <c r="Z9" s="236"/>
    </row>
    <row r="10" spans="1:26" ht="18" customHeight="1" x14ac:dyDescent="0.4">
      <c r="B10" s="234"/>
      <c r="C10" s="235"/>
      <c r="D10" s="235"/>
      <c r="E10" s="235"/>
      <c r="F10" s="235"/>
      <c r="G10" s="235"/>
      <c r="H10" s="235"/>
      <c r="I10" s="235"/>
      <c r="J10" s="235"/>
      <c r="K10" s="235"/>
      <c r="L10" s="235"/>
      <c r="M10" s="235"/>
      <c r="N10" s="235"/>
      <c r="O10" s="235"/>
      <c r="P10" s="235"/>
      <c r="Q10" s="235"/>
      <c r="R10" s="235"/>
      <c r="S10" s="235"/>
      <c r="T10" s="235"/>
      <c r="U10" s="235"/>
      <c r="V10" s="235"/>
      <c r="W10" s="235"/>
      <c r="X10" s="235"/>
      <c r="Y10" s="235"/>
      <c r="Z10" s="236"/>
    </row>
    <row r="11" spans="1:26" ht="18" customHeight="1" x14ac:dyDescent="0.4">
      <c r="B11" s="237"/>
      <c r="C11" s="238"/>
      <c r="D11" s="238"/>
      <c r="E11" s="238"/>
      <c r="F11" s="238"/>
      <c r="G11" s="238"/>
      <c r="H11" s="238"/>
      <c r="I11" s="238"/>
      <c r="J11" s="238"/>
      <c r="K11" s="238"/>
      <c r="L11" s="238"/>
      <c r="M11" s="238"/>
      <c r="N11" s="238"/>
      <c r="O11" s="238"/>
      <c r="P11" s="238"/>
      <c r="Q11" s="238"/>
      <c r="R11" s="238"/>
      <c r="S11" s="238"/>
      <c r="T11" s="238"/>
      <c r="U11" s="238"/>
      <c r="V11" s="238"/>
      <c r="W11" s="238"/>
      <c r="X11" s="238"/>
      <c r="Y11" s="238"/>
      <c r="Z11" s="239"/>
    </row>
    <row r="12" spans="1:26" ht="7.5" customHeight="1" x14ac:dyDescent="0.4">
      <c r="B12" s="96"/>
      <c r="C12" s="96"/>
      <c r="D12" s="96"/>
      <c r="E12" s="96"/>
      <c r="F12" s="96"/>
      <c r="G12" s="96"/>
      <c r="H12" s="96"/>
      <c r="I12" s="96"/>
      <c r="J12" s="96"/>
      <c r="K12" s="96"/>
      <c r="L12" s="96"/>
      <c r="M12" s="96"/>
      <c r="N12" s="96"/>
      <c r="O12" s="96"/>
      <c r="P12" s="96"/>
      <c r="Q12" s="96"/>
      <c r="R12" s="96"/>
      <c r="S12" s="96"/>
      <c r="T12" s="96"/>
      <c r="U12" s="96"/>
      <c r="V12" s="96"/>
      <c r="W12" s="96"/>
      <c r="X12" s="96"/>
      <c r="Y12" s="96"/>
      <c r="Z12" s="96"/>
    </row>
    <row r="13" spans="1:26" ht="18" customHeight="1" x14ac:dyDescent="0.4">
      <c r="A13" s="222" t="s">
        <v>6</v>
      </c>
      <c r="B13" s="222"/>
      <c r="C13" s="222"/>
      <c r="D13" s="222"/>
      <c r="E13" s="222"/>
      <c r="F13" s="222"/>
      <c r="G13" s="222"/>
      <c r="H13" s="222"/>
      <c r="I13" s="222"/>
      <c r="J13" s="222"/>
      <c r="K13" s="222"/>
      <c r="L13" s="222"/>
      <c r="M13" s="222"/>
      <c r="N13" s="222"/>
      <c r="O13" s="222"/>
      <c r="P13" s="222"/>
      <c r="Q13" s="222"/>
      <c r="R13" s="222"/>
      <c r="S13" s="222"/>
      <c r="T13" s="222"/>
      <c r="U13" s="222"/>
      <c r="V13" s="222"/>
      <c r="W13" s="222"/>
      <c r="X13" s="222"/>
      <c r="Y13" s="222"/>
      <c r="Z13" s="222"/>
    </row>
    <row r="14" spans="1:26" ht="18" customHeight="1" x14ac:dyDescent="0.4">
      <c r="A14" s="222"/>
      <c r="B14" s="222"/>
      <c r="C14" s="222"/>
      <c r="D14" s="222"/>
      <c r="E14" s="222"/>
      <c r="F14" s="222"/>
      <c r="G14" s="222"/>
      <c r="H14" s="222"/>
      <c r="I14" s="222"/>
      <c r="J14" s="222"/>
      <c r="K14" s="222"/>
      <c r="L14" s="222"/>
      <c r="M14" s="222"/>
      <c r="N14" s="222"/>
      <c r="O14" s="222"/>
      <c r="P14" s="222"/>
      <c r="Q14" s="222"/>
      <c r="R14" s="222"/>
      <c r="S14" s="222"/>
      <c r="T14" s="222"/>
      <c r="U14" s="222"/>
      <c r="V14" s="222"/>
      <c r="W14" s="222"/>
      <c r="X14" s="222"/>
      <c r="Y14" s="222"/>
      <c r="Z14" s="222"/>
    </row>
    <row r="15" spans="1:26" ht="18" customHeight="1" x14ac:dyDescent="0.4">
      <c r="A15" s="3"/>
      <c r="B15" s="132" t="s">
        <v>7</v>
      </c>
      <c r="C15" s="133"/>
      <c r="D15" s="133"/>
      <c r="E15" s="133"/>
      <c r="F15" s="134"/>
      <c r="G15" s="5" t="s">
        <v>8</v>
      </c>
      <c r="H15" s="6" t="s">
        <v>9</v>
      </c>
      <c r="I15" s="133" t="s">
        <v>10</v>
      </c>
      <c r="J15" s="133"/>
      <c r="K15" s="133"/>
      <c r="L15" s="7" t="s">
        <v>11</v>
      </c>
      <c r="M15" s="7" t="s">
        <v>12</v>
      </c>
      <c r="N15" s="132" t="s">
        <v>7</v>
      </c>
      <c r="O15" s="133"/>
      <c r="P15" s="133"/>
      <c r="Q15" s="133"/>
      <c r="R15" s="133"/>
      <c r="S15" s="134"/>
      <c r="T15" s="5" t="s">
        <v>8</v>
      </c>
      <c r="U15" s="6" t="s">
        <v>9</v>
      </c>
      <c r="V15" s="133" t="s">
        <v>10</v>
      </c>
      <c r="W15" s="133"/>
      <c r="X15" s="133"/>
      <c r="Y15" s="7" t="s">
        <v>11</v>
      </c>
      <c r="Z15" s="7" t="s">
        <v>12</v>
      </c>
    </row>
    <row r="16" spans="1:26" ht="18" customHeight="1" x14ac:dyDescent="0.4">
      <c r="A16" s="3"/>
      <c r="B16" s="226" t="s">
        <v>13</v>
      </c>
      <c r="C16" s="227"/>
      <c r="D16" s="227"/>
      <c r="E16" s="227"/>
      <c r="F16" s="228"/>
      <c r="G16" s="8">
        <v>2</v>
      </c>
      <c r="H16" s="8" t="s">
        <v>14</v>
      </c>
      <c r="I16" s="216" t="s">
        <v>15</v>
      </c>
      <c r="J16" s="217"/>
      <c r="K16" s="218"/>
      <c r="L16" s="8" t="s">
        <v>14</v>
      </c>
      <c r="M16" s="8" t="s">
        <v>14</v>
      </c>
      <c r="N16" s="201"/>
      <c r="O16" s="202"/>
      <c r="P16" s="202"/>
      <c r="Q16" s="202"/>
      <c r="R16" s="202"/>
      <c r="S16" s="203"/>
      <c r="T16" s="8"/>
      <c r="U16" s="8"/>
      <c r="V16" s="216"/>
      <c r="W16" s="217"/>
      <c r="X16" s="218"/>
      <c r="Y16" s="8"/>
      <c r="Z16" s="8"/>
    </row>
    <row r="17" spans="1:26" ht="18" customHeight="1" x14ac:dyDescent="0.4">
      <c r="A17" s="3"/>
      <c r="B17" s="223"/>
      <c r="C17" s="224"/>
      <c r="D17" s="224"/>
      <c r="E17" s="224"/>
      <c r="F17" s="225"/>
      <c r="G17" s="9"/>
      <c r="H17" s="9"/>
      <c r="I17" s="213"/>
      <c r="J17" s="214"/>
      <c r="K17" s="215"/>
      <c r="L17" s="9"/>
      <c r="M17" s="9"/>
      <c r="N17" s="195"/>
      <c r="O17" s="196"/>
      <c r="P17" s="196"/>
      <c r="Q17" s="196"/>
      <c r="R17" s="196"/>
      <c r="S17" s="197"/>
      <c r="T17" s="9"/>
      <c r="U17" s="9"/>
      <c r="V17" s="213"/>
      <c r="W17" s="214"/>
      <c r="X17" s="215"/>
      <c r="Y17" s="9"/>
      <c r="Z17" s="9"/>
    </row>
    <row r="18" spans="1:26" ht="18" customHeight="1" x14ac:dyDescent="0.4">
      <c r="A18" s="3"/>
      <c r="B18" s="223"/>
      <c r="C18" s="224"/>
      <c r="D18" s="224"/>
      <c r="E18" s="224"/>
      <c r="F18" s="225"/>
      <c r="G18" s="9"/>
      <c r="H18" s="9"/>
      <c r="I18" s="213"/>
      <c r="J18" s="214"/>
      <c r="K18" s="215"/>
      <c r="L18" s="9"/>
      <c r="M18" s="9"/>
      <c r="N18" s="195"/>
      <c r="O18" s="196"/>
      <c r="P18" s="196"/>
      <c r="Q18" s="196"/>
      <c r="R18" s="196"/>
      <c r="S18" s="197"/>
      <c r="T18" s="9"/>
      <c r="U18" s="9"/>
      <c r="V18" s="213"/>
      <c r="W18" s="214"/>
      <c r="X18" s="215"/>
      <c r="Y18" s="9"/>
      <c r="Z18" s="9"/>
    </row>
    <row r="19" spans="1:26" ht="18" customHeight="1" x14ac:dyDescent="0.4">
      <c r="A19" s="3"/>
      <c r="B19" s="223"/>
      <c r="C19" s="224"/>
      <c r="D19" s="224"/>
      <c r="E19" s="224"/>
      <c r="F19" s="225"/>
      <c r="G19" s="9"/>
      <c r="H19" s="9"/>
      <c r="I19" s="213"/>
      <c r="J19" s="214"/>
      <c r="K19" s="215"/>
      <c r="L19" s="9"/>
      <c r="M19" s="9"/>
      <c r="N19" s="195"/>
      <c r="O19" s="196"/>
      <c r="P19" s="196"/>
      <c r="Q19" s="196"/>
      <c r="R19" s="196"/>
      <c r="S19" s="197"/>
      <c r="T19" s="9"/>
      <c r="U19" s="9"/>
      <c r="V19" s="213"/>
      <c r="W19" s="214"/>
      <c r="X19" s="215"/>
      <c r="Y19" s="9"/>
      <c r="Z19" s="9"/>
    </row>
    <row r="20" spans="1:26" ht="18" customHeight="1" x14ac:dyDescent="0.4">
      <c r="A20" s="3"/>
      <c r="B20" s="223"/>
      <c r="C20" s="224"/>
      <c r="D20" s="224"/>
      <c r="E20" s="224"/>
      <c r="F20" s="225"/>
      <c r="G20" s="9"/>
      <c r="H20" s="9"/>
      <c r="I20" s="213"/>
      <c r="J20" s="214"/>
      <c r="K20" s="215"/>
      <c r="L20" s="9"/>
      <c r="M20" s="9"/>
      <c r="N20" s="195"/>
      <c r="O20" s="196"/>
      <c r="P20" s="196"/>
      <c r="Q20" s="196"/>
      <c r="R20" s="196"/>
      <c r="S20" s="197"/>
      <c r="T20" s="9"/>
      <c r="U20" s="9"/>
      <c r="V20" s="213"/>
      <c r="W20" s="214"/>
      <c r="X20" s="215"/>
      <c r="Y20" s="9"/>
      <c r="Z20" s="9"/>
    </row>
    <row r="21" spans="1:26" ht="18" customHeight="1" x14ac:dyDescent="0.4">
      <c r="A21" s="96"/>
      <c r="B21" s="223"/>
      <c r="C21" s="224"/>
      <c r="D21" s="224"/>
      <c r="E21" s="224"/>
      <c r="F21" s="225"/>
      <c r="G21" s="9"/>
      <c r="H21" s="9"/>
      <c r="I21" s="213"/>
      <c r="J21" s="214"/>
      <c r="K21" s="215"/>
      <c r="L21" s="9"/>
      <c r="M21" s="9"/>
      <c r="N21" s="195"/>
      <c r="O21" s="196"/>
      <c r="P21" s="196"/>
      <c r="Q21" s="196"/>
      <c r="R21" s="196"/>
      <c r="S21" s="197"/>
      <c r="T21" s="9"/>
      <c r="U21" s="9"/>
      <c r="V21" s="213"/>
      <c r="W21" s="214"/>
      <c r="X21" s="215"/>
      <c r="Y21" s="9"/>
      <c r="Z21" s="9"/>
    </row>
    <row r="22" spans="1:26" ht="18" customHeight="1" x14ac:dyDescent="0.4">
      <c r="A22" s="96"/>
      <c r="B22" s="219"/>
      <c r="C22" s="220"/>
      <c r="D22" s="220"/>
      <c r="E22" s="220"/>
      <c r="F22" s="221"/>
      <c r="G22" s="10"/>
      <c r="H22" s="10"/>
      <c r="I22" s="207"/>
      <c r="J22" s="208"/>
      <c r="K22" s="209"/>
      <c r="L22" s="11"/>
      <c r="M22" s="11"/>
      <c r="N22" s="182"/>
      <c r="O22" s="183"/>
      <c r="P22" s="183"/>
      <c r="Q22" s="183"/>
      <c r="R22" s="183"/>
      <c r="S22" s="184"/>
      <c r="T22" s="10"/>
      <c r="U22" s="10"/>
      <c r="V22" s="207"/>
      <c r="W22" s="208"/>
      <c r="X22" s="209"/>
      <c r="Y22" s="11"/>
      <c r="Z22" s="11"/>
    </row>
    <row r="23" spans="1:26" ht="7.5" customHeight="1" x14ac:dyDescent="0.4">
      <c r="A23" s="96"/>
      <c r="B23" s="97"/>
      <c r="C23" s="97"/>
      <c r="D23" s="96"/>
      <c r="E23" s="96"/>
      <c r="F23" s="96"/>
      <c r="G23" s="96"/>
      <c r="H23" s="96"/>
      <c r="I23" s="96"/>
      <c r="J23" s="96"/>
      <c r="K23" s="96"/>
      <c r="L23" s="97"/>
      <c r="M23" s="97"/>
      <c r="N23" s="97"/>
      <c r="O23" s="97"/>
      <c r="P23" s="97"/>
      <c r="Q23" s="97"/>
      <c r="R23" s="97"/>
      <c r="S23" s="97"/>
      <c r="T23" s="97"/>
      <c r="U23" s="97"/>
      <c r="V23" s="97"/>
      <c r="W23" s="97"/>
      <c r="X23" s="97"/>
      <c r="Y23" s="97"/>
      <c r="Z23" s="96"/>
    </row>
    <row r="24" spans="1:26" ht="18" customHeight="1" x14ac:dyDescent="0.4">
      <c r="A24" s="222" t="s">
        <v>16</v>
      </c>
      <c r="B24" s="222"/>
      <c r="C24" s="222"/>
      <c r="D24" s="222"/>
      <c r="E24" s="222"/>
      <c r="F24" s="222"/>
      <c r="G24" s="222"/>
      <c r="H24" s="222"/>
      <c r="I24" s="222"/>
      <c r="J24" s="222"/>
      <c r="K24" s="222"/>
      <c r="L24" s="222"/>
      <c r="M24" s="222"/>
      <c r="N24" s="222"/>
      <c r="O24" s="222"/>
      <c r="P24" s="222"/>
      <c r="Q24" s="222"/>
      <c r="R24" s="222"/>
      <c r="S24" s="222"/>
      <c r="T24" s="222"/>
      <c r="U24" s="222"/>
      <c r="V24" s="222"/>
      <c r="W24" s="222"/>
      <c r="X24" s="222"/>
      <c r="Y24" s="222"/>
      <c r="Z24" s="222"/>
    </row>
    <row r="25" spans="1:26" ht="18" customHeight="1" x14ac:dyDescent="0.4">
      <c r="A25" s="222"/>
      <c r="B25" s="222"/>
      <c r="C25" s="222"/>
      <c r="D25" s="222"/>
      <c r="E25" s="222"/>
      <c r="F25" s="222"/>
      <c r="G25" s="222"/>
      <c r="H25" s="222"/>
      <c r="I25" s="222"/>
      <c r="J25" s="222"/>
      <c r="K25" s="222"/>
      <c r="L25" s="222"/>
      <c r="M25" s="222"/>
      <c r="N25" s="222"/>
      <c r="O25" s="222"/>
      <c r="P25" s="222"/>
      <c r="Q25" s="222"/>
      <c r="R25" s="222"/>
      <c r="S25" s="222"/>
      <c r="T25" s="222"/>
      <c r="U25" s="222"/>
      <c r="V25" s="222"/>
      <c r="W25" s="222"/>
      <c r="X25" s="222"/>
      <c r="Y25" s="222"/>
      <c r="Z25" s="222"/>
    </row>
    <row r="26" spans="1:26" ht="18" customHeight="1" x14ac:dyDescent="0.4">
      <c r="A26" s="3"/>
      <c r="B26" s="132" t="s">
        <v>7</v>
      </c>
      <c r="C26" s="133"/>
      <c r="D26" s="133"/>
      <c r="E26" s="133"/>
      <c r="F26" s="134"/>
      <c r="G26" s="5" t="s">
        <v>8</v>
      </c>
      <c r="H26" s="6" t="s">
        <v>9</v>
      </c>
      <c r="I26" s="133" t="s">
        <v>10</v>
      </c>
      <c r="J26" s="133"/>
      <c r="K26" s="133"/>
      <c r="L26" s="7" t="s">
        <v>17</v>
      </c>
      <c r="M26" s="7" t="s">
        <v>18</v>
      </c>
      <c r="N26" s="132" t="s">
        <v>7</v>
      </c>
      <c r="O26" s="133"/>
      <c r="P26" s="133"/>
      <c r="Q26" s="133"/>
      <c r="R26" s="133"/>
      <c r="S26" s="134"/>
      <c r="T26" s="5" t="s">
        <v>8</v>
      </c>
      <c r="U26" s="6" t="s">
        <v>9</v>
      </c>
      <c r="V26" s="133" t="s">
        <v>10</v>
      </c>
      <c r="W26" s="133"/>
      <c r="X26" s="133"/>
      <c r="Y26" s="7" t="s">
        <v>17</v>
      </c>
      <c r="Z26" s="7" t="s">
        <v>18</v>
      </c>
    </row>
    <row r="27" spans="1:26" ht="18" customHeight="1" x14ac:dyDescent="0.4">
      <c r="A27" s="3"/>
      <c r="B27" s="226" t="s">
        <v>13</v>
      </c>
      <c r="C27" s="227"/>
      <c r="D27" s="227"/>
      <c r="E27" s="227"/>
      <c r="F27" s="228"/>
      <c r="G27" s="8">
        <v>2</v>
      </c>
      <c r="H27" s="8" t="s">
        <v>14</v>
      </c>
      <c r="I27" s="216" t="s">
        <v>15</v>
      </c>
      <c r="J27" s="217"/>
      <c r="K27" s="218"/>
      <c r="L27" s="8" t="s">
        <v>14</v>
      </c>
      <c r="M27" s="8" t="s">
        <v>14</v>
      </c>
      <c r="N27" s="201"/>
      <c r="O27" s="202"/>
      <c r="P27" s="202"/>
      <c r="Q27" s="202"/>
      <c r="R27" s="202"/>
      <c r="S27" s="203"/>
      <c r="T27" s="8"/>
      <c r="U27" s="8"/>
      <c r="V27" s="216"/>
      <c r="W27" s="217"/>
      <c r="X27" s="218"/>
      <c r="Y27" s="8"/>
      <c r="Z27" s="8"/>
    </row>
    <row r="28" spans="1:26" ht="18" customHeight="1" x14ac:dyDescent="0.4">
      <c r="A28" s="3"/>
      <c r="B28" s="223" t="s">
        <v>19</v>
      </c>
      <c r="C28" s="224"/>
      <c r="D28" s="224"/>
      <c r="E28" s="224"/>
      <c r="F28" s="225"/>
      <c r="G28" s="9">
        <v>2</v>
      </c>
      <c r="H28" s="9" t="s">
        <v>14</v>
      </c>
      <c r="I28" s="213" t="s">
        <v>15</v>
      </c>
      <c r="J28" s="214"/>
      <c r="K28" s="215"/>
      <c r="L28" s="9" t="s">
        <v>14</v>
      </c>
      <c r="M28" s="9" t="s">
        <v>14</v>
      </c>
      <c r="N28" s="195"/>
      <c r="O28" s="196"/>
      <c r="P28" s="196"/>
      <c r="Q28" s="196"/>
      <c r="R28" s="196"/>
      <c r="S28" s="197"/>
      <c r="T28" s="9"/>
      <c r="U28" s="9"/>
      <c r="V28" s="213"/>
      <c r="W28" s="214"/>
      <c r="X28" s="215"/>
      <c r="Y28" s="9"/>
      <c r="Z28" s="9"/>
    </row>
    <row r="29" spans="1:26" ht="18" customHeight="1" x14ac:dyDescent="0.4">
      <c r="A29" s="3"/>
      <c r="B29" s="223"/>
      <c r="C29" s="224"/>
      <c r="D29" s="224"/>
      <c r="E29" s="224"/>
      <c r="F29" s="225"/>
      <c r="G29" s="9"/>
      <c r="H29" s="9"/>
      <c r="I29" s="213"/>
      <c r="J29" s="214"/>
      <c r="K29" s="215"/>
      <c r="L29" s="9"/>
      <c r="M29" s="9"/>
      <c r="N29" s="195"/>
      <c r="O29" s="196"/>
      <c r="P29" s="196"/>
      <c r="Q29" s="196"/>
      <c r="R29" s="196"/>
      <c r="S29" s="197"/>
      <c r="T29" s="9"/>
      <c r="U29" s="9"/>
      <c r="V29" s="213"/>
      <c r="W29" s="214"/>
      <c r="X29" s="215"/>
      <c r="Y29" s="9"/>
      <c r="Z29" s="9"/>
    </row>
    <row r="30" spans="1:26" ht="18" customHeight="1" x14ac:dyDescent="0.4">
      <c r="A30" s="3"/>
      <c r="B30" s="223"/>
      <c r="C30" s="224"/>
      <c r="D30" s="224"/>
      <c r="E30" s="224"/>
      <c r="F30" s="225"/>
      <c r="G30" s="9"/>
      <c r="H30" s="9"/>
      <c r="I30" s="213"/>
      <c r="J30" s="214"/>
      <c r="K30" s="215"/>
      <c r="L30" s="9"/>
      <c r="M30" s="9"/>
      <c r="N30" s="195"/>
      <c r="O30" s="196"/>
      <c r="P30" s="196"/>
      <c r="Q30" s="196"/>
      <c r="R30" s="196"/>
      <c r="S30" s="197"/>
      <c r="T30" s="9"/>
      <c r="U30" s="9"/>
      <c r="V30" s="213"/>
      <c r="W30" s="214"/>
      <c r="X30" s="215"/>
      <c r="Y30" s="9"/>
      <c r="Z30" s="9"/>
    </row>
    <row r="31" spans="1:26" ht="18" customHeight="1" x14ac:dyDescent="0.4">
      <c r="A31" s="3"/>
      <c r="B31" s="223"/>
      <c r="C31" s="224"/>
      <c r="D31" s="224"/>
      <c r="E31" s="224"/>
      <c r="F31" s="225"/>
      <c r="G31" s="9"/>
      <c r="H31" s="9"/>
      <c r="I31" s="213"/>
      <c r="J31" s="214"/>
      <c r="K31" s="215"/>
      <c r="L31" s="9"/>
      <c r="M31" s="9"/>
      <c r="N31" s="195"/>
      <c r="O31" s="196"/>
      <c r="P31" s="196"/>
      <c r="Q31" s="196"/>
      <c r="R31" s="196"/>
      <c r="S31" s="197"/>
      <c r="T31" s="9"/>
      <c r="U31" s="9"/>
      <c r="V31" s="213"/>
      <c r="W31" s="214"/>
      <c r="X31" s="215"/>
      <c r="Y31" s="9"/>
      <c r="Z31" s="9"/>
    </row>
    <row r="32" spans="1:26" ht="18" customHeight="1" x14ac:dyDescent="0.4">
      <c r="A32" s="3"/>
      <c r="B32" s="223"/>
      <c r="C32" s="224"/>
      <c r="D32" s="224"/>
      <c r="E32" s="224"/>
      <c r="F32" s="225"/>
      <c r="G32" s="9"/>
      <c r="H32" s="9"/>
      <c r="I32" s="213"/>
      <c r="J32" s="214"/>
      <c r="K32" s="215"/>
      <c r="L32" s="9"/>
      <c r="M32" s="9"/>
      <c r="N32" s="195"/>
      <c r="O32" s="196"/>
      <c r="P32" s="196"/>
      <c r="Q32" s="196"/>
      <c r="R32" s="196"/>
      <c r="S32" s="197"/>
      <c r="T32" s="9"/>
      <c r="U32" s="9"/>
      <c r="V32" s="213"/>
      <c r="W32" s="214"/>
      <c r="X32" s="215"/>
      <c r="Y32" s="9"/>
      <c r="Z32" s="9"/>
    </row>
    <row r="33" spans="1:26" ht="18" customHeight="1" x14ac:dyDescent="0.4">
      <c r="A33" s="3"/>
      <c r="B33" s="219"/>
      <c r="C33" s="220"/>
      <c r="D33" s="220"/>
      <c r="E33" s="220"/>
      <c r="F33" s="221"/>
      <c r="G33" s="10"/>
      <c r="H33" s="10"/>
      <c r="I33" s="207"/>
      <c r="J33" s="208"/>
      <c r="K33" s="209"/>
      <c r="L33" s="11"/>
      <c r="M33" s="11"/>
      <c r="N33" s="182"/>
      <c r="O33" s="183"/>
      <c r="P33" s="183"/>
      <c r="Q33" s="183"/>
      <c r="R33" s="183"/>
      <c r="S33" s="184"/>
      <c r="T33" s="10"/>
      <c r="U33" s="10"/>
      <c r="V33" s="207"/>
      <c r="W33" s="208"/>
      <c r="X33" s="209"/>
      <c r="Y33" s="11"/>
      <c r="Z33" s="11"/>
    </row>
    <row r="34" spans="1:26" ht="7.5" customHeight="1" x14ac:dyDescent="0.4">
      <c r="A34" s="96"/>
      <c r="B34" s="97"/>
      <c r="C34" s="97"/>
      <c r="D34" s="96"/>
      <c r="E34" s="96"/>
      <c r="F34" s="96"/>
      <c r="G34" s="96"/>
      <c r="H34" s="96"/>
      <c r="I34" s="96"/>
      <c r="J34" s="96"/>
      <c r="K34" s="96"/>
      <c r="L34" s="97"/>
      <c r="M34" s="97"/>
      <c r="N34" s="97"/>
      <c r="O34" s="97"/>
      <c r="P34" s="97"/>
      <c r="Q34" s="97"/>
      <c r="R34" s="97"/>
      <c r="S34" s="97"/>
      <c r="T34" s="97"/>
      <c r="U34" s="97"/>
      <c r="V34" s="97"/>
      <c r="W34" s="97"/>
      <c r="X34" s="97"/>
      <c r="Y34" s="97"/>
      <c r="Z34" s="96"/>
    </row>
    <row r="35" spans="1:26" ht="18" customHeight="1" x14ac:dyDescent="0.4">
      <c r="A35" s="222" t="s">
        <v>20</v>
      </c>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row>
    <row r="36" spans="1:26" ht="18" customHeight="1" x14ac:dyDescent="0.4">
      <c r="A36" s="222"/>
      <c r="B36" s="222"/>
      <c r="C36" s="222"/>
      <c r="D36" s="222"/>
      <c r="E36" s="222"/>
      <c r="F36" s="222"/>
      <c r="G36" s="222"/>
      <c r="H36" s="222"/>
      <c r="I36" s="222"/>
      <c r="J36" s="222"/>
      <c r="K36" s="222"/>
      <c r="L36" s="222"/>
      <c r="M36" s="222"/>
      <c r="N36" s="222"/>
      <c r="O36" s="222"/>
      <c r="P36" s="222"/>
      <c r="Q36" s="222"/>
      <c r="R36" s="222"/>
      <c r="S36" s="222"/>
      <c r="T36" s="222"/>
      <c r="U36" s="222"/>
      <c r="V36" s="222"/>
      <c r="W36" s="222"/>
      <c r="X36" s="222"/>
      <c r="Y36" s="222"/>
      <c r="Z36" s="222"/>
    </row>
    <row r="37" spans="1:26" ht="18" customHeight="1" x14ac:dyDescent="0.4">
      <c r="A37" s="3"/>
      <c r="B37" s="132" t="s">
        <v>7</v>
      </c>
      <c r="C37" s="133"/>
      <c r="D37" s="133"/>
      <c r="E37" s="133"/>
      <c r="F37" s="134"/>
      <c r="G37" s="5" t="s">
        <v>8</v>
      </c>
      <c r="H37" s="6" t="s">
        <v>9</v>
      </c>
      <c r="I37" s="132" t="s">
        <v>10</v>
      </c>
      <c r="J37" s="133"/>
      <c r="K37" s="134"/>
      <c r="L37" s="7" t="s">
        <v>21</v>
      </c>
      <c r="M37" s="7" t="s">
        <v>22</v>
      </c>
      <c r="N37" s="132" t="s">
        <v>7</v>
      </c>
      <c r="O37" s="133"/>
      <c r="P37" s="133"/>
      <c r="Q37" s="133"/>
      <c r="R37" s="133"/>
      <c r="S37" s="134"/>
      <c r="T37" s="5" t="s">
        <v>8</v>
      </c>
      <c r="U37" s="6" t="s">
        <v>9</v>
      </c>
      <c r="V37" s="132" t="s">
        <v>10</v>
      </c>
      <c r="W37" s="133"/>
      <c r="X37" s="134"/>
      <c r="Y37" s="7" t="s">
        <v>21</v>
      </c>
      <c r="Z37" s="7" t="s">
        <v>22</v>
      </c>
    </row>
    <row r="38" spans="1:26" ht="18" customHeight="1" x14ac:dyDescent="0.4">
      <c r="A38" s="96"/>
      <c r="B38" s="226" t="s">
        <v>13</v>
      </c>
      <c r="C38" s="227"/>
      <c r="D38" s="227"/>
      <c r="E38" s="227"/>
      <c r="F38" s="228"/>
      <c r="G38" s="8">
        <v>2</v>
      </c>
      <c r="H38" s="8" t="s">
        <v>14</v>
      </c>
      <c r="I38" s="216" t="s">
        <v>15</v>
      </c>
      <c r="J38" s="217"/>
      <c r="K38" s="218"/>
      <c r="L38" s="8" t="s">
        <v>14</v>
      </c>
      <c r="M38" s="8" t="s">
        <v>14</v>
      </c>
      <c r="N38" s="201"/>
      <c r="O38" s="202"/>
      <c r="P38" s="202"/>
      <c r="Q38" s="202"/>
      <c r="R38" s="202"/>
      <c r="S38" s="203"/>
      <c r="T38" s="8"/>
      <c r="U38" s="8"/>
      <c r="V38" s="216"/>
      <c r="W38" s="217"/>
      <c r="X38" s="218"/>
      <c r="Y38" s="8"/>
      <c r="Z38" s="8"/>
    </row>
    <row r="39" spans="1:26" ht="18" customHeight="1" x14ac:dyDescent="0.4">
      <c r="A39" s="96"/>
      <c r="B39" s="223" t="s">
        <v>26</v>
      </c>
      <c r="C39" s="224"/>
      <c r="D39" s="224"/>
      <c r="E39" s="224"/>
      <c r="F39" s="225"/>
      <c r="G39" s="9">
        <v>1</v>
      </c>
      <c r="H39" s="9" t="s">
        <v>14</v>
      </c>
      <c r="I39" s="213" t="s">
        <v>15</v>
      </c>
      <c r="J39" s="214"/>
      <c r="K39" s="215"/>
      <c r="L39" s="9" t="s">
        <v>14</v>
      </c>
      <c r="M39" s="9"/>
      <c r="N39" s="195"/>
      <c r="O39" s="196"/>
      <c r="P39" s="196"/>
      <c r="Q39" s="196"/>
      <c r="R39" s="196"/>
      <c r="S39" s="197"/>
      <c r="T39" s="9"/>
      <c r="U39" s="9"/>
      <c r="V39" s="213"/>
      <c r="W39" s="214"/>
      <c r="X39" s="215"/>
      <c r="Y39" s="9"/>
      <c r="Z39" s="9"/>
    </row>
    <row r="40" spans="1:26" ht="18" customHeight="1" x14ac:dyDescent="0.4">
      <c r="A40" s="96"/>
      <c r="B40" s="223"/>
      <c r="C40" s="224"/>
      <c r="D40" s="224"/>
      <c r="E40" s="224"/>
      <c r="F40" s="225"/>
      <c r="G40" s="9"/>
      <c r="H40" s="9"/>
      <c r="I40" s="213"/>
      <c r="J40" s="214"/>
      <c r="K40" s="215"/>
      <c r="L40" s="9"/>
      <c r="M40" s="9"/>
      <c r="N40" s="195"/>
      <c r="O40" s="196"/>
      <c r="P40" s="196"/>
      <c r="Q40" s="196"/>
      <c r="R40" s="196"/>
      <c r="S40" s="197"/>
      <c r="T40" s="9"/>
      <c r="U40" s="9"/>
      <c r="V40" s="213"/>
      <c r="W40" s="214"/>
      <c r="X40" s="215"/>
      <c r="Y40" s="9"/>
      <c r="Z40" s="9"/>
    </row>
    <row r="41" spans="1:26" ht="18" customHeight="1" x14ac:dyDescent="0.4">
      <c r="A41" s="96"/>
      <c r="B41" s="223"/>
      <c r="C41" s="224"/>
      <c r="D41" s="224"/>
      <c r="E41" s="224"/>
      <c r="F41" s="225"/>
      <c r="G41" s="9"/>
      <c r="H41" s="9"/>
      <c r="I41" s="213"/>
      <c r="J41" s="214"/>
      <c r="K41" s="215"/>
      <c r="L41" s="9"/>
      <c r="M41" s="9"/>
      <c r="N41" s="195"/>
      <c r="O41" s="196"/>
      <c r="P41" s="196"/>
      <c r="Q41" s="196"/>
      <c r="R41" s="196"/>
      <c r="S41" s="197"/>
      <c r="T41" s="9"/>
      <c r="U41" s="9"/>
      <c r="V41" s="213"/>
      <c r="W41" s="214"/>
      <c r="X41" s="215"/>
      <c r="Y41" s="9"/>
      <c r="Z41" s="9"/>
    </row>
    <row r="42" spans="1:26" ht="18" customHeight="1" x14ac:dyDescent="0.4">
      <c r="A42" s="96"/>
      <c r="B42" s="223"/>
      <c r="C42" s="224"/>
      <c r="D42" s="224"/>
      <c r="E42" s="224"/>
      <c r="F42" s="225"/>
      <c r="G42" s="9"/>
      <c r="H42" s="9"/>
      <c r="I42" s="213"/>
      <c r="J42" s="214"/>
      <c r="K42" s="215"/>
      <c r="L42" s="9"/>
      <c r="M42" s="9"/>
      <c r="N42" s="195"/>
      <c r="O42" s="196"/>
      <c r="P42" s="196"/>
      <c r="Q42" s="196"/>
      <c r="R42" s="196"/>
      <c r="S42" s="197"/>
      <c r="T42" s="9"/>
      <c r="U42" s="9"/>
      <c r="V42" s="213"/>
      <c r="W42" s="214"/>
      <c r="X42" s="215"/>
      <c r="Y42" s="9"/>
      <c r="Z42" s="9"/>
    </row>
    <row r="43" spans="1:26" ht="18" customHeight="1" x14ac:dyDescent="0.4">
      <c r="A43" s="96"/>
      <c r="B43" s="223"/>
      <c r="C43" s="224"/>
      <c r="D43" s="224"/>
      <c r="E43" s="224"/>
      <c r="F43" s="225"/>
      <c r="G43" s="9"/>
      <c r="H43" s="9"/>
      <c r="I43" s="213"/>
      <c r="J43" s="214"/>
      <c r="K43" s="215"/>
      <c r="L43" s="9"/>
      <c r="M43" s="9"/>
      <c r="N43" s="195"/>
      <c r="O43" s="196"/>
      <c r="P43" s="196"/>
      <c r="Q43" s="196"/>
      <c r="R43" s="196"/>
      <c r="S43" s="197"/>
      <c r="T43" s="9"/>
      <c r="U43" s="9"/>
      <c r="V43" s="213"/>
      <c r="W43" s="214"/>
      <c r="X43" s="215"/>
      <c r="Y43" s="9"/>
      <c r="Z43" s="9"/>
    </row>
    <row r="44" spans="1:26" ht="18" customHeight="1" x14ac:dyDescent="0.4">
      <c r="A44" s="96"/>
      <c r="B44" s="219"/>
      <c r="C44" s="220"/>
      <c r="D44" s="220"/>
      <c r="E44" s="220"/>
      <c r="F44" s="221"/>
      <c r="G44" s="10"/>
      <c r="H44" s="10"/>
      <c r="I44" s="207"/>
      <c r="J44" s="208"/>
      <c r="K44" s="209"/>
      <c r="L44" s="11"/>
      <c r="M44" s="11"/>
      <c r="N44" s="182"/>
      <c r="O44" s="183"/>
      <c r="P44" s="183"/>
      <c r="Q44" s="183"/>
      <c r="R44" s="183"/>
      <c r="S44" s="184"/>
      <c r="T44" s="10"/>
      <c r="U44" s="10"/>
      <c r="V44" s="207"/>
      <c r="W44" s="208"/>
      <c r="X44" s="209"/>
      <c r="Y44" s="11"/>
      <c r="Z44" s="11"/>
    </row>
    <row r="45" spans="1:26" ht="7.5" customHeight="1" x14ac:dyDescent="0.4">
      <c r="B45" s="13"/>
      <c r="C45" s="13"/>
      <c r="D45" s="13"/>
      <c r="E45" s="13"/>
      <c r="F45" s="13"/>
      <c r="G45" s="13"/>
      <c r="H45" s="13"/>
      <c r="I45" s="13"/>
      <c r="J45" s="13"/>
      <c r="K45" s="13"/>
      <c r="L45" s="13"/>
      <c r="M45" s="13"/>
      <c r="N45" s="13"/>
      <c r="O45" s="13"/>
      <c r="P45" s="13"/>
      <c r="Q45" s="13"/>
      <c r="R45" s="13"/>
      <c r="S45" s="13"/>
      <c r="T45" s="13"/>
      <c r="U45" s="13"/>
      <c r="V45" s="13"/>
      <c r="W45" s="13"/>
      <c r="X45" s="13"/>
      <c r="Y45" s="13"/>
    </row>
    <row r="46" spans="1:26" ht="18" customHeight="1" x14ac:dyDescent="0.4">
      <c r="A46" s="222" t="s">
        <v>23</v>
      </c>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row>
    <row r="47" spans="1:26" ht="18" customHeight="1" x14ac:dyDescent="0.4">
      <c r="A47" s="222"/>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c r="Z47" s="222"/>
    </row>
    <row r="48" spans="1:26" ht="18" customHeight="1" x14ac:dyDescent="0.4">
      <c r="A48" s="3"/>
      <c r="B48" s="132" t="s">
        <v>7</v>
      </c>
      <c r="C48" s="133"/>
      <c r="D48" s="133"/>
      <c r="E48" s="133"/>
      <c r="F48" s="134"/>
      <c r="G48" s="5" t="s">
        <v>8</v>
      </c>
      <c r="H48" s="6" t="s">
        <v>9</v>
      </c>
      <c r="I48" s="132" t="s">
        <v>10</v>
      </c>
      <c r="J48" s="133"/>
      <c r="K48" s="134"/>
      <c r="L48" s="7" t="s">
        <v>24</v>
      </c>
      <c r="M48" s="7" t="s">
        <v>25</v>
      </c>
      <c r="N48" s="132" t="s">
        <v>7</v>
      </c>
      <c r="O48" s="133"/>
      <c r="P48" s="133"/>
      <c r="Q48" s="133"/>
      <c r="R48" s="133"/>
      <c r="S48" s="134"/>
      <c r="T48" s="5" t="s">
        <v>8</v>
      </c>
      <c r="U48" s="6" t="s">
        <v>9</v>
      </c>
      <c r="V48" s="132" t="s">
        <v>10</v>
      </c>
      <c r="W48" s="133"/>
      <c r="X48" s="134"/>
      <c r="Y48" s="7" t="s">
        <v>24</v>
      </c>
      <c r="Z48" s="7" t="s">
        <v>25</v>
      </c>
    </row>
    <row r="49" spans="1:26" ht="18" customHeight="1" x14ac:dyDescent="0.4">
      <c r="A49" s="96"/>
      <c r="B49" s="226" t="s">
        <v>13</v>
      </c>
      <c r="C49" s="227"/>
      <c r="D49" s="227"/>
      <c r="E49" s="227"/>
      <c r="F49" s="228"/>
      <c r="G49" s="8">
        <v>2</v>
      </c>
      <c r="H49" s="8" t="s">
        <v>14</v>
      </c>
      <c r="I49" s="216" t="s">
        <v>15</v>
      </c>
      <c r="J49" s="217"/>
      <c r="K49" s="218"/>
      <c r="L49" s="8" t="s">
        <v>14</v>
      </c>
      <c r="M49" s="8" t="s">
        <v>14</v>
      </c>
      <c r="N49" s="201"/>
      <c r="O49" s="202"/>
      <c r="P49" s="202"/>
      <c r="Q49" s="202"/>
      <c r="R49" s="202"/>
      <c r="S49" s="203"/>
      <c r="T49" s="8"/>
      <c r="U49" s="8"/>
      <c r="V49" s="216"/>
      <c r="W49" s="217"/>
      <c r="X49" s="218"/>
      <c r="Y49" s="8"/>
      <c r="Z49" s="8"/>
    </row>
    <row r="50" spans="1:26" ht="18" customHeight="1" x14ac:dyDescent="0.4">
      <c r="A50" s="96"/>
      <c r="B50" s="223" t="s">
        <v>19</v>
      </c>
      <c r="C50" s="224"/>
      <c r="D50" s="224"/>
      <c r="E50" s="224"/>
      <c r="F50" s="225"/>
      <c r="G50" s="9">
        <v>2</v>
      </c>
      <c r="H50" s="9" t="s">
        <v>14</v>
      </c>
      <c r="I50" s="213" t="s">
        <v>15</v>
      </c>
      <c r="J50" s="214"/>
      <c r="K50" s="215"/>
      <c r="L50" s="9" t="s">
        <v>14</v>
      </c>
      <c r="M50" s="9"/>
      <c r="N50" s="195"/>
      <c r="O50" s="196"/>
      <c r="P50" s="196"/>
      <c r="Q50" s="196"/>
      <c r="R50" s="196"/>
      <c r="S50" s="197"/>
      <c r="T50" s="9"/>
      <c r="U50" s="9"/>
      <c r="V50" s="213"/>
      <c r="W50" s="214"/>
      <c r="X50" s="215"/>
      <c r="Y50" s="9"/>
      <c r="Z50" s="9"/>
    </row>
    <row r="51" spans="1:26" ht="18" customHeight="1" x14ac:dyDescent="0.4">
      <c r="A51" s="96"/>
      <c r="B51" s="223"/>
      <c r="C51" s="224"/>
      <c r="D51" s="224"/>
      <c r="E51" s="224"/>
      <c r="F51" s="225"/>
      <c r="G51" s="9"/>
      <c r="H51" s="9"/>
      <c r="I51" s="213"/>
      <c r="J51" s="214"/>
      <c r="K51" s="215"/>
      <c r="L51" s="9"/>
      <c r="M51" s="9"/>
      <c r="N51" s="195"/>
      <c r="O51" s="196"/>
      <c r="P51" s="196"/>
      <c r="Q51" s="196"/>
      <c r="R51" s="196"/>
      <c r="S51" s="197"/>
      <c r="T51" s="9"/>
      <c r="U51" s="9"/>
      <c r="V51" s="213"/>
      <c r="W51" s="214"/>
      <c r="X51" s="215"/>
      <c r="Y51" s="9"/>
      <c r="Z51" s="9"/>
    </row>
    <row r="52" spans="1:26" ht="18" customHeight="1" x14ac:dyDescent="0.4">
      <c r="A52" s="96"/>
      <c r="B52" s="223"/>
      <c r="C52" s="224"/>
      <c r="D52" s="224"/>
      <c r="E52" s="224"/>
      <c r="F52" s="225"/>
      <c r="G52" s="9"/>
      <c r="H52" s="9"/>
      <c r="I52" s="213"/>
      <c r="J52" s="214"/>
      <c r="K52" s="215"/>
      <c r="L52" s="9"/>
      <c r="M52" s="9"/>
      <c r="N52" s="195"/>
      <c r="O52" s="196"/>
      <c r="P52" s="196"/>
      <c r="Q52" s="196"/>
      <c r="R52" s="196"/>
      <c r="S52" s="197"/>
      <c r="T52" s="9"/>
      <c r="U52" s="9"/>
      <c r="V52" s="213"/>
      <c r="W52" s="214"/>
      <c r="X52" s="215"/>
      <c r="Y52" s="9"/>
      <c r="Z52" s="9"/>
    </row>
    <row r="53" spans="1:26" ht="18" customHeight="1" x14ac:dyDescent="0.4">
      <c r="A53" s="96"/>
      <c r="B53" s="223"/>
      <c r="C53" s="224"/>
      <c r="D53" s="224"/>
      <c r="E53" s="224"/>
      <c r="F53" s="225"/>
      <c r="G53" s="9"/>
      <c r="H53" s="9"/>
      <c r="I53" s="213"/>
      <c r="J53" s="214"/>
      <c r="K53" s="215"/>
      <c r="L53" s="9"/>
      <c r="M53" s="9"/>
      <c r="N53" s="195"/>
      <c r="O53" s="196"/>
      <c r="P53" s="196"/>
      <c r="Q53" s="196"/>
      <c r="R53" s="196"/>
      <c r="S53" s="197"/>
      <c r="T53" s="9"/>
      <c r="U53" s="9"/>
      <c r="V53" s="213"/>
      <c r="W53" s="214"/>
      <c r="X53" s="215"/>
      <c r="Y53" s="9"/>
      <c r="Z53" s="9"/>
    </row>
    <row r="54" spans="1:26" ht="18" customHeight="1" x14ac:dyDescent="0.4">
      <c r="A54" s="96"/>
      <c r="B54" s="223"/>
      <c r="C54" s="224"/>
      <c r="D54" s="224"/>
      <c r="E54" s="224"/>
      <c r="F54" s="225"/>
      <c r="G54" s="9"/>
      <c r="H54" s="9"/>
      <c r="I54" s="213"/>
      <c r="J54" s="214"/>
      <c r="K54" s="215"/>
      <c r="L54" s="9"/>
      <c r="M54" s="9"/>
      <c r="N54" s="195"/>
      <c r="O54" s="196"/>
      <c r="P54" s="196"/>
      <c r="Q54" s="196"/>
      <c r="R54" s="196"/>
      <c r="S54" s="197"/>
      <c r="T54" s="9"/>
      <c r="U54" s="9"/>
      <c r="V54" s="213"/>
      <c r="W54" s="214"/>
      <c r="X54" s="215"/>
      <c r="Y54" s="9"/>
      <c r="Z54" s="9"/>
    </row>
    <row r="55" spans="1:26" ht="18" customHeight="1" x14ac:dyDescent="0.4">
      <c r="A55" s="96"/>
      <c r="B55" s="219"/>
      <c r="C55" s="220"/>
      <c r="D55" s="220"/>
      <c r="E55" s="220"/>
      <c r="F55" s="221"/>
      <c r="G55" s="10"/>
      <c r="H55" s="10"/>
      <c r="I55" s="207"/>
      <c r="J55" s="208"/>
      <c r="K55" s="209"/>
      <c r="L55" s="11"/>
      <c r="M55" s="11"/>
      <c r="N55" s="182"/>
      <c r="O55" s="183"/>
      <c r="P55" s="183"/>
      <c r="Q55" s="183"/>
      <c r="R55" s="183"/>
      <c r="S55" s="184"/>
      <c r="T55" s="10"/>
      <c r="U55" s="10"/>
      <c r="V55" s="207"/>
      <c r="W55" s="208"/>
      <c r="X55" s="209"/>
      <c r="Y55" s="11"/>
      <c r="Z55" s="11"/>
    </row>
    <row r="56" spans="1:26" ht="7.5" customHeight="1" x14ac:dyDescent="0.4">
      <c r="B56" s="13"/>
      <c r="C56" s="13"/>
      <c r="D56" s="13"/>
      <c r="E56" s="13"/>
      <c r="F56" s="13"/>
      <c r="G56" s="13"/>
      <c r="H56" s="13"/>
      <c r="I56" s="13"/>
      <c r="J56" s="13"/>
      <c r="K56" s="13"/>
      <c r="L56" s="13"/>
      <c r="M56" s="13"/>
      <c r="N56" s="13"/>
      <c r="O56" s="13"/>
      <c r="P56" s="13"/>
      <c r="Q56" s="13"/>
      <c r="R56" s="13"/>
      <c r="S56" s="13"/>
      <c r="T56" s="13"/>
      <c r="U56" s="13"/>
      <c r="V56" s="13"/>
      <c r="W56" s="13"/>
      <c r="X56" s="13"/>
      <c r="Y56" s="13"/>
    </row>
    <row r="57" spans="1:26" ht="18" customHeight="1" x14ac:dyDescent="0.4">
      <c r="A57" s="222" t="s">
        <v>27</v>
      </c>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c r="Z57" s="222"/>
    </row>
    <row r="58" spans="1:26" ht="18" customHeight="1" x14ac:dyDescent="0.4">
      <c r="A58" s="222"/>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c r="Z58" s="222"/>
    </row>
    <row r="59" spans="1:26" ht="18" customHeight="1" x14ac:dyDescent="0.4">
      <c r="A59" s="3"/>
      <c r="B59" s="132" t="s">
        <v>7</v>
      </c>
      <c r="C59" s="133"/>
      <c r="D59" s="133"/>
      <c r="E59" s="134"/>
      <c r="F59" s="5" t="s">
        <v>8</v>
      </c>
      <c r="G59" s="6" t="s">
        <v>9</v>
      </c>
      <c r="H59" s="14" t="s">
        <v>10</v>
      </c>
      <c r="I59" s="15"/>
      <c r="J59" s="16"/>
      <c r="K59" s="7" t="s">
        <v>28</v>
      </c>
      <c r="L59" s="7" t="s">
        <v>29</v>
      </c>
      <c r="M59" s="7" t="s">
        <v>30</v>
      </c>
      <c r="N59" s="132" t="s">
        <v>7</v>
      </c>
      <c r="O59" s="133"/>
      <c r="P59" s="133"/>
      <c r="Q59" s="133"/>
      <c r="R59" s="134"/>
      <c r="S59" s="5" t="s">
        <v>8</v>
      </c>
      <c r="T59" s="6" t="s">
        <v>9</v>
      </c>
      <c r="U59" s="14" t="s">
        <v>10</v>
      </c>
      <c r="V59" s="15"/>
      <c r="W59" s="16"/>
      <c r="X59" s="7" t="s">
        <v>28</v>
      </c>
      <c r="Y59" s="7" t="s">
        <v>29</v>
      </c>
      <c r="Z59" s="7" t="s">
        <v>30</v>
      </c>
    </row>
    <row r="60" spans="1:26" ht="18" customHeight="1" x14ac:dyDescent="0.4">
      <c r="A60" s="96"/>
      <c r="B60" s="201" t="s">
        <v>26</v>
      </c>
      <c r="C60" s="202"/>
      <c r="D60" s="202"/>
      <c r="E60" s="203"/>
      <c r="F60" s="8">
        <v>1</v>
      </c>
      <c r="G60" s="8" t="s">
        <v>14</v>
      </c>
      <c r="H60" s="216" t="s">
        <v>15</v>
      </c>
      <c r="I60" s="217"/>
      <c r="J60" s="218"/>
      <c r="K60" s="8" t="s">
        <v>14</v>
      </c>
      <c r="L60" s="8" t="s">
        <v>14</v>
      </c>
      <c r="M60" s="8"/>
      <c r="N60" s="201"/>
      <c r="O60" s="202"/>
      <c r="P60" s="202"/>
      <c r="Q60" s="202"/>
      <c r="R60" s="203"/>
      <c r="S60" s="8"/>
      <c r="T60" s="8"/>
      <c r="U60" s="216"/>
      <c r="V60" s="217"/>
      <c r="W60" s="218"/>
      <c r="X60" s="101"/>
      <c r="Y60" s="8"/>
      <c r="Z60" s="8"/>
    </row>
    <row r="61" spans="1:26" ht="18" customHeight="1" x14ac:dyDescent="0.4">
      <c r="A61" s="96"/>
      <c r="B61" s="195" t="s">
        <v>31</v>
      </c>
      <c r="C61" s="196"/>
      <c r="D61" s="196"/>
      <c r="E61" s="197"/>
      <c r="F61" s="9">
        <v>1</v>
      </c>
      <c r="G61" s="9" t="s">
        <v>14</v>
      </c>
      <c r="H61" s="213" t="s">
        <v>15</v>
      </c>
      <c r="I61" s="214"/>
      <c r="J61" s="215"/>
      <c r="K61" s="9"/>
      <c r="L61" s="9"/>
      <c r="M61" s="9" t="s">
        <v>14</v>
      </c>
      <c r="N61" s="195"/>
      <c r="O61" s="196"/>
      <c r="P61" s="196"/>
      <c r="Q61" s="196"/>
      <c r="R61" s="197"/>
      <c r="S61" s="9"/>
      <c r="T61" s="9"/>
      <c r="U61" s="213"/>
      <c r="V61" s="214"/>
      <c r="W61" s="215"/>
      <c r="X61" s="100"/>
      <c r="Y61" s="9"/>
      <c r="Z61" s="9"/>
    </row>
    <row r="62" spans="1:26" ht="18" customHeight="1" x14ac:dyDescent="0.4">
      <c r="A62" s="96"/>
      <c r="B62" s="195"/>
      <c r="C62" s="196"/>
      <c r="D62" s="196"/>
      <c r="E62" s="197"/>
      <c r="F62" s="9"/>
      <c r="G62" s="9"/>
      <c r="H62" s="213"/>
      <c r="I62" s="214"/>
      <c r="J62" s="215"/>
      <c r="K62" s="100"/>
      <c r="L62" s="9"/>
      <c r="M62" s="9"/>
      <c r="N62" s="195"/>
      <c r="O62" s="196"/>
      <c r="P62" s="196"/>
      <c r="Q62" s="196"/>
      <c r="R62" s="197"/>
      <c r="S62" s="9"/>
      <c r="T62" s="9"/>
      <c r="U62" s="213"/>
      <c r="V62" s="214"/>
      <c r="W62" s="215"/>
      <c r="X62" s="100"/>
      <c r="Y62" s="9"/>
      <c r="Z62" s="9"/>
    </row>
    <row r="63" spans="1:26" ht="18" customHeight="1" x14ac:dyDescent="0.4">
      <c r="A63" s="96"/>
      <c r="B63" s="195"/>
      <c r="C63" s="196"/>
      <c r="D63" s="196"/>
      <c r="E63" s="197"/>
      <c r="F63" s="9"/>
      <c r="G63" s="9"/>
      <c r="H63" s="213"/>
      <c r="I63" s="214"/>
      <c r="J63" s="215"/>
      <c r="K63" s="100"/>
      <c r="L63" s="9"/>
      <c r="M63" s="9"/>
      <c r="N63" s="195"/>
      <c r="O63" s="196"/>
      <c r="P63" s="196"/>
      <c r="Q63" s="196"/>
      <c r="R63" s="197"/>
      <c r="S63" s="9"/>
      <c r="T63" s="9"/>
      <c r="U63" s="213"/>
      <c r="V63" s="214"/>
      <c r="W63" s="215"/>
      <c r="X63" s="100"/>
      <c r="Y63" s="9"/>
      <c r="Z63" s="9"/>
    </row>
    <row r="64" spans="1:26" ht="18" customHeight="1" x14ac:dyDescent="0.4">
      <c r="A64" s="96"/>
      <c r="B64" s="195"/>
      <c r="C64" s="196"/>
      <c r="D64" s="196"/>
      <c r="E64" s="197"/>
      <c r="F64" s="9"/>
      <c r="G64" s="9"/>
      <c r="H64" s="213"/>
      <c r="I64" s="214"/>
      <c r="J64" s="215"/>
      <c r="K64" s="100"/>
      <c r="L64" s="9"/>
      <c r="M64" s="9"/>
      <c r="N64" s="195"/>
      <c r="O64" s="196"/>
      <c r="P64" s="196"/>
      <c r="Q64" s="196"/>
      <c r="R64" s="197"/>
      <c r="S64" s="9"/>
      <c r="T64" s="9"/>
      <c r="U64" s="213"/>
      <c r="V64" s="214"/>
      <c r="W64" s="215"/>
      <c r="X64" s="100"/>
      <c r="Y64" s="9"/>
      <c r="Z64" s="9"/>
    </row>
    <row r="65" spans="1:26" ht="18" customHeight="1" x14ac:dyDescent="0.4">
      <c r="A65" s="96"/>
      <c r="B65" s="195"/>
      <c r="C65" s="196"/>
      <c r="D65" s="196"/>
      <c r="E65" s="197"/>
      <c r="F65" s="9"/>
      <c r="G65" s="9"/>
      <c r="H65" s="213"/>
      <c r="I65" s="214"/>
      <c r="J65" s="215"/>
      <c r="K65" s="100"/>
      <c r="L65" s="9"/>
      <c r="M65" s="9"/>
      <c r="N65" s="195"/>
      <c r="O65" s="196"/>
      <c r="P65" s="196"/>
      <c r="Q65" s="196"/>
      <c r="R65" s="197"/>
      <c r="S65" s="9"/>
      <c r="T65" s="9"/>
      <c r="U65" s="213"/>
      <c r="V65" s="214"/>
      <c r="W65" s="215"/>
      <c r="X65" s="100"/>
      <c r="Y65" s="9"/>
      <c r="Z65" s="9"/>
    </row>
    <row r="66" spans="1:26" ht="18" customHeight="1" x14ac:dyDescent="0.4">
      <c r="A66" s="96"/>
      <c r="B66" s="182"/>
      <c r="C66" s="183"/>
      <c r="D66" s="183"/>
      <c r="E66" s="184"/>
      <c r="F66" s="10"/>
      <c r="G66" s="10"/>
      <c r="H66" s="207"/>
      <c r="I66" s="208"/>
      <c r="J66" s="209"/>
      <c r="K66" s="99"/>
      <c r="L66" s="11"/>
      <c r="M66" s="11"/>
      <c r="N66" s="182"/>
      <c r="O66" s="183"/>
      <c r="P66" s="183"/>
      <c r="Q66" s="183"/>
      <c r="R66" s="184"/>
      <c r="S66" s="10"/>
      <c r="T66" s="10"/>
      <c r="U66" s="207"/>
      <c r="V66" s="208"/>
      <c r="W66" s="209"/>
      <c r="X66" s="99"/>
      <c r="Y66" s="11"/>
      <c r="Z66" s="11"/>
    </row>
    <row r="67" spans="1:26" ht="7.5" customHeight="1" x14ac:dyDescent="0.4">
      <c r="B67" s="13"/>
      <c r="C67" s="13"/>
      <c r="D67" s="13"/>
      <c r="E67" s="13"/>
      <c r="F67" s="13"/>
      <c r="G67" s="13"/>
      <c r="H67" s="13"/>
      <c r="I67" s="13"/>
      <c r="J67" s="13"/>
      <c r="K67" s="13"/>
      <c r="L67" s="13"/>
      <c r="M67" s="13"/>
      <c r="N67" s="13"/>
      <c r="O67" s="13"/>
      <c r="P67" s="13"/>
      <c r="Q67" s="13"/>
      <c r="R67" s="13"/>
      <c r="S67" s="13"/>
      <c r="T67" s="13"/>
      <c r="U67" s="13"/>
      <c r="V67" s="13"/>
      <c r="W67" s="13"/>
      <c r="X67" s="13"/>
      <c r="Y67" s="13"/>
    </row>
    <row r="68" spans="1:26" ht="18" customHeight="1" x14ac:dyDescent="0.4">
      <c r="A68" s="3" t="s">
        <v>32</v>
      </c>
      <c r="B68" s="3"/>
      <c r="C68" s="3"/>
      <c r="D68" s="3"/>
      <c r="E68" s="3"/>
      <c r="F68" s="3"/>
      <c r="G68" s="3"/>
      <c r="H68" s="3"/>
      <c r="I68" s="3"/>
      <c r="J68" s="3"/>
      <c r="K68" s="3"/>
      <c r="L68" s="96"/>
      <c r="M68" s="96"/>
      <c r="N68" s="96"/>
      <c r="O68" s="96"/>
      <c r="P68" s="96"/>
      <c r="Q68" s="96"/>
      <c r="R68" s="96"/>
      <c r="S68" s="96"/>
      <c r="T68" s="96"/>
      <c r="U68" s="96"/>
      <c r="V68" s="96"/>
      <c r="W68" s="96"/>
      <c r="X68" s="96"/>
      <c r="Y68" s="96"/>
      <c r="Z68" s="96"/>
    </row>
    <row r="69" spans="1:26" ht="18" customHeight="1" x14ac:dyDescent="0.4">
      <c r="A69" s="3"/>
      <c r="B69" s="132" t="s">
        <v>7</v>
      </c>
      <c r="C69" s="133"/>
      <c r="D69" s="133"/>
      <c r="E69" s="133"/>
      <c r="F69" s="134"/>
      <c r="G69" s="132" t="s">
        <v>33</v>
      </c>
      <c r="H69" s="133"/>
      <c r="I69" s="133"/>
      <c r="J69" s="133"/>
      <c r="K69" s="133"/>
      <c r="L69" s="133"/>
      <c r="M69" s="134"/>
      <c r="N69" s="210" t="s">
        <v>7</v>
      </c>
      <c r="O69" s="211"/>
      <c r="P69" s="211"/>
      <c r="Q69" s="211"/>
      <c r="R69" s="211"/>
      <c r="S69" s="212"/>
      <c r="T69" s="132" t="s">
        <v>33</v>
      </c>
      <c r="U69" s="133"/>
      <c r="V69" s="133"/>
      <c r="W69" s="133"/>
      <c r="X69" s="133"/>
      <c r="Y69" s="133"/>
      <c r="Z69" s="134"/>
    </row>
    <row r="70" spans="1:26" ht="18" customHeight="1" x14ac:dyDescent="0.4">
      <c r="A70" s="96"/>
      <c r="B70" s="201" t="s">
        <v>31</v>
      </c>
      <c r="C70" s="202"/>
      <c r="D70" s="202"/>
      <c r="E70" s="202"/>
      <c r="F70" s="203"/>
      <c r="G70" s="204" t="s">
        <v>34</v>
      </c>
      <c r="H70" s="205"/>
      <c r="I70" s="205"/>
      <c r="J70" s="205"/>
      <c r="K70" s="205"/>
      <c r="L70" s="205"/>
      <c r="M70" s="206"/>
      <c r="N70" s="201"/>
      <c r="O70" s="202"/>
      <c r="P70" s="202"/>
      <c r="Q70" s="202"/>
      <c r="R70" s="202"/>
      <c r="S70" s="203"/>
      <c r="T70" s="204"/>
      <c r="U70" s="205"/>
      <c r="V70" s="205"/>
      <c r="W70" s="205"/>
      <c r="X70" s="205"/>
      <c r="Y70" s="205"/>
      <c r="Z70" s="206"/>
    </row>
    <row r="71" spans="1:26" ht="18" customHeight="1" x14ac:dyDescent="0.4">
      <c r="A71" s="96"/>
      <c r="B71" s="195" t="s">
        <v>26</v>
      </c>
      <c r="C71" s="196"/>
      <c r="D71" s="196"/>
      <c r="E71" s="196"/>
      <c r="F71" s="197"/>
      <c r="G71" s="198" t="s">
        <v>35</v>
      </c>
      <c r="H71" s="199"/>
      <c r="I71" s="199"/>
      <c r="J71" s="199"/>
      <c r="K71" s="199"/>
      <c r="L71" s="199"/>
      <c r="M71" s="200"/>
      <c r="N71" s="195"/>
      <c r="O71" s="196"/>
      <c r="P71" s="196"/>
      <c r="Q71" s="196"/>
      <c r="R71" s="196"/>
      <c r="S71" s="197"/>
      <c r="T71" s="198"/>
      <c r="U71" s="199"/>
      <c r="V71" s="199"/>
      <c r="W71" s="199"/>
      <c r="X71" s="199"/>
      <c r="Y71" s="199"/>
      <c r="Z71" s="200"/>
    </row>
    <row r="72" spans="1:26" ht="18" customHeight="1" x14ac:dyDescent="0.4">
      <c r="A72" s="96"/>
      <c r="B72" s="195"/>
      <c r="C72" s="196"/>
      <c r="D72" s="196"/>
      <c r="E72" s="196"/>
      <c r="F72" s="197"/>
      <c r="G72" s="198"/>
      <c r="H72" s="199"/>
      <c r="I72" s="199"/>
      <c r="J72" s="199"/>
      <c r="K72" s="199"/>
      <c r="L72" s="199"/>
      <c r="M72" s="200"/>
      <c r="N72" s="195"/>
      <c r="O72" s="196"/>
      <c r="P72" s="196"/>
      <c r="Q72" s="196"/>
      <c r="R72" s="196"/>
      <c r="S72" s="197"/>
      <c r="T72" s="198"/>
      <c r="U72" s="199"/>
      <c r="V72" s="199"/>
      <c r="W72" s="199"/>
      <c r="X72" s="199"/>
      <c r="Y72" s="199"/>
      <c r="Z72" s="200"/>
    </row>
    <row r="73" spans="1:26" ht="18" customHeight="1" x14ac:dyDescent="0.4">
      <c r="A73" s="96"/>
      <c r="B73" s="195"/>
      <c r="C73" s="196"/>
      <c r="D73" s="196"/>
      <c r="E73" s="196"/>
      <c r="F73" s="197"/>
      <c r="G73" s="198"/>
      <c r="H73" s="199"/>
      <c r="I73" s="199"/>
      <c r="J73" s="199"/>
      <c r="K73" s="199"/>
      <c r="L73" s="199"/>
      <c r="M73" s="200"/>
      <c r="N73" s="195"/>
      <c r="O73" s="196"/>
      <c r="P73" s="196"/>
      <c r="Q73" s="196"/>
      <c r="R73" s="196"/>
      <c r="S73" s="197"/>
      <c r="T73" s="198"/>
      <c r="U73" s="199"/>
      <c r="V73" s="199"/>
      <c r="W73" s="199"/>
      <c r="X73" s="199"/>
      <c r="Y73" s="199"/>
      <c r="Z73" s="200"/>
    </row>
    <row r="74" spans="1:26" ht="18" customHeight="1" x14ac:dyDescent="0.4">
      <c r="A74" s="96"/>
      <c r="B74" s="195"/>
      <c r="C74" s="196"/>
      <c r="D74" s="196"/>
      <c r="E74" s="196"/>
      <c r="F74" s="197"/>
      <c r="G74" s="198"/>
      <c r="H74" s="199"/>
      <c r="I74" s="199"/>
      <c r="J74" s="199"/>
      <c r="K74" s="199"/>
      <c r="L74" s="199"/>
      <c r="M74" s="200"/>
      <c r="N74" s="195"/>
      <c r="O74" s="196"/>
      <c r="P74" s="196"/>
      <c r="Q74" s="196"/>
      <c r="R74" s="196"/>
      <c r="S74" s="197"/>
      <c r="T74" s="198"/>
      <c r="U74" s="199"/>
      <c r="V74" s="199"/>
      <c r="W74" s="199"/>
      <c r="X74" s="199"/>
      <c r="Y74" s="199"/>
      <c r="Z74" s="200"/>
    </row>
    <row r="75" spans="1:26" ht="18" customHeight="1" x14ac:dyDescent="0.4">
      <c r="A75" s="96"/>
      <c r="B75" s="195"/>
      <c r="C75" s="196"/>
      <c r="D75" s="196"/>
      <c r="E75" s="196"/>
      <c r="F75" s="197"/>
      <c r="G75" s="198"/>
      <c r="H75" s="199"/>
      <c r="I75" s="199"/>
      <c r="J75" s="199"/>
      <c r="K75" s="199"/>
      <c r="L75" s="199"/>
      <c r="M75" s="200"/>
      <c r="N75" s="195"/>
      <c r="O75" s="196"/>
      <c r="P75" s="196"/>
      <c r="Q75" s="196"/>
      <c r="R75" s="196"/>
      <c r="S75" s="197"/>
      <c r="T75" s="198"/>
      <c r="U75" s="199"/>
      <c r="V75" s="199"/>
      <c r="W75" s="199"/>
      <c r="X75" s="199"/>
      <c r="Y75" s="199"/>
      <c r="Z75" s="200"/>
    </row>
    <row r="76" spans="1:26" ht="18" customHeight="1" x14ac:dyDescent="0.4">
      <c r="A76" s="96"/>
      <c r="B76" s="182"/>
      <c r="C76" s="183"/>
      <c r="D76" s="183"/>
      <c r="E76" s="183"/>
      <c r="F76" s="184"/>
      <c r="G76" s="185"/>
      <c r="H76" s="186"/>
      <c r="I76" s="186"/>
      <c r="J76" s="186"/>
      <c r="K76" s="186"/>
      <c r="L76" s="186"/>
      <c r="M76" s="187"/>
      <c r="N76" s="182"/>
      <c r="O76" s="183"/>
      <c r="P76" s="183"/>
      <c r="Q76" s="183"/>
      <c r="R76" s="183"/>
      <c r="S76" s="184"/>
      <c r="T76" s="185"/>
      <c r="U76" s="186"/>
      <c r="V76" s="186"/>
      <c r="W76" s="186"/>
      <c r="X76" s="186"/>
      <c r="Y76" s="186"/>
      <c r="Z76" s="187"/>
    </row>
    <row r="77" spans="1:26" ht="18" customHeight="1" x14ac:dyDescent="0.4">
      <c r="A77" s="96"/>
      <c r="B77" s="97"/>
      <c r="C77" s="97"/>
      <c r="D77" s="97"/>
      <c r="E77" s="97"/>
      <c r="F77" s="97"/>
      <c r="G77" s="17"/>
      <c r="H77" s="17"/>
      <c r="I77" s="17"/>
      <c r="J77" s="17"/>
      <c r="K77" s="17"/>
      <c r="L77" s="17"/>
      <c r="M77" s="17"/>
      <c r="N77" s="97"/>
      <c r="O77" s="97"/>
      <c r="P77" s="97"/>
      <c r="Q77" s="97"/>
      <c r="R77" s="97"/>
      <c r="S77" s="97"/>
      <c r="T77" s="17"/>
      <c r="U77" s="17"/>
      <c r="V77" s="17"/>
      <c r="W77" s="17"/>
      <c r="X77" s="17"/>
      <c r="Y77" s="17"/>
      <c r="Z77" s="17"/>
    </row>
    <row r="78" spans="1:26" ht="18.75" customHeight="1" x14ac:dyDescent="0.4">
      <c r="A78" s="1" t="s">
        <v>36</v>
      </c>
    </row>
    <row r="79" spans="1:26" ht="18.75" customHeight="1" x14ac:dyDescent="0.4">
      <c r="B79" s="18" t="s">
        <v>37</v>
      </c>
      <c r="C79" s="19"/>
      <c r="D79" s="188" t="s">
        <v>38</v>
      </c>
      <c r="E79" s="188"/>
      <c r="F79" s="188"/>
      <c r="G79" s="188"/>
      <c r="H79" s="188"/>
      <c r="I79" s="188"/>
      <c r="J79" s="188"/>
      <c r="K79" s="188"/>
      <c r="L79" s="188"/>
      <c r="M79" s="188"/>
      <c r="N79" s="188"/>
      <c r="O79" s="188"/>
      <c r="P79" s="188"/>
      <c r="Q79" s="188"/>
      <c r="R79" s="188"/>
      <c r="S79" s="188"/>
      <c r="T79" s="188"/>
      <c r="U79" s="188"/>
      <c r="V79" s="188"/>
      <c r="W79" s="188"/>
      <c r="X79" s="188"/>
      <c r="Y79" s="188"/>
      <c r="Z79" s="189"/>
    </row>
    <row r="80" spans="1:26" ht="66" customHeight="1" x14ac:dyDescent="0.4">
      <c r="B80" s="155" t="s">
        <v>39</v>
      </c>
      <c r="C80" s="20" t="s">
        <v>11</v>
      </c>
      <c r="D80" s="157" t="s">
        <v>40</v>
      </c>
      <c r="E80" s="190"/>
      <c r="F80" s="190"/>
      <c r="G80" s="190"/>
      <c r="H80" s="190"/>
      <c r="I80" s="190"/>
      <c r="J80" s="190"/>
      <c r="K80" s="190"/>
      <c r="L80" s="190"/>
      <c r="M80" s="190"/>
      <c r="N80" s="190"/>
      <c r="O80" s="190"/>
      <c r="P80" s="190"/>
      <c r="Q80" s="190"/>
      <c r="R80" s="190"/>
      <c r="S80" s="190"/>
      <c r="T80" s="190"/>
      <c r="U80" s="190"/>
      <c r="V80" s="190"/>
      <c r="W80" s="190"/>
      <c r="X80" s="190"/>
      <c r="Y80" s="190"/>
      <c r="Z80" s="191"/>
    </row>
    <row r="81" spans="1:26" ht="78" customHeight="1" x14ac:dyDescent="0.4">
      <c r="B81" s="163"/>
      <c r="C81" s="21" t="s">
        <v>41</v>
      </c>
      <c r="D81" s="192" t="s">
        <v>200</v>
      </c>
      <c r="E81" s="193"/>
      <c r="F81" s="193"/>
      <c r="G81" s="193"/>
      <c r="H81" s="193"/>
      <c r="I81" s="193"/>
      <c r="J81" s="193"/>
      <c r="K81" s="193"/>
      <c r="L81" s="193"/>
      <c r="M81" s="193"/>
      <c r="N81" s="193"/>
      <c r="O81" s="193"/>
      <c r="P81" s="193"/>
      <c r="Q81" s="193"/>
      <c r="R81" s="193"/>
      <c r="S81" s="193"/>
      <c r="T81" s="193"/>
      <c r="U81" s="193"/>
      <c r="V81" s="193"/>
      <c r="W81" s="193"/>
      <c r="X81" s="193"/>
      <c r="Y81" s="193"/>
      <c r="Z81" s="194"/>
    </row>
    <row r="82" spans="1:26" ht="66" customHeight="1" x14ac:dyDescent="0.4">
      <c r="B82" s="172" t="s">
        <v>42</v>
      </c>
      <c r="C82" s="22" t="s">
        <v>17</v>
      </c>
      <c r="D82" s="173" t="s">
        <v>201</v>
      </c>
      <c r="E82" s="174"/>
      <c r="F82" s="174"/>
      <c r="G82" s="174"/>
      <c r="H82" s="174"/>
      <c r="I82" s="174"/>
      <c r="J82" s="174"/>
      <c r="K82" s="174"/>
      <c r="L82" s="174"/>
      <c r="M82" s="174"/>
      <c r="N82" s="174"/>
      <c r="O82" s="174"/>
      <c r="P82" s="174"/>
      <c r="Q82" s="174"/>
      <c r="R82" s="174"/>
      <c r="S82" s="174"/>
      <c r="T82" s="174"/>
      <c r="U82" s="174"/>
      <c r="V82" s="174"/>
      <c r="W82" s="174"/>
      <c r="X82" s="174"/>
      <c r="Y82" s="174"/>
      <c r="Z82" s="175"/>
    </row>
    <row r="83" spans="1:26" ht="78" customHeight="1" x14ac:dyDescent="0.4">
      <c r="B83" s="164"/>
      <c r="C83" s="23" t="s">
        <v>18</v>
      </c>
      <c r="D83" s="176" t="s">
        <v>202</v>
      </c>
      <c r="E83" s="177"/>
      <c r="F83" s="177"/>
      <c r="G83" s="177"/>
      <c r="H83" s="177"/>
      <c r="I83" s="177"/>
      <c r="J83" s="177"/>
      <c r="K83" s="177"/>
      <c r="L83" s="177"/>
      <c r="M83" s="177"/>
      <c r="N83" s="177"/>
      <c r="O83" s="177"/>
      <c r="P83" s="177"/>
      <c r="Q83" s="177"/>
      <c r="R83" s="177"/>
      <c r="S83" s="177"/>
      <c r="T83" s="177"/>
      <c r="U83" s="177"/>
      <c r="V83" s="177"/>
      <c r="W83" s="177"/>
      <c r="X83" s="177"/>
      <c r="Y83" s="177"/>
      <c r="Z83" s="178"/>
    </row>
    <row r="84" spans="1:26" ht="138" customHeight="1" x14ac:dyDescent="0.4">
      <c r="B84" s="172" t="s">
        <v>43</v>
      </c>
      <c r="C84" s="22" t="s">
        <v>21</v>
      </c>
      <c r="D84" s="173" t="s">
        <v>203</v>
      </c>
      <c r="E84" s="174"/>
      <c r="F84" s="174"/>
      <c r="G84" s="174"/>
      <c r="H84" s="174"/>
      <c r="I84" s="174"/>
      <c r="J84" s="174"/>
      <c r="K84" s="174"/>
      <c r="L84" s="174"/>
      <c r="M84" s="174"/>
      <c r="N84" s="174"/>
      <c r="O84" s="174"/>
      <c r="P84" s="174"/>
      <c r="Q84" s="174"/>
      <c r="R84" s="174"/>
      <c r="S84" s="174"/>
      <c r="T84" s="174"/>
      <c r="U84" s="174"/>
      <c r="V84" s="174"/>
      <c r="W84" s="174"/>
      <c r="X84" s="174"/>
      <c r="Y84" s="174"/>
      <c r="Z84" s="175"/>
    </row>
    <row r="85" spans="1:26" ht="42" customHeight="1" x14ac:dyDescent="0.4">
      <c r="B85" s="164"/>
      <c r="C85" s="24" t="s">
        <v>22</v>
      </c>
      <c r="D85" s="179" t="s">
        <v>44</v>
      </c>
      <c r="E85" s="180"/>
      <c r="F85" s="180"/>
      <c r="G85" s="180"/>
      <c r="H85" s="180"/>
      <c r="I85" s="180"/>
      <c r="J85" s="180"/>
      <c r="K85" s="180"/>
      <c r="L85" s="180"/>
      <c r="M85" s="180"/>
      <c r="N85" s="180"/>
      <c r="O85" s="180"/>
      <c r="P85" s="180"/>
      <c r="Q85" s="180"/>
      <c r="R85" s="180"/>
      <c r="S85" s="180"/>
      <c r="T85" s="180"/>
      <c r="U85" s="180"/>
      <c r="V85" s="180"/>
      <c r="W85" s="180"/>
      <c r="X85" s="180"/>
      <c r="Y85" s="180"/>
      <c r="Z85" s="181"/>
    </row>
    <row r="86" spans="1:26" ht="78" customHeight="1" x14ac:dyDescent="0.4">
      <c r="B86" s="155" t="s">
        <v>45</v>
      </c>
      <c r="C86" s="20" t="s">
        <v>24</v>
      </c>
      <c r="D86" s="157" t="s">
        <v>46</v>
      </c>
      <c r="E86" s="158"/>
      <c r="F86" s="158"/>
      <c r="G86" s="158"/>
      <c r="H86" s="158"/>
      <c r="I86" s="158"/>
      <c r="J86" s="158"/>
      <c r="K86" s="158"/>
      <c r="L86" s="158"/>
      <c r="M86" s="158"/>
      <c r="N86" s="158"/>
      <c r="O86" s="158"/>
      <c r="P86" s="158"/>
      <c r="Q86" s="158"/>
      <c r="R86" s="158"/>
      <c r="S86" s="158"/>
      <c r="T86" s="158"/>
      <c r="U86" s="158"/>
      <c r="V86" s="158"/>
      <c r="W86" s="158"/>
      <c r="X86" s="158"/>
      <c r="Y86" s="158"/>
      <c r="Z86" s="159"/>
    </row>
    <row r="87" spans="1:26" ht="66" customHeight="1" x14ac:dyDescent="0.4">
      <c r="B87" s="156"/>
      <c r="C87" s="25" t="s">
        <v>25</v>
      </c>
      <c r="D87" s="160" t="s">
        <v>47</v>
      </c>
      <c r="E87" s="161"/>
      <c r="F87" s="161"/>
      <c r="G87" s="161"/>
      <c r="H87" s="161"/>
      <c r="I87" s="161"/>
      <c r="J87" s="161"/>
      <c r="K87" s="161"/>
      <c r="L87" s="161"/>
      <c r="M87" s="161"/>
      <c r="N87" s="161"/>
      <c r="O87" s="161"/>
      <c r="P87" s="161"/>
      <c r="Q87" s="161"/>
      <c r="R87" s="161"/>
      <c r="S87" s="161"/>
      <c r="T87" s="161"/>
      <c r="U87" s="161"/>
      <c r="V87" s="161"/>
      <c r="W87" s="161"/>
      <c r="X87" s="161"/>
      <c r="Y87" s="161"/>
      <c r="Z87" s="162"/>
    </row>
    <row r="88" spans="1:26" ht="66" customHeight="1" x14ac:dyDescent="0.4">
      <c r="B88" s="155" t="s">
        <v>48</v>
      </c>
      <c r="C88" s="22" t="s">
        <v>28</v>
      </c>
      <c r="D88" s="165" t="s">
        <v>49</v>
      </c>
      <c r="E88" s="166"/>
      <c r="F88" s="166"/>
      <c r="G88" s="166"/>
      <c r="H88" s="166"/>
      <c r="I88" s="166"/>
      <c r="J88" s="166"/>
      <c r="K88" s="166"/>
      <c r="L88" s="166"/>
      <c r="M88" s="166"/>
      <c r="N88" s="166"/>
      <c r="O88" s="166"/>
      <c r="P88" s="166"/>
      <c r="Q88" s="166"/>
      <c r="R88" s="166"/>
      <c r="S88" s="166"/>
      <c r="T88" s="166"/>
      <c r="U88" s="166"/>
      <c r="V88" s="166"/>
      <c r="W88" s="166"/>
      <c r="X88" s="166"/>
      <c r="Y88" s="166"/>
      <c r="Z88" s="167"/>
    </row>
    <row r="89" spans="1:26" ht="42" customHeight="1" x14ac:dyDescent="0.4">
      <c r="B89" s="163"/>
      <c r="C89" s="25" t="s">
        <v>29</v>
      </c>
      <c r="D89" s="168" t="s">
        <v>50</v>
      </c>
      <c r="E89" s="169"/>
      <c r="F89" s="169"/>
      <c r="G89" s="169"/>
      <c r="H89" s="169"/>
      <c r="I89" s="169"/>
      <c r="J89" s="169"/>
      <c r="K89" s="169"/>
      <c r="L89" s="169"/>
      <c r="M89" s="169"/>
      <c r="N89" s="169"/>
      <c r="O89" s="169"/>
      <c r="P89" s="169"/>
      <c r="Q89" s="169"/>
      <c r="R89" s="169"/>
      <c r="S89" s="169"/>
      <c r="T89" s="169"/>
      <c r="U89" s="169"/>
      <c r="V89" s="169"/>
      <c r="W89" s="169"/>
      <c r="X89" s="169"/>
      <c r="Y89" s="169"/>
      <c r="Z89" s="170"/>
    </row>
    <row r="90" spans="1:26" ht="54" customHeight="1" x14ac:dyDescent="0.4">
      <c r="B90" s="164"/>
      <c r="C90" s="24" t="s">
        <v>30</v>
      </c>
      <c r="D90" s="171" t="s">
        <v>51</v>
      </c>
      <c r="E90" s="150"/>
      <c r="F90" s="150"/>
      <c r="G90" s="150"/>
      <c r="H90" s="150"/>
      <c r="I90" s="150"/>
      <c r="J90" s="150"/>
      <c r="K90" s="150"/>
      <c r="L90" s="150"/>
      <c r="M90" s="150"/>
      <c r="N90" s="150"/>
      <c r="O90" s="150"/>
      <c r="P90" s="150"/>
      <c r="Q90" s="150"/>
      <c r="R90" s="150"/>
      <c r="S90" s="150"/>
      <c r="T90" s="150"/>
      <c r="U90" s="150"/>
      <c r="V90" s="150"/>
      <c r="W90" s="150"/>
      <c r="X90" s="150"/>
      <c r="Y90" s="150"/>
      <c r="Z90" s="151"/>
    </row>
    <row r="91" spans="1:26" ht="6" customHeight="1" x14ac:dyDescent="0.4"/>
    <row r="92" spans="1:26" ht="18.75" customHeight="1" x14ac:dyDescent="0.4">
      <c r="A92" s="1" t="s">
        <v>52</v>
      </c>
    </row>
    <row r="93" spans="1:26" ht="18.75" customHeight="1" x14ac:dyDescent="0.4">
      <c r="B93" s="143" t="s">
        <v>53</v>
      </c>
      <c r="C93" s="144"/>
      <c r="D93" s="144"/>
      <c r="E93" s="144"/>
      <c r="F93" s="144"/>
      <c r="G93" s="144"/>
      <c r="H93" s="144"/>
      <c r="I93" s="144"/>
      <c r="J93" s="144"/>
      <c r="K93" s="144"/>
      <c r="L93" s="144"/>
      <c r="M93" s="144"/>
      <c r="N93" s="144"/>
      <c r="O93" s="144"/>
      <c r="P93" s="144"/>
      <c r="Q93" s="144"/>
      <c r="R93" s="144"/>
      <c r="S93" s="144"/>
      <c r="T93" s="144"/>
      <c r="U93" s="144"/>
      <c r="V93" s="144"/>
      <c r="W93" s="144"/>
      <c r="X93" s="144"/>
      <c r="Y93" s="144"/>
      <c r="Z93" s="145"/>
    </row>
    <row r="94" spans="1:26" ht="18.75" customHeight="1" x14ac:dyDescent="0.4">
      <c r="B94" s="146"/>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148"/>
    </row>
    <row r="95" spans="1:26" ht="18.75" customHeight="1" x14ac:dyDescent="0.4">
      <c r="B95" s="149"/>
      <c r="C95" s="150"/>
      <c r="D95" s="150"/>
      <c r="E95" s="150"/>
      <c r="F95" s="150"/>
      <c r="G95" s="150"/>
      <c r="H95" s="150"/>
      <c r="I95" s="150"/>
      <c r="J95" s="150"/>
      <c r="K95" s="150"/>
      <c r="L95" s="150"/>
      <c r="M95" s="150"/>
      <c r="N95" s="150"/>
      <c r="O95" s="150"/>
      <c r="P95" s="150"/>
      <c r="Q95" s="150"/>
      <c r="R95" s="150"/>
      <c r="S95" s="150"/>
      <c r="T95" s="150"/>
      <c r="U95" s="150"/>
      <c r="V95" s="150"/>
      <c r="W95" s="150"/>
      <c r="X95" s="150"/>
      <c r="Y95" s="150"/>
      <c r="Z95" s="151"/>
    </row>
    <row r="96" spans="1:26" ht="6" customHeight="1" x14ac:dyDescent="0.4"/>
    <row r="97" spans="1:26" ht="15" customHeight="1" x14ac:dyDescent="0.4">
      <c r="A97" s="1" t="s">
        <v>54</v>
      </c>
    </row>
    <row r="98" spans="1:26" ht="15" customHeight="1" x14ac:dyDescent="0.4">
      <c r="B98" s="152" t="s">
        <v>204</v>
      </c>
      <c r="C98" s="153"/>
      <c r="D98" s="153"/>
      <c r="E98" s="153"/>
      <c r="F98" s="153"/>
      <c r="G98" s="153"/>
      <c r="H98" s="153"/>
      <c r="I98" s="153"/>
      <c r="J98" s="153"/>
      <c r="K98" s="153"/>
      <c r="L98" s="153"/>
      <c r="M98" s="153"/>
      <c r="N98" s="153"/>
      <c r="O98" s="153"/>
      <c r="P98" s="153"/>
      <c r="Q98" s="153"/>
      <c r="R98" s="153"/>
      <c r="S98" s="153"/>
      <c r="T98" s="153"/>
      <c r="U98" s="153"/>
      <c r="V98" s="153"/>
      <c r="W98" s="153"/>
      <c r="X98" s="153"/>
      <c r="Y98" s="153"/>
      <c r="Z98" s="154"/>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3"/>
  <dataValidations count="4">
    <dataValidation type="list" allowBlank="1" showInputMessage="1" showErrorMessage="1" sqref="Y16:Z22 L16:M22 Y27:Z33 H38:H44 Y38:Z44 L49:M55 Y49:Z55 Y60:Z66 H16:H22 U16:U22 T60:T66 U27:U33 H27:H33 U38:U44 L62:M66 U49:U55 L38:M44 L27:M33 K60:M61 G60:G66 H49:H55">
      <formula1>"○"</formula1>
    </dataValidation>
    <dataValidation type="list" allowBlank="1" showInputMessage="1" showErrorMessage="1" sqref="Z23 Z34 D34:K34 D23:K23 V16:V22 I16:I22 V27:V33 I38:I44 V38:V44 I27:I33 V49:V55 H60:H66 U60:U66 I49:I55">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display="https://asm-ediea.com/niigataum/open/ja/syllabuses/"/>
  </hyperlinks>
  <printOptions horizontalCentered="1"/>
  <pageMargins left="0.78740157480314965" right="0.78740157480314965" top="0.59055118110236227" bottom="0.19685039370078741" header="0.31496062992125984" footer="0.19685039370078741"/>
  <pageSetup paperSize="9" scale="8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topLeftCell="B1" zoomScaleNormal="100" zoomScaleSheetLayoutView="100" workbookViewId="0">
      <selection activeCell="F10" sqref="F10"/>
    </sheetView>
  </sheetViews>
  <sheetFormatPr defaultColWidth="9" defaultRowHeight="18.75" customHeight="1" x14ac:dyDescent="0.4"/>
  <cols>
    <col min="1" max="1" width="2.75" style="37" customWidth="1"/>
    <col min="2" max="2" width="30" style="37" customWidth="1"/>
    <col min="3" max="17" width="6.125" style="37" customWidth="1"/>
    <col min="18" max="18" width="6.625" style="37" customWidth="1"/>
    <col min="19" max="16384" width="9" style="37"/>
  </cols>
  <sheetData>
    <row r="1" spans="1:20" ht="18" customHeight="1" x14ac:dyDescent="0.4">
      <c r="F1" s="246" t="s">
        <v>147</v>
      </c>
      <c r="G1" s="246"/>
      <c r="H1" s="246"/>
      <c r="I1" s="246"/>
      <c r="J1" s="246"/>
      <c r="K1" s="246"/>
      <c r="L1" s="246"/>
      <c r="M1" s="246"/>
      <c r="N1" s="246"/>
      <c r="O1" s="246"/>
      <c r="P1" s="246"/>
      <c r="Q1" s="246"/>
      <c r="R1" s="246"/>
    </row>
    <row r="2" spans="1:20" ht="18" customHeight="1" x14ac:dyDescent="0.4">
      <c r="A2" s="247" t="s">
        <v>148</v>
      </c>
      <c r="B2" s="247"/>
      <c r="C2" s="247"/>
      <c r="D2" s="247"/>
      <c r="E2" s="247"/>
      <c r="F2" s="247"/>
      <c r="G2" s="247"/>
      <c r="H2" s="247"/>
      <c r="I2" s="247"/>
      <c r="J2" s="247"/>
      <c r="K2" s="247"/>
      <c r="L2" s="247"/>
      <c r="M2" s="247"/>
      <c r="N2" s="247"/>
      <c r="O2" s="247"/>
      <c r="P2" s="247"/>
      <c r="Q2" s="247"/>
      <c r="R2" s="247"/>
      <c r="S2" s="39"/>
    </row>
    <row r="3" spans="1:20" ht="7.5" customHeight="1" x14ac:dyDescent="0.4">
      <c r="A3" s="38"/>
      <c r="B3" s="38"/>
      <c r="C3" s="38"/>
      <c r="D3" s="38"/>
      <c r="E3" s="38"/>
      <c r="F3" s="38"/>
      <c r="G3" s="38"/>
      <c r="H3" s="38"/>
      <c r="I3" s="38"/>
      <c r="J3" s="38"/>
      <c r="K3" s="38"/>
      <c r="L3" s="38"/>
      <c r="M3" s="38"/>
      <c r="N3" s="38"/>
      <c r="O3" s="38"/>
      <c r="P3" s="38"/>
      <c r="Q3" s="38"/>
      <c r="R3" s="38"/>
    </row>
    <row r="4" spans="1:20" ht="18" customHeight="1" x14ac:dyDescent="0.4">
      <c r="A4" s="39" t="s">
        <v>149</v>
      </c>
      <c r="B4" s="39"/>
      <c r="C4" s="248">
        <v>2021</v>
      </c>
      <c r="D4" s="249"/>
      <c r="E4" s="38" t="s">
        <v>74</v>
      </c>
      <c r="F4" s="38"/>
      <c r="G4" s="38"/>
      <c r="H4" s="38"/>
      <c r="I4" s="38"/>
      <c r="J4" s="50"/>
      <c r="K4" s="38"/>
      <c r="L4" s="38"/>
      <c r="M4" s="51"/>
      <c r="N4" s="51"/>
      <c r="O4" s="51"/>
      <c r="P4" s="51"/>
      <c r="Q4" s="51"/>
      <c r="R4" s="51"/>
    </row>
    <row r="5" spans="1:20" ht="6" customHeight="1" x14ac:dyDescent="0.4">
      <c r="A5" s="38"/>
      <c r="B5" s="38"/>
      <c r="C5" s="38"/>
      <c r="D5" s="38"/>
      <c r="E5" s="38"/>
      <c r="F5" s="38"/>
      <c r="G5" s="38"/>
      <c r="H5" s="38"/>
      <c r="I5" s="38"/>
      <c r="J5" s="38"/>
      <c r="K5" s="38"/>
      <c r="L5" s="38"/>
      <c r="M5" s="38"/>
      <c r="N5" s="38"/>
      <c r="O5" s="38"/>
      <c r="P5" s="38"/>
      <c r="Q5" s="38"/>
      <c r="R5" s="38"/>
    </row>
    <row r="6" spans="1:20" ht="18" customHeight="1" x14ac:dyDescent="0.4">
      <c r="A6" s="39" t="s">
        <v>150</v>
      </c>
      <c r="B6" s="38"/>
      <c r="C6" s="38"/>
      <c r="D6" s="38"/>
      <c r="E6" s="38"/>
      <c r="F6" s="38"/>
      <c r="G6" s="38"/>
      <c r="H6" s="38"/>
      <c r="I6" s="38"/>
      <c r="J6" s="38"/>
      <c r="K6" s="38"/>
      <c r="L6" s="38"/>
      <c r="M6" s="38"/>
      <c r="N6" s="38"/>
      <c r="O6" s="38"/>
      <c r="P6" s="38"/>
      <c r="Q6" s="38"/>
      <c r="R6" s="38"/>
    </row>
    <row r="7" spans="1:20" ht="6" customHeight="1" x14ac:dyDescent="0.4">
      <c r="A7" s="39"/>
      <c r="B7" s="38"/>
      <c r="C7" s="38"/>
      <c r="D7" s="38"/>
      <c r="E7" s="38"/>
      <c r="F7" s="38"/>
      <c r="G7" s="38"/>
      <c r="H7" s="38"/>
      <c r="I7" s="38"/>
      <c r="J7" s="38"/>
      <c r="K7" s="38"/>
      <c r="L7" s="38"/>
      <c r="M7" s="38"/>
      <c r="N7" s="38"/>
      <c r="O7" s="38"/>
      <c r="P7" s="38"/>
      <c r="Q7" s="38"/>
      <c r="R7" s="38"/>
    </row>
    <row r="8" spans="1:20" ht="18" customHeight="1" x14ac:dyDescent="0.4">
      <c r="B8" s="250" t="s">
        <v>151</v>
      </c>
      <c r="C8" s="252" t="s">
        <v>152</v>
      </c>
      <c r="D8" s="254" t="s">
        <v>153</v>
      </c>
      <c r="E8" s="256" t="s">
        <v>154</v>
      </c>
      <c r="F8" s="256"/>
      <c r="G8" s="256" t="s">
        <v>155</v>
      </c>
      <c r="H8" s="256"/>
      <c r="I8" s="256" t="s">
        <v>156</v>
      </c>
      <c r="J8" s="256"/>
      <c r="K8" s="240" t="s">
        <v>157</v>
      </c>
      <c r="L8" s="241"/>
      <c r="M8" s="240" t="s">
        <v>158</v>
      </c>
      <c r="N8" s="241"/>
      <c r="O8" s="240" t="s">
        <v>159</v>
      </c>
      <c r="P8" s="241"/>
      <c r="Q8" s="242" t="s">
        <v>160</v>
      </c>
      <c r="R8" s="244" t="s">
        <v>161</v>
      </c>
      <c r="T8" s="52"/>
    </row>
    <row r="9" spans="1:20" ht="18" customHeight="1" x14ac:dyDescent="0.4">
      <c r="A9" s="39"/>
      <c r="B9" s="251"/>
      <c r="C9" s="253"/>
      <c r="D9" s="255"/>
      <c r="E9" s="53" t="s">
        <v>162</v>
      </c>
      <c r="F9" s="54" t="s">
        <v>163</v>
      </c>
      <c r="G9" s="55" t="s">
        <v>162</v>
      </c>
      <c r="H9" s="56" t="s">
        <v>163</v>
      </c>
      <c r="I9" s="53" t="s">
        <v>162</v>
      </c>
      <c r="J9" s="54" t="s">
        <v>163</v>
      </c>
      <c r="K9" s="55" t="s">
        <v>162</v>
      </c>
      <c r="L9" s="56" t="s">
        <v>163</v>
      </c>
      <c r="M9" s="53" t="s">
        <v>162</v>
      </c>
      <c r="N9" s="54" t="s">
        <v>163</v>
      </c>
      <c r="O9" s="55" t="s">
        <v>162</v>
      </c>
      <c r="P9" s="56" t="s">
        <v>163</v>
      </c>
      <c r="Q9" s="243"/>
      <c r="R9" s="245"/>
      <c r="T9" s="52"/>
    </row>
    <row r="10" spans="1:20" ht="18" customHeight="1" x14ac:dyDescent="0.4">
      <c r="A10" s="51"/>
      <c r="B10" s="95" t="s">
        <v>189</v>
      </c>
      <c r="C10" s="86">
        <v>120</v>
      </c>
      <c r="D10" s="87">
        <v>510</v>
      </c>
      <c r="E10" s="88">
        <v>72</v>
      </c>
      <c r="F10" s="89">
        <v>64</v>
      </c>
      <c r="G10" s="60"/>
      <c r="H10" s="61"/>
      <c r="I10" s="58"/>
      <c r="J10" s="59"/>
      <c r="K10" s="60"/>
      <c r="L10" s="61"/>
      <c r="M10" s="58"/>
      <c r="N10" s="59"/>
      <c r="O10" s="60"/>
      <c r="P10" s="61"/>
      <c r="Q10" s="62">
        <f>E10+G10+I10+K10+M10+O10</f>
        <v>72</v>
      </c>
      <c r="R10" s="63">
        <f>Q10/D10</f>
        <v>0.14117647058823529</v>
      </c>
    </row>
    <row r="11" spans="1:20" ht="18" customHeight="1" x14ac:dyDescent="0.4">
      <c r="A11" s="51"/>
      <c r="B11" s="90" t="s">
        <v>190</v>
      </c>
      <c r="C11" s="91">
        <v>50</v>
      </c>
      <c r="D11" s="92">
        <v>210</v>
      </c>
      <c r="E11" s="93">
        <v>10</v>
      </c>
      <c r="F11" s="94">
        <v>6</v>
      </c>
      <c r="G11" s="69"/>
      <c r="H11" s="70"/>
      <c r="I11" s="67"/>
      <c r="J11" s="68"/>
      <c r="K11" s="69"/>
      <c r="L11" s="70"/>
      <c r="M11" s="67"/>
      <c r="N11" s="68"/>
      <c r="O11" s="69"/>
      <c r="P11" s="70"/>
      <c r="Q11" s="71">
        <f t="shared" ref="Q11:Q29" si="0">E11+G11+I11+K11+M11+O11</f>
        <v>10</v>
      </c>
      <c r="R11" s="72">
        <f t="shared" ref="R11:R29" si="1">Q11/D11</f>
        <v>4.7619047619047616E-2</v>
      </c>
    </row>
    <row r="12" spans="1:20" ht="18" customHeight="1" x14ac:dyDescent="0.4">
      <c r="A12" s="51"/>
      <c r="B12" s="64"/>
      <c r="C12" s="65"/>
      <c r="D12" s="66"/>
      <c r="E12" s="67"/>
      <c r="F12" s="68"/>
      <c r="G12" s="69"/>
      <c r="H12" s="70"/>
      <c r="I12" s="67"/>
      <c r="J12" s="68"/>
      <c r="K12" s="69"/>
      <c r="L12" s="70"/>
      <c r="M12" s="67"/>
      <c r="N12" s="68"/>
      <c r="O12" s="69"/>
      <c r="P12" s="70"/>
      <c r="Q12" s="71">
        <f t="shared" si="0"/>
        <v>0</v>
      </c>
      <c r="R12" s="72" t="e">
        <f t="shared" si="1"/>
        <v>#DIV/0!</v>
      </c>
    </row>
    <row r="13" spans="1:20" ht="18" customHeight="1" x14ac:dyDescent="0.4">
      <c r="A13" s="51"/>
      <c r="B13" s="64"/>
      <c r="C13" s="65"/>
      <c r="D13" s="66"/>
      <c r="E13" s="67"/>
      <c r="F13" s="68"/>
      <c r="G13" s="69"/>
      <c r="H13" s="70"/>
      <c r="I13" s="67"/>
      <c r="J13" s="68"/>
      <c r="K13" s="69"/>
      <c r="L13" s="70"/>
      <c r="M13" s="67"/>
      <c r="N13" s="68"/>
      <c r="O13" s="69"/>
      <c r="P13" s="70"/>
      <c r="Q13" s="71">
        <f t="shared" si="0"/>
        <v>0</v>
      </c>
      <c r="R13" s="72" t="e">
        <f t="shared" si="1"/>
        <v>#DIV/0!</v>
      </c>
    </row>
    <row r="14" spans="1:20" ht="18" customHeight="1" x14ac:dyDescent="0.4">
      <c r="A14" s="51"/>
      <c r="B14" s="64"/>
      <c r="C14" s="65"/>
      <c r="D14" s="66"/>
      <c r="E14" s="67"/>
      <c r="F14" s="68"/>
      <c r="G14" s="69"/>
      <c r="H14" s="70"/>
      <c r="I14" s="67"/>
      <c r="J14" s="68"/>
      <c r="K14" s="69"/>
      <c r="L14" s="70"/>
      <c r="M14" s="67"/>
      <c r="N14" s="68"/>
      <c r="O14" s="69"/>
      <c r="P14" s="70"/>
      <c r="Q14" s="71">
        <f t="shared" si="0"/>
        <v>0</v>
      </c>
      <c r="R14" s="72" t="e">
        <f t="shared" si="1"/>
        <v>#DIV/0!</v>
      </c>
    </row>
    <row r="15" spans="1:20" ht="18" customHeight="1" x14ac:dyDescent="0.4">
      <c r="A15" s="51"/>
      <c r="B15" s="64"/>
      <c r="C15" s="65"/>
      <c r="D15" s="66"/>
      <c r="E15" s="67"/>
      <c r="F15" s="68"/>
      <c r="G15" s="69"/>
      <c r="H15" s="70"/>
      <c r="I15" s="67"/>
      <c r="J15" s="68"/>
      <c r="K15" s="69"/>
      <c r="L15" s="70"/>
      <c r="M15" s="67"/>
      <c r="N15" s="68"/>
      <c r="O15" s="69"/>
      <c r="P15" s="70"/>
      <c r="Q15" s="71">
        <f t="shared" si="0"/>
        <v>0</v>
      </c>
      <c r="R15" s="72" t="e">
        <f t="shared" si="1"/>
        <v>#DIV/0!</v>
      </c>
    </row>
    <row r="16" spans="1:20" ht="18" customHeight="1" x14ac:dyDescent="0.4">
      <c r="A16" s="51"/>
      <c r="B16" s="64"/>
      <c r="C16" s="65"/>
      <c r="D16" s="66"/>
      <c r="E16" s="67"/>
      <c r="F16" s="68"/>
      <c r="G16" s="69"/>
      <c r="H16" s="70"/>
      <c r="I16" s="67"/>
      <c r="J16" s="68"/>
      <c r="K16" s="69"/>
      <c r="L16" s="70"/>
      <c r="M16" s="67"/>
      <c r="N16" s="68"/>
      <c r="O16" s="69"/>
      <c r="P16" s="70"/>
      <c r="Q16" s="71">
        <f t="shared" si="0"/>
        <v>0</v>
      </c>
      <c r="R16" s="72" t="e">
        <f t="shared" si="1"/>
        <v>#DIV/0!</v>
      </c>
    </row>
    <row r="17" spans="1:18" ht="18" customHeight="1" x14ac:dyDescent="0.4">
      <c r="A17" s="51"/>
      <c r="B17" s="64"/>
      <c r="C17" s="65"/>
      <c r="D17" s="66"/>
      <c r="E17" s="67"/>
      <c r="F17" s="68"/>
      <c r="G17" s="69"/>
      <c r="H17" s="70"/>
      <c r="I17" s="67"/>
      <c r="J17" s="68"/>
      <c r="K17" s="69"/>
      <c r="L17" s="70"/>
      <c r="M17" s="67"/>
      <c r="N17" s="68"/>
      <c r="O17" s="69"/>
      <c r="P17" s="70"/>
      <c r="Q17" s="71">
        <f t="shared" si="0"/>
        <v>0</v>
      </c>
      <c r="R17" s="72" t="e">
        <f t="shared" si="1"/>
        <v>#DIV/0!</v>
      </c>
    </row>
    <row r="18" spans="1:18" ht="18" customHeight="1" x14ac:dyDescent="0.4">
      <c r="A18" s="51"/>
      <c r="B18" s="64"/>
      <c r="C18" s="65"/>
      <c r="D18" s="66"/>
      <c r="E18" s="67"/>
      <c r="F18" s="68"/>
      <c r="G18" s="69"/>
      <c r="H18" s="70"/>
      <c r="I18" s="67"/>
      <c r="J18" s="68"/>
      <c r="K18" s="69"/>
      <c r="L18" s="70"/>
      <c r="M18" s="67"/>
      <c r="N18" s="68"/>
      <c r="O18" s="69"/>
      <c r="P18" s="70"/>
      <c r="Q18" s="71">
        <f>E18+G18+I18+K18+M18+O18</f>
        <v>0</v>
      </c>
      <c r="R18" s="72" t="e">
        <f t="shared" si="1"/>
        <v>#DIV/0!</v>
      </c>
    </row>
    <row r="19" spans="1:18" ht="18" customHeight="1" x14ac:dyDescent="0.4">
      <c r="A19" s="51"/>
      <c r="B19" s="64"/>
      <c r="C19" s="65"/>
      <c r="D19" s="66"/>
      <c r="E19" s="67"/>
      <c r="F19" s="68"/>
      <c r="G19" s="69"/>
      <c r="H19" s="70"/>
      <c r="I19" s="67"/>
      <c r="J19" s="68"/>
      <c r="K19" s="69"/>
      <c r="L19" s="70"/>
      <c r="M19" s="67"/>
      <c r="N19" s="68"/>
      <c r="O19" s="69"/>
      <c r="P19" s="70"/>
      <c r="Q19" s="71">
        <f t="shared" si="0"/>
        <v>0</v>
      </c>
      <c r="R19" s="72" t="e">
        <f t="shared" si="1"/>
        <v>#DIV/0!</v>
      </c>
    </row>
    <row r="20" spans="1:18" ht="18" customHeight="1" x14ac:dyDescent="0.4">
      <c r="A20" s="51"/>
      <c r="B20" s="64"/>
      <c r="C20" s="65"/>
      <c r="D20" s="66"/>
      <c r="E20" s="67"/>
      <c r="F20" s="68"/>
      <c r="G20" s="69"/>
      <c r="H20" s="70"/>
      <c r="I20" s="67"/>
      <c r="J20" s="68"/>
      <c r="K20" s="69"/>
      <c r="L20" s="70"/>
      <c r="M20" s="67"/>
      <c r="N20" s="68"/>
      <c r="O20" s="69"/>
      <c r="P20" s="70"/>
      <c r="Q20" s="71">
        <f t="shared" si="0"/>
        <v>0</v>
      </c>
      <c r="R20" s="72" t="e">
        <f t="shared" si="1"/>
        <v>#DIV/0!</v>
      </c>
    </row>
    <row r="21" spans="1:18" ht="18" customHeight="1" x14ac:dyDescent="0.4">
      <c r="A21" s="51"/>
      <c r="B21" s="64"/>
      <c r="C21" s="65"/>
      <c r="D21" s="66"/>
      <c r="E21" s="67"/>
      <c r="F21" s="68"/>
      <c r="G21" s="69"/>
      <c r="H21" s="70"/>
      <c r="I21" s="67"/>
      <c r="J21" s="68"/>
      <c r="K21" s="69"/>
      <c r="L21" s="70"/>
      <c r="M21" s="67"/>
      <c r="N21" s="68"/>
      <c r="O21" s="69"/>
      <c r="P21" s="70"/>
      <c r="Q21" s="71">
        <f t="shared" si="0"/>
        <v>0</v>
      </c>
      <c r="R21" s="72" t="e">
        <f t="shared" si="1"/>
        <v>#DIV/0!</v>
      </c>
    </row>
    <row r="22" spans="1:18" ht="18" customHeight="1" x14ac:dyDescent="0.4">
      <c r="A22" s="51"/>
      <c r="B22" s="64"/>
      <c r="C22" s="65"/>
      <c r="D22" s="66"/>
      <c r="E22" s="67"/>
      <c r="F22" s="68"/>
      <c r="G22" s="69"/>
      <c r="H22" s="70"/>
      <c r="I22" s="67"/>
      <c r="J22" s="68"/>
      <c r="K22" s="69"/>
      <c r="L22" s="70"/>
      <c r="M22" s="67"/>
      <c r="N22" s="68"/>
      <c r="O22" s="69"/>
      <c r="P22" s="70"/>
      <c r="Q22" s="71">
        <f t="shared" si="0"/>
        <v>0</v>
      </c>
      <c r="R22" s="72" t="e">
        <f t="shared" si="1"/>
        <v>#DIV/0!</v>
      </c>
    </row>
    <row r="23" spans="1:18" ht="18" customHeight="1" x14ac:dyDescent="0.4">
      <c r="A23" s="51"/>
      <c r="B23" s="64"/>
      <c r="C23" s="65"/>
      <c r="D23" s="66"/>
      <c r="E23" s="67"/>
      <c r="F23" s="68"/>
      <c r="G23" s="69"/>
      <c r="H23" s="70"/>
      <c r="I23" s="67"/>
      <c r="J23" s="68"/>
      <c r="K23" s="69"/>
      <c r="L23" s="70"/>
      <c r="M23" s="67"/>
      <c r="N23" s="68"/>
      <c r="O23" s="69"/>
      <c r="P23" s="70"/>
      <c r="Q23" s="71">
        <f t="shared" si="0"/>
        <v>0</v>
      </c>
      <c r="R23" s="72" t="e">
        <f t="shared" si="1"/>
        <v>#DIV/0!</v>
      </c>
    </row>
    <row r="24" spans="1:18" ht="18" customHeight="1" x14ac:dyDescent="0.4">
      <c r="A24" s="51"/>
      <c r="B24" s="64"/>
      <c r="C24" s="65"/>
      <c r="D24" s="66"/>
      <c r="E24" s="67"/>
      <c r="F24" s="68"/>
      <c r="G24" s="69"/>
      <c r="H24" s="70"/>
      <c r="I24" s="67"/>
      <c r="J24" s="68"/>
      <c r="K24" s="69"/>
      <c r="L24" s="70"/>
      <c r="M24" s="67"/>
      <c r="N24" s="68"/>
      <c r="O24" s="69"/>
      <c r="P24" s="70"/>
      <c r="Q24" s="71">
        <f t="shared" si="0"/>
        <v>0</v>
      </c>
      <c r="R24" s="72" t="e">
        <f t="shared" si="1"/>
        <v>#DIV/0!</v>
      </c>
    </row>
    <row r="25" spans="1:18" ht="18" customHeight="1" x14ac:dyDescent="0.4">
      <c r="A25" s="51"/>
      <c r="B25" s="64"/>
      <c r="C25" s="65"/>
      <c r="D25" s="66"/>
      <c r="E25" s="67"/>
      <c r="F25" s="68"/>
      <c r="G25" s="69"/>
      <c r="H25" s="70"/>
      <c r="I25" s="67"/>
      <c r="J25" s="68"/>
      <c r="K25" s="69"/>
      <c r="L25" s="70"/>
      <c r="M25" s="67"/>
      <c r="N25" s="68"/>
      <c r="O25" s="69"/>
      <c r="P25" s="70"/>
      <c r="Q25" s="71">
        <f t="shared" si="0"/>
        <v>0</v>
      </c>
      <c r="R25" s="72" t="e">
        <f t="shared" si="1"/>
        <v>#DIV/0!</v>
      </c>
    </row>
    <row r="26" spans="1:18" ht="18" customHeight="1" x14ac:dyDescent="0.4">
      <c r="A26" s="51"/>
      <c r="B26" s="64"/>
      <c r="C26" s="65"/>
      <c r="D26" s="66"/>
      <c r="E26" s="67"/>
      <c r="F26" s="68"/>
      <c r="G26" s="69"/>
      <c r="H26" s="70"/>
      <c r="I26" s="67"/>
      <c r="J26" s="68"/>
      <c r="K26" s="69"/>
      <c r="L26" s="70"/>
      <c r="M26" s="67"/>
      <c r="N26" s="68"/>
      <c r="O26" s="69"/>
      <c r="P26" s="70"/>
      <c r="Q26" s="71">
        <f t="shared" si="0"/>
        <v>0</v>
      </c>
      <c r="R26" s="72" t="e">
        <f t="shared" si="1"/>
        <v>#DIV/0!</v>
      </c>
    </row>
    <row r="27" spans="1:18" ht="18" customHeight="1" x14ac:dyDescent="0.4">
      <c r="A27" s="51"/>
      <c r="B27" s="64"/>
      <c r="C27" s="73"/>
      <c r="D27" s="66"/>
      <c r="E27" s="67"/>
      <c r="F27" s="68"/>
      <c r="G27" s="69"/>
      <c r="H27" s="70"/>
      <c r="I27" s="67"/>
      <c r="J27" s="68"/>
      <c r="K27" s="69"/>
      <c r="L27" s="70"/>
      <c r="M27" s="67"/>
      <c r="N27" s="68"/>
      <c r="O27" s="69"/>
      <c r="P27" s="70"/>
      <c r="Q27" s="71">
        <f t="shared" si="0"/>
        <v>0</v>
      </c>
      <c r="R27" s="72" t="e">
        <f t="shared" si="1"/>
        <v>#DIV/0!</v>
      </c>
    </row>
    <row r="28" spans="1:18" ht="18" customHeight="1" x14ac:dyDescent="0.4">
      <c r="A28" s="51"/>
      <c r="B28" s="64"/>
      <c r="C28" s="73"/>
      <c r="D28" s="66"/>
      <c r="E28" s="67"/>
      <c r="F28" s="68"/>
      <c r="G28" s="69"/>
      <c r="H28" s="70"/>
      <c r="I28" s="67"/>
      <c r="J28" s="68"/>
      <c r="K28" s="69"/>
      <c r="L28" s="70"/>
      <c r="M28" s="67"/>
      <c r="N28" s="68"/>
      <c r="O28" s="69"/>
      <c r="P28" s="70"/>
      <c r="Q28" s="71">
        <f t="shared" si="0"/>
        <v>0</v>
      </c>
      <c r="R28" s="72" t="e">
        <f t="shared" si="1"/>
        <v>#DIV/0!</v>
      </c>
    </row>
    <row r="29" spans="1:18" ht="18" customHeight="1" thickBot="1" x14ac:dyDescent="0.45">
      <c r="A29" s="51"/>
      <c r="B29" s="74"/>
      <c r="C29" s="75"/>
      <c r="D29" s="57"/>
      <c r="E29" s="58"/>
      <c r="F29" s="59"/>
      <c r="G29" s="60"/>
      <c r="H29" s="61"/>
      <c r="I29" s="58"/>
      <c r="J29" s="59"/>
      <c r="K29" s="60"/>
      <c r="L29" s="61"/>
      <c r="M29" s="58"/>
      <c r="N29" s="59"/>
      <c r="O29" s="60"/>
      <c r="P29" s="61"/>
      <c r="Q29" s="76">
        <f t="shared" si="0"/>
        <v>0</v>
      </c>
      <c r="R29" s="63" t="e">
        <f t="shared" si="1"/>
        <v>#DIV/0!</v>
      </c>
    </row>
    <row r="30" spans="1:18" ht="18" customHeight="1" thickTop="1" x14ac:dyDescent="0.4">
      <c r="B30" s="77" t="s">
        <v>164</v>
      </c>
      <c r="C30" s="78">
        <f t="shared" ref="C30:Q30" si="2">SUM(C10:C29)</f>
        <v>170</v>
      </c>
      <c r="D30" s="79">
        <f t="shared" si="2"/>
        <v>720</v>
      </c>
      <c r="E30" s="80">
        <f t="shared" si="2"/>
        <v>82</v>
      </c>
      <c r="F30" s="81">
        <f t="shared" si="2"/>
        <v>70</v>
      </c>
      <c r="G30" s="82">
        <f t="shared" si="2"/>
        <v>0</v>
      </c>
      <c r="H30" s="83">
        <f t="shared" si="2"/>
        <v>0</v>
      </c>
      <c r="I30" s="80">
        <f t="shared" si="2"/>
        <v>0</v>
      </c>
      <c r="J30" s="81">
        <f t="shared" si="2"/>
        <v>0</v>
      </c>
      <c r="K30" s="82">
        <f t="shared" si="2"/>
        <v>0</v>
      </c>
      <c r="L30" s="83">
        <f t="shared" si="2"/>
        <v>0</v>
      </c>
      <c r="M30" s="80">
        <f t="shared" si="2"/>
        <v>0</v>
      </c>
      <c r="N30" s="81">
        <f t="shared" si="2"/>
        <v>0</v>
      </c>
      <c r="O30" s="82">
        <f t="shared" si="2"/>
        <v>0</v>
      </c>
      <c r="P30" s="83">
        <f t="shared" si="2"/>
        <v>0</v>
      </c>
      <c r="Q30" s="84">
        <f t="shared" si="2"/>
        <v>82</v>
      </c>
      <c r="R30" s="85">
        <f>Q30/D30</f>
        <v>0.11388888888888889</v>
      </c>
    </row>
  </sheetData>
  <mergeCells count="14">
    <mergeCell ref="M8:N8"/>
    <mergeCell ref="O8:P8"/>
    <mergeCell ref="Q8:Q9"/>
    <mergeCell ref="R8:R9"/>
    <mergeCell ref="F1:R1"/>
    <mergeCell ref="A2:R2"/>
    <mergeCell ref="C4:D4"/>
    <mergeCell ref="B8:B9"/>
    <mergeCell ref="C8:C9"/>
    <mergeCell ref="D8:D9"/>
    <mergeCell ref="E8:F8"/>
    <mergeCell ref="G8:H8"/>
    <mergeCell ref="I8:J8"/>
    <mergeCell ref="K8:L8"/>
  </mergeCells>
  <phoneticPr fontId="3"/>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1"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115" zoomScaleNormal="100" zoomScaleSheetLayoutView="115" workbookViewId="0">
      <selection activeCell="B30" sqref="B30:J30"/>
    </sheetView>
  </sheetViews>
  <sheetFormatPr defaultColWidth="11.375" defaultRowHeight="18.75" customHeight="1" x14ac:dyDescent="0.4"/>
  <cols>
    <col min="1" max="1" width="2.75" style="104" customWidth="1"/>
    <col min="2" max="2" width="16.625" style="3" customWidth="1"/>
    <col min="3" max="3" width="8.875" style="3" customWidth="1"/>
    <col min="4" max="4" width="2.25" style="3" customWidth="1"/>
    <col min="5" max="5" width="16.625" style="3" customWidth="1"/>
    <col min="6" max="6" width="8.875" style="3" customWidth="1"/>
    <col min="7" max="7" width="2.25" style="3" customWidth="1"/>
    <col min="8" max="8" width="16.625" style="3" customWidth="1"/>
    <col min="9" max="9" width="8.875" style="3" customWidth="1"/>
    <col min="10" max="10" width="2.25" style="3" customWidth="1"/>
    <col min="11" max="16384" width="11.375" style="3"/>
  </cols>
  <sheetData>
    <row r="1" spans="1:11" ht="18.75" customHeight="1" x14ac:dyDescent="0.4">
      <c r="A1" s="104" t="s">
        <v>121</v>
      </c>
      <c r="J1" s="98" t="s">
        <v>122</v>
      </c>
    </row>
    <row r="2" spans="1:11" ht="18.75" customHeight="1" x14ac:dyDescent="0.4">
      <c r="A2" s="230" t="s">
        <v>123</v>
      </c>
      <c r="B2" s="230"/>
      <c r="C2" s="230"/>
      <c r="D2" s="230"/>
      <c r="E2" s="230"/>
      <c r="F2" s="230"/>
      <c r="G2" s="230"/>
      <c r="H2" s="230"/>
      <c r="I2" s="230"/>
      <c r="J2" s="230"/>
    </row>
    <row r="3" spans="1:11" ht="7.5" customHeight="1" x14ac:dyDescent="0.4">
      <c r="B3" s="96"/>
      <c r="C3" s="96"/>
      <c r="D3" s="96"/>
      <c r="E3" s="96"/>
      <c r="F3" s="96"/>
      <c r="G3" s="96"/>
      <c r="H3" s="96"/>
      <c r="I3" s="96"/>
      <c r="J3" s="96"/>
    </row>
    <row r="4" spans="1:11" ht="18.75" customHeight="1" x14ac:dyDescent="0.4">
      <c r="A4" s="3" t="s">
        <v>57</v>
      </c>
      <c r="B4" s="3" t="s">
        <v>124</v>
      </c>
      <c r="I4" s="96"/>
      <c r="J4" s="96"/>
    </row>
    <row r="5" spans="1:11" ht="18.75" customHeight="1" x14ac:dyDescent="0.4">
      <c r="A5" s="3"/>
      <c r="B5" s="115" t="s">
        <v>125</v>
      </c>
      <c r="C5" s="116"/>
      <c r="D5" s="116"/>
      <c r="E5" s="116"/>
      <c r="F5" s="116"/>
      <c r="G5" s="116"/>
      <c r="H5" s="116"/>
      <c r="I5" s="116"/>
      <c r="J5" s="278"/>
      <c r="K5" s="3" t="str">
        <f>IF(B5="","入力してください","")</f>
        <v/>
      </c>
    </row>
    <row r="6" spans="1:11" ht="7.5" customHeight="1" x14ac:dyDescent="0.4">
      <c r="B6" s="96"/>
      <c r="C6" s="96"/>
      <c r="D6" s="96"/>
      <c r="E6" s="96"/>
      <c r="F6" s="96"/>
      <c r="G6" s="96"/>
      <c r="H6" s="96"/>
      <c r="I6" s="96"/>
      <c r="J6" s="96"/>
    </row>
    <row r="7" spans="1:11" ht="18.75" customHeight="1" x14ac:dyDescent="0.4">
      <c r="A7" s="3" t="s">
        <v>60</v>
      </c>
      <c r="B7" s="3" t="s">
        <v>126</v>
      </c>
    </row>
    <row r="8" spans="1:11" ht="18.75" customHeight="1" x14ac:dyDescent="0.4">
      <c r="A8" s="13"/>
      <c r="B8" s="257" t="s">
        <v>191</v>
      </c>
      <c r="C8" s="258"/>
      <c r="D8" s="258"/>
      <c r="E8" s="258"/>
      <c r="F8" s="258"/>
      <c r="G8" s="258"/>
      <c r="H8" s="258"/>
      <c r="I8" s="266"/>
      <c r="J8" s="267"/>
      <c r="K8" s="3" t="str">
        <f>IF(B8="","入力してください","")</f>
        <v/>
      </c>
    </row>
    <row r="9" spans="1:11" ht="18.75" customHeight="1" x14ac:dyDescent="0.4">
      <c r="A9" s="13"/>
      <c r="B9" s="268"/>
      <c r="C9" s="269"/>
      <c r="D9" s="269"/>
      <c r="E9" s="269"/>
      <c r="F9" s="269"/>
      <c r="G9" s="269"/>
      <c r="H9" s="269"/>
      <c r="I9" s="269"/>
      <c r="J9" s="270"/>
    </row>
    <row r="10" spans="1:11" ht="18.75" customHeight="1" x14ac:dyDescent="0.4">
      <c r="A10" s="13"/>
      <c r="B10" s="268"/>
      <c r="C10" s="269"/>
      <c r="D10" s="269"/>
      <c r="E10" s="269"/>
      <c r="F10" s="269"/>
      <c r="G10" s="269"/>
      <c r="H10" s="269"/>
      <c r="I10" s="269"/>
      <c r="J10" s="270"/>
    </row>
    <row r="11" spans="1:11" ht="18.75" customHeight="1" x14ac:dyDescent="0.4">
      <c r="A11" s="13"/>
      <c r="B11" s="268"/>
      <c r="C11" s="269"/>
      <c r="D11" s="269"/>
      <c r="E11" s="269"/>
      <c r="F11" s="269"/>
      <c r="G11" s="269"/>
      <c r="H11" s="269"/>
      <c r="I11" s="269"/>
      <c r="J11" s="270"/>
    </row>
    <row r="12" spans="1:11" ht="18.75" customHeight="1" x14ac:dyDescent="0.4">
      <c r="A12" s="13"/>
      <c r="B12" s="271"/>
      <c r="C12" s="272"/>
      <c r="D12" s="272"/>
      <c r="E12" s="272"/>
      <c r="F12" s="272"/>
      <c r="G12" s="272"/>
      <c r="H12" s="272"/>
      <c r="I12" s="272"/>
      <c r="J12" s="273"/>
    </row>
    <row r="13" spans="1:11" ht="7.5" customHeight="1" x14ac:dyDescent="0.4">
      <c r="A13" s="13"/>
      <c r="B13" s="13"/>
      <c r="C13" s="13"/>
      <c r="D13" s="13"/>
      <c r="E13" s="13"/>
      <c r="F13" s="13"/>
      <c r="G13" s="13"/>
      <c r="H13" s="13"/>
      <c r="I13" s="13"/>
      <c r="J13" s="13"/>
    </row>
    <row r="14" spans="1:11" ht="18.75" customHeight="1" x14ac:dyDescent="0.4">
      <c r="A14" s="102" t="s">
        <v>127</v>
      </c>
      <c r="B14" s="102" t="s">
        <v>128</v>
      </c>
      <c r="C14" s="102"/>
      <c r="D14" s="102"/>
      <c r="E14" s="102"/>
      <c r="F14" s="102"/>
      <c r="G14" s="102"/>
      <c r="H14" s="102"/>
      <c r="I14" s="102"/>
      <c r="J14" s="102"/>
    </row>
    <row r="15" spans="1:11" ht="18.75" customHeight="1" x14ac:dyDescent="0.4">
      <c r="A15" s="13"/>
      <c r="B15" s="257" t="s">
        <v>129</v>
      </c>
      <c r="C15" s="258"/>
      <c r="D15" s="258"/>
      <c r="E15" s="258"/>
      <c r="F15" s="258"/>
      <c r="G15" s="258"/>
      <c r="H15" s="258"/>
      <c r="I15" s="266"/>
      <c r="J15" s="267"/>
      <c r="K15" s="3" t="str">
        <f>IF(B15="","入力してください","")</f>
        <v/>
      </c>
    </row>
    <row r="16" spans="1:11" ht="18.75" customHeight="1" x14ac:dyDescent="0.4">
      <c r="A16" s="13"/>
      <c r="B16" s="268"/>
      <c r="C16" s="269"/>
      <c r="D16" s="269"/>
      <c r="E16" s="269"/>
      <c r="F16" s="269"/>
      <c r="G16" s="269"/>
      <c r="H16" s="269"/>
      <c r="I16" s="269"/>
      <c r="J16" s="270"/>
    </row>
    <row r="17" spans="1:11" ht="18.75" customHeight="1" x14ac:dyDescent="0.4">
      <c r="A17" s="13"/>
      <c r="B17" s="268"/>
      <c r="C17" s="269"/>
      <c r="D17" s="269"/>
      <c r="E17" s="269"/>
      <c r="F17" s="269"/>
      <c r="G17" s="269"/>
      <c r="H17" s="269"/>
      <c r="I17" s="269"/>
      <c r="J17" s="270"/>
    </row>
    <row r="18" spans="1:11" ht="18.75" customHeight="1" x14ac:dyDescent="0.4">
      <c r="A18" s="13"/>
      <c r="B18" s="268"/>
      <c r="C18" s="269"/>
      <c r="D18" s="269"/>
      <c r="E18" s="269"/>
      <c r="F18" s="269"/>
      <c r="G18" s="269"/>
      <c r="H18" s="269"/>
      <c r="I18" s="269"/>
      <c r="J18" s="270"/>
    </row>
    <row r="19" spans="1:11" ht="18.75" customHeight="1" x14ac:dyDescent="0.4">
      <c r="A19" s="13"/>
      <c r="B19" s="268"/>
      <c r="C19" s="269"/>
      <c r="D19" s="269"/>
      <c r="E19" s="269"/>
      <c r="F19" s="269"/>
      <c r="G19" s="269"/>
      <c r="H19" s="269"/>
      <c r="I19" s="269"/>
      <c r="J19" s="270"/>
    </row>
    <row r="20" spans="1:11" ht="18.75" customHeight="1" x14ac:dyDescent="0.4">
      <c r="A20" s="13"/>
      <c r="B20" s="268"/>
      <c r="C20" s="269"/>
      <c r="D20" s="269"/>
      <c r="E20" s="269"/>
      <c r="F20" s="269"/>
      <c r="G20" s="269"/>
      <c r="H20" s="269"/>
      <c r="I20" s="269"/>
      <c r="J20" s="270"/>
    </row>
    <row r="21" spans="1:11" ht="18.75" customHeight="1" x14ac:dyDescent="0.4">
      <c r="A21" s="13"/>
      <c r="B21" s="268"/>
      <c r="C21" s="269"/>
      <c r="D21" s="269"/>
      <c r="E21" s="269"/>
      <c r="F21" s="269"/>
      <c r="G21" s="269"/>
      <c r="H21" s="269"/>
      <c r="I21" s="269"/>
      <c r="J21" s="270"/>
    </row>
    <row r="22" spans="1:11" ht="18.75" customHeight="1" x14ac:dyDescent="0.4">
      <c r="A22" s="13"/>
      <c r="B22" s="268"/>
      <c r="C22" s="269"/>
      <c r="D22" s="269"/>
      <c r="E22" s="269"/>
      <c r="F22" s="269"/>
      <c r="G22" s="269"/>
      <c r="H22" s="269"/>
      <c r="I22" s="269"/>
      <c r="J22" s="270"/>
    </row>
    <row r="23" spans="1:11" ht="18.75" customHeight="1" x14ac:dyDescent="0.4">
      <c r="A23" s="13"/>
      <c r="B23" s="268"/>
      <c r="C23" s="269"/>
      <c r="D23" s="269"/>
      <c r="E23" s="269"/>
      <c r="F23" s="269"/>
      <c r="G23" s="269"/>
      <c r="H23" s="269"/>
      <c r="I23" s="269"/>
      <c r="J23" s="270"/>
    </row>
    <row r="24" spans="1:11" ht="18.75" customHeight="1" x14ac:dyDescent="0.4">
      <c r="A24" s="13"/>
      <c r="B24" s="268"/>
      <c r="C24" s="269"/>
      <c r="D24" s="269"/>
      <c r="E24" s="269"/>
      <c r="F24" s="269"/>
      <c r="G24" s="269"/>
      <c r="H24" s="269"/>
      <c r="I24" s="269"/>
      <c r="J24" s="270"/>
    </row>
    <row r="25" spans="1:11" ht="18.75" customHeight="1" x14ac:dyDescent="0.4">
      <c r="A25" s="13"/>
      <c r="B25" s="271"/>
      <c r="C25" s="272"/>
      <c r="D25" s="272"/>
      <c r="E25" s="272"/>
      <c r="F25" s="272"/>
      <c r="G25" s="272"/>
      <c r="H25" s="272"/>
      <c r="I25" s="272"/>
      <c r="J25" s="273"/>
    </row>
    <row r="26" spans="1:11" ht="7.5" customHeight="1" x14ac:dyDescent="0.4">
      <c r="A26" s="105"/>
      <c r="B26" s="105"/>
      <c r="C26" s="105"/>
      <c r="D26" s="105"/>
      <c r="E26" s="105"/>
      <c r="F26" s="105"/>
      <c r="G26" s="105"/>
      <c r="H26" s="105"/>
      <c r="I26" s="105"/>
      <c r="J26" s="105"/>
    </row>
    <row r="27" spans="1:11" ht="18.75" customHeight="1" x14ac:dyDescent="0.4">
      <c r="A27" s="3" t="s">
        <v>66</v>
      </c>
      <c r="B27" s="3" t="s">
        <v>130</v>
      </c>
    </row>
    <row r="28" spans="1:11" s="96" customFormat="1" ht="18.75" customHeight="1" x14ac:dyDescent="0.4">
      <c r="B28" s="40" t="s">
        <v>131</v>
      </c>
      <c r="C28" s="41">
        <f>'様式３　履修者等数の実績'!R30</f>
        <v>0.11388888888888889</v>
      </c>
      <c r="D28" s="42"/>
      <c r="E28" s="42" t="s">
        <v>132</v>
      </c>
      <c r="F28" s="41">
        <v>0.24</v>
      </c>
      <c r="G28" s="42"/>
      <c r="H28" s="42" t="s">
        <v>133</v>
      </c>
      <c r="I28" s="43">
        <v>0.37</v>
      </c>
      <c r="J28" s="44"/>
      <c r="K28" s="3"/>
    </row>
    <row r="29" spans="1:11" s="96" customFormat="1" ht="18.75" customHeight="1" x14ac:dyDescent="0.4">
      <c r="B29" s="45" t="s">
        <v>134</v>
      </c>
      <c r="C29" s="46">
        <v>0.51</v>
      </c>
      <c r="D29" s="47"/>
      <c r="E29" s="47" t="s">
        <v>135</v>
      </c>
      <c r="F29" s="46">
        <v>0.54</v>
      </c>
      <c r="G29" s="47"/>
      <c r="H29" s="47" t="s">
        <v>136</v>
      </c>
      <c r="I29" s="48">
        <f>'様式３　履修者等数の実績'!D30</f>
        <v>720</v>
      </c>
      <c r="J29" s="49"/>
      <c r="K29" s="3"/>
    </row>
    <row r="30" spans="1:11" ht="18.75" customHeight="1" x14ac:dyDescent="0.4">
      <c r="A30" s="3"/>
      <c r="B30" s="198" t="s">
        <v>137</v>
      </c>
      <c r="C30" s="199"/>
      <c r="D30" s="199"/>
      <c r="E30" s="199"/>
      <c r="F30" s="199"/>
      <c r="G30" s="199"/>
      <c r="H30" s="199"/>
      <c r="I30" s="199"/>
      <c r="J30" s="200"/>
    </row>
    <row r="31" spans="1:11" ht="18.75" customHeight="1" x14ac:dyDescent="0.4">
      <c r="A31" s="3"/>
      <c r="B31" s="275" t="s">
        <v>138</v>
      </c>
      <c r="C31" s="276"/>
      <c r="D31" s="276"/>
      <c r="E31" s="276"/>
      <c r="F31" s="276"/>
      <c r="G31" s="276"/>
      <c r="H31" s="276"/>
      <c r="I31" s="276"/>
      <c r="J31" s="277"/>
      <c r="K31" s="3" t="str">
        <f>IF(B31="","入力してください","")</f>
        <v/>
      </c>
    </row>
    <row r="32" spans="1:11" ht="18.75" customHeight="1" x14ac:dyDescent="0.4">
      <c r="A32" s="3"/>
      <c r="B32" s="260"/>
      <c r="C32" s="261"/>
      <c r="D32" s="261"/>
      <c r="E32" s="261"/>
      <c r="F32" s="261"/>
      <c r="G32" s="261"/>
      <c r="H32" s="261"/>
      <c r="I32" s="261"/>
      <c r="J32" s="262"/>
    </row>
    <row r="33" spans="1:11" ht="18.75" customHeight="1" x14ac:dyDescent="0.4">
      <c r="A33" s="3"/>
      <c r="B33" s="260"/>
      <c r="C33" s="261"/>
      <c r="D33" s="261"/>
      <c r="E33" s="261"/>
      <c r="F33" s="261"/>
      <c r="G33" s="261"/>
      <c r="H33" s="261"/>
      <c r="I33" s="261"/>
      <c r="J33" s="262"/>
    </row>
    <row r="34" spans="1:11" ht="18.75" customHeight="1" x14ac:dyDescent="0.4">
      <c r="A34" s="3"/>
      <c r="B34" s="260"/>
      <c r="C34" s="261"/>
      <c r="D34" s="261"/>
      <c r="E34" s="261"/>
      <c r="F34" s="261"/>
      <c r="G34" s="261"/>
      <c r="H34" s="261"/>
      <c r="I34" s="261"/>
      <c r="J34" s="262"/>
    </row>
    <row r="35" spans="1:11" ht="18.75" customHeight="1" x14ac:dyDescent="0.4">
      <c r="A35" s="3"/>
      <c r="B35" s="260"/>
      <c r="C35" s="261"/>
      <c r="D35" s="261"/>
      <c r="E35" s="261"/>
      <c r="F35" s="261"/>
      <c r="G35" s="261"/>
      <c r="H35" s="261"/>
      <c r="I35" s="261"/>
      <c r="J35" s="262"/>
    </row>
    <row r="36" spans="1:11" ht="18.75" customHeight="1" x14ac:dyDescent="0.4">
      <c r="A36" s="3"/>
      <c r="B36" s="260"/>
      <c r="C36" s="261"/>
      <c r="D36" s="261"/>
      <c r="E36" s="261"/>
      <c r="F36" s="261"/>
      <c r="G36" s="261"/>
      <c r="H36" s="261"/>
      <c r="I36" s="261"/>
      <c r="J36" s="262"/>
    </row>
    <row r="37" spans="1:11" ht="18.75" customHeight="1" x14ac:dyDescent="0.4">
      <c r="A37" s="3"/>
      <c r="B37" s="260"/>
      <c r="C37" s="261"/>
      <c r="D37" s="261"/>
      <c r="E37" s="261"/>
      <c r="F37" s="261"/>
      <c r="G37" s="261"/>
      <c r="H37" s="261"/>
      <c r="I37" s="261"/>
      <c r="J37" s="262"/>
    </row>
    <row r="38" spans="1:11" ht="18.75" customHeight="1" x14ac:dyDescent="0.4">
      <c r="A38" s="3"/>
      <c r="B38" s="260"/>
      <c r="C38" s="261"/>
      <c r="D38" s="261"/>
      <c r="E38" s="261"/>
      <c r="F38" s="261"/>
      <c r="G38" s="261"/>
      <c r="H38" s="261"/>
      <c r="I38" s="261"/>
      <c r="J38" s="262"/>
    </row>
    <row r="39" spans="1:11" ht="18.75" customHeight="1" x14ac:dyDescent="0.4">
      <c r="A39" s="3"/>
      <c r="B39" s="260"/>
      <c r="C39" s="261"/>
      <c r="D39" s="261"/>
      <c r="E39" s="261"/>
      <c r="F39" s="261"/>
      <c r="G39" s="261"/>
      <c r="H39" s="261"/>
      <c r="I39" s="261"/>
      <c r="J39" s="262"/>
    </row>
    <row r="40" spans="1:11" ht="18.75" customHeight="1" x14ac:dyDescent="0.4">
      <c r="A40" s="3"/>
      <c r="B40" s="260"/>
      <c r="C40" s="261"/>
      <c r="D40" s="261"/>
      <c r="E40" s="261"/>
      <c r="F40" s="261"/>
      <c r="G40" s="261"/>
      <c r="H40" s="261"/>
      <c r="I40" s="261"/>
      <c r="J40" s="262"/>
    </row>
    <row r="41" spans="1:11" ht="18.75" customHeight="1" x14ac:dyDescent="0.4">
      <c r="A41" s="3"/>
      <c r="B41" s="260"/>
      <c r="C41" s="261"/>
      <c r="D41" s="261"/>
      <c r="E41" s="261"/>
      <c r="F41" s="261"/>
      <c r="G41" s="261"/>
      <c r="H41" s="261"/>
      <c r="I41" s="261"/>
      <c r="J41" s="262"/>
    </row>
    <row r="42" spans="1:11" ht="18.75" customHeight="1" x14ac:dyDescent="0.4">
      <c r="A42" s="3"/>
      <c r="B42" s="260"/>
      <c r="C42" s="261"/>
      <c r="D42" s="261"/>
      <c r="E42" s="261"/>
      <c r="F42" s="261"/>
      <c r="G42" s="261"/>
      <c r="H42" s="261"/>
      <c r="I42" s="261"/>
      <c r="J42" s="262"/>
    </row>
    <row r="43" spans="1:11" ht="18.75" customHeight="1" x14ac:dyDescent="0.4">
      <c r="A43" s="105"/>
      <c r="B43" s="260"/>
      <c r="C43" s="261"/>
      <c r="D43" s="261"/>
      <c r="E43" s="261"/>
      <c r="F43" s="261"/>
      <c r="G43" s="261"/>
      <c r="H43" s="261"/>
      <c r="I43" s="261"/>
      <c r="J43" s="262"/>
    </row>
    <row r="44" spans="1:11" ht="18.75" customHeight="1" x14ac:dyDescent="0.4">
      <c r="A44" s="105"/>
      <c r="B44" s="263"/>
      <c r="C44" s="264"/>
      <c r="D44" s="264"/>
      <c r="E44" s="264"/>
      <c r="F44" s="264"/>
      <c r="G44" s="264"/>
      <c r="H44" s="264"/>
      <c r="I44" s="264"/>
      <c r="J44" s="265"/>
    </row>
    <row r="45" spans="1:11" ht="18.75" customHeight="1" x14ac:dyDescent="0.4">
      <c r="A45" s="102" t="s">
        <v>69</v>
      </c>
      <c r="B45" s="3" t="s">
        <v>139</v>
      </c>
      <c r="I45" s="102"/>
      <c r="J45" s="102"/>
    </row>
    <row r="46" spans="1:11" ht="18.75" customHeight="1" x14ac:dyDescent="0.4">
      <c r="A46" s="105"/>
      <c r="B46" s="257" t="s">
        <v>140</v>
      </c>
      <c r="C46" s="258"/>
      <c r="D46" s="258"/>
      <c r="E46" s="258"/>
      <c r="F46" s="258"/>
      <c r="G46" s="258"/>
      <c r="H46" s="258"/>
      <c r="I46" s="258"/>
      <c r="J46" s="259"/>
      <c r="K46" s="3" t="str">
        <f>IF(B46="","入力してください","")</f>
        <v/>
      </c>
    </row>
    <row r="47" spans="1:11" ht="18.75" customHeight="1" x14ac:dyDescent="0.4">
      <c r="A47" s="105"/>
      <c r="B47" s="260"/>
      <c r="C47" s="261"/>
      <c r="D47" s="261"/>
      <c r="E47" s="261"/>
      <c r="F47" s="261"/>
      <c r="G47" s="261"/>
      <c r="H47" s="261"/>
      <c r="I47" s="261"/>
      <c r="J47" s="262"/>
    </row>
    <row r="48" spans="1:11" ht="18.75" customHeight="1" x14ac:dyDescent="0.4">
      <c r="A48" s="105"/>
      <c r="B48" s="260"/>
      <c r="C48" s="261"/>
      <c r="D48" s="261"/>
      <c r="E48" s="261"/>
      <c r="F48" s="261"/>
      <c r="G48" s="261"/>
      <c r="H48" s="261"/>
      <c r="I48" s="261"/>
      <c r="J48" s="262"/>
    </row>
    <row r="49" spans="1:10" ht="18.75" customHeight="1" x14ac:dyDescent="0.4">
      <c r="A49" s="105"/>
      <c r="B49" s="260"/>
      <c r="C49" s="261"/>
      <c r="D49" s="261"/>
      <c r="E49" s="261"/>
      <c r="F49" s="261"/>
      <c r="G49" s="261"/>
      <c r="H49" s="261"/>
      <c r="I49" s="261"/>
      <c r="J49" s="262"/>
    </row>
    <row r="50" spans="1:10" ht="18.75" customHeight="1" x14ac:dyDescent="0.4">
      <c r="A50" s="105"/>
      <c r="B50" s="260"/>
      <c r="C50" s="261"/>
      <c r="D50" s="261"/>
      <c r="E50" s="261"/>
      <c r="F50" s="261"/>
      <c r="G50" s="261"/>
      <c r="H50" s="261"/>
      <c r="I50" s="261"/>
      <c r="J50" s="262"/>
    </row>
    <row r="51" spans="1:10" ht="18.75" customHeight="1" x14ac:dyDescent="0.4">
      <c r="A51" s="105"/>
      <c r="B51" s="260"/>
      <c r="C51" s="261"/>
      <c r="D51" s="261"/>
      <c r="E51" s="261"/>
      <c r="F51" s="261"/>
      <c r="G51" s="261"/>
      <c r="H51" s="261"/>
      <c r="I51" s="261"/>
      <c r="J51" s="262"/>
    </row>
    <row r="52" spans="1:10" ht="18.75" customHeight="1" x14ac:dyDescent="0.4">
      <c r="A52" s="105"/>
      <c r="B52" s="260"/>
      <c r="C52" s="261"/>
      <c r="D52" s="261"/>
      <c r="E52" s="261"/>
      <c r="F52" s="261"/>
      <c r="G52" s="261"/>
      <c r="H52" s="261"/>
      <c r="I52" s="261"/>
      <c r="J52" s="262"/>
    </row>
    <row r="53" spans="1:10" ht="18.75" customHeight="1" x14ac:dyDescent="0.4">
      <c r="A53" s="105"/>
      <c r="B53" s="260"/>
      <c r="C53" s="261"/>
      <c r="D53" s="261"/>
      <c r="E53" s="261"/>
      <c r="F53" s="261"/>
      <c r="G53" s="261"/>
      <c r="H53" s="261"/>
      <c r="I53" s="261"/>
      <c r="J53" s="262"/>
    </row>
    <row r="54" spans="1:10" ht="18.75" customHeight="1" x14ac:dyDescent="0.4">
      <c r="A54" s="105"/>
      <c r="B54" s="260"/>
      <c r="C54" s="261"/>
      <c r="D54" s="261"/>
      <c r="E54" s="261"/>
      <c r="F54" s="261"/>
      <c r="G54" s="261"/>
      <c r="H54" s="261"/>
      <c r="I54" s="261"/>
      <c r="J54" s="262"/>
    </row>
    <row r="55" spans="1:10" ht="18.75" customHeight="1" x14ac:dyDescent="0.4">
      <c r="A55" s="105"/>
      <c r="B55" s="260"/>
      <c r="C55" s="261"/>
      <c r="D55" s="261"/>
      <c r="E55" s="261"/>
      <c r="F55" s="261"/>
      <c r="G55" s="261"/>
      <c r="H55" s="261"/>
      <c r="I55" s="261"/>
      <c r="J55" s="262"/>
    </row>
    <row r="56" spans="1:10" ht="18.75" customHeight="1" x14ac:dyDescent="0.4">
      <c r="A56" s="105"/>
      <c r="B56" s="260"/>
      <c r="C56" s="261"/>
      <c r="D56" s="261"/>
      <c r="E56" s="261"/>
      <c r="F56" s="261"/>
      <c r="G56" s="261"/>
      <c r="H56" s="261"/>
      <c r="I56" s="261"/>
      <c r="J56" s="262"/>
    </row>
    <row r="57" spans="1:10" ht="18.75" customHeight="1" x14ac:dyDescent="0.4">
      <c r="A57" s="105"/>
      <c r="B57" s="260"/>
      <c r="C57" s="261"/>
      <c r="D57" s="261"/>
      <c r="E57" s="261"/>
      <c r="F57" s="261"/>
      <c r="G57" s="261"/>
      <c r="H57" s="261"/>
      <c r="I57" s="261"/>
      <c r="J57" s="262"/>
    </row>
    <row r="58" spans="1:10" ht="18.75" customHeight="1" x14ac:dyDescent="0.4">
      <c r="A58" s="105"/>
      <c r="B58" s="260"/>
      <c r="C58" s="261"/>
      <c r="D58" s="261"/>
      <c r="E58" s="261"/>
      <c r="F58" s="261"/>
      <c r="G58" s="261"/>
      <c r="H58" s="261"/>
      <c r="I58" s="261"/>
      <c r="J58" s="262"/>
    </row>
    <row r="59" spans="1:10" ht="18.75" customHeight="1" x14ac:dyDescent="0.4">
      <c r="A59" s="105"/>
      <c r="B59" s="260"/>
      <c r="C59" s="261"/>
      <c r="D59" s="261"/>
      <c r="E59" s="261"/>
      <c r="F59" s="261"/>
      <c r="G59" s="261"/>
      <c r="H59" s="261"/>
      <c r="I59" s="261"/>
      <c r="J59" s="262"/>
    </row>
    <row r="60" spans="1:10" ht="18.75" customHeight="1" x14ac:dyDescent="0.4">
      <c r="A60" s="105"/>
      <c r="B60" s="260"/>
      <c r="C60" s="261"/>
      <c r="D60" s="261"/>
      <c r="E60" s="261"/>
      <c r="F60" s="261"/>
      <c r="G60" s="261"/>
      <c r="H60" s="261"/>
      <c r="I60" s="261"/>
      <c r="J60" s="262"/>
    </row>
    <row r="61" spans="1:10" ht="18.75" customHeight="1" x14ac:dyDescent="0.4">
      <c r="A61" s="105"/>
      <c r="B61" s="260"/>
      <c r="C61" s="261"/>
      <c r="D61" s="261"/>
      <c r="E61" s="261"/>
      <c r="F61" s="261"/>
      <c r="G61" s="261"/>
      <c r="H61" s="261"/>
      <c r="I61" s="261"/>
      <c r="J61" s="262"/>
    </row>
    <row r="62" spans="1:10" ht="18.75" customHeight="1" x14ac:dyDescent="0.4">
      <c r="A62" s="105"/>
      <c r="B62" s="260"/>
      <c r="C62" s="261"/>
      <c r="D62" s="261"/>
      <c r="E62" s="261"/>
      <c r="F62" s="261"/>
      <c r="G62" s="261"/>
      <c r="H62" s="261"/>
      <c r="I62" s="261"/>
      <c r="J62" s="262"/>
    </row>
    <row r="63" spans="1:10" ht="18.75" customHeight="1" x14ac:dyDescent="0.4">
      <c r="A63" s="105"/>
      <c r="B63" s="260"/>
      <c r="C63" s="261"/>
      <c r="D63" s="261"/>
      <c r="E63" s="261"/>
      <c r="F63" s="261"/>
      <c r="G63" s="261"/>
      <c r="H63" s="261"/>
      <c r="I63" s="261"/>
      <c r="J63" s="262"/>
    </row>
    <row r="64" spans="1:10" ht="18.75" customHeight="1" x14ac:dyDescent="0.4">
      <c r="A64" s="105"/>
      <c r="B64" s="260"/>
      <c r="C64" s="261"/>
      <c r="D64" s="261"/>
      <c r="E64" s="261"/>
      <c r="F64" s="261"/>
      <c r="G64" s="261"/>
      <c r="H64" s="261"/>
      <c r="I64" s="261"/>
      <c r="J64" s="262"/>
    </row>
    <row r="65" spans="1:11" ht="18.75" customHeight="1" x14ac:dyDescent="0.4">
      <c r="A65" s="105"/>
      <c r="B65" s="260"/>
      <c r="C65" s="261"/>
      <c r="D65" s="261"/>
      <c r="E65" s="261"/>
      <c r="F65" s="261"/>
      <c r="G65" s="261"/>
      <c r="H65" s="261"/>
      <c r="I65" s="261"/>
      <c r="J65" s="262"/>
    </row>
    <row r="66" spans="1:11" ht="18.75" customHeight="1" x14ac:dyDescent="0.4">
      <c r="A66" s="105"/>
      <c r="B66" s="263"/>
      <c r="C66" s="264"/>
      <c r="D66" s="264"/>
      <c r="E66" s="264"/>
      <c r="F66" s="264"/>
      <c r="G66" s="264"/>
      <c r="H66" s="264"/>
      <c r="I66" s="264"/>
      <c r="J66" s="265"/>
    </row>
    <row r="67" spans="1:11" ht="7.5" customHeight="1" x14ac:dyDescent="0.4">
      <c r="A67" s="105"/>
      <c r="B67" s="105"/>
      <c r="C67" s="105"/>
      <c r="D67" s="105"/>
      <c r="E67" s="105"/>
      <c r="F67" s="105"/>
      <c r="G67" s="105"/>
      <c r="H67" s="105"/>
      <c r="I67" s="105"/>
      <c r="J67" s="105"/>
    </row>
    <row r="68" spans="1:11" ht="18.75" customHeight="1" x14ac:dyDescent="0.4">
      <c r="A68" s="3" t="s">
        <v>71</v>
      </c>
      <c r="B68" s="3" t="s">
        <v>141</v>
      </c>
    </row>
    <row r="69" spans="1:11" ht="18.75" customHeight="1" x14ac:dyDescent="0.4">
      <c r="A69" s="3"/>
      <c r="B69" s="257" t="s">
        <v>142</v>
      </c>
      <c r="C69" s="258"/>
      <c r="D69" s="258"/>
      <c r="E69" s="258"/>
      <c r="F69" s="258"/>
      <c r="G69" s="258"/>
      <c r="H69" s="258"/>
      <c r="I69" s="266"/>
      <c r="J69" s="267"/>
      <c r="K69" s="3" t="str">
        <f>IF(B69="","入力してください","")</f>
        <v/>
      </c>
    </row>
    <row r="70" spans="1:11" ht="18.75" customHeight="1" x14ac:dyDescent="0.4">
      <c r="A70" s="3"/>
      <c r="B70" s="268"/>
      <c r="C70" s="269"/>
      <c r="D70" s="269"/>
      <c r="E70" s="269"/>
      <c r="F70" s="269"/>
      <c r="G70" s="269"/>
      <c r="H70" s="269"/>
      <c r="I70" s="269"/>
      <c r="J70" s="270"/>
    </row>
    <row r="71" spans="1:11" ht="18.75" customHeight="1" x14ac:dyDescent="0.4">
      <c r="A71" s="3"/>
      <c r="B71" s="268"/>
      <c r="C71" s="269"/>
      <c r="D71" s="269"/>
      <c r="E71" s="269"/>
      <c r="F71" s="269"/>
      <c r="G71" s="269"/>
      <c r="H71" s="269"/>
      <c r="I71" s="269"/>
      <c r="J71" s="270"/>
    </row>
    <row r="72" spans="1:11" ht="18.75" customHeight="1" x14ac:dyDescent="0.4">
      <c r="A72" s="3"/>
      <c r="B72" s="268"/>
      <c r="C72" s="269"/>
      <c r="D72" s="269"/>
      <c r="E72" s="269"/>
      <c r="F72" s="269"/>
      <c r="G72" s="269"/>
      <c r="H72" s="269"/>
      <c r="I72" s="269"/>
      <c r="J72" s="270"/>
    </row>
    <row r="73" spans="1:11" ht="18.75" customHeight="1" x14ac:dyDescent="0.4">
      <c r="A73" s="3"/>
      <c r="B73" s="268"/>
      <c r="C73" s="269"/>
      <c r="D73" s="269"/>
      <c r="E73" s="269"/>
      <c r="F73" s="269"/>
      <c r="G73" s="269"/>
      <c r="H73" s="269"/>
      <c r="I73" s="269"/>
      <c r="J73" s="270"/>
    </row>
    <row r="74" spans="1:11" ht="18.75" customHeight="1" x14ac:dyDescent="0.4">
      <c r="A74" s="3"/>
      <c r="B74" s="268"/>
      <c r="C74" s="269"/>
      <c r="D74" s="269"/>
      <c r="E74" s="269"/>
      <c r="F74" s="269"/>
      <c r="G74" s="269"/>
      <c r="H74" s="269"/>
      <c r="I74" s="269"/>
      <c r="J74" s="270"/>
    </row>
    <row r="75" spans="1:11" ht="18.75" customHeight="1" x14ac:dyDescent="0.4">
      <c r="A75" s="3"/>
      <c r="B75" s="268"/>
      <c r="C75" s="269"/>
      <c r="D75" s="269"/>
      <c r="E75" s="269"/>
      <c r="F75" s="269"/>
      <c r="G75" s="269"/>
      <c r="H75" s="269"/>
      <c r="I75" s="269"/>
      <c r="J75" s="270"/>
    </row>
    <row r="76" spans="1:11" ht="18.75" customHeight="1" x14ac:dyDescent="0.4">
      <c r="A76" s="3"/>
      <c r="B76" s="268"/>
      <c r="C76" s="269"/>
      <c r="D76" s="269"/>
      <c r="E76" s="269"/>
      <c r="F76" s="269"/>
      <c r="G76" s="269"/>
      <c r="H76" s="269"/>
      <c r="I76" s="269"/>
      <c r="J76" s="270"/>
    </row>
    <row r="77" spans="1:11" ht="18.75" customHeight="1" x14ac:dyDescent="0.4">
      <c r="A77" s="3"/>
      <c r="B77" s="268"/>
      <c r="C77" s="269"/>
      <c r="D77" s="269"/>
      <c r="E77" s="269"/>
      <c r="F77" s="269"/>
      <c r="G77" s="269"/>
      <c r="H77" s="269"/>
      <c r="I77" s="269"/>
      <c r="J77" s="270"/>
    </row>
    <row r="78" spans="1:11" ht="18.75" customHeight="1" x14ac:dyDescent="0.4">
      <c r="A78" s="3"/>
      <c r="B78" s="268"/>
      <c r="C78" s="269"/>
      <c r="D78" s="269"/>
      <c r="E78" s="269"/>
      <c r="F78" s="269"/>
      <c r="G78" s="269"/>
      <c r="H78" s="269"/>
      <c r="I78" s="269"/>
      <c r="J78" s="270"/>
    </row>
    <row r="79" spans="1:11" ht="18.75" customHeight="1" x14ac:dyDescent="0.4">
      <c r="A79" s="3"/>
      <c r="B79" s="268"/>
      <c r="C79" s="269"/>
      <c r="D79" s="269"/>
      <c r="E79" s="269"/>
      <c r="F79" s="269"/>
      <c r="G79" s="269"/>
      <c r="H79" s="269"/>
      <c r="I79" s="269"/>
      <c r="J79" s="270"/>
    </row>
    <row r="80" spans="1:11" ht="18.75" customHeight="1" x14ac:dyDescent="0.4">
      <c r="A80" s="3"/>
      <c r="B80" s="268"/>
      <c r="C80" s="269"/>
      <c r="D80" s="269"/>
      <c r="E80" s="269"/>
      <c r="F80" s="269"/>
      <c r="G80" s="269"/>
      <c r="H80" s="269"/>
      <c r="I80" s="269"/>
      <c r="J80" s="270"/>
    </row>
    <row r="81" spans="1:11" ht="18.75" customHeight="1" x14ac:dyDescent="0.4">
      <c r="A81" s="3"/>
      <c r="B81" s="268"/>
      <c r="C81" s="269"/>
      <c r="D81" s="269"/>
      <c r="E81" s="269"/>
      <c r="F81" s="269"/>
      <c r="G81" s="269"/>
      <c r="H81" s="269"/>
      <c r="I81" s="269"/>
      <c r="J81" s="270"/>
    </row>
    <row r="82" spans="1:11" ht="18.75" customHeight="1" x14ac:dyDescent="0.4">
      <c r="A82" s="3"/>
      <c r="B82" s="268"/>
      <c r="C82" s="269"/>
      <c r="D82" s="269"/>
      <c r="E82" s="269"/>
      <c r="F82" s="269"/>
      <c r="G82" s="269"/>
      <c r="H82" s="269"/>
      <c r="I82" s="269"/>
      <c r="J82" s="270"/>
    </row>
    <row r="83" spans="1:11" ht="18.75" customHeight="1" x14ac:dyDescent="0.4">
      <c r="A83" s="3"/>
      <c r="B83" s="268"/>
      <c r="C83" s="269"/>
      <c r="D83" s="269"/>
      <c r="E83" s="269"/>
      <c r="F83" s="269"/>
      <c r="G83" s="269"/>
      <c r="H83" s="269"/>
      <c r="I83" s="269"/>
      <c r="J83" s="270"/>
    </row>
    <row r="84" spans="1:11" ht="18.75" customHeight="1" x14ac:dyDescent="0.4">
      <c r="A84" s="3"/>
      <c r="B84" s="268"/>
      <c r="C84" s="269"/>
      <c r="D84" s="269"/>
      <c r="E84" s="269"/>
      <c r="F84" s="269"/>
      <c r="G84" s="269"/>
      <c r="H84" s="269"/>
      <c r="I84" s="269"/>
      <c r="J84" s="270"/>
    </row>
    <row r="85" spans="1:11" ht="18.75" customHeight="1" x14ac:dyDescent="0.4">
      <c r="A85" s="105"/>
      <c r="B85" s="268"/>
      <c r="C85" s="269"/>
      <c r="D85" s="269"/>
      <c r="E85" s="269"/>
      <c r="F85" s="269"/>
      <c r="G85" s="269"/>
      <c r="H85" s="269"/>
      <c r="I85" s="269"/>
      <c r="J85" s="270"/>
    </row>
    <row r="86" spans="1:11" ht="18.75" customHeight="1" x14ac:dyDescent="0.4">
      <c r="A86" s="105"/>
      <c r="B86" s="271"/>
      <c r="C86" s="272"/>
      <c r="D86" s="272"/>
      <c r="E86" s="272"/>
      <c r="F86" s="272"/>
      <c r="G86" s="272"/>
      <c r="H86" s="272"/>
      <c r="I86" s="272"/>
      <c r="J86" s="273"/>
    </row>
    <row r="87" spans="1:11" ht="7.5" customHeight="1" x14ac:dyDescent="0.4">
      <c r="A87" s="105"/>
      <c r="B87" s="105"/>
      <c r="C87" s="105"/>
      <c r="D87" s="105"/>
      <c r="E87" s="105"/>
      <c r="F87" s="105"/>
      <c r="G87" s="105"/>
      <c r="H87" s="105"/>
      <c r="I87" s="105"/>
      <c r="J87" s="105"/>
    </row>
    <row r="88" spans="1:11" ht="18.75" customHeight="1" x14ac:dyDescent="0.4">
      <c r="A88" s="3" t="s">
        <v>143</v>
      </c>
      <c r="B88" s="3" t="s">
        <v>144</v>
      </c>
    </row>
    <row r="89" spans="1:11" ht="18.75" customHeight="1" x14ac:dyDescent="0.4">
      <c r="A89" s="3"/>
      <c r="B89" s="257" t="s">
        <v>192</v>
      </c>
      <c r="C89" s="258"/>
      <c r="D89" s="258"/>
      <c r="E89" s="258"/>
      <c r="F89" s="258"/>
      <c r="G89" s="258"/>
      <c r="H89" s="258"/>
      <c r="I89" s="266"/>
      <c r="J89" s="267"/>
    </row>
    <row r="90" spans="1:11" ht="18.75" customHeight="1" x14ac:dyDescent="0.4">
      <c r="A90" s="3"/>
      <c r="B90" s="268"/>
      <c r="C90" s="269"/>
      <c r="D90" s="269"/>
      <c r="E90" s="269"/>
      <c r="F90" s="269"/>
      <c r="G90" s="269"/>
      <c r="H90" s="269"/>
      <c r="I90" s="269"/>
      <c r="J90" s="270"/>
    </row>
    <row r="91" spans="1:11" ht="18.75" customHeight="1" x14ac:dyDescent="0.4">
      <c r="A91" s="3"/>
      <c r="B91" s="268"/>
      <c r="C91" s="269"/>
      <c r="D91" s="269"/>
      <c r="E91" s="269"/>
      <c r="F91" s="269"/>
      <c r="G91" s="269"/>
      <c r="H91" s="269"/>
      <c r="I91" s="269"/>
      <c r="J91" s="270"/>
      <c r="K91" s="3" t="str">
        <f>IF(B89="","入力してください","")</f>
        <v/>
      </c>
    </row>
    <row r="92" spans="1:11" ht="18.75" customHeight="1" x14ac:dyDescent="0.4">
      <c r="A92" s="3"/>
      <c r="B92" s="268"/>
      <c r="C92" s="269"/>
      <c r="D92" s="269"/>
      <c r="E92" s="269"/>
      <c r="F92" s="269"/>
      <c r="G92" s="269"/>
      <c r="H92" s="269"/>
      <c r="I92" s="269"/>
      <c r="J92" s="270"/>
    </row>
    <row r="93" spans="1:11" ht="18.75" customHeight="1" x14ac:dyDescent="0.4">
      <c r="A93" s="3"/>
      <c r="B93" s="268"/>
      <c r="C93" s="269"/>
      <c r="D93" s="269"/>
      <c r="E93" s="269"/>
      <c r="F93" s="269"/>
      <c r="G93" s="269"/>
      <c r="H93" s="269"/>
      <c r="I93" s="269"/>
      <c r="J93" s="270"/>
    </row>
    <row r="94" spans="1:11" ht="18.75" customHeight="1" x14ac:dyDescent="0.4">
      <c r="A94" s="3"/>
      <c r="B94" s="268"/>
      <c r="C94" s="269"/>
      <c r="D94" s="269"/>
      <c r="E94" s="269"/>
      <c r="F94" s="269"/>
      <c r="G94" s="269"/>
      <c r="H94" s="269"/>
      <c r="I94" s="269"/>
      <c r="J94" s="270"/>
    </row>
    <row r="95" spans="1:11" ht="18.75" customHeight="1" x14ac:dyDescent="0.4">
      <c r="A95" s="3"/>
      <c r="B95" s="268"/>
      <c r="C95" s="269"/>
      <c r="D95" s="269"/>
      <c r="E95" s="269"/>
      <c r="F95" s="269"/>
      <c r="G95" s="269"/>
      <c r="H95" s="269"/>
      <c r="I95" s="269"/>
      <c r="J95" s="270"/>
    </row>
    <row r="96" spans="1:11" ht="18.75" customHeight="1" x14ac:dyDescent="0.4">
      <c r="A96" s="3"/>
      <c r="B96" s="268"/>
      <c r="C96" s="269"/>
      <c r="D96" s="269"/>
      <c r="E96" s="269"/>
      <c r="F96" s="269"/>
      <c r="G96" s="269"/>
      <c r="H96" s="269"/>
      <c r="I96" s="269"/>
      <c r="J96" s="270"/>
    </row>
    <row r="97" spans="1:10" ht="18.75" customHeight="1" x14ac:dyDescent="0.4">
      <c r="A97" s="3"/>
      <c r="B97" s="268"/>
      <c r="C97" s="269"/>
      <c r="D97" s="269"/>
      <c r="E97" s="269"/>
      <c r="F97" s="269"/>
      <c r="G97" s="269"/>
      <c r="H97" s="269"/>
      <c r="I97" s="269"/>
      <c r="J97" s="270"/>
    </row>
    <row r="98" spans="1:10" ht="18.75" customHeight="1" x14ac:dyDescent="0.4">
      <c r="A98" s="3"/>
      <c r="B98" s="268"/>
      <c r="C98" s="269"/>
      <c r="D98" s="269"/>
      <c r="E98" s="269"/>
      <c r="F98" s="269"/>
      <c r="G98" s="269"/>
      <c r="H98" s="269"/>
      <c r="I98" s="269"/>
      <c r="J98" s="270"/>
    </row>
    <row r="99" spans="1:10" ht="18.75" customHeight="1" x14ac:dyDescent="0.4">
      <c r="A99" s="3"/>
      <c r="B99" s="268"/>
      <c r="C99" s="269"/>
      <c r="D99" s="269"/>
      <c r="E99" s="269"/>
      <c r="F99" s="269"/>
      <c r="G99" s="269"/>
      <c r="H99" s="269"/>
      <c r="I99" s="269"/>
      <c r="J99" s="270"/>
    </row>
    <row r="100" spans="1:10" ht="18.75" customHeight="1" x14ac:dyDescent="0.4">
      <c r="A100" s="3"/>
      <c r="B100" s="268"/>
      <c r="C100" s="269"/>
      <c r="D100" s="269"/>
      <c r="E100" s="269"/>
      <c r="F100" s="269"/>
      <c r="G100" s="269"/>
      <c r="H100" s="269"/>
      <c r="I100" s="269"/>
      <c r="J100" s="270"/>
    </row>
    <row r="101" spans="1:10" ht="18.75" customHeight="1" x14ac:dyDescent="0.4">
      <c r="A101" s="3"/>
      <c r="B101" s="268"/>
      <c r="C101" s="269"/>
      <c r="D101" s="269"/>
      <c r="E101" s="269"/>
      <c r="F101" s="269"/>
      <c r="G101" s="269"/>
      <c r="H101" s="269"/>
      <c r="I101" s="269"/>
      <c r="J101" s="270"/>
    </row>
    <row r="102" spans="1:10" ht="18.75" customHeight="1" x14ac:dyDescent="0.4">
      <c r="A102" s="3"/>
      <c r="B102" s="268"/>
      <c r="C102" s="269"/>
      <c r="D102" s="269"/>
      <c r="E102" s="269"/>
      <c r="F102" s="269"/>
      <c r="G102" s="269"/>
      <c r="H102" s="269"/>
      <c r="I102" s="269"/>
      <c r="J102" s="270"/>
    </row>
    <row r="103" spans="1:10" ht="18.75" customHeight="1" x14ac:dyDescent="0.4">
      <c r="A103" s="3"/>
      <c r="B103" s="268"/>
      <c r="C103" s="269"/>
      <c r="D103" s="269"/>
      <c r="E103" s="269"/>
      <c r="F103" s="269"/>
      <c r="G103" s="269"/>
      <c r="H103" s="269"/>
      <c r="I103" s="269"/>
      <c r="J103" s="270"/>
    </row>
    <row r="104" spans="1:10" ht="18.75" customHeight="1" x14ac:dyDescent="0.4">
      <c r="A104" s="3"/>
      <c r="B104" s="268"/>
      <c r="C104" s="269"/>
      <c r="D104" s="269"/>
      <c r="E104" s="269"/>
      <c r="F104" s="269"/>
      <c r="G104" s="269"/>
      <c r="H104" s="269"/>
      <c r="I104" s="269"/>
      <c r="J104" s="270"/>
    </row>
    <row r="105" spans="1:10" ht="18.75" customHeight="1" x14ac:dyDescent="0.4">
      <c r="A105" s="3"/>
      <c r="B105" s="268"/>
      <c r="C105" s="269"/>
      <c r="D105" s="269"/>
      <c r="E105" s="269"/>
      <c r="F105" s="269"/>
      <c r="G105" s="269"/>
      <c r="H105" s="269"/>
      <c r="I105" s="269"/>
      <c r="J105" s="270"/>
    </row>
    <row r="106" spans="1:10" ht="18.75" customHeight="1" x14ac:dyDescent="0.4">
      <c r="A106" s="3"/>
      <c r="B106" s="268"/>
      <c r="C106" s="269"/>
      <c r="D106" s="269"/>
      <c r="E106" s="269"/>
      <c r="F106" s="269"/>
      <c r="G106" s="269"/>
      <c r="H106" s="269"/>
      <c r="I106" s="269"/>
      <c r="J106" s="270"/>
    </row>
    <row r="107" spans="1:10" ht="18.75" customHeight="1" x14ac:dyDescent="0.4">
      <c r="A107" s="105"/>
      <c r="B107" s="268"/>
      <c r="C107" s="269"/>
      <c r="D107" s="269"/>
      <c r="E107" s="269"/>
      <c r="F107" s="269"/>
      <c r="G107" s="269"/>
      <c r="H107" s="269"/>
      <c r="I107" s="269"/>
      <c r="J107" s="270"/>
    </row>
    <row r="108" spans="1:10" ht="18.75" customHeight="1" x14ac:dyDescent="0.4">
      <c r="A108" s="105"/>
      <c r="B108" s="271"/>
      <c r="C108" s="272"/>
      <c r="D108" s="272"/>
      <c r="E108" s="272"/>
      <c r="F108" s="272"/>
      <c r="G108" s="272"/>
      <c r="H108" s="272"/>
      <c r="I108" s="272"/>
      <c r="J108" s="273"/>
    </row>
    <row r="109" spans="1:10" ht="7.5" customHeight="1" x14ac:dyDescent="0.4">
      <c r="A109" s="105"/>
      <c r="B109" s="105"/>
      <c r="C109" s="105"/>
      <c r="D109" s="105"/>
      <c r="E109" s="105"/>
      <c r="F109" s="105"/>
      <c r="G109" s="105"/>
      <c r="H109" s="105"/>
      <c r="I109" s="105"/>
      <c r="J109" s="105"/>
    </row>
    <row r="110" spans="1:10" ht="18.75" customHeight="1" x14ac:dyDescent="0.4">
      <c r="A110" s="3" t="s">
        <v>77</v>
      </c>
      <c r="B110" s="274" t="s">
        <v>145</v>
      </c>
      <c r="C110" s="274"/>
      <c r="D110" s="274"/>
      <c r="E110" s="274"/>
      <c r="F110" s="274"/>
      <c r="G110" s="274"/>
      <c r="H110" s="274"/>
      <c r="I110" s="274"/>
      <c r="J110" s="274"/>
    </row>
    <row r="111" spans="1:10" ht="18.75" customHeight="1" x14ac:dyDescent="0.4">
      <c r="A111" s="105"/>
      <c r="B111" s="257" t="s">
        <v>146</v>
      </c>
      <c r="C111" s="258"/>
      <c r="D111" s="258"/>
      <c r="E111" s="258"/>
      <c r="F111" s="258"/>
      <c r="G111" s="258"/>
      <c r="H111" s="258"/>
      <c r="I111" s="266"/>
      <c r="J111" s="267"/>
    </row>
    <row r="112" spans="1:10" ht="18.75" customHeight="1" x14ac:dyDescent="0.4">
      <c r="A112" s="105"/>
      <c r="B112" s="268"/>
      <c r="C112" s="269"/>
      <c r="D112" s="269"/>
      <c r="E112" s="269"/>
      <c r="F112" s="269"/>
      <c r="G112" s="269"/>
      <c r="H112" s="269"/>
      <c r="I112" s="269"/>
      <c r="J112" s="270"/>
    </row>
    <row r="113" spans="1:11" ht="18.75" customHeight="1" x14ac:dyDescent="0.4">
      <c r="A113" s="105"/>
      <c r="B113" s="268"/>
      <c r="C113" s="269"/>
      <c r="D113" s="269"/>
      <c r="E113" s="269"/>
      <c r="F113" s="269"/>
      <c r="G113" s="269"/>
      <c r="H113" s="269"/>
      <c r="I113" s="269"/>
      <c r="J113" s="270"/>
      <c r="K113" s="3" t="str">
        <f>IF(B111="","入力してください","")</f>
        <v/>
      </c>
    </row>
    <row r="114" spans="1:11" ht="18.75" customHeight="1" x14ac:dyDescent="0.4">
      <c r="A114" s="105"/>
      <c r="B114" s="268"/>
      <c r="C114" s="269"/>
      <c r="D114" s="269"/>
      <c r="E114" s="269"/>
      <c r="F114" s="269"/>
      <c r="G114" s="269"/>
      <c r="H114" s="269"/>
      <c r="I114" s="269"/>
      <c r="J114" s="270"/>
    </row>
    <row r="115" spans="1:11" ht="18.75" customHeight="1" x14ac:dyDescent="0.4">
      <c r="A115" s="105"/>
      <c r="B115" s="268"/>
      <c r="C115" s="269"/>
      <c r="D115" s="269"/>
      <c r="E115" s="269"/>
      <c r="F115" s="269"/>
      <c r="G115" s="269"/>
      <c r="H115" s="269"/>
      <c r="I115" s="269"/>
      <c r="J115" s="270"/>
    </row>
    <row r="116" spans="1:11" ht="18.75" customHeight="1" x14ac:dyDescent="0.4">
      <c r="A116" s="105"/>
      <c r="B116" s="268"/>
      <c r="C116" s="269"/>
      <c r="D116" s="269"/>
      <c r="E116" s="269"/>
      <c r="F116" s="269"/>
      <c r="G116" s="269"/>
      <c r="H116" s="269"/>
      <c r="I116" s="269"/>
      <c r="J116" s="270"/>
    </row>
    <row r="117" spans="1:11" ht="18.75" customHeight="1" x14ac:dyDescent="0.4">
      <c r="A117" s="105"/>
      <c r="B117" s="268"/>
      <c r="C117" s="269"/>
      <c r="D117" s="269"/>
      <c r="E117" s="269"/>
      <c r="F117" s="269"/>
      <c r="G117" s="269"/>
      <c r="H117" s="269"/>
      <c r="I117" s="269"/>
      <c r="J117" s="270"/>
    </row>
    <row r="118" spans="1:11" ht="18.75" customHeight="1" x14ac:dyDescent="0.4">
      <c r="A118" s="105"/>
      <c r="B118" s="268"/>
      <c r="C118" s="269"/>
      <c r="D118" s="269"/>
      <c r="E118" s="269"/>
      <c r="F118" s="269"/>
      <c r="G118" s="269"/>
      <c r="H118" s="269"/>
      <c r="I118" s="269"/>
      <c r="J118" s="270"/>
    </row>
    <row r="119" spans="1:11" ht="18.75" customHeight="1" x14ac:dyDescent="0.4">
      <c r="A119" s="105"/>
      <c r="B119" s="268"/>
      <c r="C119" s="269"/>
      <c r="D119" s="269"/>
      <c r="E119" s="269"/>
      <c r="F119" s="269"/>
      <c r="G119" s="269"/>
      <c r="H119" s="269"/>
      <c r="I119" s="269"/>
      <c r="J119" s="270"/>
    </row>
    <row r="120" spans="1:11" ht="18.75" customHeight="1" x14ac:dyDescent="0.4">
      <c r="A120" s="105"/>
      <c r="B120" s="268"/>
      <c r="C120" s="269"/>
      <c r="D120" s="269"/>
      <c r="E120" s="269"/>
      <c r="F120" s="269"/>
      <c r="G120" s="269"/>
      <c r="H120" s="269"/>
      <c r="I120" s="269"/>
      <c r="J120" s="270"/>
    </row>
    <row r="121" spans="1:11" ht="18.75" customHeight="1" x14ac:dyDescent="0.4">
      <c r="A121" s="105"/>
      <c r="B121" s="268"/>
      <c r="C121" s="269"/>
      <c r="D121" s="269"/>
      <c r="E121" s="269"/>
      <c r="F121" s="269"/>
      <c r="G121" s="269"/>
      <c r="H121" s="269"/>
      <c r="I121" s="269"/>
      <c r="J121" s="270"/>
    </row>
    <row r="122" spans="1:11" ht="18.75" customHeight="1" x14ac:dyDescent="0.4">
      <c r="A122" s="105"/>
      <c r="B122" s="268"/>
      <c r="C122" s="269"/>
      <c r="D122" s="269"/>
      <c r="E122" s="269"/>
      <c r="F122" s="269"/>
      <c r="G122" s="269"/>
      <c r="H122" s="269"/>
      <c r="I122" s="269"/>
      <c r="J122" s="270"/>
    </row>
    <row r="123" spans="1:11" ht="18.75" customHeight="1" x14ac:dyDescent="0.4">
      <c r="A123" s="105"/>
      <c r="B123" s="268"/>
      <c r="C123" s="269"/>
      <c r="D123" s="269"/>
      <c r="E123" s="269"/>
      <c r="F123" s="269"/>
      <c r="G123" s="269"/>
      <c r="H123" s="269"/>
      <c r="I123" s="269"/>
      <c r="J123" s="270"/>
    </row>
    <row r="124" spans="1:11" ht="18.75" customHeight="1" x14ac:dyDescent="0.4">
      <c r="A124" s="105"/>
      <c r="B124" s="268"/>
      <c r="C124" s="269"/>
      <c r="D124" s="269"/>
      <c r="E124" s="269"/>
      <c r="F124" s="269"/>
      <c r="G124" s="269"/>
      <c r="H124" s="269"/>
      <c r="I124" s="269"/>
      <c r="J124" s="270"/>
    </row>
    <row r="125" spans="1:11" ht="18.75" customHeight="1" x14ac:dyDescent="0.4">
      <c r="A125" s="105"/>
      <c r="B125" s="268"/>
      <c r="C125" s="269"/>
      <c r="D125" s="269"/>
      <c r="E125" s="269"/>
      <c r="F125" s="269"/>
      <c r="G125" s="269"/>
      <c r="H125" s="269"/>
      <c r="I125" s="269"/>
      <c r="J125" s="270"/>
    </row>
    <row r="126" spans="1:11" ht="18.75" customHeight="1" x14ac:dyDescent="0.4">
      <c r="A126" s="105"/>
      <c r="B126" s="268"/>
      <c r="C126" s="269"/>
      <c r="D126" s="269"/>
      <c r="E126" s="269"/>
      <c r="F126" s="269"/>
      <c r="G126" s="269"/>
      <c r="H126" s="269"/>
      <c r="I126" s="269"/>
      <c r="J126" s="270"/>
    </row>
    <row r="127" spans="1:11" ht="18.75" customHeight="1" x14ac:dyDescent="0.4">
      <c r="A127" s="105"/>
      <c r="B127" s="268"/>
      <c r="C127" s="269"/>
      <c r="D127" s="269"/>
      <c r="E127" s="269"/>
      <c r="F127" s="269"/>
      <c r="G127" s="269"/>
      <c r="H127" s="269"/>
      <c r="I127" s="269"/>
      <c r="J127" s="270"/>
    </row>
    <row r="128" spans="1:11" ht="18.75" customHeight="1" x14ac:dyDescent="0.4">
      <c r="A128" s="105"/>
      <c r="B128" s="268"/>
      <c r="C128" s="269"/>
      <c r="D128" s="269"/>
      <c r="E128" s="269"/>
      <c r="F128" s="269"/>
      <c r="G128" s="269"/>
      <c r="H128" s="269"/>
      <c r="I128" s="269"/>
      <c r="J128" s="270"/>
    </row>
    <row r="129" spans="1:10" ht="18.75" customHeight="1" x14ac:dyDescent="0.4">
      <c r="A129" s="105"/>
      <c r="B129" s="271"/>
      <c r="C129" s="272"/>
      <c r="D129" s="272"/>
      <c r="E129" s="272"/>
      <c r="F129" s="272"/>
      <c r="G129" s="272"/>
      <c r="H129" s="272"/>
      <c r="I129" s="272"/>
      <c r="J129" s="273"/>
    </row>
    <row r="130" spans="1:10" ht="7.5" customHeight="1" x14ac:dyDescent="0.4">
      <c r="A130" s="105"/>
      <c r="B130" s="106"/>
      <c r="C130" s="106"/>
      <c r="D130" s="106"/>
      <c r="E130" s="106"/>
      <c r="F130" s="106"/>
      <c r="G130" s="106"/>
      <c r="H130" s="106"/>
      <c r="I130" s="106"/>
      <c r="J130" s="106"/>
    </row>
    <row r="131" spans="1:10" ht="18.75" customHeight="1" x14ac:dyDescent="0.4">
      <c r="A131" s="105"/>
      <c r="B131" s="105"/>
      <c r="C131" s="105"/>
      <c r="D131" s="105"/>
      <c r="E131" s="105"/>
      <c r="F131" s="105"/>
      <c r="G131" s="105"/>
      <c r="H131" s="105"/>
      <c r="I131" s="105"/>
      <c r="J131" s="105"/>
    </row>
    <row r="132" spans="1:10" ht="18.75" customHeight="1" x14ac:dyDescent="0.4">
      <c r="A132" s="105"/>
      <c r="B132" s="105"/>
      <c r="C132" s="105"/>
      <c r="D132" s="105"/>
      <c r="E132" s="105"/>
      <c r="F132" s="105"/>
      <c r="G132" s="105"/>
      <c r="H132" s="105"/>
      <c r="I132" s="105"/>
      <c r="J132" s="105"/>
    </row>
    <row r="133" spans="1:10" ht="18.75" customHeight="1" x14ac:dyDescent="0.4">
      <c r="A133" s="105"/>
      <c r="B133" s="105"/>
      <c r="C133" s="105"/>
      <c r="D133" s="105"/>
      <c r="E133" s="105"/>
      <c r="F133" s="105"/>
      <c r="G133" s="105"/>
      <c r="H133" s="105"/>
      <c r="I133" s="105"/>
      <c r="J133" s="105"/>
    </row>
    <row r="134" spans="1:10" ht="18.75" customHeight="1" x14ac:dyDescent="0.4">
      <c r="A134" s="105"/>
      <c r="B134" s="105"/>
      <c r="C134" s="105"/>
      <c r="D134" s="105"/>
      <c r="E134" s="105"/>
      <c r="F134" s="105"/>
      <c r="G134" s="105"/>
      <c r="H134" s="105"/>
      <c r="I134" s="105"/>
      <c r="J134" s="105"/>
    </row>
    <row r="135" spans="1:10" ht="18.75" customHeight="1" x14ac:dyDescent="0.4">
      <c r="A135" s="105"/>
      <c r="B135" s="105"/>
      <c r="C135" s="105"/>
      <c r="D135" s="105"/>
      <c r="E135" s="105"/>
      <c r="F135" s="105"/>
      <c r="G135" s="105"/>
      <c r="H135" s="105"/>
      <c r="I135" s="105"/>
      <c r="J135" s="105"/>
    </row>
    <row r="136" spans="1:10" ht="18.75" customHeight="1" x14ac:dyDescent="0.4">
      <c r="A136" s="105"/>
      <c r="B136" s="105"/>
      <c r="C136" s="105"/>
      <c r="D136" s="105"/>
      <c r="E136" s="105"/>
      <c r="F136" s="105"/>
      <c r="G136" s="105"/>
      <c r="H136" s="105"/>
      <c r="I136" s="105"/>
      <c r="J136" s="105"/>
    </row>
    <row r="137" spans="1:10" ht="18.75" customHeight="1" x14ac:dyDescent="0.4">
      <c r="A137" s="105"/>
      <c r="B137" s="105"/>
      <c r="C137" s="105"/>
      <c r="D137" s="105"/>
      <c r="E137" s="105"/>
      <c r="F137" s="105"/>
      <c r="G137" s="105"/>
      <c r="H137" s="105"/>
      <c r="I137" s="105"/>
      <c r="J137" s="105"/>
    </row>
    <row r="138" spans="1:10" ht="18.75" customHeight="1" x14ac:dyDescent="0.4">
      <c r="A138" s="105"/>
      <c r="B138" s="105"/>
      <c r="C138" s="105"/>
      <c r="D138" s="105"/>
      <c r="E138" s="105"/>
      <c r="F138" s="105"/>
      <c r="G138" s="105"/>
      <c r="H138" s="105"/>
      <c r="I138" s="105"/>
      <c r="J138" s="105"/>
    </row>
    <row r="139" spans="1:10" ht="18.75" customHeight="1" x14ac:dyDescent="0.4">
      <c r="A139" s="105"/>
      <c r="B139" s="105"/>
      <c r="C139" s="105"/>
      <c r="D139" s="105"/>
      <c r="E139" s="105"/>
      <c r="F139" s="105"/>
      <c r="G139" s="105"/>
      <c r="H139" s="105"/>
      <c r="I139" s="105"/>
      <c r="J139" s="105"/>
    </row>
    <row r="140" spans="1:10" ht="18.75" customHeight="1" x14ac:dyDescent="0.4">
      <c r="A140" s="105"/>
      <c r="B140" s="105"/>
      <c r="C140" s="105"/>
      <c r="D140" s="105"/>
      <c r="E140" s="105"/>
      <c r="F140" s="105"/>
      <c r="G140" s="105"/>
      <c r="H140" s="105"/>
      <c r="I140" s="105"/>
      <c r="J140" s="105"/>
    </row>
    <row r="141" spans="1:10" ht="18.75" customHeight="1" x14ac:dyDescent="0.4">
      <c r="A141" s="105"/>
      <c r="B141" s="105"/>
      <c r="C141" s="105"/>
      <c r="D141" s="105"/>
      <c r="E141" s="105"/>
      <c r="F141" s="105"/>
      <c r="G141" s="105"/>
      <c r="H141" s="105"/>
      <c r="I141" s="105"/>
      <c r="J141" s="105"/>
    </row>
    <row r="142" spans="1:10" ht="18.75" customHeight="1" x14ac:dyDescent="0.4">
      <c r="A142" s="105"/>
      <c r="B142" s="105"/>
      <c r="C142" s="105"/>
      <c r="D142" s="105"/>
      <c r="E142" s="105"/>
      <c r="F142" s="105"/>
      <c r="G142" s="105"/>
      <c r="H142" s="105"/>
      <c r="I142" s="105"/>
      <c r="J142" s="105"/>
    </row>
    <row r="143" spans="1:10" ht="19.5" x14ac:dyDescent="0.4">
      <c r="A143" s="105"/>
      <c r="B143" s="105"/>
      <c r="C143" s="105"/>
      <c r="D143" s="105"/>
      <c r="E143" s="105"/>
      <c r="F143" s="105"/>
      <c r="G143" s="105"/>
      <c r="H143" s="105"/>
      <c r="I143" s="105"/>
      <c r="J143" s="105"/>
    </row>
    <row r="144" spans="1:10" ht="7.5" customHeight="1" x14ac:dyDescent="0.4">
      <c r="A144" s="107"/>
      <c r="B144" s="107"/>
      <c r="C144" s="107"/>
      <c r="D144" s="107"/>
      <c r="E144" s="107"/>
      <c r="F144" s="107"/>
      <c r="G144" s="107"/>
      <c r="H144" s="107"/>
      <c r="I144" s="107"/>
      <c r="J144" s="107"/>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3"/>
  <printOptions horizontalCentered="1"/>
  <pageMargins left="0.78740157480314965" right="0.78740157480314965" top="0.78740157480314965" bottom="0.78740157480314965" header="0.31496062992125984" footer="0.31496062992125984"/>
  <pageSetup paperSize="9" scale="91"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6"/>
  <sheetViews>
    <sheetView showZeros="0" view="pageBreakPreview" zoomScaleNormal="100" zoomScaleSheetLayoutView="100" workbookViewId="0">
      <selection activeCell="E25" sqref="E25"/>
    </sheetView>
  </sheetViews>
  <sheetFormatPr defaultColWidth="11.375" defaultRowHeight="22.5" customHeight="1" x14ac:dyDescent="0.4"/>
  <cols>
    <col min="1" max="3" width="2.75" style="3" customWidth="1"/>
    <col min="4" max="4" width="22.25" style="3" customWidth="1"/>
    <col min="5" max="5" width="21.625" style="3" customWidth="1"/>
    <col min="6" max="7" width="7.75" style="3" customWidth="1"/>
    <col min="8" max="8" width="33.375" style="3" customWidth="1"/>
    <col min="9" max="9" width="24.5" style="3" customWidth="1"/>
    <col min="10" max="10" width="5.5" style="3" customWidth="1"/>
    <col min="11" max="11" width="4.125" style="3" customWidth="1"/>
    <col min="12" max="16384" width="11.375" style="3"/>
  </cols>
  <sheetData>
    <row r="1" spans="1:12" ht="18.75" customHeight="1" x14ac:dyDescent="0.4">
      <c r="A1" s="3" t="s">
        <v>184</v>
      </c>
      <c r="J1" s="98" t="s">
        <v>183</v>
      </c>
    </row>
    <row r="2" spans="1:12" ht="18.75" customHeight="1" x14ac:dyDescent="0.4">
      <c r="A2" s="230" t="s">
        <v>182</v>
      </c>
      <c r="B2" s="230"/>
      <c r="C2" s="230"/>
      <c r="D2" s="230"/>
      <c r="E2" s="230"/>
      <c r="F2" s="230"/>
      <c r="G2" s="230"/>
      <c r="H2" s="230"/>
      <c r="I2" s="230"/>
      <c r="J2" s="230"/>
    </row>
    <row r="3" spans="1:12" ht="7.5" customHeight="1" x14ac:dyDescent="0.4">
      <c r="A3" s="103"/>
      <c r="B3" s="103"/>
      <c r="C3" s="103"/>
      <c r="D3" s="103"/>
      <c r="E3" s="103"/>
      <c r="F3" s="103"/>
      <c r="G3" s="103"/>
      <c r="H3" s="103"/>
      <c r="I3" s="103"/>
      <c r="J3" s="103"/>
    </row>
    <row r="4" spans="1:12" ht="18.75" customHeight="1" x14ac:dyDescent="0.4">
      <c r="A4" s="3" t="s">
        <v>57</v>
      </c>
      <c r="B4" s="3" t="s">
        <v>181</v>
      </c>
      <c r="C4" s="105"/>
      <c r="D4" s="105"/>
      <c r="E4" s="105"/>
      <c r="F4" s="105"/>
      <c r="G4" s="105"/>
      <c r="H4" s="105"/>
      <c r="I4" s="105"/>
      <c r="J4" s="105"/>
    </row>
    <row r="5" spans="1:12" ht="18.75" customHeight="1" x14ac:dyDescent="0.4">
      <c r="B5" s="132" t="s">
        <v>180</v>
      </c>
      <c r="C5" s="133"/>
      <c r="D5" s="134"/>
      <c r="E5" s="133" t="s">
        <v>179</v>
      </c>
      <c r="F5" s="133"/>
      <c r="G5" s="133"/>
      <c r="H5" s="133"/>
      <c r="I5" s="133"/>
      <c r="J5" s="134"/>
    </row>
    <row r="6" spans="1:12" ht="18.75" customHeight="1" x14ac:dyDescent="0.4">
      <c r="B6" s="28" t="s">
        <v>178</v>
      </c>
      <c r="C6" s="105"/>
      <c r="D6" s="108"/>
      <c r="I6" s="105"/>
      <c r="J6" s="108"/>
    </row>
    <row r="7" spans="1:12" ht="207" customHeight="1" x14ac:dyDescent="0.4">
      <c r="B7" s="109"/>
      <c r="C7" s="284" t="s">
        <v>177</v>
      </c>
      <c r="D7" s="285"/>
      <c r="E7" s="281" t="s">
        <v>199</v>
      </c>
      <c r="F7" s="282"/>
      <c r="G7" s="282"/>
      <c r="H7" s="282"/>
      <c r="I7" s="282"/>
      <c r="J7" s="283"/>
      <c r="K7" s="3" t="str">
        <f>IF(E7="","入力してください","")</f>
        <v/>
      </c>
      <c r="L7" s="3">
        <f t="shared" ref="L7:L16" si="0">LENB(E7)</f>
        <v>527</v>
      </c>
    </row>
    <row r="8" spans="1:12" ht="207" customHeight="1" x14ac:dyDescent="0.4">
      <c r="B8" s="109"/>
      <c r="C8" s="279" t="s">
        <v>176</v>
      </c>
      <c r="D8" s="280"/>
      <c r="E8" s="281" t="s">
        <v>198</v>
      </c>
      <c r="F8" s="282"/>
      <c r="G8" s="282"/>
      <c r="H8" s="282"/>
      <c r="I8" s="282"/>
      <c r="J8" s="283"/>
      <c r="K8" s="3" t="str">
        <f>IF(E8="","入力してください","")</f>
        <v/>
      </c>
      <c r="L8" s="3">
        <f t="shared" si="0"/>
        <v>773</v>
      </c>
    </row>
    <row r="9" spans="1:12" ht="172.5" customHeight="1" x14ac:dyDescent="0.4">
      <c r="B9" s="109"/>
      <c r="C9" s="284" t="s">
        <v>175</v>
      </c>
      <c r="D9" s="285"/>
      <c r="E9" s="281" t="s">
        <v>174</v>
      </c>
      <c r="F9" s="282"/>
      <c r="G9" s="282"/>
      <c r="H9" s="282"/>
      <c r="I9" s="282"/>
      <c r="J9" s="283"/>
      <c r="K9" s="3" t="str">
        <f>IF(E9="","入力してください","")</f>
        <v/>
      </c>
      <c r="L9" s="3">
        <f t="shared" si="0"/>
        <v>281</v>
      </c>
    </row>
    <row r="10" spans="1:12" ht="172.5" customHeight="1" x14ac:dyDescent="0.4">
      <c r="B10" s="109"/>
      <c r="C10" s="284" t="s">
        <v>173</v>
      </c>
      <c r="D10" s="285"/>
      <c r="E10" s="281" t="s">
        <v>197</v>
      </c>
      <c r="F10" s="282"/>
      <c r="G10" s="282"/>
      <c r="H10" s="282"/>
      <c r="I10" s="282"/>
      <c r="J10" s="283"/>
      <c r="K10" s="3" t="str">
        <f>IF(E10="","入力してください","")</f>
        <v/>
      </c>
      <c r="L10" s="3">
        <f t="shared" si="0"/>
        <v>241</v>
      </c>
    </row>
    <row r="11" spans="1:12" ht="172.5" customHeight="1" x14ac:dyDescent="0.4">
      <c r="B11" s="109"/>
      <c r="C11" s="284" t="s">
        <v>172</v>
      </c>
      <c r="D11" s="285"/>
      <c r="E11" s="281" t="s">
        <v>196</v>
      </c>
      <c r="F11" s="282"/>
      <c r="G11" s="282"/>
      <c r="H11" s="282"/>
      <c r="I11" s="282"/>
      <c r="J11" s="283"/>
      <c r="K11" s="3" t="str">
        <f>IF(E11="","入力してください","")</f>
        <v/>
      </c>
      <c r="L11" s="3">
        <f t="shared" si="0"/>
        <v>819</v>
      </c>
    </row>
    <row r="12" spans="1:12" ht="18.75" customHeight="1" x14ac:dyDescent="0.4">
      <c r="B12" s="110" t="s">
        <v>171</v>
      </c>
      <c r="C12" s="111"/>
      <c r="D12" s="112"/>
      <c r="E12" s="113"/>
      <c r="F12" s="113"/>
      <c r="G12" s="113"/>
      <c r="H12" s="113"/>
      <c r="I12" s="113"/>
      <c r="J12" s="114"/>
      <c r="L12" s="3">
        <f t="shared" si="0"/>
        <v>0</v>
      </c>
    </row>
    <row r="13" spans="1:12" ht="244.15" customHeight="1" x14ac:dyDescent="0.4">
      <c r="B13" s="109"/>
      <c r="C13" s="284" t="s">
        <v>170</v>
      </c>
      <c r="D13" s="285"/>
      <c r="E13" s="282" t="s">
        <v>195</v>
      </c>
      <c r="F13" s="282"/>
      <c r="G13" s="282"/>
      <c r="H13" s="282"/>
      <c r="I13" s="282"/>
      <c r="J13" s="283"/>
      <c r="K13" s="3" t="str">
        <f>IF(E13="","入力してください","")</f>
        <v/>
      </c>
      <c r="L13" s="3">
        <f t="shared" si="0"/>
        <v>111</v>
      </c>
    </row>
    <row r="14" spans="1:12" ht="255" customHeight="1" x14ac:dyDescent="0.4">
      <c r="B14" s="109"/>
      <c r="C14" s="284" t="s">
        <v>169</v>
      </c>
      <c r="D14" s="285"/>
      <c r="E14" s="282" t="s">
        <v>194</v>
      </c>
      <c r="F14" s="282"/>
      <c r="G14" s="282"/>
      <c r="H14" s="282"/>
      <c r="I14" s="282"/>
      <c r="J14" s="283"/>
      <c r="K14" s="3" t="str">
        <f>IF(E14="","入力してください","")</f>
        <v/>
      </c>
      <c r="L14" s="3">
        <f t="shared" si="0"/>
        <v>216</v>
      </c>
    </row>
    <row r="15" spans="1:12" ht="243" customHeight="1" x14ac:dyDescent="0.4">
      <c r="B15" s="292" t="s">
        <v>168</v>
      </c>
      <c r="C15" s="293"/>
      <c r="D15" s="285"/>
      <c r="E15" s="282" t="s">
        <v>167</v>
      </c>
      <c r="F15" s="282"/>
      <c r="G15" s="282"/>
      <c r="H15" s="282"/>
      <c r="I15" s="282"/>
      <c r="J15" s="283"/>
      <c r="K15" s="3" t="str">
        <f>IF(E15="","入力してください","")</f>
        <v/>
      </c>
      <c r="L15" s="3">
        <f t="shared" si="0"/>
        <v>166</v>
      </c>
    </row>
    <row r="16" spans="1:12" ht="243" customHeight="1" x14ac:dyDescent="0.4">
      <c r="B16" s="286" t="s">
        <v>166</v>
      </c>
      <c r="C16" s="287"/>
      <c r="D16" s="288"/>
      <c r="E16" s="264" t="s">
        <v>193</v>
      </c>
      <c r="F16" s="264"/>
      <c r="G16" s="264"/>
      <c r="H16" s="264"/>
      <c r="I16" s="264"/>
      <c r="J16" s="265"/>
      <c r="K16" s="3" t="str">
        <f>IF(E16="","入力してください","")</f>
        <v/>
      </c>
      <c r="L16" s="3">
        <f t="shared" si="0"/>
        <v>92</v>
      </c>
    </row>
    <row r="17" spans="1:11" ht="7.5" customHeight="1" x14ac:dyDescent="0.4">
      <c r="B17" s="105"/>
      <c r="C17" s="105"/>
      <c r="D17" s="105"/>
      <c r="E17" s="105"/>
      <c r="F17" s="105"/>
      <c r="G17" s="105"/>
      <c r="H17" s="105"/>
      <c r="I17" s="105"/>
      <c r="J17" s="105"/>
    </row>
    <row r="18" spans="1:11" ht="18.75" customHeight="1" x14ac:dyDescent="0.4">
      <c r="A18" s="3" t="s">
        <v>165</v>
      </c>
      <c r="C18" s="105"/>
      <c r="D18" s="105"/>
      <c r="E18" s="105"/>
      <c r="F18" s="102"/>
      <c r="G18" s="289" t="s">
        <v>205</v>
      </c>
      <c r="H18" s="290"/>
      <c r="I18" s="290"/>
      <c r="J18" s="291"/>
      <c r="K18" s="3" t="str">
        <f>IF(G18="","入力してください","")</f>
        <v/>
      </c>
    </row>
    <row r="19" spans="1:11" ht="22.5" customHeight="1" x14ac:dyDescent="0.4">
      <c r="B19" s="105"/>
      <c r="C19" s="105"/>
      <c r="D19" s="105"/>
      <c r="E19" s="105"/>
      <c r="F19" s="105"/>
      <c r="G19" s="105"/>
      <c r="H19" s="105"/>
      <c r="I19" s="105"/>
      <c r="J19" s="105"/>
    </row>
    <row r="20" spans="1:11" ht="22.5" customHeight="1" x14ac:dyDescent="0.4">
      <c r="B20" s="105"/>
      <c r="C20" s="105"/>
      <c r="D20" s="105"/>
      <c r="E20" s="105"/>
      <c r="F20" s="105"/>
      <c r="G20" s="105"/>
      <c r="H20" s="105"/>
      <c r="I20" s="105"/>
      <c r="J20" s="105"/>
    </row>
    <row r="21" spans="1:11" ht="22.5" customHeight="1" x14ac:dyDescent="0.4">
      <c r="B21" s="105"/>
      <c r="C21" s="105"/>
      <c r="D21" s="105"/>
      <c r="E21" s="105"/>
      <c r="F21" s="105"/>
      <c r="G21" s="105"/>
      <c r="H21" s="105"/>
      <c r="I21" s="105"/>
      <c r="J21" s="105"/>
    </row>
    <row r="22" spans="1:11" ht="22.5" customHeight="1" x14ac:dyDescent="0.4">
      <c r="B22" s="105"/>
      <c r="C22" s="105"/>
      <c r="D22" s="105"/>
      <c r="E22" s="105"/>
      <c r="F22" s="105"/>
      <c r="G22" s="105"/>
      <c r="H22" s="105"/>
      <c r="I22" s="105"/>
      <c r="J22" s="105"/>
    </row>
    <row r="23" spans="1:11" ht="22.5" customHeight="1" x14ac:dyDescent="0.4">
      <c r="B23" s="105"/>
      <c r="C23" s="105"/>
      <c r="D23" s="105"/>
      <c r="E23" s="105"/>
      <c r="F23" s="105"/>
      <c r="G23" s="105"/>
      <c r="H23" s="105"/>
      <c r="I23" s="105"/>
      <c r="J23" s="105"/>
    </row>
    <row r="24" spans="1:11" ht="22.5" customHeight="1" x14ac:dyDescent="0.4">
      <c r="B24" s="13"/>
      <c r="C24" s="13"/>
      <c r="D24" s="13"/>
      <c r="E24" s="13"/>
      <c r="F24" s="13"/>
      <c r="G24" s="13"/>
      <c r="H24" s="13"/>
      <c r="I24" s="13"/>
      <c r="J24" s="13"/>
    </row>
    <row r="25" spans="1:11" ht="22.5" customHeight="1" x14ac:dyDescent="0.4">
      <c r="B25" s="13"/>
      <c r="C25" s="13"/>
      <c r="D25" s="13"/>
      <c r="E25" s="13"/>
      <c r="F25" s="13"/>
      <c r="G25" s="13"/>
      <c r="H25" s="13"/>
      <c r="I25" s="13"/>
      <c r="J25" s="13"/>
    </row>
    <row r="26" spans="1:11" ht="22.5" customHeight="1" x14ac:dyDescent="0.4">
      <c r="B26" s="13"/>
      <c r="C26" s="13"/>
      <c r="D26" s="13"/>
      <c r="E26" s="13"/>
      <c r="F26" s="13"/>
      <c r="G26" s="13"/>
      <c r="H26" s="13"/>
      <c r="I26" s="13"/>
      <c r="J26" s="13"/>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3"/>
  <printOptions horizontalCentered="1"/>
  <pageMargins left="0.78740157480314965" right="0.78740157480314965" top="0.78740157480314965" bottom="0.78740157480314965" header="0.31496062992125984" footer="0.31496062992125984"/>
  <pageSetup paperSize="9" scale="58"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観光経営学部 滝沢憲一</dc:creator>
  <cp:lastModifiedBy>大野 智大</cp:lastModifiedBy>
  <dcterms:created xsi:type="dcterms:W3CDTF">2022-05-11T04:46:24Z</dcterms:created>
  <dcterms:modified xsi:type="dcterms:W3CDTF">2022-06-01T06:55:30Z</dcterms:modified>
</cp:coreProperties>
</file>