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S:\データサイエンス教育運営委員会\⑦文科省申請\文科省申請\文科省申請資料\東京経済大学\01東京経済大学_リテラシー\"/>
    </mc:Choice>
  </mc:AlternateContent>
  <bookViews>
    <workbookView xWindow="1275" yWindow="255" windowWidth="24780" windowHeight="20385" tabRatio="885" activeTab="1"/>
  </bookViews>
  <sheets>
    <sheet name="様式１　大学等概要" sheetId="8" r:id="rId1"/>
    <sheet name="様式２-１　プログラムを構成する授業科目" sheetId="50" r:id="rId2"/>
    <sheet name="様式２-2　プログラムを構成する授業科目" sheetId="39" r:id="rId3"/>
    <sheet name="様式２-3　プログラムを構成する授業科目" sheetId="45" r:id="rId4"/>
    <sheet name="様式２-4　プログラムを構成する授業科目" sheetId="47" r:id="rId5"/>
    <sheet name="様式２-5　プログラムを構成する授業科目" sheetId="48" r:id="rId6"/>
    <sheet name="様式３　履修者等数の実績" sheetId="40" r:id="rId7"/>
    <sheet name="様式４　教育の質・履修者数を向上させるための体制・計画" sheetId="41" r:id="rId8"/>
    <sheet name="様式５　自己点検・評価" sheetId="42" r:id="rId9"/>
  </sheets>
  <definedNames>
    <definedName name="_xlnm._FilterDatabase" localSheetId="1" hidden="1">'様式２-１　プログラムを構成する授業科目'!#REF!</definedName>
    <definedName name="_xlnm._FilterDatabase" localSheetId="2" hidden="1">'様式２-2　プログラムを構成する授業科目'!#REF!</definedName>
    <definedName name="_xlnm._FilterDatabase" localSheetId="3" hidden="1">'様式２-3　プログラムを構成する授業科目'!#REF!</definedName>
    <definedName name="_xlnm._FilterDatabase" localSheetId="4" hidden="1">'様式２-4　プログラムを構成する授業科目'!#REF!</definedName>
    <definedName name="_xlnm._FilterDatabase" localSheetId="5" hidden="1">'様式２-5　プログラムを構成する授業科目'!#REF!</definedName>
    <definedName name="_xlnm._FilterDatabase" localSheetId="6" hidden="1">'様式３　履修者等数の実績'!#REF!</definedName>
    <definedName name="_xlnm.Print_Area" localSheetId="0">'様式１　大学等概要'!$A$1:$N$45</definedName>
    <definedName name="_xlnm.Print_Area" localSheetId="1">'様式２-１　プログラムを構成する授業科目'!$A$1:$Z$109</definedName>
    <definedName name="_xlnm.Print_Area" localSheetId="2">'様式２-2　プログラムを構成する授業科目'!$A$1:$Z$119</definedName>
    <definedName name="_xlnm.Print_Area" localSheetId="3">'様式２-3　プログラムを構成する授業科目'!$A$1:$Z$98</definedName>
    <definedName name="_xlnm.Print_Area" localSheetId="4">'様式２-4　プログラムを構成する授業科目'!$A$1:$Z$98</definedName>
    <definedName name="_xlnm.Print_Area" localSheetId="5">'様式２-5　プログラムを構成する授業科目'!$A$1:$Z$98</definedName>
    <definedName name="_xlnm.Print_Area" localSheetId="6">'様式３　履修者等数の実績'!$A$1:$R$30</definedName>
    <definedName name="_xlnm.Print_Area" localSheetId="7">'様式４　教育の質・履修者数を向上させるための体制・計画'!$A$1:$J$130</definedName>
    <definedName name="_xlnm.Print_Area" localSheetId="8">'様式５　自己点検・評価'!$A$1:$J$18</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E30" i="40" l="1"/>
  <c r="Q11" i="40" l="1"/>
  <c r="R11" i="40" s="1"/>
  <c r="K18" i="42" l="1"/>
  <c r="K16" i="42"/>
  <c r="K15" i="42"/>
  <c r="K9" i="42"/>
  <c r="K8" i="42"/>
  <c r="K7" i="42"/>
  <c r="K113" i="41"/>
  <c r="K91" i="41"/>
  <c r="K69" i="41"/>
  <c r="K46" i="41"/>
  <c r="K31" i="41"/>
  <c r="K15" i="41"/>
  <c r="K8" i="41"/>
  <c r="K5" i="41"/>
  <c r="C4" i="40"/>
  <c r="O45" i="8"/>
  <c r="O44" i="8"/>
  <c r="O41" i="8"/>
  <c r="O39" i="8"/>
  <c r="O37" i="8"/>
  <c r="O34" i="8"/>
  <c r="O32" i="8"/>
  <c r="O29" i="8"/>
  <c r="O20" i="8"/>
  <c r="O18" i="8"/>
  <c r="O16" i="8"/>
  <c r="O14" i="8"/>
  <c r="O12" i="8"/>
  <c r="O10" i="8"/>
  <c r="O6" i="8"/>
  <c r="O8" i="8"/>
  <c r="O4" i="8"/>
  <c r="K14" i="42"/>
  <c r="K13" i="42"/>
  <c r="K11" i="42"/>
  <c r="K10" i="42"/>
  <c r="P30" i="40" l="1"/>
  <c r="O30" i="40"/>
  <c r="N30" i="40"/>
  <c r="M30" i="40"/>
  <c r="L30" i="40"/>
  <c r="K30" i="40"/>
  <c r="J30" i="40"/>
  <c r="I30" i="40"/>
  <c r="H30" i="40"/>
  <c r="G30" i="40"/>
  <c r="F30" i="40"/>
  <c r="D30" i="40"/>
  <c r="I29" i="41" s="1"/>
  <c r="C30" i="40"/>
  <c r="Q29" i="40"/>
  <c r="R29" i="40" s="1"/>
  <c r="Q28" i="40"/>
  <c r="R28" i="40" s="1"/>
  <c r="Q27" i="40"/>
  <c r="R27" i="40" s="1"/>
  <c r="Q26" i="40"/>
  <c r="R26" i="40" s="1"/>
  <c r="Q25" i="40"/>
  <c r="R25" i="40" s="1"/>
  <c r="Q24" i="40"/>
  <c r="R24" i="40" s="1"/>
  <c r="Q23" i="40"/>
  <c r="R23" i="40" s="1"/>
  <c r="Q22" i="40"/>
  <c r="R22" i="40" s="1"/>
  <c r="Q21" i="40"/>
  <c r="R21" i="40" s="1"/>
  <c r="Q20" i="40"/>
  <c r="R20" i="40" s="1"/>
  <c r="Q19" i="40"/>
  <c r="R19" i="40" s="1"/>
  <c r="Q18" i="40"/>
  <c r="R18" i="40" s="1"/>
  <c r="Q17" i="40"/>
  <c r="R17" i="40" s="1"/>
  <c r="Q16" i="40"/>
  <c r="R16" i="40" s="1"/>
  <c r="Q15" i="40"/>
  <c r="R15" i="40" s="1"/>
  <c r="Q14" i="40"/>
  <c r="R14" i="40" s="1"/>
  <c r="Q13" i="40"/>
  <c r="R13" i="40" s="1"/>
  <c r="Q12" i="40"/>
  <c r="R12" i="40" s="1"/>
  <c r="Q10" i="40"/>
  <c r="Q30" i="40" l="1"/>
  <c r="R30" i="40" s="1"/>
  <c r="C28" i="41" s="1"/>
  <c r="R10" i="40"/>
</calcChain>
</file>

<file path=xl/sharedStrings.xml><?xml version="1.0" encoding="utf-8"?>
<sst xmlns="http://schemas.openxmlformats.org/spreadsheetml/2006/main" count="1816" uniqueCount="327">
  <si>
    <t>教員数</t>
    <rPh sb="0" eb="2">
      <t>キョウイン</t>
    </rPh>
    <rPh sb="2" eb="3">
      <t>スウ</t>
    </rPh>
    <phoneticPr fontId="1"/>
  </si>
  <si>
    <t>所属部署名</t>
    <rPh sb="0" eb="2">
      <t>ショゾク</t>
    </rPh>
    <rPh sb="2" eb="4">
      <t>ブショ</t>
    </rPh>
    <rPh sb="4" eb="5">
      <t>メイ</t>
    </rPh>
    <phoneticPr fontId="1"/>
  </si>
  <si>
    <t>担当者名</t>
    <rPh sb="0" eb="2">
      <t>タントウ</t>
    </rPh>
    <rPh sb="2" eb="3">
      <t>シャ</t>
    </rPh>
    <rPh sb="3" eb="4">
      <t>メイ</t>
    </rPh>
    <phoneticPr fontId="1"/>
  </si>
  <si>
    <t>電話番号</t>
  </si>
  <si>
    <t>E-mail</t>
  </si>
  <si>
    <t>（常勤）</t>
    <rPh sb="1" eb="3">
      <t>ジョウキン</t>
    </rPh>
    <phoneticPr fontId="1"/>
  </si>
  <si>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</si>
  <si>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</si>
  <si>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</si>
  <si>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</si>
  <si>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</si>
  <si>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</si>
  <si>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</si>
  <si>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</si>
  <si>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</si>
  <si>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</si>
  <si>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学校名</t>
    <rPh sb="0" eb="2">
      <t>ガッコウ</t>
    </rPh>
    <rPh sb="2" eb="3">
      <t>メイ</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</si>
  <si>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</si>
  <si>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</si>
  <si>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</si>
  <si>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</si>
  <si>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人</t>
  </si>
  <si>
    <t>人</t>
    <rPh sb="0" eb="1">
      <t>ニン</t>
    </rPh>
    <phoneticPr fontId="1"/>
  </si>
  <si>
    <t>（役職名）</t>
    <rPh sb="1" eb="4">
      <t>ヤクショクメイ</t>
    </rPh>
    <phoneticPr fontId="1"/>
  </si>
  <si>
    <t>⑩</t>
    <phoneticPr fontId="1"/>
  </si>
  <si>
    <t>様式１</t>
    <rPh sb="0" eb="2">
      <t>ヨウシキ</t>
    </rPh>
    <phoneticPr fontId="1"/>
  </si>
  <si>
    <t>履修者数・履修率の向上に向けた計画</t>
    <rPh sb="5" eb="7">
      <t>リシュウ</t>
    </rPh>
    <rPh sb="7" eb="8">
      <t>リツ</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</si>
  <si>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</si>
  <si>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</si>
  <si>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</si>
  <si>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</si>
  <si>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</si>
  <si>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</si>
  <si>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</si>
  <si>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</si>
  <si>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</si>
  <si>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</si>
  <si>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</si>
  <si>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</si>
  <si>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</si>
  <si>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</si>
  <si>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</si>
  <si>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</si>
  <si>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</si>
  <si>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履修者数</t>
    <rPh sb="0" eb="2">
      <t>リシュウ</t>
    </rPh>
    <rPh sb="2" eb="3">
      <t>シャ</t>
    </rPh>
    <rPh sb="3" eb="4">
      <t>スウ</t>
    </rPh>
    <phoneticPr fontId="1"/>
  </si>
  <si>
    <t>所在地</t>
    <phoneticPr fontId="1"/>
  </si>
  <si>
    <t>５年次</t>
    <rPh sb="1" eb="2">
      <t>ネン</t>
    </rPh>
    <rPh sb="2" eb="3">
      <t>ツギ</t>
    </rPh>
    <phoneticPr fontId="1"/>
  </si>
  <si>
    <t>６年次</t>
    <rPh sb="1" eb="2">
      <t>ネン</t>
    </rPh>
    <rPh sb="2" eb="3">
      <t>ツギ</t>
    </rPh>
    <phoneticPr fontId="1"/>
  </si>
  <si>
    <t>②</t>
    <phoneticPr fontId="1"/>
  </si>
  <si>
    <t>大学等の設置者</t>
  </si>
  <si>
    <t>⑫</t>
    <phoneticPr fontId="1"/>
  </si>
  <si>
    <t>人</t>
    <rPh sb="0" eb="1">
      <t>ニン</t>
    </rPh>
    <phoneticPr fontId="1"/>
  </si>
  <si>
    <t>総数</t>
    <rPh sb="0" eb="2">
      <t>ソウスウ</t>
    </rPh>
    <phoneticPr fontId="1"/>
  </si>
  <si>
    <t>⑧</t>
    <phoneticPr fontId="1"/>
  </si>
  <si>
    <t>⑬</t>
    <phoneticPr fontId="1"/>
  </si>
  <si>
    <t>（役職名）</t>
    <rPh sb="1" eb="4">
      <t>ヤクショクメイ</t>
    </rPh>
    <phoneticPr fontId="1"/>
  </si>
  <si>
    <t>履修率</t>
    <rPh sb="0" eb="2">
      <t>リシュウ</t>
    </rPh>
    <rPh sb="2" eb="3">
      <t>リツ</t>
    </rPh>
    <phoneticPr fontId="1"/>
  </si>
  <si>
    <t>合　計</t>
    <phoneticPr fontId="1"/>
  </si>
  <si>
    <t>⑥</t>
    <phoneticPr fontId="1"/>
  </si>
  <si>
    <t>プログラムの開設年度</t>
    <rPh sb="6" eb="8">
      <t>カイセツ</t>
    </rPh>
    <rPh sb="8" eb="10">
      <t>ネンド</t>
    </rPh>
    <phoneticPr fontId="1"/>
  </si>
  <si>
    <t>⑨</t>
    <phoneticPr fontId="1"/>
  </si>
  <si>
    <t>⑭</t>
    <phoneticPr fontId="1"/>
  </si>
  <si>
    <t>履修者数
合計</t>
    <rPh sb="0" eb="2">
      <t>リシュウ</t>
    </rPh>
    <rPh sb="2" eb="3">
      <t>シャ</t>
    </rPh>
    <rPh sb="3" eb="4">
      <t>スウ</t>
    </rPh>
    <rPh sb="5" eb="7">
      <t>ゴウケイ</t>
    </rPh>
    <phoneticPr fontId="1"/>
  </si>
  <si>
    <t>様式３</t>
    <rPh sb="0" eb="2">
      <t>ヨウシキ</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</si>
  <si>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</si>
  <si>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</si>
  <si>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</si>
  <si>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</si>
  <si>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</si>
  <si>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申請する認定プログラム</t>
    <rPh sb="0" eb="2">
      <t>シンセイ</t>
    </rPh>
    <rPh sb="4" eb="6">
      <t>ニンテイ</t>
    </rPh>
    <phoneticPr fontId="1"/>
  </si>
  <si>
    <t>プログラムの授業を教えている教員数</t>
    <rPh sb="6" eb="8">
      <t>ジュギョウ</t>
    </rPh>
    <rPh sb="9" eb="10">
      <t>オシ</t>
    </rPh>
    <rPh sb="14" eb="16">
      <t>キョウイン</t>
    </rPh>
    <rPh sb="16" eb="17">
      <t>スウ</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</si>
  <si>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</si>
  <si>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</si>
  <si>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様式５</t>
    <rPh sb="0" eb="2">
      <t>ヨウシキ</t>
    </rPh>
    <phoneticPr fontId="1"/>
  </si>
  <si>
    <t>（責任者名）</t>
    <rPh sb="1" eb="4">
      <t>セキニンシャ</t>
    </rPh>
    <rPh sb="4" eb="5">
      <t>メイ</t>
    </rPh>
    <phoneticPr fontId="1"/>
  </si>
  <si>
    <t>プログラムの運営責任者</t>
    <phoneticPr fontId="1"/>
  </si>
  <si>
    <t>⑪</t>
    <phoneticPr fontId="1"/>
  </si>
  <si>
    <t>全学部・学科の入学定員</t>
    <rPh sb="0" eb="1">
      <t>ゼン</t>
    </rPh>
    <rPh sb="4" eb="6">
      <t>ガッカ</t>
    </rPh>
    <rPh sb="7" eb="9">
      <t>ニュウガク</t>
    </rPh>
    <rPh sb="9" eb="11">
      <t>テイイン</t>
    </rPh>
    <phoneticPr fontId="1"/>
  </si>
  <si>
    <t>全学部・学科の学生数（学年別）</t>
    <rPh sb="0" eb="1">
      <t>ゼン</t>
    </rPh>
    <rPh sb="4" eb="6">
      <t>ガッカ</t>
    </rPh>
    <rPh sb="7" eb="10">
      <t>ガクセイスウ</t>
    </rPh>
    <rPh sb="11" eb="13">
      <t>ガクネン</t>
    </rPh>
    <rPh sb="13" eb="14">
      <t>ベツ</t>
    </rPh>
    <phoneticPr fontId="1"/>
  </si>
  <si>
    <t>学部・学科名称</t>
    <rPh sb="0" eb="2">
      <t>ガクブ</t>
    </rPh>
    <rPh sb="3" eb="5">
      <t>ガッカ</t>
    </rPh>
    <rPh sb="5" eb="7">
      <t>メイショウ</t>
    </rPh>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</si>
  <si>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</si>
  <si>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</si>
  <si>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授業時間内外で学習指導、質問を受け付ける具体的な仕組み</t>
    <rPh sb="20" eb="23">
      <t>グタイテキ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</si>
  <si>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</si>
  <si>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入学
定員</t>
    <rPh sb="0" eb="2">
      <t>ニュウガク</t>
    </rPh>
    <rPh sb="3" eb="5">
      <t>テイイン</t>
    </rPh>
    <phoneticPr fontId="1"/>
  </si>
  <si>
    <t>申請するプログラム名称</t>
    <rPh sb="0" eb="2">
      <t>シンセイ</t>
    </rPh>
    <rPh sb="9" eb="11">
      <t>メイショウ</t>
    </rPh>
    <phoneticPr fontId="1"/>
  </si>
  <si>
    <t>③</t>
  </si>
  <si>
    <t>設置形態</t>
    <phoneticPr fontId="1"/>
  </si>
  <si>
    <t>⑮</t>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</si>
  <si>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</si>
  <si>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</si>
  <si>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</si>
  <si>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</si>
  <si>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</si>
  <si>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</si>
  <si>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</si>
  <si>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年度</t>
    <rPh sb="0" eb="2">
      <t>ネンド</t>
    </rPh>
    <phoneticPr fontId="1"/>
  </si>
  <si>
    <t>⑦応用基礎レベルの申請の有無</t>
    <phoneticPr fontId="1"/>
  </si>
  <si>
    <t>連絡先</t>
  </si>
  <si>
    <t>①具体的な修了要件</t>
    <phoneticPr fontId="1"/>
  </si>
  <si>
    <t>授業科目</t>
    <rPh sb="0" eb="2">
      <t>ジュギョウ</t>
    </rPh>
    <rPh sb="2" eb="4">
      <t>カモク</t>
    </rPh>
    <phoneticPr fontId="1"/>
  </si>
  <si>
    <t>開講状況</t>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</si>
  <si>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</si>
  <si>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</si>
  <si>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</si>
  <si>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</si>
  <si>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</si>
  <si>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</si>
  <si>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</si>
  <si>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</si>
  <si>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</si>
  <si>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</si>
  <si>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②教育プログラムの修了要件</t>
    <phoneticPr fontId="1"/>
  </si>
  <si>
    <t>年度</t>
    <rPh sb="0" eb="2">
      <t>ネンド</t>
    </rPh>
    <phoneticPr fontId="1"/>
  </si>
  <si>
    <t>　　　　　　　　　　　　　　　　　　　　　　　　　　　　　　　　　　　　　　　　　　　　　　　　　　　　　　　　　　　　　　　　　　　　　　　　　　　　　　　　　　　　　　　　　　　　　　　　　　　　　　　　　　　　　　　　　　　　　　　　　　　　　　　　　　　　　　　　　　　　　　　　　　　　　　　　　　　　　　　　　　　　　　　　　　　　　　　　　　　　　　　　　　　　　　　　　　　　　　　　　　　　　　　　　　　　　　　　　　　　　　　　　　　　　　　　　　　　　　　　　　　　　　　　　　　　　　　　　　　　　　　　　　　　　　　　　　　　　　　　　　　　　　　　　　　　　　　　　　　　　　　　　　　　　　　　　　　　　　　　　　　　　　　　　　　　　　　　　　　　　　　　　　　　　　　　　　　　　　　　　　　　　　　　　　　　　　　　　　　　　　　　　　　　　　　　　　　　　　　　　　　　　　　　　　　　　　　　　　　　　　　　　　　　　　　　　　　　　　　　　　　　　　　　　　　　　　　　　　　　　　　　　　　　　　　　　　　　　　　　　　　　　　　　　　　　　　　　　　　　　　　　　　　　　　　　　　　　　　　　　　　　　　　　　　　　　　　　　　　　　　　　　　　　　　　　　　　　　　　　　　　　　　　　　　　　　　　　　　　　　　　　　　　　　　　　　　　　　　　　　　　　　　　　　　　　　　　　　　　　　　　　　　　　　　　　　　　　　　　　　　　　　　　　　　　　　　　　　　　　　　　　　　　　　　　　　　　　　　　　　　　　　　　　　　　　　　　　　　　　　　　　　　　　　　　　　　　　　　　　　　　　　　　　　　　　　　</t>
    <phoneticPr fontId="1"/>
  </si>
  <si>
    <t>様式４</t>
    <rPh sb="0" eb="2">
      <t>ヨウシキ</t>
    </rPh>
    <phoneticPr fontId="1"/>
  </si>
  <si>
    <t>令和３年度実績</t>
    <rPh sb="0" eb="2">
      <t>レイワ</t>
    </rPh>
    <rPh sb="3" eb="5">
      <t>ネンド</t>
    </rPh>
    <rPh sb="5" eb="7">
      <t>ジッセキ</t>
    </rPh>
    <phoneticPr fontId="1"/>
  </si>
  <si>
    <t>令和４年度予定</t>
    <rPh sb="0" eb="2">
      <t>レイワ</t>
    </rPh>
    <rPh sb="3" eb="5">
      <t>ネンド</t>
    </rPh>
    <rPh sb="5" eb="7">
      <t>ヨテイ</t>
    </rPh>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</si>
  <si>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</si>
  <si>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</si>
  <si>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</si>
  <si>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</si>
  <si>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</si>
  <si>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</si>
  <si>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②自己点検・評価体制における意見等を公表しているアドレス</t>
    <phoneticPr fontId="1"/>
  </si>
  <si>
    <t>③現在進行中の社会変化（第４次産業革命、Society 5.0、データ駆動型社会等）に深く寄与しているものであり、それが自らの生活と密接に結びついている」の内容を含む授業科目</t>
    <rPh sb="1" eb="3">
      <t>ゲンザイ</t>
    </rPh>
    <rPh sb="3" eb="5">
      <t>シンコウ</t>
    </rPh>
    <rPh sb="5" eb="6">
      <t>チュウ</t>
    </rPh>
    <rPh sb="7" eb="9">
      <t>シャカイ</t>
    </rPh>
    <rPh sb="9" eb="11">
      <t>ヘンカ</t>
    </rPh>
    <rPh sb="12" eb="13">
      <t>ダイ</t>
    </rPh>
    <rPh sb="14" eb="15">
      <t>ジ</t>
    </rPh>
    <rPh sb="15" eb="17">
      <t>サンギョウ</t>
    </rPh>
    <rPh sb="17" eb="19">
      <t>カクメイ</t>
    </rPh>
    <rPh sb="35" eb="37">
      <t>クドウ</t>
    </rPh>
    <rPh sb="37" eb="38">
      <t>ガタ</t>
    </rPh>
    <rPh sb="38" eb="40">
      <t>シャカイ</t>
    </rPh>
    <rPh sb="40" eb="41">
      <t>トウ</t>
    </rPh>
    <rPh sb="43" eb="44">
      <t>フカ</t>
    </rPh>
    <rPh sb="45" eb="47">
      <t>キヨ</t>
    </rPh>
    <rPh sb="60" eb="61">
      <t>ミズカ</t>
    </rPh>
    <rPh sb="63" eb="65">
      <t>セイカツ</t>
    </rPh>
    <rPh sb="66" eb="68">
      <t>ミッセツ</t>
    </rPh>
    <rPh sb="69" eb="70">
      <t>ムス</t>
    </rPh>
    <rPh sb="78" eb="80">
      <t>ナイヨウ</t>
    </rPh>
    <rPh sb="81" eb="82">
      <t>フク</t>
    </rPh>
    <rPh sb="83" eb="85">
      <t>ジュギョウ</t>
    </rPh>
    <rPh sb="85" eb="87">
      <t>カモク</t>
    </rPh>
    <phoneticPr fontId="1"/>
  </si>
  <si>
    <t>④「社会で活用されているデータ」や「データの活用領域」は非常に広範囲であって、日常生活や社会の課題を解決する有用なツールになり得るもの」の内容を含む授業科目</t>
    <rPh sb="2" eb="4">
      <t>シャカイ</t>
    </rPh>
    <rPh sb="5" eb="7">
      <t>カツヨウ</t>
    </rPh>
    <rPh sb="22" eb="24">
      <t>カツヨウ</t>
    </rPh>
    <rPh sb="24" eb="26">
      <t>リョウイキ</t>
    </rPh>
    <rPh sb="28" eb="30">
      <t>ヒジョウ</t>
    </rPh>
    <rPh sb="31" eb="34">
      <t>コウハンイ</t>
    </rPh>
    <rPh sb="39" eb="41">
      <t>ニチジョウ</t>
    </rPh>
    <rPh sb="41" eb="43">
      <t>セイカツ</t>
    </rPh>
    <rPh sb="44" eb="46">
      <t>シャカイ</t>
    </rPh>
    <rPh sb="47" eb="49">
      <t>カダイ</t>
    </rPh>
    <rPh sb="50" eb="52">
      <t>カイケツ</t>
    </rPh>
    <rPh sb="54" eb="56">
      <t>ユウヨウ</t>
    </rPh>
    <rPh sb="63" eb="64">
      <t>ウ</t>
    </rPh>
    <rPh sb="69" eb="71">
      <t>ナイヨウ</t>
    </rPh>
    <phoneticPr fontId="1"/>
  </si>
  <si>
    <t>1-2</t>
    <phoneticPr fontId="1"/>
  </si>
  <si>
    <t>1-3</t>
    <phoneticPr fontId="1"/>
  </si>
  <si>
    <t>⑤「様々なデータ利活用の現場におけるデータ利活用事例が示され、様々な適用領域（流通、製造、金融、サービス、インフラ、公共、ヘルスケア等）の知見と組み合わせることで価値を創出するもの」の内容を含む授業科目</t>
    <rPh sb="2" eb="4">
      <t>サマザマ</t>
    </rPh>
    <rPh sb="8" eb="11">
      <t>リカツヨウ</t>
    </rPh>
    <rPh sb="12" eb="14">
      <t>ゲンバ</t>
    </rPh>
    <rPh sb="21" eb="24">
      <t>リカツヨウ</t>
    </rPh>
    <rPh sb="24" eb="26">
      <t>ジレイ</t>
    </rPh>
    <rPh sb="27" eb="28">
      <t>シメ</t>
    </rPh>
    <rPh sb="31" eb="33">
      <t>サマザマ</t>
    </rPh>
    <rPh sb="34" eb="36">
      <t>テキヨウ</t>
    </rPh>
    <rPh sb="36" eb="38">
      <t>リョウイキ</t>
    </rPh>
    <rPh sb="39" eb="41">
      <t>リュウツウ</t>
    </rPh>
    <rPh sb="42" eb="44">
      <t>セイゾウ</t>
    </rPh>
    <rPh sb="45" eb="47">
      <t>キンユウ</t>
    </rPh>
    <rPh sb="58" eb="60">
      <t>コウキョウ</t>
    </rPh>
    <rPh sb="66" eb="67">
      <t>ナド</t>
    </rPh>
    <rPh sb="69" eb="71">
      <t>チケン</t>
    </rPh>
    <rPh sb="72" eb="73">
      <t>ク</t>
    </rPh>
    <rPh sb="74" eb="75">
      <t>ア</t>
    </rPh>
    <rPh sb="81" eb="83">
      <t>カチ</t>
    </rPh>
    <rPh sb="84" eb="86">
      <t>ソウシュツ</t>
    </rPh>
    <phoneticPr fontId="1"/>
  </si>
  <si>
    <t>1-4</t>
    <phoneticPr fontId="1"/>
  </si>
  <si>
    <t>1-5</t>
    <phoneticPr fontId="1"/>
  </si>
  <si>
    <t>⑥「活用に当たっての様々な留意事項（ELSI、個人情報、データ倫理、ＡＩ社会原則等）を考慮し、情報セキュリティや情報漏洩等、データを守る上での留意事項への理解をする」の内容を含む授業科目</t>
    <rPh sb="2" eb="4">
      <t>カツヨウ</t>
    </rPh>
    <rPh sb="5" eb="6">
      <t>ア</t>
    </rPh>
    <rPh sb="10" eb="12">
      <t>サマザマ</t>
    </rPh>
    <rPh sb="13" eb="15">
      <t>リュウイ</t>
    </rPh>
    <rPh sb="15" eb="17">
      <t>ジコウ</t>
    </rPh>
    <rPh sb="23" eb="25">
      <t>コジン</t>
    </rPh>
    <rPh sb="25" eb="27">
      <t>ジョウホウ</t>
    </rPh>
    <rPh sb="31" eb="33">
      <t>リンリ</t>
    </rPh>
    <rPh sb="36" eb="38">
      <t>シャカイ</t>
    </rPh>
    <rPh sb="38" eb="40">
      <t>ゲンソク</t>
    </rPh>
    <rPh sb="40" eb="41">
      <t>ナド</t>
    </rPh>
    <rPh sb="43" eb="45">
      <t>コウリョ</t>
    </rPh>
    <rPh sb="47" eb="49">
      <t>ジョウホウ</t>
    </rPh>
    <rPh sb="56" eb="58">
      <t>ジョウホウ</t>
    </rPh>
    <rPh sb="58" eb="60">
      <t>ロウエイ</t>
    </rPh>
    <rPh sb="60" eb="61">
      <t>ナド</t>
    </rPh>
    <rPh sb="66" eb="67">
      <t>マモ</t>
    </rPh>
    <rPh sb="68" eb="69">
      <t>ウエ</t>
    </rPh>
    <rPh sb="71" eb="73">
      <t>リュウイ</t>
    </rPh>
    <rPh sb="73" eb="75">
      <t>ジコウ</t>
    </rPh>
    <rPh sb="77" eb="79">
      <t>リカイ</t>
    </rPh>
    <phoneticPr fontId="1"/>
  </si>
  <si>
    <t>⑦「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</si>
  <si>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2-2</t>
    <phoneticPr fontId="1"/>
  </si>
  <si>
    <t>2-3</t>
    <phoneticPr fontId="1"/>
  </si>
  <si>
    <t>⑧選択「４．オプション」の内容を含む授業科目</t>
    <rPh sb="13" eb="15">
      <t>ナイヨウ</t>
    </rPh>
    <rPh sb="16" eb="17">
      <t>フク</t>
    </rPh>
    <rPh sb="18" eb="20">
      <t>ジュギョウ</t>
    </rPh>
    <rPh sb="20" eb="22">
      <t>カモク</t>
    </rPh>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</si>
  <si>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</si>
  <si>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</si>
  <si>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</si>
  <si>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必修</t>
    <rPh sb="0" eb="2">
      <t>ヒッシュウ</t>
    </rPh>
    <phoneticPr fontId="1"/>
  </si>
  <si>
    <t>単位数</t>
    <rPh sb="0" eb="3">
      <t>タンイスウ</t>
    </rPh>
    <phoneticPr fontId="1"/>
  </si>
  <si>
    <t>⑨プログラムを構成する授業の内容</t>
    <phoneticPr fontId="1"/>
  </si>
  <si>
    <t>⑩プログラムの学修成果（学生等が身に付けられる能力等）</t>
    <phoneticPr fontId="1"/>
  </si>
  <si>
    <t>⑪プログラムの授業内容等を公表しているアドレス</t>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</si>
  <si>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</si>
  <si>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</si>
  <si>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</si>
  <si>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東京経済大学</t>
    <rPh sb="0" eb="2">
      <t>トウキョウ</t>
    </rPh>
    <rPh sb="2" eb="4">
      <t>ケイザイ</t>
    </rPh>
    <rPh sb="4" eb="6">
      <t>ダイガク</t>
    </rPh>
    <phoneticPr fontId="1"/>
  </si>
  <si>
    <t>学校法人　東京経済大学</t>
    <phoneticPr fontId="1"/>
  </si>
  <si>
    <t>私立大学</t>
  </si>
  <si>
    <t>東京都国分寺市南町1-7-34</t>
  </si>
  <si>
    <t>データサイエンス・スタンダード</t>
    <phoneticPr fontId="1"/>
  </si>
  <si>
    <t>無</t>
  </si>
  <si>
    <t>令和3</t>
    <rPh sb="0" eb="2">
      <t>レイワ</t>
    </rPh>
    <phoneticPr fontId="1"/>
  </si>
  <si>
    <t>データサイエンス教育運営委員会</t>
    <rPh sb="8" eb="10">
      <t>キョウイク</t>
    </rPh>
    <rPh sb="10" eb="12">
      <t>ウンエイ</t>
    </rPh>
    <rPh sb="12" eb="15">
      <t>イインカイ</t>
    </rPh>
    <phoneticPr fontId="1"/>
  </si>
  <si>
    <t>認定教育プログラム</t>
  </si>
  <si>
    <t>学務部学務課</t>
    <rPh sb="0" eb="3">
      <t>ガクムブ</t>
    </rPh>
    <rPh sb="3" eb="6">
      <t>ガクムカ</t>
    </rPh>
    <phoneticPr fontId="1"/>
  </si>
  <si>
    <t>042-328-7757</t>
  </si>
  <si>
    <t>学部・学科によって、修了要件は相違する</t>
  </si>
  <si>
    <t>様式２－２</t>
    <phoneticPr fontId="1"/>
  </si>
  <si>
    <t>現代法学部・現代法学科</t>
    <rPh sb="0" eb="2">
      <t>ゲンダイ</t>
    </rPh>
    <rPh sb="2" eb="5">
      <t>ホウガクブ</t>
    </rPh>
    <rPh sb="6" eb="8">
      <t>ゲンダイ</t>
    </rPh>
    <rPh sb="8" eb="11">
      <t>ホウガッカ</t>
    </rPh>
    <phoneticPr fontId="1"/>
  </si>
  <si>
    <t>キャリアデザインプログラム</t>
  </si>
  <si>
    <t>一部開講</t>
  </si>
  <si>
    <t>○</t>
  </si>
  <si>
    <t>経営統計ａ</t>
    <rPh sb="0" eb="2">
      <t>ケイエイ</t>
    </rPh>
    <rPh sb="2" eb="4">
      <t>トウケイ</t>
    </rPh>
    <phoneticPr fontId="1"/>
  </si>
  <si>
    <t>経営統計ｂ</t>
    <rPh sb="0" eb="2">
      <t>ケイエイ</t>
    </rPh>
    <rPh sb="2" eb="4">
      <t>トウケイ</t>
    </rPh>
    <phoneticPr fontId="1"/>
  </si>
  <si>
    <t>情報産業論</t>
    <rPh sb="0" eb="2">
      <t>ジョウホウ</t>
    </rPh>
    <rPh sb="2" eb="4">
      <t>サンギョウ</t>
    </rPh>
    <rPh sb="4" eb="5">
      <t>ロン</t>
    </rPh>
    <phoneticPr fontId="1"/>
  </si>
  <si>
    <t>経営情報システム論ａ</t>
    <rPh sb="0" eb="2">
      <t>ケイエイ</t>
    </rPh>
    <rPh sb="2" eb="4">
      <t>ジョウホウ</t>
    </rPh>
    <rPh sb="8" eb="9">
      <t>ロン</t>
    </rPh>
    <phoneticPr fontId="1"/>
  </si>
  <si>
    <t>経営情報システム論ｂ</t>
    <rPh sb="0" eb="2">
      <t>ケイエイ</t>
    </rPh>
    <rPh sb="2" eb="4">
      <t>ジョウホウ</t>
    </rPh>
    <rPh sb="8" eb="9">
      <t>ロン</t>
    </rPh>
    <phoneticPr fontId="1"/>
  </si>
  <si>
    <t>プログラミングA</t>
  </si>
  <si>
    <t>プログラミングA</t>
    <phoneticPr fontId="1"/>
  </si>
  <si>
    <t>ビジネスプログラミング</t>
  </si>
  <si>
    <t>ビジネスプログラミング</t>
    <phoneticPr fontId="1"/>
  </si>
  <si>
    <t>マーケティング・リサーチ</t>
  </si>
  <si>
    <t>マーケティング・リサーチ</t>
    <phoneticPr fontId="1"/>
  </si>
  <si>
    <t>データサイエンスと機械学習</t>
    <rPh sb="9" eb="13">
      <t>キカイガクシュウ</t>
    </rPh>
    <phoneticPr fontId="1"/>
  </si>
  <si>
    <t>データサイエンス入門</t>
    <rPh sb="8" eb="10">
      <t>ニュウモン</t>
    </rPh>
    <phoneticPr fontId="1"/>
  </si>
  <si>
    <t>経営数理入門ａ</t>
    <rPh sb="0" eb="2">
      <t>ケイエイ</t>
    </rPh>
    <rPh sb="2" eb="4">
      <t>スウリ</t>
    </rPh>
    <rPh sb="4" eb="6">
      <t>ニュウモン</t>
    </rPh>
    <phoneticPr fontId="1"/>
  </si>
  <si>
    <t>経営数理入門ｂ</t>
    <rPh sb="0" eb="2">
      <t>ケイエイ</t>
    </rPh>
    <rPh sb="2" eb="4">
      <t>スウリ</t>
    </rPh>
    <rPh sb="4" eb="6">
      <t>ニュウモン</t>
    </rPh>
    <phoneticPr fontId="1"/>
  </si>
  <si>
    <t>企業金融論ａ</t>
    <rPh sb="0" eb="2">
      <t>キギョウ</t>
    </rPh>
    <rPh sb="2" eb="5">
      <t>キンユウロン</t>
    </rPh>
    <phoneticPr fontId="1"/>
  </si>
  <si>
    <t>情報産業論</t>
    <rPh sb="0" eb="2">
      <t>ジョウホウ</t>
    </rPh>
    <rPh sb="2" eb="5">
      <t>サンギョウロン</t>
    </rPh>
    <phoneticPr fontId="1"/>
  </si>
  <si>
    <t>企業金融論ｂ</t>
    <rPh sb="0" eb="2">
      <t>キギョウ</t>
    </rPh>
    <rPh sb="2" eb="5">
      <t>キンユウロン</t>
    </rPh>
    <phoneticPr fontId="1"/>
  </si>
  <si>
    <t>〇</t>
    <phoneticPr fontId="1"/>
  </si>
  <si>
    <t xml:space="preserve">2021年度から本プログラムが運用されているので、修了者の進路・活躍状況、企業等の評価については2022年度以降になる。
</t>
    <phoneticPr fontId="1"/>
  </si>
  <si>
    <t>2021年度から本プログラムが運用されているので、修了者の進路・活躍状況、企業等の評価については2022年度以降になる。</t>
    <phoneticPr fontId="1"/>
  </si>
  <si>
    <t>2021年度に実施した担当教員アンケートの結果から、数理・データサイエンス・AIを「学ぶ楽しさ」「学ぶことの意義」を理解させることについて、一定程度は対応していると考えられる。
ただし、まだ1年間のみの実績であるので、今後とも教育方法等を改善・向上させていくことが必要であると考えている。特に、DS委員会が、全学的な調整について主導的な役割を果たすことが求められるため、「数理・データサイエンス教育強化拠点コンソーシアム」やデータサイエンスの関連学会等が主催するワークショップ・研究会などに参加して情報収集し、担当教員へのFDを実施することが今後の課題である。</t>
    <phoneticPr fontId="1"/>
  </si>
  <si>
    <t>2021年度の各科目の授業アンケート結果から、一定程度の理解度は得られていると考えられるが、引き続き改善・向上を目指すことが必要と思われる。この点についても、担当教員によるFDを実施することが必要であると考えられる。</t>
    <phoneticPr fontId="1"/>
  </si>
  <si>
    <t>東京経済大学データサイエンス教育運営委員会規程</t>
    <phoneticPr fontId="1"/>
  </si>
  <si>
    <t>本プログラムにおいて取り上げるデータサイエンス科目を学修することにより、データサイエンスに関する知識と技能を基礎（リテラシーレベル）から修得することができる。これにより、実践的な知力が深められ、幅広い教養と専門的な知力に裏付けられた総合的な判断力を身につけることが可能となり、新たな価値を創造することにもつながるものと考えられる。AI時代を迎えた現代社会における諸問題に対応する人材を育成するためにも、実践的な知力の一部としてデータサイエンスの知識と技能を身につけることが必要である。</t>
    <phoneticPr fontId="1"/>
  </si>
  <si>
    <t>フレッシャーズ・セミナーｂ（小暮）</t>
    <rPh sb="14" eb="16">
      <t>コグレ</t>
    </rPh>
    <phoneticPr fontId="1"/>
  </si>
  <si>
    <t>フレッシャーズ・セミナーｂ（木下、金、藤谷）</t>
    <rPh sb="14" eb="16">
      <t>キノシタ</t>
    </rPh>
    <rPh sb="17" eb="18">
      <t>キン</t>
    </rPh>
    <rPh sb="19" eb="21">
      <t>フジタニ</t>
    </rPh>
    <phoneticPr fontId="1"/>
  </si>
  <si>
    <t>フレッシャーズ・セミナーｂ（小暮）</t>
    <rPh sb="14" eb="16">
      <t>コグレ</t>
    </rPh>
    <phoneticPr fontId="1"/>
  </si>
  <si>
    <t>様式２－３</t>
    <phoneticPr fontId="1"/>
  </si>
  <si>
    <t>様式２－４</t>
    <phoneticPr fontId="1"/>
  </si>
  <si>
    <t>様式２－５</t>
    <phoneticPr fontId="1"/>
  </si>
  <si>
    <t>社会調査入門</t>
    <rPh sb="0" eb="2">
      <t>シャカイ</t>
    </rPh>
    <rPh sb="2" eb="4">
      <t>チョウサ</t>
    </rPh>
    <rPh sb="4" eb="6">
      <t>ニュウモン</t>
    </rPh>
    <phoneticPr fontId="1"/>
  </si>
  <si>
    <t>〇</t>
    <phoneticPr fontId="1"/>
  </si>
  <si>
    <t>メディアコミュニケーション基礎</t>
    <rPh sb="13" eb="15">
      <t>キソ</t>
    </rPh>
    <phoneticPr fontId="1"/>
  </si>
  <si>
    <t>ネットワーク社会論</t>
  </si>
  <si>
    <t>ネットワーク社会論</t>
    <phoneticPr fontId="1"/>
  </si>
  <si>
    <t>デジタル・マーケティング論</t>
  </si>
  <si>
    <t>デジタル・マーケティング論</t>
    <phoneticPr fontId="1"/>
  </si>
  <si>
    <t>デジタル・マーケティング論</t>
    <rPh sb="12" eb="13">
      <t>ロン</t>
    </rPh>
    <phoneticPr fontId="1"/>
  </si>
  <si>
    <t>情報通信産業論</t>
  </si>
  <si>
    <t>情報通信産業論</t>
    <phoneticPr fontId="1"/>
  </si>
  <si>
    <t>コンテンツ産業論</t>
    <phoneticPr fontId="1"/>
  </si>
  <si>
    <t>データサイエンスと機械学習</t>
  </si>
  <si>
    <t>データサイエンスと機械学習</t>
    <phoneticPr fontId="1"/>
  </si>
  <si>
    <t>データサイエンスと機械学習</t>
    <rPh sb="9" eb="11">
      <t>キカイ</t>
    </rPh>
    <rPh sb="11" eb="13">
      <t>ガクシュウ</t>
    </rPh>
    <phoneticPr fontId="1"/>
  </si>
  <si>
    <t>数理の科学ａ／数理の科学Ⅱａ</t>
  </si>
  <si>
    <t>数理の科学ａ／数理の科学Ⅱａ</t>
    <phoneticPr fontId="1"/>
  </si>
  <si>
    <t>数理の科学ｂ／数理の科学Ⅱｂ</t>
  </si>
  <si>
    <t>数理の科学ｂ／数理の科学Ⅱｂ</t>
    <phoneticPr fontId="1"/>
  </si>
  <si>
    <t>全学開講</t>
  </si>
  <si>
    <t>コンピュータ・リテラシー応用Ⅰ</t>
    <rPh sb="12" eb="14">
      <t>オウヨウ</t>
    </rPh>
    <phoneticPr fontId="1"/>
  </si>
  <si>
    <t>社会科学におけるデータサイエンス</t>
    <rPh sb="0" eb="4">
      <t>シャカイカガク</t>
    </rPh>
    <phoneticPr fontId="1"/>
  </si>
  <si>
    <t>社会科学におけるデータサイエンス</t>
    <rPh sb="0" eb="2">
      <t>シャカイ</t>
    </rPh>
    <rPh sb="2" eb="4">
      <t>カガク</t>
    </rPh>
    <phoneticPr fontId="1"/>
  </si>
  <si>
    <t>インターネットメディア論／ソーシャルメディア論</t>
  </si>
  <si>
    <t>インターネットメディア論／ソーシャルメディア論</t>
    <phoneticPr fontId="1"/>
  </si>
  <si>
    <t>社会科学におけるデータサイエンス</t>
    <rPh sb="0" eb="2">
      <t>シャカイ</t>
    </rPh>
    <rPh sb="2" eb="4">
      <t>カガク</t>
    </rPh>
    <phoneticPr fontId="1"/>
  </si>
  <si>
    <t>社会調査法基礎／福祉調査</t>
    <phoneticPr fontId="1"/>
  </si>
  <si>
    <t>社会調査／応用福祉調査</t>
    <phoneticPr fontId="1"/>
  </si>
  <si>
    <t>データサイエンス教育運営委員長</t>
    <rPh sb="8" eb="10">
      <t>キョウイク</t>
    </rPh>
    <rPh sb="10" eb="12">
      <t>ウンエイ</t>
    </rPh>
    <rPh sb="12" eb="15">
      <t>イインチョウ</t>
    </rPh>
    <phoneticPr fontId="1"/>
  </si>
  <si>
    <t>網中　真志</t>
    <rPh sb="0" eb="2">
      <t>アミナカ</t>
    </rPh>
    <rPh sb="3" eb="5">
      <t>マサシ</t>
    </rPh>
    <phoneticPr fontId="1"/>
  </si>
  <si>
    <t>dsoffice@s.tku.ac.jp</t>
    <phoneticPr fontId="1"/>
  </si>
  <si>
    <t>インターネットメディア論／ソーシャルメディア論</t>
    <phoneticPr fontId="1"/>
  </si>
  <si>
    <t>社会科学におけるデータサイエンス</t>
    <phoneticPr fontId="1"/>
  </si>
  <si>
    <t>プログラミングA</t>
    <phoneticPr fontId="1"/>
  </si>
  <si>
    <t>ビジネスプログラミング</t>
    <phoneticPr fontId="1"/>
  </si>
  <si>
    <t>マーケティング・リサーチ</t>
    <phoneticPr fontId="1"/>
  </si>
  <si>
    <t>数理の科学ａ／数理の科学Ⅱａ</t>
    <phoneticPr fontId="1"/>
  </si>
  <si>
    <t>計量経済学ａ</t>
    <rPh sb="0" eb="2">
      <t>ケイリョウ</t>
    </rPh>
    <rPh sb="2" eb="5">
      <t>ケイザイガク</t>
    </rPh>
    <phoneticPr fontId="1"/>
  </si>
  <si>
    <t>計量経済学ｂ</t>
    <rPh sb="0" eb="2">
      <t>ケイリョウ</t>
    </rPh>
    <rPh sb="2" eb="5">
      <t>ケイザイガク</t>
    </rPh>
    <phoneticPr fontId="1"/>
  </si>
  <si>
    <t>経済データ分析ａ</t>
    <rPh sb="0" eb="2">
      <t>ケイザイ</t>
    </rPh>
    <rPh sb="5" eb="7">
      <t>ブンセキ</t>
    </rPh>
    <phoneticPr fontId="1"/>
  </si>
  <si>
    <t>経済データ分析ｂ</t>
    <rPh sb="0" eb="2">
      <t>ケイザイ</t>
    </rPh>
    <rPh sb="5" eb="7">
      <t>ブンセキ</t>
    </rPh>
    <phoneticPr fontId="1"/>
  </si>
  <si>
    <t>データサイエンスと機械学習</t>
    <rPh sb="9" eb="13">
      <t>キカイガクシュウ</t>
    </rPh>
    <phoneticPr fontId="1"/>
  </si>
  <si>
    <t>経済統計ａ</t>
    <rPh sb="0" eb="2">
      <t>ケイザイ</t>
    </rPh>
    <rPh sb="2" eb="4">
      <t>トウケイ</t>
    </rPh>
    <phoneticPr fontId="1"/>
  </si>
  <si>
    <t>経済統計ｂ</t>
    <rPh sb="0" eb="2">
      <t>ケイザイ</t>
    </rPh>
    <rPh sb="2" eb="4">
      <t>トウケイ</t>
    </rPh>
    <phoneticPr fontId="1"/>
  </si>
  <si>
    <t>様式２－１</t>
    <phoneticPr fontId="1"/>
  </si>
  <si>
    <t>データで学ぶ経済学</t>
    <rPh sb="4" eb="5">
      <t>マナ</t>
    </rPh>
    <rPh sb="6" eb="8">
      <t>ケイザイ</t>
    </rPh>
    <rPh sb="8" eb="9">
      <t>ガク</t>
    </rPh>
    <phoneticPr fontId="1"/>
  </si>
  <si>
    <t>経済数学入門ｂ（中村）</t>
    <rPh sb="0" eb="4">
      <t>ケイザイスウガク</t>
    </rPh>
    <rPh sb="4" eb="6">
      <t>ニュウモン</t>
    </rPh>
    <rPh sb="8" eb="10">
      <t>ナカムラ</t>
    </rPh>
    <phoneticPr fontId="1"/>
  </si>
  <si>
    <t>計量経済学ｂ</t>
    <rPh sb="0" eb="5">
      <t>ケイリョウケイザイガク</t>
    </rPh>
    <phoneticPr fontId="1"/>
  </si>
  <si>
    <t>数理の科学ａ／数理の科学Ⅱａ</t>
    <rPh sb="0" eb="2">
      <t>スウリ</t>
    </rPh>
    <rPh sb="3" eb="5">
      <t>カガク</t>
    </rPh>
    <rPh sb="7" eb="9">
      <t>スウリ</t>
    </rPh>
    <rPh sb="10" eb="12">
      <t>カガク</t>
    </rPh>
    <phoneticPr fontId="1"/>
  </si>
  <si>
    <t>数理の科学ｂ／数理の科学Ⅱｂ</t>
    <rPh sb="0" eb="2">
      <t>スウリ</t>
    </rPh>
    <rPh sb="3" eb="5">
      <t>カガク</t>
    </rPh>
    <rPh sb="7" eb="9">
      <t>スウリ</t>
    </rPh>
    <rPh sb="10" eb="12">
      <t>カガク</t>
    </rPh>
    <phoneticPr fontId="1"/>
  </si>
  <si>
    <t>経営統計a</t>
    <rPh sb="0" eb="2">
      <t>ケイエイ</t>
    </rPh>
    <rPh sb="2" eb="4">
      <t>トウケイ</t>
    </rPh>
    <phoneticPr fontId="1"/>
  </si>
  <si>
    <t>経営情報システム論ａ</t>
    <rPh sb="0" eb="4">
      <t>ケイエイジョウホウ</t>
    </rPh>
    <rPh sb="8" eb="9">
      <t>ロン</t>
    </rPh>
    <phoneticPr fontId="1"/>
  </si>
  <si>
    <t>経営情報システム論ｂ</t>
    <rPh sb="0" eb="4">
      <t>ケイエイジョウホウ</t>
    </rPh>
    <rPh sb="8" eb="9">
      <t>ロン</t>
    </rPh>
    <phoneticPr fontId="1"/>
  </si>
  <si>
    <t>経済数学入門ａ（浜野）</t>
    <rPh sb="0" eb="4">
      <t>ケイザイスウガク</t>
    </rPh>
    <rPh sb="4" eb="6">
      <t>ニュウモン</t>
    </rPh>
    <rPh sb="8" eb="10">
      <t>ハマノ</t>
    </rPh>
    <phoneticPr fontId="1"/>
  </si>
  <si>
    <t>〇</t>
  </si>
  <si>
    <t>マーケティング・リサーチ</t>
    <phoneticPr fontId="1"/>
  </si>
  <si>
    <t>・「フレッシャーズ・セミナーｂ（小暮）」（6回目）、・「経営統計ａ」（1回目）、・「経営統計ｂ」（13、14回目）、・「情報産業論」（13、14回目）、・「経営情報システム論ａ」（2回目）、・「経営情報システム論ｂ」（4回目）、・「プログラミングA」（3回目）、・「ビジネスプログラミング」（1、2回目）、・「マーケティング・リサーチ」（14回目）、・「データサイエンスと機械学習」（1、14回目）、・「データサイエンス入門」（4回目）、・「数理の科学ａ／数理の科学Ⅱａ」（1回目）、・「数理の科学ｂ／数理の科学Ⅱｂ」（1回目）、・「社会科学におけるデータサイエンス」（1、2、4回目）</t>
    <rPh sb="16" eb="18">
      <t>コグレ</t>
    </rPh>
    <phoneticPr fontId="1"/>
  </si>
  <si>
    <t>・「フレッシャーズ・セミナーｂ（小暮）」（2回目）、・「フレッシャーズ・セミナーｂ（木下、金、藤谷）」（2～4回目）、・「経営統計ａ」（3回目）、・「経営統計ｂ」（5回目）、・「経営情報システム論ａ」（5回目）、・「経営情報システム論ｂ」（12、13回目）、・「プログラミングA」（5回目）、・「ビジネスプログラミング」（1、2回目）、・「マーケティング・リサーチ」（4回目）、・「データサイエンスと機械学習」（12回目）、・「データサイエンス入門」（1回目）、・「数理の科学ａ／数理の科学Ⅱａ」（2～7回目）、・「数理の科学ｂ／数理の科学Ⅱｂ」（1回目）、・「社会科学におけるデータサイエンス」（10～12回目）、・「計量経済学ａ」（3回目）、・「計量経済学ｂ」（3～14回目）、・「経済データ分析ａ」（3、4回目）、・「経済データ分析ｂ」（3～14回目）、・「経済統計ａ」（4～14回目）、・「経済統計ｂ」（2～12回目）</t>
    <phoneticPr fontId="1"/>
  </si>
  <si>
    <t>・「経営数理入門ａ」（14回目）、・「経営数理入門ｂ」（14回目）、・「フレッシャーズ・セミナーｂ（小暮）」（4回目）、・「経営統計ａ」（5～13回目）、・「経営統計ｂ」（2回目）、・「経営情報システム論ａ」（9～13回目）、・「経営情報システム論ｂ」（10、11回目）、・「プログラミングA」（5～28回目）、・「ビジネスプログラミング」（1、2回目）、・「マーケティング・リサーチ」（3、6～8回目）、・「データサイエンスと機械学習」（8回目）、・「データサイエンス入門」（4回目）、・「数理の科学ａ／数理の科学Ⅱａ」（2～7回目）、・「数理の科学ｂ／数理の科学Ⅱｂ」（2～15回目）、・「社会科学におけるデータサイエンス」（3回目）、・「計量経済学ａ」（3～14回目）、・「計量経済学ｂ」（3～14回目）、・「経済データ分析ａ」（5～14回目）、・「経済データ分析ｂ」（3～14回目）、・「経済統計ａ」（5～13回目）、・「経済統計ｂ」（2～13回目）</t>
    <rPh sb="50" eb="52">
      <t>コグレ</t>
    </rPh>
    <phoneticPr fontId="1"/>
  </si>
  <si>
    <t>・「フレッシャーズ・セミナーｂ（小暮）」（5回目）、・「経営統計ａ」（5～13回目）、・「経営統計ｂ」（5、10、13回目）、・「情報産業論」（2～13回目）、・「企業金融論ｂ」（3、8、9回目）、・「経営情報システム論ａ」（10、12、13回目）、・「経営情報システム論ｂ」（5～9回目）、・「プログラミングA」（2回目）、・「ビジネスプログラミング」（1、2回目）、・「マーケティング・リサーチ」（14回目）、・「データサイエンスと機械学習」（12回目）、・「データサイエンス入門」（4、12回目）、・「数理の科学ａ／数理の科学Ⅱａ」（2～7回目）、・「数理の科学ｂ／数理の科学Ⅱｂ」（1、15回目）、・「社会科学におけるデータサイエンス」（2回目）、・「計量経済学ａ」（11、13、14回目）、・「計量経済学ｂ」（4、6、8、10、12、14回目）、・「経済データ分析ａ」（4～8回目）、・「経済データ分析ｂ」（4、6、8、10、12、14回目）、・「経済統計ａ」（5～14回目）、・「経済統計ｂ」（3～14回目）</t>
    <rPh sb="16" eb="18">
      <t>コグレ</t>
    </rPh>
    <rPh sb="95" eb="97">
      <t>カイメ</t>
    </rPh>
    <phoneticPr fontId="1"/>
  </si>
  <si>
    <t>・「経営数理入門ｂ」（13回目）、・「フレッシャーズ・セミナーｂ（小暮）」（14回目）、・「経営統計ａ」（13回目）、・「経営統計ｂ」（6、11、14回目）、・「ビジネスプログラミング」（29、30回目）、・「マーケティング・リサーチ」（2回目）、・「データサイエンスと機械学習」（14回目）、・「データサイエンス入門」（12回目）、・「社会科学におけるデータサイエンス」（9回目）</t>
    <rPh sb="33" eb="35">
      <t>コグレ</t>
    </rPh>
    <phoneticPr fontId="1"/>
  </si>
  <si>
    <t>・「経営数理入門ａ」（2、3回目）、・「経営数理入門ｂ」（2、6～13回目）、・「フレッシャーズ・セミナーｂ（小暮）」（7回目）、・「フレッシャーズ・セミナーｂ（木下、金、藤谷）」（8～13回目）、・「経営統計ａ」（3～13回目）、・「経営統計ｂ」（3回目）、・「企業金融論ａ」（11回目）、・「企業金融論ｂ」（5、8、9回目）、・「経営情報システム論ａ」（9～13回目）、・「経営情報システム論ｂ」（3、4回目）、・「プログラミングA」（5、6、23、24回目）、・「ビジネスプログラミング」（6回目）、・「マーケティング・リサーチ」（5回目）、・「データサイエンスと機械学習」（6、7回目）、・「データサイエンス入門」（4回目）、・「数理の科学ａ／数理の科学Ⅱａ」（2、7回目）、・「数理の科学ｂ／数理の科学Ⅱｂ」（2～15回目）、・「コンピュータ・リテラシー応用Ⅰ」（1、9回目）、・「社会科学におけるデータサイエンス」（5、8回目）、・「計量経済学ａ」（2～14回目）、・「計量経済学ｂ」（2～14回目）、・「経済データ分析ａ」（3～14回目）、・「経済データ分析ｂ」（3～14回目）、・「経済統計ａ」（4～14回目）、・「経済統計ｂ」（3～13回目）</t>
    <rPh sb="55" eb="57">
      <t>コグレ</t>
    </rPh>
    <rPh sb="81" eb="83">
      <t>キノシタ</t>
    </rPh>
    <rPh sb="84" eb="85">
      <t>キン</t>
    </rPh>
    <rPh sb="86" eb="88">
      <t>フジタニ</t>
    </rPh>
    <phoneticPr fontId="1"/>
  </si>
  <si>
    <t>・「データで学ぶ経済学」（2、3回目）、・「経済数学入門ｂ（中村）」（1回目）、・「計量経済学ａ」（1、2回目）、・「計量経済学ｂ」（1回目）、・「経済データ分析ａ」（1回目）、・「経済データ分析ｂ」（1回目）、・「経済統計ａ」（1、14回目）、・「経済統計ｂ」（1、2回目）、・「数理の科学ａ／数理の科学Ⅱａ」（1回目）、・「数理の科学ｂ／数理の科学Ⅱｂ」（1回目）、・「社会科学におけるデータサイエンス」（1、2、4回目）、・「経営統計ａ」（1回目）、・「経営統計ｂ」（1回目）、・「経営情報システム論ａ」（2回目）、・「経営情報システム論ｂ」（2回目）、・「マーケティング・リサーチ」（1回目）、・「データサイエンスと機械学習」（1回目）</t>
    <rPh sb="6" eb="7">
      <t>マナ</t>
    </rPh>
    <rPh sb="8" eb="10">
      <t>ケイザイ</t>
    </rPh>
    <rPh sb="10" eb="11">
      <t>ガク</t>
    </rPh>
    <rPh sb="16" eb="18">
      <t>カイメ</t>
    </rPh>
    <rPh sb="22" eb="24">
      <t>ケイザイ</t>
    </rPh>
    <rPh sb="24" eb="26">
      <t>スウガク</t>
    </rPh>
    <rPh sb="26" eb="28">
      <t>ニュウモン</t>
    </rPh>
    <rPh sb="30" eb="32">
      <t>ナカムラ</t>
    </rPh>
    <rPh sb="36" eb="38">
      <t>カイメ</t>
    </rPh>
    <phoneticPr fontId="1"/>
  </si>
  <si>
    <t>・「データで学ぶ経済学」（3回目）、・「数理の科学ａ／数理の科学Ⅱａ」（1回目）、・「数理の科学ｂ／数理の科学Ⅱｂ」（1回目）、・「社会科学におけるデータサイエンス」（1、2、4回目）、・「経営統計ａ」（1回目）、・「経営統計ｂ」（13、14回目）、・「経営情報システム論ａ」（2回目）、・「経営情報システム論ｂ」（4回目）、・「マーケティング・リサーチ」（14回目）、・「データサイエンスと機械学習」（1、14回目）</t>
    <rPh sb="6" eb="7">
      <t>マナ</t>
    </rPh>
    <rPh sb="8" eb="11">
      <t>ケイザイガク</t>
    </rPh>
    <rPh sb="14" eb="16">
      <t>カイメ</t>
    </rPh>
    <phoneticPr fontId="1"/>
  </si>
  <si>
    <t>・「データで学ぶ経済学」（4、6回目）、・「経済数学入門ａ（浜野）」（6回目）、・「計量経済学ａ」（3回目）、・「計量経済学ｂ」（3～14回目）、・「経済データ分析ａ」（3、4回目）、・「経済データ分析ｂ」（3～14回目）、・「経済統計ａ」（4～14回目）、・「経済統計ｂ」（2～12回目）、・「数理の科学ａ／数理の科学Ⅱａ」（2～7回目）、・「数理の科学ｂ／数理の科学Ⅱｂ」（1回目）、・「社会科学におけるデータサイエンス」（10～12回目）、・「経営統計ａ」（3回目）、・「経営統計ｂ」（5回目）、・「経営情報システム論ａ」（5回目）、・「経営情報システム論ｂ」（12、13回目）、・「マーケティング・リサーチ」（4回目）、・「データサイエンスと機械学習」（12回目）</t>
    <rPh sb="6" eb="7">
      <t>マナ</t>
    </rPh>
    <rPh sb="8" eb="11">
      <t>ケイザイガク</t>
    </rPh>
    <rPh sb="16" eb="18">
      <t>カイメ</t>
    </rPh>
    <rPh sb="22" eb="24">
      <t>ケイザイ</t>
    </rPh>
    <rPh sb="24" eb="26">
      <t>スウガク</t>
    </rPh>
    <rPh sb="26" eb="28">
      <t>ニュウモン</t>
    </rPh>
    <rPh sb="30" eb="32">
      <t>ハマノ</t>
    </rPh>
    <rPh sb="36" eb="38">
      <t>カイメ</t>
    </rPh>
    <phoneticPr fontId="1"/>
  </si>
  <si>
    <t>・「データで学ぶ経済学」（7～12回目）、・「経済数学入門ａ（浜野）」（6～11、13回目）、・「経済数学入門ｂ（中村）」（2～14回目）、・「計量経済学ａ」（3～14回目）、・「計量経済学ｂ」（3～14回目）、・「経済データ分析ａ」（5～14回目）、・「経済データ分析ｂ」（3～14回目）、・「経済統計ａ」（5～13回目）、・「経済統計ｂ」（2～13回目）、・「数理の科学ａ／数理の科学Ⅱａ」（2～7回目）、・「数理の科学ｂ／数理の科学Ⅱｂ」（2～15回目）、・「社会科学におけるデータサイエンス」（3回目）、・「経営統計ａ」（5～13回目）、・「経営統計ｂ」（2回目）、・「経営情報システム論ａ」（9～13回目）、・「経営情報システム論ｂ」（10、11回目）、・「マーケティング・リサーチ」（3、6～8回目）、・「データサイエンスと機械学習」（8回目）</t>
    <rPh sb="49" eb="51">
      <t>ケイザイ</t>
    </rPh>
    <rPh sb="51" eb="53">
      <t>スウガク</t>
    </rPh>
    <rPh sb="53" eb="55">
      <t>ニュウモン</t>
    </rPh>
    <rPh sb="57" eb="59">
      <t>ナカムラ</t>
    </rPh>
    <phoneticPr fontId="1"/>
  </si>
  <si>
    <t>・「データで学ぶ経済学」（13回目）、・「経済数学入門ａ（浜野）」（6、9回目）、・「経済数学入門ｂ（中村）」（5、7回目）、・「計量経済学ａ」（11、13、14回目）、・「計量経済学ｂ」（4、6、8、10、12、14回目）、・「経済データ分析ａ」（4～8回目）、・「経済データ分析ｂ」（4、6、8、10、12、14回目）、・「経済統計ａ」（5～14回目）、・「経済統計ｂ」（3～14回目）、・「数理の科学ａ／数理の科学Ⅱａ」（2～7回目）、・「数理の科学ｂ／数理の科学Ⅱｂ」（1、15回目）、・「社会科学におけるデータサイエンス」（2回目）、・「経営統計ａ」（5～13回目）、・「経営統計ｂ」（5、10、13回目）、・「企業金融論ｂ」（3、8、9回目）、・「経営情報システム論ａ」（10、12、13回目）、・「経営情報システム論ｂ」（5～9回目）、・「マーケティング・リサーチ」（14回目）、・「データサイエンスと機械学習」（12回目）</t>
    <phoneticPr fontId="1"/>
  </si>
  <si>
    <t>・「データで学ぶ経済学」（4、10、14回目）、・「社会科学におけるデータサイエンス」（9回目）、・「経営統計ａ」（13回目）、・「経営統計ｂ」（6、11、14回目）、・「マーケティング・リサーチ」（2回目）、・「データサイエンスと機械学習」（14回目）</t>
    <phoneticPr fontId="1"/>
  </si>
  <si>
    <t>・「データで学ぶ経済学」（5～9回目）、・「経済数学入門ａ（浜野）」（6、13回目）、・「経済数学入門ｂ（中村）」（2～4回目）、・「計量経済学ａ」（2～14回目）、・「計量経済学ｂ」（2～14回目）、・「経済データ分析ａ」（3～14回目）、・「経済データ分析ｂ」（3～14回目）、・「経済統計ａ」（4～14回目）、・「経済統計ｂ」（3～13回目）、・「数理の科学ａ／数理の科学Ⅱａ」（2、7回目）、・「数理の科学ｂ／数理の科学Ⅱｂ」（2～15回目）、・「コンピュータ・リテラシー応用Ⅰ」（1、9回目）、・「社会科学におけるデータサイエンス」（5、8回目）、・「経営統計ａ」（3～13回目）、・「経営統計ｂ」（3回目）、・「企業金融論ａ」（11回目）、・「企業金融論ｂ」（5、8、9回目）、・「経営情報システム論ａ」（9～13回目）、・「経営情報システム論ｂ」（3、4回目）、・「マーケティング・リサーチ」（5回目）、・「データサイエンスと機械学習」（6、7回目）</t>
    <phoneticPr fontId="1"/>
  </si>
  <si>
    <t>・「経営数理入門ａ」（2、3回目）、・「経営数理入門ｂ」（2、13回目）、・「フレッシャーズ・セミナーｂ（木下、金、藤谷）」（8回～13回目）、・「フレッシャーズ・セミナーｂ（小暮）」（8回～11回目）、・「経営統計ａ」（14、15回目）、・「経営統計ｂ」（5、6回目）、・「企業金融論ａ」（11回目）、・「企業金融論ｂ」（8、9回目）、・「経営情報システム論ａ」（9～13回目）、・「経営情報システム論ｂ」（10、11回目）、・「プログラミングA」（25～30回目）、・「ビジネスプログラミング」（7回目）、・「マーケティング・リサーチ」（17回目）、・「データサイエンスと機械学習」（6、7、10、11回目）、・「データサイエンス入門」（4回目）、・「数理の科学ａ／数理の科学Ⅱａ」（2～7回目）、・「数理の科学ｂ／数理の科学Ⅱｂ」（2～15回目）、・「コンピュータ・リテラシー応用Ⅰ」（4、8、15回目）、・「社会科学におけるデータサイエンス」（8、10回目）、・「計量経済学ａ」（9回目）、・「計量経済学ｂ」（3～14回目）、・「経済データ分析ａ」（6～14回目）、・「経済データ分析ｂ」（3～14回目）、・「経済統計ａ」（4～14回目）、・「経済統計ｂ」（3～13回目）</t>
    <rPh sb="53" eb="55">
      <t>キノシタ</t>
    </rPh>
    <rPh sb="56" eb="57">
      <t>キン</t>
    </rPh>
    <rPh sb="58" eb="60">
      <t>フジタニ</t>
    </rPh>
    <rPh sb="64" eb="65">
      <t>カイ</t>
    </rPh>
    <rPh sb="68" eb="69">
      <t>カイ</t>
    </rPh>
    <rPh sb="69" eb="70">
      <t>メ</t>
    </rPh>
    <rPh sb="88" eb="90">
      <t>コグレ</t>
    </rPh>
    <rPh sb="146" eb="147">
      <t>カイ</t>
    </rPh>
    <rPh sb="147" eb="148">
      <t>メ</t>
    </rPh>
    <phoneticPr fontId="1"/>
  </si>
  <si>
    <t>・「データで学ぶ経済学」（10回目）、・「経済数学入門ａ（浜野）」（8、12回目）、・「経済数学入門ｂ（中村）」（5、7回目）、・「計量経済学ａ」（9回目）、・「計量経済学ｂ」（3～14回目）、・「経済データ分析ａ」（6～14回目）、・「経済データ分析ｂ」（3～14回目）、・「経済統計ａ」（4～14回目）、・「経済統計ｂ」（3～13回目）、・「数理の科学ａ／数理の科学Ⅱａ」（2～7回目）、・「数理の科学ｂ／数理の科学Ⅱｂ」（2～15回目）、・「コンピュータ・リテラシー応用Ⅰ」（4、8、15回目）、・「社会科学におけるデータサイエンス」（8、10回目）、・「経営統計ａ」（14、15回目）、・「経営統計ｂ」（5、6回目）、・「企業金融論ａ」（11回目）、・「企業金融論ｂ」（8、9回目）、・「経営情報システム論ａ」（9～13回目）、・「経営情報システム論ｂ」（10、11回目）、・「マーケティング・リサーチ」（17回目）、・「データサイエンスと機械学習」（6、7、10、11回目）</t>
    <phoneticPr fontId="1"/>
  </si>
  <si>
    <t>・「フレッシャーズ・セミナーｂ（木下、金、藤谷）」（8回～13回目）、・「フレッシャーズ・セミナーｂ（小暮）」（12回目）、・「経営統計ａ」（2、3回目）、・「経営統計ｂ」（2回目）、・「企業金融論ａ」（11回目）、・「企業金融論ｂ」（5回目）、・「経営情報システム論ａ」（9～13回目）、・「経営情報システム論ｂ」（10、11回目）、・「プログラミングA」（5～28回目）、・「ビジネスプログラミング」（5回目）、・「マーケティング・リサーチ」（16、19、25、27、28回目）、・「データサイエンスと機械学習」（2～14回目）、・「データサイエンス入門」（4回目）、・「数理の科学ａ／数理の科学Ⅱａ」（2～15回目）、・「数理の科学ｂ／数理の科学Ⅱｂ」（2～15回目）、・「コンピュータ・リテラシー応用Ⅰ」（3～13回目）、・「社会科学におけるデータサイエンス」（13～15回目）、・「計量経済学ａ」（7～14回目）、・「計量経済学ｂ」（3～14回目）、・「経済データ分析ａ」（3～14回目）、・「経済データ分析ｂ」（3～14回目）、・「経済統計ａ」（4～14回目）、・「経済統計ｂ」（3～13回目）</t>
    <phoneticPr fontId="1"/>
  </si>
  <si>
    <t>・「データで学ぶ経済学」（11～12回目）、・「経済数学入門ａ（浜野）」（13回目）、・「経済数学入門ｂ（中村）」（7～14回目）、・「計量経済学ａ」（7～14回目）、・「計量経済学ｂ」（3～14回目）、・「経済データ分析ａ」（3～14回目）、・「経済データ分析ｂ」（3～14回目）、・「経済統計ａ」（4～14回目）、・「経済統計ｂ」（3～13回目）、・「数理の科学ａ／数理の科学Ⅱａ」（2～15回目）、・「数理の科学ｂ／数理の科学Ⅱｂ」（2～15回目）、・「コンピュータ・リテラシー応用Ⅰ」（3～13回目）、・「社会科学におけるデータサイエンス」（13～15回目）、・「経営統計ａ」（2、3回目）、・「経営統計ｂ」（2回目）、・「企業金融論ａ」（11回目）、・「企業金融論ｂ」（5回目）、・「経営情報システム論ａ」（9～13回目）、・「経営情報システム論ｂ」（10、11回目）、・「マーケティング・リサーチ」（16、19、25、27、28回目）、・「データサイエンスと機械学習」（2～14回目）</t>
    <phoneticPr fontId="1"/>
  </si>
  <si>
    <t>・「データサイエンスと機械学習」（13回目）、・「社会科学におけるデータサイエンス」（9回目）</t>
    <phoneticPr fontId="1"/>
  </si>
  <si>
    <t>・「データサイエンスと機械学習」（14回目）、・「社会科学におけるデータサイエンス」（9回目）</t>
    <phoneticPr fontId="1"/>
  </si>
  <si>
    <t>・「インターネットメディア論／ソーシャルメディア論」（2～10回目）、・「データサイエンスと機械学習」（1回目）、・「数理の科学ａ／数理の科学Ⅱａ」（1回目）、・「数理の科学ｂ／数理の科学Ⅱｂ」（1回目）、・「社会科学におけるデータサイエンス」（1、2、4回目）</t>
    <rPh sb="31" eb="32">
      <t>カイ</t>
    </rPh>
    <rPh sb="32" eb="33">
      <t>メ</t>
    </rPh>
    <phoneticPr fontId="1"/>
  </si>
  <si>
    <t>・「データサイエンスと機械学習」（12回目）、・「数理の科学ａ／数理の科学Ⅱａ」（2～7回目）、・「数理の科学ｂ／数理の科学Ⅱｂ」（1回目）、・「社会科学におけるデータサイエンス」（10～12回目）</t>
    <phoneticPr fontId="1"/>
  </si>
  <si>
    <t>・「データサイエンスと機械学習」（8回目）、・「数理の科学ａ／数理の科学Ⅱａ」（2～7回目）、・「数理の科学ｂ／数理の科学Ⅱｂ」（2～15回目）、・「社会科学におけるデータサイエンス」（3回目）</t>
    <phoneticPr fontId="1"/>
  </si>
  <si>
    <t>・「データサイエンスと機械学習」（12回目）、・「数理の科学ａ／数理の科学Ⅱａ」（2～7回目）、・「数理の科学ｂ／数理の科学Ⅱｂ」（1、15回目）、・「社会科学におけるデータサイエンス」（2回目）</t>
    <phoneticPr fontId="1"/>
  </si>
  <si>
    <t>・「数理の科学ａ／数理の科学Ⅱａ」（1回目）、・「数理の科学ｂ／数理の科学Ⅱｂ」（1回目）、・「社会科学におけるデータサイエンス」（1、2、4回目）</t>
    <phoneticPr fontId="1"/>
  </si>
  <si>
    <t>・「数理の科学ａ／数理の科学Ⅱａ」（2～7回目）、・「数理の科学ｂ／数理の科学Ⅱｂ」（1回目）、・「社会科学におけるデータサイエンス」（10～12回目）</t>
    <phoneticPr fontId="1"/>
  </si>
  <si>
    <t>・「数理の科学ａ／数理の科学Ⅱａ」（1回目）、・「数理の科学ｂ／数理の科学Ⅱｂ」（1、15回目）、・「社会科学におけるデータサイエンス」（2回目）</t>
    <phoneticPr fontId="1"/>
  </si>
  <si>
    <t>・「数理の科学ａ／数理の科学Ⅱａ」（2～7回目）、・「数理の科学ｂ／数理の科学Ⅱｂ」（2～15回目）、・「社会科学におけるデータサイエンス」（3回目）</t>
    <phoneticPr fontId="1"/>
  </si>
  <si>
    <t>・「数理の科学ａ／数理の科学Ⅱａ」（2～7回目）、・「数理の科学ｂ／数理の科学Ⅱｂ」（1、15回目）、・「社会科学におけるデータサイエンス」（2回目）</t>
    <phoneticPr fontId="1"/>
  </si>
  <si>
    <t>・「社会科学におけるデータサイエンス」（9回目）</t>
    <phoneticPr fontId="1"/>
  </si>
  <si>
    <t>・「数理の科学ａ／数理の科学Ⅱａ」（2、7回目）、・「数理の科学ｂ／数理の科学Ⅱｂ」（2～15回目）、・「コンピュータ・リテラシー応用Ⅰ」（1、9回目）、・「社会科学におけるデータサイエンス」（5、8回目）</t>
    <rPh sb="65" eb="67">
      <t>オウヨウ</t>
    </rPh>
    <rPh sb="73" eb="75">
      <t>カイメ</t>
    </rPh>
    <phoneticPr fontId="1"/>
  </si>
  <si>
    <t>・「数理の科学ａ／数理の科学Ⅱａ」（2～7回目）、・「数理の科学ｂ／数理の科学Ⅱｂ」（2～15回目）、・「コンピュータ・リテラシー応用Ⅰ」（4、8、15回目）、・「社会科学におけるデータサイエンス」（8、10回目）</t>
    <rPh sb="65" eb="67">
      <t>オウヨウ</t>
    </rPh>
    <rPh sb="76" eb="78">
      <t>カイメ</t>
    </rPh>
    <phoneticPr fontId="1"/>
  </si>
  <si>
    <t>・「数理の科学ａ／数理の科学Ⅱａ」（2～15回目）、・「数理の科学ｂ／数理の科学Ⅱｂ」（2～15回目）、・「コンピュータ・リテラシー応用Ⅰ」（3～13回目）、・「社会科学におけるデータサイエンス」（13～15回目）</t>
    <rPh sb="66" eb="68">
      <t>オウヨウ</t>
    </rPh>
    <rPh sb="75" eb="77">
      <t>カイメ</t>
    </rPh>
    <phoneticPr fontId="1"/>
  </si>
  <si>
    <t>・「データで学ぶ経済学」（3回目）、・「計量経済学ａ」（2回目）、・「計量経済学ｂ」（4、6、8、10、12、14回目）、・「経済データ分析ａ」（2回目）、・「経済データ分析ｂ」（4、6、8、10、12、14回目）、・「経済統計ａ」（2～14回目）、・「経済統計ｂ」（2～12回目）、・「数理の科学ａ／数理の科学Ⅱａ」（1回目）、・「数理の科学ｂ／数理の科学Ⅱｂ」（1、15回目）、・「社会科学におけるデータサイエンス」（2回目）、・「経営統計ａ」（5～13回目）、・「経営統計ｂ」（1回目）、・「企業金融論ａ」（14回目）、・「経営情報システム論ａ」（9回目）、・「経営情報システム論ｂ」（8回目）、・「マーケティング・リサーチ」（29回目）、・「データサイエンスと機械学習」（12回目）</t>
    <rPh sb="6" eb="7">
      <t>マナ</t>
    </rPh>
    <rPh sb="8" eb="11">
      <t>ケイザイガク</t>
    </rPh>
    <rPh sb="14" eb="16">
      <t>カイメ</t>
    </rPh>
    <rPh sb="249" eb="254">
      <t>キギョウキンユウロン</t>
    </rPh>
    <phoneticPr fontId="1"/>
  </si>
  <si>
    <t>・「ネットワーク社会論」（11回目）、・「デジタル・マーケティング論」（14回目）、・「情報通信産業論」（13、14回目）、・「インターネットメディア論／ソーシャルメディア論」（9～15回目）、・「データサイエンスと機械学習」（1、14回目）、・「数理の科学ａ／数理の科学Ⅱａ」（1回目）、・「数理の科学ｂ／数理の科学Ⅱｂ」（1回目）、・「社会科学におけるデータサイエンス」（1、2、4回目）</t>
    <phoneticPr fontId="1"/>
  </si>
  <si>
    <t>・「デジタル・マーケティング論」（7,10,13回目）、・「データサイエンスと機械学習」（12回目）、・「数理の科学ａ／数理の科学Ⅱａ」（2～7回目）、・「数理の科学ｂ／数理の科学Ⅱｂ」（1回目）、・「社会科学におけるデータサイエンス」（10～12回）</t>
    <phoneticPr fontId="1"/>
  </si>
  <si>
    <t>・「ネットワーク社会論」（11回目）、・「デジタル・マーケティング論」（3～14回目）、・「情報通信産業論」（2～12回目）、・「インターネットメディア論／ソーシャルメディア論」（13、14回目）、・「データサイエンスと機械学習」（12回目）、・「数理の科学ａ／数理の科学Ⅱａ」（1回目）、・「数理の科学ｂ／数理の科学Ⅱｂ」（1、15回目）、・「社会科学におけるデータサイエンス」（2回目）</t>
    <rPh sb="48" eb="50">
      <t>ツウシン</t>
    </rPh>
    <phoneticPr fontId="1"/>
  </si>
  <si>
    <t>・「ネットワーク社会論」（11～15回目）、・「デジタル・マーケティング論」（3～14回目）、・「情報通信産業論」（2～13回目）、・「コンテンツ産業論」（13～15回目）、・「データサイエンスと機械学習」（12回目）、・「数理の科学ａ／数理の科学Ⅱａ」（2～7回目）、・「数理の科学ｂ／数理の科学Ⅱｂ」（1、15回目）、・「社会科学におけるデータサイエンス」（2回目）</t>
    <rPh sb="51" eb="53">
      <t>ツウシン</t>
    </rPh>
    <rPh sb="83" eb="85">
      <t>カイメ</t>
    </rPh>
    <phoneticPr fontId="1"/>
  </si>
  <si>
    <r>
      <t>・「インターネットメディア論／ソーシャルメディア論」（</t>
    </r>
    <r>
      <rPr>
        <sz val="12"/>
        <rFont val="ＭＳ Ｐゴシック"/>
        <family val="3"/>
        <charset val="128"/>
        <scheme val="minor"/>
      </rPr>
      <t>9～15回目）、・「データサイエンスと機械学習」（1、14回目）、・「数理の科学ａ／数理の科学Ⅱａ」（1回目）、・「数理の科学ｂ／数理の科学Ⅱｂ」（1回目）、・「社会科学におけるデータサイエンス」（1、2、4回目）</t>
    </r>
    <phoneticPr fontId="1"/>
  </si>
  <si>
    <r>
      <t>・「インターネットメディア論／ソーシャルメディア論」（</t>
    </r>
    <r>
      <rPr>
        <sz val="12"/>
        <rFont val="ＭＳ Ｐゴシック"/>
        <family val="3"/>
        <charset val="128"/>
        <scheme val="minor"/>
      </rPr>
      <t>13、14回目）、・「データサイエンスと機械学習」（12回目）、・「数理の科学ａ／数理の科学Ⅱａ」（1回目）、・「数理の科学ｂ／数理の科学Ⅱｂ」（1、15回目）、・「社会科学におけるデータサイエンス」（2回目）</t>
    </r>
    <phoneticPr fontId="1"/>
  </si>
  <si>
    <t>・「社会調査法基礎／福祉調査」（2～15回目）、・「社会調査／応用福祉調査」（1～10回目）、・「データサイエンスと機械学習」（6、7回目）、・「数理の科学ａ／数理の科学Ⅱａ」（2、7回目）、・「数理の科学ｂ／数理の科学Ⅱｂ」（2～15回目）、・「コンピュータ・リテラシー応用Ⅰ」（1、9回目）、・「社会科学におけるデータサイエンス」（5、8回目）</t>
    <rPh sb="20" eb="21">
      <t>カイ</t>
    </rPh>
    <rPh sb="21" eb="22">
      <t>メ</t>
    </rPh>
    <rPh sb="43" eb="45">
      <t>カイメ</t>
    </rPh>
    <rPh sb="136" eb="138">
      <t>オウヨウ</t>
    </rPh>
    <rPh sb="144" eb="146">
      <t>カイメ</t>
    </rPh>
    <phoneticPr fontId="1"/>
  </si>
  <si>
    <t>・「社会調査法基礎／福祉調査」（2～15回目）、・「社会調査／応用福祉調査」（10～15回目）、・「データサイエンスと機械学習」（6、7、10、11回目）、・「数理の科学ａ／数理の科学Ⅱａ」（2～7回目）、・「数理の科学ｂ／数理の科学Ⅱｂ」（2～15回目）、・「コンピュータ・リテラシー応用Ⅰ」（4、8、15回目）、・「社会科学におけるデータサイエンス」（8、10回目）</t>
    <rPh sb="143" eb="145">
      <t>オウヨウ</t>
    </rPh>
    <rPh sb="154" eb="156">
      <t>カイメ</t>
    </rPh>
    <phoneticPr fontId="1"/>
  </si>
  <si>
    <r>
      <t>・「社会調査法基礎／福祉調査」（</t>
    </r>
    <r>
      <rPr>
        <sz val="12"/>
        <rFont val="ＭＳ Ｐゴシック"/>
        <family val="3"/>
        <charset val="128"/>
        <scheme val="minor"/>
      </rPr>
      <t>2～15回目）、・「社会調査／応用福祉調査」（1～10回目）、・「データサイエンスと機械学習」（2～14回目）、・「数理の科学ａ／数理の科学Ⅱａ」（2～15回目）、・「数理の科学ｂ／数理の科学Ⅱｂ」（2～15回目）、・「コンピュータ・リテラシー応用Ⅰ」（3～13回目）、・「社会科学におけるデータサイエンス」（13～15回目）</t>
    </r>
    <rPh sb="138" eb="140">
      <t>オウヨウ</t>
    </rPh>
    <rPh sb="147" eb="149">
      <t>カイメ</t>
    </rPh>
    <phoneticPr fontId="1"/>
  </si>
  <si>
    <t>○</t>
    <phoneticPr fontId="1"/>
  </si>
  <si>
    <t>社会調査ワークショップ（藤井）</t>
    <rPh sb="0" eb="2">
      <t>シャカイ</t>
    </rPh>
    <rPh sb="2" eb="4">
      <t>チョウサ</t>
    </rPh>
    <rPh sb="12" eb="14">
      <t>フジイ</t>
    </rPh>
    <phoneticPr fontId="1"/>
  </si>
  <si>
    <t>社会調査ワークショップ（柴内、佐々木、志岐）</t>
    <rPh sb="0" eb="2">
      <t>シャカイ</t>
    </rPh>
    <rPh sb="2" eb="4">
      <t>チョウサ</t>
    </rPh>
    <rPh sb="12" eb="14">
      <t>シバナイ</t>
    </rPh>
    <rPh sb="15" eb="18">
      <t>ササキ</t>
    </rPh>
    <rPh sb="19" eb="21">
      <t>シキ</t>
    </rPh>
    <phoneticPr fontId="1"/>
  </si>
  <si>
    <t>　2021年度は初年度となるため、学修成果については正確に判断できない。
　2021年度の認定状況・単位修得状況等に加えて、2022年度の履修状況等と合わせて総合的に検討したうえで判断材料を確認したいと考えている。</t>
    <phoneticPr fontId="1"/>
  </si>
  <si>
    <t>開講している各科目の授業アンケートにおいて学生の理解度を個別に確認している。データサイエンス教育運営委員会において全学的な確認をして、次年度に向けて改善・向上について検討していく。</t>
    <phoneticPr fontId="1"/>
  </si>
  <si>
    <t>2021年度に開設したので、正確な確認はできていないが、2022年度の履修状況等から推察することは可能である。よって、2022年度中に調査をしたうえで、確認したいと考えている。</t>
    <phoneticPr fontId="1"/>
  </si>
  <si>
    <t>初年度である2021年度の履修者数・履修率を基に検討し、2022年度については対象科目や開講コマ数を増やす対応を行った。これにより、履修者数・履修率の向上を目指している。</t>
    <phoneticPr fontId="1"/>
  </si>
  <si>
    <t>学部に含む</t>
    <rPh sb="0" eb="2">
      <t>ガクブ</t>
    </rPh>
    <rPh sb="3" eb="4">
      <t>フク</t>
    </rPh>
    <phoneticPr fontId="1"/>
  </si>
  <si>
    <t>経済学部</t>
    <rPh sb="0" eb="4">
      <t>ケイザイガクブ</t>
    </rPh>
    <phoneticPr fontId="1"/>
  </si>
  <si>
    <t>経営学部</t>
    <rPh sb="0" eb="4">
      <t>ケイエイガクブ</t>
    </rPh>
    <phoneticPr fontId="1"/>
  </si>
  <si>
    <t>コミュニケーション学部</t>
    <rPh sb="9" eb="11">
      <t>ガクブ</t>
    </rPh>
    <phoneticPr fontId="1"/>
  </si>
  <si>
    <t>2021年度から開始したため、実績は2021年度の1年間のみである。
経済学部は入学定員530人、収容定員2120人に対し、履修者112人、修了者20人、履修率5.3％であった。 
経営学部は入学定員565人、収容定員2320人に対し、履修者114人、修了者28人、履修率4.9％であった。  
コミュニケーション学部は入学定員225人、収容定員960人に対し、履修者28人、修了者3人、履修率2.4％であった。  
現代法学部は入学定員250人、収容定員1040人に対し、履修者15人、修了者1人、履修率1.9％であった。  
キャリアデザインプログラム（入学定員及び収容定員は学部に含み、第2年次以降は各学部に所属）は履修者5人、修了者0人であった。 
全体では入学定員1570人、収容定員6440人に対し、履修者274人、修了者52人、履修率4.3％であった。  
履修者に対し、修了者が少ないのは複数年度にわたるプログラムで、開始初年度である要因が大きいと考えられる。
なお、この入学定員には編入学の定員を含んでいない。</t>
    <rPh sb="4" eb="6">
      <t>ネンド</t>
    </rPh>
    <rPh sb="8" eb="10">
      <t>カイシ</t>
    </rPh>
    <rPh sb="15" eb="17">
      <t>ジッセキ</t>
    </rPh>
    <rPh sb="22" eb="24">
      <t>ネンド</t>
    </rPh>
    <rPh sb="26" eb="28">
      <t>ネンカン</t>
    </rPh>
    <rPh sb="40" eb="42">
      <t>ニュウガク</t>
    </rPh>
    <rPh sb="42" eb="44">
      <t>テイイン</t>
    </rPh>
    <rPh sb="47" eb="48">
      <t>ニン</t>
    </rPh>
    <rPh sb="49" eb="51">
      <t>シュウヨウ</t>
    </rPh>
    <rPh sb="51" eb="53">
      <t>テイイン</t>
    </rPh>
    <rPh sb="57" eb="58">
      <t>ニン</t>
    </rPh>
    <rPh sb="59" eb="60">
      <t>タイ</t>
    </rPh>
    <rPh sb="62" eb="65">
      <t>リシュウシャ</t>
    </rPh>
    <rPh sb="68" eb="69">
      <t>ニン</t>
    </rPh>
    <rPh sb="70" eb="73">
      <t>シュウリョウシャ</t>
    </rPh>
    <rPh sb="75" eb="76">
      <t>ニン</t>
    </rPh>
    <rPh sb="77" eb="79">
      <t>リシュウ</t>
    </rPh>
    <rPh sb="79" eb="80">
      <t>リツ</t>
    </rPh>
    <rPh sb="103" eb="104">
      <t>ニン</t>
    </rPh>
    <rPh sb="167" eb="168">
      <t>ニン</t>
    </rPh>
    <rPh sb="222" eb="223">
      <t>ニン</t>
    </rPh>
    <rPh sb="279" eb="281">
      <t>ニュウガク</t>
    </rPh>
    <rPh sb="281" eb="283">
      <t>テイイン</t>
    </rPh>
    <rPh sb="283" eb="284">
      <t>オヨ</t>
    </rPh>
    <rPh sb="285" eb="287">
      <t>シュウヨウ</t>
    </rPh>
    <rPh sb="287" eb="289">
      <t>テイイン</t>
    </rPh>
    <rPh sb="296" eb="297">
      <t>ダイ</t>
    </rPh>
    <rPh sb="298" eb="300">
      <t>ネンジ</t>
    </rPh>
    <rPh sb="300" eb="302">
      <t>イコウ</t>
    </rPh>
    <rPh sb="303" eb="306">
      <t>カクガクブ</t>
    </rPh>
    <rPh sb="307" eb="309">
      <t>ショゾク</t>
    </rPh>
    <rPh sb="311" eb="314">
      <t>リシュウシャ</t>
    </rPh>
    <rPh sb="321" eb="322">
      <t>ニン</t>
    </rPh>
    <rPh sb="329" eb="331">
      <t>ゼンタイ</t>
    </rPh>
    <rPh sb="444" eb="446">
      <t>ニュウガク</t>
    </rPh>
    <rPh sb="446" eb="448">
      <t>テイイン</t>
    </rPh>
    <rPh sb="450" eb="452">
      <t>ヘンニュウ</t>
    </rPh>
    <rPh sb="452" eb="453">
      <t>ガク</t>
    </rPh>
    <rPh sb="454" eb="456">
      <t>テイイン</t>
    </rPh>
    <rPh sb="457" eb="458">
      <t>フク</t>
    </rPh>
    <phoneticPr fontId="1"/>
  </si>
  <si>
    <t>・「データで学ぶ経済学」（4、10、14回目）、・「計量経済学ｂ」（15回目）、・「経済データ分析ａ」（15回目）、・「経済データ分析ｂ」（15回目）、・「経済統計ａ」（14回目）、・「経済統計ｂ」（14回目）、・「社会科学におけるデータサイエンス」（9回目）、・「経営統計ａ」（10回目）、・「経営統計ｂ」（6、9、11、14回目）、・「マーケティング・リサーチ」（30回目）、・「データサイエンスと機械学習」（13回目）</t>
    <phoneticPr fontId="1"/>
  </si>
  <si>
    <t>・「フレッシャーズ・セミナーｂ（小暮）」（1回目）、・「フレッシャーズ・セミナーｂ（木下、金、藤谷）」（1回目）、・「経営統計ａ」（1回目）、・「経営統計ｂ」（1回目）、・「情報産業論」（2～12回目）、・「経営情報システム論ａ」（2回目）、・「経営情報システム論ｂ」（2回目）、・「プログラミングA」（2回目）、・「ビジネスプログラミング」（1、2回目）、・「マーケティング・リサーチ」（1回目）、・「データサイエンスと機械学習」（1回目）、・「データサイエンス入門」（1回目）、・「数理の科学ａ／数理の科学Ⅱａ」（1回目）、・「数理の科学ｂ／数理の科学Ⅱｂ」（1回目）、・「社会科学におけるデータサイエンス」（1、2、4回目）、・「計量経済学ａ」（1、2回目）、・「計量経済学ｂ」（1回目）、・「経済データ分析ａ」（1回目）、・「経済データ分析ｂ」（1回目）、・「経済統計ａ」（1、14回目）、・「経済統計ｂ」（1、2回目）</t>
    <rPh sb="318" eb="320">
      <t>ケイリョウ</t>
    </rPh>
    <rPh sb="320" eb="323">
      <t>ケイザイガク</t>
    </rPh>
    <rPh sb="329" eb="331">
      <t>カイメ</t>
    </rPh>
    <rPh sb="335" eb="337">
      <t>ケイリョウ</t>
    </rPh>
    <rPh sb="337" eb="339">
      <t>ケイザイ</t>
    </rPh>
    <rPh sb="339" eb="340">
      <t>ガク</t>
    </rPh>
    <rPh sb="344" eb="346">
      <t>カイメ</t>
    </rPh>
    <rPh sb="350" eb="352">
      <t>ケイザイ</t>
    </rPh>
    <rPh sb="355" eb="357">
      <t>ブンセキ</t>
    </rPh>
    <rPh sb="361" eb="363">
      <t>カイメ</t>
    </rPh>
    <rPh sb="384" eb="386">
      <t>ケイザイ</t>
    </rPh>
    <rPh sb="386" eb="388">
      <t>トウケイ</t>
    </rPh>
    <rPh sb="395" eb="397">
      <t>カイメ</t>
    </rPh>
    <rPh sb="401" eb="403">
      <t>ケイザイ</t>
    </rPh>
    <rPh sb="403" eb="405">
      <t>トウケイ</t>
    </rPh>
    <rPh sb="411" eb="413">
      <t>カイメ</t>
    </rPh>
    <phoneticPr fontId="1"/>
  </si>
  <si>
    <t>・「経営数理入門ａ」（9回目）、・「経営数理入門ｂ」（1回目）、・「フレッシャーズ・セミナーｂ（小暮）」（3回目）、・「経営統計ａ」（5～13回目）、・「経営統計ｂ」（1回目）、・「情報産業論」（2～12回目）、・「企業金融論ａ」（14回目）、・「経営情報システム論ａ」（9回目）、・「経営情報システム論ｂ」（8回目）、・「プログラミングA」（2回目）、・「ビジネスプログラミング」（1、2回目）、・「マーケティング・リサーチ」（29回目）、・「データサイエンスと機械学習」（12回目）、・「データサイエンス入門」（12回目）、・「数理の科学ａ／数理の科学Ⅱａ」（1回目）、・「数理の科学ｂ／数理の科学Ⅱｂ」（1、15回目）、・「社会科学におけるデータサイエンス」（2回目）、・「計量経済学ａ」（2回目）、・「計量経済学ｂ」（4、6、8、10、12、14回目）、・「経済データ分析ａ」（2回目）、・「経済データ分析ｂ」（4、6、8、10、12、14回目）、・「経済統計ａ」（2～14回目）、・「経済統計ｂ」（2～12回目）</t>
    <rPh sb="18" eb="24">
      <t>ケイエイスウリニュウモン</t>
    </rPh>
    <rPh sb="48" eb="50">
      <t>コグレ</t>
    </rPh>
    <rPh sb="91" eb="93">
      <t>ジョウホウ</t>
    </rPh>
    <rPh sb="93" eb="96">
      <t>サンギョウロン</t>
    </rPh>
    <rPh sb="108" eb="113">
      <t>キギョウキンユウロン</t>
    </rPh>
    <phoneticPr fontId="1"/>
  </si>
  <si>
    <t>・「経営数理入門ｂ」（11回目）、・「フレッシャーズ・セミナーｂ（小暮）」（13回目）、・「経営統計ａ」（10回目）、・「経営統計ｂ」（6、9、11、14回目）、・「ビジネスプログラミング」（29、30回目）、・「マーケティング・リサーチ」（30回目）、・「データサイエンスと機械学習」（13回目）、・「データサイエンス入門」（12回目）、・「社会科学におけるデータサイエンス」（9回目）、・「計量経済学ｂ」（15回目）、・「経済データ分析ａ」（15回目）、・「経済データ分析ｂ」（15回目）、・「経済統計ａ」（14回目）、・「経済統計ｂ」（14回目）</t>
    <rPh sb="33" eb="35">
      <t>コグレ</t>
    </rPh>
    <phoneticPr fontId="1"/>
  </si>
  <si>
    <t>・「社会調査入門」（6～15回目）、・「社会調査ワークショップ（藤井）」（9～15回目）、・「社会調査ワークショップ（柴内）」（3、5、14回目）、・「社会調査ワークショップ（佐々木）」（2～13回目）、・「社会調査ワークショップ（志岐）」（2～14回目）、・「データサイエンスと機械学習」（6、7回目）、・「数理の科学ａ／数理の科学Ⅱａ」（2、7回目）、・「数理の科学ｂ／数理の科学Ⅱｂ」（2～15回目）、・「コンピュータ・リテラシー応用Ⅰ」（1、9回目）、・「社会科学におけるデータサイエンス」（5、8回目）</t>
    <rPh sb="14" eb="16">
      <t>カイメ</t>
    </rPh>
    <rPh sb="218" eb="220">
      <t>オウヨウ</t>
    </rPh>
    <rPh sb="226" eb="228">
      <t>カイメ</t>
    </rPh>
    <phoneticPr fontId="1"/>
  </si>
  <si>
    <t>・「社会調査ワークショップ（柴内）」（4、6、9～13回目）、・「社会調査ワークショップ（佐々木）」（6、11回目）、・「社会調査ワークショップ（志岐）」（7～11回目）、・「データサイエンスと機械学習」（6、7、10、11回目）、・「数理の科学ａ／数理の科学Ⅱａ」（2～7回目）、・「数理の科学ｂ／数理の科学Ⅱｂ」（2～15回目）、・「コンピュータ・リテラシー応用Ⅰ」（4、8、15回目）、・「社会科学におけるデータサイエンス」（8、10回目）</t>
    <rPh sb="181" eb="183">
      <t>オウヨウ</t>
    </rPh>
    <rPh sb="192" eb="194">
      <t>カイメ</t>
    </rPh>
    <phoneticPr fontId="1"/>
  </si>
  <si>
    <t>・「社会調査ワークショップ（柴内）」（6～8回目）、・「社会調査ワークショップ（佐々木）」（3回目）、・「社会調査ワークショップ（志岐）」（3、4回目）、・「データサイエンスと機械学習」（2～14回目）、・「数理の科学ａ／数理の科学Ⅱａ」（2～15回目）、・「数理の科学ｂ／数理の科学Ⅱｂ」（2～15回目）、・「コンピュータ・リテラシー応用Ⅰ」（3～13回目）、・「社会科学におけるデータサイエンス」（13～15回目）</t>
    <rPh sb="168" eb="170">
      <t>オウヨウ</t>
    </rPh>
    <rPh sb="177" eb="179">
      <t>カイメ</t>
    </rPh>
    <phoneticPr fontId="1"/>
  </si>
  <si>
    <t>・「メディアコミュニケーション基礎」（2～14回目）、・「ネットワーク社会論」（1～11回目）、・「デジタル・マーケティング論」（1～3回目）、・「情報通信産業論」（2～12回目）、・「インターネットメディア論／ソーシャルメディア論」（2～10回目）、・「データサイエンスと機械学習」（1回目）、・「数理の科学ａ／数理の科学Ⅱａ」（1回目）、・「数理の科学ｂ／数理の科学Ⅱｂ」（1回目）、・「社会科学におけるデータサイエンス」（1、2、4回目）</t>
    <rPh sb="23" eb="24">
      <t>カイ</t>
    </rPh>
    <rPh sb="24" eb="25">
      <t>メ</t>
    </rPh>
    <rPh sb="44" eb="46">
      <t>カイメ</t>
    </rPh>
    <rPh sb="68" eb="70">
      <t>カイメ</t>
    </rPh>
    <rPh sb="76" eb="78">
      <t>ツウシン</t>
    </rPh>
    <rPh sb="122" eb="123">
      <t>カイ</t>
    </rPh>
    <rPh sb="123" eb="124">
      <t>メ</t>
    </rPh>
    <phoneticPr fontId="1"/>
  </si>
  <si>
    <t>次の取組を行っている。
・『履修の手引き』への掲載
・学生向けポータルサイトによる全学生への通知
・新学期授業開始前のガイダンスの実施及びその資料・動画の学生向け公開
・学習センターにおけるランチタイム講座の実施及びその動画の学生向け公開
・対象科目の授業開始時における案内</t>
    <rPh sb="0" eb="1">
      <t>ツギ</t>
    </rPh>
    <rPh sb="2" eb="4">
      <t>トリクミ</t>
    </rPh>
    <rPh sb="5" eb="6">
      <t>オコナ</t>
    </rPh>
    <rPh sb="14" eb="16">
      <t>リシュウ</t>
    </rPh>
    <rPh sb="17" eb="19">
      <t>テビ</t>
    </rPh>
    <rPh sb="23" eb="25">
      <t>ケイサイ</t>
    </rPh>
    <rPh sb="27" eb="29">
      <t>ガクセイ</t>
    </rPh>
    <rPh sb="29" eb="30">
      <t>ム</t>
    </rPh>
    <rPh sb="41" eb="44">
      <t>ゼンガクセイ</t>
    </rPh>
    <rPh sb="46" eb="48">
      <t>ツウチ</t>
    </rPh>
    <rPh sb="50" eb="53">
      <t>シンガッキ</t>
    </rPh>
    <rPh sb="53" eb="55">
      <t>ジュギョウ</t>
    </rPh>
    <rPh sb="55" eb="58">
      <t>カイシマエ</t>
    </rPh>
    <rPh sb="65" eb="67">
      <t>ジッシ</t>
    </rPh>
    <rPh sb="67" eb="68">
      <t>オヨ</t>
    </rPh>
    <rPh sb="71" eb="73">
      <t>シリョウ</t>
    </rPh>
    <rPh sb="74" eb="76">
      <t>ドウガ</t>
    </rPh>
    <rPh sb="77" eb="79">
      <t>ガクセイ</t>
    </rPh>
    <rPh sb="79" eb="80">
      <t>ム</t>
    </rPh>
    <rPh sb="81" eb="83">
      <t>コウカイ</t>
    </rPh>
    <rPh sb="85" eb="87">
      <t>ガクシュウ</t>
    </rPh>
    <rPh sb="101" eb="103">
      <t>コウザ</t>
    </rPh>
    <rPh sb="104" eb="106">
      <t>ジッシ</t>
    </rPh>
    <rPh sb="121" eb="123">
      <t>タイショウ</t>
    </rPh>
    <rPh sb="123" eb="125">
      <t>カモク</t>
    </rPh>
    <rPh sb="126" eb="128">
      <t>ジュギョウ</t>
    </rPh>
    <rPh sb="128" eb="131">
      <t>カイシジ</t>
    </rPh>
    <rPh sb="135" eb="137">
      <t>アンナイ</t>
    </rPh>
    <phoneticPr fontId="1"/>
  </si>
  <si>
    <t>規程により次の目的を定めている。
(1)　データサイエンス認定制度の運営及びプログラムの教育計画に関する事項
(2)　データサイエンス認定制度の申請及び継続業務に関する事項
(3)　プログラムに関わる認定制度の登録、認定及び修了証等発行に関する事項
(4)　プログラムの認定制度の予算に関する事項
(5)　プログラム等の認定制度の教育結果の報告、検討及び評価に関する事項
(6)　その他委員会の運営に関する事項</t>
    <rPh sb="0" eb="2">
      <t>キテイ</t>
    </rPh>
    <rPh sb="5" eb="6">
      <t>ツギ</t>
    </rPh>
    <rPh sb="7" eb="9">
      <t>モクテキ</t>
    </rPh>
    <rPh sb="10" eb="11">
      <t>サダ</t>
    </rPh>
    <rPh sb="97" eb="98">
      <t>カカ</t>
    </rPh>
    <phoneticPr fontId="1"/>
  </si>
  <si>
    <t>各学部及び全学共通教育センターに対応する授業の開講をデータサイエンス教育運営委員会から依頼し、全学的な連携を行っている。
全学共通教育センターにより全学向け授業を開講している。
2021年度開設初年度より、高学年学生向け授業も対応を行っており、全学年の受講が可能となっている。
データサイエンス教育運営委員会から各教授会、全学教務委員会及び教学改革推進会議に取組と結果に関する必要な報告を行っている。
経済学部・経営学部間では他学部開講授業での対応を行っている。
さらに、2022年度は2021年度より開講コマ数を増加させた。
図書館では経済・経営・法学分野での充実したデータベースを提供し、授業で活用されている。
PC教室およびPC自習室においても、必要な統計ソフト、プログラミング言語を準備し、学生の利用に供している。また、全学生は在学中に自己の複数のPC・パッド・スマートフォンに表計算ソフトをインストール可能としている。</t>
    <rPh sb="0" eb="3">
      <t>カクガクブ</t>
    </rPh>
    <rPh sb="3" eb="4">
      <t>オヨ</t>
    </rPh>
    <rPh sb="16" eb="18">
      <t>タイオウ</t>
    </rPh>
    <rPh sb="20" eb="22">
      <t>ジュギョウ</t>
    </rPh>
    <rPh sb="23" eb="25">
      <t>カイコウ</t>
    </rPh>
    <rPh sb="43" eb="45">
      <t>イライ</t>
    </rPh>
    <rPh sb="47" eb="50">
      <t>ゼンガクテキ</t>
    </rPh>
    <rPh sb="51" eb="53">
      <t>レンケイ</t>
    </rPh>
    <rPh sb="54" eb="55">
      <t>オコナ</t>
    </rPh>
    <rPh sb="61" eb="63">
      <t>ゼンガク</t>
    </rPh>
    <rPh sb="63" eb="65">
      <t>キョウツウ</t>
    </rPh>
    <rPh sb="65" eb="67">
      <t>キョウイク</t>
    </rPh>
    <rPh sb="74" eb="77">
      <t>ゼンガクム</t>
    </rPh>
    <rPh sb="78" eb="80">
      <t>ジュギョウ</t>
    </rPh>
    <rPh sb="81" eb="83">
      <t>カイコウ</t>
    </rPh>
    <rPh sb="93" eb="95">
      <t>ネンド</t>
    </rPh>
    <rPh sb="95" eb="97">
      <t>カイセツ</t>
    </rPh>
    <rPh sb="97" eb="100">
      <t>ショネンド</t>
    </rPh>
    <rPh sb="103" eb="106">
      <t>コウガクネン</t>
    </rPh>
    <rPh sb="106" eb="108">
      <t>ガクセイ</t>
    </rPh>
    <rPh sb="108" eb="109">
      <t>ム</t>
    </rPh>
    <rPh sb="110" eb="112">
      <t>ジュギョウ</t>
    </rPh>
    <rPh sb="113" eb="115">
      <t>タイオウ</t>
    </rPh>
    <rPh sb="116" eb="117">
      <t>オコナ</t>
    </rPh>
    <rPh sb="122" eb="125">
      <t>ゼンガクネン</t>
    </rPh>
    <rPh sb="126" eb="128">
      <t>ジュコウ</t>
    </rPh>
    <rPh sb="129" eb="131">
      <t>カノウ</t>
    </rPh>
    <rPh sb="156" eb="159">
      <t>カクキョウジュ</t>
    </rPh>
    <rPh sb="159" eb="160">
      <t>カイ</t>
    </rPh>
    <rPh sb="161" eb="163">
      <t>ゼンガク</t>
    </rPh>
    <rPh sb="163" eb="165">
      <t>キョウム</t>
    </rPh>
    <rPh sb="165" eb="168">
      <t>イインカイ</t>
    </rPh>
    <rPh sb="168" eb="169">
      <t>オヨ</t>
    </rPh>
    <rPh sb="170" eb="172">
      <t>キョウガク</t>
    </rPh>
    <rPh sb="172" eb="174">
      <t>カイカク</t>
    </rPh>
    <rPh sb="174" eb="176">
      <t>スイシン</t>
    </rPh>
    <rPh sb="176" eb="178">
      <t>カイギ</t>
    </rPh>
    <rPh sb="179" eb="181">
      <t>トリクミ</t>
    </rPh>
    <rPh sb="182" eb="184">
      <t>ケッカ</t>
    </rPh>
    <rPh sb="185" eb="186">
      <t>カン</t>
    </rPh>
    <rPh sb="191" eb="193">
      <t>ホウコク</t>
    </rPh>
    <rPh sb="194" eb="195">
      <t>オコナ</t>
    </rPh>
    <rPh sb="201" eb="203">
      <t>ケイザイ</t>
    </rPh>
    <rPh sb="203" eb="205">
      <t>ガクブ</t>
    </rPh>
    <rPh sb="206" eb="208">
      <t>ケイエイ</t>
    </rPh>
    <rPh sb="208" eb="211">
      <t>ガクブカン</t>
    </rPh>
    <rPh sb="213" eb="216">
      <t>タガクブ</t>
    </rPh>
    <rPh sb="216" eb="218">
      <t>カイコウ</t>
    </rPh>
    <rPh sb="218" eb="220">
      <t>ジュギョウ</t>
    </rPh>
    <rPh sb="222" eb="224">
      <t>タイオウ</t>
    </rPh>
    <rPh sb="225" eb="226">
      <t>オコナ</t>
    </rPh>
    <rPh sb="240" eb="242">
      <t>ネンド</t>
    </rPh>
    <rPh sb="247" eb="249">
      <t>ネンド</t>
    </rPh>
    <rPh sb="251" eb="253">
      <t>カイコウ</t>
    </rPh>
    <rPh sb="255" eb="256">
      <t>スウ</t>
    </rPh>
    <rPh sb="257" eb="259">
      <t>ゾウカ</t>
    </rPh>
    <rPh sb="264" eb="267">
      <t>トショカン</t>
    </rPh>
    <rPh sb="269" eb="271">
      <t>ケイザイ</t>
    </rPh>
    <rPh sb="272" eb="274">
      <t>ケイエイ</t>
    </rPh>
    <rPh sb="275" eb="277">
      <t>ホウガク</t>
    </rPh>
    <rPh sb="277" eb="279">
      <t>ブンヤ</t>
    </rPh>
    <rPh sb="281" eb="283">
      <t>ジュウジツ</t>
    </rPh>
    <rPh sb="292" eb="294">
      <t>テイキョウ</t>
    </rPh>
    <rPh sb="296" eb="298">
      <t>ジュギョウ</t>
    </rPh>
    <rPh sb="299" eb="301">
      <t>カツヨウ</t>
    </rPh>
    <rPh sb="310" eb="312">
      <t>キョウシツ</t>
    </rPh>
    <rPh sb="317" eb="320">
      <t>ジシュウシツ</t>
    </rPh>
    <rPh sb="326" eb="328">
      <t>ヒツヨウ</t>
    </rPh>
    <rPh sb="329" eb="331">
      <t>トウケイ</t>
    </rPh>
    <rPh sb="342" eb="344">
      <t>ゲンゴ</t>
    </rPh>
    <rPh sb="345" eb="347">
      <t>ジュンビ</t>
    </rPh>
    <rPh sb="349" eb="351">
      <t>ガクセイ</t>
    </rPh>
    <rPh sb="352" eb="354">
      <t>リヨウ</t>
    </rPh>
    <rPh sb="355" eb="356">
      <t>キョウ</t>
    </rPh>
    <rPh sb="364" eb="365">
      <t>ゼン</t>
    </rPh>
    <rPh sb="365" eb="367">
      <t>ガクセイ</t>
    </rPh>
    <rPh sb="368" eb="371">
      <t>ザイガクチュウ</t>
    </rPh>
    <rPh sb="372" eb="374">
      <t>ジコ</t>
    </rPh>
    <rPh sb="375" eb="377">
      <t>フクスウ</t>
    </rPh>
    <rPh sb="393" eb="396">
      <t>ヒョウケイサン</t>
    </rPh>
    <rPh sb="406" eb="408">
      <t>カノウ</t>
    </rPh>
    <phoneticPr fontId="1"/>
  </si>
  <si>
    <t xml:space="preserve">授業内での質問の確認の他、全専任教員によるオフィスアワーを実施しており、学生からの質問に対応している。
その他に、LMSによる事前の資料配付、授業後の小テスト、その即時の自動採点結果の通知、質問の受付等を行っている。
</t>
    <rPh sb="0" eb="2">
      <t>ジュギョウ</t>
    </rPh>
    <rPh sb="2" eb="3">
      <t>ナイ</t>
    </rPh>
    <rPh sb="5" eb="7">
      <t>シツモン</t>
    </rPh>
    <rPh sb="8" eb="10">
      <t>カクニン</t>
    </rPh>
    <rPh sb="11" eb="12">
      <t>ホカ</t>
    </rPh>
    <rPh sb="13" eb="14">
      <t>ゼン</t>
    </rPh>
    <rPh sb="14" eb="16">
      <t>センニン</t>
    </rPh>
    <rPh sb="16" eb="18">
      <t>キョウイン</t>
    </rPh>
    <rPh sb="29" eb="31">
      <t>ジッシ</t>
    </rPh>
    <rPh sb="36" eb="38">
      <t>ガクセイ</t>
    </rPh>
    <rPh sb="41" eb="43">
      <t>シツモン</t>
    </rPh>
    <rPh sb="44" eb="46">
      <t>タイオウ</t>
    </rPh>
    <rPh sb="54" eb="55">
      <t>ホカ</t>
    </rPh>
    <rPh sb="63" eb="65">
      <t>ジゼン</t>
    </rPh>
    <rPh sb="66" eb="70">
      <t>シリョウハイフ</t>
    </rPh>
    <rPh sb="71" eb="73">
      <t>ジュギョウ</t>
    </rPh>
    <rPh sb="73" eb="74">
      <t>ゴ</t>
    </rPh>
    <rPh sb="75" eb="76">
      <t>ショウ</t>
    </rPh>
    <rPh sb="82" eb="84">
      <t>ソクジ</t>
    </rPh>
    <rPh sb="85" eb="87">
      <t>ジドウ</t>
    </rPh>
    <rPh sb="87" eb="89">
      <t>サイテン</t>
    </rPh>
    <rPh sb="89" eb="91">
      <t>ケッカ</t>
    </rPh>
    <rPh sb="92" eb="94">
      <t>ツウチ</t>
    </rPh>
    <rPh sb="95" eb="97">
      <t>シツモン</t>
    </rPh>
    <rPh sb="98" eb="100">
      <t>ウケツケ</t>
    </rPh>
    <rPh sb="100" eb="101">
      <t>ナド</t>
    </rPh>
    <rPh sb="102" eb="103">
      <t>オコナ</t>
    </rPh>
    <phoneticPr fontId="1"/>
  </si>
  <si>
    <t>ガイダンス、大学ウェブサイト及び学習センター等での告知をより強化する。
データサイエンス教育研究センター設置を検討する。
今後のカリキュラム改革におけるデータサイエンス教育プログラムの位置づけ及び科目区分の検討をする。
教材の充実、FDの実施を行う。
資格取得支援制度の一層の充実を検討する。</t>
    <rPh sb="6" eb="8">
      <t>ダイガク</t>
    </rPh>
    <rPh sb="14" eb="15">
      <t>オヨ</t>
    </rPh>
    <rPh sb="16" eb="18">
      <t>ガクシュウ</t>
    </rPh>
    <rPh sb="22" eb="23">
      <t>ナド</t>
    </rPh>
    <rPh sb="25" eb="27">
      <t>コクチ</t>
    </rPh>
    <rPh sb="30" eb="32">
      <t>キョウカ</t>
    </rPh>
    <rPh sb="44" eb="48">
      <t>キョウイクケンキュウ</t>
    </rPh>
    <rPh sb="52" eb="54">
      <t>セッチ</t>
    </rPh>
    <rPh sb="55" eb="57">
      <t>ケントウ</t>
    </rPh>
    <rPh sb="61" eb="63">
      <t>コンゴ</t>
    </rPh>
    <rPh sb="70" eb="72">
      <t>カイカク</t>
    </rPh>
    <rPh sb="84" eb="86">
      <t>キョウイク</t>
    </rPh>
    <rPh sb="92" eb="94">
      <t>イチ</t>
    </rPh>
    <rPh sb="96" eb="97">
      <t>オヨ</t>
    </rPh>
    <rPh sb="98" eb="100">
      <t>カモク</t>
    </rPh>
    <rPh sb="100" eb="102">
      <t>クブン</t>
    </rPh>
    <rPh sb="110" eb="112">
      <t>キョウザイ</t>
    </rPh>
    <rPh sb="113" eb="115">
      <t>ジュウジツ</t>
    </rPh>
    <rPh sb="119" eb="121">
      <t>ジッシ</t>
    </rPh>
    <rPh sb="122" eb="123">
      <t>オコナ</t>
    </rPh>
    <rPh sb="135" eb="137">
      <t>イッソウ</t>
    </rPh>
    <rPh sb="141" eb="143">
      <t>ケントウ</t>
    </rPh>
    <phoneticPr fontId="1"/>
  </si>
  <si>
    <t>各学部における授業の開講をデータサイエンス教育運営委員会から依頼し、全学的な連携を行っている。
全学共通教育センターにより全学向け授業を開講している。
2021年度開設初年度より、高学年学生向け授業も対応を行っている。
少人数でプログラミングを行う科目については、複数開講し、履修しやすくしている。
データサイエンス教育運営委員会、各教授会、全学教務委員会及び教学改革推進会議で必要な体制・取組等を検討している。
経済学部・経営学部間の他学部開講授業での対応を行っている。
2022年度は2021年度より開講コマ数を増加させ、また夏季集中講義での対応も行っている。
学外からゲスト講師を招聘し、実践的な教育を行っている。
また、それぞれの社会科学系学部専門科目に沿った内容での教育に努めている。
各学部・学科に対応した履修モデルの作成を行っている。
図書館と協力し図書館における資料の充実を図っている。
希望する学生に修了証の発行を行い、成績証明書への記載を可能とするようシステムを改善している。
PC教室を授業で利用していないときは開放し、またPC自習室においても、必要な統計ソフト、プログラミング言語を準備し、学生の利用に供している。また、全学生は在学中に自己の複数のPC・パッド・スマートフォンに表計算ソフトをインストール可能としている。</t>
    <rPh sb="110" eb="113">
      <t>ショウニンズウ</t>
    </rPh>
    <rPh sb="122" eb="123">
      <t>オコナ</t>
    </rPh>
    <rPh sb="124" eb="126">
      <t>カモク</t>
    </rPh>
    <rPh sb="132" eb="134">
      <t>フクスウ</t>
    </rPh>
    <rPh sb="134" eb="136">
      <t>カイコウ</t>
    </rPh>
    <rPh sb="138" eb="140">
      <t>リシュウ</t>
    </rPh>
    <rPh sb="265" eb="267">
      <t>カキ</t>
    </rPh>
    <rPh sb="267" eb="269">
      <t>シュウチュウ</t>
    </rPh>
    <rPh sb="269" eb="271">
      <t>コウギ</t>
    </rPh>
    <rPh sb="273" eb="275">
      <t>タイオウ</t>
    </rPh>
    <rPh sb="276" eb="277">
      <t>オコナ</t>
    </rPh>
    <rPh sb="283" eb="285">
      <t>ガクガイ</t>
    </rPh>
    <rPh sb="290" eb="292">
      <t>コウシ</t>
    </rPh>
    <rPh sb="293" eb="295">
      <t>ショウヘイ</t>
    </rPh>
    <rPh sb="297" eb="300">
      <t>ジッセンテキ</t>
    </rPh>
    <rPh sb="301" eb="303">
      <t>キョウイク</t>
    </rPh>
    <rPh sb="304" eb="305">
      <t>オコナ</t>
    </rPh>
    <rPh sb="319" eb="321">
      <t>シャカイ</t>
    </rPh>
    <rPh sb="321" eb="324">
      <t>カガクケイ</t>
    </rPh>
    <rPh sb="324" eb="326">
      <t>ガクブ</t>
    </rPh>
    <rPh sb="326" eb="328">
      <t>センモン</t>
    </rPh>
    <rPh sb="328" eb="330">
      <t>カモク</t>
    </rPh>
    <rPh sb="331" eb="332">
      <t>ソ</t>
    </rPh>
    <rPh sb="334" eb="336">
      <t>ナイヨウ</t>
    </rPh>
    <rPh sb="338" eb="340">
      <t>キョウイク</t>
    </rPh>
    <rPh sb="341" eb="342">
      <t>ツト</t>
    </rPh>
    <rPh sb="348" eb="351">
      <t>カクガクブ</t>
    </rPh>
    <rPh sb="352" eb="354">
      <t>ガッカ</t>
    </rPh>
    <rPh sb="355" eb="357">
      <t>タイオウ</t>
    </rPh>
    <rPh sb="359" eb="361">
      <t>リシュウ</t>
    </rPh>
    <rPh sb="365" eb="367">
      <t>サクセイ</t>
    </rPh>
    <rPh sb="368" eb="369">
      <t>オコナ</t>
    </rPh>
    <rPh sb="375" eb="378">
      <t>トショカン</t>
    </rPh>
    <rPh sb="379" eb="381">
      <t>キョウリョク</t>
    </rPh>
    <rPh sb="382" eb="384">
      <t>トショ</t>
    </rPh>
    <rPh sb="384" eb="385">
      <t>カン</t>
    </rPh>
    <rPh sb="389" eb="391">
      <t>シリョウ</t>
    </rPh>
    <rPh sb="392" eb="394">
      <t>ジュウジツ</t>
    </rPh>
    <rPh sb="395" eb="396">
      <t>ハカ</t>
    </rPh>
    <rPh sb="402" eb="404">
      <t>キボウ</t>
    </rPh>
    <rPh sb="406" eb="408">
      <t>ガクセイ</t>
    </rPh>
    <rPh sb="409" eb="412">
      <t>シュウリョウショウ</t>
    </rPh>
    <rPh sb="413" eb="415">
      <t>ハッコウ</t>
    </rPh>
    <rPh sb="416" eb="417">
      <t>オコナ</t>
    </rPh>
    <rPh sb="419" eb="421">
      <t>セイセキ</t>
    </rPh>
    <rPh sb="421" eb="424">
      <t>ショウメイショ</t>
    </rPh>
    <rPh sb="426" eb="428">
      <t>キサイ</t>
    </rPh>
    <rPh sb="429" eb="431">
      <t>カノウ</t>
    </rPh>
    <rPh sb="441" eb="443">
      <t>カイゼン</t>
    </rPh>
    <phoneticPr fontId="1"/>
  </si>
  <si>
    <t>竹内　秀一</t>
    <rPh sb="0" eb="2">
      <t>タケウチ</t>
    </rPh>
    <rPh sb="3" eb="5">
      <t>ヒデカズ</t>
    </rPh>
    <phoneticPr fontId="1"/>
  </si>
  <si>
    <t>委員長　全学共通教育センター教授　竹内秀一
委員　経済学部准教授　安田宏樹
　　　　経営学部教授　吉田靖
　　　　コミュニケーション学部教授　山田晴通
　　　　全学共通教育センター教授　竹内秀一
　　　　学務課長　熊坂登雄
事務担当　学務課職員　網中真志</t>
    <rPh sb="0" eb="3">
      <t>イインチョウ</t>
    </rPh>
    <rPh sb="22" eb="24">
      <t>イイン</t>
    </rPh>
    <rPh sb="25" eb="27">
      <t>ケイザイ</t>
    </rPh>
    <rPh sb="27" eb="29">
      <t>ガクブ</t>
    </rPh>
    <rPh sb="29" eb="30">
      <t>ジュン</t>
    </rPh>
    <rPh sb="30" eb="32">
      <t>キョウジュ</t>
    </rPh>
    <rPh sb="66" eb="68">
      <t>ガクブ</t>
    </rPh>
    <rPh sb="68" eb="70">
      <t>キョウジュ</t>
    </rPh>
    <rPh sb="80" eb="82">
      <t>ゼンガク</t>
    </rPh>
    <rPh sb="82" eb="84">
      <t>キョウツウ</t>
    </rPh>
    <rPh sb="84" eb="86">
      <t>キョウイク</t>
    </rPh>
    <rPh sb="90" eb="92">
      <t>キョウジュ</t>
    </rPh>
    <rPh sb="112" eb="114">
      <t>ジム</t>
    </rPh>
    <rPh sb="114" eb="116">
      <t>タントウ</t>
    </rPh>
    <rPh sb="117" eb="120">
      <t>ガクムカ</t>
    </rPh>
    <rPh sb="120" eb="122">
      <t>ショクイン</t>
    </rPh>
    <phoneticPr fontId="1"/>
  </si>
  <si>
    <t>https://www.tku.ac.jp/ds/index.html</t>
    <phoneticPr fontId="1"/>
  </si>
  <si>
    <t>経済学部
次に示す経済学部データサイエンス・スタンダード授業科目群の中から6単位以上修得することにより、データサイエンス・スタンダード認定がされます。
ただし、1-1から3－2までのすべての項目が含まれるように授業科目の単位を修得する必要があります。各授業科目における対応項目は以下の③から⑦に記載のとおりです。
なお、担当教員名の指定がある授業科目については他の担当教員の授業科目は該当しません。
経済学部データサイエンス・スタンダード授業科目群
「データで学ぶ経済学」「経済数学入門ａ（浜野）」「経済数学入門ｂ（中村）」「計量経済学a」「計量経済学ｂ」「経済データ分析a」
「経済データ分析b」「経済統計a」「経済統計b」「コンピュータ・リテラシー応用I」「数理の科学ａ／数理の科学Ⅱａ」
「数理の科学ｂ／数理の科学Ⅱｂ」「社会科学におけるデータサイエンス」「マーケティング・リサーチ」「経営情報システム論ａ」
「経営情報システム論ｂ」「データサイエンスと機械学習」「企業金融論ａ」「企業金融論ｂ」「経営統計ａ」「経営統計ｂ」
＜６単位修得モデル例＞
「データで学ぶ経済学」2単位、「計量経済学ａ」2単位、「経済データ分析ａ」2単位、計6単位</t>
    <rPh sb="476" eb="477">
      <t>レイ</t>
    </rPh>
    <rPh sb="484" eb="485">
      <t>マナブ</t>
    </rPh>
    <rPh sb="486" eb="489">
      <t>ケイザイガク</t>
    </rPh>
    <rPh sb="491" eb="493">
      <t>タンイ</t>
    </rPh>
    <rPh sb="495" eb="497">
      <t>ケイリョウ</t>
    </rPh>
    <rPh sb="497" eb="500">
      <t>ケイザイガク</t>
    </rPh>
    <rPh sb="503" eb="505">
      <t>タンイ</t>
    </rPh>
    <rPh sb="507" eb="509">
      <t>ケイザイ</t>
    </rPh>
    <rPh sb="512" eb="514">
      <t>ブンセキ</t>
    </rPh>
    <rPh sb="517" eb="519">
      <t>タンイ</t>
    </rPh>
    <rPh sb="520" eb="521">
      <t>ケイ</t>
    </rPh>
    <rPh sb="522" eb="524">
      <t>タンイ</t>
    </rPh>
    <phoneticPr fontId="1"/>
  </si>
  <si>
    <t>経営学部
次に示す経営学部データサイエンス・スタンダード授業科目群の中から6単位以上修得することにより、データサイエンス・スタンダード認定がされます。
ただし、1-1から3－2までのすべての項目が含まれるように授業科目の単位を修得する必要があります。各授業科目における対応項目は以下の③から⑦に記載のとおりです。
なお、担当教員名の指定がある授業科目については他の担当教員の授業科目は該当しません。
経営学部データサイエンス・スタンダード授業科目群
「経営数理入門ａ」「経営数理入門ｂ」「フレッシャーズ・セミナーｂ（木下、金、藤谷、小暮）」「経営情報システム論a」「経営情報システム論ｂ」
「プログラミングＡ」「ビジネスプログラミング」「企業金融論ａ」「企業金融論ｂ」「経営統計ａ」「経営統計ｂ」「マーケティング・リサーチ」
「データサイエンスと機械学習」「データサイエンス入門」「コンピュータ・リテラシー応用I」「数理の科学ａ／数理の科学Ⅱａ」
「数理の科学ｂ／数理の科学Ⅱｂ」「社会科学におけるデータサイエンス」「計量経済学a」「計量経済学ｂ」
「経済データ分析a」「経済データ分析b」「経済統計a」「経済統計b」「情報産業論」
＜６単位修得モデル例＞
「データサイエンスと機械学習」2単位、「データサイエンス入門」2単位、「経営統計ａ」2単位、計6単位</t>
    <rPh sb="0" eb="2">
      <t>ケイエイ</t>
    </rPh>
    <rPh sb="9" eb="11">
      <t>ケイエイ</t>
    </rPh>
    <rPh sb="200" eb="202">
      <t>ケイエイ</t>
    </rPh>
    <rPh sb="226" eb="228">
      <t>ケイエイ</t>
    </rPh>
    <rPh sb="228" eb="232">
      <t>スウリニュウモン</t>
    </rPh>
    <rPh sb="258" eb="260">
      <t>キノシタ</t>
    </rPh>
    <rPh sb="261" eb="262">
      <t>キン</t>
    </rPh>
    <rPh sb="263" eb="265">
      <t>フジタニ</t>
    </rPh>
    <rPh sb="266" eb="268">
      <t>コグレ</t>
    </rPh>
    <rPh sb="271" eb="273">
      <t>ケイエイ</t>
    </rPh>
    <rPh sb="273" eb="275">
      <t>ジョウホウ</t>
    </rPh>
    <rPh sb="279" eb="280">
      <t>ロン</t>
    </rPh>
    <rPh sb="319" eb="321">
      <t>キギョウ</t>
    </rPh>
    <rPh sb="321" eb="324">
      <t>キンユウロン</t>
    </rPh>
    <rPh sb="387" eb="389">
      <t>ニュウモン</t>
    </rPh>
    <rPh sb="510" eb="512">
      <t>ジョウホウ</t>
    </rPh>
    <rPh sb="512" eb="515">
      <t>サンギョウロン</t>
    </rPh>
    <rPh sb="540" eb="544">
      <t>キカイガクシュウ</t>
    </rPh>
    <rPh sb="558" eb="560">
      <t>ニュウモン</t>
    </rPh>
    <rPh sb="566" eb="570">
      <t>ケイエイトウケイ</t>
    </rPh>
    <phoneticPr fontId="1"/>
  </si>
  <si>
    <t>コミュニケーション学部
次に示すコミュニケーション学部データサイエンス・スタンダード授業科目群の中から6単位以上修得することにより、データサイエンス・スタンダード認定がされます。
ただし、1-1から3－2までのすべての項目が含まれるように授業科目の単位を修得する必要があります。各授業科目における対応項目は以下の③から⑦に記載のとおりです。
なお、担当教員名の指定がある授業科目については他の担当教員の授業科目は該当しません。
コミュニケーション学部データサイエンス・スタンダード授業科目群
「社会調査入門」「社会調査ワークショップ（藤井、柴内、佐々木、志岐）」「メディアコミュニケーション基礎」「ソーシャルメディア論」「ネットワーク社会論」
「デジタル・マーケティング論」「情報通信産業論」「コンテンツ産業論」「コンピュータ・リテラシー応用I」「数理の科学ａ／数理の科学Ⅱａ」
「数理の科学ｂ／数理の科学Ⅱｂ」「社会科学におけるデータサイエンス」「データサイエンスと機械学習」
＜６単位修得モデル例＞
「社会科学におけるデータサイエンス」2単位、「情報通信産業論」2単位、「社会調査入門」2単位、計6単位</t>
    <rPh sb="223" eb="224">
      <t>ガク</t>
    </rPh>
    <rPh sb="247" eb="249">
      <t>シャカイ</t>
    </rPh>
    <rPh sb="249" eb="251">
      <t>チョウサ</t>
    </rPh>
    <rPh sb="251" eb="253">
      <t>ニュウモン</t>
    </rPh>
    <rPh sb="255" eb="257">
      <t>シャカイ</t>
    </rPh>
    <rPh sb="257" eb="259">
      <t>チョウサ</t>
    </rPh>
    <rPh sb="267" eb="269">
      <t>フジイ</t>
    </rPh>
    <rPh sb="270" eb="272">
      <t>シバナイ</t>
    </rPh>
    <rPh sb="273" eb="276">
      <t>ササキ</t>
    </rPh>
    <rPh sb="277" eb="278">
      <t>シ</t>
    </rPh>
    <rPh sb="278" eb="279">
      <t>キ</t>
    </rPh>
    <rPh sb="295" eb="297">
      <t>キソ</t>
    </rPh>
    <rPh sb="308" eb="309">
      <t>ロン</t>
    </rPh>
    <rPh sb="317" eb="320">
      <t>シャカイロン</t>
    </rPh>
    <rPh sb="335" eb="336">
      <t>ロン</t>
    </rPh>
    <rPh sb="338" eb="340">
      <t>ジョウホウ</t>
    </rPh>
    <rPh sb="340" eb="342">
      <t>ツウシン</t>
    </rPh>
    <rPh sb="342" eb="345">
      <t>サンギョウロン</t>
    </rPh>
    <rPh sb="352" eb="355">
      <t>サンギョウロン</t>
    </rPh>
    <rPh sb="454" eb="456">
      <t>シャカイ</t>
    </rPh>
    <rPh sb="456" eb="458">
      <t>カガク</t>
    </rPh>
    <rPh sb="476" eb="478">
      <t>ジョウホウ</t>
    </rPh>
    <rPh sb="478" eb="480">
      <t>ツウシン</t>
    </rPh>
    <rPh sb="480" eb="483">
      <t>サンギョウロン</t>
    </rPh>
    <rPh sb="489" eb="493">
      <t>シャカイチョウサ</t>
    </rPh>
    <rPh sb="493" eb="495">
      <t>ニュウモン</t>
    </rPh>
    <phoneticPr fontId="1"/>
  </si>
  <si>
    <t>現代法学部
次に示す現代法学部データサイエンス・スタンダード授業科目群の中から6単位以上修得することにより、データサイエンス・スタンダード認定がされます。
ただし、1-1から3－2までのすべての項目が含まれるように授業科目の単位を修得する必要があります。各授業科目における対応項目は以下の③から⑦に記載のとおりです。
なお、担当教員名の指定がある授業科目については他の担当教員の授業科目は該当しません。
現代法学部データサイエンス・スタンダード授業科目群
「社会調査法基礎／福祉調査」「社会調査／応用福祉調査」「ソーシャルメディア論」「コンピュータ・リテラシー応用I」
「数理の科学ａ／数理の科学Ⅱａ」「数理の科学ｂ／数理の科学Ⅱｂ」「社会科学におけるデータサイエンス」「データサイエンスと機械学習」
＜６単位修得モデル例＞
「社会科学におけるデータサイエンス」2単位、「社会調査法基礎／福祉調査」2単位、「社会調査／応用福祉調査」2単位、計6単位</t>
    <rPh sb="0" eb="2">
      <t>ゲンダイ</t>
    </rPh>
    <rPh sb="2" eb="5">
      <t>ホウガクブ</t>
    </rPh>
    <rPh sb="10" eb="12">
      <t>ゲンダイ</t>
    </rPh>
    <rPh sb="12" eb="13">
      <t>ホウ</t>
    </rPh>
    <rPh sb="202" eb="204">
      <t>ゲンダイ</t>
    </rPh>
    <rPh sb="204" eb="205">
      <t>ホウ</t>
    </rPh>
    <rPh sb="233" eb="234">
      <t>ホウ</t>
    </rPh>
    <rPh sb="234" eb="236">
      <t>キソ</t>
    </rPh>
    <phoneticPr fontId="1"/>
  </si>
  <si>
    <t>キャリアデザインプログラム
次に示すキャリアデザインプログラムデータサイエンス・スタンダード授業科目群の中から6単位以上修得することにより、データサイエンス・スタンダード認定がされます。
ただし、1-1から3－2までのすべての項目が含まれるように授業科目の単位を修得する必要があります。各授業科目における対応項目は以下の③から⑦に記載のとおりです。
なお、担当教員名の指定がある授業科目については他の担当教員の授業科目は該当しません。
キャリアデザインプログラムデータサイエンス・スタンダード授業科目群
「コンピュータ・リテラシー応用I」「数理の科学ａ／数理の科学Ⅱａ」「数理の科学ｂ／数理の科学Ⅱｂ」「社会科学におけるデータサイエンス」
＜６単位修得モデル例＞
「社会科学におけるデータサイエンス」2単位、「コンピュータ・リテラシー応用I」、2単位、「数理の科学ａ／数理の科学Ⅱａ」」2単位、計6単位</t>
    <rPh sb="374" eb="376">
      <t>タンイ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</si>
</sst>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22"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2"/>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2"/>
      <name val="ＭＳ Ｐゴシック"/>
      <family val="3"/>
      <charset val="128"/>
      <scheme val="minor"/>
    </font>
    <font>
      <sz val="12"/>
      <name val="ＭＳ Ｐゴシック"/>
      <family val="2"/>
      <charset val="128"/>
      <scheme val="minor"/>
    </font>
    <font>
      <sz val="12"/>
      <color rgb="FFFF0000"/>
      <name val="ＭＳ Ｐゴシック"/>
      <family val="2"/>
      <charset val="128"/>
      <scheme val="minor"/>
    </font>
    <font>
      <u/>
      <sz val="11"/>
      <color rgb="FFFF0000"/>
      <name val="ＭＳ Ｐゴシック"/>
      <family val="2"/>
      <charset val="128"/>
      <scheme val="minor"/>
    </font>
    <font>
      <sz val="11"/>
      <color theme="1"/>
      <name val="ＭＳ Ｐゴシック"/>
      <family val="3"/>
      <charset val="128"/>
      <scheme val="minor"/>
    </font>
    <font>
      <sz val="13"/>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14"/>
      <name val="ＭＳ Ｐゴシック"/>
      <family val="3"/>
      <charset val="128"/>
      <scheme val="minor"/>
    </font>
    <font>
      <sz val="9"/>
      <name val="ＭＳ Ｐゴシック"/>
      <family val="3"/>
      <charset val="128"/>
      <scheme val="minor"/>
    </font>
    <font>
      <sz val="11"/>
      <name val="ＭＳ Ｐゴシック"/>
      <family val="2"/>
      <charset val="128"/>
      <scheme val="minor"/>
    </font>
    <font>
      <sz val="11"/>
      <name val="ＭＳ Ｐゴシック"/>
      <family val="3"/>
      <charset val="128"/>
      <scheme val="minor"/>
    </font>
    <font>
      <sz val="8"/>
      <name val="ＭＳ Ｐゴシック"/>
      <family val="3"/>
      <charset val="128"/>
      <scheme val="minor"/>
    </font>
  </fonts>
  <fills count="2">
    <fill>
      <patternFill patternType="none"/>
    </fill>
    <fill>
      <patternFill patternType="gray125"/>
    </fill>
  </fills>
  <borders count="5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style="hair">
        <color auto="1"/>
      </top>
      <bottom/>
      <diagonal/>
    </border>
    <border>
      <left style="thin">
        <color auto="1"/>
      </left>
      <right style="thin">
        <color auto="1"/>
      </right>
      <top/>
      <bottom/>
      <diagonal/>
    </border>
  </borders>
  <cellStyleXfs count="3">
    <xf numFmtId="0" fontId="0" fillId="0" borderId="0">
      <alignment vertical="center"/>
    </xf>
    <xf numFmtId="38" fontId="6" fillId="0" borderId="0" applyFont="0" applyFill="0" applyBorder="0" applyAlignment="0" applyProtection="0">
      <alignment vertical="center"/>
    </xf>
    <xf numFmtId="0" fontId="7" fillId="0" borderId="0" applyNumberFormat="0" applyFill="0" applyBorder="0" applyAlignment="0" applyProtection="0">
      <alignment vertical="center"/>
    </xf>
  </cellStyleXfs>
  <cellXfs count="397">
    <xf numFmtId="0" fontId="0" fillId="0" borderId="0" xfId="0">
      <alignment vertical="center"/>
    </xf>
    <xf numFmtId="0" fontId="2" fillId="0" borderId="0" xfId="0" applyFont="1">
      <alignment vertical="center"/>
    </xf>
    <xf numFmtId="0" fontId="4" fillId="0" borderId="0" xfId="0" applyFont="1">
      <alignment vertical="center"/>
    </xf>
    <xf numFmtId="0" fontId="2" fillId="0" borderId="5" xfId="0" applyFont="1" applyBorder="1">
      <alignment vertical="center"/>
    </xf>
    <xf numFmtId="0" fontId="3" fillId="0" borderId="0" xfId="0" applyFont="1">
      <alignment vertical="center"/>
    </xf>
    <xf numFmtId="0" fontId="5" fillId="0" borderId="10" xfId="0" applyFont="1" applyBorder="1" applyAlignment="1">
      <alignment vertical="top" wrapText="1"/>
    </xf>
    <xf numFmtId="0" fontId="4" fillId="0" borderId="5" xfId="0" applyFont="1" applyBorder="1" applyAlignment="1">
      <alignment vertical="top" wrapText="1"/>
    </xf>
    <xf numFmtId="0" fontId="4" fillId="0" borderId="10" xfId="0" applyFont="1" applyBorder="1" applyAlignment="1">
      <alignment vertical="top" wrapText="1"/>
    </xf>
    <xf numFmtId="0" fontId="4" fillId="0" borderId="18" xfId="0" applyFont="1" applyBorder="1" applyAlignment="1">
      <alignment vertical="top" wrapText="1"/>
    </xf>
    <xf numFmtId="0" fontId="2" fillId="0" borderId="16" xfId="0" applyFont="1" applyBorder="1">
      <alignment vertical="center"/>
    </xf>
    <xf numFmtId="176" fontId="8" fillId="0" borderId="0" xfId="0" applyNumberFormat="1" applyFont="1" applyBorder="1">
      <alignment vertical="center"/>
    </xf>
    <xf numFmtId="176" fontId="8" fillId="0" borderId="3" xfId="0" applyNumberFormat="1" applyFont="1" applyBorder="1" applyAlignment="1">
      <alignment vertical="center" shrinkToFit="1"/>
    </xf>
    <xf numFmtId="0" fontId="8" fillId="0" borderId="0" xfId="0" applyFont="1" applyBorder="1" applyAlignment="1">
      <alignment horizontal="center" vertical="center" shrinkToFit="1"/>
    </xf>
    <xf numFmtId="0" fontId="9" fillId="0" borderId="0" xfId="0" applyFont="1">
      <alignment vertical="center"/>
    </xf>
    <xf numFmtId="0" fontId="8" fillId="0" borderId="0" xfId="0" applyFont="1">
      <alignment vertical="center"/>
    </xf>
    <xf numFmtId="0" fontId="8" fillId="0" borderId="0" xfId="0" applyFont="1" applyAlignment="1">
      <alignment vertical="center"/>
    </xf>
    <xf numFmtId="0" fontId="8" fillId="0" borderId="0" xfId="0" applyFont="1" applyAlignment="1">
      <alignment horizontal="left" vertical="center"/>
    </xf>
    <xf numFmtId="0" fontId="8" fillId="0" borderId="0" xfId="0" applyFont="1" applyBorder="1" applyAlignment="1">
      <alignment vertical="center"/>
    </xf>
    <xf numFmtId="0" fontId="8" fillId="0" borderId="5" xfId="0" applyFont="1" applyBorder="1">
      <alignment vertical="center"/>
    </xf>
    <xf numFmtId="176" fontId="8" fillId="0" borderId="0" xfId="0" applyNumberFormat="1" applyFont="1" applyBorder="1" applyAlignment="1">
      <alignment vertical="center" wrapText="1"/>
    </xf>
    <xf numFmtId="0" fontId="8" fillId="0" borderId="0" xfId="0" applyFont="1" applyBorder="1">
      <alignment vertical="center"/>
    </xf>
    <xf numFmtId="176" fontId="8" fillId="0" borderId="5" xfId="0" applyNumberFormat="1" applyFont="1" applyBorder="1" applyAlignment="1">
      <alignment vertical="center"/>
    </xf>
    <xf numFmtId="176" fontId="8" fillId="0" borderId="0" xfId="0" applyNumberFormat="1" applyFont="1" applyAlignment="1">
      <alignment vertical="center" wrapText="1"/>
    </xf>
    <xf numFmtId="176" fontId="8" fillId="0" borderId="0" xfId="0" applyNumberFormat="1" applyFont="1" applyAlignment="1">
      <alignment horizontal="left" vertical="center" wrapText="1"/>
    </xf>
    <xf numFmtId="0" fontId="8" fillId="0" borderId="6" xfId="0" applyFont="1" applyBorder="1" applyAlignment="1">
      <alignment vertical="center" shrinkToFit="1"/>
    </xf>
    <xf numFmtId="0" fontId="8" fillId="0" borderId="1" xfId="0" applyFont="1" applyBorder="1">
      <alignment vertical="center"/>
    </xf>
    <xf numFmtId="0" fontId="8" fillId="0" borderId="2" xfId="0" applyFont="1" applyBorder="1">
      <alignment vertical="center"/>
    </xf>
    <xf numFmtId="0" fontId="8" fillId="0" borderId="4" xfId="0" applyFont="1" applyBorder="1">
      <alignment vertical="center"/>
    </xf>
    <xf numFmtId="0" fontId="4" fillId="0" borderId="20" xfId="0" applyFont="1" applyBorder="1" applyAlignment="1">
      <alignment vertical="top" wrapText="1"/>
    </xf>
    <xf numFmtId="0" fontId="8" fillId="0" borderId="0" xfId="0" applyFont="1" applyAlignment="1">
      <alignment horizontal="center" vertical="center"/>
    </xf>
    <xf numFmtId="0" fontId="8" fillId="0" borderId="1" xfId="0" applyFont="1" applyBorder="1" applyAlignment="1">
      <alignment vertical="center" shrinkToFit="1"/>
    </xf>
    <xf numFmtId="0" fontId="10" fillId="0" borderId="0" xfId="0" applyFont="1">
      <alignment vertical="center"/>
    </xf>
    <xf numFmtId="0" fontId="12" fillId="0" borderId="0" xfId="0" applyFont="1">
      <alignment vertical="center"/>
    </xf>
    <xf numFmtId="0" fontId="10" fillId="0" borderId="0" xfId="0" applyFont="1" applyAlignment="1">
      <alignment vertical="center"/>
    </xf>
    <xf numFmtId="0" fontId="8" fillId="0" borderId="0" xfId="0" applyFont="1" applyBorder="1" applyAlignment="1">
      <alignment horizontal="center" vertical="center"/>
    </xf>
    <xf numFmtId="0" fontId="8" fillId="0" borderId="0" xfId="0" applyFont="1" applyBorder="1" applyAlignment="1">
      <alignment vertical="center" shrinkToFit="1"/>
    </xf>
    <xf numFmtId="0" fontId="3" fillId="0" borderId="0" xfId="0" applyFont="1" applyAlignment="1">
      <alignment horizontal="center" vertical="center"/>
    </xf>
    <xf numFmtId="0" fontId="4" fillId="0" borderId="0" xfId="0" applyFont="1" applyAlignment="1">
      <alignment vertical="top" wrapText="1"/>
    </xf>
    <xf numFmtId="0" fontId="5" fillId="0" borderId="0" xfId="0" applyFont="1" applyAlignment="1">
      <alignment vertical="top" wrapText="1"/>
    </xf>
    <xf numFmtId="0" fontId="2" fillId="0" borderId="0" xfId="0" applyFont="1" applyAlignment="1">
      <alignment horizontal="right" vertical="center"/>
    </xf>
    <xf numFmtId="0" fontId="14" fillId="0" borderId="0" xfId="0" applyFont="1" applyAlignment="1">
      <alignment horizontal="center" vertical="center"/>
    </xf>
    <xf numFmtId="0" fontId="16" fillId="0" borderId="11" xfId="0" applyFont="1" applyBorder="1" applyAlignment="1">
      <alignment horizontal="center" vertical="center"/>
    </xf>
    <xf numFmtId="0" fontId="16" fillId="0" borderId="29" xfId="0" applyFont="1" applyBorder="1" applyAlignment="1">
      <alignment horizontal="center" vertical="center" wrapText="1"/>
    </xf>
    <xf numFmtId="0" fontId="16" fillId="0" borderId="30" xfId="0" applyFont="1" applyBorder="1" applyAlignment="1">
      <alignment horizontal="center" vertical="center"/>
    </xf>
    <xf numFmtId="0" fontId="16" fillId="0" borderId="12" xfId="0" applyFont="1" applyBorder="1" applyAlignment="1">
      <alignment horizontal="center" vertical="center" wrapText="1"/>
    </xf>
    <xf numFmtId="0" fontId="3" fillId="0" borderId="0" xfId="0" applyFont="1" applyAlignment="1">
      <alignment vertical="center" shrinkToFit="1"/>
    </xf>
    <xf numFmtId="0" fontId="3" fillId="0" borderId="5" xfId="0" applyFont="1" applyBorder="1" applyAlignment="1">
      <alignment vertical="center" shrinkToFit="1"/>
    </xf>
    <xf numFmtId="176" fontId="3" fillId="0" borderId="5" xfId="0" applyNumberFormat="1" applyFont="1" applyBorder="1" applyAlignment="1">
      <alignment vertical="center" shrinkToFit="1"/>
    </xf>
    <xf numFmtId="176" fontId="3" fillId="0" borderId="31" xfId="0" applyNumberFormat="1" applyFont="1" applyBorder="1" applyAlignment="1">
      <alignment vertical="center" shrinkToFit="1"/>
    </xf>
    <xf numFmtId="176" fontId="3" fillId="0" borderId="32" xfId="0" applyNumberFormat="1" applyFont="1" applyBorder="1" applyAlignment="1">
      <alignment vertical="center" shrinkToFit="1"/>
    </xf>
    <xf numFmtId="176" fontId="3" fillId="0" borderId="10" xfId="0" applyNumberFormat="1" applyFont="1" applyBorder="1" applyAlignment="1">
      <alignment vertical="center" shrinkToFit="1"/>
    </xf>
    <xf numFmtId="176" fontId="3" fillId="0" borderId="14" xfId="0" applyNumberFormat="1" applyFont="1" applyBorder="1" applyAlignment="1">
      <alignment vertical="center" shrinkToFit="1"/>
    </xf>
    <xf numFmtId="9" fontId="3" fillId="0" borderId="10" xfId="0" applyNumberFormat="1" applyFont="1" applyBorder="1" applyAlignment="1">
      <alignment vertical="center" shrinkToFit="1"/>
    </xf>
    <xf numFmtId="0" fontId="3" fillId="0" borderId="18" xfId="0" applyFont="1" applyBorder="1" applyAlignment="1">
      <alignment vertical="center" shrinkToFit="1"/>
    </xf>
    <xf numFmtId="0" fontId="3" fillId="0" borderId="19" xfId="0" applyFont="1" applyBorder="1" applyAlignment="1">
      <alignment vertical="center" shrinkToFit="1"/>
    </xf>
    <xf numFmtId="176" fontId="3" fillId="0" borderId="19" xfId="0" applyNumberFormat="1" applyFont="1" applyBorder="1" applyAlignment="1">
      <alignment vertical="center" shrinkToFit="1"/>
    </xf>
    <xf numFmtId="176" fontId="3" fillId="0" borderId="33" xfId="0" applyNumberFormat="1" applyFont="1" applyBorder="1" applyAlignment="1">
      <alignment vertical="center" shrinkToFit="1"/>
    </xf>
    <xf numFmtId="176" fontId="3" fillId="0" borderId="34" xfId="0" applyNumberFormat="1" applyFont="1" applyBorder="1" applyAlignment="1">
      <alignment vertical="center" shrinkToFit="1"/>
    </xf>
    <xf numFmtId="176" fontId="3" fillId="0" borderId="18" xfId="0" applyNumberFormat="1" applyFont="1" applyBorder="1" applyAlignment="1">
      <alignment vertical="center" shrinkToFit="1"/>
    </xf>
    <xf numFmtId="176" fontId="3" fillId="0" borderId="23" xfId="0" applyNumberFormat="1" applyFont="1" applyBorder="1" applyAlignment="1">
      <alignment vertical="center" shrinkToFit="1"/>
    </xf>
    <xf numFmtId="9" fontId="3" fillId="0" borderId="23" xfId="0" applyNumberFormat="1" applyFont="1" applyBorder="1" applyAlignment="1">
      <alignment vertical="center" shrinkToFit="1"/>
    </xf>
    <xf numFmtId="0" fontId="3" fillId="0" borderId="20" xfId="0" applyFont="1" applyBorder="1" applyAlignment="1">
      <alignment vertical="center" shrinkToFit="1"/>
    </xf>
    <xf numFmtId="176" fontId="3" fillId="0" borderId="24" xfId="0" applyNumberFormat="1" applyFont="1" applyBorder="1" applyAlignment="1">
      <alignment vertical="center" shrinkToFit="1"/>
    </xf>
    <xf numFmtId="0" fontId="3" fillId="0" borderId="25" xfId="0" applyFont="1" applyBorder="1" applyAlignment="1">
      <alignment vertical="center" shrinkToFit="1"/>
    </xf>
    <xf numFmtId="176" fontId="3" fillId="0" borderId="25" xfId="0" applyNumberFormat="1" applyFont="1" applyBorder="1" applyAlignment="1">
      <alignment vertical="center" shrinkToFit="1"/>
    </xf>
    <xf numFmtId="176" fontId="3" fillId="0" borderId="35" xfId="0" applyNumberFormat="1" applyFont="1" applyBorder="1" applyAlignment="1">
      <alignment vertical="center" shrinkToFit="1"/>
    </xf>
    <xf numFmtId="176" fontId="3" fillId="0" borderId="36" xfId="0" applyNumberFormat="1" applyFont="1" applyBorder="1" applyAlignment="1">
      <alignment vertical="center" shrinkToFit="1"/>
    </xf>
    <xf numFmtId="176" fontId="3" fillId="0" borderId="27" xfId="0" applyNumberFormat="1" applyFont="1" applyBorder="1" applyAlignment="1">
      <alignment vertical="center" shrinkToFit="1"/>
    </xf>
    <xf numFmtId="176" fontId="3" fillId="0" borderId="28" xfId="0" applyNumberFormat="1" applyFont="1" applyBorder="1" applyAlignment="1">
      <alignment vertical="center" shrinkToFit="1"/>
    </xf>
    <xf numFmtId="9" fontId="3" fillId="0" borderId="27" xfId="0" applyNumberFormat="1" applyFont="1" applyBorder="1" applyAlignment="1">
      <alignment vertical="center" shrinkToFit="1"/>
    </xf>
    <xf numFmtId="0" fontId="8" fillId="0" borderId="0" xfId="0" applyFont="1" applyBorder="1" applyAlignment="1">
      <alignment vertical="center" shrinkToFit="1"/>
    </xf>
    <xf numFmtId="0" fontId="8" fillId="0" borderId="0" xfId="0" applyFont="1" applyFill="1">
      <alignment vertical="center"/>
    </xf>
    <xf numFmtId="0" fontId="8" fillId="0" borderId="10" xfId="0" applyFont="1" applyBorder="1" applyAlignment="1">
      <alignment vertical="center" shrinkToFit="1"/>
    </xf>
    <xf numFmtId="49" fontId="18" fillId="0" borderId="1" xfId="0" applyNumberFormat="1" applyFont="1" applyBorder="1" applyAlignment="1">
      <alignment horizontal="center" vertical="center"/>
    </xf>
    <xf numFmtId="0" fontId="8" fillId="0" borderId="0" xfId="0" applyFont="1" applyAlignment="1">
      <alignment vertical="center" shrinkToFit="1"/>
    </xf>
    <xf numFmtId="0" fontId="8" fillId="0" borderId="0" xfId="0" applyFont="1" applyAlignment="1">
      <alignment vertical="top" wrapText="1"/>
    </xf>
    <xf numFmtId="0" fontId="9" fillId="0" borderId="2" xfId="0" applyFont="1" applyBorder="1">
      <alignment vertical="center"/>
    </xf>
    <xf numFmtId="0" fontId="9" fillId="0" borderId="4" xfId="0" applyFont="1" applyBorder="1">
      <alignment vertical="center"/>
    </xf>
    <xf numFmtId="49" fontId="18" fillId="0" borderId="47" xfId="0" applyNumberFormat="1" applyFont="1" applyBorder="1" applyAlignment="1">
      <alignment horizontal="center" vertical="center"/>
    </xf>
    <xf numFmtId="49" fontId="18" fillId="0" borderId="33" xfId="0" applyNumberFormat="1" applyFont="1" applyBorder="1" applyAlignment="1">
      <alignment horizontal="center" vertical="center"/>
    </xf>
    <xf numFmtId="49" fontId="18" fillId="0" borderId="50" xfId="0" applyNumberFormat="1" applyFont="1" applyBorder="1" applyAlignment="1">
      <alignment horizontal="center" vertical="center"/>
    </xf>
    <xf numFmtId="0" fontId="8" fillId="0" borderId="44" xfId="0" applyFont="1" applyBorder="1" applyAlignment="1">
      <alignment horizontal="center" vertical="center" shrinkToFit="1"/>
    </xf>
    <xf numFmtId="0" fontId="8" fillId="0" borderId="45" xfId="0" applyFont="1" applyBorder="1" applyAlignment="1">
      <alignment horizontal="center" vertical="center" shrinkToFit="1"/>
    </xf>
    <xf numFmtId="49" fontId="18" fillId="0" borderId="51" xfId="0" applyNumberFormat="1" applyFont="1" applyBorder="1" applyAlignment="1">
      <alignment horizontal="center" vertical="center"/>
    </xf>
    <xf numFmtId="0" fontId="3" fillId="0" borderId="0" xfId="0" applyFont="1" applyAlignment="1">
      <alignment horizontal="left" vertical="center"/>
    </xf>
    <xf numFmtId="0" fontId="3" fillId="0" borderId="14" xfId="0" applyFont="1" applyBorder="1" applyAlignment="1">
      <alignment horizontal="left" vertical="center" shrinkToFit="1"/>
    </xf>
    <xf numFmtId="0" fontId="3" fillId="0" borderId="23" xfId="0" applyFont="1" applyBorder="1" applyAlignment="1">
      <alignment horizontal="left" vertical="center" shrinkToFit="1"/>
    </xf>
    <xf numFmtId="0" fontId="3" fillId="0" borderId="24" xfId="0" applyFont="1" applyBorder="1" applyAlignment="1">
      <alignment horizontal="left" vertical="center" shrinkToFit="1"/>
    </xf>
    <xf numFmtId="0" fontId="3" fillId="0" borderId="10" xfId="0" applyFont="1" applyBorder="1" applyAlignment="1">
      <alignment vertical="center" shrinkToFit="1"/>
    </xf>
    <xf numFmtId="0" fontId="3" fillId="0" borderId="28" xfId="0" applyFont="1" applyBorder="1" applyAlignment="1">
      <alignment horizontal="center" vertical="center" shrinkToFit="1"/>
    </xf>
    <xf numFmtId="0" fontId="3" fillId="0" borderId="26" xfId="0" applyFont="1" applyBorder="1" applyAlignment="1">
      <alignment vertical="center" shrinkToFit="1"/>
    </xf>
    <xf numFmtId="0" fontId="3" fillId="0" borderId="0" xfId="0" applyFont="1" applyAlignment="1">
      <alignment vertical="top" wrapText="1"/>
    </xf>
    <xf numFmtId="0" fontId="3" fillId="0" borderId="0" xfId="0" applyFont="1" applyAlignment="1">
      <alignment vertical="center" wrapText="1"/>
    </xf>
    <xf numFmtId="0" fontId="8" fillId="0" borderId="7" xfId="0" applyFont="1" applyBorder="1" applyAlignment="1">
      <alignment horizontal="center" vertical="center" wrapText="1" shrinkToFit="1"/>
    </xf>
    <xf numFmtId="9" fontId="8" fillId="0" borderId="8" xfId="0" applyNumberFormat="1" applyFont="1" applyBorder="1" applyAlignment="1">
      <alignment horizontal="center" vertical="center" wrapText="1" shrinkToFit="1"/>
    </xf>
    <xf numFmtId="0" fontId="8" fillId="0" borderId="8" xfId="0" applyFont="1" applyBorder="1" applyAlignment="1">
      <alignment horizontal="center" vertical="center" wrapText="1" shrinkToFit="1"/>
    </xf>
    <xf numFmtId="9" fontId="8" fillId="0" borderId="8" xfId="0" applyNumberFormat="1" applyFont="1" applyBorder="1" applyAlignment="1">
      <alignment horizontal="center" vertical="center" shrinkToFit="1"/>
    </xf>
    <xf numFmtId="0" fontId="8" fillId="0" borderId="9" xfId="0" applyFont="1" applyBorder="1" applyAlignment="1">
      <alignment horizontal="center" vertical="center" shrinkToFit="1"/>
    </xf>
    <xf numFmtId="9" fontId="8" fillId="0" borderId="45" xfId="0" applyNumberFormat="1" applyFont="1" applyBorder="1" applyAlignment="1">
      <alignment horizontal="center" vertical="center" shrinkToFit="1"/>
    </xf>
    <xf numFmtId="176" fontId="8" fillId="0" borderId="45" xfId="0" applyNumberFormat="1" applyFont="1" applyBorder="1" applyAlignment="1">
      <alignment horizontal="center" vertical="center" shrinkToFit="1"/>
    </xf>
    <xf numFmtId="0" fontId="8" fillId="0" borderId="46" xfId="0" applyFont="1" applyBorder="1" applyAlignment="1">
      <alignment horizontal="center" vertical="center" shrinkToFit="1"/>
    </xf>
    <xf numFmtId="0" fontId="2" fillId="0" borderId="0" xfId="0" applyFont="1" applyAlignment="1">
      <alignment vertical="center" wrapText="1"/>
    </xf>
    <xf numFmtId="0" fontId="4" fillId="0" borderId="0" xfId="0" applyFont="1" applyAlignment="1">
      <alignment vertical="top" shrinkToFit="1"/>
    </xf>
    <xf numFmtId="0" fontId="4" fillId="0" borderId="0" xfId="0" applyFont="1" applyAlignment="1">
      <alignment vertical="center" wrapText="1"/>
    </xf>
    <xf numFmtId="0" fontId="2" fillId="0" borderId="0" xfId="0" applyFont="1" applyAlignment="1">
      <alignment vertical="top" wrapText="1"/>
    </xf>
    <xf numFmtId="0" fontId="8" fillId="0" borderId="2" xfId="0" applyFont="1" applyBorder="1" applyAlignment="1">
      <alignment vertical="center"/>
    </xf>
    <xf numFmtId="0" fontId="8" fillId="0" borderId="3" xfId="0" applyFont="1" applyBorder="1" applyAlignment="1">
      <alignment vertical="center"/>
    </xf>
    <xf numFmtId="0" fontId="8" fillId="0" borderId="4" xfId="0" applyFont="1" applyBorder="1" applyAlignment="1">
      <alignment vertical="center"/>
    </xf>
    <xf numFmtId="49" fontId="18" fillId="0" borderId="52" xfId="0" applyNumberFormat="1" applyFont="1" applyBorder="1" applyAlignment="1">
      <alignment horizontal="center" vertical="center"/>
    </xf>
    <xf numFmtId="49" fontId="18" fillId="0" borderId="29" xfId="0" applyNumberFormat="1" applyFont="1" applyBorder="1" applyAlignment="1">
      <alignment horizontal="center" vertical="center"/>
    </xf>
    <xf numFmtId="0" fontId="21" fillId="0" borderId="4" xfId="0" applyFont="1" applyBorder="1" applyAlignment="1">
      <alignment horizontal="center" vertical="center" shrinkToFit="1"/>
    </xf>
    <xf numFmtId="0" fontId="8" fillId="0" borderId="14" xfId="0" applyFont="1" applyBorder="1" applyAlignment="1">
      <alignment horizontal="center" vertical="center" shrinkToFit="1"/>
    </xf>
    <xf numFmtId="0" fontId="8" fillId="0" borderId="23" xfId="0" applyFont="1" applyBorder="1" applyAlignment="1">
      <alignment horizontal="center" vertical="center" shrinkToFit="1"/>
    </xf>
    <xf numFmtId="0" fontId="8" fillId="0" borderId="13" xfId="0" applyFont="1" applyBorder="1" applyAlignment="1">
      <alignment horizontal="center" vertical="center" shrinkToFit="1"/>
    </xf>
    <xf numFmtId="0" fontId="3" fillId="0" borderId="0" xfId="0" applyFont="1" applyBorder="1" applyAlignment="1">
      <alignment vertical="center" shrinkToFit="1"/>
    </xf>
    <xf numFmtId="0" fontId="8" fillId="0" borderId="1" xfId="0" applyFont="1" applyBorder="1" applyAlignment="1">
      <alignment horizontal="center" vertical="center" shrinkToFit="1"/>
    </xf>
    <xf numFmtId="0" fontId="8" fillId="0" borderId="43" xfId="0" applyFont="1" applyBorder="1" applyAlignment="1">
      <alignment horizontal="center" vertical="center" shrinkToFit="1"/>
    </xf>
    <xf numFmtId="0" fontId="9" fillId="0" borderId="0" xfId="0" applyFont="1" applyAlignment="1">
      <alignment vertical="center" wrapText="1"/>
    </xf>
    <xf numFmtId="0" fontId="8" fillId="0" borderId="0" xfId="0" applyFont="1" applyBorder="1" applyAlignment="1">
      <alignment vertical="center" shrinkToFit="1"/>
    </xf>
    <xf numFmtId="0" fontId="8" fillId="0" borderId="0" xfId="0" applyFont="1" applyBorder="1" applyAlignment="1">
      <alignment vertical="center" shrinkToFit="1"/>
    </xf>
    <xf numFmtId="0" fontId="8" fillId="0" borderId="18" xfId="0" applyFont="1" applyBorder="1" applyAlignment="1">
      <alignment horizontal="center" vertical="center"/>
    </xf>
    <xf numFmtId="0" fontId="8" fillId="0" borderId="42" xfId="0" applyFont="1" applyBorder="1" applyAlignment="1">
      <alignment horizontal="center" vertical="center"/>
    </xf>
    <xf numFmtId="0" fontId="8" fillId="0" borderId="38" xfId="0" applyFont="1" applyBorder="1" applyAlignment="1">
      <alignment horizontal="center" vertical="center"/>
    </xf>
    <xf numFmtId="0" fontId="8" fillId="0" borderId="0" xfId="0" applyFont="1" applyBorder="1" applyAlignment="1">
      <alignment horizontal="center" vertical="center"/>
    </xf>
    <xf numFmtId="0" fontId="8" fillId="0" borderId="53" xfId="0" applyFont="1" applyBorder="1" applyAlignment="1">
      <alignment horizontal="center" vertical="center" shrinkToFit="1"/>
    </xf>
    <xf numFmtId="0" fontId="8" fillId="0" borderId="54" xfId="0" applyFont="1" applyBorder="1" applyAlignment="1">
      <alignment horizontal="center" vertical="center" shrinkToFit="1"/>
    </xf>
    <xf numFmtId="0" fontId="8" fillId="0" borderId="21" xfId="0" applyFont="1" applyBorder="1" applyAlignment="1">
      <alignment horizontal="center" vertical="center"/>
    </xf>
    <xf numFmtId="0" fontId="8" fillId="0" borderId="0" xfId="0" applyFont="1" applyBorder="1" applyAlignment="1">
      <alignment horizontal="left" vertical="center" shrinkToFit="1"/>
    </xf>
    <xf numFmtId="0" fontId="8" fillId="0" borderId="23" xfId="0" applyFont="1" applyBorder="1" applyAlignment="1">
      <alignment horizontal="center" vertical="center"/>
    </xf>
    <xf numFmtId="0" fontId="8" fillId="0" borderId="14" xfId="0" applyFont="1" applyBorder="1" applyAlignment="1">
      <alignment horizontal="center" vertical="center"/>
    </xf>
    <xf numFmtId="0" fontId="8" fillId="0" borderId="23" xfId="0" applyFont="1" applyBorder="1" applyAlignment="1">
      <alignment vertical="center"/>
    </xf>
    <xf numFmtId="0" fontId="8" fillId="0" borderId="43" xfId="0" applyFont="1" applyBorder="1" applyAlignment="1">
      <alignment vertical="center"/>
    </xf>
    <xf numFmtId="0" fontId="8" fillId="0" borderId="0" xfId="0" applyFont="1" applyBorder="1" applyAlignment="1">
      <alignment vertical="center" shrinkToFit="1"/>
    </xf>
    <xf numFmtId="0" fontId="8" fillId="0" borderId="18" xfId="0" applyFont="1" applyBorder="1" applyAlignment="1">
      <alignment horizontal="center" vertical="center"/>
    </xf>
    <xf numFmtId="0" fontId="8" fillId="0" borderId="23" xfId="0" applyFont="1" applyBorder="1" applyAlignment="1">
      <alignment horizontal="center" vertical="center"/>
    </xf>
    <xf numFmtId="0" fontId="8" fillId="0" borderId="14" xfId="0" applyFont="1" applyBorder="1" applyAlignment="1">
      <alignment horizontal="center" vertical="center"/>
    </xf>
    <xf numFmtId="0" fontId="8" fillId="0" borderId="43" xfId="0" applyFont="1" applyBorder="1" applyAlignment="1">
      <alignment horizontal="center" vertical="center"/>
    </xf>
    <xf numFmtId="0" fontId="8" fillId="0" borderId="38" xfId="0" applyFont="1" applyBorder="1" applyAlignment="1">
      <alignment horizontal="center" vertical="center"/>
    </xf>
    <xf numFmtId="0" fontId="8" fillId="0" borderId="42" xfId="0" applyFont="1" applyBorder="1" applyAlignment="1">
      <alignment horizontal="center" vertical="center"/>
    </xf>
    <xf numFmtId="0" fontId="8" fillId="0" borderId="15" xfId="0" applyFont="1" applyBorder="1" applyAlignment="1">
      <alignment horizontal="center" vertical="center" shrinkToFit="1"/>
    </xf>
    <xf numFmtId="0" fontId="8" fillId="0" borderId="23" xfId="0" applyFont="1" applyBorder="1" applyAlignment="1">
      <alignment horizontal="center" vertical="center"/>
    </xf>
    <xf numFmtId="0" fontId="8" fillId="0" borderId="43" xfId="0" applyFont="1" applyBorder="1" applyAlignment="1">
      <alignment horizontal="center" vertical="center"/>
    </xf>
    <xf numFmtId="0" fontId="3" fillId="0" borderId="23" xfId="0" applyFont="1" applyBorder="1" applyAlignment="1">
      <alignment vertical="center" shrinkToFit="1"/>
    </xf>
    <xf numFmtId="0" fontId="8" fillId="0" borderId="38" xfId="0" applyFont="1" applyBorder="1" applyAlignment="1">
      <alignment horizontal="center" vertical="center"/>
    </xf>
    <xf numFmtId="0" fontId="8" fillId="0" borderId="18" xfId="0" applyFont="1" applyBorder="1" applyAlignment="1">
      <alignment horizontal="center" vertical="center"/>
    </xf>
    <xf numFmtId="0" fontId="8" fillId="0" borderId="0" xfId="0" applyFont="1" applyAlignment="1">
      <alignment vertical="center" wrapText="1"/>
    </xf>
    <xf numFmtId="0" fontId="8" fillId="0" borderId="42" xfId="0" applyFont="1" applyBorder="1" applyAlignment="1">
      <alignment horizontal="center" vertical="center"/>
    </xf>
    <xf numFmtId="0" fontId="18" fillId="0" borderId="0" xfId="0" applyFont="1" applyAlignment="1">
      <alignment vertical="top" wrapText="1"/>
    </xf>
    <xf numFmtId="0" fontId="18" fillId="0" borderId="20" xfId="0" applyFont="1" applyBorder="1" applyAlignment="1">
      <alignment vertical="top" shrinkToFit="1"/>
    </xf>
    <xf numFmtId="0" fontId="18" fillId="0" borderId="18" xfId="0" applyFont="1" applyBorder="1" applyAlignment="1">
      <alignment vertical="top" shrinkToFit="1"/>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8" fillId="0" borderId="4" xfId="0" applyFont="1" applyBorder="1" applyAlignment="1">
      <alignment horizontal="center" vertical="center"/>
    </xf>
    <xf numFmtId="176" fontId="8" fillId="0" borderId="2" xfId="0" applyNumberFormat="1" applyFont="1" applyBorder="1" applyAlignment="1">
      <alignment horizontal="center" vertical="center"/>
    </xf>
    <xf numFmtId="176" fontId="8" fillId="0" borderId="3" xfId="0" applyNumberFormat="1" applyFont="1" applyBorder="1" applyAlignment="1">
      <alignment horizontal="center" vertical="center"/>
    </xf>
    <xf numFmtId="176" fontId="8" fillId="0" borderId="4" xfId="0" applyNumberFormat="1" applyFont="1" applyBorder="1" applyAlignment="1">
      <alignment horizontal="center" vertical="center"/>
    </xf>
    <xf numFmtId="0" fontId="8" fillId="0" borderId="0" xfId="0" applyFont="1" applyBorder="1" applyAlignment="1">
      <alignment horizontal="center" vertical="center"/>
    </xf>
    <xf numFmtId="0" fontId="8" fillId="0" borderId="0" xfId="0" applyFont="1" applyBorder="1" applyAlignment="1">
      <alignment horizontal="right" vertical="center" shrinkToFit="1"/>
    </xf>
    <xf numFmtId="0" fontId="8" fillId="0" borderId="2" xfId="0" applyFont="1" applyBorder="1" applyAlignment="1">
      <alignment horizontal="center" vertical="center" shrinkToFit="1"/>
    </xf>
    <xf numFmtId="0" fontId="8" fillId="0" borderId="3" xfId="0" applyFont="1" applyBorder="1" applyAlignment="1">
      <alignment horizontal="center" vertical="center" shrinkToFit="1"/>
    </xf>
    <xf numFmtId="0" fontId="8" fillId="0" borderId="5" xfId="0" applyFont="1" applyBorder="1" applyAlignment="1">
      <alignment horizontal="right" vertical="center" shrinkToFit="1"/>
    </xf>
    <xf numFmtId="0" fontId="8" fillId="0" borderId="10" xfId="0" applyFont="1" applyBorder="1" applyAlignment="1">
      <alignment horizontal="right" vertical="center" shrinkToFit="1"/>
    </xf>
    <xf numFmtId="176" fontId="8" fillId="0" borderId="2" xfId="0" applyNumberFormat="1" applyFont="1" applyBorder="1" applyAlignment="1">
      <alignment horizontal="center" vertical="center" shrinkToFit="1"/>
    </xf>
    <xf numFmtId="176" fontId="8" fillId="0" borderId="4" xfId="0" applyNumberFormat="1" applyFont="1" applyBorder="1" applyAlignment="1">
      <alignment horizontal="center" vertical="center" shrinkToFit="1"/>
    </xf>
    <xf numFmtId="0" fontId="8" fillId="0" borderId="0" xfId="0" applyFont="1" applyBorder="1" applyAlignment="1">
      <alignment vertical="center" shrinkToFit="1"/>
    </xf>
    <xf numFmtId="0" fontId="8" fillId="0" borderId="4" xfId="0" applyFont="1" applyBorder="1" applyAlignment="1">
      <alignment horizontal="center" vertical="center" shrinkToFit="1"/>
    </xf>
    <xf numFmtId="0" fontId="8" fillId="0" borderId="0" xfId="0" applyFont="1" applyAlignment="1">
      <alignment horizontal="right" vertical="center"/>
    </xf>
    <xf numFmtId="0" fontId="8" fillId="0" borderId="0" xfId="0" applyFont="1" applyBorder="1" applyAlignment="1">
      <alignment horizontal="right" vertical="center"/>
    </xf>
    <xf numFmtId="0" fontId="8" fillId="0" borderId="10" xfId="0" applyFont="1" applyBorder="1" applyAlignment="1">
      <alignment horizontal="right" vertical="center"/>
    </xf>
    <xf numFmtId="176" fontId="8" fillId="0" borderId="3" xfId="0" applyNumberFormat="1" applyFont="1" applyBorder="1" applyAlignment="1">
      <alignment horizontal="center" vertical="center" shrinkToFit="1"/>
    </xf>
    <xf numFmtId="0" fontId="13" fillId="0" borderId="0" xfId="0" applyFont="1" applyAlignment="1">
      <alignment horizontal="center" vertical="center"/>
    </xf>
    <xf numFmtId="0" fontId="8" fillId="0" borderId="2" xfId="0" applyNumberFormat="1" applyFont="1" applyBorder="1" applyAlignment="1">
      <alignment horizontal="center" vertical="center"/>
    </xf>
    <xf numFmtId="0" fontId="8" fillId="0" borderId="4" xfId="0" applyNumberFormat="1" applyFont="1" applyBorder="1" applyAlignment="1">
      <alignment horizontal="center" vertical="center"/>
    </xf>
    <xf numFmtId="49" fontId="7" fillId="0" borderId="2" xfId="2" applyNumberFormat="1" applyBorder="1" applyAlignment="1">
      <alignment vertical="center" shrinkToFit="1"/>
    </xf>
    <xf numFmtId="49" fontId="8" fillId="0" borderId="3" xfId="0" applyNumberFormat="1" applyFont="1" applyBorder="1" applyAlignment="1">
      <alignment vertical="center" shrinkToFit="1"/>
    </xf>
    <xf numFmtId="49" fontId="8" fillId="0" borderId="4" xfId="0" applyNumberFormat="1" applyFont="1" applyBorder="1" applyAlignment="1">
      <alignment vertical="center" shrinkToFit="1"/>
    </xf>
    <xf numFmtId="49" fontId="8" fillId="0" borderId="2" xfId="1" applyNumberFormat="1" applyFont="1" applyBorder="1" applyAlignment="1">
      <alignment horizontal="center" vertical="center" shrinkToFit="1"/>
    </xf>
    <xf numFmtId="49" fontId="8" fillId="0" borderId="3" xfId="1" applyNumberFormat="1" applyFont="1" applyBorder="1" applyAlignment="1">
      <alignment horizontal="center" vertical="center" shrinkToFit="1"/>
    </xf>
    <xf numFmtId="49" fontId="8" fillId="0" borderId="4" xfId="1" applyNumberFormat="1" applyFont="1" applyBorder="1" applyAlignment="1">
      <alignment horizontal="center" vertical="center" shrinkToFit="1"/>
    </xf>
    <xf numFmtId="0" fontId="8" fillId="0" borderId="2" xfId="0" applyFont="1" applyBorder="1" applyAlignment="1">
      <alignment vertical="center" shrinkToFit="1"/>
    </xf>
    <xf numFmtId="0" fontId="8" fillId="0" borderId="3" xfId="0" applyFont="1" applyBorder="1" applyAlignment="1">
      <alignment vertical="center" shrinkToFit="1"/>
    </xf>
    <xf numFmtId="0" fontId="8" fillId="0" borderId="19" xfId="0" applyFont="1" applyBorder="1" applyAlignment="1">
      <alignment horizontal="left" vertical="center" shrinkToFit="1"/>
    </xf>
    <xf numFmtId="0" fontId="8" fillId="0" borderId="20" xfId="0" applyFont="1" applyBorder="1" applyAlignment="1">
      <alignment horizontal="left" vertical="center" shrinkToFit="1"/>
    </xf>
    <xf numFmtId="0" fontId="8" fillId="0" borderId="19" xfId="0" applyFont="1" applyBorder="1" applyAlignment="1">
      <alignment horizontal="center" vertical="center"/>
    </xf>
    <xf numFmtId="0" fontId="8" fillId="0" borderId="20" xfId="0" applyFont="1" applyBorder="1" applyAlignment="1">
      <alignment horizontal="center" vertical="center"/>
    </xf>
    <xf numFmtId="0" fontId="8" fillId="0" borderId="18" xfId="0" applyFont="1" applyBorder="1" applyAlignment="1">
      <alignment horizontal="center" vertical="center"/>
    </xf>
    <xf numFmtId="0" fontId="8" fillId="0" borderId="23" xfId="0" applyFont="1" applyBorder="1" applyAlignment="1">
      <alignment horizontal="left" vertical="center" shrinkToFit="1"/>
    </xf>
    <xf numFmtId="0" fontId="8" fillId="0" borderId="23" xfId="0" applyFont="1" applyBorder="1" applyAlignment="1">
      <alignment horizontal="center" vertical="center"/>
    </xf>
    <xf numFmtId="0" fontId="8" fillId="0" borderId="18" xfId="0" applyFont="1" applyBorder="1" applyAlignment="1">
      <alignment horizontal="left" vertical="center" shrinkToFit="1"/>
    </xf>
    <xf numFmtId="0" fontId="8" fillId="0" borderId="19" xfId="0" applyFont="1" applyBorder="1" applyAlignment="1">
      <alignment vertical="center" shrinkToFit="1"/>
    </xf>
    <xf numFmtId="0" fontId="8" fillId="0" borderId="20" xfId="0" applyFont="1" applyBorder="1" applyAlignment="1">
      <alignment vertical="center" shrinkToFit="1"/>
    </xf>
    <xf numFmtId="0" fontId="8" fillId="0" borderId="18" xfId="0" applyFont="1" applyBorder="1" applyAlignment="1">
      <alignment vertical="center" shrinkToFit="1"/>
    </xf>
    <xf numFmtId="0" fontId="8" fillId="0" borderId="0" xfId="0" applyFont="1" applyAlignment="1">
      <alignment vertical="center" wrapText="1"/>
    </xf>
    <xf numFmtId="0" fontId="8" fillId="0" borderId="40" xfId="0" applyFont="1" applyBorder="1" applyAlignment="1">
      <alignment horizontal="left" vertical="center" shrinkToFit="1"/>
    </xf>
    <xf numFmtId="0" fontId="8" fillId="0" borderId="41" xfId="0" applyFont="1" applyBorder="1" applyAlignment="1">
      <alignment horizontal="left" vertical="center" shrinkToFit="1"/>
    </xf>
    <xf numFmtId="0" fontId="8" fillId="0" borderId="42" xfId="0" applyFont="1" applyBorder="1" applyAlignment="1">
      <alignment horizontal="left" vertical="center" shrinkToFit="1"/>
    </xf>
    <xf numFmtId="0" fontId="8" fillId="0" borderId="40" xfId="0" applyFont="1" applyBorder="1" applyAlignment="1">
      <alignment horizontal="center" vertical="center"/>
    </xf>
    <xf numFmtId="0" fontId="8" fillId="0" borderId="41" xfId="0" applyFont="1" applyBorder="1" applyAlignment="1">
      <alignment horizontal="center" vertical="center"/>
    </xf>
    <xf numFmtId="0" fontId="8" fillId="0" borderId="42" xfId="0" applyFont="1" applyBorder="1" applyAlignment="1">
      <alignment horizontal="center" vertical="center"/>
    </xf>
    <xf numFmtId="0" fontId="8" fillId="0" borderId="40" xfId="0" applyFont="1" applyBorder="1" applyAlignment="1">
      <alignment vertical="center" shrinkToFit="1"/>
    </xf>
    <xf numFmtId="0" fontId="8" fillId="0" borderId="41" xfId="0" applyFont="1" applyBorder="1" applyAlignment="1">
      <alignment vertical="center" shrinkToFit="1"/>
    </xf>
    <xf numFmtId="0" fontId="8" fillId="0" borderId="42" xfId="0" applyFont="1" applyBorder="1" applyAlignment="1">
      <alignment vertical="center" shrinkToFit="1"/>
    </xf>
    <xf numFmtId="0" fontId="8" fillId="0" borderId="7" xfId="0" applyFont="1" applyBorder="1" applyAlignment="1">
      <alignment vertical="center" wrapText="1" shrinkToFit="1"/>
    </xf>
    <xf numFmtId="0" fontId="8" fillId="0" borderId="8" xfId="0" applyFont="1" applyBorder="1" applyAlignment="1">
      <alignment vertical="center" wrapText="1" shrinkToFit="1"/>
    </xf>
    <xf numFmtId="0" fontId="8" fillId="0" borderId="9" xfId="0" applyFont="1" applyBorder="1" applyAlignment="1">
      <alignment vertical="center" wrapText="1" shrinkToFit="1"/>
    </xf>
    <xf numFmtId="0" fontId="8" fillId="0" borderId="5" xfId="0" applyFont="1" applyBorder="1" applyAlignment="1">
      <alignment vertical="center" wrapText="1" shrinkToFit="1"/>
    </xf>
    <xf numFmtId="0" fontId="8" fillId="0" borderId="0" xfId="0" applyFont="1" applyBorder="1" applyAlignment="1">
      <alignment vertical="center" wrapText="1" shrinkToFit="1"/>
    </xf>
    <xf numFmtId="0" fontId="8" fillId="0" borderId="10" xfId="0" applyFont="1" applyBorder="1" applyAlignment="1">
      <alignment vertical="center" wrapText="1" shrinkToFit="1"/>
    </xf>
    <xf numFmtId="0" fontId="8" fillId="0" borderId="11" xfId="0" applyFont="1" applyBorder="1" applyAlignment="1">
      <alignment vertical="center" wrapText="1" shrinkToFit="1"/>
    </xf>
    <xf numFmtId="0" fontId="8" fillId="0" borderId="6" xfId="0" applyFont="1" applyBorder="1" applyAlignment="1">
      <alignment vertical="center" wrapText="1" shrinkToFit="1"/>
    </xf>
    <xf numFmtId="0" fontId="8" fillId="0" borderId="12" xfId="0" applyFont="1" applyBorder="1" applyAlignment="1">
      <alignment vertical="center" wrapText="1" shrinkToFit="1"/>
    </xf>
    <xf numFmtId="0" fontId="7" fillId="0" borderId="2" xfId="2" applyBorder="1" applyAlignment="1">
      <alignment vertical="center" wrapText="1" shrinkToFit="1"/>
    </xf>
    <xf numFmtId="0" fontId="9" fillId="0" borderId="3" xfId="0" applyFont="1" applyBorder="1" applyAlignment="1">
      <alignment vertical="center" shrinkToFit="1"/>
    </xf>
    <xf numFmtId="0" fontId="9" fillId="0" borderId="4" xfId="0" applyFont="1" applyBorder="1" applyAlignment="1">
      <alignment vertical="center" shrinkToFit="1"/>
    </xf>
    <xf numFmtId="0" fontId="19" fillId="0" borderId="48" xfId="0" applyFont="1" applyBorder="1" applyAlignment="1">
      <alignment vertical="center" wrapText="1"/>
    </xf>
    <xf numFmtId="0" fontId="20" fillId="0" borderId="32" xfId="0" applyFont="1" applyBorder="1" applyAlignment="1">
      <alignment vertical="center" wrapText="1"/>
    </xf>
    <xf numFmtId="0" fontId="8" fillId="0" borderId="8" xfId="0" applyFont="1" applyBorder="1" applyAlignment="1">
      <alignment horizontal="left" vertical="center" wrapText="1"/>
    </xf>
    <xf numFmtId="0" fontId="8" fillId="0" borderId="9" xfId="0" applyFont="1" applyBorder="1" applyAlignment="1">
      <alignment horizontal="left" vertical="center" wrapText="1"/>
    </xf>
    <xf numFmtId="0" fontId="8" fillId="0" borderId="20" xfId="0" applyFont="1" applyBorder="1" applyAlignment="1">
      <alignment horizontal="left" vertical="center" wrapText="1"/>
    </xf>
    <xf numFmtId="0" fontId="8" fillId="0" borderId="18" xfId="0" applyFont="1" applyBorder="1" applyAlignment="1">
      <alignment horizontal="left" vertical="center" wrapText="1"/>
    </xf>
    <xf numFmtId="0" fontId="20" fillId="0" borderId="49" xfId="0" applyFont="1" applyBorder="1" applyAlignment="1">
      <alignment vertical="center" wrapText="1"/>
    </xf>
    <xf numFmtId="0" fontId="8" fillId="0" borderId="39" xfId="0" applyFont="1" applyBorder="1" applyAlignment="1">
      <alignment vertical="center" wrapText="1"/>
    </xf>
    <xf numFmtId="0" fontId="8" fillId="0" borderId="38" xfId="0" applyFont="1" applyBorder="1" applyAlignment="1">
      <alignment vertical="center" wrapText="1"/>
    </xf>
    <xf numFmtId="0" fontId="8" fillId="0" borderId="19" xfId="0" applyFont="1" applyBorder="1" applyAlignment="1">
      <alignment vertical="center" wrapText="1"/>
    </xf>
    <xf numFmtId="0" fontId="8" fillId="0" borderId="20" xfId="0" applyFont="1" applyBorder="1" applyAlignment="1">
      <alignment vertical="center" wrapText="1"/>
    </xf>
    <xf numFmtId="0" fontId="8" fillId="0" borderId="18" xfId="0" applyFont="1" applyBorder="1" applyAlignment="1">
      <alignment vertical="center" wrapText="1"/>
    </xf>
    <xf numFmtId="0" fontId="8" fillId="0" borderId="6" xfId="0" applyFont="1" applyBorder="1" applyAlignment="1">
      <alignment vertical="center" wrapText="1"/>
    </xf>
    <xf numFmtId="0" fontId="8" fillId="0" borderId="12" xfId="0" applyFont="1" applyBorder="1" applyAlignment="1">
      <alignment vertical="center" wrapText="1"/>
    </xf>
    <xf numFmtId="0" fontId="20" fillId="0" borderId="48" xfId="0" applyFont="1" applyBorder="1" applyAlignment="1">
      <alignment vertical="center" wrapText="1"/>
    </xf>
    <xf numFmtId="0" fontId="8" fillId="0" borderId="39" xfId="0" applyFont="1" applyBorder="1" applyAlignment="1">
      <alignment horizontal="left" vertical="center" wrapText="1"/>
    </xf>
    <xf numFmtId="0" fontId="8" fillId="0" borderId="38" xfId="0" applyFont="1" applyBorder="1" applyAlignment="1">
      <alignment horizontal="left" vertical="center" wrapText="1"/>
    </xf>
    <xf numFmtId="0" fontId="8" fillId="0" borderId="41" xfId="0" applyFont="1" applyBorder="1" applyAlignment="1">
      <alignment horizontal="left" vertical="center" wrapText="1"/>
    </xf>
    <xf numFmtId="0" fontId="8" fillId="0" borderId="42" xfId="0" applyFont="1" applyBorder="1" applyAlignment="1">
      <alignment horizontal="left" vertical="center" wrapText="1"/>
    </xf>
    <xf numFmtId="0" fontId="8" fillId="0" borderId="6" xfId="0" applyFont="1" applyBorder="1" applyAlignment="1">
      <alignment horizontal="left" vertical="center" wrapText="1"/>
    </xf>
    <xf numFmtId="0" fontId="8" fillId="0" borderId="12" xfId="0" applyFont="1" applyBorder="1" applyAlignment="1">
      <alignment horizontal="left" vertical="center" wrapText="1"/>
    </xf>
    <xf numFmtId="0" fontId="8" fillId="0" borderId="40" xfId="0" applyFont="1" applyBorder="1" applyAlignment="1">
      <alignment horizontal="center" vertical="center" shrinkToFit="1"/>
    </xf>
    <xf numFmtId="0" fontId="8" fillId="0" borderId="41" xfId="0" applyFont="1" applyBorder="1" applyAlignment="1">
      <alignment horizontal="center" vertical="center" shrinkToFit="1"/>
    </xf>
    <xf numFmtId="0" fontId="8" fillId="0" borderId="42" xfId="0" applyFont="1" applyBorder="1" applyAlignment="1">
      <alignment horizontal="center" vertical="center" shrinkToFit="1"/>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8" fillId="0" borderId="22" xfId="0" applyFont="1" applyBorder="1" applyAlignment="1">
      <alignment horizontal="left" vertical="center" wrapText="1"/>
    </xf>
    <xf numFmtId="0" fontId="8" fillId="0" borderId="21" xfId="0" applyFont="1" applyBorder="1" applyAlignment="1">
      <alignment horizontal="left" vertical="center" wrapText="1"/>
    </xf>
    <xf numFmtId="0" fontId="8" fillId="0" borderId="19" xfId="0" applyFont="1" applyBorder="1" applyAlignment="1">
      <alignment horizontal="center" vertical="center" shrinkToFit="1"/>
    </xf>
    <xf numFmtId="0" fontId="8" fillId="0" borderId="20" xfId="0" applyFont="1" applyBorder="1" applyAlignment="1">
      <alignment horizontal="center" vertical="center" shrinkToFit="1"/>
    </xf>
    <xf numFmtId="0" fontId="8" fillId="0" borderId="18" xfId="0" applyFont="1" applyBorder="1" applyAlignment="1">
      <alignment horizontal="center" vertical="center" shrinkToFit="1"/>
    </xf>
    <xf numFmtId="0" fontId="8" fillId="0" borderId="37" xfId="0" applyFont="1" applyBorder="1" applyAlignment="1">
      <alignment vertical="center" shrinkToFit="1"/>
    </xf>
    <xf numFmtId="0" fontId="8" fillId="0" borderId="39" xfId="0" applyFont="1" applyBorder="1" applyAlignment="1">
      <alignment vertical="center" shrinkToFit="1"/>
    </xf>
    <xf numFmtId="0" fontId="8" fillId="0" borderId="38" xfId="0" applyFont="1" applyBorder="1" applyAlignment="1">
      <alignment vertical="center" shrinkToFit="1"/>
    </xf>
    <xf numFmtId="0" fontId="8" fillId="0" borderId="37" xfId="0" applyFont="1" applyBorder="1" applyAlignment="1">
      <alignment horizontal="center" vertical="center" shrinkToFit="1"/>
    </xf>
    <xf numFmtId="0" fontId="8" fillId="0" borderId="39" xfId="0" applyFont="1" applyBorder="1" applyAlignment="1">
      <alignment horizontal="center" vertical="center" shrinkToFit="1"/>
    </xf>
    <xf numFmtId="0" fontId="8" fillId="0" borderId="38" xfId="0" applyFont="1" applyBorder="1" applyAlignment="1">
      <alignment horizontal="center" vertical="center" shrinkToFit="1"/>
    </xf>
    <xf numFmtId="0" fontId="8" fillId="0" borderId="11" xfId="0" applyFont="1" applyBorder="1" applyAlignment="1">
      <alignment horizontal="left" vertical="center" shrinkToFit="1"/>
    </xf>
    <xf numFmtId="0" fontId="8" fillId="0" borderId="6" xfId="0" applyFont="1" applyBorder="1" applyAlignment="1">
      <alignment horizontal="left" vertical="center" shrinkToFit="1"/>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9" xfId="0" applyFont="1" applyBorder="1" applyAlignment="1">
      <alignment horizontal="center" vertical="center"/>
    </xf>
    <xf numFmtId="0" fontId="8" fillId="0" borderId="37" xfId="0" applyFont="1" applyBorder="1" applyAlignment="1">
      <alignment horizontal="left" vertical="center" shrinkToFit="1"/>
    </xf>
    <xf numFmtId="0" fontId="8" fillId="0" borderId="39" xfId="0" applyFont="1" applyBorder="1" applyAlignment="1">
      <alignment horizontal="left" vertical="center" shrinkToFit="1"/>
    </xf>
    <xf numFmtId="0" fontId="8" fillId="0" borderId="37" xfId="0" applyFont="1" applyBorder="1" applyAlignment="1">
      <alignment horizontal="center" vertical="center"/>
    </xf>
    <xf numFmtId="0" fontId="8" fillId="0" borderId="39" xfId="0" applyFont="1" applyBorder="1" applyAlignment="1">
      <alignment horizontal="center" vertical="center"/>
    </xf>
    <xf numFmtId="0" fontId="8" fillId="0" borderId="38" xfId="0" applyFont="1" applyBorder="1" applyAlignment="1">
      <alignment horizontal="center" vertical="center"/>
    </xf>
    <xf numFmtId="0" fontId="8" fillId="0" borderId="14" xfId="0" applyFont="1" applyBorder="1" applyAlignment="1">
      <alignment horizontal="left" vertical="center" shrinkToFit="1"/>
    </xf>
    <xf numFmtId="0" fontId="8" fillId="0" borderId="14" xfId="0" applyFont="1" applyBorder="1" applyAlignment="1">
      <alignment horizontal="center" vertical="center"/>
    </xf>
    <xf numFmtId="0" fontId="8" fillId="0" borderId="38" xfId="0" applyFont="1" applyBorder="1" applyAlignment="1">
      <alignment horizontal="left" vertical="center" shrinkToFit="1"/>
    </xf>
    <xf numFmtId="0" fontId="9" fillId="0" borderId="0" xfId="0" applyFont="1" applyAlignment="1">
      <alignment horizontal="center" vertical="center"/>
    </xf>
    <xf numFmtId="0" fontId="17" fillId="0" borderId="0" xfId="0" applyFont="1" applyAlignment="1">
      <alignment horizontal="center" vertical="center"/>
    </xf>
    <xf numFmtId="0" fontId="8" fillId="0" borderId="7" xfId="0" applyFont="1" applyBorder="1" applyAlignment="1">
      <alignment horizontal="left" vertical="top" wrapText="1" shrinkToFit="1"/>
    </xf>
    <xf numFmtId="0" fontId="8" fillId="0" borderId="8" xfId="0" applyFont="1" applyBorder="1" applyAlignment="1">
      <alignment horizontal="left" vertical="top" shrinkToFit="1"/>
    </xf>
    <xf numFmtId="0" fontId="8" fillId="0" borderId="9" xfId="0" applyFont="1" applyBorder="1" applyAlignment="1">
      <alignment horizontal="left" vertical="top" shrinkToFit="1"/>
    </xf>
    <xf numFmtId="0" fontId="8" fillId="0" borderId="5" xfId="0" applyFont="1" applyBorder="1" applyAlignment="1">
      <alignment horizontal="left" vertical="top" shrinkToFit="1"/>
    </xf>
    <xf numFmtId="0" fontId="8" fillId="0" borderId="0" xfId="0" applyFont="1" applyBorder="1" applyAlignment="1">
      <alignment horizontal="left" vertical="top" shrinkToFit="1"/>
    </xf>
    <xf numFmtId="0" fontId="8" fillId="0" borderId="10" xfId="0" applyFont="1" applyBorder="1" applyAlignment="1">
      <alignment horizontal="left" vertical="top" shrinkToFit="1"/>
    </xf>
    <xf numFmtId="0" fontId="8" fillId="0" borderId="0" xfId="0" applyFont="1" applyAlignment="1">
      <alignment horizontal="left" vertical="top" shrinkToFit="1"/>
    </xf>
    <xf numFmtId="0" fontId="8" fillId="0" borderId="11" xfId="0" applyFont="1" applyBorder="1" applyAlignment="1">
      <alignment horizontal="left" vertical="top" shrinkToFit="1"/>
    </xf>
    <xf numFmtId="0" fontId="8" fillId="0" borderId="6" xfId="0" applyFont="1" applyBorder="1" applyAlignment="1">
      <alignment horizontal="left" vertical="top" shrinkToFit="1"/>
    </xf>
    <xf numFmtId="0" fontId="8" fillId="0" borderId="12" xfId="0" applyFont="1" applyBorder="1" applyAlignment="1">
      <alignment horizontal="left" vertical="top" shrinkToFit="1"/>
    </xf>
    <xf numFmtId="0" fontId="8" fillId="0" borderId="16" xfId="0" applyFont="1" applyBorder="1" applyAlignment="1">
      <alignment horizontal="left" vertical="center" shrinkToFit="1"/>
    </xf>
    <xf numFmtId="0" fontId="8" fillId="0" borderId="22" xfId="0" applyFont="1" applyBorder="1" applyAlignment="1">
      <alignment horizontal="left" vertical="center" shrinkToFit="1"/>
    </xf>
    <xf numFmtId="0" fontId="8" fillId="0" borderId="21" xfId="0" applyFont="1" applyBorder="1" applyAlignment="1">
      <alignment horizontal="left" vertical="center" shrinkToFit="1"/>
    </xf>
    <xf numFmtId="0" fontId="8" fillId="0" borderId="16" xfId="0" applyFont="1" applyBorder="1" applyAlignment="1">
      <alignment horizontal="center" vertical="center"/>
    </xf>
    <xf numFmtId="0" fontId="8" fillId="0" borderId="22" xfId="0" applyFont="1" applyBorder="1" applyAlignment="1">
      <alignment horizontal="center" vertical="center"/>
    </xf>
    <xf numFmtId="0" fontId="8" fillId="0" borderId="21" xfId="0" applyFont="1" applyBorder="1" applyAlignment="1">
      <alignment horizontal="center" vertical="center"/>
    </xf>
    <xf numFmtId="0" fontId="7" fillId="0" borderId="2" xfId="2" applyBorder="1" applyAlignment="1">
      <alignment vertical="center" shrinkToFit="1"/>
    </xf>
    <xf numFmtId="0" fontId="8" fillId="0" borderId="43" xfId="0" applyFont="1" applyBorder="1" applyAlignment="1">
      <alignment horizontal="center" vertical="center"/>
    </xf>
    <xf numFmtId="0" fontId="8" fillId="0" borderId="43" xfId="0" applyFont="1" applyBorder="1" applyAlignment="1">
      <alignment horizontal="left" vertical="center" shrinkToFit="1"/>
    </xf>
    <xf numFmtId="0" fontId="8" fillId="0" borderId="39" xfId="0" applyFont="1" applyBorder="1" applyAlignment="1">
      <alignment vertical="center" wrapText="1" shrinkToFit="1"/>
    </xf>
    <xf numFmtId="0" fontId="8" fillId="0" borderId="38" xfId="0" applyFont="1" applyBorder="1" applyAlignment="1">
      <alignment vertical="center" wrapText="1" shrinkToFit="1"/>
    </xf>
    <xf numFmtId="0" fontId="8" fillId="0" borderId="8" xfId="0" applyFont="1" applyBorder="1" applyAlignment="1">
      <alignment horizontal="left" vertical="center" wrapText="1" shrinkToFit="1"/>
    </xf>
    <xf numFmtId="0" fontId="8" fillId="0" borderId="9" xfId="0" applyFont="1" applyBorder="1" applyAlignment="1">
      <alignment horizontal="left" vertical="center" wrapText="1" shrinkToFit="1"/>
    </xf>
    <xf numFmtId="0" fontId="8" fillId="0" borderId="20" xfId="0" applyFont="1" applyBorder="1" applyAlignment="1">
      <alignment horizontal="left" vertical="center" wrapText="1" shrinkToFit="1"/>
    </xf>
    <xf numFmtId="0" fontId="8" fillId="0" borderId="18" xfId="0" applyFont="1" applyBorder="1" applyAlignment="1">
      <alignment horizontal="left" vertical="center" wrapText="1" shrinkToFit="1"/>
    </xf>
    <xf numFmtId="0" fontId="8" fillId="0" borderId="8" xfId="0" applyFont="1" applyBorder="1" applyAlignment="1">
      <alignment horizontal="left" vertical="center" shrinkToFit="1"/>
    </xf>
    <xf numFmtId="0" fontId="8" fillId="0" borderId="9" xfId="0" applyFont="1" applyBorder="1" applyAlignment="1">
      <alignment horizontal="left" vertical="center" shrinkToFit="1"/>
    </xf>
    <xf numFmtId="0" fontId="8" fillId="0" borderId="22" xfId="0" applyFont="1" applyBorder="1" applyAlignment="1">
      <alignment horizontal="left" vertical="center" wrapText="1" shrinkToFit="1"/>
    </xf>
    <xf numFmtId="0" fontId="8" fillId="0" borderId="21" xfId="0" applyFont="1" applyBorder="1" applyAlignment="1">
      <alignment horizontal="left" vertical="center" wrapText="1" shrinkToFit="1"/>
    </xf>
    <xf numFmtId="0" fontId="8" fillId="0" borderId="39" xfId="0" applyFont="1" applyBorder="1" applyAlignment="1">
      <alignment horizontal="left" vertical="center" wrapText="1" shrinkToFit="1"/>
    </xf>
    <xf numFmtId="0" fontId="8" fillId="0" borderId="38" xfId="0" applyFont="1" applyBorder="1" applyAlignment="1">
      <alignment horizontal="left" vertical="center" wrapText="1" shrinkToFit="1"/>
    </xf>
    <xf numFmtId="0" fontId="8" fillId="0" borderId="6" xfId="0" applyFont="1" applyBorder="1" applyAlignment="1">
      <alignment horizontal="left" vertical="center" wrapText="1" shrinkToFit="1"/>
    </xf>
    <xf numFmtId="0" fontId="8" fillId="0" borderId="12" xfId="0" applyFont="1" applyBorder="1" applyAlignment="1">
      <alignment horizontal="left" vertical="center" wrapText="1" shrinkToFit="1"/>
    </xf>
    <xf numFmtId="0" fontId="8" fillId="0" borderId="41" xfId="0" applyFont="1" applyBorder="1" applyAlignment="1">
      <alignment horizontal="left" vertical="center" wrapText="1" shrinkToFit="1"/>
    </xf>
    <xf numFmtId="0" fontId="8" fillId="0" borderId="42" xfId="0" applyFont="1" applyBorder="1" applyAlignment="1">
      <alignment horizontal="left" vertical="center" wrapText="1" shrinkToFit="1"/>
    </xf>
    <xf numFmtId="0" fontId="8" fillId="0" borderId="37" xfId="0" applyFont="1" applyBorder="1" applyAlignment="1">
      <alignment horizontal="left" vertical="center" wrapText="1" shrinkToFit="1"/>
    </xf>
    <xf numFmtId="0" fontId="8" fillId="0" borderId="19" xfId="0" applyFont="1" applyBorder="1" applyAlignment="1">
      <alignment vertical="center" wrapText="1" shrinkToFit="1"/>
    </xf>
    <xf numFmtId="0" fontId="8" fillId="0" borderId="20" xfId="0" applyFont="1" applyBorder="1" applyAlignment="1">
      <alignment vertical="center" wrapText="1" shrinkToFit="1"/>
    </xf>
    <xf numFmtId="0" fontId="8" fillId="0" borderId="18" xfId="0" applyFont="1" applyBorder="1" applyAlignment="1">
      <alignment vertical="center" wrapText="1" shrinkToFit="1"/>
    </xf>
    <xf numFmtId="0" fontId="8" fillId="0" borderId="12" xfId="0" applyFont="1" applyBorder="1" applyAlignment="1">
      <alignment horizontal="left" vertical="center" shrinkToFit="1"/>
    </xf>
    <xf numFmtId="0" fontId="8" fillId="0" borderId="11" xfId="0" applyFont="1" applyBorder="1" applyAlignment="1">
      <alignment horizontal="center" vertical="center"/>
    </xf>
    <xf numFmtId="0" fontId="8" fillId="0" borderId="6" xfId="0" applyFont="1" applyBorder="1" applyAlignment="1">
      <alignment horizontal="center" vertical="center"/>
    </xf>
    <xf numFmtId="0" fontId="8" fillId="0" borderId="12" xfId="0" applyFont="1" applyBorder="1" applyAlignment="1">
      <alignment horizontal="center" vertical="center"/>
    </xf>
    <xf numFmtId="0" fontId="8" fillId="0" borderId="11" xfId="0" applyFont="1" applyBorder="1" applyAlignment="1">
      <alignment vertical="center" shrinkToFit="1"/>
    </xf>
    <xf numFmtId="0" fontId="8" fillId="0" borderId="6" xfId="0" applyFont="1" applyBorder="1" applyAlignment="1">
      <alignment vertical="center" shrinkToFit="1"/>
    </xf>
    <xf numFmtId="0" fontId="8" fillId="0" borderId="12" xfId="0" applyFont="1" applyBorder="1" applyAlignment="1">
      <alignment vertical="center" shrinkToFit="1"/>
    </xf>
    <xf numFmtId="0" fontId="8" fillId="0" borderId="16" xfId="0" applyFont="1" applyBorder="1" applyAlignment="1">
      <alignment vertical="center" shrinkToFit="1"/>
    </xf>
    <xf numFmtId="0" fontId="8" fillId="0" borderId="22" xfId="0" applyFont="1" applyBorder="1" applyAlignment="1">
      <alignment vertical="center" shrinkToFit="1"/>
    </xf>
    <xf numFmtId="0" fontId="8" fillId="0" borderId="21" xfId="0" applyFont="1" applyBorder="1" applyAlignment="1">
      <alignment vertical="center" shrinkToFit="1"/>
    </xf>
    <xf numFmtId="0" fontId="8" fillId="0" borderId="14" xfId="0" applyFont="1" applyBorder="1" applyAlignment="1">
      <alignment vertical="center" shrinkToFit="1"/>
    </xf>
    <xf numFmtId="0" fontId="8" fillId="0" borderId="23" xfId="0" applyFont="1" applyBorder="1" applyAlignment="1">
      <alignment vertical="center" shrinkToFit="1"/>
    </xf>
    <xf numFmtId="0" fontId="8" fillId="0" borderId="7" xfId="0" applyFont="1" applyBorder="1" applyAlignment="1">
      <alignment horizontal="left" vertical="center" shrinkToFit="1"/>
    </xf>
    <xf numFmtId="0" fontId="9" fillId="0" borderId="7" xfId="0" applyFont="1" applyBorder="1" applyAlignment="1">
      <alignment vertical="center" wrapText="1" shrinkToFit="1"/>
    </xf>
    <xf numFmtId="0" fontId="9" fillId="0" borderId="8" xfId="0" applyFont="1" applyBorder="1" applyAlignment="1">
      <alignment vertical="center" wrapText="1" shrinkToFit="1"/>
    </xf>
    <xf numFmtId="0" fontId="9" fillId="0" borderId="9" xfId="0" applyFont="1" applyBorder="1" applyAlignment="1">
      <alignment vertical="center" wrapText="1" shrinkToFit="1"/>
    </xf>
    <xf numFmtId="0" fontId="9" fillId="0" borderId="5" xfId="0" applyFont="1" applyBorder="1" applyAlignment="1">
      <alignment vertical="center" wrapText="1" shrinkToFit="1"/>
    </xf>
    <xf numFmtId="0" fontId="9" fillId="0" borderId="0" xfId="0" applyFont="1" applyBorder="1" applyAlignment="1">
      <alignment vertical="center" wrapText="1" shrinkToFit="1"/>
    </xf>
    <xf numFmtId="0" fontId="9" fillId="0" borderId="10" xfId="0" applyFont="1" applyBorder="1" applyAlignment="1">
      <alignment vertical="center" wrapText="1" shrinkToFit="1"/>
    </xf>
    <xf numFmtId="0" fontId="9" fillId="0" borderId="11" xfId="0" applyFont="1" applyBorder="1" applyAlignment="1">
      <alignment vertical="center" wrapText="1" shrinkToFit="1"/>
    </xf>
    <xf numFmtId="0" fontId="9" fillId="0" borderId="6" xfId="0" applyFont="1" applyBorder="1" applyAlignment="1">
      <alignment vertical="center" wrapText="1" shrinkToFit="1"/>
    </xf>
    <xf numFmtId="0" fontId="9" fillId="0" borderId="12" xfId="0" applyFont="1" applyBorder="1" applyAlignment="1">
      <alignment vertical="center" wrapText="1" shrinkToFit="1"/>
    </xf>
    <xf numFmtId="0" fontId="8" fillId="0" borderId="37" xfId="0" applyFont="1" applyBorder="1" applyAlignment="1">
      <alignment horizontal="left" vertical="center" wrapText="1"/>
    </xf>
    <xf numFmtId="0" fontId="9" fillId="0" borderId="40" xfId="0" applyFont="1" applyBorder="1" applyAlignment="1">
      <alignment horizontal="left" vertical="center" wrapText="1"/>
    </xf>
    <xf numFmtId="0" fontId="19" fillId="0" borderId="32" xfId="0" applyFont="1" applyBorder="1" applyAlignment="1">
      <alignment vertical="center" wrapText="1"/>
    </xf>
    <xf numFmtId="0" fontId="8" fillId="0" borderId="19" xfId="0" applyFont="1" applyBorder="1" applyAlignment="1">
      <alignment horizontal="left" vertical="center" wrapText="1"/>
    </xf>
    <xf numFmtId="0" fontId="9" fillId="0" borderId="37" xfId="0" applyFont="1" applyBorder="1" applyAlignment="1">
      <alignment horizontal="left" vertical="center" wrapText="1"/>
    </xf>
    <xf numFmtId="0" fontId="9" fillId="0" borderId="39" xfId="0" applyFont="1" applyBorder="1" applyAlignment="1">
      <alignment horizontal="left" vertical="center" wrapText="1"/>
    </xf>
    <xf numFmtId="0" fontId="9" fillId="0" borderId="38" xfId="0" applyFont="1" applyBorder="1" applyAlignment="1">
      <alignment horizontal="left" vertical="center" wrapText="1"/>
    </xf>
    <xf numFmtId="0" fontId="9" fillId="0" borderId="41" xfId="0" applyFont="1" applyBorder="1" applyAlignment="1">
      <alignment horizontal="left" vertical="center" wrapText="1"/>
    </xf>
    <xf numFmtId="0" fontId="9" fillId="0" borderId="42" xfId="0" applyFont="1" applyBorder="1" applyAlignment="1">
      <alignment horizontal="left" vertical="center" wrapText="1"/>
    </xf>
    <xf numFmtId="0" fontId="9" fillId="0" borderId="19" xfId="0" applyFont="1" applyBorder="1" applyAlignment="1">
      <alignment horizontal="left" vertical="center" wrapText="1"/>
    </xf>
    <xf numFmtId="0" fontId="9" fillId="0" borderId="20" xfId="0" applyFont="1" applyBorder="1" applyAlignment="1">
      <alignment horizontal="left" vertical="center" wrapText="1"/>
    </xf>
    <xf numFmtId="0" fontId="9" fillId="0" borderId="18" xfId="0" applyFont="1" applyBorder="1" applyAlignment="1">
      <alignment horizontal="left" vertical="center" wrapText="1"/>
    </xf>
    <xf numFmtId="0" fontId="2" fillId="0" borderId="0" xfId="0" applyFont="1" applyAlignment="1">
      <alignment horizontal="right" vertical="center"/>
    </xf>
    <xf numFmtId="0" fontId="14" fillId="0" borderId="0" xfId="0" applyFont="1" applyAlignment="1">
      <alignment horizontal="center" vertical="center"/>
    </xf>
    <xf numFmtId="0" fontId="3" fillId="0" borderId="2" xfId="0" applyNumberFormat="1" applyFont="1" applyBorder="1" applyAlignment="1">
      <alignment horizontal="center" vertical="center" shrinkToFit="1"/>
    </xf>
    <xf numFmtId="0" fontId="3" fillId="0" borderId="4" xfId="0" applyNumberFormat="1" applyFont="1" applyBorder="1" applyAlignment="1">
      <alignment horizontal="center" vertical="center" shrinkToFit="1"/>
    </xf>
    <xf numFmtId="0" fontId="3" fillId="0" borderId="15" xfId="0" applyFont="1" applyBorder="1" applyAlignment="1">
      <alignment horizontal="center" vertical="center"/>
    </xf>
    <xf numFmtId="0" fontId="3" fillId="0" borderId="13" xfId="0" applyFont="1" applyBorder="1" applyAlignment="1">
      <alignment horizontal="center" vertical="center"/>
    </xf>
    <xf numFmtId="0" fontId="15" fillId="0" borderId="8" xfId="0" applyFont="1" applyBorder="1" applyAlignment="1">
      <alignment horizontal="center" vertical="center" wrapText="1"/>
    </xf>
    <xf numFmtId="0" fontId="15" fillId="0" borderId="6" xfId="0" applyFont="1" applyBorder="1" applyAlignment="1">
      <alignment horizontal="center" vertical="center"/>
    </xf>
    <xf numFmtId="0" fontId="15" fillId="0" borderId="7" xfId="0" applyFont="1" applyBorder="1" applyAlignment="1">
      <alignment horizontal="center" vertical="center" wrapText="1"/>
    </xf>
    <xf numFmtId="0" fontId="15" fillId="0" borderId="11" xfId="0" applyFont="1" applyBorder="1" applyAlignment="1">
      <alignment horizontal="center" vertical="center"/>
    </xf>
    <xf numFmtId="0" fontId="3" fillId="0" borderId="14" xfId="0" applyFont="1" applyBorder="1" applyAlignment="1">
      <alignment horizontal="center" vertical="center"/>
    </xf>
    <xf numFmtId="0" fontId="3" fillId="0" borderId="37" xfId="0" applyFont="1" applyBorder="1" applyAlignment="1">
      <alignment horizontal="center" vertical="center"/>
    </xf>
    <xf numFmtId="0" fontId="3" fillId="0" borderId="38" xfId="0" applyFont="1" applyBorder="1" applyAlignment="1">
      <alignment horizontal="center" vertical="center"/>
    </xf>
    <xf numFmtId="0" fontId="16" fillId="0" borderId="15" xfId="0" applyFont="1" applyBorder="1" applyAlignment="1">
      <alignment horizontal="center" vertical="center" wrapText="1"/>
    </xf>
    <xf numFmtId="0" fontId="16" fillId="0" borderId="13" xfId="0" applyFont="1" applyBorder="1" applyAlignment="1">
      <alignment horizontal="center" vertical="center"/>
    </xf>
    <xf numFmtId="0" fontId="15" fillId="0" borderId="9" xfId="0" applyFont="1" applyBorder="1" applyAlignment="1">
      <alignment horizontal="center" vertical="center"/>
    </xf>
    <xf numFmtId="0" fontId="15" fillId="0" borderId="12" xfId="0" applyFont="1" applyBorder="1" applyAlignment="1">
      <alignment horizontal="center" vertical="center"/>
    </xf>
    <xf numFmtId="0" fontId="8" fillId="0" borderId="7" xfId="0" applyFont="1" applyBorder="1" applyAlignment="1">
      <alignment vertical="top" wrapText="1" shrinkToFit="1"/>
    </xf>
    <xf numFmtId="0" fontId="8" fillId="0" borderId="8" xfId="0" applyFont="1" applyBorder="1" applyAlignment="1">
      <alignment vertical="top" wrapText="1" shrinkToFit="1"/>
    </xf>
    <xf numFmtId="0" fontId="8" fillId="0" borderId="9" xfId="0" applyFont="1" applyBorder="1" applyAlignment="1">
      <alignment vertical="top" wrapText="1" shrinkToFit="1"/>
    </xf>
    <xf numFmtId="0" fontId="8" fillId="0" borderId="5" xfId="0" applyFont="1" applyBorder="1" applyAlignment="1">
      <alignment vertical="top" wrapText="1" shrinkToFit="1"/>
    </xf>
    <xf numFmtId="0" fontId="8" fillId="0" borderId="0" xfId="0" applyFont="1" applyAlignment="1">
      <alignment vertical="top" wrapText="1" shrinkToFit="1"/>
    </xf>
    <xf numFmtId="0" fontId="8" fillId="0" borderId="10" xfId="0" applyFont="1" applyBorder="1" applyAlignment="1">
      <alignment vertical="top" wrapText="1" shrinkToFit="1"/>
    </xf>
    <xf numFmtId="0" fontId="8" fillId="0" borderId="11" xfId="0" applyFont="1" applyBorder="1" applyAlignment="1">
      <alignment vertical="top" wrapText="1" shrinkToFit="1"/>
    </xf>
    <xf numFmtId="0" fontId="8" fillId="0" borderId="6" xfId="0" applyFont="1" applyBorder="1" applyAlignment="1">
      <alignment vertical="top" wrapText="1" shrinkToFit="1"/>
    </xf>
    <xf numFmtId="0" fontId="8" fillId="0" borderId="12" xfId="0" applyFont="1" applyBorder="1" applyAlignment="1">
      <alignment vertical="top" wrapText="1" shrinkToFit="1"/>
    </xf>
    <xf numFmtId="0" fontId="8" fillId="0" borderId="8" xfId="0" applyFont="1" applyBorder="1" applyAlignment="1">
      <alignment vertical="top" shrinkToFit="1"/>
    </xf>
    <xf numFmtId="0" fontId="8" fillId="0" borderId="9" xfId="0" applyFont="1" applyBorder="1" applyAlignment="1">
      <alignment vertical="top" shrinkToFit="1"/>
    </xf>
    <xf numFmtId="0" fontId="8" fillId="0" borderId="5" xfId="0" applyFont="1" applyBorder="1" applyAlignment="1">
      <alignment vertical="top" shrinkToFit="1"/>
    </xf>
    <xf numFmtId="0" fontId="8" fillId="0" borderId="0" xfId="0" applyFont="1" applyAlignment="1">
      <alignment vertical="top" shrinkToFit="1"/>
    </xf>
    <xf numFmtId="0" fontId="8" fillId="0" borderId="10" xfId="0" applyFont="1" applyBorder="1" applyAlignment="1">
      <alignment vertical="top" shrinkToFit="1"/>
    </xf>
    <xf numFmtId="0" fontId="8" fillId="0" borderId="11" xfId="0" applyFont="1" applyBorder="1" applyAlignment="1">
      <alignment vertical="top" shrinkToFit="1"/>
    </xf>
    <xf numFmtId="0" fontId="8" fillId="0" borderId="6" xfId="0" applyFont="1" applyBorder="1" applyAlignment="1">
      <alignment vertical="top" shrinkToFit="1"/>
    </xf>
    <xf numFmtId="0" fontId="8" fillId="0" borderId="12" xfId="0" applyFont="1" applyBorder="1" applyAlignment="1">
      <alignment vertical="top" shrinkToFit="1"/>
    </xf>
    <xf numFmtId="0" fontId="8" fillId="0" borderId="6" xfId="0" applyFont="1" applyBorder="1">
      <alignment vertical="center"/>
    </xf>
    <xf numFmtId="0" fontId="8" fillId="0" borderId="16" xfId="0" applyFont="1" applyBorder="1" applyAlignment="1">
      <alignment vertical="top" wrapText="1" shrinkToFit="1"/>
    </xf>
    <xf numFmtId="0" fontId="8" fillId="0" borderId="22" xfId="0" applyFont="1" applyBorder="1" applyAlignment="1">
      <alignment vertical="top" shrinkToFit="1"/>
    </xf>
    <xf numFmtId="0" fontId="8" fillId="0" borderId="21" xfId="0" applyFont="1" applyBorder="1" applyAlignment="1">
      <alignment vertical="top" shrinkToFit="1"/>
    </xf>
    <xf numFmtId="0" fontId="8" fillId="0" borderId="4" xfId="0" applyFont="1" applyBorder="1" applyAlignment="1">
      <alignment vertical="center" shrinkToFi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11" fillId="0" borderId="3" xfId="2" applyFont="1" applyBorder="1" applyAlignment="1">
      <alignment vertical="center" shrinkToFit="1"/>
    </xf>
    <xf numFmtId="0" fontId="11" fillId="0" borderId="4" xfId="2" applyFont="1" applyBorder="1" applyAlignment="1">
      <alignment vertical="center" shrinkToFit="1"/>
    </xf>
    <xf numFmtId="0" fontId="2" fillId="0" borderId="17" xfId="0" applyFont="1" applyBorder="1" applyAlignment="1">
      <alignment vertical="center" wrapText="1"/>
    </xf>
    <xf numFmtId="0" fontId="2" fillId="0" borderId="18" xfId="0" applyFont="1" applyBorder="1" applyAlignment="1">
      <alignment vertical="center" wrapText="1"/>
    </xf>
    <xf numFmtId="0" fontId="8" fillId="0" borderId="20" xfId="0" applyFont="1" applyBorder="1" applyAlignment="1">
      <alignment vertical="top" wrapText="1" shrinkToFit="1"/>
    </xf>
    <xf numFmtId="0" fontId="8" fillId="0" borderId="18" xfId="0" applyFont="1" applyBorder="1" applyAlignment="1">
      <alignment vertical="top" wrapText="1" shrinkToFit="1"/>
    </xf>
    <xf numFmtId="0" fontId="2" fillId="0" borderId="19" xfId="0" applyFont="1" applyBorder="1" applyAlignment="1">
      <alignment vertical="center" wrapText="1"/>
    </xf>
    <xf numFmtId="0" fontId="2" fillId="0" borderId="20" xfId="0" applyFont="1" applyBorder="1" applyAlignment="1">
      <alignment vertical="center" wrapText="1"/>
    </xf>
    <xf numFmtId="0" fontId="8" fillId="0" borderId="19" xfId="0" applyFont="1" applyBorder="1" applyAlignment="1">
      <alignment vertical="top" wrapText="1" shrinkToFit="1"/>
    </xf>
    <xf numFmtId="0" fontId="2" fillId="0" borderId="17" xfId="0" applyFont="1" applyBorder="1">
      <alignment vertical="center"/>
    </xf>
    <xf numFmtId="0" fontId="0" fillId="0" borderId="18" xfId="0" applyBorder="1">
      <alignment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cellXfs>
  <cellStyles count="3">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dsoffice@s.tku.ac.jp"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tku.ac.jp/ds/index.html"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ww.tku.ac.jp/ds/index.htm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www.tku.ac.jp/ds/index.html"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tku.ac.jp/ds/index.htm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www.tku.ac.jp/ds/index.html"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s://www.tku.ac.jp/ds/index.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5"/>
  <sheetViews>
    <sheetView view="pageBreakPreview" zoomScaleNormal="100" zoomScaleSheetLayoutView="100" workbookViewId="0"/>
  </sheetViews>
  <sheetFormatPr defaultColWidth="9" defaultRowHeight="18.75" customHeight="1" x14ac:dyDescent="0.15"/>
  <cols>
    <col min="1" max="1" width="3.375" style="14" customWidth="1"/>
    <col min="2" max="2" width="11.125" style="14" customWidth="1"/>
    <col min="3" max="8" width="6.625" style="14" customWidth="1"/>
    <col min="9" max="9" width="3.375" style="14" customWidth="1"/>
    <col min="10" max="10" width="10" style="14" customWidth="1"/>
    <col min="11" max="11" width="3.375" style="14" customWidth="1"/>
    <col min="12" max="12" width="7.75" style="14" customWidth="1"/>
    <col min="13" max="13" width="3.375" style="14" customWidth="1"/>
    <col min="14" max="14" width="4.5" style="14" customWidth="1"/>
    <col min="15" max="15" width="9" style="31"/>
    <col min="16" max="16384" width="9" style="13"/>
  </cols>
  <sheetData>
    <row r="1" spans="1:15" ht="24" customHeight="1" x14ac:dyDescent="0.15">
      <c r="M1" s="166" t="s">
        <v>25</v>
      </c>
      <c r="N1" s="166"/>
    </row>
    <row r="2" spans="1:15" ht="24" customHeight="1" x14ac:dyDescent="0.15">
      <c r="A2" s="170" t="s">
        <v>83</v>
      </c>
      <c r="B2" s="170"/>
      <c r="C2" s="170"/>
      <c r="D2" s="170"/>
      <c r="E2" s="170"/>
      <c r="F2" s="170"/>
      <c r="G2" s="170"/>
      <c r="H2" s="170"/>
      <c r="I2" s="170"/>
      <c r="J2" s="170"/>
      <c r="K2" s="170"/>
      <c r="L2" s="170"/>
      <c r="M2" s="170"/>
      <c r="N2" s="170"/>
    </row>
    <row r="3" spans="1:15" ht="24" customHeight="1" x14ac:dyDescent="0.15"/>
    <row r="4" spans="1:15" ht="24" customHeight="1" x14ac:dyDescent="0.15">
      <c r="A4" s="14" t="s">
        <v>6</v>
      </c>
      <c r="B4" s="15" t="s">
        <v>16</v>
      </c>
      <c r="C4" s="158" t="s">
        <v>148</v>
      </c>
      <c r="D4" s="159"/>
      <c r="E4" s="159"/>
      <c r="F4" s="159"/>
      <c r="G4" s="159"/>
      <c r="H4" s="159"/>
      <c r="I4" s="159"/>
      <c r="J4" s="159"/>
      <c r="K4" s="159"/>
      <c r="L4" s="159"/>
      <c r="M4" s="159"/>
      <c r="N4" s="165"/>
      <c r="O4" s="31" t="str">
        <f>IF(C4="","入力してください","")</f>
        <v/>
      </c>
    </row>
    <row r="5" spans="1:15" ht="7.5" customHeight="1" x14ac:dyDescent="0.15">
      <c r="B5" s="15"/>
      <c r="C5" s="15"/>
      <c r="D5" s="15"/>
      <c r="E5" s="16"/>
      <c r="F5" s="35"/>
      <c r="G5" s="35"/>
      <c r="H5" s="35"/>
      <c r="I5" s="35"/>
      <c r="J5" s="35"/>
      <c r="K5" s="35"/>
      <c r="L5" s="35"/>
      <c r="M5" s="35"/>
      <c r="N5" s="35"/>
    </row>
    <row r="6" spans="1:15" ht="24" customHeight="1" x14ac:dyDescent="0.15">
      <c r="A6" s="14" t="s">
        <v>48</v>
      </c>
      <c r="B6" s="15" t="s">
        <v>49</v>
      </c>
      <c r="C6" s="15"/>
      <c r="D6" s="158" t="s">
        <v>149</v>
      </c>
      <c r="E6" s="159"/>
      <c r="F6" s="159"/>
      <c r="G6" s="159"/>
      <c r="H6" s="165"/>
      <c r="I6" s="17" t="s">
        <v>86</v>
      </c>
      <c r="J6" s="35" t="s">
        <v>87</v>
      </c>
      <c r="K6" s="158" t="s">
        <v>150</v>
      </c>
      <c r="L6" s="159"/>
      <c r="M6" s="159"/>
      <c r="N6" s="165"/>
      <c r="O6" s="31" t="str">
        <f>IF(D6="","入力してください","")</f>
        <v/>
      </c>
    </row>
    <row r="7" spans="1:15" ht="7.5" customHeight="1" x14ac:dyDescent="0.15">
      <c r="B7" s="15"/>
      <c r="C7" s="15"/>
      <c r="D7" s="15"/>
      <c r="E7" s="16"/>
      <c r="F7" s="35"/>
      <c r="G7" s="35"/>
      <c r="H7" s="35"/>
      <c r="I7" s="35"/>
      <c r="J7" s="35"/>
      <c r="K7" s="35"/>
      <c r="L7" s="35"/>
      <c r="M7" s="35"/>
      <c r="N7" s="35"/>
    </row>
    <row r="8" spans="1:15" ht="24" customHeight="1" x14ac:dyDescent="0.15">
      <c r="A8" s="14" t="s">
        <v>13</v>
      </c>
      <c r="B8" s="15" t="s">
        <v>45</v>
      </c>
      <c r="C8" s="158" t="s">
        <v>151</v>
      </c>
      <c r="D8" s="159"/>
      <c r="E8" s="159"/>
      <c r="F8" s="159"/>
      <c r="G8" s="159"/>
      <c r="H8" s="159"/>
      <c r="I8" s="159"/>
      <c r="J8" s="159"/>
      <c r="K8" s="159"/>
      <c r="L8" s="159"/>
      <c r="M8" s="159"/>
      <c r="N8" s="165"/>
      <c r="O8" s="31" t="str">
        <f>IF(C8="","入力してください","")</f>
        <v/>
      </c>
    </row>
    <row r="9" spans="1:15" ht="7.5" customHeight="1" x14ac:dyDescent="0.15">
      <c r="B9" s="15"/>
      <c r="C9" s="15"/>
      <c r="D9" s="15"/>
      <c r="E9" s="16"/>
      <c r="F9" s="35"/>
      <c r="G9" s="35"/>
      <c r="H9" s="35"/>
      <c r="I9" s="35"/>
      <c r="J9" s="35"/>
      <c r="K9" s="35"/>
      <c r="L9" s="35"/>
      <c r="M9" s="35"/>
      <c r="N9" s="35"/>
    </row>
    <row r="10" spans="1:15" ht="24" customHeight="1" x14ac:dyDescent="0.15">
      <c r="A10" s="14" t="s">
        <v>11</v>
      </c>
      <c r="B10" s="15" t="s">
        <v>85</v>
      </c>
      <c r="C10" s="15"/>
      <c r="D10" s="15"/>
      <c r="E10" s="158" t="s">
        <v>152</v>
      </c>
      <c r="F10" s="159"/>
      <c r="G10" s="159"/>
      <c r="H10" s="159"/>
      <c r="I10" s="159"/>
      <c r="J10" s="159"/>
      <c r="K10" s="159"/>
      <c r="L10" s="159"/>
      <c r="M10" s="159"/>
      <c r="N10" s="165"/>
      <c r="O10" s="31" t="str">
        <f>IF(E10="","入力してください","")</f>
        <v/>
      </c>
    </row>
    <row r="11" spans="1:15" ht="7.5" customHeight="1" x14ac:dyDescent="0.15">
      <c r="B11" s="16"/>
      <c r="C11" s="16"/>
      <c r="D11" s="16"/>
      <c r="E11" s="16"/>
      <c r="F11" s="35"/>
      <c r="G11" s="35"/>
      <c r="H11" s="35"/>
      <c r="I11" s="35"/>
      <c r="J11" s="35"/>
      <c r="K11" s="35"/>
      <c r="L11" s="35"/>
      <c r="M11" s="35"/>
      <c r="N11" s="35"/>
    </row>
    <row r="12" spans="1:15" ht="24" customHeight="1" x14ac:dyDescent="0.15">
      <c r="A12" s="14" t="s">
        <v>58</v>
      </c>
      <c r="B12" s="16" t="s">
        <v>59</v>
      </c>
      <c r="C12" s="16"/>
      <c r="D12" s="16"/>
      <c r="E12" s="171" t="s">
        <v>154</v>
      </c>
      <c r="F12" s="172"/>
      <c r="G12" s="17" t="s">
        <v>96</v>
      </c>
      <c r="H12" s="14" t="s">
        <v>97</v>
      </c>
      <c r="N12" s="115" t="s">
        <v>153</v>
      </c>
      <c r="O12" s="31" t="str">
        <f>IF(E12="","入力してください","")</f>
        <v/>
      </c>
    </row>
    <row r="13" spans="1:15" ht="7.5" customHeight="1" x14ac:dyDescent="0.15">
      <c r="B13" s="16"/>
      <c r="C13" s="16"/>
      <c r="D13" s="16"/>
      <c r="E13" s="16"/>
      <c r="F13" s="35"/>
      <c r="G13" s="35"/>
      <c r="H13" s="35"/>
      <c r="I13" s="35"/>
      <c r="J13" s="35"/>
      <c r="K13" s="35"/>
      <c r="L13" s="35"/>
      <c r="M13" s="35"/>
      <c r="N13" s="35"/>
    </row>
    <row r="14" spans="1:15" ht="24" customHeight="1" x14ac:dyDescent="0.15">
      <c r="A14" s="14" t="s">
        <v>53</v>
      </c>
      <c r="B14" s="14" t="s">
        <v>0</v>
      </c>
      <c r="C14" s="167" t="s">
        <v>5</v>
      </c>
      <c r="D14" s="168"/>
      <c r="E14" s="162">
        <v>168</v>
      </c>
      <c r="F14" s="163"/>
      <c r="G14" s="18" t="s">
        <v>7</v>
      </c>
      <c r="I14" s="167" t="s">
        <v>8</v>
      </c>
      <c r="J14" s="168"/>
      <c r="K14" s="162">
        <v>185</v>
      </c>
      <c r="L14" s="169"/>
      <c r="M14" s="163"/>
      <c r="N14" s="19" t="s">
        <v>7</v>
      </c>
      <c r="O14" s="31" t="str">
        <f>IF(OR(E14="",K14=""),"入力してください","")</f>
        <v/>
      </c>
    </row>
    <row r="15" spans="1:15" ht="7.5" customHeight="1" x14ac:dyDescent="0.15">
      <c r="F15" s="20"/>
      <c r="G15" s="20"/>
      <c r="H15" s="20"/>
      <c r="I15" s="20"/>
      <c r="J15" s="20"/>
      <c r="K15" s="20"/>
      <c r="L15" s="20"/>
      <c r="M15" s="19"/>
      <c r="N15" s="19"/>
    </row>
    <row r="16" spans="1:15" ht="24" customHeight="1" x14ac:dyDescent="0.15">
      <c r="A16" s="14" t="s">
        <v>60</v>
      </c>
      <c r="B16" s="14" t="s">
        <v>70</v>
      </c>
      <c r="F16" s="20"/>
      <c r="G16" s="20"/>
      <c r="H16" s="20"/>
      <c r="I16" s="20"/>
      <c r="J16" s="20"/>
      <c r="K16" s="150">
        <v>35</v>
      </c>
      <c r="L16" s="151"/>
      <c r="M16" s="152"/>
      <c r="N16" s="19" t="s">
        <v>51</v>
      </c>
      <c r="O16" s="31" t="str">
        <f>IF(K16="","入力してください","")</f>
        <v/>
      </c>
    </row>
    <row r="17" spans="1:15" ht="7.5" customHeight="1" x14ac:dyDescent="0.15">
      <c r="F17" s="20"/>
      <c r="G17" s="20"/>
      <c r="H17" s="20"/>
      <c r="I17" s="20"/>
      <c r="J17" s="20"/>
      <c r="K17" s="20"/>
      <c r="L17" s="20"/>
      <c r="M17" s="19"/>
      <c r="N17" s="19"/>
    </row>
    <row r="18" spans="1:15" ht="24" customHeight="1" x14ac:dyDescent="0.15">
      <c r="A18" s="14" t="s">
        <v>24</v>
      </c>
      <c r="B18" s="14" t="s">
        <v>77</v>
      </c>
      <c r="E18" s="162">
        <v>1570</v>
      </c>
      <c r="F18" s="163"/>
      <c r="G18" s="21" t="s">
        <v>21</v>
      </c>
      <c r="H18" s="20"/>
      <c r="K18" s="164"/>
      <c r="L18" s="164"/>
      <c r="M18" s="164"/>
      <c r="N18" s="164"/>
      <c r="O18" s="31" t="str">
        <f>IF(E18="","入力してください","")</f>
        <v/>
      </c>
    </row>
    <row r="19" spans="1:15" ht="7.5" customHeight="1" x14ac:dyDescent="0.15">
      <c r="E19" s="10"/>
      <c r="F19" s="20"/>
      <c r="G19" s="20"/>
      <c r="L19" s="34"/>
      <c r="M19" s="34"/>
      <c r="N19" s="22"/>
    </row>
    <row r="20" spans="1:15" ht="24" customHeight="1" x14ac:dyDescent="0.15">
      <c r="A20" s="14" t="s">
        <v>76</v>
      </c>
      <c r="B20" s="14" t="s">
        <v>78</v>
      </c>
      <c r="E20" s="10"/>
      <c r="F20" s="20"/>
      <c r="G20" s="20"/>
      <c r="H20" s="14" t="s">
        <v>52</v>
      </c>
      <c r="J20" s="153">
        <v>6556</v>
      </c>
      <c r="K20" s="154"/>
      <c r="L20" s="155"/>
      <c r="M20" s="34" t="s">
        <v>51</v>
      </c>
      <c r="N20" s="22"/>
      <c r="O20" s="31" t="str">
        <f>IF(J20="","入力してください","")</f>
        <v/>
      </c>
    </row>
    <row r="21" spans="1:15" ht="7.5" customHeight="1" x14ac:dyDescent="0.15">
      <c r="E21" s="10"/>
      <c r="F21" s="20"/>
      <c r="G21" s="20"/>
      <c r="L21" s="34"/>
      <c r="M21" s="34"/>
      <c r="N21" s="22"/>
    </row>
    <row r="22" spans="1:15" ht="24" customHeight="1" x14ac:dyDescent="0.15">
      <c r="B22" s="29" t="s">
        <v>17</v>
      </c>
      <c r="C22" s="162">
        <v>1581</v>
      </c>
      <c r="D22" s="163"/>
      <c r="E22" s="10" t="s">
        <v>22</v>
      </c>
      <c r="F22" s="20"/>
      <c r="G22" s="156" t="s">
        <v>18</v>
      </c>
      <c r="H22" s="156"/>
      <c r="I22" s="162">
        <v>1595</v>
      </c>
      <c r="J22" s="163"/>
      <c r="K22" s="17" t="s">
        <v>22</v>
      </c>
      <c r="M22" s="34"/>
      <c r="N22" s="22"/>
    </row>
    <row r="23" spans="1:15" ht="7.5" customHeight="1" x14ac:dyDescent="0.15">
      <c r="B23" s="29"/>
      <c r="C23" s="11"/>
      <c r="D23" s="11"/>
      <c r="E23" s="10"/>
      <c r="F23" s="20"/>
      <c r="G23" s="34"/>
      <c r="H23" s="34"/>
      <c r="I23" s="11"/>
      <c r="J23" s="11"/>
      <c r="K23" s="17"/>
      <c r="M23" s="34"/>
      <c r="N23" s="22"/>
    </row>
    <row r="24" spans="1:15" ht="24" customHeight="1" x14ac:dyDescent="0.15">
      <c r="B24" s="29" t="s">
        <v>19</v>
      </c>
      <c r="C24" s="162">
        <v>1559</v>
      </c>
      <c r="D24" s="163"/>
      <c r="E24" s="10" t="s">
        <v>22</v>
      </c>
      <c r="F24" s="20"/>
      <c r="G24" s="156" t="s">
        <v>20</v>
      </c>
      <c r="H24" s="156"/>
      <c r="I24" s="162">
        <v>1608</v>
      </c>
      <c r="J24" s="163"/>
      <c r="K24" s="17" t="s">
        <v>22</v>
      </c>
      <c r="M24" s="34"/>
      <c r="N24" s="22"/>
    </row>
    <row r="25" spans="1:15" ht="7.5" customHeight="1" x14ac:dyDescent="0.15">
      <c r="B25" s="29"/>
      <c r="C25" s="11"/>
      <c r="D25" s="11"/>
      <c r="E25" s="10"/>
      <c r="F25" s="20"/>
      <c r="G25" s="34"/>
      <c r="H25" s="34"/>
      <c r="I25" s="11"/>
      <c r="J25" s="11"/>
      <c r="K25" s="17"/>
      <c r="M25" s="34"/>
      <c r="N25" s="22"/>
    </row>
    <row r="26" spans="1:15" ht="24" customHeight="1" x14ac:dyDescent="0.15">
      <c r="B26" s="29" t="s">
        <v>46</v>
      </c>
      <c r="C26" s="162">
        <v>213</v>
      </c>
      <c r="D26" s="163"/>
      <c r="E26" s="10" t="s">
        <v>7</v>
      </c>
      <c r="F26" s="20"/>
      <c r="G26" s="156" t="s">
        <v>47</v>
      </c>
      <c r="H26" s="156"/>
      <c r="I26" s="162"/>
      <c r="J26" s="163"/>
      <c r="K26" s="17" t="s">
        <v>7</v>
      </c>
      <c r="M26" s="34"/>
      <c r="N26" s="22"/>
    </row>
    <row r="27" spans="1:15" ht="7.5" customHeight="1" x14ac:dyDescent="0.15">
      <c r="F27" s="20"/>
      <c r="G27" s="20"/>
      <c r="M27" s="23"/>
      <c r="N27" s="23"/>
    </row>
    <row r="28" spans="1:15" ht="24" customHeight="1" x14ac:dyDescent="0.15">
      <c r="A28" s="14" t="s">
        <v>50</v>
      </c>
      <c r="B28" s="15" t="s">
        <v>75</v>
      </c>
      <c r="C28" s="15"/>
      <c r="D28" s="15"/>
      <c r="E28" s="15"/>
      <c r="F28" s="17"/>
      <c r="G28" s="35"/>
      <c r="H28" s="35"/>
      <c r="I28" s="35"/>
      <c r="J28" s="24"/>
      <c r="K28" s="24"/>
      <c r="L28" s="24"/>
      <c r="M28" s="24"/>
      <c r="N28" s="24"/>
    </row>
    <row r="29" spans="1:15" s="14" customFormat="1" ht="24" customHeight="1" x14ac:dyDescent="0.15">
      <c r="B29" s="157" t="s">
        <v>74</v>
      </c>
      <c r="C29" s="157"/>
      <c r="D29" s="158" t="s">
        <v>319</v>
      </c>
      <c r="E29" s="159"/>
      <c r="F29" s="159"/>
      <c r="G29" s="160" t="s">
        <v>23</v>
      </c>
      <c r="H29" s="157"/>
      <c r="I29" s="161"/>
      <c r="J29" s="158" t="s">
        <v>223</v>
      </c>
      <c r="K29" s="159"/>
      <c r="L29" s="159"/>
      <c r="M29" s="159"/>
      <c r="N29" s="165"/>
      <c r="O29" s="31" t="str">
        <f>IF(OR(D29="",J29=""),"入力してください","")</f>
        <v/>
      </c>
    </row>
    <row r="30" spans="1:15" ht="7.5" customHeight="1" x14ac:dyDescent="0.15">
      <c r="F30" s="20"/>
      <c r="G30" s="20"/>
      <c r="M30" s="23"/>
      <c r="N30" s="23"/>
    </row>
    <row r="31" spans="1:15" ht="24" customHeight="1" x14ac:dyDescent="0.15">
      <c r="A31" s="14" t="s">
        <v>54</v>
      </c>
      <c r="B31" s="15" t="s">
        <v>80</v>
      </c>
      <c r="C31" s="15"/>
      <c r="D31" s="15"/>
      <c r="E31" s="15"/>
      <c r="F31" s="17"/>
      <c r="G31" s="24"/>
      <c r="H31" s="24"/>
      <c r="I31" s="24"/>
      <c r="J31" s="24"/>
      <c r="K31" s="24"/>
      <c r="L31" s="24"/>
      <c r="M31" s="24"/>
      <c r="N31" s="24"/>
    </row>
    <row r="32" spans="1:15" ht="24" customHeight="1" x14ac:dyDescent="0.15">
      <c r="B32" s="158" t="s">
        <v>155</v>
      </c>
      <c r="C32" s="159"/>
      <c r="D32" s="159"/>
      <c r="E32" s="159"/>
      <c r="F32" s="159"/>
      <c r="G32" s="159"/>
      <c r="H32" s="159"/>
      <c r="I32" s="159"/>
      <c r="J32" s="159"/>
      <c r="K32" s="159"/>
      <c r="L32" s="159"/>
      <c r="M32" s="159"/>
      <c r="N32" s="165"/>
      <c r="O32" s="31" t="str">
        <f>IF(B32="","入力してください","")</f>
        <v/>
      </c>
    </row>
    <row r="33" spans="1:15" ht="7.5" customHeight="1" x14ac:dyDescent="0.15">
      <c r="B33" s="12"/>
      <c r="C33" s="12"/>
      <c r="D33" s="12"/>
      <c r="E33" s="12"/>
      <c r="F33" s="12"/>
      <c r="G33" s="12"/>
      <c r="H33" s="12"/>
      <c r="I33" s="12"/>
      <c r="J33" s="12"/>
      <c r="K33" s="12"/>
      <c r="L33" s="12"/>
      <c r="M33" s="12"/>
      <c r="N33" s="12"/>
    </row>
    <row r="34" spans="1:15" s="14" customFormat="1" ht="24" customHeight="1" x14ac:dyDescent="0.15">
      <c r="B34" s="157" t="s">
        <v>74</v>
      </c>
      <c r="C34" s="157"/>
      <c r="D34" s="158" t="s">
        <v>319</v>
      </c>
      <c r="E34" s="159"/>
      <c r="F34" s="159"/>
      <c r="G34" s="160" t="s">
        <v>55</v>
      </c>
      <c r="H34" s="157"/>
      <c r="I34" s="161"/>
      <c r="J34" s="158" t="s">
        <v>223</v>
      </c>
      <c r="K34" s="159"/>
      <c r="L34" s="159"/>
      <c r="M34" s="159"/>
      <c r="N34" s="165"/>
      <c r="O34" s="31" t="str">
        <f>IF(OR(D34="",J34=""),"入力してください","")</f>
        <v/>
      </c>
    </row>
    <row r="35" spans="1:15" ht="7.5" customHeight="1" x14ac:dyDescent="0.15">
      <c r="F35" s="35"/>
      <c r="G35" s="35"/>
      <c r="H35" s="35"/>
      <c r="I35" s="35"/>
      <c r="J35" s="35"/>
      <c r="K35" s="35"/>
      <c r="L35" s="35"/>
      <c r="M35" s="35"/>
      <c r="N35" s="35"/>
    </row>
    <row r="36" spans="1:15" ht="24" customHeight="1" x14ac:dyDescent="0.15">
      <c r="A36" s="14" t="s">
        <v>61</v>
      </c>
      <c r="B36" s="14" t="s">
        <v>81</v>
      </c>
      <c r="M36" s="23"/>
      <c r="N36" s="23"/>
    </row>
    <row r="37" spans="1:15" ht="24" customHeight="1" x14ac:dyDescent="0.15">
      <c r="B37" s="158" t="s">
        <v>155</v>
      </c>
      <c r="C37" s="159"/>
      <c r="D37" s="159"/>
      <c r="E37" s="159"/>
      <c r="F37" s="159"/>
      <c r="G37" s="159"/>
      <c r="H37" s="159"/>
      <c r="I37" s="159"/>
      <c r="J37" s="159"/>
      <c r="K37" s="159"/>
      <c r="L37" s="159"/>
      <c r="M37" s="159"/>
      <c r="N37" s="165"/>
      <c r="O37" s="31" t="str">
        <f>IF(B37="","入力してください","")</f>
        <v/>
      </c>
    </row>
    <row r="38" spans="1:15" ht="7.5" customHeight="1" x14ac:dyDescent="0.15">
      <c r="F38" s="35"/>
      <c r="G38" s="35"/>
      <c r="H38" s="35"/>
      <c r="I38" s="35"/>
      <c r="J38" s="35"/>
      <c r="K38" s="35"/>
      <c r="L38" s="35"/>
      <c r="M38" s="35"/>
      <c r="N38" s="35"/>
    </row>
    <row r="39" spans="1:15" s="14" customFormat="1" ht="24" customHeight="1" x14ac:dyDescent="0.15">
      <c r="B39" s="157" t="s">
        <v>74</v>
      </c>
      <c r="C39" s="157"/>
      <c r="D39" s="158" t="s">
        <v>319</v>
      </c>
      <c r="E39" s="159"/>
      <c r="F39" s="159"/>
      <c r="G39" s="160" t="s">
        <v>55</v>
      </c>
      <c r="H39" s="157"/>
      <c r="I39" s="161"/>
      <c r="J39" s="158" t="s">
        <v>223</v>
      </c>
      <c r="K39" s="159"/>
      <c r="L39" s="159"/>
      <c r="M39" s="159"/>
      <c r="N39" s="165"/>
      <c r="O39" s="31" t="str">
        <f>IF(OR(D39="",J39=""),"入力してください","")</f>
        <v/>
      </c>
    </row>
    <row r="40" spans="1:15" ht="7.5" customHeight="1" x14ac:dyDescent="0.15">
      <c r="F40" s="35"/>
      <c r="G40" s="35"/>
      <c r="H40" s="35"/>
      <c r="I40" s="35"/>
      <c r="J40" s="35"/>
      <c r="K40" s="35"/>
      <c r="L40" s="35"/>
      <c r="M40" s="35"/>
      <c r="N40" s="35"/>
    </row>
    <row r="41" spans="1:15" ht="24" customHeight="1" x14ac:dyDescent="0.15">
      <c r="A41" s="14" t="s">
        <v>88</v>
      </c>
      <c r="B41" s="71" t="s">
        <v>69</v>
      </c>
      <c r="E41" s="72"/>
      <c r="F41" s="158" t="s">
        <v>156</v>
      </c>
      <c r="G41" s="159"/>
      <c r="H41" s="159"/>
      <c r="I41" s="159"/>
      <c r="J41" s="159"/>
      <c r="K41" s="159"/>
      <c r="L41" s="159"/>
      <c r="M41" s="159"/>
      <c r="N41" s="165"/>
      <c r="O41" s="31" t="str">
        <f>IF(F41="","入力してください","")</f>
        <v/>
      </c>
    </row>
    <row r="42" spans="1:15" ht="7.5" customHeight="1" x14ac:dyDescent="0.15">
      <c r="F42" s="35"/>
      <c r="G42" s="35"/>
      <c r="H42" s="35"/>
      <c r="I42" s="35"/>
      <c r="J42" s="35"/>
      <c r="K42" s="35"/>
      <c r="L42" s="35"/>
      <c r="M42" s="35"/>
      <c r="N42" s="35"/>
    </row>
    <row r="43" spans="1:15" ht="24" customHeight="1" x14ac:dyDescent="0.15">
      <c r="A43" s="14" t="s">
        <v>98</v>
      </c>
    </row>
    <row r="44" spans="1:15" ht="24" customHeight="1" x14ac:dyDescent="0.15">
      <c r="B44" s="30" t="s">
        <v>1</v>
      </c>
      <c r="C44" s="179" t="s">
        <v>157</v>
      </c>
      <c r="D44" s="180"/>
      <c r="E44" s="180"/>
      <c r="F44" s="180"/>
      <c r="G44" s="180"/>
      <c r="H44" s="180"/>
      <c r="I44" s="26" t="s">
        <v>2</v>
      </c>
      <c r="J44" s="27"/>
      <c r="K44" s="158" t="s">
        <v>224</v>
      </c>
      <c r="L44" s="159"/>
      <c r="M44" s="159"/>
      <c r="N44" s="165"/>
      <c r="O44" s="31" t="str">
        <f>IF(OR(C44="",K44=""),"入力してください","")</f>
        <v/>
      </c>
    </row>
    <row r="45" spans="1:15" ht="24" customHeight="1" x14ac:dyDescent="0.15">
      <c r="B45" s="25" t="s">
        <v>4</v>
      </c>
      <c r="C45" s="173" t="s">
        <v>225</v>
      </c>
      <c r="D45" s="174"/>
      <c r="E45" s="174"/>
      <c r="F45" s="174"/>
      <c r="G45" s="174"/>
      <c r="H45" s="175"/>
      <c r="I45" s="26" t="s">
        <v>3</v>
      </c>
      <c r="J45" s="27"/>
      <c r="K45" s="176" t="s">
        <v>158</v>
      </c>
      <c r="L45" s="177"/>
      <c r="M45" s="177"/>
      <c r="N45" s="178"/>
      <c r="O45" s="31" t="str">
        <f>IF(OR(C45="",K45=""),"入力してください","")</f>
        <v/>
      </c>
    </row>
  </sheetData>
  <mergeCells count="44">
    <mergeCell ref="C45:H45"/>
    <mergeCell ref="K45:N45"/>
    <mergeCell ref="G24:H24"/>
    <mergeCell ref="K44:N44"/>
    <mergeCell ref="I24:J24"/>
    <mergeCell ref="C44:H44"/>
    <mergeCell ref="B34:C34"/>
    <mergeCell ref="J34:N34"/>
    <mergeCell ref="D34:F34"/>
    <mergeCell ref="G34:I34"/>
    <mergeCell ref="B39:C39"/>
    <mergeCell ref="D39:F39"/>
    <mergeCell ref="C24:D24"/>
    <mergeCell ref="G39:I39"/>
    <mergeCell ref="F41:N41"/>
    <mergeCell ref="J29:N29"/>
    <mergeCell ref="M1:N1"/>
    <mergeCell ref="C14:D14"/>
    <mergeCell ref="C8:N8"/>
    <mergeCell ref="K14:M14"/>
    <mergeCell ref="C4:N4"/>
    <mergeCell ref="A2:N2"/>
    <mergeCell ref="E14:F14"/>
    <mergeCell ref="I14:J14"/>
    <mergeCell ref="E10:N10"/>
    <mergeCell ref="K6:N6"/>
    <mergeCell ref="D6:H6"/>
    <mergeCell ref="E12:F12"/>
    <mergeCell ref="J39:N39"/>
    <mergeCell ref="B32:N32"/>
    <mergeCell ref="B37:N37"/>
    <mergeCell ref="G26:H26"/>
    <mergeCell ref="I26:J26"/>
    <mergeCell ref="K16:M16"/>
    <mergeCell ref="J20:L20"/>
    <mergeCell ref="G22:H22"/>
    <mergeCell ref="B29:C29"/>
    <mergeCell ref="D29:F29"/>
    <mergeCell ref="G29:I29"/>
    <mergeCell ref="C26:D26"/>
    <mergeCell ref="I22:J22"/>
    <mergeCell ref="C22:D22"/>
    <mergeCell ref="K18:N18"/>
    <mergeCell ref="E18:F18"/>
  </mergeCells>
  <phoneticPr fontId="1"/>
  <dataValidations count="3">
    <dataValidation type="list" allowBlank="1" showInputMessage="1" showErrorMessage="1" sqref="K6">
      <formula1>"国立大学, 公立大学, 私立大学, 短期大学, 高等専門学校, その他"</formula1>
    </dataValidation>
    <dataValidation type="list" allowBlank="1" showInputMessage="1" showErrorMessage="1" sqref="N12">
      <formula1>"有,無"</formula1>
    </dataValidation>
    <dataValidation type="list" allowBlank="1" showInputMessage="1" showErrorMessage="1" sqref="F41:N41">
      <formula1>"認定教育プログラム,認定教育プログラム+（プラス）,認定教育プログラムと認定教育プログラム+（プラス）"</formula1>
    </dataValidation>
  </dataValidations>
  <hyperlinks>
    <hyperlink ref="C45" r:id="rId1"/>
  </hyperlinks>
  <printOptions horizontalCentered="1"/>
  <pageMargins left="0.78740157480314965" right="0.78740157480314965" top="0.78740157480314965" bottom="0.39370078740157483" header="0.31496062992125984" footer="0.31496062992125984"/>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9"/>
  <sheetViews>
    <sheetView showZeros="0" tabSelected="1" view="pageBreakPreview" zoomScaleNormal="100" zoomScaleSheetLayoutView="100" workbookViewId="0"/>
  </sheetViews>
  <sheetFormatPr defaultColWidth="9" defaultRowHeight="18.75" customHeight="1" x14ac:dyDescent="0.15"/>
  <cols>
    <col min="1" max="1" width="2.5" style="13" customWidth="1"/>
    <col min="2" max="2" width="27.75" style="13" customWidth="1"/>
    <col min="3" max="13" width="3.375" style="13" customWidth="1"/>
    <col min="14" max="14" width="8.875" style="13" customWidth="1"/>
    <col min="15" max="15" width="18.875" style="13" customWidth="1"/>
    <col min="16" max="19" width="3.375" style="13" customWidth="1"/>
    <col min="20" max="20" width="3.5" style="13" customWidth="1"/>
    <col min="21" max="26" width="3.375" style="13" customWidth="1"/>
    <col min="27" max="16384" width="9" style="13"/>
  </cols>
  <sheetData>
    <row r="1" spans="1:26" ht="15" customHeight="1" x14ac:dyDescent="0.15">
      <c r="W1" s="264" t="s">
        <v>239</v>
      </c>
      <c r="X1" s="264"/>
      <c r="Y1" s="264"/>
      <c r="Z1" s="264"/>
    </row>
    <row r="2" spans="1:26" ht="18" customHeight="1" x14ac:dyDescent="0.15">
      <c r="A2" s="265" t="s">
        <v>67</v>
      </c>
      <c r="B2" s="265"/>
      <c r="C2" s="265"/>
      <c r="D2" s="265"/>
      <c r="E2" s="265"/>
      <c r="F2" s="265"/>
      <c r="G2" s="265"/>
      <c r="H2" s="265"/>
      <c r="I2" s="265"/>
      <c r="J2" s="265"/>
      <c r="K2" s="265"/>
      <c r="L2" s="265"/>
      <c r="M2" s="265"/>
      <c r="N2" s="265"/>
      <c r="O2" s="265"/>
      <c r="P2" s="265"/>
      <c r="Q2" s="265"/>
      <c r="R2" s="265"/>
      <c r="S2" s="265"/>
      <c r="T2" s="265"/>
      <c r="U2" s="265"/>
      <c r="V2" s="265"/>
      <c r="W2" s="265"/>
      <c r="X2" s="265"/>
      <c r="Y2" s="265"/>
      <c r="Z2" s="265"/>
    </row>
    <row r="3" spans="1:26" ht="15" customHeight="1" x14ac:dyDescent="0.15">
      <c r="B3" s="29"/>
      <c r="C3" s="29"/>
      <c r="D3" s="29"/>
      <c r="E3" s="29"/>
      <c r="F3" s="29"/>
      <c r="G3" s="29"/>
      <c r="H3" s="29"/>
      <c r="I3" s="29"/>
      <c r="J3" s="29"/>
      <c r="K3" s="29"/>
      <c r="L3" s="29"/>
      <c r="M3" s="29"/>
      <c r="N3" s="29"/>
      <c r="O3" s="29"/>
      <c r="P3" s="29"/>
      <c r="Q3" s="29"/>
      <c r="R3" s="29"/>
      <c r="S3" s="29"/>
      <c r="T3" s="29"/>
      <c r="U3" s="29"/>
      <c r="V3" s="29"/>
      <c r="W3" s="29"/>
      <c r="X3" s="29"/>
      <c r="Y3" s="29"/>
      <c r="Z3" s="29"/>
    </row>
    <row r="4" spans="1:26" ht="18" customHeight="1" x14ac:dyDescent="0.15">
      <c r="A4" s="13" t="s">
        <v>99</v>
      </c>
      <c r="B4" s="29"/>
      <c r="C4" s="29"/>
      <c r="D4" s="29"/>
      <c r="E4" s="29"/>
      <c r="F4" s="29"/>
      <c r="G4" s="29"/>
      <c r="H4" s="15" t="s">
        <v>112</v>
      </c>
      <c r="I4" s="29"/>
      <c r="J4" s="29"/>
      <c r="K4" s="29"/>
      <c r="L4" s="29"/>
      <c r="M4" s="29"/>
      <c r="N4" s="29"/>
      <c r="O4" s="150" t="s">
        <v>159</v>
      </c>
      <c r="P4" s="151"/>
      <c r="Q4" s="151"/>
      <c r="R4" s="151"/>
      <c r="S4" s="151"/>
      <c r="T4" s="151"/>
      <c r="U4" s="151"/>
      <c r="V4" s="151"/>
      <c r="W4" s="151"/>
      <c r="X4" s="151"/>
      <c r="Y4" s="151"/>
      <c r="Z4" s="152"/>
    </row>
    <row r="5" spans="1:26" ht="6" customHeight="1" x14ac:dyDescent="0.15">
      <c r="B5" s="29"/>
      <c r="C5" s="29"/>
      <c r="D5" s="29"/>
      <c r="E5" s="29"/>
      <c r="F5" s="29"/>
      <c r="G5" s="29"/>
      <c r="H5" s="29"/>
      <c r="I5" s="29"/>
      <c r="J5" s="29"/>
      <c r="K5" s="29"/>
      <c r="L5" s="29"/>
      <c r="M5" s="29"/>
      <c r="N5" s="29"/>
      <c r="O5" s="16"/>
      <c r="P5" s="29"/>
      <c r="Q5" s="29"/>
      <c r="R5" s="29"/>
      <c r="S5" s="29"/>
      <c r="T5" s="29"/>
      <c r="U5" s="29"/>
      <c r="V5" s="29"/>
      <c r="W5" s="29"/>
      <c r="X5" s="29"/>
      <c r="Y5" s="29"/>
      <c r="Z5" s="29"/>
    </row>
    <row r="6" spans="1:26" ht="27.75" customHeight="1" x14ac:dyDescent="0.15">
      <c r="B6" s="266" t="s">
        <v>322</v>
      </c>
      <c r="C6" s="267"/>
      <c r="D6" s="267"/>
      <c r="E6" s="267"/>
      <c r="F6" s="267"/>
      <c r="G6" s="267"/>
      <c r="H6" s="267"/>
      <c r="I6" s="267"/>
      <c r="J6" s="267"/>
      <c r="K6" s="267"/>
      <c r="L6" s="267"/>
      <c r="M6" s="267"/>
      <c r="N6" s="267"/>
      <c r="O6" s="267"/>
      <c r="P6" s="267"/>
      <c r="Q6" s="267"/>
      <c r="R6" s="267"/>
      <c r="S6" s="267"/>
      <c r="T6" s="267"/>
      <c r="U6" s="267"/>
      <c r="V6" s="267"/>
      <c r="W6" s="267"/>
      <c r="X6" s="267"/>
      <c r="Y6" s="267"/>
      <c r="Z6" s="268"/>
    </row>
    <row r="7" spans="1:26" ht="27.75" customHeight="1" x14ac:dyDescent="0.15">
      <c r="B7" s="269"/>
      <c r="C7" s="270"/>
      <c r="D7" s="270"/>
      <c r="E7" s="270"/>
      <c r="F7" s="270"/>
      <c r="G7" s="270"/>
      <c r="H7" s="270"/>
      <c r="I7" s="270"/>
      <c r="J7" s="270"/>
      <c r="K7" s="270"/>
      <c r="L7" s="270"/>
      <c r="M7" s="270"/>
      <c r="N7" s="270"/>
      <c r="O7" s="270"/>
      <c r="P7" s="270"/>
      <c r="Q7" s="270"/>
      <c r="R7" s="270"/>
      <c r="S7" s="270"/>
      <c r="T7" s="270"/>
      <c r="U7" s="270"/>
      <c r="V7" s="270"/>
      <c r="W7" s="270"/>
      <c r="X7" s="270"/>
      <c r="Y7" s="270"/>
      <c r="Z7" s="271"/>
    </row>
    <row r="8" spans="1:26" ht="27.75" customHeight="1" x14ac:dyDescent="0.15">
      <c r="B8" s="269"/>
      <c r="C8" s="270"/>
      <c r="D8" s="270"/>
      <c r="E8" s="270"/>
      <c r="F8" s="270"/>
      <c r="G8" s="270"/>
      <c r="H8" s="270"/>
      <c r="I8" s="270"/>
      <c r="J8" s="270"/>
      <c r="K8" s="270"/>
      <c r="L8" s="270"/>
      <c r="M8" s="270"/>
      <c r="N8" s="270"/>
      <c r="O8" s="270"/>
      <c r="P8" s="270"/>
      <c r="Q8" s="270"/>
      <c r="R8" s="270"/>
      <c r="S8" s="270"/>
      <c r="T8" s="270"/>
      <c r="U8" s="270"/>
      <c r="V8" s="270"/>
      <c r="W8" s="270"/>
      <c r="X8" s="270"/>
      <c r="Y8" s="270"/>
      <c r="Z8" s="271"/>
    </row>
    <row r="9" spans="1:26" ht="27.75" customHeight="1" x14ac:dyDescent="0.15">
      <c r="B9" s="269"/>
      <c r="C9" s="270"/>
      <c r="D9" s="270"/>
      <c r="E9" s="270"/>
      <c r="F9" s="270"/>
      <c r="G9" s="270"/>
      <c r="H9" s="270"/>
      <c r="I9" s="270"/>
      <c r="J9" s="270"/>
      <c r="K9" s="270"/>
      <c r="L9" s="270"/>
      <c r="M9" s="270"/>
      <c r="N9" s="270"/>
      <c r="O9" s="270"/>
      <c r="P9" s="270"/>
      <c r="Q9" s="270"/>
      <c r="R9" s="270"/>
      <c r="S9" s="270"/>
      <c r="T9" s="270"/>
      <c r="U9" s="270"/>
      <c r="V9" s="270"/>
      <c r="W9" s="270"/>
      <c r="X9" s="270"/>
      <c r="Y9" s="270"/>
      <c r="Z9" s="271"/>
    </row>
    <row r="10" spans="1:26" ht="27.75" customHeight="1" x14ac:dyDescent="0.15">
      <c r="B10" s="269"/>
      <c r="C10" s="272"/>
      <c r="D10" s="272"/>
      <c r="E10" s="272"/>
      <c r="F10" s="272"/>
      <c r="G10" s="272"/>
      <c r="H10" s="272"/>
      <c r="I10" s="272"/>
      <c r="J10" s="272"/>
      <c r="K10" s="272"/>
      <c r="L10" s="272"/>
      <c r="M10" s="272"/>
      <c r="N10" s="272"/>
      <c r="O10" s="272"/>
      <c r="P10" s="272"/>
      <c r="Q10" s="272"/>
      <c r="R10" s="272"/>
      <c r="S10" s="272"/>
      <c r="T10" s="272"/>
      <c r="U10" s="272"/>
      <c r="V10" s="272"/>
      <c r="W10" s="272"/>
      <c r="X10" s="272"/>
      <c r="Y10" s="272"/>
      <c r="Z10" s="271"/>
    </row>
    <row r="11" spans="1:26" ht="72.75" customHeight="1" x14ac:dyDescent="0.15">
      <c r="B11" s="273"/>
      <c r="C11" s="274"/>
      <c r="D11" s="274"/>
      <c r="E11" s="274"/>
      <c r="F11" s="274"/>
      <c r="G11" s="274"/>
      <c r="H11" s="274"/>
      <c r="I11" s="274"/>
      <c r="J11" s="274"/>
      <c r="K11" s="274"/>
      <c r="L11" s="274"/>
      <c r="M11" s="274"/>
      <c r="N11" s="274"/>
      <c r="O11" s="274"/>
      <c r="P11" s="274"/>
      <c r="Q11" s="274"/>
      <c r="R11" s="274"/>
      <c r="S11" s="274"/>
      <c r="T11" s="274"/>
      <c r="U11" s="274"/>
      <c r="V11" s="274"/>
      <c r="W11" s="274"/>
      <c r="X11" s="274"/>
      <c r="Y11" s="274"/>
      <c r="Z11" s="275"/>
    </row>
    <row r="12" spans="1:26" ht="7.5" customHeight="1" x14ac:dyDescent="0.15">
      <c r="B12" s="29"/>
      <c r="C12" s="29"/>
      <c r="D12" s="29"/>
      <c r="E12" s="29"/>
      <c r="F12" s="29"/>
      <c r="G12" s="29"/>
      <c r="H12" s="29"/>
      <c r="I12" s="29"/>
      <c r="J12" s="29"/>
      <c r="K12" s="29"/>
      <c r="L12" s="29"/>
      <c r="M12" s="29"/>
      <c r="N12" s="29"/>
      <c r="O12" s="29"/>
      <c r="P12" s="29"/>
      <c r="Q12" s="29"/>
      <c r="R12" s="29"/>
      <c r="S12" s="29"/>
      <c r="T12" s="29"/>
      <c r="U12" s="29"/>
      <c r="V12" s="29"/>
      <c r="W12" s="29"/>
      <c r="X12" s="29"/>
      <c r="Y12" s="29"/>
      <c r="Z12" s="29"/>
    </row>
    <row r="13" spans="1:26" ht="18" customHeight="1" x14ac:dyDescent="0.15">
      <c r="A13" s="192" t="s">
        <v>125</v>
      </c>
      <c r="B13" s="192"/>
      <c r="C13" s="192"/>
      <c r="D13" s="192"/>
      <c r="E13" s="192"/>
      <c r="F13" s="192"/>
      <c r="G13" s="192"/>
      <c r="H13" s="192"/>
      <c r="I13" s="192"/>
      <c r="J13" s="192"/>
      <c r="K13" s="192"/>
      <c r="L13" s="192"/>
      <c r="M13" s="192"/>
      <c r="N13" s="192"/>
      <c r="O13" s="192"/>
      <c r="P13" s="192"/>
      <c r="Q13" s="192"/>
      <c r="R13" s="192"/>
      <c r="S13" s="192"/>
      <c r="T13" s="192"/>
      <c r="U13" s="192"/>
      <c r="V13" s="192"/>
      <c r="W13" s="192"/>
      <c r="X13" s="192"/>
      <c r="Y13" s="192"/>
      <c r="Z13" s="192"/>
    </row>
    <row r="14" spans="1:26" ht="18" customHeight="1" x14ac:dyDescent="0.15">
      <c r="A14" s="192"/>
      <c r="B14" s="192"/>
      <c r="C14" s="192"/>
      <c r="D14" s="192"/>
      <c r="E14" s="192"/>
      <c r="F14" s="192"/>
      <c r="G14" s="192"/>
      <c r="H14" s="192"/>
      <c r="I14" s="192"/>
      <c r="J14" s="192"/>
      <c r="K14" s="192"/>
      <c r="L14" s="192"/>
      <c r="M14" s="192"/>
      <c r="N14" s="192"/>
      <c r="O14" s="192"/>
      <c r="P14" s="192"/>
      <c r="Q14" s="192"/>
      <c r="R14" s="192"/>
      <c r="S14" s="192"/>
      <c r="T14" s="192"/>
      <c r="U14" s="192"/>
      <c r="V14" s="192"/>
      <c r="W14" s="192"/>
      <c r="X14" s="192"/>
      <c r="Y14" s="192"/>
      <c r="Z14" s="192"/>
    </row>
    <row r="15" spans="1:26" ht="18" customHeight="1" x14ac:dyDescent="0.15">
      <c r="A15" s="14"/>
      <c r="B15" s="150" t="s">
        <v>100</v>
      </c>
      <c r="C15" s="151"/>
      <c r="D15" s="151"/>
      <c r="E15" s="151"/>
      <c r="F15" s="152"/>
      <c r="G15" s="30" t="s">
        <v>141</v>
      </c>
      <c r="H15" s="110" t="s">
        <v>140</v>
      </c>
      <c r="I15" s="151" t="s">
        <v>101</v>
      </c>
      <c r="J15" s="151"/>
      <c r="K15" s="151"/>
      <c r="L15" s="73" t="s">
        <v>104</v>
      </c>
      <c r="M15" s="73" t="s">
        <v>107</v>
      </c>
      <c r="N15" s="150" t="s">
        <v>100</v>
      </c>
      <c r="O15" s="151"/>
      <c r="P15" s="151"/>
      <c r="Q15" s="151"/>
      <c r="R15" s="151"/>
      <c r="S15" s="152"/>
      <c r="T15" s="30" t="s">
        <v>141</v>
      </c>
      <c r="U15" s="110" t="s">
        <v>140</v>
      </c>
      <c r="V15" s="151" t="s">
        <v>101</v>
      </c>
      <c r="W15" s="151"/>
      <c r="X15" s="151"/>
      <c r="Y15" s="73" t="s">
        <v>104</v>
      </c>
      <c r="Z15" s="73" t="s">
        <v>107</v>
      </c>
    </row>
    <row r="16" spans="1:26" ht="18" customHeight="1" x14ac:dyDescent="0.15">
      <c r="A16" s="14"/>
      <c r="B16" s="256" t="s">
        <v>240</v>
      </c>
      <c r="C16" s="257"/>
      <c r="D16" s="257"/>
      <c r="E16" s="257"/>
      <c r="F16" s="263"/>
      <c r="G16" s="111">
        <v>2</v>
      </c>
      <c r="H16" s="111"/>
      <c r="I16" s="258" t="s">
        <v>163</v>
      </c>
      <c r="J16" s="259"/>
      <c r="K16" s="260"/>
      <c r="L16" s="111" t="s">
        <v>164</v>
      </c>
      <c r="M16" s="111" t="s">
        <v>164</v>
      </c>
      <c r="N16" s="245" t="s">
        <v>244</v>
      </c>
      <c r="O16" s="246"/>
      <c r="P16" s="246"/>
      <c r="Q16" s="246"/>
      <c r="R16" s="246"/>
      <c r="S16" s="247"/>
      <c r="T16" s="111">
        <v>2</v>
      </c>
      <c r="U16" s="111"/>
      <c r="V16" s="258" t="s">
        <v>214</v>
      </c>
      <c r="W16" s="259"/>
      <c r="X16" s="260"/>
      <c r="Y16" s="139" t="s">
        <v>164</v>
      </c>
      <c r="Z16" s="111" t="s">
        <v>164</v>
      </c>
    </row>
    <row r="17" spans="1:26" ht="18" customHeight="1" x14ac:dyDescent="0.15">
      <c r="A17" s="14"/>
      <c r="B17" s="181" t="s">
        <v>241</v>
      </c>
      <c r="C17" s="182"/>
      <c r="D17" s="182"/>
      <c r="E17" s="182"/>
      <c r="F17" s="188"/>
      <c r="G17" s="112">
        <v>2</v>
      </c>
      <c r="H17" s="112"/>
      <c r="I17" s="183" t="s">
        <v>163</v>
      </c>
      <c r="J17" s="184"/>
      <c r="K17" s="185"/>
      <c r="L17" s="112" t="s">
        <v>164</v>
      </c>
      <c r="M17" s="112"/>
      <c r="N17" s="189" t="s">
        <v>217</v>
      </c>
      <c r="O17" s="190"/>
      <c r="P17" s="190"/>
      <c r="Q17" s="190"/>
      <c r="R17" s="190"/>
      <c r="S17" s="191"/>
      <c r="T17" s="112">
        <v>2</v>
      </c>
      <c r="U17" s="112"/>
      <c r="V17" s="183" t="s">
        <v>214</v>
      </c>
      <c r="W17" s="184"/>
      <c r="X17" s="185"/>
      <c r="Y17" s="112" t="s">
        <v>164</v>
      </c>
      <c r="Z17" s="112" t="s">
        <v>164</v>
      </c>
    </row>
    <row r="18" spans="1:26" ht="18" customHeight="1" x14ac:dyDescent="0.15">
      <c r="A18" s="14"/>
      <c r="B18" s="181" t="s">
        <v>232</v>
      </c>
      <c r="C18" s="182"/>
      <c r="D18" s="182"/>
      <c r="E18" s="182"/>
      <c r="F18" s="188"/>
      <c r="G18" s="112">
        <v>2</v>
      </c>
      <c r="H18" s="112"/>
      <c r="I18" s="183" t="s">
        <v>163</v>
      </c>
      <c r="J18" s="184"/>
      <c r="K18" s="185"/>
      <c r="L18" s="112" t="s">
        <v>164</v>
      </c>
      <c r="M18" s="112"/>
      <c r="N18" s="189" t="s">
        <v>245</v>
      </c>
      <c r="O18" s="190"/>
      <c r="P18" s="190"/>
      <c r="Q18" s="190"/>
      <c r="R18" s="190"/>
      <c r="S18" s="191"/>
      <c r="T18" s="112">
        <v>2</v>
      </c>
      <c r="U18" s="112"/>
      <c r="V18" s="183" t="s">
        <v>163</v>
      </c>
      <c r="W18" s="184"/>
      <c r="X18" s="185"/>
      <c r="Y18" s="112" t="s">
        <v>164</v>
      </c>
      <c r="Z18" s="112" t="s">
        <v>164</v>
      </c>
    </row>
    <row r="19" spans="1:26" ht="18" customHeight="1" x14ac:dyDescent="0.15">
      <c r="A19" s="14"/>
      <c r="B19" s="181" t="s">
        <v>242</v>
      </c>
      <c r="C19" s="182"/>
      <c r="D19" s="182"/>
      <c r="E19" s="182"/>
      <c r="F19" s="188"/>
      <c r="G19" s="112">
        <v>2</v>
      </c>
      <c r="H19" s="112"/>
      <c r="I19" s="183" t="s">
        <v>163</v>
      </c>
      <c r="J19" s="184"/>
      <c r="K19" s="185"/>
      <c r="L19" s="112" t="s">
        <v>164</v>
      </c>
      <c r="M19" s="112"/>
      <c r="N19" s="189" t="s">
        <v>166</v>
      </c>
      <c r="O19" s="190"/>
      <c r="P19" s="190"/>
      <c r="Q19" s="190"/>
      <c r="R19" s="190"/>
      <c r="S19" s="191"/>
      <c r="T19" s="112">
        <v>2</v>
      </c>
      <c r="U19" s="112"/>
      <c r="V19" s="183" t="s">
        <v>163</v>
      </c>
      <c r="W19" s="184"/>
      <c r="X19" s="185"/>
      <c r="Y19" s="112" t="s">
        <v>164</v>
      </c>
      <c r="Z19" s="112" t="s">
        <v>164</v>
      </c>
    </row>
    <row r="20" spans="1:26" ht="18" customHeight="1" x14ac:dyDescent="0.15">
      <c r="A20" s="14"/>
      <c r="B20" s="181" t="s">
        <v>234</v>
      </c>
      <c r="C20" s="182"/>
      <c r="D20" s="182"/>
      <c r="E20" s="182"/>
      <c r="F20" s="188"/>
      <c r="G20" s="112">
        <v>2</v>
      </c>
      <c r="H20" s="112"/>
      <c r="I20" s="183" t="s">
        <v>163</v>
      </c>
      <c r="J20" s="184"/>
      <c r="K20" s="185"/>
      <c r="L20" s="112" t="s">
        <v>164</v>
      </c>
      <c r="M20" s="112"/>
      <c r="N20" s="189" t="s">
        <v>246</v>
      </c>
      <c r="O20" s="190"/>
      <c r="P20" s="190"/>
      <c r="Q20" s="190"/>
      <c r="R20" s="190"/>
      <c r="S20" s="191"/>
      <c r="T20" s="112">
        <v>2</v>
      </c>
      <c r="U20" s="112"/>
      <c r="V20" s="183" t="s">
        <v>163</v>
      </c>
      <c r="W20" s="184"/>
      <c r="X20" s="185"/>
      <c r="Y20" s="112" t="s">
        <v>164</v>
      </c>
      <c r="Z20" s="112" t="s">
        <v>164</v>
      </c>
    </row>
    <row r="21" spans="1:26" ht="18" customHeight="1" x14ac:dyDescent="0.15">
      <c r="A21" s="14"/>
      <c r="B21" s="181" t="s">
        <v>235</v>
      </c>
      <c r="C21" s="182"/>
      <c r="D21" s="182"/>
      <c r="E21" s="182"/>
      <c r="F21" s="188"/>
      <c r="G21" s="112">
        <v>2</v>
      </c>
      <c r="H21" s="112"/>
      <c r="I21" s="183" t="s">
        <v>163</v>
      </c>
      <c r="J21" s="184"/>
      <c r="K21" s="185"/>
      <c r="L21" s="112" t="s">
        <v>164</v>
      </c>
      <c r="M21" s="112"/>
      <c r="N21" s="189" t="s">
        <v>247</v>
      </c>
      <c r="O21" s="190"/>
      <c r="P21" s="190"/>
      <c r="Q21" s="190"/>
      <c r="R21" s="190"/>
      <c r="S21" s="191"/>
      <c r="T21" s="112">
        <v>2</v>
      </c>
      <c r="U21" s="112"/>
      <c r="V21" s="183" t="s">
        <v>163</v>
      </c>
      <c r="W21" s="184"/>
      <c r="X21" s="185"/>
      <c r="Y21" s="112" t="s">
        <v>164</v>
      </c>
      <c r="Z21" s="112" t="s">
        <v>164</v>
      </c>
    </row>
    <row r="22" spans="1:26" ht="18" customHeight="1" x14ac:dyDescent="0.15">
      <c r="A22" s="14"/>
      <c r="B22" s="181" t="s">
        <v>237</v>
      </c>
      <c r="C22" s="182"/>
      <c r="D22" s="182"/>
      <c r="E22" s="182"/>
      <c r="F22" s="188"/>
      <c r="G22" s="112">
        <v>2</v>
      </c>
      <c r="H22" s="112"/>
      <c r="I22" s="183" t="s">
        <v>163</v>
      </c>
      <c r="J22" s="184"/>
      <c r="K22" s="185"/>
      <c r="L22" s="112" t="s">
        <v>164</v>
      </c>
      <c r="M22" s="112"/>
      <c r="N22" s="189" t="s">
        <v>175</v>
      </c>
      <c r="O22" s="190"/>
      <c r="P22" s="190"/>
      <c r="Q22" s="190"/>
      <c r="R22" s="190"/>
      <c r="S22" s="191"/>
      <c r="T22" s="112">
        <v>4</v>
      </c>
      <c r="U22" s="112"/>
      <c r="V22" s="183" t="s">
        <v>163</v>
      </c>
      <c r="W22" s="184"/>
      <c r="X22" s="185"/>
      <c r="Y22" s="112" t="s">
        <v>164</v>
      </c>
      <c r="Z22" s="112" t="s">
        <v>164</v>
      </c>
    </row>
    <row r="23" spans="1:26" ht="18" customHeight="1" x14ac:dyDescent="0.15">
      <c r="A23" s="29"/>
      <c r="B23" s="181" t="s">
        <v>238</v>
      </c>
      <c r="C23" s="182"/>
      <c r="D23" s="182"/>
      <c r="E23" s="182"/>
      <c r="F23" s="188"/>
      <c r="G23" s="112">
        <v>2</v>
      </c>
      <c r="H23" s="112"/>
      <c r="I23" s="183" t="s">
        <v>163</v>
      </c>
      <c r="J23" s="184"/>
      <c r="K23" s="185"/>
      <c r="L23" s="112" t="s">
        <v>164</v>
      </c>
      <c r="M23" s="112"/>
      <c r="N23" s="189" t="s">
        <v>176</v>
      </c>
      <c r="O23" s="190"/>
      <c r="P23" s="190"/>
      <c r="Q23" s="190"/>
      <c r="R23" s="190"/>
      <c r="S23" s="191"/>
      <c r="T23" s="112">
        <v>2</v>
      </c>
      <c r="U23" s="112"/>
      <c r="V23" s="183" t="s">
        <v>163</v>
      </c>
      <c r="W23" s="184"/>
      <c r="X23" s="185"/>
      <c r="Y23" s="112" t="s">
        <v>164</v>
      </c>
      <c r="Z23" s="112" t="s">
        <v>164</v>
      </c>
    </row>
    <row r="24" spans="1:26" ht="18" customHeight="1" x14ac:dyDescent="0.15">
      <c r="A24" s="29"/>
      <c r="B24" s="193" t="s">
        <v>243</v>
      </c>
      <c r="C24" s="194"/>
      <c r="D24" s="194"/>
      <c r="E24" s="194"/>
      <c r="F24" s="195"/>
      <c r="G24" s="113">
        <v>2</v>
      </c>
      <c r="H24" s="113"/>
      <c r="I24" s="196" t="s">
        <v>214</v>
      </c>
      <c r="J24" s="197"/>
      <c r="K24" s="198"/>
      <c r="L24" s="116" t="s">
        <v>164</v>
      </c>
      <c r="M24" s="116" t="s">
        <v>164</v>
      </c>
      <c r="N24" s="199"/>
      <c r="O24" s="200"/>
      <c r="P24" s="200"/>
      <c r="Q24" s="200"/>
      <c r="R24" s="200"/>
      <c r="S24" s="201"/>
      <c r="T24" s="113"/>
      <c r="U24" s="113"/>
      <c r="V24" s="196"/>
      <c r="W24" s="197"/>
      <c r="X24" s="198"/>
      <c r="Y24" s="116"/>
      <c r="Z24" s="116"/>
    </row>
    <row r="25" spans="1:26" ht="7.5" customHeight="1" x14ac:dyDescent="0.15">
      <c r="A25" s="29"/>
      <c r="B25" s="74"/>
      <c r="C25" s="74"/>
      <c r="D25" s="29"/>
      <c r="E25" s="29"/>
      <c r="F25" s="29"/>
      <c r="G25" s="29"/>
      <c r="H25" s="29"/>
      <c r="I25" s="29"/>
      <c r="J25" s="29"/>
      <c r="K25" s="29"/>
      <c r="L25" s="74"/>
      <c r="M25" s="74"/>
      <c r="N25" s="74"/>
      <c r="O25" s="74"/>
      <c r="P25" s="74"/>
      <c r="Q25" s="74"/>
      <c r="R25" s="74"/>
      <c r="S25" s="74"/>
      <c r="T25" s="74"/>
      <c r="U25" s="74"/>
      <c r="V25" s="74"/>
      <c r="W25" s="74"/>
      <c r="X25" s="74"/>
      <c r="Y25" s="74"/>
      <c r="Z25" s="29"/>
    </row>
    <row r="26" spans="1:26" ht="18" customHeight="1" x14ac:dyDescent="0.15">
      <c r="A26" s="192" t="s">
        <v>126</v>
      </c>
      <c r="B26" s="192"/>
      <c r="C26" s="192"/>
      <c r="D26" s="192"/>
      <c r="E26" s="192"/>
      <c r="F26" s="192"/>
      <c r="G26" s="192"/>
      <c r="H26" s="192"/>
      <c r="I26" s="192"/>
      <c r="J26" s="192"/>
      <c r="K26" s="192"/>
      <c r="L26" s="192"/>
      <c r="M26" s="192"/>
      <c r="N26" s="192"/>
      <c r="O26" s="192"/>
      <c r="P26" s="192"/>
      <c r="Q26" s="192"/>
      <c r="R26" s="192"/>
      <c r="S26" s="192"/>
      <c r="T26" s="192"/>
      <c r="U26" s="192"/>
      <c r="V26" s="192"/>
      <c r="W26" s="192"/>
      <c r="X26" s="192"/>
      <c r="Y26" s="192"/>
      <c r="Z26" s="192"/>
    </row>
    <row r="27" spans="1:26" ht="18" customHeight="1" x14ac:dyDescent="0.15">
      <c r="A27" s="192"/>
      <c r="B27" s="192"/>
      <c r="C27" s="192"/>
      <c r="D27" s="192"/>
      <c r="E27" s="192"/>
      <c r="F27" s="192"/>
      <c r="G27" s="192"/>
      <c r="H27" s="192"/>
      <c r="I27" s="192"/>
      <c r="J27" s="192"/>
      <c r="K27" s="192"/>
      <c r="L27" s="192"/>
      <c r="M27" s="192"/>
      <c r="N27" s="192"/>
      <c r="O27" s="192"/>
      <c r="P27" s="192"/>
      <c r="Q27" s="192"/>
      <c r="R27" s="192"/>
      <c r="S27" s="192"/>
      <c r="T27" s="192"/>
      <c r="U27" s="192"/>
      <c r="V27" s="192"/>
      <c r="W27" s="192"/>
      <c r="X27" s="192"/>
      <c r="Y27" s="192"/>
      <c r="Z27" s="192"/>
    </row>
    <row r="28" spans="1:26" ht="18" customHeight="1" x14ac:dyDescent="0.15">
      <c r="A28" s="14"/>
      <c r="B28" s="150" t="s">
        <v>100</v>
      </c>
      <c r="C28" s="151"/>
      <c r="D28" s="151"/>
      <c r="E28" s="151"/>
      <c r="F28" s="152"/>
      <c r="G28" s="30" t="s">
        <v>141</v>
      </c>
      <c r="H28" s="110" t="s">
        <v>140</v>
      </c>
      <c r="I28" s="151" t="s">
        <v>101</v>
      </c>
      <c r="J28" s="151"/>
      <c r="K28" s="151"/>
      <c r="L28" s="73" t="s">
        <v>127</v>
      </c>
      <c r="M28" s="73" t="s">
        <v>128</v>
      </c>
      <c r="N28" s="150" t="s">
        <v>100</v>
      </c>
      <c r="O28" s="151"/>
      <c r="P28" s="151"/>
      <c r="Q28" s="151"/>
      <c r="R28" s="151"/>
      <c r="S28" s="152"/>
      <c r="T28" s="30" t="s">
        <v>141</v>
      </c>
      <c r="U28" s="110" t="s">
        <v>140</v>
      </c>
      <c r="V28" s="151" t="s">
        <v>101</v>
      </c>
      <c r="W28" s="151"/>
      <c r="X28" s="151"/>
      <c r="Y28" s="73" t="s">
        <v>127</v>
      </c>
      <c r="Z28" s="73" t="s">
        <v>128</v>
      </c>
    </row>
    <row r="29" spans="1:26" ht="18" customHeight="1" x14ac:dyDescent="0.15">
      <c r="A29" s="14"/>
      <c r="B29" s="256" t="s">
        <v>240</v>
      </c>
      <c r="C29" s="257"/>
      <c r="D29" s="257"/>
      <c r="E29" s="257"/>
      <c r="F29" s="263"/>
      <c r="G29" s="111">
        <v>2</v>
      </c>
      <c r="H29" s="111"/>
      <c r="I29" s="258" t="s">
        <v>163</v>
      </c>
      <c r="J29" s="259"/>
      <c r="K29" s="260"/>
      <c r="L29" s="111" t="s">
        <v>164</v>
      </c>
      <c r="M29" s="111" t="s">
        <v>164</v>
      </c>
      <c r="N29" s="245" t="s">
        <v>244</v>
      </c>
      <c r="O29" s="246"/>
      <c r="P29" s="246"/>
      <c r="Q29" s="246"/>
      <c r="R29" s="246"/>
      <c r="S29" s="247"/>
      <c r="T29" s="111">
        <v>2</v>
      </c>
      <c r="U29" s="111"/>
      <c r="V29" s="258" t="s">
        <v>214</v>
      </c>
      <c r="W29" s="259"/>
      <c r="X29" s="260"/>
      <c r="Y29" s="111" t="s">
        <v>164</v>
      </c>
      <c r="Z29" s="111" t="s">
        <v>164</v>
      </c>
    </row>
    <row r="30" spans="1:26" ht="18" customHeight="1" x14ac:dyDescent="0.15">
      <c r="A30" s="14"/>
      <c r="B30" s="181" t="s">
        <v>248</v>
      </c>
      <c r="C30" s="182"/>
      <c r="D30" s="182"/>
      <c r="E30" s="182"/>
      <c r="F30" s="188"/>
      <c r="G30" s="112">
        <v>2</v>
      </c>
      <c r="H30" s="112"/>
      <c r="I30" s="183" t="s">
        <v>163</v>
      </c>
      <c r="J30" s="184"/>
      <c r="K30" s="185"/>
      <c r="L30" s="112" t="s">
        <v>164</v>
      </c>
      <c r="M30" s="112"/>
      <c r="N30" s="189" t="s">
        <v>217</v>
      </c>
      <c r="O30" s="190"/>
      <c r="P30" s="190"/>
      <c r="Q30" s="190"/>
      <c r="R30" s="190"/>
      <c r="S30" s="191"/>
      <c r="T30" s="112">
        <v>2</v>
      </c>
      <c r="U30" s="112"/>
      <c r="V30" s="183" t="s">
        <v>214</v>
      </c>
      <c r="W30" s="184"/>
      <c r="X30" s="185"/>
      <c r="Y30" s="112" t="s">
        <v>164</v>
      </c>
      <c r="Z30" s="112" t="s">
        <v>164</v>
      </c>
    </row>
    <row r="31" spans="1:26" ht="18" customHeight="1" x14ac:dyDescent="0.15">
      <c r="A31" s="14"/>
      <c r="B31" s="181" t="s">
        <v>232</v>
      </c>
      <c r="C31" s="182"/>
      <c r="D31" s="182"/>
      <c r="E31" s="182"/>
      <c r="F31" s="188"/>
      <c r="G31" s="112">
        <v>2</v>
      </c>
      <c r="H31" s="112"/>
      <c r="I31" s="183" t="s">
        <v>163</v>
      </c>
      <c r="J31" s="184"/>
      <c r="K31" s="185"/>
      <c r="L31" s="112" t="s">
        <v>164</v>
      </c>
      <c r="M31" s="112" t="s">
        <v>164</v>
      </c>
      <c r="N31" s="189" t="s">
        <v>245</v>
      </c>
      <c r="O31" s="190"/>
      <c r="P31" s="190"/>
      <c r="Q31" s="190"/>
      <c r="R31" s="190"/>
      <c r="S31" s="191"/>
      <c r="T31" s="112">
        <v>2</v>
      </c>
      <c r="U31" s="112"/>
      <c r="V31" s="183" t="s">
        <v>163</v>
      </c>
      <c r="W31" s="184"/>
      <c r="X31" s="185"/>
      <c r="Y31" s="112" t="s">
        <v>164</v>
      </c>
      <c r="Z31" s="112" t="s">
        <v>164</v>
      </c>
    </row>
    <row r="32" spans="1:26" ht="18" customHeight="1" x14ac:dyDescent="0.15">
      <c r="A32" s="14"/>
      <c r="B32" s="181" t="s">
        <v>242</v>
      </c>
      <c r="C32" s="182"/>
      <c r="D32" s="182"/>
      <c r="E32" s="182"/>
      <c r="F32" s="188"/>
      <c r="G32" s="112">
        <v>2</v>
      </c>
      <c r="H32" s="112"/>
      <c r="I32" s="183" t="s">
        <v>163</v>
      </c>
      <c r="J32" s="184"/>
      <c r="K32" s="185"/>
      <c r="L32" s="112" t="s">
        <v>164</v>
      </c>
      <c r="M32" s="112" t="s">
        <v>164</v>
      </c>
      <c r="N32" s="189" t="s">
        <v>166</v>
      </c>
      <c r="O32" s="190"/>
      <c r="P32" s="190"/>
      <c r="Q32" s="190"/>
      <c r="R32" s="190"/>
      <c r="S32" s="191"/>
      <c r="T32" s="112">
        <v>2</v>
      </c>
      <c r="U32" s="112"/>
      <c r="V32" s="183" t="s">
        <v>163</v>
      </c>
      <c r="W32" s="184"/>
      <c r="X32" s="185"/>
      <c r="Y32" s="112" t="s">
        <v>164</v>
      </c>
      <c r="Z32" s="112" t="s">
        <v>164</v>
      </c>
    </row>
    <row r="33" spans="1:26" ht="18" customHeight="1" x14ac:dyDescent="0.15">
      <c r="A33" s="14"/>
      <c r="B33" s="181" t="s">
        <v>234</v>
      </c>
      <c r="C33" s="182"/>
      <c r="D33" s="182"/>
      <c r="E33" s="182"/>
      <c r="F33" s="188"/>
      <c r="G33" s="112">
        <v>2</v>
      </c>
      <c r="H33" s="112"/>
      <c r="I33" s="183" t="s">
        <v>163</v>
      </c>
      <c r="J33" s="184"/>
      <c r="K33" s="185"/>
      <c r="L33" s="112" t="s">
        <v>164</v>
      </c>
      <c r="M33" s="112" t="s">
        <v>164</v>
      </c>
      <c r="N33" s="189" t="s">
        <v>180</v>
      </c>
      <c r="O33" s="190"/>
      <c r="P33" s="190"/>
      <c r="Q33" s="190"/>
      <c r="R33" s="190"/>
      <c r="S33" s="191"/>
      <c r="T33" s="112">
        <v>2</v>
      </c>
      <c r="U33" s="112"/>
      <c r="V33" s="183" t="s">
        <v>163</v>
      </c>
      <c r="W33" s="184"/>
      <c r="X33" s="185"/>
      <c r="Y33" s="112"/>
      <c r="Z33" s="112" t="s">
        <v>164</v>
      </c>
    </row>
    <row r="34" spans="1:26" ht="18" customHeight="1" x14ac:dyDescent="0.15">
      <c r="A34" s="14"/>
      <c r="B34" s="181" t="s">
        <v>235</v>
      </c>
      <c r="C34" s="182"/>
      <c r="D34" s="182"/>
      <c r="E34" s="182"/>
      <c r="F34" s="188"/>
      <c r="G34" s="112">
        <v>2</v>
      </c>
      <c r="H34" s="112"/>
      <c r="I34" s="183" t="s">
        <v>163</v>
      </c>
      <c r="J34" s="184"/>
      <c r="K34" s="185"/>
      <c r="L34" s="112" t="s">
        <v>164</v>
      </c>
      <c r="M34" s="112" t="s">
        <v>164</v>
      </c>
      <c r="N34" s="189" t="s">
        <v>246</v>
      </c>
      <c r="O34" s="190"/>
      <c r="P34" s="190"/>
      <c r="Q34" s="190"/>
      <c r="R34" s="190"/>
      <c r="S34" s="191"/>
      <c r="T34" s="112">
        <v>2</v>
      </c>
      <c r="U34" s="112"/>
      <c r="V34" s="183" t="s">
        <v>163</v>
      </c>
      <c r="W34" s="184"/>
      <c r="X34" s="185"/>
      <c r="Y34" s="112" t="s">
        <v>164</v>
      </c>
      <c r="Z34" s="112" t="s">
        <v>164</v>
      </c>
    </row>
    <row r="35" spans="1:26" ht="18" customHeight="1" x14ac:dyDescent="0.15">
      <c r="A35" s="14"/>
      <c r="B35" s="181" t="s">
        <v>237</v>
      </c>
      <c r="C35" s="182"/>
      <c r="D35" s="182"/>
      <c r="E35" s="182"/>
      <c r="F35" s="188"/>
      <c r="G35" s="112">
        <v>2</v>
      </c>
      <c r="H35" s="112"/>
      <c r="I35" s="183" t="s">
        <v>163</v>
      </c>
      <c r="J35" s="184"/>
      <c r="K35" s="185"/>
      <c r="L35" s="112" t="s">
        <v>164</v>
      </c>
      <c r="M35" s="112" t="s">
        <v>164</v>
      </c>
      <c r="N35" s="189" t="s">
        <v>247</v>
      </c>
      <c r="O35" s="190"/>
      <c r="P35" s="190"/>
      <c r="Q35" s="190"/>
      <c r="R35" s="190"/>
      <c r="S35" s="191"/>
      <c r="T35" s="112">
        <v>2</v>
      </c>
      <c r="U35" s="112"/>
      <c r="V35" s="183" t="s">
        <v>163</v>
      </c>
      <c r="W35" s="184"/>
      <c r="X35" s="185"/>
      <c r="Y35" s="112" t="s">
        <v>164</v>
      </c>
      <c r="Z35" s="112" t="s">
        <v>164</v>
      </c>
    </row>
    <row r="36" spans="1:26" ht="18" customHeight="1" x14ac:dyDescent="0.15">
      <c r="A36" s="14"/>
      <c r="B36" s="181" t="s">
        <v>238</v>
      </c>
      <c r="C36" s="182"/>
      <c r="D36" s="182"/>
      <c r="E36" s="182"/>
      <c r="F36" s="188"/>
      <c r="G36" s="112">
        <v>2</v>
      </c>
      <c r="H36" s="112"/>
      <c r="I36" s="183" t="s">
        <v>163</v>
      </c>
      <c r="J36" s="184"/>
      <c r="K36" s="185"/>
      <c r="L36" s="112" t="s">
        <v>164</v>
      </c>
      <c r="M36" s="112" t="s">
        <v>164</v>
      </c>
      <c r="N36" s="189" t="s">
        <v>174</v>
      </c>
      <c r="O36" s="190"/>
      <c r="P36" s="190"/>
      <c r="Q36" s="190"/>
      <c r="R36" s="190"/>
      <c r="S36" s="191"/>
      <c r="T36" s="112">
        <v>4</v>
      </c>
      <c r="U36" s="112"/>
      <c r="V36" s="183" t="s">
        <v>163</v>
      </c>
      <c r="W36" s="184"/>
      <c r="X36" s="185"/>
      <c r="Y36" s="112" t="s">
        <v>164</v>
      </c>
      <c r="Z36" s="112" t="s">
        <v>164</v>
      </c>
    </row>
    <row r="37" spans="1:26" ht="18" customHeight="1" x14ac:dyDescent="0.15">
      <c r="A37" s="14"/>
      <c r="B37" s="193" t="s">
        <v>243</v>
      </c>
      <c r="C37" s="194"/>
      <c r="D37" s="194"/>
      <c r="E37" s="194"/>
      <c r="F37" s="195"/>
      <c r="G37" s="113">
        <v>2</v>
      </c>
      <c r="H37" s="113"/>
      <c r="I37" s="196" t="s">
        <v>214</v>
      </c>
      <c r="J37" s="197"/>
      <c r="K37" s="198"/>
      <c r="L37" s="116" t="s">
        <v>164</v>
      </c>
      <c r="M37" s="116" t="s">
        <v>164</v>
      </c>
      <c r="N37" s="199" t="s">
        <v>176</v>
      </c>
      <c r="O37" s="200"/>
      <c r="P37" s="200"/>
      <c r="Q37" s="200"/>
      <c r="R37" s="200"/>
      <c r="S37" s="201"/>
      <c r="T37" s="113">
        <v>2</v>
      </c>
      <c r="U37" s="113"/>
      <c r="V37" s="196" t="s">
        <v>163</v>
      </c>
      <c r="W37" s="197"/>
      <c r="X37" s="198"/>
      <c r="Y37" s="116" t="s">
        <v>164</v>
      </c>
      <c r="Z37" s="116" t="s">
        <v>164</v>
      </c>
    </row>
    <row r="38" spans="1:26" ht="7.5" customHeight="1" x14ac:dyDescent="0.15">
      <c r="A38" s="29"/>
      <c r="B38" s="74"/>
      <c r="C38" s="74"/>
      <c r="D38" s="29"/>
      <c r="E38" s="29"/>
      <c r="F38" s="29"/>
      <c r="G38" s="29"/>
      <c r="H38" s="29"/>
      <c r="I38" s="29"/>
      <c r="J38" s="29"/>
      <c r="K38" s="29"/>
      <c r="L38" s="74"/>
      <c r="M38" s="74"/>
      <c r="N38" s="74"/>
      <c r="O38" s="74"/>
      <c r="P38" s="74"/>
      <c r="Q38" s="74"/>
      <c r="R38" s="74"/>
      <c r="S38" s="74"/>
      <c r="T38" s="74"/>
      <c r="U38" s="74"/>
      <c r="V38" s="74"/>
      <c r="W38" s="74"/>
      <c r="X38" s="74"/>
      <c r="Y38" s="74"/>
      <c r="Z38" s="29"/>
    </row>
    <row r="39" spans="1:26" ht="18" customHeight="1" x14ac:dyDescent="0.15">
      <c r="A39" s="192" t="s">
        <v>129</v>
      </c>
      <c r="B39" s="192"/>
      <c r="C39" s="192"/>
      <c r="D39" s="192"/>
      <c r="E39" s="192"/>
      <c r="F39" s="192"/>
      <c r="G39" s="192"/>
      <c r="H39" s="192"/>
      <c r="I39" s="192"/>
      <c r="J39" s="192"/>
      <c r="K39" s="192"/>
      <c r="L39" s="192"/>
      <c r="M39" s="192"/>
      <c r="N39" s="192"/>
      <c r="O39" s="192"/>
      <c r="P39" s="192"/>
      <c r="Q39" s="192"/>
      <c r="R39" s="192"/>
      <c r="S39" s="192"/>
      <c r="T39" s="192"/>
      <c r="U39" s="192"/>
      <c r="V39" s="192"/>
      <c r="W39" s="192"/>
      <c r="X39" s="192"/>
      <c r="Y39" s="192"/>
      <c r="Z39" s="192"/>
    </row>
    <row r="40" spans="1:26" ht="18" customHeight="1" x14ac:dyDescent="0.15">
      <c r="A40" s="192"/>
      <c r="B40" s="192"/>
      <c r="C40" s="192"/>
      <c r="D40" s="192"/>
      <c r="E40" s="192"/>
      <c r="F40" s="192"/>
      <c r="G40" s="192"/>
      <c r="H40" s="192"/>
      <c r="I40" s="192"/>
      <c r="J40" s="192"/>
      <c r="K40" s="192"/>
      <c r="L40" s="192"/>
      <c r="M40" s="192"/>
      <c r="N40" s="192"/>
      <c r="O40" s="192"/>
      <c r="P40" s="192"/>
      <c r="Q40" s="192"/>
      <c r="R40" s="192"/>
      <c r="S40" s="192"/>
      <c r="T40" s="192"/>
      <c r="U40" s="192"/>
      <c r="V40" s="192"/>
      <c r="W40" s="192"/>
      <c r="X40" s="192"/>
      <c r="Y40" s="192"/>
      <c r="Z40" s="192"/>
    </row>
    <row r="41" spans="1:26" ht="18" customHeight="1" x14ac:dyDescent="0.15">
      <c r="A41" s="14"/>
      <c r="B41" s="150" t="s">
        <v>100</v>
      </c>
      <c r="C41" s="151"/>
      <c r="D41" s="151"/>
      <c r="E41" s="151"/>
      <c r="F41" s="152"/>
      <c r="G41" s="30" t="s">
        <v>141</v>
      </c>
      <c r="H41" s="110" t="s">
        <v>140</v>
      </c>
      <c r="I41" s="150" t="s">
        <v>101</v>
      </c>
      <c r="J41" s="151"/>
      <c r="K41" s="152"/>
      <c r="L41" s="73" t="s">
        <v>130</v>
      </c>
      <c r="M41" s="73" t="s">
        <v>131</v>
      </c>
      <c r="N41" s="150" t="s">
        <v>100</v>
      </c>
      <c r="O41" s="151"/>
      <c r="P41" s="151"/>
      <c r="Q41" s="151"/>
      <c r="R41" s="151"/>
      <c r="S41" s="152"/>
      <c r="T41" s="30" t="s">
        <v>141</v>
      </c>
      <c r="U41" s="110" t="s">
        <v>140</v>
      </c>
      <c r="V41" s="150" t="s">
        <v>101</v>
      </c>
      <c r="W41" s="151"/>
      <c r="X41" s="152"/>
      <c r="Y41" s="73" t="s">
        <v>130</v>
      </c>
      <c r="Z41" s="73" t="s">
        <v>131</v>
      </c>
    </row>
    <row r="42" spans="1:26" ht="18" customHeight="1" x14ac:dyDescent="0.15">
      <c r="A42" s="29"/>
      <c r="B42" s="256" t="s">
        <v>240</v>
      </c>
      <c r="C42" s="257"/>
      <c r="D42" s="257"/>
      <c r="E42" s="257"/>
      <c r="F42" s="263"/>
      <c r="G42" s="111">
        <v>2</v>
      </c>
      <c r="H42" s="111"/>
      <c r="I42" s="258" t="s">
        <v>163</v>
      </c>
      <c r="J42" s="259"/>
      <c r="K42" s="260"/>
      <c r="L42" s="111" t="s">
        <v>164</v>
      </c>
      <c r="M42" s="111" t="s">
        <v>164</v>
      </c>
      <c r="N42" s="245" t="s">
        <v>244</v>
      </c>
      <c r="O42" s="246"/>
      <c r="P42" s="246"/>
      <c r="Q42" s="246"/>
      <c r="R42" s="246"/>
      <c r="S42" s="247"/>
      <c r="T42" s="111">
        <v>2</v>
      </c>
      <c r="U42" s="111"/>
      <c r="V42" s="258" t="s">
        <v>214</v>
      </c>
      <c r="W42" s="259"/>
      <c r="X42" s="260"/>
      <c r="Y42" s="139" t="s">
        <v>164</v>
      </c>
      <c r="Z42" s="139" t="s">
        <v>164</v>
      </c>
    </row>
    <row r="43" spans="1:26" ht="18" customHeight="1" x14ac:dyDescent="0.15">
      <c r="A43" s="29"/>
      <c r="B43" s="181" t="s">
        <v>248</v>
      </c>
      <c r="C43" s="182"/>
      <c r="D43" s="182"/>
      <c r="E43" s="182"/>
      <c r="F43" s="188"/>
      <c r="G43" s="112">
        <v>2</v>
      </c>
      <c r="H43" s="112"/>
      <c r="I43" s="183" t="s">
        <v>163</v>
      </c>
      <c r="J43" s="184"/>
      <c r="K43" s="185"/>
      <c r="L43" s="112" t="s">
        <v>164</v>
      </c>
      <c r="M43" s="112" t="s">
        <v>164</v>
      </c>
      <c r="N43" s="189" t="s">
        <v>217</v>
      </c>
      <c r="O43" s="190"/>
      <c r="P43" s="190"/>
      <c r="Q43" s="190"/>
      <c r="R43" s="190"/>
      <c r="S43" s="191"/>
      <c r="T43" s="112">
        <v>2</v>
      </c>
      <c r="U43" s="112"/>
      <c r="V43" s="183" t="s">
        <v>214</v>
      </c>
      <c r="W43" s="184"/>
      <c r="X43" s="185"/>
      <c r="Y43" s="112" t="s">
        <v>164</v>
      </c>
      <c r="Z43" s="112" t="s">
        <v>164</v>
      </c>
    </row>
    <row r="44" spans="1:26" ht="18" customHeight="1" x14ac:dyDescent="0.15">
      <c r="A44" s="29"/>
      <c r="B44" s="181" t="s">
        <v>241</v>
      </c>
      <c r="C44" s="182"/>
      <c r="D44" s="182"/>
      <c r="E44" s="182"/>
      <c r="F44" s="188"/>
      <c r="G44" s="112">
        <v>2</v>
      </c>
      <c r="H44" s="112"/>
      <c r="I44" s="183" t="s">
        <v>163</v>
      </c>
      <c r="J44" s="184"/>
      <c r="K44" s="185"/>
      <c r="L44" s="112" t="s">
        <v>164</v>
      </c>
      <c r="M44" s="112" t="s">
        <v>164</v>
      </c>
      <c r="N44" s="189" t="s">
        <v>245</v>
      </c>
      <c r="O44" s="190"/>
      <c r="P44" s="190"/>
      <c r="Q44" s="190"/>
      <c r="R44" s="190"/>
      <c r="S44" s="191"/>
      <c r="T44" s="112">
        <v>2</v>
      </c>
      <c r="U44" s="112"/>
      <c r="V44" s="183" t="s">
        <v>163</v>
      </c>
      <c r="W44" s="184"/>
      <c r="X44" s="185"/>
      <c r="Y44" s="112" t="s">
        <v>164</v>
      </c>
      <c r="Z44" s="112" t="s">
        <v>164</v>
      </c>
    </row>
    <row r="45" spans="1:26" ht="18" customHeight="1" x14ac:dyDescent="0.15">
      <c r="A45" s="29"/>
      <c r="B45" s="181" t="s">
        <v>232</v>
      </c>
      <c r="C45" s="182"/>
      <c r="D45" s="182"/>
      <c r="E45" s="182"/>
      <c r="F45" s="188"/>
      <c r="G45" s="112">
        <v>2</v>
      </c>
      <c r="H45" s="112"/>
      <c r="I45" s="183" t="s">
        <v>163</v>
      </c>
      <c r="J45" s="184"/>
      <c r="K45" s="185"/>
      <c r="L45" s="112" t="s">
        <v>164</v>
      </c>
      <c r="M45" s="112" t="s">
        <v>164</v>
      </c>
      <c r="N45" s="189" t="s">
        <v>166</v>
      </c>
      <c r="O45" s="190"/>
      <c r="P45" s="190"/>
      <c r="Q45" s="190"/>
      <c r="R45" s="190"/>
      <c r="S45" s="191"/>
      <c r="T45" s="112">
        <v>2</v>
      </c>
      <c r="U45" s="112"/>
      <c r="V45" s="183" t="s">
        <v>163</v>
      </c>
      <c r="W45" s="184"/>
      <c r="X45" s="185"/>
      <c r="Y45" s="112" t="s">
        <v>164</v>
      </c>
      <c r="Z45" s="112" t="s">
        <v>164</v>
      </c>
    </row>
    <row r="46" spans="1:26" ht="18" customHeight="1" x14ac:dyDescent="0.15">
      <c r="A46" s="29"/>
      <c r="B46" s="181" t="s">
        <v>242</v>
      </c>
      <c r="C46" s="182"/>
      <c r="D46" s="182"/>
      <c r="E46" s="182"/>
      <c r="F46" s="188"/>
      <c r="G46" s="112">
        <v>2</v>
      </c>
      <c r="H46" s="112"/>
      <c r="I46" s="183" t="s">
        <v>163</v>
      </c>
      <c r="J46" s="184"/>
      <c r="K46" s="185"/>
      <c r="L46" s="112" t="s">
        <v>164</v>
      </c>
      <c r="M46" s="112" t="s">
        <v>164</v>
      </c>
      <c r="N46" s="189" t="s">
        <v>182</v>
      </c>
      <c r="O46" s="190"/>
      <c r="P46" s="190"/>
      <c r="Q46" s="190"/>
      <c r="R46" s="190"/>
      <c r="S46" s="191"/>
      <c r="T46" s="112">
        <v>2</v>
      </c>
      <c r="U46" s="112"/>
      <c r="V46" s="183" t="s">
        <v>163</v>
      </c>
      <c r="W46" s="184"/>
      <c r="X46" s="185"/>
      <c r="Y46" s="112"/>
      <c r="Z46" s="112" t="s">
        <v>164</v>
      </c>
    </row>
    <row r="47" spans="1:26" ht="18" customHeight="1" x14ac:dyDescent="0.15">
      <c r="A47" s="29"/>
      <c r="B47" s="181" t="s">
        <v>234</v>
      </c>
      <c r="C47" s="182"/>
      <c r="D47" s="182"/>
      <c r="E47" s="182"/>
      <c r="F47" s="188"/>
      <c r="G47" s="112">
        <v>2</v>
      </c>
      <c r="H47" s="112"/>
      <c r="I47" s="183" t="s">
        <v>163</v>
      </c>
      <c r="J47" s="184"/>
      <c r="K47" s="185"/>
      <c r="L47" s="112" t="s">
        <v>164</v>
      </c>
      <c r="M47" s="112" t="s">
        <v>164</v>
      </c>
      <c r="N47" s="189" t="s">
        <v>246</v>
      </c>
      <c r="O47" s="190"/>
      <c r="P47" s="190"/>
      <c r="Q47" s="190"/>
      <c r="R47" s="190"/>
      <c r="S47" s="191"/>
      <c r="T47" s="112">
        <v>2</v>
      </c>
      <c r="U47" s="112"/>
      <c r="V47" s="183" t="s">
        <v>163</v>
      </c>
      <c r="W47" s="184"/>
      <c r="X47" s="185"/>
      <c r="Y47" s="112" t="s">
        <v>164</v>
      </c>
      <c r="Z47" s="112" t="s">
        <v>164</v>
      </c>
    </row>
    <row r="48" spans="1:26" ht="18" customHeight="1" x14ac:dyDescent="0.15">
      <c r="A48" s="29"/>
      <c r="B48" s="181" t="s">
        <v>235</v>
      </c>
      <c r="C48" s="182"/>
      <c r="D48" s="182"/>
      <c r="E48" s="182"/>
      <c r="F48" s="188"/>
      <c r="G48" s="112">
        <v>2</v>
      </c>
      <c r="H48" s="112"/>
      <c r="I48" s="183" t="s">
        <v>163</v>
      </c>
      <c r="J48" s="184"/>
      <c r="K48" s="185"/>
      <c r="L48" s="112" t="s">
        <v>164</v>
      </c>
      <c r="M48" s="112" t="s">
        <v>164</v>
      </c>
      <c r="N48" s="189" t="s">
        <v>247</v>
      </c>
      <c r="O48" s="190"/>
      <c r="P48" s="190"/>
      <c r="Q48" s="190"/>
      <c r="R48" s="190"/>
      <c r="S48" s="191"/>
      <c r="T48" s="112">
        <v>2</v>
      </c>
      <c r="U48" s="112"/>
      <c r="V48" s="183" t="s">
        <v>163</v>
      </c>
      <c r="W48" s="184"/>
      <c r="X48" s="185"/>
      <c r="Y48" s="112" t="s">
        <v>164</v>
      </c>
      <c r="Z48" s="112" t="s">
        <v>164</v>
      </c>
    </row>
    <row r="49" spans="1:26" ht="18" customHeight="1" x14ac:dyDescent="0.15">
      <c r="A49" s="29"/>
      <c r="B49" s="181" t="s">
        <v>237</v>
      </c>
      <c r="C49" s="182"/>
      <c r="D49" s="182"/>
      <c r="E49" s="182"/>
      <c r="F49" s="188"/>
      <c r="G49" s="112">
        <v>2</v>
      </c>
      <c r="H49" s="112"/>
      <c r="I49" s="183" t="s">
        <v>163</v>
      </c>
      <c r="J49" s="184"/>
      <c r="K49" s="185"/>
      <c r="L49" s="112" t="s">
        <v>164</v>
      </c>
      <c r="M49" s="112" t="s">
        <v>164</v>
      </c>
      <c r="N49" s="189" t="s">
        <v>174</v>
      </c>
      <c r="O49" s="190"/>
      <c r="P49" s="190"/>
      <c r="Q49" s="190"/>
      <c r="R49" s="190"/>
      <c r="S49" s="191"/>
      <c r="T49" s="112">
        <v>4</v>
      </c>
      <c r="U49" s="112"/>
      <c r="V49" s="183" t="s">
        <v>163</v>
      </c>
      <c r="W49" s="184"/>
      <c r="X49" s="185"/>
      <c r="Y49" s="112" t="s">
        <v>164</v>
      </c>
      <c r="Z49" s="112" t="s">
        <v>164</v>
      </c>
    </row>
    <row r="50" spans="1:26" ht="18" customHeight="1" x14ac:dyDescent="0.15">
      <c r="A50" s="29"/>
      <c r="B50" s="181" t="s">
        <v>238</v>
      </c>
      <c r="C50" s="182"/>
      <c r="D50" s="182"/>
      <c r="E50" s="182"/>
      <c r="F50" s="188"/>
      <c r="G50" s="112">
        <v>2</v>
      </c>
      <c r="H50" s="112"/>
      <c r="I50" s="183" t="s">
        <v>163</v>
      </c>
      <c r="J50" s="184"/>
      <c r="K50" s="185"/>
      <c r="L50" s="112" t="s">
        <v>164</v>
      </c>
      <c r="M50" s="112" t="s">
        <v>164</v>
      </c>
      <c r="N50" s="189" t="s">
        <v>176</v>
      </c>
      <c r="O50" s="190"/>
      <c r="P50" s="190"/>
      <c r="Q50" s="190"/>
      <c r="R50" s="190"/>
      <c r="S50" s="191"/>
      <c r="T50" s="112">
        <v>2</v>
      </c>
      <c r="U50" s="112"/>
      <c r="V50" s="183" t="s">
        <v>163</v>
      </c>
      <c r="W50" s="184"/>
      <c r="X50" s="185"/>
      <c r="Y50" s="112" t="s">
        <v>164</v>
      </c>
      <c r="Z50" s="112" t="s">
        <v>164</v>
      </c>
    </row>
    <row r="51" spans="1:26" ht="18" customHeight="1" x14ac:dyDescent="0.15">
      <c r="A51" s="29"/>
      <c r="B51" s="193" t="s">
        <v>243</v>
      </c>
      <c r="C51" s="194"/>
      <c r="D51" s="194"/>
      <c r="E51" s="194"/>
      <c r="F51" s="195"/>
      <c r="G51" s="116">
        <v>2</v>
      </c>
      <c r="H51" s="116"/>
      <c r="I51" s="196" t="s">
        <v>214</v>
      </c>
      <c r="J51" s="197"/>
      <c r="K51" s="198"/>
      <c r="L51" s="116" t="s">
        <v>164</v>
      </c>
      <c r="M51" s="116" t="s">
        <v>164</v>
      </c>
      <c r="N51" s="199"/>
      <c r="O51" s="200"/>
      <c r="P51" s="200"/>
      <c r="Q51" s="200"/>
      <c r="R51" s="200"/>
      <c r="S51" s="201"/>
      <c r="T51" s="116"/>
      <c r="U51" s="116"/>
      <c r="V51" s="196"/>
      <c r="W51" s="197"/>
      <c r="X51" s="198"/>
      <c r="Y51" s="116"/>
      <c r="Z51" s="116"/>
    </row>
    <row r="52" spans="1:26" ht="7.5" customHeight="1" x14ac:dyDescent="0.15">
      <c r="B52" s="75"/>
      <c r="C52" s="75"/>
      <c r="D52" s="75"/>
      <c r="E52" s="75"/>
      <c r="F52" s="75"/>
      <c r="G52" s="75"/>
      <c r="H52" s="75"/>
      <c r="I52" s="75"/>
      <c r="J52" s="75"/>
      <c r="K52" s="75"/>
      <c r="L52" s="75"/>
      <c r="M52" s="75"/>
      <c r="N52" s="75"/>
      <c r="O52" s="75"/>
      <c r="P52" s="75"/>
      <c r="Q52" s="75"/>
      <c r="R52" s="75"/>
      <c r="S52" s="75"/>
      <c r="T52" s="75"/>
      <c r="U52" s="75"/>
      <c r="V52" s="75"/>
      <c r="W52" s="75"/>
      <c r="X52" s="75"/>
      <c r="Y52" s="75"/>
    </row>
    <row r="53" spans="1:26" ht="18" customHeight="1" x14ac:dyDescent="0.15">
      <c r="A53" s="192" t="s">
        <v>132</v>
      </c>
      <c r="B53" s="192"/>
      <c r="C53" s="192"/>
      <c r="D53" s="192"/>
      <c r="E53" s="192"/>
      <c r="F53" s="192"/>
      <c r="G53" s="192"/>
      <c r="H53" s="192"/>
      <c r="I53" s="192"/>
      <c r="J53" s="192"/>
      <c r="K53" s="192"/>
      <c r="L53" s="192"/>
      <c r="M53" s="192"/>
      <c r="N53" s="192"/>
      <c r="O53" s="192"/>
      <c r="P53" s="192"/>
      <c r="Q53" s="192"/>
      <c r="R53" s="192"/>
      <c r="S53" s="192"/>
      <c r="T53" s="192"/>
      <c r="U53" s="192"/>
      <c r="V53" s="192"/>
      <c r="W53" s="192"/>
      <c r="X53" s="192"/>
      <c r="Y53" s="192"/>
      <c r="Z53" s="192"/>
    </row>
    <row r="54" spans="1:26" ht="18" customHeight="1" x14ac:dyDescent="0.15">
      <c r="A54" s="192"/>
      <c r="B54" s="192"/>
      <c r="C54" s="192"/>
      <c r="D54" s="192"/>
      <c r="E54" s="192"/>
      <c r="F54" s="192"/>
      <c r="G54" s="192"/>
      <c r="H54" s="192"/>
      <c r="I54" s="192"/>
      <c r="J54" s="192"/>
      <c r="K54" s="192"/>
      <c r="L54" s="192"/>
      <c r="M54" s="192"/>
      <c r="N54" s="192"/>
      <c r="O54" s="192"/>
      <c r="P54" s="192"/>
      <c r="Q54" s="192"/>
      <c r="R54" s="192"/>
      <c r="S54" s="192"/>
      <c r="T54" s="192"/>
      <c r="U54" s="192"/>
      <c r="V54" s="192"/>
      <c r="W54" s="192"/>
      <c r="X54" s="192"/>
      <c r="Y54" s="192"/>
      <c r="Z54" s="192"/>
    </row>
    <row r="55" spans="1:26" ht="18" customHeight="1" x14ac:dyDescent="0.15">
      <c r="A55" s="14"/>
      <c r="B55" s="150" t="s">
        <v>100</v>
      </c>
      <c r="C55" s="151"/>
      <c r="D55" s="151"/>
      <c r="E55" s="151"/>
      <c r="F55" s="152"/>
      <c r="G55" s="30" t="s">
        <v>141</v>
      </c>
      <c r="H55" s="110" t="s">
        <v>140</v>
      </c>
      <c r="I55" s="150" t="s">
        <v>101</v>
      </c>
      <c r="J55" s="151"/>
      <c r="K55" s="152"/>
      <c r="L55" s="73" t="s">
        <v>106</v>
      </c>
      <c r="M55" s="73" t="s">
        <v>108</v>
      </c>
      <c r="N55" s="150" t="s">
        <v>100</v>
      </c>
      <c r="O55" s="151"/>
      <c r="P55" s="151"/>
      <c r="Q55" s="151"/>
      <c r="R55" s="151"/>
      <c r="S55" s="152"/>
      <c r="T55" s="30" t="s">
        <v>141</v>
      </c>
      <c r="U55" s="110" t="s">
        <v>140</v>
      </c>
      <c r="V55" s="150" t="s">
        <v>101</v>
      </c>
      <c r="W55" s="151"/>
      <c r="X55" s="152"/>
      <c r="Y55" s="73" t="s">
        <v>106</v>
      </c>
      <c r="Z55" s="73" t="s">
        <v>108</v>
      </c>
    </row>
    <row r="56" spans="1:26" ht="18" customHeight="1" x14ac:dyDescent="0.15">
      <c r="A56" s="29"/>
      <c r="B56" s="256" t="s">
        <v>240</v>
      </c>
      <c r="C56" s="257"/>
      <c r="D56" s="257"/>
      <c r="E56" s="257"/>
      <c r="F56" s="263"/>
      <c r="G56" s="111">
        <v>2</v>
      </c>
      <c r="H56" s="111"/>
      <c r="I56" s="258" t="s">
        <v>163</v>
      </c>
      <c r="J56" s="259"/>
      <c r="K56" s="260"/>
      <c r="L56" s="111" t="s">
        <v>164</v>
      </c>
      <c r="M56" s="111" t="s">
        <v>164</v>
      </c>
      <c r="N56" s="189" t="s">
        <v>245</v>
      </c>
      <c r="O56" s="190"/>
      <c r="P56" s="190"/>
      <c r="Q56" s="190"/>
      <c r="R56" s="190"/>
      <c r="S56" s="191"/>
      <c r="T56" s="111">
        <v>2</v>
      </c>
      <c r="U56" s="111"/>
      <c r="V56" s="258" t="s">
        <v>163</v>
      </c>
      <c r="W56" s="259"/>
      <c r="X56" s="260"/>
      <c r="Y56" s="111" t="s">
        <v>164</v>
      </c>
      <c r="Z56" s="111" t="s">
        <v>164</v>
      </c>
    </row>
    <row r="57" spans="1:26" ht="18" customHeight="1" x14ac:dyDescent="0.15">
      <c r="A57" s="29"/>
      <c r="B57" s="181" t="s">
        <v>242</v>
      </c>
      <c r="C57" s="182"/>
      <c r="D57" s="182"/>
      <c r="E57" s="182"/>
      <c r="F57" s="188"/>
      <c r="G57" s="112">
        <v>2</v>
      </c>
      <c r="H57" s="112"/>
      <c r="I57" s="183" t="s">
        <v>163</v>
      </c>
      <c r="J57" s="184"/>
      <c r="K57" s="185"/>
      <c r="L57" s="112" t="s">
        <v>164</v>
      </c>
      <c r="M57" s="112"/>
      <c r="N57" s="189" t="s">
        <v>166</v>
      </c>
      <c r="O57" s="190"/>
      <c r="P57" s="190"/>
      <c r="Q57" s="190"/>
      <c r="R57" s="190"/>
      <c r="S57" s="191"/>
      <c r="T57" s="112">
        <v>2</v>
      </c>
      <c r="U57" s="112"/>
      <c r="V57" s="183" t="s">
        <v>163</v>
      </c>
      <c r="W57" s="184"/>
      <c r="X57" s="185"/>
      <c r="Y57" s="112" t="s">
        <v>164</v>
      </c>
      <c r="Z57" s="112" t="s">
        <v>164</v>
      </c>
    </row>
    <row r="58" spans="1:26" ht="18" customHeight="1" x14ac:dyDescent="0.15">
      <c r="A58" s="29"/>
      <c r="B58" s="181" t="s">
        <v>234</v>
      </c>
      <c r="C58" s="182"/>
      <c r="D58" s="182"/>
      <c r="E58" s="182"/>
      <c r="F58" s="188"/>
      <c r="G58" s="112">
        <v>2</v>
      </c>
      <c r="H58" s="112"/>
      <c r="I58" s="183" t="s">
        <v>163</v>
      </c>
      <c r="J58" s="184"/>
      <c r="K58" s="185"/>
      <c r="L58" s="112" t="s">
        <v>164</v>
      </c>
      <c r="M58" s="112"/>
      <c r="N58" s="189" t="s">
        <v>174</v>
      </c>
      <c r="O58" s="190"/>
      <c r="P58" s="190"/>
      <c r="Q58" s="190"/>
      <c r="R58" s="190"/>
      <c r="S58" s="191"/>
      <c r="T58" s="112">
        <v>4</v>
      </c>
      <c r="U58" s="112"/>
      <c r="V58" s="183" t="s">
        <v>163</v>
      </c>
      <c r="W58" s="184"/>
      <c r="X58" s="185"/>
      <c r="Y58" s="112" t="s">
        <v>164</v>
      </c>
      <c r="Z58" s="112" t="s">
        <v>164</v>
      </c>
    </row>
    <row r="59" spans="1:26" ht="18" customHeight="1" x14ac:dyDescent="0.15">
      <c r="A59" s="29"/>
      <c r="B59" s="181" t="s">
        <v>235</v>
      </c>
      <c r="C59" s="182"/>
      <c r="D59" s="182"/>
      <c r="E59" s="182"/>
      <c r="F59" s="188"/>
      <c r="G59" s="112">
        <v>2</v>
      </c>
      <c r="H59" s="112"/>
      <c r="I59" s="183" t="s">
        <v>163</v>
      </c>
      <c r="J59" s="184"/>
      <c r="K59" s="185"/>
      <c r="L59" s="112" t="s">
        <v>164</v>
      </c>
      <c r="M59" s="112"/>
      <c r="N59" s="189" t="s">
        <v>176</v>
      </c>
      <c r="O59" s="190"/>
      <c r="P59" s="190"/>
      <c r="Q59" s="190"/>
      <c r="R59" s="190"/>
      <c r="S59" s="191"/>
      <c r="T59" s="112">
        <v>2</v>
      </c>
      <c r="U59" s="112"/>
      <c r="V59" s="183" t="s">
        <v>163</v>
      </c>
      <c r="W59" s="184"/>
      <c r="X59" s="185"/>
      <c r="Y59" s="112" t="s">
        <v>164</v>
      </c>
      <c r="Z59" s="112" t="s">
        <v>164</v>
      </c>
    </row>
    <row r="60" spans="1:26" ht="18" customHeight="1" x14ac:dyDescent="0.15">
      <c r="A60" s="29"/>
      <c r="B60" s="181" t="s">
        <v>237</v>
      </c>
      <c r="C60" s="182"/>
      <c r="D60" s="182"/>
      <c r="E60" s="182"/>
      <c r="F60" s="188"/>
      <c r="G60" s="112">
        <v>2</v>
      </c>
      <c r="H60" s="112"/>
      <c r="I60" s="183" t="s">
        <v>163</v>
      </c>
      <c r="J60" s="184"/>
      <c r="K60" s="185"/>
      <c r="L60" s="112" t="s">
        <v>164</v>
      </c>
      <c r="M60" s="112"/>
      <c r="N60" s="189"/>
      <c r="O60" s="190"/>
      <c r="P60" s="190"/>
      <c r="Q60" s="190"/>
      <c r="R60" s="190"/>
      <c r="S60" s="191"/>
      <c r="T60" s="112"/>
      <c r="U60" s="112"/>
      <c r="V60" s="183"/>
      <c r="W60" s="184"/>
      <c r="X60" s="185"/>
      <c r="Y60" s="112"/>
      <c r="Z60" s="112"/>
    </row>
    <row r="61" spans="1:26" ht="18" customHeight="1" x14ac:dyDescent="0.15">
      <c r="A61" s="29"/>
      <c r="B61" s="181" t="s">
        <v>238</v>
      </c>
      <c r="C61" s="182"/>
      <c r="D61" s="182"/>
      <c r="E61" s="182"/>
      <c r="F61" s="188"/>
      <c r="G61" s="112">
        <v>2</v>
      </c>
      <c r="H61" s="112"/>
      <c r="I61" s="183" t="s">
        <v>163</v>
      </c>
      <c r="J61" s="184"/>
      <c r="K61" s="185"/>
      <c r="L61" s="112" t="s">
        <v>164</v>
      </c>
      <c r="M61" s="112"/>
      <c r="N61" s="189"/>
      <c r="O61" s="190"/>
      <c r="P61" s="190"/>
      <c r="Q61" s="190"/>
      <c r="R61" s="190"/>
      <c r="S61" s="191"/>
      <c r="T61" s="112"/>
      <c r="U61" s="112"/>
      <c r="V61" s="183"/>
      <c r="W61" s="184"/>
      <c r="X61" s="185"/>
      <c r="Y61" s="112"/>
      <c r="Z61" s="112"/>
    </row>
    <row r="62" spans="1:26" ht="18" customHeight="1" x14ac:dyDescent="0.15">
      <c r="A62" s="29"/>
      <c r="B62" s="193" t="s">
        <v>217</v>
      </c>
      <c r="C62" s="194"/>
      <c r="D62" s="194"/>
      <c r="E62" s="194"/>
      <c r="F62" s="195"/>
      <c r="G62" s="113">
        <v>2</v>
      </c>
      <c r="H62" s="113"/>
      <c r="I62" s="196" t="s">
        <v>214</v>
      </c>
      <c r="J62" s="197"/>
      <c r="K62" s="198"/>
      <c r="L62" s="116" t="s">
        <v>164</v>
      </c>
      <c r="M62" s="116" t="s">
        <v>164</v>
      </c>
      <c r="N62" s="199"/>
      <c r="O62" s="200"/>
      <c r="P62" s="200"/>
      <c r="Q62" s="200"/>
      <c r="R62" s="200"/>
      <c r="S62" s="201"/>
      <c r="T62" s="113"/>
      <c r="U62" s="113"/>
      <c r="V62" s="196"/>
      <c r="W62" s="197"/>
      <c r="X62" s="198"/>
      <c r="Y62" s="116"/>
      <c r="Z62" s="116"/>
    </row>
    <row r="63" spans="1:26" ht="7.5" customHeight="1" x14ac:dyDescent="0.15">
      <c r="B63" s="75"/>
      <c r="C63" s="75"/>
      <c r="D63" s="75"/>
      <c r="E63" s="75"/>
      <c r="F63" s="75"/>
      <c r="G63" s="75"/>
      <c r="H63" s="75"/>
      <c r="I63" s="75"/>
      <c r="J63" s="75"/>
      <c r="K63" s="75"/>
      <c r="L63" s="75"/>
      <c r="M63" s="75"/>
      <c r="N63" s="75"/>
      <c r="O63" s="75"/>
      <c r="P63" s="75"/>
      <c r="Q63" s="75"/>
      <c r="R63" s="75"/>
      <c r="S63" s="75"/>
      <c r="T63" s="75"/>
      <c r="U63" s="75"/>
      <c r="V63" s="75"/>
      <c r="W63" s="75"/>
      <c r="X63" s="75"/>
      <c r="Y63" s="75"/>
    </row>
    <row r="64" spans="1:26" ht="18" customHeight="1" x14ac:dyDescent="0.15">
      <c r="A64" s="192" t="s">
        <v>133</v>
      </c>
      <c r="B64" s="192"/>
      <c r="C64" s="192"/>
      <c r="D64" s="192"/>
      <c r="E64" s="192"/>
      <c r="F64" s="192"/>
      <c r="G64" s="192"/>
      <c r="H64" s="192"/>
      <c r="I64" s="192"/>
      <c r="J64" s="192"/>
      <c r="K64" s="192"/>
      <c r="L64" s="192"/>
      <c r="M64" s="192"/>
      <c r="N64" s="192"/>
      <c r="O64" s="192"/>
      <c r="P64" s="192"/>
      <c r="Q64" s="192"/>
      <c r="R64" s="192"/>
      <c r="S64" s="192"/>
      <c r="T64" s="192"/>
      <c r="U64" s="192"/>
      <c r="V64" s="192"/>
      <c r="W64" s="192"/>
      <c r="X64" s="192"/>
      <c r="Y64" s="192"/>
      <c r="Z64" s="192"/>
    </row>
    <row r="65" spans="1:26" ht="18" customHeight="1" x14ac:dyDescent="0.15">
      <c r="A65" s="192"/>
      <c r="B65" s="192"/>
      <c r="C65" s="192"/>
      <c r="D65" s="192"/>
      <c r="E65" s="192"/>
      <c r="F65" s="192"/>
      <c r="G65" s="192"/>
      <c r="H65" s="192"/>
      <c r="I65" s="192"/>
      <c r="J65" s="192"/>
      <c r="K65" s="192"/>
      <c r="L65" s="192"/>
      <c r="M65" s="192"/>
      <c r="N65" s="192"/>
      <c r="O65" s="192"/>
      <c r="P65" s="192"/>
      <c r="Q65" s="192"/>
      <c r="R65" s="192"/>
      <c r="S65" s="192"/>
      <c r="T65" s="192"/>
      <c r="U65" s="192"/>
      <c r="V65" s="192"/>
      <c r="W65" s="192"/>
      <c r="X65" s="192"/>
      <c r="Y65" s="192"/>
      <c r="Z65" s="192"/>
    </row>
    <row r="66" spans="1:26" ht="18" customHeight="1" x14ac:dyDescent="0.15">
      <c r="A66" s="14"/>
      <c r="B66" s="150" t="s">
        <v>100</v>
      </c>
      <c r="C66" s="151"/>
      <c r="D66" s="151"/>
      <c r="E66" s="152"/>
      <c r="F66" s="30" t="s">
        <v>141</v>
      </c>
      <c r="G66" s="110" t="s">
        <v>140</v>
      </c>
      <c r="H66" s="105" t="s">
        <v>101</v>
      </c>
      <c r="I66" s="106"/>
      <c r="J66" s="107"/>
      <c r="K66" s="73" t="s">
        <v>105</v>
      </c>
      <c r="L66" s="73" t="s">
        <v>134</v>
      </c>
      <c r="M66" s="73" t="s">
        <v>135</v>
      </c>
      <c r="N66" s="150" t="s">
        <v>100</v>
      </c>
      <c r="O66" s="151"/>
      <c r="P66" s="151"/>
      <c r="Q66" s="151"/>
      <c r="R66" s="152"/>
      <c r="S66" s="30" t="s">
        <v>141</v>
      </c>
      <c r="T66" s="110" t="s">
        <v>140</v>
      </c>
      <c r="U66" s="105" t="s">
        <v>101</v>
      </c>
      <c r="V66" s="106"/>
      <c r="W66" s="107"/>
      <c r="X66" s="73" t="s">
        <v>105</v>
      </c>
      <c r="Y66" s="73" t="s">
        <v>134</v>
      </c>
      <c r="Z66" s="73" t="s">
        <v>135</v>
      </c>
    </row>
    <row r="67" spans="1:26" ht="18" customHeight="1" x14ac:dyDescent="0.15">
      <c r="A67" s="29"/>
      <c r="B67" s="256" t="s">
        <v>240</v>
      </c>
      <c r="C67" s="257"/>
      <c r="D67" s="257"/>
      <c r="E67" s="257"/>
      <c r="F67" s="111">
        <v>2</v>
      </c>
      <c r="G67" s="111"/>
      <c r="H67" s="258" t="s">
        <v>163</v>
      </c>
      <c r="I67" s="259"/>
      <c r="J67" s="260"/>
      <c r="K67" s="137" t="s">
        <v>249</v>
      </c>
      <c r="L67" s="111" t="s">
        <v>249</v>
      </c>
      <c r="M67" s="111" t="s">
        <v>249</v>
      </c>
      <c r="N67" s="261" t="s">
        <v>215</v>
      </c>
      <c r="O67" s="261"/>
      <c r="P67" s="261"/>
      <c r="Q67" s="261"/>
      <c r="R67" s="261"/>
      <c r="S67" s="111">
        <v>2</v>
      </c>
      <c r="T67" s="111"/>
      <c r="U67" s="262" t="s">
        <v>214</v>
      </c>
      <c r="V67" s="262"/>
      <c r="W67" s="262"/>
      <c r="X67" s="135" t="s">
        <v>249</v>
      </c>
      <c r="Y67" s="111" t="s">
        <v>249</v>
      </c>
      <c r="Z67" s="111" t="s">
        <v>249</v>
      </c>
    </row>
    <row r="68" spans="1:26" ht="18" customHeight="1" x14ac:dyDescent="0.15">
      <c r="A68" s="29"/>
      <c r="B68" s="181" t="s">
        <v>248</v>
      </c>
      <c r="C68" s="182"/>
      <c r="D68" s="182"/>
      <c r="E68" s="182"/>
      <c r="F68" s="112">
        <v>2</v>
      </c>
      <c r="G68" s="112"/>
      <c r="H68" s="183" t="s">
        <v>163</v>
      </c>
      <c r="I68" s="184"/>
      <c r="J68" s="185"/>
      <c r="K68" s="133" t="s">
        <v>249</v>
      </c>
      <c r="L68" s="112" t="s">
        <v>249</v>
      </c>
      <c r="M68" s="112" t="s">
        <v>249</v>
      </c>
      <c r="N68" s="186" t="s">
        <v>217</v>
      </c>
      <c r="O68" s="186"/>
      <c r="P68" s="186"/>
      <c r="Q68" s="186"/>
      <c r="R68" s="186"/>
      <c r="S68" s="112">
        <v>2</v>
      </c>
      <c r="T68" s="112"/>
      <c r="U68" s="187" t="s">
        <v>214</v>
      </c>
      <c r="V68" s="187"/>
      <c r="W68" s="187"/>
      <c r="X68" s="134" t="s">
        <v>249</v>
      </c>
      <c r="Y68" s="112" t="s">
        <v>249</v>
      </c>
      <c r="Z68" s="112" t="s">
        <v>249</v>
      </c>
    </row>
    <row r="69" spans="1:26" ht="18" customHeight="1" x14ac:dyDescent="0.15">
      <c r="A69" s="29"/>
      <c r="B69" s="181" t="s">
        <v>241</v>
      </c>
      <c r="C69" s="182"/>
      <c r="D69" s="182"/>
      <c r="E69" s="182"/>
      <c r="F69" s="112">
        <v>2</v>
      </c>
      <c r="G69" s="112"/>
      <c r="H69" s="183" t="s">
        <v>163</v>
      </c>
      <c r="I69" s="184"/>
      <c r="J69" s="185"/>
      <c r="K69" s="133" t="s">
        <v>249</v>
      </c>
      <c r="L69" s="112" t="s">
        <v>249</v>
      </c>
      <c r="M69" s="112" t="s">
        <v>249</v>
      </c>
      <c r="N69" s="186" t="s">
        <v>245</v>
      </c>
      <c r="O69" s="186"/>
      <c r="P69" s="186"/>
      <c r="Q69" s="186"/>
      <c r="R69" s="186"/>
      <c r="S69" s="112">
        <v>2</v>
      </c>
      <c r="T69" s="112"/>
      <c r="U69" s="187" t="s">
        <v>163</v>
      </c>
      <c r="V69" s="187"/>
      <c r="W69" s="187"/>
      <c r="X69" s="134" t="s">
        <v>249</v>
      </c>
      <c r="Y69" s="112" t="s">
        <v>249</v>
      </c>
      <c r="Z69" s="112" t="s">
        <v>249</v>
      </c>
    </row>
    <row r="70" spans="1:26" ht="18" customHeight="1" x14ac:dyDescent="0.15">
      <c r="A70" s="29"/>
      <c r="B70" s="181" t="s">
        <v>232</v>
      </c>
      <c r="C70" s="182"/>
      <c r="D70" s="182"/>
      <c r="E70" s="182"/>
      <c r="F70" s="112">
        <v>2</v>
      </c>
      <c r="G70" s="112"/>
      <c r="H70" s="183" t="s">
        <v>163</v>
      </c>
      <c r="I70" s="184"/>
      <c r="J70" s="185"/>
      <c r="K70" s="133" t="s">
        <v>249</v>
      </c>
      <c r="L70" s="112" t="s">
        <v>249</v>
      </c>
      <c r="M70" s="112" t="s">
        <v>249</v>
      </c>
      <c r="N70" s="186" t="s">
        <v>166</v>
      </c>
      <c r="O70" s="186"/>
      <c r="P70" s="186"/>
      <c r="Q70" s="186"/>
      <c r="R70" s="186"/>
      <c r="S70" s="112">
        <v>2</v>
      </c>
      <c r="T70" s="112"/>
      <c r="U70" s="187" t="s">
        <v>163</v>
      </c>
      <c r="V70" s="187"/>
      <c r="W70" s="187"/>
      <c r="X70" s="134" t="s">
        <v>249</v>
      </c>
      <c r="Y70" s="112" t="s">
        <v>249</v>
      </c>
      <c r="Z70" s="112" t="s">
        <v>249</v>
      </c>
    </row>
    <row r="71" spans="1:26" ht="18" customHeight="1" x14ac:dyDescent="0.15">
      <c r="A71" s="29"/>
      <c r="B71" s="181" t="s">
        <v>242</v>
      </c>
      <c r="C71" s="182"/>
      <c r="D71" s="182"/>
      <c r="E71" s="182"/>
      <c r="F71" s="112">
        <v>2</v>
      </c>
      <c r="G71" s="112"/>
      <c r="H71" s="183" t="s">
        <v>163</v>
      </c>
      <c r="I71" s="184"/>
      <c r="J71" s="185"/>
      <c r="K71" s="133" t="s">
        <v>249</v>
      </c>
      <c r="L71" s="112" t="s">
        <v>249</v>
      </c>
      <c r="M71" s="112" t="s">
        <v>249</v>
      </c>
      <c r="N71" s="186" t="s">
        <v>180</v>
      </c>
      <c r="O71" s="186"/>
      <c r="P71" s="186"/>
      <c r="Q71" s="186"/>
      <c r="R71" s="186"/>
      <c r="S71" s="112">
        <v>2</v>
      </c>
      <c r="T71" s="112"/>
      <c r="U71" s="187" t="s">
        <v>163</v>
      </c>
      <c r="V71" s="187"/>
      <c r="W71" s="187"/>
      <c r="X71" s="134" t="s">
        <v>249</v>
      </c>
      <c r="Y71" s="112" t="s">
        <v>249</v>
      </c>
      <c r="Z71" s="112" t="s">
        <v>249</v>
      </c>
    </row>
    <row r="72" spans="1:26" ht="18" customHeight="1" x14ac:dyDescent="0.15">
      <c r="A72" s="29"/>
      <c r="B72" s="181" t="s">
        <v>234</v>
      </c>
      <c r="C72" s="182"/>
      <c r="D72" s="182"/>
      <c r="E72" s="182"/>
      <c r="F72" s="112">
        <v>2</v>
      </c>
      <c r="G72" s="112"/>
      <c r="H72" s="183" t="s">
        <v>163</v>
      </c>
      <c r="I72" s="184"/>
      <c r="J72" s="185"/>
      <c r="K72" s="133" t="s">
        <v>249</v>
      </c>
      <c r="L72" s="112" t="s">
        <v>249</v>
      </c>
      <c r="M72" s="112" t="s">
        <v>249</v>
      </c>
      <c r="N72" s="186" t="s">
        <v>182</v>
      </c>
      <c r="O72" s="186"/>
      <c r="P72" s="186"/>
      <c r="Q72" s="186"/>
      <c r="R72" s="186"/>
      <c r="S72" s="112">
        <v>2</v>
      </c>
      <c r="T72" s="112"/>
      <c r="U72" s="187" t="s">
        <v>163</v>
      </c>
      <c r="V72" s="187"/>
      <c r="W72" s="187"/>
      <c r="X72" s="134" t="s">
        <v>249</v>
      </c>
      <c r="Y72" s="112" t="s">
        <v>249</v>
      </c>
      <c r="Z72" s="112" t="s">
        <v>249</v>
      </c>
    </row>
    <row r="73" spans="1:26" ht="18" customHeight="1" x14ac:dyDescent="0.15">
      <c r="A73" s="29"/>
      <c r="B73" s="181" t="s">
        <v>235</v>
      </c>
      <c r="C73" s="182"/>
      <c r="D73" s="182"/>
      <c r="E73" s="182"/>
      <c r="F73" s="112">
        <v>2</v>
      </c>
      <c r="G73" s="112"/>
      <c r="H73" s="183" t="s">
        <v>163</v>
      </c>
      <c r="I73" s="184"/>
      <c r="J73" s="185"/>
      <c r="K73" s="133" t="s">
        <v>249</v>
      </c>
      <c r="L73" s="112" t="s">
        <v>249</v>
      </c>
      <c r="M73" s="112" t="s">
        <v>249</v>
      </c>
      <c r="N73" s="186" t="s">
        <v>246</v>
      </c>
      <c r="O73" s="186"/>
      <c r="P73" s="186"/>
      <c r="Q73" s="186"/>
      <c r="R73" s="186"/>
      <c r="S73" s="112">
        <v>2</v>
      </c>
      <c r="T73" s="112"/>
      <c r="U73" s="187" t="s">
        <v>163</v>
      </c>
      <c r="V73" s="187"/>
      <c r="W73" s="187"/>
      <c r="X73" s="134" t="s">
        <v>249</v>
      </c>
      <c r="Y73" s="112" t="s">
        <v>249</v>
      </c>
      <c r="Z73" s="112" t="s">
        <v>249</v>
      </c>
    </row>
    <row r="74" spans="1:26" ht="18" customHeight="1" x14ac:dyDescent="0.15">
      <c r="A74" s="29"/>
      <c r="B74" s="181" t="s">
        <v>237</v>
      </c>
      <c r="C74" s="182"/>
      <c r="D74" s="182"/>
      <c r="E74" s="182"/>
      <c r="F74" s="112">
        <v>2</v>
      </c>
      <c r="G74" s="112"/>
      <c r="H74" s="183" t="s">
        <v>163</v>
      </c>
      <c r="I74" s="184"/>
      <c r="J74" s="185"/>
      <c r="K74" s="133" t="s">
        <v>249</v>
      </c>
      <c r="L74" s="112" t="s">
        <v>249</v>
      </c>
      <c r="M74" s="112" t="s">
        <v>249</v>
      </c>
      <c r="N74" s="186" t="s">
        <v>247</v>
      </c>
      <c r="O74" s="186"/>
      <c r="P74" s="186"/>
      <c r="Q74" s="186"/>
      <c r="R74" s="186"/>
      <c r="S74" s="112">
        <v>2</v>
      </c>
      <c r="T74" s="112"/>
      <c r="U74" s="187" t="s">
        <v>163</v>
      </c>
      <c r="V74" s="187"/>
      <c r="W74" s="187"/>
      <c r="X74" s="134" t="s">
        <v>249</v>
      </c>
      <c r="Y74" s="112" t="s">
        <v>249</v>
      </c>
      <c r="Z74" s="112" t="s">
        <v>249</v>
      </c>
    </row>
    <row r="75" spans="1:26" ht="18" customHeight="1" x14ac:dyDescent="0.15">
      <c r="A75" s="29"/>
      <c r="B75" s="181" t="s">
        <v>238</v>
      </c>
      <c r="C75" s="182"/>
      <c r="D75" s="182"/>
      <c r="E75" s="182"/>
      <c r="F75" s="112">
        <v>2</v>
      </c>
      <c r="G75" s="112"/>
      <c r="H75" s="183" t="s">
        <v>163</v>
      </c>
      <c r="I75" s="184"/>
      <c r="J75" s="185"/>
      <c r="K75" s="133" t="s">
        <v>249</v>
      </c>
      <c r="L75" s="112" t="s">
        <v>249</v>
      </c>
      <c r="M75" s="112" t="s">
        <v>249</v>
      </c>
      <c r="N75" s="186" t="s">
        <v>174</v>
      </c>
      <c r="O75" s="186"/>
      <c r="P75" s="186"/>
      <c r="Q75" s="186"/>
      <c r="R75" s="186"/>
      <c r="S75" s="112">
        <v>4</v>
      </c>
      <c r="T75" s="112"/>
      <c r="U75" s="187" t="s">
        <v>163</v>
      </c>
      <c r="V75" s="187"/>
      <c r="W75" s="187"/>
      <c r="X75" s="134" t="s">
        <v>249</v>
      </c>
      <c r="Y75" s="112" t="s">
        <v>249</v>
      </c>
      <c r="Z75" s="112" t="s">
        <v>249</v>
      </c>
    </row>
    <row r="76" spans="1:26" ht="18" customHeight="1" x14ac:dyDescent="0.15">
      <c r="A76" s="29"/>
      <c r="B76" s="181" t="s">
        <v>243</v>
      </c>
      <c r="C76" s="182"/>
      <c r="D76" s="182"/>
      <c r="E76" s="188"/>
      <c r="F76" s="112">
        <v>2</v>
      </c>
      <c r="G76" s="112"/>
      <c r="H76" s="183" t="s">
        <v>214</v>
      </c>
      <c r="I76" s="184"/>
      <c r="J76" s="185"/>
      <c r="K76" s="133" t="s">
        <v>249</v>
      </c>
      <c r="L76" s="112" t="s">
        <v>249</v>
      </c>
      <c r="M76" s="112" t="s">
        <v>249</v>
      </c>
      <c r="N76" s="186" t="s">
        <v>176</v>
      </c>
      <c r="O76" s="186"/>
      <c r="P76" s="186"/>
      <c r="Q76" s="186"/>
      <c r="R76" s="186"/>
      <c r="S76" s="112">
        <v>2</v>
      </c>
      <c r="T76" s="112"/>
      <c r="U76" s="187" t="s">
        <v>163</v>
      </c>
      <c r="V76" s="187"/>
      <c r="W76" s="187"/>
      <c r="X76" s="134" t="s">
        <v>249</v>
      </c>
      <c r="Y76" s="112" t="s">
        <v>249</v>
      </c>
      <c r="Z76" s="112" t="s">
        <v>249</v>
      </c>
    </row>
    <row r="77" spans="1:26" ht="18" customHeight="1" x14ac:dyDescent="0.15">
      <c r="A77" s="29"/>
      <c r="B77" s="251" t="s">
        <v>244</v>
      </c>
      <c r="C77" s="252"/>
      <c r="D77" s="252"/>
      <c r="E77" s="252"/>
      <c r="F77" s="116">
        <v>2</v>
      </c>
      <c r="G77" s="113"/>
      <c r="H77" s="196" t="s">
        <v>214</v>
      </c>
      <c r="I77" s="197"/>
      <c r="J77" s="198"/>
      <c r="K77" s="136" t="s">
        <v>249</v>
      </c>
      <c r="L77" s="116" t="s">
        <v>249</v>
      </c>
      <c r="M77" s="116" t="s">
        <v>249</v>
      </c>
      <c r="N77" s="199"/>
      <c r="O77" s="200"/>
      <c r="P77" s="200"/>
      <c r="Q77" s="200"/>
      <c r="R77" s="201"/>
      <c r="S77" s="113"/>
      <c r="T77" s="113"/>
      <c r="U77" s="196"/>
      <c r="V77" s="197"/>
      <c r="W77" s="198"/>
      <c r="X77" s="138"/>
      <c r="Y77" s="116"/>
      <c r="Z77" s="116"/>
    </row>
    <row r="78" spans="1:26" ht="7.5" customHeight="1" x14ac:dyDescent="0.15">
      <c r="B78" s="75"/>
      <c r="C78" s="75"/>
      <c r="D78" s="75"/>
      <c r="E78" s="75"/>
      <c r="F78" s="75"/>
      <c r="G78" s="75"/>
      <c r="H78" s="75"/>
      <c r="I78" s="75"/>
      <c r="J78" s="75"/>
      <c r="K78" s="75"/>
      <c r="L78" s="75"/>
      <c r="M78" s="75"/>
      <c r="N78" s="75"/>
      <c r="O78" s="75"/>
      <c r="P78" s="75"/>
      <c r="Q78" s="75"/>
      <c r="R78" s="75"/>
      <c r="S78" s="75"/>
      <c r="T78" s="75"/>
      <c r="U78" s="75"/>
      <c r="V78" s="75"/>
      <c r="W78" s="75"/>
      <c r="X78" s="75"/>
      <c r="Y78" s="75"/>
    </row>
    <row r="79" spans="1:26" ht="18" customHeight="1" x14ac:dyDescent="0.15">
      <c r="A79" s="14" t="s">
        <v>136</v>
      </c>
      <c r="B79" s="14"/>
      <c r="C79" s="14"/>
      <c r="D79" s="14"/>
      <c r="E79" s="14"/>
      <c r="F79" s="14"/>
      <c r="G79" s="14"/>
      <c r="H79" s="14"/>
      <c r="I79" s="14"/>
      <c r="J79" s="14"/>
      <c r="K79" s="14"/>
      <c r="L79" s="29"/>
      <c r="M79" s="29"/>
      <c r="N79" s="29"/>
      <c r="O79" s="29"/>
      <c r="P79" s="29"/>
      <c r="Q79" s="29"/>
      <c r="R79" s="29"/>
      <c r="S79" s="29"/>
      <c r="T79" s="29"/>
      <c r="U79" s="29"/>
      <c r="V79" s="29"/>
      <c r="W79" s="29"/>
      <c r="X79" s="29"/>
      <c r="Y79" s="29"/>
      <c r="Z79" s="29"/>
    </row>
    <row r="80" spans="1:26" ht="18" customHeight="1" x14ac:dyDescent="0.15">
      <c r="A80" s="14"/>
      <c r="B80" s="150" t="s">
        <v>100</v>
      </c>
      <c r="C80" s="151"/>
      <c r="D80" s="151"/>
      <c r="E80" s="151"/>
      <c r="F80" s="152"/>
      <c r="G80" s="150" t="s">
        <v>146</v>
      </c>
      <c r="H80" s="151"/>
      <c r="I80" s="151"/>
      <c r="J80" s="151"/>
      <c r="K80" s="151"/>
      <c r="L80" s="151"/>
      <c r="M80" s="152"/>
      <c r="N80" s="253" t="s">
        <v>100</v>
      </c>
      <c r="O80" s="254"/>
      <c r="P80" s="254"/>
      <c r="Q80" s="254"/>
      <c r="R80" s="254"/>
      <c r="S80" s="255"/>
      <c r="T80" s="150" t="s">
        <v>146</v>
      </c>
      <c r="U80" s="151"/>
      <c r="V80" s="151"/>
      <c r="W80" s="151"/>
      <c r="X80" s="151"/>
      <c r="Y80" s="151"/>
      <c r="Z80" s="152"/>
    </row>
    <row r="81" spans="1:26" ht="18" customHeight="1" x14ac:dyDescent="0.15">
      <c r="A81" s="29"/>
      <c r="B81" s="245"/>
      <c r="C81" s="246"/>
      <c r="D81" s="246"/>
      <c r="E81" s="246"/>
      <c r="F81" s="247"/>
      <c r="G81" s="248"/>
      <c r="H81" s="249"/>
      <c r="I81" s="249"/>
      <c r="J81" s="249"/>
      <c r="K81" s="249"/>
      <c r="L81" s="249"/>
      <c r="M81" s="250"/>
      <c r="N81" s="245"/>
      <c r="O81" s="246"/>
      <c r="P81" s="246"/>
      <c r="Q81" s="246"/>
      <c r="R81" s="246"/>
      <c r="S81" s="247"/>
      <c r="T81" s="248"/>
      <c r="U81" s="249"/>
      <c r="V81" s="249"/>
      <c r="W81" s="249"/>
      <c r="X81" s="249"/>
      <c r="Y81" s="249"/>
      <c r="Z81" s="250"/>
    </row>
    <row r="82" spans="1:26" ht="18" customHeight="1" x14ac:dyDescent="0.15">
      <c r="A82" s="29"/>
      <c r="B82" s="189"/>
      <c r="C82" s="190"/>
      <c r="D82" s="190"/>
      <c r="E82" s="190"/>
      <c r="F82" s="191"/>
      <c r="G82" s="242"/>
      <c r="H82" s="243"/>
      <c r="I82" s="243"/>
      <c r="J82" s="243"/>
      <c r="K82" s="243"/>
      <c r="L82" s="243"/>
      <c r="M82" s="244"/>
      <c r="N82" s="189"/>
      <c r="O82" s="190"/>
      <c r="P82" s="190"/>
      <c r="Q82" s="190"/>
      <c r="R82" s="190"/>
      <c r="S82" s="191"/>
      <c r="T82" s="242"/>
      <c r="U82" s="243"/>
      <c r="V82" s="243"/>
      <c r="W82" s="243"/>
      <c r="X82" s="243"/>
      <c r="Y82" s="243"/>
      <c r="Z82" s="244"/>
    </row>
    <row r="83" spans="1:26" ht="18" customHeight="1" x14ac:dyDescent="0.15">
      <c r="A83" s="29"/>
      <c r="B83" s="189"/>
      <c r="C83" s="190"/>
      <c r="D83" s="190"/>
      <c r="E83" s="190"/>
      <c r="F83" s="191"/>
      <c r="G83" s="242"/>
      <c r="H83" s="243"/>
      <c r="I83" s="243"/>
      <c r="J83" s="243"/>
      <c r="K83" s="243"/>
      <c r="L83" s="243"/>
      <c r="M83" s="244"/>
      <c r="N83" s="189"/>
      <c r="O83" s="190"/>
      <c r="P83" s="190"/>
      <c r="Q83" s="190"/>
      <c r="R83" s="190"/>
      <c r="S83" s="191"/>
      <c r="T83" s="242"/>
      <c r="U83" s="243"/>
      <c r="V83" s="243"/>
      <c r="W83" s="243"/>
      <c r="X83" s="243"/>
      <c r="Y83" s="243"/>
      <c r="Z83" s="244"/>
    </row>
    <row r="84" spans="1:26" ht="18" customHeight="1" x14ac:dyDescent="0.15">
      <c r="A84" s="29"/>
      <c r="B84" s="189"/>
      <c r="C84" s="190"/>
      <c r="D84" s="190"/>
      <c r="E84" s="190"/>
      <c r="F84" s="191"/>
      <c r="G84" s="242"/>
      <c r="H84" s="243"/>
      <c r="I84" s="243"/>
      <c r="J84" s="243"/>
      <c r="K84" s="243"/>
      <c r="L84" s="243"/>
      <c r="M84" s="244"/>
      <c r="N84" s="189"/>
      <c r="O84" s="190"/>
      <c r="P84" s="190"/>
      <c r="Q84" s="190"/>
      <c r="R84" s="190"/>
      <c r="S84" s="191"/>
      <c r="T84" s="242"/>
      <c r="U84" s="243"/>
      <c r="V84" s="243"/>
      <c r="W84" s="243"/>
      <c r="X84" s="243"/>
      <c r="Y84" s="243"/>
      <c r="Z84" s="244"/>
    </row>
    <row r="85" spans="1:26" ht="18" customHeight="1" x14ac:dyDescent="0.15">
      <c r="A85" s="29"/>
      <c r="B85" s="189"/>
      <c r="C85" s="190"/>
      <c r="D85" s="190"/>
      <c r="E85" s="190"/>
      <c r="F85" s="191"/>
      <c r="G85" s="242"/>
      <c r="H85" s="243"/>
      <c r="I85" s="243"/>
      <c r="J85" s="243"/>
      <c r="K85" s="243"/>
      <c r="L85" s="243"/>
      <c r="M85" s="244"/>
      <c r="N85" s="189"/>
      <c r="O85" s="190"/>
      <c r="P85" s="190"/>
      <c r="Q85" s="190"/>
      <c r="R85" s="190"/>
      <c r="S85" s="191"/>
      <c r="T85" s="242"/>
      <c r="U85" s="243"/>
      <c r="V85" s="243"/>
      <c r="W85" s="243"/>
      <c r="X85" s="243"/>
      <c r="Y85" s="243"/>
      <c r="Z85" s="244"/>
    </row>
    <row r="86" spans="1:26" ht="18" customHeight="1" x14ac:dyDescent="0.15">
      <c r="A86" s="29"/>
      <c r="B86" s="189"/>
      <c r="C86" s="190"/>
      <c r="D86" s="190"/>
      <c r="E86" s="190"/>
      <c r="F86" s="191"/>
      <c r="G86" s="242"/>
      <c r="H86" s="243"/>
      <c r="I86" s="243"/>
      <c r="J86" s="243"/>
      <c r="K86" s="243"/>
      <c r="L86" s="243"/>
      <c r="M86" s="244"/>
      <c r="N86" s="189"/>
      <c r="O86" s="190"/>
      <c r="P86" s="190"/>
      <c r="Q86" s="190"/>
      <c r="R86" s="190"/>
      <c r="S86" s="191"/>
      <c r="T86" s="242"/>
      <c r="U86" s="243"/>
      <c r="V86" s="243"/>
      <c r="W86" s="243"/>
      <c r="X86" s="243"/>
      <c r="Y86" s="243"/>
      <c r="Z86" s="244"/>
    </row>
    <row r="87" spans="1:26" ht="18" customHeight="1" x14ac:dyDescent="0.15">
      <c r="A87" s="29"/>
      <c r="B87" s="199"/>
      <c r="C87" s="200"/>
      <c r="D87" s="200"/>
      <c r="E87" s="200"/>
      <c r="F87" s="201"/>
      <c r="G87" s="235"/>
      <c r="H87" s="236"/>
      <c r="I87" s="236"/>
      <c r="J87" s="236"/>
      <c r="K87" s="236"/>
      <c r="L87" s="236"/>
      <c r="M87" s="237"/>
      <c r="N87" s="199"/>
      <c r="O87" s="200"/>
      <c r="P87" s="200"/>
      <c r="Q87" s="200"/>
      <c r="R87" s="200"/>
      <c r="S87" s="201"/>
      <c r="T87" s="235"/>
      <c r="U87" s="236"/>
      <c r="V87" s="236"/>
      <c r="W87" s="236"/>
      <c r="X87" s="236"/>
      <c r="Y87" s="236"/>
      <c r="Z87" s="237"/>
    </row>
    <row r="88" spans="1:26" ht="18" customHeight="1" x14ac:dyDescent="0.15">
      <c r="A88" s="29"/>
      <c r="B88" s="132"/>
      <c r="C88" s="132"/>
      <c r="D88" s="132"/>
      <c r="E88" s="132"/>
      <c r="F88" s="132"/>
      <c r="G88" s="12"/>
      <c r="H88" s="12"/>
      <c r="I88" s="12"/>
      <c r="J88" s="12"/>
      <c r="K88" s="12"/>
      <c r="L88" s="12"/>
      <c r="M88" s="12"/>
      <c r="N88" s="132"/>
      <c r="O88" s="132"/>
      <c r="P88" s="132"/>
      <c r="Q88" s="132"/>
      <c r="R88" s="132"/>
      <c r="S88" s="132"/>
      <c r="T88" s="12"/>
      <c r="U88" s="12"/>
      <c r="V88" s="12"/>
      <c r="W88" s="12"/>
      <c r="X88" s="12"/>
      <c r="Y88" s="12"/>
      <c r="Z88" s="12"/>
    </row>
    <row r="89" spans="1:26" ht="18.75" customHeight="1" x14ac:dyDescent="0.15">
      <c r="A89" s="13" t="s">
        <v>142</v>
      </c>
    </row>
    <row r="90" spans="1:26" ht="18.75" customHeight="1" x14ac:dyDescent="0.15">
      <c r="B90" s="76" t="s">
        <v>102</v>
      </c>
      <c r="C90" s="77"/>
      <c r="D90" s="238" t="s">
        <v>103</v>
      </c>
      <c r="E90" s="238"/>
      <c r="F90" s="238"/>
      <c r="G90" s="238"/>
      <c r="H90" s="238"/>
      <c r="I90" s="238"/>
      <c r="J90" s="238"/>
      <c r="K90" s="238"/>
      <c r="L90" s="238"/>
      <c r="M90" s="238"/>
      <c r="N90" s="238"/>
      <c r="O90" s="238"/>
      <c r="P90" s="238"/>
      <c r="Q90" s="238"/>
      <c r="R90" s="238"/>
      <c r="S90" s="238"/>
      <c r="T90" s="238"/>
      <c r="U90" s="238"/>
      <c r="V90" s="238"/>
      <c r="W90" s="238"/>
      <c r="X90" s="238"/>
      <c r="Y90" s="238"/>
      <c r="Z90" s="239"/>
    </row>
    <row r="91" spans="1:26" ht="99" customHeight="1" x14ac:dyDescent="0.15">
      <c r="B91" s="214" t="s">
        <v>109</v>
      </c>
      <c r="C91" s="83" t="s">
        <v>104</v>
      </c>
      <c r="D91" s="216" t="s">
        <v>257</v>
      </c>
      <c r="E91" s="216"/>
      <c r="F91" s="216"/>
      <c r="G91" s="216"/>
      <c r="H91" s="216"/>
      <c r="I91" s="216"/>
      <c r="J91" s="216"/>
      <c r="K91" s="216"/>
      <c r="L91" s="216"/>
      <c r="M91" s="216"/>
      <c r="N91" s="216"/>
      <c r="O91" s="216"/>
      <c r="P91" s="216"/>
      <c r="Q91" s="216"/>
      <c r="R91" s="216"/>
      <c r="S91" s="216"/>
      <c r="T91" s="216"/>
      <c r="U91" s="216"/>
      <c r="V91" s="216"/>
      <c r="W91" s="216"/>
      <c r="X91" s="216"/>
      <c r="Y91" s="216"/>
      <c r="Z91" s="217"/>
    </row>
    <row r="92" spans="1:26" ht="79.5" customHeight="1" x14ac:dyDescent="0.15">
      <c r="B92" s="215"/>
      <c r="C92" s="108" t="s">
        <v>137</v>
      </c>
      <c r="D92" s="240" t="s">
        <v>258</v>
      </c>
      <c r="E92" s="240"/>
      <c r="F92" s="240"/>
      <c r="G92" s="240"/>
      <c r="H92" s="240"/>
      <c r="I92" s="240"/>
      <c r="J92" s="240"/>
      <c r="K92" s="240"/>
      <c r="L92" s="240"/>
      <c r="M92" s="240"/>
      <c r="N92" s="240"/>
      <c r="O92" s="240"/>
      <c r="P92" s="240"/>
      <c r="Q92" s="240"/>
      <c r="R92" s="240"/>
      <c r="S92" s="240"/>
      <c r="T92" s="240"/>
      <c r="U92" s="240"/>
      <c r="V92" s="240"/>
      <c r="W92" s="240"/>
      <c r="X92" s="240"/>
      <c r="Y92" s="240"/>
      <c r="Z92" s="241"/>
    </row>
    <row r="93" spans="1:26" ht="99.75" customHeight="1" x14ac:dyDescent="0.15">
      <c r="B93" s="228" t="s">
        <v>110</v>
      </c>
      <c r="C93" s="78" t="s">
        <v>127</v>
      </c>
      <c r="D93" s="229" t="s">
        <v>259</v>
      </c>
      <c r="E93" s="229"/>
      <c r="F93" s="229"/>
      <c r="G93" s="229"/>
      <c r="H93" s="229"/>
      <c r="I93" s="229"/>
      <c r="J93" s="229"/>
      <c r="K93" s="229"/>
      <c r="L93" s="229"/>
      <c r="M93" s="229"/>
      <c r="N93" s="229"/>
      <c r="O93" s="229"/>
      <c r="P93" s="229"/>
      <c r="Q93" s="229"/>
      <c r="R93" s="229"/>
      <c r="S93" s="229"/>
      <c r="T93" s="229"/>
      <c r="U93" s="229"/>
      <c r="V93" s="229"/>
      <c r="W93" s="229"/>
      <c r="X93" s="229"/>
      <c r="Y93" s="229"/>
      <c r="Z93" s="230"/>
    </row>
    <row r="94" spans="1:26" ht="102" customHeight="1" x14ac:dyDescent="0.15">
      <c r="B94" s="220"/>
      <c r="C94" s="109" t="s">
        <v>128</v>
      </c>
      <c r="D94" s="231" t="s">
        <v>283</v>
      </c>
      <c r="E94" s="231"/>
      <c r="F94" s="231"/>
      <c r="G94" s="231"/>
      <c r="H94" s="231"/>
      <c r="I94" s="231"/>
      <c r="J94" s="231"/>
      <c r="K94" s="231"/>
      <c r="L94" s="231"/>
      <c r="M94" s="231"/>
      <c r="N94" s="231"/>
      <c r="O94" s="231"/>
      <c r="P94" s="231"/>
      <c r="Q94" s="231"/>
      <c r="R94" s="231"/>
      <c r="S94" s="231"/>
      <c r="T94" s="231"/>
      <c r="U94" s="231"/>
      <c r="V94" s="231"/>
      <c r="W94" s="231"/>
      <c r="X94" s="231"/>
      <c r="Y94" s="231"/>
      <c r="Z94" s="232"/>
    </row>
    <row r="95" spans="1:26" ht="106.5" customHeight="1" x14ac:dyDescent="0.15">
      <c r="B95" s="228" t="s">
        <v>111</v>
      </c>
      <c r="C95" s="78" t="s">
        <v>130</v>
      </c>
      <c r="D95" s="229" t="s">
        <v>260</v>
      </c>
      <c r="E95" s="229"/>
      <c r="F95" s="229"/>
      <c r="G95" s="229"/>
      <c r="H95" s="229"/>
      <c r="I95" s="229"/>
      <c r="J95" s="229"/>
      <c r="K95" s="229"/>
      <c r="L95" s="229"/>
      <c r="M95" s="229"/>
      <c r="N95" s="229"/>
      <c r="O95" s="229"/>
      <c r="P95" s="229"/>
      <c r="Q95" s="229"/>
      <c r="R95" s="229"/>
      <c r="S95" s="229"/>
      <c r="T95" s="229"/>
      <c r="U95" s="229"/>
      <c r="V95" s="229"/>
      <c r="W95" s="229"/>
      <c r="X95" s="229"/>
      <c r="Y95" s="229"/>
      <c r="Z95" s="230"/>
    </row>
    <row r="96" spans="1:26" ht="110.25" customHeight="1" x14ac:dyDescent="0.15">
      <c r="B96" s="220"/>
      <c r="C96" s="80" t="s">
        <v>131</v>
      </c>
      <c r="D96" s="233" t="s">
        <v>261</v>
      </c>
      <c r="E96" s="233"/>
      <c r="F96" s="233"/>
      <c r="G96" s="233"/>
      <c r="H96" s="233"/>
      <c r="I96" s="233"/>
      <c r="J96" s="233"/>
      <c r="K96" s="233"/>
      <c r="L96" s="233"/>
      <c r="M96" s="233"/>
      <c r="N96" s="233"/>
      <c r="O96" s="233"/>
      <c r="P96" s="233"/>
      <c r="Q96" s="233"/>
      <c r="R96" s="233"/>
      <c r="S96" s="233"/>
      <c r="T96" s="233"/>
      <c r="U96" s="233"/>
      <c r="V96" s="233"/>
      <c r="W96" s="233"/>
      <c r="X96" s="233"/>
      <c r="Y96" s="233"/>
      <c r="Z96" s="234"/>
    </row>
    <row r="97" spans="1:26" ht="68.25" customHeight="1" x14ac:dyDescent="0.15">
      <c r="B97" s="214" t="s">
        <v>138</v>
      </c>
      <c r="C97" s="83" t="s">
        <v>106</v>
      </c>
      <c r="D97" s="216" t="s">
        <v>305</v>
      </c>
      <c r="E97" s="216"/>
      <c r="F97" s="216"/>
      <c r="G97" s="216"/>
      <c r="H97" s="216"/>
      <c r="I97" s="216"/>
      <c r="J97" s="216"/>
      <c r="K97" s="216"/>
      <c r="L97" s="216"/>
      <c r="M97" s="216"/>
      <c r="N97" s="216"/>
      <c r="O97" s="216"/>
      <c r="P97" s="216"/>
      <c r="Q97" s="216"/>
      <c r="R97" s="216"/>
      <c r="S97" s="216"/>
      <c r="T97" s="216"/>
      <c r="U97" s="216"/>
      <c r="V97" s="216"/>
      <c r="W97" s="216"/>
      <c r="X97" s="216"/>
      <c r="Y97" s="216"/>
      <c r="Z97" s="217"/>
    </row>
    <row r="98" spans="1:26" ht="48" customHeight="1" x14ac:dyDescent="0.15">
      <c r="B98" s="215"/>
      <c r="C98" s="79" t="s">
        <v>108</v>
      </c>
      <c r="D98" s="218" t="s">
        <v>262</v>
      </c>
      <c r="E98" s="218"/>
      <c r="F98" s="218"/>
      <c r="G98" s="218"/>
      <c r="H98" s="218"/>
      <c r="I98" s="218"/>
      <c r="J98" s="218"/>
      <c r="K98" s="218"/>
      <c r="L98" s="218"/>
      <c r="M98" s="218"/>
      <c r="N98" s="218"/>
      <c r="O98" s="218"/>
      <c r="P98" s="218"/>
      <c r="Q98" s="218"/>
      <c r="R98" s="218"/>
      <c r="S98" s="218"/>
      <c r="T98" s="218"/>
      <c r="U98" s="218"/>
      <c r="V98" s="218"/>
      <c r="W98" s="218"/>
      <c r="X98" s="218"/>
      <c r="Y98" s="218"/>
      <c r="Z98" s="219"/>
    </row>
    <row r="99" spans="1:26" ht="122.25" customHeight="1" x14ac:dyDescent="0.15">
      <c r="B99" s="214" t="s">
        <v>139</v>
      </c>
      <c r="C99" s="78" t="s">
        <v>105</v>
      </c>
      <c r="D99" s="221" t="s">
        <v>263</v>
      </c>
      <c r="E99" s="221"/>
      <c r="F99" s="221"/>
      <c r="G99" s="221"/>
      <c r="H99" s="221"/>
      <c r="I99" s="221"/>
      <c r="J99" s="221"/>
      <c r="K99" s="221"/>
      <c r="L99" s="221"/>
      <c r="M99" s="221"/>
      <c r="N99" s="221"/>
      <c r="O99" s="221"/>
      <c r="P99" s="221"/>
      <c r="Q99" s="221"/>
      <c r="R99" s="221"/>
      <c r="S99" s="221"/>
      <c r="T99" s="221"/>
      <c r="U99" s="221"/>
      <c r="V99" s="221"/>
      <c r="W99" s="221"/>
      <c r="X99" s="221"/>
      <c r="Y99" s="221"/>
      <c r="Z99" s="222"/>
    </row>
    <row r="100" spans="1:26" ht="127.5" customHeight="1" x14ac:dyDescent="0.15">
      <c r="B100" s="215"/>
      <c r="C100" s="79" t="s">
        <v>134</v>
      </c>
      <c r="D100" s="223" t="s">
        <v>265</v>
      </c>
      <c r="E100" s="224"/>
      <c r="F100" s="224"/>
      <c r="G100" s="224"/>
      <c r="H100" s="224"/>
      <c r="I100" s="224"/>
      <c r="J100" s="224"/>
      <c r="K100" s="224"/>
      <c r="L100" s="224"/>
      <c r="M100" s="224"/>
      <c r="N100" s="224"/>
      <c r="O100" s="224"/>
      <c r="P100" s="224"/>
      <c r="Q100" s="224"/>
      <c r="R100" s="224"/>
      <c r="S100" s="224"/>
      <c r="T100" s="224"/>
      <c r="U100" s="224"/>
      <c r="V100" s="224"/>
      <c r="W100" s="224"/>
      <c r="X100" s="224"/>
      <c r="Y100" s="224"/>
      <c r="Z100" s="225"/>
    </row>
    <row r="101" spans="1:26" ht="123" customHeight="1" x14ac:dyDescent="0.15">
      <c r="B101" s="220"/>
      <c r="C101" s="80" t="s">
        <v>135</v>
      </c>
      <c r="D101" s="226" t="s">
        <v>267</v>
      </c>
      <c r="E101" s="226"/>
      <c r="F101" s="226"/>
      <c r="G101" s="226"/>
      <c r="H101" s="226"/>
      <c r="I101" s="226"/>
      <c r="J101" s="226"/>
      <c r="K101" s="226"/>
      <c r="L101" s="226"/>
      <c r="M101" s="226"/>
      <c r="N101" s="226"/>
      <c r="O101" s="226"/>
      <c r="P101" s="226"/>
      <c r="Q101" s="226"/>
      <c r="R101" s="226"/>
      <c r="S101" s="226"/>
      <c r="T101" s="226"/>
      <c r="U101" s="226"/>
      <c r="V101" s="226"/>
      <c r="W101" s="226"/>
      <c r="X101" s="226"/>
      <c r="Y101" s="226"/>
      <c r="Z101" s="227"/>
    </row>
    <row r="102" spans="1:26" ht="6" customHeight="1" x14ac:dyDescent="0.15">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row>
    <row r="103" spans="1:26" ht="18.75" customHeight="1" x14ac:dyDescent="0.15">
      <c r="A103" s="13" t="s">
        <v>143</v>
      </c>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row>
    <row r="104" spans="1:26" ht="18.75" customHeight="1" x14ac:dyDescent="0.15">
      <c r="B104" s="202" t="s">
        <v>189</v>
      </c>
      <c r="C104" s="203"/>
      <c r="D104" s="203"/>
      <c r="E104" s="203"/>
      <c r="F104" s="203"/>
      <c r="G104" s="203"/>
      <c r="H104" s="203"/>
      <c r="I104" s="203"/>
      <c r="J104" s="203"/>
      <c r="K104" s="203"/>
      <c r="L104" s="203"/>
      <c r="M104" s="203"/>
      <c r="N104" s="203"/>
      <c r="O104" s="203"/>
      <c r="P104" s="203"/>
      <c r="Q104" s="203"/>
      <c r="R104" s="203"/>
      <c r="S104" s="203"/>
      <c r="T104" s="203"/>
      <c r="U104" s="203"/>
      <c r="V104" s="203"/>
      <c r="W104" s="203"/>
      <c r="X104" s="203"/>
      <c r="Y104" s="203"/>
      <c r="Z104" s="204"/>
    </row>
    <row r="105" spans="1:26" ht="18.75" customHeight="1" x14ac:dyDescent="0.15">
      <c r="B105" s="205"/>
      <c r="C105" s="206"/>
      <c r="D105" s="206"/>
      <c r="E105" s="206"/>
      <c r="F105" s="206"/>
      <c r="G105" s="206"/>
      <c r="H105" s="206"/>
      <c r="I105" s="206"/>
      <c r="J105" s="206"/>
      <c r="K105" s="206"/>
      <c r="L105" s="206"/>
      <c r="M105" s="206"/>
      <c r="N105" s="206"/>
      <c r="O105" s="206"/>
      <c r="P105" s="206"/>
      <c r="Q105" s="206"/>
      <c r="R105" s="206"/>
      <c r="S105" s="206"/>
      <c r="T105" s="206"/>
      <c r="U105" s="206"/>
      <c r="V105" s="206"/>
      <c r="W105" s="206"/>
      <c r="X105" s="206"/>
      <c r="Y105" s="206"/>
      <c r="Z105" s="207"/>
    </row>
    <row r="106" spans="1:26" ht="18.75" customHeight="1" x14ac:dyDescent="0.15">
      <c r="B106" s="208"/>
      <c r="C106" s="209"/>
      <c r="D106" s="209"/>
      <c r="E106" s="209"/>
      <c r="F106" s="209"/>
      <c r="G106" s="209"/>
      <c r="H106" s="209"/>
      <c r="I106" s="209"/>
      <c r="J106" s="209"/>
      <c r="K106" s="209"/>
      <c r="L106" s="209"/>
      <c r="M106" s="209"/>
      <c r="N106" s="209"/>
      <c r="O106" s="209"/>
      <c r="P106" s="209"/>
      <c r="Q106" s="209"/>
      <c r="R106" s="209"/>
      <c r="S106" s="209"/>
      <c r="T106" s="209"/>
      <c r="U106" s="209"/>
      <c r="V106" s="209"/>
      <c r="W106" s="209"/>
      <c r="X106" s="209"/>
      <c r="Y106" s="209"/>
      <c r="Z106" s="210"/>
    </row>
    <row r="107" spans="1:26" ht="6" customHeight="1" x14ac:dyDescent="0.15"/>
    <row r="108" spans="1:26" ht="15" customHeight="1" x14ac:dyDescent="0.15">
      <c r="A108" s="13" t="s">
        <v>144</v>
      </c>
    </row>
    <row r="109" spans="1:26" ht="15" customHeight="1" x14ac:dyDescent="0.15">
      <c r="B109" s="211" t="s">
        <v>321</v>
      </c>
      <c r="C109" s="212"/>
      <c r="D109" s="212"/>
      <c r="E109" s="212"/>
      <c r="F109" s="212"/>
      <c r="G109" s="212"/>
      <c r="H109" s="212"/>
      <c r="I109" s="212"/>
      <c r="J109" s="212"/>
      <c r="K109" s="212"/>
      <c r="L109" s="212"/>
      <c r="M109" s="212"/>
      <c r="N109" s="212"/>
      <c r="O109" s="212"/>
      <c r="P109" s="212"/>
      <c r="Q109" s="212"/>
      <c r="R109" s="212"/>
      <c r="S109" s="212"/>
      <c r="T109" s="212"/>
      <c r="U109" s="212"/>
      <c r="V109" s="212"/>
      <c r="W109" s="212"/>
      <c r="X109" s="212"/>
      <c r="Y109" s="212"/>
      <c r="Z109" s="213"/>
    </row>
  </sheetData>
  <mergeCells count="262">
    <mergeCell ref="B16:F16"/>
    <mergeCell ref="I16:K16"/>
    <mergeCell ref="N16:S16"/>
    <mergeCell ref="V16:X16"/>
    <mergeCell ref="B17:F17"/>
    <mergeCell ref="I17:K17"/>
    <mergeCell ref="N17:S17"/>
    <mergeCell ref="V17:X17"/>
    <mergeCell ref="W1:Z1"/>
    <mergeCell ref="A2:Z2"/>
    <mergeCell ref="O4:Z4"/>
    <mergeCell ref="B6:Z11"/>
    <mergeCell ref="A13:Z14"/>
    <mergeCell ref="B15:F15"/>
    <mergeCell ref="I15:K15"/>
    <mergeCell ref="N15:S15"/>
    <mergeCell ref="V15:X15"/>
    <mergeCell ref="B22:F22"/>
    <mergeCell ref="I22:K22"/>
    <mergeCell ref="N22:S22"/>
    <mergeCell ref="V22:X22"/>
    <mergeCell ref="B23:F23"/>
    <mergeCell ref="I23:K23"/>
    <mergeCell ref="N23:S23"/>
    <mergeCell ref="V23:X23"/>
    <mergeCell ref="B18:F18"/>
    <mergeCell ref="I18:K18"/>
    <mergeCell ref="N18:S18"/>
    <mergeCell ref="V18:X18"/>
    <mergeCell ref="B21:F21"/>
    <mergeCell ref="I21:K21"/>
    <mergeCell ref="N21:S21"/>
    <mergeCell ref="V21:X21"/>
    <mergeCell ref="B29:F29"/>
    <mergeCell ref="I29:K29"/>
    <mergeCell ref="N29:S29"/>
    <mergeCell ref="V29:X29"/>
    <mergeCell ref="B30:F30"/>
    <mergeCell ref="I30:K30"/>
    <mergeCell ref="N30:S30"/>
    <mergeCell ref="V30:X30"/>
    <mergeCell ref="B24:F24"/>
    <mergeCell ref="I24:K24"/>
    <mergeCell ref="N24:S24"/>
    <mergeCell ref="V24:X24"/>
    <mergeCell ref="A26:Z27"/>
    <mergeCell ref="B28:F28"/>
    <mergeCell ref="I28:K28"/>
    <mergeCell ref="N28:S28"/>
    <mergeCell ref="V28:X28"/>
    <mergeCell ref="I36:K36"/>
    <mergeCell ref="N36:S36"/>
    <mergeCell ref="V36:X36"/>
    <mergeCell ref="B31:F31"/>
    <mergeCell ref="I31:K31"/>
    <mergeCell ref="N31:S31"/>
    <mergeCell ref="V31:X31"/>
    <mergeCell ref="B34:F34"/>
    <mergeCell ref="I34:K34"/>
    <mergeCell ref="N34:S34"/>
    <mergeCell ref="V34:X34"/>
    <mergeCell ref="B32:F32"/>
    <mergeCell ref="I32:K32"/>
    <mergeCell ref="N32:S32"/>
    <mergeCell ref="V32:X32"/>
    <mergeCell ref="B33:F33"/>
    <mergeCell ref="I33:K33"/>
    <mergeCell ref="N33:S33"/>
    <mergeCell ref="V33:X33"/>
    <mergeCell ref="B35:F35"/>
    <mergeCell ref="I35:K35"/>
    <mergeCell ref="N35:S35"/>
    <mergeCell ref="V35:X35"/>
    <mergeCell ref="B36:F36"/>
    <mergeCell ref="B49:F49"/>
    <mergeCell ref="I49:K49"/>
    <mergeCell ref="N49:S49"/>
    <mergeCell ref="V49:X49"/>
    <mergeCell ref="B50:F50"/>
    <mergeCell ref="I50:K50"/>
    <mergeCell ref="N50:S50"/>
    <mergeCell ref="V50:X50"/>
    <mergeCell ref="B42:F42"/>
    <mergeCell ref="I42:K42"/>
    <mergeCell ref="N42:S42"/>
    <mergeCell ref="V42:X42"/>
    <mergeCell ref="B43:F43"/>
    <mergeCell ref="I43:K43"/>
    <mergeCell ref="N43:S43"/>
    <mergeCell ref="V43:X43"/>
    <mergeCell ref="B47:F47"/>
    <mergeCell ref="I47:K47"/>
    <mergeCell ref="N47:S47"/>
    <mergeCell ref="V47:X47"/>
    <mergeCell ref="B46:F46"/>
    <mergeCell ref="I46:K46"/>
    <mergeCell ref="N46:S46"/>
    <mergeCell ref="V46:X46"/>
    <mergeCell ref="A53:Z54"/>
    <mergeCell ref="B55:F55"/>
    <mergeCell ref="I55:K55"/>
    <mergeCell ref="N55:S55"/>
    <mergeCell ref="V55:X55"/>
    <mergeCell ref="B51:F51"/>
    <mergeCell ref="I51:K51"/>
    <mergeCell ref="N51:S51"/>
    <mergeCell ref="V51:X51"/>
    <mergeCell ref="B58:F58"/>
    <mergeCell ref="I58:K58"/>
    <mergeCell ref="N58:S58"/>
    <mergeCell ref="V58:X58"/>
    <mergeCell ref="B59:F59"/>
    <mergeCell ref="I59:K59"/>
    <mergeCell ref="N59:S59"/>
    <mergeCell ref="V59:X59"/>
    <mergeCell ref="B56:F56"/>
    <mergeCell ref="I56:K56"/>
    <mergeCell ref="N56:S56"/>
    <mergeCell ref="V56:X56"/>
    <mergeCell ref="B57:F57"/>
    <mergeCell ref="I57:K57"/>
    <mergeCell ref="N57:S57"/>
    <mergeCell ref="V57:X57"/>
    <mergeCell ref="I60:K60"/>
    <mergeCell ref="N60:S60"/>
    <mergeCell ref="V60:X60"/>
    <mergeCell ref="B61:F61"/>
    <mergeCell ref="I61:K61"/>
    <mergeCell ref="N61:S61"/>
    <mergeCell ref="V61:X61"/>
    <mergeCell ref="B62:F62"/>
    <mergeCell ref="I62:K62"/>
    <mergeCell ref="N62:S62"/>
    <mergeCell ref="V62:X62"/>
    <mergeCell ref="B73:E73"/>
    <mergeCell ref="H73:J73"/>
    <mergeCell ref="N73:R73"/>
    <mergeCell ref="U73:W73"/>
    <mergeCell ref="B74:E74"/>
    <mergeCell ref="H74:J74"/>
    <mergeCell ref="N74:R74"/>
    <mergeCell ref="U74:W74"/>
    <mergeCell ref="B67:E67"/>
    <mergeCell ref="H67:J67"/>
    <mergeCell ref="N67:R67"/>
    <mergeCell ref="U67:W67"/>
    <mergeCell ref="B68:E68"/>
    <mergeCell ref="H68:J68"/>
    <mergeCell ref="N68:R68"/>
    <mergeCell ref="U68:W68"/>
    <mergeCell ref="B69:E69"/>
    <mergeCell ref="H69:J69"/>
    <mergeCell ref="N69:R69"/>
    <mergeCell ref="U69:W69"/>
    <mergeCell ref="B72:E72"/>
    <mergeCell ref="H72:J72"/>
    <mergeCell ref="N72:R72"/>
    <mergeCell ref="U72:W72"/>
    <mergeCell ref="B77:E77"/>
    <mergeCell ref="H77:J77"/>
    <mergeCell ref="N77:R77"/>
    <mergeCell ref="U77:W77"/>
    <mergeCell ref="B80:F80"/>
    <mergeCell ref="G80:M80"/>
    <mergeCell ref="N80:S80"/>
    <mergeCell ref="T80:Z80"/>
    <mergeCell ref="B75:E75"/>
    <mergeCell ref="H75:J75"/>
    <mergeCell ref="N75:R75"/>
    <mergeCell ref="U75:W75"/>
    <mergeCell ref="B76:E76"/>
    <mergeCell ref="H76:J76"/>
    <mergeCell ref="N76:R76"/>
    <mergeCell ref="U76:W76"/>
    <mergeCell ref="B83:F83"/>
    <mergeCell ref="G83:M83"/>
    <mergeCell ref="N83:S83"/>
    <mergeCell ref="T83:Z83"/>
    <mergeCell ref="B84:F84"/>
    <mergeCell ref="G84:M84"/>
    <mergeCell ref="N84:S84"/>
    <mergeCell ref="T84:Z84"/>
    <mergeCell ref="B81:F81"/>
    <mergeCell ref="G81:M81"/>
    <mergeCell ref="N81:S81"/>
    <mergeCell ref="T81:Z81"/>
    <mergeCell ref="B82:F82"/>
    <mergeCell ref="G82:M82"/>
    <mergeCell ref="N82:S82"/>
    <mergeCell ref="T82:Z82"/>
    <mergeCell ref="G87:M87"/>
    <mergeCell ref="N87:S87"/>
    <mergeCell ref="T87:Z87"/>
    <mergeCell ref="D90:Z90"/>
    <mergeCell ref="B91:B92"/>
    <mergeCell ref="D91:Z91"/>
    <mergeCell ref="D92:Z92"/>
    <mergeCell ref="B85:F85"/>
    <mergeCell ref="G85:M85"/>
    <mergeCell ref="N85:S85"/>
    <mergeCell ref="T85:Z85"/>
    <mergeCell ref="B86:F86"/>
    <mergeCell ref="G86:M86"/>
    <mergeCell ref="N86:S86"/>
    <mergeCell ref="T86:Z86"/>
    <mergeCell ref="B104:Z106"/>
    <mergeCell ref="B109:Z109"/>
    <mergeCell ref="B19:F19"/>
    <mergeCell ref="I19:K19"/>
    <mergeCell ref="N19:S19"/>
    <mergeCell ref="V19:X19"/>
    <mergeCell ref="B20:F20"/>
    <mergeCell ref="I20:K20"/>
    <mergeCell ref="N20:S20"/>
    <mergeCell ref="V20:X20"/>
    <mergeCell ref="B97:B98"/>
    <mergeCell ref="D97:Z97"/>
    <mergeCell ref="D98:Z98"/>
    <mergeCell ref="B99:B101"/>
    <mergeCell ref="D99:Z99"/>
    <mergeCell ref="D100:Z100"/>
    <mergeCell ref="D101:Z101"/>
    <mergeCell ref="B93:B94"/>
    <mergeCell ref="D93:Z93"/>
    <mergeCell ref="D94:Z94"/>
    <mergeCell ref="B95:B96"/>
    <mergeCell ref="D95:Z95"/>
    <mergeCell ref="D96:Z96"/>
    <mergeCell ref="B87:F87"/>
    <mergeCell ref="B37:F37"/>
    <mergeCell ref="I37:K37"/>
    <mergeCell ref="N37:S37"/>
    <mergeCell ref="V37:X37"/>
    <mergeCell ref="A39:Z40"/>
    <mergeCell ref="B41:F41"/>
    <mergeCell ref="I41:K41"/>
    <mergeCell ref="N41:S41"/>
    <mergeCell ref="V41:X41"/>
    <mergeCell ref="B70:E70"/>
    <mergeCell ref="H70:J70"/>
    <mergeCell ref="N70:R70"/>
    <mergeCell ref="U70:W70"/>
    <mergeCell ref="B71:E71"/>
    <mergeCell ref="H71:J71"/>
    <mergeCell ref="N71:R71"/>
    <mergeCell ref="U71:W71"/>
    <mergeCell ref="B44:F44"/>
    <mergeCell ref="I44:K44"/>
    <mergeCell ref="N44:S44"/>
    <mergeCell ref="V44:X44"/>
    <mergeCell ref="B45:F45"/>
    <mergeCell ref="I45:K45"/>
    <mergeCell ref="N45:S45"/>
    <mergeCell ref="V45:X45"/>
    <mergeCell ref="B48:F48"/>
    <mergeCell ref="I48:K48"/>
    <mergeCell ref="N48:S48"/>
    <mergeCell ref="V48:X48"/>
    <mergeCell ref="A64:Z65"/>
    <mergeCell ref="B66:E66"/>
    <mergeCell ref="N66:R66"/>
    <mergeCell ref="B60:F60"/>
  </mergeCells>
  <phoneticPr fontId="1"/>
  <dataValidations count="4">
    <dataValidation type="list" allowBlank="1" showInputMessage="1" showErrorMessage="1" sqref="H85:M88 G81:G88 H81:M82 T81:T88 U81:Z82 U85:Z88">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O4">
      <formula1>"学部・学科によって、修了要件は相違する,学部・学科によって、修了要件は相違しない"</formula1>
    </dataValidation>
    <dataValidation type="list" allowBlank="1" showInputMessage="1" showErrorMessage="1" sqref="Z25 Z38 D38:K38 D25:K25 V16:V24 I56:I62 V42:V51 V56:V62 I16:I24 V29:V37 I29:I37 I42:I51 H67:H77 U67:U77">
      <formula1>"全学開講,一部開講"</formula1>
    </dataValidation>
    <dataValidation type="list" allowBlank="1" showInputMessage="1" showErrorMessage="1" sqref="Y42:Z51 L56:M62 U16:U24 H56:H62 U56:U62 Y56:Z62 L16:M24 H29:H37 H16:H24 Y29:Z37 L29:M37 U29:U37 Y16:Z24 H42:H51 L42:M51 U42:U51 Y67:Z77 G67:G77 T67:T77 L67:M77">
      <formula1>"○"</formula1>
    </dataValidation>
  </dataValidations>
  <hyperlinks>
    <hyperlink ref="B109" r:id="rId1"/>
  </hyperlinks>
  <printOptions horizontalCentered="1"/>
  <pageMargins left="0.78740157480314965" right="0.78740157480314965" top="0.59055118110236227" bottom="0.19685039370078741" header="0.31496062992125984" footer="0.19685039370078741"/>
  <pageSetup paperSize="9" scale="98" orientation="landscape" r:id="rId2"/>
  <rowBreaks count="4" manualBreakCount="4">
    <brk id="25" max="25" man="1"/>
    <brk id="51" max="25" man="1"/>
    <brk id="78" max="25" man="1"/>
    <brk id="94" max="2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19"/>
  <sheetViews>
    <sheetView showZeros="0" view="pageBreakPreview" zoomScaleNormal="100" zoomScaleSheetLayoutView="100" workbookViewId="0"/>
  </sheetViews>
  <sheetFormatPr defaultColWidth="9" defaultRowHeight="18.75" customHeight="1" x14ac:dyDescent="0.15"/>
  <cols>
    <col min="1" max="1" width="2.5" style="13" customWidth="1"/>
    <col min="2" max="2" width="27.75" style="13" customWidth="1"/>
    <col min="3" max="13" width="3.375" style="13" customWidth="1"/>
    <col min="14" max="14" width="8.875" style="13" customWidth="1"/>
    <col min="15" max="15" width="18.875" style="13" customWidth="1"/>
    <col min="16" max="19" width="3.375" style="13" customWidth="1"/>
    <col min="20" max="20" width="3.5" style="13" customWidth="1"/>
    <col min="21" max="26" width="3.375" style="13" customWidth="1"/>
    <col min="27" max="16384" width="9" style="13"/>
  </cols>
  <sheetData>
    <row r="1" spans="1:26" ht="15" customHeight="1" x14ac:dyDescent="0.15">
      <c r="W1" s="264" t="s">
        <v>160</v>
      </c>
      <c r="X1" s="264"/>
      <c r="Y1" s="264"/>
      <c r="Z1" s="264"/>
    </row>
    <row r="2" spans="1:26" ht="18" customHeight="1" x14ac:dyDescent="0.15">
      <c r="A2" s="265" t="s">
        <v>67</v>
      </c>
      <c r="B2" s="265"/>
      <c r="C2" s="265"/>
      <c r="D2" s="265"/>
      <c r="E2" s="265"/>
      <c r="F2" s="265"/>
      <c r="G2" s="265"/>
      <c r="H2" s="265"/>
      <c r="I2" s="265"/>
      <c r="J2" s="265"/>
      <c r="K2" s="265"/>
      <c r="L2" s="265"/>
      <c r="M2" s="265"/>
      <c r="N2" s="265"/>
      <c r="O2" s="265"/>
      <c r="P2" s="265"/>
      <c r="Q2" s="265"/>
      <c r="R2" s="265"/>
      <c r="S2" s="265"/>
      <c r="T2" s="265"/>
      <c r="U2" s="265"/>
      <c r="V2" s="265"/>
      <c r="W2" s="265"/>
      <c r="X2" s="265"/>
      <c r="Y2" s="265"/>
      <c r="Z2" s="265"/>
    </row>
    <row r="3" spans="1:26" ht="15" customHeight="1" x14ac:dyDescent="0.15">
      <c r="B3" s="29"/>
      <c r="C3" s="29"/>
      <c r="D3" s="29"/>
      <c r="E3" s="29"/>
      <c r="F3" s="29"/>
      <c r="G3" s="29"/>
      <c r="H3" s="29"/>
      <c r="I3" s="29"/>
      <c r="J3" s="29"/>
      <c r="K3" s="29"/>
      <c r="L3" s="29"/>
      <c r="M3" s="29"/>
      <c r="N3" s="29"/>
      <c r="O3" s="29"/>
      <c r="P3" s="29"/>
      <c r="Q3" s="29"/>
      <c r="R3" s="29"/>
      <c r="S3" s="29"/>
      <c r="T3" s="29"/>
      <c r="U3" s="29"/>
      <c r="V3" s="29"/>
      <c r="W3" s="29"/>
      <c r="X3" s="29"/>
      <c r="Y3" s="29"/>
      <c r="Z3" s="29"/>
    </row>
    <row r="4" spans="1:26" ht="18" customHeight="1" x14ac:dyDescent="0.15">
      <c r="A4" s="13" t="s">
        <v>99</v>
      </c>
      <c r="B4" s="29"/>
      <c r="C4" s="29"/>
      <c r="D4" s="29"/>
      <c r="E4" s="29"/>
      <c r="F4" s="29"/>
      <c r="G4" s="29"/>
      <c r="H4" s="15" t="s">
        <v>112</v>
      </c>
      <c r="I4" s="29"/>
      <c r="J4" s="29"/>
      <c r="K4" s="29"/>
      <c r="L4" s="29"/>
      <c r="M4" s="29"/>
      <c r="N4" s="29"/>
      <c r="O4" s="150" t="s">
        <v>159</v>
      </c>
      <c r="P4" s="151"/>
      <c r="Q4" s="151"/>
      <c r="R4" s="151"/>
      <c r="S4" s="151"/>
      <c r="T4" s="151"/>
      <c r="U4" s="151"/>
      <c r="V4" s="151"/>
      <c r="W4" s="151"/>
      <c r="X4" s="151"/>
      <c r="Y4" s="151"/>
      <c r="Z4" s="152"/>
    </row>
    <row r="5" spans="1:26" ht="6" customHeight="1" x14ac:dyDescent="0.15">
      <c r="B5" s="29"/>
      <c r="C5" s="29"/>
      <c r="D5" s="29"/>
      <c r="E5" s="29"/>
      <c r="F5" s="29"/>
      <c r="G5" s="29"/>
      <c r="H5" s="29"/>
      <c r="I5" s="29"/>
      <c r="J5" s="29"/>
      <c r="K5" s="29"/>
      <c r="L5" s="29"/>
      <c r="M5" s="29"/>
      <c r="N5" s="29"/>
      <c r="O5" s="16"/>
      <c r="P5" s="29"/>
      <c r="Q5" s="29"/>
      <c r="R5" s="29"/>
      <c r="S5" s="29"/>
      <c r="T5" s="29"/>
      <c r="U5" s="29"/>
      <c r="V5" s="29"/>
      <c r="W5" s="29"/>
      <c r="X5" s="29"/>
      <c r="Y5" s="29"/>
      <c r="Z5" s="29"/>
    </row>
    <row r="6" spans="1:26" ht="30.75" customHeight="1" x14ac:dyDescent="0.15">
      <c r="B6" s="266" t="s">
        <v>323</v>
      </c>
      <c r="C6" s="267"/>
      <c r="D6" s="267"/>
      <c r="E6" s="267"/>
      <c r="F6" s="267"/>
      <c r="G6" s="267"/>
      <c r="H6" s="267"/>
      <c r="I6" s="267"/>
      <c r="J6" s="267"/>
      <c r="K6" s="267"/>
      <c r="L6" s="267"/>
      <c r="M6" s="267"/>
      <c r="N6" s="267"/>
      <c r="O6" s="267"/>
      <c r="P6" s="267"/>
      <c r="Q6" s="267"/>
      <c r="R6" s="267"/>
      <c r="S6" s="267"/>
      <c r="T6" s="267"/>
      <c r="U6" s="267"/>
      <c r="V6" s="267"/>
      <c r="W6" s="267"/>
      <c r="X6" s="267"/>
      <c r="Y6" s="267"/>
      <c r="Z6" s="268"/>
    </row>
    <row r="7" spans="1:26" ht="30.75" customHeight="1" x14ac:dyDescent="0.15">
      <c r="B7" s="269"/>
      <c r="C7" s="270"/>
      <c r="D7" s="270"/>
      <c r="E7" s="270"/>
      <c r="F7" s="270"/>
      <c r="G7" s="270"/>
      <c r="H7" s="270"/>
      <c r="I7" s="270"/>
      <c r="J7" s="270"/>
      <c r="K7" s="270"/>
      <c r="L7" s="270"/>
      <c r="M7" s="270"/>
      <c r="N7" s="270"/>
      <c r="O7" s="270"/>
      <c r="P7" s="270"/>
      <c r="Q7" s="270"/>
      <c r="R7" s="270"/>
      <c r="S7" s="270"/>
      <c r="T7" s="270"/>
      <c r="U7" s="270"/>
      <c r="V7" s="270"/>
      <c r="W7" s="270"/>
      <c r="X7" s="270"/>
      <c r="Y7" s="270"/>
      <c r="Z7" s="271"/>
    </row>
    <row r="8" spans="1:26" ht="30.75" customHeight="1" x14ac:dyDescent="0.15">
      <c r="B8" s="269"/>
      <c r="C8" s="270"/>
      <c r="D8" s="270"/>
      <c r="E8" s="270"/>
      <c r="F8" s="270"/>
      <c r="G8" s="270"/>
      <c r="H8" s="270"/>
      <c r="I8" s="270"/>
      <c r="J8" s="270"/>
      <c r="K8" s="270"/>
      <c r="L8" s="270"/>
      <c r="M8" s="270"/>
      <c r="N8" s="270"/>
      <c r="O8" s="270"/>
      <c r="P8" s="270"/>
      <c r="Q8" s="270"/>
      <c r="R8" s="270"/>
      <c r="S8" s="270"/>
      <c r="T8" s="270"/>
      <c r="U8" s="270"/>
      <c r="V8" s="270"/>
      <c r="W8" s="270"/>
      <c r="X8" s="270"/>
      <c r="Y8" s="270"/>
      <c r="Z8" s="271"/>
    </row>
    <row r="9" spans="1:26" ht="30.75" customHeight="1" x14ac:dyDescent="0.15">
      <c r="B9" s="269"/>
      <c r="C9" s="270"/>
      <c r="D9" s="270"/>
      <c r="E9" s="270"/>
      <c r="F9" s="270"/>
      <c r="G9" s="270"/>
      <c r="H9" s="270"/>
      <c r="I9" s="270"/>
      <c r="J9" s="270"/>
      <c r="K9" s="270"/>
      <c r="L9" s="270"/>
      <c r="M9" s="270"/>
      <c r="N9" s="270"/>
      <c r="O9" s="270"/>
      <c r="P9" s="270"/>
      <c r="Q9" s="270"/>
      <c r="R9" s="270"/>
      <c r="S9" s="270"/>
      <c r="T9" s="270"/>
      <c r="U9" s="270"/>
      <c r="V9" s="270"/>
      <c r="W9" s="270"/>
      <c r="X9" s="270"/>
      <c r="Y9" s="270"/>
      <c r="Z9" s="271"/>
    </row>
    <row r="10" spans="1:26" ht="30.75" customHeight="1" x14ac:dyDescent="0.15">
      <c r="B10" s="269"/>
      <c r="C10" s="272"/>
      <c r="D10" s="272"/>
      <c r="E10" s="272"/>
      <c r="F10" s="272"/>
      <c r="G10" s="272"/>
      <c r="H10" s="272"/>
      <c r="I10" s="272"/>
      <c r="J10" s="272"/>
      <c r="K10" s="272"/>
      <c r="L10" s="272"/>
      <c r="M10" s="272"/>
      <c r="N10" s="272"/>
      <c r="O10" s="272"/>
      <c r="P10" s="272"/>
      <c r="Q10" s="272"/>
      <c r="R10" s="272"/>
      <c r="S10" s="272"/>
      <c r="T10" s="272"/>
      <c r="U10" s="272"/>
      <c r="V10" s="272"/>
      <c r="W10" s="272"/>
      <c r="X10" s="272"/>
      <c r="Y10" s="272"/>
      <c r="Z10" s="271"/>
    </row>
    <row r="11" spans="1:26" ht="76.5" customHeight="1" x14ac:dyDescent="0.15">
      <c r="B11" s="273"/>
      <c r="C11" s="274"/>
      <c r="D11" s="274"/>
      <c r="E11" s="274"/>
      <c r="F11" s="274"/>
      <c r="G11" s="274"/>
      <c r="H11" s="274"/>
      <c r="I11" s="274"/>
      <c r="J11" s="274"/>
      <c r="K11" s="274"/>
      <c r="L11" s="274"/>
      <c r="M11" s="274"/>
      <c r="N11" s="274"/>
      <c r="O11" s="274"/>
      <c r="P11" s="274"/>
      <c r="Q11" s="274"/>
      <c r="R11" s="274"/>
      <c r="S11" s="274"/>
      <c r="T11" s="274"/>
      <c r="U11" s="274"/>
      <c r="V11" s="274"/>
      <c r="W11" s="274"/>
      <c r="X11" s="274"/>
      <c r="Y11" s="274"/>
      <c r="Z11" s="275"/>
    </row>
    <row r="12" spans="1:26" ht="7.5" customHeight="1" x14ac:dyDescent="0.15">
      <c r="B12" s="29"/>
      <c r="C12" s="29"/>
      <c r="D12" s="29"/>
      <c r="E12" s="29"/>
      <c r="F12" s="29"/>
      <c r="G12" s="29"/>
      <c r="H12" s="29"/>
      <c r="I12" s="29"/>
      <c r="J12" s="29"/>
      <c r="K12" s="29"/>
      <c r="L12" s="29"/>
      <c r="M12" s="29"/>
      <c r="N12" s="29"/>
      <c r="O12" s="29"/>
      <c r="P12" s="29"/>
      <c r="Q12" s="29"/>
      <c r="R12" s="29"/>
      <c r="S12" s="29"/>
      <c r="T12" s="29"/>
      <c r="U12" s="29"/>
      <c r="V12" s="29"/>
      <c r="W12" s="29"/>
      <c r="X12" s="29"/>
      <c r="Y12" s="29"/>
      <c r="Z12" s="29"/>
    </row>
    <row r="13" spans="1:26" ht="18" customHeight="1" x14ac:dyDescent="0.15">
      <c r="A13" s="192" t="s">
        <v>125</v>
      </c>
      <c r="B13" s="192"/>
      <c r="C13" s="192"/>
      <c r="D13" s="192"/>
      <c r="E13" s="192"/>
      <c r="F13" s="192"/>
      <c r="G13" s="192"/>
      <c r="H13" s="192"/>
      <c r="I13" s="192"/>
      <c r="J13" s="192"/>
      <c r="K13" s="192"/>
      <c r="L13" s="192"/>
      <c r="M13" s="192"/>
      <c r="N13" s="192"/>
      <c r="O13" s="192"/>
      <c r="P13" s="192"/>
      <c r="Q13" s="192"/>
      <c r="R13" s="192"/>
      <c r="S13" s="192"/>
      <c r="T13" s="192"/>
      <c r="U13" s="192"/>
      <c r="V13" s="192"/>
      <c r="W13" s="192"/>
      <c r="X13" s="192"/>
      <c r="Y13" s="192"/>
      <c r="Z13" s="192"/>
    </row>
    <row r="14" spans="1:26" ht="18" customHeight="1" x14ac:dyDescent="0.15">
      <c r="A14" s="192"/>
      <c r="B14" s="192"/>
      <c r="C14" s="192"/>
      <c r="D14" s="192"/>
      <c r="E14" s="192"/>
      <c r="F14" s="192"/>
      <c r="G14" s="192"/>
      <c r="H14" s="192"/>
      <c r="I14" s="192"/>
      <c r="J14" s="192"/>
      <c r="K14" s="192"/>
      <c r="L14" s="192"/>
      <c r="M14" s="192"/>
      <c r="N14" s="192"/>
      <c r="O14" s="192"/>
      <c r="P14" s="192"/>
      <c r="Q14" s="192"/>
      <c r="R14" s="192"/>
      <c r="S14" s="192"/>
      <c r="T14" s="192"/>
      <c r="U14" s="192"/>
      <c r="V14" s="192"/>
      <c r="W14" s="192"/>
      <c r="X14" s="192"/>
      <c r="Y14" s="192"/>
      <c r="Z14" s="192"/>
    </row>
    <row r="15" spans="1:26" ht="18" customHeight="1" x14ac:dyDescent="0.15">
      <c r="A15" s="14"/>
      <c r="B15" s="150" t="s">
        <v>100</v>
      </c>
      <c r="C15" s="151"/>
      <c r="D15" s="151"/>
      <c r="E15" s="151"/>
      <c r="F15" s="152"/>
      <c r="G15" s="30" t="s">
        <v>141</v>
      </c>
      <c r="H15" s="110" t="s">
        <v>140</v>
      </c>
      <c r="I15" s="151" t="s">
        <v>101</v>
      </c>
      <c r="J15" s="151"/>
      <c r="K15" s="151"/>
      <c r="L15" s="73" t="s">
        <v>104</v>
      </c>
      <c r="M15" s="73" t="s">
        <v>107</v>
      </c>
      <c r="N15" s="150" t="s">
        <v>100</v>
      </c>
      <c r="O15" s="151"/>
      <c r="P15" s="151"/>
      <c r="Q15" s="151"/>
      <c r="R15" s="151"/>
      <c r="S15" s="152"/>
      <c r="T15" s="30" t="s">
        <v>141</v>
      </c>
      <c r="U15" s="110" t="s">
        <v>140</v>
      </c>
      <c r="V15" s="151" t="s">
        <v>101</v>
      </c>
      <c r="W15" s="151"/>
      <c r="X15" s="151"/>
      <c r="Y15" s="73" t="s">
        <v>104</v>
      </c>
      <c r="Z15" s="73" t="s">
        <v>107</v>
      </c>
    </row>
    <row r="16" spans="1:26" ht="18" customHeight="1" x14ac:dyDescent="0.15">
      <c r="A16" s="14"/>
      <c r="B16" s="256" t="s">
        <v>191</v>
      </c>
      <c r="C16" s="257"/>
      <c r="D16" s="257"/>
      <c r="E16" s="257"/>
      <c r="F16" s="263"/>
      <c r="G16" s="111">
        <v>2</v>
      </c>
      <c r="H16" s="111"/>
      <c r="I16" s="258" t="s">
        <v>163</v>
      </c>
      <c r="J16" s="259"/>
      <c r="K16" s="260"/>
      <c r="L16" s="111" t="s">
        <v>164</v>
      </c>
      <c r="M16" s="111"/>
      <c r="N16" s="256" t="s">
        <v>177</v>
      </c>
      <c r="O16" s="257"/>
      <c r="P16" s="257"/>
      <c r="Q16" s="257"/>
      <c r="R16" s="257"/>
      <c r="S16" s="263"/>
      <c r="T16" s="112">
        <v>2</v>
      </c>
      <c r="U16" s="112"/>
      <c r="V16" s="258" t="s">
        <v>163</v>
      </c>
      <c r="W16" s="259"/>
      <c r="X16" s="260"/>
      <c r="Y16" s="112" t="s">
        <v>164</v>
      </c>
      <c r="Z16" s="112" t="s">
        <v>164</v>
      </c>
    </row>
    <row r="17" spans="1:26" ht="18" customHeight="1" x14ac:dyDescent="0.15">
      <c r="A17" s="14"/>
      <c r="B17" s="181" t="s">
        <v>190</v>
      </c>
      <c r="C17" s="182"/>
      <c r="D17" s="182"/>
      <c r="E17" s="182"/>
      <c r="F17" s="188"/>
      <c r="G17" s="112">
        <v>2</v>
      </c>
      <c r="H17" s="112"/>
      <c r="I17" s="183" t="s">
        <v>163</v>
      </c>
      <c r="J17" s="184"/>
      <c r="K17" s="185"/>
      <c r="L17" s="112" t="s">
        <v>164</v>
      </c>
      <c r="M17" s="112" t="s">
        <v>164</v>
      </c>
      <c r="N17" s="181" t="s">
        <v>231</v>
      </c>
      <c r="O17" s="182"/>
      <c r="P17" s="182"/>
      <c r="Q17" s="182"/>
      <c r="R17" s="182"/>
      <c r="S17" s="188"/>
      <c r="T17" s="112">
        <v>2</v>
      </c>
      <c r="U17" s="112"/>
      <c r="V17" s="183" t="s">
        <v>214</v>
      </c>
      <c r="W17" s="184"/>
      <c r="X17" s="185"/>
      <c r="Y17" s="112" t="s">
        <v>164</v>
      </c>
      <c r="Z17" s="112" t="s">
        <v>164</v>
      </c>
    </row>
    <row r="18" spans="1:26" ht="18" customHeight="1" x14ac:dyDescent="0.15">
      <c r="A18" s="14"/>
      <c r="B18" s="181" t="s">
        <v>165</v>
      </c>
      <c r="C18" s="182"/>
      <c r="D18" s="182"/>
      <c r="E18" s="182"/>
      <c r="F18" s="188"/>
      <c r="G18" s="112">
        <v>2</v>
      </c>
      <c r="H18" s="112"/>
      <c r="I18" s="183" t="s">
        <v>163</v>
      </c>
      <c r="J18" s="184"/>
      <c r="K18" s="185"/>
      <c r="L18" s="112" t="s">
        <v>164</v>
      </c>
      <c r="M18" s="112" t="s">
        <v>164</v>
      </c>
      <c r="N18" s="181" t="s">
        <v>212</v>
      </c>
      <c r="O18" s="182"/>
      <c r="P18" s="182"/>
      <c r="Q18" s="182"/>
      <c r="R18" s="182"/>
      <c r="S18" s="188"/>
      <c r="T18" s="112">
        <v>2</v>
      </c>
      <c r="U18" s="112"/>
      <c r="V18" s="183" t="s">
        <v>214</v>
      </c>
      <c r="W18" s="184"/>
      <c r="X18" s="185"/>
      <c r="Y18" s="112" t="s">
        <v>164</v>
      </c>
      <c r="Z18" s="112" t="s">
        <v>164</v>
      </c>
    </row>
    <row r="19" spans="1:26" ht="18" customHeight="1" x14ac:dyDescent="0.15">
      <c r="A19" s="14"/>
      <c r="B19" s="181" t="s">
        <v>166</v>
      </c>
      <c r="C19" s="182"/>
      <c r="D19" s="182"/>
      <c r="E19" s="182"/>
      <c r="F19" s="188"/>
      <c r="G19" s="112">
        <v>2</v>
      </c>
      <c r="H19" s="112"/>
      <c r="I19" s="183" t="s">
        <v>163</v>
      </c>
      <c r="J19" s="184"/>
      <c r="K19" s="185"/>
      <c r="L19" s="112" t="s">
        <v>164</v>
      </c>
      <c r="M19" s="112" t="s">
        <v>164</v>
      </c>
      <c r="N19" s="181" t="s">
        <v>216</v>
      </c>
      <c r="O19" s="182"/>
      <c r="P19" s="182"/>
      <c r="Q19" s="182"/>
      <c r="R19" s="182"/>
      <c r="S19" s="188"/>
      <c r="T19" s="112">
        <v>2</v>
      </c>
      <c r="U19" s="112"/>
      <c r="V19" s="183" t="s">
        <v>214</v>
      </c>
      <c r="W19" s="184"/>
      <c r="X19" s="185"/>
      <c r="Y19" s="112" t="s">
        <v>164</v>
      </c>
      <c r="Z19" s="112" t="s">
        <v>164</v>
      </c>
    </row>
    <row r="20" spans="1:26" ht="18" customHeight="1" x14ac:dyDescent="0.15">
      <c r="A20" s="14"/>
      <c r="B20" s="181" t="s">
        <v>167</v>
      </c>
      <c r="C20" s="182"/>
      <c r="D20" s="182"/>
      <c r="E20" s="182"/>
      <c r="F20" s="188"/>
      <c r="G20" s="112">
        <v>2</v>
      </c>
      <c r="H20" s="112"/>
      <c r="I20" s="183" t="s">
        <v>163</v>
      </c>
      <c r="J20" s="184"/>
      <c r="K20" s="185"/>
      <c r="L20" s="112" t="s">
        <v>164</v>
      </c>
      <c r="M20" s="112" t="s">
        <v>164</v>
      </c>
      <c r="N20" s="181" t="s">
        <v>232</v>
      </c>
      <c r="O20" s="182"/>
      <c r="P20" s="182"/>
      <c r="Q20" s="182"/>
      <c r="R20" s="182"/>
      <c r="S20" s="188"/>
      <c r="T20" s="112">
        <v>2</v>
      </c>
      <c r="U20" s="112"/>
      <c r="V20" s="183" t="s">
        <v>163</v>
      </c>
      <c r="W20" s="184"/>
      <c r="X20" s="185"/>
      <c r="Y20" s="112" t="s">
        <v>164</v>
      </c>
      <c r="Z20" s="112"/>
    </row>
    <row r="21" spans="1:26" ht="18" customHeight="1" x14ac:dyDescent="0.15">
      <c r="A21" s="29"/>
      <c r="B21" s="181" t="s">
        <v>168</v>
      </c>
      <c r="C21" s="182"/>
      <c r="D21" s="182"/>
      <c r="E21" s="182"/>
      <c r="F21" s="188"/>
      <c r="G21" s="112">
        <v>2</v>
      </c>
      <c r="H21" s="112"/>
      <c r="I21" s="183" t="s">
        <v>163</v>
      </c>
      <c r="J21" s="184"/>
      <c r="K21" s="185"/>
      <c r="L21" s="112" t="s">
        <v>164</v>
      </c>
      <c r="M21" s="112" t="s">
        <v>164</v>
      </c>
      <c r="N21" s="181" t="s">
        <v>233</v>
      </c>
      <c r="O21" s="182"/>
      <c r="P21" s="182"/>
      <c r="Q21" s="182"/>
      <c r="R21" s="182"/>
      <c r="S21" s="188"/>
      <c r="T21" s="112">
        <v>2</v>
      </c>
      <c r="U21" s="112"/>
      <c r="V21" s="183" t="s">
        <v>163</v>
      </c>
      <c r="W21" s="184"/>
      <c r="X21" s="185"/>
      <c r="Y21" s="112" t="s">
        <v>164</v>
      </c>
      <c r="Z21" s="112"/>
    </row>
    <row r="22" spans="1:26" ht="18" customHeight="1" x14ac:dyDescent="0.15">
      <c r="A22" s="29"/>
      <c r="B22" s="276" t="s">
        <v>169</v>
      </c>
      <c r="C22" s="277"/>
      <c r="D22" s="277"/>
      <c r="E22" s="277"/>
      <c r="F22" s="278"/>
      <c r="G22" s="124">
        <v>2</v>
      </c>
      <c r="H22" s="124"/>
      <c r="I22" s="279" t="s">
        <v>163</v>
      </c>
      <c r="J22" s="280"/>
      <c r="K22" s="281"/>
      <c r="L22" s="124" t="s">
        <v>164</v>
      </c>
      <c r="M22" s="124" t="s">
        <v>164</v>
      </c>
      <c r="N22" s="181" t="s">
        <v>234</v>
      </c>
      <c r="O22" s="182"/>
      <c r="P22" s="182"/>
      <c r="Q22" s="182"/>
      <c r="R22" s="182"/>
      <c r="S22" s="188"/>
      <c r="T22" s="124">
        <v>2</v>
      </c>
      <c r="U22" s="124"/>
      <c r="V22" s="183" t="s">
        <v>163</v>
      </c>
      <c r="W22" s="184"/>
      <c r="X22" s="185"/>
      <c r="Y22" s="112" t="s">
        <v>164</v>
      </c>
      <c r="Z22" s="124"/>
    </row>
    <row r="23" spans="1:26" ht="18" customHeight="1" x14ac:dyDescent="0.15">
      <c r="A23" s="29"/>
      <c r="B23" s="276" t="s">
        <v>228</v>
      </c>
      <c r="C23" s="277"/>
      <c r="D23" s="277"/>
      <c r="E23" s="277"/>
      <c r="F23" s="278"/>
      <c r="G23" s="124">
        <v>4</v>
      </c>
      <c r="H23" s="124"/>
      <c r="I23" s="279" t="s">
        <v>163</v>
      </c>
      <c r="J23" s="280"/>
      <c r="K23" s="281"/>
      <c r="L23" s="124" t="s">
        <v>164</v>
      </c>
      <c r="M23" s="124" t="s">
        <v>164</v>
      </c>
      <c r="N23" s="181" t="s">
        <v>235</v>
      </c>
      <c r="O23" s="182"/>
      <c r="P23" s="182"/>
      <c r="Q23" s="182"/>
      <c r="R23" s="182"/>
      <c r="S23" s="188"/>
      <c r="T23" s="112">
        <v>2</v>
      </c>
      <c r="U23" s="112"/>
      <c r="V23" s="183" t="s">
        <v>163</v>
      </c>
      <c r="W23" s="184"/>
      <c r="X23" s="185"/>
      <c r="Y23" s="112" t="s">
        <v>164</v>
      </c>
      <c r="Z23" s="112"/>
    </row>
    <row r="24" spans="1:26" ht="18" customHeight="1" x14ac:dyDescent="0.15">
      <c r="A24" s="29"/>
      <c r="B24" s="181" t="s">
        <v>229</v>
      </c>
      <c r="C24" s="182"/>
      <c r="D24" s="182"/>
      <c r="E24" s="182"/>
      <c r="F24" s="188"/>
      <c r="G24" s="112">
        <v>4</v>
      </c>
      <c r="H24" s="112"/>
      <c r="I24" s="279" t="s">
        <v>163</v>
      </c>
      <c r="J24" s="280"/>
      <c r="K24" s="281"/>
      <c r="L24" s="124" t="s">
        <v>164</v>
      </c>
      <c r="M24" s="124" t="s">
        <v>164</v>
      </c>
      <c r="N24" s="189" t="s">
        <v>237</v>
      </c>
      <c r="O24" s="190"/>
      <c r="P24" s="190"/>
      <c r="Q24" s="190"/>
      <c r="R24" s="190"/>
      <c r="S24" s="191"/>
      <c r="T24" s="112">
        <v>2</v>
      </c>
      <c r="U24" s="112"/>
      <c r="V24" s="183" t="s">
        <v>163</v>
      </c>
      <c r="W24" s="184"/>
      <c r="X24" s="185"/>
      <c r="Y24" s="112" t="s">
        <v>164</v>
      </c>
      <c r="Z24" s="112"/>
    </row>
    <row r="25" spans="1:26" ht="18" customHeight="1" x14ac:dyDescent="0.15">
      <c r="A25" s="29"/>
      <c r="B25" s="181" t="s">
        <v>230</v>
      </c>
      <c r="C25" s="182"/>
      <c r="D25" s="182"/>
      <c r="E25" s="182"/>
      <c r="F25" s="188"/>
      <c r="G25" s="112">
        <v>4</v>
      </c>
      <c r="H25" s="112"/>
      <c r="I25" s="183" t="s">
        <v>163</v>
      </c>
      <c r="J25" s="184"/>
      <c r="K25" s="185"/>
      <c r="L25" s="112" t="s">
        <v>164</v>
      </c>
      <c r="M25" s="112" t="s">
        <v>164</v>
      </c>
      <c r="N25" s="189" t="s">
        <v>238</v>
      </c>
      <c r="O25" s="190"/>
      <c r="P25" s="190"/>
      <c r="Q25" s="190"/>
      <c r="R25" s="190"/>
      <c r="S25" s="191"/>
      <c r="T25" s="112">
        <v>2</v>
      </c>
      <c r="U25" s="112"/>
      <c r="V25" s="183" t="s">
        <v>163</v>
      </c>
      <c r="W25" s="184"/>
      <c r="X25" s="185"/>
      <c r="Y25" s="112" t="s">
        <v>164</v>
      </c>
      <c r="Z25" s="112"/>
    </row>
    <row r="26" spans="1:26" ht="18" customHeight="1" x14ac:dyDescent="0.15">
      <c r="A26" s="29"/>
      <c r="B26" s="251" t="s">
        <v>236</v>
      </c>
      <c r="C26" s="252"/>
      <c r="D26" s="252"/>
      <c r="E26" s="252"/>
      <c r="F26" s="305"/>
      <c r="G26" s="113">
        <v>2</v>
      </c>
      <c r="H26" s="113"/>
      <c r="I26" s="306" t="s">
        <v>163</v>
      </c>
      <c r="J26" s="307"/>
      <c r="K26" s="308"/>
      <c r="L26" s="113" t="s">
        <v>164</v>
      </c>
      <c r="M26" s="113" t="s">
        <v>164</v>
      </c>
      <c r="N26" s="309"/>
      <c r="O26" s="310"/>
      <c r="P26" s="310"/>
      <c r="Q26" s="310"/>
      <c r="R26" s="310"/>
      <c r="S26" s="311"/>
      <c r="T26" s="113"/>
      <c r="U26" s="113"/>
      <c r="V26" s="306"/>
      <c r="W26" s="307"/>
      <c r="X26" s="308"/>
      <c r="Y26" s="113"/>
      <c r="Z26" s="113"/>
    </row>
    <row r="27" spans="1:26" ht="7.5" customHeight="1" x14ac:dyDescent="0.15">
      <c r="A27" s="29"/>
      <c r="B27" s="74"/>
      <c r="C27" s="74"/>
      <c r="D27" s="29"/>
      <c r="E27" s="29"/>
      <c r="F27" s="29"/>
      <c r="G27" s="29"/>
      <c r="H27" s="29"/>
      <c r="I27" s="29"/>
      <c r="J27" s="29"/>
      <c r="K27" s="29"/>
      <c r="L27" s="74"/>
      <c r="M27" s="74"/>
      <c r="N27" s="74"/>
      <c r="O27" s="74"/>
      <c r="P27" s="74"/>
      <c r="Q27" s="74"/>
      <c r="R27" s="74"/>
      <c r="S27" s="74"/>
      <c r="T27" s="74"/>
      <c r="U27" s="74"/>
      <c r="V27" s="74"/>
      <c r="W27" s="74"/>
      <c r="X27" s="74"/>
      <c r="Y27" s="74"/>
      <c r="Z27" s="29"/>
    </row>
    <row r="28" spans="1:26" ht="18" customHeight="1" x14ac:dyDescent="0.15">
      <c r="A28" s="192" t="s">
        <v>126</v>
      </c>
      <c r="B28" s="192"/>
      <c r="C28" s="192"/>
      <c r="D28" s="192"/>
      <c r="E28" s="192"/>
      <c r="F28" s="192"/>
      <c r="G28" s="192"/>
      <c r="H28" s="192"/>
      <c r="I28" s="192"/>
      <c r="J28" s="192"/>
      <c r="K28" s="192"/>
      <c r="L28" s="192"/>
      <c r="M28" s="192"/>
      <c r="N28" s="192"/>
      <c r="O28" s="192"/>
      <c r="P28" s="192"/>
      <c r="Q28" s="192"/>
      <c r="R28" s="192"/>
      <c r="S28" s="192"/>
      <c r="T28" s="192"/>
      <c r="U28" s="192"/>
      <c r="V28" s="192"/>
      <c r="W28" s="192"/>
      <c r="X28" s="192"/>
      <c r="Y28" s="192"/>
      <c r="Z28" s="192"/>
    </row>
    <row r="29" spans="1:26" ht="18" customHeight="1" x14ac:dyDescent="0.15">
      <c r="A29" s="192"/>
      <c r="B29" s="192"/>
      <c r="C29" s="192"/>
      <c r="D29" s="192"/>
      <c r="E29" s="192"/>
      <c r="F29" s="192"/>
      <c r="G29" s="192"/>
      <c r="H29" s="192"/>
      <c r="I29" s="192"/>
      <c r="J29" s="192"/>
      <c r="K29" s="192"/>
      <c r="L29" s="192"/>
      <c r="M29" s="192"/>
      <c r="N29" s="192"/>
      <c r="O29" s="192"/>
      <c r="P29" s="192"/>
      <c r="Q29" s="192"/>
      <c r="R29" s="192"/>
      <c r="S29" s="192"/>
      <c r="T29" s="192"/>
      <c r="U29" s="192"/>
      <c r="V29" s="192"/>
      <c r="W29" s="192"/>
      <c r="X29" s="192"/>
      <c r="Y29" s="192"/>
      <c r="Z29" s="192"/>
    </row>
    <row r="30" spans="1:26" ht="18" customHeight="1" x14ac:dyDescent="0.15">
      <c r="A30" s="14"/>
      <c r="B30" s="150" t="s">
        <v>100</v>
      </c>
      <c r="C30" s="151"/>
      <c r="D30" s="151"/>
      <c r="E30" s="151"/>
      <c r="F30" s="152"/>
      <c r="G30" s="30" t="s">
        <v>141</v>
      </c>
      <c r="H30" s="110" t="s">
        <v>140</v>
      </c>
      <c r="I30" s="151" t="s">
        <v>101</v>
      </c>
      <c r="J30" s="151"/>
      <c r="K30" s="151"/>
      <c r="L30" s="73" t="s">
        <v>127</v>
      </c>
      <c r="M30" s="73" t="s">
        <v>128</v>
      </c>
      <c r="N30" s="150" t="s">
        <v>100</v>
      </c>
      <c r="O30" s="151"/>
      <c r="P30" s="151"/>
      <c r="Q30" s="151"/>
      <c r="R30" s="151"/>
      <c r="S30" s="152"/>
      <c r="T30" s="30" t="s">
        <v>141</v>
      </c>
      <c r="U30" s="110" t="s">
        <v>140</v>
      </c>
      <c r="V30" s="151" t="s">
        <v>101</v>
      </c>
      <c r="W30" s="151"/>
      <c r="X30" s="151"/>
      <c r="Y30" s="73" t="s">
        <v>127</v>
      </c>
      <c r="Z30" s="73" t="s">
        <v>128</v>
      </c>
    </row>
    <row r="31" spans="1:26" ht="18" customHeight="1" x14ac:dyDescent="0.15">
      <c r="A31" s="14"/>
      <c r="B31" s="261" t="s">
        <v>178</v>
      </c>
      <c r="C31" s="261"/>
      <c r="D31" s="261"/>
      <c r="E31" s="261"/>
      <c r="F31" s="261"/>
      <c r="G31" s="111">
        <v>2</v>
      </c>
      <c r="H31" s="111"/>
      <c r="I31" s="262" t="s">
        <v>163</v>
      </c>
      <c r="J31" s="262"/>
      <c r="K31" s="262"/>
      <c r="L31" s="111"/>
      <c r="M31" s="111" t="s">
        <v>164</v>
      </c>
      <c r="N31" s="261" t="s">
        <v>174</v>
      </c>
      <c r="O31" s="261"/>
      <c r="P31" s="261"/>
      <c r="Q31" s="261"/>
      <c r="R31" s="261"/>
      <c r="S31" s="261"/>
      <c r="T31" s="111">
        <v>4</v>
      </c>
      <c r="U31" s="111"/>
      <c r="V31" s="262" t="s">
        <v>163</v>
      </c>
      <c r="W31" s="262"/>
      <c r="X31" s="262"/>
      <c r="Y31" s="111" t="s">
        <v>164</v>
      </c>
      <c r="Z31" s="111" t="s">
        <v>164</v>
      </c>
    </row>
    <row r="32" spans="1:26" ht="18" customHeight="1" x14ac:dyDescent="0.15">
      <c r="A32" s="14"/>
      <c r="B32" s="186" t="s">
        <v>179</v>
      </c>
      <c r="C32" s="186"/>
      <c r="D32" s="186"/>
      <c r="E32" s="186"/>
      <c r="F32" s="186"/>
      <c r="G32" s="112">
        <v>2</v>
      </c>
      <c r="H32" s="112"/>
      <c r="I32" s="187" t="s">
        <v>163</v>
      </c>
      <c r="J32" s="187"/>
      <c r="K32" s="187"/>
      <c r="L32" s="112"/>
      <c r="M32" s="112" t="s">
        <v>164</v>
      </c>
      <c r="N32" s="186" t="s">
        <v>176</v>
      </c>
      <c r="O32" s="186"/>
      <c r="P32" s="186"/>
      <c r="Q32" s="186"/>
      <c r="R32" s="186"/>
      <c r="S32" s="186"/>
      <c r="T32" s="112">
        <v>2</v>
      </c>
      <c r="U32" s="112"/>
      <c r="V32" s="187" t="s">
        <v>163</v>
      </c>
      <c r="W32" s="187"/>
      <c r="X32" s="187"/>
      <c r="Y32" s="112" t="s">
        <v>164</v>
      </c>
      <c r="Z32" s="112" t="s">
        <v>164</v>
      </c>
    </row>
    <row r="33" spans="1:26" ht="18" customHeight="1" x14ac:dyDescent="0.15">
      <c r="A33" s="14"/>
      <c r="B33" s="186" t="s">
        <v>191</v>
      </c>
      <c r="C33" s="186"/>
      <c r="D33" s="186"/>
      <c r="E33" s="186"/>
      <c r="F33" s="186"/>
      <c r="G33" s="112">
        <v>2</v>
      </c>
      <c r="H33" s="112"/>
      <c r="I33" s="187" t="s">
        <v>163</v>
      </c>
      <c r="J33" s="187"/>
      <c r="K33" s="187"/>
      <c r="L33" s="112" t="s">
        <v>164</v>
      </c>
      <c r="M33" s="112"/>
      <c r="N33" s="186" t="s">
        <v>177</v>
      </c>
      <c r="O33" s="186"/>
      <c r="P33" s="186"/>
      <c r="Q33" s="186"/>
      <c r="R33" s="186"/>
      <c r="S33" s="186"/>
      <c r="T33" s="112">
        <v>2</v>
      </c>
      <c r="U33" s="112"/>
      <c r="V33" s="187" t="s">
        <v>163</v>
      </c>
      <c r="W33" s="187"/>
      <c r="X33" s="187"/>
      <c r="Y33" s="112" t="s">
        <v>164</v>
      </c>
      <c r="Z33" s="112" t="s">
        <v>164</v>
      </c>
    </row>
    <row r="34" spans="1:26" ht="18" customHeight="1" x14ac:dyDescent="0.15">
      <c r="A34" s="14"/>
      <c r="B34" s="186" t="s">
        <v>190</v>
      </c>
      <c r="C34" s="186"/>
      <c r="D34" s="186"/>
      <c r="E34" s="186"/>
      <c r="F34" s="186"/>
      <c r="G34" s="112">
        <v>2</v>
      </c>
      <c r="H34" s="112"/>
      <c r="I34" s="187" t="s">
        <v>163</v>
      </c>
      <c r="J34" s="187"/>
      <c r="K34" s="187"/>
      <c r="L34" s="112" t="s">
        <v>164</v>
      </c>
      <c r="M34" s="112" t="s">
        <v>164</v>
      </c>
      <c r="N34" s="181" t="s">
        <v>231</v>
      </c>
      <c r="O34" s="182"/>
      <c r="P34" s="182"/>
      <c r="Q34" s="182"/>
      <c r="R34" s="182"/>
      <c r="S34" s="188"/>
      <c r="T34" s="112">
        <v>2</v>
      </c>
      <c r="U34" s="112"/>
      <c r="V34" s="183" t="s">
        <v>214</v>
      </c>
      <c r="W34" s="184"/>
      <c r="X34" s="185"/>
      <c r="Y34" s="112" t="s">
        <v>164</v>
      </c>
      <c r="Z34" s="112" t="s">
        <v>164</v>
      </c>
    </row>
    <row r="35" spans="1:26" ht="18" customHeight="1" x14ac:dyDescent="0.15">
      <c r="A35" s="14"/>
      <c r="B35" s="186" t="s">
        <v>165</v>
      </c>
      <c r="C35" s="186"/>
      <c r="D35" s="186"/>
      <c r="E35" s="186"/>
      <c r="F35" s="186"/>
      <c r="G35" s="112">
        <v>2</v>
      </c>
      <c r="H35" s="112"/>
      <c r="I35" s="187" t="s">
        <v>163</v>
      </c>
      <c r="J35" s="187"/>
      <c r="K35" s="187"/>
      <c r="L35" s="112" t="s">
        <v>164</v>
      </c>
      <c r="M35" s="112" t="s">
        <v>164</v>
      </c>
      <c r="N35" s="181" t="s">
        <v>212</v>
      </c>
      <c r="O35" s="182"/>
      <c r="P35" s="182"/>
      <c r="Q35" s="182"/>
      <c r="R35" s="182"/>
      <c r="S35" s="188"/>
      <c r="T35" s="112">
        <v>2</v>
      </c>
      <c r="U35" s="112"/>
      <c r="V35" s="183" t="s">
        <v>214</v>
      </c>
      <c r="W35" s="184"/>
      <c r="X35" s="185"/>
      <c r="Y35" s="112" t="s">
        <v>164</v>
      </c>
      <c r="Z35" s="112" t="s">
        <v>164</v>
      </c>
    </row>
    <row r="36" spans="1:26" ht="18" customHeight="1" x14ac:dyDescent="0.15">
      <c r="A36" s="14"/>
      <c r="B36" s="186" t="s">
        <v>166</v>
      </c>
      <c r="C36" s="186"/>
      <c r="D36" s="186"/>
      <c r="E36" s="186"/>
      <c r="F36" s="186"/>
      <c r="G36" s="112">
        <v>2</v>
      </c>
      <c r="H36" s="112"/>
      <c r="I36" s="187" t="s">
        <v>163</v>
      </c>
      <c r="J36" s="187"/>
      <c r="K36" s="187"/>
      <c r="L36" s="112" t="s">
        <v>164</v>
      </c>
      <c r="M36" s="112" t="s">
        <v>164</v>
      </c>
      <c r="N36" s="181" t="s">
        <v>216</v>
      </c>
      <c r="O36" s="182"/>
      <c r="P36" s="182"/>
      <c r="Q36" s="182"/>
      <c r="R36" s="182"/>
      <c r="S36" s="188"/>
      <c r="T36" s="112">
        <v>2</v>
      </c>
      <c r="U36" s="112"/>
      <c r="V36" s="183" t="s">
        <v>214</v>
      </c>
      <c r="W36" s="184"/>
      <c r="X36" s="185"/>
      <c r="Y36" s="112" t="s">
        <v>164</v>
      </c>
      <c r="Z36" s="112" t="s">
        <v>164</v>
      </c>
    </row>
    <row r="37" spans="1:26" ht="18" customHeight="1" x14ac:dyDescent="0.15">
      <c r="A37" s="14"/>
      <c r="B37" s="186" t="s">
        <v>167</v>
      </c>
      <c r="C37" s="186"/>
      <c r="D37" s="186"/>
      <c r="E37" s="186"/>
      <c r="F37" s="186"/>
      <c r="G37" s="112">
        <v>2</v>
      </c>
      <c r="H37" s="112"/>
      <c r="I37" s="187" t="s">
        <v>163</v>
      </c>
      <c r="J37" s="187"/>
      <c r="K37" s="187"/>
      <c r="L37" s="112"/>
      <c r="M37" s="112" t="s">
        <v>164</v>
      </c>
      <c r="N37" s="181" t="s">
        <v>232</v>
      </c>
      <c r="O37" s="182"/>
      <c r="P37" s="182"/>
      <c r="Q37" s="182"/>
      <c r="R37" s="182"/>
      <c r="S37" s="188"/>
      <c r="T37" s="112">
        <v>2</v>
      </c>
      <c r="U37" s="112"/>
      <c r="V37" s="183" t="s">
        <v>163</v>
      </c>
      <c r="W37" s="184"/>
      <c r="X37" s="185"/>
      <c r="Y37" s="112" t="s">
        <v>164</v>
      </c>
      <c r="Z37" s="112" t="s">
        <v>164</v>
      </c>
    </row>
    <row r="38" spans="1:26" ht="18" customHeight="1" x14ac:dyDescent="0.15">
      <c r="A38" s="14"/>
      <c r="B38" s="186" t="s">
        <v>180</v>
      </c>
      <c r="C38" s="186"/>
      <c r="D38" s="186"/>
      <c r="E38" s="186"/>
      <c r="F38" s="186"/>
      <c r="G38" s="112">
        <v>2</v>
      </c>
      <c r="H38" s="112"/>
      <c r="I38" s="187" t="s">
        <v>163</v>
      </c>
      <c r="J38" s="187"/>
      <c r="K38" s="187"/>
      <c r="L38" s="112"/>
      <c r="M38" s="112" t="s">
        <v>164</v>
      </c>
      <c r="N38" s="181" t="s">
        <v>233</v>
      </c>
      <c r="O38" s="182"/>
      <c r="P38" s="182"/>
      <c r="Q38" s="182"/>
      <c r="R38" s="182"/>
      <c r="S38" s="188"/>
      <c r="T38" s="112">
        <v>2</v>
      </c>
      <c r="U38" s="112"/>
      <c r="V38" s="183" t="s">
        <v>163</v>
      </c>
      <c r="W38" s="184"/>
      <c r="X38" s="185"/>
      <c r="Y38" s="112" t="s">
        <v>164</v>
      </c>
      <c r="Z38" s="112" t="s">
        <v>164</v>
      </c>
    </row>
    <row r="39" spans="1:26" ht="18" customHeight="1" x14ac:dyDescent="0.15">
      <c r="A39" s="14"/>
      <c r="B39" s="186" t="s">
        <v>168</v>
      </c>
      <c r="C39" s="186"/>
      <c r="D39" s="186"/>
      <c r="E39" s="186"/>
      <c r="F39" s="186"/>
      <c r="G39" s="112">
        <v>2</v>
      </c>
      <c r="H39" s="112"/>
      <c r="I39" s="187" t="s">
        <v>163</v>
      </c>
      <c r="J39" s="187"/>
      <c r="K39" s="187"/>
      <c r="L39" s="112" t="s">
        <v>164</v>
      </c>
      <c r="M39" s="112" t="s">
        <v>164</v>
      </c>
      <c r="N39" s="181" t="s">
        <v>234</v>
      </c>
      <c r="O39" s="182"/>
      <c r="P39" s="182"/>
      <c r="Q39" s="182"/>
      <c r="R39" s="182"/>
      <c r="S39" s="188"/>
      <c r="T39" s="124">
        <v>2</v>
      </c>
      <c r="U39" s="124"/>
      <c r="V39" s="183" t="s">
        <v>163</v>
      </c>
      <c r="W39" s="184"/>
      <c r="X39" s="185"/>
      <c r="Y39" s="112" t="s">
        <v>164</v>
      </c>
      <c r="Z39" s="112" t="s">
        <v>164</v>
      </c>
    </row>
    <row r="40" spans="1:26" ht="18" customHeight="1" x14ac:dyDescent="0.15">
      <c r="A40" s="14"/>
      <c r="B40" s="186" t="s">
        <v>169</v>
      </c>
      <c r="C40" s="186"/>
      <c r="D40" s="186"/>
      <c r="E40" s="186"/>
      <c r="F40" s="186"/>
      <c r="G40" s="112">
        <v>2</v>
      </c>
      <c r="H40" s="112"/>
      <c r="I40" s="187" t="s">
        <v>163</v>
      </c>
      <c r="J40" s="187"/>
      <c r="K40" s="187"/>
      <c r="L40" s="112" t="s">
        <v>164</v>
      </c>
      <c r="M40" s="112" t="s">
        <v>164</v>
      </c>
      <c r="N40" s="181" t="s">
        <v>235</v>
      </c>
      <c r="O40" s="182"/>
      <c r="P40" s="182"/>
      <c r="Q40" s="182"/>
      <c r="R40" s="182"/>
      <c r="S40" s="188"/>
      <c r="T40" s="112">
        <v>2</v>
      </c>
      <c r="U40" s="112"/>
      <c r="V40" s="183" t="s">
        <v>163</v>
      </c>
      <c r="W40" s="184"/>
      <c r="X40" s="185"/>
      <c r="Y40" s="112" t="s">
        <v>164</v>
      </c>
      <c r="Z40" s="112" t="s">
        <v>164</v>
      </c>
    </row>
    <row r="41" spans="1:26" ht="18" customHeight="1" x14ac:dyDescent="0.15">
      <c r="A41" s="14"/>
      <c r="B41" s="186" t="s">
        <v>171</v>
      </c>
      <c r="C41" s="186"/>
      <c r="D41" s="186"/>
      <c r="E41" s="186"/>
      <c r="F41" s="186"/>
      <c r="G41" s="112">
        <v>4</v>
      </c>
      <c r="H41" s="112"/>
      <c r="I41" s="187" t="s">
        <v>163</v>
      </c>
      <c r="J41" s="187"/>
      <c r="K41" s="187"/>
      <c r="L41" s="112" t="s">
        <v>164</v>
      </c>
      <c r="M41" s="112" t="s">
        <v>164</v>
      </c>
      <c r="N41" s="189" t="s">
        <v>237</v>
      </c>
      <c r="O41" s="190"/>
      <c r="P41" s="190"/>
      <c r="Q41" s="190"/>
      <c r="R41" s="190"/>
      <c r="S41" s="191"/>
      <c r="T41" s="112">
        <v>2</v>
      </c>
      <c r="U41" s="112"/>
      <c r="V41" s="183" t="s">
        <v>163</v>
      </c>
      <c r="W41" s="184"/>
      <c r="X41" s="185"/>
      <c r="Y41" s="112" t="s">
        <v>164</v>
      </c>
      <c r="Z41" s="112" t="s">
        <v>164</v>
      </c>
    </row>
    <row r="42" spans="1:26" ht="18" customHeight="1" x14ac:dyDescent="0.15">
      <c r="A42" s="14"/>
      <c r="B42" s="284" t="s">
        <v>172</v>
      </c>
      <c r="C42" s="284"/>
      <c r="D42" s="284"/>
      <c r="E42" s="284"/>
      <c r="F42" s="284"/>
      <c r="G42" s="116">
        <v>4</v>
      </c>
      <c r="H42" s="116"/>
      <c r="I42" s="283" t="s">
        <v>163</v>
      </c>
      <c r="J42" s="283"/>
      <c r="K42" s="283"/>
      <c r="L42" s="116" t="s">
        <v>164</v>
      </c>
      <c r="M42" s="116" t="s">
        <v>164</v>
      </c>
      <c r="N42" s="199" t="s">
        <v>238</v>
      </c>
      <c r="O42" s="200"/>
      <c r="P42" s="200"/>
      <c r="Q42" s="200"/>
      <c r="R42" s="200"/>
      <c r="S42" s="201"/>
      <c r="T42" s="116">
        <v>2</v>
      </c>
      <c r="U42" s="116"/>
      <c r="V42" s="196" t="s">
        <v>163</v>
      </c>
      <c r="W42" s="197"/>
      <c r="X42" s="198"/>
      <c r="Y42" s="116" t="s">
        <v>164</v>
      </c>
      <c r="Z42" s="116" t="s">
        <v>164</v>
      </c>
    </row>
    <row r="43" spans="1:26" ht="7.5" customHeight="1" x14ac:dyDescent="0.15">
      <c r="A43" s="29"/>
      <c r="B43" s="74"/>
      <c r="C43" s="74"/>
      <c r="D43" s="29"/>
      <c r="E43" s="29"/>
      <c r="F43" s="29"/>
      <c r="G43" s="29"/>
      <c r="H43" s="29"/>
      <c r="I43" s="29"/>
      <c r="J43" s="29"/>
      <c r="K43" s="29"/>
      <c r="L43" s="74"/>
      <c r="M43" s="74"/>
      <c r="N43" s="74"/>
      <c r="O43" s="74"/>
      <c r="P43" s="74"/>
      <c r="Q43" s="74"/>
      <c r="R43" s="74"/>
      <c r="S43" s="74"/>
      <c r="T43" s="74"/>
      <c r="U43" s="74"/>
      <c r="V43" s="74"/>
      <c r="W43" s="74"/>
      <c r="X43" s="74"/>
      <c r="Y43" s="74"/>
      <c r="Z43" s="29"/>
    </row>
    <row r="44" spans="1:26" ht="18" customHeight="1" x14ac:dyDescent="0.15">
      <c r="A44" s="192" t="s">
        <v>129</v>
      </c>
      <c r="B44" s="192"/>
      <c r="C44" s="192"/>
      <c r="D44" s="192"/>
      <c r="E44" s="192"/>
      <c r="F44" s="192"/>
      <c r="G44" s="192"/>
      <c r="H44" s="192"/>
      <c r="I44" s="192"/>
      <c r="J44" s="192"/>
      <c r="K44" s="192"/>
      <c r="L44" s="192"/>
      <c r="M44" s="192"/>
      <c r="N44" s="192"/>
      <c r="O44" s="192"/>
      <c r="P44" s="192"/>
      <c r="Q44" s="192"/>
      <c r="R44" s="192"/>
      <c r="S44" s="192"/>
      <c r="T44" s="192"/>
      <c r="U44" s="192"/>
      <c r="V44" s="192"/>
      <c r="W44" s="192"/>
      <c r="X44" s="192"/>
      <c r="Y44" s="192"/>
      <c r="Z44" s="192"/>
    </row>
    <row r="45" spans="1:26" ht="18" customHeight="1" x14ac:dyDescent="0.15">
      <c r="A45" s="192"/>
      <c r="B45" s="192"/>
      <c r="C45" s="192"/>
      <c r="D45" s="192"/>
      <c r="E45" s="192"/>
      <c r="F45" s="192"/>
      <c r="G45" s="192"/>
      <c r="H45" s="192"/>
      <c r="I45" s="192"/>
      <c r="J45" s="192"/>
      <c r="K45" s="192"/>
      <c r="L45" s="192"/>
      <c r="M45" s="192"/>
      <c r="N45" s="192"/>
      <c r="O45" s="192"/>
      <c r="P45" s="192"/>
      <c r="Q45" s="192"/>
      <c r="R45" s="192"/>
      <c r="S45" s="192"/>
      <c r="T45" s="192"/>
      <c r="U45" s="192"/>
      <c r="V45" s="192"/>
      <c r="W45" s="192"/>
      <c r="X45" s="192"/>
      <c r="Y45" s="192"/>
      <c r="Z45" s="192"/>
    </row>
    <row r="46" spans="1:26" ht="18" customHeight="1" x14ac:dyDescent="0.15">
      <c r="A46" s="14"/>
      <c r="B46" s="150" t="s">
        <v>100</v>
      </c>
      <c r="C46" s="151"/>
      <c r="D46" s="151"/>
      <c r="E46" s="151"/>
      <c r="F46" s="152"/>
      <c r="G46" s="30" t="s">
        <v>141</v>
      </c>
      <c r="H46" s="110" t="s">
        <v>140</v>
      </c>
      <c r="I46" s="150" t="s">
        <v>101</v>
      </c>
      <c r="J46" s="151"/>
      <c r="K46" s="152"/>
      <c r="L46" s="73" t="s">
        <v>130</v>
      </c>
      <c r="M46" s="73" t="s">
        <v>131</v>
      </c>
      <c r="N46" s="150" t="s">
        <v>100</v>
      </c>
      <c r="O46" s="151"/>
      <c r="P46" s="151"/>
      <c r="Q46" s="151"/>
      <c r="R46" s="151"/>
      <c r="S46" s="152"/>
      <c r="T46" s="30" t="s">
        <v>141</v>
      </c>
      <c r="U46" s="110" t="s">
        <v>140</v>
      </c>
      <c r="V46" s="150" t="s">
        <v>101</v>
      </c>
      <c r="W46" s="151"/>
      <c r="X46" s="152"/>
      <c r="Y46" s="73" t="s">
        <v>130</v>
      </c>
      <c r="Z46" s="73" t="s">
        <v>131</v>
      </c>
    </row>
    <row r="47" spans="1:26" ht="18" customHeight="1" x14ac:dyDescent="0.15">
      <c r="A47" s="29"/>
      <c r="B47" s="256" t="s">
        <v>178</v>
      </c>
      <c r="C47" s="257"/>
      <c r="D47" s="257"/>
      <c r="E47" s="257"/>
      <c r="F47" s="263"/>
      <c r="G47" s="111">
        <v>2</v>
      </c>
      <c r="H47" s="111"/>
      <c r="I47" s="258" t="s">
        <v>163</v>
      </c>
      <c r="J47" s="259"/>
      <c r="K47" s="260"/>
      <c r="L47" s="111" t="s">
        <v>164</v>
      </c>
      <c r="M47" s="111"/>
      <c r="N47" s="245" t="s">
        <v>176</v>
      </c>
      <c r="O47" s="246"/>
      <c r="P47" s="246"/>
      <c r="Q47" s="246"/>
      <c r="R47" s="246"/>
      <c r="S47" s="247"/>
      <c r="T47" s="111">
        <v>2</v>
      </c>
      <c r="U47" s="111"/>
      <c r="V47" s="258" t="s">
        <v>163</v>
      </c>
      <c r="W47" s="259"/>
      <c r="X47" s="260"/>
      <c r="Y47" s="111" t="s">
        <v>164</v>
      </c>
      <c r="Z47" s="111" t="s">
        <v>164</v>
      </c>
    </row>
    <row r="48" spans="1:26" ht="18" customHeight="1" x14ac:dyDescent="0.15">
      <c r="A48" s="29"/>
      <c r="B48" s="181" t="s">
        <v>179</v>
      </c>
      <c r="C48" s="182"/>
      <c r="D48" s="182"/>
      <c r="E48" s="182"/>
      <c r="F48" s="188"/>
      <c r="G48" s="112">
        <v>2</v>
      </c>
      <c r="H48" s="112"/>
      <c r="I48" s="183" t="s">
        <v>163</v>
      </c>
      <c r="J48" s="184"/>
      <c r="K48" s="185"/>
      <c r="L48" s="112" t="s">
        <v>164</v>
      </c>
      <c r="M48" s="112"/>
      <c r="N48" s="189" t="s">
        <v>177</v>
      </c>
      <c r="O48" s="190"/>
      <c r="P48" s="190"/>
      <c r="Q48" s="190"/>
      <c r="R48" s="190"/>
      <c r="S48" s="191"/>
      <c r="T48" s="112">
        <v>2</v>
      </c>
      <c r="U48" s="112"/>
      <c r="V48" s="183" t="s">
        <v>163</v>
      </c>
      <c r="W48" s="184"/>
      <c r="X48" s="185"/>
      <c r="Y48" s="112" t="s">
        <v>164</v>
      </c>
      <c r="Z48" s="112" t="s">
        <v>164</v>
      </c>
    </row>
    <row r="49" spans="1:26" ht="18" customHeight="1" x14ac:dyDescent="0.15">
      <c r="A49" s="29"/>
      <c r="B49" s="181" t="s">
        <v>190</v>
      </c>
      <c r="C49" s="182"/>
      <c r="D49" s="182"/>
      <c r="E49" s="182"/>
      <c r="F49" s="188"/>
      <c r="G49" s="112">
        <v>2</v>
      </c>
      <c r="H49" s="112"/>
      <c r="I49" s="183" t="s">
        <v>163</v>
      </c>
      <c r="J49" s="184"/>
      <c r="K49" s="185"/>
      <c r="L49" s="112" t="s">
        <v>164</v>
      </c>
      <c r="M49" s="112" t="s">
        <v>164</v>
      </c>
      <c r="N49" s="181" t="s">
        <v>231</v>
      </c>
      <c r="O49" s="182"/>
      <c r="P49" s="182"/>
      <c r="Q49" s="182"/>
      <c r="R49" s="182"/>
      <c r="S49" s="188"/>
      <c r="T49" s="112">
        <v>2</v>
      </c>
      <c r="U49" s="112"/>
      <c r="V49" s="183" t="s">
        <v>214</v>
      </c>
      <c r="W49" s="184"/>
      <c r="X49" s="185"/>
      <c r="Y49" s="112" t="s">
        <v>164</v>
      </c>
      <c r="Z49" s="112" t="s">
        <v>164</v>
      </c>
    </row>
    <row r="50" spans="1:26" ht="18" customHeight="1" x14ac:dyDescent="0.15">
      <c r="A50" s="29"/>
      <c r="B50" s="181" t="s">
        <v>165</v>
      </c>
      <c r="C50" s="182"/>
      <c r="D50" s="182"/>
      <c r="E50" s="182"/>
      <c r="F50" s="188"/>
      <c r="G50" s="112">
        <v>2</v>
      </c>
      <c r="H50" s="112"/>
      <c r="I50" s="183" t="s">
        <v>163</v>
      </c>
      <c r="J50" s="184"/>
      <c r="K50" s="185"/>
      <c r="L50" s="112" t="s">
        <v>164</v>
      </c>
      <c r="M50" s="112" t="s">
        <v>164</v>
      </c>
      <c r="N50" s="181" t="s">
        <v>212</v>
      </c>
      <c r="O50" s="182"/>
      <c r="P50" s="182"/>
      <c r="Q50" s="182"/>
      <c r="R50" s="182"/>
      <c r="S50" s="188"/>
      <c r="T50" s="112">
        <v>2</v>
      </c>
      <c r="U50" s="112"/>
      <c r="V50" s="183" t="s">
        <v>214</v>
      </c>
      <c r="W50" s="184"/>
      <c r="X50" s="185"/>
      <c r="Y50" s="112" t="s">
        <v>164</v>
      </c>
      <c r="Z50" s="112" t="s">
        <v>164</v>
      </c>
    </row>
    <row r="51" spans="1:26" ht="18" customHeight="1" x14ac:dyDescent="0.15">
      <c r="A51" s="29"/>
      <c r="B51" s="181" t="s">
        <v>166</v>
      </c>
      <c r="C51" s="182"/>
      <c r="D51" s="182"/>
      <c r="E51" s="182"/>
      <c r="F51" s="188"/>
      <c r="G51" s="112">
        <v>2</v>
      </c>
      <c r="H51" s="112"/>
      <c r="I51" s="183" t="s">
        <v>163</v>
      </c>
      <c r="J51" s="184"/>
      <c r="K51" s="185"/>
      <c r="L51" s="112" t="s">
        <v>164</v>
      </c>
      <c r="M51" s="112" t="s">
        <v>164</v>
      </c>
      <c r="N51" s="181" t="s">
        <v>216</v>
      </c>
      <c r="O51" s="182"/>
      <c r="P51" s="182"/>
      <c r="Q51" s="182"/>
      <c r="R51" s="182"/>
      <c r="S51" s="188"/>
      <c r="T51" s="112">
        <v>2</v>
      </c>
      <c r="U51" s="112"/>
      <c r="V51" s="183" t="s">
        <v>214</v>
      </c>
      <c r="W51" s="184"/>
      <c r="X51" s="185"/>
      <c r="Y51" s="112" t="s">
        <v>164</v>
      </c>
      <c r="Z51" s="112" t="s">
        <v>164</v>
      </c>
    </row>
    <row r="52" spans="1:26" ht="18" customHeight="1" x14ac:dyDescent="0.15">
      <c r="A52" s="29"/>
      <c r="B52" s="181" t="s">
        <v>181</v>
      </c>
      <c r="C52" s="182"/>
      <c r="D52" s="182"/>
      <c r="E52" s="182"/>
      <c r="F52" s="188"/>
      <c r="G52" s="112">
        <v>2</v>
      </c>
      <c r="H52" s="112"/>
      <c r="I52" s="183" t="s">
        <v>163</v>
      </c>
      <c r="J52" s="184"/>
      <c r="K52" s="185"/>
      <c r="L52" s="112"/>
      <c r="M52" s="112" t="s">
        <v>164</v>
      </c>
      <c r="N52" s="181" t="s">
        <v>232</v>
      </c>
      <c r="O52" s="182"/>
      <c r="P52" s="182"/>
      <c r="Q52" s="182"/>
      <c r="R52" s="182"/>
      <c r="S52" s="188"/>
      <c r="T52" s="112">
        <v>2</v>
      </c>
      <c r="U52" s="112"/>
      <c r="V52" s="183" t="s">
        <v>163</v>
      </c>
      <c r="W52" s="184"/>
      <c r="X52" s="185"/>
      <c r="Y52" s="112" t="s">
        <v>164</v>
      </c>
      <c r="Z52" s="112" t="s">
        <v>164</v>
      </c>
    </row>
    <row r="53" spans="1:26" ht="18" customHeight="1" x14ac:dyDescent="0.15">
      <c r="A53" s="29"/>
      <c r="B53" s="181" t="s">
        <v>182</v>
      </c>
      <c r="C53" s="182"/>
      <c r="D53" s="182"/>
      <c r="E53" s="182"/>
      <c r="F53" s="188"/>
      <c r="G53" s="112">
        <v>2</v>
      </c>
      <c r="H53" s="112"/>
      <c r="I53" s="183" t="s">
        <v>163</v>
      </c>
      <c r="J53" s="184"/>
      <c r="K53" s="185"/>
      <c r="L53" s="112"/>
      <c r="M53" s="112" t="s">
        <v>164</v>
      </c>
      <c r="N53" s="181" t="s">
        <v>233</v>
      </c>
      <c r="O53" s="182"/>
      <c r="P53" s="182"/>
      <c r="Q53" s="182"/>
      <c r="R53" s="182"/>
      <c r="S53" s="188"/>
      <c r="T53" s="112">
        <v>2</v>
      </c>
      <c r="U53" s="112"/>
      <c r="V53" s="183" t="s">
        <v>163</v>
      </c>
      <c r="W53" s="184"/>
      <c r="X53" s="185"/>
      <c r="Y53" s="112" t="s">
        <v>164</v>
      </c>
      <c r="Z53" s="112" t="s">
        <v>164</v>
      </c>
    </row>
    <row r="54" spans="1:26" ht="18" customHeight="1" x14ac:dyDescent="0.15">
      <c r="A54" s="29"/>
      <c r="B54" s="181" t="s">
        <v>168</v>
      </c>
      <c r="C54" s="182"/>
      <c r="D54" s="182"/>
      <c r="E54" s="182"/>
      <c r="F54" s="182"/>
      <c r="G54" s="112">
        <v>2</v>
      </c>
      <c r="H54" s="112"/>
      <c r="I54" s="183" t="s">
        <v>163</v>
      </c>
      <c r="J54" s="184"/>
      <c r="K54" s="185"/>
      <c r="L54" s="112" t="s">
        <v>164</v>
      </c>
      <c r="M54" s="112" t="s">
        <v>164</v>
      </c>
      <c r="N54" s="181" t="s">
        <v>234</v>
      </c>
      <c r="O54" s="182"/>
      <c r="P54" s="182"/>
      <c r="Q54" s="182"/>
      <c r="R54" s="182"/>
      <c r="S54" s="188"/>
      <c r="T54" s="124">
        <v>2</v>
      </c>
      <c r="U54" s="124"/>
      <c r="V54" s="183" t="s">
        <v>163</v>
      </c>
      <c r="W54" s="184"/>
      <c r="X54" s="185"/>
      <c r="Y54" s="112" t="s">
        <v>164</v>
      </c>
      <c r="Z54" s="112" t="s">
        <v>164</v>
      </c>
    </row>
    <row r="55" spans="1:26" ht="18" customHeight="1" x14ac:dyDescent="0.15">
      <c r="A55" s="29"/>
      <c r="B55" s="181" t="s">
        <v>169</v>
      </c>
      <c r="C55" s="182"/>
      <c r="D55" s="182"/>
      <c r="E55" s="182"/>
      <c r="F55" s="182"/>
      <c r="G55" s="112">
        <v>2</v>
      </c>
      <c r="H55" s="112"/>
      <c r="I55" s="183" t="s">
        <v>163</v>
      </c>
      <c r="J55" s="184"/>
      <c r="K55" s="185"/>
      <c r="L55" s="112" t="s">
        <v>164</v>
      </c>
      <c r="M55" s="112" t="s">
        <v>164</v>
      </c>
      <c r="N55" s="181" t="s">
        <v>235</v>
      </c>
      <c r="O55" s="182"/>
      <c r="P55" s="182"/>
      <c r="Q55" s="182"/>
      <c r="R55" s="182"/>
      <c r="S55" s="188"/>
      <c r="T55" s="112">
        <v>2</v>
      </c>
      <c r="U55" s="112"/>
      <c r="V55" s="183" t="s">
        <v>163</v>
      </c>
      <c r="W55" s="184"/>
      <c r="X55" s="185"/>
      <c r="Y55" s="112" t="s">
        <v>164</v>
      </c>
      <c r="Z55" s="112" t="s">
        <v>164</v>
      </c>
    </row>
    <row r="56" spans="1:26" ht="18" customHeight="1" x14ac:dyDescent="0.15">
      <c r="A56" s="29"/>
      <c r="B56" s="181" t="s">
        <v>170</v>
      </c>
      <c r="C56" s="182"/>
      <c r="D56" s="182"/>
      <c r="E56" s="182"/>
      <c r="F56" s="182"/>
      <c r="G56" s="112">
        <v>4</v>
      </c>
      <c r="H56" s="112"/>
      <c r="I56" s="183" t="s">
        <v>163</v>
      </c>
      <c r="J56" s="184"/>
      <c r="K56" s="185"/>
      <c r="L56" s="112" t="s">
        <v>164</v>
      </c>
      <c r="M56" s="112" t="s">
        <v>164</v>
      </c>
      <c r="N56" s="189" t="s">
        <v>237</v>
      </c>
      <c r="O56" s="190"/>
      <c r="P56" s="190"/>
      <c r="Q56" s="190"/>
      <c r="R56" s="190"/>
      <c r="S56" s="191"/>
      <c r="T56" s="112">
        <v>2</v>
      </c>
      <c r="U56" s="112"/>
      <c r="V56" s="183" t="s">
        <v>163</v>
      </c>
      <c r="W56" s="184"/>
      <c r="X56" s="185"/>
      <c r="Y56" s="112" t="s">
        <v>164</v>
      </c>
      <c r="Z56" s="112" t="s">
        <v>164</v>
      </c>
    </row>
    <row r="57" spans="1:26" ht="18" customHeight="1" x14ac:dyDescent="0.15">
      <c r="A57" s="29"/>
      <c r="B57" s="181" t="s">
        <v>172</v>
      </c>
      <c r="C57" s="182"/>
      <c r="D57" s="182"/>
      <c r="E57" s="182"/>
      <c r="F57" s="182"/>
      <c r="G57" s="112">
        <v>4</v>
      </c>
      <c r="H57" s="112"/>
      <c r="I57" s="183" t="s">
        <v>163</v>
      </c>
      <c r="J57" s="184"/>
      <c r="K57" s="185"/>
      <c r="L57" s="112" t="s">
        <v>164</v>
      </c>
      <c r="M57" s="112" t="s">
        <v>164</v>
      </c>
      <c r="N57" s="312" t="s">
        <v>238</v>
      </c>
      <c r="O57" s="313"/>
      <c r="P57" s="313"/>
      <c r="Q57" s="313"/>
      <c r="R57" s="313"/>
      <c r="S57" s="314"/>
      <c r="T57" s="124">
        <v>2</v>
      </c>
      <c r="U57" s="124"/>
      <c r="V57" s="279" t="s">
        <v>163</v>
      </c>
      <c r="W57" s="280"/>
      <c r="X57" s="281"/>
      <c r="Y57" s="124" t="s">
        <v>164</v>
      </c>
      <c r="Z57" s="112" t="s">
        <v>164</v>
      </c>
    </row>
    <row r="58" spans="1:26" ht="18" customHeight="1" x14ac:dyDescent="0.15">
      <c r="A58" s="29"/>
      <c r="B58" s="193" t="s">
        <v>174</v>
      </c>
      <c r="C58" s="194"/>
      <c r="D58" s="194"/>
      <c r="E58" s="194"/>
      <c r="F58" s="194"/>
      <c r="G58" s="116">
        <v>4</v>
      </c>
      <c r="H58" s="116"/>
      <c r="I58" s="196" t="s">
        <v>163</v>
      </c>
      <c r="J58" s="197"/>
      <c r="K58" s="198"/>
      <c r="L58" s="116" t="s">
        <v>164</v>
      </c>
      <c r="M58" s="116" t="s">
        <v>164</v>
      </c>
      <c r="N58" s="199"/>
      <c r="O58" s="200"/>
      <c r="P58" s="200"/>
      <c r="Q58" s="200"/>
      <c r="R58" s="200"/>
      <c r="S58" s="201"/>
      <c r="T58" s="116"/>
      <c r="U58" s="116"/>
      <c r="V58" s="196"/>
      <c r="W58" s="197"/>
      <c r="X58" s="198"/>
      <c r="Y58" s="116"/>
      <c r="Z58" s="116"/>
    </row>
    <row r="59" spans="1:26" ht="7.5" customHeight="1" x14ac:dyDescent="0.15">
      <c r="B59" s="75"/>
      <c r="C59" s="75"/>
      <c r="D59" s="75"/>
      <c r="E59" s="75"/>
      <c r="F59" s="75"/>
      <c r="G59" s="75"/>
      <c r="H59" s="75"/>
      <c r="I59" s="75"/>
      <c r="J59" s="75"/>
      <c r="K59" s="75"/>
      <c r="L59" s="75"/>
      <c r="M59" s="75"/>
      <c r="N59" s="75"/>
      <c r="O59" s="75"/>
      <c r="P59" s="75"/>
      <c r="Q59" s="75"/>
      <c r="R59" s="75"/>
      <c r="S59" s="75"/>
      <c r="T59" s="75"/>
      <c r="U59" s="75"/>
      <c r="V59" s="75"/>
      <c r="W59" s="75"/>
      <c r="X59" s="75"/>
      <c r="Y59" s="75"/>
    </row>
    <row r="60" spans="1:26" ht="18" customHeight="1" x14ac:dyDescent="0.15">
      <c r="A60" s="192" t="s">
        <v>132</v>
      </c>
      <c r="B60" s="192"/>
      <c r="C60" s="192"/>
      <c r="D60" s="192"/>
      <c r="E60" s="192"/>
      <c r="F60" s="192"/>
      <c r="G60" s="192"/>
      <c r="H60" s="192"/>
      <c r="I60" s="192"/>
      <c r="J60" s="192"/>
      <c r="K60" s="192"/>
      <c r="L60" s="192"/>
      <c r="M60" s="192"/>
      <c r="N60" s="192"/>
      <c r="O60" s="192"/>
      <c r="P60" s="192"/>
      <c r="Q60" s="192"/>
      <c r="R60" s="192"/>
      <c r="S60" s="192"/>
      <c r="T60" s="192"/>
      <c r="U60" s="192"/>
      <c r="V60" s="192"/>
      <c r="W60" s="192"/>
      <c r="X60" s="192"/>
      <c r="Y60" s="192"/>
      <c r="Z60" s="192"/>
    </row>
    <row r="61" spans="1:26" ht="18" customHeight="1" x14ac:dyDescent="0.15">
      <c r="A61" s="192"/>
      <c r="B61" s="192"/>
      <c r="C61" s="192"/>
      <c r="D61" s="192"/>
      <c r="E61" s="192"/>
      <c r="F61" s="192"/>
      <c r="G61" s="192"/>
      <c r="H61" s="192"/>
      <c r="I61" s="192"/>
      <c r="J61" s="192"/>
      <c r="K61" s="192"/>
      <c r="L61" s="192"/>
      <c r="M61" s="192"/>
      <c r="N61" s="192"/>
      <c r="O61" s="192"/>
      <c r="P61" s="192"/>
      <c r="Q61" s="192"/>
      <c r="R61" s="192"/>
      <c r="S61" s="192"/>
      <c r="T61" s="192"/>
      <c r="U61" s="192"/>
      <c r="V61" s="192"/>
      <c r="W61" s="192"/>
      <c r="X61" s="192"/>
      <c r="Y61" s="192"/>
      <c r="Z61" s="192"/>
    </row>
    <row r="62" spans="1:26" ht="18" customHeight="1" x14ac:dyDescent="0.15">
      <c r="A62" s="14"/>
      <c r="B62" s="150" t="s">
        <v>100</v>
      </c>
      <c r="C62" s="151"/>
      <c r="D62" s="151"/>
      <c r="E62" s="151"/>
      <c r="F62" s="152"/>
      <c r="G62" s="30" t="s">
        <v>141</v>
      </c>
      <c r="H62" s="110" t="s">
        <v>140</v>
      </c>
      <c r="I62" s="150" t="s">
        <v>101</v>
      </c>
      <c r="J62" s="151"/>
      <c r="K62" s="152"/>
      <c r="L62" s="73" t="s">
        <v>106</v>
      </c>
      <c r="M62" s="73" t="s">
        <v>108</v>
      </c>
      <c r="N62" s="150" t="s">
        <v>100</v>
      </c>
      <c r="O62" s="151"/>
      <c r="P62" s="151"/>
      <c r="Q62" s="151"/>
      <c r="R62" s="151"/>
      <c r="S62" s="152"/>
      <c r="T62" s="30" t="s">
        <v>141</v>
      </c>
      <c r="U62" s="110" t="s">
        <v>140</v>
      </c>
      <c r="V62" s="150" t="s">
        <v>101</v>
      </c>
      <c r="W62" s="151"/>
      <c r="X62" s="152"/>
      <c r="Y62" s="73" t="s">
        <v>106</v>
      </c>
      <c r="Z62" s="73" t="s">
        <v>108</v>
      </c>
    </row>
    <row r="63" spans="1:26" ht="18" customHeight="1" x14ac:dyDescent="0.15">
      <c r="A63" s="29"/>
      <c r="B63" s="261" t="s">
        <v>179</v>
      </c>
      <c r="C63" s="261"/>
      <c r="D63" s="261"/>
      <c r="E63" s="261"/>
      <c r="F63" s="261"/>
      <c r="G63" s="111">
        <v>2</v>
      </c>
      <c r="H63" s="111"/>
      <c r="I63" s="262" t="s">
        <v>163</v>
      </c>
      <c r="J63" s="262"/>
      <c r="K63" s="262"/>
      <c r="L63" s="111" t="s">
        <v>164</v>
      </c>
      <c r="M63" s="111" t="s">
        <v>164</v>
      </c>
      <c r="N63" s="261" t="s">
        <v>216</v>
      </c>
      <c r="O63" s="261"/>
      <c r="P63" s="261"/>
      <c r="Q63" s="261"/>
      <c r="R63" s="261"/>
      <c r="S63" s="261"/>
      <c r="T63" s="111">
        <v>2</v>
      </c>
      <c r="U63" s="111"/>
      <c r="V63" s="262" t="s">
        <v>214</v>
      </c>
      <c r="W63" s="262"/>
      <c r="X63" s="262"/>
      <c r="Y63" s="111" t="s">
        <v>164</v>
      </c>
      <c r="Z63" s="111" t="s">
        <v>164</v>
      </c>
    </row>
    <row r="64" spans="1:26" ht="18" customHeight="1" x14ac:dyDescent="0.15">
      <c r="A64" s="29"/>
      <c r="B64" s="186" t="s">
        <v>190</v>
      </c>
      <c r="C64" s="186"/>
      <c r="D64" s="186"/>
      <c r="E64" s="186"/>
      <c r="F64" s="186"/>
      <c r="G64" s="112">
        <v>2</v>
      </c>
      <c r="H64" s="112"/>
      <c r="I64" s="187" t="s">
        <v>163</v>
      </c>
      <c r="J64" s="187"/>
      <c r="K64" s="187"/>
      <c r="L64" s="112" t="s">
        <v>164</v>
      </c>
      <c r="M64" s="112" t="s">
        <v>164</v>
      </c>
      <c r="N64" s="181" t="s">
        <v>233</v>
      </c>
      <c r="O64" s="182"/>
      <c r="P64" s="182"/>
      <c r="Q64" s="182"/>
      <c r="R64" s="182"/>
      <c r="S64" s="188"/>
      <c r="T64" s="112">
        <v>2</v>
      </c>
      <c r="U64" s="112"/>
      <c r="V64" s="183" t="s">
        <v>163</v>
      </c>
      <c r="W64" s="184"/>
      <c r="X64" s="185"/>
      <c r="Y64" s="112" t="s">
        <v>164</v>
      </c>
      <c r="Z64" s="112"/>
    </row>
    <row r="65" spans="1:26" ht="18" customHeight="1" x14ac:dyDescent="0.15">
      <c r="A65" s="29"/>
      <c r="B65" s="186" t="s">
        <v>165</v>
      </c>
      <c r="C65" s="186"/>
      <c r="D65" s="186"/>
      <c r="E65" s="186"/>
      <c r="F65" s="186"/>
      <c r="G65" s="112">
        <v>2</v>
      </c>
      <c r="H65" s="112"/>
      <c r="I65" s="187" t="s">
        <v>163</v>
      </c>
      <c r="J65" s="187"/>
      <c r="K65" s="187"/>
      <c r="L65" s="112" t="s">
        <v>164</v>
      </c>
      <c r="M65" s="112" t="s">
        <v>164</v>
      </c>
      <c r="N65" s="181" t="s">
        <v>234</v>
      </c>
      <c r="O65" s="182"/>
      <c r="P65" s="182"/>
      <c r="Q65" s="182"/>
      <c r="R65" s="182"/>
      <c r="S65" s="188"/>
      <c r="T65" s="112">
        <v>2</v>
      </c>
      <c r="U65" s="112"/>
      <c r="V65" s="183" t="s">
        <v>163</v>
      </c>
      <c r="W65" s="184"/>
      <c r="X65" s="185"/>
      <c r="Y65" s="112" t="s">
        <v>164</v>
      </c>
      <c r="Z65" s="112"/>
    </row>
    <row r="66" spans="1:26" ht="18" customHeight="1" x14ac:dyDescent="0.15">
      <c r="A66" s="29"/>
      <c r="B66" s="186" t="s">
        <v>166</v>
      </c>
      <c r="C66" s="186"/>
      <c r="D66" s="186"/>
      <c r="E66" s="186"/>
      <c r="F66" s="186"/>
      <c r="G66" s="112">
        <v>2</v>
      </c>
      <c r="H66" s="112"/>
      <c r="I66" s="187" t="s">
        <v>163</v>
      </c>
      <c r="J66" s="187"/>
      <c r="K66" s="187"/>
      <c r="L66" s="112" t="s">
        <v>164</v>
      </c>
      <c r="M66" s="112" t="s">
        <v>164</v>
      </c>
      <c r="N66" s="181" t="s">
        <v>235</v>
      </c>
      <c r="O66" s="182"/>
      <c r="P66" s="182"/>
      <c r="Q66" s="182"/>
      <c r="R66" s="182"/>
      <c r="S66" s="188"/>
      <c r="T66" s="112">
        <v>2</v>
      </c>
      <c r="U66" s="112"/>
      <c r="V66" s="183" t="s">
        <v>163</v>
      </c>
      <c r="W66" s="184"/>
      <c r="X66" s="185"/>
      <c r="Y66" s="112" t="s">
        <v>164</v>
      </c>
      <c r="Z66" s="112"/>
    </row>
    <row r="67" spans="1:26" ht="18" customHeight="1" x14ac:dyDescent="0.15">
      <c r="A67" s="29"/>
      <c r="B67" s="186" t="s">
        <v>173</v>
      </c>
      <c r="C67" s="186"/>
      <c r="D67" s="186"/>
      <c r="E67" s="186"/>
      <c r="F67" s="186"/>
      <c r="G67" s="112">
        <v>4</v>
      </c>
      <c r="H67" s="112"/>
      <c r="I67" s="187" t="s">
        <v>163</v>
      </c>
      <c r="J67" s="187"/>
      <c r="K67" s="187"/>
      <c r="L67" s="112" t="s">
        <v>164</v>
      </c>
      <c r="M67" s="112" t="s">
        <v>164</v>
      </c>
      <c r="N67" s="181" t="s">
        <v>237</v>
      </c>
      <c r="O67" s="182"/>
      <c r="P67" s="182"/>
      <c r="Q67" s="182"/>
      <c r="R67" s="182"/>
      <c r="S67" s="188"/>
      <c r="T67" s="112">
        <v>2</v>
      </c>
      <c r="U67" s="112"/>
      <c r="V67" s="183" t="s">
        <v>163</v>
      </c>
      <c r="W67" s="184"/>
      <c r="X67" s="185"/>
      <c r="Y67" s="112" t="s">
        <v>164</v>
      </c>
      <c r="Z67" s="112"/>
    </row>
    <row r="68" spans="1:26" ht="18" customHeight="1" x14ac:dyDescent="0.15">
      <c r="A68" s="29"/>
      <c r="B68" s="186" t="s">
        <v>175</v>
      </c>
      <c r="C68" s="186"/>
      <c r="D68" s="186"/>
      <c r="E68" s="186"/>
      <c r="F68" s="186"/>
      <c r="G68" s="112">
        <v>4</v>
      </c>
      <c r="H68" s="112"/>
      <c r="I68" s="187" t="s">
        <v>163</v>
      </c>
      <c r="J68" s="187"/>
      <c r="K68" s="187"/>
      <c r="L68" s="112" t="s">
        <v>164</v>
      </c>
      <c r="M68" s="112" t="s">
        <v>164</v>
      </c>
      <c r="N68" s="189" t="s">
        <v>238</v>
      </c>
      <c r="O68" s="190"/>
      <c r="P68" s="190"/>
      <c r="Q68" s="190"/>
      <c r="R68" s="190"/>
      <c r="S68" s="191"/>
      <c r="T68" s="112">
        <v>2</v>
      </c>
      <c r="U68" s="112"/>
      <c r="V68" s="183" t="s">
        <v>163</v>
      </c>
      <c r="W68" s="184"/>
      <c r="X68" s="185"/>
      <c r="Y68" s="112" t="s">
        <v>164</v>
      </c>
      <c r="Z68" s="112"/>
    </row>
    <row r="69" spans="1:26" ht="18" customHeight="1" x14ac:dyDescent="0.15">
      <c r="A69" s="29"/>
      <c r="B69" s="186" t="s">
        <v>176</v>
      </c>
      <c r="C69" s="186"/>
      <c r="D69" s="186"/>
      <c r="E69" s="186"/>
      <c r="F69" s="186"/>
      <c r="G69" s="112">
        <v>2</v>
      </c>
      <c r="H69" s="112"/>
      <c r="I69" s="187" t="s">
        <v>163</v>
      </c>
      <c r="J69" s="187"/>
      <c r="K69" s="187"/>
      <c r="L69" s="112" t="s">
        <v>164</v>
      </c>
      <c r="M69" s="112" t="s">
        <v>164</v>
      </c>
      <c r="N69" s="189"/>
      <c r="O69" s="190"/>
      <c r="P69" s="190"/>
      <c r="Q69" s="190"/>
      <c r="R69" s="190"/>
      <c r="S69" s="191"/>
      <c r="T69" s="112"/>
      <c r="U69" s="112"/>
      <c r="V69" s="183"/>
      <c r="W69" s="184"/>
      <c r="X69" s="185"/>
      <c r="Y69" s="112"/>
      <c r="Z69" s="112"/>
    </row>
    <row r="70" spans="1:26" ht="18" customHeight="1" x14ac:dyDescent="0.15">
      <c r="A70" s="29"/>
      <c r="B70" s="284" t="s">
        <v>177</v>
      </c>
      <c r="C70" s="284"/>
      <c r="D70" s="284"/>
      <c r="E70" s="284"/>
      <c r="F70" s="284"/>
      <c r="G70" s="116">
        <v>2</v>
      </c>
      <c r="H70" s="116"/>
      <c r="I70" s="283" t="s">
        <v>163</v>
      </c>
      <c r="J70" s="283"/>
      <c r="K70" s="283"/>
      <c r="L70" s="116" t="s">
        <v>164</v>
      </c>
      <c r="M70" s="116" t="s">
        <v>164</v>
      </c>
      <c r="N70" s="235"/>
      <c r="O70" s="236"/>
      <c r="P70" s="236"/>
      <c r="Q70" s="236"/>
      <c r="R70" s="236"/>
      <c r="S70" s="237"/>
      <c r="T70" s="116"/>
      <c r="U70" s="116"/>
      <c r="V70" s="283"/>
      <c r="W70" s="283"/>
      <c r="X70" s="283"/>
      <c r="Y70" s="116"/>
      <c r="Z70" s="116"/>
    </row>
    <row r="71" spans="1:26" ht="7.5" customHeight="1" x14ac:dyDescent="0.15">
      <c r="B71" s="75"/>
      <c r="C71" s="75"/>
      <c r="D71" s="75"/>
      <c r="E71" s="75"/>
      <c r="F71" s="75"/>
      <c r="G71" s="75"/>
      <c r="H71" s="75"/>
      <c r="I71" s="75"/>
      <c r="J71" s="75"/>
      <c r="K71" s="75"/>
      <c r="L71" s="75"/>
      <c r="M71" s="75"/>
      <c r="N71" s="75"/>
      <c r="O71" s="75"/>
      <c r="P71" s="75"/>
      <c r="Q71" s="75"/>
      <c r="R71" s="75"/>
      <c r="S71" s="75"/>
      <c r="T71" s="75"/>
      <c r="U71" s="75"/>
      <c r="V71" s="75"/>
      <c r="W71" s="75"/>
      <c r="X71" s="75"/>
      <c r="Y71" s="75"/>
    </row>
    <row r="72" spans="1:26" ht="18" customHeight="1" x14ac:dyDescent="0.15">
      <c r="A72" s="192" t="s">
        <v>133</v>
      </c>
      <c r="B72" s="192"/>
      <c r="C72" s="192"/>
      <c r="D72" s="192"/>
      <c r="E72" s="192"/>
      <c r="F72" s="192"/>
      <c r="G72" s="192"/>
      <c r="H72" s="192"/>
      <c r="I72" s="192"/>
      <c r="J72" s="192"/>
      <c r="K72" s="192"/>
      <c r="L72" s="192"/>
      <c r="M72" s="192"/>
      <c r="N72" s="192"/>
      <c r="O72" s="192"/>
      <c r="P72" s="192"/>
      <c r="Q72" s="192"/>
      <c r="R72" s="192"/>
      <c r="S72" s="192"/>
      <c r="T72" s="192"/>
      <c r="U72" s="192"/>
      <c r="V72" s="192"/>
      <c r="W72" s="192"/>
      <c r="X72" s="192"/>
      <c r="Y72" s="192"/>
      <c r="Z72" s="192"/>
    </row>
    <row r="73" spans="1:26" ht="18" customHeight="1" x14ac:dyDescent="0.15">
      <c r="A73" s="192"/>
      <c r="B73" s="192"/>
      <c r="C73" s="192"/>
      <c r="D73" s="192"/>
      <c r="E73" s="192"/>
      <c r="F73" s="192"/>
      <c r="G73" s="192"/>
      <c r="H73" s="192"/>
      <c r="I73" s="192"/>
      <c r="J73" s="192"/>
      <c r="K73" s="192"/>
      <c r="L73" s="192"/>
      <c r="M73" s="192"/>
      <c r="N73" s="192"/>
      <c r="O73" s="192"/>
      <c r="P73" s="192"/>
      <c r="Q73" s="192"/>
      <c r="R73" s="192"/>
      <c r="S73" s="192"/>
      <c r="T73" s="192"/>
      <c r="U73" s="192"/>
      <c r="V73" s="192"/>
      <c r="W73" s="192"/>
      <c r="X73" s="192"/>
      <c r="Y73" s="192"/>
      <c r="Z73" s="192"/>
    </row>
    <row r="74" spans="1:26" ht="18" customHeight="1" x14ac:dyDescent="0.15">
      <c r="A74" s="14"/>
      <c r="B74" s="150" t="s">
        <v>100</v>
      </c>
      <c r="C74" s="151"/>
      <c r="D74" s="151"/>
      <c r="E74" s="152"/>
      <c r="F74" s="30" t="s">
        <v>141</v>
      </c>
      <c r="G74" s="110" t="s">
        <v>140</v>
      </c>
      <c r="H74" s="105" t="s">
        <v>101</v>
      </c>
      <c r="I74" s="106"/>
      <c r="J74" s="107"/>
      <c r="K74" s="73" t="s">
        <v>105</v>
      </c>
      <c r="L74" s="73" t="s">
        <v>134</v>
      </c>
      <c r="M74" s="73" t="s">
        <v>135</v>
      </c>
      <c r="N74" s="150" t="s">
        <v>100</v>
      </c>
      <c r="O74" s="151"/>
      <c r="P74" s="151"/>
      <c r="Q74" s="151"/>
      <c r="R74" s="152"/>
      <c r="S74" s="30" t="s">
        <v>141</v>
      </c>
      <c r="T74" s="110" t="s">
        <v>140</v>
      </c>
      <c r="U74" s="105" t="s">
        <v>101</v>
      </c>
      <c r="V74" s="106"/>
      <c r="W74" s="107"/>
      <c r="X74" s="73" t="s">
        <v>105</v>
      </c>
      <c r="Y74" s="73" t="s">
        <v>134</v>
      </c>
      <c r="Z74" s="73" t="s">
        <v>135</v>
      </c>
    </row>
    <row r="75" spans="1:26" ht="18" customHeight="1" x14ac:dyDescent="0.15">
      <c r="A75" s="29"/>
      <c r="B75" s="315" t="s">
        <v>178</v>
      </c>
      <c r="C75" s="315"/>
      <c r="D75" s="315"/>
      <c r="E75" s="315"/>
      <c r="F75" s="111">
        <v>2</v>
      </c>
      <c r="G75" s="111"/>
      <c r="H75" s="262" t="s">
        <v>163</v>
      </c>
      <c r="I75" s="262"/>
      <c r="J75" s="262"/>
      <c r="K75" s="129" t="s">
        <v>183</v>
      </c>
      <c r="L75" s="111" t="s">
        <v>164</v>
      </c>
      <c r="M75" s="111"/>
      <c r="N75" s="256" t="s">
        <v>176</v>
      </c>
      <c r="O75" s="257"/>
      <c r="P75" s="257"/>
      <c r="Q75" s="257"/>
      <c r="R75" s="263"/>
      <c r="S75" s="112">
        <v>2</v>
      </c>
      <c r="T75" s="112"/>
      <c r="U75" s="258" t="s">
        <v>163</v>
      </c>
      <c r="V75" s="259"/>
      <c r="W75" s="260"/>
      <c r="X75" s="140" t="s">
        <v>183</v>
      </c>
      <c r="Y75" s="112" t="s">
        <v>164</v>
      </c>
      <c r="Z75" s="112" t="s">
        <v>164</v>
      </c>
    </row>
    <row r="76" spans="1:26" ht="18" customHeight="1" x14ac:dyDescent="0.15">
      <c r="A76" s="29"/>
      <c r="B76" s="316" t="s">
        <v>179</v>
      </c>
      <c r="C76" s="316"/>
      <c r="D76" s="316"/>
      <c r="E76" s="316"/>
      <c r="F76" s="112">
        <v>2</v>
      </c>
      <c r="G76" s="112"/>
      <c r="H76" s="187" t="s">
        <v>163</v>
      </c>
      <c r="I76" s="187"/>
      <c r="J76" s="187"/>
      <c r="K76" s="128" t="s">
        <v>183</v>
      </c>
      <c r="L76" s="112" t="s">
        <v>164</v>
      </c>
      <c r="M76" s="112"/>
      <c r="N76" s="181" t="s">
        <v>177</v>
      </c>
      <c r="O76" s="182"/>
      <c r="P76" s="182"/>
      <c r="Q76" s="182"/>
      <c r="R76" s="188"/>
      <c r="S76" s="112">
        <v>2</v>
      </c>
      <c r="T76" s="112"/>
      <c r="U76" s="183" t="s">
        <v>163</v>
      </c>
      <c r="V76" s="184"/>
      <c r="W76" s="185"/>
      <c r="X76" s="140" t="s">
        <v>183</v>
      </c>
      <c r="Y76" s="112" t="s">
        <v>164</v>
      </c>
      <c r="Z76" s="112" t="s">
        <v>164</v>
      </c>
    </row>
    <row r="77" spans="1:26" ht="18" customHeight="1" x14ac:dyDescent="0.15">
      <c r="A77" s="29"/>
      <c r="B77" s="316" t="s">
        <v>191</v>
      </c>
      <c r="C77" s="316"/>
      <c r="D77" s="316"/>
      <c r="E77" s="316"/>
      <c r="F77" s="112">
        <v>2</v>
      </c>
      <c r="G77" s="112"/>
      <c r="H77" s="187" t="s">
        <v>163</v>
      </c>
      <c r="I77" s="187"/>
      <c r="J77" s="187"/>
      <c r="K77" s="128" t="s">
        <v>183</v>
      </c>
      <c r="L77" s="112" t="s">
        <v>164</v>
      </c>
      <c r="M77" s="112" t="s">
        <v>164</v>
      </c>
      <c r="N77" s="181" t="s">
        <v>216</v>
      </c>
      <c r="O77" s="182"/>
      <c r="P77" s="182"/>
      <c r="Q77" s="182"/>
      <c r="R77" s="188"/>
      <c r="S77" s="112">
        <v>2</v>
      </c>
      <c r="T77" s="112"/>
      <c r="U77" s="183" t="s">
        <v>214</v>
      </c>
      <c r="V77" s="184"/>
      <c r="W77" s="185"/>
      <c r="X77" s="140" t="s">
        <v>183</v>
      </c>
      <c r="Y77" s="112" t="s">
        <v>164</v>
      </c>
      <c r="Z77" s="112" t="s">
        <v>164</v>
      </c>
    </row>
    <row r="78" spans="1:26" ht="18" customHeight="1" x14ac:dyDescent="0.15">
      <c r="A78" s="29"/>
      <c r="B78" s="316" t="s">
        <v>192</v>
      </c>
      <c r="C78" s="316"/>
      <c r="D78" s="316"/>
      <c r="E78" s="316"/>
      <c r="F78" s="112">
        <v>2</v>
      </c>
      <c r="G78" s="112"/>
      <c r="H78" s="187" t="s">
        <v>163</v>
      </c>
      <c r="I78" s="187"/>
      <c r="J78" s="187"/>
      <c r="K78" s="128" t="s">
        <v>183</v>
      </c>
      <c r="L78" s="112" t="s">
        <v>164</v>
      </c>
      <c r="M78" s="112" t="s">
        <v>164</v>
      </c>
      <c r="N78" s="181" t="s">
        <v>215</v>
      </c>
      <c r="O78" s="182"/>
      <c r="P78" s="182"/>
      <c r="Q78" s="182"/>
      <c r="R78" s="188"/>
      <c r="S78" s="112">
        <v>2</v>
      </c>
      <c r="T78" s="112"/>
      <c r="U78" s="183" t="s">
        <v>214</v>
      </c>
      <c r="V78" s="184"/>
      <c r="W78" s="185"/>
      <c r="X78" s="112" t="s">
        <v>164</v>
      </c>
      <c r="Y78" s="112" t="s">
        <v>164</v>
      </c>
      <c r="Z78" s="112" t="s">
        <v>164</v>
      </c>
    </row>
    <row r="79" spans="1:26" ht="18" customHeight="1" x14ac:dyDescent="0.15">
      <c r="A79" s="29"/>
      <c r="B79" s="316" t="s">
        <v>165</v>
      </c>
      <c r="C79" s="316"/>
      <c r="D79" s="316"/>
      <c r="E79" s="316"/>
      <c r="F79" s="112">
        <v>2</v>
      </c>
      <c r="G79" s="112"/>
      <c r="H79" s="187" t="s">
        <v>163</v>
      </c>
      <c r="I79" s="187"/>
      <c r="J79" s="187"/>
      <c r="K79" s="128" t="s">
        <v>183</v>
      </c>
      <c r="L79" s="112" t="s">
        <v>164</v>
      </c>
      <c r="M79" s="112" t="s">
        <v>164</v>
      </c>
      <c r="N79" s="181" t="s">
        <v>211</v>
      </c>
      <c r="O79" s="182"/>
      <c r="P79" s="182"/>
      <c r="Q79" s="182"/>
      <c r="R79" s="188"/>
      <c r="S79" s="112">
        <v>2</v>
      </c>
      <c r="T79" s="112"/>
      <c r="U79" s="183" t="s">
        <v>214</v>
      </c>
      <c r="V79" s="184"/>
      <c r="W79" s="185"/>
      <c r="X79" s="112" t="s">
        <v>164</v>
      </c>
      <c r="Y79" s="112" t="s">
        <v>164</v>
      </c>
      <c r="Z79" s="112" t="s">
        <v>164</v>
      </c>
    </row>
    <row r="80" spans="1:26" ht="18" customHeight="1" x14ac:dyDescent="0.15">
      <c r="A80" s="29"/>
      <c r="B80" s="186" t="s">
        <v>166</v>
      </c>
      <c r="C80" s="186"/>
      <c r="D80" s="186"/>
      <c r="E80" s="186"/>
      <c r="F80" s="112">
        <v>2</v>
      </c>
      <c r="G80" s="112"/>
      <c r="H80" s="187" t="s">
        <v>163</v>
      </c>
      <c r="I80" s="187"/>
      <c r="J80" s="187"/>
      <c r="K80" s="128" t="s">
        <v>183</v>
      </c>
      <c r="L80" s="112" t="s">
        <v>164</v>
      </c>
      <c r="M80" s="112" t="s">
        <v>164</v>
      </c>
      <c r="N80" s="181" t="s">
        <v>212</v>
      </c>
      <c r="O80" s="182"/>
      <c r="P80" s="182"/>
      <c r="Q80" s="182"/>
      <c r="R80" s="188"/>
      <c r="S80" s="112">
        <v>2</v>
      </c>
      <c r="T80" s="112"/>
      <c r="U80" s="183" t="s">
        <v>214</v>
      </c>
      <c r="V80" s="184"/>
      <c r="W80" s="185"/>
      <c r="X80" s="112" t="s">
        <v>164</v>
      </c>
      <c r="Y80" s="112" t="s">
        <v>164</v>
      </c>
      <c r="Z80" s="112" t="s">
        <v>164</v>
      </c>
    </row>
    <row r="81" spans="1:26" ht="18" customHeight="1" x14ac:dyDescent="0.15">
      <c r="A81" s="29"/>
      <c r="B81" s="181" t="s">
        <v>180</v>
      </c>
      <c r="C81" s="182"/>
      <c r="D81" s="182"/>
      <c r="E81" s="188"/>
      <c r="F81" s="112">
        <v>2</v>
      </c>
      <c r="G81" s="112"/>
      <c r="H81" s="183" t="s">
        <v>163</v>
      </c>
      <c r="I81" s="184"/>
      <c r="J81" s="185"/>
      <c r="K81" s="140" t="s">
        <v>183</v>
      </c>
      <c r="L81" s="112" t="s">
        <v>164</v>
      </c>
      <c r="M81" s="112" t="s">
        <v>164</v>
      </c>
      <c r="N81" s="181" t="s">
        <v>232</v>
      </c>
      <c r="O81" s="182"/>
      <c r="P81" s="182"/>
      <c r="Q81" s="182"/>
      <c r="R81" s="188"/>
      <c r="S81" s="112">
        <v>2</v>
      </c>
      <c r="T81" s="112"/>
      <c r="U81" s="183" t="s">
        <v>163</v>
      </c>
      <c r="V81" s="184"/>
      <c r="W81" s="185"/>
      <c r="X81" s="112" t="s">
        <v>164</v>
      </c>
      <c r="Y81" s="112" t="s">
        <v>164</v>
      </c>
      <c r="Z81" s="112" t="s">
        <v>164</v>
      </c>
    </row>
    <row r="82" spans="1:26" ht="18" customHeight="1" x14ac:dyDescent="0.15">
      <c r="A82" s="29"/>
      <c r="B82" s="181" t="s">
        <v>182</v>
      </c>
      <c r="C82" s="182"/>
      <c r="D82" s="182"/>
      <c r="E82" s="188"/>
      <c r="F82" s="112">
        <v>2</v>
      </c>
      <c r="G82" s="112"/>
      <c r="H82" s="183" t="s">
        <v>163</v>
      </c>
      <c r="I82" s="184"/>
      <c r="J82" s="185"/>
      <c r="K82" s="140" t="s">
        <v>183</v>
      </c>
      <c r="L82" s="112" t="s">
        <v>164</v>
      </c>
      <c r="M82" s="112" t="s">
        <v>164</v>
      </c>
      <c r="N82" s="181" t="s">
        <v>233</v>
      </c>
      <c r="O82" s="182"/>
      <c r="P82" s="182"/>
      <c r="Q82" s="182"/>
      <c r="R82" s="188"/>
      <c r="S82" s="112">
        <v>2</v>
      </c>
      <c r="T82" s="112"/>
      <c r="U82" s="183" t="s">
        <v>163</v>
      </c>
      <c r="V82" s="184"/>
      <c r="W82" s="185"/>
      <c r="X82" s="112" t="s">
        <v>164</v>
      </c>
      <c r="Y82" s="112" t="s">
        <v>164</v>
      </c>
      <c r="Z82" s="112" t="s">
        <v>164</v>
      </c>
    </row>
    <row r="83" spans="1:26" ht="18" customHeight="1" x14ac:dyDescent="0.15">
      <c r="A83" s="29"/>
      <c r="B83" s="181" t="s">
        <v>168</v>
      </c>
      <c r="C83" s="182"/>
      <c r="D83" s="182"/>
      <c r="E83" s="188"/>
      <c r="F83" s="112">
        <v>2</v>
      </c>
      <c r="G83" s="112"/>
      <c r="H83" s="183" t="s">
        <v>163</v>
      </c>
      <c r="I83" s="184"/>
      <c r="J83" s="185"/>
      <c r="K83" s="140" t="s">
        <v>183</v>
      </c>
      <c r="L83" s="112" t="s">
        <v>164</v>
      </c>
      <c r="M83" s="112" t="s">
        <v>164</v>
      </c>
      <c r="N83" s="181" t="s">
        <v>234</v>
      </c>
      <c r="O83" s="182"/>
      <c r="P83" s="182"/>
      <c r="Q83" s="182"/>
      <c r="R83" s="188"/>
      <c r="S83" s="112">
        <v>2</v>
      </c>
      <c r="T83" s="112"/>
      <c r="U83" s="183" t="s">
        <v>163</v>
      </c>
      <c r="V83" s="184"/>
      <c r="W83" s="185"/>
      <c r="X83" s="112" t="s">
        <v>164</v>
      </c>
      <c r="Y83" s="112" t="s">
        <v>164</v>
      </c>
      <c r="Z83" s="112" t="s">
        <v>164</v>
      </c>
    </row>
    <row r="84" spans="1:26" ht="18" customHeight="1" x14ac:dyDescent="0.15">
      <c r="A84" s="29"/>
      <c r="B84" s="181" t="s">
        <v>169</v>
      </c>
      <c r="C84" s="182"/>
      <c r="D84" s="182"/>
      <c r="E84" s="188"/>
      <c r="F84" s="112">
        <v>2</v>
      </c>
      <c r="G84" s="112"/>
      <c r="H84" s="183" t="s">
        <v>163</v>
      </c>
      <c r="I84" s="184"/>
      <c r="J84" s="185"/>
      <c r="K84" s="140" t="s">
        <v>183</v>
      </c>
      <c r="L84" s="112" t="s">
        <v>164</v>
      </c>
      <c r="M84" s="112" t="s">
        <v>164</v>
      </c>
      <c r="N84" s="181" t="s">
        <v>235</v>
      </c>
      <c r="O84" s="182"/>
      <c r="P84" s="182"/>
      <c r="Q84" s="182"/>
      <c r="R84" s="188"/>
      <c r="S84" s="112">
        <v>2</v>
      </c>
      <c r="T84" s="112"/>
      <c r="U84" s="183" t="s">
        <v>163</v>
      </c>
      <c r="V84" s="184"/>
      <c r="W84" s="185"/>
      <c r="X84" s="112" t="s">
        <v>164</v>
      </c>
      <c r="Y84" s="112" t="s">
        <v>164</v>
      </c>
      <c r="Z84" s="112" t="s">
        <v>164</v>
      </c>
    </row>
    <row r="85" spans="1:26" ht="18" customHeight="1" x14ac:dyDescent="0.15">
      <c r="A85" s="29"/>
      <c r="B85" s="181" t="s">
        <v>170</v>
      </c>
      <c r="C85" s="182"/>
      <c r="D85" s="182"/>
      <c r="E85" s="188"/>
      <c r="F85" s="112">
        <v>4</v>
      </c>
      <c r="G85" s="112"/>
      <c r="H85" s="183" t="s">
        <v>163</v>
      </c>
      <c r="I85" s="184"/>
      <c r="J85" s="185"/>
      <c r="K85" s="140" t="s">
        <v>183</v>
      </c>
      <c r="L85" s="112" t="s">
        <v>164</v>
      </c>
      <c r="M85" s="112" t="s">
        <v>164</v>
      </c>
      <c r="N85" s="181" t="s">
        <v>237</v>
      </c>
      <c r="O85" s="182"/>
      <c r="P85" s="182"/>
      <c r="Q85" s="182"/>
      <c r="R85" s="188"/>
      <c r="S85" s="112">
        <v>2</v>
      </c>
      <c r="T85" s="112"/>
      <c r="U85" s="130" t="s">
        <v>163</v>
      </c>
      <c r="V85" s="130"/>
      <c r="W85" s="130"/>
      <c r="X85" s="112" t="s">
        <v>164</v>
      </c>
      <c r="Y85" s="112" t="s">
        <v>164</v>
      </c>
      <c r="Z85" s="112" t="s">
        <v>164</v>
      </c>
    </row>
    <row r="86" spans="1:26" ht="18" customHeight="1" x14ac:dyDescent="0.15">
      <c r="A86" s="29"/>
      <c r="B86" s="186" t="s">
        <v>173</v>
      </c>
      <c r="C86" s="186"/>
      <c r="D86" s="186"/>
      <c r="E86" s="186"/>
      <c r="F86" s="112">
        <v>4</v>
      </c>
      <c r="G86" s="112"/>
      <c r="H86" s="187" t="s">
        <v>163</v>
      </c>
      <c r="I86" s="187"/>
      <c r="J86" s="187"/>
      <c r="K86" s="140" t="s">
        <v>183</v>
      </c>
      <c r="L86" s="112" t="s">
        <v>164</v>
      </c>
      <c r="M86" s="112" t="s">
        <v>164</v>
      </c>
      <c r="N86" s="284" t="s">
        <v>238</v>
      </c>
      <c r="O86" s="284"/>
      <c r="P86" s="284"/>
      <c r="Q86" s="284"/>
      <c r="R86" s="284"/>
      <c r="S86" s="116">
        <v>2</v>
      </c>
      <c r="T86" s="116"/>
      <c r="U86" s="131" t="s">
        <v>163</v>
      </c>
      <c r="V86" s="131"/>
      <c r="W86" s="131"/>
      <c r="X86" s="116" t="s">
        <v>164</v>
      </c>
      <c r="Y86" s="116" t="s">
        <v>164</v>
      </c>
      <c r="Z86" s="116" t="s">
        <v>164</v>
      </c>
    </row>
    <row r="87" spans="1:26" ht="18" customHeight="1" x14ac:dyDescent="0.15">
      <c r="A87" s="29"/>
      <c r="B87" s="284" t="s">
        <v>250</v>
      </c>
      <c r="C87" s="284"/>
      <c r="D87" s="284"/>
      <c r="E87" s="284"/>
      <c r="F87" s="116">
        <v>4</v>
      </c>
      <c r="G87" s="116"/>
      <c r="H87" s="283" t="s">
        <v>163</v>
      </c>
      <c r="I87" s="283"/>
      <c r="J87" s="283"/>
      <c r="K87" s="141" t="s">
        <v>183</v>
      </c>
      <c r="L87" s="116" t="s">
        <v>164</v>
      </c>
      <c r="M87" s="116" t="s">
        <v>164</v>
      </c>
      <c r="N87" s="284"/>
      <c r="O87" s="284"/>
      <c r="P87" s="284"/>
      <c r="Q87" s="284"/>
      <c r="R87" s="284"/>
      <c r="S87" s="116"/>
      <c r="T87" s="116"/>
      <c r="U87" s="131"/>
      <c r="V87" s="131"/>
      <c r="W87" s="131"/>
      <c r="X87" s="116"/>
      <c r="Y87" s="116"/>
      <c r="Z87" s="116"/>
    </row>
    <row r="88" spans="1:26" ht="18" customHeight="1" x14ac:dyDescent="0.15">
      <c r="A88" s="29"/>
      <c r="B88" s="127"/>
      <c r="C88" s="127"/>
      <c r="D88" s="127"/>
      <c r="E88" s="127"/>
      <c r="F88" s="12"/>
      <c r="G88" s="12"/>
      <c r="H88" s="123"/>
      <c r="I88" s="123"/>
      <c r="J88" s="123"/>
      <c r="K88" s="123"/>
      <c r="L88" s="12"/>
      <c r="M88" s="12"/>
      <c r="N88" s="127"/>
      <c r="O88" s="127"/>
      <c r="P88" s="127"/>
      <c r="Q88" s="127"/>
      <c r="R88" s="127"/>
      <c r="S88" s="12"/>
      <c r="T88" s="12"/>
      <c r="U88" s="123"/>
      <c r="V88" s="123"/>
      <c r="W88" s="123"/>
      <c r="X88" s="123"/>
      <c r="Y88" s="12"/>
      <c r="Z88" s="12"/>
    </row>
    <row r="89" spans="1:26" ht="18" customHeight="1" x14ac:dyDescent="0.15">
      <c r="A89" s="14" t="s">
        <v>136</v>
      </c>
      <c r="B89" s="14"/>
      <c r="C89" s="14"/>
      <c r="D89" s="14"/>
      <c r="E89" s="14"/>
      <c r="F89" s="14"/>
      <c r="G89" s="14"/>
      <c r="H89" s="14"/>
      <c r="I89" s="14"/>
      <c r="J89" s="14"/>
      <c r="K89" s="14"/>
      <c r="L89" s="29"/>
      <c r="M89" s="29"/>
      <c r="N89" s="29"/>
      <c r="O89" s="29"/>
      <c r="P89" s="29"/>
      <c r="Q89" s="29"/>
      <c r="R89" s="29"/>
      <c r="S89" s="29"/>
      <c r="T89" s="29"/>
      <c r="U89" s="29"/>
      <c r="V89" s="29"/>
      <c r="W89" s="29"/>
      <c r="X89" s="29"/>
      <c r="Y89" s="29"/>
      <c r="Z89" s="29"/>
    </row>
    <row r="90" spans="1:26" ht="18" customHeight="1" x14ac:dyDescent="0.15">
      <c r="A90" s="14"/>
      <c r="B90" s="150" t="s">
        <v>100</v>
      </c>
      <c r="C90" s="151"/>
      <c r="D90" s="151"/>
      <c r="E90" s="151"/>
      <c r="F90" s="152"/>
      <c r="G90" s="150" t="s">
        <v>146</v>
      </c>
      <c r="H90" s="151"/>
      <c r="I90" s="151"/>
      <c r="J90" s="151"/>
      <c r="K90" s="151"/>
      <c r="L90" s="151"/>
      <c r="M90" s="152"/>
      <c r="N90" s="253" t="s">
        <v>100</v>
      </c>
      <c r="O90" s="254"/>
      <c r="P90" s="254"/>
      <c r="Q90" s="254"/>
      <c r="R90" s="254"/>
      <c r="S90" s="255"/>
      <c r="T90" s="150" t="s">
        <v>146</v>
      </c>
      <c r="U90" s="151"/>
      <c r="V90" s="151"/>
      <c r="W90" s="151"/>
      <c r="X90" s="151"/>
      <c r="Y90" s="151"/>
      <c r="Z90" s="152"/>
    </row>
    <row r="91" spans="1:26" ht="18" customHeight="1" x14ac:dyDescent="0.15">
      <c r="A91" s="29"/>
      <c r="B91" s="245"/>
      <c r="C91" s="246"/>
      <c r="D91" s="246"/>
      <c r="E91" s="246"/>
      <c r="F91" s="247"/>
      <c r="G91" s="248"/>
      <c r="H91" s="249"/>
      <c r="I91" s="249"/>
      <c r="J91" s="249"/>
      <c r="K91" s="249"/>
      <c r="L91" s="249"/>
      <c r="M91" s="250"/>
      <c r="N91" s="245"/>
      <c r="O91" s="246"/>
      <c r="P91" s="246"/>
      <c r="Q91" s="246"/>
      <c r="R91" s="246"/>
      <c r="S91" s="247"/>
      <c r="T91" s="248"/>
      <c r="U91" s="249"/>
      <c r="V91" s="249"/>
      <c r="W91" s="249"/>
      <c r="X91" s="249"/>
      <c r="Y91" s="249"/>
      <c r="Z91" s="250"/>
    </row>
    <row r="92" spans="1:26" ht="18" customHeight="1" x14ac:dyDescent="0.15">
      <c r="A92" s="29"/>
      <c r="B92" s="189"/>
      <c r="C92" s="190"/>
      <c r="D92" s="190"/>
      <c r="E92" s="190"/>
      <c r="F92" s="191"/>
      <c r="G92" s="242"/>
      <c r="H92" s="243"/>
      <c r="I92" s="243"/>
      <c r="J92" s="243"/>
      <c r="K92" s="243"/>
      <c r="L92" s="243"/>
      <c r="M92" s="244"/>
      <c r="N92" s="189"/>
      <c r="O92" s="190"/>
      <c r="P92" s="190"/>
      <c r="Q92" s="190"/>
      <c r="R92" s="190"/>
      <c r="S92" s="191"/>
      <c r="T92" s="242"/>
      <c r="U92" s="243"/>
      <c r="V92" s="243"/>
      <c r="W92" s="243"/>
      <c r="X92" s="243"/>
      <c r="Y92" s="243"/>
      <c r="Z92" s="244"/>
    </row>
    <row r="93" spans="1:26" ht="18" customHeight="1" x14ac:dyDescent="0.15">
      <c r="A93" s="29"/>
      <c r="B93" s="189"/>
      <c r="C93" s="190"/>
      <c r="D93" s="190"/>
      <c r="E93" s="190"/>
      <c r="F93" s="191"/>
      <c r="G93" s="242"/>
      <c r="H93" s="243"/>
      <c r="I93" s="243"/>
      <c r="J93" s="243"/>
      <c r="K93" s="243"/>
      <c r="L93" s="243"/>
      <c r="M93" s="244"/>
      <c r="N93" s="189"/>
      <c r="O93" s="190"/>
      <c r="P93" s="190"/>
      <c r="Q93" s="190"/>
      <c r="R93" s="190"/>
      <c r="S93" s="191"/>
      <c r="T93" s="242"/>
      <c r="U93" s="243"/>
      <c r="V93" s="243"/>
      <c r="W93" s="243"/>
      <c r="X93" s="243"/>
      <c r="Y93" s="243"/>
      <c r="Z93" s="244"/>
    </row>
    <row r="94" spans="1:26" ht="18" customHeight="1" x14ac:dyDescent="0.15">
      <c r="A94" s="29"/>
      <c r="B94" s="189"/>
      <c r="C94" s="190"/>
      <c r="D94" s="190"/>
      <c r="E94" s="190"/>
      <c r="F94" s="191"/>
      <c r="G94" s="242"/>
      <c r="H94" s="243"/>
      <c r="I94" s="243"/>
      <c r="J94" s="243"/>
      <c r="K94" s="243"/>
      <c r="L94" s="243"/>
      <c r="M94" s="244"/>
      <c r="N94" s="189"/>
      <c r="O94" s="190"/>
      <c r="P94" s="190"/>
      <c r="Q94" s="190"/>
      <c r="R94" s="190"/>
      <c r="S94" s="191"/>
      <c r="T94" s="242"/>
      <c r="U94" s="243"/>
      <c r="V94" s="243"/>
      <c r="W94" s="243"/>
      <c r="X94" s="243"/>
      <c r="Y94" s="243"/>
      <c r="Z94" s="244"/>
    </row>
    <row r="95" spans="1:26" ht="18" customHeight="1" x14ac:dyDescent="0.15">
      <c r="A95" s="29"/>
      <c r="B95" s="189"/>
      <c r="C95" s="190"/>
      <c r="D95" s="190"/>
      <c r="E95" s="190"/>
      <c r="F95" s="191"/>
      <c r="G95" s="242"/>
      <c r="H95" s="243"/>
      <c r="I95" s="243"/>
      <c r="J95" s="243"/>
      <c r="K95" s="243"/>
      <c r="L95" s="243"/>
      <c r="M95" s="244"/>
      <c r="N95" s="189"/>
      <c r="O95" s="190"/>
      <c r="P95" s="190"/>
      <c r="Q95" s="190"/>
      <c r="R95" s="190"/>
      <c r="S95" s="191"/>
      <c r="T95" s="242"/>
      <c r="U95" s="243"/>
      <c r="V95" s="243"/>
      <c r="W95" s="243"/>
      <c r="X95" s="243"/>
      <c r="Y95" s="243"/>
      <c r="Z95" s="244"/>
    </row>
    <row r="96" spans="1:26" ht="18" customHeight="1" x14ac:dyDescent="0.15">
      <c r="A96" s="29"/>
      <c r="B96" s="189"/>
      <c r="C96" s="190"/>
      <c r="D96" s="190"/>
      <c r="E96" s="190"/>
      <c r="F96" s="191"/>
      <c r="G96" s="242"/>
      <c r="H96" s="243"/>
      <c r="I96" s="243"/>
      <c r="J96" s="243"/>
      <c r="K96" s="243"/>
      <c r="L96" s="243"/>
      <c r="M96" s="244"/>
      <c r="N96" s="189"/>
      <c r="O96" s="190"/>
      <c r="P96" s="190"/>
      <c r="Q96" s="190"/>
      <c r="R96" s="190"/>
      <c r="S96" s="191"/>
      <c r="T96" s="242"/>
      <c r="U96" s="243"/>
      <c r="V96" s="243"/>
      <c r="W96" s="243"/>
      <c r="X96" s="243"/>
      <c r="Y96" s="243"/>
      <c r="Z96" s="244"/>
    </row>
    <row r="97" spans="1:27" ht="18" customHeight="1" x14ac:dyDescent="0.15">
      <c r="A97" s="29"/>
      <c r="B97" s="199"/>
      <c r="C97" s="200"/>
      <c r="D97" s="200"/>
      <c r="E97" s="200"/>
      <c r="F97" s="201"/>
      <c r="G97" s="235"/>
      <c r="H97" s="236"/>
      <c r="I97" s="236"/>
      <c r="J97" s="236"/>
      <c r="K97" s="236"/>
      <c r="L97" s="236"/>
      <c r="M97" s="237"/>
      <c r="N97" s="199"/>
      <c r="O97" s="200"/>
      <c r="P97" s="200"/>
      <c r="Q97" s="200"/>
      <c r="R97" s="200"/>
      <c r="S97" s="201"/>
      <c r="T97" s="235"/>
      <c r="U97" s="236"/>
      <c r="V97" s="236"/>
      <c r="W97" s="236"/>
      <c r="X97" s="236"/>
      <c r="Y97" s="236"/>
      <c r="Z97" s="237"/>
    </row>
    <row r="98" spans="1:27" ht="18" customHeight="1" x14ac:dyDescent="0.15">
      <c r="A98" s="29"/>
      <c r="B98" s="70"/>
      <c r="C98" s="70"/>
      <c r="D98" s="70"/>
      <c r="E98" s="70"/>
      <c r="F98" s="70"/>
      <c r="G98" s="12"/>
      <c r="H98" s="12"/>
      <c r="I98" s="12"/>
      <c r="J98" s="12"/>
      <c r="K98" s="12"/>
      <c r="L98" s="12"/>
      <c r="M98" s="12"/>
      <c r="N98" s="70"/>
      <c r="O98" s="70"/>
      <c r="P98" s="70"/>
      <c r="Q98" s="70"/>
      <c r="R98" s="70"/>
      <c r="S98" s="70"/>
      <c r="T98" s="12"/>
      <c r="U98" s="12"/>
      <c r="V98" s="12"/>
      <c r="W98" s="12"/>
      <c r="X98" s="12"/>
      <c r="Y98" s="12"/>
      <c r="Z98" s="12"/>
    </row>
    <row r="99" spans="1:27" ht="18.75" customHeight="1" x14ac:dyDescent="0.15">
      <c r="A99" s="13" t="s">
        <v>142</v>
      </c>
    </row>
    <row r="100" spans="1:27" ht="18.75" customHeight="1" x14ac:dyDescent="0.15">
      <c r="B100" s="76" t="s">
        <v>102</v>
      </c>
      <c r="C100" s="77"/>
      <c r="D100" s="238" t="s">
        <v>103</v>
      </c>
      <c r="E100" s="238"/>
      <c r="F100" s="238"/>
      <c r="G100" s="238"/>
      <c r="H100" s="238"/>
      <c r="I100" s="238"/>
      <c r="J100" s="238"/>
      <c r="K100" s="238"/>
      <c r="L100" s="238"/>
      <c r="M100" s="238"/>
      <c r="N100" s="238"/>
      <c r="O100" s="238"/>
      <c r="P100" s="238"/>
      <c r="Q100" s="238"/>
      <c r="R100" s="238"/>
      <c r="S100" s="238"/>
      <c r="T100" s="238"/>
      <c r="U100" s="238"/>
      <c r="V100" s="238"/>
      <c r="W100" s="238"/>
      <c r="X100" s="238"/>
      <c r="Y100" s="238"/>
      <c r="Z100" s="239"/>
    </row>
    <row r="101" spans="1:27" ht="120" customHeight="1" x14ac:dyDescent="0.15">
      <c r="B101" s="214" t="s">
        <v>109</v>
      </c>
      <c r="C101" s="83" t="s">
        <v>104</v>
      </c>
      <c r="D101" s="287" t="s">
        <v>306</v>
      </c>
      <c r="E101" s="291"/>
      <c r="F101" s="291"/>
      <c r="G101" s="291"/>
      <c r="H101" s="291"/>
      <c r="I101" s="291"/>
      <c r="J101" s="291"/>
      <c r="K101" s="291"/>
      <c r="L101" s="291"/>
      <c r="M101" s="291"/>
      <c r="N101" s="291"/>
      <c r="O101" s="291"/>
      <c r="P101" s="291"/>
      <c r="Q101" s="291"/>
      <c r="R101" s="291"/>
      <c r="S101" s="291"/>
      <c r="T101" s="291"/>
      <c r="U101" s="291"/>
      <c r="V101" s="291"/>
      <c r="W101" s="291"/>
      <c r="X101" s="291"/>
      <c r="Y101" s="291"/>
      <c r="Z101" s="292"/>
    </row>
    <row r="102" spans="1:27" ht="117.75" customHeight="1" x14ac:dyDescent="0.15">
      <c r="B102" s="215"/>
      <c r="C102" s="108" t="s">
        <v>137</v>
      </c>
      <c r="D102" s="293" t="s">
        <v>251</v>
      </c>
      <c r="E102" s="293"/>
      <c r="F102" s="293"/>
      <c r="G102" s="293"/>
      <c r="H102" s="293"/>
      <c r="I102" s="293"/>
      <c r="J102" s="293"/>
      <c r="K102" s="293"/>
      <c r="L102" s="293"/>
      <c r="M102" s="293"/>
      <c r="N102" s="293"/>
      <c r="O102" s="293"/>
      <c r="P102" s="293"/>
      <c r="Q102" s="293"/>
      <c r="R102" s="293"/>
      <c r="S102" s="293"/>
      <c r="T102" s="293"/>
      <c r="U102" s="293"/>
      <c r="V102" s="293"/>
      <c r="W102" s="293"/>
      <c r="X102" s="293"/>
      <c r="Y102" s="293"/>
      <c r="Z102" s="294"/>
    </row>
    <row r="103" spans="1:27" ht="128.25" customHeight="1" x14ac:dyDescent="0.15">
      <c r="B103" s="228" t="s">
        <v>110</v>
      </c>
      <c r="C103" s="78" t="s">
        <v>127</v>
      </c>
      <c r="D103" s="295" t="s">
        <v>252</v>
      </c>
      <c r="E103" s="295"/>
      <c r="F103" s="295"/>
      <c r="G103" s="295"/>
      <c r="H103" s="295"/>
      <c r="I103" s="295"/>
      <c r="J103" s="295"/>
      <c r="K103" s="295"/>
      <c r="L103" s="295"/>
      <c r="M103" s="295"/>
      <c r="N103" s="295"/>
      <c r="O103" s="295"/>
      <c r="P103" s="295"/>
      <c r="Q103" s="295"/>
      <c r="R103" s="295"/>
      <c r="S103" s="295"/>
      <c r="T103" s="295"/>
      <c r="U103" s="295"/>
      <c r="V103" s="295"/>
      <c r="W103" s="295"/>
      <c r="X103" s="295"/>
      <c r="Y103" s="295"/>
      <c r="Z103" s="296"/>
    </row>
    <row r="104" spans="1:27" ht="120.75" customHeight="1" x14ac:dyDescent="0.15">
      <c r="B104" s="220"/>
      <c r="C104" s="109" t="s">
        <v>128</v>
      </c>
      <c r="D104" s="299" t="s">
        <v>307</v>
      </c>
      <c r="E104" s="299"/>
      <c r="F104" s="299"/>
      <c r="G104" s="299"/>
      <c r="H104" s="299"/>
      <c r="I104" s="299"/>
      <c r="J104" s="299"/>
      <c r="K104" s="299"/>
      <c r="L104" s="299"/>
      <c r="M104" s="299"/>
      <c r="N104" s="299"/>
      <c r="O104" s="299"/>
      <c r="P104" s="299"/>
      <c r="Q104" s="299"/>
      <c r="R104" s="299"/>
      <c r="S104" s="299"/>
      <c r="T104" s="299"/>
      <c r="U104" s="299"/>
      <c r="V104" s="299"/>
      <c r="W104" s="299"/>
      <c r="X104" s="299"/>
      <c r="Y104" s="299"/>
      <c r="Z104" s="300"/>
      <c r="AA104" s="117"/>
    </row>
    <row r="105" spans="1:27" ht="131.25" customHeight="1" x14ac:dyDescent="0.15">
      <c r="B105" s="228" t="s">
        <v>111</v>
      </c>
      <c r="C105" s="78" t="s">
        <v>130</v>
      </c>
      <c r="D105" s="301" t="s">
        <v>253</v>
      </c>
      <c r="E105" s="295"/>
      <c r="F105" s="295"/>
      <c r="G105" s="295"/>
      <c r="H105" s="295"/>
      <c r="I105" s="295"/>
      <c r="J105" s="295"/>
      <c r="K105" s="295"/>
      <c r="L105" s="295"/>
      <c r="M105" s="295"/>
      <c r="N105" s="295"/>
      <c r="O105" s="295"/>
      <c r="P105" s="295"/>
      <c r="Q105" s="295"/>
      <c r="R105" s="295"/>
      <c r="S105" s="295"/>
      <c r="T105" s="295"/>
      <c r="U105" s="295"/>
      <c r="V105" s="295"/>
      <c r="W105" s="295"/>
      <c r="X105" s="295"/>
      <c r="Y105" s="295"/>
      <c r="Z105" s="296"/>
    </row>
    <row r="106" spans="1:27" ht="126" customHeight="1" x14ac:dyDescent="0.15">
      <c r="B106" s="220"/>
      <c r="C106" s="80" t="s">
        <v>131</v>
      </c>
      <c r="D106" s="297" t="s">
        <v>254</v>
      </c>
      <c r="E106" s="297"/>
      <c r="F106" s="297"/>
      <c r="G106" s="297"/>
      <c r="H106" s="297"/>
      <c r="I106" s="297"/>
      <c r="J106" s="297"/>
      <c r="K106" s="297"/>
      <c r="L106" s="297"/>
      <c r="M106" s="297"/>
      <c r="N106" s="297"/>
      <c r="O106" s="297"/>
      <c r="P106" s="297"/>
      <c r="Q106" s="297"/>
      <c r="R106" s="297"/>
      <c r="S106" s="297"/>
      <c r="T106" s="297"/>
      <c r="U106" s="297"/>
      <c r="V106" s="297"/>
      <c r="W106" s="297"/>
      <c r="X106" s="297"/>
      <c r="Y106" s="297"/>
      <c r="Z106" s="298"/>
    </row>
    <row r="107" spans="1:27" ht="93.75" customHeight="1" x14ac:dyDescent="0.15">
      <c r="B107" s="214" t="s">
        <v>138</v>
      </c>
      <c r="C107" s="83" t="s">
        <v>106</v>
      </c>
      <c r="D107" s="287" t="s">
        <v>308</v>
      </c>
      <c r="E107" s="287"/>
      <c r="F107" s="287"/>
      <c r="G107" s="287"/>
      <c r="H107" s="287"/>
      <c r="I107" s="287"/>
      <c r="J107" s="287"/>
      <c r="K107" s="287"/>
      <c r="L107" s="287"/>
      <c r="M107" s="287"/>
      <c r="N107" s="287"/>
      <c r="O107" s="287"/>
      <c r="P107" s="287"/>
      <c r="Q107" s="287"/>
      <c r="R107" s="287"/>
      <c r="S107" s="287"/>
      <c r="T107" s="287"/>
      <c r="U107" s="287"/>
      <c r="V107" s="287"/>
      <c r="W107" s="287"/>
      <c r="X107" s="287"/>
      <c r="Y107" s="287"/>
      <c r="Z107" s="288"/>
    </row>
    <row r="108" spans="1:27" ht="88.5" customHeight="1" x14ac:dyDescent="0.15">
      <c r="B108" s="215"/>
      <c r="C108" s="79" t="s">
        <v>108</v>
      </c>
      <c r="D108" s="289" t="s">
        <v>255</v>
      </c>
      <c r="E108" s="289"/>
      <c r="F108" s="289"/>
      <c r="G108" s="289"/>
      <c r="H108" s="289"/>
      <c r="I108" s="289"/>
      <c r="J108" s="289"/>
      <c r="K108" s="289"/>
      <c r="L108" s="289"/>
      <c r="M108" s="289"/>
      <c r="N108" s="289"/>
      <c r="O108" s="289"/>
      <c r="P108" s="289"/>
      <c r="Q108" s="289"/>
      <c r="R108" s="289"/>
      <c r="S108" s="289"/>
      <c r="T108" s="289"/>
      <c r="U108" s="289"/>
      <c r="V108" s="289"/>
      <c r="W108" s="289"/>
      <c r="X108" s="289"/>
      <c r="Y108" s="289"/>
      <c r="Z108" s="290"/>
    </row>
    <row r="109" spans="1:27" ht="154.5" customHeight="1" x14ac:dyDescent="0.15">
      <c r="B109" s="214" t="s">
        <v>139</v>
      </c>
      <c r="C109" s="78" t="s">
        <v>105</v>
      </c>
      <c r="D109" s="285" t="s">
        <v>256</v>
      </c>
      <c r="E109" s="285"/>
      <c r="F109" s="285"/>
      <c r="G109" s="285"/>
      <c r="H109" s="285"/>
      <c r="I109" s="285"/>
      <c r="J109" s="285"/>
      <c r="K109" s="285"/>
      <c r="L109" s="285"/>
      <c r="M109" s="285"/>
      <c r="N109" s="285"/>
      <c r="O109" s="285"/>
      <c r="P109" s="285"/>
      <c r="Q109" s="285"/>
      <c r="R109" s="285"/>
      <c r="S109" s="285"/>
      <c r="T109" s="285"/>
      <c r="U109" s="285"/>
      <c r="V109" s="285"/>
      <c r="W109" s="285"/>
      <c r="X109" s="285"/>
      <c r="Y109" s="285"/>
      <c r="Z109" s="286"/>
    </row>
    <row r="110" spans="1:27" ht="165" customHeight="1" x14ac:dyDescent="0.15">
      <c r="B110" s="215"/>
      <c r="C110" s="79" t="s">
        <v>134</v>
      </c>
      <c r="D110" s="302" t="s">
        <v>264</v>
      </c>
      <c r="E110" s="303"/>
      <c r="F110" s="303"/>
      <c r="G110" s="303"/>
      <c r="H110" s="303"/>
      <c r="I110" s="303"/>
      <c r="J110" s="303"/>
      <c r="K110" s="303"/>
      <c r="L110" s="303"/>
      <c r="M110" s="303"/>
      <c r="N110" s="303"/>
      <c r="O110" s="303"/>
      <c r="P110" s="303"/>
      <c r="Q110" s="303"/>
      <c r="R110" s="303"/>
      <c r="S110" s="303"/>
      <c r="T110" s="303"/>
      <c r="U110" s="303"/>
      <c r="V110" s="303"/>
      <c r="W110" s="303"/>
      <c r="X110" s="303"/>
      <c r="Y110" s="303"/>
      <c r="Z110" s="304"/>
    </row>
    <row r="111" spans="1:27" ht="156" customHeight="1" x14ac:dyDescent="0.15">
      <c r="B111" s="220"/>
      <c r="C111" s="80" t="s">
        <v>135</v>
      </c>
      <c r="D111" s="209" t="s">
        <v>266</v>
      </c>
      <c r="E111" s="209"/>
      <c r="F111" s="209"/>
      <c r="G111" s="209"/>
      <c r="H111" s="209"/>
      <c r="I111" s="209"/>
      <c r="J111" s="209"/>
      <c r="K111" s="209"/>
      <c r="L111" s="209"/>
      <c r="M111" s="209"/>
      <c r="N111" s="209"/>
      <c r="O111" s="209"/>
      <c r="P111" s="209"/>
      <c r="Q111" s="209"/>
      <c r="R111" s="209"/>
      <c r="S111" s="209"/>
      <c r="T111" s="209"/>
      <c r="U111" s="209"/>
      <c r="V111" s="209"/>
      <c r="W111" s="209"/>
      <c r="X111" s="209"/>
      <c r="Y111" s="209"/>
      <c r="Z111" s="210"/>
    </row>
    <row r="112" spans="1:27" ht="6" customHeight="1" x14ac:dyDescent="0.15">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row>
    <row r="113" spans="1:26" ht="18.75" customHeight="1" x14ac:dyDescent="0.15">
      <c r="A113" s="13" t="s">
        <v>143</v>
      </c>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row>
    <row r="114" spans="1:26" ht="18.75" customHeight="1" x14ac:dyDescent="0.15">
      <c r="B114" s="202" t="s">
        <v>189</v>
      </c>
      <c r="C114" s="203"/>
      <c r="D114" s="203"/>
      <c r="E114" s="203"/>
      <c r="F114" s="203"/>
      <c r="G114" s="203"/>
      <c r="H114" s="203"/>
      <c r="I114" s="203"/>
      <c r="J114" s="203"/>
      <c r="K114" s="203"/>
      <c r="L114" s="203"/>
      <c r="M114" s="203"/>
      <c r="N114" s="203"/>
      <c r="O114" s="203"/>
      <c r="P114" s="203"/>
      <c r="Q114" s="203"/>
      <c r="R114" s="203"/>
      <c r="S114" s="203"/>
      <c r="T114" s="203"/>
      <c r="U114" s="203"/>
      <c r="V114" s="203"/>
      <c r="W114" s="203"/>
      <c r="X114" s="203"/>
      <c r="Y114" s="203"/>
      <c r="Z114" s="204"/>
    </row>
    <row r="115" spans="1:26" ht="18.75" customHeight="1" x14ac:dyDescent="0.15">
      <c r="B115" s="205"/>
      <c r="C115" s="206"/>
      <c r="D115" s="206"/>
      <c r="E115" s="206"/>
      <c r="F115" s="206"/>
      <c r="G115" s="206"/>
      <c r="H115" s="206"/>
      <c r="I115" s="206"/>
      <c r="J115" s="206"/>
      <c r="K115" s="206"/>
      <c r="L115" s="206"/>
      <c r="M115" s="206"/>
      <c r="N115" s="206"/>
      <c r="O115" s="206"/>
      <c r="P115" s="206"/>
      <c r="Q115" s="206"/>
      <c r="R115" s="206"/>
      <c r="S115" s="206"/>
      <c r="T115" s="206"/>
      <c r="U115" s="206"/>
      <c r="V115" s="206"/>
      <c r="W115" s="206"/>
      <c r="X115" s="206"/>
      <c r="Y115" s="206"/>
      <c r="Z115" s="207"/>
    </row>
    <row r="116" spans="1:26" ht="18.75" customHeight="1" x14ac:dyDescent="0.15">
      <c r="B116" s="208"/>
      <c r="C116" s="209"/>
      <c r="D116" s="209"/>
      <c r="E116" s="209"/>
      <c r="F116" s="209"/>
      <c r="G116" s="209"/>
      <c r="H116" s="209"/>
      <c r="I116" s="209"/>
      <c r="J116" s="209"/>
      <c r="K116" s="209"/>
      <c r="L116" s="209"/>
      <c r="M116" s="209"/>
      <c r="N116" s="209"/>
      <c r="O116" s="209"/>
      <c r="P116" s="209"/>
      <c r="Q116" s="209"/>
      <c r="R116" s="209"/>
      <c r="S116" s="209"/>
      <c r="T116" s="209"/>
      <c r="U116" s="209"/>
      <c r="V116" s="209"/>
      <c r="W116" s="209"/>
      <c r="X116" s="209"/>
      <c r="Y116" s="209"/>
      <c r="Z116" s="210"/>
    </row>
    <row r="117" spans="1:26" ht="6" customHeight="1" x14ac:dyDescent="0.15"/>
    <row r="118" spans="1:26" ht="15" customHeight="1" x14ac:dyDescent="0.15">
      <c r="A118" s="13" t="s">
        <v>144</v>
      </c>
    </row>
    <row r="119" spans="1:26" ht="15" customHeight="1" x14ac:dyDescent="0.15">
      <c r="B119" s="282" t="s">
        <v>321</v>
      </c>
      <c r="C119" s="212"/>
      <c r="D119" s="212"/>
      <c r="E119" s="212"/>
      <c r="F119" s="212"/>
      <c r="G119" s="212"/>
      <c r="H119" s="212"/>
      <c r="I119" s="212"/>
      <c r="J119" s="212"/>
      <c r="K119" s="212"/>
      <c r="L119" s="212"/>
      <c r="M119" s="212"/>
      <c r="N119" s="212"/>
      <c r="O119" s="212"/>
      <c r="P119" s="212"/>
      <c r="Q119" s="212"/>
      <c r="R119" s="212"/>
      <c r="S119" s="212"/>
      <c r="T119" s="212"/>
      <c r="U119" s="212"/>
      <c r="V119" s="212"/>
      <c r="W119" s="212"/>
      <c r="X119" s="212"/>
      <c r="Y119" s="212"/>
      <c r="Z119" s="213"/>
    </row>
  </sheetData>
  <mergeCells count="299">
    <mergeCell ref="N87:R87"/>
    <mergeCell ref="B86:E86"/>
    <mergeCell ref="H86:J86"/>
    <mergeCell ref="N86:R86"/>
    <mergeCell ref="B70:F70"/>
    <mergeCell ref="I70:K70"/>
    <mergeCell ref="N70:S70"/>
    <mergeCell ref="N82:R82"/>
    <mergeCell ref="B75:E75"/>
    <mergeCell ref="B76:E76"/>
    <mergeCell ref="B77:E77"/>
    <mergeCell ref="B78:E78"/>
    <mergeCell ref="B79:E79"/>
    <mergeCell ref="B80:E80"/>
    <mergeCell ref="B81:E81"/>
    <mergeCell ref="N75:R75"/>
    <mergeCell ref="N76:R76"/>
    <mergeCell ref="N77:R77"/>
    <mergeCell ref="N78:R78"/>
    <mergeCell ref="N79:R79"/>
    <mergeCell ref="N80:R80"/>
    <mergeCell ref="N81:R81"/>
    <mergeCell ref="H79:J79"/>
    <mergeCell ref="H80:J80"/>
    <mergeCell ref="I56:K56"/>
    <mergeCell ref="N56:S56"/>
    <mergeCell ref="V56:X56"/>
    <mergeCell ref="B57:F57"/>
    <mergeCell ref="I57:K57"/>
    <mergeCell ref="N57:S57"/>
    <mergeCell ref="V57:X57"/>
    <mergeCell ref="B58:F58"/>
    <mergeCell ref="I58:K58"/>
    <mergeCell ref="N58:S58"/>
    <mergeCell ref="V58:X58"/>
    <mergeCell ref="B38:F38"/>
    <mergeCell ref="I38:K38"/>
    <mergeCell ref="N38:S38"/>
    <mergeCell ref="V38:X38"/>
    <mergeCell ref="B39:F39"/>
    <mergeCell ref="I39:K39"/>
    <mergeCell ref="N39:S39"/>
    <mergeCell ref="V39:X39"/>
    <mergeCell ref="B40:F40"/>
    <mergeCell ref="I40:K40"/>
    <mergeCell ref="N40:S40"/>
    <mergeCell ref="V40:X40"/>
    <mergeCell ref="V23:X23"/>
    <mergeCell ref="N24:S24"/>
    <mergeCell ref="V24:X24"/>
    <mergeCell ref="B24:F24"/>
    <mergeCell ref="I24:K24"/>
    <mergeCell ref="B26:F26"/>
    <mergeCell ref="I26:K26"/>
    <mergeCell ref="N26:S26"/>
    <mergeCell ref="V26:X26"/>
    <mergeCell ref="U82:W82"/>
    <mergeCell ref="B82:E82"/>
    <mergeCell ref="H82:J82"/>
    <mergeCell ref="N91:S91"/>
    <mergeCell ref="T91:Z91"/>
    <mergeCell ref="T90:Z90"/>
    <mergeCell ref="B91:F91"/>
    <mergeCell ref="G91:M91"/>
    <mergeCell ref="B90:F90"/>
    <mergeCell ref="G90:M90"/>
    <mergeCell ref="N90:S90"/>
    <mergeCell ref="B83:E83"/>
    <mergeCell ref="H83:J83"/>
    <mergeCell ref="N83:R83"/>
    <mergeCell ref="U83:W83"/>
    <mergeCell ref="B84:E84"/>
    <mergeCell ref="H84:J84"/>
    <mergeCell ref="N84:R84"/>
    <mergeCell ref="U84:W84"/>
    <mergeCell ref="B85:E85"/>
    <mergeCell ref="H85:J85"/>
    <mergeCell ref="N85:R85"/>
    <mergeCell ref="B87:E87"/>
    <mergeCell ref="H87:J87"/>
    <mergeCell ref="N94:S94"/>
    <mergeCell ref="T93:Z93"/>
    <mergeCell ref="T94:Z94"/>
    <mergeCell ref="B103:B104"/>
    <mergeCell ref="B105:B106"/>
    <mergeCell ref="B101:B102"/>
    <mergeCell ref="B109:B111"/>
    <mergeCell ref="D109:Z109"/>
    <mergeCell ref="D111:Z111"/>
    <mergeCell ref="B107:B108"/>
    <mergeCell ref="D107:Z107"/>
    <mergeCell ref="D108:Z108"/>
    <mergeCell ref="D100:Z100"/>
    <mergeCell ref="D101:Z101"/>
    <mergeCell ref="D102:Z102"/>
    <mergeCell ref="D103:Z103"/>
    <mergeCell ref="D106:Z106"/>
    <mergeCell ref="D104:Z104"/>
    <mergeCell ref="D105:Z105"/>
    <mergeCell ref="D110:Z110"/>
    <mergeCell ref="B94:F94"/>
    <mergeCell ref="G93:M93"/>
    <mergeCell ref="G94:M94"/>
    <mergeCell ref="N93:S93"/>
    <mergeCell ref="V30:X30"/>
    <mergeCell ref="V31:X31"/>
    <mergeCell ref="V32:X32"/>
    <mergeCell ref="I30:K30"/>
    <mergeCell ref="I31:K31"/>
    <mergeCell ref="I32:K32"/>
    <mergeCell ref="B30:F30"/>
    <mergeCell ref="B31:F31"/>
    <mergeCell ref="B32:F32"/>
    <mergeCell ref="U79:W79"/>
    <mergeCell ref="U80:W80"/>
    <mergeCell ref="U81:W81"/>
    <mergeCell ref="I33:K33"/>
    <mergeCell ref="I34:K34"/>
    <mergeCell ref="V33:X33"/>
    <mergeCell ref="V34:X34"/>
    <mergeCell ref="I49:K49"/>
    <mergeCell ref="I50:K50"/>
    <mergeCell ref="V49:X49"/>
    <mergeCell ref="A44:Z45"/>
    <mergeCell ref="V50:X50"/>
    <mergeCell ref="V35:X35"/>
    <mergeCell ref="I35:K35"/>
    <mergeCell ref="I36:K36"/>
    <mergeCell ref="I37:K37"/>
    <mergeCell ref="H77:J77"/>
    <mergeCell ref="H78:J78"/>
    <mergeCell ref="U77:W77"/>
    <mergeCell ref="U78:W78"/>
    <mergeCell ref="V62:X62"/>
    <mergeCell ref="V36:X36"/>
    <mergeCell ref="B41:F41"/>
    <mergeCell ref="B42:F42"/>
    <mergeCell ref="A28:Z29"/>
    <mergeCell ref="A2:Z2"/>
    <mergeCell ref="B6:Z11"/>
    <mergeCell ref="A13:Z14"/>
    <mergeCell ref="I15:K15"/>
    <mergeCell ref="I16:K16"/>
    <mergeCell ref="V15:X15"/>
    <mergeCell ref="V16:X16"/>
    <mergeCell ref="O4:Z4"/>
    <mergeCell ref="V17:X17"/>
    <mergeCell ref="V20:X20"/>
    <mergeCell ref="V21:X21"/>
    <mergeCell ref="V22:X22"/>
    <mergeCell ref="I18:K18"/>
    <mergeCell ref="I19:K19"/>
    <mergeCell ref="V18:X18"/>
    <mergeCell ref="V19:X19"/>
    <mergeCell ref="B25:F25"/>
    <mergeCell ref="I25:K25"/>
    <mergeCell ref="N25:S25"/>
    <mergeCell ref="V25:X25"/>
    <mergeCell ref="B23:F23"/>
    <mergeCell ref="I23:K23"/>
    <mergeCell ref="N23:S23"/>
    <mergeCell ref="V37:X37"/>
    <mergeCell ref="I51:K51"/>
    <mergeCell ref="V51:X51"/>
    <mergeCell ref="V46:X46"/>
    <mergeCell ref="I47:K47"/>
    <mergeCell ref="V47:X47"/>
    <mergeCell ref="I48:K48"/>
    <mergeCell ref="V48:X48"/>
    <mergeCell ref="I46:K46"/>
    <mergeCell ref="I41:K41"/>
    <mergeCell ref="N41:S41"/>
    <mergeCell ref="V41:X41"/>
    <mergeCell ref="I42:K42"/>
    <mergeCell ref="N42:S42"/>
    <mergeCell ref="V42:X42"/>
    <mergeCell ref="V52:X52"/>
    <mergeCell ref="I53:K53"/>
    <mergeCell ref="V53:X53"/>
    <mergeCell ref="I64:K64"/>
    <mergeCell ref="V64:X64"/>
    <mergeCell ref="B62:F62"/>
    <mergeCell ref="B63:F63"/>
    <mergeCell ref="B64:F64"/>
    <mergeCell ref="A60:Z61"/>
    <mergeCell ref="I62:K62"/>
    <mergeCell ref="V63:X63"/>
    <mergeCell ref="N62:S62"/>
    <mergeCell ref="N63:S63"/>
    <mergeCell ref="N64:S64"/>
    <mergeCell ref="I63:K63"/>
    <mergeCell ref="B54:F54"/>
    <mergeCell ref="I54:K54"/>
    <mergeCell ref="N54:S54"/>
    <mergeCell ref="V54:X54"/>
    <mergeCell ref="B55:F55"/>
    <mergeCell ref="I55:K55"/>
    <mergeCell ref="N55:S55"/>
    <mergeCell ref="V55:X55"/>
    <mergeCell ref="B56:F56"/>
    <mergeCell ref="I65:K65"/>
    <mergeCell ref="V65:X65"/>
    <mergeCell ref="I66:K66"/>
    <mergeCell ref="V66:X66"/>
    <mergeCell ref="V69:X69"/>
    <mergeCell ref="A72:Z73"/>
    <mergeCell ref="I67:K67"/>
    <mergeCell ref="V67:X67"/>
    <mergeCell ref="I68:K68"/>
    <mergeCell ref="V68:X68"/>
    <mergeCell ref="N65:S65"/>
    <mergeCell ref="N66:S66"/>
    <mergeCell ref="N67:S67"/>
    <mergeCell ref="N68:S68"/>
    <mergeCell ref="N69:S69"/>
    <mergeCell ref="B69:F69"/>
    <mergeCell ref="V70:X70"/>
    <mergeCell ref="H81:J81"/>
    <mergeCell ref="H75:J75"/>
    <mergeCell ref="H76:J76"/>
    <mergeCell ref="B114:Z116"/>
    <mergeCell ref="B119:Z119"/>
    <mergeCell ref="T97:Z97"/>
    <mergeCell ref="B92:F92"/>
    <mergeCell ref="G92:M92"/>
    <mergeCell ref="N92:S92"/>
    <mergeCell ref="T92:Z92"/>
    <mergeCell ref="B95:F95"/>
    <mergeCell ref="G95:M95"/>
    <mergeCell ref="N95:S95"/>
    <mergeCell ref="T95:Z95"/>
    <mergeCell ref="B93:F93"/>
    <mergeCell ref="B96:F96"/>
    <mergeCell ref="G96:M96"/>
    <mergeCell ref="N96:S96"/>
    <mergeCell ref="T96:Z96"/>
    <mergeCell ref="B97:F97"/>
    <mergeCell ref="G97:M97"/>
    <mergeCell ref="N97:S97"/>
    <mergeCell ref="U75:W75"/>
    <mergeCell ref="U76:W76"/>
    <mergeCell ref="W1:Z1"/>
    <mergeCell ref="B15:F15"/>
    <mergeCell ref="B16:F16"/>
    <mergeCell ref="B17:F17"/>
    <mergeCell ref="B18:F18"/>
    <mergeCell ref="B19:F19"/>
    <mergeCell ref="B20:F20"/>
    <mergeCell ref="B21:F21"/>
    <mergeCell ref="B22:F22"/>
    <mergeCell ref="N15:S15"/>
    <mergeCell ref="N16:S16"/>
    <mergeCell ref="N17:S17"/>
    <mergeCell ref="N18:S18"/>
    <mergeCell ref="N19:S19"/>
    <mergeCell ref="N20:S20"/>
    <mergeCell ref="N21:S21"/>
    <mergeCell ref="N22:S22"/>
    <mergeCell ref="I17:K17"/>
    <mergeCell ref="I20:K20"/>
    <mergeCell ref="I21:K21"/>
    <mergeCell ref="I22:K22"/>
    <mergeCell ref="B33:F33"/>
    <mergeCell ref="B34:F34"/>
    <mergeCell ref="B35:F35"/>
    <mergeCell ref="B36:F36"/>
    <mergeCell ref="B37:F37"/>
    <mergeCell ref="N30:S30"/>
    <mergeCell ref="N31:S31"/>
    <mergeCell ref="N32:S32"/>
    <mergeCell ref="N33:S33"/>
    <mergeCell ref="N34:S34"/>
    <mergeCell ref="N35:S35"/>
    <mergeCell ref="N36:S36"/>
    <mergeCell ref="N37:S37"/>
    <mergeCell ref="B74:E74"/>
    <mergeCell ref="N74:R74"/>
    <mergeCell ref="B50:F50"/>
    <mergeCell ref="B51:F51"/>
    <mergeCell ref="B52:F52"/>
    <mergeCell ref="B53:F53"/>
    <mergeCell ref="N46:S46"/>
    <mergeCell ref="N47:S47"/>
    <mergeCell ref="N48:S48"/>
    <mergeCell ref="N49:S49"/>
    <mergeCell ref="N50:S50"/>
    <mergeCell ref="N51:S51"/>
    <mergeCell ref="N52:S52"/>
    <mergeCell ref="N53:S53"/>
    <mergeCell ref="I52:K52"/>
    <mergeCell ref="B46:F46"/>
    <mergeCell ref="B47:F47"/>
    <mergeCell ref="B48:F48"/>
    <mergeCell ref="B49:F49"/>
    <mergeCell ref="I69:K69"/>
    <mergeCell ref="B65:F65"/>
    <mergeCell ref="B66:F66"/>
    <mergeCell ref="B67:F67"/>
    <mergeCell ref="B68:F68"/>
  </mergeCells>
  <phoneticPr fontId="1"/>
  <dataValidations count="4">
    <dataValidation type="list" allowBlank="1" showInputMessage="1" showErrorMessage="1" sqref="H47:H58 U63:U70 Y47:Z58 H31:H42 Y16:Z26 U31:U42 H63:H70 L63:M70 Y63:Z70 L16:M26 H16:H26 U16:U26 L31:M42 L47:M58 U47:U58 Z75:Z88 Y88 T75:T88 Y31:Z42 L75:M88 G75:G88 X78:Y87 Y75:Y77">
      <formula1>"○"</formula1>
    </dataValidation>
    <dataValidation type="list" allowBlank="1" showInputMessage="1" showErrorMessage="1" sqref="Z27 Z43 D43:K43 D27:K27 I16:I26 I47:I58 I31:I42 V31:V42 V16:V26 I63:I70 V47:V58 V63:V70 H75:H88 U75:U88">
      <formula1>"全学開講,一部開講"</formula1>
    </dataValidation>
    <dataValidation type="list" allowBlank="1" showInputMessage="1" showErrorMessage="1" sqref="O4">
      <formula1>"学部・学科によって、修了要件は相違する,学部・学科によって、修了要件は相違しない"</formula1>
    </dataValidation>
    <dataValidation type="list" allowBlank="1" showInputMessage="1" showErrorMessage="1" sqref="H95:M98 G91:G98 H91:M92 T91:T98 U91:Z92 U95:Z98">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hyperlinks>
    <hyperlink ref="B119" r:id="rId1"/>
  </hyperlinks>
  <printOptions horizontalCentered="1"/>
  <pageMargins left="0.78740157480314965" right="0.78740157480314965" top="0.59055118110236227" bottom="0.19685039370078741" header="0.31496062992125984" footer="0.19685039370078741"/>
  <pageSetup paperSize="9" scale="94" orientation="landscape" r:id="rId2"/>
  <rowBreaks count="6" manualBreakCount="6">
    <brk id="27" max="16383" man="1"/>
    <brk id="58" max="16383" man="1"/>
    <brk id="88" max="16383" man="1"/>
    <brk id="102" max="16383" man="1"/>
    <brk id="106" max="16383" man="1"/>
    <brk id="110" max="25"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8"/>
  <sheetViews>
    <sheetView showZeros="0" view="pageBreakPreview" zoomScaleNormal="100" zoomScaleSheetLayoutView="100" workbookViewId="0"/>
  </sheetViews>
  <sheetFormatPr defaultColWidth="9" defaultRowHeight="18.75" customHeight="1" x14ac:dyDescent="0.15"/>
  <cols>
    <col min="1" max="1" width="2.5" style="13" customWidth="1"/>
    <col min="2" max="2" width="27.75" style="13" customWidth="1"/>
    <col min="3" max="13" width="3.375" style="13" customWidth="1"/>
    <col min="14" max="14" width="8.875" style="13" customWidth="1"/>
    <col min="15" max="15" width="18.875" style="13" customWidth="1"/>
    <col min="16" max="19" width="3.375" style="13" customWidth="1"/>
    <col min="20" max="20" width="3.5" style="13" customWidth="1"/>
    <col min="21" max="26" width="3.375" style="13" customWidth="1"/>
    <col min="27" max="16384" width="9" style="13"/>
  </cols>
  <sheetData>
    <row r="1" spans="1:26" ht="15" customHeight="1" x14ac:dyDescent="0.15">
      <c r="W1" s="264" t="s">
        <v>193</v>
      </c>
      <c r="X1" s="264"/>
      <c r="Y1" s="264"/>
      <c r="Z1" s="264"/>
    </row>
    <row r="2" spans="1:26" ht="18" customHeight="1" x14ac:dyDescent="0.15">
      <c r="A2" s="265" t="s">
        <v>67</v>
      </c>
      <c r="B2" s="265"/>
      <c r="C2" s="265"/>
      <c r="D2" s="265"/>
      <c r="E2" s="265"/>
      <c r="F2" s="265"/>
      <c r="G2" s="265"/>
      <c r="H2" s="265"/>
      <c r="I2" s="265"/>
      <c r="J2" s="265"/>
      <c r="K2" s="265"/>
      <c r="L2" s="265"/>
      <c r="M2" s="265"/>
      <c r="N2" s="265"/>
      <c r="O2" s="265"/>
      <c r="P2" s="265"/>
      <c r="Q2" s="265"/>
      <c r="R2" s="265"/>
      <c r="S2" s="265"/>
      <c r="T2" s="265"/>
      <c r="U2" s="265"/>
      <c r="V2" s="265"/>
      <c r="W2" s="265"/>
      <c r="X2" s="265"/>
      <c r="Y2" s="265"/>
      <c r="Z2" s="265"/>
    </row>
    <row r="3" spans="1:26" ht="15" customHeight="1" x14ac:dyDescent="0.15">
      <c r="B3" s="29"/>
      <c r="C3" s="29"/>
      <c r="D3" s="29"/>
      <c r="E3" s="29"/>
      <c r="F3" s="29"/>
      <c r="G3" s="29"/>
      <c r="H3" s="29"/>
      <c r="I3" s="29"/>
      <c r="J3" s="29"/>
      <c r="K3" s="29"/>
      <c r="L3" s="29"/>
      <c r="M3" s="29"/>
      <c r="N3" s="29"/>
      <c r="O3" s="29"/>
      <c r="P3" s="29"/>
      <c r="Q3" s="29"/>
      <c r="R3" s="29"/>
      <c r="S3" s="29"/>
      <c r="T3" s="29"/>
      <c r="U3" s="29"/>
      <c r="V3" s="29"/>
      <c r="W3" s="29"/>
      <c r="X3" s="29"/>
      <c r="Y3" s="29"/>
      <c r="Z3" s="29"/>
    </row>
    <row r="4" spans="1:26" ht="18" customHeight="1" x14ac:dyDescent="0.15">
      <c r="A4" s="13" t="s">
        <v>99</v>
      </c>
      <c r="B4" s="29"/>
      <c r="C4" s="29"/>
      <c r="D4" s="29"/>
      <c r="E4" s="29"/>
      <c r="F4" s="29"/>
      <c r="G4" s="29"/>
      <c r="H4" s="15" t="s">
        <v>112</v>
      </c>
      <c r="I4" s="29"/>
      <c r="J4" s="29"/>
      <c r="K4" s="29"/>
      <c r="L4" s="29"/>
      <c r="M4" s="29"/>
      <c r="N4" s="29"/>
      <c r="O4" s="150" t="s">
        <v>159</v>
      </c>
      <c r="P4" s="151"/>
      <c r="Q4" s="151"/>
      <c r="R4" s="151"/>
      <c r="S4" s="151"/>
      <c r="T4" s="151"/>
      <c r="U4" s="151"/>
      <c r="V4" s="151"/>
      <c r="W4" s="151"/>
      <c r="X4" s="151"/>
      <c r="Y4" s="151"/>
      <c r="Z4" s="152"/>
    </row>
    <row r="5" spans="1:26" ht="6" customHeight="1" x14ac:dyDescent="0.15">
      <c r="B5" s="29"/>
      <c r="C5" s="29"/>
      <c r="D5" s="29"/>
      <c r="E5" s="29"/>
      <c r="F5" s="29"/>
      <c r="G5" s="29"/>
      <c r="H5" s="29"/>
      <c r="I5" s="29"/>
      <c r="J5" s="29"/>
      <c r="K5" s="29"/>
      <c r="L5" s="29"/>
      <c r="M5" s="29"/>
      <c r="N5" s="29"/>
      <c r="O5" s="16"/>
      <c r="P5" s="29"/>
      <c r="Q5" s="29"/>
      <c r="R5" s="29"/>
      <c r="S5" s="29"/>
      <c r="T5" s="29"/>
      <c r="U5" s="29"/>
      <c r="V5" s="29"/>
      <c r="W5" s="29"/>
      <c r="X5" s="29"/>
      <c r="Y5" s="29"/>
      <c r="Z5" s="29"/>
    </row>
    <row r="6" spans="1:26" ht="28.5" customHeight="1" x14ac:dyDescent="0.15">
      <c r="B6" s="266" t="s">
        <v>324</v>
      </c>
      <c r="C6" s="267"/>
      <c r="D6" s="267"/>
      <c r="E6" s="267"/>
      <c r="F6" s="267"/>
      <c r="G6" s="267"/>
      <c r="H6" s="267"/>
      <c r="I6" s="267"/>
      <c r="J6" s="267"/>
      <c r="K6" s="267"/>
      <c r="L6" s="267"/>
      <c r="M6" s="267"/>
      <c r="N6" s="267"/>
      <c r="O6" s="267"/>
      <c r="P6" s="267"/>
      <c r="Q6" s="267"/>
      <c r="R6" s="267"/>
      <c r="S6" s="267"/>
      <c r="T6" s="267"/>
      <c r="U6" s="267"/>
      <c r="V6" s="267"/>
      <c r="W6" s="267"/>
      <c r="X6" s="267"/>
      <c r="Y6" s="267"/>
      <c r="Z6" s="268"/>
    </row>
    <row r="7" spans="1:26" ht="28.5" customHeight="1" x14ac:dyDescent="0.15">
      <c r="B7" s="269"/>
      <c r="C7" s="270"/>
      <c r="D7" s="270"/>
      <c r="E7" s="270"/>
      <c r="F7" s="270"/>
      <c r="G7" s="270"/>
      <c r="H7" s="270"/>
      <c r="I7" s="270"/>
      <c r="J7" s="270"/>
      <c r="K7" s="270"/>
      <c r="L7" s="270"/>
      <c r="M7" s="270"/>
      <c r="N7" s="270"/>
      <c r="O7" s="270"/>
      <c r="P7" s="270"/>
      <c r="Q7" s="270"/>
      <c r="R7" s="270"/>
      <c r="S7" s="270"/>
      <c r="T7" s="270"/>
      <c r="U7" s="270"/>
      <c r="V7" s="270"/>
      <c r="W7" s="270"/>
      <c r="X7" s="270"/>
      <c r="Y7" s="270"/>
      <c r="Z7" s="271"/>
    </row>
    <row r="8" spans="1:26" ht="28.5" customHeight="1" x14ac:dyDescent="0.15">
      <c r="B8" s="269"/>
      <c r="C8" s="270"/>
      <c r="D8" s="270"/>
      <c r="E8" s="270"/>
      <c r="F8" s="270"/>
      <c r="G8" s="270"/>
      <c r="H8" s="270"/>
      <c r="I8" s="270"/>
      <c r="J8" s="270"/>
      <c r="K8" s="270"/>
      <c r="L8" s="270"/>
      <c r="M8" s="270"/>
      <c r="N8" s="270"/>
      <c r="O8" s="270"/>
      <c r="P8" s="270"/>
      <c r="Q8" s="270"/>
      <c r="R8" s="270"/>
      <c r="S8" s="270"/>
      <c r="T8" s="270"/>
      <c r="U8" s="270"/>
      <c r="V8" s="270"/>
      <c r="W8" s="270"/>
      <c r="X8" s="270"/>
      <c r="Y8" s="270"/>
      <c r="Z8" s="271"/>
    </row>
    <row r="9" spans="1:26" ht="28.5" customHeight="1" x14ac:dyDescent="0.15">
      <c r="B9" s="269"/>
      <c r="C9" s="270"/>
      <c r="D9" s="270"/>
      <c r="E9" s="270"/>
      <c r="F9" s="270"/>
      <c r="G9" s="270"/>
      <c r="H9" s="270"/>
      <c r="I9" s="270"/>
      <c r="J9" s="270"/>
      <c r="K9" s="270"/>
      <c r="L9" s="270"/>
      <c r="M9" s="270"/>
      <c r="N9" s="270"/>
      <c r="O9" s="270"/>
      <c r="P9" s="270"/>
      <c r="Q9" s="270"/>
      <c r="R9" s="270"/>
      <c r="S9" s="270"/>
      <c r="T9" s="270"/>
      <c r="U9" s="270"/>
      <c r="V9" s="270"/>
      <c r="W9" s="270"/>
      <c r="X9" s="270"/>
      <c r="Y9" s="270"/>
      <c r="Z9" s="271"/>
    </row>
    <row r="10" spans="1:26" ht="28.5" customHeight="1" x14ac:dyDescent="0.15">
      <c r="B10" s="269"/>
      <c r="C10" s="272"/>
      <c r="D10" s="272"/>
      <c r="E10" s="272"/>
      <c r="F10" s="272"/>
      <c r="G10" s="272"/>
      <c r="H10" s="272"/>
      <c r="I10" s="272"/>
      <c r="J10" s="272"/>
      <c r="K10" s="272"/>
      <c r="L10" s="272"/>
      <c r="M10" s="272"/>
      <c r="N10" s="272"/>
      <c r="O10" s="272"/>
      <c r="P10" s="272"/>
      <c r="Q10" s="272"/>
      <c r="R10" s="272"/>
      <c r="S10" s="272"/>
      <c r="T10" s="272"/>
      <c r="U10" s="272"/>
      <c r="V10" s="272"/>
      <c r="W10" s="272"/>
      <c r="X10" s="272"/>
      <c r="Y10" s="272"/>
      <c r="Z10" s="271"/>
    </row>
    <row r="11" spans="1:26" ht="63.75" customHeight="1" x14ac:dyDescent="0.15">
      <c r="B11" s="273"/>
      <c r="C11" s="274"/>
      <c r="D11" s="274"/>
      <c r="E11" s="274"/>
      <c r="F11" s="274"/>
      <c r="G11" s="274"/>
      <c r="H11" s="274"/>
      <c r="I11" s="274"/>
      <c r="J11" s="274"/>
      <c r="K11" s="274"/>
      <c r="L11" s="274"/>
      <c r="M11" s="274"/>
      <c r="N11" s="274"/>
      <c r="O11" s="274"/>
      <c r="P11" s="274"/>
      <c r="Q11" s="274"/>
      <c r="R11" s="274"/>
      <c r="S11" s="274"/>
      <c r="T11" s="274"/>
      <c r="U11" s="274"/>
      <c r="V11" s="274"/>
      <c r="W11" s="274"/>
      <c r="X11" s="274"/>
      <c r="Y11" s="274"/>
      <c r="Z11" s="275"/>
    </row>
    <row r="12" spans="1:26" ht="7.5" customHeight="1" x14ac:dyDescent="0.15">
      <c r="B12" s="29"/>
      <c r="C12" s="29"/>
      <c r="D12" s="29"/>
      <c r="E12" s="29"/>
      <c r="F12" s="29"/>
      <c r="G12" s="29"/>
      <c r="H12" s="29"/>
      <c r="I12" s="29"/>
      <c r="J12" s="29"/>
      <c r="K12" s="29"/>
      <c r="L12" s="29"/>
      <c r="M12" s="29"/>
      <c r="N12" s="29"/>
      <c r="O12" s="29"/>
      <c r="P12" s="29"/>
      <c r="Q12" s="29"/>
      <c r="R12" s="29"/>
      <c r="S12" s="29"/>
      <c r="T12" s="29"/>
      <c r="U12" s="29"/>
      <c r="V12" s="29"/>
      <c r="W12" s="29"/>
      <c r="X12" s="29"/>
      <c r="Y12" s="29"/>
      <c r="Z12" s="29"/>
    </row>
    <row r="13" spans="1:26" ht="18" customHeight="1" x14ac:dyDescent="0.15">
      <c r="A13" s="192" t="s">
        <v>125</v>
      </c>
      <c r="B13" s="192"/>
      <c r="C13" s="192"/>
      <c r="D13" s="192"/>
      <c r="E13" s="192"/>
      <c r="F13" s="192"/>
      <c r="G13" s="192"/>
      <c r="H13" s="192"/>
      <c r="I13" s="192"/>
      <c r="J13" s="192"/>
      <c r="K13" s="192"/>
      <c r="L13" s="192"/>
      <c r="M13" s="192"/>
      <c r="N13" s="192"/>
      <c r="O13" s="192"/>
      <c r="P13" s="192"/>
      <c r="Q13" s="192"/>
      <c r="R13" s="192"/>
      <c r="S13" s="192"/>
      <c r="T13" s="192"/>
      <c r="U13" s="192"/>
      <c r="V13" s="192"/>
      <c r="W13" s="192"/>
      <c r="X13" s="192"/>
      <c r="Y13" s="192"/>
      <c r="Z13" s="192"/>
    </row>
    <row r="14" spans="1:26" ht="18" customHeight="1" x14ac:dyDescent="0.15">
      <c r="A14" s="192"/>
      <c r="B14" s="192"/>
      <c r="C14" s="192"/>
      <c r="D14" s="192"/>
      <c r="E14" s="192"/>
      <c r="F14" s="192"/>
      <c r="G14" s="192"/>
      <c r="H14" s="192"/>
      <c r="I14" s="192"/>
      <c r="J14" s="192"/>
      <c r="K14" s="192"/>
      <c r="L14" s="192"/>
      <c r="M14" s="192"/>
      <c r="N14" s="192"/>
      <c r="O14" s="192"/>
      <c r="P14" s="192"/>
      <c r="Q14" s="192"/>
      <c r="R14" s="192"/>
      <c r="S14" s="192"/>
      <c r="T14" s="192"/>
      <c r="U14" s="192"/>
      <c r="V14" s="192"/>
      <c r="W14" s="192"/>
      <c r="X14" s="192"/>
      <c r="Y14" s="192"/>
      <c r="Z14" s="192"/>
    </row>
    <row r="15" spans="1:26" ht="18" customHeight="1" x14ac:dyDescent="0.15">
      <c r="A15" s="14"/>
      <c r="B15" s="150" t="s">
        <v>100</v>
      </c>
      <c r="C15" s="151"/>
      <c r="D15" s="151"/>
      <c r="E15" s="151"/>
      <c r="F15" s="152"/>
      <c r="G15" s="30" t="s">
        <v>141</v>
      </c>
      <c r="H15" s="110" t="s">
        <v>140</v>
      </c>
      <c r="I15" s="151" t="s">
        <v>101</v>
      </c>
      <c r="J15" s="151"/>
      <c r="K15" s="151"/>
      <c r="L15" s="73" t="s">
        <v>104</v>
      </c>
      <c r="M15" s="73" t="s">
        <v>107</v>
      </c>
      <c r="N15" s="150" t="s">
        <v>100</v>
      </c>
      <c r="O15" s="151"/>
      <c r="P15" s="151"/>
      <c r="Q15" s="151"/>
      <c r="R15" s="151"/>
      <c r="S15" s="152"/>
      <c r="T15" s="30" t="s">
        <v>141</v>
      </c>
      <c r="U15" s="110" t="s">
        <v>140</v>
      </c>
      <c r="V15" s="151" t="s">
        <v>101</v>
      </c>
      <c r="W15" s="151"/>
      <c r="X15" s="151"/>
      <c r="Y15" s="73" t="s">
        <v>104</v>
      </c>
      <c r="Z15" s="73" t="s">
        <v>107</v>
      </c>
    </row>
    <row r="16" spans="1:26" ht="18" customHeight="1" x14ac:dyDescent="0.15">
      <c r="A16" s="14"/>
      <c r="B16" s="256" t="s">
        <v>198</v>
      </c>
      <c r="C16" s="257"/>
      <c r="D16" s="257"/>
      <c r="E16" s="257"/>
      <c r="F16" s="263"/>
      <c r="G16" s="111">
        <v>2</v>
      </c>
      <c r="H16" s="111"/>
      <c r="I16" s="258" t="s">
        <v>163</v>
      </c>
      <c r="J16" s="259"/>
      <c r="K16" s="260"/>
      <c r="L16" s="111" t="s">
        <v>164</v>
      </c>
      <c r="M16" s="111"/>
      <c r="N16" s="317" t="s">
        <v>213</v>
      </c>
      <c r="O16" s="291"/>
      <c r="P16" s="291"/>
      <c r="Q16" s="291"/>
      <c r="R16" s="291"/>
      <c r="S16" s="292"/>
      <c r="T16" s="125">
        <v>2</v>
      </c>
      <c r="U16" s="125"/>
      <c r="V16" s="253" t="s">
        <v>214</v>
      </c>
      <c r="W16" s="254"/>
      <c r="X16" s="255"/>
      <c r="Y16" s="124" t="s">
        <v>164</v>
      </c>
      <c r="Z16" s="124" t="s">
        <v>164</v>
      </c>
    </row>
    <row r="17" spans="1:26" ht="18" customHeight="1" x14ac:dyDescent="0.15">
      <c r="A17" s="14"/>
      <c r="B17" s="181" t="s">
        <v>200</v>
      </c>
      <c r="C17" s="182"/>
      <c r="D17" s="182"/>
      <c r="E17" s="182"/>
      <c r="F17" s="188"/>
      <c r="G17" s="112">
        <v>2</v>
      </c>
      <c r="H17" s="112"/>
      <c r="I17" s="183" t="s">
        <v>163</v>
      </c>
      <c r="J17" s="184"/>
      <c r="K17" s="185"/>
      <c r="L17" s="112" t="s">
        <v>164</v>
      </c>
      <c r="M17" s="112" t="s">
        <v>164</v>
      </c>
      <c r="N17" s="189" t="s">
        <v>216</v>
      </c>
      <c r="O17" s="190"/>
      <c r="P17" s="190"/>
      <c r="Q17" s="190"/>
      <c r="R17" s="190"/>
      <c r="S17" s="191"/>
      <c r="T17" s="112">
        <v>2</v>
      </c>
      <c r="U17" s="112"/>
      <c r="V17" s="183" t="s">
        <v>214</v>
      </c>
      <c r="W17" s="184"/>
      <c r="X17" s="185"/>
      <c r="Y17" s="112" t="s">
        <v>164</v>
      </c>
      <c r="Z17" s="112" t="s">
        <v>164</v>
      </c>
    </row>
    <row r="18" spans="1:26" ht="18" customHeight="1" x14ac:dyDescent="0.15">
      <c r="A18" s="14"/>
      <c r="B18" s="181" t="s">
        <v>202</v>
      </c>
      <c r="C18" s="182"/>
      <c r="D18" s="182"/>
      <c r="E18" s="182"/>
      <c r="F18" s="188"/>
      <c r="G18" s="112">
        <v>2</v>
      </c>
      <c r="H18" s="112"/>
      <c r="I18" s="183" t="s">
        <v>163</v>
      </c>
      <c r="J18" s="184"/>
      <c r="K18" s="185"/>
      <c r="L18" s="112" t="s">
        <v>164</v>
      </c>
      <c r="M18" s="112" t="s">
        <v>164</v>
      </c>
      <c r="N18" s="189"/>
      <c r="O18" s="190"/>
      <c r="P18" s="190"/>
      <c r="Q18" s="190"/>
      <c r="R18" s="190"/>
      <c r="S18" s="191"/>
      <c r="T18" s="112"/>
      <c r="U18" s="112"/>
      <c r="V18" s="183"/>
      <c r="W18" s="184"/>
      <c r="X18" s="185"/>
      <c r="Y18" s="112"/>
      <c r="Z18" s="112"/>
    </row>
    <row r="19" spans="1:26" ht="18" customHeight="1" x14ac:dyDescent="0.15">
      <c r="A19" s="14"/>
      <c r="B19" s="181" t="s">
        <v>205</v>
      </c>
      <c r="C19" s="182"/>
      <c r="D19" s="182"/>
      <c r="E19" s="182"/>
      <c r="F19" s="188"/>
      <c r="G19" s="112">
        <v>2</v>
      </c>
      <c r="H19" s="112"/>
      <c r="I19" s="183" t="s">
        <v>163</v>
      </c>
      <c r="J19" s="184"/>
      <c r="K19" s="185"/>
      <c r="L19" s="112" t="s">
        <v>164</v>
      </c>
      <c r="M19" s="112" t="s">
        <v>164</v>
      </c>
      <c r="N19" s="189"/>
      <c r="O19" s="190"/>
      <c r="P19" s="190"/>
      <c r="Q19" s="190"/>
      <c r="R19" s="190"/>
      <c r="S19" s="191"/>
      <c r="T19" s="112"/>
      <c r="U19" s="112"/>
      <c r="V19" s="183"/>
      <c r="W19" s="184"/>
      <c r="X19" s="185"/>
      <c r="Y19" s="112"/>
      <c r="Z19" s="112"/>
    </row>
    <row r="20" spans="1:26" ht="18" customHeight="1" x14ac:dyDescent="0.15">
      <c r="A20" s="14"/>
      <c r="B20" s="181" t="s">
        <v>226</v>
      </c>
      <c r="C20" s="182"/>
      <c r="D20" s="182"/>
      <c r="E20" s="182"/>
      <c r="F20" s="188"/>
      <c r="G20" s="112">
        <v>2</v>
      </c>
      <c r="H20" s="112"/>
      <c r="I20" s="183" t="s">
        <v>163</v>
      </c>
      <c r="J20" s="184"/>
      <c r="K20" s="185"/>
      <c r="L20" s="112" t="s">
        <v>164</v>
      </c>
      <c r="M20" s="112" t="s">
        <v>164</v>
      </c>
      <c r="N20" s="189"/>
      <c r="O20" s="190"/>
      <c r="P20" s="190"/>
      <c r="Q20" s="190"/>
      <c r="R20" s="190"/>
      <c r="S20" s="191"/>
      <c r="T20" s="112"/>
      <c r="U20" s="112"/>
      <c r="V20" s="183"/>
      <c r="W20" s="184"/>
      <c r="X20" s="185"/>
      <c r="Y20" s="112"/>
      <c r="Z20" s="112"/>
    </row>
    <row r="21" spans="1:26" ht="18" customHeight="1" x14ac:dyDescent="0.15">
      <c r="A21" s="29"/>
      <c r="B21" s="181" t="s">
        <v>208</v>
      </c>
      <c r="C21" s="182"/>
      <c r="D21" s="182"/>
      <c r="E21" s="182"/>
      <c r="F21" s="188"/>
      <c r="G21" s="112">
        <v>2</v>
      </c>
      <c r="H21" s="112"/>
      <c r="I21" s="183" t="s">
        <v>163</v>
      </c>
      <c r="J21" s="184"/>
      <c r="K21" s="185"/>
      <c r="L21" s="112" t="s">
        <v>164</v>
      </c>
      <c r="M21" s="112" t="s">
        <v>164</v>
      </c>
      <c r="N21" s="189"/>
      <c r="O21" s="190"/>
      <c r="P21" s="190"/>
      <c r="Q21" s="190"/>
      <c r="R21" s="190"/>
      <c r="S21" s="191"/>
      <c r="T21" s="112"/>
      <c r="U21" s="112"/>
      <c r="V21" s="183"/>
      <c r="W21" s="184"/>
      <c r="X21" s="185"/>
      <c r="Y21" s="112"/>
      <c r="Z21" s="112"/>
    </row>
    <row r="22" spans="1:26" ht="18" customHeight="1" x14ac:dyDescent="0.15">
      <c r="A22" s="29"/>
      <c r="B22" s="193" t="s">
        <v>211</v>
      </c>
      <c r="C22" s="194"/>
      <c r="D22" s="194"/>
      <c r="E22" s="194"/>
      <c r="F22" s="195"/>
      <c r="G22" s="116">
        <v>2</v>
      </c>
      <c r="H22" s="116"/>
      <c r="I22" s="196" t="s">
        <v>214</v>
      </c>
      <c r="J22" s="197"/>
      <c r="K22" s="198"/>
      <c r="L22" s="116" t="s">
        <v>164</v>
      </c>
      <c r="M22" s="116" t="s">
        <v>164</v>
      </c>
      <c r="N22" s="199"/>
      <c r="O22" s="200"/>
      <c r="P22" s="200"/>
      <c r="Q22" s="200"/>
      <c r="R22" s="200"/>
      <c r="S22" s="201"/>
      <c r="T22" s="113"/>
      <c r="U22" s="113"/>
      <c r="V22" s="196"/>
      <c r="W22" s="197"/>
      <c r="X22" s="198"/>
      <c r="Y22" s="116"/>
      <c r="Z22" s="116"/>
    </row>
    <row r="23" spans="1:26" ht="7.5" customHeight="1" x14ac:dyDescent="0.15">
      <c r="A23" s="29"/>
      <c r="B23" s="74"/>
      <c r="C23" s="74"/>
      <c r="D23" s="29"/>
      <c r="E23" s="29"/>
      <c r="F23" s="29"/>
      <c r="G23" s="29"/>
      <c r="H23" s="29"/>
      <c r="I23" s="29"/>
      <c r="J23" s="29"/>
      <c r="K23" s="29"/>
      <c r="L23" s="74"/>
      <c r="M23" s="74"/>
      <c r="N23" s="74"/>
      <c r="O23" s="74"/>
      <c r="P23" s="74"/>
      <c r="Q23" s="74"/>
      <c r="R23" s="74"/>
      <c r="S23" s="74"/>
      <c r="T23" s="74"/>
      <c r="U23" s="74"/>
      <c r="V23" s="74"/>
      <c r="W23" s="74"/>
      <c r="X23" s="74"/>
      <c r="Y23" s="74"/>
      <c r="Z23" s="29"/>
    </row>
    <row r="24" spans="1:26" ht="18" customHeight="1" x14ac:dyDescent="0.15">
      <c r="A24" s="192" t="s">
        <v>126</v>
      </c>
      <c r="B24" s="192"/>
      <c r="C24" s="192"/>
      <c r="D24" s="192"/>
      <c r="E24" s="192"/>
      <c r="F24" s="192"/>
      <c r="G24" s="192"/>
      <c r="H24" s="192"/>
      <c r="I24" s="192"/>
      <c r="J24" s="192"/>
      <c r="K24" s="192"/>
      <c r="L24" s="192"/>
      <c r="M24" s="192"/>
      <c r="N24" s="192"/>
      <c r="O24" s="192"/>
      <c r="P24" s="192"/>
      <c r="Q24" s="192"/>
      <c r="R24" s="192"/>
      <c r="S24" s="192"/>
      <c r="T24" s="192"/>
      <c r="U24" s="192"/>
      <c r="V24" s="192"/>
      <c r="W24" s="192"/>
      <c r="X24" s="192"/>
      <c r="Y24" s="192"/>
      <c r="Z24" s="192"/>
    </row>
    <row r="25" spans="1:26" ht="18" customHeight="1" x14ac:dyDescent="0.15">
      <c r="A25" s="192"/>
      <c r="B25" s="192"/>
      <c r="C25" s="192"/>
      <c r="D25" s="192"/>
      <c r="E25" s="192"/>
      <c r="F25" s="192"/>
      <c r="G25" s="192"/>
      <c r="H25" s="192"/>
      <c r="I25" s="192"/>
      <c r="J25" s="192"/>
      <c r="K25" s="192"/>
      <c r="L25" s="192"/>
      <c r="M25" s="192"/>
      <c r="N25" s="192"/>
      <c r="O25" s="192"/>
      <c r="P25" s="192"/>
      <c r="Q25" s="192"/>
      <c r="R25" s="192"/>
      <c r="S25" s="192"/>
      <c r="T25" s="192"/>
      <c r="U25" s="192"/>
      <c r="V25" s="192"/>
      <c r="W25" s="192"/>
      <c r="X25" s="192"/>
      <c r="Y25" s="192"/>
      <c r="Z25" s="192"/>
    </row>
    <row r="26" spans="1:26" ht="18" customHeight="1" x14ac:dyDescent="0.15">
      <c r="A26" s="14"/>
      <c r="B26" s="150" t="s">
        <v>100</v>
      </c>
      <c r="C26" s="151"/>
      <c r="D26" s="151"/>
      <c r="E26" s="151"/>
      <c r="F26" s="152"/>
      <c r="G26" s="30" t="s">
        <v>141</v>
      </c>
      <c r="H26" s="110" t="s">
        <v>140</v>
      </c>
      <c r="I26" s="151" t="s">
        <v>101</v>
      </c>
      <c r="J26" s="151"/>
      <c r="K26" s="151"/>
      <c r="L26" s="73" t="s">
        <v>127</v>
      </c>
      <c r="M26" s="73" t="s">
        <v>128</v>
      </c>
      <c r="N26" s="150" t="s">
        <v>100</v>
      </c>
      <c r="O26" s="151"/>
      <c r="P26" s="151"/>
      <c r="Q26" s="151"/>
      <c r="R26" s="151"/>
      <c r="S26" s="152"/>
      <c r="T26" s="30" t="s">
        <v>141</v>
      </c>
      <c r="U26" s="110" t="s">
        <v>140</v>
      </c>
      <c r="V26" s="151" t="s">
        <v>101</v>
      </c>
      <c r="W26" s="151"/>
      <c r="X26" s="151"/>
      <c r="Y26" s="73" t="s">
        <v>127</v>
      </c>
      <c r="Z26" s="73" t="s">
        <v>128</v>
      </c>
    </row>
    <row r="27" spans="1:26" ht="18" customHeight="1" x14ac:dyDescent="0.15">
      <c r="A27" s="14"/>
      <c r="B27" s="256" t="s">
        <v>199</v>
      </c>
      <c r="C27" s="257"/>
      <c r="D27" s="257"/>
      <c r="E27" s="257"/>
      <c r="F27" s="263"/>
      <c r="G27" s="111">
        <v>2</v>
      </c>
      <c r="H27" s="111"/>
      <c r="I27" s="258" t="s">
        <v>163</v>
      </c>
      <c r="J27" s="259"/>
      <c r="K27" s="260"/>
      <c r="L27" s="111"/>
      <c r="M27" s="111" t="s">
        <v>164</v>
      </c>
      <c r="N27" s="245" t="s">
        <v>227</v>
      </c>
      <c r="O27" s="246"/>
      <c r="P27" s="246"/>
      <c r="Q27" s="246"/>
      <c r="R27" s="246"/>
      <c r="S27" s="247"/>
      <c r="T27" s="111">
        <v>2</v>
      </c>
      <c r="U27" s="111"/>
      <c r="V27" s="258" t="s">
        <v>214</v>
      </c>
      <c r="W27" s="259"/>
      <c r="X27" s="260"/>
      <c r="Y27" s="111" t="s">
        <v>164</v>
      </c>
      <c r="Z27" s="111" t="s">
        <v>164</v>
      </c>
    </row>
    <row r="28" spans="1:26" ht="18" customHeight="1" x14ac:dyDescent="0.15">
      <c r="A28" s="14"/>
      <c r="B28" s="181" t="s">
        <v>201</v>
      </c>
      <c r="C28" s="182"/>
      <c r="D28" s="182"/>
      <c r="E28" s="182"/>
      <c r="F28" s="188"/>
      <c r="G28" s="112">
        <v>2</v>
      </c>
      <c r="H28" s="112"/>
      <c r="I28" s="183" t="s">
        <v>163</v>
      </c>
      <c r="J28" s="184"/>
      <c r="K28" s="185"/>
      <c r="L28" s="112" t="s">
        <v>164</v>
      </c>
      <c r="M28" s="112" t="s">
        <v>164</v>
      </c>
      <c r="N28" s="189"/>
      <c r="O28" s="190"/>
      <c r="P28" s="190"/>
      <c r="Q28" s="190"/>
      <c r="R28" s="190"/>
      <c r="S28" s="191"/>
      <c r="T28" s="112"/>
      <c r="U28" s="112"/>
      <c r="V28" s="183"/>
      <c r="W28" s="184"/>
      <c r="X28" s="185"/>
      <c r="Y28" s="112"/>
      <c r="Z28" s="112"/>
    </row>
    <row r="29" spans="1:26" ht="18" customHeight="1" x14ac:dyDescent="0.15">
      <c r="A29" s="14"/>
      <c r="B29" s="181" t="s">
        <v>204</v>
      </c>
      <c r="C29" s="182"/>
      <c r="D29" s="182"/>
      <c r="E29" s="182"/>
      <c r="F29" s="188"/>
      <c r="G29" s="112">
        <v>2</v>
      </c>
      <c r="H29" s="112"/>
      <c r="I29" s="183" t="s">
        <v>163</v>
      </c>
      <c r="J29" s="184"/>
      <c r="K29" s="185"/>
      <c r="L29" s="112"/>
      <c r="M29" s="112" t="s">
        <v>164</v>
      </c>
      <c r="N29" s="189"/>
      <c r="O29" s="190"/>
      <c r="P29" s="190"/>
      <c r="Q29" s="190"/>
      <c r="R29" s="190"/>
      <c r="S29" s="191"/>
      <c r="T29" s="112"/>
      <c r="U29" s="112"/>
      <c r="V29" s="183"/>
      <c r="W29" s="184"/>
      <c r="X29" s="185"/>
      <c r="Y29" s="112"/>
      <c r="Z29" s="112"/>
    </row>
    <row r="30" spans="1:26" ht="18" customHeight="1" x14ac:dyDescent="0.15">
      <c r="A30" s="14"/>
      <c r="B30" s="181" t="s">
        <v>218</v>
      </c>
      <c r="C30" s="182"/>
      <c r="D30" s="182"/>
      <c r="E30" s="182"/>
      <c r="F30" s="188"/>
      <c r="G30" s="112">
        <v>2</v>
      </c>
      <c r="H30" s="112"/>
      <c r="I30" s="183" t="s">
        <v>163</v>
      </c>
      <c r="J30" s="184"/>
      <c r="K30" s="185"/>
      <c r="L30" s="112"/>
      <c r="M30" s="112" t="s">
        <v>164</v>
      </c>
      <c r="N30" s="189"/>
      <c r="O30" s="190"/>
      <c r="P30" s="190"/>
      <c r="Q30" s="190"/>
      <c r="R30" s="190"/>
      <c r="S30" s="191"/>
      <c r="T30" s="112"/>
      <c r="U30" s="112"/>
      <c r="V30" s="183"/>
      <c r="W30" s="184"/>
      <c r="X30" s="185"/>
      <c r="Y30" s="112"/>
      <c r="Z30" s="112"/>
    </row>
    <row r="31" spans="1:26" ht="18" customHeight="1" x14ac:dyDescent="0.15">
      <c r="A31" s="14"/>
      <c r="B31" s="181" t="s">
        <v>207</v>
      </c>
      <c r="C31" s="182"/>
      <c r="D31" s="182"/>
      <c r="E31" s="182"/>
      <c r="F31" s="188"/>
      <c r="G31" s="112">
        <v>2</v>
      </c>
      <c r="H31" s="112"/>
      <c r="I31" s="183" t="s">
        <v>163</v>
      </c>
      <c r="J31" s="184"/>
      <c r="K31" s="185"/>
      <c r="L31" s="112" t="s">
        <v>164</v>
      </c>
      <c r="M31" s="112" t="s">
        <v>164</v>
      </c>
      <c r="N31" s="189"/>
      <c r="O31" s="190"/>
      <c r="P31" s="190"/>
      <c r="Q31" s="190"/>
      <c r="R31" s="190"/>
      <c r="S31" s="191"/>
      <c r="T31" s="112"/>
      <c r="U31" s="112"/>
      <c r="V31" s="183"/>
      <c r="W31" s="184"/>
      <c r="X31" s="185"/>
      <c r="Y31" s="112"/>
      <c r="Z31" s="112"/>
    </row>
    <row r="32" spans="1:26" ht="18" customHeight="1" x14ac:dyDescent="0.15">
      <c r="A32" s="14"/>
      <c r="B32" s="181" t="s">
        <v>210</v>
      </c>
      <c r="C32" s="182"/>
      <c r="D32" s="182"/>
      <c r="E32" s="182"/>
      <c r="F32" s="188"/>
      <c r="G32" s="112">
        <v>2</v>
      </c>
      <c r="H32" s="112"/>
      <c r="I32" s="183" t="s">
        <v>214</v>
      </c>
      <c r="J32" s="184"/>
      <c r="K32" s="185"/>
      <c r="L32" s="112" t="s">
        <v>164</v>
      </c>
      <c r="M32" s="112" t="s">
        <v>164</v>
      </c>
      <c r="N32" s="189"/>
      <c r="O32" s="190"/>
      <c r="P32" s="190"/>
      <c r="Q32" s="190"/>
      <c r="R32" s="190"/>
      <c r="S32" s="191"/>
      <c r="T32" s="112"/>
      <c r="U32" s="112"/>
      <c r="V32" s="183"/>
      <c r="W32" s="184"/>
      <c r="X32" s="185"/>
      <c r="Y32" s="112"/>
      <c r="Z32" s="112"/>
    </row>
    <row r="33" spans="1:26" ht="18" customHeight="1" x14ac:dyDescent="0.15">
      <c r="A33" s="14"/>
      <c r="B33" s="193" t="s">
        <v>212</v>
      </c>
      <c r="C33" s="194"/>
      <c r="D33" s="194"/>
      <c r="E33" s="194"/>
      <c r="F33" s="195"/>
      <c r="G33" s="116">
        <v>2</v>
      </c>
      <c r="H33" s="116"/>
      <c r="I33" s="196" t="s">
        <v>214</v>
      </c>
      <c r="J33" s="197"/>
      <c r="K33" s="198"/>
      <c r="L33" s="116" t="s">
        <v>164</v>
      </c>
      <c r="M33" s="116" t="s">
        <v>164</v>
      </c>
      <c r="N33" s="199"/>
      <c r="O33" s="200"/>
      <c r="P33" s="200"/>
      <c r="Q33" s="200"/>
      <c r="R33" s="200"/>
      <c r="S33" s="201"/>
      <c r="T33" s="113"/>
      <c r="U33" s="113"/>
      <c r="V33" s="196"/>
      <c r="W33" s="197"/>
      <c r="X33" s="198"/>
      <c r="Y33" s="116"/>
      <c r="Z33" s="116"/>
    </row>
    <row r="34" spans="1:26" ht="7.5" customHeight="1" x14ac:dyDescent="0.15">
      <c r="A34" s="29"/>
      <c r="B34" s="74"/>
      <c r="C34" s="74"/>
      <c r="D34" s="29"/>
      <c r="E34" s="29"/>
      <c r="F34" s="29"/>
      <c r="G34" s="29"/>
      <c r="H34" s="29"/>
      <c r="I34" s="29"/>
      <c r="J34" s="29"/>
      <c r="K34" s="29"/>
      <c r="L34" s="74"/>
      <c r="M34" s="74"/>
      <c r="N34" s="74"/>
      <c r="O34" s="74"/>
      <c r="P34" s="74"/>
      <c r="Q34" s="74"/>
      <c r="R34" s="74"/>
      <c r="S34" s="74"/>
      <c r="T34" s="74"/>
      <c r="U34" s="74"/>
      <c r="V34" s="74"/>
      <c r="W34" s="74"/>
      <c r="X34" s="74"/>
      <c r="Y34" s="74"/>
      <c r="Z34" s="29"/>
    </row>
    <row r="35" spans="1:26" ht="18" customHeight="1" x14ac:dyDescent="0.15">
      <c r="A35" s="192" t="s">
        <v>129</v>
      </c>
      <c r="B35" s="192"/>
      <c r="C35" s="192"/>
      <c r="D35" s="192"/>
      <c r="E35" s="192"/>
      <c r="F35" s="192"/>
      <c r="G35" s="192"/>
      <c r="H35" s="192"/>
      <c r="I35" s="192"/>
      <c r="J35" s="192"/>
      <c r="K35" s="192"/>
      <c r="L35" s="192"/>
      <c r="M35" s="192"/>
      <c r="N35" s="192"/>
      <c r="O35" s="192"/>
      <c r="P35" s="192"/>
      <c r="Q35" s="192"/>
      <c r="R35" s="192"/>
      <c r="S35" s="192"/>
      <c r="T35" s="192"/>
      <c r="U35" s="192"/>
      <c r="V35" s="192"/>
      <c r="W35" s="192"/>
      <c r="X35" s="192"/>
      <c r="Y35" s="192"/>
      <c r="Z35" s="192"/>
    </row>
    <row r="36" spans="1:26" ht="18" customHeight="1" x14ac:dyDescent="0.15">
      <c r="A36" s="192"/>
      <c r="B36" s="192"/>
      <c r="C36" s="192"/>
      <c r="D36" s="192"/>
      <c r="E36" s="192"/>
      <c r="F36" s="192"/>
      <c r="G36" s="192"/>
      <c r="H36" s="192"/>
      <c r="I36" s="192"/>
      <c r="J36" s="192"/>
      <c r="K36" s="192"/>
      <c r="L36" s="192"/>
      <c r="M36" s="192"/>
      <c r="N36" s="192"/>
      <c r="O36" s="192"/>
      <c r="P36" s="192"/>
      <c r="Q36" s="192"/>
      <c r="R36" s="192"/>
      <c r="S36" s="192"/>
      <c r="T36" s="192"/>
      <c r="U36" s="192"/>
      <c r="V36" s="192"/>
      <c r="W36" s="192"/>
      <c r="X36" s="192"/>
      <c r="Y36" s="192"/>
      <c r="Z36" s="192"/>
    </row>
    <row r="37" spans="1:26" ht="18" customHeight="1" x14ac:dyDescent="0.15">
      <c r="A37" s="14"/>
      <c r="B37" s="150" t="s">
        <v>100</v>
      </c>
      <c r="C37" s="151"/>
      <c r="D37" s="151"/>
      <c r="E37" s="151"/>
      <c r="F37" s="152"/>
      <c r="G37" s="30" t="s">
        <v>141</v>
      </c>
      <c r="H37" s="110" t="s">
        <v>140</v>
      </c>
      <c r="I37" s="150" t="s">
        <v>101</v>
      </c>
      <c r="J37" s="151"/>
      <c r="K37" s="152"/>
      <c r="L37" s="73" t="s">
        <v>130</v>
      </c>
      <c r="M37" s="73" t="s">
        <v>131</v>
      </c>
      <c r="N37" s="150" t="s">
        <v>100</v>
      </c>
      <c r="O37" s="151"/>
      <c r="P37" s="151"/>
      <c r="Q37" s="151"/>
      <c r="R37" s="151"/>
      <c r="S37" s="152"/>
      <c r="T37" s="30" t="s">
        <v>141</v>
      </c>
      <c r="U37" s="110" t="s">
        <v>140</v>
      </c>
      <c r="V37" s="150" t="s">
        <v>101</v>
      </c>
      <c r="W37" s="151"/>
      <c r="X37" s="152"/>
      <c r="Y37" s="73" t="s">
        <v>130</v>
      </c>
      <c r="Z37" s="73" t="s">
        <v>131</v>
      </c>
    </row>
    <row r="38" spans="1:26" ht="18" customHeight="1" x14ac:dyDescent="0.15">
      <c r="A38" s="29"/>
      <c r="B38" s="256" t="s">
        <v>200</v>
      </c>
      <c r="C38" s="257"/>
      <c r="D38" s="257"/>
      <c r="E38" s="257"/>
      <c r="F38" s="263"/>
      <c r="G38" s="111">
        <v>2</v>
      </c>
      <c r="H38" s="111"/>
      <c r="I38" s="258" t="s">
        <v>163</v>
      </c>
      <c r="J38" s="259"/>
      <c r="K38" s="260"/>
      <c r="L38" s="111"/>
      <c r="M38" s="111" t="s">
        <v>164</v>
      </c>
      <c r="N38" s="245" t="s">
        <v>216</v>
      </c>
      <c r="O38" s="246"/>
      <c r="P38" s="246"/>
      <c r="Q38" s="246"/>
      <c r="R38" s="246"/>
      <c r="S38" s="247"/>
      <c r="T38" s="111">
        <v>2</v>
      </c>
      <c r="U38" s="111"/>
      <c r="V38" s="258" t="s">
        <v>214</v>
      </c>
      <c r="W38" s="259"/>
      <c r="X38" s="260"/>
      <c r="Y38" s="111" t="s">
        <v>164</v>
      </c>
      <c r="Z38" s="111" t="s">
        <v>164</v>
      </c>
    </row>
    <row r="39" spans="1:26" ht="18" customHeight="1" x14ac:dyDescent="0.15">
      <c r="A39" s="29"/>
      <c r="B39" s="181" t="s">
        <v>203</v>
      </c>
      <c r="C39" s="182"/>
      <c r="D39" s="182"/>
      <c r="E39" s="182"/>
      <c r="F39" s="188"/>
      <c r="G39" s="112">
        <v>2</v>
      </c>
      <c r="H39" s="112"/>
      <c r="I39" s="183" t="s">
        <v>163</v>
      </c>
      <c r="J39" s="184"/>
      <c r="K39" s="185"/>
      <c r="L39" s="112"/>
      <c r="M39" s="112" t="s">
        <v>164</v>
      </c>
      <c r="N39" s="189"/>
      <c r="O39" s="190"/>
      <c r="P39" s="190"/>
      <c r="Q39" s="190"/>
      <c r="R39" s="190"/>
      <c r="S39" s="191"/>
      <c r="T39" s="112"/>
      <c r="U39" s="112"/>
      <c r="V39" s="183"/>
      <c r="W39" s="184"/>
      <c r="X39" s="185"/>
      <c r="Y39" s="112"/>
      <c r="Z39" s="112"/>
    </row>
    <row r="40" spans="1:26" ht="18" customHeight="1" x14ac:dyDescent="0.15">
      <c r="A40" s="29"/>
      <c r="B40" s="181" t="s">
        <v>204</v>
      </c>
      <c r="C40" s="182"/>
      <c r="D40" s="182"/>
      <c r="E40" s="182"/>
      <c r="F40" s="188"/>
      <c r="G40" s="112">
        <v>2</v>
      </c>
      <c r="H40" s="112"/>
      <c r="I40" s="183" t="s">
        <v>163</v>
      </c>
      <c r="J40" s="184"/>
      <c r="K40" s="185"/>
      <c r="L40" s="112"/>
      <c r="M40" s="112" t="s">
        <v>164</v>
      </c>
      <c r="N40" s="189"/>
      <c r="O40" s="190"/>
      <c r="P40" s="190"/>
      <c r="Q40" s="190"/>
      <c r="R40" s="190"/>
      <c r="S40" s="191"/>
      <c r="T40" s="112"/>
      <c r="U40" s="112"/>
      <c r="V40" s="183"/>
      <c r="W40" s="184"/>
      <c r="X40" s="185"/>
      <c r="Y40" s="112"/>
      <c r="Z40" s="112"/>
    </row>
    <row r="41" spans="1:26" ht="18" customHeight="1" x14ac:dyDescent="0.15">
      <c r="A41" s="29"/>
      <c r="B41" s="181" t="s">
        <v>206</v>
      </c>
      <c r="C41" s="182"/>
      <c r="D41" s="182"/>
      <c r="E41" s="182"/>
      <c r="F41" s="188"/>
      <c r="G41" s="112">
        <v>2</v>
      </c>
      <c r="H41" s="112"/>
      <c r="I41" s="183" t="s">
        <v>163</v>
      </c>
      <c r="J41" s="184"/>
      <c r="K41" s="185"/>
      <c r="L41" s="112"/>
      <c r="M41" s="112" t="s">
        <v>164</v>
      </c>
      <c r="N41" s="189"/>
      <c r="O41" s="190"/>
      <c r="P41" s="190"/>
      <c r="Q41" s="190"/>
      <c r="R41" s="190"/>
      <c r="S41" s="191"/>
      <c r="T41" s="112"/>
      <c r="U41" s="112"/>
      <c r="V41" s="183"/>
      <c r="W41" s="184"/>
      <c r="X41" s="185"/>
      <c r="Y41" s="112"/>
      <c r="Z41" s="112"/>
    </row>
    <row r="42" spans="1:26" ht="18" customHeight="1" x14ac:dyDescent="0.15">
      <c r="A42" s="29"/>
      <c r="B42" s="181" t="s">
        <v>207</v>
      </c>
      <c r="C42" s="182"/>
      <c r="D42" s="182"/>
      <c r="E42" s="182"/>
      <c r="F42" s="188"/>
      <c r="G42" s="112">
        <v>2</v>
      </c>
      <c r="H42" s="112"/>
      <c r="I42" s="183" t="s">
        <v>163</v>
      </c>
      <c r="J42" s="184"/>
      <c r="K42" s="185"/>
      <c r="L42" s="112" t="s">
        <v>164</v>
      </c>
      <c r="M42" s="112" t="s">
        <v>164</v>
      </c>
      <c r="N42" s="189"/>
      <c r="O42" s="190"/>
      <c r="P42" s="190"/>
      <c r="Q42" s="190"/>
      <c r="R42" s="190"/>
      <c r="S42" s="191"/>
      <c r="T42" s="112"/>
      <c r="U42" s="112"/>
      <c r="V42" s="183"/>
      <c r="W42" s="184"/>
      <c r="X42" s="185"/>
      <c r="Y42" s="112"/>
      <c r="Z42" s="112"/>
    </row>
    <row r="43" spans="1:26" ht="18" customHeight="1" x14ac:dyDescent="0.15">
      <c r="A43" s="29"/>
      <c r="B43" s="181" t="s">
        <v>211</v>
      </c>
      <c r="C43" s="182"/>
      <c r="D43" s="182"/>
      <c r="E43" s="182"/>
      <c r="F43" s="188"/>
      <c r="G43" s="112">
        <v>2</v>
      </c>
      <c r="H43" s="112"/>
      <c r="I43" s="183" t="s">
        <v>214</v>
      </c>
      <c r="J43" s="184"/>
      <c r="K43" s="185"/>
      <c r="L43" s="112" t="s">
        <v>164</v>
      </c>
      <c r="M43" s="112" t="s">
        <v>164</v>
      </c>
      <c r="N43" s="189"/>
      <c r="O43" s="190"/>
      <c r="P43" s="190"/>
      <c r="Q43" s="190"/>
      <c r="R43" s="190"/>
      <c r="S43" s="191"/>
      <c r="T43" s="112"/>
      <c r="U43" s="112"/>
      <c r="V43" s="183"/>
      <c r="W43" s="184"/>
      <c r="X43" s="185"/>
      <c r="Y43" s="112"/>
      <c r="Z43" s="112"/>
    </row>
    <row r="44" spans="1:26" ht="18" customHeight="1" x14ac:dyDescent="0.15">
      <c r="A44" s="29"/>
      <c r="B44" s="193" t="s">
        <v>213</v>
      </c>
      <c r="C44" s="194"/>
      <c r="D44" s="194"/>
      <c r="E44" s="194"/>
      <c r="F44" s="195"/>
      <c r="G44" s="113">
        <v>2</v>
      </c>
      <c r="H44" s="113"/>
      <c r="I44" s="196" t="s">
        <v>214</v>
      </c>
      <c r="J44" s="197"/>
      <c r="K44" s="198"/>
      <c r="L44" s="116" t="s">
        <v>164</v>
      </c>
      <c r="M44" s="116" t="s">
        <v>164</v>
      </c>
      <c r="N44" s="199"/>
      <c r="O44" s="200"/>
      <c r="P44" s="200"/>
      <c r="Q44" s="200"/>
      <c r="R44" s="200"/>
      <c r="S44" s="201"/>
      <c r="T44" s="113"/>
      <c r="U44" s="113"/>
      <c r="V44" s="196"/>
      <c r="W44" s="197"/>
      <c r="X44" s="198"/>
      <c r="Y44" s="116"/>
      <c r="Z44" s="116"/>
    </row>
    <row r="45" spans="1:26" ht="7.5" customHeight="1" x14ac:dyDescent="0.15">
      <c r="B45" s="75"/>
      <c r="C45" s="75"/>
      <c r="D45" s="75"/>
      <c r="E45" s="75"/>
      <c r="F45" s="75"/>
      <c r="G45" s="75"/>
      <c r="H45" s="75"/>
      <c r="I45" s="75"/>
      <c r="J45" s="75"/>
      <c r="K45" s="75"/>
      <c r="L45" s="75"/>
      <c r="M45" s="75"/>
      <c r="N45" s="75"/>
      <c r="O45" s="75"/>
      <c r="P45" s="75"/>
      <c r="Q45" s="75"/>
      <c r="R45" s="75"/>
      <c r="S45" s="75"/>
      <c r="T45" s="75"/>
      <c r="U45" s="75"/>
      <c r="V45" s="75"/>
      <c r="W45" s="75"/>
      <c r="X45" s="75"/>
      <c r="Y45" s="75"/>
    </row>
    <row r="46" spans="1:26" ht="18" customHeight="1" x14ac:dyDescent="0.15">
      <c r="A46" s="192" t="s">
        <v>132</v>
      </c>
      <c r="B46" s="192"/>
      <c r="C46" s="192"/>
      <c r="D46" s="192"/>
      <c r="E46" s="192"/>
      <c r="F46" s="192"/>
      <c r="G46" s="192"/>
      <c r="H46" s="192"/>
      <c r="I46" s="192"/>
      <c r="J46" s="192"/>
      <c r="K46" s="192"/>
      <c r="L46" s="192"/>
      <c r="M46" s="192"/>
      <c r="N46" s="192"/>
      <c r="O46" s="192"/>
      <c r="P46" s="192"/>
      <c r="Q46" s="192"/>
      <c r="R46" s="192"/>
      <c r="S46" s="192"/>
      <c r="T46" s="192"/>
      <c r="U46" s="192"/>
      <c r="V46" s="192"/>
      <c r="W46" s="192"/>
      <c r="X46" s="192"/>
      <c r="Y46" s="192"/>
      <c r="Z46" s="192"/>
    </row>
    <row r="47" spans="1:26" ht="18" customHeight="1" x14ac:dyDescent="0.15">
      <c r="A47" s="192"/>
      <c r="B47" s="192"/>
      <c r="C47" s="192"/>
      <c r="D47" s="192"/>
      <c r="E47" s="192"/>
      <c r="F47" s="192"/>
      <c r="G47" s="192"/>
      <c r="H47" s="192"/>
      <c r="I47" s="192"/>
      <c r="J47" s="192"/>
      <c r="K47" s="192"/>
      <c r="L47" s="192"/>
      <c r="M47" s="192"/>
      <c r="N47" s="192"/>
      <c r="O47" s="192"/>
      <c r="P47" s="192"/>
      <c r="Q47" s="192"/>
      <c r="R47" s="192"/>
      <c r="S47" s="192"/>
      <c r="T47" s="192"/>
      <c r="U47" s="192"/>
      <c r="V47" s="192"/>
      <c r="W47" s="192"/>
      <c r="X47" s="192"/>
      <c r="Y47" s="192"/>
      <c r="Z47" s="192"/>
    </row>
    <row r="48" spans="1:26" ht="18" customHeight="1" x14ac:dyDescent="0.15">
      <c r="A48" s="14"/>
      <c r="B48" s="150" t="s">
        <v>100</v>
      </c>
      <c r="C48" s="151"/>
      <c r="D48" s="151"/>
      <c r="E48" s="151"/>
      <c r="F48" s="152"/>
      <c r="G48" s="30" t="s">
        <v>141</v>
      </c>
      <c r="H48" s="110" t="s">
        <v>140</v>
      </c>
      <c r="I48" s="150" t="s">
        <v>101</v>
      </c>
      <c r="J48" s="151"/>
      <c r="K48" s="152"/>
      <c r="L48" s="73" t="s">
        <v>106</v>
      </c>
      <c r="M48" s="73" t="s">
        <v>108</v>
      </c>
      <c r="N48" s="150" t="s">
        <v>100</v>
      </c>
      <c r="O48" s="151"/>
      <c r="P48" s="151"/>
      <c r="Q48" s="151"/>
      <c r="R48" s="151"/>
      <c r="S48" s="152"/>
      <c r="T48" s="30" t="s">
        <v>141</v>
      </c>
      <c r="U48" s="110" t="s">
        <v>140</v>
      </c>
      <c r="V48" s="150" t="s">
        <v>101</v>
      </c>
      <c r="W48" s="151"/>
      <c r="X48" s="152"/>
      <c r="Y48" s="73" t="s">
        <v>106</v>
      </c>
      <c r="Z48" s="73" t="s">
        <v>108</v>
      </c>
    </row>
    <row r="49" spans="1:26" ht="18" customHeight="1" x14ac:dyDescent="0.15">
      <c r="A49" s="29"/>
      <c r="B49" s="256" t="s">
        <v>207</v>
      </c>
      <c r="C49" s="257"/>
      <c r="D49" s="257"/>
      <c r="E49" s="257"/>
      <c r="F49" s="263"/>
      <c r="G49" s="111">
        <v>2</v>
      </c>
      <c r="H49" s="111"/>
      <c r="I49" s="258" t="s">
        <v>163</v>
      </c>
      <c r="J49" s="259"/>
      <c r="K49" s="260"/>
      <c r="L49" s="111" t="s">
        <v>164</v>
      </c>
      <c r="M49" s="111" t="s">
        <v>164</v>
      </c>
      <c r="N49" s="245"/>
      <c r="O49" s="246"/>
      <c r="P49" s="246"/>
      <c r="Q49" s="246"/>
      <c r="R49" s="246"/>
      <c r="S49" s="247"/>
      <c r="T49" s="111"/>
      <c r="U49" s="111"/>
      <c r="V49" s="258"/>
      <c r="W49" s="259"/>
      <c r="X49" s="260"/>
      <c r="Y49" s="111"/>
      <c r="Z49" s="111"/>
    </row>
    <row r="50" spans="1:26" ht="18" customHeight="1" x14ac:dyDescent="0.15">
      <c r="A50" s="29"/>
      <c r="B50" s="181" t="s">
        <v>217</v>
      </c>
      <c r="C50" s="182"/>
      <c r="D50" s="182"/>
      <c r="E50" s="182"/>
      <c r="F50" s="188"/>
      <c r="G50" s="112">
        <v>2</v>
      </c>
      <c r="H50" s="112"/>
      <c r="I50" s="183" t="s">
        <v>214</v>
      </c>
      <c r="J50" s="184"/>
      <c r="K50" s="185"/>
      <c r="L50" s="112" t="s">
        <v>164</v>
      </c>
      <c r="M50" s="112" t="s">
        <v>164</v>
      </c>
      <c r="N50" s="189"/>
      <c r="O50" s="190"/>
      <c r="P50" s="190"/>
      <c r="Q50" s="190"/>
      <c r="R50" s="190"/>
      <c r="S50" s="191"/>
      <c r="T50" s="112"/>
      <c r="U50" s="112"/>
      <c r="V50" s="183"/>
      <c r="W50" s="184"/>
      <c r="X50" s="185"/>
      <c r="Y50" s="112"/>
      <c r="Z50" s="112"/>
    </row>
    <row r="51" spans="1:26" ht="18" customHeight="1" x14ac:dyDescent="0.15">
      <c r="A51" s="29"/>
      <c r="B51" s="181"/>
      <c r="C51" s="182"/>
      <c r="D51" s="182"/>
      <c r="E51" s="182"/>
      <c r="F51" s="188"/>
      <c r="G51" s="112"/>
      <c r="H51" s="112"/>
      <c r="I51" s="183"/>
      <c r="J51" s="184"/>
      <c r="K51" s="185"/>
      <c r="L51" s="112"/>
      <c r="M51" s="112"/>
      <c r="N51" s="189"/>
      <c r="O51" s="190"/>
      <c r="P51" s="190"/>
      <c r="Q51" s="190"/>
      <c r="R51" s="190"/>
      <c r="S51" s="191"/>
      <c r="T51" s="112"/>
      <c r="U51" s="112"/>
      <c r="V51" s="183"/>
      <c r="W51" s="184"/>
      <c r="X51" s="185"/>
      <c r="Y51" s="112"/>
      <c r="Z51" s="112"/>
    </row>
    <row r="52" spans="1:26" ht="18" customHeight="1" x14ac:dyDescent="0.15">
      <c r="A52" s="29"/>
      <c r="B52" s="181"/>
      <c r="C52" s="182"/>
      <c r="D52" s="182"/>
      <c r="E52" s="182"/>
      <c r="F52" s="188"/>
      <c r="G52" s="112"/>
      <c r="H52" s="112"/>
      <c r="I52" s="183"/>
      <c r="J52" s="184"/>
      <c r="K52" s="185"/>
      <c r="L52" s="112"/>
      <c r="M52" s="112"/>
      <c r="N52" s="189"/>
      <c r="O52" s="190"/>
      <c r="P52" s="190"/>
      <c r="Q52" s="190"/>
      <c r="R52" s="190"/>
      <c r="S52" s="191"/>
      <c r="T52" s="112"/>
      <c r="U52" s="112"/>
      <c r="V52" s="183"/>
      <c r="W52" s="184"/>
      <c r="X52" s="185"/>
      <c r="Y52" s="112"/>
      <c r="Z52" s="112"/>
    </row>
    <row r="53" spans="1:26" ht="18" customHeight="1" x14ac:dyDescent="0.15">
      <c r="A53" s="29"/>
      <c r="B53" s="181"/>
      <c r="C53" s="182"/>
      <c r="D53" s="182"/>
      <c r="E53" s="182"/>
      <c r="F53" s="188"/>
      <c r="G53" s="112"/>
      <c r="H53" s="112"/>
      <c r="I53" s="183"/>
      <c r="J53" s="184"/>
      <c r="K53" s="185"/>
      <c r="L53" s="112"/>
      <c r="M53" s="112"/>
      <c r="N53" s="189"/>
      <c r="O53" s="190"/>
      <c r="P53" s="190"/>
      <c r="Q53" s="190"/>
      <c r="R53" s="190"/>
      <c r="S53" s="191"/>
      <c r="T53" s="112"/>
      <c r="U53" s="112"/>
      <c r="V53" s="183"/>
      <c r="W53" s="184"/>
      <c r="X53" s="185"/>
      <c r="Y53" s="112"/>
      <c r="Z53" s="112"/>
    </row>
    <row r="54" spans="1:26" ht="18" customHeight="1" x14ac:dyDescent="0.15">
      <c r="A54" s="29"/>
      <c r="B54" s="181"/>
      <c r="C54" s="182"/>
      <c r="D54" s="182"/>
      <c r="E54" s="182"/>
      <c r="F54" s="188"/>
      <c r="G54" s="112"/>
      <c r="H54" s="112"/>
      <c r="I54" s="183"/>
      <c r="J54" s="184"/>
      <c r="K54" s="185"/>
      <c r="L54" s="112"/>
      <c r="M54" s="112"/>
      <c r="N54" s="189"/>
      <c r="O54" s="190"/>
      <c r="P54" s="190"/>
      <c r="Q54" s="190"/>
      <c r="R54" s="190"/>
      <c r="S54" s="191"/>
      <c r="T54" s="112"/>
      <c r="U54" s="112"/>
      <c r="V54" s="183"/>
      <c r="W54" s="184"/>
      <c r="X54" s="185"/>
      <c r="Y54" s="112"/>
      <c r="Z54" s="112"/>
    </row>
    <row r="55" spans="1:26" ht="18" customHeight="1" x14ac:dyDescent="0.15">
      <c r="A55" s="29"/>
      <c r="B55" s="193"/>
      <c r="C55" s="194"/>
      <c r="D55" s="194"/>
      <c r="E55" s="194"/>
      <c r="F55" s="195"/>
      <c r="G55" s="113"/>
      <c r="H55" s="113"/>
      <c r="I55" s="196"/>
      <c r="J55" s="197"/>
      <c r="K55" s="198"/>
      <c r="L55" s="116"/>
      <c r="M55" s="116"/>
      <c r="N55" s="199"/>
      <c r="O55" s="200"/>
      <c r="P55" s="200"/>
      <c r="Q55" s="200"/>
      <c r="R55" s="200"/>
      <c r="S55" s="201"/>
      <c r="T55" s="113"/>
      <c r="U55" s="113"/>
      <c r="V55" s="196"/>
      <c r="W55" s="197"/>
      <c r="X55" s="198"/>
      <c r="Y55" s="116"/>
      <c r="Z55" s="116"/>
    </row>
    <row r="56" spans="1:26" ht="7.5" customHeight="1" x14ac:dyDescent="0.15">
      <c r="B56" s="75"/>
      <c r="C56" s="75"/>
      <c r="D56" s="75"/>
      <c r="E56" s="75"/>
      <c r="F56" s="75"/>
      <c r="G56" s="75"/>
      <c r="H56" s="75"/>
      <c r="I56" s="75"/>
      <c r="J56" s="75"/>
      <c r="K56" s="75"/>
      <c r="L56" s="75"/>
      <c r="M56" s="75"/>
      <c r="N56" s="75"/>
      <c r="O56" s="75"/>
      <c r="P56" s="75"/>
      <c r="Q56" s="75"/>
      <c r="R56" s="75"/>
      <c r="S56" s="75"/>
      <c r="T56" s="75"/>
      <c r="U56" s="75"/>
      <c r="V56" s="75"/>
      <c r="W56" s="75"/>
      <c r="X56" s="75"/>
      <c r="Y56" s="75"/>
    </row>
    <row r="57" spans="1:26" ht="18" customHeight="1" x14ac:dyDescent="0.15">
      <c r="A57" s="192" t="s">
        <v>133</v>
      </c>
      <c r="B57" s="192"/>
      <c r="C57" s="192"/>
      <c r="D57" s="192"/>
      <c r="E57" s="192"/>
      <c r="F57" s="192"/>
      <c r="G57" s="192"/>
      <c r="H57" s="192"/>
      <c r="I57" s="192"/>
      <c r="J57" s="192"/>
      <c r="K57" s="192"/>
      <c r="L57" s="192"/>
      <c r="M57" s="192"/>
      <c r="N57" s="192"/>
      <c r="O57" s="192"/>
      <c r="P57" s="192"/>
      <c r="Q57" s="192"/>
      <c r="R57" s="192"/>
      <c r="S57" s="192"/>
      <c r="T57" s="192"/>
      <c r="U57" s="192"/>
      <c r="V57" s="192"/>
      <c r="W57" s="192"/>
      <c r="X57" s="192"/>
      <c r="Y57" s="192"/>
      <c r="Z57" s="192"/>
    </row>
    <row r="58" spans="1:26" ht="18" customHeight="1" x14ac:dyDescent="0.15">
      <c r="A58" s="192"/>
      <c r="B58" s="192"/>
      <c r="C58" s="192"/>
      <c r="D58" s="192"/>
      <c r="E58" s="192"/>
      <c r="F58" s="192"/>
      <c r="G58" s="192"/>
      <c r="H58" s="192"/>
      <c r="I58" s="192"/>
      <c r="J58" s="192"/>
      <c r="K58" s="192"/>
      <c r="L58" s="192"/>
      <c r="M58" s="192"/>
      <c r="N58" s="192"/>
      <c r="O58" s="192"/>
      <c r="P58" s="192"/>
      <c r="Q58" s="192"/>
      <c r="R58" s="192"/>
      <c r="S58" s="192"/>
      <c r="T58" s="192"/>
      <c r="U58" s="192"/>
      <c r="V58" s="192"/>
      <c r="W58" s="192"/>
      <c r="X58" s="192"/>
      <c r="Y58" s="192"/>
      <c r="Z58" s="192"/>
    </row>
    <row r="59" spans="1:26" ht="18" customHeight="1" x14ac:dyDescent="0.15">
      <c r="A59" s="14"/>
      <c r="B59" s="150" t="s">
        <v>100</v>
      </c>
      <c r="C59" s="151"/>
      <c r="D59" s="151"/>
      <c r="E59" s="152"/>
      <c r="F59" s="30" t="s">
        <v>141</v>
      </c>
      <c r="G59" s="110" t="s">
        <v>140</v>
      </c>
      <c r="H59" s="105" t="s">
        <v>101</v>
      </c>
      <c r="I59" s="106"/>
      <c r="J59" s="107"/>
      <c r="K59" s="73" t="s">
        <v>105</v>
      </c>
      <c r="L59" s="73" t="s">
        <v>134</v>
      </c>
      <c r="M59" s="73" t="s">
        <v>135</v>
      </c>
      <c r="N59" s="150" t="s">
        <v>100</v>
      </c>
      <c r="O59" s="151"/>
      <c r="P59" s="151"/>
      <c r="Q59" s="151"/>
      <c r="R59" s="152"/>
      <c r="S59" s="30" t="s">
        <v>141</v>
      </c>
      <c r="T59" s="110" t="s">
        <v>140</v>
      </c>
      <c r="U59" s="105" t="s">
        <v>101</v>
      </c>
      <c r="V59" s="106"/>
      <c r="W59" s="107"/>
      <c r="X59" s="73" t="s">
        <v>105</v>
      </c>
      <c r="Y59" s="73" t="s">
        <v>134</v>
      </c>
      <c r="Z59" s="73" t="s">
        <v>135</v>
      </c>
    </row>
    <row r="60" spans="1:26" ht="18" customHeight="1" x14ac:dyDescent="0.15">
      <c r="A60" s="29"/>
      <c r="B60" s="256" t="s">
        <v>196</v>
      </c>
      <c r="C60" s="257"/>
      <c r="D60" s="257"/>
      <c r="E60" s="263"/>
      <c r="F60" s="111">
        <v>2</v>
      </c>
      <c r="G60" s="111"/>
      <c r="H60" s="258" t="s">
        <v>163</v>
      </c>
      <c r="I60" s="259"/>
      <c r="J60" s="260"/>
      <c r="K60" s="143" t="s">
        <v>197</v>
      </c>
      <c r="L60" s="111"/>
      <c r="M60" s="111"/>
      <c r="N60" s="245" t="s">
        <v>227</v>
      </c>
      <c r="O60" s="246"/>
      <c r="P60" s="246"/>
      <c r="Q60" s="246"/>
      <c r="R60" s="247"/>
      <c r="S60" s="111">
        <v>2</v>
      </c>
      <c r="T60" s="111"/>
      <c r="U60" s="258" t="s">
        <v>214</v>
      </c>
      <c r="V60" s="259"/>
      <c r="W60" s="260"/>
      <c r="X60" s="143" t="s">
        <v>293</v>
      </c>
      <c r="Y60" s="111" t="s">
        <v>164</v>
      </c>
      <c r="Z60" s="111" t="s">
        <v>164</v>
      </c>
    </row>
    <row r="61" spans="1:26" ht="18" customHeight="1" x14ac:dyDescent="0.15">
      <c r="A61" s="29"/>
      <c r="B61" s="181" t="s">
        <v>294</v>
      </c>
      <c r="C61" s="182"/>
      <c r="D61" s="182"/>
      <c r="E61" s="188"/>
      <c r="F61" s="112">
        <v>2</v>
      </c>
      <c r="G61" s="112"/>
      <c r="H61" s="183" t="s">
        <v>163</v>
      </c>
      <c r="I61" s="184"/>
      <c r="J61" s="185"/>
      <c r="K61" s="144" t="s">
        <v>183</v>
      </c>
      <c r="L61" s="112"/>
      <c r="M61" s="112"/>
      <c r="N61" s="189"/>
      <c r="O61" s="190"/>
      <c r="P61" s="190"/>
      <c r="Q61" s="190"/>
      <c r="R61" s="191"/>
      <c r="S61" s="112"/>
      <c r="T61" s="112"/>
      <c r="U61" s="183"/>
      <c r="V61" s="184"/>
      <c r="W61" s="185"/>
      <c r="X61" s="144"/>
      <c r="Y61" s="112"/>
      <c r="Z61" s="112"/>
    </row>
    <row r="62" spans="1:26" ht="18" customHeight="1" x14ac:dyDescent="0.15">
      <c r="A62" s="29"/>
      <c r="B62" s="181" t="s">
        <v>295</v>
      </c>
      <c r="C62" s="182"/>
      <c r="D62" s="182"/>
      <c r="E62" s="188"/>
      <c r="F62" s="112">
        <v>2</v>
      </c>
      <c r="G62" s="112"/>
      <c r="H62" s="183" t="s">
        <v>163</v>
      </c>
      <c r="I62" s="184"/>
      <c r="J62" s="185"/>
      <c r="K62" s="144" t="s">
        <v>183</v>
      </c>
      <c r="L62" s="112" t="s">
        <v>164</v>
      </c>
      <c r="M62" s="112" t="s">
        <v>164</v>
      </c>
      <c r="N62" s="189"/>
      <c r="O62" s="190"/>
      <c r="P62" s="190"/>
      <c r="Q62" s="190"/>
      <c r="R62" s="191"/>
      <c r="S62" s="112"/>
      <c r="T62" s="112"/>
      <c r="U62" s="183"/>
      <c r="V62" s="184"/>
      <c r="W62" s="185"/>
      <c r="X62" s="144"/>
      <c r="Y62" s="112"/>
      <c r="Z62" s="112"/>
    </row>
    <row r="63" spans="1:26" ht="18" customHeight="1" x14ac:dyDescent="0.15">
      <c r="A63" s="29"/>
      <c r="B63" s="181" t="s">
        <v>209</v>
      </c>
      <c r="C63" s="182"/>
      <c r="D63" s="182"/>
      <c r="E63" s="188"/>
      <c r="F63" s="112">
        <v>2</v>
      </c>
      <c r="G63" s="112"/>
      <c r="H63" s="183" t="s">
        <v>214</v>
      </c>
      <c r="I63" s="184"/>
      <c r="J63" s="185"/>
      <c r="K63" s="144" t="s">
        <v>183</v>
      </c>
      <c r="L63" s="112" t="s">
        <v>164</v>
      </c>
      <c r="M63" s="112" t="s">
        <v>164</v>
      </c>
      <c r="N63" s="189"/>
      <c r="O63" s="190"/>
      <c r="P63" s="190"/>
      <c r="Q63" s="190"/>
      <c r="R63" s="191"/>
      <c r="S63" s="112"/>
      <c r="T63" s="112"/>
      <c r="U63" s="183"/>
      <c r="V63" s="184"/>
      <c r="W63" s="185"/>
      <c r="X63" s="144"/>
      <c r="Y63" s="112"/>
      <c r="Z63" s="112"/>
    </row>
    <row r="64" spans="1:26" ht="18" customHeight="1" x14ac:dyDescent="0.15">
      <c r="A64" s="29"/>
      <c r="B64" s="181" t="s">
        <v>211</v>
      </c>
      <c r="C64" s="182"/>
      <c r="D64" s="182"/>
      <c r="E64" s="188"/>
      <c r="F64" s="112">
        <v>2</v>
      </c>
      <c r="G64" s="112"/>
      <c r="H64" s="183" t="s">
        <v>214</v>
      </c>
      <c r="I64" s="184"/>
      <c r="J64" s="185"/>
      <c r="K64" s="144" t="s">
        <v>183</v>
      </c>
      <c r="L64" s="112" t="s">
        <v>164</v>
      </c>
      <c r="M64" s="112" t="s">
        <v>164</v>
      </c>
      <c r="N64" s="189"/>
      <c r="O64" s="190"/>
      <c r="P64" s="190"/>
      <c r="Q64" s="190"/>
      <c r="R64" s="191"/>
      <c r="S64" s="112"/>
      <c r="T64" s="112"/>
      <c r="U64" s="183"/>
      <c r="V64" s="184"/>
      <c r="W64" s="185"/>
      <c r="X64" s="144"/>
      <c r="Y64" s="112"/>
      <c r="Z64" s="112"/>
    </row>
    <row r="65" spans="1:26" ht="18" customHeight="1" x14ac:dyDescent="0.15">
      <c r="A65" s="29"/>
      <c r="B65" s="181" t="s">
        <v>213</v>
      </c>
      <c r="C65" s="182"/>
      <c r="D65" s="182"/>
      <c r="E65" s="188"/>
      <c r="F65" s="112">
        <v>2</v>
      </c>
      <c r="G65" s="112"/>
      <c r="H65" s="183" t="s">
        <v>214</v>
      </c>
      <c r="I65" s="184"/>
      <c r="J65" s="185"/>
      <c r="K65" s="144" t="s">
        <v>183</v>
      </c>
      <c r="L65" s="112" t="s">
        <v>164</v>
      </c>
      <c r="M65" s="112" t="s">
        <v>164</v>
      </c>
      <c r="N65" s="189"/>
      <c r="O65" s="190"/>
      <c r="P65" s="190"/>
      <c r="Q65" s="190"/>
      <c r="R65" s="191"/>
      <c r="S65" s="112"/>
      <c r="T65" s="112"/>
      <c r="U65" s="183"/>
      <c r="V65" s="184"/>
      <c r="W65" s="185"/>
      <c r="X65" s="144"/>
      <c r="Y65" s="112"/>
      <c r="Z65" s="112"/>
    </row>
    <row r="66" spans="1:26" ht="18" customHeight="1" x14ac:dyDescent="0.15">
      <c r="A66" s="29"/>
      <c r="B66" s="181" t="s">
        <v>215</v>
      </c>
      <c r="C66" s="182"/>
      <c r="D66" s="182"/>
      <c r="E66" s="188"/>
      <c r="F66" s="116">
        <v>2</v>
      </c>
      <c r="G66" s="116"/>
      <c r="H66" s="196" t="s">
        <v>214</v>
      </c>
      <c r="I66" s="197"/>
      <c r="J66" s="198"/>
      <c r="K66" s="146" t="s">
        <v>183</v>
      </c>
      <c r="L66" s="116" t="s">
        <v>164</v>
      </c>
      <c r="M66" s="116" t="s">
        <v>164</v>
      </c>
      <c r="N66" s="199"/>
      <c r="O66" s="200"/>
      <c r="P66" s="200"/>
      <c r="Q66" s="200"/>
      <c r="R66" s="201"/>
      <c r="S66" s="113"/>
      <c r="T66" s="113"/>
      <c r="U66" s="196"/>
      <c r="V66" s="197"/>
      <c r="W66" s="198"/>
      <c r="X66" s="146"/>
      <c r="Y66" s="116"/>
      <c r="Z66" s="116"/>
    </row>
    <row r="67" spans="1:26" ht="7.5" customHeight="1" x14ac:dyDescent="0.15">
      <c r="A67" s="14"/>
      <c r="B67" s="75"/>
      <c r="C67" s="75"/>
      <c r="D67" s="75"/>
      <c r="E67" s="75"/>
      <c r="F67" s="75"/>
      <c r="G67" s="75"/>
      <c r="H67" s="75"/>
      <c r="I67" s="75"/>
      <c r="J67" s="75"/>
      <c r="K67" s="75"/>
      <c r="L67" s="75"/>
      <c r="M67" s="75"/>
      <c r="N67" s="75"/>
      <c r="O67" s="75"/>
      <c r="P67" s="75"/>
      <c r="Q67" s="75"/>
      <c r="R67" s="75"/>
      <c r="S67" s="75"/>
      <c r="T67" s="75"/>
      <c r="U67" s="75"/>
      <c r="V67" s="75"/>
      <c r="W67" s="75"/>
      <c r="X67" s="75"/>
      <c r="Y67" s="75"/>
      <c r="Z67" s="14"/>
    </row>
    <row r="68" spans="1:26" ht="18" customHeight="1" x14ac:dyDescent="0.15">
      <c r="A68" s="14" t="s">
        <v>136</v>
      </c>
      <c r="B68" s="14"/>
      <c r="C68" s="14"/>
      <c r="D68" s="14"/>
      <c r="E68" s="14"/>
      <c r="F68" s="14"/>
      <c r="G68" s="14"/>
      <c r="H68" s="14"/>
      <c r="I68" s="14"/>
      <c r="J68" s="14"/>
      <c r="K68" s="14"/>
      <c r="L68" s="29"/>
      <c r="M68" s="29"/>
      <c r="N68" s="29"/>
      <c r="O68" s="29"/>
      <c r="P68" s="29"/>
      <c r="Q68" s="29"/>
      <c r="R68" s="29"/>
      <c r="S68" s="29"/>
      <c r="T68" s="29"/>
      <c r="U68" s="29"/>
      <c r="V68" s="29"/>
      <c r="W68" s="29"/>
      <c r="X68" s="29"/>
      <c r="Y68" s="29"/>
      <c r="Z68" s="29"/>
    </row>
    <row r="69" spans="1:26" ht="18" customHeight="1" x14ac:dyDescent="0.15">
      <c r="A69" s="14"/>
      <c r="B69" s="150" t="s">
        <v>100</v>
      </c>
      <c r="C69" s="151"/>
      <c r="D69" s="151"/>
      <c r="E69" s="151"/>
      <c r="F69" s="152"/>
      <c r="G69" s="150" t="s">
        <v>146</v>
      </c>
      <c r="H69" s="151"/>
      <c r="I69" s="151"/>
      <c r="J69" s="151"/>
      <c r="K69" s="151"/>
      <c r="L69" s="151"/>
      <c r="M69" s="152"/>
      <c r="N69" s="253" t="s">
        <v>100</v>
      </c>
      <c r="O69" s="254"/>
      <c r="P69" s="254"/>
      <c r="Q69" s="254"/>
      <c r="R69" s="254"/>
      <c r="S69" s="255"/>
      <c r="T69" s="150" t="s">
        <v>146</v>
      </c>
      <c r="U69" s="151"/>
      <c r="V69" s="151"/>
      <c r="W69" s="151"/>
      <c r="X69" s="151"/>
      <c r="Y69" s="151"/>
      <c r="Z69" s="152"/>
    </row>
    <row r="70" spans="1:26" ht="18" customHeight="1" x14ac:dyDescent="0.15">
      <c r="A70" s="29"/>
      <c r="B70" s="245"/>
      <c r="C70" s="246"/>
      <c r="D70" s="246"/>
      <c r="E70" s="246"/>
      <c r="F70" s="247"/>
      <c r="G70" s="248"/>
      <c r="H70" s="249"/>
      <c r="I70" s="249"/>
      <c r="J70" s="249"/>
      <c r="K70" s="249"/>
      <c r="L70" s="249"/>
      <c r="M70" s="250"/>
      <c r="N70" s="245"/>
      <c r="O70" s="246"/>
      <c r="P70" s="246"/>
      <c r="Q70" s="246"/>
      <c r="R70" s="246"/>
      <c r="S70" s="247"/>
      <c r="T70" s="248"/>
      <c r="U70" s="249"/>
      <c r="V70" s="249"/>
      <c r="W70" s="249"/>
      <c r="X70" s="249"/>
      <c r="Y70" s="249"/>
      <c r="Z70" s="250"/>
    </row>
    <row r="71" spans="1:26" ht="18" customHeight="1" x14ac:dyDescent="0.15">
      <c r="A71" s="29"/>
      <c r="B71" s="189"/>
      <c r="C71" s="190"/>
      <c r="D71" s="190"/>
      <c r="E71" s="190"/>
      <c r="F71" s="191"/>
      <c r="G71" s="242"/>
      <c r="H71" s="243"/>
      <c r="I71" s="243"/>
      <c r="J71" s="243"/>
      <c r="K71" s="243"/>
      <c r="L71" s="243"/>
      <c r="M71" s="244"/>
      <c r="N71" s="189"/>
      <c r="O71" s="190"/>
      <c r="P71" s="190"/>
      <c r="Q71" s="190"/>
      <c r="R71" s="190"/>
      <c r="S71" s="191"/>
      <c r="T71" s="242"/>
      <c r="U71" s="243"/>
      <c r="V71" s="243"/>
      <c r="W71" s="243"/>
      <c r="X71" s="243"/>
      <c r="Y71" s="243"/>
      <c r="Z71" s="244"/>
    </row>
    <row r="72" spans="1:26" ht="18" customHeight="1" x14ac:dyDescent="0.15">
      <c r="A72" s="29"/>
      <c r="B72" s="189"/>
      <c r="C72" s="190"/>
      <c r="D72" s="190"/>
      <c r="E72" s="190"/>
      <c r="F72" s="191"/>
      <c r="G72" s="242"/>
      <c r="H72" s="243"/>
      <c r="I72" s="243"/>
      <c r="J72" s="243"/>
      <c r="K72" s="243"/>
      <c r="L72" s="243"/>
      <c r="M72" s="244"/>
      <c r="N72" s="189"/>
      <c r="O72" s="190"/>
      <c r="P72" s="190"/>
      <c r="Q72" s="190"/>
      <c r="R72" s="190"/>
      <c r="S72" s="191"/>
      <c r="T72" s="242"/>
      <c r="U72" s="243"/>
      <c r="V72" s="243"/>
      <c r="W72" s="243"/>
      <c r="X72" s="243"/>
      <c r="Y72" s="243"/>
      <c r="Z72" s="244"/>
    </row>
    <row r="73" spans="1:26" ht="18" customHeight="1" x14ac:dyDescent="0.15">
      <c r="A73" s="29"/>
      <c r="B73" s="189"/>
      <c r="C73" s="190"/>
      <c r="D73" s="190"/>
      <c r="E73" s="190"/>
      <c r="F73" s="191"/>
      <c r="G73" s="242"/>
      <c r="H73" s="243"/>
      <c r="I73" s="243"/>
      <c r="J73" s="243"/>
      <c r="K73" s="243"/>
      <c r="L73" s="243"/>
      <c r="M73" s="244"/>
      <c r="N73" s="189"/>
      <c r="O73" s="190"/>
      <c r="P73" s="190"/>
      <c r="Q73" s="190"/>
      <c r="R73" s="190"/>
      <c r="S73" s="191"/>
      <c r="T73" s="242"/>
      <c r="U73" s="243"/>
      <c r="V73" s="243"/>
      <c r="W73" s="243"/>
      <c r="X73" s="243"/>
      <c r="Y73" s="243"/>
      <c r="Z73" s="244"/>
    </row>
    <row r="74" spans="1:26" ht="18" customHeight="1" x14ac:dyDescent="0.15">
      <c r="A74" s="29"/>
      <c r="B74" s="189"/>
      <c r="C74" s="190"/>
      <c r="D74" s="190"/>
      <c r="E74" s="190"/>
      <c r="F74" s="191"/>
      <c r="G74" s="242"/>
      <c r="H74" s="243"/>
      <c r="I74" s="243"/>
      <c r="J74" s="243"/>
      <c r="K74" s="243"/>
      <c r="L74" s="243"/>
      <c r="M74" s="244"/>
      <c r="N74" s="189"/>
      <c r="O74" s="190"/>
      <c r="P74" s="190"/>
      <c r="Q74" s="190"/>
      <c r="R74" s="190"/>
      <c r="S74" s="191"/>
      <c r="T74" s="242"/>
      <c r="U74" s="243"/>
      <c r="V74" s="243"/>
      <c r="W74" s="243"/>
      <c r="X74" s="243"/>
      <c r="Y74" s="243"/>
      <c r="Z74" s="244"/>
    </row>
    <row r="75" spans="1:26" ht="18" customHeight="1" x14ac:dyDescent="0.15">
      <c r="A75" s="29"/>
      <c r="B75" s="189"/>
      <c r="C75" s="190"/>
      <c r="D75" s="190"/>
      <c r="E75" s="190"/>
      <c r="F75" s="191"/>
      <c r="G75" s="242"/>
      <c r="H75" s="243"/>
      <c r="I75" s="243"/>
      <c r="J75" s="243"/>
      <c r="K75" s="243"/>
      <c r="L75" s="243"/>
      <c r="M75" s="244"/>
      <c r="N75" s="189"/>
      <c r="O75" s="190"/>
      <c r="P75" s="190"/>
      <c r="Q75" s="190"/>
      <c r="R75" s="190"/>
      <c r="S75" s="191"/>
      <c r="T75" s="242"/>
      <c r="U75" s="243"/>
      <c r="V75" s="243"/>
      <c r="W75" s="243"/>
      <c r="X75" s="243"/>
      <c r="Y75" s="243"/>
      <c r="Z75" s="244"/>
    </row>
    <row r="76" spans="1:26" ht="18" customHeight="1" x14ac:dyDescent="0.15">
      <c r="A76" s="29"/>
      <c r="B76" s="199"/>
      <c r="C76" s="200"/>
      <c r="D76" s="200"/>
      <c r="E76" s="200"/>
      <c r="F76" s="201"/>
      <c r="G76" s="235"/>
      <c r="H76" s="236"/>
      <c r="I76" s="236"/>
      <c r="J76" s="236"/>
      <c r="K76" s="236"/>
      <c r="L76" s="236"/>
      <c r="M76" s="237"/>
      <c r="N76" s="199"/>
      <c r="O76" s="200"/>
      <c r="P76" s="200"/>
      <c r="Q76" s="200"/>
      <c r="R76" s="200"/>
      <c r="S76" s="201"/>
      <c r="T76" s="235"/>
      <c r="U76" s="236"/>
      <c r="V76" s="236"/>
      <c r="W76" s="236"/>
      <c r="X76" s="236"/>
      <c r="Y76" s="236"/>
      <c r="Z76" s="237"/>
    </row>
    <row r="77" spans="1:26" ht="18" customHeight="1" x14ac:dyDescent="0.15">
      <c r="A77" s="29"/>
      <c r="B77" s="118"/>
      <c r="C77" s="118"/>
      <c r="D77" s="118"/>
      <c r="E77" s="118"/>
      <c r="F77" s="118"/>
      <c r="G77" s="12"/>
      <c r="H77" s="12"/>
      <c r="I77" s="12"/>
      <c r="J77" s="12"/>
      <c r="K77" s="12"/>
      <c r="L77" s="12"/>
      <c r="M77" s="12"/>
      <c r="N77" s="118"/>
      <c r="O77" s="118"/>
      <c r="P77" s="118"/>
      <c r="Q77" s="118"/>
      <c r="R77" s="118"/>
      <c r="S77" s="118"/>
      <c r="T77" s="12"/>
      <c r="U77" s="12"/>
      <c r="V77" s="12"/>
      <c r="W77" s="12"/>
      <c r="X77" s="12"/>
      <c r="Y77" s="12"/>
      <c r="Z77" s="12"/>
    </row>
    <row r="78" spans="1:26" ht="18.75" customHeight="1" x14ac:dyDescent="0.15">
      <c r="A78" s="13" t="s">
        <v>142</v>
      </c>
    </row>
    <row r="79" spans="1:26" ht="18.75" customHeight="1" x14ac:dyDescent="0.15">
      <c r="B79" s="76" t="s">
        <v>102</v>
      </c>
      <c r="C79" s="77"/>
      <c r="D79" s="238" t="s">
        <v>103</v>
      </c>
      <c r="E79" s="238"/>
      <c r="F79" s="238"/>
      <c r="G79" s="238"/>
      <c r="H79" s="238"/>
      <c r="I79" s="238"/>
      <c r="J79" s="238"/>
      <c r="K79" s="238"/>
      <c r="L79" s="238"/>
      <c r="M79" s="238"/>
      <c r="N79" s="238"/>
      <c r="O79" s="238"/>
      <c r="P79" s="238"/>
      <c r="Q79" s="238"/>
      <c r="R79" s="238"/>
      <c r="S79" s="238"/>
      <c r="T79" s="238"/>
      <c r="U79" s="238"/>
      <c r="V79" s="238"/>
      <c r="W79" s="238"/>
      <c r="X79" s="238"/>
      <c r="Y79" s="238"/>
      <c r="Z79" s="239"/>
    </row>
    <row r="80" spans="1:26" ht="78" customHeight="1" x14ac:dyDescent="0.15">
      <c r="B80" s="214" t="s">
        <v>109</v>
      </c>
      <c r="C80" s="83" t="s">
        <v>104</v>
      </c>
      <c r="D80" s="216" t="s">
        <v>312</v>
      </c>
      <c r="E80" s="216"/>
      <c r="F80" s="216"/>
      <c r="G80" s="216"/>
      <c r="H80" s="216"/>
      <c r="I80" s="216"/>
      <c r="J80" s="216"/>
      <c r="K80" s="216"/>
      <c r="L80" s="216"/>
      <c r="M80" s="216"/>
      <c r="N80" s="216"/>
      <c r="O80" s="216"/>
      <c r="P80" s="216"/>
      <c r="Q80" s="216"/>
      <c r="R80" s="216"/>
      <c r="S80" s="216"/>
      <c r="T80" s="216"/>
      <c r="U80" s="216"/>
      <c r="V80" s="216"/>
      <c r="W80" s="216"/>
      <c r="X80" s="216"/>
      <c r="Y80" s="216"/>
      <c r="Z80" s="217"/>
    </row>
    <row r="81" spans="1:26" ht="78" customHeight="1" x14ac:dyDescent="0.15">
      <c r="B81" s="215"/>
      <c r="C81" s="108" t="s">
        <v>137</v>
      </c>
      <c r="D81" s="240" t="s">
        <v>284</v>
      </c>
      <c r="E81" s="240"/>
      <c r="F81" s="240"/>
      <c r="G81" s="240"/>
      <c r="H81" s="240"/>
      <c r="I81" s="240"/>
      <c r="J81" s="240"/>
      <c r="K81" s="240"/>
      <c r="L81" s="240"/>
      <c r="M81" s="240"/>
      <c r="N81" s="240"/>
      <c r="O81" s="240"/>
      <c r="P81" s="240"/>
      <c r="Q81" s="240"/>
      <c r="R81" s="240"/>
      <c r="S81" s="240"/>
      <c r="T81" s="240"/>
      <c r="U81" s="240"/>
      <c r="V81" s="240"/>
      <c r="W81" s="240"/>
      <c r="X81" s="240"/>
      <c r="Y81" s="240"/>
      <c r="Z81" s="241"/>
    </row>
    <row r="82" spans="1:26" ht="70.5" customHeight="1" x14ac:dyDescent="0.15">
      <c r="B82" s="228" t="s">
        <v>110</v>
      </c>
      <c r="C82" s="78" t="s">
        <v>127</v>
      </c>
      <c r="D82" s="229" t="s">
        <v>285</v>
      </c>
      <c r="E82" s="229"/>
      <c r="F82" s="229"/>
      <c r="G82" s="229"/>
      <c r="H82" s="229"/>
      <c r="I82" s="229"/>
      <c r="J82" s="229"/>
      <c r="K82" s="229"/>
      <c r="L82" s="229"/>
      <c r="M82" s="229"/>
      <c r="N82" s="229"/>
      <c r="O82" s="229"/>
      <c r="P82" s="229"/>
      <c r="Q82" s="229"/>
      <c r="R82" s="229"/>
      <c r="S82" s="229"/>
      <c r="T82" s="229"/>
      <c r="U82" s="229"/>
      <c r="V82" s="229"/>
      <c r="W82" s="229"/>
      <c r="X82" s="229"/>
      <c r="Y82" s="229"/>
      <c r="Z82" s="230"/>
    </row>
    <row r="83" spans="1:26" ht="78" customHeight="1" x14ac:dyDescent="0.15">
      <c r="B83" s="220"/>
      <c r="C83" s="109" t="s">
        <v>128</v>
      </c>
      <c r="D83" s="231" t="s">
        <v>286</v>
      </c>
      <c r="E83" s="231"/>
      <c r="F83" s="231"/>
      <c r="G83" s="231"/>
      <c r="H83" s="231"/>
      <c r="I83" s="231"/>
      <c r="J83" s="231"/>
      <c r="K83" s="231"/>
      <c r="L83" s="231"/>
      <c r="M83" s="231"/>
      <c r="N83" s="231"/>
      <c r="O83" s="231"/>
      <c r="P83" s="231"/>
      <c r="Q83" s="231"/>
      <c r="R83" s="231"/>
      <c r="S83" s="231"/>
      <c r="T83" s="231"/>
      <c r="U83" s="231"/>
      <c r="V83" s="231"/>
      <c r="W83" s="231"/>
      <c r="X83" s="231"/>
      <c r="Y83" s="231"/>
      <c r="Z83" s="232"/>
    </row>
    <row r="84" spans="1:26" ht="66" customHeight="1" x14ac:dyDescent="0.15">
      <c r="B84" s="228" t="s">
        <v>111</v>
      </c>
      <c r="C84" s="78" t="s">
        <v>130</v>
      </c>
      <c r="D84" s="229" t="s">
        <v>272</v>
      </c>
      <c r="E84" s="229"/>
      <c r="F84" s="229"/>
      <c r="G84" s="229"/>
      <c r="H84" s="229"/>
      <c r="I84" s="229"/>
      <c r="J84" s="229"/>
      <c r="K84" s="229"/>
      <c r="L84" s="229"/>
      <c r="M84" s="229"/>
      <c r="N84" s="229"/>
      <c r="O84" s="229"/>
      <c r="P84" s="229"/>
      <c r="Q84" s="229"/>
      <c r="R84" s="229"/>
      <c r="S84" s="229"/>
      <c r="T84" s="229"/>
      <c r="U84" s="229"/>
      <c r="V84" s="229"/>
      <c r="W84" s="229"/>
      <c r="X84" s="229"/>
      <c r="Y84" s="229"/>
      <c r="Z84" s="230"/>
    </row>
    <row r="85" spans="1:26" ht="66" customHeight="1" x14ac:dyDescent="0.15">
      <c r="B85" s="220"/>
      <c r="C85" s="80" t="s">
        <v>131</v>
      </c>
      <c r="D85" s="233" t="s">
        <v>287</v>
      </c>
      <c r="E85" s="233"/>
      <c r="F85" s="233"/>
      <c r="G85" s="233"/>
      <c r="H85" s="233"/>
      <c r="I85" s="233"/>
      <c r="J85" s="233"/>
      <c r="K85" s="233"/>
      <c r="L85" s="233"/>
      <c r="M85" s="233"/>
      <c r="N85" s="233"/>
      <c r="O85" s="233"/>
      <c r="P85" s="233"/>
      <c r="Q85" s="233"/>
      <c r="R85" s="233"/>
      <c r="S85" s="233"/>
      <c r="T85" s="233"/>
      <c r="U85" s="233"/>
      <c r="V85" s="233"/>
      <c r="W85" s="233"/>
      <c r="X85" s="233"/>
      <c r="Y85" s="233"/>
      <c r="Z85" s="234"/>
    </row>
    <row r="86" spans="1:26" ht="66" customHeight="1" x14ac:dyDescent="0.15">
      <c r="B86" s="214" t="s">
        <v>138</v>
      </c>
      <c r="C86" s="83" t="s">
        <v>106</v>
      </c>
      <c r="D86" s="216" t="s">
        <v>268</v>
      </c>
      <c r="E86" s="216"/>
      <c r="F86" s="216"/>
      <c r="G86" s="216"/>
      <c r="H86" s="216"/>
      <c r="I86" s="216"/>
      <c r="J86" s="216"/>
      <c r="K86" s="216"/>
      <c r="L86" s="216"/>
      <c r="M86" s="216"/>
      <c r="N86" s="216"/>
      <c r="O86" s="216"/>
      <c r="P86" s="216"/>
      <c r="Q86" s="216"/>
      <c r="R86" s="216"/>
      <c r="S86" s="216"/>
      <c r="T86" s="216"/>
      <c r="U86" s="216"/>
      <c r="V86" s="216"/>
      <c r="W86" s="216"/>
      <c r="X86" s="216"/>
      <c r="Y86" s="216"/>
      <c r="Z86" s="217"/>
    </row>
    <row r="87" spans="1:26" ht="66" customHeight="1" x14ac:dyDescent="0.15">
      <c r="B87" s="215"/>
      <c r="C87" s="79" t="s">
        <v>108</v>
      </c>
      <c r="D87" s="218" t="s">
        <v>269</v>
      </c>
      <c r="E87" s="218"/>
      <c r="F87" s="218"/>
      <c r="G87" s="218"/>
      <c r="H87" s="218"/>
      <c r="I87" s="218"/>
      <c r="J87" s="218"/>
      <c r="K87" s="218"/>
      <c r="L87" s="218"/>
      <c r="M87" s="218"/>
      <c r="N87" s="218"/>
      <c r="O87" s="218"/>
      <c r="P87" s="218"/>
      <c r="Q87" s="218"/>
      <c r="R87" s="218"/>
      <c r="S87" s="218"/>
      <c r="T87" s="218"/>
      <c r="U87" s="218"/>
      <c r="V87" s="218"/>
      <c r="W87" s="218"/>
      <c r="X87" s="218"/>
      <c r="Y87" s="218"/>
      <c r="Z87" s="219"/>
    </row>
    <row r="88" spans="1:26" ht="89.25" customHeight="1" x14ac:dyDescent="0.15">
      <c r="B88" s="214" t="s">
        <v>139</v>
      </c>
      <c r="C88" s="78" t="s">
        <v>105</v>
      </c>
      <c r="D88" s="221" t="s">
        <v>309</v>
      </c>
      <c r="E88" s="221"/>
      <c r="F88" s="221"/>
      <c r="G88" s="221"/>
      <c r="H88" s="221"/>
      <c r="I88" s="221"/>
      <c r="J88" s="221"/>
      <c r="K88" s="221"/>
      <c r="L88" s="221"/>
      <c r="M88" s="221"/>
      <c r="N88" s="221"/>
      <c r="O88" s="221"/>
      <c r="P88" s="221"/>
      <c r="Q88" s="221"/>
      <c r="R88" s="221"/>
      <c r="S88" s="221"/>
      <c r="T88" s="221"/>
      <c r="U88" s="221"/>
      <c r="V88" s="221"/>
      <c r="W88" s="221"/>
      <c r="X88" s="221"/>
      <c r="Y88" s="221"/>
      <c r="Z88" s="222"/>
    </row>
    <row r="89" spans="1:26" ht="66" customHeight="1" x14ac:dyDescent="0.15">
      <c r="B89" s="215"/>
      <c r="C89" s="79" t="s">
        <v>134</v>
      </c>
      <c r="D89" s="223" t="s">
        <v>310</v>
      </c>
      <c r="E89" s="224"/>
      <c r="F89" s="224"/>
      <c r="G89" s="224"/>
      <c r="H89" s="224"/>
      <c r="I89" s="224"/>
      <c r="J89" s="224"/>
      <c r="K89" s="224"/>
      <c r="L89" s="224"/>
      <c r="M89" s="224"/>
      <c r="N89" s="224"/>
      <c r="O89" s="224"/>
      <c r="P89" s="224"/>
      <c r="Q89" s="224"/>
      <c r="R89" s="224"/>
      <c r="S89" s="224"/>
      <c r="T89" s="224"/>
      <c r="U89" s="224"/>
      <c r="V89" s="224"/>
      <c r="W89" s="224"/>
      <c r="X89" s="224"/>
      <c r="Y89" s="224"/>
      <c r="Z89" s="225"/>
    </row>
    <row r="90" spans="1:26" ht="66" customHeight="1" x14ac:dyDescent="0.15">
      <c r="B90" s="220"/>
      <c r="C90" s="80" t="s">
        <v>135</v>
      </c>
      <c r="D90" s="226" t="s">
        <v>311</v>
      </c>
      <c r="E90" s="226"/>
      <c r="F90" s="226"/>
      <c r="G90" s="226"/>
      <c r="H90" s="226"/>
      <c r="I90" s="226"/>
      <c r="J90" s="226"/>
      <c r="K90" s="226"/>
      <c r="L90" s="226"/>
      <c r="M90" s="226"/>
      <c r="N90" s="226"/>
      <c r="O90" s="226"/>
      <c r="P90" s="226"/>
      <c r="Q90" s="226"/>
      <c r="R90" s="226"/>
      <c r="S90" s="226"/>
      <c r="T90" s="226"/>
      <c r="U90" s="226"/>
      <c r="V90" s="226"/>
      <c r="W90" s="226"/>
      <c r="X90" s="226"/>
      <c r="Y90" s="226"/>
      <c r="Z90" s="227"/>
    </row>
    <row r="91" spans="1:26" ht="6" customHeight="1" x14ac:dyDescent="0.15">
      <c r="B91" s="14"/>
      <c r="C91" s="14"/>
      <c r="D91" s="14"/>
      <c r="E91" s="14"/>
      <c r="F91" s="14"/>
      <c r="G91" s="14"/>
      <c r="H91" s="14"/>
      <c r="I91" s="14"/>
      <c r="J91" s="14"/>
      <c r="K91" s="14"/>
      <c r="L91" s="14"/>
      <c r="M91" s="14"/>
      <c r="N91" s="14"/>
      <c r="O91" s="14"/>
      <c r="P91" s="14"/>
      <c r="Q91" s="14"/>
      <c r="R91" s="14"/>
      <c r="S91" s="14"/>
      <c r="T91" s="14"/>
      <c r="U91" s="14"/>
      <c r="V91" s="14"/>
      <c r="W91" s="14"/>
      <c r="X91" s="14"/>
      <c r="Y91" s="14"/>
      <c r="Z91" s="14"/>
    </row>
    <row r="92" spans="1:26" ht="18.75" customHeight="1" x14ac:dyDescent="0.15">
      <c r="A92" s="13" t="s">
        <v>143</v>
      </c>
      <c r="B92" s="14"/>
      <c r="C92" s="14"/>
      <c r="D92" s="14"/>
      <c r="E92" s="14"/>
      <c r="F92" s="14"/>
      <c r="G92" s="14"/>
      <c r="H92" s="14"/>
      <c r="I92" s="14"/>
      <c r="J92" s="14"/>
      <c r="K92" s="14"/>
      <c r="L92" s="14"/>
      <c r="M92" s="14"/>
      <c r="N92" s="14"/>
      <c r="O92" s="14"/>
      <c r="P92" s="14"/>
      <c r="Q92" s="14"/>
      <c r="R92" s="14"/>
      <c r="S92" s="14"/>
      <c r="T92" s="14"/>
      <c r="U92" s="14"/>
      <c r="V92" s="14"/>
      <c r="W92" s="14"/>
      <c r="X92" s="14"/>
      <c r="Y92" s="14"/>
      <c r="Z92" s="14"/>
    </row>
    <row r="93" spans="1:26" ht="18.75" customHeight="1" x14ac:dyDescent="0.15">
      <c r="B93" s="202" t="s">
        <v>189</v>
      </c>
      <c r="C93" s="203"/>
      <c r="D93" s="203"/>
      <c r="E93" s="203"/>
      <c r="F93" s="203"/>
      <c r="G93" s="203"/>
      <c r="H93" s="203"/>
      <c r="I93" s="203"/>
      <c r="J93" s="203"/>
      <c r="K93" s="203"/>
      <c r="L93" s="203"/>
      <c r="M93" s="203"/>
      <c r="N93" s="203"/>
      <c r="O93" s="203"/>
      <c r="P93" s="203"/>
      <c r="Q93" s="203"/>
      <c r="R93" s="203"/>
      <c r="S93" s="203"/>
      <c r="T93" s="203"/>
      <c r="U93" s="203"/>
      <c r="V93" s="203"/>
      <c r="W93" s="203"/>
      <c r="X93" s="203"/>
      <c r="Y93" s="203"/>
      <c r="Z93" s="204"/>
    </row>
    <row r="94" spans="1:26" ht="18.75" customHeight="1" x14ac:dyDescent="0.15">
      <c r="B94" s="205"/>
      <c r="C94" s="206"/>
      <c r="D94" s="206"/>
      <c r="E94" s="206"/>
      <c r="F94" s="206"/>
      <c r="G94" s="206"/>
      <c r="H94" s="206"/>
      <c r="I94" s="206"/>
      <c r="J94" s="206"/>
      <c r="K94" s="206"/>
      <c r="L94" s="206"/>
      <c r="M94" s="206"/>
      <c r="N94" s="206"/>
      <c r="O94" s="206"/>
      <c r="P94" s="206"/>
      <c r="Q94" s="206"/>
      <c r="R94" s="206"/>
      <c r="S94" s="206"/>
      <c r="T94" s="206"/>
      <c r="U94" s="206"/>
      <c r="V94" s="206"/>
      <c r="W94" s="206"/>
      <c r="X94" s="206"/>
      <c r="Y94" s="206"/>
      <c r="Z94" s="207"/>
    </row>
    <row r="95" spans="1:26" ht="18.75" customHeight="1" x14ac:dyDescent="0.15">
      <c r="B95" s="208"/>
      <c r="C95" s="209"/>
      <c r="D95" s="209"/>
      <c r="E95" s="209"/>
      <c r="F95" s="209"/>
      <c r="G95" s="209"/>
      <c r="H95" s="209"/>
      <c r="I95" s="209"/>
      <c r="J95" s="209"/>
      <c r="K95" s="209"/>
      <c r="L95" s="209"/>
      <c r="M95" s="209"/>
      <c r="N95" s="209"/>
      <c r="O95" s="209"/>
      <c r="P95" s="209"/>
      <c r="Q95" s="209"/>
      <c r="R95" s="209"/>
      <c r="S95" s="209"/>
      <c r="T95" s="209"/>
      <c r="U95" s="209"/>
      <c r="V95" s="209"/>
      <c r="W95" s="209"/>
      <c r="X95" s="209"/>
      <c r="Y95" s="209"/>
      <c r="Z95" s="210"/>
    </row>
    <row r="96" spans="1:26" ht="6" customHeight="1" x14ac:dyDescent="0.15"/>
    <row r="97" spans="1:26" ht="15" customHeight="1" x14ac:dyDescent="0.15">
      <c r="A97" s="13" t="s">
        <v>144</v>
      </c>
    </row>
    <row r="98" spans="1:26" ht="15" customHeight="1" x14ac:dyDescent="0.15">
      <c r="B98" s="282" t="s">
        <v>321</v>
      </c>
      <c r="C98" s="212"/>
      <c r="D98" s="212"/>
      <c r="E98" s="212"/>
      <c r="F98" s="212"/>
      <c r="G98" s="212"/>
      <c r="H98" s="212"/>
      <c r="I98" s="212"/>
      <c r="J98" s="212"/>
      <c r="K98" s="212"/>
      <c r="L98" s="212"/>
      <c r="M98" s="212"/>
      <c r="N98" s="212"/>
      <c r="O98" s="212"/>
      <c r="P98" s="212"/>
      <c r="Q98" s="212"/>
      <c r="R98" s="212"/>
      <c r="S98" s="212"/>
      <c r="T98" s="212"/>
      <c r="U98" s="212"/>
      <c r="V98" s="212"/>
      <c r="W98" s="212"/>
      <c r="X98" s="212"/>
      <c r="Y98" s="212"/>
      <c r="Z98" s="213"/>
    </row>
  </sheetData>
  <mergeCells count="218">
    <mergeCell ref="B93:Z95"/>
    <mergeCell ref="B98:Z98"/>
    <mergeCell ref="B86:B87"/>
    <mergeCell ref="D86:Z86"/>
    <mergeCell ref="D87:Z87"/>
    <mergeCell ref="B88:B90"/>
    <mergeCell ref="D88:Z88"/>
    <mergeCell ref="D89:Z89"/>
    <mergeCell ref="D90:Z90"/>
    <mergeCell ref="B82:B83"/>
    <mergeCell ref="D82:Z82"/>
    <mergeCell ref="D83:Z83"/>
    <mergeCell ref="B84:B85"/>
    <mergeCell ref="D84:Z84"/>
    <mergeCell ref="D85:Z85"/>
    <mergeCell ref="B76:F76"/>
    <mergeCell ref="G76:M76"/>
    <mergeCell ref="N76:S76"/>
    <mergeCell ref="T76:Z76"/>
    <mergeCell ref="D79:Z79"/>
    <mergeCell ref="B80:B81"/>
    <mergeCell ref="D80:Z80"/>
    <mergeCell ref="D81:Z81"/>
    <mergeCell ref="B74:F74"/>
    <mergeCell ref="G74:M74"/>
    <mergeCell ref="N74:S74"/>
    <mergeCell ref="T74:Z74"/>
    <mergeCell ref="B75:F75"/>
    <mergeCell ref="G75:M75"/>
    <mergeCell ref="N75:S75"/>
    <mergeCell ref="T75:Z75"/>
    <mergeCell ref="B72:F72"/>
    <mergeCell ref="G72:M72"/>
    <mergeCell ref="N72:S72"/>
    <mergeCell ref="T72:Z72"/>
    <mergeCell ref="B73:F73"/>
    <mergeCell ref="G73:M73"/>
    <mergeCell ref="N73:S73"/>
    <mergeCell ref="T73:Z73"/>
    <mergeCell ref="B70:F70"/>
    <mergeCell ref="G70:M70"/>
    <mergeCell ref="N70:S70"/>
    <mergeCell ref="T70:Z70"/>
    <mergeCell ref="B71:F71"/>
    <mergeCell ref="G71:M71"/>
    <mergeCell ref="N71:S71"/>
    <mergeCell ref="T71:Z71"/>
    <mergeCell ref="H66:J66"/>
    <mergeCell ref="N66:R66"/>
    <mergeCell ref="U66:W66"/>
    <mergeCell ref="B69:F69"/>
    <mergeCell ref="G69:M69"/>
    <mergeCell ref="N69:S69"/>
    <mergeCell ref="T69:Z69"/>
    <mergeCell ref="B66:E66"/>
    <mergeCell ref="H64:J64"/>
    <mergeCell ref="N64:R64"/>
    <mergeCell ref="U64:W64"/>
    <mergeCell ref="H65:J65"/>
    <mergeCell ref="N65:R65"/>
    <mergeCell ref="U65:W65"/>
    <mergeCell ref="B62:E62"/>
    <mergeCell ref="H62:J62"/>
    <mergeCell ref="N62:R62"/>
    <mergeCell ref="U62:W62"/>
    <mergeCell ref="H63:J63"/>
    <mergeCell ref="N63:R63"/>
    <mergeCell ref="U63:W63"/>
    <mergeCell ref="B63:E63"/>
    <mergeCell ref="B64:E64"/>
    <mergeCell ref="B65:E65"/>
    <mergeCell ref="B60:E60"/>
    <mergeCell ref="H60:J60"/>
    <mergeCell ref="N60:R60"/>
    <mergeCell ref="U60:W60"/>
    <mergeCell ref="B61:E61"/>
    <mergeCell ref="H61:J61"/>
    <mergeCell ref="N61:R61"/>
    <mergeCell ref="U61:W61"/>
    <mergeCell ref="B55:F55"/>
    <mergeCell ref="I55:K55"/>
    <mergeCell ref="N55:S55"/>
    <mergeCell ref="V55:X55"/>
    <mergeCell ref="A57:Z58"/>
    <mergeCell ref="B59:E59"/>
    <mergeCell ref="N59:R59"/>
    <mergeCell ref="B53:F53"/>
    <mergeCell ref="I53:K53"/>
    <mergeCell ref="N53:S53"/>
    <mergeCell ref="V53:X53"/>
    <mergeCell ref="B54:F54"/>
    <mergeCell ref="I54:K54"/>
    <mergeCell ref="N54:S54"/>
    <mergeCell ref="V54:X54"/>
    <mergeCell ref="B51:F51"/>
    <mergeCell ref="I51:K51"/>
    <mergeCell ref="N51:S51"/>
    <mergeCell ref="V51:X51"/>
    <mergeCell ref="B52:F52"/>
    <mergeCell ref="I52:K52"/>
    <mergeCell ref="N52:S52"/>
    <mergeCell ref="V52:X52"/>
    <mergeCell ref="B49:F49"/>
    <mergeCell ref="I49:K49"/>
    <mergeCell ref="N49:S49"/>
    <mergeCell ref="V49:X49"/>
    <mergeCell ref="B50:F50"/>
    <mergeCell ref="I50:K50"/>
    <mergeCell ref="N50:S50"/>
    <mergeCell ref="V50:X50"/>
    <mergeCell ref="B44:F44"/>
    <mergeCell ref="I44:K44"/>
    <mergeCell ref="N44:S44"/>
    <mergeCell ref="V44:X44"/>
    <mergeCell ref="A46:Z47"/>
    <mergeCell ref="B48:F48"/>
    <mergeCell ref="I48:K48"/>
    <mergeCell ref="N48:S48"/>
    <mergeCell ref="V48:X48"/>
    <mergeCell ref="B42:F42"/>
    <mergeCell ref="I42:K42"/>
    <mergeCell ref="N42:S42"/>
    <mergeCell ref="V42:X42"/>
    <mergeCell ref="B43:F43"/>
    <mergeCell ref="I43:K43"/>
    <mergeCell ref="N43:S43"/>
    <mergeCell ref="V43:X43"/>
    <mergeCell ref="B40:F40"/>
    <mergeCell ref="I40:K40"/>
    <mergeCell ref="N40:S40"/>
    <mergeCell ref="V40:X40"/>
    <mergeCell ref="B41:F41"/>
    <mergeCell ref="I41:K41"/>
    <mergeCell ref="N41:S41"/>
    <mergeCell ref="V41:X41"/>
    <mergeCell ref="B38:F38"/>
    <mergeCell ref="I38:K38"/>
    <mergeCell ref="N38:S38"/>
    <mergeCell ref="V38:X38"/>
    <mergeCell ref="B39:F39"/>
    <mergeCell ref="I39:K39"/>
    <mergeCell ref="N39:S39"/>
    <mergeCell ref="V39:X39"/>
    <mergeCell ref="B33:F33"/>
    <mergeCell ref="I33:K33"/>
    <mergeCell ref="N33:S33"/>
    <mergeCell ref="V33:X33"/>
    <mergeCell ref="A35:Z36"/>
    <mergeCell ref="B37:F37"/>
    <mergeCell ref="I37:K37"/>
    <mergeCell ref="N37:S37"/>
    <mergeCell ref="V37:X37"/>
    <mergeCell ref="B31:F31"/>
    <mergeCell ref="I31:K31"/>
    <mergeCell ref="N31:S31"/>
    <mergeCell ref="V31:X31"/>
    <mergeCell ref="B32:F32"/>
    <mergeCell ref="I32:K32"/>
    <mergeCell ref="N32:S32"/>
    <mergeCell ref="V32:X32"/>
    <mergeCell ref="B29:F29"/>
    <mergeCell ref="I29:K29"/>
    <mergeCell ref="N29:S29"/>
    <mergeCell ref="V29:X29"/>
    <mergeCell ref="B30:F30"/>
    <mergeCell ref="I30:K30"/>
    <mergeCell ref="N30:S30"/>
    <mergeCell ref="V30:X30"/>
    <mergeCell ref="B27:F27"/>
    <mergeCell ref="I27:K27"/>
    <mergeCell ref="N27:S27"/>
    <mergeCell ref="V27:X27"/>
    <mergeCell ref="B28:F28"/>
    <mergeCell ref="I28:K28"/>
    <mergeCell ref="N28:S28"/>
    <mergeCell ref="V28:X28"/>
    <mergeCell ref="B22:F22"/>
    <mergeCell ref="I22:K22"/>
    <mergeCell ref="N22:S22"/>
    <mergeCell ref="V22:X22"/>
    <mergeCell ref="A24:Z25"/>
    <mergeCell ref="B26:F26"/>
    <mergeCell ref="I26:K26"/>
    <mergeCell ref="N26:S26"/>
    <mergeCell ref="V26:X26"/>
    <mergeCell ref="B20:F20"/>
    <mergeCell ref="I20:K20"/>
    <mergeCell ref="N20:S20"/>
    <mergeCell ref="V20:X20"/>
    <mergeCell ref="B21:F21"/>
    <mergeCell ref="I21:K21"/>
    <mergeCell ref="N21:S21"/>
    <mergeCell ref="V21:X21"/>
    <mergeCell ref="B18:F18"/>
    <mergeCell ref="I18:K18"/>
    <mergeCell ref="N18:S18"/>
    <mergeCell ref="V18:X18"/>
    <mergeCell ref="B19:F19"/>
    <mergeCell ref="I19:K19"/>
    <mergeCell ref="N19:S19"/>
    <mergeCell ref="V19:X19"/>
    <mergeCell ref="B16:F16"/>
    <mergeCell ref="I16:K16"/>
    <mergeCell ref="N16:S16"/>
    <mergeCell ref="V16:X16"/>
    <mergeCell ref="B17:F17"/>
    <mergeCell ref="I17:K17"/>
    <mergeCell ref="N17:S17"/>
    <mergeCell ref="V17:X17"/>
    <mergeCell ref="W1:Z1"/>
    <mergeCell ref="A2:Z2"/>
    <mergeCell ref="O4:Z4"/>
    <mergeCell ref="B6:Z11"/>
    <mergeCell ref="A13:Z14"/>
    <mergeCell ref="B15:F15"/>
    <mergeCell ref="I15:K15"/>
    <mergeCell ref="N15:S15"/>
    <mergeCell ref="V15:X15"/>
  </mergeCells>
  <phoneticPr fontId="1"/>
  <dataValidations count="4">
    <dataValidation type="list" allowBlank="1" showInputMessage="1" showErrorMessage="1" sqref="H16:H22 Y27:Z33 H27:H33 L38:M44 Y38:Z44 L49:M55 Y49:Z55 Y60:Z66 T60:T66 Y16:Z22 L27:M33 L16:M22 U27:U33 H38:H44 U38:U44 H49:H55 U49:U55 G60:G66 U16:U22 L60:M66">
      <formula1>"○"</formula1>
    </dataValidation>
    <dataValidation type="list" allowBlank="1" showInputMessage="1" showErrorMessage="1" sqref="Z23 Z34 D34:K34 D23:K23 I27:I33 V16:V22 V27:V33 I16:I22 V38:V44 I38:I44 V49:V55 I49:I55 U60:U66 H60:H66">
      <formula1>"全学開講,一部開講"</formula1>
    </dataValidation>
    <dataValidation type="list" allowBlank="1" showInputMessage="1" showErrorMessage="1" sqref="O4">
      <formula1>"学部・学科によって、修了要件は相違する,学部・学科によって、修了要件は相違しない"</formula1>
    </dataValidation>
    <dataValidation type="list" allowBlank="1" showInputMessage="1" showErrorMessage="1" sqref="H74:M77 G70:G77 H70:M71 T70:T77 U70:Z71 U74:Z77">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hyperlinks>
    <hyperlink ref="B98" r:id="rId1"/>
  </hyperlinks>
  <printOptions horizontalCentered="1"/>
  <pageMargins left="0.78740157480314965" right="0.78740157480314965" top="0.59055118110236227" bottom="0.19685039370078741" header="0.31496062992125984" footer="0.19685039370078741"/>
  <pageSetup paperSize="9" scale="96" orientation="landscape" r:id="rId2"/>
  <rowBreaks count="4" manualBreakCount="4">
    <brk id="23" max="25" man="1"/>
    <brk id="44" max="25" man="1"/>
    <brk id="67" max="25" man="1"/>
    <brk id="83" max="25"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8"/>
  <sheetViews>
    <sheetView showZeros="0" view="pageBreakPreview" zoomScaleNormal="100" zoomScaleSheetLayoutView="100" workbookViewId="0"/>
  </sheetViews>
  <sheetFormatPr defaultColWidth="9" defaultRowHeight="18.75" customHeight="1" x14ac:dyDescent="0.15"/>
  <cols>
    <col min="1" max="1" width="2.5" style="13" customWidth="1"/>
    <col min="2" max="2" width="27.75" style="13" customWidth="1"/>
    <col min="3" max="13" width="3.375" style="13" customWidth="1"/>
    <col min="14" max="14" width="8.875" style="13" customWidth="1"/>
    <col min="15" max="15" width="18.875" style="13" customWidth="1"/>
    <col min="16" max="19" width="3.375" style="13" customWidth="1"/>
    <col min="20" max="20" width="3.5" style="13" customWidth="1"/>
    <col min="21" max="26" width="3.375" style="13" customWidth="1"/>
    <col min="27" max="16384" width="9" style="13"/>
  </cols>
  <sheetData>
    <row r="1" spans="1:26" ht="15" customHeight="1" x14ac:dyDescent="0.15">
      <c r="W1" s="264" t="s">
        <v>194</v>
      </c>
      <c r="X1" s="264"/>
      <c r="Y1" s="264"/>
      <c r="Z1" s="264"/>
    </row>
    <row r="2" spans="1:26" ht="18" customHeight="1" x14ac:dyDescent="0.15">
      <c r="A2" s="265" t="s">
        <v>67</v>
      </c>
      <c r="B2" s="265"/>
      <c r="C2" s="265"/>
      <c r="D2" s="265"/>
      <c r="E2" s="265"/>
      <c r="F2" s="265"/>
      <c r="G2" s="265"/>
      <c r="H2" s="265"/>
      <c r="I2" s="265"/>
      <c r="J2" s="265"/>
      <c r="K2" s="265"/>
      <c r="L2" s="265"/>
      <c r="M2" s="265"/>
      <c r="N2" s="265"/>
      <c r="O2" s="265"/>
      <c r="P2" s="265"/>
      <c r="Q2" s="265"/>
      <c r="R2" s="265"/>
      <c r="S2" s="265"/>
      <c r="T2" s="265"/>
      <c r="U2" s="265"/>
      <c r="V2" s="265"/>
      <c r="W2" s="265"/>
      <c r="X2" s="265"/>
      <c r="Y2" s="265"/>
      <c r="Z2" s="265"/>
    </row>
    <row r="3" spans="1:26" ht="15" customHeight="1" x14ac:dyDescent="0.15">
      <c r="B3" s="29"/>
      <c r="C3" s="29"/>
      <c r="D3" s="29"/>
      <c r="E3" s="29"/>
      <c r="F3" s="29"/>
      <c r="G3" s="29"/>
      <c r="H3" s="29"/>
      <c r="I3" s="29"/>
      <c r="J3" s="29"/>
      <c r="K3" s="29"/>
      <c r="L3" s="29"/>
      <c r="M3" s="29"/>
      <c r="N3" s="29"/>
      <c r="O3" s="29"/>
      <c r="P3" s="29"/>
      <c r="Q3" s="29"/>
      <c r="R3" s="29"/>
      <c r="S3" s="29"/>
      <c r="T3" s="29"/>
      <c r="U3" s="29"/>
      <c r="V3" s="29"/>
      <c r="W3" s="29"/>
      <c r="X3" s="29"/>
      <c r="Y3" s="29"/>
      <c r="Z3" s="29"/>
    </row>
    <row r="4" spans="1:26" ht="18" customHeight="1" x14ac:dyDescent="0.15">
      <c r="A4" s="13" t="s">
        <v>99</v>
      </c>
      <c r="B4" s="29"/>
      <c r="C4" s="29"/>
      <c r="D4" s="29"/>
      <c r="E4" s="29"/>
      <c r="F4" s="29"/>
      <c r="G4" s="29"/>
      <c r="H4" s="15" t="s">
        <v>112</v>
      </c>
      <c r="I4" s="29"/>
      <c r="J4" s="29"/>
      <c r="K4" s="29"/>
      <c r="L4" s="29"/>
      <c r="M4" s="29"/>
      <c r="N4" s="29"/>
      <c r="O4" s="150" t="s">
        <v>159</v>
      </c>
      <c r="P4" s="151"/>
      <c r="Q4" s="151"/>
      <c r="R4" s="151"/>
      <c r="S4" s="151"/>
      <c r="T4" s="151"/>
      <c r="U4" s="151"/>
      <c r="V4" s="151"/>
      <c r="W4" s="151"/>
      <c r="X4" s="151"/>
      <c r="Y4" s="151"/>
      <c r="Z4" s="152"/>
    </row>
    <row r="5" spans="1:26" ht="6" customHeight="1" x14ac:dyDescent="0.15">
      <c r="B5" s="29"/>
      <c r="C5" s="29"/>
      <c r="D5" s="29"/>
      <c r="E5" s="29"/>
      <c r="F5" s="29"/>
      <c r="G5" s="29"/>
      <c r="H5" s="29"/>
      <c r="I5" s="29"/>
      <c r="J5" s="29"/>
      <c r="K5" s="29"/>
      <c r="L5" s="29"/>
      <c r="M5" s="29"/>
      <c r="N5" s="29"/>
      <c r="O5" s="16"/>
      <c r="P5" s="29"/>
      <c r="Q5" s="29"/>
      <c r="R5" s="29"/>
      <c r="S5" s="29"/>
      <c r="T5" s="29"/>
      <c r="U5" s="29"/>
      <c r="V5" s="29"/>
      <c r="W5" s="29"/>
      <c r="X5" s="29"/>
      <c r="Y5" s="29"/>
      <c r="Z5" s="29"/>
    </row>
    <row r="6" spans="1:26" ht="22.5" customHeight="1" x14ac:dyDescent="0.15">
      <c r="B6" s="266" t="s">
        <v>325</v>
      </c>
      <c r="C6" s="267"/>
      <c r="D6" s="267"/>
      <c r="E6" s="267"/>
      <c r="F6" s="267"/>
      <c r="G6" s="267"/>
      <c r="H6" s="267"/>
      <c r="I6" s="267"/>
      <c r="J6" s="267"/>
      <c r="K6" s="267"/>
      <c r="L6" s="267"/>
      <c r="M6" s="267"/>
      <c r="N6" s="267"/>
      <c r="O6" s="267"/>
      <c r="P6" s="267"/>
      <c r="Q6" s="267"/>
      <c r="R6" s="267"/>
      <c r="S6" s="267"/>
      <c r="T6" s="267"/>
      <c r="U6" s="267"/>
      <c r="V6" s="267"/>
      <c r="W6" s="267"/>
      <c r="X6" s="267"/>
      <c r="Y6" s="267"/>
      <c r="Z6" s="268"/>
    </row>
    <row r="7" spans="1:26" ht="22.5" customHeight="1" x14ac:dyDescent="0.15">
      <c r="B7" s="269"/>
      <c r="C7" s="270"/>
      <c r="D7" s="270"/>
      <c r="E7" s="270"/>
      <c r="F7" s="270"/>
      <c r="G7" s="270"/>
      <c r="H7" s="270"/>
      <c r="I7" s="270"/>
      <c r="J7" s="270"/>
      <c r="K7" s="270"/>
      <c r="L7" s="270"/>
      <c r="M7" s="270"/>
      <c r="N7" s="270"/>
      <c r="O7" s="270"/>
      <c r="P7" s="270"/>
      <c r="Q7" s="270"/>
      <c r="R7" s="270"/>
      <c r="S7" s="270"/>
      <c r="T7" s="270"/>
      <c r="U7" s="270"/>
      <c r="V7" s="270"/>
      <c r="W7" s="270"/>
      <c r="X7" s="270"/>
      <c r="Y7" s="270"/>
      <c r="Z7" s="271"/>
    </row>
    <row r="8" spans="1:26" ht="22.5" customHeight="1" x14ac:dyDescent="0.15">
      <c r="B8" s="269"/>
      <c r="C8" s="270"/>
      <c r="D8" s="270"/>
      <c r="E8" s="270"/>
      <c r="F8" s="270"/>
      <c r="G8" s="270"/>
      <c r="H8" s="270"/>
      <c r="I8" s="270"/>
      <c r="J8" s="270"/>
      <c r="K8" s="270"/>
      <c r="L8" s="270"/>
      <c r="M8" s="270"/>
      <c r="N8" s="270"/>
      <c r="O8" s="270"/>
      <c r="P8" s="270"/>
      <c r="Q8" s="270"/>
      <c r="R8" s="270"/>
      <c r="S8" s="270"/>
      <c r="T8" s="270"/>
      <c r="U8" s="270"/>
      <c r="V8" s="270"/>
      <c r="W8" s="270"/>
      <c r="X8" s="270"/>
      <c r="Y8" s="270"/>
      <c r="Z8" s="271"/>
    </row>
    <row r="9" spans="1:26" ht="22.5" customHeight="1" x14ac:dyDescent="0.15">
      <c r="B9" s="269"/>
      <c r="C9" s="270"/>
      <c r="D9" s="270"/>
      <c r="E9" s="270"/>
      <c r="F9" s="270"/>
      <c r="G9" s="270"/>
      <c r="H9" s="270"/>
      <c r="I9" s="270"/>
      <c r="J9" s="270"/>
      <c r="K9" s="270"/>
      <c r="L9" s="270"/>
      <c r="M9" s="270"/>
      <c r="N9" s="270"/>
      <c r="O9" s="270"/>
      <c r="P9" s="270"/>
      <c r="Q9" s="270"/>
      <c r="R9" s="270"/>
      <c r="S9" s="270"/>
      <c r="T9" s="270"/>
      <c r="U9" s="270"/>
      <c r="V9" s="270"/>
      <c r="W9" s="270"/>
      <c r="X9" s="270"/>
      <c r="Y9" s="270"/>
      <c r="Z9" s="271"/>
    </row>
    <row r="10" spans="1:26" ht="22.5" customHeight="1" x14ac:dyDescent="0.15">
      <c r="B10" s="269"/>
      <c r="C10" s="272"/>
      <c r="D10" s="272"/>
      <c r="E10" s="272"/>
      <c r="F10" s="272"/>
      <c r="G10" s="272"/>
      <c r="H10" s="272"/>
      <c r="I10" s="272"/>
      <c r="J10" s="272"/>
      <c r="K10" s="272"/>
      <c r="L10" s="272"/>
      <c r="M10" s="272"/>
      <c r="N10" s="272"/>
      <c r="O10" s="272"/>
      <c r="P10" s="272"/>
      <c r="Q10" s="272"/>
      <c r="R10" s="272"/>
      <c r="S10" s="272"/>
      <c r="T10" s="272"/>
      <c r="U10" s="272"/>
      <c r="V10" s="272"/>
      <c r="W10" s="272"/>
      <c r="X10" s="272"/>
      <c r="Y10" s="272"/>
      <c r="Z10" s="271"/>
    </row>
    <row r="11" spans="1:26" ht="64.5" customHeight="1" x14ac:dyDescent="0.15">
      <c r="B11" s="273"/>
      <c r="C11" s="274"/>
      <c r="D11" s="274"/>
      <c r="E11" s="274"/>
      <c r="F11" s="274"/>
      <c r="G11" s="274"/>
      <c r="H11" s="274"/>
      <c r="I11" s="274"/>
      <c r="J11" s="274"/>
      <c r="K11" s="274"/>
      <c r="L11" s="274"/>
      <c r="M11" s="274"/>
      <c r="N11" s="274"/>
      <c r="O11" s="274"/>
      <c r="P11" s="274"/>
      <c r="Q11" s="274"/>
      <c r="R11" s="274"/>
      <c r="S11" s="274"/>
      <c r="T11" s="274"/>
      <c r="U11" s="274"/>
      <c r="V11" s="274"/>
      <c r="W11" s="274"/>
      <c r="X11" s="274"/>
      <c r="Y11" s="274"/>
      <c r="Z11" s="275"/>
    </row>
    <row r="12" spans="1:26" ht="7.5" customHeight="1" x14ac:dyDescent="0.15">
      <c r="B12" s="29"/>
      <c r="C12" s="29"/>
      <c r="D12" s="29"/>
      <c r="E12" s="29"/>
      <c r="F12" s="29"/>
      <c r="G12" s="29"/>
      <c r="H12" s="29"/>
      <c r="I12" s="29"/>
      <c r="J12" s="29"/>
      <c r="K12" s="29"/>
      <c r="L12" s="29"/>
      <c r="M12" s="29"/>
      <c r="N12" s="29"/>
      <c r="O12" s="29"/>
      <c r="P12" s="29"/>
      <c r="Q12" s="29"/>
      <c r="R12" s="29"/>
      <c r="S12" s="29"/>
      <c r="T12" s="29"/>
      <c r="U12" s="29"/>
      <c r="V12" s="29"/>
      <c r="W12" s="29"/>
      <c r="X12" s="29"/>
      <c r="Y12" s="29"/>
      <c r="Z12" s="29"/>
    </row>
    <row r="13" spans="1:26" ht="18" customHeight="1" x14ac:dyDescent="0.15">
      <c r="A13" s="192" t="s">
        <v>125</v>
      </c>
      <c r="B13" s="192"/>
      <c r="C13" s="192"/>
      <c r="D13" s="192"/>
      <c r="E13" s="192"/>
      <c r="F13" s="192"/>
      <c r="G13" s="192"/>
      <c r="H13" s="192"/>
      <c r="I13" s="192"/>
      <c r="J13" s="192"/>
      <c r="K13" s="192"/>
      <c r="L13" s="192"/>
      <c r="M13" s="192"/>
      <c r="N13" s="192"/>
      <c r="O13" s="192"/>
      <c r="P13" s="192"/>
      <c r="Q13" s="192"/>
      <c r="R13" s="192"/>
      <c r="S13" s="192"/>
      <c r="T13" s="192"/>
      <c r="U13" s="192"/>
      <c r="V13" s="192"/>
      <c r="W13" s="192"/>
      <c r="X13" s="192"/>
      <c r="Y13" s="192"/>
      <c r="Z13" s="192"/>
    </row>
    <row r="14" spans="1:26" ht="18" customHeight="1" x14ac:dyDescent="0.15">
      <c r="A14" s="192"/>
      <c r="B14" s="192"/>
      <c r="C14" s="192"/>
      <c r="D14" s="192"/>
      <c r="E14" s="192"/>
      <c r="F14" s="192"/>
      <c r="G14" s="192"/>
      <c r="H14" s="192"/>
      <c r="I14" s="192"/>
      <c r="J14" s="192"/>
      <c r="K14" s="192"/>
      <c r="L14" s="192"/>
      <c r="M14" s="192"/>
      <c r="N14" s="192"/>
      <c r="O14" s="192"/>
      <c r="P14" s="192"/>
      <c r="Q14" s="192"/>
      <c r="R14" s="192"/>
      <c r="S14" s="192"/>
      <c r="T14" s="192"/>
      <c r="U14" s="192"/>
      <c r="V14" s="192"/>
      <c r="W14" s="192"/>
      <c r="X14" s="192"/>
      <c r="Y14" s="192"/>
      <c r="Z14" s="192"/>
    </row>
    <row r="15" spans="1:26" ht="18" customHeight="1" x14ac:dyDescent="0.15">
      <c r="A15" s="14"/>
      <c r="B15" s="150" t="s">
        <v>100</v>
      </c>
      <c r="C15" s="151"/>
      <c r="D15" s="151"/>
      <c r="E15" s="151"/>
      <c r="F15" s="152"/>
      <c r="G15" s="30" t="s">
        <v>141</v>
      </c>
      <c r="H15" s="110" t="s">
        <v>140</v>
      </c>
      <c r="I15" s="151" t="s">
        <v>101</v>
      </c>
      <c r="J15" s="151"/>
      <c r="K15" s="151"/>
      <c r="L15" s="73" t="s">
        <v>104</v>
      </c>
      <c r="M15" s="73" t="s">
        <v>107</v>
      </c>
      <c r="N15" s="150" t="s">
        <v>100</v>
      </c>
      <c r="O15" s="151"/>
      <c r="P15" s="151"/>
      <c r="Q15" s="151"/>
      <c r="R15" s="151"/>
      <c r="S15" s="152"/>
      <c r="T15" s="30" t="s">
        <v>141</v>
      </c>
      <c r="U15" s="110" t="s">
        <v>140</v>
      </c>
      <c r="V15" s="151" t="s">
        <v>101</v>
      </c>
      <c r="W15" s="151"/>
      <c r="X15" s="151"/>
      <c r="Y15" s="73" t="s">
        <v>104</v>
      </c>
      <c r="Z15" s="73" t="s">
        <v>107</v>
      </c>
    </row>
    <row r="16" spans="1:26" ht="18" customHeight="1" x14ac:dyDescent="0.15">
      <c r="A16" s="14"/>
      <c r="B16" s="256" t="s">
        <v>219</v>
      </c>
      <c r="C16" s="257"/>
      <c r="D16" s="257"/>
      <c r="E16" s="257"/>
      <c r="F16" s="263"/>
      <c r="G16" s="111">
        <v>2</v>
      </c>
      <c r="H16" s="111"/>
      <c r="I16" s="258" t="s">
        <v>163</v>
      </c>
      <c r="J16" s="259"/>
      <c r="K16" s="260"/>
      <c r="L16" s="111" t="s">
        <v>164</v>
      </c>
      <c r="M16" s="111" t="s">
        <v>164</v>
      </c>
      <c r="N16" s="245"/>
      <c r="O16" s="246"/>
      <c r="P16" s="246"/>
      <c r="Q16" s="246"/>
      <c r="R16" s="246"/>
      <c r="S16" s="247"/>
      <c r="T16" s="111"/>
      <c r="U16" s="111"/>
      <c r="V16" s="258"/>
      <c r="W16" s="259"/>
      <c r="X16" s="260"/>
      <c r="Y16" s="111"/>
      <c r="Z16" s="111"/>
    </row>
    <row r="17" spans="1:26" ht="18" customHeight="1" x14ac:dyDescent="0.15">
      <c r="A17" s="14"/>
      <c r="B17" s="181" t="s">
        <v>208</v>
      </c>
      <c r="C17" s="182"/>
      <c r="D17" s="182"/>
      <c r="E17" s="182"/>
      <c r="F17" s="188"/>
      <c r="G17" s="112">
        <v>2</v>
      </c>
      <c r="H17" s="112"/>
      <c r="I17" s="183" t="s">
        <v>163</v>
      </c>
      <c r="J17" s="184"/>
      <c r="K17" s="185"/>
      <c r="L17" s="112" t="s">
        <v>164</v>
      </c>
      <c r="M17" s="112" t="s">
        <v>164</v>
      </c>
      <c r="N17" s="189"/>
      <c r="O17" s="190"/>
      <c r="P17" s="190"/>
      <c r="Q17" s="190"/>
      <c r="R17" s="190"/>
      <c r="S17" s="191"/>
      <c r="T17" s="112"/>
      <c r="U17" s="112"/>
      <c r="V17" s="183"/>
      <c r="W17" s="184"/>
      <c r="X17" s="185"/>
      <c r="Y17" s="112"/>
      <c r="Z17" s="112"/>
    </row>
    <row r="18" spans="1:26" ht="18" customHeight="1" x14ac:dyDescent="0.15">
      <c r="A18" s="14"/>
      <c r="B18" s="181" t="s">
        <v>211</v>
      </c>
      <c r="C18" s="182"/>
      <c r="D18" s="182"/>
      <c r="E18" s="182"/>
      <c r="F18" s="188"/>
      <c r="G18" s="112">
        <v>2</v>
      </c>
      <c r="H18" s="112"/>
      <c r="I18" s="183" t="s">
        <v>214</v>
      </c>
      <c r="J18" s="184"/>
      <c r="K18" s="185"/>
      <c r="L18" s="112" t="s">
        <v>164</v>
      </c>
      <c r="M18" s="112" t="s">
        <v>164</v>
      </c>
      <c r="N18" s="189"/>
      <c r="O18" s="190"/>
      <c r="P18" s="190"/>
      <c r="Q18" s="190"/>
      <c r="R18" s="190"/>
      <c r="S18" s="191"/>
      <c r="T18" s="112"/>
      <c r="U18" s="112"/>
      <c r="V18" s="183"/>
      <c r="W18" s="184"/>
      <c r="X18" s="185"/>
      <c r="Y18" s="112"/>
      <c r="Z18" s="112"/>
    </row>
    <row r="19" spans="1:26" ht="18" customHeight="1" x14ac:dyDescent="0.15">
      <c r="A19" s="14"/>
      <c r="B19" s="276" t="s">
        <v>213</v>
      </c>
      <c r="C19" s="277"/>
      <c r="D19" s="277"/>
      <c r="E19" s="277"/>
      <c r="F19" s="278"/>
      <c r="G19" s="124">
        <v>2</v>
      </c>
      <c r="H19" s="124"/>
      <c r="I19" s="279" t="s">
        <v>214</v>
      </c>
      <c r="J19" s="280"/>
      <c r="K19" s="281"/>
      <c r="L19" s="124" t="s">
        <v>164</v>
      </c>
      <c r="M19" s="124" t="s">
        <v>164</v>
      </c>
      <c r="N19" s="189"/>
      <c r="O19" s="190"/>
      <c r="P19" s="190"/>
      <c r="Q19" s="190"/>
      <c r="R19" s="190"/>
      <c r="S19" s="191"/>
      <c r="T19" s="112"/>
      <c r="U19" s="112"/>
      <c r="V19" s="183"/>
      <c r="W19" s="184"/>
      <c r="X19" s="185"/>
      <c r="Y19" s="112"/>
      <c r="Z19" s="112"/>
    </row>
    <row r="20" spans="1:26" ht="18" customHeight="1" x14ac:dyDescent="0.15">
      <c r="A20" s="14"/>
      <c r="B20" s="181" t="s">
        <v>220</v>
      </c>
      <c r="C20" s="182"/>
      <c r="D20" s="182"/>
      <c r="E20" s="182"/>
      <c r="F20" s="188"/>
      <c r="G20" s="112">
        <v>2</v>
      </c>
      <c r="H20" s="112"/>
      <c r="I20" s="183" t="s">
        <v>214</v>
      </c>
      <c r="J20" s="184"/>
      <c r="K20" s="185"/>
      <c r="L20" s="112" t="s">
        <v>164</v>
      </c>
      <c r="M20" s="112" t="s">
        <v>164</v>
      </c>
      <c r="N20" s="189"/>
      <c r="O20" s="190"/>
      <c r="P20" s="190"/>
      <c r="Q20" s="190"/>
      <c r="R20" s="190"/>
      <c r="S20" s="191"/>
      <c r="T20" s="112"/>
      <c r="U20" s="112"/>
      <c r="V20" s="183"/>
      <c r="W20" s="184"/>
      <c r="X20" s="185"/>
      <c r="Y20" s="112"/>
      <c r="Z20" s="112"/>
    </row>
    <row r="21" spans="1:26" ht="18" customHeight="1" x14ac:dyDescent="0.15">
      <c r="A21" s="29"/>
      <c r="B21" s="181"/>
      <c r="C21" s="182"/>
      <c r="D21" s="182"/>
      <c r="E21" s="182"/>
      <c r="F21" s="188"/>
      <c r="G21" s="112"/>
      <c r="H21" s="112"/>
      <c r="I21" s="183"/>
      <c r="J21" s="184"/>
      <c r="K21" s="185"/>
      <c r="L21" s="112"/>
      <c r="M21" s="112"/>
      <c r="N21" s="189"/>
      <c r="O21" s="190"/>
      <c r="P21" s="190"/>
      <c r="Q21" s="190"/>
      <c r="R21" s="190"/>
      <c r="S21" s="191"/>
      <c r="T21" s="112"/>
      <c r="U21" s="112"/>
      <c r="V21" s="183"/>
      <c r="W21" s="184"/>
      <c r="X21" s="185"/>
      <c r="Y21" s="112"/>
      <c r="Z21" s="112"/>
    </row>
    <row r="22" spans="1:26" ht="18" customHeight="1" x14ac:dyDescent="0.15">
      <c r="A22" s="29"/>
      <c r="B22" s="193"/>
      <c r="C22" s="194"/>
      <c r="D22" s="194"/>
      <c r="E22" s="194"/>
      <c r="F22" s="195"/>
      <c r="G22" s="113"/>
      <c r="H22" s="113"/>
      <c r="I22" s="196"/>
      <c r="J22" s="197"/>
      <c r="K22" s="198"/>
      <c r="L22" s="116"/>
      <c r="M22" s="116"/>
      <c r="N22" s="199"/>
      <c r="O22" s="200"/>
      <c r="P22" s="200"/>
      <c r="Q22" s="200"/>
      <c r="R22" s="200"/>
      <c r="S22" s="201"/>
      <c r="T22" s="113"/>
      <c r="U22" s="113"/>
      <c r="V22" s="196"/>
      <c r="W22" s="197"/>
      <c r="X22" s="198"/>
      <c r="Y22" s="116"/>
      <c r="Z22" s="116"/>
    </row>
    <row r="23" spans="1:26" ht="7.5" customHeight="1" x14ac:dyDescent="0.15">
      <c r="A23" s="29"/>
      <c r="B23" s="74"/>
      <c r="C23" s="74"/>
      <c r="D23" s="29"/>
      <c r="E23" s="29"/>
      <c r="F23" s="29"/>
      <c r="G23" s="29"/>
      <c r="H23" s="29"/>
      <c r="I23" s="29"/>
      <c r="J23" s="29"/>
      <c r="K23" s="29"/>
      <c r="L23" s="74"/>
      <c r="M23" s="74"/>
      <c r="N23" s="74"/>
      <c r="O23" s="74"/>
      <c r="P23" s="74"/>
      <c r="Q23" s="74"/>
      <c r="R23" s="74"/>
      <c r="S23" s="74"/>
      <c r="T23" s="74"/>
      <c r="U23" s="74"/>
      <c r="V23" s="74"/>
      <c r="W23" s="74"/>
      <c r="X23" s="74"/>
      <c r="Y23" s="74"/>
      <c r="Z23" s="29"/>
    </row>
    <row r="24" spans="1:26" ht="18" customHeight="1" x14ac:dyDescent="0.15">
      <c r="A24" s="192" t="s">
        <v>126</v>
      </c>
      <c r="B24" s="192"/>
      <c r="C24" s="192"/>
      <c r="D24" s="192"/>
      <c r="E24" s="192"/>
      <c r="F24" s="192"/>
      <c r="G24" s="192"/>
      <c r="H24" s="192"/>
      <c r="I24" s="192"/>
      <c r="J24" s="192"/>
      <c r="K24" s="192"/>
      <c r="L24" s="192"/>
      <c r="M24" s="192"/>
      <c r="N24" s="192"/>
      <c r="O24" s="192"/>
      <c r="P24" s="192"/>
      <c r="Q24" s="192"/>
      <c r="R24" s="192"/>
      <c r="S24" s="192"/>
      <c r="T24" s="192"/>
      <c r="U24" s="192"/>
      <c r="V24" s="192"/>
      <c r="W24" s="192"/>
      <c r="X24" s="192"/>
      <c r="Y24" s="192"/>
      <c r="Z24" s="192"/>
    </row>
    <row r="25" spans="1:26" ht="18" customHeight="1" x14ac:dyDescent="0.15">
      <c r="A25" s="192"/>
      <c r="B25" s="192"/>
      <c r="C25" s="192"/>
      <c r="D25" s="192"/>
      <c r="E25" s="192"/>
      <c r="F25" s="192"/>
      <c r="G25" s="192"/>
      <c r="H25" s="192"/>
      <c r="I25" s="192"/>
      <c r="J25" s="192"/>
      <c r="K25" s="192"/>
      <c r="L25" s="192"/>
      <c r="M25" s="192"/>
      <c r="N25" s="192"/>
      <c r="O25" s="192"/>
      <c r="P25" s="192"/>
      <c r="Q25" s="192"/>
      <c r="R25" s="192"/>
      <c r="S25" s="192"/>
      <c r="T25" s="192"/>
      <c r="U25" s="192"/>
      <c r="V25" s="192"/>
      <c r="W25" s="192"/>
      <c r="X25" s="192"/>
      <c r="Y25" s="192"/>
      <c r="Z25" s="192"/>
    </row>
    <row r="26" spans="1:26" ht="18" customHeight="1" x14ac:dyDescent="0.15">
      <c r="A26" s="14"/>
      <c r="B26" s="150" t="s">
        <v>100</v>
      </c>
      <c r="C26" s="151"/>
      <c r="D26" s="151"/>
      <c r="E26" s="151"/>
      <c r="F26" s="152"/>
      <c r="G26" s="30" t="s">
        <v>141</v>
      </c>
      <c r="H26" s="110" t="s">
        <v>140</v>
      </c>
      <c r="I26" s="151" t="s">
        <v>101</v>
      </c>
      <c r="J26" s="151"/>
      <c r="K26" s="151"/>
      <c r="L26" s="73" t="s">
        <v>127</v>
      </c>
      <c r="M26" s="73" t="s">
        <v>128</v>
      </c>
      <c r="N26" s="150" t="s">
        <v>100</v>
      </c>
      <c r="O26" s="151"/>
      <c r="P26" s="151"/>
      <c r="Q26" s="151"/>
      <c r="R26" s="151"/>
      <c r="S26" s="152"/>
      <c r="T26" s="30" t="s">
        <v>141</v>
      </c>
      <c r="U26" s="110" t="s">
        <v>140</v>
      </c>
      <c r="V26" s="151" t="s">
        <v>101</v>
      </c>
      <c r="W26" s="151"/>
      <c r="X26" s="151"/>
      <c r="Y26" s="73" t="s">
        <v>127</v>
      </c>
      <c r="Z26" s="73" t="s">
        <v>128</v>
      </c>
    </row>
    <row r="27" spans="1:26" ht="18" customHeight="1" x14ac:dyDescent="0.15">
      <c r="A27" s="14"/>
      <c r="B27" s="256" t="s">
        <v>218</v>
      </c>
      <c r="C27" s="257"/>
      <c r="D27" s="257"/>
      <c r="E27" s="257"/>
      <c r="F27" s="263"/>
      <c r="G27" s="111">
        <v>2</v>
      </c>
      <c r="H27" s="111"/>
      <c r="I27" s="258" t="s">
        <v>163</v>
      </c>
      <c r="J27" s="259"/>
      <c r="K27" s="260"/>
      <c r="L27" s="111"/>
      <c r="M27" s="111" t="s">
        <v>164</v>
      </c>
      <c r="N27" s="245"/>
      <c r="O27" s="246"/>
      <c r="P27" s="246"/>
      <c r="Q27" s="246"/>
      <c r="R27" s="246"/>
      <c r="S27" s="247"/>
      <c r="T27" s="111"/>
      <c r="U27" s="111"/>
      <c r="V27" s="258"/>
      <c r="W27" s="259"/>
      <c r="X27" s="260"/>
      <c r="Y27" s="111"/>
      <c r="Z27" s="111"/>
    </row>
    <row r="28" spans="1:26" ht="18" customHeight="1" x14ac:dyDescent="0.15">
      <c r="A28" s="14"/>
      <c r="B28" s="181" t="s">
        <v>207</v>
      </c>
      <c r="C28" s="182"/>
      <c r="D28" s="182"/>
      <c r="E28" s="182"/>
      <c r="F28" s="188"/>
      <c r="G28" s="112">
        <v>2</v>
      </c>
      <c r="H28" s="112"/>
      <c r="I28" s="183" t="s">
        <v>163</v>
      </c>
      <c r="J28" s="184"/>
      <c r="K28" s="185"/>
      <c r="L28" s="112" t="s">
        <v>164</v>
      </c>
      <c r="M28" s="112" t="s">
        <v>164</v>
      </c>
      <c r="N28" s="189"/>
      <c r="O28" s="190"/>
      <c r="P28" s="190"/>
      <c r="Q28" s="190"/>
      <c r="R28" s="190"/>
      <c r="S28" s="191"/>
      <c r="T28" s="112"/>
      <c r="U28" s="112"/>
      <c r="V28" s="183"/>
      <c r="W28" s="184"/>
      <c r="X28" s="185"/>
      <c r="Y28" s="112"/>
      <c r="Z28" s="112"/>
    </row>
    <row r="29" spans="1:26" ht="18" customHeight="1" x14ac:dyDescent="0.15">
      <c r="A29" s="14"/>
      <c r="B29" s="181" t="s">
        <v>210</v>
      </c>
      <c r="C29" s="182"/>
      <c r="D29" s="182"/>
      <c r="E29" s="182"/>
      <c r="F29" s="188"/>
      <c r="G29" s="112">
        <v>2</v>
      </c>
      <c r="H29" s="112"/>
      <c r="I29" s="183" t="s">
        <v>214</v>
      </c>
      <c r="J29" s="184"/>
      <c r="K29" s="185"/>
      <c r="L29" s="112" t="s">
        <v>164</v>
      </c>
      <c r="M29" s="112" t="s">
        <v>164</v>
      </c>
      <c r="N29" s="189"/>
      <c r="O29" s="190"/>
      <c r="P29" s="190"/>
      <c r="Q29" s="190"/>
      <c r="R29" s="190"/>
      <c r="S29" s="191"/>
      <c r="T29" s="112"/>
      <c r="U29" s="112"/>
      <c r="V29" s="183"/>
      <c r="W29" s="184"/>
      <c r="X29" s="185"/>
      <c r="Y29" s="112"/>
      <c r="Z29" s="112"/>
    </row>
    <row r="30" spans="1:26" ht="18" customHeight="1" x14ac:dyDescent="0.15">
      <c r="A30" s="14"/>
      <c r="B30" s="181" t="s">
        <v>212</v>
      </c>
      <c r="C30" s="182"/>
      <c r="D30" s="182"/>
      <c r="E30" s="182"/>
      <c r="F30" s="188"/>
      <c r="G30" s="112">
        <v>2</v>
      </c>
      <c r="H30" s="112"/>
      <c r="I30" s="183" t="s">
        <v>214</v>
      </c>
      <c r="J30" s="184"/>
      <c r="K30" s="185"/>
      <c r="L30" s="112" t="s">
        <v>164</v>
      </c>
      <c r="M30" s="112" t="s">
        <v>164</v>
      </c>
      <c r="N30" s="189"/>
      <c r="O30" s="190"/>
      <c r="P30" s="190"/>
      <c r="Q30" s="190"/>
      <c r="R30" s="190"/>
      <c r="S30" s="191"/>
      <c r="T30" s="112"/>
      <c r="U30" s="112"/>
      <c r="V30" s="183"/>
      <c r="W30" s="184"/>
      <c r="X30" s="185"/>
      <c r="Y30" s="112"/>
      <c r="Z30" s="112"/>
    </row>
    <row r="31" spans="1:26" ht="18" customHeight="1" x14ac:dyDescent="0.15">
      <c r="A31" s="14"/>
      <c r="B31" s="181" t="s">
        <v>217</v>
      </c>
      <c r="C31" s="182"/>
      <c r="D31" s="182"/>
      <c r="E31" s="182"/>
      <c r="F31" s="188"/>
      <c r="G31" s="112">
        <v>2</v>
      </c>
      <c r="H31" s="112"/>
      <c r="I31" s="183" t="s">
        <v>214</v>
      </c>
      <c r="J31" s="184"/>
      <c r="K31" s="185"/>
      <c r="L31" s="112" t="s">
        <v>164</v>
      </c>
      <c r="M31" s="112" t="s">
        <v>164</v>
      </c>
      <c r="N31" s="189"/>
      <c r="O31" s="190"/>
      <c r="P31" s="190"/>
      <c r="Q31" s="190"/>
      <c r="R31" s="190"/>
      <c r="S31" s="191"/>
      <c r="T31" s="112"/>
      <c r="U31" s="112"/>
      <c r="V31" s="183"/>
      <c r="W31" s="184"/>
      <c r="X31" s="185"/>
      <c r="Y31" s="112"/>
      <c r="Z31" s="112"/>
    </row>
    <row r="32" spans="1:26" ht="18" customHeight="1" x14ac:dyDescent="0.15">
      <c r="A32" s="14"/>
      <c r="B32" s="181"/>
      <c r="C32" s="182"/>
      <c r="D32" s="182"/>
      <c r="E32" s="182"/>
      <c r="F32" s="188"/>
      <c r="G32" s="112"/>
      <c r="H32" s="112"/>
      <c r="I32" s="183"/>
      <c r="J32" s="184"/>
      <c r="K32" s="185"/>
      <c r="L32" s="112"/>
      <c r="M32" s="112"/>
      <c r="N32" s="189"/>
      <c r="O32" s="190"/>
      <c r="P32" s="190"/>
      <c r="Q32" s="190"/>
      <c r="R32" s="190"/>
      <c r="S32" s="191"/>
      <c r="T32" s="112"/>
      <c r="U32" s="112"/>
      <c r="V32" s="183"/>
      <c r="W32" s="184"/>
      <c r="X32" s="185"/>
      <c r="Y32" s="112"/>
      <c r="Z32" s="112"/>
    </row>
    <row r="33" spans="1:26" ht="18" customHeight="1" x14ac:dyDescent="0.15">
      <c r="A33" s="14"/>
      <c r="B33" s="193"/>
      <c r="C33" s="194"/>
      <c r="D33" s="194"/>
      <c r="E33" s="194"/>
      <c r="F33" s="195"/>
      <c r="G33" s="113"/>
      <c r="H33" s="113"/>
      <c r="I33" s="196"/>
      <c r="J33" s="197"/>
      <c r="K33" s="198"/>
      <c r="L33" s="116"/>
      <c r="M33" s="116"/>
      <c r="N33" s="199"/>
      <c r="O33" s="200"/>
      <c r="P33" s="200"/>
      <c r="Q33" s="200"/>
      <c r="R33" s="200"/>
      <c r="S33" s="201"/>
      <c r="T33" s="113"/>
      <c r="U33" s="113"/>
      <c r="V33" s="196"/>
      <c r="W33" s="197"/>
      <c r="X33" s="198"/>
      <c r="Y33" s="116"/>
      <c r="Z33" s="116"/>
    </row>
    <row r="34" spans="1:26" ht="7.5" customHeight="1" x14ac:dyDescent="0.15">
      <c r="A34" s="29"/>
      <c r="B34" s="74"/>
      <c r="C34" s="74"/>
      <c r="D34" s="29"/>
      <c r="E34" s="29"/>
      <c r="F34" s="29"/>
      <c r="G34" s="29"/>
      <c r="H34" s="29"/>
      <c r="I34" s="29"/>
      <c r="J34" s="29"/>
      <c r="K34" s="29"/>
      <c r="L34" s="74"/>
      <c r="M34" s="74"/>
      <c r="N34" s="74"/>
      <c r="O34" s="74"/>
      <c r="P34" s="74"/>
      <c r="Q34" s="74"/>
      <c r="R34" s="74"/>
      <c r="S34" s="74"/>
      <c r="T34" s="74"/>
      <c r="U34" s="74"/>
      <c r="V34" s="74"/>
      <c r="W34" s="74"/>
      <c r="X34" s="74"/>
      <c r="Y34" s="74"/>
      <c r="Z34" s="29"/>
    </row>
    <row r="35" spans="1:26" ht="18" customHeight="1" x14ac:dyDescent="0.15">
      <c r="A35" s="192" t="s">
        <v>129</v>
      </c>
      <c r="B35" s="192"/>
      <c r="C35" s="192"/>
      <c r="D35" s="192"/>
      <c r="E35" s="192"/>
      <c r="F35" s="192"/>
      <c r="G35" s="192"/>
      <c r="H35" s="192"/>
      <c r="I35" s="192"/>
      <c r="J35" s="192"/>
      <c r="K35" s="192"/>
      <c r="L35" s="192"/>
      <c r="M35" s="192"/>
      <c r="N35" s="192"/>
      <c r="O35" s="192"/>
      <c r="P35" s="192"/>
      <c r="Q35" s="192"/>
      <c r="R35" s="192"/>
      <c r="S35" s="192"/>
      <c r="T35" s="192"/>
      <c r="U35" s="192"/>
      <c r="V35" s="192"/>
      <c r="W35" s="192"/>
      <c r="X35" s="192"/>
      <c r="Y35" s="192"/>
      <c r="Z35" s="192"/>
    </row>
    <row r="36" spans="1:26" ht="18" customHeight="1" x14ac:dyDescent="0.15">
      <c r="A36" s="192"/>
      <c r="B36" s="192"/>
      <c r="C36" s="192"/>
      <c r="D36" s="192"/>
      <c r="E36" s="192"/>
      <c r="F36" s="192"/>
      <c r="G36" s="192"/>
      <c r="H36" s="192"/>
      <c r="I36" s="192"/>
      <c r="J36" s="192"/>
      <c r="K36" s="192"/>
      <c r="L36" s="192"/>
      <c r="M36" s="192"/>
      <c r="N36" s="192"/>
      <c r="O36" s="192"/>
      <c r="P36" s="192"/>
      <c r="Q36" s="192"/>
      <c r="R36" s="192"/>
      <c r="S36" s="192"/>
      <c r="T36" s="192"/>
      <c r="U36" s="192"/>
      <c r="V36" s="192"/>
      <c r="W36" s="192"/>
      <c r="X36" s="192"/>
      <c r="Y36" s="192"/>
      <c r="Z36" s="192"/>
    </row>
    <row r="37" spans="1:26" ht="18" customHeight="1" x14ac:dyDescent="0.15">
      <c r="A37" s="14"/>
      <c r="B37" s="150" t="s">
        <v>100</v>
      </c>
      <c r="C37" s="151"/>
      <c r="D37" s="151"/>
      <c r="E37" s="151"/>
      <c r="F37" s="152"/>
      <c r="G37" s="30" t="s">
        <v>141</v>
      </c>
      <c r="H37" s="110" t="s">
        <v>140</v>
      </c>
      <c r="I37" s="150" t="s">
        <v>101</v>
      </c>
      <c r="J37" s="151"/>
      <c r="K37" s="152"/>
      <c r="L37" s="73" t="s">
        <v>130</v>
      </c>
      <c r="M37" s="73" t="s">
        <v>131</v>
      </c>
      <c r="N37" s="150" t="s">
        <v>100</v>
      </c>
      <c r="O37" s="151"/>
      <c r="P37" s="151"/>
      <c r="Q37" s="151"/>
      <c r="R37" s="151"/>
      <c r="S37" s="152"/>
      <c r="T37" s="30" t="s">
        <v>141</v>
      </c>
      <c r="U37" s="110" t="s">
        <v>140</v>
      </c>
      <c r="V37" s="150" t="s">
        <v>101</v>
      </c>
      <c r="W37" s="151"/>
      <c r="X37" s="152"/>
      <c r="Y37" s="73" t="s">
        <v>130</v>
      </c>
      <c r="Z37" s="73" t="s">
        <v>131</v>
      </c>
    </row>
    <row r="38" spans="1:26" ht="18" customHeight="1" x14ac:dyDescent="0.15">
      <c r="A38" s="29"/>
      <c r="B38" s="181" t="s">
        <v>207</v>
      </c>
      <c r="C38" s="182"/>
      <c r="D38" s="182"/>
      <c r="E38" s="182"/>
      <c r="F38" s="188"/>
      <c r="G38" s="112">
        <v>2</v>
      </c>
      <c r="H38" s="112"/>
      <c r="I38" s="183" t="s">
        <v>163</v>
      </c>
      <c r="J38" s="184"/>
      <c r="K38" s="185"/>
      <c r="L38" s="112" t="s">
        <v>164</v>
      </c>
      <c r="M38" s="112" t="s">
        <v>164</v>
      </c>
      <c r="N38" s="245"/>
      <c r="O38" s="246"/>
      <c r="P38" s="246"/>
      <c r="Q38" s="246"/>
      <c r="R38" s="246"/>
      <c r="S38" s="247"/>
      <c r="T38" s="111"/>
      <c r="U38" s="111"/>
      <c r="V38" s="258"/>
      <c r="W38" s="259"/>
      <c r="X38" s="260"/>
      <c r="Y38" s="111"/>
      <c r="Z38" s="111"/>
    </row>
    <row r="39" spans="1:26" ht="18" customHeight="1" x14ac:dyDescent="0.15">
      <c r="A39" s="29"/>
      <c r="B39" s="181" t="s">
        <v>211</v>
      </c>
      <c r="C39" s="182"/>
      <c r="D39" s="182"/>
      <c r="E39" s="182"/>
      <c r="F39" s="188"/>
      <c r="G39" s="112">
        <v>2</v>
      </c>
      <c r="H39" s="112"/>
      <c r="I39" s="183" t="s">
        <v>214</v>
      </c>
      <c r="J39" s="184"/>
      <c r="K39" s="185"/>
      <c r="L39" s="112" t="s">
        <v>164</v>
      </c>
      <c r="M39" s="112" t="s">
        <v>164</v>
      </c>
      <c r="N39" s="189"/>
      <c r="O39" s="190"/>
      <c r="P39" s="190"/>
      <c r="Q39" s="190"/>
      <c r="R39" s="190"/>
      <c r="S39" s="191"/>
      <c r="T39" s="112"/>
      <c r="U39" s="112"/>
      <c r="V39" s="183"/>
      <c r="W39" s="184"/>
      <c r="X39" s="185"/>
      <c r="Y39" s="112"/>
      <c r="Z39" s="112"/>
    </row>
    <row r="40" spans="1:26" ht="18" customHeight="1" x14ac:dyDescent="0.15">
      <c r="A40" s="29"/>
      <c r="B40" s="276" t="s">
        <v>213</v>
      </c>
      <c r="C40" s="277"/>
      <c r="D40" s="277"/>
      <c r="E40" s="277"/>
      <c r="F40" s="278"/>
      <c r="G40" s="125">
        <v>2</v>
      </c>
      <c r="H40" s="125"/>
      <c r="I40" s="279" t="s">
        <v>214</v>
      </c>
      <c r="J40" s="280"/>
      <c r="K40" s="281"/>
      <c r="L40" s="124" t="s">
        <v>164</v>
      </c>
      <c r="M40" s="124" t="s">
        <v>164</v>
      </c>
      <c r="N40" s="189"/>
      <c r="O40" s="190"/>
      <c r="P40" s="190"/>
      <c r="Q40" s="190"/>
      <c r="R40" s="190"/>
      <c r="S40" s="191"/>
      <c r="T40" s="112"/>
      <c r="U40" s="112"/>
      <c r="V40" s="183"/>
      <c r="W40" s="184"/>
      <c r="X40" s="185"/>
      <c r="Y40" s="112"/>
      <c r="Z40" s="112"/>
    </row>
    <row r="41" spans="1:26" ht="18" customHeight="1" x14ac:dyDescent="0.15">
      <c r="A41" s="29"/>
      <c r="B41" s="181" t="s">
        <v>217</v>
      </c>
      <c r="C41" s="182"/>
      <c r="D41" s="182"/>
      <c r="E41" s="182"/>
      <c r="F41" s="188"/>
      <c r="G41" s="112">
        <v>2</v>
      </c>
      <c r="H41" s="112"/>
      <c r="I41" s="183" t="s">
        <v>214</v>
      </c>
      <c r="J41" s="184"/>
      <c r="K41" s="185"/>
      <c r="L41" s="112" t="s">
        <v>164</v>
      </c>
      <c r="M41" s="112" t="s">
        <v>164</v>
      </c>
      <c r="N41" s="189"/>
      <c r="O41" s="190"/>
      <c r="P41" s="190"/>
      <c r="Q41" s="190"/>
      <c r="R41" s="190"/>
      <c r="S41" s="191"/>
      <c r="T41" s="112"/>
      <c r="U41" s="112"/>
      <c r="V41" s="183"/>
      <c r="W41" s="184"/>
      <c r="X41" s="185"/>
      <c r="Y41" s="112"/>
      <c r="Z41" s="112"/>
    </row>
    <row r="42" spans="1:26" ht="18" customHeight="1" x14ac:dyDescent="0.15">
      <c r="A42" s="29"/>
      <c r="B42" s="181"/>
      <c r="C42" s="182"/>
      <c r="D42" s="182"/>
      <c r="E42" s="182"/>
      <c r="F42" s="188"/>
      <c r="G42" s="112"/>
      <c r="H42" s="112"/>
      <c r="I42" s="183"/>
      <c r="J42" s="184"/>
      <c r="K42" s="185"/>
      <c r="L42" s="112"/>
      <c r="M42" s="112"/>
      <c r="N42" s="189"/>
      <c r="O42" s="190"/>
      <c r="P42" s="190"/>
      <c r="Q42" s="190"/>
      <c r="R42" s="190"/>
      <c r="S42" s="191"/>
      <c r="T42" s="112"/>
      <c r="U42" s="112"/>
      <c r="V42" s="183"/>
      <c r="W42" s="184"/>
      <c r="X42" s="185"/>
      <c r="Y42" s="112"/>
      <c r="Z42" s="112"/>
    </row>
    <row r="43" spans="1:26" ht="18" customHeight="1" x14ac:dyDescent="0.15">
      <c r="A43" s="29"/>
      <c r="B43" s="181"/>
      <c r="C43" s="182"/>
      <c r="D43" s="182"/>
      <c r="E43" s="182"/>
      <c r="F43" s="188"/>
      <c r="G43" s="112"/>
      <c r="H43" s="112"/>
      <c r="I43" s="183"/>
      <c r="J43" s="184"/>
      <c r="K43" s="185"/>
      <c r="L43" s="112"/>
      <c r="M43" s="112"/>
      <c r="N43" s="189"/>
      <c r="O43" s="190"/>
      <c r="P43" s="190"/>
      <c r="Q43" s="190"/>
      <c r="R43" s="190"/>
      <c r="S43" s="191"/>
      <c r="T43" s="112"/>
      <c r="U43" s="112"/>
      <c r="V43" s="183"/>
      <c r="W43" s="184"/>
      <c r="X43" s="185"/>
      <c r="Y43" s="112"/>
      <c r="Z43" s="112"/>
    </row>
    <row r="44" spans="1:26" ht="18" customHeight="1" x14ac:dyDescent="0.15">
      <c r="A44" s="29"/>
      <c r="B44" s="193"/>
      <c r="C44" s="194"/>
      <c r="D44" s="194"/>
      <c r="E44" s="194"/>
      <c r="F44" s="195"/>
      <c r="G44" s="113"/>
      <c r="H44" s="113"/>
      <c r="I44" s="196"/>
      <c r="J44" s="197"/>
      <c r="K44" s="198"/>
      <c r="L44" s="116"/>
      <c r="M44" s="116"/>
      <c r="N44" s="199"/>
      <c r="O44" s="200"/>
      <c r="P44" s="200"/>
      <c r="Q44" s="200"/>
      <c r="R44" s="200"/>
      <c r="S44" s="201"/>
      <c r="T44" s="113"/>
      <c r="U44" s="113"/>
      <c r="V44" s="196"/>
      <c r="W44" s="197"/>
      <c r="X44" s="198"/>
      <c r="Y44" s="116"/>
      <c r="Z44" s="116"/>
    </row>
    <row r="45" spans="1:26" ht="7.5" customHeight="1" x14ac:dyDescent="0.15">
      <c r="B45" s="75"/>
      <c r="C45" s="75"/>
      <c r="D45" s="75"/>
      <c r="E45" s="75"/>
      <c r="F45" s="75"/>
      <c r="G45" s="75"/>
      <c r="H45" s="75"/>
      <c r="I45" s="75"/>
      <c r="J45" s="75"/>
      <c r="K45" s="75"/>
      <c r="L45" s="75"/>
      <c r="M45" s="75"/>
      <c r="N45" s="75"/>
      <c r="O45" s="75"/>
      <c r="P45" s="75"/>
      <c r="Q45" s="75"/>
      <c r="R45" s="75"/>
      <c r="S45" s="75"/>
      <c r="T45" s="75"/>
      <c r="U45" s="75"/>
      <c r="V45" s="75"/>
      <c r="W45" s="75"/>
      <c r="X45" s="75"/>
      <c r="Y45" s="75"/>
    </row>
    <row r="46" spans="1:26" ht="18" customHeight="1" x14ac:dyDescent="0.15">
      <c r="A46" s="192" t="s">
        <v>132</v>
      </c>
      <c r="B46" s="192"/>
      <c r="C46" s="192"/>
      <c r="D46" s="192"/>
      <c r="E46" s="192"/>
      <c r="F46" s="192"/>
      <c r="G46" s="192"/>
      <c r="H46" s="192"/>
      <c r="I46" s="192"/>
      <c r="J46" s="192"/>
      <c r="K46" s="192"/>
      <c r="L46" s="192"/>
      <c r="M46" s="192"/>
      <c r="N46" s="192"/>
      <c r="O46" s="192"/>
      <c r="P46" s="192"/>
      <c r="Q46" s="192"/>
      <c r="R46" s="192"/>
      <c r="S46" s="192"/>
      <c r="T46" s="192"/>
      <c r="U46" s="192"/>
      <c r="V46" s="192"/>
      <c r="W46" s="192"/>
      <c r="X46" s="192"/>
      <c r="Y46" s="192"/>
      <c r="Z46" s="192"/>
    </row>
    <row r="47" spans="1:26" ht="18" customHeight="1" x14ac:dyDescent="0.15">
      <c r="A47" s="192"/>
      <c r="B47" s="192"/>
      <c r="C47" s="192"/>
      <c r="D47" s="192"/>
      <c r="E47" s="192"/>
      <c r="F47" s="192"/>
      <c r="G47" s="192"/>
      <c r="H47" s="192"/>
      <c r="I47" s="192"/>
      <c r="J47" s="192"/>
      <c r="K47" s="192"/>
      <c r="L47" s="192"/>
      <c r="M47" s="192"/>
      <c r="N47" s="192"/>
      <c r="O47" s="192"/>
      <c r="P47" s="192"/>
      <c r="Q47" s="192"/>
      <c r="R47" s="192"/>
      <c r="S47" s="192"/>
      <c r="T47" s="192"/>
      <c r="U47" s="192"/>
      <c r="V47" s="192"/>
      <c r="W47" s="192"/>
      <c r="X47" s="192"/>
      <c r="Y47" s="192"/>
      <c r="Z47" s="192"/>
    </row>
    <row r="48" spans="1:26" ht="18" customHeight="1" x14ac:dyDescent="0.15">
      <c r="A48" s="14"/>
      <c r="B48" s="150" t="s">
        <v>100</v>
      </c>
      <c r="C48" s="151"/>
      <c r="D48" s="151"/>
      <c r="E48" s="151"/>
      <c r="F48" s="152"/>
      <c r="G48" s="30" t="s">
        <v>141</v>
      </c>
      <c r="H48" s="110" t="s">
        <v>140</v>
      </c>
      <c r="I48" s="150" t="s">
        <v>101</v>
      </c>
      <c r="J48" s="151"/>
      <c r="K48" s="152"/>
      <c r="L48" s="73" t="s">
        <v>106</v>
      </c>
      <c r="M48" s="73" t="s">
        <v>108</v>
      </c>
      <c r="N48" s="150" t="s">
        <v>100</v>
      </c>
      <c r="O48" s="151"/>
      <c r="P48" s="151"/>
      <c r="Q48" s="151"/>
      <c r="R48" s="151"/>
      <c r="S48" s="152"/>
      <c r="T48" s="30" t="s">
        <v>141</v>
      </c>
      <c r="U48" s="110" t="s">
        <v>140</v>
      </c>
      <c r="V48" s="150" t="s">
        <v>101</v>
      </c>
      <c r="W48" s="151"/>
      <c r="X48" s="152"/>
      <c r="Y48" s="73" t="s">
        <v>106</v>
      </c>
      <c r="Z48" s="73" t="s">
        <v>108</v>
      </c>
    </row>
    <row r="49" spans="1:26" ht="18" customHeight="1" x14ac:dyDescent="0.15">
      <c r="A49" s="29"/>
      <c r="B49" s="256" t="s">
        <v>207</v>
      </c>
      <c r="C49" s="257"/>
      <c r="D49" s="257"/>
      <c r="E49" s="257"/>
      <c r="F49" s="263"/>
      <c r="G49" s="111">
        <v>2</v>
      </c>
      <c r="H49" s="111"/>
      <c r="I49" s="258" t="s">
        <v>163</v>
      </c>
      <c r="J49" s="259"/>
      <c r="K49" s="260"/>
      <c r="L49" s="111" t="s">
        <v>164</v>
      </c>
      <c r="M49" s="111" t="s">
        <v>164</v>
      </c>
      <c r="N49" s="245"/>
      <c r="O49" s="246"/>
      <c r="P49" s="246"/>
      <c r="Q49" s="246"/>
      <c r="R49" s="246"/>
      <c r="S49" s="247"/>
      <c r="T49" s="111"/>
      <c r="U49" s="111"/>
      <c r="V49" s="258"/>
      <c r="W49" s="259"/>
      <c r="X49" s="260"/>
      <c r="Y49" s="111"/>
      <c r="Z49" s="111"/>
    </row>
    <row r="50" spans="1:26" ht="18" customHeight="1" x14ac:dyDescent="0.15">
      <c r="A50" s="29"/>
      <c r="B50" s="181" t="s">
        <v>217</v>
      </c>
      <c r="C50" s="182"/>
      <c r="D50" s="182"/>
      <c r="E50" s="182"/>
      <c r="F50" s="188"/>
      <c r="G50" s="112">
        <v>2</v>
      </c>
      <c r="H50" s="112"/>
      <c r="I50" s="183" t="s">
        <v>214</v>
      </c>
      <c r="J50" s="184"/>
      <c r="K50" s="185"/>
      <c r="L50" s="112" t="s">
        <v>164</v>
      </c>
      <c r="M50" s="112" t="s">
        <v>164</v>
      </c>
      <c r="N50" s="189"/>
      <c r="O50" s="190"/>
      <c r="P50" s="190"/>
      <c r="Q50" s="190"/>
      <c r="R50" s="190"/>
      <c r="S50" s="191"/>
      <c r="T50" s="112"/>
      <c r="U50" s="112"/>
      <c r="V50" s="183"/>
      <c r="W50" s="184"/>
      <c r="X50" s="185"/>
      <c r="Y50" s="112"/>
      <c r="Z50" s="112"/>
    </row>
    <row r="51" spans="1:26" ht="18" customHeight="1" x14ac:dyDescent="0.15">
      <c r="A51" s="29"/>
      <c r="B51" s="181"/>
      <c r="C51" s="182"/>
      <c r="D51" s="182"/>
      <c r="E51" s="182"/>
      <c r="F51" s="188"/>
      <c r="G51" s="112"/>
      <c r="H51" s="112"/>
      <c r="I51" s="183"/>
      <c r="J51" s="184"/>
      <c r="K51" s="185"/>
      <c r="L51" s="112"/>
      <c r="M51" s="112"/>
      <c r="N51" s="189"/>
      <c r="O51" s="190"/>
      <c r="P51" s="190"/>
      <c r="Q51" s="190"/>
      <c r="R51" s="190"/>
      <c r="S51" s="191"/>
      <c r="T51" s="112"/>
      <c r="U51" s="112"/>
      <c r="V51" s="183"/>
      <c r="W51" s="184"/>
      <c r="X51" s="185"/>
      <c r="Y51" s="112"/>
      <c r="Z51" s="112"/>
    </row>
    <row r="52" spans="1:26" ht="18" customHeight="1" x14ac:dyDescent="0.15">
      <c r="A52" s="29"/>
      <c r="B52" s="181"/>
      <c r="C52" s="182"/>
      <c r="D52" s="182"/>
      <c r="E52" s="182"/>
      <c r="F52" s="188"/>
      <c r="G52" s="112"/>
      <c r="H52" s="112"/>
      <c r="I52" s="183"/>
      <c r="J52" s="184"/>
      <c r="K52" s="185"/>
      <c r="L52" s="112"/>
      <c r="M52" s="112"/>
      <c r="N52" s="189"/>
      <c r="O52" s="190"/>
      <c r="P52" s="190"/>
      <c r="Q52" s="190"/>
      <c r="R52" s="190"/>
      <c r="S52" s="191"/>
      <c r="T52" s="112"/>
      <c r="U52" s="112"/>
      <c r="V52" s="183"/>
      <c r="W52" s="184"/>
      <c r="X52" s="185"/>
      <c r="Y52" s="112"/>
      <c r="Z52" s="112"/>
    </row>
    <row r="53" spans="1:26" ht="18" customHeight="1" x14ac:dyDescent="0.15">
      <c r="A53" s="29"/>
      <c r="B53" s="181"/>
      <c r="C53" s="182"/>
      <c r="D53" s="182"/>
      <c r="E53" s="182"/>
      <c r="F53" s="188"/>
      <c r="G53" s="112"/>
      <c r="H53" s="112"/>
      <c r="I53" s="183"/>
      <c r="J53" s="184"/>
      <c r="K53" s="185"/>
      <c r="L53" s="112"/>
      <c r="M53" s="112"/>
      <c r="N53" s="189"/>
      <c r="O53" s="190"/>
      <c r="P53" s="190"/>
      <c r="Q53" s="190"/>
      <c r="R53" s="190"/>
      <c r="S53" s="191"/>
      <c r="T53" s="112"/>
      <c r="U53" s="112"/>
      <c r="V53" s="183"/>
      <c r="W53" s="184"/>
      <c r="X53" s="185"/>
      <c r="Y53" s="112"/>
      <c r="Z53" s="112"/>
    </row>
    <row r="54" spans="1:26" ht="18" customHeight="1" x14ac:dyDescent="0.15">
      <c r="A54" s="29"/>
      <c r="B54" s="181"/>
      <c r="C54" s="182"/>
      <c r="D54" s="182"/>
      <c r="E54" s="182"/>
      <c r="F54" s="188"/>
      <c r="G54" s="112"/>
      <c r="H54" s="112"/>
      <c r="I54" s="183"/>
      <c r="J54" s="184"/>
      <c r="K54" s="185"/>
      <c r="L54" s="112"/>
      <c r="M54" s="112"/>
      <c r="N54" s="189"/>
      <c r="O54" s="190"/>
      <c r="P54" s="190"/>
      <c r="Q54" s="190"/>
      <c r="R54" s="190"/>
      <c r="S54" s="191"/>
      <c r="T54" s="112"/>
      <c r="U54" s="112"/>
      <c r="V54" s="183"/>
      <c r="W54" s="184"/>
      <c r="X54" s="185"/>
      <c r="Y54" s="112"/>
      <c r="Z54" s="112"/>
    </row>
    <row r="55" spans="1:26" ht="18" customHeight="1" x14ac:dyDescent="0.15">
      <c r="A55" s="29"/>
      <c r="B55" s="193"/>
      <c r="C55" s="194"/>
      <c r="D55" s="194"/>
      <c r="E55" s="194"/>
      <c r="F55" s="195"/>
      <c r="G55" s="113"/>
      <c r="H55" s="113"/>
      <c r="I55" s="196"/>
      <c r="J55" s="197"/>
      <c r="K55" s="198"/>
      <c r="L55" s="116"/>
      <c r="M55" s="116"/>
      <c r="N55" s="199"/>
      <c r="O55" s="200"/>
      <c r="P55" s="200"/>
      <c r="Q55" s="200"/>
      <c r="R55" s="200"/>
      <c r="S55" s="201"/>
      <c r="T55" s="113"/>
      <c r="U55" s="113"/>
      <c r="V55" s="196"/>
      <c r="W55" s="197"/>
      <c r="X55" s="198"/>
      <c r="Y55" s="116"/>
      <c r="Z55" s="116"/>
    </row>
    <row r="56" spans="1:26" ht="7.5" customHeight="1" x14ac:dyDescent="0.15">
      <c r="B56" s="75"/>
      <c r="C56" s="75"/>
      <c r="D56" s="75"/>
      <c r="E56" s="75"/>
      <c r="F56" s="75"/>
      <c r="G56" s="75"/>
      <c r="H56" s="75"/>
      <c r="I56" s="75"/>
      <c r="J56" s="75"/>
      <c r="K56" s="75"/>
      <c r="L56" s="75"/>
      <c r="M56" s="75"/>
      <c r="N56" s="75"/>
      <c r="O56" s="75"/>
      <c r="P56" s="75"/>
      <c r="Q56" s="75"/>
      <c r="R56" s="75"/>
      <c r="S56" s="75"/>
      <c r="T56" s="75"/>
      <c r="U56" s="75"/>
      <c r="V56" s="75"/>
      <c r="W56" s="75"/>
      <c r="X56" s="75"/>
      <c r="Y56" s="75"/>
    </row>
    <row r="57" spans="1:26" ht="18" customHeight="1" x14ac:dyDescent="0.15">
      <c r="A57" s="192" t="s">
        <v>133</v>
      </c>
      <c r="B57" s="192"/>
      <c r="C57" s="192"/>
      <c r="D57" s="192"/>
      <c r="E57" s="192"/>
      <c r="F57" s="192"/>
      <c r="G57" s="192"/>
      <c r="H57" s="192"/>
      <c r="I57" s="192"/>
      <c r="J57" s="192"/>
      <c r="K57" s="192"/>
      <c r="L57" s="192"/>
      <c r="M57" s="192"/>
      <c r="N57" s="192"/>
      <c r="O57" s="192"/>
      <c r="P57" s="192"/>
      <c r="Q57" s="192"/>
      <c r="R57" s="192"/>
      <c r="S57" s="192"/>
      <c r="T57" s="192"/>
      <c r="U57" s="192"/>
      <c r="V57" s="192"/>
      <c r="W57" s="192"/>
      <c r="X57" s="192"/>
      <c r="Y57" s="192"/>
      <c r="Z57" s="192"/>
    </row>
    <row r="58" spans="1:26" ht="18" customHeight="1" x14ac:dyDescent="0.15">
      <c r="A58" s="192"/>
      <c r="B58" s="192"/>
      <c r="C58" s="192"/>
      <c r="D58" s="192"/>
      <c r="E58" s="192"/>
      <c r="F58" s="192"/>
      <c r="G58" s="192"/>
      <c r="H58" s="192"/>
      <c r="I58" s="192"/>
      <c r="J58" s="192"/>
      <c r="K58" s="192"/>
      <c r="L58" s="192"/>
      <c r="M58" s="192"/>
      <c r="N58" s="192"/>
      <c r="O58" s="192"/>
      <c r="P58" s="192"/>
      <c r="Q58" s="192"/>
      <c r="R58" s="192"/>
      <c r="S58" s="192"/>
      <c r="T58" s="192"/>
      <c r="U58" s="192"/>
      <c r="V58" s="192"/>
      <c r="W58" s="192"/>
      <c r="X58" s="192"/>
      <c r="Y58" s="192"/>
      <c r="Z58" s="192"/>
    </row>
    <row r="59" spans="1:26" ht="18" customHeight="1" x14ac:dyDescent="0.15">
      <c r="A59" s="14"/>
      <c r="B59" s="150" t="s">
        <v>100</v>
      </c>
      <c r="C59" s="151"/>
      <c r="D59" s="151"/>
      <c r="E59" s="152"/>
      <c r="F59" s="30" t="s">
        <v>141</v>
      </c>
      <c r="G59" s="110" t="s">
        <v>140</v>
      </c>
      <c r="H59" s="105" t="s">
        <v>101</v>
      </c>
      <c r="I59" s="106"/>
      <c r="J59" s="107"/>
      <c r="K59" s="73" t="s">
        <v>105</v>
      </c>
      <c r="L59" s="73" t="s">
        <v>134</v>
      </c>
      <c r="M59" s="73" t="s">
        <v>135</v>
      </c>
      <c r="N59" s="150" t="s">
        <v>100</v>
      </c>
      <c r="O59" s="151"/>
      <c r="P59" s="151"/>
      <c r="Q59" s="151"/>
      <c r="R59" s="152"/>
      <c r="S59" s="30" t="s">
        <v>141</v>
      </c>
      <c r="T59" s="110" t="s">
        <v>140</v>
      </c>
      <c r="U59" s="105" t="s">
        <v>101</v>
      </c>
      <c r="V59" s="106"/>
      <c r="W59" s="107"/>
      <c r="X59" s="73" t="s">
        <v>105</v>
      </c>
      <c r="Y59" s="73" t="s">
        <v>134</v>
      </c>
      <c r="Z59" s="73" t="s">
        <v>135</v>
      </c>
    </row>
    <row r="60" spans="1:26" ht="18" customHeight="1" x14ac:dyDescent="0.15">
      <c r="A60" s="29"/>
      <c r="B60" s="245" t="s">
        <v>221</v>
      </c>
      <c r="C60" s="246"/>
      <c r="D60" s="246"/>
      <c r="E60" s="247"/>
      <c r="F60" s="111">
        <v>2</v>
      </c>
      <c r="G60" s="111"/>
      <c r="H60" s="258" t="s">
        <v>163</v>
      </c>
      <c r="I60" s="259"/>
      <c r="J60" s="260"/>
      <c r="K60" s="120" t="s">
        <v>197</v>
      </c>
      <c r="L60" s="112" t="s">
        <v>164</v>
      </c>
      <c r="M60" s="112" t="s">
        <v>164</v>
      </c>
      <c r="N60" s="245"/>
      <c r="O60" s="246"/>
      <c r="P60" s="246"/>
      <c r="Q60" s="246"/>
      <c r="R60" s="247"/>
      <c r="S60" s="111"/>
      <c r="T60" s="111"/>
      <c r="U60" s="258"/>
      <c r="V60" s="259"/>
      <c r="W60" s="260"/>
      <c r="X60" s="122"/>
      <c r="Y60" s="111"/>
      <c r="Z60" s="111"/>
    </row>
    <row r="61" spans="1:26" ht="18" customHeight="1" x14ac:dyDescent="0.15">
      <c r="A61" s="29"/>
      <c r="B61" s="189" t="s">
        <v>222</v>
      </c>
      <c r="C61" s="190"/>
      <c r="D61" s="190"/>
      <c r="E61" s="191"/>
      <c r="F61" s="112">
        <v>2</v>
      </c>
      <c r="G61" s="112"/>
      <c r="H61" s="183" t="s">
        <v>163</v>
      </c>
      <c r="I61" s="184"/>
      <c r="J61" s="185"/>
      <c r="K61" s="120" t="s">
        <v>197</v>
      </c>
      <c r="L61" s="112" t="s">
        <v>164</v>
      </c>
      <c r="M61" s="112" t="s">
        <v>164</v>
      </c>
      <c r="N61" s="189"/>
      <c r="O61" s="190"/>
      <c r="P61" s="190"/>
      <c r="Q61" s="190"/>
      <c r="R61" s="191"/>
      <c r="S61" s="112"/>
      <c r="T61" s="112"/>
      <c r="U61" s="183"/>
      <c r="V61" s="184"/>
      <c r="W61" s="185"/>
      <c r="X61" s="120"/>
      <c r="Y61" s="112"/>
      <c r="Z61" s="112"/>
    </row>
    <row r="62" spans="1:26" ht="18" customHeight="1" x14ac:dyDescent="0.15">
      <c r="A62" s="29"/>
      <c r="B62" s="181" t="s">
        <v>209</v>
      </c>
      <c r="C62" s="182"/>
      <c r="D62" s="182"/>
      <c r="E62" s="188"/>
      <c r="F62" s="112">
        <v>2</v>
      </c>
      <c r="G62" s="112"/>
      <c r="H62" s="183" t="s">
        <v>163</v>
      </c>
      <c r="I62" s="184"/>
      <c r="J62" s="185"/>
      <c r="K62" s="120" t="s">
        <v>197</v>
      </c>
      <c r="L62" s="112" t="s">
        <v>164</v>
      </c>
      <c r="M62" s="112" t="s">
        <v>164</v>
      </c>
      <c r="N62" s="189"/>
      <c r="O62" s="190"/>
      <c r="P62" s="190"/>
      <c r="Q62" s="190"/>
      <c r="R62" s="191"/>
      <c r="S62" s="112"/>
      <c r="T62" s="112"/>
      <c r="U62" s="183"/>
      <c r="V62" s="184"/>
      <c r="W62" s="185"/>
      <c r="X62" s="120"/>
      <c r="Y62" s="112"/>
      <c r="Z62" s="112"/>
    </row>
    <row r="63" spans="1:26" ht="18" customHeight="1" x14ac:dyDescent="0.15">
      <c r="A63" s="29"/>
      <c r="B63" s="181" t="s">
        <v>211</v>
      </c>
      <c r="C63" s="182"/>
      <c r="D63" s="182"/>
      <c r="E63" s="188"/>
      <c r="F63" s="112">
        <v>2</v>
      </c>
      <c r="G63" s="112"/>
      <c r="H63" s="183" t="s">
        <v>214</v>
      </c>
      <c r="I63" s="184"/>
      <c r="J63" s="185"/>
      <c r="K63" s="120" t="s">
        <v>197</v>
      </c>
      <c r="L63" s="112" t="s">
        <v>164</v>
      </c>
      <c r="M63" s="112" t="s">
        <v>164</v>
      </c>
      <c r="N63" s="189"/>
      <c r="O63" s="190"/>
      <c r="P63" s="190"/>
      <c r="Q63" s="190"/>
      <c r="R63" s="191"/>
      <c r="S63" s="112"/>
      <c r="T63" s="112"/>
      <c r="U63" s="183"/>
      <c r="V63" s="184"/>
      <c r="W63" s="185"/>
      <c r="X63" s="120"/>
      <c r="Y63" s="112"/>
      <c r="Z63" s="112"/>
    </row>
    <row r="64" spans="1:26" ht="18" customHeight="1" x14ac:dyDescent="0.15">
      <c r="A64" s="29"/>
      <c r="B64" s="181" t="s">
        <v>213</v>
      </c>
      <c r="C64" s="182"/>
      <c r="D64" s="182"/>
      <c r="E64" s="188"/>
      <c r="F64" s="112">
        <v>2</v>
      </c>
      <c r="G64" s="112"/>
      <c r="H64" s="183" t="s">
        <v>214</v>
      </c>
      <c r="I64" s="184"/>
      <c r="J64" s="185"/>
      <c r="K64" s="120" t="s">
        <v>197</v>
      </c>
      <c r="L64" s="112" t="s">
        <v>164</v>
      </c>
      <c r="M64" s="112" t="s">
        <v>164</v>
      </c>
      <c r="N64" s="189"/>
      <c r="O64" s="190"/>
      <c r="P64" s="190"/>
      <c r="Q64" s="190"/>
      <c r="R64" s="191"/>
      <c r="S64" s="112"/>
      <c r="T64" s="112"/>
      <c r="U64" s="183"/>
      <c r="V64" s="184"/>
      <c r="W64" s="185"/>
      <c r="X64" s="120"/>
      <c r="Y64" s="112"/>
      <c r="Z64" s="112"/>
    </row>
    <row r="65" spans="1:26" ht="18" customHeight="1" x14ac:dyDescent="0.15">
      <c r="A65" s="29"/>
      <c r="B65" s="189" t="s">
        <v>215</v>
      </c>
      <c r="C65" s="190"/>
      <c r="D65" s="190"/>
      <c r="E65" s="191"/>
      <c r="F65" s="112">
        <v>2</v>
      </c>
      <c r="G65" s="112"/>
      <c r="H65" s="183" t="s">
        <v>214</v>
      </c>
      <c r="I65" s="184"/>
      <c r="J65" s="185"/>
      <c r="K65" s="120" t="s">
        <v>197</v>
      </c>
      <c r="L65" s="112" t="s">
        <v>164</v>
      </c>
      <c r="M65" s="112" t="s">
        <v>164</v>
      </c>
      <c r="N65" s="189"/>
      <c r="O65" s="190"/>
      <c r="P65" s="190"/>
      <c r="Q65" s="190"/>
      <c r="R65" s="191"/>
      <c r="S65" s="112"/>
      <c r="T65" s="112"/>
      <c r="U65" s="183"/>
      <c r="V65" s="184"/>
      <c r="W65" s="185"/>
      <c r="X65" s="120"/>
      <c r="Y65" s="112"/>
      <c r="Z65" s="112"/>
    </row>
    <row r="66" spans="1:26" ht="18" customHeight="1" x14ac:dyDescent="0.15">
      <c r="A66" s="29"/>
      <c r="B66" s="199" t="s">
        <v>220</v>
      </c>
      <c r="C66" s="200"/>
      <c r="D66" s="200"/>
      <c r="E66" s="201"/>
      <c r="F66" s="116">
        <v>2</v>
      </c>
      <c r="G66" s="116"/>
      <c r="H66" s="196" t="s">
        <v>214</v>
      </c>
      <c r="I66" s="197"/>
      <c r="J66" s="198"/>
      <c r="K66" s="121" t="s">
        <v>197</v>
      </c>
      <c r="L66" s="116" t="s">
        <v>164</v>
      </c>
      <c r="M66" s="116" t="s">
        <v>164</v>
      </c>
      <c r="N66" s="199"/>
      <c r="O66" s="200"/>
      <c r="P66" s="200"/>
      <c r="Q66" s="200"/>
      <c r="R66" s="201"/>
      <c r="S66" s="113"/>
      <c r="T66" s="113"/>
      <c r="U66" s="196"/>
      <c r="V66" s="197"/>
      <c r="W66" s="198"/>
      <c r="X66" s="121"/>
      <c r="Y66" s="116"/>
      <c r="Z66" s="116"/>
    </row>
    <row r="67" spans="1:26" ht="7.5" customHeight="1" x14ac:dyDescent="0.15">
      <c r="B67" s="75"/>
      <c r="C67" s="75"/>
      <c r="D67" s="75"/>
      <c r="E67" s="75"/>
      <c r="F67" s="75"/>
      <c r="G67" s="75"/>
      <c r="H67" s="75"/>
      <c r="I67" s="75"/>
      <c r="J67" s="75"/>
      <c r="K67" s="75"/>
      <c r="L67" s="75"/>
      <c r="M67" s="75"/>
      <c r="N67" s="75"/>
      <c r="O67" s="75"/>
      <c r="P67" s="75"/>
      <c r="Q67" s="75"/>
      <c r="R67" s="75"/>
      <c r="S67" s="75"/>
      <c r="T67" s="75"/>
      <c r="U67" s="75"/>
      <c r="V67" s="75"/>
      <c r="W67" s="75"/>
      <c r="X67" s="75"/>
      <c r="Y67" s="75"/>
    </row>
    <row r="68" spans="1:26" ht="18" customHeight="1" x14ac:dyDescent="0.15">
      <c r="A68" s="14" t="s">
        <v>136</v>
      </c>
      <c r="B68" s="14"/>
      <c r="C68" s="14"/>
      <c r="D68" s="14"/>
      <c r="E68" s="14"/>
      <c r="F68" s="14"/>
      <c r="G68" s="14"/>
      <c r="H68" s="14"/>
      <c r="I68" s="14"/>
      <c r="J68" s="14"/>
      <c r="K68" s="14"/>
      <c r="L68" s="29"/>
      <c r="M68" s="29"/>
      <c r="N68" s="29"/>
      <c r="O68" s="29"/>
      <c r="P68" s="29"/>
      <c r="Q68" s="29"/>
      <c r="R68" s="29"/>
      <c r="S68" s="29"/>
      <c r="T68" s="29"/>
      <c r="U68" s="29"/>
      <c r="V68" s="29"/>
      <c r="W68" s="29"/>
      <c r="X68" s="29"/>
      <c r="Y68" s="29"/>
      <c r="Z68" s="29"/>
    </row>
    <row r="69" spans="1:26" ht="18" customHeight="1" x14ac:dyDescent="0.15">
      <c r="A69" s="14"/>
      <c r="B69" s="150" t="s">
        <v>100</v>
      </c>
      <c r="C69" s="151"/>
      <c r="D69" s="151"/>
      <c r="E69" s="151"/>
      <c r="F69" s="152"/>
      <c r="G69" s="150" t="s">
        <v>146</v>
      </c>
      <c r="H69" s="151"/>
      <c r="I69" s="151"/>
      <c r="J69" s="151"/>
      <c r="K69" s="151"/>
      <c r="L69" s="151"/>
      <c r="M69" s="152"/>
      <c r="N69" s="253" t="s">
        <v>100</v>
      </c>
      <c r="O69" s="254"/>
      <c r="P69" s="254"/>
      <c r="Q69" s="254"/>
      <c r="R69" s="254"/>
      <c r="S69" s="255"/>
      <c r="T69" s="150" t="s">
        <v>146</v>
      </c>
      <c r="U69" s="151"/>
      <c r="V69" s="151"/>
      <c r="W69" s="151"/>
      <c r="X69" s="151"/>
      <c r="Y69" s="151"/>
      <c r="Z69" s="152"/>
    </row>
    <row r="70" spans="1:26" ht="18" customHeight="1" x14ac:dyDescent="0.15">
      <c r="A70" s="29"/>
      <c r="B70" s="245"/>
      <c r="C70" s="246"/>
      <c r="D70" s="246"/>
      <c r="E70" s="246"/>
      <c r="F70" s="247"/>
      <c r="G70" s="248"/>
      <c r="H70" s="249"/>
      <c r="I70" s="249"/>
      <c r="J70" s="249"/>
      <c r="K70" s="249"/>
      <c r="L70" s="249"/>
      <c r="M70" s="250"/>
      <c r="N70" s="245"/>
      <c r="O70" s="246"/>
      <c r="P70" s="246"/>
      <c r="Q70" s="246"/>
      <c r="R70" s="246"/>
      <c r="S70" s="247"/>
      <c r="T70" s="248"/>
      <c r="U70" s="249"/>
      <c r="V70" s="249"/>
      <c r="W70" s="249"/>
      <c r="X70" s="249"/>
      <c r="Y70" s="249"/>
      <c r="Z70" s="250"/>
    </row>
    <row r="71" spans="1:26" ht="18" customHeight="1" x14ac:dyDescent="0.15">
      <c r="A71" s="29"/>
      <c r="B71" s="189"/>
      <c r="C71" s="190"/>
      <c r="D71" s="190"/>
      <c r="E71" s="190"/>
      <c r="F71" s="191"/>
      <c r="G71" s="242"/>
      <c r="H71" s="243"/>
      <c r="I71" s="243"/>
      <c r="J71" s="243"/>
      <c r="K71" s="243"/>
      <c r="L71" s="243"/>
      <c r="M71" s="244"/>
      <c r="N71" s="189"/>
      <c r="O71" s="190"/>
      <c r="P71" s="190"/>
      <c r="Q71" s="190"/>
      <c r="R71" s="190"/>
      <c r="S71" s="191"/>
      <c r="T71" s="242"/>
      <c r="U71" s="243"/>
      <c r="V71" s="243"/>
      <c r="W71" s="243"/>
      <c r="X71" s="243"/>
      <c r="Y71" s="243"/>
      <c r="Z71" s="244"/>
    </row>
    <row r="72" spans="1:26" ht="18" customHeight="1" x14ac:dyDescent="0.15">
      <c r="A72" s="29"/>
      <c r="B72" s="189"/>
      <c r="C72" s="190"/>
      <c r="D72" s="190"/>
      <c r="E72" s="190"/>
      <c r="F72" s="191"/>
      <c r="G72" s="242"/>
      <c r="H72" s="243"/>
      <c r="I72" s="243"/>
      <c r="J72" s="243"/>
      <c r="K72" s="243"/>
      <c r="L72" s="243"/>
      <c r="M72" s="244"/>
      <c r="N72" s="189"/>
      <c r="O72" s="190"/>
      <c r="P72" s="190"/>
      <c r="Q72" s="190"/>
      <c r="R72" s="190"/>
      <c r="S72" s="191"/>
      <c r="T72" s="242"/>
      <c r="U72" s="243"/>
      <c r="V72" s="243"/>
      <c r="W72" s="243"/>
      <c r="X72" s="243"/>
      <c r="Y72" s="243"/>
      <c r="Z72" s="244"/>
    </row>
    <row r="73" spans="1:26" ht="18" customHeight="1" x14ac:dyDescent="0.15">
      <c r="A73" s="29"/>
      <c r="B73" s="189"/>
      <c r="C73" s="190"/>
      <c r="D73" s="190"/>
      <c r="E73" s="190"/>
      <c r="F73" s="191"/>
      <c r="G73" s="242"/>
      <c r="H73" s="243"/>
      <c r="I73" s="243"/>
      <c r="J73" s="243"/>
      <c r="K73" s="243"/>
      <c r="L73" s="243"/>
      <c r="M73" s="244"/>
      <c r="N73" s="189"/>
      <c r="O73" s="190"/>
      <c r="P73" s="190"/>
      <c r="Q73" s="190"/>
      <c r="R73" s="190"/>
      <c r="S73" s="191"/>
      <c r="T73" s="242"/>
      <c r="U73" s="243"/>
      <c r="V73" s="243"/>
      <c r="W73" s="243"/>
      <c r="X73" s="243"/>
      <c r="Y73" s="243"/>
      <c r="Z73" s="244"/>
    </row>
    <row r="74" spans="1:26" ht="18" customHeight="1" x14ac:dyDescent="0.15">
      <c r="A74" s="29"/>
      <c r="B74" s="189"/>
      <c r="C74" s="190"/>
      <c r="D74" s="190"/>
      <c r="E74" s="190"/>
      <c r="F74" s="191"/>
      <c r="G74" s="242"/>
      <c r="H74" s="243"/>
      <c r="I74" s="243"/>
      <c r="J74" s="243"/>
      <c r="K74" s="243"/>
      <c r="L74" s="243"/>
      <c r="M74" s="244"/>
      <c r="N74" s="189"/>
      <c r="O74" s="190"/>
      <c r="P74" s="190"/>
      <c r="Q74" s="190"/>
      <c r="R74" s="190"/>
      <c r="S74" s="191"/>
      <c r="T74" s="242"/>
      <c r="U74" s="243"/>
      <c r="V74" s="243"/>
      <c r="W74" s="243"/>
      <c r="X74" s="243"/>
      <c r="Y74" s="243"/>
      <c r="Z74" s="244"/>
    </row>
    <row r="75" spans="1:26" ht="18" customHeight="1" x14ac:dyDescent="0.15">
      <c r="A75" s="29"/>
      <c r="B75" s="189"/>
      <c r="C75" s="190"/>
      <c r="D75" s="190"/>
      <c r="E75" s="190"/>
      <c r="F75" s="191"/>
      <c r="G75" s="242"/>
      <c r="H75" s="243"/>
      <c r="I75" s="243"/>
      <c r="J75" s="243"/>
      <c r="K75" s="243"/>
      <c r="L75" s="243"/>
      <c r="M75" s="244"/>
      <c r="N75" s="189"/>
      <c r="O75" s="190"/>
      <c r="P75" s="190"/>
      <c r="Q75" s="190"/>
      <c r="R75" s="190"/>
      <c r="S75" s="191"/>
      <c r="T75" s="242"/>
      <c r="U75" s="243"/>
      <c r="V75" s="243"/>
      <c r="W75" s="243"/>
      <c r="X75" s="243"/>
      <c r="Y75" s="243"/>
      <c r="Z75" s="244"/>
    </row>
    <row r="76" spans="1:26" ht="18" customHeight="1" x14ac:dyDescent="0.15">
      <c r="A76" s="29"/>
      <c r="B76" s="199"/>
      <c r="C76" s="200"/>
      <c r="D76" s="200"/>
      <c r="E76" s="200"/>
      <c r="F76" s="201"/>
      <c r="G76" s="235"/>
      <c r="H76" s="236"/>
      <c r="I76" s="236"/>
      <c r="J76" s="236"/>
      <c r="K76" s="236"/>
      <c r="L76" s="236"/>
      <c r="M76" s="237"/>
      <c r="N76" s="199"/>
      <c r="O76" s="200"/>
      <c r="P76" s="200"/>
      <c r="Q76" s="200"/>
      <c r="R76" s="200"/>
      <c r="S76" s="201"/>
      <c r="T76" s="235"/>
      <c r="U76" s="236"/>
      <c r="V76" s="236"/>
      <c r="W76" s="236"/>
      <c r="X76" s="236"/>
      <c r="Y76" s="236"/>
      <c r="Z76" s="237"/>
    </row>
    <row r="77" spans="1:26" ht="18" customHeight="1" x14ac:dyDescent="0.15">
      <c r="A77" s="29"/>
      <c r="B77" s="119"/>
      <c r="C77" s="119"/>
      <c r="D77" s="119"/>
      <c r="E77" s="119"/>
      <c r="F77" s="119"/>
      <c r="G77" s="12"/>
      <c r="H77" s="12"/>
      <c r="I77" s="12"/>
      <c r="J77" s="12"/>
      <c r="K77" s="12"/>
      <c r="L77" s="12"/>
      <c r="M77" s="12"/>
      <c r="N77" s="119"/>
      <c r="O77" s="119"/>
      <c r="P77" s="119"/>
      <c r="Q77" s="119"/>
      <c r="R77" s="119"/>
      <c r="S77" s="119"/>
      <c r="T77" s="12"/>
      <c r="U77" s="12"/>
      <c r="V77" s="12"/>
      <c r="W77" s="12"/>
      <c r="X77" s="12"/>
      <c r="Y77" s="12"/>
      <c r="Z77" s="12"/>
    </row>
    <row r="78" spans="1:26" ht="18.75" customHeight="1" x14ac:dyDescent="0.15">
      <c r="A78" s="13" t="s">
        <v>142</v>
      </c>
    </row>
    <row r="79" spans="1:26" ht="18.75" customHeight="1" x14ac:dyDescent="0.15">
      <c r="B79" s="76" t="s">
        <v>102</v>
      </c>
      <c r="C79" s="77"/>
      <c r="D79" s="238" t="s">
        <v>103</v>
      </c>
      <c r="E79" s="238"/>
      <c r="F79" s="238"/>
      <c r="G79" s="238"/>
      <c r="H79" s="238"/>
      <c r="I79" s="238"/>
      <c r="J79" s="238"/>
      <c r="K79" s="238"/>
      <c r="L79" s="238"/>
      <c r="M79" s="238"/>
      <c r="N79" s="238"/>
      <c r="O79" s="238"/>
      <c r="P79" s="238"/>
      <c r="Q79" s="238"/>
      <c r="R79" s="238"/>
      <c r="S79" s="238"/>
      <c r="T79" s="238"/>
      <c r="U79" s="238"/>
      <c r="V79" s="238"/>
      <c r="W79" s="238"/>
      <c r="X79" s="238"/>
      <c r="Y79" s="238"/>
      <c r="Z79" s="239"/>
    </row>
    <row r="80" spans="1:26" ht="78" customHeight="1" x14ac:dyDescent="0.15">
      <c r="B80" s="214" t="s">
        <v>109</v>
      </c>
      <c r="C80" s="83" t="s">
        <v>104</v>
      </c>
      <c r="D80" s="331" t="s">
        <v>270</v>
      </c>
      <c r="E80" s="332"/>
      <c r="F80" s="332"/>
      <c r="G80" s="332"/>
      <c r="H80" s="332"/>
      <c r="I80" s="332"/>
      <c r="J80" s="332"/>
      <c r="K80" s="332"/>
      <c r="L80" s="332"/>
      <c r="M80" s="332"/>
      <c r="N80" s="332"/>
      <c r="O80" s="332"/>
      <c r="P80" s="332"/>
      <c r="Q80" s="332"/>
      <c r="R80" s="332"/>
      <c r="S80" s="332"/>
      <c r="T80" s="332"/>
      <c r="U80" s="332"/>
      <c r="V80" s="332"/>
      <c r="W80" s="332"/>
      <c r="X80" s="332"/>
      <c r="Y80" s="332"/>
      <c r="Z80" s="333"/>
    </row>
    <row r="81" spans="1:26" ht="78" customHeight="1" x14ac:dyDescent="0.15">
      <c r="B81" s="329"/>
      <c r="C81" s="108" t="s">
        <v>137</v>
      </c>
      <c r="D81" s="328" t="s">
        <v>288</v>
      </c>
      <c r="E81" s="231"/>
      <c r="F81" s="231"/>
      <c r="G81" s="231"/>
      <c r="H81" s="231"/>
      <c r="I81" s="231"/>
      <c r="J81" s="231"/>
      <c r="K81" s="231"/>
      <c r="L81" s="231"/>
      <c r="M81" s="231"/>
      <c r="N81" s="231"/>
      <c r="O81" s="231"/>
      <c r="P81" s="231"/>
      <c r="Q81" s="231"/>
      <c r="R81" s="231"/>
      <c r="S81" s="231"/>
      <c r="T81" s="231"/>
      <c r="U81" s="231"/>
      <c r="V81" s="231"/>
      <c r="W81" s="231"/>
      <c r="X81" s="231"/>
      <c r="Y81" s="231"/>
      <c r="Z81" s="232"/>
    </row>
    <row r="82" spans="1:26" ht="78" customHeight="1" x14ac:dyDescent="0.15">
      <c r="B82" s="228" t="s">
        <v>110</v>
      </c>
      <c r="C82" s="78" t="s">
        <v>127</v>
      </c>
      <c r="D82" s="327" t="s">
        <v>271</v>
      </c>
      <c r="E82" s="229"/>
      <c r="F82" s="229"/>
      <c r="G82" s="229"/>
      <c r="H82" s="229"/>
      <c r="I82" s="229"/>
      <c r="J82" s="229"/>
      <c r="K82" s="229"/>
      <c r="L82" s="229"/>
      <c r="M82" s="229"/>
      <c r="N82" s="229"/>
      <c r="O82" s="229"/>
      <c r="P82" s="229"/>
      <c r="Q82" s="229"/>
      <c r="R82" s="229"/>
      <c r="S82" s="229"/>
      <c r="T82" s="229"/>
      <c r="U82" s="229"/>
      <c r="V82" s="229"/>
      <c r="W82" s="229"/>
      <c r="X82" s="229"/>
      <c r="Y82" s="229"/>
      <c r="Z82" s="230"/>
    </row>
    <row r="83" spans="1:26" ht="78" customHeight="1" x14ac:dyDescent="0.15">
      <c r="B83" s="220"/>
      <c r="C83" s="109" t="s">
        <v>128</v>
      </c>
      <c r="D83" s="328" t="s">
        <v>289</v>
      </c>
      <c r="E83" s="231"/>
      <c r="F83" s="231"/>
      <c r="G83" s="231"/>
      <c r="H83" s="231"/>
      <c r="I83" s="231"/>
      <c r="J83" s="231"/>
      <c r="K83" s="231"/>
      <c r="L83" s="231"/>
      <c r="M83" s="231"/>
      <c r="N83" s="231"/>
      <c r="O83" s="231"/>
      <c r="P83" s="231"/>
      <c r="Q83" s="231"/>
      <c r="R83" s="231"/>
      <c r="S83" s="231"/>
      <c r="T83" s="231"/>
      <c r="U83" s="231"/>
      <c r="V83" s="231"/>
      <c r="W83" s="231"/>
      <c r="X83" s="231"/>
      <c r="Y83" s="231"/>
      <c r="Z83" s="232"/>
    </row>
    <row r="84" spans="1:26" ht="66" customHeight="1" x14ac:dyDescent="0.15">
      <c r="B84" s="228" t="s">
        <v>111</v>
      </c>
      <c r="C84" s="78" t="s">
        <v>130</v>
      </c>
      <c r="D84" s="327" t="s">
        <v>272</v>
      </c>
      <c r="E84" s="229"/>
      <c r="F84" s="229"/>
      <c r="G84" s="229"/>
      <c r="H84" s="229"/>
      <c r="I84" s="229"/>
      <c r="J84" s="229"/>
      <c r="K84" s="229"/>
      <c r="L84" s="229"/>
      <c r="M84" s="229"/>
      <c r="N84" s="229"/>
      <c r="O84" s="229"/>
      <c r="P84" s="229"/>
      <c r="Q84" s="229"/>
      <c r="R84" s="229"/>
      <c r="S84" s="229"/>
      <c r="T84" s="229"/>
      <c r="U84" s="229"/>
      <c r="V84" s="229"/>
      <c r="W84" s="229"/>
      <c r="X84" s="229"/>
      <c r="Y84" s="229"/>
      <c r="Z84" s="230"/>
    </row>
    <row r="85" spans="1:26" ht="66" customHeight="1" x14ac:dyDescent="0.15">
      <c r="B85" s="220"/>
      <c r="C85" s="80" t="s">
        <v>131</v>
      </c>
      <c r="D85" s="328" t="s">
        <v>273</v>
      </c>
      <c r="E85" s="231"/>
      <c r="F85" s="231"/>
      <c r="G85" s="231"/>
      <c r="H85" s="231"/>
      <c r="I85" s="231"/>
      <c r="J85" s="231"/>
      <c r="K85" s="231"/>
      <c r="L85" s="231"/>
      <c r="M85" s="231"/>
      <c r="N85" s="231"/>
      <c r="O85" s="231"/>
      <c r="P85" s="231"/>
      <c r="Q85" s="231"/>
      <c r="R85" s="231"/>
      <c r="S85" s="231"/>
      <c r="T85" s="231"/>
      <c r="U85" s="231"/>
      <c r="V85" s="231"/>
      <c r="W85" s="231"/>
      <c r="X85" s="231"/>
      <c r="Y85" s="231"/>
      <c r="Z85" s="232"/>
    </row>
    <row r="86" spans="1:26" ht="66" customHeight="1" x14ac:dyDescent="0.15">
      <c r="B86" s="214" t="s">
        <v>138</v>
      </c>
      <c r="C86" s="83" t="s">
        <v>106</v>
      </c>
      <c r="D86" s="327" t="s">
        <v>268</v>
      </c>
      <c r="E86" s="229"/>
      <c r="F86" s="229"/>
      <c r="G86" s="229"/>
      <c r="H86" s="229"/>
      <c r="I86" s="229"/>
      <c r="J86" s="229"/>
      <c r="K86" s="229"/>
      <c r="L86" s="229"/>
      <c r="M86" s="229"/>
      <c r="N86" s="229"/>
      <c r="O86" s="229"/>
      <c r="P86" s="229"/>
      <c r="Q86" s="229"/>
      <c r="R86" s="229"/>
      <c r="S86" s="229"/>
      <c r="T86" s="229"/>
      <c r="U86" s="229"/>
      <c r="V86" s="229"/>
      <c r="W86" s="229"/>
      <c r="X86" s="229"/>
      <c r="Y86" s="229"/>
      <c r="Z86" s="230"/>
    </row>
    <row r="87" spans="1:26" ht="66" customHeight="1" x14ac:dyDescent="0.15">
      <c r="B87" s="215"/>
      <c r="C87" s="79" t="s">
        <v>108</v>
      </c>
      <c r="D87" s="328" t="s">
        <v>269</v>
      </c>
      <c r="E87" s="231"/>
      <c r="F87" s="231"/>
      <c r="G87" s="231"/>
      <c r="H87" s="231"/>
      <c r="I87" s="231"/>
      <c r="J87" s="231"/>
      <c r="K87" s="231"/>
      <c r="L87" s="231"/>
      <c r="M87" s="231"/>
      <c r="N87" s="231"/>
      <c r="O87" s="231"/>
      <c r="P87" s="231"/>
      <c r="Q87" s="231"/>
      <c r="R87" s="231"/>
      <c r="S87" s="231"/>
      <c r="T87" s="231"/>
      <c r="U87" s="231"/>
      <c r="V87" s="231"/>
      <c r="W87" s="231"/>
      <c r="X87" s="231"/>
      <c r="Y87" s="231"/>
      <c r="Z87" s="232"/>
    </row>
    <row r="88" spans="1:26" ht="66" customHeight="1" x14ac:dyDescent="0.15">
      <c r="B88" s="214" t="s">
        <v>139</v>
      </c>
      <c r="C88" s="78" t="s">
        <v>105</v>
      </c>
      <c r="D88" s="327" t="s">
        <v>290</v>
      </c>
      <c r="E88" s="229"/>
      <c r="F88" s="229"/>
      <c r="G88" s="229"/>
      <c r="H88" s="229"/>
      <c r="I88" s="229"/>
      <c r="J88" s="229"/>
      <c r="K88" s="229"/>
      <c r="L88" s="229"/>
      <c r="M88" s="229"/>
      <c r="N88" s="229"/>
      <c r="O88" s="229"/>
      <c r="P88" s="229"/>
      <c r="Q88" s="229"/>
      <c r="R88" s="229"/>
      <c r="S88" s="229"/>
      <c r="T88" s="229"/>
      <c r="U88" s="229"/>
      <c r="V88" s="229"/>
      <c r="W88" s="229"/>
      <c r="X88" s="229"/>
      <c r="Y88" s="229"/>
      <c r="Z88" s="230"/>
    </row>
    <row r="89" spans="1:26" ht="66" customHeight="1" x14ac:dyDescent="0.15">
      <c r="B89" s="329"/>
      <c r="C89" s="79" t="s">
        <v>134</v>
      </c>
      <c r="D89" s="330" t="s">
        <v>291</v>
      </c>
      <c r="E89" s="218"/>
      <c r="F89" s="218"/>
      <c r="G89" s="218"/>
      <c r="H89" s="218"/>
      <c r="I89" s="218"/>
      <c r="J89" s="218"/>
      <c r="K89" s="218"/>
      <c r="L89" s="218"/>
      <c r="M89" s="218"/>
      <c r="N89" s="218"/>
      <c r="O89" s="218"/>
      <c r="P89" s="218"/>
      <c r="Q89" s="218"/>
      <c r="R89" s="218"/>
      <c r="S89" s="218"/>
      <c r="T89" s="218"/>
      <c r="U89" s="218"/>
      <c r="V89" s="218"/>
      <c r="W89" s="218"/>
      <c r="X89" s="218"/>
      <c r="Y89" s="218"/>
      <c r="Z89" s="219"/>
    </row>
    <row r="90" spans="1:26" ht="66" customHeight="1" x14ac:dyDescent="0.15">
      <c r="B90" s="220"/>
      <c r="C90" s="80" t="s">
        <v>135</v>
      </c>
      <c r="D90" s="328" t="s">
        <v>292</v>
      </c>
      <c r="E90" s="231"/>
      <c r="F90" s="231"/>
      <c r="G90" s="231"/>
      <c r="H90" s="231"/>
      <c r="I90" s="231"/>
      <c r="J90" s="231"/>
      <c r="K90" s="231"/>
      <c r="L90" s="231"/>
      <c r="M90" s="231"/>
      <c r="N90" s="231"/>
      <c r="O90" s="231"/>
      <c r="P90" s="231"/>
      <c r="Q90" s="231"/>
      <c r="R90" s="231"/>
      <c r="S90" s="231"/>
      <c r="T90" s="231"/>
      <c r="U90" s="231"/>
      <c r="V90" s="231"/>
      <c r="W90" s="231"/>
      <c r="X90" s="231"/>
      <c r="Y90" s="231"/>
      <c r="Z90" s="232"/>
    </row>
    <row r="91" spans="1:26" ht="6" customHeight="1" x14ac:dyDescent="0.15"/>
    <row r="92" spans="1:26" ht="18.75" customHeight="1" x14ac:dyDescent="0.15">
      <c r="A92" s="13" t="s">
        <v>143</v>
      </c>
    </row>
    <row r="93" spans="1:26" ht="18.75" customHeight="1" x14ac:dyDescent="0.15">
      <c r="B93" s="318" t="s">
        <v>189</v>
      </c>
      <c r="C93" s="319"/>
      <c r="D93" s="319"/>
      <c r="E93" s="319"/>
      <c r="F93" s="319"/>
      <c r="G93" s="319"/>
      <c r="H93" s="319"/>
      <c r="I93" s="319"/>
      <c r="J93" s="319"/>
      <c r="K93" s="319"/>
      <c r="L93" s="319"/>
      <c r="M93" s="319"/>
      <c r="N93" s="319"/>
      <c r="O93" s="319"/>
      <c r="P93" s="319"/>
      <c r="Q93" s="319"/>
      <c r="R93" s="319"/>
      <c r="S93" s="319"/>
      <c r="T93" s="319"/>
      <c r="U93" s="319"/>
      <c r="V93" s="319"/>
      <c r="W93" s="319"/>
      <c r="X93" s="319"/>
      <c r="Y93" s="319"/>
      <c r="Z93" s="320"/>
    </row>
    <row r="94" spans="1:26" ht="18.75" customHeight="1" x14ac:dyDescent="0.15">
      <c r="B94" s="321"/>
      <c r="C94" s="322"/>
      <c r="D94" s="322"/>
      <c r="E94" s="322"/>
      <c r="F94" s="322"/>
      <c r="G94" s="322"/>
      <c r="H94" s="322"/>
      <c r="I94" s="322"/>
      <c r="J94" s="322"/>
      <c r="K94" s="322"/>
      <c r="L94" s="322"/>
      <c r="M94" s="322"/>
      <c r="N94" s="322"/>
      <c r="O94" s="322"/>
      <c r="P94" s="322"/>
      <c r="Q94" s="322"/>
      <c r="R94" s="322"/>
      <c r="S94" s="322"/>
      <c r="T94" s="322"/>
      <c r="U94" s="322"/>
      <c r="V94" s="322"/>
      <c r="W94" s="322"/>
      <c r="X94" s="322"/>
      <c r="Y94" s="322"/>
      <c r="Z94" s="323"/>
    </row>
    <row r="95" spans="1:26" ht="18.75" customHeight="1" x14ac:dyDescent="0.15">
      <c r="B95" s="324"/>
      <c r="C95" s="325"/>
      <c r="D95" s="325"/>
      <c r="E95" s="325"/>
      <c r="F95" s="325"/>
      <c r="G95" s="325"/>
      <c r="H95" s="325"/>
      <c r="I95" s="325"/>
      <c r="J95" s="325"/>
      <c r="K95" s="325"/>
      <c r="L95" s="325"/>
      <c r="M95" s="325"/>
      <c r="N95" s="325"/>
      <c r="O95" s="325"/>
      <c r="P95" s="325"/>
      <c r="Q95" s="325"/>
      <c r="R95" s="325"/>
      <c r="S95" s="325"/>
      <c r="T95" s="325"/>
      <c r="U95" s="325"/>
      <c r="V95" s="325"/>
      <c r="W95" s="325"/>
      <c r="X95" s="325"/>
      <c r="Y95" s="325"/>
      <c r="Z95" s="326"/>
    </row>
    <row r="96" spans="1:26" ht="6" customHeight="1" x14ac:dyDescent="0.15"/>
    <row r="97" spans="1:26" ht="15" customHeight="1" x14ac:dyDescent="0.15">
      <c r="A97" s="13" t="s">
        <v>144</v>
      </c>
    </row>
    <row r="98" spans="1:26" ht="15" customHeight="1" x14ac:dyDescent="0.15">
      <c r="B98" s="282" t="s">
        <v>321</v>
      </c>
      <c r="C98" s="212"/>
      <c r="D98" s="212"/>
      <c r="E98" s="212"/>
      <c r="F98" s="212"/>
      <c r="G98" s="212"/>
      <c r="H98" s="212"/>
      <c r="I98" s="212"/>
      <c r="J98" s="212"/>
      <c r="K98" s="212"/>
      <c r="L98" s="212"/>
      <c r="M98" s="212"/>
      <c r="N98" s="212"/>
      <c r="O98" s="212"/>
      <c r="P98" s="212"/>
      <c r="Q98" s="212"/>
      <c r="R98" s="212"/>
      <c r="S98" s="212"/>
      <c r="T98" s="212"/>
      <c r="U98" s="212"/>
      <c r="V98" s="212"/>
      <c r="W98" s="212"/>
      <c r="X98" s="212"/>
      <c r="Y98" s="212"/>
      <c r="Z98" s="213"/>
    </row>
  </sheetData>
  <mergeCells count="218">
    <mergeCell ref="B16:F16"/>
    <mergeCell ref="I16:K16"/>
    <mergeCell ref="N16:S16"/>
    <mergeCell ref="V16:X16"/>
    <mergeCell ref="B17:F17"/>
    <mergeCell ref="I17:K17"/>
    <mergeCell ref="N17:S17"/>
    <mergeCell ref="V17:X17"/>
    <mergeCell ref="W1:Z1"/>
    <mergeCell ref="A2:Z2"/>
    <mergeCell ref="O4:Z4"/>
    <mergeCell ref="B6:Z11"/>
    <mergeCell ref="A13:Z14"/>
    <mergeCell ref="B15:F15"/>
    <mergeCell ref="I15:K15"/>
    <mergeCell ref="N15:S15"/>
    <mergeCell ref="V15:X15"/>
    <mergeCell ref="B20:F20"/>
    <mergeCell ref="I20:K20"/>
    <mergeCell ref="N20:S20"/>
    <mergeCell ref="V20:X20"/>
    <mergeCell ref="B21:F21"/>
    <mergeCell ref="I21:K21"/>
    <mergeCell ref="N21:S21"/>
    <mergeCell ref="V21:X21"/>
    <mergeCell ref="B18:F18"/>
    <mergeCell ref="I18:K18"/>
    <mergeCell ref="N18:S18"/>
    <mergeCell ref="V18:X18"/>
    <mergeCell ref="B19:F19"/>
    <mergeCell ref="I19:K19"/>
    <mergeCell ref="N19:S19"/>
    <mergeCell ref="V19:X19"/>
    <mergeCell ref="B27:F27"/>
    <mergeCell ref="I27:K27"/>
    <mergeCell ref="N27:S27"/>
    <mergeCell ref="V27:X27"/>
    <mergeCell ref="B28:F28"/>
    <mergeCell ref="I28:K28"/>
    <mergeCell ref="N28:S28"/>
    <mergeCell ref="V28:X28"/>
    <mergeCell ref="B22:F22"/>
    <mergeCell ref="I22:K22"/>
    <mergeCell ref="N22:S22"/>
    <mergeCell ref="V22:X22"/>
    <mergeCell ref="A24:Z25"/>
    <mergeCell ref="B26:F26"/>
    <mergeCell ref="I26:K26"/>
    <mergeCell ref="N26:S26"/>
    <mergeCell ref="V26:X26"/>
    <mergeCell ref="B31:F31"/>
    <mergeCell ref="I31:K31"/>
    <mergeCell ref="N31:S31"/>
    <mergeCell ref="V31:X31"/>
    <mergeCell ref="B32:F32"/>
    <mergeCell ref="I32:K32"/>
    <mergeCell ref="N32:S32"/>
    <mergeCell ref="V32:X32"/>
    <mergeCell ref="B29:F29"/>
    <mergeCell ref="I29:K29"/>
    <mergeCell ref="N29:S29"/>
    <mergeCell ref="V29:X29"/>
    <mergeCell ref="B30:F30"/>
    <mergeCell ref="I30:K30"/>
    <mergeCell ref="N30:S30"/>
    <mergeCell ref="V30:X30"/>
    <mergeCell ref="B38:F38"/>
    <mergeCell ref="I38:K38"/>
    <mergeCell ref="N38:S38"/>
    <mergeCell ref="V38:X38"/>
    <mergeCell ref="B39:F39"/>
    <mergeCell ref="I39:K39"/>
    <mergeCell ref="N39:S39"/>
    <mergeCell ref="V39:X39"/>
    <mergeCell ref="B33:F33"/>
    <mergeCell ref="I33:K33"/>
    <mergeCell ref="N33:S33"/>
    <mergeCell ref="V33:X33"/>
    <mergeCell ref="A35:Z36"/>
    <mergeCell ref="B37:F37"/>
    <mergeCell ref="I37:K37"/>
    <mergeCell ref="N37:S37"/>
    <mergeCell ref="V37:X37"/>
    <mergeCell ref="B42:F42"/>
    <mergeCell ref="I42:K42"/>
    <mergeCell ref="N42:S42"/>
    <mergeCell ref="V42:X42"/>
    <mergeCell ref="B43:F43"/>
    <mergeCell ref="I43:K43"/>
    <mergeCell ref="N43:S43"/>
    <mergeCell ref="V43:X43"/>
    <mergeCell ref="B40:F40"/>
    <mergeCell ref="I40:K40"/>
    <mergeCell ref="N40:S40"/>
    <mergeCell ref="V40:X40"/>
    <mergeCell ref="B41:F41"/>
    <mergeCell ref="I41:K41"/>
    <mergeCell ref="N41:S41"/>
    <mergeCell ref="V41:X41"/>
    <mergeCell ref="B49:F49"/>
    <mergeCell ref="I49:K49"/>
    <mergeCell ref="N49:S49"/>
    <mergeCell ref="V49:X49"/>
    <mergeCell ref="B50:F50"/>
    <mergeCell ref="I50:K50"/>
    <mergeCell ref="N50:S50"/>
    <mergeCell ref="V50:X50"/>
    <mergeCell ref="B44:F44"/>
    <mergeCell ref="I44:K44"/>
    <mergeCell ref="N44:S44"/>
    <mergeCell ref="V44:X44"/>
    <mergeCell ref="A46:Z47"/>
    <mergeCell ref="B48:F48"/>
    <mergeCell ref="I48:K48"/>
    <mergeCell ref="N48:S48"/>
    <mergeCell ref="V48:X48"/>
    <mergeCell ref="B53:F53"/>
    <mergeCell ref="I53:K53"/>
    <mergeCell ref="N53:S53"/>
    <mergeCell ref="V53:X53"/>
    <mergeCell ref="B54:F54"/>
    <mergeCell ref="I54:K54"/>
    <mergeCell ref="N54:S54"/>
    <mergeCell ref="V54:X54"/>
    <mergeCell ref="B51:F51"/>
    <mergeCell ref="I51:K51"/>
    <mergeCell ref="N51:S51"/>
    <mergeCell ref="V51:X51"/>
    <mergeCell ref="B52:F52"/>
    <mergeCell ref="I52:K52"/>
    <mergeCell ref="N52:S52"/>
    <mergeCell ref="V52:X52"/>
    <mergeCell ref="B60:E60"/>
    <mergeCell ref="H60:J60"/>
    <mergeCell ref="N60:R60"/>
    <mergeCell ref="U60:W60"/>
    <mergeCell ref="B61:E61"/>
    <mergeCell ref="H61:J61"/>
    <mergeCell ref="N61:R61"/>
    <mergeCell ref="U61:W61"/>
    <mergeCell ref="B55:F55"/>
    <mergeCell ref="I55:K55"/>
    <mergeCell ref="N55:S55"/>
    <mergeCell ref="V55:X55"/>
    <mergeCell ref="A57:Z58"/>
    <mergeCell ref="B59:E59"/>
    <mergeCell ref="N59:R59"/>
    <mergeCell ref="B64:E64"/>
    <mergeCell ref="H64:J64"/>
    <mergeCell ref="N64:R64"/>
    <mergeCell ref="U64:W64"/>
    <mergeCell ref="B65:E65"/>
    <mergeCell ref="H65:J65"/>
    <mergeCell ref="N65:R65"/>
    <mergeCell ref="U65:W65"/>
    <mergeCell ref="B62:E62"/>
    <mergeCell ref="H62:J62"/>
    <mergeCell ref="N62:R62"/>
    <mergeCell ref="U62:W62"/>
    <mergeCell ref="B63:E63"/>
    <mergeCell ref="H63:J63"/>
    <mergeCell ref="N63:R63"/>
    <mergeCell ref="U63:W63"/>
    <mergeCell ref="B70:F70"/>
    <mergeCell ref="G70:M70"/>
    <mergeCell ref="N70:S70"/>
    <mergeCell ref="T70:Z70"/>
    <mergeCell ref="B71:F71"/>
    <mergeCell ref="G71:M71"/>
    <mergeCell ref="N71:S71"/>
    <mergeCell ref="T71:Z71"/>
    <mergeCell ref="B66:E66"/>
    <mergeCell ref="H66:J66"/>
    <mergeCell ref="N66:R66"/>
    <mergeCell ref="U66:W66"/>
    <mergeCell ref="B69:F69"/>
    <mergeCell ref="G69:M69"/>
    <mergeCell ref="N69:S69"/>
    <mergeCell ref="T69:Z69"/>
    <mergeCell ref="B74:F74"/>
    <mergeCell ref="G74:M74"/>
    <mergeCell ref="N74:S74"/>
    <mergeCell ref="T74:Z74"/>
    <mergeCell ref="B75:F75"/>
    <mergeCell ref="G75:M75"/>
    <mergeCell ref="N75:S75"/>
    <mergeCell ref="T75:Z75"/>
    <mergeCell ref="B72:F72"/>
    <mergeCell ref="G72:M72"/>
    <mergeCell ref="N72:S72"/>
    <mergeCell ref="T72:Z72"/>
    <mergeCell ref="B73:F73"/>
    <mergeCell ref="G73:M73"/>
    <mergeCell ref="N73:S73"/>
    <mergeCell ref="T73:Z73"/>
    <mergeCell ref="B82:B83"/>
    <mergeCell ref="D82:Z82"/>
    <mergeCell ref="D83:Z83"/>
    <mergeCell ref="B84:B85"/>
    <mergeCell ref="D84:Z84"/>
    <mergeCell ref="D85:Z85"/>
    <mergeCell ref="B76:F76"/>
    <mergeCell ref="G76:M76"/>
    <mergeCell ref="N76:S76"/>
    <mergeCell ref="T76:Z76"/>
    <mergeCell ref="D79:Z79"/>
    <mergeCell ref="B80:B81"/>
    <mergeCell ref="D80:Z80"/>
    <mergeCell ref="D81:Z81"/>
    <mergeCell ref="B93:Z95"/>
    <mergeCell ref="B98:Z98"/>
    <mergeCell ref="B86:B87"/>
    <mergeCell ref="D86:Z86"/>
    <mergeCell ref="D87:Z87"/>
    <mergeCell ref="B88:B90"/>
    <mergeCell ref="D88:Z88"/>
    <mergeCell ref="D89:Z89"/>
    <mergeCell ref="D90:Z90"/>
  </mergeCells>
  <phoneticPr fontId="1"/>
  <dataValidations count="4">
    <dataValidation type="list" allowBlank="1" showInputMessage="1" showErrorMessage="1" sqref="H74:M77 G70:G77 H70:M71 T70:T77 U70:Z71 U74:Z77">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O4">
      <formula1>"学部・学科によって、修了要件は相違する,学部・学科によって、修了要件は相違しない"</formula1>
    </dataValidation>
    <dataValidation type="list" allowBlank="1" showInputMessage="1" showErrorMessage="1" sqref="Z23 Z34 D34:K34 D23:K23 V16:V22 I38:I44 V27:V33 I27:I33 V38:V44 I16:I22 V49:V55 I49:I55 U60:U66 H60:H66">
      <formula1>"全学開講,一部開講"</formula1>
    </dataValidation>
    <dataValidation type="list" allowBlank="1" showInputMessage="1" showErrorMessage="1" sqref="Y16:Z22 L38:M44 Y27:Z33 L27:M33 H38:H44 Y38:Z44 L49:M55 Y49:Z55 Y60:Z66 T60:T66 H16:H22 U16:U22 H27:H33 U27:U33 L16:M22 U38:U44 H49:H55 U49:U55 G60:G66 L60:M66">
      <formula1>"○"</formula1>
    </dataValidation>
  </dataValidations>
  <hyperlinks>
    <hyperlink ref="B98" r:id="rId1"/>
  </hyperlinks>
  <printOptions horizontalCentered="1"/>
  <pageMargins left="0.78740157480314965" right="0.78740157480314965" top="0.59055118110236227" bottom="0.19685039370078741" header="0.31496062992125984" footer="0.19685039370078741"/>
  <pageSetup paperSize="9" scale="98" orientation="landscape" r:id="rId2"/>
  <rowBreaks count="4" manualBreakCount="4">
    <brk id="22" max="25" man="1"/>
    <brk id="45" max="25" man="1"/>
    <brk id="67" max="25" man="1"/>
    <brk id="83" max="25"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8"/>
  <sheetViews>
    <sheetView showZeros="0" view="pageBreakPreview" zoomScaleNormal="100" zoomScaleSheetLayoutView="100" workbookViewId="0"/>
  </sheetViews>
  <sheetFormatPr defaultColWidth="9" defaultRowHeight="18.75" customHeight="1" x14ac:dyDescent="0.15"/>
  <cols>
    <col min="1" max="1" width="2.5" style="13" customWidth="1"/>
    <col min="2" max="2" width="27.75" style="13" customWidth="1"/>
    <col min="3" max="13" width="3.375" style="13" customWidth="1"/>
    <col min="14" max="14" width="8.875" style="13" customWidth="1"/>
    <col min="15" max="15" width="18.875" style="13" customWidth="1"/>
    <col min="16" max="19" width="3.375" style="13" customWidth="1"/>
    <col min="20" max="20" width="3.5" style="13" customWidth="1"/>
    <col min="21" max="26" width="3.375" style="13" customWidth="1"/>
    <col min="27" max="16384" width="9" style="13"/>
  </cols>
  <sheetData>
    <row r="1" spans="1:26" ht="15" customHeight="1" x14ac:dyDescent="0.15">
      <c r="W1" s="264" t="s">
        <v>195</v>
      </c>
      <c r="X1" s="264"/>
      <c r="Y1" s="264"/>
      <c r="Z1" s="264"/>
    </row>
    <row r="2" spans="1:26" ht="18" customHeight="1" x14ac:dyDescent="0.15">
      <c r="A2" s="265" t="s">
        <v>67</v>
      </c>
      <c r="B2" s="265"/>
      <c r="C2" s="265"/>
      <c r="D2" s="265"/>
      <c r="E2" s="265"/>
      <c r="F2" s="265"/>
      <c r="G2" s="265"/>
      <c r="H2" s="265"/>
      <c r="I2" s="265"/>
      <c r="J2" s="265"/>
      <c r="K2" s="265"/>
      <c r="L2" s="265"/>
      <c r="M2" s="265"/>
      <c r="N2" s="265"/>
      <c r="O2" s="265"/>
      <c r="P2" s="265"/>
      <c r="Q2" s="265"/>
      <c r="R2" s="265"/>
      <c r="S2" s="265"/>
      <c r="T2" s="265"/>
      <c r="U2" s="265"/>
      <c r="V2" s="265"/>
      <c r="W2" s="265"/>
      <c r="X2" s="265"/>
      <c r="Y2" s="265"/>
      <c r="Z2" s="265"/>
    </row>
    <row r="3" spans="1:26" ht="15" customHeight="1" x14ac:dyDescent="0.15">
      <c r="B3" s="29"/>
      <c r="C3" s="29"/>
      <c r="D3" s="29"/>
      <c r="E3" s="29"/>
      <c r="F3" s="29"/>
      <c r="G3" s="29"/>
      <c r="H3" s="29"/>
      <c r="I3" s="29"/>
      <c r="J3" s="29"/>
      <c r="K3" s="29"/>
      <c r="L3" s="29"/>
      <c r="M3" s="29"/>
      <c r="N3" s="29"/>
      <c r="O3" s="29"/>
      <c r="P3" s="29"/>
      <c r="Q3" s="29"/>
      <c r="R3" s="29"/>
      <c r="S3" s="29"/>
      <c r="T3" s="29"/>
      <c r="U3" s="29"/>
      <c r="V3" s="29"/>
      <c r="W3" s="29"/>
      <c r="X3" s="29"/>
      <c r="Y3" s="29"/>
      <c r="Z3" s="29"/>
    </row>
    <row r="4" spans="1:26" ht="18" customHeight="1" x14ac:dyDescent="0.15">
      <c r="A4" s="13" t="s">
        <v>99</v>
      </c>
      <c r="B4" s="29"/>
      <c r="C4" s="29"/>
      <c r="D4" s="29"/>
      <c r="E4" s="29"/>
      <c r="F4" s="29"/>
      <c r="G4" s="29"/>
      <c r="H4" s="15" t="s">
        <v>112</v>
      </c>
      <c r="I4" s="29"/>
      <c r="J4" s="29"/>
      <c r="K4" s="29"/>
      <c r="L4" s="29"/>
      <c r="M4" s="29"/>
      <c r="N4" s="29"/>
      <c r="O4" s="150" t="s">
        <v>159</v>
      </c>
      <c r="P4" s="151"/>
      <c r="Q4" s="151"/>
      <c r="R4" s="151"/>
      <c r="S4" s="151"/>
      <c r="T4" s="151"/>
      <c r="U4" s="151"/>
      <c r="V4" s="151"/>
      <c r="W4" s="151"/>
      <c r="X4" s="151"/>
      <c r="Y4" s="151"/>
      <c r="Z4" s="152"/>
    </row>
    <row r="5" spans="1:26" ht="6" customHeight="1" x14ac:dyDescent="0.15">
      <c r="B5" s="29"/>
      <c r="C5" s="29"/>
      <c r="D5" s="29"/>
      <c r="E5" s="29"/>
      <c r="F5" s="29"/>
      <c r="G5" s="29"/>
      <c r="H5" s="29"/>
      <c r="I5" s="29"/>
      <c r="J5" s="29"/>
      <c r="K5" s="29"/>
      <c r="L5" s="29"/>
      <c r="M5" s="29"/>
      <c r="N5" s="29"/>
      <c r="O5" s="16"/>
      <c r="P5" s="29"/>
      <c r="Q5" s="29"/>
      <c r="R5" s="29"/>
      <c r="S5" s="29"/>
      <c r="T5" s="29"/>
      <c r="U5" s="29"/>
      <c r="V5" s="29"/>
      <c r="W5" s="29"/>
      <c r="X5" s="29"/>
      <c r="Y5" s="29"/>
      <c r="Z5" s="29"/>
    </row>
    <row r="6" spans="1:26" ht="22.5" customHeight="1" x14ac:dyDescent="0.15">
      <c r="B6" s="266" t="s">
        <v>326</v>
      </c>
      <c r="C6" s="267"/>
      <c r="D6" s="267"/>
      <c r="E6" s="267"/>
      <c r="F6" s="267"/>
      <c r="G6" s="267"/>
      <c r="H6" s="267"/>
      <c r="I6" s="267"/>
      <c r="J6" s="267"/>
      <c r="K6" s="267"/>
      <c r="L6" s="267"/>
      <c r="M6" s="267"/>
      <c r="N6" s="267"/>
      <c r="O6" s="267"/>
      <c r="P6" s="267"/>
      <c r="Q6" s="267"/>
      <c r="R6" s="267"/>
      <c r="S6" s="267"/>
      <c r="T6" s="267"/>
      <c r="U6" s="267"/>
      <c r="V6" s="267"/>
      <c r="W6" s="267"/>
      <c r="X6" s="267"/>
      <c r="Y6" s="267"/>
      <c r="Z6" s="268"/>
    </row>
    <row r="7" spans="1:26" ht="22.5" customHeight="1" x14ac:dyDescent="0.15">
      <c r="B7" s="269"/>
      <c r="C7" s="270"/>
      <c r="D7" s="270"/>
      <c r="E7" s="270"/>
      <c r="F7" s="270"/>
      <c r="G7" s="270"/>
      <c r="H7" s="270"/>
      <c r="I7" s="270"/>
      <c r="J7" s="270"/>
      <c r="K7" s="270"/>
      <c r="L7" s="270"/>
      <c r="M7" s="270"/>
      <c r="N7" s="270"/>
      <c r="O7" s="270"/>
      <c r="P7" s="270"/>
      <c r="Q7" s="270"/>
      <c r="R7" s="270"/>
      <c r="S7" s="270"/>
      <c r="T7" s="270"/>
      <c r="U7" s="270"/>
      <c r="V7" s="270"/>
      <c r="W7" s="270"/>
      <c r="X7" s="270"/>
      <c r="Y7" s="270"/>
      <c r="Z7" s="271"/>
    </row>
    <row r="8" spans="1:26" ht="22.5" customHeight="1" x14ac:dyDescent="0.15">
      <c r="B8" s="269"/>
      <c r="C8" s="270"/>
      <c r="D8" s="270"/>
      <c r="E8" s="270"/>
      <c r="F8" s="270"/>
      <c r="G8" s="270"/>
      <c r="H8" s="270"/>
      <c r="I8" s="270"/>
      <c r="J8" s="270"/>
      <c r="K8" s="270"/>
      <c r="L8" s="270"/>
      <c r="M8" s="270"/>
      <c r="N8" s="270"/>
      <c r="O8" s="270"/>
      <c r="P8" s="270"/>
      <c r="Q8" s="270"/>
      <c r="R8" s="270"/>
      <c r="S8" s="270"/>
      <c r="T8" s="270"/>
      <c r="U8" s="270"/>
      <c r="V8" s="270"/>
      <c r="W8" s="270"/>
      <c r="X8" s="270"/>
      <c r="Y8" s="270"/>
      <c r="Z8" s="271"/>
    </row>
    <row r="9" spans="1:26" ht="22.5" customHeight="1" x14ac:dyDescent="0.15">
      <c r="B9" s="269"/>
      <c r="C9" s="270"/>
      <c r="D9" s="270"/>
      <c r="E9" s="270"/>
      <c r="F9" s="270"/>
      <c r="G9" s="270"/>
      <c r="H9" s="270"/>
      <c r="I9" s="270"/>
      <c r="J9" s="270"/>
      <c r="K9" s="270"/>
      <c r="L9" s="270"/>
      <c r="M9" s="270"/>
      <c r="N9" s="270"/>
      <c r="O9" s="270"/>
      <c r="P9" s="270"/>
      <c r="Q9" s="270"/>
      <c r="R9" s="270"/>
      <c r="S9" s="270"/>
      <c r="T9" s="270"/>
      <c r="U9" s="270"/>
      <c r="V9" s="270"/>
      <c r="W9" s="270"/>
      <c r="X9" s="270"/>
      <c r="Y9" s="270"/>
      <c r="Z9" s="271"/>
    </row>
    <row r="10" spans="1:26" ht="22.5" customHeight="1" x14ac:dyDescent="0.15">
      <c r="B10" s="269"/>
      <c r="C10" s="272"/>
      <c r="D10" s="272"/>
      <c r="E10" s="272"/>
      <c r="F10" s="272"/>
      <c r="G10" s="272"/>
      <c r="H10" s="272"/>
      <c r="I10" s="272"/>
      <c r="J10" s="272"/>
      <c r="K10" s="272"/>
      <c r="L10" s="272"/>
      <c r="M10" s="272"/>
      <c r="N10" s="272"/>
      <c r="O10" s="272"/>
      <c r="P10" s="272"/>
      <c r="Q10" s="272"/>
      <c r="R10" s="272"/>
      <c r="S10" s="272"/>
      <c r="T10" s="272"/>
      <c r="U10" s="272"/>
      <c r="V10" s="272"/>
      <c r="W10" s="272"/>
      <c r="X10" s="272"/>
      <c r="Y10" s="272"/>
      <c r="Z10" s="271"/>
    </row>
    <row r="11" spans="1:26" ht="75.75" customHeight="1" x14ac:dyDescent="0.15">
      <c r="B11" s="273"/>
      <c r="C11" s="274"/>
      <c r="D11" s="274"/>
      <c r="E11" s="274"/>
      <c r="F11" s="274"/>
      <c r="G11" s="274"/>
      <c r="H11" s="274"/>
      <c r="I11" s="274"/>
      <c r="J11" s="274"/>
      <c r="K11" s="274"/>
      <c r="L11" s="274"/>
      <c r="M11" s="274"/>
      <c r="N11" s="274"/>
      <c r="O11" s="274"/>
      <c r="P11" s="274"/>
      <c r="Q11" s="274"/>
      <c r="R11" s="274"/>
      <c r="S11" s="274"/>
      <c r="T11" s="274"/>
      <c r="U11" s="274"/>
      <c r="V11" s="274"/>
      <c r="W11" s="274"/>
      <c r="X11" s="274"/>
      <c r="Y11" s="274"/>
      <c r="Z11" s="275"/>
    </row>
    <row r="12" spans="1:26" ht="7.5" customHeight="1" x14ac:dyDescent="0.15">
      <c r="B12" s="29"/>
      <c r="C12" s="29"/>
      <c r="D12" s="29"/>
      <c r="E12" s="29"/>
      <c r="F12" s="29"/>
      <c r="G12" s="29"/>
      <c r="H12" s="29"/>
      <c r="I12" s="29"/>
      <c r="J12" s="29"/>
      <c r="K12" s="29"/>
      <c r="L12" s="29"/>
      <c r="M12" s="29"/>
      <c r="N12" s="29"/>
      <c r="O12" s="29"/>
      <c r="P12" s="29"/>
      <c r="Q12" s="29"/>
      <c r="R12" s="29"/>
      <c r="S12" s="29"/>
      <c r="T12" s="29"/>
      <c r="U12" s="29"/>
      <c r="V12" s="29"/>
      <c r="W12" s="29"/>
      <c r="X12" s="29"/>
      <c r="Y12" s="29"/>
      <c r="Z12" s="29"/>
    </row>
    <row r="13" spans="1:26" ht="18" customHeight="1" x14ac:dyDescent="0.15">
      <c r="A13" s="192" t="s">
        <v>125</v>
      </c>
      <c r="B13" s="192"/>
      <c r="C13" s="192"/>
      <c r="D13" s="192"/>
      <c r="E13" s="192"/>
      <c r="F13" s="192"/>
      <c r="G13" s="192"/>
      <c r="H13" s="192"/>
      <c r="I13" s="192"/>
      <c r="J13" s="192"/>
      <c r="K13" s="192"/>
      <c r="L13" s="192"/>
      <c r="M13" s="192"/>
      <c r="N13" s="192"/>
      <c r="O13" s="192"/>
      <c r="P13" s="192"/>
      <c r="Q13" s="192"/>
      <c r="R13" s="192"/>
      <c r="S13" s="192"/>
      <c r="T13" s="192"/>
      <c r="U13" s="192"/>
      <c r="V13" s="192"/>
      <c r="W13" s="192"/>
      <c r="X13" s="192"/>
      <c r="Y13" s="192"/>
      <c r="Z13" s="192"/>
    </row>
    <row r="14" spans="1:26" ht="18" customHeight="1" x14ac:dyDescent="0.15">
      <c r="A14" s="192"/>
      <c r="B14" s="192"/>
      <c r="C14" s="192"/>
      <c r="D14" s="192"/>
      <c r="E14" s="192"/>
      <c r="F14" s="192"/>
      <c r="G14" s="192"/>
      <c r="H14" s="192"/>
      <c r="I14" s="192"/>
      <c r="J14" s="192"/>
      <c r="K14" s="192"/>
      <c r="L14" s="192"/>
      <c r="M14" s="192"/>
      <c r="N14" s="192"/>
      <c r="O14" s="192"/>
      <c r="P14" s="192"/>
      <c r="Q14" s="192"/>
      <c r="R14" s="192"/>
      <c r="S14" s="192"/>
      <c r="T14" s="192"/>
      <c r="U14" s="192"/>
      <c r="V14" s="192"/>
      <c r="W14" s="192"/>
      <c r="X14" s="192"/>
      <c r="Y14" s="192"/>
      <c r="Z14" s="192"/>
    </row>
    <row r="15" spans="1:26" ht="18" customHeight="1" x14ac:dyDescent="0.15">
      <c r="A15" s="14"/>
      <c r="B15" s="150" t="s">
        <v>100</v>
      </c>
      <c r="C15" s="151"/>
      <c r="D15" s="151"/>
      <c r="E15" s="151"/>
      <c r="F15" s="152"/>
      <c r="G15" s="30" t="s">
        <v>141</v>
      </c>
      <c r="H15" s="110" t="s">
        <v>140</v>
      </c>
      <c r="I15" s="151" t="s">
        <v>101</v>
      </c>
      <c r="J15" s="151"/>
      <c r="K15" s="151"/>
      <c r="L15" s="73" t="s">
        <v>104</v>
      </c>
      <c r="M15" s="73" t="s">
        <v>107</v>
      </c>
      <c r="N15" s="150" t="s">
        <v>100</v>
      </c>
      <c r="O15" s="151"/>
      <c r="P15" s="151"/>
      <c r="Q15" s="151"/>
      <c r="R15" s="151"/>
      <c r="S15" s="152"/>
      <c r="T15" s="30" t="s">
        <v>141</v>
      </c>
      <c r="U15" s="110" t="s">
        <v>140</v>
      </c>
      <c r="V15" s="151" t="s">
        <v>101</v>
      </c>
      <c r="W15" s="151"/>
      <c r="X15" s="151"/>
      <c r="Y15" s="73" t="s">
        <v>104</v>
      </c>
      <c r="Z15" s="73" t="s">
        <v>107</v>
      </c>
    </row>
    <row r="16" spans="1:26" ht="18" customHeight="1" x14ac:dyDescent="0.15">
      <c r="A16" s="14"/>
      <c r="B16" s="256" t="s">
        <v>211</v>
      </c>
      <c r="C16" s="257"/>
      <c r="D16" s="257"/>
      <c r="E16" s="257"/>
      <c r="F16" s="263"/>
      <c r="G16" s="112">
        <v>2</v>
      </c>
      <c r="H16" s="112"/>
      <c r="I16" s="258" t="s">
        <v>214</v>
      </c>
      <c r="J16" s="259"/>
      <c r="K16" s="260"/>
      <c r="L16" s="112" t="s">
        <v>164</v>
      </c>
      <c r="M16" s="112" t="s">
        <v>164</v>
      </c>
      <c r="N16" s="245"/>
      <c r="O16" s="246"/>
      <c r="P16" s="246"/>
      <c r="Q16" s="246"/>
      <c r="R16" s="246"/>
      <c r="S16" s="247"/>
      <c r="T16" s="111"/>
      <c r="U16" s="111"/>
      <c r="V16" s="258"/>
      <c r="W16" s="259"/>
      <c r="X16" s="260"/>
      <c r="Y16" s="111"/>
      <c r="Z16" s="111"/>
    </row>
    <row r="17" spans="1:26" ht="18" customHeight="1" x14ac:dyDescent="0.15">
      <c r="A17" s="14"/>
      <c r="B17" s="181" t="s">
        <v>213</v>
      </c>
      <c r="C17" s="182"/>
      <c r="D17" s="182"/>
      <c r="E17" s="182"/>
      <c r="F17" s="188"/>
      <c r="G17" s="124">
        <v>2</v>
      </c>
      <c r="H17" s="124"/>
      <c r="I17" s="183" t="s">
        <v>214</v>
      </c>
      <c r="J17" s="184"/>
      <c r="K17" s="185"/>
      <c r="L17" s="124" t="s">
        <v>164</v>
      </c>
      <c r="M17" s="124" t="s">
        <v>164</v>
      </c>
      <c r="N17" s="189"/>
      <c r="O17" s="190"/>
      <c r="P17" s="190"/>
      <c r="Q17" s="190"/>
      <c r="R17" s="190"/>
      <c r="S17" s="191"/>
      <c r="T17" s="112"/>
      <c r="U17" s="112"/>
      <c r="V17" s="183"/>
      <c r="W17" s="184"/>
      <c r="X17" s="185"/>
      <c r="Y17" s="112"/>
      <c r="Z17" s="112"/>
    </row>
    <row r="18" spans="1:26" ht="18" customHeight="1" x14ac:dyDescent="0.15">
      <c r="A18" s="14"/>
      <c r="B18" s="181" t="s">
        <v>220</v>
      </c>
      <c r="C18" s="182"/>
      <c r="D18" s="182"/>
      <c r="E18" s="182"/>
      <c r="F18" s="188"/>
      <c r="G18" s="112">
        <v>2</v>
      </c>
      <c r="H18" s="112"/>
      <c r="I18" s="183" t="s">
        <v>214</v>
      </c>
      <c r="J18" s="184"/>
      <c r="K18" s="185"/>
      <c r="L18" s="112" t="s">
        <v>164</v>
      </c>
      <c r="M18" s="112" t="s">
        <v>164</v>
      </c>
      <c r="N18" s="189"/>
      <c r="O18" s="190"/>
      <c r="P18" s="190"/>
      <c r="Q18" s="190"/>
      <c r="R18" s="190"/>
      <c r="S18" s="191"/>
      <c r="T18" s="112"/>
      <c r="U18" s="112"/>
      <c r="V18" s="183"/>
      <c r="W18" s="184"/>
      <c r="X18" s="185"/>
      <c r="Y18" s="112"/>
      <c r="Z18" s="112"/>
    </row>
    <row r="19" spans="1:26" ht="18" customHeight="1" x14ac:dyDescent="0.15">
      <c r="A19" s="14"/>
      <c r="B19" s="181"/>
      <c r="C19" s="182"/>
      <c r="D19" s="182"/>
      <c r="E19" s="182"/>
      <c r="F19" s="188"/>
      <c r="G19" s="112"/>
      <c r="H19" s="112"/>
      <c r="I19" s="183"/>
      <c r="J19" s="184"/>
      <c r="K19" s="185"/>
      <c r="L19" s="112"/>
      <c r="M19" s="112"/>
      <c r="N19" s="189"/>
      <c r="O19" s="190"/>
      <c r="P19" s="190"/>
      <c r="Q19" s="190"/>
      <c r="R19" s="190"/>
      <c r="S19" s="191"/>
      <c r="T19" s="112"/>
      <c r="U19" s="112"/>
      <c r="V19" s="183"/>
      <c r="W19" s="184"/>
      <c r="X19" s="185"/>
      <c r="Y19" s="112"/>
      <c r="Z19" s="112"/>
    </row>
    <row r="20" spans="1:26" ht="18" customHeight="1" x14ac:dyDescent="0.15">
      <c r="A20" s="14"/>
      <c r="B20" s="181"/>
      <c r="C20" s="182"/>
      <c r="D20" s="182"/>
      <c r="E20" s="182"/>
      <c r="F20" s="188"/>
      <c r="G20" s="112"/>
      <c r="H20" s="112"/>
      <c r="I20" s="183"/>
      <c r="J20" s="184"/>
      <c r="K20" s="185"/>
      <c r="L20" s="112"/>
      <c r="M20" s="112"/>
      <c r="N20" s="189"/>
      <c r="O20" s="190"/>
      <c r="P20" s="190"/>
      <c r="Q20" s="190"/>
      <c r="R20" s="190"/>
      <c r="S20" s="191"/>
      <c r="T20" s="112"/>
      <c r="U20" s="112"/>
      <c r="V20" s="183"/>
      <c r="W20" s="184"/>
      <c r="X20" s="185"/>
      <c r="Y20" s="112"/>
      <c r="Z20" s="112"/>
    </row>
    <row r="21" spans="1:26" ht="18" customHeight="1" x14ac:dyDescent="0.15">
      <c r="A21" s="29"/>
      <c r="B21" s="181"/>
      <c r="C21" s="182"/>
      <c r="D21" s="182"/>
      <c r="E21" s="182"/>
      <c r="F21" s="188"/>
      <c r="G21" s="112"/>
      <c r="H21" s="112"/>
      <c r="I21" s="183"/>
      <c r="J21" s="184"/>
      <c r="K21" s="185"/>
      <c r="L21" s="112"/>
      <c r="M21" s="112"/>
      <c r="N21" s="189"/>
      <c r="O21" s="190"/>
      <c r="P21" s="190"/>
      <c r="Q21" s="190"/>
      <c r="R21" s="190"/>
      <c r="S21" s="191"/>
      <c r="T21" s="112"/>
      <c r="U21" s="112"/>
      <c r="V21" s="183"/>
      <c r="W21" s="184"/>
      <c r="X21" s="185"/>
      <c r="Y21" s="112"/>
      <c r="Z21" s="112"/>
    </row>
    <row r="22" spans="1:26" ht="18" customHeight="1" x14ac:dyDescent="0.15">
      <c r="A22" s="29"/>
      <c r="B22" s="193"/>
      <c r="C22" s="194"/>
      <c r="D22" s="194"/>
      <c r="E22" s="194"/>
      <c r="F22" s="195"/>
      <c r="G22" s="113"/>
      <c r="H22" s="113"/>
      <c r="I22" s="196"/>
      <c r="J22" s="197"/>
      <c r="K22" s="198"/>
      <c r="L22" s="116"/>
      <c r="M22" s="116"/>
      <c r="N22" s="199"/>
      <c r="O22" s="200"/>
      <c r="P22" s="200"/>
      <c r="Q22" s="200"/>
      <c r="R22" s="200"/>
      <c r="S22" s="201"/>
      <c r="T22" s="113"/>
      <c r="U22" s="113"/>
      <c r="V22" s="196"/>
      <c r="W22" s="197"/>
      <c r="X22" s="198"/>
      <c r="Y22" s="116"/>
      <c r="Z22" s="116"/>
    </row>
    <row r="23" spans="1:26" ht="7.5" customHeight="1" x14ac:dyDescent="0.15">
      <c r="A23" s="29"/>
      <c r="B23" s="74"/>
      <c r="C23" s="74"/>
      <c r="D23" s="29"/>
      <c r="E23" s="29"/>
      <c r="F23" s="29"/>
      <c r="G23" s="29"/>
      <c r="H23" s="29"/>
      <c r="I23" s="29"/>
      <c r="J23" s="29"/>
      <c r="K23" s="29"/>
      <c r="L23" s="74"/>
      <c r="M23" s="74"/>
      <c r="N23" s="74"/>
      <c r="O23" s="74"/>
      <c r="P23" s="74"/>
      <c r="Q23" s="74"/>
      <c r="R23" s="74"/>
      <c r="S23" s="74"/>
      <c r="T23" s="74"/>
      <c r="U23" s="74"/>
      <c r="V23" s="74"/>
      <c r="W23" s="74"/>
      <c r="X23" s="74"/>
      <c r="Y23" s="74"/>
      <c r="Z23" s="29"/>
    </row>
    <row r="24" spans="1:26" ht="18" customHeight="1" x14ac:dyDescent="0.15">
      <c r="A24" s="192" t="s">
        <v>126</v>
      </c>
      <c r="B24" s="192"/>
      <c r="C24" s="192"/>
      <c r="D24" s="192"/>
      <c r="E24" s="192"/>
      <c r="F24" s="192"/>
      <c r="G24" s="192"/>
      <c r="H24" s="192"/>
      <c r="I24" s="192"/>
      <c r="J24" s="192"/>
      <c r="K24" s="192"/>
      <c r="L24" s="192"/>
      <c r="M24" s="192"/>
      <c r="N24" s="192"/>
      <c r="O24" s="192"/>
      <c r="P24" s="192"/>
      <c r="Q24" s="192"/>
      <c r="R24" s="192"/>
      <c r="S24" s="192"/>
      <c r="T24" s="192"/>
      <c r="U24" s="192"/>
      <c r="V24" s="192"/>
      <c r="W24" s="192"/>
      <c r="X24" s="192"/>
      <c r="Y24" s="192"/>
      <c r="Z24" s="192"/>
    </row>
    <row r="25" spans="1:26" ht="18" customHeight="1" x14ac:dyDescent="0.15">
      <c r="A25" s="192"/>
      <c r="B25" s="192"/>
      <c r="C25" s="192"/>
      <c r="D25" s="192"/>
      <c r="E25" s="192"/>
      <c r="F25" s="192"/>
      <c r="G25" s="192"/>
      <c r="H25" s="192"/>
      <c r="I25" s="192"/>
      <c r="J25" s="192"/>
      <c r="K25" s="192"/>
      <c r="L25" s="192"/>
      <c r="M25" s="192"/>
      <c r="N25" s="192"/>
      <c r="O25" s="192"/>
      <c r="P25" s="192"/>
      <c r="Q25" s="192"/>
      <c r="R25" s="192"/>
      <c r="S25" s="192"/>
      <c r="T25" s="192"/>
      <c r="U25" s="192"/>
      <c r="V25" s="192"/>
      <c r="W25" s="192"/>
      <c r="X25" s="192"/>
      <c r="Y25" s="192"/>
      <c r="Z25" s="192"/>
    </row>
    <row r="26" spans="1:26" ht="18" customHeight="1" x14ac:dyDescent="0.15">
      <c r="A26" s="14"/>
      <c r="B26" s="150" t="s">
        <v>100</v>
      </c>
      <c r="C26" s="151"/>
      <c r="D26" s="151"/>
      <c r="E26" s="151"/>
      <c r="F26" s="152"/>
      <c r="G26" s="30" t="s">
        <v>141</v>
      </c>
      <c r="H26" s="110" t="s">
        <v>140</v>
      </c>
      <c r="I26" s="151" t="s">
        <v>101</v>
      </c>
      <c r="J26" s="151"/>
      <c r="K26" s="151"/>
      <c r="L26" s="73" t="s">
        <v>127</v>
      </c>
      <c r="M26" s="73" t="s">
        <v>128</v>
      </c>
      <c r="N26" s="150" t="s">
        <v>100</v>
      </c>
      <c r="O26" s="151"/>
      <c r="P26" s="151"/>
      <c r="Q26" s="151"/>
      <c r="R26" s="151"/>
      <c r="S26" s="152"/>
      <c r="T26" s="30" t="s">
        <v>141</v>
      </c>
      <c r="U26" s="110" t="s">
        <v>140</v>
      </c>
      <c r="V26" s="151" t="s">
        <v>101</v>
      </c>
      <c r="W26" s="151"/>
      <c r="X26" s="151"/>
      <c r="Y26" s="73" t="s">
        <v>127</v>
      </c>
      <c r="Z26" s="73" t="s">
        <v>128</v>
      </c>
    </row>
    <row r="27" spans="1:26" ht="18" customHeight="1" x14ac:dyDescent="0.15">
      <c r="A27" s="14"/>
      <c r="B27" s="256" t="s">
        <v>210</v>
      </c>
      <c r="C27" s="257"/>
      <c r="D27" s="257"/>
      <c r="E27" s="257"/>
      <c r="F27" s="263"/>
      <c r="G27" s="112">
        <v>2</v>
      </c>
      <c r="H27" s="112"/>
      <c r="I27" s="258" t="s">
        <v>214</v>
      </c>
      <c r="J27" s="259"/>
      <c r="K27" s="260"/>
      <c r="L27" s="112" t="s">
        <v>164</v>
      </c>
      <c r="M27" s="112" t="s">
        <v>164</v>
      </c>
      <c r="N27" s="245"/>
      <c r="O27" s="246"/>
      <c r="P27" s="246"/>
      <c r="Q27" s="246"/>
      <c r="R27" s="246"/>
      <c r="S27" s="247"/>
      <c r="T27" s="111"/>
      <c r="U27" s="111"/>
      <c r="V27" s="258"/>
      <c r="W27" s="259"/>
      <c r="X27" s="260"/>
      <c r="Y27" s="111"/>
      <c r="Z27" s="111"/>
    </row>
    <row r="28" spans="1:26" ht="18" customHeight="1" x14ac:dyDescent="0.15">
      <c r="A28" s="14"/>
      <c r="B28" s="181" t="s">
        <v>212</v>
      </c>
      <c r="C28" s="182"/>
      <c r="D28" s="182"/>
      <c r="E28" s="182"/>
      <c r="F28" s="188"/>
      <c r="G28" s="112">
        <v>2</v>
      </c>
      <c r="H28" s="112"/>
      <c r="I28" s="183" t="s">
        <v>214</v>
      </c>
      <c r="J28" s="184"/>
      <c r="K28" s="185"/>
      <c r="L28" s="112" t="s">
        <v>164</v>
      </c>
      <c r="M28" s="112" t="s">
        <v>164</v>
      </c>
      <c r="N28" s="189"/>
      <c r="O28" s="190"/>
      <c r="P28" s="190"/>
      <c r="Q28" s="190"/>
      <c r="R28" s="190"/>
      <c r="S28" s="191"/>
      <c r="T28" s="112"/>
      <c r="U28" s="112"/>
      <c r="V28" s="183"/>
      <c r="W28" s="184"/>
      <c r="X28" s="185"/>
      <c r="Y28" s="112"/>
      <c r="Z28" s="112"/>
    </row>
    <row r="29" spans="1:26" ht="18" customHeight="1" x14ac:dyDescent="0.15">
      <c r="A29" s="14"/>
      <c r="B29" s="181" t="s">
        <v>217</v>
      </c>
      <c r="C29" s="182"/>
      <c r="D29" s="182"/>
      <c r="E29" s="182"/>
      <c r="F29" s="188"/>
      <c r="G29" s="112">
        <v>2</v>
      </c>
      <c r="H29" s="112"/>
      <c r="I29" s="183" t="s">
        <v>214</v>
      </c>
      <c r="J29" s="184"/>
      <c r="K29" s="185"/>
      <c r="L29" s="112" t="s">
        <v>164</v>
      </c>
      <c r="M29" s="112" t="s">
        <v>164</v>
      </c>
      <c r="N29" s="189"/>
      <c r="O29" s="190"/>
      <c r="P29" s="190"/>
      <c r="Q29" s="190"/>
      <c r="R29" s="190"/>
      <c r="S29" s="191"/>
      <c r="T29" s="112"/>
      <c r="U29" s="112"/>
      <c r="V29" s="183"/>
      <c r="W29" s="184"/>
      <c r="X29" s="185"/>
      <c r="Y29" s="112"/>
      <c r="Z29" s="112"/>
    </row>
    <row r="30" spans="1:26" ht="18" customHeight="1" x14ac:dyDescent="0.15">
      <c r="A30" s="14"/>
      <c r="B30" s="181"/>
      <c r="C30" s="182"/>
      <c r="D30" s="182"/>
      <c r="E30" s="182"/>
      <c r="F30" s="188"/>
      <c r="G30" s="112"/>
      <c r="H30" s="112"/>
      <c r="I30" s="183"/>
      <c r="J30" s="184"/>
      <c r="K30" s="185"/>
      <c r="L30" s="112"/>
      <c r="M30" s="112"/>
      <c r="N30" s="189"/>
      <c r="O30" s="190"/>
      <c r="P30" s="190"/>
      <c r="Q30" s="190"/>
      <c r="R30" s="190"/>
      <c r="S30" s="191"/>
      <c r="T30" s="112"/>
      <c r="U30" s="112"/>
      <c r="V30" s="183"/>
      <c r="W30" s="184"/>
      <c r="X30" s="185"/>
      <c r="Y30" s="112"/>
      <c r="Z30" s="112"/>
    </row>
    <row r="31" spans="1:26" ht="18" customHeight="1" x14ac:dyDescent="0.15">
      <c r="A31" s="14"/>
      <c r="B31" s="181"/>
      <c r="C31" s="182"/>
      <c r="D31" s="182"/>
      <c r="E31" s="182"/>
      <c r="F31" s="188"/>
      <c r="G31" s="112"/>
      <c r="H31" s="112"/>
      <c r="I31" s="183"/>
      <c r="J31" s="184"/>
      <c r="K31" s="185"/>
      <c r="L31" s="112"/>
      <c r="M31" s="112"/>
      <c r="N31" s="189"/>
      <c r="O31" s="190"/>
      <c r="P31" s="190"/>
      <c r="Q31" s="190"/>
      <c r="R31" s="190"/>
      <c r="S31" s="191"/>
      <c r="T31" s="112"/>
      <c r="U31" s="112"/>
      <c r="V31" s="183"/>
      <c r="W31" s="184"/>
      <c r="X31" s="185"/>
      <c r="Y31" s="112"/>
      <c r="Z31" s="112"/>
    </row>
    <row r="32" spans="1:26" ht="18" customHeight="1" x14ac:dyDescent="0.15">
      <c r="A32" s="14"/>
      <c r="B32" s="181"/>
      <c r="C32" s="182"/>
      <c r="D32" s="182"/>
      <c r="E32" s="182"/>
      <c r="F32" s="188"/>
      <c r="G32" s="112"/>
      <c r="H32" s="112"/>
      <c r="I32" s="183"/>
      <c r="J32" s="184"/>
      <c r="K32" s="185"/>
      <c r="L32" s="112"/>
      <c r="M32" s="112"/>
      <c r="N32" s="189"/>
      <c r="O32" s="190"/>
      <c r="P32" s="190"/>
      <c r="Q32" s="190"/>
      <c r="R32" s="190"/>
      <c r="S32" s="191"/>
      <c r="T32" s="112"/>
      <c r="U32" s="112"/>
      <c r="V32" s="183"/>
      <c r="W32" s="184"/>
      <c r="X32" s="185"/>
      <c r="Y32" s="112"/>
      <c r="Z32" s="112"/>
    </row>
    <row r="33" spans="1:26" ht="18" customHeight="1" x14ac:dyDescent="0.15">
      <c r="A33" s="14"/>
      <c r="B33" s="193"/>
      <c r="C33" s="194"/>
      <c r="D33" s="194"/>
      <c r="E33" s="194"/>
      <c r="F33" s="195"/>
      <c r="G33" s="113"/>
      <c r="H33" s="113"/>
      <c r="I33" s="196"/>
      <c r="J33" s="197"/>
      <c r="K33" s="198"/>
      <c r="L33" s="116"/>
      <c r="M33" s="116"/>
      <c r="N33" s="199"/>
      <c r="O33" s="200"/>
      <c r="P33" s="200"/>
      <c r="Q33" s="200"/>
      <c r="R33" s="200"/>
      <c r="S33" s="201"/>
      <c r="T33" s="113"/>
      <c r="U33" s="113"/>
      <c r="V33" s="196"/>
      <c r="W33" s="197"/>
      <c r="X33" s="198"/>
      <c r="Y33" s="116"/>
      <c r="Z33" s="116"/>
    </row>
    <row r="34" spans="1:26" ht="7.5" customHeight="1" x14ac:dyDescent="0.15">
      <c r="A34" s="29"/>
      <c r="B34" s="74"/>
      <c r="C34" s="74"/>
      <c r="D34" s="29"/>
      <c r="E34" s="29"/>
      <c r="F34" s="29"/>
      <c r="G34" s="29"/>
      <c r="H34" s="29"/>
      <c r="I34" s="29"/>
      <c r="J34" s="29"/>
      <c r="K34" s="29"/>
      <c r="L34" s="74"/>
      <c r="M34" s="74"/>
      <c r="N34" s="74"/>
      <c r="O34" s="74"/>
      <c r="P34" s="74"/>
      <c r="Q34" s="74"/>
      <c r="R34" s="74"/>
      <c r="S34" s="74"/>
      <c r="T34" s="74"/>
      <c r="U34" s="74"/>
      <c r="V34" s="74"/>
      <c r="W34" s="74"/>
      <c r="X34" s="74"/>
      <c r="Y34" s="74"/>
      <c r="Z34" s="29"/>
    </row>
    <row r="35" spans="1:26" ht="18" customHeight="1" x14ac:dyDescent="0.15">
      <c r="A35" s="192" t="s">
        <v>129</v>
      </c>
      <c r="B35" s="192"/>
      <c r="C35" s="192"/>
      <c r="D35" s="192"/>
      <c r="E35" s="192"/>
      <c r="F35" s="192"/>
      <c r="G35" s="192"/>
      <c r="H35" s="192"/>
      <c r="I35" s="192"/>
      <c r="J35" s="192"/>
      <c r="K35" s="192"/>
      <c r="L35" s="192"/>
      <c r="M35" s="192"/>
      <c r="N35" s="192"/>
      <c r="O35" s="192"/>
      <c r="P35" s="192"/>
      <c r="Q35" s="192"/>
      <c r="R35" s="192"/>
      <c r="S35" s="192"/>
      <c r="T35" s="192"/>
      <c r="U35" s="192"/>
      <c r="V35" s="192"/>
      <c r="W35" s="192"/>
      <c r="X35" s="192"/>
      <c r="Y35" s="192"/>
      <c r="Z35" s="192"/>
    </row>
    <row r="36" spans="1:26" ht="18" customHeight="1" x14ac:dyDescent="0.15">
      <c r="A36" s="192"/>
      <c r="B36" s="192"/>
      <c r="C36" s="192"/>
      <c r="D36" s="192"/>
      <c r="E36" s="192"/>
      <c r="F36" s="192"/>
      <c r="G36" s="192"/>
      <c r="H36" s="192"/>
      <c r="I36" s="192"/>
      <c r="J36" s="192"/>
      <c r="K36" s="192"/>
      <c r="L36" s="192"/>
      <c r="M36" s="192"/>
      <c r="N36" s="192"/>
      <c r="O36" s="192"/>
      <c r="P36" s="192"/>
      <c r="Q36" s="192"/>
      <c r="R36" s="192"/>
      <c r="S36" s="192"/>
      <c r="T36" s="192"/>
      <c r="U36" s="192"/>
      <c r="V36" s="192"/>
      <c r="W36" s="192"/>
      <c r="X36" s="192"/>
      <c r="Y36" s="192"/>
      <c r="Z36" s="192"/>
    </row>
    <row r="37" spans="1:26" ht="18" customHeight="1" x14ac:dyDescent="0.15">
      <c r="A37" s="14"/>
      <c r="B37" s="150" t="s">
        <v>100</v>
      </c>
      <c r="C37" s="151"/>
      <c r="D37" s="151"/>
      <c r="E37" s="151"/>
      <c r="F37" s="152"/>
      <c r="G37" s="30" t="s">
        <v>141</v>
      </c>
      <c r="H37" s="110" t="s">
        <v>140</v>
      </c>
      <c r="I37" s="150" t="s">
        <v>101</v>
      </c>
      <c r="J37" s="151"/>
      <c r="K37" s="152"/>
      <c r="L37" s="73" t="s">
        <v>130</v>
      </c>
      <c r="M37" s="73" t="s">
        <v>131</v>
      </c>
      <c r="N37" s="150" t="s">
        <v>100</v>
      </c>
      <c r="O37" s="151"/>
      <c r="P37" s="151"/>
      <c r="Q37" s="151"/>
      <c r="R37" s="151"/>
      <c r="S37" s="152"/>
      <c r="T37" s="30" t="s">
        <v>141</v>
      </c>
      <c r="U37" s="110" t="s">
        <v>140</v>
      </c>
      <c r="V37" s="150" t="s">
        <v>101</v>
      </c>
      <c r="W37" s="151"/>
      <c r="X37" s="152"/>
      <c r="Y37" s="73" t="s">
        <v>130</v>
      </c>
      <c r="Z37" s="73" t="s">
        <v>131</v>
      </c>
    </row>
    <row r="38" spans="1:26" ht="18" customHeight="1" x14ac:dyDescent="0.15">
      <c r="A38" s="29"/>
      <c r="B38" s="181" t="s">
        <v>211</v>
      </c>
      <c r="C38" s="182"/>
      <c r="D38" s="182"/>
      <c r="E38" s="182"/>
      <c r="F38" s="188"/>
      <c r="G38" s="112">
        <v>2</v>
      </c>
      <c r="H38" s="112"/>
      <c r="I38" s="183" t="s">
        <v>214</v>
      </c>
      <c r="J38" s="184"/>
      <c r="K38" s="185"/>
      <c r="L38" s="112" t="s">
        <v>164</v>
      </c>
      <c r="M38" s="112" t="s">
        <v>164</v>
      </c>
      <c r="N38" s="189"/>
      <c r="O38" s="190"/>
      <c r="P38" s="190"/>
      <c r="Q38" s="190"/>
      <c r="R38" s="190"/>
      <c r="S38" s="191"/>
      <c r="T38" s="112"/>
      <c r="U38" s="112"/>
      <c r="V38" s="183"/>
      <c r="W38" s="184"/>
      <c r="X38" s="185"/>
      <c r="Y38" s="112"/>
      <c r="Z38" s="112"/>
    </row>
    <row r="39" spans="1:26" ht="18" customHeight="1" x14ac:dyDescent="0.15">
      <c r="A39" s="29"/>
      <c r="B39" s="276" t="s">
        <v>213</v>
      </c>
      <c r="C39" s="277"/>
      <c r="D39" s="277"/>
      <c r="E39" s="277"/>
      <c r="F39" s="278"/>
      <c r="G39" s="125">
        <v>2</v>
      </c>
      <c r="H39" s="125"/>
      <c r="I39" s="279" t="s">
        <v>214</v>
      </c>
      <c r="J39" s="280"/>
      <c r="K39" s="281"/>
      <c r="L39" s="124" t="s">
        <v>164</v>
      </c>
      <c r="M39" s="124" t="s">
        <v>164</v>
      </c>
      <c r="N39" s="189"/>
      <c r="O39" s="190"/>
      <c r="P39" s="190"/>
      <c r="Q39" s="190"/>
      <c r="R39" s="190"/>
      <c r="S39" s="191"/>
      <c r="T39" s="112"/>
      <c r="U39" s="112"/>
      <c r="V39" s="183"/>
      <c r="W39" s="184"/>
      <c r="X39" s="185"/>
      <c r="Y39" s="112"/>
      <c r="Z39" s="112"/>
    </row>
    <row r="40" spans="1:26" ht="18" customHeight="1" x14ac:dyDescent="0.15">
      <c r="A40" s="29"/>
      <c r="B40" s="181" t="s">
        <v>217</v>
      </c>
      <c r="C40" s="182"/>
      <c r="D40" s="182"/>
      <c r="E40" s="182"/>
      <c r="F40" s="188"/>
      <c r="G40" s="112">
        <v>2</v>
      </c>
      <c r="H40" s="112"/>
      <c r="I40" s="183" t="s">
        <v>214</v>
      </c>
      <c r="J40" s="184"/>
      <c r="K40" s="185"/>
      <c r="L40" s="112" t="s">
        <v>164</v>
      </c>
      <c r="M40" s="112" t="s">
        <v>164</v>
      </c>
      <c r="N40" s="189"/>
      <c r="O40" s="190"/>
      <c r="P40" s="190"/>
      <c r="Q40" s="190"/>
      <c r="R40" s="190"/>
      <c r="S40" s="191"/>
      <c r="T40" s="112"/>
      <c r="U40" s="112"/>
      <c r="V40" s="183"/>
      <c r="W40" s="184"/>
      <c r="X40" s="185"/>
      <c r="Y40" s="112"/>
      <c r="Z40" s="112"/>
    </row>
    <row r="41" spans="1:26" ht="18" customHeight="1" x14ac:dyDescent="0.15">
      <c r="A41" s="29"/>
      <c r="B41" s="181"/>
      <c r="C41" s="182"/>
      <c r="D41" s="182"/>
      <c r="E41" s="182"/>
      <c r="F41" s="188"/>
      <c r="G41" s="112"/>
      <c r="H41" s="112"/>
      <c r="I41" s="183"/>
      <c r="J41" s="184"/>
      <c r="K41" s="185"/>
      <c r="L41" s="112"/>
      <c r="M41" s="112"/>
      <c r="N41" s="189"/>
      <c r="O41" s="190"/>
      <c r="P41" s="190"/>
      <c r="Q41" s="190"/>
      <c r="R41" s="190"/>
      <c r="S41" s="191"/>
      <c r="T41" s="112"/>
      <c r="U41" s="112"/>
      <c r="V41" s="183"/>
      <c r="W41" s="184"/>
      <c r="X41" s="185"/>
      <c r="Y41" s="112"/>
      <c r="Z41" s="112"/>
    </row>
    <row r="42" spans="1:26" ht="18" customHeight="1" x14ac:dyDescent="0.15">
      <c r="A42" s="29"/>
      <c r="B42" s="181"/>
      <c r="C42" s="182"/>
      <c r="D42" s="182"/>
      <c r="E42" s="182"/>
      <c r="F42" s="188"/>
      <c r="G42" s="112"/>
      <c r="H42" s="112"/>
      <c r="I42" s="183"/>
      <c r="J42" s="184"/>
      <c r="K42" s="185"/>
      <c r="L42" s="112"/>
      <c r="M42" s="112"/>
      <c r="N42" s="189"/>
      <c r="O42" s="190"/>
      <c r="P42" s="190"/>
      <c r="Q42" s="190"/>
      <c r="R42" s="190"/>
      <c r="S42" s="191"/>
      <c r="T42" s="112"/>
      <c r="U42" s="112"/>
      <c r="V42" s="183"/>
      <c r="W42" s="184"/>
      <c r="X42" s="185"/>
      <c r="Y42" s="112"/>
      <c r="Z42" s="112"/>
    </row>
    <row r="43" spans="1:26" ht="18" customHeight="1" x14ac:dyDescent="0.15">
      <c r="A43" s="29"/>
      <c r="B43" s="181"/>
      <c r="C43" s="182"/>
      <c r="D43" s="182"/>
      <c r="E43" s="182"/>
      <c r="F43" s="188"/>
      <c r="G43" s="112"/>
      <c r="H43" s="112"/>
      <c r="I43" s="183"/>
      <c r="J43" s="184"/>
      <c r="K43" s="185"/>
      <c r="L43" s="112"/>
      <c r="M43" s="112"/>
      <c r="N43" s="189"/>
      <c r="O43" s="190"/>
      <c r="P43" s="190"/>
      <c r="Q43" s="190"/>
      <c r="R43" s="190"/>
      <c r="S43" s="191"/>
      <c r="T43" s="112"/>
      <c r="U43" s="112"/>
      <c r="V43" s="183"/>
      <c r="W43" s="184"/>
      <c r="X43" s="185"/>
      <c r="Y43" s="112"/>
      <c r="Z43" s="112"/>
    </row>
    <row r="44" spans="1:26" ht="18" customHeight="1" x14ac:dyDescent="0.15">
      <c r="A44" s="29"/>
      <c r="B44" s="193"/>
      <c r="C44" s="194"/>
      <c r="D44" s="194"/>
      <c r="E44" s="194"/>
      <c r="F44" s="195"/>
      <c r="G44" s="113"/>
      <c r="H44" s="113"/>
      <c r="I44" s="196"/>
      <c r="J44" s="197"/>
      <c r="K44" s="198"/>
      <c r="L44" s="116"/>
      <c r="M44" s="116"/>
      <c r="N44" s="199"/>
      <c r="O44" s="200"/>
      <c r="P44" s="200"/>
      <c r="Q44" s="200"/>
      <c r="R44" s="200"/>
      <c r="S44" s="201"/>
      <c r="T44" s="113"/>
      <c r="U44" s="113"/>
      <c r="V44" s="196"/>
      <c r="W44" s="197"/>
      <c r="X44" s="198"/>
      <c r="Y44" s="116"/>
      <c r="Z44" s="116"/>
    </row>
    <row r="45" spans="1:26" ht="7.5" customHeight="1" x14ac:dyDescent="0.15">
      <c r="B45" s="75"/>
      <c r="C45" s="75"/>
      <c r="D45" s="75"/>
      <c r="E45" s="75"/>
      <c r="F45" s="75"/>
      <c r="G45" s="75"/>
      <c r="H45" s="75"/>
      <c r="I45" s="75"/>
      <c r="J45" s="75"/>
      <c r="K45" s="75"/>
      <c r="L45" s="75"/>
      <c r="M45" s="75"/>
      <c r="N45" s="75"/>
      <c r="O45" s="75"/>
      <c r="P45" s="75"/>
      <c r="Q45" s="75"/>
      <c r="R45" s="75"/>
      <c r="S45" s="75"/>
      <c r="T45" s="75"/>
      <c r="U45" s="75"/>
      <c r="V45" s="75"/>
      <c r="W45" s="75"/>
      <c r="X45" s="75"/>
      <c r="Y45" s="75"/>
    </row>
    <row r="46" spans="1:26" ht="18" customHeight="1" x14ac:dyDescent="0.15">
      <c r="A46" s="192" t="s">
        <v>132</v>
      </c>
      <c r="B46" s="192"/>
      <c r="C46" s="192"/>
      <c r="D46" s="192"/>
      <c r="E46" s="192"/>
      <c r="F46" s="192"/>
      <c r="G46" s="192"/>
      <c r="H46" s="192"/>
      <c r="I46" s="192"/>
      <c r="J46" s="192"/>
      <c r="K46" s="192"/>
      <c r="L46" s="192"/>
      <c r="M46" s="192"/>
      <c r="N46" s="192"/>
      <c r="O46" s="192"/>
      <c r="P46" s="192"/>
      <c r="Q46" s="192"/>
      <c r="R46" s="192"/>
      <c r="S46" s="192"/>
      <c r="T46" s="192"/>
      <c r="U46" s="192"/>
      <c r="V46" s="192"/>
      <c r="W46" s="192"/>
      <c r="X46" s="192"/>
      <c r="Y46" s="192"/>
      <c r="Z46" s="192"/>
    </row>
    <row r="47" spans="1:26" ht="18" customHeight="1" x14ac:dyDescent="0.15">
      <c r="A47" s="192"/>
      <c r="B47" s="192"/>
      <c r="C47" s="192"/>
      <c r="D47" s="192"/>
      <c r="E47" s="192"/>
      <c r="F47" s="192"/>
      <c r="G47" s="192"/>
      <c r="H47" s="192"/>
      <c r="I47" s="192"/>
      <c r="J47" s="192"/>
      <c r="K47" s="192"/>
      <c r="L47" s="192"/>
      <c r="M47" s="192"/>
      <c r="N47" s="192"/>
      <c r="O47" s="192"/>
      <c r="P47" s="192"/>
      <c r="Q47" s="192"/>
      <c r="R47" s="192"/>
      <c r="S47" s="192"/>
      <c r="T47" s="192"/>
      <c r="U47" s="192"/>
      <c r="V47" s="192"/>
      <c r="W47" s="192"/>
      <c r="X47" s="192"/>
      <c r="Y47" s="192"/>
      <c r="Z47" s="192"/>
    </row>
    <row r="48" spans="1:26" ht="18" customHeight="1" x14ac:dyDescent="0.15">
      <c r="A48" s="14"/>
      <c r="B48" s="150" t="s">
        <v>100</v>
      </c>
      <c r="C48" s="151"/>
      <c r="D48" s="151"/>
      <c r="E48" s="151"/>
      <c r="F48" s="152"/>
      <c r="G48" s="30" t="s">
        <v>141</v>
      </c>
      <c r="H48" s="110" t="s">
        <v>140</v>
      </c>
      <c r="I48" s="150" t="s">
        <v>101</v>
      </c>
      <c r="J48" s="151"/>
      <c r="K48" s="152"/>
      <c r="L48" s="73" t="s">
        <v>106</v>
      </c>
      <c r="M48" s="73" t="s">
        <v>108</v>
      </c>
      <c r="N48" s="150" t="s">
        <v>100</v>
      </c>
      <c r="O48" s="151"/>
      <c r="P48" s="151"/>
      <c r="Q48" s="151"/>
      <c r="R48" s="151"/>
      <c r="S48" s="152"/>
      <c r="T48" s="30" t="s">
        <v>141</v>
      </c>
      <c r="U48" s="110" t="s">
        <v>140</v>
      </c>
      <c r="V48" s="150" t="s">
        <v>101</v>
      </c>
      <c r="W48" s="151"/>
      <c r="X48" s="152"/>
      <c r="Y48" s="73" t="s">
        <v>106</v>
      </c>
      <c r="Z48" s="73" t="s">
        <v>108</v>
      </c>
    </row>
    <row r="49" spans="1:26" ht="18" customHeight="1" x14ac:dyDescent="0.15">
      <c r="A49" s="29"/>
      <c r="B49" s="256" t="s">
        <v>217</v>
      </c>
      <c r="C49" s="257"/>
      <c r="D49" s="257"/>
      <c r="E49" s="257"/>
      <c r="F49" s="263"/>
      <c r="G49" s="112">
        <v>2</v>
      </c>
      <c r="H49" s="112"/>
      <c r="I49" s="258" t="s">
        <v>214</v>
      </c>
      <c r="J49" s="259"/>
      <c r="K49" s="260"/>
      <c r="L49" s="112" t="s">
        <v>164</v>
      </c>
      <c r="M49" s="112" t="s">
        <v>164</v>
      </c>
      <c r="N49" s="245"/>
      <c r="O49" s="246"/>
      <c r="P49" s="246"/>
      <c r="Q49" s="246"/>
      <c r="R49" s="246"/>
      <c r="S49" s="247"/>
      <c r="T49" s="111"/>
      <c r="U49" s="111"/>
      <c r="V49" s="258"/>
      <c r="W49" s="259"/>
      <c r="X49" s="260"/>
      <c r="Y49" s="111"/>
      <c r="Z49" s="111"/>
    </row>
    <row r="50" spans="1:26" ht="18" customHeight="1" x14ac:dyDescent="0.15">
      <c r="A50" s="29"/>
      <c r="B50" s="181"/>
      <c r="C50" s="182"/>
      <c r="D50" s="182"/>
      <c r="E50" s="182"/>
      <c r="F50" s="188"/>
      <c r="G50" s="112"/>
      <c r="H50" s="112"/>
      <c r="I50" s="183"/>
      <c r="J50" s="184"/>
      <c r="K50" s="185"/>
      <c r="L50" s="112"/>
      <c r="M50" s="112"/>
      <c r="N50" s="189"/>
      <c r="O50" s="190"/>
      <c r="P50" s="190"/>
      <c r="Q50" s="190"/>
      <c r="R50" s="190"/>
      <c r="S50" s="191"/>
      <c r="T50" s="112"/>
      <c r="U50" s="112"/>
      <c r="V50" s="183"/>
      <c r="W50" s="184"/>
      <c r="X50" s="185"/>
      <c r="Y50" s="112"/>
      <c r="Z50" s="112"/>
    </row>
    <row r="51" spans="1:26" ht="18" customHeight="1" x14ac:dyDescent="0.15">
      <c r="A51" s="29"/>
      <c r="B51" s="181"/>
      <c r="C51" s="182"/>
      <c r="D51" s="182"/>
      <c r="E51" s="182"/>
      <c r="F51" s="188"/>
      <c r="G51" s="112"/>
      <c r="H51" s="112"/>
      <c r="I51" s="183"/>
      <c r="J51" s="184"/>
      <c r="K51" s="185"/>
      <c r="L51" s="112"/>
      <c r="M51" s="112"/>
      <c r="N51" s="189"/>
      <c r="O51" s="190"/>
      <c r="P51" s="190"/>
      <c r="Q51" s="190"/>
      <c r="R51" s="190"/>
      <c r="S51" s="191"/>
      <c r="T51" s="112"/>
      <c r="U51" s="112"/>
      <c r="V51" s="183"/>
      <c r="W51" s="184"/>
      <c r="X51" s="185"/>
      <c r="Y51" s="112"/>
      <c r="Z51" s="112"/>
    </row>
    <row r="52" spans="1:26" ht="18" customHeight="1" x14ac:dyDescent="0.15">
      <c r="A52" s="29"/>
      <c r="B52" s="181"/>
      <c r="C52" s="182"/>
      <c r="D52" s="182"/>
      <c r="E52" s="182"/>
      <c r="F52" s="188"/>
      <c r="G52" s="112"/>
      <c r="H52" s="112"/>
      <c r="I52" s="183"/>
      <c r="J52" s="184"/>
      <c r="K52" s="185"/>
      <c r="L52" s="112"/>
      <c r="M52" s="112"/>
      <c r="N52" s="189"/>
      <c r="O52" s="190"/>
      <c r="P52" s="190"/>
      <c r="Q52" s="190"/>
      <c r="R52" s="190"/>
      <c r="S52" s="191"/>
      <c r="T52" s="112"/>
      <c r="U52" s="112"/>
      <c r="V52" s="183"/>
      <c r="W52" s="184"/>
      <c r="X52" s="185"/>
      <c r="Y52" s="112"/>
      <c r="Z52" s="112"/>
    </row>
    <row r="53" spans="1:26" ht="18" customHeight="1" x14ac:dyDescent="0.15">
      <c r="A53" s="29"/>
      <c r="B53" s="181"/>
      <c r="C53" s="182"/>
      <c r="D53" s="182"/>
      <c r="E53" s="182"/>
      <c r="F53" s="188"/>
      <c r="G53" s="112"/>
      <c r="H53" s="112"/>
      <c r="I53" s="183"/>
      <c r="J53" s="184"/>
      <c r="K53" s="185"/>
      <c r="L53" s="112"/>
      <c r="M53" s="112"/>
      <c r="N53" s="189"/>
      <c r="O53" s="190"/>
      <c r="P53" s="190"/>
      <c r="Q53" s="190"/>
      <c r="R53" s="190"/>
      <c r="S53" s="191"/>
      <c r="T53" s="112"/>
      <c r="U53" s="112"/>
      <c r="V53" s="183"/>
      <c r="W53" s="184"/>
      <c r="X53" s="185"/>
      <c r="Y53" s="112"/>
      <c r="Z53" s="112"/>
    </row>
    <row r="54" spans="1:26" ht="18" customHeight="1" x14ac:dyDescent="0.15">
      <c r="A54" s="29"/>
      <c r="B54" s="181"/>
      <c r="C54" s="182"/>
      <c r="D54" s="182"/>
      <c r="E54" s="182"/>
      <c r="F54" s="188"/>
      <c r="G54" s="112"/>
      <c r="H54" s="112"/>
      <c r="I54" s="183"/>
      <c r="J54" s="184"/>
      <c r="K54" s="185"/>
      <c r="L54" s="112"/>
      <c r="M54" s="112"/>
      <c r="N54" s="189"/>
      <c r="O54" s="190"/>
      <c r="P54" s="190"/>
      <c r="Q54" s="190"/>
      <c r="R54" s="190"/>
      <c r="S54" s="191"/>
      <c r="T54" s="112"/>
      <c r="U54" s="112"/>
      <c r="V54" s="183"/>
      <c r="W54" s="184"/>
      <c r="X54" s="185"/>
      <c r="Y54" s="112"/>
      <c r="Z54" s="112"/>
    </row>
    <row r="55" spans="1:26" ht="18" customHeight="1" x14ac:dyDescent="0.15">
      <c r="A55" s="29"/>
      <c r="B55" s="193"/>
      <c r="C55" s="194"/>
      <c r="D55" s="194"/>
      <c r="E55" s="194"/>
      <c r="F55" s="195"/>
      <c r="G55" s="113"/>
      <c r="H55" s="113"/>
      <c r="I55" s="196"/>
      <c r="J55" s="197"/>
      <c r="K55" s="198"/>
      <c r="L55" s="116"/>
      <c r="M55" s="116"/>
      <c r="N55" s="199"/>
      <c r="O55" s="200"/>
      <c r="P55" s="200"/>
      <c r="Q55" s="200"/>
      <c r="R55" s="200"/>
      <c r="S55" s="201"/>
      <c r="T55" s="113"/>
      <c r="U55" s="113"/>
      <c r="V55" s="196"/>
      <c r="W55" s="197"/>
      <c r="X55" s="198"/>
      <c r="Y55" s="116"/>
      <c r="Z55" s="116"/>
    </row>
    <row r="56" spans="1:26" ht="7.5" customHeight="1" x14ac:dyDescent="0.15">
      <c r="B56" s="75"/>
      <c r="C56" s="75"/>
      <c r="D56" s="75"/>
      <c r="E56" s="75"/>
      <c r="F56" s="75"/>
      <c r="G56" s="75"/>
      <c r="H56" s="75"/>
      <c r="I56" s="75"/>
      <c r="J56" s="75"/>
      <c r="K56" s="75"/>
      <c r="L56" s="75"/>
      <c r="M56" s="75"/>
      <c r="N56" s="75"/>
      <c r="O56" s="75"/>
      <c r="P56" s="75"/>
      <c r="Q56" s="75"/>
      <c r="R56" s="75"/>
      <c r="S56" s="75"/>
      <c r="T56" s="75"/>
      <c r="U56" s="75"/>
      <c r="V56" s="75"/>
      <c r="W56" s="75"/>
      <c r="X56" s="75"/>
      <c r="Y56" s="75"/>
    </row>
    <row r="57" spans="1:26" ht="18" customHeight="1" x14ac:dyDescent="0.15">
      <c r="A57" s="192" t="s">
        <v>133</v>
      </c>
      <c r="B57" s="192"/>
      <c r="C57" s="192"/>
      <c r="D57" s="192"/>
      <c r="E57" s="192"/>
      <c r="F57" s="192"/>
      <c r="G57" s="192"/>
      <c r="H57" s="192"/>
      <c r="I57" s="192"/>
      <c r="J57" s="192"/>
      <c r="K57" s="192"/>
      <c r="L57" s="192"/>
      <c r="M57" s="192"/>
      <c r="N57" s="192"/>
      <c r="O57" s="192"/>
      <c r="P57" s="192"/>
      <c r="Q57" s="192"/>
      <c r="R57" s="192"/>
      <c r="S57" s="192"/>
      <c r="T57" s="192"/>
      <c r="U57" s="192"/>
      <c r="V57" s="192"/>
      <c r="W57" s="192"/>
      <c r="X57" s="192"/>
      <c r="Y57" s="192"/>
      <c r="Z57" s="192"/>
    </row>
    <row r="58" spans="1:26" ht="18" customHeight="1" x14ac:dyDescent="0.15">
      <c r="A58" s="192"/>
      <c r="B58" s="192"/>
      <c r="C58" s="192"/>
      <c r="D58" s="192"/>
      <c r="E58" s="192"/>
      <c r="F58" s="192"/>
      <c r="G58" s="192"/>
      <c r="H58" s="192"/>
      <c r="I58" s="192"/>
      <c r="J58" s="192"/>
      <c r="K58" s="192"/>
      <c r="L58" s="192"/>
      <c r="M58" s="192"/>
      <c r="N58" s="192"/>
      <c r="O58" s="192"/>
      <c r="P58" s="192"/>
      <c r="Q58" s="192"/>
      <c r="R58" s="192"/>
      <c r="S58" s="192"/>
      <c r="T58" s="192"/>
      <c r="U58" s="192"/>
      <c r="V58" s="192"/>
      <c r="W58" s="192"/>
      <c r="X58" s="192"/>
      <c r="Y58" s="192"/>
      <c r="Z58" s="192"/>
    </row>
    <row r="59" spans="1:26" ht="18" customHeight="1" x14ac:dyDescent="0.15">
      <c r="A59" s="14"/>
      <c r="B59" s="150" t="s">
        <v>100</v>
      </c>
      <c r="C59" s="151"/>
      <c r="D59" s="151"/>
      <c r="E59" s="152"/>
      <c r="F59" s="30" t="s">
        <v>141</v>
      </c>
      <c r="G59" s="110" t="s">
        <v>140</v>
      </c>
      <c r="H59" s="105" t="s">
        <v>101</v>
      </c>
      <c r="I59" s="106"/>
      <c r="J59" s="107"/>
      <c r="K59" s="73" t="s">
        <v>105</v>
      </c>
      <c r="L59" s="73" t="s">
        <v>134</v>
      </c>
      <c r="M59" s="73" t="s">
        <v>135</v>
      </c>
      <c r="N59" s="150" t="s">
        <v>100</v>
      </c>
      <c r="O59" s="151"/>
      <c r="P59" s="151"/>
      <c r="Q59" s="151"/>
      <c r="R59" s="152"/>
      <c r="S59" s="30" t="s">
        <v>141</v>
      </c>
      <c r="T59" s="110" t="s">
        <v>140</v>
      </c>
      <c r="U59" s="105" t="s">
        <v>101</v>
      </c>
      <c r="V59" s="106"/>
      <c r="W59" s="107"/>
      <c r="X59" s="73" t="s">
        <v>105</v>
      </c>
      <c r="Y59" s="73" t="s">
        <v>134</v>
      </c>
      <c r="Z59" s="73" t="s">
        <v>135</v>
      </c>
    </row>
    <row r="60" spans="1:26" ht="18" customHeight="1" x14ac:dyDescent="0.15">
      <c r="A60" s="29"/>
      <c r="B60" s="256" t="s">
        <v>211</v>
      </c>
      <c r="C60" s="257"/>
      <c r="D60" s="257"/>
      <c r="E60" s="263"/>
      <c r="F60" s="112">
        <v>2</v>
      </c>
      <c r="G60" s="112"/>
      <c r="H60" s="258" t="s">
        <v>214</v>
      </c>
      <c r="I60" s="259"/>
      <c r="J60" s="260"/>
      <c r="K60" s="120" t="s">
        <v>197</v>
      </c>
      <c r="L60" s="112" t="s">
        <v>164</v>
      </c>
      <c r="M60" s="112" t="s">
        <v>164</v>
      </c>
      <c r="N60" s="245"/>
      <c r="O60" s="246"/>
      <c r="P60" s="246"/>
      <c r="Q60" s="246"/>
      <c r="R60" s="247"/>
      <c r="S60" s="111"/>
      <c r="T60" s="111"/>
      <c r="U60" s="258"/>
      <c r="V60" s="259"/>
      <c r="W60" s="260"/>
      <c r="X60" s="122"/>
      <c r="Y60" s="111"/>
      <c r="Z60" s="111"/>
    </row>
    <row r="61" spans="1:26" ht="18" customHeight="1" x14ac:dyDescent="0.15">
      <c r="A61" s="29"/>
      <c r="B61" s="181" t="s">
        <v>213</v>
      </c>
      <c r="C61" s="182"/>
      <c r="D61" s="182"/>
      <c r="E61" s="188"/>
      <c r="F61" s="112">
        <v>2</v>
      </c>
      <c r="G61" s="112"/>
      <c r="H61" s="183" t="s">
        <v>214</v>
      </c>
      <c r="I61" s="184"/>
      <c r="J61" s="185"/>
      <c r="K61" s="120" t="s">
        <v>197</v>
      </c>
      <c r="L61" s="112" t="s">
        <v>164</v>
      </c>
      <c r="M61" s="112" t="s">
        <v>164</v>
      </c>
      <c r="N61" s="189"/>
      <c r="O61" s="190"/>
      <c r="P61" s="190"/>
      <c r="Q61" s="190"/>
      <c r="R61" s="191"/>
      <c r="S61" s="112"/>
      <c r="T61" s="112"/>
      <c r="U61" s="183"/>
      <c r="V61" s="184"/>
      <c r="W61" s="185"/>
      <c r="X61" s="120"/>
      <c r="Y61" s="112"/>
      <c r="Z61" s="112"/>
    </row>
    <row r="62" spans="1:26" ht="18" customHeight="1" x14ac:dyDescent="0.15">
      <c r="A62" s="29"/>
      <c r="B62" s="189" t="s">
        <v>215</v>
      </c>
      <c r="C62" s="190"/>
      <c r="D62" s="190"/>
      <c r="E62" s="191"/>
      <c r="F62" s="112">
        <v>2</v>
      </c>
      <c r="G62" s="112"/>
      <c r="H62" s="183" t="s">
        <v>214</v>
      </c>
      <c r="I62" s="184"/>
      <c r="J62" s="185"/>
      <c r="K62" s="120" t="s">
        <v>197</v>
      </c>
      <c r="L62" s="112" t="s">
        <v>164</v>
      </c>
      <c r="M62" s="112" t="s">
        <v>164</v>
      </c>
      <c r="N62" s="189"/>
      <c r="O62" s="190"/>
      <c r="P62" s="190"/>
      <c r="Q62" s="190"/>
      <c r="R62" s="191"/>
      <c r="S62" s="112"/>
      <c r="T62" s="112"/>
      <c r="U62" s="183"/>
      <c r="V62" s="184"/>
      <c r="W62" s="185"/>
      <c r="X62" s="120"/>
      <c r="Y62" s="112"/>
      <c r="Z62" s="112"/>
    </row>
    <row r="63" spans="1:26" ht="18" customHeight="1" x14ac:dyDescent="0.15">
      <c r="A63" s="29"/>
      <c r="B63" s="312" t="s">
        <v>220</v>
      </c>
      <c r="C63" s="313"/>
      <c r="D63" s="313"/>
      <c r="E63" s="314"/>
      <c r="F63" s="124">
        <v>2</v>
      </c>
      <c r="G63" s="124"/>
      <c r="H63" s="279" t="s">
        <v>214</v>
      </c>
      <c r="I63" s="280"/>
      <c r="J63" s="281"/>
      <c r="K63" s="126" t="s">
        <v>197</v>
      </c>
      <c r="L63" s="124" t="s">
        <v>164</v>
      </c>
      <c r="M63" s="124" t="s">
        <v>164</v>
      </c>
      <c r="N63" s="312"/>
      <c r="O63" s="313"/>
      <c r="P63" s="313"/>
      <c r="Q63" s="313"/>
      <c r="R63" s="314"/>
      <c r="S63" s="112"/>
      <c r="T63" s="112"/>
      <c r="U63" s="183"/>
      <c r="V63" s="184"/>
      <c r="W63" s="185"/>
      <c r="X63" s="120"/>
      <c r="Y63" s="112"/>
      <c r="Z63" s="112"/>
    </row>
    <row r="64" spans="1:26" ht="18" customHeight="1" x14ac:dyDescent="0.15">
      <c r="A64" s="29"/>
      <c r="B64" s="181"/>
      <c r="C64" s="182"/>
      <c r="D64" s="182"/>
      <c r="E64" s="188"/>
      <c r="F64" s="112"/>
      <c r="G64" s="112"/>
      <c r="H64" s="183"/>
      <c r="I64" s="184"/>
      <c r="J64" s="185"/>
      <c r="K64" s="120"/>
      <c r="L64" s="112"/>
      <c r="M64" s="112"/>
      <c r="N64" s="189"/>
      <c r="O64" s="190"/>
      <c r="P64" s="190"/>
      <c r="Q64" s="190"/>
      <c r="R64" s="191"/>
      <c r="S64" s="112"/>
      <c r="T64" s="112"/>
      <c r="U64" s="183"/>
      <c r="V64" s="184"/>
      <c r="W64" s="185"/>
      <c r="X64" s="120"/>
      <c r="Y64" s="112"/>
      <c r="Z64" s="112"/>
    </row>
    <row r="65" spans="1:26" ht="18" customHeight="1" x14ac:dyDescent="0.15">
      <c r="A65" s="29"/>
      <c r="B65" s="189"/>
      <c r="C65" s="190"/>
      <c r="D65" s="190"/>
      <c r="E65" s="191"/>
      <c r="F65" s="112"/>
      <c r="G65" s="112"/>
      <c r="H65" s="183"/>
      <c r="I65" s="184"/>
      <c r="J65" s="185"/>
      <c r="K65" s="120"/>
      <c r="L65" s="112"/>
      <c r="M65" s="112"/>
      <c r="N65" s="189"/>
      <c r="O65" s="190"/>
      <c r="P65" s="190"/>
      <c r="Q65" s="190"/>
      <c r="R65" s="191"/>
      <c r="S65" s="112"/>
      <c r="T65" s="112"/>
      <c r="U65" s="183"/>
      <c r="V65" s="184"/>
      <c r="W65" s="185"/>
      <c r="X65" s="120"/>
      <c r="Y65" s="112"/>
      <c r="Z65" s="112"/>
    </row>
    <row r="66" spans="1:26" ht="18" customHeight="1" x14ac:dyDescent="0.15">
      <c r="A66" s="29"/>
      <c r="B66" s="199"/>
      <c r="C66" s="200"/>
      <c r="D66" s="200"/>
      <c r="E66" s="201"/>
      <c r="F66" s="116"/>
      <c r="G66" s="116"/>
      <c r="H66" s="196"/>
      <c r="I66" s="197"/>
      <c r="J66" s="198"/>
      <c r="K66" s="121"/>
      <c r="L66" s="116"/>
      <c r="M66" s="116"/>
      <c r="N66" s="199"/>
      <c r="O66" s="200"/>
      <c r="P66" s="200"/>
      <c r="Q66" s="200"/>
      <c r="R66" s="201"/>
      <c r="S66" s="113"/>
      <c r="T66" s="113"/>
      <c r="U66" s="196"/>
      <c r="V66" s="197"/>
      <c r="W66" s="198"/>
      <c r="X66" s="121"/>
      <c r="Y66" s="116"/>
      <c r="Z66" s="116"/>
    </row>
    <row r="67" spans="1:26" ht="7.5" customHeight="1" x14ac:dyDescent="0.15">
      <c r="B67" s="75"/>
      <c r="C67" s="75"/>
      <c r="D67" s="75"/>
      <c r="E67" s="75"/>
      <c r="F67" s="75"/>
      <c r="G67" s="75"/>
      <c r="H67" s="75"/>
      <c r="I67" s="75"/>
      <c r="J67" s="75"/>
      <c r="K67" s="75"/>
      <c r="L67" s="75"/>
      <c r="M67" s="75"/>
      <c r="N67" s="75"/>
      <c r="O67" s="75"/>
      <c r="P67" s="75"/>
      <c r="Q67" s="75"/>
      <c r="R67" s="75"/>
      <c r="S67" s="75"/>
      <c r="T67" s="75"/>
      <c r="U67" s="75"/>
      <c r="V67" s="75"/>
      <c r="W67" s="75"/>
      <c r="X67" s="75"/>
      <c r="Y67" s="75"/>
    </row>
    <row r="68" spans="1:26" ht="18" customHeight="1" x14ac:dyDescent="0.15">
      <c r="A68" s="14" t="s">
        <v>136</v>
      </c>
      <c r="B68" s="14"/>
      <c r="C68" s="14"/>
      <c r="D68" s="14"/>
      <c r="E68" s="14"/>
      <c r="F68" s="14"/>
      <c r="G68" s="14"/>
      <c r="H68" s="14"/>
      <c r="I68" s="14"/>
      <c r="J68" s="14"/>
      <c r="K68" s="14"/>
      <c r="L68" s="29"/>
      <c r="M68" s="29"/>
      <c r="N68" s="29"/>
      <c r="O68" s="29"/>
      <c r="P68" s="29"/>
      <c r="Q68" s="29"/>
      <c r="R68" s="29"/>
      <c r="S68" s="29"/>
      <c r="T68" s="29"/>
      <c r="U68" s="29"/>
      <c r="V68" s="29"/>
      <c r="W68" s="29"/>
      <c r="X68" s="29"/>
      <c r="Y68" s="29"/>
      <c r="Z68" s="29"/>
    </row>
    <row r="69" spans="1:26" ht="18" customHeight="1" x14ac:dyDescent="0.15">
      <c r="A69" s="14"/>
      <c r="B69" s="150" t="s">
        <v>100</v>
      </c>
      <c r="C69" s="151"/>
      <c r="D69" s="151"/>
      <c r="E69" s="151"/>
      <c r="F69" s="152"/>
      <c r="G69" s="150" t="s">
        <v>146</v>
      </c>
      <c r="H69" s="151"/>
      <c r="I69" s="151"/>
      <c r="J69" s="151"/>
      <c r="K69" s="151"/>
      <c r="L69" s="151"/>
      <c r="M69" s="152"/>
      <c r="N69" s="253" t="s">
        <v>100</v>
      </c>
      <c r="O69" s="254"/>
      <c r="P69" s="254"/>
      <c r="Q69" s="254"/>
      <c r="R69" s="254"/>
      <c r="S69" s="255"/>
      <c r="T69" s="150" t="s">
        <v>146</v>
      </c>
      <c r="U69" s="151"/>
      <c r="V69" s="151"/>
      <c r="W69" s="151"/>
      <c r="X69" s="151"/>
      <c r="Y69" s="151"/>
      <c r="Z69" s="152"/>
    </row>
    <row r="70" spans="1:26" ht="18" customHeight="1" x14ac:dyDescent="0.15">
      <c r="A70" s="29"/>
      <c r="B70" s="245"/>
      <c r="C70" s="246"/>
      <c r="D70" s="246"/>
      <c r="E70" s="246"/>
      <c r="F70" s="247"/>
      <c r="G70" s="248"/>
      <c r="H70" s="249"/>
      <c r="I70" s="249"/>
      <c r="J70" s="249"/>
      <c r="K70" s="249"/>
      <c r="L70" s="249"/>
      <c r="M70" s="250"/>
      <c r="N70" s="245"/>
      <c r="O70" s="246"/>
      <c r="P70" s="246"/>
      <c r="Q70" s="246"/>
      <c r="R70" s="246"/>
      <c r="S70" s="247"/>
      <c r="T70" s="248"/>
      <c r="U70" s="249"/>
      <c r="V70" s="249"/>
      <c r="W70" s="249"/>
      <c r="X70" s="249"/>
      <c r="Y70" s="249"/>
      <c r="Z70" s="250"/>
    </row>
    <row r="71" spans="1:26" ht="18" customHeight="1" x14ac:dyDescent="0.15">
      <c r="A71" s="29"/>
      <c r="B71" s="189"/>
      <c r="C71" s="190"/>
      <c r="D71" s="190"/>
      <c r="E71" s="190"/>
      <c r="F71" s="191"/>
      <c r="G71" s="242"/>
      <c r="H71" s="243"/>
      <c r="I71" s="243"/>
      <c r="J71" s="243"/>
      <c r="K71" s="243"/>
      <c r="L71" s="243"/>
      <c r="M71" s="244"/>
      <c r="N71" s="189"/>
      <c r="O71" s="190"/>
      <c r="P71" s="190"/>
      <c r="Q71" s="190"/>
      <c r="R71" s="190"/>
      <c r="S71" s="191"/>
      <c r="T71" s="242"/>
      <c r="U71" s="243"/>
      <c r="V71" s="243"/>
      <c r="W71" s="243"/>
      <c r="X71" s="243"/>
      <c r="Y71" s="243"/>
      <c r="Z71" s="244"/>
    </row>
    <row r="72" spans="1:26" ht="18" customHeight="1" x14ac:dyDescent="0.15">
      <c r="A72" s="29"/>
      <c r="B72" s="189"/>
      <c r="C72" s="190"/>
      <c r="D72" s="190"/>
      <c r="E72" s="190"/>
      <c r="F72" s="191"/>
      <c r="G72" s="242"/>
      <c r="H72" s="243"/>
      <c r="I72" s="243"/>
      <c r="J72" s="243"/>
      <c r="K72" s="243"/>
      <c r="L72" s="243"/>
      <c r="M72" s="244"/>
      <c r="N72" s="189"/>
      <c r="O72" s="190"/>
      <c r="P72" s="190"/>
      <c r="Q72" s="190"/>
      <c r="R72" s="190"/>
      <c r="S72" s="191"/>
      <c r="T72" s="242"/>
      <c r="U72" s="243"/>
      <c r="V72" s="243"/>
      <c r="W72" s="243"/>
      <c r="X72" s="243"/>
      <c r="Y72" s="243"/>
      <c r="Z72" s="244"/>
    </row>
    <row r="73" spans="1:26" ht="18" customHeight="1" x14ac:dyDescent="0.15">
      <c r="A73" s="29"/>
      <c r="B73" s="189"/>
      <c r="C73" s="190"/>
      <c r="D73" s="190"/>
      <c r="E73" s="190"/>
      <c r="F73" s="191"/>
      <c r="G73" s="242"/>
      <c r="H73" s="243"/>
      <c r="I73" s="243"/>
      <c r="J73" s="243"/>
      <c r="K73" s="243"/>
      <c r="L73" s="243"/>
      <c r="M73" s="244"/>
      <c r="N73" s="189"/>
      <c r="O73" s="190"/>
      <c r="P73" s="190"/>
      <c r="Q73" s="190"/>
      <c r="R73" s="190"/>
      <c r="S73" s="191"/>
      <c r="T73" s="242"/>
      <c r="U73" s="243"/>
      <c r="V73" s="243"/>
      <c r="W73" s="243"/>
      <c r="X73" s="243"/>
      <c r="Y73" s="243"/>
      <c r="Z73" s="244"/>
    </row>
    <row r="74" spans="1:26" ht="18" customHeight="1" x14ac:dyDescent="0.15">
      <c r="A74" s="29"/>
      <c r="B74" s="189"/>
      <c r="C74" s="190"/>
      <c r="D74" s="190"/>
      <c r="E74" s="190"/>
      <c r="F74" s="191"/>
      <c r="G74" s="242"/>
      <c r="H74" s="243"/>
      <c r="I74" s="243"/>
      <c r="J74" s="243"/>
      <c r="K74" s="243"/>
      <c r="L74" s="243"/>
      <c r="M74" s="244"/>
      <c r="N74" s="189"/>
      <c r="O74" s="190"/>
      <c r="P74" s="190"/>
      <c r="Q74" s="190"/>
      <c r="R74" s="190"/>
      <c r="S74" s="191"/>
      <c r="T74" s="242"/>
      <c r="U74" s="243"/>
      <c r="V74" s="243"/>
      <c r="W74" s="243"/>
      <c r="X74" s="243"/>
      <c r="Y74" s="243"/>
      <c r="Z74" s="244"/>
    </row>
    <row r="75" spans="1:26" ht="18" customHeight="1" x14ac:dyDescent="0.15">
      <c r="A75" s="29"/>
      <c r="B75" s="189"/>
      <c r="C75" s="190"/>
      <c r="D75" s="190"/>
      <c r="E75" s="190"/>
      <c r="F75" s="191"/>
      <c r="G75" s="242"/>
      <c r="H75" s="243"/>
      <c r="I75" s="243"/>
      <c r="J75" s="243"/>
      <c r="K75" s="243"/>
      <c r="L75" s="243"/>
      <c r="M75" s="244"/>
      <c r="N75" s="189"/>
      <c r="O75" s="190"/>
      <c r="P75" s="190"/>
      <c r="Q75" s="190"/>
      <c r="R75" s="190"/>
      <c r="S75" s="191"/>
      <c r="T75" s="242"/>
      <c r="U75" s="243"/>
      <c r="V75" s="243"/>
      <c r="W75" s="243"/>
      <c r="X75" s="243"/>
      <c r="Y75" s="243"/>
      <c r="Z75" s="244"/>
    </row>
    <row r="76" spans="1:26" ht="18" customHeight="1" x14ac:dyDescent="0.15">
      <c r="A76" s="29"/>
      <c r="B76" s="199"/>
      <c r="C76" s="200"/>
      <c r="D76" s="200"/>
      <c r="E76" s="200"/>
      <c r="F76" s="201"/>
      <c r="G76" s="235"/>
      <c r="H76" s="236"/>
      <c r="I76" s="236"/>
      <c r="J76" s="236"/>
      <c r="K76" s="236"/>
      <c r="L76" s="236"/>
      <c r="M76" s="237"/>
      <c r="N76" s="199"/>
      <c r="O76" s="200"/>
      <c r="P76" s="200"/>
      <c r="Q76" s="200"/>
      <c r="R76" s="200"/>
      <c r="S76" s="201"/>
      <c r="T76" s="235"/>
      <c r="U76" s="236"/>
      <c r="V76" s="236"/>
      <c r="W76" s="236"/>
      <c r="X76" s="236"/>
      <c r="Y76" s="236"/>
      <c r="Z76" s="237"/>
    </row>
    <row r="77" spans="1:26" ht="18" customHeight="1" x14ac:dyDescent="0.15">
      <c r="A77" s="29"/>
      <c r="B77" s="119"/>
      <c r="C77" s="119"/>
      <c r="D77" s="119"/>
      <c r="E77" s="119"/>
      <c r="F77" s="119"/>
      <c r="G77" s="12"/>
      <c r="H77" s="12"/>
      <c r="I77" s="12"/>
      <c r="J77" s="12"/>
      <c r="K77" s="12"/>
      <c r="L77" s="12"/>
      <c r="M77" s="12"/>
      <c r="N77" s="119"/>
      <c r="O77" s="119"/>
      <c r="P77" s="119"/>
      <c r="Q77" s="119"/>
      <c r="R77" s="119"/>
      <c r="S77" s="119"/>
      <c r="T77" s="12"/>
      <c r="U77" s="12"/>
      <c r="V77" s="12"/>
      <c r="W77" s="12"/>
      <c r="X77" s="12"/>
      <c r="Y77" s="12"/>
      <c r="Z77" s="12"/>
    </row>
    <row r="78" spans="1:26" ht="18.75" customHeight="1" x14ac:dyDescent="0.15">
      <c r="A78" s="13" t="s">
        <v>142</v>
      </c>
    </row>
    <row r="79" spans="1:26" ht="18.75" customHeight="1" x14ac:dyDescent="0.15">
      <c r="B79" s="76" t="s">
        <v>102</v>
      </c>
      <c r="C79" s="77"/>
      <c r="D79" s="238" t="s">
        <v>103</v>
      </c>
      <c r="E79" s="238"/>
      <c r="F79" s="238"/>
      <c r="G79" s="238"/>
      <c r="H79" s="238"/>
      <c r="I79" s="238"/>
      <c r="J79" s="238"/>
      <c r="K79" s="238"/>
      <c r="L79" s="238"/>
      <c r="M79" s="238"/>
      <c r="N79" s="238"/>
      <c r="O79" s="238"/>
      <c r="P79" s="238"/>
      <c r="Q79" s="238"/>
      <c r="R79" s="238"/>
      <c r="S79" s="238"/>
      <c r="T79" s="238"/>
      <c r="U79" s="238"/>
      <c r="V79" s="238"/>
      <c r="W79" s="238"/>
      <c r="X79" s="238"/>
      <c r="Y79" s="238"/>
      <c r="Z79" s="239"/>
    </row>
    <row r="80" spans="1:26" ht="78" customHeight="1" x14ac:dyDescent="0.15">
      <c r="B80" s="214" t="s">
        <v>109</v>
      </c>
      <c r="C80" s="83" t="s">
        <v>104</v>
      </c>
      <c r="D80" s="331" t="s">
        <v>274</v>
      </c>
      <c r="E80" s="332"/>
      <c r="F80" s="332"/>
      <c r="G80" s="332"/>
      <c r="H80" s="332"/>
      <c r="I80" s="332"/>
      <c r="J80" s="332"/>
      <c r="K80" s="332"/>
      <c r="L80" s="332"/>
      <c r="M80" s="332"/>
      <c r="N80" s="332"/>
      <c r="O80" s="332"/>
      <c r="P80" s="332"/>
      <c r="Q80" s="332"/>
      <c r="R80" s="332"/>
      <c r="S80" s="332"/>
      <c r="T80" s="332"/>
      <c r="U80" s="332"/>
      <c r="V80" s="332"/>
      <c r="W80" s="332"/>
      <c r="X80" s="332"/>
      <c r="Y80" s="332"/>
      <c r="Z80" s="333"/>
    </row>
    <row r="81" spans="1:26" ht="78" customHeight="1" x14ac:dyDescent="0.15">
      <c r="B81" s="329"/>
      <c r="C81" s="108" t="s">
        <v>137</v>
      </c>
      <c r="D81" s="328" t="s">
        <v>274</v>
      </c>
      <c r="E81" s="334"/>
      <c r="F81" s="334"/>
      <c r="G81" s="334"/>
      <c r="H81" s="334"/>
      <c r="I81" s="334"/>
      <c r="J81" s="334"/>
      <c r="K81" s="334"/>
      <c r="L81" s="334"/>
      <c r="M81" s="334"/>
      <c r="N81" s="334"/>
      <c r="O81" s="334"/>
      <c r="P81" s="334"/>
      <c r="Q81" s="334"/>
      <c r="R81" s="334"/>
      <c r="S81" s="334"/>
      <c r="T81" s="334"/>
      <c r="U81" s="334"/>
      <c r="V81" s="334"/>
      <c r="W81" s="334"/>
      <c r="X81" s="334"/>
      <c r="Y81" s="334"/>
      <c r="Z81" s="335"/>
    </row>
    <row r="82" spans="1:26" ht="78" customHeight="1" x14ac:dyDescent="0.15">
      <c r="B82" s="228" t="s">
        <v>110</v>
      </c>
      <c r="C82" s="78" t="s">
        <v>127</v>
      </c>
      <c r="D82" s="331" t="s">
        <v>275</v>
      </c>
      <c r="E82" s="332"/>
      <c r="F82" s="332"/>
      <c r="G82" s="332"/>
      <c r="H82" s="332"/>
      <c r="I82" s="332"/>
      <c r="J82" s="332"/>
      <c r="K82" s="332"/>
      <c r="L82" s="332"/>
      <c r="M82" s="332"/>
      <c r="N82" s="332"/>
      <c r="O82" s="332"/>
      <c r="P82" s="332"/>
      <c r="Q82" s="332"/>
      <c r="R82" s="332"/>
      <c r="S82" s="332"/>
      <c r="T82" s="332"/>
      <c r="U82" s="332"/>
      <c r="V82" s="332"/>
      <c r="W82" s="332"/>
      <c r="X82" s="332"/>
      <c r="Y82" s="332"/>
      <c r="Z82" s="333"/>
    </row>
    <row r="83" spans="1:26" ht="78" customHeight="1" x14ac:dyDescent="0.15">
      <c r="B83" s="220"/>
      <c r="C83" s="109" t="s">
        <v>128</v>
      </c>
      <c r="D83" s="328" t="s">
        <v>276</v>
      </c>
      <c r="E83" s="334"/>
      <c r="F83" s="334"/>
      <c r="G83" s="334"/>
      <c r="H83" s="334"/>
      <c r="I83" s="334"/>
      <c r="J83" s="334"/>
      <c r="K83" s="334"/>
      <c r="L83" s="334"/>
      <c r="M83" s="334"/>
      <c r="N83" s="334"/>
      <c r="O83" s="334"/>
      <c r="P83" s="334"/>
      <c r="Q83" s="334"/>
      <c r="R83" s="334"/>
      <c r="S83" s="334"/>
      <c r="T83" s="334"/>
      <c r="U83" s="334"/>
      <c r="V83" s="334"/>
      <c r="W83" s="334"/>
      <c r="X83" s="334"/>
      <c r="Y83" s="334"/>
      <c r="Z83" s="335"/>
    </row>
    <row r="84" spans="1:26" ht="66" customHeight="1" x14ac:dyDescent="0.15">
      <c r="B84" s="228" t="s">
        <v>111</v>
      </c>
      <c r="C84" s="78" t="s">
        <v>130</v>
      </c>
      <c r="D84" s="331" t="s">
        <v>277</v>
      </c>
      <c r="E84" s="332"/>
      <c r="F84" s="332"/>
      <c r="G84" s="332"/>
      <c r="H84" s="332"/>
      <c r="I84" s="332"/>
      <c r="J84" s="332"/>
      <c r="K84" s="332"/>
      <c r="L84" s="332"/>
      <c r="M84" s="332"/>
      <c r="N84" s="332"/>
      <c r="O84" s="332"/>
      <c r="P84" s="332"/>
      <c r="Q84" s="332"/>
      <c r="R84" s="332"/>
      <c r="S84" s="332"/>
      <c r="T84" s="332"/>
      <c r="U84" s="332"/>
      <c r="V84" s="332"/>
      <c r="W84" s="332"/>
      <c r="X84" s="332"/>
      <c r="Y84" s="332"/>
      <c r="Z84" s="333"/>
    </row>
    <row r="85" spans="1:26" ht="66" customHeight="1" x14ac:dyDescent="0.15">
      <c r="B85" s="220"/>
      <c r="C85" s="80" t="s">
        <v>131</v>
      </c>
      <c r="D85" s="328" t="s">
        <v>278</v>
      </c>
      <c r="E85" s="334"/>
      <c r="F85" s="334"/>
      <c r="G85" s="334"/>
      <c r="H85" s="334"/>
      <c r="I85" s="334"/>
      <c r="J85" s="334"/>
      <c r="K85" s="334"/>
      <c r="L85" s="334"/>
      <c r="M85" s="334"/>
      <c r="N85" s="334"/>
      <c r="O85" s="334"/>
      <c r="P85" s="334"/>
      <c r="Q85" s="334"/>
      <c r="R85" s="334"/>
      <c r="S85" s="334"/>
      <c r="T85" s="334"/>
      <c r="U85" s="334"/>
      <c r="V85" s="334"/>
      <c r="W85" s="334"/>
      <c r="X85" s="334"/>
      <c r="Y85" s="334"/>
      <c r="Z85" s="335"/>
    </row>
    <row r="86" spans="1:26" ht="66" customHeight="1" x14ac:dyDescent="0.15">
      <c r="B86" s="214" t="s">
        <v>138</v>
      </c>
      <c r="C86" s="83" t="s">
        <v>106</v>
      </c>
      <c r="D86" s="331" t="s">
        <v>279</v>
      </c>
      <c r="E86" s="332"/>
      <c r="F86" s="332"/>
      <c r="G86" s="332"/>
      <c r="H86" s="332"/>
      <c r="I86" s="332"/>
      <c r="J86" s="332"/>
      <c r="K86" s="332"/>
      <c r="L86" s="332"/>
      <c r="M86" s="332"/>
      <c r="N86" s="332"/>
      <c r="O86" s="332"/>
      <c r="P86" s="332"/>
      <c r="Q86" s="332"/>
      <c r="R86" s="332"/>
      <c r="S86" s="332"/>
      <c r="T86" s="332"/>
      <c r="U86" s="332"/>
      <c r="V86" s="332"/>
      <c r="W86" s="332"/>
      <c r="X86" s="332"/>
      <c r="Y86" s="332"/>
      <c r="Z86" s="333"/>
    </row>
    <row r="87" spans="1:26" ht="66" customHeight="1" x14ac:dyDescent="0.15">
      <c r="B87" s="215"/>
      <c r="C87" s="79" t="s">
        <v>108</v>
      </c>
      <c r="D87" s="328" t="s">
        <v>279</v>
      </c>
      <c r="E87" s="334"/>
      <c r="F87" s="334"/>
      <c r="G87" s="334"/>
      <c r="H87" s="334"/>
      <c r="I87" s="334"/>
      <c r="J87" s="334"/>
      <c r="K87" s="334"/>
      <c r="L87" s="334"/>
      <c r="M87" s="334"/>
      <c r="N87" s="334"/>
      <c r="O87" s="334"/>
      <c r="P87" s="334"/>
      <c r="Q87" s="334"/>
      <c r="R87" s="334"/>
      <c r="S87" s="334"/>
      <c r="T87" s="334"/>
      <c r="U87" s="334"/>
      <c r="V87" s="334"/>
      <c r="W87" s="334"/>
      <c r="X87" s="334"/>
      <c r="Y87" s="334"/>
      <c r="Z87" s="335"/>
    </row>
    <row r="88" spans="1:26" ht="66" customHeight="1" x14ac:dyDescent="0.15">
      <c r="B88" s="214" t="s">
        <v>139</v>
      </c>
      <c r="C88" s="78" t="s">
        <v>105</v>
      </c>
      <c r="D88" s="331" t="s">
        <v>280</v>
      </c>
      <c r="E88" s="332"/>
      <c r="F88" s="332"/>
      <c r="G88" s="332"/>
      <c r="H88" s="332"/>
      <c r="I88" s="332"/>
      <c r="J88" s="332"/>
      <c r="K88" s="332"/>
      <c r="L88" s="332"/>
      <c r="M88" s="332"/>
      <c r="N88" s="332"/>
      <c r="O88" s="332"/>
      <c r="P88" s="332"/>
      <c r="Q88" s="332"/>
      <c r="R88" s="332"/>
      <c r="S88" s="332"/>
      <c r="T88" s="332"/>
      <c r="U88" s="332"/>
      <c r="V88" s="332"/>
      <c r="W88" s="332"/>
      <c r="X88" s="332"/>
      <c r="Y88" s="332"/>
      <c r="Z88" s="333"/>
    </row>
    <row r="89" spans="1:26" ht="66" customHeight="1" x14ac:dyDescent="0.15">
      <c r="B89" s="329"/>
      <c r="C89" s="79" t="s">
        <v>134</v>
      </c>
      <c r="D89" s="336" t="s">
        <v>281</v>
      </c>
      <c r="E89" s="337"/>
      <c r="F89" s="337"/>
      <c r="G89" s="337"/>
      <c r="H89" s="337"/>
      <c r="I89" s="337"/>
      <c r="J89" s="337"/>
      <c r="K89" s="337"/>
      <c r="L89" s="337"/>
      <c r="M89" s="337"/>
      <c r="N89" s="337"/>
      <c r="O89" s="337"/>
      <c r="P89" s="337"/>
      <c r="Q89" s="337"/>
      <c r="R89" s="337"/>
      <c r="S89" s="337"/>
      <c r="T89" s="337"/>
      <c r="U89" s="337"/>
      <c r="V89" s="337"/>
      <c r="W89" s="337"/>
      <c r="X89" s="337"/>
      <c r="Y89" s="337"/>
      <c r="Z89" s="338"/>
    </row>
    <row r="90" spans="1:26" ht="66" customHeight="1" x14ac:dyDescent="0.15">
      <c r="B90" s="220"/>
      <c r="C90" s="80" t="s">
        <v>135</v>
      </c>
      <c r="D90" s="328" t="s">
        <v>282</v>
      </c>
      <c r="E90" s="334"/>
      <c r="F90" s="334"/>
      <c r="G90" s="334"/>
      <c r="H90" s="334"/>
      <c r="I90" s="334"/>
      <c r="J90" s="334"/>
      <c r="K90" s="334"/>
      <c r="L90" s="334"/>
      <c r="M90" s="334"/>
      <c r="N90" s="334"/>
      <c r="O90" s="334"/>
      <c r="P90" s="334"/>
      <c r="Q90" s="334"/>
      <c r="R90" s="334"/>
      <c r="S90" s="334"/>
      <c r="T90" s="334"/>
      <c r="U90" s="334"/>
      <c r="V90" s="334"/>
      <c r="W90" s="334"/>
      <c r="X90" s="334"/>
      <c r="Y90" s="334"/>
      <c r="Z90" s="335"/>
    </row>
    <row r="91" spans="1:26" ht="6" customHeight="1" x14ac:dyDescent="0.15"/>
    <row r="92" spans="1:26" ht="18.75" customHeight="1" x14ac:dyDescent="0.15">
      <c r="A92" s="13" t="s">
        <v>143</v>
      </c>
    </row>
    <row r="93" spans="1:26" ht="18.75" customHeight="1" x14ac:dyDescent="0.15">
      <c r="B93" s="318" t="s">
        <v>189</v>
      </c>
      <c r="C93" s="319"/>
      <c r="D93" s="319"/>
      <c r="E93" s="319"/>
      <c r="F93" s="319"/>
      <c r="G93" s="319"/>
      <c r="H93" s="319"/>
      <c r="I93" s="319"/>
      <c r="J93" s="319"/>
      <c r="K93" s="319"/>
      <c r="L93" s="319"/>
      <c r="M93" s="319"/>
      <c r="N93" s="319"/>
      <c r="O93" s="319"/>
      <c r="P93" s="319"/>
      <c r="Q93" s="319"/>
      <c r="R93" s="319"/>
      <c r="S93" s="319"/>
      <c r="T93" s="319"/>
      <c r="U93" s="319"/>
      <c r="V93" s="319"/>
      <c r="W93" s="319"/>
      <c r="X93" s="319"/>
      <c r="Y93" s="319"/>
      <c r="Z93" s="320"/>
    </row>
    <row r="94" spans="1:26" ht="18.75" customHeight="1" x14ac:dyDescent="0.15">
      <c r="B94" s="321"/>
      <c r="C94" s="322"/>
      <c r="D94" s="322"/>
      <c r="E94" s="322"/>
      <c r="F94" s="322"/>
      <c r="G94" s="322"/>
      <c r="H94" s="322"/>
      <c r="I94" s="322"/>
      <c r="J94" s="322"/>
      <c r="K94" s="322"/>
      <c r="L94" s="322"/>
      <c r="M94" s="322"/>
      <c r="N94" s="322"/>
      <c r="O94" s="322"/>
      <c r="P94" s="322"/>
      <c r="Q94" s="322"/>
      <c r="R94" s="322"/>
      <c r="S94" s="322"/>
      <c r="T94" s="322"/>
      <c r="U94" s="322"/>
      <c r="V94" s="322"/>
      <c r="W94" s="322"/>
      <c r="X94" s="322"/>
      <c r="Y94" s="322"/>
      <c r="Z94" s="323"/>
    </row>
    <row r="95" spans="1:26" ht="18.75" customHeight="1" x14ac:dyDescent="0.15">
      <c r="B95" s="324"/>
      <c r="C95" s="325"/>
      <c r="D95" s="325"/>
      <c r="E95" s="325"/>
      <c r="F95" s="325"/>
      <c r="G95" s="325"/>
      <c r="H95" s="325"/>
      <c r="I95" s="325"/>
      <c r="J95" s="325"/>
      <c r="K95" s="325"/>
      <c r="L95" s="325"/>
      <c r="M95" s="325"/>
      <c r="N95" s="325"/>
      <c r="O95" s="325"/>
      <c r="P95" s="325"/>
      <c r="Q95" s="325"/>
      <c r="R95" s="325"/>
      <c r="S95" s="325"/>
      <c r="T95" s="325"/>
      <c r="U95" s="325"/>
      <c r="V95" s="325"/>
      <c r="W95" s="325"/>
      <c r="X95" s="325"/>
      <c r="Y95" s="325"/>
      <c r="Z95" s="326"/>
    </row>
    <row r="96" spans="1:26" ht="6" customHeight="1" x14ac:dyDescent="0.15"/>
    <row r="97" spans="1:26" ht="15" customHeight="1" x14ac:dyDescent="0.15">
      <c r="A97" s="13" t="s">
        <v>144</v>
      </c>
    </row>
    <row r="98" spans="1:26" ht="15" customHeight="1" x14ac:dyDescent="0.15">
      <c r="B98" s="282" t="s">
        <v>321</v>
      </c>
      <c r="C98" s="212"/>
      <c r="D98" s="212"/>
      <c r="E98" s="212"/>
      <c r="F98" s="212"/>
      <c r="G98" s="212"/>
      <c r="H98" s="212"/>
      <c r="I98" s="212"/>
      <c r="J98" s="212"/>
      <c r="K98" s="212"/>
      <c r="L98" s="212"/>
      <c r="M98" s="212"/>
      <c r="N98" s="212"/>
      <c r="O98" s="212"/>
      <c r="P98" s="212"/>
      <c r="Q98" s="212"/>
      <c r="R98" s="212"/>
      <c r="S98" s="212"/>
      <c r="T98" s="212"/>
      <c r="U98" s="212"/>
      <c r="V98" s="212"/>
      <c r="W98" s="212"/>
      <c r="X98" s="212"/>
      <c r="Y98" s="212"/>
      <c r="Z98" s="213"/>
    </row>
  </sheetData>
  <mergeCells count="218">
    <mergeCell ref="B16:F16"/>
    <mergeCell ref="I16:K16"/>
    <mergeCell ref="N16:S16"/>
    <mergeCell ref="V16:X16"/>
    <mergeCell ref="B17:F17"/>
    <mergeCell ref="I17:K17"/>
    <mergeCell ref="N17:S17"/>
    <mergeCell ref="V17:X17"/>
    <mergeCell ref="W1:Z1"/>
    <mergeCell ref="A2:Z2"/>
    <mergeCell ref="O4:Z4"/>
    <mergeCell ref="B6:Z11"/>
    <mergeCell ref="A13:Z14"/>
    <mergeCell ref="B15:F15"/>
    <mergeCell ref="I15:K15"/>
    <mergeCell ref="N15:S15"/>
    <mergeCell ref="V15:X15"/>
    <mergeCell ref="B20:F20"/>
    <mergeCell ref="I20:K20"/>
    <mergeCell ref="N20:S20"/>
    <mergeCell ref="V20:X20"/>
    <mergeCell ref="B21:F21"/>
    <mergeCell ref="I21:K21"/>
    <mergeCell ref="N21:S21"/>
    <mergeCell ref="V21:X21"/>
    <mergeCell ref="B18:F18"/>
    <mergeCell ref="I18:K18"/>
    <mergeCell ref="N18:S18"/>
    <mergeCell ref="V18:X18"/>
    <mergeCell ref="B19:F19"/>
    <mergeCell ref="I19:K19"/>
    <mergeCell ref="N19:S19"/>
    <mergeCell ref="V19:X19"/>
    <mergeCell ref="B27:F27"/>
    <mergeCell ref="I27:K27"/>
    <mergeCell ref="N27:S27"/>
    <mergeCell ref="V27:X27"/>
    <mergeCell ref="B28:F28"/>
    <mergeCell ref="I28:K28"/>
    <mergeCell ref="N28:S28"/>
    <mergeCell ref="V28:X28"/>
    <mergeCell ref="B22:F22"/>
    <mergeCell ref="I22:K22"/>
    <mergeCell ref="N22:S22"/>
    <mergeCell ref="V22:X22"/>
    <mergeCell ref="A24:Z25"/>
    <mergeCell ref="B26:F26"/>
    <mergeCell ref="I26:K26"/>
    <mergeCell ref="N26:S26"/>
    <mergeCell ref="V26:X26"/>
    <mergeCell ref="B31:F31"/>
    <mergeCell ref="I31:K31"/>
    <mergeCell ref="N31:S31"/>
    <mergeCell ref="V31:X31"/>
    <mergeCell ref="B32:F32"/>
    <mergeCell ref="I32:K32"/>
    <mergeCell ref="N32:S32"/>
    <mergeCell ref="V32:X32"/>
    <mergeCell ref="B29:F29"/>
    <mergeCell ref="I29:K29"/>
    <mergeCell ref="N29:S29"/>
    <mergeCell ref="V29:X29"/>
    <mergeCell ref="B30:F30"/>
    <mergeCell ref="I30:K30"/>
    <mergeCell ref="N30:S30"/>
    <mergeCell ref="V30:X30"/>
    <mergeCell ref="B38:F38"/>
    <mergeCell ref="I38:K38"/>
    <mergeCell ref="N38:S38"/>
    <mergeCell ref="V38:X38"/>
    <mergeCell ref="B33:F33"/>
    <mergeCell ref="I33:K33"/>
    <mergeCell ref="N33:S33"/>
    <mergeCell ref="V33:X33"/>
    <mergeCell ref="A35:Z36"/>
    <mergeCell ref="B37:F37"/>
    <mergeCell ref="I37:K37"/>
    <mergeCell ref="N37:S37"/>
    <mergeCell ref="V37:X37"/>
    <mergeCell ref="B42:F42"/>
    <mergeCell ref="I42:K42"/>
    <mergeCell ref="N42:S42"/>
    <mergeCell ref="V42:X42"/>
    <mergeCell ref="B43:F43"/>
    <mergeCell ref="I43:K43"/>
    <mergeCell ref="N43:S43"/>
    <mergeCell ref="V43:X43"/>
    <mergeCell ref="B39:F39"/>
    <mergeCell ref="I39:K39"/>
    <mergeCell ref="N39:S39"/>
    <mergeCell ref="V39:X39"/>
    <mergeCell ref="B40:F40"/>
    <mergeCell ref="I40:K40"/>
    <mergeCell ref="N40:S40"/>
    <mergeCell ref="V40:X40"/>
    <mergeCell ref="B44:F44"/>
    <mergeCell ref="I44:K44"/>
    <mergeCell ref="N44:S44"/>
    <mergeCell ref="V44:X44"/>
    <mergeCell ref="A46:Z47"/>
    <mergeCell ref="B48:F48"/>
    <mergeCell ref="I48:K48"/>
    <mergeCell ref="N48:S48"/>
    <mergeCell ref="V48:X48"/>
    <mergeCell ref="B51:F51"/>
    <mergeCell ref="I51:K51"/>
    <mergeCell ref="N51:S51"/>
    <mergeCell ref="V51:X51"/>
    <mergeCell ref="B52:F52"/>
    <mergeCell ref="I52:K52"/>
    <mergeCell ref="N52:S52"/>
    <mergeCell ref="V52:X52"/>
    <mergeCell ref="B49:F49"/>
    <mergeCell ref="I49:K49"/>
    <mergeCell ref="N49:S49"/>
    <mergeCell ref="V49:X49"/>
    <mergeCell ref="B50:F50"/>
    <mergeCell ref="I50:K50"/>
    <mergeCell ref="N50:S50"/>
    <mergeCell ref="V50:X50"/>
    <mergeCell ref="B55:F55"/>
    <mergeCell ref="I55:K55"/>
    <mergeCell ref="N55:S55"/>
    <mergeCell ref="V55:X55"/>
    <mergeCell ref="A57:Z58"/>
    <mergeCell ref="B59:E59"/>
    <mergeCell ref="N59:R59"/>
    <mergeCell ref="B53:F53"/>
    <mergeCell ref="I53:K53"/>
    <mergeCell ref="N53:S53"/>
    <mergeCell ref="V53:X53"/>
    <mergeCell ref="B54:F54"/>
    <mergeCell ref="I54:K54"/>
    <mergeCell ref="N54:S54"/>
    <mergeCell ref="V54:X54"/>
    <mergeCell ref="B62:E62"/>
    <mergeCell ref="H62:J62"/>
    <mergeCell ref="N62:R62"/>
    <mergeCell ref="U62:W62"/>
    <mergeCell ref="B63:E63"/>
    <mergeCell ref="H63:J63"/>
    <mergeCell ref="N63:R63"/>
    <mergeCell ref="U63:W63"/>
    <mergeCell ref="B60:E60"/>
    <mergeCell ref="H60:J60"/>
    <mergeCell ref="N60:R60"/>
    <mergeCell ref="U60:W60"/>
    <mergeCell ref="B61:E61"/>
    <mergeCell ref="H61:J61"/>
    <mergeCell ref="N61:R61"/>
    <mergeCell ref="U61:W61"/>
    <mergeCell ref="B66:E66"/>
    <mergeCell ref="H66:J66"/>
    <mergeCell ref="N66:R66"/>
    <mergeCell ref="U66:W66"/>
    <mergeCell ref="B69:F69"/>
    <mergeCell ref="G69:M69"/>
    <mergeCell ref="N69:S69"/>
    <mergeCell ref="T69:Z69"/>
    <mergeCell ref="B64:E64"/>
    <mergeCell ref="H64:J64"/>
    <mergeCell ref="N64:R64"/>
    <mergeCell ref="U64:W64"/>
    <mergeCell ref="B65:E65"/>
    <mergeCell ref="H65:J65"/>
    <mergeCell ref="N65:R65"/>
    <mergeCell ref="U65:W65"/>
    <mergeCell ref="B72:F72"/>
    <mergeCell ref="G72:M72"/>
    <mergeCell ref="N72:S72"/>
    <mergeCell ref="T72:Z72"/>
    <mergeCell ref="B73:F73"/>
    <mergeCell ref="G73:M73"/>
    <mergeCell ref="N73:S73"/>
    <mergeCell ref="T73:Z73"/>
    <mergeCell ref="B70:F70"/>
    <mergeCell ref="G70:M70"/>
    <mergeCell ref="N70:S70"/>
    <mergeCell ref="T70:Z70"/>
    <mergeCell ref="B71:F71"/>
    <mergeCell ref="G71:M71"/>
    <mergeCell ref="N71:S71"/>
    <mergeCell ref="T71:Z71"/>
    <mergeCell ref="B80:B81"/>
    <mergeCell ref="D80:Z80"/>
    <mergeCell ref="D81:Z81"/>
    <mergeCell ref="B74:F74"/>
    <mergeCell ref="G74:M74"/>
    <mergeCell ref="N74:S74"/>
    <mergeCell ref="T74:Z74"/>
    <mergeCell ref="B75:F75"/>
    <mergeCell ref="G75:M75"/>
    <mergeCell ref="N75:S75"/>
    <mergeCell ref="T75:Z75"/>
    <mergeCell ref="B93:Z95"/>
    <mergeCell ref="B98:Z98"/>
    <mergeCell ref="B41:F41"/>
    <mergeCell ref="I41:K41"/>
    <mergeCell ref="N41:S41"/>
    <mergeCell ref="V41:X41"/>
    <mergeCell ref="B86:B87"/>
    <mergeCell ref="D86:Z86"/>
    <mergeCell ref="D87:Z87"/>
    <mergeCell ref="B88:B90"/>
    <mergeCell ref="D88:Z88"/>
    <mergeCell ref="D89:Z89"/>
    <mergeCell ref="D90:Z90"/>
    <mergeCell ref="B82:B83"/>
    <mergeCell ref="D82:Z82"/>
    <mergeCell ref="D83:Z83"/>
    <mergeCell ref="B84:B85"/>
    <mergeCell ref="D84:Z84"/>
    <mergeCell ref="D85:Z85"/>
    <mergeCell ref="B76:F76"/>
    <mergeCell ref="G76:M76"/>
    <mergeCell ref="N76:S76"/>
    <mergeCell ref="T76:Z76"/>
    <mergeCell ref="D79:Z79"/>
  </mergeCells>
  <phoneticPr fontId="1"/>
  <dataValidations count="4">
    <dataValidation type="list" allowBlank="1" showInputMessage="1" showErrorMessage="1" sqref="Y16:Z22 Y27:Z33 L27:M33 H49:H55 Y49:Z55 Y60:Z66 T60:T66 L16:M22 U16:U22 H16:H22 U27:U33 G60:G66 L60:M66 U49:U55 U38:U44 H27:H33 L38:M44 H38:H44 Y38:Z44 L49:M55">
      <formula1>"○"</formula1>
    </dataValidation>
    <dataValidation type="list" allowBlank="1" showInputMessage="1" showErrorMessage="1" sqref="Z23 Z34 D34:K34 D23:K23 V16:V22 V27:V33 I16:I22 V38:V44 V49:V55 H60:H66 U60:U66 I27:I33 I38:I44 I49:I55">
      <formula1>"全学開講,一部開講"</formula1>
    </dataValidation>
    <dataValidation type="list" allowBlank="1" showInputMessage="1" showErrorMessage="1" sqref="O4">
      <formula1>"学部・学科によって、修了要件は相違する,学部・学科によって、修了要件は相違しない"</formula1>
    </dataValidation>
    <dataValidation type="list" allowBlank="1" showInputMessage="1" showErrorMessage="1" sqref="H74:M77 G70:G77 H70:M71 T70:T77 U70:Z71 U74:Z77">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hyperlinks>
    <hyperlink ref="B98" r:id="rId1"/>
  </hyperlinks>
  <printOptions horizontalCentered="1"/>
  <pageMargins left="0.78740157480314965" right="0.78740157480314965" top="0.59055118110236227" bottom="0.19685039370078741" header="0.31496062992125984" footer="0.19685039370078741"/>
  <pageSetup paperSize="9" scale="98" orientation="landscape" r:id="rId2"/>
  <rowBreaks count="4" manualBreakCount="4">
    <brk id="23" max="25" man="1"/>
    <brk id="45" max="25" man="1"/>
    <brk id="67" max="25" man="1"/>
    <brk id="83" max="25"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30"/>
  <sheetViews>
    <sheetView view="pageBreakPreview" zoomScaleNormal="100" zoomScaleSheetLayoutView="100" workbookViewId="0"/>
  </sheetViews>
  <sheetFormatPr defaultColWidth="9" defaultRowHeight="18.75" customHeight="1" x14ac:dyDescent="0.15"/>
  <cols>
    <col min="1" max="1" width="2.75" style="1" customWidth="1"/>
    <col min="2" max="2" width="30" style="1" customWidth="1"/>
    <col min="3" max="17" width="6.125" style="1" customWidth="1"/>
    <col min="18" max="18" width="6.625" style="1" customWidth="1"/>
    <col min="19" max="16384" width="9" style="1"/>
  </cols>
  <sheetData>
    <row r="1" spans="1:20" ht="18" customHeight="1" x14ac:dyDescent="0.15">
      <c r="F1" s="339" t="s">
        <v>63</v>
      </c>
      <c r="G1" s="339"/>
      <c r="H1" s="339"/>
      <c r="I1" s="339"/>
      <c r="J1" s="339"/>
      <c r="K1" s="339"/>
      <c r="L1" s="339"/>
      <c r="M1" s="339"/>
      <c r="N1" s="339"/>
      <c r="O1" s="339"/>
      <c r="P1" s="339"/>
      <c r="Q1" s="339"/>
      <c r="R1" s="339"/>
    </row>
    <row r="2" spans="1:20" ht="18" customHeight="1" x14ac:dyDescent="0.15">
      <c r="A2" s="340" t="s">
        <v>89</v>
      </c>
      <c r="B2" s="340"/>
      <c r="C2" s="340"/>
      <c r="D2" s="340"/>
      <c r="E2" s="340"/>
      <c r="F2" s="340"/>
      <c r="G2" s="340"/>
      <c r="H2" s="340"/>
      <c r="I2" s="340"/>
      <c r="J2" s="340"/>
      <c r="K2" s="340"/>
      <c r="L2" s="340"/>
      <c r="M2" s="340"/>
      <c r="N2" s="340"/>
      <c r="O2" s="340"/>
      <c r="P2" s="340"/>
      <c r="Q2" s="340"/>
      <c r="R2" s="340"/>
      <c r="S2" s="4"/>
    </row>
    <row r="3" spans="1:20" ht="7.5" customHeight="1" x14ac:dyDescent="0.15">
      <c r="A3" s="36"/>
      <c r="B3" s="36"/>
      <c r="C3" s="36"/>
      <c r="D3" s="36"/>
      <c r="E3" s="36"/>
      <c r="F3" s="36"/>
      <c r="G3" s="36"/>
      <c r="H3" s="36"/>
      <c r="I3" s="36"/>
      <c r="J3" s="36"/>
      <c r="K3" s="36"/>
      <c r="L3" s="36"/>
      <c r="M3" s="36"/>
      <c r="N3" s="36"/>
      <c r="O3" s="36"/>
      <c r="P3" s="36"/>
      <c r="Q3" s="36"/>
      <c r="R3" s="36"/>
    </row>
    <row r="4" spans="1:20" ht="18" customHeight="1" x14ac:dyDescent="0.15">
      <c r="A4" s="4" t="s">
        <v>147</v>
      </c>
      <c r="B4" s="4"/>
      <c r="C4" s="341" t="str">
        <f>'様式１　大学等概要'!E12</f>
        <v>令和3</v>
      </c>
      <c r="D4" s="342"/>
      <c r="E4" s="36" t="s">
        <v>113</v>
      </c>
      <c r="F4" s="36"/>
      <c r="G4" s="36"/>
      <c r="H4" s="36"/>
      <c r="I4" s="36"/>
      <c r="J4" s="84"/>
      <c r="K4" s="36"/>
      <c r="L4" s="36"/>
      <c r="M4" s="114"/>
      <c r="N4" s="114"/>
      <c r="O4" s="114"/>
      <c r="P4" s="114"/>
      <c r="Q4" s="114"/>
      <c r="R4" s="114"/>
    </row>
    <row r="5" spans="1:20" ht="6" customHeight="1" x14ac:dyDescent="0.15">
      <c r="A5" s="36"/>
      <c r="B5" s="36"/>
      <c r="C5" s="36"/>
      <c r="D5" s="36"/>
      <c r="E5" s="36"/>
      <c r="F5" s="36"/>
      <c r="G5" s="36"/>
      <c r="H5" s="36"/>
      <c r="I5" s="36"/>
      <c r="J5" s="36"/>
      <c r="K5" s="36"/>
      <c r="L5" s="36"/>
      <c r="M5" s="36"/>
      <c r="N5" s="36"/>
      <c r="O5" s="36"/>
      <c r="P5" s="36"/>
      <c r="Q5" s="36"/>
      <c r="R5" s="36"/>
    </row>
    <row r="6" spans="1:20" ht="18" customHeight="1" x14ac:dyDescent="0.15">
      <c r="A6" s="4" t="s">
        <v>145</v>
      </c>
      <c r="B6" s="36"/>
      <c r="C6" s="36"/>
      <c r="D6" s="36"/>
      <c r="E6" s="36"/>
      <c r="F6" s="36"/>
      <c r="G6" s="36"/>
      <c r="H6" s="36"/>
      <c r="I6" s="36"/>
      <c r="J6" s="36"/>
      <c r="K6" s="36"/>
      <c r="L6" s="36"/>
      <c r="M6" s="36"/>
      <c r="N6" s="36"/>
      <c r="O6" s="36"/>
      <c r="P6" s="36"/>
      <c r="Q6" s="36"/>
      <c r="R6" s="36"/>
    </row>
    <row r="7" spans="1:20" ht="6" customHeight="1" x14ac:dyDescent="0.15">
      <c r="A7" s="4"/>
      <c r="B7" s="36"/>
      <c r="C7" s="36"/>
      <c r="D7" s="36"/>
      <c r="E7" s="36"/>
      <c r="F7" s="36"/>
      <c r="G7" s="36"/>
      <c r="H7" s="36"/>
      <c r="I7" s="36"/>
      <c r="J7" s="36"/>
      <c r="K7" s="36"/>
      <c r="L7" s="36"/>
      <c r="M7" s="36"/>
      <c r="N7" s="36"/>
      <c r="O7" s="36"/>
      <c r="P7" s="36"/>
      <c r="Q7" s="36"/>
      <c r="R7" s="36"/>
    </row>
    <row r="8" spans="1:20" ht="18" customHeight="1" x14ac:dyDescent="0.15">
      <c r="B8" s="343" t="s">
        <v>79</v>
      </c>
      <c r="C8" s="345" t="s">
        <v>84</v>
      </c>
      <c r="D8" s="347" t="s">
        <v>68</v>
      </c>
      <c r="E8" s="349" t="s">
        <v>90</v>
      </c>
      <c r="F8" s="349"/>
      <c r="G8" s="349" t="s">
        <v>91</v>
      </c>
      <c r="H8" s="349"/>
      <c r="I8" s="349" t="s">
        <v>92</v>
      </c>
      <c r="J8" s="349"/>
      <c r="K8" s="350" t="s">
        <v>93</v>
      </c>
      <c r="L8" s="351"/>
      <c r="M8" s="350" t="s">
        <v>94</v>
      </c>
      <c r="N8" s="351"/>
      <c r="O8" s="350" t="s">
        <v>95</v>
      </c>
      <c r="P8" s="351"/>
      <c r="Q8" s="352" t="s">
        <v>62</v>
      </c>
      <c r="R8" s="354" t="s">
        <v>56</v>
      </c>
      <c r="T8" s="32"/>
    </row>
    <row r="9" spans="1:20" ht="18" customHeight="1" x14ac:dyDescent="0.15">
      <c r="A9" s="4"/>
      <c r="B9" s="344"/>
      <c r="C9" s="346"/>
      <c r="D9" s="348"/>
      <c r="E9" s="41" t="s">
        <v>44</v>
      </c>
      <c r="F9" s="42" t="s">
        <v>43</v>
      </c>
      <c r="G9" s="43" t="s">
        <v>44</v>
      </c>
      <c r="H9" s="44" t="s">
        <v>43</v>
      </c>
      <c r="I9" s="41" t="s">
        <v>44</v>
      </c>
      <c r="J9" s="42" t="s">
        <v>43</v>
      </c>
      <c r="K9" s="43" t="s">
        <v>44</v>
      </c>
      <c r="L9" s="44" t="s">
        <v>43</v>
      </c>
      <c r="M9" s="41" t="s">
        <v>44</v>
      </c>
      <c r="N9" s="42" t="s">
        <v>43</v>
      </c>
      <c r="O9" s="43" t="s">
        <v>44</v>
      </c>
      <c r="P9" s="44" t="s">
        <v>43</v>
      </c>
      <c r="Q9" s="353"/>
      <c r="R9" s="355"/>
      <c r="T9" s="32"/>
    </row>
    <row r="10" spans="1:20" ht="18" customHeight="1" x14ac:dyDescent="0.15">
      <c r="A10" s="45"/>
      <c r="B10" s="85" t="s">
        <v>301</v>
      </c>
      <c r="C10" s="45">
        <v>530</v>
      </c>
      <c r="D10" s="46">
        <v>2120</v>
      </c>
      <c r="E10" s="47">
        <v>112</v>
      </c>
      <c r="F10" s="48">
        <v>20</v>
      </c>
      <c r="G10" s="49">
        <v>0</v>
      </c>
      <c r="H10" s="50">
        <v>0</v>
      </c>
      <c r="I10" s="47">
        <v>0</v>
      </c>
      <c r="J10" s="48">
        <v>0</v>
      </c>
      <c r="K10" s="49">
        <v>0</v>
      </c>
      <c r="L10" s="50">
        <v>0</v>
      </c>
      <c r="M10" s="47">
        <v>0</v>
      </c>
      <c r="N10" s="48">
        <v>0</v>
      </c>
      <c r="O10" s="49">
        <v>0</v>
      </c>
      <c r="P10" s="50">
        <v>0</v>
      </c>
      <c r="Q10" s="51">
        <f>E10+G10+I10+K10+M10+O10</f>
        <v>112</v>
      </c>
      <c r="R10" s="52">
        <f>Q10/D10</f>
        <v>5.2830188679245285E-2</v>
      </c>
    </row>
    <row r="11" spans="1:20" ht="18" customHeight="1" x14ac:dyDescent="0.15">
      <c r="A11" s="45"/>
      <c r="B11" s="86" t="s">
        <v>302</v>
      </c>
      <c r="C11" s="61">
        <v>565</v>
      </c>
      <c r="D11" s="54">
        <v>2320</v>
      </c>
      <c r="E11" s="55">
        <v>114</v>
      </c>
      <c r="F11" s="56">
        <v>28</v>
      </c>
      <c r="G11" s="57">
        <v>0</v>
      </c>
      <c r="H11" s="58">
        <v>0</v>
      </c>
      <c r="I11" s="55">
        <v>0</v>
      </c>
      <c r="J11" s="56">
        <v>0</v>
      </c>
      <c r="K11" s="57">
        <v>0</v>
      </c>
      <c r="L11" s="58">
        <v>0</v>
      </c>
      <c r="M11" s="55">
        <v>0</v>
      </c>
      <c r="N11" s="56">
        <v>0</v>
      </c>
      <c r="O11" s="57">
        <v>0</v>
      </c>
      <c r="P11" s="58">
        <v>0</v>
      </c>
      <c r="Q11" s="59">
        <f>E11+G11+I11+K11+M11+O11</f>
        <v>114</v>
      </c>
      <c r="R11" s="60">
        <f>Q11/D11</f>
        <v>4.913793103448276E-2</v>
      </c>
    </row>
    <row r="12" spans="1:20" ht="18" customHeight="1" x14ac:dyDescent="0.15">
      <c r="A12" s="45"/>
      <c r="B12" s="86" t="s">
        <v>303</v>
      </c>
      <c r="C12" s="61">
        <v>225</v>
      </c>
      <c r="D12" s="54">
        <v>960</v>
      </c>
      <c r="E12" s="55">
        <v>28</v>
      </c>
      <c r="F12" s="56">
        <v>3</v>
      </c>
      <c r="G12" s="57">
        <v>0</v>
      </c>
      <c r="H12" s="58">
        <v>0</v>
      </c>
      <c r="I12" s="55">
        <v>0</v>
      </c>
      <c r="J12" s="56">
        <v>0</v>
      </c>
      <c r="K12" s="57">
        <v>0</v>
      </c>
      <c r="L12" s="58">
        <v>0</v>
      </c>
      <c r="M12" s="55">
        <v>0</v>
      </c>
      <c r="N12" s="56">
        <v>0</v>
      </c>
      <c r="O12" s="57">
        <v>0</v>
      </c>
      <c r="P12" s="58">
        <v>0</v>
      </c>
      <c r="Q12" s="59">
        <f t="shared" ref="Q12:Q29" si="0">E12+G12+I12+K12+M12+O12</f>
        <v>28</v>
      </c>
      <c r="R12" s="60">
        <f t="shared" ref="R12:R29" si="1">Q12/D12</f>
        <v>2.9166666666666667E-2</v>
      </c>
    </row>
    <row r="13" spans="1:20" ht="18" customHeight="1" x14ac:dyDescent="0.15">
      <c r="A13" s="45"/>
      <c r="B13" s="86" t="s">
        <v>161</v>
      </c>
      <c r="C13" s="61">
        <v>250</v>
      </c>
      <c r="D13" s="54">
        <v>1040</v>
      </c>
      <c r="E13" s="55">
        <v>15</v>
      </c>
      <c r="F13" s="56">
        <v>1</v>
      </c>
      <c r="G13" s="57">
        <v>0</v>
      </c>
      <c r="H13" s="58">
        <v>0</v>
      </c>
      <c r="I13" s="55">
        <v>0</v>
      </c>
      <c r="J13" s="56">
        <v>0</v>
      </c>
      <c r="K13" s="57">
        <v>0</v>
      </c>
      <c r="L13" s="58">
        <v>0</v>
      </c>
      <c r="M13" s="55">
        <v>0</v>
      </c>
      <c r="N13" s="56">
        <v>0</v>
      </c>
      <c r="O13" s="57">
        <v>0</v>
      </c>
      <c r="P13" s="58">
        <v>0</v>
      </c>
      <c r="Q13" s="59">
        <f t="shared" si="0"/>
        <v>15</v>
      </c>
      <c r="R13" s="60">
        <f t="shared" si="1"/>
        <v>1.4423076923076924E-2</v>
      </c>
    </row>
    <row r="14" spans="1:20" ht="18" customHeight="1" x14ac:dyDescent="0.15">
      <c r="A14" s="45"/>
      <c r="B14" s="86" t="s">
        <v>162</v>
      </c>
      <c r="C14" s="61" t="s">
        <v>300</v>
      </c>
      <c r="D14" s="142" t="s">
        <v>300</v>
      </c>
      <c r="E14" s="55">
        <v>5</v>
      </c>
      <c r="F14" s="56">
        <v>0</v>
      </c>
      <c r="G14" s="57">
        <v>0</v>
      </c>
      <c r="H14" s="58">
        <v>0</v>
      </c>
      <c r="I14" s="55">
        <v>0</v>
      </c>
      <c r="J14" s="56">
        <v>0</v>
      </c>
      <c r="K14" s="57">
        <v>0</v>
      </c>
      <c r="L14" s="58">
        <v>0</v>
      </c>
      <c r="M14" s="55">
        <v>0</v>
      </c>
      <c r="N14" s="56">
        <v>0</v>
      </c>
      <c r="O14" s="57">
        <v>0</v>
      </c>
      <c r="P14" s="58">
        <v>0</v>
      </c>
      <c r="Q14" s="59">
        <f t="shared" si="0"/>
        <v>5</v>
      </c>
      <c r="R14" s="60" t="e">
        <f t="shared" si="1"/>
        <v>#VALUE!</v>
      </c>
    </row>
    <row r="15" spans="1:20" ht="18" customHeight="1" x14ac:dyDescent="0.15">
      <c r="A15" s="45"/>
      <c r="B15" s="86"/>
      <c r="C15" s="61"/>
      <c r="D15" s="54"/>
      <c r="E15" s="55"/>
      <c r="F15" s="56"/>
      <c r="G15" s="57"/>
      <c r="H15" s="58"/>
      <c r="I15" s="55"/>
      <c r="J15" s="56"/>
      <c r="K15" s="57"/>
      <c r="L15" s="58"/>
      <c r="M15" s="55"/>
      <c r="N15" s="56"/>
      <c r="O15" s="57"/>
      <c r="P15" s="58"/>
      <c r="Q15" s="59">
        <f t="shared" si="0"/>
        <v>0</v>
      </c>
      <c r="R15" s="60" t="e">
        <f t="shared" si="1"/>
        <v>#DIV/0!</v>
      </c>
    </row>
    <row r="16" spans="1:20" ht="18" customHeight="1" x14ac:dyDescent="0.15">
      <c r="A16" s="45"/>
      <c r="B16" s="86"/>
      <c r="C16" s="61"/>
      <c r="D16" s="54"/>
      <c r="E16" s="55"/>
      <c r="F16" s="56"/>
      <c r="G16" s="57"/>
      <c r="H16" s="58"/>
      <c r="I16" s="55"/>
      <c r="J16" s="56"/>
      <c r="K16" s="57"/>
      <c r="L16" s="58"/>
      <c r="M16" s="55"/>
      <c r="N16" s="56"/>
      <c r="O16" s="57"/>
      <c r="P16" s="58"/>
      <c r="Q16" s="59">
        <f t="shared" si="0"/>
        <v>0</v>
      </c>
      <c r="R16" s="60" t="e">
        <f t="shared" si="1"/>
        <v>#DIV/0!</v>
      </c>
    </row>
    <row r="17" spans="1:18" ht="18" customHeight="1" x14ac:dyDescent="0.15">
      <c r="A17" s="45"/>
      <c r="B17" s="86"/>
      <c r="C17" s="61"/>
      <c r="D17" s="54"/>
      <c r="E17" s="55"/>
      <c r="F17" s="56"/>
      <c r="G17" s="57"/>
      <c r="H17" s="58"/>
      <c r="I17" s="55"/>
      <c r="J17" s="56"/>
      <c r="K17" s="57"/>
      <c r="L17" s="58"/>
      <c r="M17" s="55"/>
      <c r="N17" s="56"/>
      <c r="O17" s="57"/>
      <c r="P17" s="58"/>
      <c r="Q17" s="59">
        <f t="shared" si="0"/>
        <v>0</v>
      </c>
      <c r="R17" s="60" t="e">
        <f t="shared" si="1"/>
        <v>#DIV/0!</v>
      </c>
    </row>
    <row r="18" spans="1:18" ht="18" customHeight="1" x14ac:dyDescent="0.15">
      <c r="A18" s="45"/>
      <c r="B18" s="86"/>
      <c r="C18" s="61"/>
      <c r="D18" s="54"/>
      <c r="E18" s="55"/>
      <c r="F18" s="56"/>
      <c r="G18" s="57"/>
      <c r="H18" s="58"/>
      <c r="I18" s="55"/>
      <c r="J18" s="56"/>
      <c r="K18" s="57"/>
      <c r="L18" s="58"/>
      <c r="M18" s="55"/>
      <c r="N18" s="56"/>
      <c r="O18" s="57"/>
      <c r="P18" s="58"/>
      <c r="Q18" s="59">
        <f>E18+G18+I18+K18+M18+O18</f>
        <v>0</v>
      </c>
      <c r="R18" s="60" t="e">
        <f t="shared" si="1"/>
        <v>#DIV/0!</v>
      </c>
    </row>
    <row r="19" spans="1:18" ht="18" customHeight="1" x14ac:dyDescent="0.15">
      <c r="A19" s="45"/>
      <c r="B19" s="86"/>
      <c r="C19" s="61"/>
      <c r="D19" s="54"/>
      <c r="E19" s="55"/>
      <c r="F19" s="56"/>
      <c r="G19" s="57"/>
      <c r="H19" s="58"/>
      <c r="I19" s="55"/>
      <c r="J19" s="56"/>
      <c r="K19" s="57"/>
      <c r="L19" s="58"/>
      <c r="M19" s="55"/>
      <c r="N19" s="56"/>
      <c r="O19" s="57"/>
      <c r="P19" s="58"/>
      <c r="Q19" s="59">
        <f t="shared" si="0"/>
        <v>0</v>
      </c>
      <c r="R19" s="60" t="e">
        <f t="shared" si="1"/>
        <v>#DIV/0!</v>
      </c>
    </row>
    <row r="20" spans="1:18" ht="18" customHeight="1" x14ac:dyDescent="0.15">
      <c r="A20" s="45"/>
      <c r="B20" s="86"/>
      <c r="C20" s="61"/>
      <c r="D20" s="54"/>
      <c r="E20" s="55"/>
      <c r="F20" s="56"/>
      <c r="G20" s="57"/>
      <c r="H20" s="58"/>
      <c r="I20" s="55"/>
      <c r="J20" s="56"/>
      <c r="K20" s="57"/>
      <c r="L20" s="58"/>
      <c r="M20" s="55"/>
      <c r="N20" s="56"/>
      <c r="O20" s="57"/>
      <c r="P20" s="58"/>
      <c r="Q20" s="59">
        <f t="shared" si="0"/>
        <v>0</v>
      </c>
      <c r="R20" s="60" t="e">
        <f t="shared" si="1"/>
        <v>#DIV/0!</v>
      </c>
    </row>
    <row r="21" spans="1:18" ht="18" customHeight="1" x14ac:dyDescent="0.15">
      <c r="A21" s="45"/>
      <c r="B21" s="86"/>
      <c r="C21" s="61"/>
      <c r="D21" s="54"/>
      <c r="E21" s="55"/>
      <c r="F21" s="56"/>
      <c r="G21" s="57"/>
      <c r="H21" s="58"/>
      <c r="I21" s="55"/>
      <c r="J21" s="56"/>
      <c r="K21" s="57"/>
      <c r="L21" s="58"/>
      <c r="M21" s="55"/>
      <c r="N21" s="56"/>
      <c r="O21" s="57"/>
      <c r="P21" s="58"/>
      <c r="Q21" s="59">
        <f t="shared" si="0"/>
        <v>0</v>
      </c>
      <c r="R21" s="60" t="e">
        <f t="shared" si="1"/>
        <v>#DIV/0!</v>
      </c>
    </row>
    <row r="22" spans="1:18" ht="18" customHeight="1" x14ac:dyDescent="0.15">
      <c r="A22" s="45"/>
      <c r="B22" s="86"/>
      <c r="C22" s="61"/>
      <c r="D22" s="54"/>
      <c r="E22" s="55"/>
      <c r="F22" s="56"/>
      <c r="G22" s="57"/>
      <c r="H22" s="58"/>
      <c r="I22" s="55"/>
      <c r="J22" s="56"/>
      <c r="K22" s="57"/>
      <c r="L22" s="58"/>
      <c r="M22" s="55"/>
      <c r="N22" s="56"/>
      <c r="O22" s="57"/>
      <c r="P22" s="58"/>
      <c r="Q22" s="59">
        <f t="shared" si="0"/>
        <v>0</v>
      </c>
      <c r="R22" s="60" t="e">
        <f t="shared" si="1"/>
        <v>#DIV/0!</v>
      </c>
    </row>
    <row r="23" spans="1:18" ht="18" customHeight="1" x14ac:dyDescent="0.15">
      <c r="A23" s="45"/>
      <c r="B23" s="86"/>
      <c r="C23" s="61"/>
      <c r="D23" s="54"/>
      <c r="E23" s="55"/>
      <c r="F23" s="56"/>
      <c r="G23" s="57"/>
      <c r="H23" s="58"/>
      <c r="I23" s="55"/>
      <c r="J23" s="56"/>
      <c r="K23" s="57"/>
      <c r="L23" s="58"/>
      <c r="M23" s="55"/>
      <c r="N23" s="56"/>
      <c r="O23" s="57"/>
      <c r="P23" s="58"/>
      <c r="Q23" s="59">
        <f t="shared" si="0"/>
        <v>0</v>
      </c>
      <c r="R23" s="60" t="e">
        <f t="shared" si="1"/>
        <v>#DIV/0!</v>
      </c>
    </row>
    <row r="24" spans="1:18" ht="18" customHeight="1" x14ac:dyDescent="0.15">
      <c r="A24" s="45"/>
      <c r="B24" s="86"/>
      <c r="C24" s="61"/>
      <c r="D24" s="54"/>
      <c r="E24" s="55"/>
      <c r="F24" s="56"/>
      <c r="G24" s="57"/>
      <c r="H24" s="58"/>
      <c r="I24" s="55"/>
      <c r="J24" s="56"/>
      <c r="K24" s="57"/>
      <c r="L24" s="58"/>
      <c r="M24" s="55"/>
      <c r="N24" s="56"/>
      <c r="O24" s="57"/>
      <c r="P24" s="58"/>
      <c r="Q24" s="59">
        <f t="shared" si="0"/>
        <v>0</v>
      </c>
      <c r="R24" s="60" t="e">
        <f t="shared" si="1"/>
        <v>#DIV/0!</v>
      </c>
    </row>
    <row r="25" spans="1:18" ht="18" customHeight="1" x14ac:dyDescent="0.15">
      <c r="A25" s="45"/>
      <c r="B25" s="86"/>
      <c r="C25" s="61"/>
      <c r="D25" s="54"/>
      <c r="E25" s="55"/>
      <c r="F25" s="56"/>
      <c r="G25" s="57"/>
      <c r="H25" s="58"/>
      <c r="I25" s="55"/>
      <c r="J25" s="56"/>
      <c r="K25" s="57"/>
      <c r="L25" s="58"/>
      <c r="M25" s="55"/>
      <c r="N25" s="56"/>
      <c r="O25" s="57"/>
      <c r="P25" s="58"/>
      <c r="Q25" s="59">
        <f t="shared" si="0"/>
        <v>0</v>
      </c>
      <c r="R25" s="60" t="e">
        <f t="shared" si="1"/>
        <v>#DIV/0!</v>
      </c>
    </row>
    <row r="26" spans="1:18" ht="18" customHeight="1" x14ac:dyDescent="0.15">
      <c r="A26" s="45"/>
      <c r="B26" s="86"/>
      <c r="C26" s="61"/>
      <c r="D26" s="54"/>
      <c r="E26" s="55"/>
      <c r="F26" s="56"/>
      <c r="G26" s="57"/>
      <c r="H26" s="58"/>
      <c r="I26" s="55"/>
      <c r="J26" s="56"/>
      <c r="K26" s="57"/>
      <c r="L26" s="58"/>
      <c r="M26" s="55"/>
      <c r="N26" s="56"/>
      <c r="O26" s="57"/>
      <c r="P26" s="58"/>
      <c r="Q26" s="59">
        <f t="shared" si="0"/>
        <v>0</v>
      </c>
      <c r="R26" s="60" t="e">
        <f t="shared" si="1"/>
        <v>#DIV/0!</v>
      </c>
    </row>
    <row r="27" spans="1:18" ht="18" customHeight="1" x14ac:dyDescent="0.15">
      <c r="A27" s="45"/>
      <c r="B27" s="86"/>
      <c r="C27" s="53"/>
      <c r="D27" s="54"/>
      <c r="E27" s="55"/>
      <c r="F27" s="56"/>
      <c r="G27" s="57"/>
      <c r="H27" s="58"/>
      <c r="I27" s="55"/>
      <c r="J27" s="56"/>
      <c r="K27" s="57"/>
      <c r="L27" s="58"/>
      <c r="M27" s="55"/>
      <c r="N27" s="56"/>
      <c r="O27" s="57"/>
      <c r="P27" s="58"/>
      <c r="Q27" s="59">
        <f t="shared" si="0"/>
        <v>0</v>
      </c>
      <c r="R27" s="60" t="e">
        <f t="shared" si="1"/>
        <v>#DIV/0!</v>
      </c>
    </row>
    <row r="28" spans="1:18" ht="18" customHeight="1" x14ac:dyDescent="0.15">
      <c r="A28" s="45"/>
      <c r="B28" s="86"/>
      <c r="C28" s="53"/>
      <c r="D28" s="54"/>
      <c r="E28" s="55"/>
      <c r="F28" s="56"/>
      <c r="G28" s="57"/>
      <c r="H28" s="58"/>
      <c r="I28" s="55"/>
      <c r="J28" s="56"/>
      <c r="K28" s="57"/>
      <c r="L28" s="58"/>
      <c r="M28" s="55"/>
      <c r="N28" s="56"/>
      <c r="O28" s="57"/>
      <c r="P28" s="58"/>
      <c r="Q28" s="59">
        <f t="shared" si="0"/>
        <v>0</v>
      </c>
      <c r="R28" s="60" t="e">
        <f t="shared" si="1"/>
        <v>#DIV/0!</v>
      </c>
    </row>
    <row r="29" spans="1:18" ht="18" customHeight="1" thickBot="1" x14ac:dyDescent="0.2">
      <c r="A29" s="45"/>
      <c r="B29" s="87"/>
      <c r="C29" s="88"/>
      <c r="D29" s="46"/>
      <c r="E29" s="47"/>
      <c r="F29" s="48"/>
      <c r="G29" s="49"/>
      <c r="H29" s="50"/>
      <c r="I29" s="47"/>
      <c r="J29" s="48"/>
      <c r="K29" s="49"/>
      <c r="L29" s="50"/>
      <c r="M29" s="47"/>
      <c r="N29" s="48"/>
      <c r="O29" s="49"/>
      <c r="P29" s="50"/>
      <c r="Q29" s="62">
        <f t="shared" si="0"/>
        <v>0</v>
      </c>
      <c r="R29" s="52" t="e">
        <f t="shared" si="1"/>
        <v>#DIV/0!</v>
      </c>
    </row>
    <row r="30" spans="1:18" ht="18" customHeight="1" thickTop="1" x14ac:dyDescent="0.15">
      <c r="B30" s="89" t="s">
        <v>57</v>
      </c>
      <c r="C30" s="90">
        <f t="shared" ref="C30:Q30" si="2">SUM(C10:C29)</f>
        <v>1570</v>
      </c>
      <c r="D30" s="63">
        <f t="shared" si="2"/>
        <v>6440</v>
      </c>
      <c r="E30" s="64">
        <f>SUM(E10:E29)</f>
        <v>274</v>
      </c>
      <c r="F30" s="65">
        <f t="shared" si="2"/>
        <v>52</v>
      </c>
      <c r="G30" s="66">
        <f t="shared" si="2"/>
        <v>0</v>
      </c>
      <c r="H30" s="67">
        <f t="shared" si="2"/>
        <v>0</v>
      </c>
      <c r="I30" s="64">
        <f t="shared" si="2"/>
        <v>0</v>
      </c>
      <c r="J30" s="65">
        <f t="shared" si="2"/>
        <v>0</v>
      </c>
      <c r="K30" s="66">
        <f t="shared" si="2"/>
        <v>0</v>
      </c>
      <c r="L30" s="67">
        <f t="shared" si="2"/>
        <v>0</v>
      </c>
      <c r="M30" s="64">
        <f t="shared" si="2"/>
        <v>0</v>
      </c>
      <c r="N30" s="65">
        <f t="shared" si="2"/>
        <v>0</v>
      </c>
      <c r="O30" s="66">
        <f t="shared" si="2"/>
        <v>0</v>
      </c>
      <c r="P30" s="67">
        <f t="shared" si="2"/>
        <v>0</v>
      </c>
      <c r="Q30" s="68">
        <f t="shared" si="2"/>
        <v>274</v>
      </c>
      <c r="R30" s="69">
        <f>Q30/D30</f>
        <v>4.2546583850931678E-2</v>
      </c>
    </row>
  </sheetData>
  <mergeCells count="14">
    <mergeCell ref="F1:R1"/>
    <mergeCell ref="A2:R2"/>
    <mergeCell ref="C4:D4"/>
    <mergeCell ref="B8:B9"/>
    <mergeCell ref="C8:C9"/>
    <mergeCell ref="D8:D9"/>
    <mergeCell ref="E8:F8"/>
    <mergeCell ref="G8:H8"/>
    <mergeCell ref="I8:J8"/>
    <mergeCell ref="K8:L8"/>
    <mergeCell ref="M8:N8"/>
    <mergeCell ref="O8:P8"/>
    <mergeCell ref="Q8:Q9"/>
    <mergeCell ref="R8:R9"/>
  </mergeCells>
  <phoneticPr fontId="1"/>
  <conditionalFormatting sqref="C4:D4">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44"/>
  <sheetViews>
    <sheetView showZeros="0" view="pageBreakPreview" zoomScaleNormal="100" zoomScaleSheetLayoutView="100" workbookViewId="0"/>
  </sheetViews>
  <sheetFormatPr defaultColWidth="11.375" defaultRowHeight="18.75" customHeight="1" x14ac:dyDescent="0.15"/>
  <cols>
    <col min="1" max="1" width="2.75" style="2" customWidth="1"/>
    <col min="2" max="2" width="16.625" style="1" customWidth="1"/>
    <col min="3" max="3" width="8.875" style="1" customWidth="1"/>
    <col min="4" max="4" width="2.25" style="1" customWidth="1"/>
    <col min="5" max="5" width="16.625" style="1" customWidth="1"/>
    <col min="6" max="6" width="8.875" style="1" customWidth="1"/>
    <col min="7" max="7" width="2.25" style="1" customWidth="1"/>
    <col min="8" max="8" width="16.625" style="1" customWidth="1"/>
    <col min="9" max="9" width="8.875" style="1" customWidth="1"/>
    <col min="10" max="10" width="2.25" style="1" customWidth="1"/>
    <col min="11" max="11" width="11.375" style="31"/>
    <col min="12" max="16384" width="11.375" style="1"/>
  </cols>
  <sheetData>
    <row r="1" spans="1:11" ht="18.75" customHeight="1" x14ac:dyDescent="0.15">
      <c r="A1" s="2" t="s">
        <v>114</v>
      </c>
      <c r="J1" s="39" t="s">
        <v>115</v>
      </c>
    </row>
    <row r="2" spans="1:11" ht="18.75" customHeight="1" x14ac:dyDescent="0.15">
      <c r="A2" s="340" t="s">
        <v>64</v>
      </c>
      <c r="B2" s="340"/>
      <c r="C2" s="340"/>
      <c r="D2" s="340"/>
      <c r="E2" s="340"/>
      <c r="F2" s="340"/>
      <c r="G2" s="340"/>
      <c r="H2" s="340"/>
      <c r="I2" s="340"/>
      <c r="J2" s="340"/>
    </row>
    <row r="3" spans="1:11" ht="7.5" customHeight="1" x14ac:dyDescent="0.15">
      <c r="B3" s="36"/>
      <c r="C3" s="36"/>
      <c r="D3" s="36"/>
      <c r="E3" s="36"/>
      <c r="F3" s="36"/>
      <c r="G3" s="36"/>
      <c r="H3" s="36"/>
      <c r="I3" s="36"/>
      <c r="J3" s="36"/>
    </row>
    <row r="4" spans="1:11" ht="18.75" customHeight="1" x14ac:dyDescent="0.15">
      <c r="A4" s="1" t="s">
        <v>6</v>
      </c>
      <c r="B4" s="4" t="s">
        <v>72</v>
      </c>
      <c r="C4" s="4"/>
      <c r="D4" s="4"/>
      <c r="E4" s="4"/>
      <c r="F4" s="4"/>
      <c r="G4" s="4"/>
      <c r="H4" s="4"/>
      <c r="I4" s="36"/>
      <c r="J4" s="36"/>
    </row>
    <row r="5" spans="1:11" ht="18.75" customHeight="1" x14ac:dyDescent="0.15">
      <c r="A5" s="1"/>
      <c r="B5" s="179" t="s">
        <v>188</v>
      </c>
      <c r="C5" s="180"/>
      <c r="D5" s="180"/>
      <c r="E5" s="180"/>
      <c r="F5" s="180"/>
      <c r="G5" s="180"/>
      <c r="H5" s="180"/>
      <c r="I5" s="180"/>
      <c r="J5" s="377"/>
      <c r="K5" s="31" t="str">
        <f>IF(B5="","入力してください","")</f>
        <v/>
      </c>
    </row>
    <row r="6" spans="1:11" ht="7.5" customHeight="1" x14ac:dyDescent="0.15">
      <c r="B6" s="29"/>
      <c r="C6" s="29"/>
      <c r="D6" s="29"/>
      <c r="E6" s="29"/>
      <c r="F6" s="29"/>
      <c r="G6" s="29"/>
      <c r="H6" s="29"/>
      <c r="I6" s="29"/>
      <c r="J6" s="29"/>
    </row>
    <row r="7" spans="1:11" s="4" customFormat="1" ht="18.75" customHeight="1" x14ac:dyDescent="0.15">
      <c r="A7" s="1" t="s">
        <v>9</v>
      </c>
      <c r="B7" s="14" t="s">
        <v>39</v>
      </c>
      <c r="C7" s="14"/>
      <c r="D7" s="14"/>
      <c r="E7" s="14"/>
      <c r="F7" s="14"/>
      <c r="G7" s="14"/>
      <c r="H7" s="14"/>
      <c r="I7" s="14"/>
      <c r="J7" s="14"/>
      <c r="K7" s="33"/>
    </row>
    <row r="8" spans="1:11" s="4" customFormat="1" ht="18.75" customHeight="1" x14ac:dyDescent="0.15">
      <c r="A8" s="91"/>
      <c r="B8" s="356" t="s">
        <v>314</v>
      </c>
      <c r="C8" s="357"/>
      <c r="D8" s="357"/>
      <c r="E8" s="357"/>
      <c r="F8" s="357"/>
      <c r="G8" s="357"/>
      <c r="H8" s="357"/>
      <c r="I8" s="365"/>
      <c r="J8" s="366"/>
      <c r="K8" s="31" t="str">
        <f>IF(B8="","入力してください","")</f>
        <v/>
      </c>
    </row>
    <row r="9" spans="1:11" s="4" customFormat="1" ht="18.75" customHeight="1" x14ac:dyDescent="0.15">
      <c r="A9" s="91"/>
      <c r="B9" s="367"/>
      <c r="C9" s="368"/>
      <c r="D9" s="368"/>
      <c r="E9" s="368"/>
      <c r="F9" s="368"/>
      <c r="G9" s="368"/>
      <c r="H9" s="368"/>
      <c r="I9" s="368"/>
      <c r="J9" s="369"/>
      <c r="K9" s="31"/>
    </row>
    <row r="10" spans="1:11" s="4" customFormat="1" ht="18.75" customHeight="1" x14ac:dyDescent="0.15">
      <c r="A10" s="91"/>
      <c r="B10" s="367"/>
      <c r="C10" s="368"/>
      <c r="D10" s="368"/>
      <c r="E10" s="368"/>
      <c r="F10" s="368"/>
      <c r="G10" s="368"/>
      <c r="H10" s="368"/>
      <c r="I10" s="368"/>
      <c r="J10" s="369"/>
      <c r="K10" s="31"/>
    </row>
    <row r="11" spans="1:11" s="4" customFormat="1" ht="18.75" customHeight="1" x14ac:dyDescent="0.15">
      <c r="A11" s="91"/>
      <c r="B11" s="367"/>
      <c r="C11" s="368"/>
      <c r="D11" s="368"/>
      <c r="E11" s="368"/>
      <c r="F11" s="368"/>
      <c r="G11" s="368"/>
      <c r="H11" s="368"/>
      <c r="I11" s="368"/>
      <c r="J11" s="369"/>
      <c r="K11" s="31"/>
    </row>
    <row r="12" spans="1:11" s="4" customFormat="1" ht="30.6" customHeight="1" x14ac:dyDescent="0.15">
      <c r="A12" s="91"/>
      <c r="B12" s="370"/>
      <c r="C12" s="371"/>
      <c r="D12" s="371"/>
      <c r="E12" s="371"/>
      <c r="F12" s="371"/>
      <c r="G12" s="371"/>
      <c r="H12" s="371"/>
      <c r="I12" s="371"/>
      <c r="J12" s="372"/>
      <c r="K12" s="31"/>
    </row>
    <row r="13" spans="1:11" s="4" customFormat="1" ht="7.5" customHeight="1" x14ac:dyDescent="0.15">
      <c r="A13" s="91"/>
      <c r="B13" s="75"/>
      <c r="C13" s="75"/>
      <c r="D13" s="75"/>
      <c r="E13" s="75"/>
      <c r="F13" s="75"/>
      <c r="G13" s="75"/>
      <c r="H13" s="75"/>
      <c r="I13" s="75"/>
      <c r="J13" s="75"/>
      <c r="K13" s="31"/>
    </row>
    <row r="14" spans="1:11" s="4" customFormat="1" ht="18.75" customHeight="1" x14ac:dyDescent="0.15">
      <c r="A14" s="92" t="s">
        <v>10</v>
      </c>
      <c r="B14" s="145" t="s">
        <v>15</v>
      </c>
      <c r="C14" s="145"/>
      <c r="D14" s="145"/>
      <c r="E14" s="145"/>
      <c r="F14" s="145"/>
      <c r="G14" s="145"/>
      <c r="H14" s="145"/>
      <c r="I14" s="145"/>
      <c r="J14" s="145"/>
      <c r="K14" s="31"/>
    </row>
    <row r="15" spans="1:11" s="4" customFormat="1" ht="18.75" customHeight="1" x14ac:dyDescent="0.15">
      <c r="A15" s="91"/>
      <c r="B15" s="356" t="s">
        <v>320</v>
      </c>
      <c r="C15" s="357"/>
      <c r="D15" s="357"/>
      <c r="E15" s="357"/>
      <c r="F15" s="357"/>
      <c r="G15" s="357"/>
      <c r="H15" s="357"/>
      <c r="I15" s="365"/>
      <c r="J15" s="366"/>
      <c r="K15" s="31" t="str">
        <f>IF(B15="","入力してください","")</f>
        <v/>
      </c>
    </row>
    <row r="16" spans="1:11" s="4" customFormat="1" ht="18.75" customHeight="1" x14ac:dyDescent="0.15">
      <c r="A16" s="91"/>
      <c r="B16" s="367"/>
      <c r="C16" s="368"/>
      <c r="D16" s="368"/>
      <c r="E16" s="368"/>
      <c r="F16" s="368"/>
      <c r="G16" s="368"/>
      <c r="H16" s="368"/>
      <c r="I16" s="368"/>
      <c r="J16" s="369"/>
      <c r="K16" s="31"/>
    </row>
    <row r="17" spans="1:11" s="4" customFormat="1" ht="18.75" customHeight="1" x14ac:dyDescent="0.15">
      <c r="A17" s="91"/>
      <c r="B17" s="367"/>
      <c r="C17" s="368"/>
      <c r="D17" s="368"/>
      <c r="E17" s="368"/>
      <c r="F17" s="368"/>
      <c r="G17" s="368"/>
      <c r="H17" s="368"/>
      <c r="I17" s="368"/>
      <c r="J17" s="369"/>
      <c r="K17" s="31"/>
    </row>
    <row r="18" spans="1:11" s="4" customFormat="1" ht="18.75" customHeight="1" x14ac:dyDescent="0.15">
      <c r="A18" s="91"/>
      <c r="B18" s="367"/>
      <c r="C18" s="368"/>
      <c r="D18" s="368"/>
      <c r="E18" s="368"/>
      <c r="F18" s="368"/>
      <c r="G18" s="368"/>
      <c r="H18" s="368"/>
      <c r="I18" s="368"/>
      <c r="J18" s="369"/>
      <c r="K18" s="31"/>
    </row>
    <row r="19" spans="1:11" s="4" customFormat="1" ht="18.75" customHeight="1" x14ac:dyDescent="0.15">
      <c r="A19" s="91"/>
      <c r="B19" s="367"/>
      <c r="C19" s="368"/>
      <c r="D19" s="368"/>
      <c r="E19" s="368"/>
      <c r="F19" s="368"/>
      <c r="G19" s="368"/>
      <c r="H19" s="368"/>
      <c r="I19" s="368"/>
      <c r="J19" s="369"/>
      <c r="K19" s="31"/>
    </row>
    <row r="20" spans="1:11" s="4" customFormat="1" ht="11.45" customHeight="1" x14ac:dyDescent="0.15">
      <c r="A20" s="91"/>
      <c r="B20" s="367"/>
      <c r="C20" s="368"/>
      <c r="D20" s="368"/>
      <c r="E20" s="368"/>
      <c r="F20" s="368"/>
      <c r="G20" s="368"/>
      <c r="H20" s="368"/>
      <c r="I20" s="368"/>
      <c r="J20" s="369"/>
      <c r="K20" s="31"/>
    </row>
    <row r="21" spans="1:11" s="4" customFormat="1" ht="11.45" customHeight="1" x14ac:dyDescent="0.15">
      <c r="A21" s="91"/>
      <c r="B21" s="367"/>
      <c r="C21" s="368"/>
      <c r="D21" s="368"/>
      <c r="E21" s="368"/>
      <c r="F21" s="368"/>
      <c r="G21" s="368"/>
      <c r="H21" s="368"/>
      <c r="I21" s="368"/>
      <c r="J21" s="369"/>
      <c r="K21" s="31"/>
    </row>
    <row r="22" spans="1:11" s="4" customFormat="1" ht="11.45" customHeight="1" x14ac:dyDescent="0.15">
      <c r="A22" s="91"/>
      <c r="B22" s="367"/>
      <c r="C22" s="368"/>
      <c r="D22" s="368"/>
      <c r="E22" s="368"/>
      <c r="F22" s="368"/>
      <c r="G22" s="368"/>
      <c r="H22" s="368"/>
      <c r="I22" s="368"/>
      <c r="J22" s="369"/>
      <c r="K22" s="31"/>
    </row>
    <row r="23" spans="1:11" s="4" customFormat="1" ht="11.45" customHeight="1" x14ac:dyDescent="0.15">
      <c r="A23" s="91"/>
      <c r="B23" s="367"/>
      <c r="C23" s="368"/>
      <c r="D23" s="368"/>
      <c r="E23" s="368"/>
      <c r="F23" s="368"/>
      <c r="G23" s="368"/>
      <c r="H23" s="368"/>
      <c r="I23" s="368"/>
      <c r="J23" s="369"/>
      <c r="K23" s="31"/>
    </row>
    <row r="24" spans="1:11" s="4" customFormat="1" ht="11.45" customHeight="1" x14ac:dyDescent="0.15">
      <c r="A24" s="91"/>
      <c r="B24" s="367"/>
      <c r="C24" s="368"/>
      <c r="D24" s="368"/>
      <c r="E24" s="368"/>
      <c r="F24" s="368"/>
      <c r="G24" s="368"/>
      <c r="H24" s="368"/>
      <c r="I24" s="368"/>
      <c r="J24" s="369"/>
      <c r="K24" s="31"/>
    </row>
    <row r="25" spans="1:11" s="4" customFormat="1" ht="11.45" customHeight="1" x14ac:dyDescent="0.15">
      <c r="A25" s="91"/>
      <c r="B25" s="370"/>
      <c r="C25" s="371"/>
      <c r="D25" s="371"/>
      <c r="E25" s="371"/>
      <c r="F25" s="371"/>
      <c r="G25" s="371"/>
      <c r="H25" s="371"/>
      <c r="I25" s="371"/>
      <c r="J25" s="372"/>
      <c r="K25" s="31"/>
    </row>
    <row r="26" spans="1:11" ht="7.5" customHeight="1" x14ac:dyDescent="0.15">
      <c r="A26" s="37"/>
      <c r="B26" s="147"/>
      <c r="C26" s="147"/>
      <c r="D26" s="147"/>
      <c r="E26" s="147"/>
      <c r="F26" s="147"/>
      <c r="G26" s="147"/>
      <c r="H26" s="147"/>
      <c r="I26" s="147"/>
      <c r="J26" s="147"/>
    </row>
    <row r="27" spans="1:11" s="4" customFormat="1" ht="18.75" customHeight="1" x14ac:dyDescent="0.15">
      <c r="A27" s="1" t="s">
        <v>13</v>
      </c>
      <c r="B27" s="14" t="s">
        <v>26</v>
      </c>
      <c r="C27" s="14"/>
      <c r="D27" s="14"/>
      <c r="E27" s="14"/>
      <c r="F27" s="14"/>
      <c r="G27" s="14"/>
      <c r="H27" s="14"/>
      <c r="I27" s="14"/>
      <c r="J27" s="14"/>
      <c r="K27" s="31"/>
    </row>
    <row r="28" spans="1:11" s="29" customFormat="1" ht="18.75" customHeight="1" x14ac:dyDescent="0.15">
      <c r="B28" s="93" t="s">
        <v>116</v>
      </c>
      <c r="C28" s="94">
        <f>'様式３　履修者等数の実績'!R30</f>
        <v>4.2546583850931678E-2</v>
      </c>
      <c r="D28" s="95"/>
      <c r="E28" s="95" t="s">
        <v>117</v>
      </c>
      <c r="F28" s="94">
        <v>0.06</v>
      </c>
      <c r="G28" s="95"/>
      <c r="H28" s="95" t="s">
        <v>118</v>
      </c>
      <c r="I28" s="96">
        <v>0.08</v>
      </c>
      <c r="J28" s="97"/>
      <c r="K28" s="31"/>
    </row>
    <row r="29" spans="1:11" s="29" customFormat="1" ht="18.75" customHeight="1" x14ac:dyDescent="0.15">
      <c r="B29" s="81" t="s">
        <v>119</v>
      </c>
      <c r="C29" s="98">
        <v>0.1</v>
      </c>
      <c r="D29" s="82"/>
      <c r="E29" s="82" t="s">
        <v>120</v>
      </c>
      <c r="F29" s="98">
        <v>0.15</v>
      </c>
      <c r="G29" s="82"/>
      <c r="H29" s="82" t="s">
        <v>121</v>
      </c>
      <c r="I29" s="99">
        <f>'様式３　履修者等数の実績'!D30</f>
        <v>6440</v>
      </c>
      <c r="J29" s="100"/>
      <c r="K29" s="33"/>
    </row>
    <row r="30" spans="1:11" s="4" customFormat="1" ht="18.75" customHeight="1" x14ac:dyDescent="0.15">
      <c r="A30" s="1"/>
      <c r="B30" s="242" t="s">
        <v>122</v>
      </c>
      <c r="C30" s="243"/>
      <c r="D30" s="243"/>
      <c r="E30" s="243"/>
      <c r="F30" s="243"/>
      <c r="G30" s="243"/>
      <c r="H30" s="243"/>
      <c r="I30" s="243"/>
      <c r="J30" s="244"/>
      <c r="K30" s="33"/>
    </row>
    <row r="31" spans="1:11" s="4" customFormat="1" ht="18.75" customHeight="1" x14ac:dyDescent="0.15">
      <c r="A31" s="1"/>
      <c r="B31" s="374" t="s">
        <v>317</v>
      </c>
      <c r="C31" s="375"/>
      <c r="D31" s="375"/>
      <c r="E31" s="375"/>
      <c r="F31" s="375"/>
      <c r="G31" s="375"/>
      <c r="H31" s="375"/>
      <c r="I31" s="375"/>
      <c r="J31" s="376"/>
      <c r="K31" s="33" t="str">
        <f>IF(B31="","入力してください","")</f>
        <v/>
      </c>
    </row>
    <row r="32" spans="1:11" s="4" customFormat="1" ht="18.75" customHeight="1" x14ac:dyDescent="0.15">
      <c r="A32" s="1"/>
      <c r="B32" s="367"/>
      <c r="C32" s="368"/>
      <c r="D32" s="368"/>
      <c r="E32" s="368"/>
      <c r="F32" s="368"/>
      <c r="G32" s="368"/>
      <c r="H32" s="368"/>
      <c r="I32" s="368"/>
      <c r="J32" s="369"/>
      <c r="K32" s="33"/>
    </row>
    <row r="33" spans="1:11" s="4" customFormat="1" ht="18.75" customHeight="1" x14ac:dyDescent="0.15">
      <c r="A33" s="1"/>
      <c r="B33" s="367"/>
      <c r="C33" s="368"/>
      <c r="D33" s="368"/>
      <c r="E33" s="368"/>
      <c r="F33" s="368"/>
      <c r="G33" s="368"/>
      <c r="H33" s="368"/>
      <c r="I33" s="368"/>
      <c r="J33" s="369"/>
      <c r="K33" s="33"/>
    </row>
    <row r="34" spans="1:11" s="4" customFormat="1" ht="18.75" customHeight="1" x14ac:dyDescent="0.15">
      <c r="A34" s="1"/>
      <c r="B34" s="367"/>
      <c r="C34" s="368"/>
      <c r="D34" s="368"/>
      <c r="E34" s="368"/>
      <c r="F34" s="368"/>
      <c r="G34" s="368"/>
      <c r="H34" s="368"/>
      <c r="I34" s="368"/>
      <c r="J34" s="369"/>
      <c r="K34" s="33"/>
    </row>
    <row r="35" spans="1:11" s="4" customFormat="1" ht="18.75" customHeight="1" x14ac:dyDescent="0.15">
      <c r="A35" s="1"/>
      <c r="B35" s="367"/>
      <c r="C35" s="368"/>
      <c r="D35" s="368"/>
      <c r="E35" s="368"/>
      <c r="F35" s="368"/>
      <c r="G35" s="368"/>
      <c r="H35" s="368"/>
      <c r="I35" s="368"/>
      <c r="J35" s="369"/>
      <c r="K35" s="33"/>
    </row>
    <row r="36" spans="1:11" s="4" customFormat="1" ht="18.75" customHeight="1" x14ac:dyDescent="0.15">
      <c r="A36" s="1"/>
      <c r="B36" s="367"/>
      <c r="C36" s="368"/>
      <c r="D36" s="368"/>
      <c r="E36" s="368"/>
      <c r="F36" s="368"/>
      <c r="G36" s="368"/>
      <c r="H36" s="368"/>
      <c r="I36" s="368"/>
      <c r="J36" s="369"/>
      <c r="K36" s="33"/>
    </row>
    <row r="37" spans="1:11" s="4" customFormat="1" ht="18.75" customHeight="1" x14ac:dyDescent="0.15">
      <c r="A37" s="1"/>
      <c r="B37" s="367"/>
      <c r="C37" s="368"/>
      <c r="D37" s="368"/>
      <c r="E37" s="368"/>
      <c r="F37" s="368"/>
      <c r="G37" s="368"/>
      <c r="H37" s="368"/>
      <c r="I37" s="368"/>
      <c r="J37" s="369"/>
      <c r="K37" s="33"/>
    </row>
    <row r="38" spans="1:11" s="4" customFormat="1" ht="18.75" customHeight="1" x14ac:dyDescent="0.15">
      <c r="A38" s="1"/>
      <c r="B38" s="367"/>
      <c r="C38" s="368"/>
      <c r="D38" s="368"/>
      <c r="E38" s="368"/>
      <c r="F38" s="368"/>
      <c r="G38" s="368"/>
      <c r="H38" s="368"/>
      <c r="I38" s="368"/>
      <c r="J38" s="369"/>
      <c r="K38" s="33"/>
    </row>
    <row r="39" spans="1:11" s="4" customFormat="1" ht="18.75" customHeight="1" x14ac:dyDescent="0.15">
      <c r="A39" s="1"/>
      <c r="B39" s="367"/>
      <c r="C39" s="368"/>
      <c r="D39" s="368"/>
      <c r="E39" s="368"/>
      <c r="F39" s="368"/>
      <c r="G39" s="368"/>
      <c r="H39" s="368"/>
      <c r="I39" s="368"/>
      <c r="J39" s="369"/>
      <c r="K39" s="33"/>
    </row>
    <row r="40" spans="1:11" s="4" customFormat="1" ht="18.75" customHeight="1" x14ac:dyDescent="0.15">
      <c r="A40" s="1"/>
      <c r="B40" s="367"/>
      <c r="C40" s="368"/>
      <c r="D40" s="368"/>
      <c r="E40" s="368"/>
      <c r="F40" s="368"/>
      <c r="G40" s="368"/>
      <c r="H40" s="368"/>
      <c r="I40" s="368"/>
      <c r="J40" s="369"/>
      <c r="K40" s="33"/>
    </row>
    <row r="41" spans="1:11" s="4" customFormat="1" ht="18.75" customHeight="1" x14ac:dyDescent="0.15">
      <c r="A41" s="1"/>
      <c r="B41" s="367"/>
      <c r="C41" s="368"/>
      <c r="D41" s="368"/>
      <c r="E41" s="368"/>
      <c r="F41" s="368"/>
      <c r="G41" s="368"/>
      <c r="H41" s="368"/>
      <c r="I41" s="368"/>
      <c r="J41" s="369"/>
      <c r="K41" s="33"/>
    </row>
    <row r="42" spans="1:11" s="4" customFormat="1" ht="18.75" customHeight="1" x14ac:dyDescent="0.15">
      <c r="A42" s="1"/>
      <c r="B42" s="367"/>
      <c r="C42" s="368"/>
      <c r="D42" s="368"/>
      <c r="E42" s="368"/>
      <c r="F42" s="368"/>
      <c r="G42" s="368"/>
      <c r="H42" s="368"/>
      <c r="I42" s="368"/>
      <c r="J42" s="369"/>
      <c r="K42" s="33"/>
    </row>
    <row r="43" spans="1:11" ht="18.75" customHeight="1" x14ac:dyDescent="0.15">
      <c r="A43" s="37"/>
      <c r="B43" s="367"/>
      <c r="C43" s="368"/>
      <c r="D43" s="368"/>
      <c r="E43" s="368"/>
      <c r="F43" s="368"/>
      <c r="G43" s="368"/>
      <c r="H43" s="368"/>
      <c r="I43" s="368"/>
      <c r="J43" s="369"/>
      <c r="K43" s="33"/>
    </row>
    <row r="44" spans="1:11" ht="18.75" customHeight="1" x14ac:dyDescent="0.15">
      <c r="A44" s="37"/>
      <c r="B44" s="370"/>
      <c r="C44" s="371"/>
      <c r="D44" s="371"/>
      <c r="E44" s="371"/>
      <c r="F44" s="371"/>
      <c r="G44" s="371"/>
      <c r="H44" s="371"/>
      <c r="I44" s="371"/>
      <c r="J44" s="372"/>
    </row>
    <row r="45" spans="1:11" s="4" customFormat="1" ht="18.75" customHeight="1" x14ac:dyDescent="0.15">
      <c r="A45" s="101" t="s">
        <v>11</v>
      </c>
      <c r="B45" s="14" t="s">
        <v>65</v>
      </c>
      <c r="C45" s="14"/>
      <c r="D45" s="14"/>
      <c r="E45" s="14"/>
      <c r="F45" s="14"/>
      <c r="G45" s="14"/>
      <c r="H45" s="14"/>
      <c r="I45" s="145"/>
      <c r="J45" s="145"/>
      <c r="K45" s="31"/>
    </row>
    <row r="46" spans="1:11" ht="18.75" customHeight="1" x14ac:dyDescent="0.15">
      <c r="A46" s="37"/>
      <c r="B46" s="356" t="s">
        <v>315</v>
      </c>
      <c r="C46" s="357"/>
      <c r="D46" s="357"/>
      <c r="E46" s="357"/>
      <c r="F46" s="357"/>
      <c r="G46" s="357"/>
      <c r="H46" s="357"/>
      <c r="I46" s="357"/>
      <c r="J46" s="358"/>
      <c r="K46" s="31" t="str">
        <f>IF(B46="","入力してください","")</f>
        <v/>
      </c>
    </row>
    <row r="47" spans="1:11" ht="18.75" customHeight="1" x14ac:dyDescent="0.15">
      <c r="A47" s="37"/>
      <c r="B47" s="359"/>
      <c r="C47" s="360"/>
      <c r="D47" s="360"/>
      <c r="E47" s="360"/>
      <c r="F47" s="360"/>
      <c r="G47" s="360"/>
      <c r="H47" s="360"/>
      <c r="I47" s="360"/>
      <c r="J47" s="361"/>
    </row>
    <row r="48" spans="1:11" ht="18.75" customHeight="1" x14ac:dyDescent="0.15">
      <c r="A48" s="37"/>
      <c r="B48" s="359"/>
      <c r="C48" s="360"/>
      <c r="D48" s="360"/>
      <c r="E48" s="360"/>
      <c r="F48" s="360"/>
      <c r="G48" s="360"/>
      <c r="H48" s="360"/>
      <c r="I48" s="360"/>
      <c r="J48" s="361"/>
    </row>
    <row r="49" spans="1:10" ht="18.75" customHeight="1" x14ac:dyDescent="0.15">
      <c r="A49" s="37"/>
      <c r="B49" s="359"/>
      <c r="C49" s="360"/>
      <c r="D49" s="360"/>
      <c r="E49" s="360"/>
      <c r="F49" s="360"/>
      <c r="G49" s="360"/>
      <c r="H49" s="360"/>
      <c r="I49" s="360"/>
      <c r="J49" s="361"/>
    </row>
    <row r="50" spans="1:10" ht="18.75" customHeight="1" x14ac:dyDescent="0.15">
      <c r="A50" s="37"/>
      <c r="B50" s="359"/>
      <c r="C50" s="360"/>
      <c r="D50" s="360"/>
      <c r="E50" s="360"/>
      <c r="F50" s="360"/>
      <c r="G50" s="360"/>
      <c r="H50" s="360"/>
      <c r="I50" s="360"/>
      <c r="J50" s="361"/>
    </row>
    <row r="51" spans="1:10" ht="18.75" customHeight="1" x14ac:dyDescent="0.15">
      <c r="A51" s="37"/>
      <c r="B51" s="359"/>
      <c r="C51" s="360"/>
      <c r="D51" s="360"/>
      <c r="E51" s="360"/>
      <c r="F51" s="360"/>
      <c r="G51" s="360"/>
      <c r="H51" s="360"/>
      <c r="I51" s="360"/>
      <c r="J51" s="361"/>
    </row>
    <row r="52" spans="1:10" ht="18.75" customHeight="1" x14ac:dyDescent="0.15">
      <c r="A52" s="37"/>
      <c r="B52" s="359"/>
      <c r="C52" s="360"/>
      <c r="D52" s="360"/>
      <c r="E52" s="360"/>
      <c r="F52" s="360"/>
      <c r="G52" s="360"/>
      <c r="H52" s="360"/>
      <c r="I52" s="360"/>
      <c r="J52" s="361"/>
    </row>
    <row r="53" spans="1:10" ht="14.45" customHeight="1" x14ac:dyDescent="0.15">
      <c r="A53" s="37"/>
      <c r="B53" s="359"/>
      <c r="C53" s="360"/>
      <c r="D53" s="360"/>
      <c r="E53" s="360"/>
      <c r="F53" s="360"/>
      <c r="G53" s="360"/>
      <c r="H53" s="360"/>
      <c r="I53" s="360"/>
      <c r="J53" s="361"/>
    </row>
    <row r="54" spans="1:10" ht="14.45" customHeight="1" x14ac:dyDescent="0.15">
      <c r="A54" s="37"/>
      <c r="B54" s="359"/>
      <c r="C54" s="360"/>
      <c r="D54" s="360"/>
      <c r="E54" s="360"/>
      <c r="F54" s="360"/>
      <c r="G54" s="360"/>
      <c r="H54" s="360"/>
      <c r="I54" s="360"/>
      <c r="J54" s="361"/>
    </row>
    <row r="55" spans="1:10" ht="14.45" customHeight="1" x14ac:dyDescent="0.15">
      <c r="A55" s="37"/>
      <c r="B55" s="359"/>
      <c r="C55" s="360"/>
      <c r="D55" s="360"/>
      <c r="E55" s="360"/>
      <c r="F55" s="360"/>
      <c r="G55" s="360"/>
      <c r="H55" s="360"/>
      <c r="I55" s="360"/>
      <c r="J55" s="361"/>
    </row>
    <row r="56" spans="1:10" ht="14.45" customHeight="1" x14ac:dyDescent="0.15">
      <c r="A56" s="37"/>
      <c r="B56" s="359"/>
      <c r="C56" s="360"/>
      <c r="D56" s="360"/>
      <c r="E56" s="360"/>
      <c r="F56" s="360"/>
      <c r="G56" s="360"/>
      <c r="H56" s="360"/>
      <c r="I56" s="360"/>
      <c r="J56" s="361"/>
    </row>
    <row r="57" spans="1:10" ht="14.45" customHeight="1" x14ac:dyDescent="0.15">
      <c r="A57" s="37"/>
      <c r="B57" s="359"/>
      <c r="C57" s="360"/>
      <c r="D57" s="360"/>
      <c r="E57" s="360"/>
      <c r="F57" s="360"/>
      <c r="G57" s="360"/>
      <c r="H57" s="360"/>
      <c r="I57" s="360"/>
      <c r="J57" s="361"/>
    </row>
    <row r="58" spans="1:10" ht="14.45" customHeight="1" x14ac:dyDescent="0.15">
      <c r="A58" s="37"/>
      <c r="B58" s="359"/>
      <c r="C58" s="360"/>
      <c r="D58" s="360"/>
      <c r="E58" s="360"/>
      <c r="F58" s="360"/>
      <c r="G58" s="360"/>
      <c r="H58" s="360"/>
      <c r="I58" s="360"/>
      <c r="J58" s="361"/>
    </row>
    <row r="59" spans="1:10" ht="14.45" customHeight="1" x14ac:dyDescent="0.15">
      <c r="A59" s="37"/>
      <c r="B59" s="359"/>
      <c r="C59" s="360"/>
      <c r="D59" s="360"/>
      <c r="E59" s="360"/>
      <c r="F59" s="360"/>
      <c r="G59" s="360"/>
      <c r="H59" s="360"/>
      <c r="I59" s="360"/>
      <c r="J59" s="361"/>
    </row>
    <row r="60" spans="1:10" ht="14.45" customHeight="1" x14ac:dyDescent="0.15">
      <c r="A60" s="37"/>
      <c r="B60" s="359"/>
      <c r="C60" s="360"/>
      <c r="D60" s="360"/>
      <c r="E60" s="360"/>
      <c r="F60" s="360"/>
      <c r="G60" s="360"/>
      <c r="H60" s="360"/>
      <c r="I60" s="360"/>
      <c r="J60" s="361"/>
    </row>
    <row r="61" spans="1:10" ht="14.45" customHeight="1" x14ac:dyDescent="0.15">
      <c r="A61" s="37"/>
      <c r="B61" s="359"/>
      <c r="C61" s="360"/>
      <c r="D61" s="360"/>
      <c r="E61" s="360"/>
      <c r="F61" s="360"/>
      <c r="G61" s="360"/>
      <c r="H61" s="360"/>
      <c r="I61" s="360"/>
      <c r="J61" s="361"/>
    </row>
    <row r="62" spans="1:10" ht="14.45" customHeight="1" x14ac:dyDescent="0.15">
      <c r="A62" s="37"/>
      <c r="B62" s="359"/>
      <c r="C62" s="360"/>
      <c r="D62" s="360"/>
      <c r="E62" s="360"/>
      <c r="F62" s="360"/>
      <c r="G62" s="360"/>
      <c r="H62" s="360"/>
      <c r="I62" s="360"/>
      <c r="J62" s="361"/>
    </row>
    <row r="63" spans="1:10" ht="14.45" customHeight="1" x14ac:dyDescent="0.15">
      <c r="A63" s="37"/>
      <c r="B63" s="359"/>
      <c r="C63" s="360"/>
      <c r="D63" s="360"/>
      <c r="E63" s="360"/>
      <c r="F63" s="360"/>
      <c r="G63" s="360"/>
      <c r="H63" s="360"/>
      <c r="I63" s="360"/>
      <c r="J63" s="361"/>
    </row>
    <row r="64" spans="1:10" ht="14.45" customHeight="1" x14ac:dyDescent="0.15">
      <c r="A64" s="37"/>
      <c r="B64" s="359"/>
      <c r="C64" s="360"/>
      <c r="D64" s="360"/>
      <c r="E64" s="360"/>
      <c r="F64" s="360"/>
      <c r="G64" s="360"/>
      <c r="H64" s="360"/>
      <c r="I64" s="360"/>
      <c r="J64" s="361"/>
    </row>
    <row r="65" spans="1:11" ht="14.45" customHeight="1" x14ac:dyDescent="0.15">
      <c r="A65" s="37"/>
      <c r="B65" s="359"/>
      <c r="C65" s="360"/>
      <c r="D65" s="360"/>
      <c r="E65" s="360"/>
      <c r="F65" s="360"/>
      <c r="G65" s="360"/>
      <c r="H65" s="360"/>
      <c r="I65" s="360"/>
      <c r="J65" s="361"/>
    </row>
    <row r="66" spans="1:11" ht="14.45" customHeight="1" x14ac:dyDescent="0.15">
      <c r="A66" s="37"/>
      <c r="B66" s="362"/>
      <c r="C66" s="363"/>
      <c r="D66" s="363"/>
      <c r="E66" s="363"/>
      <c r="F66" s="363"/>
      <c r="G66" s="363"/>
      <c r="H66" s="363"/>
      <c r="I66" s="363"/>
      <c r="J66" s="364"/>
    </row>
    <row r="67" spans="1:11" ht="7.5" customHeight="1" x14ac:dyDescent="0.15">
      <c r="A67" s="37"/>
      <c r="B67" s="147"/>
      <c r="C67" s="147"/>
      <c r="D67" s="147"/>
      <c r="E67" s="147"/>
      <c r="F67" s="147"/>
      <c r="G67" s="147"/>
      <c r="H67" s="147"/>
      <c r="I67" s="147"/>
      <c r="J67" s="147"/>
    </row>
    <row r="68" spans="1:11" s="4" customFormat="1" ht="18.75" customHeight="1" x14ac:dyDescent="0.15">
      <c r="A68" s="1" t="s">
        <v>14</v>
      </c>
      <c r="B68" s="14" t="s">
        <v>71</v>
      </c>
      <c r="C68" s="14"/>
      <c r="D68" s="14"/>
      <c r="E68" s="14"/>
      <c r="F68" s="14"/>
      <c r="G68" s="14"/>
      <c r="H68" s="14"/>
      <c r="I68" s="14"/>
      <c r="J68" s="14"/>
      <c r="K68" s="31"/>
    </row>
    <row r="69" spans="1:11" s="4" customFormat="1" ht="18.75" customHeight="1" x14ac:dyDescent="0.15">
      <c r="A69" s="1"/>
      <c r="B69" s="356" t="s">
        <v>313</v>
      </c>
      <c r="C69" s="357"/>
      <c r="D69" s="357"/>
      <c r="E69" s="357"/>
      <c r="F69" s="357"/>
      <c r="G69" s="357"/>
      <c r="H69" s="357"/>
      <c r="I69" s="365"/>
      <c r="J69" s="366"/>
      <c r="K69" s="33" t="str">
        <f>IF(B69="","入力してください","")</f>
        <v/>
      </c>
    </row>
    <row r="70" spans="1:11" s="4" customFormat="1" ht="18.75" customHeight="1" x14ac:dyDescent="0.15">
      <c r="A70" s="1"/>
      <c r="B70" s="367"/>
      <c r="C70" s="368"/>
      <c r="D70" s="368"/>
      <c r="E70" s="368"/>
      <c r="F70" s="368"/>
      <c r="G70" s="368"/>
      <c r="H70" s="368"/>
      <c r="I70" s="368"/>
      <c r="J70" s="369"/>
      <c r="K70" s="33"/>
    </row>
    <row r="71" spans="1:11" s="4" customFormat="1" ht="18.75" customHeight="1" x14ac:dyDescent="0.15">
      <c r="A71" s="1"/>
      <c r="B71" s="367"/>
      <c r="C71" s="368"/>
      <c r="D71" s="368"/>
      <c r="E71" s="368"/>
      <c r="F71" s="368"/>
      <c r="G71" s="368"/>
      <c r="H71" s="368"/>
      <c r="I71" s="368"/>
      <c r="J71" s="369"/>
      <c r="K71" s="33"/>
    </row>
    <row r="72" spans="1:11" s="4" customFormat="1" ht="18.75" customHeight="1" x14ac:dyDescent="0.15">
      <c r="A72" s="1"/>
      <c r="B72" s="367"/>
      <c r="C72" s="368"/>
      <c r="D72" s="368"/>
      <c r="E72" s="368"/>
      <c r="F72" s="368"/>
      <c r="G72" s="368"/>
      <c r="H72" s="368"/>
      <c r="I72" s="368"/>
      <c r="J72" s="369"/>
      <c r="K72" s="33"/>
    </row>
    <row r="73" spans="1:11" s="4" customFormat="1" ht="18.75" customHeight="1" x14ac:dyDescent="0.15">
      <c r="A73" s="1"/>
      <c r="B73" s="367"/>
      <c r="C73" s="368"/>
      <c r="D73" s="368"/>
      <c r="E73" s="368"/>
      <c r="F73" s="368"/>
      <c r="G73" s="368"/>
      <c r="H73" s="368"/>
      <c r="I73" s="368"/>
      <c r="J73" s="369"/>
      <c r="K73" s="33"/>
    </row>
    <row r="74" spans="1:11" s="4" customFormat="1" ht="18.75" customHeight="1" x14ac:dyDescent="0.15">
      <c r="A74" s="1"/>
      <c r="B74" s="367"/>
      <c r="C74" s="368"/>
      <c r="D74" s="368"/>
      <c r="E74" s="368"/>
      <c r="F74" s="368"/>
      <c r="G74" s="368"/>
      <c r="H74" s="368"/>
      <c r="I74" s="368"/>
      <c r="J74" s="369"/>
      <c r="K74" s="33"/>
    </row>
    <row r="75" spans="1:11" s="4" customFormat="1" ht="18.75" customHeight="1" x14ac:dyDescent="0.15">
      <c r="A75" s="1"/>
      <c r="B75" s="367"/>
      <c r="C75" s="368"/>
      <c r="D75" s="368"/>
      <c r="E75" s="368"/>
      <c r="F75" s="368"/>
      <c r="G75" s="368"/>
      <c r="H75" s="368"/>
      <c r="I75" s="368"/>
      <c r="J75" s="369"/>
      <c r="K75" s="33"/>
    </row>
    <row r="76" spans="1:11" s="4" customFormat="1" ht="18.75" customHeight="1" x14ac:dyDescent="0.15">
      <c r="A76" s="1"/>
      <c r="B76" s="367"/>
      <c r="C76" s="368"/>
      <c r="D76" s="368"/>
      <c r="E76" s="368"/>
      <c r="F76" s="368"/>
      <c r="G76" s="368"/>
      <c r="H76" s="368"/>
      <c r="I76" s="368"/>
      <c r="J76" s="369"/>
      <c r="K76" s="33"/>
    </row>
    <row r="77" spans="1:11" s="4" customFormat="1" ht="18.75" customHeight="1" x14ac:dyDescent="0.15">
      <c r="A77" s="1"/>
      <c r="B77" s="367"/>
      <c r="C77" s="368"/>
      <c r="D77" s="368"/>
      <c r="E77" s="368"/>
      <c r="F77" s="368"/>
      <c r="G77" s="368"/>
      <c r="H77" s="368"/>
      <c r="I77" s="368"/>
      <c r="J77" s="369"/>
      <c r="K77" s="33"/>
    </row>
    <row r="78" spans="1:11" s="4" customFormat="1" ht="18.75" customHeight="1" x14ac:dyDescent="0.15">
      <c r="A78" s="1"/>
      <c r="B78" s="367"/>
      <c r="C78" s="368"/>
      <c r="D78" s="368"/>
      <c r="E78" s="368"/>
      <c r="F78" s="368"/>
      <c r="G78" s="368"/>
      <c r="H78" s="368"/>
      <c r="I78" s="368"/>
      <c r="J78" s="369"/>
      <c r="K78" s="33"/>
    </row>
    <row r="79" spans="1:11" s="4" customFormat="1" ht="18.75" customHeight="1" x14ac:dyDescent="0.15">
      <c r="A79" s="1"/>
      <c r="B79" s="367"/>
      <c r="C79" s="368"/>
      <c r="D79" s="368"/>
      <c r="E79" s="368"/>
      <c r="F79" s="368"/>
      <c r="G79" s="368"/>
      <c r="H79" s="368"/>
      <c r="I79" s="368"/>
      <c r="J79" s="369"/>
      <c r="K79" s="33"/>
    </row>
    <row r="80" spans="1:11" s="4" customFormat="1" ht="18.75" customHeight="1" x14ac:dyDescent="0.15">
      <c r="A80" s="1"/>
      <c r="B80" s="367"/>
      <c r="C80" s="368"/>
      <c r="D80" s="368"/>
      <c r="E80" s="368"/>
      <c r="F80" s="368"/>
      <c r="G80" s="368"/>
      <c r="H80" s="368"/>
      <c r="I80" s="368"/>
      <c r="J80" s="369"/>
      <c r="K80" s="33"/>
    </row>
    <row r="81" spans="1:11" s="4" customFormat="1" ht="18.75" customHeight="1" x14ac:dyDescent="0.15">
      <c r="A81" s="1"/>
      <c r="B81" s="367"/>
      <c r="C81" s="368"/>
      <c r="D81" s="368"/>
      <c r="E81" s="368"/>
      <c r="F81" s="368"/>
      <c r="G81" s="368"/>
      <c r="H81" s="368"/>
      <c r="I81" s="368"/>
      <c r="J81" s="369"/>
      <c r="K81" s="33"/>
    </row>
    <row r="82" spans="1:11" s="4" customFormat="1" ht="18.75" customHeight="1" x14ac:dyDescent="0.15">
      <c r="A82" s="1"/>
      <c r="B82" s="367"/>
      <c r="C82" s="368"/>
      <c r="D82" s="368"/>
      <c r="E82" s="368"/>
      <c r="F82" s="368"/>
      <c r="G82" s="368"/>
      <c r="H82" s="368"/>
      <c r="I82" s="368"/>
      <c r="J82" s="369"/>
      <c r="K82" s="33"/>
    </row>
    <row r="83" spans="1:11" s="4" customFormat="1" ht="18.75" customHeight="1" x14ac:dyDescent="0.15">
      <c r="A83" s="1"/>
      <c r="B83" s="367"/>
      <c r="C83" s="368"/>
      <c r="D83" s="368"/>
      <c r="E83" s="368"/>
      <c r="F83" s="368"/>
      <c r="G83" s="368"/>
      <c r="H83" s="368"/>
      <c r="I83" s="368"/>
      <c r="J83" s="369"/>
      <c r="K83" s="33"/>
    </row>
    <row r="84" spans="1:11" s="4" customFormat="1" ht="18.75" customHeight="1" x14ac:dyDescent="0.15">
      <c r="A84" s="1"/>
      <c r="B84" s="367"/>
      <c r="C84" s="368"/>
      <c r="D84" s="368"/>
      <c r="E84" s="368"/>
      <c r="F84" s="368"/>
      <c r="G84" s="368"/>
      <c r="H84" s="368"/>
      <c r="I84" s="368"/>
      <c r="J84" s="369"/>
      <c r="K84" s="33"/>
    </row>
    <row r="85" spans="1:11" ht="18.75" customHeight="1" x14ac:dyDescent="0.15">
      <c r="A85" s="37"/>
      <c r="B85" s="367"/>
      <c r="C85" s="368"/>
      <c r="D85" s="368"/>
      <c r="E85" s="368"/>
      <c r="F85" s="368"/>
      <c r="G85" s="368"/>
      <c r="H85" s="368"/>
      <c r="I85" s="368"/>
      <c r="J85" s="369"/>
      <c r="K85" s="33"/>
    </row>
    <row r="86" spans="1:11" ht="18.75" customHeight="1" x14ac:dyDescent="0.15">
      <c r="A86" s="37"/>
      <c r="B86" s="370"/>
      <c r="C86" s="371"/>
      <c r="D86" s="371"/>
      <c r="E86" s="371"/>
      <c r="F86" s="371"/>
      <c r="G86" s="371"/>
      <c r="H86" s="371"/>
      <c r="I86" s="371"/>
      <c r="J86" s="372"/>
      <c r="K86" s="33"/>
    </row>
    <row r="87" spans="1:11" ht="7.5" customHeight="1" x14ac:dyDescent="0.15">
      <c r="A87" s="37"/>
      <c r="B87" s="147"/>
      <c r="C87" s="147"/>
      <c r="D87" s="147"/>
      <c r="E87" s="147"/>
      <c r="F87" s="147"/>
      <c r="G87" s="147"/>
      <c r="H87" s="147"/>
      <c r="I87" s="147"/>
      <c r="J87" s="147"/>
    </row>
    <row r="88" spans="1:11" s="4" customFormat="1" ht="18.75" customHeight="1" x14ac:dyDescent="0.15">
      <c r="A88" s="1" t="s">
        <v>12</v>
      </c>
      <c r="B88" s="14" t="s">
        <v>27</v>
      </c>
      <c r="C88" s="14"/>
      <c r="D88" s="14"/>
      <c r="E88" s="14"/>
      <c r="F88" s="14"/>
      <c r="G88" s="14"/>
      <c r="H88" s="14"/>
      <c r="I88" s="14"/>
      <c r="J88" s="14"/>
      <c r="K88" s="31"/>
    </row>
    <row r="89" spans="1:11" s="4" customFormat="1" ht="18.75" customHeight="1" x14ac:dyDescent="0.15">
      <c r="A89" s="1"/>
      <c r="B89" s="356" t="s">
        <v>318</v>
      </c>
      <c r="C89" s="357"/>
      <c r="D89" s="357"/>
      <c r="E89" s="357"/>
      <c r="F89" s="357"/>
      <c r="G89" s="357"/>
      <c r="H89" s="357"/>
      <c r="I89" s="365"/>
      <c r="J89" s="366"/>
      <c r="K89" s="31"/>
    </row>
    <row r="90" spans="1:11" s="4" customFormat="1" ht="18.75" customHeight="1" x14ac:dyDescent="0.15">
      <c r="A90" s="1"/>
      <c r="B90" s="367"/>
      <c r="C90" s="368"/>
      <c r="D90" s="368"/>
      <c r="E90" s="368"/>
      <c r="F90" s="368"/>
      <c r="G90" s="368"/>
      <c r="H90" s="368"/>
      <c r="I90" s="368"/>
      <c r="J90" s="369"/>
      <c r="K90" s="33"/>
    </row>
    <row r="91" spans="1:11" s="4" customFormat="1" ht="18.75" customHeight="1" x14ac:dyDescent="0.15">
      <c r="A91" s="1"/>
      <c r="B91" s="367"/>
      <c r="C91" s="368"/>
      <c r="D91" s="368"/>
      <c r="E91" s="368"/>
      <c r="F91" s="368"/>
      <c r="G91" s="368"/>
      <c r="H91" s="368"/>
      <c r="I91" s="368"/>
      <c r="J91" s="369"/>
      <c r="K91" s="33" t="str">
        <f>IF(B89="","入力してください","")</f>
        <v/>
      </c>
    </row>
    <row r="92" spans="1:11" s="4" customFormat="1" ht="18.75" customHeight="1" x14ac:dyDescent="0.15">
      <c r="A92" s="1"/>
      <c r="B92" s="367"/>
      <c r="C92" s="368"/>
      <c r="D92" s="368"/>
      <c r="E92" s="368"/>
      <c r="F92" s="368"/>
      <c r="G92" s="368"/>
      <c r="H92" s="368"/>
      <c r="I92" s="368"/>
      <c r="J92" s="369"/>
      <c r="K92" s="33"/>
    </row>
    <row r="93" spans="1:11" s="4" customFormat="1" ht="18.75" customHeight="1" x14ac:dyDescent="0.15">
      <c r="A93" s="1"/>
      <c r="B93" s="367"/>
      <c r="C93" s="368"/>
      <c r="D93" s="368"/>
      <c r="E93" s="368"/>
      <c r="F93" s="368"/>
      <c r="G93" s="368"/>
      <c r="H93" s="368"/>
      <c r="I93" s="368"/>
      <c r="J93" s="369"/>
      <c r="K93" s="33"/>
    </row>
    <row r="94" spans="1:11" s="4" customFormat="1" ht="18.75" customHeight="1" x14ac:dyDescent="0.15">
      <c r="A94" s="1"/>
      <c r="B94" s="367"/>
      <c r="C94" s="368"/>
      <c r="D94" s="368"/>
      <c r="E94" s="368"/>
      <c r="F94" s="368"/>
      <c r="G94" s="368"/>
      <c r="H94" s="368"/>
      <c r="I94" s="368"/>
      <c r="J94" s="369"/>
      <c r="K94" s="33"/>
    </row>
    <row r="95" spans="1:11" s="4" customFormat="1" ht="18.75" customHeight="1" x14ac:dyDescent="0.15">
      <c r="A95" s="1"/>
      <c r="B95" s="367"/>
      <c r="C95" s="368"/>
      <c r="D95" s="368"/>
      <c r="E95" s="368"/>
      <c r="F95" s="368"/>
      <c r="G95" s="368"/>
      <c r="H95" s="368"/>
      <c r="I95" s="368"/>
      <c r="J95" s="369"/>
      <c r="K95" s="33"/>
    </row>
    <row r="96" spans="1:11" s="4" customFormat="1" ht="18.75" customHeight="1" x14ac:dyDescent="0.15">
      <c r="A96" s="1"/>
      <c r="B96" s="367"/>
      <c r="C96" s="368"/>
      <c r="D96" s="368"/>
      <c r="E96" s="368"/>
      <c r="F96" s="368"/>
      <c r="G96" s="368"/>
      <c r="H96" s="368"/>
      <c r="I96" s="368"/>
      <c r="J96" s="369"/>
      <c r="K96" s="33"/>
    </row>
    <row r="97" spans="1:11" s="4" customFormat="1" ht="18.75" customHeight="1" x14ac:dyDescent="0.15">
      <c r="A97" s="1"/>
      <c r="B97" s="367"/>
      <c r="C97" s="368"/>
      <c r="D97" s="368"/>
      <c r="E97" s="368"/>
      <c r="F97" s="368"/>
      <c r="G97" s="368"/>
      <c r="H97" s="368"/>
      <c r="I97" s="368"/>
      <c r="J97" s="369"/>
      <c r="K97" s="33"/>
    </row>
    <row r="98" spans="1:11" s="4" customFormat="1" ht="18.75" customHeight="1" x14ac:dyDescent="0.15">
      <c r="A98" s="1"/>
      <c r="B98" s="367"/>
      <c r="C98" s="368"/>
      <c r="D98" s="368"/>
      <c r="E98" s="368"/>
      <c r="F98" s="368"/>
      <c r="G98" s="368"/>
      <c r="H98" s="368"/>
      <c r="I98" s="368"/>
      <c r="J98" s="369"/>
      <c r="K98" s="33"/>
    </row>
    <row r="99" spans="1:11" s="4" customFormat="1" ht="18.75" customHeight="1" x14ac:dyDescent="0.15">
      <c r="A99" s="1"/>
      <c r="B99" s="367"/>
      <c r="C99" s="368"/>
      <c r="D99" s="368"/>
      <c r="E99" s="368"/>
      <c r="F99" s="368"/>
      <c r="G99" s="368"/>
      <c r="H99" s="368"/>
      <c r="I99" s="368"/>
      <c r="J99" s="369"/>
      <c r="K99" s="33"/>
    </row>
    <row r="100" spans="1:11" s="4" customFormat="1" ht="18.75" customHeight="1" x14ac:dyDescent="0.15">
      <c r="A100" s="1"/>
      <c r="B100" s="367"/>
      <c r="C100" s="368"/>
      <c r="D100" s="368"/>
      <c r="E100" s="368"/>
      <c r="F100" s="368"/>
      <c r="G100" s="368"/>
      <c r="H100" s="368"/>
      <c r="I100" s="368"/>
      <c r="J100" s="369"/>
      <c r="K100" s="33"/>
    </row>
    <row r="101" spans="1:11" s="4" customFormat="1" ht="18.75" customHeight="1" x14ac:dyDescent="0.15">
      <c r="A101" s="1"/>
      <c r="B101" s="367"/>
      <c r="C101" s="368"/>
      <c r="D101" s="368"/>
      <c r="E101" s="368"/>
      <c r="F101" s="368"/>
      <c r="G101" s="368"/>
      <c r="H101" s="368"/>
      <c r="I101" s="368"/>
      <c r="J101" s="369"/>
      <c r="K101" s="33"/>
    </row>
    <row r="102" spans="1:11" s="4" customFormat="1" ht="18.75" customHeight="1" x14ac:dyDescent="0.15">
      <c r="A102" s="1"/>
      <c r="B102" s="367"/>
      <c r="C102" s="368"/>
      <c r="D102" s="368"/>
      <c r="E102" s="368"/>
      <c r="F102" s="368"/>
      <c r="G102" s="368"/>
      <c r="H102" s="368"/>
      <c r="I102" s="368"/>
      <c r="J102" s="369"/>
      <c r="K102" s="33"/>
    </row>
    <row r="103" spans="1:11" s="4" customFormat="1" ht="18.75" customHeight="1" x14ac:dyDescent="0.15">
      <c r="A103" s="1"/>
      <c r="B103" s="367"/>
      <c r="C103" s="368"/>
      <c r="D103" s="368"/>
      <c r="E103" s="368"/>
      <c r="F103" s="368"/>
      <c r="G103" s="368"/>
      <c r="H103" s="368"/>
      <c r="I103" s="368"/>
      <c r="J103" s="369"/>
      <c r="K103" s="33"/>
    </row>
    <row r="104" spans="1:11" s="4" customFormat="1" ht="18.75" customHeight="1" x14ac:dyDescent="0.15">
      <c r="A104" s="1"/>
      <c r="B104" s="367"/>
      <c r="C104" s="368"/>
      <c r="D104" s="368"/>
      <c r="E104" s="368"/>
      <c r="F104" s="368"/>
      <c r="G104" s="368"/>
      <c r="H104" s="368"/>
      <c r="I104" s="368"/>
      <c r="J104" s="369"/>
      <c r="K104" s="33"/>
    </row>
    <row r="105" spans="1:11" s="4" customFormat="1" ht="18.75" customHeight="1" x14ac:dyDescent="0.15">
      <c r="A105" s="1"/>
      <c r="B105" s="367"/>
      <c r="C105" s="368"/>
      <c r="D105" s="368"/>
      <c r="E105" s="368"/>
      <c r="F105" s="368"/>
      <c r="G105" s="368"/>
      <c r="H105" s="368"/>
      <c r="I105" s="368"/>
      <c r="J105" s="369"/>
      <c r="K105" s="33"/>
    </row>
    <row r="106" spans="1:11" s="4" customFormat="1" ht="18.75" customHeight="1" x14ac:dyDescent="0.15">
      <c r="A106" s="1"/>
      <c r="B106" s="367"/>
      <c r="C106" s="368"/>
      <c r="D106" s="368"/>
      <c r="E106" s="368"/>
      <c r="F106" s="368"/>
      <c r="G106" s="368"/>
      <c r="H106" s="368"/>
      <c r="I106" s="368"/>
      <c r="J106" s="369"/>
      <c r="K106" s="33"/>
    </row>
    <row r="107" spans="1:11" ht="18.75" customHeight="1" x14ac:dyDescent="0.15">
      <c r="A107" s="37"/>
      <c r="B107" s="367"/>
      <c r="C107" s="368"/>
      <c r="D107" s="368"/>
      <c r="E107" s="368"/>
      <c r="F107" s="368"/>
      <c r="G107" s="368"/>
      <c r="H107" s="368"/>
      <c r="I107" s="368"/>
      <c r="J107" s="369"/>
      <c r="K107" s="33"/>
    </row>
    <row r="108" spans="1:11" ht="18.75" customHeight="1" x14ac:dyDescent="0.15">
      <c r="A108" s="37"/>
      <c r="B108" s="370"/>
      <c r="C108" s="371"/>
      <c r="D108" s="371"/>
      <c r="E108" s="371"/>
      <c r="F108" s="371"/>
      <c r="G108" s="371"/>
      <c r="H108" s="371"/>
      <c r="I108" s="371"/>
      <c r="J108" s="372"/>
      <c r="K108" s="33"/>
    </row>
    <row r="109" spans="1:11" ht="7.5" customHeight="1" x14ac:dyDescent="0.15">
      <c r="A109" s="37"/>
      <c r="B109" s="147"/>
      <c r="C109" s="147"/>
      <c r="D109" s="147"/>
      <c r="E109" s="147"/>
      <c r="F109" s="147"/>
      <c r="G109" s="147"/>
      <c r="H109" s="147"/>
      <c r="I109" s="147"/>
      <c r="J109" s="147"/>
    </row>
    <row r="110" spans="1:11" s="4" customFormat="1" ht="18.75" customHeight="1" x14ac:dyDescent="0.15">
      <c r="A110" s="1" t="s">
        <v>53</v>
      </c>
      <c r="B110" s="373" t="s">
        <v>82</v>
      </c>
      <c r="C110" s="373"/>
      <c r="D110" s="373"/>
      <c r="E110" s="373"/>
      <c r="F110" s="373"/>
      <c r="G110" s="373"/>
      <c r="H110" s="373"/>
      <c r="I110" s="373"/>
      <c r="J110" s="373"/>
      <c r="K110" s="31"/>
    </row>
    <row r="111" spans="1:11" ht="18.75" customHeight="1" x14ac:dyDescent="0.15">
      <c r="A111" s="37"/>
      <c r="B111" s="356" t="s">
        <v>316</v>
      </c>
      <c r="C111" s="357"/>
      <c r="D111" s="357"/>
      <c r="E111" s="357"/>
      <c r="F111" s="357"/>
      <c r="G111" s="357"/>
      <c r="H111" s="357"/>
      <c r="I111" s="365"/>
      <c r="J111" s="366"/>
    </row>
    <row r="112" spans="1:11" ht="18.75" customHeight="1" x14ac:dyDescent="0.15">
      <c r="A112" s="37"/>
      <c r="B112" s="367"/>
      <c r="C112" s="368"/>
      <c r="D112" s="368"/>
      <c r="E112" s="368"/>
      <c r="F112" s="368"/>
      <c r="G112" s="368"/>
      <c r="H112" s="368"/>
      <c r="I112" s="368"/>
      <c r="J112" s="369"/>
      <c r="K112" s="33"/>
    </row>
    <row r="113" spans="1:11" ht="18.75" customHeight="1" x14ac:dyDescent="0.15">
      <c r="A113" s="37"/>
      <c r="B113" s="367"/>
      <c r="C113" s="368"/>
      <c r="D113" s="368"/>
      <c r="E113" s="368"/>
      <c r="F113" s="368"/>
      <c r="G113" s="368"/>
      <c r="H113" s="368"/>
      <c r="I113" s="368"/>
      <c r="J113" s="369"/>
      <c r="K113" s="31" t="str">
        <f>IF(B111="","入力してください","")</f>
        <v/>
      </c>
    </row>
    <row r="114" spans="1:11" ht="18.75" customHeight="1" x14ac:dyDescent="0.15">
      <c r="A114" s="37"/>
      <c r="B114" s="367"/>
      <c r="C114" s="368"/>
      <c r="D114" s="368"/>
      <c r="E114" s="368"/>
      <c r="F114" s="368"/>
      <c r="G114" s="368"/>
      <c r="H114" s="368"/>
      <c r="I114" s="368"/>
      <c r="J114" s="369"/>
    </row>
    <row r="115" spans="1:11" ht="18.75" customHeight="1" x14ac:dyDescent="0.15">
      <c r="A115" s="37"/>
      <c r="B115" s="367"/>
      <c r="C115" s="368"/>
      <c r="D115" s="368"/>
      <c r="E115" s="368"/>
      <c r="F115" s="368"/>
      <c r="G115" s="368"/>
      <c r="H115" s="368"/>
      <c r="I115" s="368"/>
      <c r="J115" s="369"/>
    </row>
    <row r="116" spans="1:11" ht="18.75" customHeight="1" x14ac:dyDescent="0.15">
      <c r="A116" s="37"/>
      <c r="B116" s="367"/>
      <c r="C116" s="368"/>
      <c r="D116" s="368"/>
      <c r="E116" s="368"/>
      <c r="F116" s="368"/>
      <c r="G116" s="368"/>
      <c r="H116" s="368"/>
      <c r="I116" s="368"/>
      <c r="J116" s="369"/>
    </row>
    <row r="117" spans="1:11" ht="18.75" customHeight="1" x14ac:dyDescent="0.15">
      <c r="A117" s="37"/>
      <c r="B117" s="367"/>
      <c r="C117" s="368"/>
      <c r="D117" s="368"/>
      <c r="E117" s="368"/>
      <c r="F117" s="368"/>
      <c r="G117" s="368"/>
      <c r="H117" s="368"/>
      <c r="I117" s="368"/>
      <c r="J117" s="369"/>
    </row>
    <row r="118" spans="1:11" ht="18.75" customHeight="1" x14ac:dyDescent="0.15">
      <c r="A118" s="37"/>
      <c r="B118" s="367"/>
      <c r="C118" s="368"/>
      <c r="D118" s="368"/>
      <c r="E118" s="368"/>
      <c r="F118" s="368"/>
      <c r="G118" s="368"/>
      <c r="H118" s="368"/>
      <c r="I118" s="368"/>
      <c r="J118" s="369"/>
    </row>
    <row r="119" spans="1:11" ht="18.75" customHeight="1" x14ac:dyDescent="0.15">
      <c r="A119" s="37"/>
      <c r="B119" s="367"/>
      <c r="C119" s="368"/>
      <c r="D119" s="368"/>
      <c r="E119" s="368"/>
      <c r="F119" s="368"/>
      <c r="G119" s="368"/>
      <c r="H119" s="368"/>
      <c r="I119" s="368"/>
      <c r="J119" s="369"/>
    </row>
    <row r="120" spans="1:11" ht="18.75" customHeight="1" x14ac:dyDescent="0.15">
      <c r="A120" s="37"/>
      <c r="B120" s="367"/>
      <c r="C120" s="368"/>
      <c r="D120" s="368"/>
      <c r="E120" s="368"/>
      <c r="F120" s="368"/>
      <c r="G120" s="368"/>
      <c r="H120" s="368"/>
      <c r="I120" s="368"/>
      <c r="J120" s="369"/>
    </row>
    <row r="121" spans="1:11" ht="18.75" customHeight="1" x14ac:dyDescent="0.15">
      <c r="A121" s="37"/>
      <c r="B121" s="367"/>
      <c r="C121" s="368"/>
      <c r="D121" s="368"/>
      <c r="E121" s="368"/>
      <c r="F121" s="368"/>
      <c r="G121" s="368"/>
      <c r="H121" s="368"/>
      <c r="I121" s="368"/>
      <c r="J121" s="369"/>
    </row>
    <row r="122" spans="1:11" ht="18.75" customHeight="1" x14ac:dyDescent="0.15">
      <c r="A122" s="37"/>
      <c r="B122" s="367"/>
      <c r="C122" s="368"/>
      <c r="D122" s="368"/>
      <c r="E122" s="368"/>
      <c r="F122" s="368"/>
      <c r="G122" s="368"/>
      <c r="H122" s="368"/>
      <c r="I122" s="368"/>
      <c r="J122" s="369"/>
    </row>
    <row r="123" spans="1:11" ht="18.75" customHeight="1" x14ac:dyDescent="0.15">
      <c r="A123" s="37"/>
      <c r="B123" s="367"/>
      <c r="C123" s="368"/>
      <c r="D123" s="368"/>
      <c r="E123" s="368"/>
      <c r="F123" s="368"/>
      <c r="G123" s="368"/>
      <c r="H123" s="368"/>
      <c r="I123" s="368"/>
      <c r="J123" s="369"/>
    </row>
    <row r="124" spans="1:11" ht="18.75" customHeight="1" x14ac:dyDescent="0.15">
      <c r="A124" s="37"/>
      <c r="B124" s="367"/>
      <c r="C124" s="368"/>
      <c r="D124" s="368"/>
      <c r="E124" s="368"/>
      <c r="F124" s="368"/>
      <c r="G124" s="368"/>
      <c r="H124" s="368"/>
      <c r="I124" s="368"/>
      <c r="J124" s="369"/>
    </row>
    <row r="125" spans="1:11" ht="18.75" customHeight="1" x14ac:dyDescent="0.15">
      <c r="A125" s="37"/>
      <c r="B125" s="367"/>
      <c r="C125" s="368"/>
      <c r="D125" s="368"/>
      <c r="E125" s="368"/>
      <c r="F125" s="368"/>
      <c r="G125" s="368"/>
      <c r="H125" s="368"/>
      <c r="I125" s="368"/>
      <c r="J125" s="369"/>
    </row>
    <row r="126" spans="1:11" ht="18.75" customHeight="1" x14ac:dyDescent="0.15">
      <c r="A126" s="37"/>
      <c r="B126" s="367"/>
      <c r="C126" s="368"/>
      <c r="D126" s="368"/>
      <c r="E126" s="368"/>
      <c r="F126" s="368"/>
      <c r="G126" s="368"/>
      <c r="H126" s="368"/>
      <c r="I126" s="368"/>
      <c r="J126" s="369"/>
    </row>
    <row r="127" spans="1:11" ht="12.6" customHeight="1" x14ac:dyDescent="0.15">
      <c r="A127" s="37"/>
      <c r="B127" s="367"/>
      <c r="C127" s="368"/>
      <c r="D127" s="368"/>
      <c r="E127" s="368"/>
      <c r="F127" s="368"/>
      <c r="G127" s="368"/>
      <c r="H127" s="368"/>
      <c r="I127" s="368"/>
      <c r="J127" s="369"/>
    </row>
    <row r="128" spans="1:11" ht="12.95" customHeight="1" x14ac:dyDescent="0.15">
      <c r="A128" s="37"/>
      <c r="B128" s="367"/>
      <c r="C128" s="368"/>
      <c r="D128" s="368"/>
      <c r="E128" s="368"/>
      <c r="F128" s="368"/>
      <c r="G128" s="368"/>
      <c r="H128" s="368"/>
      <c r="I128" s="368"/>
      <c r="J128" s="369"/>
    </row>
    <row r="129" spans="1:10" ht="12.95" customHeight="1" x14ac:dyDescent="0.15">
      <c r="A129" s="37"/>
      <c r="B129" s="370"/>
      <c r="C129" s="371"/>
      <c r="D129" s="371"/>
      <c r="E129" s="371"/>
      <c r="F129" s="371"/>
      <c r="G129" s="371"/>
      <c r="H129" s="371"/>
      <c r="I129" s="371"/>
      <c r="J129" s="372"/>
    </row>
    <row r="130" spans="1:10" ht="7.5" customHeight="1" x14ac:dyDescent="0.15">
      <c r="A130" s="37"/>
      <c r="B130" s="102"/>
      <c r="C130" s="102"/>
      <c r="D130" s="102"/>
      <c r="E130" s="102"/>
      <c r="F130" s="102"/>
      <c r="G130" s="102"/>
      <c r="H130" s="102"/>
      <c r="I130" s="102"/>
      <c r="J130" s="102"/>
    </row>
    <row r="131" spans="1:10" ht="18.75" customHeight="1" x14ac:dyDescent="0.15">
      <c r="A131" s="37"/>
      <c r="B131" s="37"/>
      <c r="C131" s="37"/>
      <c r="D131" s="37"/>
      <c r="E131" s="37"/>
      <c r="F131" s="37"/>
      <c r="G131" s="37"/>
      <c r="H131" s="37"/>
      <c r="I131" s="37"/>
      <c r="J131" s="37"/>
    </row>
    <row r="132" spans="1:10" ht="18.75" customHeight="1" x14ac:dyDescent="0.15">
      <c r="A132" s="37"/>
      <c r="B132" s="37"/>
      <c r="C132" s="37"/>
      <c r="D132" s="37"/>
      <c r="E132" s="37"/>
      <c r="F132" s="37"/>
      <c r="G132" s="37"/>
      <c r="H132" s="37"/>
      <c r="I132" s="37"/>
      <c r="J132" s="37"/>
    </row>
    <row r="133" spans="1:10" ht="18.75" customHeight="1" x14ac:dyDescent="0.15">
      <c r="A133" s="37"/>
      <c r="B133" s="37"/>
      <c r="C133" s="37"/>
      <c r="D133" s="37"/>
      <c r="E133" s="37"/>
      <c r="F133" s="37"/>
      <c r="G133" s="37"/>
      <c r="H133" s="37"/>
      <c r="I133" s="37"/>
      <c r="J133" s="37"/>
    </row>
    <row r="134" spans="1:10" ht="18.75" customHeight="1" x14ac:dyDescent="0.15">
      <c r="A134" s="37"/>
      <c r="B134" s="37"/>
      <c r="C134" s="37"/>
      <c r="D134" s="37"/>
      <c r="E134" s="37"/>
      <c r="F134" s="37"/>
      <c r="G134" s="37"/>
      <c r="H134" s="37"/>
      <c r="I134" s="37"/>
      <c r="J134" s="37"/>
    </row>
    <row r="135" spans="1:10" ht="18.75" customHeight="1" x14ac:dyDescent="0.15">
      <c r="A135" s="37"/>
      <c r="B135" s="37"/>
      <c r="C135" s="37"/>
      <c r="D135" s="37"/>
      <c r="E135" s="37"/>
      <c r="F135" s="37"/>
      <c r="G135" s="37"/>
      <c r="H135" s="37"/>
      <c r="I135" s="37"/>
      <c r="J135" s="37"/>
    </row>
    <row r="136" spans="1:10" ht="18.75" customHeight="1" x14ac:dyDescent="0.15">
      <c r="A136" s="37"/>
      <c r="B136" s="37"/>
      <c r="C136" s="37"/>
      <c r="D136" s="37"/>
      <c r="E136" s="37"/>
      <c r="F136" s="37"/>
      <c r="G136" s="37"/>
      <c r="H136" s="37"/>
      <c r="I136" s="37"/>
      <c r="J136" s="37"/>
    </row>
    <row r="137" spans="1:10" ht="18.75" customHeight="1" x14ac:dyDescent="0.15">
      <c r="A137" s="37"/>
      <c r="B137" s="37"/>
      <c r="C137" s="37"/>
      <c r="D137" s="37"/>
      <c r="E137" s="37"/>
      <c r="F137" s="37"/>
      <c r="G137" s="37"/>
      <c r="H137" s="37"/>
      <c r="I137" s="37"/>
      <c r="J137" s="37"/>
    </row>
    <row r="138" spans="1:10" ht="18.75" customHeight="1" x14ac:dyDescent="0.15">
      <c r="A138" s="37"/>
      <c r="B138" s="37"/>
      <c r="C138" s="37"/>
      <c r="D138" s="37"/>
      <c r="E138" s="37"/>
      <c r="F138" s="37"/>
      <c r="G138" s="37"/>
      <c r="H138" s="37"/>
      <c r="I138" s="37"/>
      <c r="J138" s="37"/>
    </row>
    <row r="139" spans="1:10" ht="18.75" customHeight="1" x14ac:dyDescent="0.15">
      <c r="A139" s="37"/>
      <c r="B139" s="37"/>
      <c r="C139" s="37"/>
      <c r="D139" s="37"/>
      <c r="E139" s="37"/>
      <c r="F139" s="37"/>
      <c r="G139" s="37"/>
      <c r="H139" s="37"/>
      <c r="I139" s="37"/>
      <c r="J139" s="37"/>
    </row>
    <row r="140" spans="1:10" ht="18.75" customHeight="1" x14ac:dyDescent="0.15">
      <c r="A140" s="37"/>
      <c r="B140" s="37"/>
      <c r="C140" s="37"/>
      <c r="D140" s="37"/>
      <c r="E140" s="37"/>
      <c r="F140" s="37"/>
      <c r="G140" s="37"/>
      <c r="H140" s="37"/>
      <c r="I140" s="37"/>
      <c r="J140" s="37"/>
    </row>
    <row r="141" spans="1:10" ht="18.75" customHeight="1" x14ac:dyDescent="0.15">
      <c r="A141" s="37"/>
      <c r="B141" s="37"/>
      <c r="C141" s="37"/>
      <c r="D141" s="37"/>
      <c r="E141" s="37"/>
      <c r="F141" s="37"/>
      <c r="G141" s="37"/>
      <c r="H141" s="37"/>
      <c r="I141" s="37"/>
      <c r="J141" s="37"/>
    </row>
    <row r="142" spans="1:10" ht="18.75" customHeight="1" x14ac:dyDescent="0.15">
      <c r="A142" s="37"/>
      <c r="B142" s="37"/>
      <c r="C142" s="37"/>
      <c r="D142" s="37"/>
      <c r="E142" s="37"/>
      <c r="F142" s="37"/>
      <c r="G142" s="37"/>
      <c r="H142" s="37"/>
      <c r="I142" s="37"/>
      <c r="J142" s="37"/>
    </row>
    <row r="143" spans="1:10" ht="14.25" x14ac:dyDescent="0.15">
      <c r="A143" s="37"/>
      <c r="B143" s="37"/>
      <c r="C143" s="37"/>
      <c r="D143" s="37"/>
      <c r="E143" s="37"/>
      <c r="F143" s="37"/>
      <c r="G143" s="37"/>
      <c r="H143" s="37"/>
      <c r="I143" s="37"/>
      <c r="J143" s="37"/>
    </row>
    <row r="144" spans="1:10" ht="7.5" customHeight="1" x14ac:dyDescent="0.15">
      <c r="A144" s="103"/>
      <c r="B144" s="103"/>
      <c r="C144" s="103"/>
      <c r="D144" s="103"/>
      <c r="E144" s="103"/>
      <c r="F144" s="103"/>
      <c r="G144" s="103"/>
      <c r="H144" s="103"/>
      <c r="I144" s="103"/>
      <c r="J144" s="103"/>
    </row>
  </sheetData>
  <mergeCells count="11">
    <mergeCell ref="B31:J44"/>
    <mergeCell ref="A2:J2"/>
    <mergeCell ref="B5:J5"/>
    <mergeCell ref="B8:J12"/>
    <mergeCell ref="B15:J25"/>
    <mergeCell ref="B30:J30"/>
    <mergeCell ref="B46:J66"/>
    <mergeCell ref="B69:J86"/>
    <mergeCell ref="B89:J108"/>
    <mergeCell ref="B110:J110"/>
    <mergeCell ref="B111:J129"/>
  </mergeCells>
  <phoneticPr fontId="1"/>
  <printOptions horizontalCentered="1"/>
  <pageMargins left="0.78740157480314965" right="0.78740157480314965" top="0.78740157480314965" bottom="0.78740157480314965" header="0.31496062992125984" footer="0.31496062992125984"/>
  <pageSetup paperSize="9" orientation="portrait" r:id="rId1"/>
  <rowBreaks count="2" manualBreakCount="2">
    <brk id="44" max="9" man="1"/>
    <brk id="87" max="9"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6"/>
  <sheetViews>
    <sheetView showZeros="0" view="pageBreakPreview" zoomScaleNormal="100" zoomScaleSheetLayoutView="100" workbookViewId="0">
      <selection activeCell="D1" sqref="D1"/>
    </sheetView>
  </sheetViews>
  <sheetFormatPr defaultColWidth="11.375" defaultRowHeight="22.5" customHeight="1" x14ac:dyDescent="0.15"/>
  <cols>
    <col min="1" max="3" width="2.75" style="1" customWidth="1"/>
    <col min="4" max="4" width="22.25" style="1" customWidth="1"/>
    <col min="5" max="5" width="21.625" style="1" customWidth="1"/>
    <col min="6" max="7" width="7.75" style="1" customWidth="1"/>
    <col min="8" max="8" width="33.375" style="1" customWidth="1"/>
    <col min="9" max="9" width="24.5" style="1" customWidth="1"/>
    <col min="10" max="10" width="5.5" style="1" customWidth="1"/>
    <col min="11" max="11" width="4.125" style="31" customWidth="1"/>
    <col min="12" max="16384" width="11.375" style="1"/>
  </cols>
  <sheetData>
    <row r="1" spans="1:11" ht="18.75" customHeight="1" x14ac:dyDescent="0.15">
      <c r="A1" s="1" t="s">
        <v>123</v>
      </c>
      <c r="J1" s="39" t="s">
        <v>73</v>
      </c>
    </row>
    <row r="2" spans="1:11" ht="18.75" customHeight="1" x14ac:dyDescent="0.15">
      <c r="A2" s="340" t="s">
        <v>42</v>
      </c>
      <c r="B2" s="340"/>
      <c r="C2" s="340"/>
      <c r="D2" s="340"/>
      <c r="E2" s="340"/>
      <c r="F2" s="340"/>
      <c r="G2" s="340"/>
      <c r="H2" s="340"/>
      <c r="I2" s="340"/>
      <c r="J2" s="340"/>
    </row>
    <row r="3" spans="1:11" ht="7.5" customHeight="1" x14ac:dyDescent="0.15">
      <c r="A3" s="40"/>
      <c r="B3" s="40"/>
      <c r="C3" s="40"/>
      <c r="D3" s="40"/>
      <c r="E3" s="40"/>
      <c r="F3" s="40"/>
      <c r="G3" s="40"/>
      <c r="H3" s="40"/>
      <c r="I3" s="40"/>
      <c r="J3" s="40"/>
    </row>
    <row r="4" spans="1:11" ht="18.75" customHeight="1" x14ac:dyDescent="0.15">
      <c r="A4" s="1" t="s">
        <v>6</v>
      </c>
      <c r="B4" s="4" t="s">
        <v>41</v>
      </c>
      <c r="C4" s="37"/>
      <c r="D4" s="37"/>
      <c r="E4" s="38"/>
      <c r="F4" s="38"/>
      <c r="G4" s="38"/>
      <c r="H4" s="38"/>
      <c r="I4" s="38"/>
      <c r="J4" s="38"/>
    </row>
    <row r="5" spans="1:11" ht="18.75" customHeight="1" x14ac:dyDescent="0.15">
      <c r="B5" s="392" t="s">
        <v>38</v>
      </c>
      <c r="C5" s="393"/>
      <c r="D5" s="394"/>
      <c r="E5" s="395" t="s">
        <v>40</v>
      </c>
      <c r="F5" s="395"/>
      <c r="G5" s="395"/>
      <c r="H5" s="395"/>
      <c r="I5" s="395"/>
      <c r="J5" s="396"/>
    </row>
    <row r="6" spans="1:11" ht="18.75" customHeight="1" x14ac:dyDescent="0.15">
      <c r="B6" s="3" t="s">
        <v>28</v>
      </c>
      <c r="C6" s="37"/>
      <c r="D6" s="7"/>
      <c r="I6" s="38"/>
      <c r="J6" s="5"/>
    </row>
    <row r="7" spans="1:11" ht="207" customHeight="1" x14ac:dyDescent="0.15">
      <c r="B7" s="6"/>
      <c r="C7" s="383" t="s">
        <v>29</v>
      </c>
      <c r="D7" s="384"/>
      <c r="E7" s="389" t="s">
        <v>304</v>
      </c>
      <c r="F7" s="385"/>
      <c r="G7" s="385"/>
      <c r="H7" s="385"/>
      <c r="I7" s="385"/>
      <c r="J7" s="386"/>
      <c r="K7" s="31" t="str">
        <f>IF(E7="","入力してください","")</f>
        <v/>
      </c>
    </row>
    <row r="8" spans="1:11" ht="207" customHeight="1" x14ac:dyDescent="0.15">
      <c r="B8" s="6"/>
      <c r="C8" s="390" t="s">
        <v>30</v>
      </c>
      <c r="D8" s="391"/>
      <c r="E8" s="389" t="s">
        <v>296</v>
      </c>
      <c r="F8" s="385"/>
      <c r="G8" s="385"/>
      <c r="H8" s="385"/>
      <c r="I8" s="385"/>
      <c r="J8" s="386"/>
      <c r="K8" s="31" t="str">
        <f>IF(E8="","入力してください","")</f>
        <v/>
      </c>
    </row>
    <row r="9" spans="1:11" ht="172.5" customHeight="1" x14ac:dyDescent="0.15">
      <c r="B9" s="6"/>
      <c r="C9" s="383" t="s">
        <v>31</v>
      </c>
      <c r="D9" s="384"/>
      <c r="E9" s="389" t="s">
        <v>297</v>
      </c>
      <c r="F9" s="385"/>
      <c r="G9" s="385"/>
      <c r="H9" s="385"/>
      <c r="I9" s="385"/>
      <c r="J9" s="386"/>
      <c r="K9" s="31" t="str">
        <f>IF(E9="","入力してください","")</f>
        <v/>
      </c>
    </row>
    <row r="10" spans="1:11" ht="172.5" customHeight="1" x14ac:dyDescent="0.15">
      <c r="B10" s="6"/>
      <c r="C10" s="383" t="s">
        <v>32</v>
      </c>
      <c r="D10" s="384"/>
      <c r="E10" s="389" t="s">
        <v>298</v>
      </c>
      <c r="F10" s="385"/>
      <c r="G10" s="385"/>
      <c r="H10" s="385"/>
      <c r="I10" s="385"/>
      <c r="J10" s="386"/>
      <c r="K10" s="31" t="str">
        <f t="shared" ref="K10:K14" si="0">IF(E10="","入力してください","")</f>
        <v/>
      </c>
    </row>
    <row r="11" spans="1:11" ht="172.5" customHeight="1" x14ac:dyDescent="0.15">
      <c r="B11" s="6"/>
      <c r="C11" s="383" t="s">
        <v>33</v>
      </c>
      <c r="D11" s="384"/>
      <c r="E11" s="389" t="s">
        <v>299</v>
      </c>
      <c r="F11" s="385"/>
      <c r="G11" s="385"/>
      <c r="H11" s="385"/>
      <c r="I11" s="385"/>
      <c r="J11" s="386"/>
      <c r="K11" s="31" t="str">
        <f t="shared" si="0"/>
        <v/>
      </c>
    </row>
    <row r="12" spans="1:11" ht="18.75" customHeight="1" x14ac:dyDescent="0.15">
      <c r="B12" s="9" t="s">
        <v>34</v>
      </c>
      <c r="C12" s="28"/>
      <c r="D12" s="8"/>
      <c r="E12" s="148"/>
      <c r="F12" s="148"/>
      <c r="G12" s="148"/>
      <c r="H12" s="148"/>
      <c r="I12" s="148"/>
      <c r="J12" s="149"/>
    </row>
    <row r="13" spans="1:11" ht="244.15" customHeight="1" x14ac:dyDescent="0.15">
      <c r="B13" s="6"/>
      <c r="C13" s="383" t="s">
        <v>35</v>
      </c>
      <c r="D13" s="384"/>
      <c r="E13" s="385" t="s">
        <v>184</v>
      </c>
      <c r="F13" s="385"/>
      <c r="G13" s="385"/>
      <c r="H13" s="385"/>
      <c r="I13" s="385"/>
      <c r="J13" s="386"/>
      <c r="K13" s="31" t="str">
        <f t="shared" si="0"/>
        <v/>
      </c>
    </row>
    <row r="14" spans="1:11" ht="255" customHeight="1" x14ac:dyDescent="0.15">
      <c r="B14" s="6"/>
      <c r="C14" s="383" t="s">
        <v>36</v>
      </c>
      <c r="D14" s="384"/>
      <c r="E14" s="385" t="s">
        <v>185</v>
      </c>
      <c r="F14" s="385"/>
      <c r="G14" s="385"/>
      <c r="H14" s="385"/>
      <c r="I14" s="385"/>
      <c r="J14" s="386"/>
      <c r="K14" s="31" t="str">
        <f t="shared" si="0"/>
        <v/>
      </c>
    </row>
    <row r="15" spans="1:11" ht="243" customHeight="1" x14ac:dyDescent="0.15">
      <c r="B15" s="387" t="s">
        <v>37</v>
      </c>
      <c r="C15" s="388"/>
      <c r="D15" s="384"/>
      <c r="E15" s="385" t="s">
        <v>186</v>
      </c>
      <c r="F15" s="385"/>
      <c r="G15" s="385"/>
      <c r="H15" s="385"/>
      <c r="I15" s="385"/>
      <c r="J15" s="386"/>
      <c r="K15" s="31" t="str">
        <f>IF(E15="","入力してください","")</f>
        <v/>
      </c>
    </row>
    <row r="16" spans="1:11" ht="243" customHeight="1" x14ac:dyDescent="0.15">
      <c r="A16" s="31"/>
      <c r="B16" s="378" t="s">
        <v>66</v>
      </c>
      <c r="C16" s="379"/>
      <c r="D16" s="380"/>
      <c r="E16" s="363" t="s">
        <v>187</v>
      </c>
      <c r="F16" s="363"/>
      <c r="G16" s="363"/>
      <c r="H16" s="363"/>
      <c r="I16" s="363"/>
      <c r="J16" s="364"/>
      <c r="K16" s="31" t="str">
        <f>IF(E16="","入力してください","")</f>
        <v/>
      </c>
    </row>
    <row r="17" spans="1:11" ht="7.5" customHeight="1" x14ac:dyDescent="0.15">
      <c r="B17" s="37"/>
      <c r="C17" s="37"/>
      <c r="D17" s="37"/>
      <c r="E17" s="38"/>
      <c r="F17" s="38"/>
      <c r="G17" s="38"/>
      <c r="H17" s="38"/>
      <c r="I17" s="38"/>
      <c r="J17" s="38"/>
    </row>
    <row r="18" spans="1:11" ht="18.75" customHeight="1" x14ac:dyDescent="0.15">
      <c r="A18" s="1" t="s">
        <v>124</v>
      </c>
      <c r="B18" s="4"/>
      <c r="C18" s="37"/>
      <c r="D18" s="37"/>
      <c r="E18" s="38"/>
      <c r="F18" s="92"/>
      <c r="G18" s="282" t="s">
        <v>321</v>
      </c>
      <c r="H18" s="381"/>
      <c r="I18" s="381"/>
      <c r="J18" s="382"/>
      <c r="K18" s="31" t="str">
        <f>IF(G18="","入力してください","")</f>
        <v/>
      </c>
    </row>
    <row r="19" spans="1:11" ht="22.5" customHeight="1" x14ac:dyDescent="0.15">
      <c r="B19" s="37"/>
      <c r="C19" s="37"/>
      <c r="D19" s="37"/>
      <c r="E19" s="38"/>
      <c r="F19" s="38"/>
      <c r="G19" s="38"/>
      <c r="H19" s="38"/>
      <c r="I19" s="38"/>
      <c r="J19" s="38"/>
    </row>
    <row r="20" spans="1:11" ht="22.5" customHeight="1" x14ac:dyDescent="0.15">
      <c r="B20" s="37"/>
      <c r="C20" s="37"/>
      <c r="D20" s="37"/>
      <c r="E20" s="38"/>
      <c r="F20" s="38"/>
      <c r="G20" s="38"/>
      <c r="H20" s="38"/>
      <c r="I20" s="38"/>
      <c r="J20" s="38"/>
    </row>
    <row r="21" spans="1:11" ht="22.5" customHeight="1" x14ac:dyDescent="0.15">
      <c r="B21" s="37"/>
      <c r="C21" s="37"/>
      <c r="D21" s="37"/>
      <c r="E21" s="38"/>
      <c r="F21" s="38"/>
      <c r="G21" s="38"/>
      <c r="H21" s="38"/>
      <c r="I21" s="38"/>
      <c r="J21" s="38"/>
    </row>
    <row r="22" spans="1:11" ht="22.5" customHeight="1" x14ac:dyDescent="0.15">
      <c r="B22" s="37"/>
      <c r="C22" s="37"/>
      <c r="D22" s="37"/>
      <c r="E22" s="38"/>
      <c r="F22" s="38"/>
      <c r="G22" s="38"/>
      <c r="H22" s="38"/>
      <c r="I22" s="38"/>
      <c r="J22" s="38"/>
    </row>
    <row r="23" spans="1:11" ht="22.5" customHeight="1" x14ac:dyDescent="0.15">
      <c r="B23" s="37"/>
      <c r="C23" s="37"/>
      <c r="D23" s="37"/>
      <c r="E23" s="38"/>
      <c r="F23" s="38"/>
      <c r="G23" s="38"/>
      <c r="H23" s="38"/>
      <c r="I23" s="38"/>
      <c r="J23" s="38"/>
    </row>
    <row r="24" spans="1:11" ht="22.5" customHeight="1" x14ac:dyDescent="0.15">
      <c r="B24" s="104"/>
      <c r="C24" s="104"/>
      <c r="D24" s="104"/>
      <c r="E24" s="104"/>
      <c r="F24" s="104"/>
      <c r="G24" s="104"/>
      <c r="H24" s="104"/>
      <c r="I24" s="104"/>
      <c r="J24" s="104"/>
    </row>
    <row r="25" spans="1:11" ht="22.5" customHeight="1" x14ac:dyDescent="0.15">
      <c r="B25" s="104"/>
      <c r="C25" s="104"/>
      <c r="D25" s="104"/>
      <c r="E25" s="104"/>
      <c r="F25" s="104"/>
      <c r="G25" s="104"/>
      <c r="H25" s="104"/>
      <c r="I25" s="104"/>
      <c r="J25" s="104"/>
    </row>
    <row r="26" spans="1:11" ht="22.5" customHeight="1" x14ac:dyDescent="0.15">
      <c r="B26" s="104"/>
      <c r="C26" s="104"/>
      <c r="D26" s="104"/>
      <c r="E26" s="104"/>
      <c r="F26" s="104"/>
      <c r="G26" s="104"/>
      <c r="H26" s="104"/>
      <c r="I26" s="104"/>
      <c r="J26" s="104"/>
    </row>
  </sheetData>
  <mergeCells count="22">
    <mergeCell ref="C8:D8"/>
    <mergeCell ref="E8:J8"/>
    <mergeCell ref="A2:J2"/>
    <mergeCell ref="B5:D5"/>
    <mergeCell ref="E5:J5"/>
    <mergeCell ref="C7:D7"/>
    <mergeCell ref="E7:J7"/>
    <mergeCell ref="C9:D9"/>
    <mergeCell ref="E9:J9"/>
    <mergeCell ref="C10:D10"/>
    <mergeCell ref="E10:J10"/>
    <mergeCell ref="C11:D11"/>
    <mergeCell ref="E11:J11"/>
    <mergeCell ref="B16:D16"/>
    <mergeCell ref="E16:J16"/>
    <mergeCell ref="G18:J18"/>
    <mergeCell ref="C13:D13"/>
    <mergeCell ref="E13:J13"/>
    <mergeCell ref="C14:D14"/>
    <mergeCell ref="E14:J14"/>
    <mergeCell ref="B15:D15"/>
    <mergeCell ref="E15:J15"/>
  </mergeCells>
  <phoneticPr fontId="1"/>
  <hyperlinks>
    <hyperlink ref="G18" r:id="rId1"/>
  </hyperlinks>
  <printOptions horizontalCentered="1"/>
  <pageMargins left="0.78740157480314965" right="0.78740157480314965" top="0.78740157480314965" bottom="0.78740157480314965" header="0.31496062992125984" footer="0.31496062992125984"/>
  <pageSetup paperSize="9" orientation="landscape"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9</vt:i4>
      </vt:variant>
      <vt:variant>
        <vt:lpstr>名前付き一覧</vt:lpstr>
      </vt:variant>
      <vt:variant>
        <vt:i4>9</vt:i4>
      </vt:variant>
    </vt:vector>
  </HeadingPairs>
  <TitlesOfParts>
    <vt:vector size="18" baseType="lpstr">
      <vt:lpstr>様式１　大学等概要</vt:lpstr>
      <vt:lpstr>様式２-１　プログラムを構成する授業科目</vt:lpstr>
      <vt:lpstr>様式２-2　プログラムを構成する授業科目</vt:lpstr>
      <vt:lpstr>様式２-3　プログラムを構成する授業科目</vt:lpstr>
      <vt:lpstr>様式２-4　プログラムを構成する授業科目</vt:lpstr>
      <vt:lpstr>様式２-5　プログラムを構成する授業科目</vt:lpstr>
      <vt:lpstr>様式３　履修者等数の実績</vt:lpstr>
      <vt:lpstr>様式４　教育の質・履修者数を向上させるための体制・計画</vt:lpstr>
      <vt:lpstr>様式５　自己点検・評価</vt:lpstr>
      <vt:lpstr>'様式１　大学等概要'!Print_Area</vt:lpstr>
      <vt:lpstr>'様式２-１　プログラムを構成する授業科目'!Print_Area</vt:lpstr>
      <vt:lpstr>'様式２-2　プログラムを構成する授業科目'!Print_Area</vt:lpstr>
      <vt:lpstr>'様式２-3　プログラムを構成する授業科目'!Print_Area</vt:lpstr>
      <vt:lpstr>'様式２-4　プログラムを構成する授業科目'!Print_Area</vt:lpstr>
      <vt:lpstr>'様式２-5　プログラムを構成する授業科目'!Print_Area</vt:lpstr>
      <vt:lpstr>'様式３　履修者等数の実績'!Print_Area</vt:lpstr>
      <vt:lpstr>'様式４　教育の質・履修者数を向上させるための体制・計画'!Print_Area</vt:lpstr>
      <vt:lpstr>'様式５　自己点検・評価'!Print_Area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東京経済大学</cp:lastModifiedBy>
  <cp:lastPrinted>2022-07-14T01:16:43Z</cp:lastPrinted>
  <dcterms:created xsi:type="dcterms:W3CDTF">2011-06-14T05:32:50Z</dcterms:created>
  <dcterms:modified xsi:type="dcterms:W3CDTF">2022-07-19T05:15:19Z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