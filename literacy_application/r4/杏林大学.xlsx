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401"/>
  <workbookPr defaultThemeVersion="124226"/>
  <mc:AlternateContent xmlns:mc="http://schemas.openxmlformats.org/markup-compatibility/2006">
    <mc:Choice Requires="x15">
      <x15ac:absPath xmlns:x15ac="http://schemas.microsoft.com/office/spreadsheetml/2010/11/ac" url="\\10.211.196.16\somu\00.大学事務部\40.MDASH（数理・データサイエンス・ＡＩ教育プログラム認定制度）\最終申請用\★データ提出用\提出後修正\"/>
    </mc:Choice>
  </mc:AlternateContent>
  <xr:revisionPtr revIDLastSave="0" documentId="13_ncr:1_{ED48F359-BFC3-4FED-B87C-DB5E1E0EAA76}" xr6:coauthVersionLast="47" xr6:coauthVersionMax="47" xr10:uidLastSave="{00000000-0000-0000-0000-000000000000}"/>
  <bookViews>
    <workbookView xWindow="0" yWindow="0" windowWidth="28800" windowHeight="13545" tabRatio="885" firstSheet="13" activeTab="17" xr2:uid="{00000000-000D-0000-FFFF-FFFF00000000}"/>
  </bookViews>
  <sheets>
    <sheet name="様式１　大学等概要" sheetId="8" r:id="rId1"/>
    <sheet name="様式２　プログラムを構成する授業科目　医学科" sheetId="39" r:id="rId2"/>
    <sheet name="様式２　プログラムを構成する授業科目　臨床検査技術学科" sheetId="44" r:id="rId3"/>
    <sheet name="様式２　プログラムを構成する授業科目　健康福祉学科" sheetId="45" r:id="rId4"/>
    <sheet name="様式２　プログラムを構成する授業科目　看護学専攻" sheetId="46" r:id="rId5"/>
    <sheet name="様式２　プログラムを構成する授業科目　看護養護教育学専攻" sheetId="47" r:id="rId6"/>
    <sheet name="様式２　プログラムを構成する授業科目　臨床工学科" sheetId="48" r:id="rId7"/>
    <sheet name="様式２　プログラムを構成する授業科目　救急救命学科" sheetId="49" r:id="rId8"/>
    <sheet name="様式２　プログラムを構成する授業科目　理学療法学科" sheetId="50" r:id="rId9"/>
    <sheet name="様式２　プログラムを構成する授業科目　作業療法学科" sheetId="51" r:id="rId10"/>
    <sheet name="様式２　プログラムを構成する授業科目　診療放射線技術学科" sheetId="52" r:id="rId11"/>
    <sheet name="様式２　プログラムを構成する授業科目　臨床心理学科" sheetId="53" r:id="rId12"/>
    <sheet name="様式２　プログラムを構成する授業科目　総合政策学部" sheetId="54" r:id="rId13"/>
    <sheet name="様式２　プログラムを構成する授業科目　外国語学部" sheetId="56" r:id="rId14"/>
    <sheet name="様式３　履修者等数の実績" sheetId="40" r:id="rId15"/>
    <sheet name="様式４　教育の質・履修者数を向上させるための体制・計画" sheetId="41" r:id="rId16"/>
    <sheet name="様式５　自己点検・評価" sheetId="42" r:id="rId17"/>
    <sheet name="様式６　特色ある取組" sheetId="43" r:id="rId18"/>
  </sheets>
  <definedNames>
    <definedName name="_xlnm._FilterDatabase" localSheetId="1" hidden="1">'様式２　プログラムを構成する授業科目　医学科'!#REF!</definedName>
    <definedName name="_xlnm._FilterDatabase" localSheetId="13" hidden="1">'様式２　プログラムを構成する授業科目　外国語学部'!#REF!</definedName>
    <definedName name="_xlnm._FilterDatabase" localSheetId="4" hidden="1">'様式２　プログラムを構成する授業科目　看護学専攻'!#REF!</definedName>
    <definedName name="_xlnm._FilterDatabase" localSheetId="5" hidden="1">'様式２　プログラムを構成する授業科目　看護養護教育学専攻'!#REF!</definedName>
    <definedName name="_xlnm._FilterDatabase" localSheetId="7" hidden="1">'様式２　プログラムを構成する授業科目　救急救命学科'!#REF!</definedName>
    <definedName name="_xlnm._FilterDatabase" localSheetId="3" hidden="1">'様式２　プログラムを構成する授業科目　健康福祉学科'!#REF!</definedName>
    <definedName name="_xlnm._FilterDatabase" localSheetId="9" hidden="1">'様式２　プログラムを構成する授業科目　作業療法学科'!#REF!</definedName>
    <definedName name="_xlnm._FilterDatabase" localSheetId="10" hidden="1">'様式２　プログラムを構成する授業科目　診療放射線技術学科'!#REF!</definedName>
    <definedName name="_xlnm._FilterDatabase" localSheetId="12" hidden="1">'様式２　プログラムを構成する授業科目　総合政策学部'!#REF!</definedName>
    <definedName name="_xlnm._FilterDatabase" localSheetId="8" hidden="1">'様式２　プログラムを構成する授業科目　理学療法学科'!#REF!</definedName>
    <definedName name="_xlnm._FilterDatabase" localSheetId="2" hidden="1">'様式２　プログラムを構成する授業科目　臨床検査技術学科'!#REF!</definedName>
    <definedName name="_xlnm._FilterDatabase" localSheetId="6" hidden="1">'様式２　プログラムを構成する授業科目　臨床工学科'!#REF!</definedName>
    <definedName name="_xlnm._FilterDatabase" localSheetId="11" hidden="1">'様式２　プログラムを構成する授業科目　臨床心理学科'!#REF!</definedName>
    <definedName name="_xlnm._FilterDatabase" localSheetId="14" hidden="1">'様式３　履修者等数の実績'!#REF!</definedName>
    <definedName name="_xlnm.Print_Area" localSheetId="0">'様式１　大学等概要'!$A$1:$N$45</definedName>
    <definedName name="_xlnm.Print_Area" localSheetId="1">'様式２　プログラムを構成する授業科目　医学科'!$A$1:$Z$98</definedName>
    <definedName name="_xlnm.Print_Area" localSheetId="13">'様式２　プログラムを構成する授業科目　外国語学部'!$A$1:$Z$98</definedName>
    <definedName name="_xlnm.Print_Area" localSheetId="4">'様式２　プログラムを構成する授業科目　看護学専攻'!$A$1:$Z$98</definedName>
    <definedName name="_xlnm.Print_Area" localSheetId="5">'様式２　プログラムを構成する授業科目　看護養護教育学専攻'!$A$1:$Z$98</definedName>
    <definedName name="_xlnm.Print_Area" localSheetId="7">'様式２　プログラムを構成する授業科目　救急救命学科'!$A$1:$Z$98</definedName>
    <definedName name="_xlnm.Print_Area" localSheetId="3">'様式２　プログラムを構成する授業科目　健康福祉学科'!$A$1:$Z$98</definedName>
    <definedName name="_xlnm.Print_Area" localSheetId="9">'様式２　プログラムを構成する授業科目　作業療法学科'!$A$1:$Z$98</definedName>
    <definedName name="_xlnm.Print_Area" localSheetId="10">'様式２　プログラムを構成する授業科目　診療放射線技術学科'!$A$1:$Z$98</definedName>
    <definedName name="_xlnm.Print_Area" localSheetId="12">'様式２　プログラムを構成する授業科目　総合政策学部'!$A$1:$Z$98</definedName>
    <definedName name="_xlnm.Print_Area" localSheetId="8">'様式２　プログラムを構成する授業科目　理学療法学科'!$A$1:$Z$98</definedName>
    <definedName name="_xlnm.Print_Area" localSheetId="2">'様式２　プログラムを構成する授業科目　臨床検査技術学科'!$A$1:$Z$98</definedName>
    <definedName name="_xlnm.Print_Area" localSheetId="6">'様式２　プログラムを構成する授業科目　臨床工学科'!$A$1:$Z$98</definedName>
    <definedName name="_xlnm.Print_Area" localSheetId="11">'様式２　プログラムを構成する授業科目　臨床心理学科'!$A$1:$Z$98</definedName>
    <definedName name="_xlnm.Print_Area" localSheetId="14">'様式３　履修者等数の実績'!$A$1:$R$30</definedName>
    <definedName name="_xlnm.Print_Area" localSheetId="15">'様式４　教育の質・履修者数を向上させるための体制・計画'!$A$1:$J$130</definedName>
    <definedName name="_xlnm.Print_Area" localSheetId="16">'様式５　自己点検・評価'!$A$1:$J$18</definedName>
    <definedName name="_xlnm.Print_Area" localSheetId="17">'様式６　特色ある取組'!$A$1:$F$124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K18" i="42" l="1"/>
  <c r="K113" i="41"/>
  <c r="K91" i="41"/>
  <c r="K69" i="41"/>
  <c r="K46" i="41"/>
  <c r="K31" i="41"/>
  <c r="K15" i="41"/>
  <c r="K8" i="41"/>
  <c r="K5" i="41"/>
  <c r="C4" i="40"/>
  <c r="O12" i="8"/>
  <c r="O10" i="8"/>
  <c r="K16" i="42" l="1"/>
  <c r="K15" i="42"/>
  <c r="K14" i="42"/>
  <c r="K13" i="42"/>
  <c r="K11" i="42"/>
  <c r="K10" i="42"/>
  <c r="K9" i="42"/>
  <c r="K8" i="42"/>
  <c r="K7" i="42"/>
  <c r="P30" i="40" l="1"/>
  <c r="O30" i="40"/>
  <c r="N30" i="40"/>
  <c r="M30" i="40"/>
  <c r="L30" i="40"/>
  <c r="K30" i="40"/>
  <c r="J30" i="40"/>
  <c r="I30" i="40"/>
  <c r="H30" i="40"/>
  <c r="G30" i="40"/>
  <c r="F30" i="40"/>
  <c r="E30" i="40"/>
  <c r="D30" i="40"/>
  <c r="I29" i="41" s="1"/>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R15" i="40"/>
  <c r="R14" i="40"/>
  <c r="Q13" i="40"/>
  <c r="R13" i="40" s="1"/>
  <c r="Q12" i="40"/>
  <c r="R12" i="40" s="1"/>
  <c r="Q11" i="40"/>
  <c r="R11" i="40" s="1"/>
  <c r="Q10" i="40"/>
  <c r="Q30" i="40" l="1"/>
  <c r="R10" i="40"/>
  <c r="R30" i="40"/>
  <c r="C28" i="41" s="1"/>
  <c r="O4" i="8"/>
  <c r="O45" i="8"/>
  <c r="O44" i="8"/>
  <c r="O41" i="8"/>
  <c r="O37" i="8"/>
  <c r="O39" i="8"/>
  <c r="O34" i="8"/>
  <c r="O29" i="8"/>
  <c r="O32" i="8"/>
  <c r="O20" i="8"/>
  <c r="O18" i="8"/>
  <c r="O16" i="8"/>
  <c r="O14" i="8"/>
  <c r="O8" i="8"/>
  <c r="O6" i="8"/>
</calcChain>
</file>

<file path=xl/sharedStrings.xml><?xml version="1.0" encoding="utf-8"?>
<sst xmlns="http://schemas.openxmlformats.org/spreadsheetml/2006/main" count="2056" uniqueCount="340">
  <si>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</si>
  <si>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</si>
  <si>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</si>
  <si>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</si>
  <si>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杏林大学</t>
    <rPh sb="0" eb="2">
      <t>キョウリン</t>
    </rPh>
    <rPh sb="2" eb="4">
      <t>ダイガク</t>
    </rPh>
    <phoneticPr fontId="1"/>
  </si>
  <si>
    <t>②</t>
    <phoneticPr fontId="1"/>
  </si>
  <si>
    <t>大学等の設置者</t>
  </si>
  <si>
    <t>学校法人　杏林学園</t>
    <rPh sb="0" eb="4">
      <t>ガッコウホウジン</t>
    </rPh>
    <rPh sb="5" eb="9">
      <t>キョウリンガクエン</t>
    </rPh>
    <phoneticPr fontId="1"/>
  </si>
  <si>
    <t>③</t>
  </si>
  <si>
    <t>設置形態</t>
    <phoneticPr fontId="1"/>
  </si>
  <si>
    <t>私立大学</t>
  </si>
  <si>
    <t>④</t>
    <phoneticPr fontId="1"/>
  </si>
  <si>
    <t>所在地</t>
    <phoneticPr fontId="1"/>
  </si>
  <si>
    <t>東京都三鷹市新川六丁目20番2号</t>
    <rPh sb="0" eb="6">
      <t>トウキョウトミタカシ</t>
    </rPh>
    <rPh sb="6" eb="8">
      <t>シンカワ</t>
    </rPh>
    <rPh sb="8" eb="11">
      <t>ロクチョウメ</t>
    </rPh>
    <rPh sb="13" eb="14">
      <t>バン</t>
    </rPh>
    <rPh sb="15" eb="16">
      <t>ゴウ</t>
    </rPh>
    <phoneticPr fontId="1"/>
  </si>
  <si>
    <t>⑤</t>
    <phoneticPr fontId="1"/>
  </si>
  <si>
    <t>申請するプログラム名称</t>
    <rPh sb="0" eb="2">
      <t>シンセイ</t>
    </rPh>
    <rPh sb="9" eb="11">
      <t>メイショウ</t>
    </rPh>
    <phoneticPr fontId="1"/>
  </si>
  <si>
    <t>杏林大学データサイエンス標準教育プログラム</t>
    <rPh sb="0" eb="4">
      <t>キョウリンダイガク</t>
    </rPh>
    <rPh sb="12" eb="14">
      <t>ヒョウジュン</t>
    </rPh>
    <rPh sb="14" eb="16">
      <t>キョウイク</t>
    </rPh>
    <phoneticPr fontId="1"/>
  </si>
  <si>
    <t>⑥</t>
    <phoneticPr fontId="1"/>
  </si>
  <si>
    <t>プログラムの開設年度</t>
    <rPh sb="6" eb="8">
      <t>カイセツ</t>
    </rPh>
    <rPh sb="8" eb="10">
      <t>ネンド</t>
    </rPh>
    <phoneticPr fontId="1"/>
  </si>
  <si>
    <t>令和3</t>
    <rPh sb="0" eb="2">
      <t>レイワ</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</si>
  <si>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</si>
  <si>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</si>
  <si>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</si>
  <si>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</si>
  <si>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</si>
  <si>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</si>
  <si>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</si>
  <si>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</si>
  <si>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</si>
  <si>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</si>
  <si>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</si>
  <si>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</si>
  <si>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</si>
  <si>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</si>
  <si>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</si>
  <si>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</si>
  <si>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</si>
  <si>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</si>
  <si>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</si>
  <si>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</si>
  <si>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</si>
  <si>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</si>
  <si>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</si>
  <si>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</si>
  <si>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</si>
  <si>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田中　薫</t>
    <rPh sb="0" eb="2">
      <t>タナカ</t>
    </rPh>
    <rPh sb="3" eb="4">
      <t>カオル</t>
    </rPh>
    <phoneticPr fontId="1"/>
  </si>
  <si>
    <t>（役職名）</t>
    <rPh sb="1" eb="4">
      <t>ヤクショクメイ</t>
    </rPh>
    <phoneticPr fontId="1"/>
  </si>
  <si>
    <t>IR推進室長</t>
    <rPh sb="2" eb="5">
      <t>スイシンシツ</t>
    </rPh>
    <rPh sb="5" eb="6">
      <t>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</si>
  <si>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</si>
  <si>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</si>
  <si>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データサイエンス教育委員会</t>
    <rPh sb="8" eb="10">
      <t>キョウイク</t>
    </rPh>
    <rPh sb="10" eb="13">
      <t>イインカイ</t>
    </rPh>
    <phoneticPr fontId="1"/>
  </si>
  <si>
    <t>大森　拓哉</t>
    <rPh sb="0" eb="2">
      <t>オオモリ</t>
    </rPh>
    <rPh sb="3" eb="5">
      <t>タクヤ</t>
    </rPh>
    <phoneticPr fontId="1"/>
  </si>
  <si>
    <t>総合情報センター長</t>
    <rPh sb="0" eb="2">
      <t>ソウゴウ</t>
    </rPh>
    <rPh sb="2" eb="4">
      <t>ジョウホウ</t>
    </rPh>
    <rPh sb="8" eb="9">
      <t>チョウ</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</si>
  <si>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</si>
  <si>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</si>
  <si>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⑮</t>
    <phoneticPr fontId="1"/>
  </si>
  <si>
    <t>申請する認定プログラム</t>
    <rPh sb="0" eb="2">
      <t>シンセイ</t>
    </rPh>
    <rPh sb="4" eb="6">
      <t>ニンテイ</t>
    </rPh>
    <phoneticPr fontId="1"/>
  </si>
  <si>
    <t>認定教育プログラム</t>
    <rPh sb="0" eb="4">
      <t>ニンテイキョウイク</t>
    </rPh>
    <phoneticPr fontId="1"/>
  </si>
  <si>
    <t>連絡先</t>
  </si>
  <si>
    <t>所属部署名</t>
    <rPh sb="0" eb="2">
      <t>ショゾク</t>
    </rPh>
    <rPh sb="2" eb="4">
      <t>ブショ</t>
    </rPh>
    <rPh sb="4" eb="5">
      <t>メイ</t>
    </rPh>
    <phoneticPr fontId="1"/>
  </si>
  <si>
    <t>大学事務部</t>
    <rPh sb="0" eb="5">
      <t>ダイガクジムブ</t>
    </rPh>
    <phoneticPr fontId="1"/>
  </si>
  <si>
    <t>担当者名</t>
    <rPh sb="0" eb="2">
      <t>タントウ</t>
    </rPh>
    <rPh sb="2" eb="3">
      <t>シャ</t>
    </rPh>
    <rPh sb="3" eb="4">
      <t>メイ</t>
    </rPh>
    <phoneticPr fontId="1"/>
  </si>
  <si>
    <t>髙田　雄吾</t>
    <rPh sb="0" eb="2">
      <t>タカタ</t>
    </rPh>
    <rPh sb="3" eb="5">
      <t>ユウゴ</t>
    </rPh>
    <phoneticPr fontId="1"/>
  </si>
  <si>
    <t>E-mail</t>
  </si>
  <si>
    <t>daigaku-jimu@ks.kyorin-u.ac.jp</t>
    <phoneticPr fontId="1"/>
  </si>
  <si>
    <t>電話番号</t>
  </si>
  <si>
    <t>0422-47-5511</t>
    <phoneticPr fontId="1"/>
  </si>
  <si>
    <t>様式２－１</t>
  </si>
  <si>
    <t>プログラムを構成する授業科目について</t>
    <phoneticPr fontId="1"/>
  </si>
  <si>
    <t>①具体的な修了要件</t>
    <phoneticPr fontId="1"/>
  </si>
  <si>
    <t>②教育プログラムの修了要件</t>
    <phoneticPr fontId="1"/>
  </si>
  <si>
    <t>学部・学科によって、修了要件は相違する</t>
  </si>
  <si>
    <t>医学部においては、教育プログラムを構成する「認定科目」の全ての科目について単位を取得すること。
認定科目：１．情報科学、２．プレチュートリアルⅡ、３．医学統計学</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</si>
  <si>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</si>
  <si>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</si>
  <si>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</si>
  <si>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</si>
  <si>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</si>
  <si>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</si>
  <si>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</si>
  <si>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プレチュートリアルⅡ</t>
    <phoneticPr fontId="1"/>
  </si>
  <si>
    <t>○</t>
  </si>
  <si>
    <t>一部開講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</si>
  <si>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</si>
  <si>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</si>
  <si>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</si>
  <si>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</si>
  <si>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</si>
  <si>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</si>
  <si>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</si>
  <si>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</si>
  <si>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</si>
  <si>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</si>
  <si>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</si>
  <si>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</si>
  <si>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</si>
  <si>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情報科学</t>
    <rPh sb="0" eb="2">
      <t>ジョウホウ</t>
    </rPh>
    <rPh sb="2" eb="4">
      <t>カガク</t>
    </rPh>
    <phoneticPr fontId="1"/>
  </si>
  <si>
    <t>⑧選択「４．オプション」の内容を含む授業科目</t>
    <rPh sb="13" eb="15">
      <t>ナイヨウ</t>
    </rPh>
    <rPh sb="16" eb="17">
      <t>フク</t>
    </rPh>
    <rPh sb="18" eb="20">
      <t>ジュギョウ</t>
    </rPh>
    <rPh sb="20" eb="22">
      <t>カモク</t>
    </rPh>
    <phoneticPr fontId="1"/>
  </si>
  <si>
    <t>選択</t>
    <rPh sb="0" eb="2">
      <t>センタク</t>
    </rPh>
    <phoneticPr fontId="1"/>
  </si>
  <si>
    <t>医学統計学</t>
    <rPh sb="0" eb="2">
      <t>イガク</t>
    </rPh>
    <rPh sb="2" eb="5">
      <t>トウケイガク</t>
    </rPh>
    <phoneticPr fontId="1"/>
  </si>
  <si>
    <t>4-1統計および数理基礎</t>
  </si>
  <si>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</si>
  <si>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</si>
  <si>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</si>
  <si>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</si>
  <si>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　「プレチュートリアルⅡ」（オンデマンド配信第１回）
・データ量の増加、計算機の処理性能の向上、AIの非連続的進化　「プレチュートリアルⅡ」（オンデマンド配信第１回）
・第4次産業革命、Society 5.0、データ駆動型社会　「プレチュートリアルⅡ」（オンデマンド配信第１回）
・複数技術を組み合わせたAIサービス　「プレチュートリアルⅡ」（オンデマンド配信第１回）
・人間の知的活動とAIの関係性　「プレチュートリアルⅡ」（オンデマンド配信第１回）
・データを起点としたものの見方、人間の知的活動を起点としたものの見方　「プレチュートリアルⅡ」（オンデマンド配信第１回）</t>
    <rPh sb="39" eb="41">
      <t>ハイシン</t>
    </rPh>
    <rPh sb="41" eb="42">
      <t>ダイ</t>
    </rPh>
    <phoneticPr fontId="1"/>
  </si>
  <si>
    <t>1-6</t>
    <phoneticPr fontId="1"/>
  </si>
  <si>
    <t>・AI等を活用した新しいビジネスモデル(シェアリングエコノミー、商品のレコメンデーションなど)　「プレチュートリアルⅡ」（オンデマンド配信第２回）
・AI最新技術の活用例（深層学習、深層生成モデル、敵対的生成ネットワーク、強化学習、転移学習、計量学習、半教師あり学習など）　「プレチュートリアルⅡ」（オンデマンド配信第２回）</t>
    <rPh sb="67" eb="69">
      <t>ハイシン</t>
    </rPh>
    <rPh sb="69" eb="70">
      <t>ダイ</t>
    </rPh>
    <rPh sb="71" eb="72">
      <t>カイ</t>
    </rPh>
    <rPh sb="86" eb="90">
      <t>シンソウガクシュウ</t>
    </rPh>
    <rPh sb="121" eb="125">
      <t>ケイリョウガクシュウ</t>
    </rPh>
    <rPh sb="131" eb="133">
      <t>ガクシュウ</t>
    </rPh>
    <phoneticPr fontId="1"/>
  </si>
  <si>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</si>
  <si>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　「プレチュートリアルⅡ」（オンデマンド配信第１回）
・1次データ、2次データ、データのメタ化　「プレチュートリアルⅡ」（オンデマンド配信第１回）
・構造化データ、非構造化データ（文章、画像/動画、音声/音楽など）　「プレチュートリアルⅡ」（オンデマンド配信第１回）
・データ作成（ビッグデータとアノテーション）　「プレチュートリアルⅡ」（オンデマンド配信第１回）
・データのオープン化（オープンデータ）　「プレチュートリアルⅡ」（オンデマンド配信第１回）</t>
  </si>
  <si>
    <t>・データ・AI活用領域の広がり(生産、消費、文化活動など)　「プレチュートリアルⅡ」（オンデマンド配信第１回）
・研究開発、調達、製造、物流、販売、マーケティング、サービスなど　「プレチュートリアルⅡ」（オンデマンド配信第１回）
・仮説検証、知識発見、原因究明、計画策定、判断支援、活動代替、新規生成など　「プレチュートリアルⅡ」（オンデマンド配信第１回）</t>
  </si>
  <si>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</si>
  <si>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・データ解析：予測、グルーピング、パターン発見、最適化など　「プレチュートリアルⅡ」（オンデマンド配信第２回）
・データ可視化：複合グラフ、2軸グラフ、多次元の可視化、関係性の可視化など　「プレチュートリアルⅡ」（オンデマンド配信第２回）
・非構造化データ処理：言語処理、画像処理、音声処理など　「プレチュートリアルⅡ」（オンデマンド配信第２回）
・特化型AIと汎用AI、今のAIで出来ることと出来ないこと、AIとビッグデータ　「プレチュートリアルⅡ」（オンデマンド配信第２回）
・認識技術、ルールベース、自動化技術　「プレチュートリアルⅡ」（オンデマンド配信第２回）</t>
  </si>
  <si>
    <t>・データサイエンスのサイクル（課題抽出と定式化、データの取得・管理・加工、探索的データ解析、データ解析と推論、結果の共有・伝達、課題解決に向けた提案）　「プレチュートリアルⅡ」（オンデマンド配信第２回）
・流通、製造、金融、サービス、インフラ、公共、ヘルスケア等におけるデータ・AI利活用事例紹介　「プレチュートリアルⅡ」（オンデマンド配信第２回）</t>
  </si>
  <si>
    <t>（４）活用に当たっての様々な留意事項（ELSI、個人情報、データ倫理、ＡＩ社会原則等）を考慮し、情報セキュリティや情報漏洩等、データを守る上での留意事項への理解をする</t>
    <phoneticPr fontId="1"/>
  </si>
  <si>
    <t>・ELSI（Ethical, Legal and Social Issues）　「プレチュートリアルⅡ」（オンデマンド配信第５回）
・個人情報保護、EU一般データ保護規則(GDPR)、忘れられる権利、オプトアウト　「プレチュートリアルⅡ」（オンデマンド配信第５回）
・データ倫理：データのねつ造、改ざん、盗用、プライバシー保護　「プレチュートリアルⅡ」（オンデマンド配信第５回）
・AI社会原則（公平性、説明責任、透明性、人間中心の判断）　「プレチュートリアルⅡ」（オンデマンド配信第５回）
・データバイアス、アルゴリズムバイアス　「プレチュートリアルⅡ」（オンデマンド配信第５回）
・AIサービスの責任論　「プレチュートリアルⅡ」（オンデマンド配信第５回）
・データ・AI活用における負の事例紹介　「プレチュートリアルⅡ」（オンデマンド配信第５回）</t>
  </si>
  <si>
    <t>・情報セキュリティ：機密性、完全性、可用性　「プレチュートリアルⅡ」（オンデマンド配信第５回）
・匿名加工情報、暗号化、パスワード、悪意ある情報搾取　「プレチュートリアルⅡ」（オンデマンド配信第５回）
・情報漏洩等によるセキュリティ事故の事例紹介　「プレチュートリアルⅡ」（オンデマンド配信第５回）</t>
  </si>
  <si>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</si>
  <si>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・データの種類（量的変数、質的変数）　「プレチュートリアルⅡ」（オンデマンド配信第３回）
・データの分布(ヒストグラム)と代表値（平均値、中央値、最頻値）　「プレチュートリアルⅡ」（オンデマンド配信第３回）
・代表値の性質の違い（実社会では平均値＝最頻値でないことが多い）　「プレチュートリアルⅡ」（オンデマンド配信第３回）
・データのばらつき（分散、標準偏差、偏差値）　「プレチュートリアルⅡ」（オンデマンド配信第３回）
・観測データに含まれる誤差の扱い　「プレチュートリアルⅡ」（オンデマンド配信第３回）
・打ち切りや脱落を含むデータ、層別の必要なデータ　「プレチュートリアルⅡ」（オンデマンド配信第３回）
・相関と因果（相関係数、擬似相関、交絡）　「プレチュートリアルⅡ」（オンデマンド配信第３回）
・母集団と標本抽出（国勢調査、アンケート調査、全数調査、単純無作為抽出、層別抽出、多段抽出）　「プレチュートリアルⅡ」（オンデマンド配信第３回）
・クロス集計表、分割表、相関係数行列、散布図行列　「プレチュートリアルⅡ」（オンデマンド配信第３回）
・統計情報の正しい理解（誇張表現に惑わされない）　「プレチュートリアルⅡ」（オンデマンド配信第３回）</t>
  </si>
  <si>
    <t>・データ表現（棒グラフ、折線グラフ、散布図、ヒートマップ）　「プレチュートリアルⅡ」（オンデマンド配信第４回）
・データの図表表現（チャート化）　「プレチュートリアルⅡ」（オンデマンド配信第４回）
・データの比較（条件をそろえた比較、処理の前後での比較、A/Bテスト)　「プレチュートリアルⅡ」（オンデマンド配信第４回）
・不適切なグラフ表現（チャートジャンク、不必要な視覚的要素）　「プレチュートリアルⅡ」（オンデマンド配信第４回）
・優れた可視化事例の紹介（可視化することによって新たな気づきがあった事例など）　「プレチュートリアルⅡ」（オンデマンド配信第４回）</t>
  </si>
  <si>
    <t>・データの集計（和、平均）　「プレチュートリアルⅡ」（オンデマンド配信第４回）
・データの並び替え、ランキング　「プレチュートリアルⅡ」（オンデマンド配信第４回）
・データ解析ツール（スプレッドシート）　「プレチュートリアルⅡ」（オンデマンド配信第４回）
・表形式のデータ（csv）　「プレチュートリアルⅡ」（オンデマンド配信第４回）</t>
  </si>
  <si>
    <t>⑩プログラムの学修成果（学生等が身に付けられる能力等）</t>
    <phoneticPr fontId="1"/>
  </si>
  <si>
    <t>データサイエンスやAIに関する基礎知識や技術の修得とそれらを運用する能力の育成により、現代社会が必要とするデータサイエンスの知識と問題解決力を身につける。</t>
    <rPh sb="71" eb="72">
      <t>ミ</t>
    </rPh>
    <phoneticPr fontId="1"/>
  </si>
  <si>
    <t>⑪プログラムの授業内容等を公表しているアドレス</t>
    <phoneticPr fontId="1"/>
  </si>
  <si>
    <t>https://www.kyorin-u.ac.jp/univ/ds/mdash/</t>
    <phoneticPr fontId="1"/>
  </si>
  <si>
    <t>様式２－２</t>
  </si>
  <si>
    <t>臨床検査技術学科においては、教育プログラムを構成する「認定科目」の全ての科目について単位を取得すること。
認定科目：１．医療情報処理演習、２．医療情報科学</t>
    <phoneticPr fontId="1"/>
  </si>
  <si>
    <t>医療情報処理演習</t>
    <phoneticPr fontId="1"/>
  </si>
  <si>
    <t>医療情報処理演習</t>
  </si>
  <si>
    <t>医療情報科学</t>
    <phoneticPr fontId="1"/>
  </si>
  <si>
    <t>その他</t>
  </si>
  <si>
    <t>・ビッグデータ、IoT、AI、ロボット　「医療情報処理演習」（オンデマンド配信第１回）
・データ量の増加、計算機の処理性能の向上、AIの非連続的進化　「医療情報処理演習」（オンデマンド配信第１回）
・第4次産業革命、Society 5.0、データ駆動型社会　「医療情報処理演習」（オンデマンド配信第１回）
・複数技術を組み合わせたAIサービス　「医療情報処理演習」（オンデマンド配信第１回）
・人間の知的活動とAIの関係性　「医療情報処理演習」（オンデマンド配信第１回）
・データを起点としたものの見方、人間の知的活動を起点としたものの見方　「医療情報処理演習」（オンデマンド配信第１回）</t>
    <rPh sb="37" eb="39">
      <t>ハイシン</t>
    </rPh>
    <rPh sb="39" eb="40">
      <t>ダイ</t>
    </rPh>
    <phoneticPr fontId="1"/>
  </si>
  <si>
    <t>・AI等を活用した新しいビジネスモデル(シェアリングエコノミー、商品のレコメンデーションなど)　「医療情報処理演習」（オンデマンド配信第２回）
・AI最新技術の活用例（深層学習、深層生成モデル、敵対的生成ネットワーク、強化学習、転移学習、計量学習、半教師あり学習など）　「医療情報処理演習」（オンデマンド配信第２回）</t>
    <rPh sb="65" eb="67">
      <t>ハイシン</t>
    </rPh>
    <rPh sb="67" eb="68">
      <t>ダイ</t>
    </rPh>
    <rPh sb="69" eb="70">
      <t>カイ</t>
    </rPh>
    <rPh sb="84" eb="88">
      <t>シンソウガクシュウ</t>
    </rPh>
    <rPh sb="119" eb="123">
      <t>ケイリョウガクシュウ</t>
    </rPh>
    <rPh sb="129" eb="131">
      <t>ガクシュウ</t>
    </rPh>
    <phoneticPr fontId="1"/>
  </si>
  <si>
    <t>・調査データ、実験データ、人の行動ログデータ、機械の稼働ログデータなど　「医療情報処理演習」（オンデマンド配信第１回）
・1次データ、2次データ、データのメタ化　「医療情報処理演習」（オンデマンド配信第１回）
・構造化データ、非構造化データ（文章、画像/動画、音声/音楽など）　「医療情報処理演習」（オンデマンド配信第１回）
・データ作成（ビッグデータとアノテーション）　「医療情報処理演習」（オンデマンド配信第１回）
・データのオープン化（オープンデータ）　「医療情報処理演習」（オンデマンド配信第１回）</t>
  </si>
  <si>
    <t>・データ・AI活用領域の広がり(生産、消費、文化活動など)　「医療情報処理演習」（オンデマンド配信第１回）
・研究開発、調達、製造、物流、販売、マーケティング、サービスなど　「医療情報処理演習」（オンデマンド配信第１回）
・仮説検証、知識発見、原因究明、計画策定、判断支援、活動代替、新規生成など　「医療情報処理演習」（オンデマンド配信第１回）</t>
  </si>
  <si>
    <t>・データ解析：予測、グルーピング、パターン発見、最適化など　「医療情報処理演習」（オンデマンド配信第２回）
・データ可視化：複合グラフ、2軸グラフ、多次元の可視化、関係性の可視化など　「医療情報処理演習」（オンデマンド配信第２回）
・非構造化データ処理：言語処理、画像処理、音声処理など　「医療情報処理演習」（オンデマンド配信第２回）
・特化型AIと汎用AI、今のAIで出来ることと出来ないこと、AIとビッグデータ　「医療情報処理演習」（オンデマンド配信第２回）
・認識技術、ルールベース、自動化技術　「医療情報処理演習」（オンデマンド配信第２回）</t>
  </si>
  <si>
    <t>・データサイエンスのサイクル（課題抽出と定式化、データの取得・管理・加工、探索的データ解析、データ解析と推論、結果の共有・伝達、課題解決に向けた提案）　「医療情報処理演習」（オンデマンド配信第２回）
・流通、製造、金融、サービス、インフラ、公共、ヘルスケア等におけるデータ・AI利活用事例紹介　「医療情報処理演習」（オンデマンド配信第２回）</t>
  </si>
  <si>
    <t>・ELSI（Ethical, Legal and Social Issues）　「医療情報処理演習」（オンデマンド配信第５回）
・個人情報保護、EU一般データ保護規則(GDPR)、忘れられる権利、オプトアウト　「医療情報処理演習」（オンデマンド配信第５回）
・データ倫理：データのねつ造、改ざん、盗用、プライバシー保護　「医療情報処理演習」（オンデマンド配信第５回）
・AI社会原則（公平性、説明責任、透明性、人間中心の判断）　「医療情報処理演習」（オンデマンド配信第５回）
・データバイアス、アルゴリズムバイアス　「医療情報処理演習」（オンデマンド配信第５回）
・AIサービスの責任論　「医療情報処理演習」（オンデマンド配信第５回）
・データ・AI活用における負の事例紹介　「医療情報処理演習」（オンデマンド配信第５回）</t>
  </si>
  <si>
    <t>・情報セキュリティ：機密性、完全性、可用性　「医療情報処理演習」（オンデマンド配信第５回）
・匿名加工情報、暗号化、パスワード、悪意ある情報搾取　「医療情報処理演習」（オンデマンド配信第５回）
・情報漏洩等によるセキュリティ事故の事例紹介　「医療情報処理演習」（オンデマンド配信第５回）</t>
  </si>
  <si>
    <t>・データの種類（量的変数、質的変数）　「医療情報処理演習」（オンデマンド配信第３回）
・データの分布(ヒストグラム)と代表値（平均値、中央値、最頻値）　「医療情報処理演習」（オンデマンド配信第３回）
・代表値の性質の違い（実社会では平均値＝最頻値でないことが多い）　「医療情報処理演習」（オンデマンド配信第３回）
・データのばらつき（分散、標準偏差、偏差値）　「医療情報処理演習」（オンデマンド配信第３回）
・観測データに含まれる誤差の扱い　「医療情報処理演習」（オンデマンド配信第３回）
・打ち切りや脱落を含むデータ、層別の必要なデータ　「医療情報処理演習」（オンデマンド配信第３回）
・相関と因果（相関係数、擬似相関、交絡）　「医療情報処理演習」（オンデマンド配信第３回）
・母集団と標本抽出（国勢調査、アンケート調査、全数調査、単純無作為抽出、層別抽出、多段抽出）　「医療情報処理演習」（オンデマンド配信第３回）
・クロス集計表、分割表、相関係数行列、散布図行列　「医療情報処理演習」（オンデマンド配信第３回）
・統計情報の正しい理解（誇張表現に惑わされない）　「医療情報処理演習」（オンデマンド配信第３回）</t>
  </si>
  <si>
    <t>・データ表現（棒グラフ、折線グラフ、散布図、ヒートマップ）　「医療情報処理演習」（オンデマンド配信第４回）
・データの図表表現（チャート化）　「医療情報処理演習」（オンデマンド配信第４回）
・データの比較（条件をそろえた比較、処理の前後での比較、A/Bテスト)　「医療情報処理演習」（オンデマンド配信第４回）
・不適切なグラフ表現（チャートジャンク、不必要な視覚的要素）　「医療情報処理演習」（オンデマンド配信第４回）
・優れた可視化事例の紹介（可視化することによって新たな気づきがあった事例など）　「医療情報処理演習」（オンデマンド配信第４回）</t>
  </si>
  <si>
    <t>・データの集計（和、平均）　「医療情報処理演習」（オンデマンド配信第４回）
・データの並び替え、ランキング　「医療情報処理演習」（オンデマンド配信第４回）
・データ解析ツール（スプレッドシート）　「医療情報処理演習」（オンデマンド配信第４回）
・表形式のデータ（csv）　「医療情報処理演習」（オンデマンド配信第４回）</t>
  </si>
  <si>
    <t>様式２－３</t>
  </si>
  <si>
    <t>健康福祉学科においては、教育プログラムを構成する「認定科目」の全ての科目について単位を取得すること。
認定科目：１．情報処理演習、２．公衆衛生学Ⅰ、３．社会調査概論</t>
    <phoneticPr fontId="1"/>
  </si>
  <si>
    <t>情報処理演習</t>
    <phoneticPr fontId="1"/>
  </si>
  <si>
    <t>情報処理演習</t>
  </si>
  <si>
    <t>公衆衛生学Ⅰ</t>
    <phoneticPr fontId="1"/>
  </si>
  <si>
    <t>社会調査概論</t>
    <phoneticPr fontId="1"/>
  </si>
  <si>
    <t>・ビッグデータ、IoT、AI、ロボット　「情報処理演習」（オンデマンド配信第１回）
・データ量の増加、計算機の処理性能の向上、AIの非連続的進化　「情報処理演習」（オンデマンド配信第１回）
・第4次産業革命、Society 5.0、データ駆動型社会　「情報処理演習」（オンデマンド配信第１回）
・複数技術を組み合わせたAIサービス　「情報処理演習」（オンデマンド配信第１回）
・人間の知的活動とAIの関係性　「情報処理演習」（オンデマンド配信第１回）
・データを起点としたものの見方、人間の知的活動を起点としたものの見方　「情報処理演習」（オンデマンド配信第１回）</t>
    <rPh sb="35" eb="37">
      <t>ハイシン</t>
    </rPh>
    <rPh sb="37" eb="38">
      <t>ダイ</t>
    </rPh>
    <phoneticPr fontId="1"/>
  </si>
  <si>
    <t>・AI等を活用した新しいビジネスモデル(シェアリングエコノミー、商品のレコメンデーションなど)　「情報処理演習」（オンデマンド配信第２回）
・AI最新技術の活用例（深層学習、深層生成モデル、敵対的生成ネットワーク、強化学習、転移学習、計量学習、半教師あり学習など）　「情報処理演習」（オンデマンド配信第２回）</t>
    <rPh sb="63" eb="65">
      <t>ハイシン</t>
    </rPh>
    <rPh sb="65" eb="66">
      <t>ダイ</t>
    </rPh>
    <rPh sb="67" eb="68">
      <t>カイ</t>
    </rPh>
    <rPh sb="82" eb="86">
      <t>シンソウガクシュウ</t>
    </rPh>
    <rPh sb="117" eb="121">
      <t>ケイリョウガクシュウ</t>
    </rPh>
    <rPh sb="127" eb="129">
      <t>ガクシュウ</t>
    </rPh>
    <phoneticPr fontId="1"/>
  </si>
  <si>
    <t>・調査データ、実験データ、人の行動ログデータ、機械の稼働ログデータなど　「情報処理演習」（オンデマンド配信第１回）
・1次データ、2次データ、データのメタ化　「情報処理演習」（オンデマンド配信第１回）
・構造化データ、非構造化データ（文章、画像/動画、音声/音楽など）　「情報処理演習」（オンデマンド配信第１回）
・データ作成（ビッグデータとアノテーション）　「情報処理演習」（オンデマンド配信第１回）
・データのオープン化（オープンデータ）　「情報処理演習」（オンデマンド配信第１回）</t>
  </si>
  <si>
    <t>・データ・AI活用領域の広がり(生産、消費、文化活動など)　「情報処理演習」（オンデマンド配信第１回）
・研究開発、調達、製造、物流、販売、マーケティング、サービスなど　「情報処理演習」（オンデマンド配信第１回）
・仮説検証、知識発見、原因究明、計画策定、判断支援、活動代替、新規生成など　「情報処理演習」（オンデマンド配信第１回）</t>
  </si>
  <si>
    <t>・データ解析：予測、グルーピング、パターン発見、最適化など　「情報処理演習」（オンデマンド配信第２回）
・データ可視化：複合グラフ、2軸グラフ、多次元の可視化、関係性の可視化など　「情報処理演習」（オンデマンド配信第２回）
・非構造化データ処理：言語処理、画像処理、音声処理など　「情報処理演習」（オンデマンド配信第２回）
・特化型AIと汎用AI、今のAIで出来ることと出来ないこと、AIとビッグデータ　「情報処理演習」（オンデマンド配信第２回）
・認識技術、ルールベース、自動化技術　「情報処理演習」（オンデマンド配信第２回）</t>
  </si>
  <si>
    <t>・データサイエンスのサイクル（課題抽出と定式化、データの取得・管理・加工、探索的データ解析、データ解析と推論、結果の共有・伝達、課題解決に向けた提案）　「情報処理演習」（オンデマンド配信第２回）
・流通、製造、金融、サービス、インフラ、公共、ヘルスケア等におけるデータ・AI利活用事例紹介　「情報処理演習」（オンデマンド配信第２回）</t>
  </si>
  <si>
    <t>・ELSI（Ethical, Legal and Social Issues）　「情報処理演習」（オンデマンド配信第５回）
・個人情報保護、EU一般データ保護規則(GDPR)、忘れられる権利、オプトアウト　「情報処理演習」（オンデマンド配信第５回）
・データ倫理：データのねつ造、改ざん、盗用、プライバシー保護　「情報処理演習」（オンデマンド配信第５回）
・AI社会原則（公平性、説明責任、透明性、人間中心の判断）　「情報処理演習」（オンデマンド配信第５回）
・データバイアス、アルゴリズムバイアス　「情報処理演習」（オンデマンド配信第５回）
・AIサービスの責任論　「情報処理演習」（オンデマンド配信第５回）
・データ・AI活用における負の事例紹介　「情報処理演習」（オンデマンド配信第５回）</t>
  </si>
  <si>
    <t>・情報セキュリティ：機密性、完全性、可用性　「情報処理演習」（オンデマンド配信第５回）
・匿名加工情報、暗号化、パスワード、悪意ある情報搾取　「情報処理演習」（オンデマンド配信第５回）
・情報漏洩等によるセキュリティ事故の事例紹介　「情報処理演習」（オンデマンド配信第５回）</t>
  </si>
  <si>
    <t>・データの種類（量的変数、質的変数）　「情報処理演習」（オンデマンド配信第３回）
・データの分布(ヒストグラム)と代表値（平均値、中央値、最頻値）　「情報処理演習」（オンデマンド配信第３回）
・代表値の性質の違い（実社会では平均値＝最頻値でないことが多い）　「情報処理演習」（オンデマンド配信第３回）
・データのばらつき（分散、標準偏差、偏差値）　「情報処理演習」（オンデマンド配信第３回）
・観測データに含まれる誤差の扱い　「情報処理演習」（オンデマンド配信第３回）
・打ち切りや脱落を含むデータ、層別の必要なデータ　「情報処理演習」（オンデマンド配信第３回）
・相関と因果（相関係数、擬似相関、交絡）　「情報処理演習」（オンデマンド配信第３回）
・母集団と標本抽出（国勢調査、アンケート調査、全数調査、単純無作為抽出、層別抽出、多段抽出）　「情報処理演習」（オンデマンド配信第３回）
・クロス集計表、分割表、相関係数行列、散布図行列　「情報処理演習」（オンデマンド配信第３回）
・統計情報の正しい理解（誇張表現に惑わされない）　「情報処理演習」（オンデマンド配信第３回）</t>
  </si>
  <si>
    <t>・データ表現（棒グラフ、折線グラフ、散布図、ヒートマップ）　「情報処理演習」（オンデマンド配信第４回）
・データの図表表現（チャート化）　「情報処理演習」（オンデマンド配信第４回）
・データの比較（条件をそろえた比較、処理の前後での比較、A/Bテスト)　「情報処理演習」（オンデマンド配信第４回）
・不適切なグラフ表現（チャートジャンク、不必要な視覚的要素）　「情報処理演習」（オンデマンド配信第４回）
・優れた可視化事例の紹介（可視化することによって新たな気づきがあった事例など）　「情報処理演習」（オンデマンド配信第４回）</t>
  </si>
  <si>
    <t>・データの集計（和、平均）　「情報処理演習」（オンデマンド配信第４回）
・データの並び替え、ランキング　「情報処理演習」（オンデマンド配信第４回）
・データ解析ツール（スプレッドシート）　「情報処理演習」（オンデマンド配信第４回）
・表形式のデータ（csv）　「情報処理演習」（オンデマンド配信第４回）</t>
  </si>
  <si>
    <t>様式２－４</t>
  </si>
  <si>
    <t>看護学科看護学専攻においては、教育プログラムを構成する「認定科目」の全ての科目について単位を取得すること。
認定科目：１．情報処理論、２．疫学、３．公衆衛生学</t>
    <phoneticPr fontId="1"/>
  </si>
  <si>
    <t>情報処理論</t>
    <phoneticPr fontId="1"/>
  </si>
  <si>
    <t>疫学</t>
    <phoneticPr fontId="1"/>
  </si>
  <si>
    <t>公衆衛生学</t>
    <phoneticPr fontId="1"/>
  </si>
  <si>
    <t>・ビッグデータ、IoT、AI、ロボット　「情報処理論」（オンデマンド配信第１回）
・データ量の増加、計算機の処理性能の向上、AIの非連続的進化　「情報処理論」（オンデマンド配信第１回）
・第4次産業革命、Society 5.0、データ駆動型社会　「情報処理論」（オンデマンド配信第１回）
・複数技術を組み合わせたAIサービス　「情報処理論」（オンデマンド配信第１回）
・人間の知的活動とAIの関係性　「情報処理論」（オンデマンド配信第１回）
・データを起点としたものの見方、人間の知的活動を起点としたものの見方　「情報処理論」（オンデマンド配信第１回）</t>
    <rPh sb="34" eb="36">
      <t>ハイシン</t>
    </rPh>
    <rPh sb="36" eb="37">
      <t>ダイ</t>
    </rPh>
    <phoneticPr fontId="1"/>
  </si>
  <si>
    <t>・AI等を活用した新しいビジネスモデル(シェアリングエコノミー、商品のレコメンデーションなど)　「情報処理論」（オンデマンド配信第２回）
・AI最新技術の活用例（深層学習、深層生成モデル、敵対的生成ネットワーク、強化学習、転移学習、計量学習、半教師あり学習など）　「情報処理論」（オンデマンド配信第２回）</t>
    <rPh sb="62" eb="64">
      <t>ハイシン</t>
    </rPh>
    <rPh sb="64" eb="65">
      <t>ダイ</t>
    </rPh>
    <rPh sb="66" eb="67">
      <t>カイ</t>
    </rPh>
    <rPh sb="81" eb="85">
      <t>シンソウガクシュウ</t>
    </rPh>
    <rPh sb="116" eb="120">
      <t>ケイリョウガクシュウ</t>
    </rPh>
    <rPh sb="126" eb="128">
      <t>ガクシュウ</t>
    </rPh>
    <phoneticPr fontId="1"/>
  </si>
  <si>
    <t>・調査データ、実験データ、人の行動ログデータ、機械の稼働ログデータなど　「情報処理論」（オンデマンド配信第１回）
・1次データ、2次データ、データのメタ化　「情報処理論」（オンデマンド配信第１回）
・構造化データ、非構造化データ（文章、画像/動画、音声/音楽など）　「情報処理論」（オンデマンド配信第１回）
・データ作成（ビッグデータとアノテーション）　「情報処理論」（オンデマンド配信第１回）
・データのオープン化（オープンデータ）　「情報処理論」（オンデマンド配信第１回）</t>
  </si>
  <si>
    <t>・データ・AI活用領域の広がり(生産、消費、文化活動など)　「情報処理論」（オンデマンド配信第１回）
・研究開発、調達、製造、物流、販売、マーケティング、サービスなど　「情報処理論」（オンデマンド配信第１回）
・仮説検証、知識発見、原因究明、計画策定、判断支援、活動代替、新規生成など　「情報処理論」（オンデマンド配信第１回）</t>
  </si>
  <si>
    <t>・データ解析：予測、グルーピング、パターン発見、最適化など　「情報処理論」（オンデマンド配信第２回）
・データ可視化：複合グラフ、2軸グラフ、多次元の可視化、関係性の可視化など　「情報処理論」（オンデマンド配信第２回）
・非構造化データ処理：言語処理、画像処理、音声処理など　「情報処理論」（オンデマンド配信第２回）
・特化型AIと汎用AI、今のAIで出来ることと出来ないこと、AIとビッグデータ　「情報処理論」（オンデマンド配信第２回）
・認識技術、ルールベース、自動化技術　「情報処理論」（オンデマンド配信第２回）</t>
  </si>
  <si>
    <t>・データサイエンスのサイクル（課題抽出と定式化、データの取得・管理・加工、探索的データ解析、データ解析と推論、結果の共有・伝達、課題解決に向けた提案）　「情報処理論」（オンデマンド配信第２回）
・流通、製造、金融、サービス、インフラ、公共、ヘルスケア等におけるデータ・AI利活用事例紹介　「情報処理論」（オンデマンド配信第２回）</t>
  </si>
  <si>
    <t>・ELSI（Ethical, Legal and Social Issues）　「情報処理論」（オンデマンド配信第５回）
・個人情報保護、EU一般データ保護規則(GDPR)、忘れられる権利、オプトアウト　「情報処理論」（オンデマンド配信第５回）
・データ倫理：データのねつ造、改ざん、盗用、プライバシー保護　「情報処理論」（オンデマンド配信第５回）
・AI社会原則（公平性、説明責任、透明性、人間中心の判断）　「情報処理論」（オンデマンド配信第５回）
・データバイアス、アルゴリズムバイアス　「情報処理論」（オンデマンド配信第５回）
・AIサービスの責任論　「情報処理論」（オンデマンド配信第５回）
・データ・AI活用における負の事例紹介　「情報処理論」（オンデマンド配信第５回）</t>
  </si>
  <si>
    <t>・情報セキュリティ：機密性、完全性、可用性　「情報処理論」（オンデマンド配信第５回）
・匿名加工情報、暗号化、パスワード、悪意ある情報搾取　「情報処理論」（オンデマンド配信第５回）
・情報漏洩等によるセキュリティ事故の事例紹介　「情報処理論」（オンデマンド配信第５回）</t>
  </si>
  <si>
    <t>・データの種類（量的変数、質的変数）　「情報処理論」（オンデマンド配信第３回）
・データの分布(ヒストグラム)と代表値（平均値、中央値、最頻値）　「情報処理論」（オンデマンド配信第３回）
・代表値の性質の違い（実社会では平均値＝最頻値でないことが多い）　「情報処理論」（オンデマンド配信第３回）
・データのばらつき（分散、標準偏差、偏差値）　「情報処理論」（オンデマンド配信第３回）
・観測データに含まれる誤差の扱い　「情報処理論」（オンデマンド配信第３回）
・打ち切りや脱落を含むデータ、層別の必要なデータ　「情報処理論」（オンデマンド配信第３回）
・相関と因果（相関係数、擬似相関、交絡）　「情報処理論」（オンデマンド配信第３回）
・母集団と標本抽出（国勢調査、アンケート調査、全数調査、単純無作為抽出、層別抽出、多段抽出）　「情報処理論」（オンデマンド配信第３回）
・クロス集計表、分割表、相関係数行列、散布図行列　「情報処理論」（オンデマンド配信第３回）
・統計情報の正しい理解（誇張表現に惑わされない）　「情報処理論」（オンデマンド配信第３回）</t>
  </si>
  <si>
    <t>・データ表現（棒グラフ、折線グラフ、散布図、ヒートマップ）　「情報処理論」（オンデマンド配信第４回）
・データの図表表現（チャート化）　「情報処理論」（オンデマンド配信第４回）
・データの比較（条件をそろえた比較、処理の前後での比較、A/Bテスト)　「情報処理論」（オンデマンド配信第４回）
・不適切なグラフ表現（チャートジャンク、不必要な視覚的要素）　「情報処理論」（オンデマンド配信第４回）
・優れた可視化事例の紹介（可視化することによって新たな気づきがあった事例など）　「情報処理論」（オンデマンド配信第４回）</t>
  </si>
  <si>
    <t>・データの集計（和、平均）　「情報処理論」（オンデマンド配信第４回）
・データの並び替え、ランキング　「情報処理論」（オンデマンド配信第４回）
・データ解析ツール（スプレッドシート）　「情報処理論」（オンデマンド配信第４回）
・表形式のデータ（csv）　「情報処理論」（オンデマンド配信第４回）</t>
  </si>
  <si>
    <t>様式２－５</t>
  </si>
  <si>
    <t>看護学科看護養護教育学専攻においては、教育プログラムを構成する「認定科目」の全ての科目について単位を取得すること。
認定科目：１．情報処理論、２．保健統計、３．公衆衛生学</t>
    <phoneticPr fontId="1"/>
  </si>
  <si>
    <t>保健統計</t>
    <phoneticPr fontId="1"/>
  </si>
  <si>
    <t>様式２－６</t>
  </si>
  <si>
    <t>臨床工学科においては、教育プログラムを構成する「認定科目」の全ての科目について単位を取得すること。
認定科目：１．医療情報科学、２．計算機演習、３．医用情報処理工学、４．数学、５．応用数学</t>
    <phoneticPr fontId="1"/>
  </si>
  <si>
    <t>医用情報処理工学</t>
    <phoneticPr fontId="1"/>
  </si>
  <si>
    <t>計算機演習</t>
    <phoneticPr fontId="1"/>
  </si>
  <si>
    <t>数学</t>
    <phoneticPr fontId="1"/>
  </si>
  <si>
    <t>応用数学</t>
    <phoneticPr fontId="1"/>
  </si>
  <si>
    <t>・ビッグデータ、IoT、AI、ロボット　「医用情報処理工学」（オンデマンド配信第１回）
・データ量の増加、計算機の処理性能の向上、AIの非連続的進化　「医用情報処理工学」（オンデマンド配信第１回）
・第4次産業革命、Society 5.0、データ駆動型社会　「医用情報処理工学」（オンデマンド配信第１回）
・複数技術を組み合わせたAIサービス　「医用情報処理工学」（オンデマンド配信第１回）
・人間の知的活動とAIの関係性　「医用情報処理工学」（オンデマンド配信第１回）
・データを起点としたものの見方、人間の知的活動を起点としたものの見方　「医用情報処理工学」（オンデマンド配信第１回）</t>
    <rPh sb="37" eb="39">
      <t>ハイシン</t>
    </rPh>
    <rPh sb="39" eb="40">
      <t>ダイ</t>
    </rPh>
    <phoneticPr fontId="1"/>
  </si>
  <si>
    <t>・AI等を活用した新しいビジネスモデル(シェアリングエコノミー、商品のレコメンデーションなど)　「医用情報処理工学」（オンデマンド配信第２回）
・AI最新技術の活用例（深層学習、深層生成モデル、敵対的生成ネットワーク、強化学習、転移学習、計量学習、半教師あり学習など）　「医用情報処理工学」（オンデマンド配信第２回）</t>
    <rPh sb="65" eb="67">
      <t>ハイシン</t>
    </rPh>
    <rPh sb="67" eb="68">
      <t>ダイ</t>
    </rPh>
    <rPh sb="69" eb="70">
      <t>カイ</t>
    </rPh>
    <rPh sb="84" eb="88">
      <t>シンソウガクシュウ</t>
    </rPh>
    <rPh sb="119" eb="123">
      <t>ケイリョウガクシュウ</t>
    </rPh>
    <rPh sb="129" eb="131">
      <t>ガクシュウ</t>
    </rPh>
    <phoneticPr fontId="1"/>
  </si>
  <si>
    <t>・調査データ、実験データ、人の行動ログデータ、機械の稼働ログデータなど　「医用情報処理工学」（オンデマンド配信第１回）
・1次データ、2次データ、データのメタ化　「医用情報処理工学」（オンデマンド配信第１回）
・構造化データ、非構造化データ（文章、画像/動画、音声/音楽など）　「医用情報処理工学」（オンデマンド配信第１回）
・データ作成（ビッグデータとアノテーション）　「医用情報処理工学」（オンデマンド配信第１回）
・データのオープン化（オープンデータ）　「医用情報処理工学」（オンデマンド配信第１回）</t>
  </si>
  <si>
    <t>・データ・AI活用領域の広がり(生産、消費、文化活動など)　「医用情報処理工学」（オンデマンド配信第１回）
・研究開発、調達、製造、物流、販売、マーケティング、サービスなど　「医用情報処理工学」（オンデマンド配信第１回）
・仮説検証、知識発見、原因究明、計画策定、判断支援、活動代替、新規生成など　「医用情報処理工学」（オンデマンド配信第１回）</t>
  </si>
  <si>
    <t>・データ解析：予測、グルーピング、パターン発見、最適化など　「医用情報処理工学」（オンデマンド配信第２回）
・データ可視化：複合グラフ、2軸グラフ、多次元の可視化、関係性の可視化など　「医用情報処理工学」（オンデマンド配信第２回）
・非構造化データ処理：言語処理、画像処理、音声処理など　「医用情報処理工学」（オンデマンド配信第２回）
・特化型AIと汎用AI、今のAIで出来ることと出来ないこと、AIとビッグデータ　「医用情報処理工学」（オンデマンド配信第２回）
・認識技術、ルールベース、自動化技術　「医用情報処理工学」（オンデマンド配信第２回）</t>
  </si>
  <si>
    <t>・データサイエンスのサイクル（課題抽出と定式化、データの取得・管理・加工、探索的データ解析、データ解析と推論、結果の共有・伝達、課題解決に向けた提案）　「医用情報処理工学」（オンデマンド配信第２回）
・流通、製造、金融、サービス、インフラ、公共、ヘルスケア等におけるデータ・AI利活用事例紹介　「医用情報処理工学」（オンデマンド配信第２回）</t>
  </si>
  <si>
    <t>・ELSI（Ethical, Legal and Social Issues）　「医用情報処理工学」（オンデマンド配信第５回）
・個人情報保護、EU一般データ保護規則(GDPR)、忘れられる権利、オプトアウト　「医用情報処理工学」（オンデマンド配信第５回）
・データ倫理：データのねつ造、改ざん、盗用、プライバシー保護　「医用情報処理工学」（オンデマンド配信第５回）
・AI社会原則（公平性、説明責任、透明性、人間中心の判断）　「医用情報処理工学」（オンデマンド配信第５回）
・データバイアス、アルゴリズムバイアス　「医用情報処理工学」（オンデマンド配信第５回）
・AIサービスの責任論　「医用情報処理工学」（オンデマンド配信第５回）
・データ・AI活用における負の事例紹介　「医用情報処理工学」（オンデマンド配信第５回）</t>
  </si>
  <si>
    <t>・情報セキュリティ：機密性、完全性、可用性　「医用情報処理工学」（オンデマンド配信第５回）
・匿名加工情報、暗号化、パスワード、悪意ある情報搾取　「医用情報処理工学」（オンデマンド配信第５回）
・情報漏洩等によるセキュリティ事故の事例紹介　「医用情報処理工学」（オンデマンド配信第５回）</t>
  </si>
  <si>
    <t>・データの種類（量的変数、質的変数）　「医用情報処理工学」（オンデマンド配信第３回）
・データの分布(ヒストグラム)と代表値（平均値、中央値、最頻値）　「医用情報処理工学」（オンデマンド配信第３回）
・代表値の性質の違い（実社会では平均値＝最頻値でないことが多い）　「医用情報処理工学」（オンデマンド配信第３回）
・データのばらつき（分散、標準偏差、偏差値）　「医用情報処理工学」（オンデマンド配信第３回）
・観測データに含まれる誤差の扱い　「医用情報処理工学」（オンデマンド配信第３回）
・打ち切りや脱落を含むデータ、層別の必要なデータ　「医用情報処理工学」（オンデマンド配信第３回）
・相関と因果（相関係数、擬似相関、交絡）　「医用情報処理工学」（オンデマンド配信第３回）
・母集団と標本抽出（国勢調査、アンケート調査、全数調査、単純無作為抽出、層別抽出、多段抽出）　「医用情報処理工学」（オンデマンド配信第３回）
・クロス集計表、分割表、相関係数行列、散布図行列　「医用情報処理工学」（オンデマンド配信第３回）
・統計情報の正しい理解（誇張表現に惑わされない）　「医用情報処理工学」（オンデマンド配信第３回）</t>
  </si>
  <si>
    <t>・データ表現（棒グラフ、折線グラフ、散布図、ヒートマップ）　「医用情報処理工学」（オンデマンド配信第４回）
・データの図表表現（チャート化）　「医用情報処理工学」（オンデマンド配信第４回）
・データの比較（条件をそろえた比較、処理の前後での比較、A/Bテスト)　「医用情報処理工学」（オンデマンド配信第４回）
・不適切なグラフ表現（チャートジャンク、不必要な視覚的要素）　「医用情報処理工学」（オンデマンド配信第４回）
・優れた可視化事例の紹介（可視化することによって新たな気づきがあった事例など）　「医用情報処理工学」（オンデマンド配信第４回）</t>
  </si>
  <si>
    <t>・データの集計（和、平均）　「医用情報処理工学」（オンデマンド配信第４回）
・データの並び替え、ランキング　「医用情報処理工学」（オンデマンド配信第４回）
・データ解析ツール（スプレッドシート）　「医用情報処理工学」（オンデマンド配信第４回）
・表形式のデータ（csv）　「医用情報処理工学」（オンデマンド配信第４回）</t>
  </si>
  <si>
    <t>様式２－７</t>
  </si>
  <si>
    <t>救急救命学科においては、教育プログラムを構成する「認定科目」の全ての科目について単位を取得すること。
認定科目：１．情報処理演習、２．公衆衛生学Ⅰ</t>
    <phoneticPr fontId="1"/>
  </si>
  <si>
    <t>様式２－８</t>
  </si>
  <si>
    <t>理学療法学科においては、教育プログラムを構成する「認定科目」の全ての科目について単位を取得すること。
認定科目：１．情報処理論、２．公衆衛生学Ⅰ</t>
    <phoneticPr fontId="1"/>
  </si>
  <si>
    <t>様式２－９</t>
  </si>
  <si>
    <t>作業療法学科においては、教育プログラムを構成する「認定科目」の全ての科目について単位を取得すること。
認定科目：１．情報処理論、２．公衆衛生学Ⅰ</t>
    <phoneticPr fontId="1"/>
  </si>
  <si>
    <t>様式２－１０</t>
  </si>
  <si>
    <t>診療放射線技術学科においては、教育プログラムを構成する「認定科目」の全ての科目について単位を取得すること。
認定科目：１．基礎画像工学、２．微分積分学、３．応用数学、４．計算機演習、５．統計学演習、６．公衆衛生学</t>
    <phoneticPr fontId="1"/>
  </si>
  <si>
    <t>基礎画像工学</t>
    <phoneticPr fontId="1"/>
  </si>
  <si>
    <t>計算機演習</t>
    <rPh sb="0" eb="3">
      <t>ケイサンキ</t>
    </rPh>
    <rPh sb="3" eb="5">
      <t>エンシュウ</t>
    </rPh>
    <phoneticPr fontId="1"/>
  </si>
  <si>
    <t>微分積分学</t>
    <rPh sb="0" eb="2">
      <t>ビブン</t>
    </rPh>
    <rPh sb="2" eb="5">
      <t>セキブンガク</t>
    </rPh>
    <phoneticPr fontId="1"/>
  </si>
  <si>
    <t>応用数学</t>
    <rPh sb="0" eb="2">
      <t>オウヨウ</t>
    </rPh>
    <rPh sb="2" eb="4">
      <t>スウガク</t>
    </rPh>
    <phoneticPr fontId="1"/>
  </si>
  <si>
    <t>統計学演習</t>
    <rPh sb="0" eb="3">
      <t>トウケイガク</t>
    </rPh>
    <rPh sb="3" eb="5">
      <t>エンシュウ</t>
    </rPh>
    <phoneticPr fontId="1"/>
  </si>
  <si>
    <t>公衆衛生学</t>
    <rPh sb="0" eb="2">
      <t>コウシュウ</t>
    </rPh>
    <rPh sb="2" eb="5">
      <t>エイセイガク</t>
    </rPh>
    <phoneticPr fontId="1"/>
  </si>
  <si>
    <t>・ビッグデータ、IoT、AI、ロボット　「基礎画像工学」（オンデマンド配信第１回）
・データ量の増加、計算機の処理性能の向上、AIの非連続的進化　「基礎画像工学」（オンデマンド配信第１回）
・第4次産業革命、Society 5.0、データ駆動型社会　「基礎画像工学」（オンデマンド配信第１回）
・複数技術を組み合わせたAIサービス　「基礎画像工学」（オンデマンド配信第１回）
・人間の知的活動とAIの関係性　「基礎画像工学」（オンデマンド配信第１回）
・データを起点としたものの見方、人間の知的活動を起点としたものの見方　「基礎画像工学」（オンデマンド配信第１回）</t>
    <rPh sb="35" eb="37">
      <t>ハイシン</t>
    </rPh>
    <rPh sb="37" eb="38">
      <t>ダイ</t>
    </rPh>
    <phoneticPr fontId="1"/>
  </si>
  <si>
    <t>・AI等を活用した新しいビジネスモデル(シェアリングエコノミー、商品のレコメンデーションなど)　「基礎画像工学」（オンデマンド配信第２回）
・AI最新技術の活用例（深層学習、深層生成モデル、敵対的生成ネットワーク、強化学習、転移学習、計量学習、半教師あり学習など）　「基礎画像工学」（オンデマンド配信第２回）</t>
    <rPh sb="63" eb="65">
      <t>ハイシン</t>
    </rPh>
    <rPh sb="65" eb="66">
      <t>ダイ</t>
    </rPh>
    <rPh sb="67" eb="68">
      <t>カイ</t>
    </rPh>
    <rPh sb="82" eb="86">
      <t>シンソウガクシュウ</t>
    </rPh>
    <rPh sb="117" eb="121">
      <t>ケイリョウガクシュウ</t>
    </rPh>
    <rPh sb="127" eb="129">
      <t>ガクシュウ</t>
    </rPh>
    <phoneticPr fontId="1"/>
  </si>
  <si>
    <t>・調査データ、実験データ、人の行動ログデータ、機械の稼働ログデータなど　「基礎画像工学」（オンデマンド配信第１回）
・1次データ、2次データ、データのメタ化　「基礎画像工学」（オンデマンド配信第１回）
・構造化データ、非構造化データ（文章、画像/動画、音声/音楽など）　「基礎画像工学」（オンデマンド配信第１回）
・データ作成（ビッグデータとアノテーション）　「基礎画像工学」（オンデマンド配信第１回）
・データのオープン化（オープンデータ）　「基礎画像工学」（オンデマンド配信第１回）</t>
  </si>
  <si>
    <t>・データ・AI活用領域の広がり(生産、消費、文化活動など)　「基礎画像工学」（オンデマンド配信第１回）
・研究開発、調達、製造、物流、販売、マーケティング、サービスなど　「基礎画像工学」（オンデマンド配信第１回）
・仮説検証、知識発見、原因究明、計画策定、判断支援、活動代替、新規生成など　「基礎画像工学」（オンデマンド配信第１回）</t>
  </si>
  <si>
    <t>・データ解析：予測、グルーピング、パターン発見、最適化など　「基礎画像工学」（オンデマンド配信第２回）
・データ可視化：複合グラフ、2軸グラフ、多次元の可視化、関係性の可視化など　「基礎画像工学」（オンデマンド配信第２回）
・非構造化データ処理：言語処理、画像処理、音声処理など　「基礎画像工学」（オンデマンド配信第２回）
・特化型AIと汎用AI、今のAIで出来ることと出来ないこと、AIとビッグデータ　「基礎画像工学」（オンデマンド配信第２回）
・認識技術、ルールベース、自動化技術　「基礎画像工学」（オンデマンド配信第２回）</t>
  </si>
  <si>
    <t>・データサイエンスのサイクル（課題抽出と定式化、データの取得・管理・加工、探索的データ解析、データ解析と推論、結果の共有・伝達、課題解決に向けた提案）　「基礎画像工学」（オンデマンド配信第２回）
・流通、製造、金融、サービス、インフラ、公共、ヘルスケア等におけるデータ・AI利活用事例紹介　「基礎画像工学」（オンデマンド配信第２回）</t>
  </si>
  <si>
    <t>・ELSI（Ethical, Legal and Social Issues）　「基礎画像工学」（オンデマンド配信第５回）
・個人情報保護、EU一般データ保護規則(GDPR)、忘れられる権利、オプトアウト　「基礎画像工学」（オンデマンド配信第５回）
・データ倫理：データのねつ造、改ざん、盗用、プライバシー保護　「基礎画像工学」（オンデマンド配信第５回）
・AI社会原則（公平性、説明責任、透明性、人間中心の判断）　「基礎画像工学」（オンデマンド配信第５回）
・データバイアス、アルゴリズムバイアス　「基礎画像工学」（オンデマンド配信第５回）
・AIサービスの責任論　「基礎画像工学」（オンデマンド配信第５回）
・データ・AI活用における負の事例紹介　「基礎画像工学」（オンデマンド配信第５回）</t>
  </si>
  <si>
    <t>・情報セキュリティ：機密性、完全性、可用性　「基礎画像工学」（オンデマンド配信第５回）
・匿名加工情報、暗号化、パスワード、悪意ある情報搾取　「基礎画像工学」（オンデマンド配信第５回）
・情報漏洩等によるセキュリティ事故の事例紹介　「基礎画像工学」（オンデマンド配信第５回）</t>
  </si>
  <si>
    <t>・データの種類（量的変数、質的変数）　「基礎画像工学」（オンデマンド配信第３回）
・データの分布(ヒストグラム)と代表値（平均値、中央値、最頻値）　「基礎画像工学」（オンデマンド配信第３回）
・代表値の性質の違い（実社会では平均値＝最頻値でないことが多い）　「基礎画像工学」（オンデマンド配信第３回）
・データのばらつき（分散、標準偏差、偏差値）　「基礎画像工学」（オンデマンド配信第３回）
・観測データに含まれる誤差の扱い　「基礎画像工学」（オンデマンド配信第３回）
・打ち切りや脱落を含むデータ、層別の必要なデータ　「基礎画像工学」（オンデマンド配信第３回）
・相関と因果（相関係数、擬似相関、交絡）　「基礎画像工学」（オンデマンド配信第３回）
・母集団と標本抽出（国勢調査、アンケート調査、全数調査、単純無作為抽出、層別抽出、多段抽出）　「基礎画像工学」（オンデマンド配信第３回）
・クロス集計表、分割表、相関係数行列、散布図行列　「基礎画像工学」（オンデマンド配信第３回）
・統計情報の正しい理解（誇張表現に惑わされない）　「基礎画像工学」（オンデマンド配信第３回）</t>
  </si>
  <si>
    <t>・データ表現（棒グラフ、折線グラフ、散布図、ヒートマップ）　「基礎画像工学」（オンデマンド配信第４回）
・データの図表表現（チャート化）　「基礎画像工学」（オンデマンド配信第４回）
・データの比較（条件をそろえた比較、処理の前後での比較、A/Bテスト)　「基礎画像工学」（オンデマンド配信第４回）
・不適切なグラフ表現（チャートジャンク、不必要な視覚的要素）　「基礎画像工学」（オンデマンド配信第４回）
・優れた可視化事例の紹介（可視化することによって新たな気づきがあった事例など）　「基礎画像工学」（オンデマンド配信第４回）</t>
  </si>
  <si>
    <t>・データの集計（和、平均）　「基礎画像工学」（オンデマンド配信第４回）
・データの並び替え、ランキング　「基礎画像工学」（オンデマンド配信第４回）
・データ解析ツール（スプレッドシート）　「基礎画像工学」（オンデマンド配信第４回）
・表形式のデータ（csv）　「基礎画像工学」（オンデマンド配信第４回）</t>
  </si>
  <si>
    <t>様式２-１１</t>
  </si>
  <si>
    <t>臨床心理学科においては、教育プログラムを構成する「認定科目」の全ての科目について単位を取得すること。
認定科目：１．情報処理論、２．心理学統計法、３．公衆衛生学</t>
    <phoneticPr fontId="1"/>
  </si>
  <si>
    <t>情報処理論</t>
  </si>
  <si>
    <t>心理学統計法</t>
    <phoneticPr fontId="1"/>
  </si>
  <si>
    <t>様式２－１２</t>
  </si>
  <si>
    <t>総合政策学部においては、教育プログラムを構成する「認定科目」の全ての科目について単位を取得すること。
認定科目：１．情報処理演習、２．ローカルガバメント論、３．計算力演習Ⅰ、４．計算力演習Ⅱ</t>
    <phoneticPr fontId="1"/>
  </si>
  <si>
    <t>ローカルガバメント論</t>
    <phoneticPr fontId="1"/>
  </si>
  <si>
    <t>計算力演習Ⅰ</t>
    <phoneticPr fontId="1"/>
  </si>
  <si>
    <t>計算力演習Ⅱ</t>
    <phoneticPr fontId="1"/>
  </si>
  <si>
    <t>・ビッグデータ、IoT、AI、ロボット　「ローカル・ガバメント論Ａ/Ｂ」（オンデマンド配信第１回）
・データ量の増加、計算機の処理性能の向上、AIの非連続的進化　「ローカル・ガバメント論Ａ/Ｂ」（オンデマンド配信第１回）
・第4次産業革命、Society 5.0、データ駆動型社会　「ローカル・ガバメント論Ａ/Ｂ」（オンデマンド配信第１回）
・複数技術を組み合わせたAIサービス　「ローカル・ガバメント論Ａ/Ｂ」（オンデマンド配信第１回）
・人間の知的活動とAIの関係性　「ローカル・ガバメント論Ａ/Ｂ」（オンデマンド配信第１回）
・データを起点としたものの見方、人間の知的活動を起点としたものの見方　「ローカル・ガバメント論Ａ/Ｂ」（オンデマンド配信第１回）</t>
    <rPh sb="43" eb="45">
      <t>ハイシン</t>
    </rPh>
    <rPh sb="45" eb="46">
      <t>ダイ</t>
    </rPh>
    <phoneticPr fontId="1"/>
  </si>
  <si>
    <t>・AI等を活用した新しいビジネスモデル(シェアリングエコノミー、商品のレコメンデーションなど)　「ローカル・ガバメント論Ａ/Ｂ」（オンデマンド配信第２回）
・AI最新技術の活用例（深層学習、深層生成モデル、敵対的生成ネットワーク、強化学習、転移学習、計量学習、半教師あり学習など）　「ローカル・ガバメント論Ａ/Ｂ」（オンデマンド配信第２回）</t>
    <rPh sb="71" eb="73">
      <t>ハイシン</t>
    </rPh>
    <rPh sb="73" eb="74">
      <t>ダイ</t>
    </rPh>
    <rPh sb="75" eb="76">
      <t>カイ</t>
    </rPh>
    <rPh sb="90" eb="94">
      <t>シンソウガクシュウ</t>
    </rPh>
    <rPh sb="125" eb="129">
      <t>ケイリョウガクシュウ</t>
    </rPh>
    <rPh sb="135" eb="137">
      <t>ガクシュウ</t>
    </rPh>
    <phoneticPr fontId="1"/>
  </si>
  <si>
    <t>・調査データ、実験データ、人の行動ログデータ、機械の稼働ログデータなど　「ローカル・ガバメント論Ａ/Ｂ」（オンデマンド配信第１回）
・1次データ、2次データ、データのメタ化　「ローカル・ガバメント論Ａ/Ｂ」（オンデマンド配信第１回）
・構造化データ、非構造化データ（文章、画像/動画、音声/音楽など）　「ローカル・ガバメント論Ａ/Ｂ」（オンデマンド配信第１回）
・データ作成（ビッグデータとアノテーション）　「ローカル・ガバメント論Ａ/Ｂ」（オンデマンド配信第１回）
・データのオープン化（オープンデータ）　「ローカル・ガバメント論Ａ/Ｂ」（オンデマンド配信第１回）</t>
  </si>
  <si>
    <t>・データ・AI活用領域の広がり(生産、消費、文化活動など)　「ローカル・ガバメント論Ａ/Ｂ」（オンデマンド配信第１回）
・研究開発、調達、製造、物流、販売、マーケティング、サービスなど　「ローカル・ガバメント論Ａ/Ｂ」（オンデマンド配信第１回）
・仮説検証、知識発見、原因究明、計画策定、判断支援、活動代替、新規生成など　「ローカル・ガバメント論Ａ/Ｂ」（オンデマンド配信第１回）</t>
  </si>
  <si>
    <t>・データ解析：予測、グルーピング、パターン発見、最適化など　「ローカル・ガバメント論Ａ/Ｂ」（オンデマンド配信第２回）
・データ可視化：複合グラフ、2軸グラフ、多次元の可視化、関係性の可視化など　「ローカル・ガバメント論Ａ/Ｂ」（オンデマンド配信第２回）
・非構造化データ処理：言語処理、画像処理、音声処理など　「ローカル・ガバメント論Ａ/Ｂ」（オンデマンド配信第２回）
・特化型AIと汎用AI、今のAIで出来ることと出来ないこと、AIとビッグデータ　「ローカル・ガバメント論Ａ/Ｂ」（オンデマンド配信第２回）
・認識技術、ルールベース、自動化技術　「ローカル・ガバメント論Ａ/Ｂ」（オンデマンド配信第２回）</t>
  </si>
  <si>
    <t>・データサイエンスのサイクル（課題抽出と定式化、データの取得・管理・加工、探索的データ解析、データ解析と推論、結果の共有・伝達、課題解決に向けた提案）　「ローカル・ガバメント論Ａ/Ｂ」（オンデマンド配信第２回）
・流通、製造、金融、サービス、インフラ、公共、ヘルスケア等におけるデータ・AI利活用事例紹介　「ローカル・ガバメント論Ａ/Ｂ」（オンデマンド配信第２回）</t>
  </si>
  <si>
    <t>・ELSI（Ethical, Legal and Social Issues）　「ローカル・ガバメント論Ａ/Ｂ」（オンデマンド配信第５回）
・個人情報保護、EU一般データ保護規則(GDPR)、忘れられる権利、オプトアウト　「ローカル・ガバメント論Ａ/Ｂ」（オンデマンド配信第５回）
・データ倫理：データのねつ造、改ざん、盗用、プライバシー保護　「ローカル・ガバメント論Ａ/Ｂ」（オンデマンド配信第５回）
・AI社会原則（公平性、説明責任、透明性、人間中心の判断）　「ローカル・ガバメント論Ａ/Ｂ」（オンデマンド配信第５回）
・データバイアス、アルゴリズムバイアス　「ローカル・ガバメント論Ａ/Ｂ」（オンデマンド配信第５回）
・AIサービスの責任論　「ローカル・ガバメント論Ａ/Ｂ」（オンデマンド配信第５回）
・データ・AI活用における負の事例紹介　「ローカル・ガバメント論Ａ/Ｂ」（オンデマンド配信第５回）</t>
  </si>
  <si>
    <t>・情報セキュリティ：機密性、完全性、可用性　「ローカル・ガバメント論Ａ/Ｂ」（オンデマンド配信第５回）
・匿名加工情報、暗号化、パスワード、悪意ある情報搾取　「ローカル・ガバメント論Ａ/Ｂ」（オンデマンド配信第５回）
・情報漏洩等によるセキュリティ事故の事例紹介　「ローカル・ガバメント論Ａ/Ｂ」（オンデマンド配信第５回）</t>
  </si>
  <si>
    <t>・データの種類（量的変数、質的変数）　「ローカル・ガバメント論Ａ/Ｂ」（オンデマンド配信第３回）
・データの分布(ヒストグラム)と代表値（平均値、中央値、最頻値）　「ローカル・ガバメント論Ａ/Ｂ」（オンデマンド配信第３回）
・代表値の性質の違い（実社会では平均値＝最頻値でないことが多い）　「ローカル・ガバメント論Ａ/Ｂ」（オンデマンド配信第３回）
・データのばらつき（分散、標準偏差、偏差値）　「ローカル・ガバメント論Ａ/Ｂ」（オンデマンド配信第３回）
・観測データに含まれる誤差の扱い　「ローカル・ガバメント論Ａ/Ｂ」（オンデマンド配信第３回）
・打ち切りや脱落を含むデータ、層別の必要なデータ　「ローカル・ガバメント論Ａ/Ｂ」（オンデマンド配信第３回）
・相関と因果（相関係数、擬似相関、交絡）　「ローカル・ガバメント論Ａ/Ｂ」（オンデマンド配信第３回）
・母集団と標本抽出（国勢調査、アンケート調査、全数調査、単純無作為抽出、層別抽出、多段抽出）　「ローカル・ガバメント論Ａ/Ｂ」（オンデマンド配信第３回）
・クロス集計表、分割表、相関係数行列、散布図行列　「ローカル・ガバメント論Ａ/Ｂ」（オンデマンド配信第３回）
・統計情報の正しい理解（誇張表現に惑わされない）　「ローカル・ガバメント論Ａ/Ｂ」（オンデマンド配信第３回）</t>
  </si>
  <si>
    <t>・データ表現（棒グラフ、折線グラフ、散布図、ヒートマップ）　「ローカル・ガバメント論Ａ/Ｂ」（オンデマンド配信第４回）
・データの図表表現（チャート化）　「ローカル・ガバメント論Ａ/Ｂ」（オンデマンド配信第４回）
・データの比較（条件をそろえた比較、処理の前後での比較、A/Bテスト)　「ローカル・ガバメント論Ａ/Ｂ」（オンデマンド配信第４回）
・不適切なグラフ表現（チャートジャンク、不必要な視覚的要素）　「ローカル・ガバメント論Ａ/Ｂ」（オンデマンド配信第４回）
・優れた可視化事例の紹介（可視化することによって新たな気づきがあった事例など）　「ローカル・ガバメント論Ａ/Ｂ」（オンデマンド配信第４回）</t>
  </si>
  <si>
    <t>・データの集計（和、平均）　「ローカル・ガバメント論Ａ/Ｂ」（オンデマンド配信第４回）
・データの並び替え、ランキング　「ローカル・ガバメント論Ａ/Ｂ」（オンデマンド配信第４回）
・データ解析ツール（スプレッドシート）　「ローカル・ガバメント論Ａ/Ｂ」（オンデマンド配信第４回）
・表形式のデータ（csv）　「ローカル・ガバメント論Ａ/Ｂ」（オンデマンド配信第４回）</t>
  </si>
  <si>
    <t>様式２－１３</t>
  </si>
  <si>
    <t>外国語学部においては、教育プログラムを構成する「認定科目」の全ての科目について単位を取得すること。
認定科目：１．データリテラシ、２．データサイエンス</t>
    <phoneticPr fontId="1"/>
  </si>
  <si>
    <t>データサイエンス</t>
    <phoneticPr fontId="1"/>
  </si>
  <si>
    <t>データサイエンス</t>
  </si>
  <si>
    <t>データリテラシー</t>
    <phoneticPr fontId="1"/>
  </si>
  <si>
    <t>・ビッグデータ、IoT、AI、ロボット　「データサイエンス」（オンデマンド配信第１回）
・データ量の増加、計算機の処理性能の向上、AIの非連続的進化　「データサイエンス」（オンデマンド配信第１回）
・第4次産業革命、Society 5.0、データ駆動型社会　「データサイエンス」（オンデマンド配信第１回）
・複数技術を組み合わせたAIサービス　「データサイエンス」（オンデマンド配信第１回）
・人間の知的活動とAIの関係性　「データサイエンス」（オンデマンド配信第１回）
・データを起点としたものの見方、人間の知的活動を起点としたものの見方　「データサイエンス」（オンデマンド配信第１回）</t>
    <rPh sb="37" eb="39">
      <t>ハイシン</t>
    </rPh>
    <rPh sb="39" eb="40">
      <t>ダイ</t>
    </rPh>
    <phoneticPr fontId="1"/>
  </si>
  <si>
    <t>・AI等を活用した新しいビジネスモデル(シェアリングエコノミー、商品のレコメンデーションなど)　「データサイエンス」（オンデマンド配信第２回）
・AI最新技術の活用例（深層学習、深層生成モデル、敵対的生成ネットワーク、強化学習、転移学習、計量学習、半教師あり学習など）　「データサイエンス」（オンデマンド配信第２回）</t>
    <rPh sb="65" eb="67">
      <t>ハイシン</t>
    </rPh>
    <rPh sb="67" eb="68">
      <t>ダイ</t>
    </rPh>
    <rPh sb="69" eb="70">
      <t>カイ</t>
    </rPh>
    <rPh sb="84" eb="88">
      <t>シンソウガクシュウ</t>
    </rPh>
    <rPh sb="119" eb="123">
      <t>ケイリョウガクシュウ</t>
    </rPh>
    <rPh sb="129" eb="131">
      <t>ガクシュウ</t>
    </rPh>
    <phoneticPr fontId="1"/>
  </si>
  <si>
    <t>・調査データ、実験データ、人の行動ログデータ、機械の稼働ログデータなど　「データサイエンス」（オンデマンド配信第１回）
・1次データ、2次データ、データのメタ化　「データサイエンス」（オンデマンド配信第１回）
・構造化データ、非構造化データ（文章、画像/動画、音声/音楽など）　「データサイエンス」（オンデマンド配信第１回）
・データ作成（ビッグデータとアノテーション）　「データサイエンス」（オンデマンド配信第１回）
・データのオープン化（オープンデータ）　「データサイエンス」（オンデマンド配信第１回）</t>
  </si>
  <si>
    <t>・データ・AI活用領域の広がり(生産、消費、文化活動など)　「データサイエンス」（オンデマンド配信第１回）
・研究開発、調達、製造、物流、販売、マーケティング、サービスなど　「データサイエンス」（オンデマンド配信第１回）
・仮説検証、知識発見、原因究明、計画策定、判断支援、活動代替、新規生成など　「データサイエンス」（オンデマンド配信第１回）</t>
  </si>
  <si>
    <t>・データ解析：予測、グルーピング、パターン発見、最適化など　「データサイエンス」（オンデマンド配信第２回）
・データ可視化：複合グラフ、2軸グラフ、多次元の可視化、関係性の可視化など　「データサイエンス」（オンデマンド配信第２回）
・非構造化データ処理：言語処理、画像処理、音声処理など　「データサイエンス」（オンデマンド配信第２回）
・特化型AIと汎用AI、今のAIで出来ることと出来ないこと、AIとビッグデータ　「データサイエンス」（オンデマンド配信第２回）
・認識技術、ルールベース、自動化技術　「データサイエンス」（オンデマンド配信第２回）</t>
  </si>
  <si>
    <t>・データサイエンスのサイクル（課題抽出と定式化、データの取得・管理・加工、探索的データ解析、データ解析と推論、結果の共有・伝達、課題解決に向けた提案）　「データサイエンス」（オンデマンド配信第２回）
・流通、製造、金融、サービス、インフラ、公共、ヘルスケア等におけるデータ・AI利活用事例紹介　「データサイエンス」（オンデマンド配信第２回）</t>
  </si>
  <si>
    <t>・ELSI（Ethical, Legal and Social Issues）　「データサイエンス」（オンデマンド配信第５回）
・個人情報保護、EU一般データ保護規則(GDPR)、忘れられる権利、オプトアウト　「データサイエンス」（オンデマンド配信第５回）
・データ倫理：データのねつ造、改ざん、盗用、プライバシー保護　「データサイエンス」（オンデマンド配信第５回）
・AI社会原則（公平性、説明責任、透明性、人間中心の判断）　「データサイエンス」（オンデマンド配信第５回）
・データバイアス、アルゴリズムバイアス　「データサイエンス」（オンデマンド配信第５回）
・AIサービスの責任論　「データサイエンス」（オンデマンド配信第５回）
・データ・AI活用における負の事例紹介　「データサイエンス」（オンデマンド配信第５回）</t>
  </si>
  <si>
    <t>・情報セキュリティ：機密性、完全性、可用性　「データサイエンス」（オンデマンド配信第５回）
・匿名加工情報、暗号化、パスワード、悪意ある情報搾取　「データサイエンス」（オンデマンド配信第５回）
・情報漏洩等によるセキュリティ事故の事例紹介　「データサイエンス」（オンデマンド配信第５回）</t>
  </si>
  <si>
    <t>・データの種類（量的変数、質的変数）　「データサイエンス」（オンデマンド配信第３回）
・データの分布(ヒストグラム)と代表値（平均値、中央値、最頻値）　「データサイエンス」（オンデマンド配信第３回）
・代表値の性質の違い（実社会では平均値＝最頻値でないことが多い）　「データサイエンス」（オンデマンド配信第３回）
・データのばらつき（分散、標準偏差、偏差値）　「データサイエンス」（オンデマンド配信第３回）
・観測データに含まれる誤差の扱い　「データサイエンス」（オンデマンド配信第３回）
・打ち切りや脱落を含むデータ、層別の必要なデータ　「データサイエンス」（オンデマンド配信第３回）
・相関と因果（相関係数、擬似相関、交絡）　「データサイエンス」（オンデマンド配信第３回）
・母集団と標本抽出（国勢調査、アンケート調査、全数調査、単純無作為抽出、層別抽出、多段抽出）　「データサイエンス」（オンデマンド配信第３回）
・クロス集計表、分割表、相関係数行列、散布図行列　「データサイエンス」（オンデマンド配信第３回）
・統計情報の正しい理解（誇張表現に惑わされない）　「データサイエンス」（オンデマンド配信第３回）</t>
  </si>
  <si>
    <t>・データ表現（棒グラフ、折線グラフ、散布図、ヒートマップ）　「データサイエンス」（オンデマンド配信第４回）
・データの図表表現（チャート化）　「データサイエンス」（オンデマンド配信第４回）
・データの比較（条件をそろえた比較、処理の前後での比較、A/Bテスト)　「データサイエンス」（オンデマンド配信第４回）
・不適切なグラフ表現（チャートジャンク、不必要な視覚的要素）　「データサイエンス」（オンデマンド配信第４回）
・優れた可視化事例の紹介（可視化することによって新たな気づきがあった事例など）　「データサイエンス」（オンデマンド配信第４回）</t>
  </si>
  <si>
    <t>・データの集計（和、平均）　「データサイエンス」（オンデマンド配信第４回）
・データの並び替え、ランキング　「データサイエンス」（オンデマンド配信第４回）
・データ解析ツール（スプレッドシート）　「データサイエンス」（オンデマンド配信第４回）
・表形式のデータ（csv）　「データサイエンス」（オンデマンド配信第４回）</t>
  </si>
  <si>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</si>
  <si>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</si>
  <si>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</si>
  <si>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</si>
  <si>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</si>
  <si>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</si>
  <si>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</si>
  <si>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</si>
  <si>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</si>
  <si>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</si>
  <si>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</si>
  <si>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</si>
  <si>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</si>
  <si>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</si>
  <si>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</si>
  <si>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</si>
  <si>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</si>
  <si>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医学部</t>
    <rPh sb="0" eb="1">
      <t>イ</t>
    </rPh>
    <rPh sb="1" eb="3">
      <t>ガクブ</t>
    </rPh>
    <phoneticPr fontId="1"/>
  </si>
  <si>
    <t>保健学部</t>
    <rPh sb="0" eb="2">
      <t>ホケン</t>
    </rPh>
    <phoneticPr fontId="1"/>
  </si>
  <si>
    <t>総合政策学部</t>
    <rPh sb="0" eb="2">
      <t>ソウゴウ</t>
    </rPh>
    <rPh sb="2" eb="4">
      <t>セイサク</t>
    </rPh>
    <phoneticPr fontId="1"/>
  </si>
  <si>
    <t>外国語学部</t>
    <rPh sb="0" eb="3">
      <t>ガイコクゴ</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</si>
  <si>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</si>
  <si>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</si>
  <si>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</si>
  <si>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</si>
  <si>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</si>
  <si>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杏林大学データサイエンス標準教育プログラム規程</t>
    <phoneticPr fontId="1"/>
  </si>
  <si>
    <t>体制の目的</t>
    <rPh sb="0" eb="2">
      <t>タイセイ</t>
    </rPh>
    <rPh sb="3" eb="5">
      <t>モクテキ</t>
    </rPh>
    <phoneticPr fontId="1"/>
  </si>
  <si>
    <t>「数理・データサイエンス・AI教育プログラム認定制度」に基づき、杏林大学にデータサイエンス標準教育プログラムを設置し、デジタル社会の「読み・書き・そろばん」である数理・データサイエンス・AIの基礎的教養を持つ人材を育成することを目的とする。この目的を達成するためにデータサイエンス教育委員会を設置し、教育プログラムの立案や実施、普及に関する事項、年次自己点検・評価と改善に関する事項、情報公開に関する事項などを担う。</t>
    <rPh sb="125" eb="127">
      <t>タッセイ</t>
    </rPh>
    <phoneticPr fontId="1"/>
  </si>
  <si>
    <t>③</t>
    <phoneticPr fontId="1"/>
  </si>
  <si>
    <t>具体的な構成員</t>
    <rPh sb="0" eb="3">
      <t>グタイテキ</t>
    </rPh>
    <rPh sb="4" eb="7">
      <t>コウセイイン</t>
    </rPh>
    <phoneticPr fontId="1"/>
  </si>
  <si>
    <t xml:space="preserve">データサイエンス教育委員会
委員長　総合情報センター長　教授　大森 拓哉
委員　IR推進室長　教授　田中 薫
委員　医学部教務部長　教授　柴原 純二
委員　保健学部教務部長　教授　田口 晴彦
委員　総合政策学部教務部長　教授　進邦 徹夫　
委員　外国語学部教務部長　教授　岩本 知良
委員　医学部事務部課長　田口 直寛、成田 時子
委員　井の頭事務部教務課長　清水 由美子
委員会ワーキングメンバー
教授　坪下 幸寛（機械学習）、教授　山田 愼（物理学）、准教授　池田 一磨（数学）、准教授　吉田 清隆（統計学）、講師　西田 豊（統計学）、助教　橋本 晃生（医療統計学）
</t>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</si>
  <si>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</si>
  <si>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</si>
  <si>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</si>
  <si>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</si>
  <si>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</si>
  <si>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</si>
  <si>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</si>
  <si>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</si>
  <si>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基本方針として、対象科目の必修化による全学履修を計画している。令和3年度は、全4学部の内、医学部と外国語学部について対象科目を全て必修科目としている。総合政策学部は全ての学科において必修化されておらず、保健学部は、9学科の内、3学科（臨床検査技術学科、健康福祉学科、救急救命学科）が必修化されていない。
総合政策学部の全学科は、令和4年度にカリキュラム改定を行い、対象科目を全て必修化した。また、保健学部の２学科については、ガイダンスやリーフレットの配布等、徹底した履修指導等により、令和4年度に履修率100％を達成している（臨床検査技術学科、健康福祉学科）。保健学部救急救命学科においては、数年以内にカリキュラムの改定が予定されており、その際に対象科目の必修化を検討している。
履修推進は、学生に対するデータサイエンスの啓蒙や履修指導のほか、教員への啓蒙と周知が欠かせないと考えている。そこで、全学部教員を対象としたデータサイエンス教育の必要性を訴求するFD、教授会等での教育プログラムの意義と内容の詳細な説明、および情報系科目教員へ教育プログラムの説明会等を実施してきた。今後もこれらを継続すると共に、データサイエンスに基づく教育や研究活動への適応等についても拡充を目指したい。</t>
    <rPh sb="82" eb="83">
      <t>スベ</t>
    </rPh>
    <rPh sb="85" eb="87">
      <t>ガッカ</t>
    </rPh>
    <rPh sb="117" eb="119">
      <t>リンショウ</t>
    </rPh>
    <rPh sb="119" eb="121">
      <t>ケンサ</t>
    </rPh>
    <rPh sb="121" eb="123">
      <t>ギジュツ</t>
    </rPh>
    <rPh sb="123" eb="125">
      <t>ガッカ</t>
    </rPh>
    <rPh sb="126" eb="128">
      <t>ケンコウ</t>
    </rPh>
    <rPh sb="128" eb="130">
      <t>フクシ</t>
    </rPh>
    <rPh sb="130" eb="132">
      <t>ガッカ</t>
    </rPh>
    <rPh sb="133" eb="135">
      <t>キュウキュウ</t>
    </rPh>
    <rPh sb="135" eb="137">
      <t>キュウメイ</t>
    </rPh>
    <rPh sb="137" eb="139">
      <t>ガッカ</t>
    </rPh>
    <rPh sb="152" eb="154">
      <t>ソウゴウ</t>
    </rPh>
    <rPh sb="154" eb="156">
      <t>セイサク</t>
    </rPh>
    <rPh sb="156" eb="158">
      <t>ガクブ</t>
    </rPh>
    <rPh sb="159" eb="162">
      <t>ゼンガッカ</t>
    </rPh>
    <rPh sb="187" eb="188">
      <t>スベ</t>
    </rPh>
    <rPh sb="280" eb="282">
      <t>ホケン</t>
    </rPh>
    <rPh sb="282" eb="284">
      <t>ガクブ</t>
    </rPh>
    <rPh sb="284" eb="286">
      <t>キュウキュウ</t>
    </rPh>
    <rPh sb="286" eb="288">
      <t>キュウメイ</t>
    </rPh>
    <rPh sb="288" eb="290">
      <t>ガッカ</t>
    </rPh>
    <rPh sb="296" eb="298">
      <t>スウネン</t>
    </rPh>
    <rPh sb="298" eb="300">
      <t>イナイ</t>
    </rPh>
    <rPh sb="311" eb="313">
      <t>ヨテイ</t>
    </rPh>
    <rPh sb="321" eb="322">
      <t>サイ</t>
    </rPh>
    <rPh sb="323" eb="325">
      <t>タイショウ</t>
    </rPh>
    <rPh sb="325" eb="327">
      <t>カモク</t>
    </rPh>
    <rPh sb="328" eb="331">
      <t>ヒッシュウカ</t>
    </rPh>
    <rPh sb="332" eb="334">
      <t>ケントウ</t>
    </rPh>
    <rPh sb="340" eb="342">
      <t>リシュウ</t>
    </rPh>
    <rPh sb="342" eb="344">
      <t>スイシン</t>
    </rPh>
    <rPh sb="448" eb="450">
      <t>ナイヨウ</t>
    </rPh>
    <rPh sb="481" eb="483">
      <t>ジッシ</t>
    </rPh>
    <rPh sb="526" eb="527">
      <t>トウ</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</si>
  <si>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</si>
  <si>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xml:space="preserve">本学では、本プログラムの施行以前から全学部全学科において、情報科学系科目が開講されており、本プログラムはこれらの既設科目を軸として拡充した全学的な教育プログラムとなっている。また、多くの対象科目が既に必修化されており、必修化されていない科目についても既設科目であるため、履修についての障壁は低い。
教授内容の拡充については、担当教員による既設科目内でのデータサイエンス関係の充実に加え、「数理・データサイエンス教育強化拠点コンソーシアム」のリテラシーレベルモデルカリキュラムに準拠した本学独自のビデオライブラリーを制作し、対象の授業内やオンデマンド配信で視聴させている。
</t>
    <rPh sb="149" eb="151">
      <t>キョウジュ</t>
    </rPh>
    <rPh sb="151" eb="153">
      <t>ナイヨウ</t>
    </rPh>
    <rPh sb="154" eb="156">
      <t>カクジュウ</t>
    </rPh>
    <rPh sb="162" eb="164">
      <t>タントウ</t>
    </rPh>
    <rPh sb="164" eb="166">
      <t>キョウイン</t>
    </rPh>
    <rPh sb="169" eb="171">
      <t>キセツ</t>
    </rPh>
    <rPh sb="171" eb="173">
      <t>カモク</t>
    </rPh>
    <rPh sb="173" eb="174">
      <t>ナイ</t>
    </rPh>
    <rPh sb="184" eb="186">
      <t>カンケイ</t>
    </rPh>
    <rPh sb="187" eb="189">
      <t>ジュウジツ</t>
    </rPh>
    <rPh sb="190" eb="191">
      <t>クワ</t>
    </rPh>
    <rPh sb="194" eb="196">
      <t>スウリ</t>
    </rPh>
    <rPh sb="205" eb="207">
      <t>キョウイク</t>
    </rPh>
    <rPh sb="207" eb="209">
      <t>キョウカ</t>
    </rPh>
    <rPh sb="209" eb="211">
      <t>キョテン</t>
    </rPh>
    <rPh sb="238" eb="240">
      <t>ジュンキョ</t>
    </rPh>
    <rPh sb="242" eb="244">
      <t>ホンガク</t>
    </rPh>
    <rPh sb="244" eb="246">
      <t>ドクジ</t>
    </rPh>
    <rPh sb="257" eb="259">
      <t>セイサク</t>
    </rPh>
    <rPh sb="261" eb="263">
      <t>タイショウ</t>
    </rPh>
    <rPh sb="264" eb="267">
      <t>ジュギョウナイ</t>
    </rPh>
    <rPh sb="274" eb="276">
      <t>ハイシン</t>
    </rPh>
    <rPh sb="277" eb="279">
      <t>シチョウ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</si>
  <si>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</si>
  <si>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xml:space="preserve">新入生ガイダンスや新学期ガイダンスで、データサイエンスの学びについて周知を行っている。対象科目が必修化されていない学科においては、データサイエンス系教員による説明の時間を設け、配布したリーフレットを利用した履修指導を行っている。また、データサイエンス教育に関するホームページを新設し、詳細な情報を入手し易くしている。さらに、データサイエンス教育には、教員の啓蒙も不可欠なため、全学部教員を対象としたデータサイエンス教育の必要性を訴求するFDを実施している。また、大学広報室と連携し、ホームページおよび広報誌（学園広報誌あんず、杏林大学新聞）等で、大学内部への周知と、大学外部への広報を積極的に行っている。
</t>
    <rPh sb="0" eb="3">
      <t>シンニュウセイ</t>
    </rPh>
    <rPh sb="9" eb="12">
      <t>シンガッキ</t>
    </rPh>
    <rPh sb="28" eb="29">
      <t>マナ</t>
    </rPh>
    <rPh sb="34" eb="36">
      <t>シュウチ</t>
    </rPh>
    <rPh sb="37" eb="38">
      <t>オコナ</t>
    </rPh>
    <rPh sb="43" eb="45">
      <t>タイショウ</t>
    </rPh>
    <rPh sb="45" eb="47">
      <t>カモク</t>
    </rPh>
    <rPh sb="73" eb="74">
      <t>ケイ</t>
    </rPh>
    <rPh sb="74" eb="76">
      <t>キョウイン</t>
    </rPh>
    <rPh sb="79" eb="81">
      <t>セツメイ</t>
    </rPh>
    <rPh sb="82" eb="84">
      <t>ジカン</t>
    </rPh>
    <rPh sb="85" eb="86">
      <t>モウ</t>
    </rPh>
    <rPh sb="88" eb="90">
      <t>ハイフ</t>
    </rPh>
    <rPh sb="99" eb="101">
      <t>リヨウ</t>
    </rPh>
    <rPh sb="103" eb="105">
      <t>リシュウ</t>
    </rPh>
    <rPh sb="105" eb="107">
      <t>シドウ</t>
    </rPh>
    <rPh sb="108" eb="109">
      <t>オコナ</t>
    </rPh>
    <rPh sb="125" eb="127">
      <t>キョウイク</t>
    </rPh>
    <rPh sb="128" eb="129">
      <t>カン</t>
    </rPh>
    <rPh sb="138" eb="140">
      <t>シンセツ</t>
    </rPh>
    <rPh sb="142" eb="144">
      <t>ショウサイ</t>
    </rPh>
    <rPh sb="145" eb="147">
      <t>ジョウホウ</t>
    </rPh>
    <rPh sb="148" eb="150">
      <t>ニュウシュ</t>
    </rPh>
    <rPh sb="151" eb="152">
      <t>ヤス</t>
    </rPh>
    <rPh sb="170" eb="172">
      <t>キョウイク</t>
    </rPh>
    <rPh sb="175" eb="177">
      <t>キョウイン</t>
    </rPh>
    <rPh sb="178" eb="180">
      <t>ケイモウ</t>
    </rPh>
    <rPh sb="181" eb="184">
      <t>フカケツ</t>
    </rPh>
    <rPh sb="231" eb="233">
      <t>ダイガク</t>
    </rPh>
    <rPh sb="233" eb="236">
      <t>コウホウシツ</t>
    </rPh>
    <rPh sb="237" eb="239">
      <t>レンケイ</t>
    </rPh>
    <rPh sb="250" eb="253">
      <t>コウホウシ</t>
    </rPh>
    <rPh sb="254" eb="256">
      <t>ガクエン</t>
    </rPh>
    <rPh sb="256" eb="259">
      <t>コウホウシ</t>
    </rPh>
    <rPh sb="263" eb="265">
      <t>キョウリン</t>
    </rPh>
    <rPh sb="265" eb="267">
      <t>ダイガク</t>
    </rPh>
    <rPh sb="267" eb="269">
      <t>シンブン</t>
    </rPh>
    <rPh sb="270" eb="271">
      <t>トウ</t>
    </rPh>
    <rPh sb="273" eb="275">
      <t>ダイガク</t>
    </rPh>
    <rPh sb="275" eb="277">
      <t>ナイブ</t>
    </rPh>
    <rPh sb="279" eb="281">
      <t>シュウチ</t>
    </rPh>
    <rPh sb="283" eb="285">
      <t>ダイガク</t>
    </rPh>
    <rPh sb="285" eb="287">
      <t>ガイブ</t>
    </rPh>
    <rPh sb="289" eb="291">
      <t>コウホウ</t>
    </rPh>
    <rPh sb="292" eb="295">
      <t>セッキョクテキ</t>
    </rPh>
    <rPh sb="296" eb="297">
      <t>オコナ</t>
    </rPh>
    <phoneticPr fontId="1"/>
  </si>
  <si>
    <t>⑦</t>
    <phoneticPr fontId="1"/>
  </si>
  <si>
    <t>できる限り多くの学生が履修・修得できるようなサポート体制</t>
    <rPh sb="26" eb="28">
      <t>タイセイ</t>
    </rPh>
    <phoneticPr fontId="1"/>
  </si>
  <si>
    <t>「数理・データサイエンス教育強化拠点コンソーシアム」のリテラシーレベルモデルカリキュラムに準拠した本学独自のビデオライブラリーを制作し、対象の授業内やオンデマンド配信で視聴させている。オンデマンド配信により、学生の学びたい時間や空き時間に視聴でき、内容の見逃しなど再視聴にも対応している。</t>
    <rPh sb="98" eb="100">
      <t>ハイシン</t>
    </rPh>
    <rPh sb="104" eb="106">
      <t>ガクセイ</t>
    </rPh>
    <rPh sb="107" eb="108">
      <t>マナ</t>
    </rPh>
    <rPh sb="111" eb="113">
      <t>ジカン</t>
    </rPh>
    <rPh sb="114" eb="115">
      <t>ア</t>
    </rPh>
    <rPh sb="116" eb="118">
      <t>ジカン</t>
    </rPh>
    <rPh sb="119" eb="121">
      <t>シチョウ</t>
    </rPh>
    <rPh sb="124" eb="126">
      <t>ナイヨウ</t>
    </rPh>
    <rPh sb="127" eb="129">
      <t>ミノガ</t>
    </rPh>
    <rPh sb="132" eb="133">
      <t>サイ</t>
    </rPh>
    <rPh sb="133" eb="135">
      <t>シチョウ</t>
    </rPh>
    <rPh sb="137" eb="139">
      <t>タイオウ</t>
    </rPh>
    <phoneticPr fontId="1"/>
  </si>
  <si>
    <t>授業時間内外で学習指導、質問を受け付ける具体的な仕組み</t>
    <rPh sb="20" eb="23">
      <t>グタイテキ</t>
    </rPh>
    <phoneticPr fontId="1"/>
  </si>
  <si>
    <t>学生からの質問は、LMS（学習管理システム：UNIVERSAL PASSPORT RX）で24時間受付を行っている。質問内容に対して適切な回答が得られる様に、データサイエンス専門の教員グループを回答者として配置している。また、質問の傾向を把握するために、質問内容を回答者間で共有する仕組みやアーカイブを設けている。</t>
    <rPh sb="135" eb="136">
      <t>カン</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</si>
  <si>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</si>
  <si>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</si>
  <si>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</si>
  <si>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</si>
  <si>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</si>
  <si>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</si>
  <si>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</si>
  <si>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</si>
  <si>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令和3年度（2021年度）に開設され た杏林大学データサイエンス標準教育プログラムにおける対象科目履修者数と本プログラムの修了者数は、様式３にある様に
2021年度　履修者数　1189名　修了者数　680名
である。</t>
    <rPh sb="0" eb="2">
      <t>レイワ</t>
    </rPh>
    <rPh sb="3" eb="5">
      <t>ネンド</t>
    </rPh>
    <rPh sb="10" eb="12">
      <t>ネンド</t>
    </rPh>
    <rPh sb="14" eb="16">
      <t>カイセツ</t>
    </rPh>
    <rPh sb="20" eb="22">
      <t>キョウリン</t>
    </rPh>
    <rPh sb="22" eb="24">
      <t>ダイガク</t>
    </rPh>
    <rPh sb="32" eb="34">
      <t>ヒョウジュン</t>
    </rPh>
    <rPh sb="34" eb="36">
      <t>キョウイク</t>
    </rPh>
    <rPh sb="45" eb="47">
      <t>タイショウ</t>
    </rPh>
    <rPh sb="47" eb="49">
      <t>カモク</t>
    </rPh>
    <rPh sb="49" eb="51">
      <t>リシュウ</t>
    </rPh>
    <rPh sb="51" eb="52">
      <t>シャ</t>
    </rPh>
    <rPh sb="52" eb="53">
      <t>スウ</t>
    </rPh>
    <rPh sb="54" eb="55">
      <t>ホン</t>
    </rPh>
    <rPh sb="61" eb="64">
      <t>シュウリョウシャ</t>
    </rPh>
    <rPh sb="64" eb="65">
      <t>スウ</t>
    </rPh>
    <rPh sb="67" eb="69">
      <t>ヨウシキ</t>
    </rPh>
    <rPh sb="73" eb="74">
      <t>ヨウ</t>
    </rPh>
    <rPh sb="81" eb="83">
      <t>ネンド</t>
    </rPh>
    <rPh sb="84" eb="86">
      <t>リシュウ</t>
    </rPh>
    <rPh sb="86" eb="87">
      <t>シャ</t>
    </rPh>
    <rPh sb="87" eb="88">
      <t>スウ</t>
    </rPh>
    <rPh sb="93" eb="94">
      <t>メイ</t>
    </rPh>
    <rPh sb="95" eb="98">
      <t>シュウリョウシャ</t>
    </rPh>
    <rPh sb="98" eb="99">
      <t>スウ</t>
    </rPh>
    <rPh sb="103" eb="104">
      <t>メイ</t>
    </rPh>
    <phoneticPr fontId="1"/>
  </si>
  <si>
    <t>学修成果</t>
    <rPh sb="0" eb="2">
      <t>ガクシュウ</t>
    </rPh>
    <rPh sb="2" eb="4">
      <t>セイカ</t>
    </rPh>
    <phoneticPr fontId="1"/>
  </si>
  <si>
    <t>「数理・データサイエンス教育強化拠点コンソーシアム」のリテラシーレベルモデルカリキュラムに準拠した本学独自のビデオライブラリーを対象科目の授業内で視聴後、またはオンデマンドの視聴後に確認試験を実施している。確認試験は、満点を目指して何度でも受験できる仕組みとしている。これは確認試験によってビデオ内容の理解度を学生が認識すると共に、理解を高められることを想定している。この確認試験の結果（平均）は、対象科目によって若干の差はあるが、ほぼ満点を達成している。</t>
    <rPh sb="64" eb="66">
      <t>タイショウ</t>
    </rPh>
    <rPh sb="66" eb="68">
      <t>カモク</t>
    </rPh>
    <rPh sb="69" eb="72">
      <t>ジュギョウナイ</t>
    </rPh>
    <rPh sb="73" eb="75">
      <t>シチョウ</t>
    </rPh>
    <rPh sb="75" eb="76">
      <t>ゴ</t>
    </rPh>
    <rPh sb="87" eb="89">
      <t>シチョウ</t>
    </rPh>
    <rPh sb="89" eb="90">
      <t>ゴ</t>
    </rPh>
    <rPh sb="91" eb="93">
      <t>カクニン</t>
    </rPh>
    <rPh sb="93" eb="95">
      <t>シケン</t>
    </rPh>
    <rPh sb="96" eb="98">
      <t>ジッシ</t>
    </rPh>
    <rPh sb="103" eb="105">
      <t>カクニン</t>
    </rPh>
    <rPh sb="105" eb="107">
      <t>シケン</t>
    </rPh>
    <rPh sb="109" eb="111">
      <t>マンテン</t>
    </rPh>
    <rPh sb="112" eb="114">
      <t>メザ</t>
    </rPh>
    <rPh sb="116" eb="118">
      <t>ナンド</t>
    </rPh>
    <rPh sb="120" eb="122">
      <t>ジュケン</t>
    </rPh>
    <rPh sb="125" eb="127">
      <t>シク</t>
    </rPh>
    <rPh sb="137" eb="139">
      <t>カクニン</t>
    </rPh>
    <rPh sb="139" eb="141">
      <t>シケン</t>
    </rPh>
    <rPh sb="148" eb="150">
      <t>ナイヨウ</t>
    </rPh>
    <rPh sb="151" eb="154">
      <t>リカイド</t>
    </rPh>
    <rPh sb="155" eb="157">
      <t>ガクセイ</t>
    </rPh>
    <rPh sb="158" eb="160">
      <t>ニンシキ</t>
    </rPh>
    <rPh sb="163" eb="164">
      <t>トモ</t>
    </rPh>
    <rPh sb="166" eb="168">
      <t>リカイ</t>
    </rPh>
    <rPh sb="169" eb="170">
      <t>タカ</t>
    </rPh>
    <rPh sb="177" eb="179">
      <t>ソウテイ</t>
    </rPh>
    <rPh sb="186" eb="188">
      <t>カクニン</t>
    </rPh>
    <rPh sb="188" eb="190">
      <t>シケン</t>
    </rPh>
    <rPh sb="191" eb="193">
      <t>ケッカ</t>
    </rPh>
    <rPh sb="194" eb="196">
      <t>ヘイキン</t>
    </rPh>
    <rPh sb="199" eb="201">
      <t>タイショウ</t>
    </rPh>
    <rPh sb="201" eb="203">
      <t>カモク</t>
    </rPh>
    <rPh sb="207" eb="209">
      <t>ジャッカン</t>
    </rPh>
    <rPh sb="210" eb="211">
      <t>サ</t>
    </rPh>
    <rPh sb="218" eb="220">
      <t>マンテン</t>
    </rPh>
    <rPh sb="221" eb="223">
      <t>タッセイ</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</si>
  <si>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</si>
  <si>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本学では、全ての授業科目を対象とした「授業評価アンケート」を実施している。このアンケート結果（項目：授業の満足度）では、対象科目について概ね良好な満足度であることが報告されている。さらに、対象科目を担当している教員にビデオライブラリーを視聴した学生の反応についてアンケート調査を行った結果、客観的な難易度については学科によって異なっていた。しかしながら、学生の評価に関しては各学科の科目を通じて概ね良好な評価が得られている。これらと上記の学修成果等を総合して、概ね良好な理解度であると推察している。</t>
    <rPh sb="94" eb="96">
      <t>タイショウ</t>
    </rPh>
    <rPh sb="96" eb="98">
      <t>カモク</t>
    </rPh>
    <rPh sb="99" eb="101">
      <t>タントウ</t>
    </rPh>
    <rPh sb="105" eb="107">
      <t>キョウイン</t>
    </rPh>
    <rPh sb="118" eb="120">
      <t>シチョウ</t>
    </rPh>
    <rPh sb="122" eb="124">
      <t>ガクセイ</t>
    </rPh>
    <rPh sb="125" eb="127">
      <t>ハンノウ</t>
    </rPh>
    <rPh sb="136" eb="138">
      <t>チョウサ</t>
    </rPh>
    <rPh sb="139" eb="140">
      <t>オコナ</t>
    </rPh>
    <rPh sb="142" eb="144">
      <t>ケッカ</t>
    </rPh>
    <rPh sb="145" eb="148">
      <t>キャッカンテキ</t>
    </rPh>
    <rPh sb="149" eb="152">
      <t>ナンイド</t>
    </rPh>
    <rPh sb="157" eb="159">
      <t>ガッカ</t>
    </rPh>
    <rPh sb="163" eb="164">
      <t>コト</t>
    </rPh>
    <rPh sb="177" eb="179">
      <t>ガクセイ</t>
    </rPh>
    <rPh sb="180" eb="182">
      <t>ヒョウカ</t>
    </rPh>
    <rPh sb="183" eb="184">
      <t>カン</t>
    </rPh>
    <rPh sb="187" eb="190">
      <t>カクガッカ</t>
    </rPh>
    <rPh sb="191" eb="193">
      <t>カモク</t>
    </rPh>
    <rPh sb="194" eb="195">
      <t>ツウ</t>
    </rPh>
    <rPh sb="197" eb="198">
      <t>オオム</t>
    </rPh>
    <rPh sb="199" eb="201">
      <t>リョウコウ</t>
    </rPh>
    <rPh sb="202" eb="204">
      <t>ヒョウカ</t>
    </rPh>
    <rPh sb="205" eb="206">
      <t>エ</t>
    </rPh>
    <rPh sb="216" eb="218">
      <t>ジョウキ</t>
    </rPh>
    <rPh sb="219" eb="221">
      <t>ガクシュウ</t>
    </rPh>
    <rPh sb="221" eb="223">
      <t>セイカ</t>
    </rPh>
    <rPh sb="223" eb="224">
      <t>トウ</t>
    </rPh>
    <rPh sb="225" eb="227">
      <t>ソウゴウ</t>
    </rPh>
    <rPh sb="230" eb="231">
      <t>オオム</t>
    </rPh>
    <rPh sb="232" eb="234">
      <t>リョウコウ</t>
    </rPh>
    <rPh sb="235" eb="238">
      <t>リカイド</t>
    </rPh>
    <rPh sb="242" eb="244">
      <t>スイサツ</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</si>
  <si>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</si>
  <si>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xml:space="preserve">本学では、全ての授業科目を対象とした「授業評価アンケート」を実施している。このアンケート結果（項目：授業の満足度）では、対象科目について概ね良好な満足度であることが報告されている。また、一部の対象科目においては、授業評価アンケートとは異なるアンケート調査（授業内アンケート）や学生との口頭でのコミュニケーションを通した意見の抽出も行っており、こちらでも概ね良好な回答が得られている。以上のことから、間接的ではあるが、推奨度についても良好な評価が得られていると推測される。しかしながら、具体的なアンケート項目として情報を得られていないため、令和4年度から、オンデマンドや授業内視聴後に実施している確認試験内に、新たに「後輩等他の学生への推奨度を問う」アンケート項目を新設した。
</t>
    <rPh sb="96" eb="98">
      <t>タイショウ</t>
    </rPh>
    <rPh sb="216" eb="218">
      <t>リョウコウ</t>
    </rPh>
    <rPh sb="219" eb="221">
      <t>ヒョウカ</t>
    </rPh>
    <rPh sb="222" eb="223">
      <t>エ</t>
    </rPh>
    <rPh sb="229" eb="231">
      <t>スイソク</t>
    </rPh>
    <rPh sb="332" eb="334">
      <t>シンセツ</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</si>
  <si>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</si>
  <si>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xml:space="preserve">基本方針として、対象科目の必修化による全学履修を計画している。令和3年度は、全4学部の内、医学部と外国語学部について対象科目を全て必修科目としている。総合政策学部は全ての学科が必修化されておらず、保健学部は、9学科の内、3学科（臨床検査技術学科、健康福祉学科、救急救命学科）が必修化されていない。令和4年度に総合政策学部のカリキュラム改定により全ての学科において対象科目が必修化された。また、保健学部の２学科については、徹底した履修指導等により、令和4年度に履修率100％を達成している（臨床検査技術学科、健康福祉学科）。保健学部救急救命学科においては、数年以内にカリキュラム改定が予定されており、その際、対象科目の必修化を検討している。これら保健学部３学科の必修化が行われない場合でも、令和７年度に全学の履修率は９９％を達成する見込みだが、積極的な履修指導と対象科目の必修化により、早期に履修率１００％を目指したい。
</t>
    <rPh sb="82" eb="83">
      <t>スベ</t>
    </rPh>
    <rPh sb="114" eb="116">
      <t>リンショウ</t>
    </rPh>
    <rPh sb="116" eb="118">
      <t>ケンサ</t>
    </rPh>
    <rPh sb="118" eb="120">
      <t>ギジュツ</t>
    </rPh>
    <rPh sb="120" eb="122">
      <t>ガッカ</t>
    </rPh>
    <rPh sb="123" eb="125">
      <t>ケンコウ</t>
    </rPh>
    <rPh sb="125" eb="127">
      <t>フクシ</t>
    </rPh>
    <rPh sb="127" eb="129">
      <t>ガッカ</t>
    </rPh>
    <rPh sb="130" eb="132">
      <t>キュウキュウ</t>
    </rPh>
    <rPh sb="132" eb="134">
      <t>キュウメイ</t>
    </rPh>
    <rPh sb="134" eb="136">
      <t>ガッカ</t>
    </rPh>
    <rPh sb="167" eb="169">
      <t>カイテイ</t>
    </rPh>
    <rPh sb="172" eb="173">
      <t>スベ</t>
    </rPh>
    <rPh sb="175" eb="177">
      <t>ガッカ</t>
    </rPh>
    <rPh sb="288" eb="290">
      <t>カイテイ</t>
    </rPh>
    <rPh sb="301" eb="302">
      <t>サイ</t>
    </rPh>
    <rPh sb="344" eb="346">
      <t>レイワ</t>
    </rPh>
    <rPh sb="347" eb="349">
      <t>ネンド</t>
    </rPh>
    <rPh sb="350" eb="352">
      <t>ゼンガク</t>
    </rPh>
    <rPh sb="353" eb="355">
      <t>リシュウ</t>
    </rPh>
    <rPh sb="355" eb="356">
      <t>リツ</t>
    </rPh>
    <rPh sb="361" eb="363">
      <t>タッセイ</t>
    </rPh>
    <rPh sb="365" eb="367">
      <t>ミコ</t>
    </rPh>
    <rPh sb="371" eb="374">
      <t>セッキョクテキ</t>
    </rPh>
    <rPh sb="375" eb="377">
      <t>リシュウ</t>
    </rPh>
    <rPh sb="377" eb="379">
      <t>シドウ</t>
    </rPh>
    <rPh sb="380" eb="382">
      <t>タイショウ</t>
    </rPh>
    <rPh sb="382" eb="384">
      <t>カモク</t>
    </rPh>
    <rPh sb="385" eb="388">
      <t>ヒッシュウカ</t>
    </rPh>
    <rPh sb="392" eb="394">
      <t>ソウキ</t>
    </rPh>
    <rPh sb="395" eb="397">
      <t>リシュウ</t>
    </rPh>
    <rPh sb="397" eb="398">
      <t>リツ</t>
    </rPh>
    <rPh sb="403" eb="405">
      <t>メザ</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</si>
  <si>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</si>
  <si>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</si>
  <si>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xml:space="preserve">現時点では教育プログラムを修了した卒業生は輩出していないが、卒業生の進路状況等の把握は、本学のキャリア関係を扱う部署（キャリアサポートセンター）が担っており、本プログラムについても当センターで追跡調査を行う予定である。具体的には、活躍状況や企業等の評価について、キャリアサポートセンターが毎年度実施している「就職先企業アンケート調査」を利用して、教育プログラム修了生の情報を収集し、分析、評価する予定である。
</t>
    <rPh sb="38" eb="39">
      <t>トウ</t>
    </rPh>
    <rPh sb="44" eb="46">
      <t>ホンガク</t>
    </rPh>
    <rPh sb="51" eb="53">
      <t>カンケイ</t>
    </rPh>
    <rPh sb="54" eb="55">
      <t>アツカ</t>
    </rPh>
    <rPh sb="56" eb="58">
      <t>ブショ</t>
    </rPh>
    <rPh sb="79" eb="80">
      <t>ホン</t>
    </rPh>
    <rPh sb="90" eb="91">
      <t>トウ</t>
    </rPh>
    <rPh sb="96" eb="98">
      <t>ツイセキ</t>
    </rPh>
    <rPh sb="98" eb="100">
      <t>チョウサ</t>
    </rPh>
    <rPh sb="101" eb="102">
      <t>オコナ</t>
    </rPh>
    <rPh sb="103" eb="105">
      <t>ヨテイ</t>
    </rPh>
    <rPh sb="109" eb="112">
      <t>グタイテキ</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</si>
  <si>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</si>
  <si>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本学の外部評価委員会等を利用し、産業界や教育界等から意見を得る予定である。</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</si>
  <si>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</si>
  <si>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学生が関心と知識をもっている各学科の専門教育と関連づけたデータサイエンスの事例紹介、データサイエンスの適応による将来性と想定されるメリットなどの解説を行っている。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</si>
  <si>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</si>
  <si>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xml:space="preserve">モデルカリキュラムリテラシーレベルの教授内容に準拠し、本学の専門性に合わせたビデオ教材を、本学独自に製作した。本ビデオ教材を、授業内で教材として活用する他、オンデマンドで視聴させることにより、教授内容と水準の維持を実現している。また、単に視聴させるだけでなく、科目担当教員による履修者に応じた補足説明、学生が関心と知識をもっている各学科の専門教育と関連づけた事例紹介、適応の将来性と想定されるメリットなどの解説を行っている。
</t>
    <phoneticPr fontId="1"/>
  </si>
  <si>
    <t>②自己点検・評価体制における意見等を公表しているアドレス</t>
    <phoneticPr fontId="1"/>
  </si>
  <si>
    <t>https://www.kyorin-u.ac.jp/univ/ds/mdash</t>
    <phoneticPr fontId="1"/>
  </si>
  <si>
    <t>様式６</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</si>
  <si>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</si>
  <si>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</si>
  <si>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（プラスには申請しないため空欄）</t>
    <rPh sb="6" eb="8">
      <t>シンセイ</t>
    </rPh>
    <rPh sb="13" eb="15">
      <t>クウラン</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</si>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</sst>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s>
  <cellStyleXfs count="3">
    <xf numFmtId="0" fontId="0" fillId="0" borderId="0">
      <alignment vertical="center"/>
    </xf>
    <xf numFmtId="38" fontId="4"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321">
    <xf numFmtId="0" fontId="0" fillId="0" borderId="0" xfId="0">
      <alignment vertical="center"/>
    </xf>
    <xf numFmtId="0" fontId="2" fillId="0" borderId="0" xfId="0" applyFont="1">
      <alignment vertical="center"/>
    </xf>
    <xf numFmtId="0" fontId="3" fillId="0" borderId="0" xfId="0" applyFont="1">
      <alignment vertical="center"/>
    </xf>
    <xf numFmtId="0" fontId="6" fillId="0" borderId="0" xfId="0" applyFont="1" applyBorder="1" applyAlignment="1">
      <alignment horizontal="center" vertical="center" shrinkToFit="1"/>
    </xf>
    <xf numFmtId="0" fontId="7" fillId="0" borderId="0" xfId="0" applyFont="1">
      <alignment vertical="center"/>
    </xf>
    <xf numFmtId="0" fontId="6" fillId="0" borderId="0" xfId="0" applyFont="1">
      <alignment vertical="center"/>
    </xf>
    <xf numFmtId="0" fontId="6" fillId="0" borderId="0" xfId="0" applyFont="1" applyAlignment="1">
      <alignment horizontal="left" vertical="center"/>
    </xf>
    <xf numFmtId="0" fontId="6" fillId="0" borderId="1" xfId="0" applyFont="1" applyBorder="1" applyAlignment="1">
      <alignment vertical="center" shrinkToFit="1"/>
    </xf>
    <xf numFmtId="0" fontId="6" fillId="0" borderId="0" xfId="0" applyFont="1" applyFill="1">
      <alignment vertical="center"/>
    </xf>
    <xf numFmtId="49" fontId="10" fillId="0" borderId="1" xfId="0" applyNumberFormat="1" applyFont="1" applyBorder="1" applyAlignment="1">
      <alignment horizontal="center" vertical="center"/>
    </xf>
    <xf numFmtId="0" fontId="6" fillId="0" borderId="14" xfId="0" applyFont="1" applyBorder="1" applyAlignment="1">
      <alignment vertical="center" shrinkToFit="1"/>
    </xf>
    <xf numFmtId="0" fontId="6" fillId="0" borderId="23" xfId="0" applyFont="1" applyBorder="1" applyAlignment="1">
      <alignment vertical="center" shrinkToFit="1"/>
    </xf>
    <xf numFmtId="0" fontId="6" fillId="0" borderId="43" xfId="0" applyFont="1" applyBorder="1" applyAlignment="1">
      <alignment vertical="center" shrinkToFit="1"/>
    </xf>
    <xf numFmtId="0" fontId="6" fillId="0" borderId="0" xfId="0" applyFont="1" applyAlignment="1">
      <alignment vertical="center" shrinkToFit="1"/>
    </xf>
    <xf numFmtId="0" fontId="7" fillId="0" borderId="2" xfId="0" applyFont="1" applyBorder="1">
      <alignment vertical="center"/>
    </xf>
    <xf numFmtId="0" fontId="7" fillId="0" borderId="4" xfId="0" applyFont="1" applyBorder="1">
      <alignment vertical="center"/>
    </xf>
    <xf numFmtId="49" fontId="10" fillId="0" borderId="47" xfId="0" applyNumberFormat="1" applyFont="1" applyBorder="1" applyAlignment="1">
      <alignment horizontal="center" vertical="center"/>
    </xf>
    <xf numFmtId="49" fontId="10" fillId="0" borderId="33" xfId="0" applyNumberFormat="1" applyFont="1" applyBorder="1" applyAlignment="1">
      <alignment horizontal="center" vertical="center"/>
    </xf>
    <xf numFmtId="49" fontId="10" fillId="0" borderId="50" xfId="0" applyNumberFormat="1" applyFont="1" applyBorder="1" applyAlignment="1">
      <alignment horizontal="center" vertical="center"/>
    </xf>
    <xf numFmtId="49" fontId="10" fillId="0" borderId="51" xfId="0" applyNumberFormat="1" applyFont="1" applyBorder="1" applyAlignment="1">
      <alignment horizontal="center" vertical="center"/>
    </xf>
    <xf numFmtId="0" fontId="6" fillId="0" borderId="2" xfId="0"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0" fontId="6" fillId="0" borderId="38" xfId="0" applyFont="1" applyBorder="1" applyAlignment="1">
      <alignment vertical="center"/>
    </xf>
    <xf numFmtId="0" fontId="6" fillId="0" borderId="18" xfId="0" applyFont="1" applyBorder="1" applyAlignment="1">
      <alignment vertical="center"/>
    </xf>
    <xf numFmtId="0" fontId="6" fillId="0" borderId="42" xfId="0" applyFont="1" applyBorder="1" applyAlignment="1">
      <alignment vertical="center"/>
    </xf>
    <xf numFmtId="49" fontId="10" fillId="0" borderId="52" xfId="0" applyNumberFormat="1" applyFont="1" applyBorder="1" applyAlignment="1">
      <alignment horizontal="center" vertical="center"/>
    </xf>
    <xf numFmtId="49" fontId="10" fillId="0" borderId="29" xfId="0" applyNumberFormat="1" applyFont="1" applyBorder="1" applyAlignment="1">
      <alignment horizontal="center" vertical="center"/>
    </xf>
    <xf numFmtId="0" fontId="13" fillId="0" borderId="4"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13" xfId="0" applyFont="1" applyBorder="1" applyAlignment="1">
      <alignment horizontal="center" vertical="center" shrinkToFit="1"/>
    </xf>
    <xf numFmtId="0" fontId="12" fillId="0" borderId="0" xfId="0" applyFont="1">
      <alignment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176" fontId="6" fillId="0" borderId="5" xfId="0" applyNumberFormat="1" applyFont="1" applyBorder="1" applyAlignment="1">
      <alignment vertical="center" shrinkToFit="1"/>
    </xf>
    <xf numFmtId="176" fontId="6" fillId="0" borderId="31" xfId="0" applyNumberFormat="1" applyFont="1" applyBorder="1" applyAlignment="1">
      <alignment vertical="center" shrinkToFit="1"/>
    </xf>
    <xf numFmtId="176" fontId="6" fillId="0" borderId="32" xfId="0" applyNumberFormat="1" applyFont="1" applyBorder="1" applyAlignment="1">
      <alignment vertical="center" shrinkToFit="1"/>
    </xf>
    <xf numFmtId="176" fontId="6" fillId="0" borderId="10" xfId="0" applyNumberFormat="1" applyFont="1" applyBorder="1" applyAlignment="1">
      <alignment vertical="center" shrinkToFit="1"/>
    </xf>
    <xf numFmtId="176" fontId="6" fillId="0" borderId="14" xfId="0" applyNumberFormat="1" applyFont="1" applyBorder="1" applyAlignment="1">
      <alignment vertical="center" shrinkToFit="1"/>
    </xf>
    <xf numFmtId="9" fontId="6" fillId="0" borderId="10" xfId="0" applyNumberFormat="1" applyFont="1" applyBorder="1" applyAlignment="1">
      <alignment vertical="center" shrinkToFit="1"/>
    </xf>
    <xf numFmtId="176" fontId="6" fillId="0" borderId="19" xfId="0" applyNumberFormat="1" applyFont="1" applyBorder="1" applyAlignment="1">
      <alignment vertical="center" shrinkToFit="1"/>
    </xf>
    <xf numFmtId="176" fontId="6" fillId="0" borderId="33" xfId="0" applyNumberFormat="1" applyFont="1" applyBorder="1" applyAlignment="1">
      <alignment vertical="center" shrinkToFit="1"/>
    </xf>
    <xf numFmtId="176" fontId="6" fillId="0" borderId="34" xfId="0" applyNumberFormat="1" applyFont="1" applyBorder="1" applyAlignment="1">
      <alignment vertical="center" shrinkToFit="1"/>
    </xf>
    <xf numFmtId="176" fontId="6" fillId="0" borderId="18" xfId="0" applyNumberFormat="1" applyFont="1" applyBorder="1" applyAlignment="1">
      <alignment vertical="center" shrinkToFit="1"/>
    </xf>
    <xf numFmtId="176" fontId="6" fillId="0" borderId="23" xfId="0" applyNumberFormat="1" applyFont="1" applyBorder="1" applyAlignment="1">
      <alignment vertical="center" shrinkToFit="1"/>
    </xf>
    <xf numFmtId="9" fontId="6" fillId="0" borderId="23" xfId="0" applyNumberFormat="1" applyFont="1" applyBorder="1" applyAlignment="1">
      <alignment vertical="center" shrinkToFit="1"/>
    </xf>
    <xf numFmtId="0" fontId="6" fillId="0" borderId="24" xfId="0" applyFont="1" applyBorder="1" applyAlignment="1">
      <alignment horizontal="left" vertical="center" shrinkToFit="1"/>
    </xf>
    <xf numFmtId="176" fontId="6" fillId="0" borderId="24" xfId="0" applyNumberFormat="1" applyFont="1" applyBorder="1" applyAlignment="1">
      <alignment vertical="center" shrinkToFit="1"/>
    </xf>
    <xf numFmtId="0" fontId="6" fillId="0" borderId="28" xfId="0" applyFont="1" applyBorder="1" applyAlignment="1">
      <alignment horizontal="center" vertical="center" shrinkToFit="1"/>
    </xf>
    <xf numFmtId="0" fontId="6" fillId="0" borderId="26" xfId="0" applyFont="1" applyBorder="1" applyAlignment="1">
      <alignment vertical="center" shrinkToFit="1"/>
    </xf>
    <xf numFmtId="0" fontId="6" fillId="0" borderId="25" xfId="0" applyFont="1" applyBorder="1" applyAlignment="1">
      <alignment vertical="center" shrinkToFit="1"/>
    </xf>
    <xf numFmtId="176" fontId="6" fillId="0" borderId="25" xfId="0" applyNumberFormat="1" applyFont="1" applyBorder="1" applyAlignment="1">
      <alignment vertical="center" shrinkToFit="1"/>
    </xf>
    <xf numFmtId="176" fontId="6" fillId="0" borderId="35" xfId="0" applyNumberFormat="1" applyFont="1" applyBorder="1" applyAlignment="1">
      <alignment vertical="center" shrinkToFit="1"/>
    </xf>
    <xf numFmtId="176" fontId="6" fillId="0" borderId="36" xfId="0" applyNumberFormat="1" applyFont="1" applyBorder="1" applyAlignment="1">
      <alignment vertical="center" shrinkToFit="1"/>
    </xf>
    <xf numFmtId="176" fontId="6" fillId="0" borderId="27" xfId="0" applyNumberFormat="1" applyFont="1" applyBorder="1" applyAlignment="1">
      <alignment vertical="center" shrinkToFit="1"/>
    </xf>
    <xf numFmtId="176" fontId="6" fillId="0" borderId="28" xfId="0" applyNumberFormat="1" applyFont="1" applyBorder="1" applyAlignment="1">
      <alignment vertical="center" shrinkToFit="1"/>
    </xf>
    <xf numFmtId="9" fontId="6" fillId="0" borderId="27" xfId="0" applyNumberFormat="1" applyFont="1" applyBorder="1" applyAlignment="1">
      <alignment vertical="center" shrinkToFit="1"/>
    </xf>
    <xf numFmtId="0" fontId="6" fillId="0" borderId="0" xfId="0" applyFont="1">
      <alignment vertical="center"/>
    </xf>
    <xf numFmtId="0" fontId="6" fillId="0" borderId="0" xfId="0" applyFont="1" applyAlignment="1">
      <alignment vertical="center"/>
    </xf>
    <xf numFmtId="0" fontId="6" fillId="0" borderId="5" xfId="0" applyFont="1" applyBorder="1">
      <alignment vertical="center"/>
    </xf>
    <xf numFmtId="0" fontId="6" fillId="0" borderId="0" xfId="0" applyFont="1" applyAlignment="1">
      <alignment horizontal="center" vertical="center"/>
    </xf>
    <xf numFmtId="0" fontId="6" fillId="0" borderId="0" xfId="0" applyFont="1" applyAlignment="1">
      <alignment vertical="top" wrapText="1"/>
    </xf>
    <xf numFmtId="0" fontId="6" fillId="0" borderId="7" xfId="0" applyFont="1" applyBorder="1" applyAlignment="1">
      <alignment horizontal="center" vertical="center" wrapText="1" shrinkToFit="1"/>
    </xf>
    <xf numFmtId="0" fontId="6" fillId="0" borderId="8" xfId="0" applyFont="1" applyBorder="1" applyAlignment="1">
      <alignment horizontal="center" vertical="center" wrapText="1" shrinkToFit="1"/>
    </xf>
    <xf numFmtId="0" fontId="6" fillId="0" borderId="9" xfId="0" applyFont="1" applyBorder="1" applyAlignment="1">
      <alignment horizontal="center" vertical="center" shrinkToFit="1"/>
    </xf>
    <xf numFmtId="0" fontId="6" fillId="0" borderId="44" xfId="0" applyFont="1" applyBorder="1" applyAlignment="1">
      <alignment horizontal="center" vertical="center" shrinkToFit="1"/>
    </xf>
    <xf numFmtId="0" fontId="6" fillId="0" borderId="45" xfId="0" applyFont="1" applyBorder="1" applyAlignment="1">
      <alignment horizontal="center" vertical="center" shrinkToFit="1"/>
    </xf>
    <xf numFmtId="0" fontId="6" fillId="0" borderId="46" xfId="0" applyFont="1" applyBorder="1" applyAlignment="1">
      <alignment horizontal="center" vertical="center" shrinkToFit="1"/>
    </xf>
    <xf numFmtId="0" fontId="6" fillId="0" borderId="14" xfId="0" applyFont="1" applyBorder="1" applyAlignment="1">
      <alignment horizontal="left" vertical="center" shrinkToFit="1"/>
    </xf>
    <xf numFmtId="0" fontId="6" fillId="0" borderId="23" xfId="0" applyFont="1" applyBorder="1" applyAlignment="1">
      <alignment horizontal="left" vertical="center" shrinkToFit="1"/>
    </xf>
    <xf numFmtId="0" fontId="10" fillId="0" borderId="0" xfId="0" applyFont="1">
      <alignment vertical="center"/>
    </xf>
    <xf numFmtId="9" fontId="6" fillId="0" borderId="8" xfId="0" applyNumberFormat="1" applyFont="1" applyBorder="1" applyAlignment="1">
      <alignment horizontal="center" vertical="center" wrapText="1" shrinkToFit="1"/>
    </xf>
    <xf numFmtId="9" fontId="6" fillId="0" borderId="8" xfId="0" applyNumberFormat="1" applyFont="1" applyBorder="1" applyAlignment="1">
      <alignment horizontal="center" vertical="center" shrinkToFit="1"/>
    </xf>
    <xf numFmtId="9" fontId="6" fillId="0" borderId="45" xfId="0" applyNumberFormat="1" applyFont="1" applyBorder="1" applyAlignment="1">
      <alignment horizontal="center" vertical="center" shrinkToFit="1"/>
    </xf>
    <xf numFmtId="176" fontId="6" fillId="0" borderId="45" xfId="0" applyNumberFormat="1" applyFont="1" applyBorder="1" applyAlignment="1">
      <alignment horizontal="center" vertical="center" shrinkToFit="1"/>
    </xf>
    <xf numFmtId="0" fontId="10" fillId="0" borderId="0" xfId="0" applyFont="1" applyAlignment="1">
      <alignment vertical="top" wrapText="1"/>
    </xf>
    <xf numFmtId="0" fontId="10" fillId="0" borderId="10" xfId="0" applyFont="1" applyBorder="1" applyAlignment="1">
      <alignment vertical="top" wrapText="1"/>
    </xf>
    <xf numFmtId="0" fontId="10" fillId="0" borderId="5" xfId="0" applyFont="1" applyBorder="1" applyAlignment="1">
      <alignment vertical="top" wrapText="1"/>
    </xf>
    <xf numFmtId="0" fontId="6" fillId="0" borderId="16" xfId="0" applyFont="1" applyBorder="1">
      <alignment vertical="center"/>
    </xf>
    <xf numFmtId="0" fontId="10" fillId="0" borderId="20" xfId="0" applyFont="1" applyBorder="1" applyAlignment="1">
      <alignment vertical="top" wrapText="1"/>
    </xf>
    <xf numFmtId="0" fontId="10" fillId="0" borderId="18" xfId="0" applyFont="1" applyBorder="1" applyAlignment="1">
      <alignment vertical="top" wrapText="1"/>
    </xf>
    <xf numFmtId="0" fontId="10" fillId="0" borderId="20" xfId="0" applyFont="1" applyBorder="1" applyAlignment="1">
      <alignment vertical="top" shrinkToFit="1"/>
    </xf>
    <xf numFmtId="0" fontId="10" fillId="0" borderId="18" xfId="0" applyFont="1" applyBorder="1" applyAlignment="1">
      <alignment vertical="top" shrinkToFit="1"/>
    </xf>
    <xf numFmtId="0" fontId="10" fillId="0" borderId="0" xfId="0" applyFont="1" applyAlignment="1">
      <alignment vertical="top" shrinkToFit="1"/>
    </xf>
    <xf numFmtId="0" fontId="10" fillId="0" borderId="0" xfId="0" applyFont="1" applyAlignment="1">
      <alignment vertical="center" wrapText="1"/>
    </xf>
    <xf numFmtId="0" fontId="6" fillId="0" borderId="53" xfId="0" applyFont="1" applyBorder="1" applyAlignment="1">
      <alignment horizontal="center" vertical="center" shrinkToFit="1"/>
    </xf>
    <xf numFmtId="0" fontId="6" fillId="0" borderId="53" xfId="0" applyFont="1" applyBorder="1" applyAlignment="1">
      <alignment vertical="center" shrinkToFit="1"/>
    </xf>
    <xf numFmtId="0" fontId="6" fillId="0" borderId="0" xfId="0" applyFont="1" applyFill="1" applyAlignment="1">
      <alignment vertical="center"/>
    </xf>
    <xf numFmtId="0" fontId="6" fillId="0" borderId="0" xfId="0" applyFont="1" applyFill="1" applyAlignment="1">
      <alignment horizontal="left" vertical="center"/>
    </xf>
    <xf numFmtId="0" fontId="6" fillId="0" borderId="0" xfId="0" applyFont="1" applyFill="1" applyBorder="1" applyAlignment="1">
      <alignment vertical="center"/>
    </xf>
    <xf numFmtId="0" fontId="6" fillId="0" borderId="1" xfId="0" applyFont="1" applyFill="1" applyBorder="1" applyAlignment="1">
      <alignment vertical="center" shrinkToFit="1"/>
    </xf>
    <xf numFmtId="0" fontId="6" fillId="0" borderId="5" xfId="0" applyFont="1" applyFill="1" applyBorder="1">
      <alignment vertical="center"/>
    </xf>
    <xf numFmtId="176" fontId="6" fillId="0" borderId="0" xfId="0" applyNumberFormat="1" applyFont="1" applyFill="1" applyBorder="1" applyAlignment="1">
      <alignment vertical="center" wrapText="1"/>
    </xf>
    <xf numFmtId="0" fontId="6" fillId="0" borderId="0" xfId="0" applyFont="1" applyFill="1" applyBorder="1">
      <alignment vertical="center"/>
    </xf>
    <xf numFmtId="176" fontId="6" fillId="0" borderId="5" xfId="0" applyNumberFormat="1" applyFont="1" applyFill="1" applyBorder="1" applyAlignment="1">
      <alignment vertical="center"/>
    </xf>
    <xf numFmtId="176" fontId="6" fillId="0" borderId="0" xfId="0" applyNumberFormat="1" applyFont="1" applyFill="1" applyBorder="1">
      <alignment vertical="center"/>
    </xf>
    <xf numFmtId="176" fontId="6" fillId="0" borderId="0" xfId="0" applyNumberFormat="1" applyFont="1" applyFill="1" applyAlignment="1">
      <alignment vertical="center" wrapText="1"/>
    </xf>
    <xf numFmtId="0" fontId="6" fillId="0" borderId="0" xfId="0" applyFont="1" applyFill="1" applyAlignment="1">
      <alignment horizontal="center" vertical="center"/>
    </xf>
    <xf numFmtId="176" fontId="6" fillId="0" borderId="3" xfId="0" applyNumberFormat="1" applyFont="1" applyFill="1" applyBorder="1" applyAlignment="1">
      <alignment vertical="center" shrinkToFit="1"/>
    </xf>
    <xf numFmtId="176" fontId="6" fillId="0" borderId="0" xfId="0" applyNumberFormat="1" applyFont="1" applyFill="1" applyAlignment="1">
      <alignment horizontal="left" vertical="center" wrapText="1"/>
    </xf>
    <xf numFmtId="0" fontId="6" fillId="0" borderId="6" xfId="0" applyFont="1" applyFill="1" applyBorder="1" applyAlignment="1">
      <alignment vertical="center" shrinkToFit="1"/>
    </xf>
    <xf numFmtId="0" fontId="6" fillId="0" borderId="0" xfId="0" applyFont="1" applyFill="1" applyBorder="1" applyAlignment="1">
      <alignment horizontal="center" vertical="center" shrinkToFit="1"/>
    </xf>
    <xf numFmtId="0" fontId="6" fillId="0" borderId="10" xfId="0" applyFont="1" applyFill="1" applyBorder="1" applyAlignment="1">
      <alignment vertical="center" shrinkToFit="1"/>
    </xf>
    <xf numFmtId="0" fontId="6" fillId="0" borderId="2" xfId="0" applyFont="1" applyFill="1" applyBorder="1">
      <alignment vertical="center"/>
    </xf>
    <xf numFmtId="0" fontId="6" fillId="0" borderId="4" xfId="0" applyFont="1" applyFill="1" applyBorder="1">
      <alignment vertical="center"/>
    </xf>
    <xf numFmtId="0" fontId="6" fillId="0" borderId="1" xfId="0" applyFont="1" applyFill="1" applyBorder="1">
      <alignment vertical="center"/>
    </xf>
    <xf numFmtId="0" fontId="6" fillId="0" borderId="5" xfId="0" applyFont="1" applyFill="1" applyBorder="1" applyAlignment="1">
      <alignment vertical="center" shrinkToFit="1"/>
    </xf>
    <xf numFmtId="0" fontId="6" fillId="0" borderId="20" xfId="0" applyFont="1" applyFill="1" applyBorder="1" applyAlignment="1">
      <alignment vertical="center" shrinkToFit="1"/>
    </xf>
    <xf numFmtId="0" fontId="6" fillId="0" borderId="19" xfId="0" applyFont="1" applyFill="1" applyBorder="1" applyAlignment="1">
      <alignment vertical="center" shrinkToFit="1"/>
    </xf>
    <xf numFmtId="0" fontId="6" fillId="0" borderId="0" xfId="0" applyFont="1" applyFill="1" applyBorder="1" applyAlignment="1">
      <alignment horizontal="center" vertical="center"/>
    </xf>
    <xf numFmtId="0" fontId="6" fillId="0" borderId="0" xfId="0" applyFont="1" applyFill="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19" xfId="0" applyFont="1" applyBorder="1" applyAlignment="1">
      <alignment vertical="center" shrinkToFit="1"/>
    </xf>
    <xf numFmtId="0" fontId="6" fillId="0" borderId="0" xfId="0" applyFont="1" applyAlignment="1">
      <alignment vertical="center" wrapText="1"/>
    </xf>
    <xf numFmtId="0" fontId="9" fillId="0" borderId="0" xfId="0" applyFont="1" applyAlignment="1">
      <alignment horizontal="center" vertical="center"/>
    </xf>
    <xf numFmtId="0" fontId="6" fillId="0" borderId="5" xfId="0" applyFont="1" applyBorder="1" applyAlignment="1">
      <alignment vertical="center" shrinkToFit="1"/>
    </xf>
    <xf numFmtId="0" fontId="6" fillId="0" borderId="0" xfId="0" applyFont="1" applyBorder="1" applyAlignment="1">
      <alignment vertical="center" shrinkToFit="1"/>
    </xf>
    <xf numFmtId="0" fontId="6" fillId="0" borderId="10" xfId="0" applyFont="1" applyBorder="1" applyAlignment="1">
      <alignment vertical="center" shrinkToFit="1"/>
    </xf>
    <xf numFmtId="0" fontId="6" fillId="0" borderId="0" xfId="0" applyFont="1" applyAlignment="1">
      <alignment horizontal="right" vertical="center"/>
    </xf>
    <xf numFmtId="0" fontId="3" fillId="0" borderId="0" xfId="0" applyFont="1" applyAlignment="1">
      <alignment horizontal="center" vertical="center"/>
    </xf>
    <xf numFmtId="0" fontId="6" fillId="0" borderId="2" xfId="0" applyFont="1" applyFill="1" applyBorder="1" applyAlignment="1">
      <alignment horizontal="center" vertical="center"/>
    </xf>
    <xf numFmtId="0" fontId="6" fillId="0" borderId="3" xfId="0" applyFont="1" applyFill="1" applyBorder="1" applyAlignment="1">
      <alignment horizontal="center" vertical="center"/>
    </xf>
    <xf numFmtId="0" fontId="6" fillId="0" borderId="4" xfId="0" applyFont="1" applyFill="1" applyBorder="1" applyAlignment="1">
      <alignment horizontal="center" vertical="center"/>
    </xf>
    <xf numFmtId="3" fontId="6" fillId="0" borderId="2" xfId="0" applyNumberFormat="1" applyFont="1" applyFill="1" applyBorder="1" applyAlignment="1">
      <alignment horizontal="center" vertical="center"/>
    </xf>
    <xf numFmtId="0" fontId="6" fillId="0" borderId="0" xfId="0" applyFont="1" applyFill="1" applyBorder="1" applyAlignment="1">
      <alignment horizontal="center" vertical="center"/>
    </xf>
    <xf numFmtId="0" fontId="6" fillId="0" borderId="0" xfId="0" applyFont="1" applyFill="1" applyBorder="1" applyAlignment="1">
      <alignment horizontal="right" vertical="center" shrinkToFit="1"/>
    </xf>
    <xf numFmtId="0" fontId="6" fillId="0" borderId="2" xfId="0" applyFont="1" applyFill="1" applyBorder="1" applyAlignment="1">
      <alignment horizontal="center" vertical="center" shrinkToFit="1"/>
    </xf>
    <xf numFmtId="0" fontId="6" fillId="0" borderId="3" xfId="0" applyFont="1" applyFill="1" applyBorder="1" applyAlignment="1">
      <alignment horizontal="center" vertical="center" shrinkToFit="1"/>
    </xf>
    <xf numFmtId="0" fontId="6" fillId="0" borderId="5" xfId="0" applyFont="1" applyFill="1" applyBorder="1" applyAlignment="1">
      <alignment horizontal="right" vertical="center" shrinkToFit="1"/>
    </xf>
    <xf numFmtId="0" fontId="6" fillId="0" borderId="10" xfId="0" applyFont="1" applyFill="1" applyBorder="1" applyAlignment="1">
      <alignment horizontal="right" vertical="center" shrinkToFit="1"/>
    </xf>
    <xf numFmtId="176" fontId="6" fillId="0" borderId="2" xfId="0" applyNumberFormat="1" applyFont="1" applyFill="1" applyBorder="1" applyAlignment="1">
      <alignment horizontal="center" vertical="center" shrinkToFit="1"/>
    </xf>
    <xf numFmtId="176" fontId="6" fillId="0" borderId="4" xfId="0" applyNumberFormat="1" applyFont="1" applyFill="1" applyBorder="1" applyAlignment="1">
      <alignment horizontal="center" vertical="center" shrinkToFit="1"/>
    </xf>
    <xf numFmtId="0" fontId="6" fillId="0" borderId="0" xfId="0" applyFont="1" applyFill="1" applyBorder="1" applyAlignment="1">
      <alignment vertical="center" shrinkToFit="1"/>
    </xf>
    <xf numFmtId="0" fontId="6" fillId="0" borderId="4" xfId="0" applyFont="1" applyFill="1" applyBorder="1" applyAlignment="1">
      <alignment horizontal="center" vertical="center" shrinkToFit="1"/>
    </xf>
    <xf numFmtId="0" fontId="6" fillId="0" borderId="0" xfId="0" applyFont="1" applyFill="1" applyAlignment="1">
      <alignment horizontal="right" vertical="center"/>
    </xf>
    <xf numFmtId="0" fontId="6" fillId="0" borderId="0" xfId="0" applyFont="1" applyFill="1" applyBorder="1" applyAlignment="1">
      <alignment horizontal="right" vertical="center"/>
    </xf>
    <xf numFmtId="0" fontId="6" fillId="0" borderId="10" xfId="0" applyFont="1" applyFill="1" applyBorder="1" applyAlignment="1">
      <alignment horizontal="right" vertical="center"/>
    </xf>
    <xf numFmtId="176" fontId="6" fillId="0" borderId="3" xfId="0" applyNumberFormat="1" applyFont="1" applyFill="1" applyBorder="1" applyAlignment="1">
      <alignment horizontal="center" vertical="center" shrinkToFit="1"/>
    </xf>
    <xf numFmtId="0" fontId="8" fillId="0" borderId="0" xfId="0" applyFont="1" applyFill="1" applyAlignment="1">
      <alignment horizontal="center" vertical="center"/>
    </xf>
    <xf numFmtId="0" fontId="6" fillId="0" borderId="2" xfId="0" applyNumberFormat="1" applyFont="1" applyFill="1" applyBorder="1" applyAlignment="1">
      <alignment horizontal="center" vertical="center"/>
    </xf>
    <xf numFmtId="0" fontId="6" fillId="0" borderId="4" xfId="0" applyNumberFormat="1" applyFont="1" applyFill="1" applyBorder="1" applyAlignment="1">
      <alignment horizontal="center" vertical="center"/>
    </xf>
    <xf numFmtId="49" fontId="5" fillId="0" borderId="2" xfId="2" applyNumberFormat="1" applyFill="1" applyBorder="1" applyAlignment="1">
      <alignment vertical="center" shrinkToFit="1"/>
    </xf>
    <xf numFmtId="49" fontId="6" fillId="0" borderId="3" xfId="0" applyNumberFormat="1" applyFont="1" applyFill="1" applyBorder="1" applyAlignment="1">
      <alignment vertical="center" shrinkToFit="1"/>
    </xf>
    <xf numFmtId="49" fontId="6" fillId="0" borderId="4" xfId="0" applyNumberFormat="1" applyFont="1" applyFill="1" applyBorder="1" applyAlignment="1">
      <alignment vertical="center" shrinkToFit="1"/>
    </xf>
    <xf numFmtId="49" fontId="6" fillId="0" borderId="2" xfId="1" applyNumberFormat="1" applyFont="1" applyFill="1" applyBorder="1" applyAlignment="1">
      <alignment horizontal="center" vertical="center" shrinkToFit="1"/>
    </xf>
    <xf numFmtId="49" fontId="6" fillId="0" borderId="3" xfId="1" applyNumberFormat="1" applyFont="1" applyFill="1" applyBorder="1" applyAlignment="1">
      <alignment horizontal="center" vertical="center" shrinkToFit="1"/>
    </xf>
    <xf numFmtId="49" fontId="6" fillId="0" borderId="4" xfId="1" applyNumberFormat="1" applyFont="1" applyFill="1" applyBorder="1" applyAlignment="1">
      <alignment horizontal="center" vertical="center" shrinkToFit="1"/>
    </xf>
    <xf numFmtId="0" fontId="6" fillId="0" borderId="2" xfId="0" applyFont="1" applyFill="1" applyBorder="1" applyAlignment="1">
      <alignment vertical="center" shrinkToFit="1"/>
    </xf>
    <xf numFmtId="0" fontId="6" fillId="0" borderId="3" xfId="0" applyFont="1" applyFill="1" applyBorder="1" applyAlignment="1">
      <alignment vertical="center" shrinkToFit="1"/>
    </xf>
    <xf numFmtId="0" fontId="6" fillId="0" borderId="37" xfId="0" applyFont="1" applyBorder="1" applyAlignment="1">
      <alignment vertical="center" shrinkToFit="1"/>
    </xf>
    <xf numFmtId="0" fontId="6" fillId="0" borderId="39" xfId="0" applyFont="1" applyBorder="1" applyAlignment="1">
      <alignment vertical="center" shrinkToFit="1"/>
    </xf>
    <xf numFmtId="0" fontId="6" fillId="0" borderId="38" xfId="0" applyFont="1" applyBorder="1" applyAlignment="1">
      <alignment vertical="center" shrinkToFit="1"/>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40" xfId="0" applyFont="1" applyBorder="1" applyAlignment="1">
      <alignment vertical="center" shrinkToFit="1"/>
    </xf>
    <xf numFmtId="0" fontId="6" fillId="0" borderId="41" xfId="0" applyFont="1" applyBorder="1" applyAlignment="1">
      <alignment vertical="center" shrinkToFit="1"/>
    </xf>
    <xf numFmtId="0" fontId="6" fillId="0" borderId="42" xfId="0" applyFont="1" applyBorder="1" applyAlignment="1">
      <alignment vertical="center" shrinkToFit="1"/>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18" xfId="0" applyFont="1" applyBorder="1" applyAlignment="1">
      <alignment horizontal="center" vertical="center"/>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19" xfId="0" applyFont="1" applyBorder="1" applyAlignment="1">
      <alignment horizontal="left" vertical="center" shrinkToFit="1"/>
    </xf>
    <xf numFmtId="0" fontId="6" fillId="0" borderId="20" xfId="0" applyFont="1" applyBorder="1" applyAlignment="1">
      <alignment horizontal="left" vertical="center" shrinkToFit="1"/>
    </xf>
    <xf numFmtId="0" fontId="6" fillId="0" borderId="18" xfId="0" applyFont="1" applyBorder="1" applyAlignment="1">
      <alignment horizontal="left" vertical="center" shrinkToFit="1"/>
    </xf>
    <xf numFmtId="0" fontId="6" fillId="0" borderId="40" xfId="0" applyFont="1" applyBorder="1" applyAlignment="1">
      <alignment horizontal="left" vertical="center" shrinkToFit="1"/>
    </xf>
    <xf numFmtId="0" fontId="6" fillId="0" borderId="41" xfId="0" applyFont="1" applyBorder="1" applyAlignment="1">
      <alignment horizontal="left" vertical="center" shrinkToFit="1"/>
    </xf>
    <xf numFmtId="0" fontId="6" fillId="0" borderId="42" xfId="0" applyFont="1" applyBorder="1" applyAlignment="1">
      <alignment horizontal="left" vertical="center" shrinkToFit="1"/>
    </xf>
    <xf numFmtId="0" fontId="7" fillId="0" borderId="0" xfId="0" applyFont="1" applyAlignment="1">
      <alignment horizontal="center" vertical="center"/>
    </xf>
    <xf numFmtId="0" fontId="6" fillId="0" borderId="37" xfId="0" applyFont="1" applyBorder="1" applyAlignment="1">
      <alignment horizontal="left" vertical="center" shrinkToFit="1"/>
    </xf>
    <xf numFmtId="0" fontId="6" fillId="0" borderId="39" xfId="0" applyFont="1" applyBorder="1" applyAlignment="1">
      <alignment horizontal="left" vertical="center" shrinkToFit="1"/>
    </xf>
    <xf numFmtId="0" fontId="6" fillId="0" borderId="38" xfId="0" applyFont="1" applyBorder="1" applyAlignment="1">
      <alignment horizontal="left" vertical="center" shrinkToFi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37" xfId="0" applyFont="1" applyBorder="1" applyAlignment="1">
      <alignment horizontal="center" vertical="center"/>
    </xf>
    <xf numFmtId="0" fontId="6" fillId="0" borderId="39" xfId="0" applyFont="1" applyBorder="1" applyAlignment="1">
      <alignment horizontal="center" vertical="center"/>
    </xf>
    <xf numFmtId="0" fontId="6" fillId="0" borderId="38" xfId="0" applyFont="1" applyBorder="1" applyAlignment="1">
      <alignment horizontal="center" vertical="center"/>
    </xf>
    <xf numFmtId="0" fontId="6" fillId="0" borderId="7" xfId="0" applyFont="1" applyBorder="1" applyAlignment="1">
      <alignment vertical="center" shrinkToFit="1"/>
    </xf>
    <xf numFmtId="0" fontId="6" fillId="0" borderId="8" xfId="0" applyFont="1" applyBorder="1" applyAlignment="1">
      <alignment vertical="center" shrinkToFit="1"/>
    </xf>
    <xf numFmtId="0" fontId="6" fillId="0" borderId="9" xfId="0" applyFont="1" applyBorder="1" applyAlignment="1">
      <alignment vertical="center" shrinkToFit="1"/>
    </xf>
    <xf numFmtId="0" fontId="6" fillId="0" borderId="5" xfId="0" applyFont="1" applyBorder="1" applyAlignment="1">
      <alignment vertical="center" shrinkToFit="1"/>
    </xf>
    <xf numFmtId="0" fontId="6" fillId="0" borderId="0" xfId="0" applyFont="1" applyBorder="1" applyAlignment="1">
      <alignment vertical="center" shrinkToFit="1"/>
    </xf>
    <xf numFmtId="0" fontId="6" fillId="0" borderId="10" xfId="0" applyFont="1" applyBorder="1" applyAlignment="1">
      <alignment vertical="center" shrinkToFit="1"/>
    </xf>
    <xf numFmtId="0" fontId="6" fillId="0" borderId="11" xfId="0" applyFont="1" applyBorder="1" applyAlignment="1">
      <alignment vertical="center" shrinkToFit="1"/>
    </xf>
    <xf numFmtId="0" fontId="6" fillId="0" borderId="6" xfId="0" applyFont="1" applyBorder="1" applyAlignment="1">
      <alignment vertical="center" shrinkToFit="1"/>
    </xf>
    <xf numFmtId="0" fontId="6" fillId="0" borderId="12" xfId="0" applyFont="1" applyBorder="1" applyAlignment="1">
      <alignment vertical="center" shrinkToFit="1"/>
    </xf>
    <xf numFmtId="0" fontId="5" fillId="0" borderId="2" xfId="2" applyBorder="1" applyAlignment="1">
      <alignment vertical="center" shrinkToFit="1"/>
    </xf>
    <xf numFmtId="0" fontId="6" fillId="0" borderId="3" xfId="0" applyFont="1" applyBorder="1" applyAlignment="1">
      <alignment vertical="center" shrinkToFit="1"/>
    </xf>
    <xf numFmtId="0" fontId="6" fillId="0" borderId="4" xfId="0" applyFont="1" applyBorder="1" applyAlignment="1">
      <alignment vertical="center" shrinkToFit="1"/>
    </xf>
    <xf numFmtId="0" fontId="6" fillId="0" borderId="40" xfId="0" applyFont="1" applyBorder="1" applyAlignment="1">
      <alignment horizontal="center" vertical="center" shrinkToFit="1"/>
    </xf>
    <xf numFmtId="0" fontId="6" fillId="0" borderId="41" xfId="0" applyFont="1" applyBorder="1" applyAlignment="1">
      <alignment horizontal="center" vertical="center" shrinkToFit="1"/>
    </xf>
    <xf numFmtId="0" fontId="6" fillId="0" borderId="42"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8" xfId="0" applyFont="1" applyBorder="1" applyAlignment="1">
      <alignment horizontal="center" vertical="center" shrinkToFit="1"/>
    </xf>
    <xf numFmtId="0" fontId="6" fillId="0" borderId="22" xfId="0" applyFont="1" applyBorder="1" applyAlignment="1">
      <alignment horizontal="left" vertical="center" wrapText="1" shrinkToFit="1"/>
    </xf>
    <xf numFmtId="0" fontId="6" fillId="0" borderId="22" xfId="0" applyFont="1" applyBorder="1" applyAlignment="1">
      <alignment horizontal="left" vertical="center" shrinkToFit="1"/>
    </xf>
    <xf numFmtId="0" fontId="6" fillId="0" borderId="21" xfId="0" applyFont="1" applyBorder="1" applyAlignment="1">
      <alignment horizontal="left" vertical="center" shrinkToFit="1"/>
    </xf>
    <xf numFmtId="0" fontId="6" fillId="0" borderId="39" xfId="0" applyFont="1" applyBorder="1" applyAlignment="1">
      <alignment horizontal="left" vertical="center" wrapText="1" shrinkToFit="1"/>
    </xf>
    <xf numFmtId="0" fontId="6" fillId="0" borderId="6" xfId="0" applyFont="1" applyBorder="1" applyAlignment="1">
      <alignment horizontal="left" vertical="center" wrapText="1" shrinkToFit="1"/>
    </xf>
    <xf numFmtId="0" fontId="6" fillId="0" borderId="6" xfId="0" applyFont="1" applyBorder="1" applyAlignment="1">
      <alignment horizontal="left" vertical="center" shrinkToFit="1"/>
    </xf>
    <xf numFmtId="0" fontId="6" fillId="0" borderId="12" xfId="0" applyFont="1" applyBorder="1" applyAlignment="1">
      <alignment horizontal="left" vertical="center" shrinkToFit="1"/>
    </xf>
    <xf numFmtId="0" fontId="6" fillId="0" borderId="41" xfId="0" applyFont="1" applyBorder="1" applyAlignment="1">
      <alignment horizontal="left" vertical="center" wrapText="1" shrinkToFit="1"/>
    </xf>
    <xf numFmtId="0" fontId="6" fillId="0" borderId="0" xfId="0" applyFont="1" applyAlignment="1">
      <alignment vertical="center" wrapText="1"/>
    </xf>
    <xf numFmtId="0" fontId="9" fillId="0" borderId="0" xfId="0" applyFont="1" applyAlignment="1">
      <alignment horizontal="center" vertical="center"/>
    </xf>
    <xf numFmtId="0" fontId="12" fillId="0" borderId="7" xfId="0" applyFont="1" applyBorder="1" applyAlignment="1">
      <alignment horizontal="left" vertical="top" wrapText="1" shrinkToFit="1"/>
    </xf>
    <xf numFmtId="0" fontId="6" fillId="0" borderId="8" xfId="0" applyFont="1" applyBorder="1" applyAlignment="1">
      <alignment horizontal="left" vertical="top" wrapText="1" shrinkToFit="1"/>
    </xf>
    <xf numFmtId="0" fontId="6" fillId="0" borderId="9" xfId="0" applyFont="1" applyBorder="1" applyAlignment="1">
      <alignment horizontal="left" vertical="top" wrapText="1" shrinkToFit="1"/>
    </xf>
    <xf numFmtId="0" fontId="6" fillId="0" borderId="5" xfId="0" applyFont="1" applyBorder="1" applyAlignment="1">
      <alignment horizontal="left" vertical="top" wrapText="1" shrinkToFit="1"/>
    </xf>
    <xf numFmtId="0" fontId="6" fillId="0" borderId="0" xfId="0" applyFont="1" applyBorder="1" applyAlignment="1">
      <alignment horizontal="left" vertical="top" wrapText="1" shrinkToFit="1"/>
    </xf>
    <xf numFmtId="0" fontId="6" fillId="0" borderId="10" xfId="0" applyFont="1" applyBorder="1" applyAlignment="1">
      <alignment horizontal="left" vertical="top" wrapText="1" shrinkToFit="1"/>
    </xf>
    <xf numFmtId="0" fontId="6" fillId="0" borderId="0" xfId="0" applyFont="1" applyAlignment="1">
      <alignment horizontal="left" vertical="top" wrapText="1" shrinkToFit="1"/>
    </xf>
    <xf numFmtId="0" fontId="6" fillId="0" borderId="11" xfId="0" applyFont="1" applyBorder="1" applyAlignment="1">
      <alignment horizontal="left" vertical="top" wrapText="1" shrinkToFit="1"/>
    </xf>
    <xf numFmtId="0" fontId="6" fillId="0" borderId="6" xfId="0" applyFont="1" applyBorder="1" applyAlignment="1">
      <alignment horizontal="left" vertical="top" wrapText="1" shrinkToFit="1"/>
    </xf>
    <xf numFmtId="0" fontId="6" fillId="0" borderId="12" xfId="0" applyFont="1" applyBorder="1" applyAlignment="1">
      <alignment horizontal="left" vertical="top" wrapText="1" shrinkToFit="1"/>
    </xf>
    <xf numFmtId="0" fontId="6" fillId="0" borderId="37" xfId="0" applyFont="1" applyBorder="1" applyAlignment="1">
      <alignment horizontal="center" vertical="center" shrinkToFit="1"/>
    </xf>
    <xf numFmtId="0" fontId="6" fillId="0" borderId="39" xfId="0" applyFont="1" applyBorder="1" applyAlignment="1">
      <alignment horizontal="center" vertical="center" shrinkToFit="1"/>
    </xf>
    <xf numFmtId="0" fontId="6" fillId="0" borderId="38" xfId="0" applyFont="1" applyBorder="1" applyAlignment="1">
      <alignment horizontal="center" vertical="center" shrinkToFit="1"/>
    </xf>
    <xf numFmtId="0" fontId="6" fillId="0" borderId="19" xfId="0" applyFont="1" applyBorder="1" applyAlignment="1">
      <alignment vertical="center" wrapText="1" shrinkToFit="1"/>
    </xf>
    <xf numFmtId="0" fontId="12" fillId="0" borderId="48" xfId="0" applyFont="1" applyBorder="1" applyAlignment="1">
      <alignment vertical="center" wrapText="1"/>
    </xf>
    <xf numFmtId="0" fontId="12" fillId="0" borderId="49" xfId="0" applyFont="1" applyBorder="1" applyAlignment="1">
      <alignment vertical="center" wrapText="1"/>
    </xf>
    <xf numFmtId="0" fontId="11" fillId="0" borderId="48" xfId="0" applyFont="1" applyBorder="1" applyAlignment="1">
      <alignment vertical="center" wrapText="1"/>
    </xf>
    <xf numFmtId="0" fontId="11" fillId="0" borderId="32" xfId="0" applyFont="1" applyBorder="1" applyAlignment="1">
      <alignment vertical="center" wrapText="1"/>
    </xf>
    <xf numFmtId="0" fontId="6" fillId="0" borderId="39" xfId="0" applyFont="1" applyBorder="1" applyAlignment="1">
      <alignment vertical="center" wrapText="1" shrinkToFit="1"/>
    </xf>
    <xf numFmtId="0" fontId="6" fillId="0" borderId="6" xfId="0" applyFont="1" applyBorder="1" applyAlignment="1">
      <alignment vertical="center" wrapText="1" shrinkToFit="1"/>
    </xf>
    <xf numFmtId="0" fontId="12" fillId="0" borderId="32" xfId="0" applyFont="1" applyBorder="1" applyAlignment="1">
      <alignment vertical="center" wrapText="1"/>
    </xf>
    <xf numFmtId="0" fontId="6" fillId="0" borderId="8" xfId="0" applyFont="1" applyBorder="1" applyAlignment="1">
      <alignment horizontal="left" vertical="center" wrapText="1" shrinkToFit="1"/>
    </xf>
    <xf numFmtId="0" fontId="6" fillId="0" borderId="8" xfId="0" applyFont="1" applyBorder="1" applyAlignment="1">
      <alignment horizontal="left" vertical="center" shrinkToFit="1"/>
    </xf>
    <xf numFmtId="0" fontId="6" fillId="0" borderId="9" xfId="0" applyFont="1" applyBorder="1" applyAlignment="1">
      <alignment horizontal="left" vertical="center" shrinkToFit="1"/>
    </xf>
    <xf numFmtId="0" fontId="6" fillId="0" borderId="20" xfId="0" applyFont="1" applyBorder="1" applyAlignment="1">
      <alignment horizontal="left" vertical="center" wrapText="1" shrinkToFit="1"/>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44" xfId="0" applyFont="1" applyBorder="1" applyAlignment="1">
      <alignment vertical="center" shrinkToFit="1"/>
    </xf>
    <xf numFmtId="0" fontId="6" fillId="0" borderId="45" xfId="0" applyFont="1" applyBorder="1" applyAlignment="1">
      <alignment vertical="center" shrinkToFit="1"/>
    </xf>
    <xf numFmtId="0" fontId="6" fillId="0" borderId="46" xfId="0" applyFont="1" applyBorder="1" applyAlignment="1">
      <alignment vertical="center" shrinkToFit="1"/>
    </xf>
    <xf numFmtId="0" fontId="6" fillId="0" borderId="44" xfId="0" applyFont="1" applyBorder="1" applyAlignment="1">
      <alignment horizontal="center" vertical="center"/>
    </xf>
    <xf numFmtId="0" fontId="6" fillId="0" borderId="45" xfId="0" applyFont="1" applyBorder="1" applyAlignment="1">
      <alignment horizontal="center" vertical="center"/>
    </xf>
    <xf numFmtId="0" fontId="6" fillId="0" borderId="46" xfId="0" applyFont="1" applyBorder="1" applyAlignment="1">
      <alignment horizontal="center" vertical="center"/>
    </xf>
    <xf numFmtId="0" fontId="6" fillId="0" borderId="0" xfId="0" applyFont="1" applyAlignment="1">
      <alignment horizontal="right" vertical="center"/>
    </xf>
    <xf numFmtId="0" fontId="6" fillId="0" borderId="2" xfId="0" applyNumberFormat="1" applyFont="1" applyBorder="1" applyAlignment="1">
      <alignment horizontal="center" vertical="center" shrinkToFit="1"/>
    </xf>
    <xf numFmtId="0" fontId="6" fillId="0" borderId="4" xfId="0" applyNumberFormat="1" applyFont="1" applyBorder="1" applyAlignment="1">
      <alignment horizontal="center" vertical="center" shrinkToFit="1"/>
    </xf>
    <xf numFmtId="0" fontId="6" fillId="0" borderId="15" xfId="0" applyFont="1" applyBorder="1" applyAlignment="1">
      <alignment horizontal="center" vertical="center"/>
    </xf>
    <xf numFmtId="0" fontId="6"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6" fillId="0" borderId="14"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8" xfId="0" applyFont="1" applyBorder="1" applyAlignment="1">
      <alignment vertical="top" shrinkToFit="1"/>
    </xf>
    <xf numFmtId="0" fontId="6" fillId="0" borderId="9" xfId="0" applyFont="1" applyBorder="1" applyAlignment="1">
      <alignment vertical="top" shrinkToFit="1"/>
    </xf>
    <xf numFmtId="0" fontId="6" fillId="0" borderId="5" xfId="0" applyFont="1" applyBorder="1" applyAlignment="1">
      <alignment vertical="top" shrinkToFit="1"/>
    </xf>
    <xf numFmtId="0" fontId="6" fillId="0" borderId="0" xfId="0" applyFont="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6" fillId="0" borderId="6" xfId="0" applyFont="1" applyBorder="1" applyAlignment="1">
      <alignment vertical="center"/>
    </xf>
    <xf numFmtId="0" fontId="6" fillId="0" borderId="16" xfId="0" applyFont="1" applyBorder="1" applyAlignment="1">
      <alignment vertical="top" wrapText="1" shrinkToFit="1"/>
    </xf>
    <xf numFmtId="0" fontId="6" fillId="0" borderId="22" xfId="0" applyFont="1" applyBorder="1" applyAlignment="1">
      <alignment vertical="top" wrapText="1" shrinkToFit="1"/>
    </xf>
    <xf numFmtId="0" fontId="6" fillId="0" borderId="21" xfId="0" applyFont="1" applyBorder="1" applyAlignment="1">
      <alignment vertical="top" wrapText="1" shrinkToFit="1"/>
    </xf>
    <xf numFmtId="0" fontId="6" fillId="0" borderId="2" xfId="0" applyFont="1" applyBorder="1" applyAlignment="1">
      <alignment vertical="center" shrinkToFit="1"/>
    </xf>
    <xf numFmtId="0" fontId="6" fillId="0" borderId="11" xfId="0" applyFont="1" applyBorder="1" applyAlignment="1">
      <alignment vertical="center" wrapText="1"/>
    </xf>
    <xf numFmtId="0" fontId="6" fillId="0" borderId="6" xfId="0" applyFont="1" applyBorder="1" applyAlignment="1">
      <alignment vertical="center" wrapText="1"/>
    </xf>
    <xf numFmtId="0" fontId="6" fillId="0" borderId="12" xfId="0" applyFont="1" applyBorder="1" applyAlignment="1">
      <alignment vertical="center" wrapText="1"/>
    </xf>
    <xf numFmtId="0" fontId="5" fillId="0" borderId="2" xfId="2" applyBorder="1" applyAlignment="1">
      <alignment horizontal="center" vertical="center" shrinkToFit="1"/>
    </xf>
    <xf numFmtId="0" fontId="14" fillId="0" borderId="3" xfId="2" applyFont="1" applyBorder="1" applyAlignment="1">
      <alignment horizontal="center" vertical="center" shrinkToFit="1"/>
    </xf>
    <xf numFmtId="0" fontId="14" fillId="0" borderId="4" xfId="2" applyFont="1" applyBorder="1" applyAlignment="1">
      <alignment horizontal="center" vertical="center" shrinkToFit="1"/>
    </xf>
    <xf numFmtId="0" fontId="6" fillId="0" borderId="17" xfId="0" applyFont="1" applyBorder="1" applyAlignment="1">
      <alignment vertical="center" wrapText="1"/>
    </xf>
    <xf numFmtId="0" fontId="6" fillId="0" borderId="18" xfId="0" applyFont="1" applyBorder="1" applyAlignment="1">
      <alignment vertical="center" wrapText="1"/>
    </xf>
    <xf numFmtId="0" fontId="6" fillId="0" borderId="20" xfId="0" applyFont="1" applyBorder="1" applyAlignment="1">
      <alignment vertical="top" wrapText="1" shrinkToFit="1"/>
    </xf>
    <xf numFmtId="0" fontId="6" fillId="0" borderId="18" xfId="0" applyFont="1" applyBorder="1" applyAlignment="1">
      <alignment vertical="top" wrapText="1" shrinkToFit="1"/>
    </xf>
    <xf numFmtId="0" fontId="6" fillId="0" borderId="19" xfId="0" applyFont="1" applyBorder="1" applyAlignment="1">
      <alignment vertical="center" wrapText="1"/>
    </xf>
    <xf numFmtId="0" fontId="6" fillId="0" borderId="20" xfId="0" applyFont="1" applyBorder="1" applyAlignment="1">
      <alignment vertical="center" wrapText="1"/>
    </xf>
    <xf numFmtId="0" fontId="6" fillId="0" borderId="20" xfId="0" applyFont="1" applyFill="1" applyBorder="1" applyAlignment="1">
      <alignment vertical="top" wrapText="1" shrinkToFit="1"/>
    </xf>
    <xf numFmtId="0" fontId="6" fillId="0" borderId="18" xfId="0" applyFont="1" applyFill="1" applyBorder="1" applyAlignment="1">
      <alignment vertical="top" wrapText="1" shrinkToFit="1"/>
    </xf>
    <xf numFmtId="0" fontId="6" fillId="0" borderId="19" xfId="0" applyFont="1" applyFill="1" applyBorder="1" applyAlignment="1">
      <alignment vertical="top" wrapText="1" shrinkToFit="1"/>
    </xf>
    <xf numFmtId="0" fontId="6" fillId="0" borderId="19" xfId="0" applyFont="1" applyBorder="1" applyAlignment="1">
      <alignment vertical="top" wrapText="1" shrinkToFit="1"/>
    </xf>
    <xf numFmtId="0" fontId="6" fillId="0" borderId="17" xfId="0" applyFont="1" applyBorder="1" applyAlignment="1">
      <alignment vertical="center"/>
    </xf>
    <xf numFmtId="0" fontId="12" fillId="0" borderId="18" xfId="0" applyFont="1" applyBorder="1" applyAlignment="1">
      <alignment vertical="center"/>
    </xf>
    <xf numFmtId="0" fontId="2" fillId="0" borderId="0" xfId="0" applyFont="1" applyAlignment="1">
      <alignment horizontal="right" vertical="center"/>
    </xf>
    <xf numFmtId="0" fontId="3" fillId="0" borderId="0" xfId="0" applyFont="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daigaku-jimu@ks.kyorin-u.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yorin-u.ac.jp/univ/ds/mdash/"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kyorin-u.ac.jp/univ/ds/mdash/"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www.kyorin-u.ac.jp/univ/ds/mdash/"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kyorin-u.ac.jp/univ/ds/mdash/"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kyorin-u.ac.jp/univ/ds/mdash/"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www.kyorin-u.ac.jp/univ/ds/mdash/"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kyorin-u.ac.jp/univ/ds/mdash/"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kyorin-u.ac.jp/univ/ds/mdash/"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www.kyorin-u.ac.jp/univ/ds/mdash/"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kyorin-u.ac.jp/univ/ds/mdash/"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kyorin-u.ac.jp/univ/ds/mdash/"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kyorin-u.ac.jp/univ/ds/mdash/"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www.kyorin-u.ac.jp/univ/ds/mdash/"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kyorin-u.ac.jp/univ/ds/mdash"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K16" sqref="K16:M16"/>
    </sheetView>
  </sheetViews>
  <sheetFormatPr defaultColWidth="9" defaultRowHeight="18.75" customHeight="1"/>
  <cols>
    <col min="1" max="1" width="3.375" style="5" customWidth="1"/>
    <col min="2" max="2" width="11.125" style="5" customWidth="1"/>
    <col min="3" max="8" width="6.625" style="5" customWidth="1"/>
    <col min="9" max="9" width="3.375" style="5" customWidth="1"/>
    <col min="10" max="10" width="10" style="5" customWidth="1"/>
    <col min="11" max="11" width="3.375" style="5" customWidth="1"/>
    <col min="12" max="12" width="7.75" style="5" customWidth="1"/>
    <col min="13" max="13" width="3.375" style="5" customWidth="1"/>
    <col min="14" max="14" width="4.5" style="5" customWidth="1"/>
    <col min="15" max="16384" width="9" style="5"/>
  </cols>
  <sheetData>
    <row r="1" spans="1:15" ht="24" customHeight="1">
      <c r="A1" s="8"/>
      <c r="B1" s="8"/>
      <c r="C1" s="8"/>
      <c r="D1" s="8"/>
      <c r="E1" s="8"/>
      <c r="F1" s="8"/>
      <c r="G1" s="8"/>
      <c r="H1" s="8"/>
      <c r="I1" s="8"/>
      <c r="J1" s="8"/>
      <c r="K1" s="8"/>
      <c r="L1" s="8"/>
      <c r="M1" s="138" t="s">
        <v>0</v>
      </c>
      <c r="N1" s="138"/>
      <c r="O1" s="60"/>
    </row>
    <row r="2" spans="1:15" ht="24" customHeight="1">
      <c r="A2" s="142" t="s">
        <v>1</v>
      </c>
      <c r="B2" s="142"/>
      <c r="C2" s="142"/>
      <c r="D2" s="142"/>
      <c r="E2" s="142"/>
      <c r="F2" s="142"/>
      <c r="G2" s="142"/>
      <c r="H2" s="142"/>
      <c r="I2" s="142"/>
      <c r="J2" s="142"/>
      <c r="K2" s="142"/>
      <c r="L2" s="142"/>
      <c r="M2" s="142"/>
      <c r="N2" s="142"/>
      <c r="O2" s="60"/>
    </row>
    <row r="3" spans="1:15" ht="24" customHeight="1">
      <c r="A3" s="8"/>
      <c r="B3" s="8"/>
      <c r="C3" s="8"/>
      <c r="D3" s="8"/>
      <c r="E3" s="8"/>
      <c r="F3" s="8"/>
      <c r="G3" s="8"/>
      <c r="H3" s="8"/>
      <c r="I3" s="8"/>
      <c r="J3" s="8"/>
      <c r="K3" s="8"/>
      <c r="L3" s="8"/>
      <c r="M3" s="8"/>
      <c r="N3" s="8"/>
      <c r="O3" s="60"/>
    </row>
    <row r="4" spans="1:15" ht="24" customHeight="1">
      <c r="A4" s="8" t="s">
        <v>2</v>
      </c>
      <c r="B4" s="90" t="s">
        <v>3</v>
      </c>
      <c r="C4" s="130" t="s">
        <v>4</v>
      </c>
      <c r="D4" s="131"/>
      <c r="E4" s="131"/>
      <c r="F4" s="131"/>
      <c r="G4" s="131"/>
      <c r="H4" s="131"/>
      <c r="I4" s="131"/>
      <c r="J4" s="131"/>
      <c r="K4" s="131"/>
      <c r="L4" s="131"/>
      <c r="M4" s="131"/>
      <c r="N4" s="137"/>
      <c r="O4" s="60" t="str">
        <f>IF(C4="","入力してください","")</f>
        <v/>
      </c>
    </row>
    <row r="5" spans="1:15" ht="7.5" customHeight="1">
      <c r="A5" s="8"/>
      <c r="B5" s="90"/>
      <c r="C5" s="90"/>
      <c r="D5" s="90"/>
      <c r="E5" s="91"/>
      <c r="F5" s="113"/>
      <c r="G5" s="113"/>
      <c r="H5" s="113"/>
      <c r="I5" s="113"/>
      <c r="J5" s="113"/>
      <c r="K5" s="113"/>
      <c r="L5" s="113"/>
      <c r="M5" s="113"/>
      <c r="N5" s="113"/>
      <c r="O5" s="60"/>
    </row>
    <row r="6" spans="1:15" ht="24" customHeight="1">
      <c r="A6" s="8" t="s">
        <v>5</v>
      </c>
      <c r="B6" s="90" t="s">
        <v>6</v>
      </c>
      <c r="C6" s="90"/>
      <c r="D6" s="130" t="s">
        <v>7</v>
      </c>
      <c r="E6" s="131"/>
      <c r="F6" s="131"/>
      <c r="G6" s="131"/>
      <c r="H6" s="137"/>
      <c r="I6" s="92" t="s">
        <v>8</v>
      </c>
      <c r="J6" s="113" t="s">
        <v>9</v>
      </c>
      <c r="K6" s="130" t="s">
        <v>10</v>
      </c>
      <c r="L6" s="131"/>
      <c r="M6" s="131"/>
      <c r="N6" s="137"/>
      <c r="O6" s="60" t="str">
        <f>IF(D6="","入力してください","")</f>
        <v/>
      </c>
    </row>
    <row r="7" spans="1:15" ht="7.5" customHeight="1">
      <c r="A7" s="8"/>
      <c r="B7" s="90"/>
      <c r="C7" s="90"/>
      <c r="D7" s="90"/>
      <c r="E7" s="91"/>
      <c r="F7" s="113"/>
      <c r="G7" s="113"/>
      <c r="H7" s="113"/>
      <c r="I7" s="113"/>
      <c r="J7" s="113"/>
      <c r="K7" s="113"/>
      <c r="L7" s="113"/>
      <c r="M7" s="113"/>
      <c r="N7" s="113"/>
      <c r="O7" s="60"/>
    </row>
    <row r="8" spans="1:15" ht="24" customHeight="1">
      <c r="A8" s="8" t="s">
        <v>11</v>
      </c>
      <c r="B8" s="90" t="s">
        <v>12</v>
      </c>
      <c r="C8" s="130" t="s">
        <v>13</v>
      </c>
      <c r="D8" s="131"/>
      <c r="E8" s="131"/>
      <c r="F8" s="131"/>
      <c r="G8" s="131"/>
      <c r="H8" s="131"/>
      <c r="I8" s="131"/>
      <c r="J8" s="131"/>
      <c r="K8" s="131"/>
      <c r="L8" s="131"/>
      <c r="M8" s="131"/>
      <c r="N8" s="137"/>
      <c r="O8" s="60" t="str">
        <f>IF(C8="","入力してください","")</f>
        <v/>
      </c>
    </row>
    <row r="9" spans="1:15" ht="7.5" customHeight="1">
      <c r="A9" s="8"/>
      <c r="B9" s="90"/>
      <c r="C9" s="90"/>
      <c r="D9" s="90"/>
      <c r="E9" s="91"/>
      <c r="F9" s="113"/>
      <c r="G9" s="113"/>
      <c r="H9" s="113"/>
      <c r="I9" s="113"/>
      <c r="J9" s="113"/>
      <c r="K9" s="113"/>
      <c r="L9" s="113"/>
      <c r="M9" s="113"/>
      <c r="N9" s="113"/>
      <c r="O9" s="60"/>
    </row>
    <row r="10" spans="1:15" ht="24" customHeight="1">
      <c r="A10" s="8" t="s">
        <v>14</v>
      </c>
      <c r="B10" s="90" t="s">
        <v>15</v>
      </c>
      <c r="C10" s="90"/>
      <c r="D10" s="90"/>
      <c r="E10" s="130" t="s">
        <v>16</v>
      </c>
      <c r="F10" s="131"/>
      <c r="G10" s="131"/>
      <c r="H10" s="131"/>
      <c r="I10" s="131"/>
      <c r="J10" s="131"/>
      <c r="K10" s="131"/>
      <c r="L10" s="131"/>
      <c r="M10" s="131"/>
      <c r="N10" s="137"/>
      <c r="O10" s="60" t="str">
        <f>IF(E10="","入力してください","")</f>
        <v/>
      </c>
    </row>
    <row r="11" spans="1:15" ht="7.5" customHeight="1">
      <c r="A11" s="8"/>
      <c r="B11" s="91"/>
      <c r="C11" s="91"/>
      <c r="D11" s="91"/>
      <c r="E11" s="91"/>
      <c r="F11" s="113"/>
      <c r="G11" s="113"/>
      <c r="H11" s="113"/>
      <c r="I11" s="113"/>
      <c r="J11" s="113"/>
      <c r="K11" s="113"/>
      <c r="L11" s="113"/>
      <c r="M11" s="113"/>
      <c r="N11" s="113"/>
      <c r="O11" s="60"/>
    </row>
    <row r="12" spans="1:15" ht="24" customHeight="1">
      <c r="A12" s="8" t="s">
        <v>17</v>
      </c>
      <c r="B12" s="91" t="s">
        <v>18</v>
      </c>
      <c r="C12" s="91"/>
      <c r="D12" s="91"/>
      <c r="E12" s="143" t="s">
        <v>19</v>
      </c>
      <c r="F12" s="144"/>
      <c r="G12" s="92" t="s">
        <v>20</v>
      </c>
      <c r="H12" s="8" t="s">
        <v>21</v>
      </c>
      <c r="I12" s="8"/>
      <c r="J12" s="8"/>
      <c r="K12" s="8"/>
      <c r="L12" s="8"/>
      <c r="M12" s="8"/>
      <c r="N12" s="93" t="s">
        <v>22</v>
      </c>
      <c r="O12" s="60" t="str">
        <f>IF(E12="","入力してください","")</f>
        <v/>
      </c>
    </row>
    <row r="13" spans="1:15" ht="7.5" customHeight="1">
      <c r="A13" s="8"/>
      <c r="B13" s="91"/>
      <c r="C13" s="91"/>
      <c r="D13" s="91"/>
      <c r="E13" s="91"/>
      <c r="F13" s="113"/>
      <c r="G13" s="113"/>
      <c r="H13" s="113"/>
      <c r="I13" s="113"/>
      <c r="J13" s="113"/>
      <c r="K13" s="113"/>
      <c r="L13" s="113"/>
      <c r="M13" s="113"/>
      <c r="N13" s="113"/>
      <c r="O13" s="60"/>
    </row>
    <row r="14" spans="1:15" ht="24" customHeight="1">
      <c r="A14" s="8" t="s">
        <v>23</v>
      </c>
      <c r="B14" s="8" t="s">
        <v>24</v>
      </c>
      <c r="C14" s="139" t="s">
        <v>25</v>
      </c>
      <c r="D14" s="140"/>
      <c r="E14" s="134">
        <v>717</v>
      </c>
      <c r="F14" s="135"/>
      <c r="G14" s="94" t="s">
        <v>26</v>
      </c>
      <c r="H14" s="8"/>
      <c r="I14" s="139" t="s">
        <v>27</v>
      </c>
      <c r="J14" s="140"/>
      <c r="K14" s="134">
        <v>142</v>
      </c>
      <c r="L14" s="141"/>
      <c r="M14" s="135"/>
      <c r="N14" s="95" t="s">
        <v>26</v>
      </c>
      <c r="O14" s="60" t="str">
        <f>IF(OR(E14="",K14=""),"入力してください","")</f>
        <v/>
      </c>
    </row>
    <row r="15" spans="1:15" ht="7.5" customHeight="1">
      <c r="A15" s="8"/>
      <c r="B15" s="8"/>
      <c r="C15" s="8"/>
      <c r="D15" s="8"/>
      <c r="E15" s="8"/>
      <c r="F15" s="96"/>
      <c r="G15" s="96"/>
      <c r="H15" s="96"/>
      <c r="I15" s="96"/>
      <c r="J15" s="96"/>
      <c r="K15" s="96"/>
      <c r="L15" s="96"/>
      <c r="M15" s="95"/>
      <c r="N15" s="95"/>
      <c r="O15" s="60"/>
    </row>
    <row r="16" spans="1:15" ht="24" customHeight="1">
      <c r="A16" s="8" t="s">
        <v>28</v>
      </c>
      <c r="B16" s="8" t="s">
        <v>29</v>
      </c>
      <c r="C16" s="8"/>
      <c r="D16" s="8"/>
      <c r="E16" s="8"/>
      <c r="F16" s="96"/>
      <c r="G16" s="96"/>
      <c r="H16" s="96"/>
      <c r="I16" s="96"/>
      <c r="J16" s="96"/>
      <c r="K16" s="124">
        <v>26</v>
      </c>
      <c r="L16" s="125"/>
      <c r="M16" s="126"/>
      <c r="N16" s="95" t="s">
        <v>26</v>
      </c>
      <c r="O16" s="60" t="str">
        <f>IF(K16="","入力してください","")</f>
        <v/>
      </c>
    </row>
    <row r="17" spans="1:15" ht="7.5" customHeight="1">
      <c r="A17" s="8"/>
      <c r="B17" s="8"/>
      <c r="C17" s="8"/>
      <c r="D17" s="8"/>
      <c r="E17" s="8"/>
      <c r="F17" s="96"/>
      <c r="G17" s="96"/>
      <c r="H17" s="96"/>
      <c r="I17" s="96"/>
      <c r="J17" s="96"/>
      <c r="K17" s="96"/>
      <c r="L17" s="96"/>
      <c r="M17" s="95"/>
      <c r="N17" s="95"/>
      <c r="O17" s="60"/>
    </row>
    <row r="18" spans="1:15" ht="24" customHeight="1">
      <c r="A18" s="8" t="s">
        <v>30</v>
      </c>
      <c r="B18" s="8" t="s">
        <v>31</v>
      </c>
      <c r="C18" s="8"/>
      <c r="D18" s="8"/>
      <c r="E18" s="134">
        <v>1281</v>
      </c>
      <c r="F18" s="135"/>
      <c r="G18" s="97" t="s">
        <v>32</v>
      </c>
      <c r="H18" s="96"/>
      <c r="I18" s="8"/>
      <c r="J18" s="8"/>
      <c r="K18" s="136"/>
      <c r="L18" s="136"/>
      <c r="M18" s="136"/>
      <c r="N18" s="136"/>
      <c r="O18" s="60" t="str">
        <f>IF(E18="","入力してください","")</f>
        <v/>
      </c>
    </row>
    <row r="19" spans="1:15" ht="7.5" customHeight="1">
      <c r="A19" s="8"/>
      <c r="B19" s="8"/>
      <c r="C19" s="8"/>
      <c r="D19" s="8"/>
      <c r="E19" s="98"/>
      <c r="F19" s="96"/>
      <c r="G19" s="96"/>
      <c r="H19" s="8"/>
      <c r="I19" s="8"/>
      <c r="J19" s="8"/>
      <c r="K19" s="8"/>
      <c r="L19" s="112"/>
      <c r="M19" s="112"/>
      <c r="N19" s="99"/>
      <c r="O19" s="60"/>
    </row>
    <row r="20" spans="1:15" ht="24" customHeight="1">
      <c r="A20" s="8" t="s">
        <v>33</v>
      </c>
      <c r="B20" s="8" t="s">
        <v>34</v>
      </c>
      <c r="C20" s="8"/>
      <c r="D20" s="8"/>
      <c r="E20" s="98"/>
      <c r="F20" s="96"/>
      <c r="G20" s="96"/>
      <c r="H20" s="8" t="s">
        <v>35</v>
      </c>
      <c r="I20" s="8"/>
      <c r="J20" s="127">
        <v>5574</v>
      </c>
      <c r="K20" s="125"/>
      <c r="L20" s="126"/>
      <c r="M20" s="112" t="s">
        <v>26</v>
      </c>
      <c r="N20" s="99"/>
      <c r="O20" s="60" t="str">
        <f>IF(J20="","入力してください","")</f>
        <v/>
      </c>
    </row>
    <row r="21" spans="1:15" ht="7.5" customHeight="1">
      <c r="A21" s="8"/>
      <c r="B21" s="8"/>
      <c r="C21" s="8"/>
      <c r="D21" s="8"/>
      <c r="E21" s="98"/>
      <c r="F21" s="96"/>
      <c r="G21" s="96"/>
      <c r="H21" s="8"/>
      <c r="I21" s="8"/>
      <c r="J21" s="8"/>
      <c r="K21" s="8"/>
      <c r="L21" s="112"/>
      <c r="M21" s="112"/>
      <c r="N21" s="99"/>
      <c r="O21" s="60"/>
    </row>
    <row r="22" spans="1:15" ht="24" customHeight="1">
      <c r="A22" s="8"/>
      <c r="B22" s="100" t="s">
        <v>36</v>
      </c>
      <c r="C22" s="134">
        <v>1385</v>
      </c>
      <c r="D22" s="135"/>
      <c r="E22" s="98" t="s">
        <v>26</v>
      </c>
      <c r="F22" s="96"/>
      <c r="G22" s="128" t="s">
        <v>37</v>
      </c>
      <c r="H22" s="128"/>
      <c r="I22" s="134">
        <v>1353</v>
      </c>
      <c r="J22" s="135"/>
      <c r="K22" s="92" t="s">
        <v>26</v>
      </c>
      <c r="L22" s="8"/>
      <c r="M22" s="112"/>
      <c r="N22" s="99"/>
      <c r="O22" s="60"/>
    </row>
    <row r="23" spans="1:15" ht="7.5" customHeight="1">
      <c r="A23" s="8"/>
      <c r="B23" s="100"/>
      <c r="C23" s="101"/>
      <c r="D23" s="101"/>
      <c r="E23" s="98"/>
      <c r="F23" s="96"/>
      <c r="G23" s="112"/>
      <c r="H23" s="112"/>
      <c r="I23" s="101"/>
      <c r="J23" s="101"/>
      <c r="K23" s="92"/>
      <c r="L23" s="8"/>
      <c r="M23" s="112"/>
      <c r="N23" s="99"/>
      <c r="O23" s="60"/>
    </row>
    <row r="24" spans="1:15" ht="24" customHeight="1">
      <c r="A24" s="8"/>
      <c r="B24" s="100" t="s">
        <v>38</v>
      </c>
      <c r="C24" s="134">
        <v>1343</v>
      </c>
      <c r="D24" s="135"/>
      <c r="E24" s="98" t="s">
        <v>26</v>
      </c>
      <c r="F24" s="96"/>
      <c r="G24" s="128" t="s">
        <v>39</v>
      </c>
      <c r="H24" s="128"/>
      <c r="I24" s="134">
        <v>1271</v>
      </c>
      <c r="J24" s="135"/>
      <c r="K24" s="92" t="s">
        <v>26</v>
      </c>
      <c r="L24" s="8"/>
      <c r="M24" s="112"/>
      <c r="N24" s="99"/>
      <c r="O24" s="60"/>
    </row>
    <row r="25" spans="1:15" ht="7.5" customHeight="1">
      <c r="A25" s="8"/>
      <c r="B25" s="100"/>
      <c r="C25" s="101"/>
      <c r="D25" s="101"/>
      <c r="E25" s="98"/>
      <c r="F25" s="96"/>
      <c r="G25" s="112"/>
      <c r="H25" s="112"/>
      <c r="I25" s="101"/>
      <c r="J25" s="101"/>
      <c r="K25" s="92"/>
      <c r="L25" s="8"/>
      <c r="M25" s="112"/>
      <c r="N25" s="99"/>
      <c r="O25" s="60"/>
    </row>
    <row r="26" spans="1:15" ht="24" customHeight="1">
      <c r="A26" s="8"/>
      <c r="B26" s="100" t="s">
        <v>40</v>
      </c>
      <c r="C26" s="134">
        <v>111</v>
      </c>
      <c r="D26" s="135"/>
      <c r="E26" s="98" t="s">
        <v>26</v>
      </c>
      <c r="F26" s="96"/>
      <c r="G26" s="128" t="s">
        <v>41</v>
      </c>
      <c r="H26" s="128"/>
      <c r="I26" s="134">
        <v>111</v>
      </c>
      <c r="J26" s="135"/>
      <c r="K26" s="92" t="s">
        <v>26</v>
      </c>
      <c r="L26" s="8"/>
      <c r="M26" s="112"/>
      <c r="N26" s="99"/>
      <c r="O26" s="60"/>
    </row>
    <row r="27" spans="1:15" ht="7.5" customHeight="1">
      <c r="A27" s="8"/>
      <c r="B27" s="8"/>
      <c r="C27" s="8"/>
      <c r="D27" s="8"/>
      <c r="E27" s="8"/>
      <c r="F27" s="96"/>
      <c r="G27" s="96"/>
      <c r="H27" s="8"/>
      <c r="I27" s="8"/>
      <c r="J27" s="8"/>
      <c r="K27" s="8"/>
      <c r="L27" s="8"/>
      <c r="M27" s="102"/>
      <c r="N27" s="102"/>
      <c r="O27" s="60"/>
    </row>
    <row r="28" spans="1:15" ht="24" customHeight="1">
      <c r="A28" s="8" t="s">
        <v>42</v>
      </c>
      <c r="B28" s="90" t="s">
        <v>43</v>
      </c>
      <c r="C28" s="90"/>
      <c r="D28" s="90"/>
      <c r="E28" s="90"/>
      <c r="F28" s="92"/>
      <c r="G28" s="113"/>
      <c r="H28" s="113"/>
      <c r="I28" s="113"/>
      <c r="J28" s="103"/>
      <c r="K28" s="103"/>
      <c r="L28" s="103"/>
      <c r="M28" s="103"/>
      <c r="N28" s="103"/>
      <c r="O28" s="60"/>
    </row>
    <row r="29" spans="1:15" ht="24" customHeight="1">
      <c r="A29" s="8"/>
      <c r="B29" s="129" t="s">
        <v>44</v>
      </c>
      <c r="C29" s="129"/>
      <c r="D29" s="130" t="s">
        <v>45</v>
      </c>
      <c r="E29" s="131"/>
      <c r="F29" s="131"/>
      <c r="G29" s="132" t="s">
        <v>46</v>
      </c>
      <c r="H29" s="129"/>
      <c r="I29" s="133"/>
      <c r="J29" s="130" t="s">
        <v>47</v>
      </c>
      <c r="K29" s="131"/>
      <c r="L29" s="131"/>
      <c r="M29" s="131"/>
      <c r="N29" s="137"/>
      <c r="O29" s="60" t="str">
        <f>IF(OR(D29="",J29=""),"入力してください","")</f>
        <v/>
      </c>
    </row>
    <row r="30" spans="1:15" ht="7.5" customHeight="1">
      <c r="A30" s="8"/>
      <c r="B30" s="8"/>
      <c r="C30" s="8"/>
      <c r="D30" s="8"/>
      <c r="E30" s="8"/>
      <c r="F30" s="96"/>
      <c r="G30" s="96"/>
      <c r="H30" s="8"/>
      <c r="I30" s="8"/>
      <c r="J30" s="8"/>
      <c r="K30" s="8"/>
      <c r="L30" s="8"/>
      <c r="M30" s="102"/>
      <c r="N30" s="102"/>
      <c r="O30" s="60"/>
    </row>
    <row r="31" spans="1:15" ht="24" customHeight="1">
      <c r="A31" s="8" t="s">
        <v>48</v>
      </c>
      <c r="B31" s="90" t="s">
        <v>49</v>
      </c>
      <c r="C31" s="90"/>
      <c r="D31" s="90"/>
      <c r="E31" s="90"/>
      <c r="F31" s="92"/>
      <c r="G31" s="103"/>
      <c r="H31" s="103"/>
      <c r="I31" s="103"/>
      <c r="J31" s="103"/>
      <c r="K31" s="103"/>
      <c r="L31" s="103"/>
      <c r="M31" s="103"/>
      <c r="N31" s="103"/>
      <c r="O31" s="60"/>
    </row>
    <row r="32" spans="1:15" ht="24" customHeight="1">
      <c r="A32" s="8"/>
      <c r="B32" s="130" t="s">
        <v>50</v>
      </c>
      <c r="C32" s="131"/>
      <c r="D32" s="131"/>
      <c r="E32" s="131"/>
      <c r="F32" s="131"/>
      <c r="G32" s="131"/>
      <c r="H32" s="131"/>
      <c r="I32" s="131"/>
      <c r="J32" s="131"/>
      <c r="K32" s="131"/>
      <c r="L32" s="131"/>
      <c r="M32" s="131"/>
      <c r="N32" s="137"/>
      <c r="O32" s="60" t="str">
        <f>IF(B32="","入力してください","")</f>
        <v/>
      </c>
    </row>
    <row r="33" spans="1:15" ht="7.5" customHeight="1">
      <c r="A33" s="8"/>
      <c r="B33" s="104"/>
      <c r="C33" s="104"/>
      <c r="D33" s="104"/>
      <c r="E33" s="104"/>
      <c r="F33" s="104"/>
      <c r="G33" s="104"/>
      <c r="H33" s="104"/>
      <c r="I33" s="104"/>
      <c r="J33" s="104"/>
      <c r="K33" s="104"/>
      <c r="L33" s="104"/>
      <c r="M33" s="104"/>
      <c r="N33" s="104"/>
      <c r="O33" s="60"/>
    </row>
    <row r="34" spans="1:15" ht="24" customHeight="1">
      <c r="A34" s="8"/>
      <c r="B34" s="129" t="s">
        <v>44</v>
      </c>
      <c r="C34" s="129"/>
      <c r="D34" s="130" t="s">
        <v>51</v>
      </c>
      <c r="E34" s="131"/>
      <c r="F34" s="131"/>
      <c r="G34" s="132" t="s">
        <v>46</v>
      </c>
      <c r="H34" s="129"/>
      <c r="I34" s="133"/>
      <c r="J34" s="130" t="s">
        <v>52</v>
      </c>
      <c r="K34" s="131"/>
      <c r="L34" s="131"/>
      <c r="M34" s="131"/>
      <c r="N34" s="137"/>
      <c r="O34" s="60" t="str">
        <f>IF(OR(D34="",J34=""),"入力してください","")</f>
        <v/>
      </c>
    </row>
    <row r="35" spans="1:15" ht="7.5" customHeight="1">
      <c r="A35" s="8"/>
      <c r="B35" s="8"/>
      <c r="C35" s="8"/>
      <c r="D35" s="8"/>
      <c r="E35" s="8"/>
      <c r="F35" s="113"/>
      <c r="G35" s="113"/>
      <c r="H35" s="113"/>
      <c r="I35" s="113"/>
      <c r="J35" s="113"/>
      <c r="K35" s="113"/>
      <c r="L35" s="113"/>
      <c r="M35" s="113"/>
      <c r="N35" s="113"/>
      <c r="O35" s="60"/>
    </row>
    <row r="36" spans="1:15" ht="24" customHeight="1">
      <c r="A36" s="8" t="s">
        <v>53</v>
      </c>
      <c r="B36" s="8" t="s">
        <v>54</v>
      </c>
      <c r="C36" s="8"/>
      <c r="D36" s="8"/>
      <c r="E36" s="8"/>
      <c r="F36" s="8"/>
      <c r="G36" s="8"/>
      <c r="H36" s="8"/>
      <c r="I36" s="8"/>
      <c r="J36" s="8"/>
      <c r="K36" s="8"/>
      <c r="L36" s="8"/>
      <c r="M36" s="102"/>
      <c r="N36" s="102"/>
      <c r="O36" s="60"/>
    </row>
    <row r="37" spans="1:15" ht="24" customHeight="1">
      <c r="A37" s="8"/>
      <c r="B37" s="130" t="s">
        <v>50</v>
      </c>
      <c r="C37" s="131"/>
      <c r="D37" s="131"/>
      <c r="E37" s="131"/>
      <c r="F37" s="131"/>
      <c r="G37" s="131"/>
      <c r="H37" s="131"/>
      <c r="I37" s="131"/>
      <c r="J37" s="131"/>
      <c r="K37" s="131"/>
      <c r="L37" s="131"/>
      <c r="M37" s="131"/>
      <c r="N37" s="137"/>
      <c r="O37" s="60" t="str">
        <f>IF(B37="","入力してください","")</f>
        <v/>
      </c>
    </row>
    <row r="38" spans="1:15" ht="7.5" customHeight="1">
      <c r="A38" s="8"/>
      <c r="B38" s="8"/>
      <c r="C38" s="8"/>
      <c r="D38" s="8"/>
      <c r="E38" s="8"/>
      <c r="F38" s="113"/>
      <c r="G38" s="113"/>
      <c r="H38" s="113"/>
      <c r="I38" s="113"/>
      <c r="J38" s="113"/>
      <c r="K38" s="113"/>
      <c r="L38" s="113"/>
      <c r="M38" s="113"/>
      <c r="N38" s="113"/>
      <c r="O38" s="60"/>
    </row>
    <row r="39" spans="1:15" ht="24" customHeight="1">
      <c r="A39" s="8"/>
      <c r="B39" s="129" t="s">
        <v>44</v>
      </c>
      <c r="C39" s="129"/>
      <c r="D39" s="130" t="s">
        <v>51</v>
      </c>
      <c r="E39" s="131"/>
      <c r="F39" s="131"/>
      <c r="G39" s="132" t="s">
        <v>46</v>
      </c>
      <c r="H39" s="129"/>
      <c r="I39" s="133"/>
      <c r="J39" s="130" t="s">
        <v>52</v>
      </c>
      <c r="K39" s="131"/>
      <c r="L39" s="131"/>
      <c r="M39" s="131"/>
      <c r="N39" s="137"/>
      <c r="O39" s="60" t="str">
        <f>IF(OR(D39="",J39=""),"入力してください","")</f>
        <v/>
      </c>
    </row>
    <row r="40" spans="1:15" ht="7.5" customHeight="1">
      <c r="A40" s="8"/>
      <c r="B40" s="8"/>
      <c r="C40" s="8"/>
      <c r="D40" s="8"/>
      <c r="E40" s="8"/>
      <c r="F40" s="113"/>
      <c r="G40" s="113"/>
      <c r="H40" s="113"/>
      <c r="I40" s="113"/>
      <c r="J40" s="113"/>
      <c r="K40" s="113"/>
      <c r="L40" s="113"/>
      <c r="M40" s="113"/>
      <c r="N40" s="113"/>
      <c r="O40" s="60"/>
    </row>
    <row r="41" spans="1:15" ht="24" customHeight="1">
      <c r="A41" s="8" t="s">
        <v>55</v>
      </c>
      <c r="B41" s="8" t="s">
        <v>56</v>
      </c>
      <c r="C41" s="8"/>
      <c r="D41" s="8"/>
      <c r="E41" s="105"/>
      <c r="F41" s="130" t="s">
        <v>57</v>
      </c>
      <c r="G41" s="131"/>
      <c r="H41" s="131"/>
      <c r="I41" s="131"/>
      <c r="J41" s="131"/>
      <c r="K41" s="131"/>
      <c r="L41" s="131"/>
      <c r="M41" s="131"/>
      <c r="N41" s="137"/>
      <c r="O41" s="60" t="str">
        <f>IF(F41="","入力してください","")</f>
        <v/>
      </c>
    </row>
    <row r="42" spans="1:15" ht="7.5" customHeight="1">
      <c r="A42" s="8"/>
      <c r="B42" s="8"/>
      <c r="C42" s="8"/>
      <c r="D42" s="8"/>
      <c r="E42" s="8"/>
      <c r="F42" s="113"/>
      <c r="G42" s="113"/>
      <c r="H42" s="113"/>
      <c r="I42" s="113"/>
      <c r="J42" s="113"/>
      <c r="K42" s="113"/>
      <c r="L42" s="113"/>
      <c r="M42" s="113"/>
      <c r="N42" s="113"/>
      <c r="O42" s="60"/>
    </row>
    <row r="43" spans="1:15" ht="24" customHeight="1">
      <c r="A43" s="8" t="s">
        <v>58</v>
      </c>
      <c r="B43" s="8"/>
      <c r="C43" s="8"/>
      <c r="D43" s="8"/>
      <c r="E43" s="8"/>
      <c r="F43" s="8"/>
      <c r="G43" s="8"/>
      <c r="H43" s="8"/>
      <c r="I43" s="8"/>
      <c r="J43" s="8"/>
      <c r="K43" s="8"/>
      <c r="L43" s="8"/>
      <c r="M43" s="8"/>
      <c r="N43" s="8"/>
      <c r="O43" s="60"/>
    </row>
    <row r="44" spans="1:15" ht="24" customHeight="1">
      <c r="A44" s="8"/>
      <c r="B44" s="93" t="s">
        <v>59</v>
      </c>
      <c r="C44" s="151" t="s">
        <v>60</v>
      </c>
      <c r="D44" s="152"/>
      <c r="E44" s="152"/>
      <c r="F44" s="152"/>
      <c r="G44" s="152"/>
      <c r="H44" s="152"/>
      <c r="I44" s="106" t="s">
        <v>61</v>
      </c>
      <c r="J44" s="107"/>
      <c r="K44" s="130" t="s">
        <v>62</v>
      </c>
      <c r="L44" s="131"/>
      <c r="M44" s="131"/>
      <c r="N44" s="137"/>
      <c r="O44" s="60" t="str">
        <f>IF(OR(C44="",K44=""),"入力してください","")</f>
        <v/>
      </c>
    </row>
    <row r="45" spans="1:15" ht="24" customHeight="1">
      <c r="A45" s="8"/>
      <c r="B45" s="108" t="s">
        <v>63</v>
      </c>
      <c r="C45" s="145" t="s">
        <v>64</v>
      </c>
      <c r="D45" s="146"/>
      <c r="E45" s="146"/>
      <c r="F45" s="146"/>
      <c r="G45" s="146"/>
      <c r="H45" s="147"/>
      <c r="I45" s="106" t="s">
        <v>65</v>
      </c>
      <c r="J45" s="107"/>
      <c r="K45" s="148" t="s">
        <v>66</v>
      </c>
      <c r="L45" s="149"/>
      <c r="M45" s="149"/>
      <c r="N45" s="150"/>
      <c r="O45" s="60"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pageSetUpPr fitToPage="1"/>
  </sheetPr>
  <dimension ref="A1:Z98"/>
  <sheetViews>
    <sheetView showZeros="0" view="pageBreakPreview"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67</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72</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80</v>
      </c>
      <c r="C16" s="179"/>
      <c r="D16" s="179"/>
      <c r="E16" s="179"/>
      <c r="F16" s="180"/>
      <c r="G16" s="29">
        <v>1</v>
      </c>
      <c r="H16" s="29" t="s">
        <v>81</v>
      </c>
      <c r="I16" s="184" t="s">
        <v>82</v>
      </c>
      <c r="J16" s="185"/>
      <c r="K16" s="186"/>
      <c r="L16" s="10" t="s">
        <v>81</v>
      </c>
      <c r="M16" s="10"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80</v>
      </c>
      <c r="C27" s="179"/>
      <c r="D27" s="179"/>
      <c r="E27" s="179"/>
      <c r="F27" s="180"/>
      <c r="G27" s="29">
        <v>1</v>
      </c>
      <c r="H27" s="29" t="s">
        <v>81</v>
      </c>
      <c r="I27" s="184" t="s">
        <v>82</v>
      </c>
      <c r="J27" s="185"/>
      <c r="K27" s="186"/>
      <c r="L27" s="10" t="s">
        <v>81</v>
      </c>
      <c r="M27" s="10"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80</v>
      </c>
      <c r="C38" s="179"/>
      <c r="D38" s="179"/>
      <c r="E38" s="179"/>
      <c r="F38" s="180"/>
      <c r="G38" s="29">
        <v>1</v>
      </c>
      <c r="H38" s="29" t="s">
        <v>81</v>
      </c>
      <c r="I38" s="184" t="s">
        <v>82</v>
      </c>
      <c r="J38" s="185"/>
      <c r="K38" s="186"/>
      <c r="L38" s="10" t="s">
        <v>81</v>
      </c>
      <c r="M38" s="10"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80</v>
      </c>
      <c r="C49" s="179"/>
      <c r="D49" s="179"/>
      <c r="E49" s="179"/>
      <c r="F49" s="180"/>
      <c r="G49" s="29">
        <v>1</v>
      </c>
      <c r="H49" s="29" t="s">
        <v>81</v>
      </c>
      <c r="I49" s="184" t="s">
        <v>82</v>
      </c>
      <c r="J49" s="185"/>
      <c r="K49" s="186"/>
      <c r="L49" s="10" t="s">
        <v>81</v>
      </c>
      <c r="M49" s="10"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6" t="s">
        <v>80</v>
      </c>
      <c r="C60" s="157"/>
      <c r="D60" s="157"/>
      <c r="E60" s="158"/>
      <c r="F60" s="30">
        <v>1</v>
      </c>
      <c r="G60" s="29" t="s">
        <v>81</v>
      </c>
      <c r="H60" s="184" t="s">
        <v>82</v>
      </c>
      <c r="I60" s="185"/>
      <c r="J60" s="186"/>
      <c r="K60" s="10" t="s">
        <v>81</v>
      </c>
      <c r="L60" s="10" t="s">
        <v>81</v>
      </c>
      <c r="M60" s="11" t="s">
        <v>81</v>
      </c>
      <c r="N60" s="153"/>
      <c r="O60" s="154"/>
      <c r="P60" s="154"/>
      <c r="Q60" s="154"/>
      <c r="R60" s="155"/>
      <c r="S60" s="29"/>
      <c r="T60" s="29"/>
      <c r="U60" s="184"/>
      <c r="V60" s="185"/>
      <c r="W60" s="186"/>
      <c r="X60" s="23"/>
      <c r="Y60" s="10"/>
      <c r="Z60" s="10"/>
    </row>
    <row r="61" spans="1:26" ht="18" customHeight="1">
      <c r="A61" s="63"/>
      <c r="B61" s="156" t="s">
        <v>96</v>
      </c>
      <c r="C61" s="157"/>
      <c r="D61" s="157"/>
      <c r="E61" s="158"/>
      <c r="F61" s="30">
        <v>1</v>
      </c>
      <c r="G61" s="29" t="s">
        <v>81</v>
      </c>
      <c r="H61" s="184" t="s">
        <v>82</v>
      </c>
      <c r="I61" s="185"/>
      <c r="J61" s="186"/>
      <c r="K61" s="10" t="s">
        <v>81</v>
      </c>
      <c r="L61" s="10" t="s">
        <v>81</v>
      </c>
      <c r="M61" s="11" t="s">
        <v>81</v>
      </c>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t="s">
        <v>99</v>
      </c>
      <c r="C70" s="154"/>
      <c r="D70" s="154"/>
      <c r="E70" s="154"/>
      <c r="F70" s="155"/>
      <c r="G70" s="225" t="s">
        <v>100</v>
      </c>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c r="C71" s="157"/>
      <c r="D71" s="157"/>
      <c r="E71" s="157"/>
      <c r="F71" s="158"/>
      <c r="G71" s="202"/>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c r="C72" s="157"/>
      <c r="D72" s="157"/>
      <c r="E72" s="157"/>
      <c r="F72" s="158"/>
      <c r="G72" s="202"/>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105</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107</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109</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110</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112</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230"/>
      <c r="C85" s="18" t="s">
        <v>88</v>
      </c>
      <c r="D85" s="209" t="s">
        <v>113</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47.6" customHeight="1">
      <c r="B86" s="231" t="s">
        <v>114</v>
      </c>
      <c r="C86" s="19" t="s">
        <v>90</v>
      </c>
      <c r="D86" s="236" t="s">
        <v>115</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116</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191.1" customHeight="1">
      <c r="B88" s="231" t="s">
        <v>117</v>
      </c>
      <c r="C88" s="16" t="s">
        <v>93</v>
      </c>
      <c r="D88" s="233" t="s">
        <v>118</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119</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120</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H27:H33 L49:M55 Y38:Z44 L38:M44 Y49:Z55 Y60:Z66 H38:H44 H16:H22 U16:U22 L62:L66 U27:U33 L27:M33 U38:U44 K64 U49:U55 T60:T66 H49:H55 G60:G66 K60:L61 M60:M66 K62" xr:uid="{00000000-0002-0000-0100-000000000000}">
      <formula1>"○"</formula1>
    </dataValidation>
    <dataValidation type="list" allowBlank="1" showInputMessage="1" showErrorMessage="1" sqref="Z23 Z34 D34:K34 D23:K23 V16:V22 I27:I33 V27:V33 I16:I22 V38:V44 I49:I55 V49:V55 I38:I44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31496062992125984"/>
  <pageSetup paperSize="9" scale="99" fitToHeight="0" orientation="landscape" r:id="rId2"/>
  <rowBreaks count="4" manualBreakCount="4">
    <brk id="34" max="25" man="1"/>
    <brk id="67" max="25" man="1"/>
    <brk id="81" max="25" man="1"/>
    <brk id="86"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Z98"/>
  <sheetViews>
    <sheetView showZeros="0" view="pageBreakPreview"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125</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126</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127</v>
      </c>
      <c r="C16" s="179"/>
      <c r="D16" s="179"/>
      <c r="E16" s="179"/>
      <c r="F16" s="180"/>
      <c r="G16" s="29">
        <v>2</v>
      </c>
      <c r="H16" s="29" t="s">
        <v>81</v>
      </c>
      <c r="I16" s="184" t="s">
        <v>82</v>
      </c>
      <c r="J16" s="185"/>
      <c r="K16" s="186"/>
      <c r="L16" s="10" t="s">
        <v>81</v>
      </c>
      <c r="M16" s="10"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127</v>
      </c>
      <c r="C27" s="179"/>
      <c r="D27" s="179"/>
      <c r="E27" s="179"/>
      <c r="F27" s="180"/>
      <c r="G27" s="29">
        <v>2</v>
      </c>
      <c r="H27" s="29" t="s">
        <v>81</v>
      </c>
      <c r="I27" s="184" t="s">
        <v>82</v>
      </c>
      <c r="J27" s="185"/>
      <c r="K27" s="186"/>
      <c r="L27" s="10" t="s">
        <v>81</v>
      </c>
      <c r="M27" s="10"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127</v>
      </c>
      <c r="C38" s="179"/>
      <c r="D38" s="179"/>
      <c r="E38" s="179"/>
      <c r="F38" s="180"/>
      <c r="G38" s="29">
        <v>2</v>
      </c>
      <c r="H38" s="29" t="s">
        <v>81</v>
      </c>
      <c r="I38" s="184" t="s">
        <v>82</v>
      </c>
      <c r="J38" s="185"/>
      <c r="K38" s="186"/>
      <c r="L38" s="10" t="s">
        <v>81</v>
      </c>
      <c r="M38" s="10"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127</v>
      </c>
      <c r="C49" s="179"/>
      <c r="D49" s="179"/>
      <c r="E49" s="179"/>
      <c r="F49" s="180"/>
      <c r="G49" s="29">
        <v>2</v>
      </c>
      <c r="H49" s="29" t="s">
        <v>81</v>
      </c>
      <c r="I49" s="184" t="s">
        <v>82</v>
      </c>
      <c r="J49" s="185"/>
      <c r="K49" s="186"/>
      <c r="L49" s="10" t="s">
        <v>81</v>
      </c>
      <c r="M49" s="10"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3" t="s">
        <v>128</v>
      </c>
      <c r="C60" s="154"/>
      <c r="D60" s="154"/>
      <c r="E60" s="155"/>
      <c r="F60" s="29">
        <v>2</v>
      </c>
      <c r="G60" s="29" t="s">
        <v>81</v>
      </c>
      <c r="H60" s="184" t="s">
        <v>82</v>
      </c>
      <c r="I60" s="185"/>
      <c r="J60" s="186"/>
      <c r="K60" s="10" t="s">
        <v>81</v>
      </c>
      <c r="L60" s="10" t="s">
        <v>81</v>
      </c>
      <c r="M60" s="10" t="s">
        <v>81</v>
      </c>
      <c r="N60" s="153"/>
      <c r="O60" s="154"/>
      <c r="P60" s="154"/>
      <c r="Q60" s="154"/>
      <c r="R60" s="155"/>
      <c r="S60" s="29"/>
      <c r="T60" s="29"/>
      <c r="U60" s="184"/>
      <c r="V60" s="185"/>
      <c r="W60" s="186"/>
      <c r="X60" s="23"/>
      <c r="Y60" s="10"/>
      <c r="Z60" s="10"/>
    </row>
    <row r="61" spans="1:26" ht="18" customHeight="1">
      <c r="A61" s="63"/>
      <c r="B61" s="156"/>
      <c r="C61" s="157"/>
      <c r="D61" s="157"/>
      <c r="E61" s="158"/>
      <c r="F61" s="30"/>
      <c r="G61" s="30"/>
      <c r="H61" s="162"/>
      <c r="I61" s="163"/>
      <c r="J61" s="164"/>
      <c r="K61" s="24"/>
      <c r="L61" s="11"/>
      <c r="M61" s="11"/>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t="s">
        <v>129</v>
      </c>
      <c r="C70" s="154"/>
      <c r="D70" s="154"/>
      <c r="E70" s="154"/>
      <c r="F70" s="155"/>
      <c r="G70" s="225" t="s">
        <v>130</v>
      </c>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c r="C71" s="157"/>
      <c r="D71" s="157"/>
      <c r="E71" s="157"/>
      <c r="F71" s="158"/>
      <c r="G71" s="202"/>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c r="C72" s="157"/>
      <c r="D72" s="157"/>
      <c r="E72" s="157"/>
      <c r="F72" s="158"/>
      <c r="G72" s="202"/>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131</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132</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133</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134</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135</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230"/>
      <c r="C85" s="18" t="s">
        <v>88</v>
      </c>
      <c r="D85" s="209" t="s">
        <v>136</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47.6" customHeight="1">
      <c r="B86" s="231" t="s">
        <v>114</v>
      </c>
      <c r="C86" s="19" t="s">
        <v>90</v>
      </c>
      <c r="D86" s="236" t="s">
        <v>137</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138</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195.95" customHeight="1">
      <c r="B88" s="231" t="s">
        <v>117</v>
      </c>
      <c r="C88" s="16" t="s">
        <v>93</v>
      </c>
      <c r="D88" s="233" t="s">
        <v>139</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140</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141</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00000000-0002-0000-02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200-000001000000}">
      <formula1>"学部・学科によって、修了要件は相違する,学部・学科によって、修了要件は相違しない"</formula1>
    </dataValidation>
    <dataValidation type="list" allowBlank="1" showInputMessage="1" showErrorMessage="1" sqref="Z23 Z34 D34:K34 D23:K23 V16:V22 I27:I33 V27:V33 I16:I22 V38:V44 I49:I55 V49:V55 I38:I44 U60:U66 H60:H66" xr:uid="{00000000-0002-0000-0200-000002000000}">
      <formula1>"全学開講,一部開講"</formula1>
    </dataValidation>
    <dataValidation type="list" allowBlank="1" showInputMessage="1" showErrorMessage="1" sqref="Y16:Z22 L16:M22 Y27:Z33 K60:L60 L49:M55 Y38:Z44 L38:M44 Y49:Z55 Y60:Z66 H27:H33 H16:H22 U16:U22 H49:H55 U27:U33 L27:M33 U38:U44 K64 U49:U55 L61:L66 T60:T66 H38:H44 M60:M66 K61:K62 G60:G66" xr:uid="{00000000-0002-0000-0200-000003000000}">
      <formula1>"○"</formula1>
    </dataValidation>
  </dataValidations>
  <hyperlinks>
    <hyperlink ref="B98" r:id="rId1" xr:uid="{00000000-0004-0000-0200-000000000000}"/>
  </hyperlinks>
  <printOptions horizontalCentered="1"/>
  <pageMargins left="0.78740157480314965" right="0.78740157480314965" top="0.59055118110236227" bottom="0.19685039370078741" header="0.31496062992125984" footer="0.31496062992125984"/>
  <pageSetup paperSize="9" scale="72" orientation="landscape" r:id="rId2"/>
  <rowBreaks count="4" manualBreakCount="4">
    <brk id="34" max="25" man="1"/>
    <brk id="67" max="25" man="1"/>
    <brk id="81" max="25" man="1"/>
    <brk id="88"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Z98"/>
  <sheetViews>
    <sheetView showZeros="0"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142</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143</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144</v>
      </c>
      <c r="C16" s="179"/>
      <c r="D16" s="179"/>
      <c r="E16" s="179"/>
      <c r="F16" s="180"/>
      <c r="G16" s="29">
        <v>2</v>
      </c>
      <c r="H16" s="29" t="s">
        <v>81</v>
      </c>
      <c r="I16" s="184" t="s">
        <v>82</v>
      </c>
      <c r="J16" s="185"/>
      <c r="K16" s="186"/>
      <c r="L16" s="10" t="s">
        <v>81</v>
      </c>
      <c r="M16" s="10"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144</v>
      </c>
      <c r="C27" s="179"/>
      <c r="D27" s="179"/>
      <c r="E27" s="179"/>
      <c r="F27" s="180"/>
      <c r="G27" s="29">
        <v>2</v>
      </c>
      <c r="H27" s="29" t="s">
        <v>81</v>
      </c>
      <c r="I27" s="184" t="s">
        <v>82</v>
      </c>
      <c r="J27" s="185"/>
      <c r="K27" s="186"/>
      <c r="L27" s="10" t="s">
        <v>81</v>
      </c>
      <c r="M27" s="10"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144</v>
      </c>
      <c r="C38" s="179"/>
      <c r="D38" s="179"/>
      <c r="E38" s="179"/>
      <c r="F38" s="180"/>
      <c r="G38" s="29">
        <v>2</v>
      </c>
      <c r="H38" s="29" t="s">
        <v>81</v>
      </c>
      <c r="I38" s="184" t="s">
        <v>82</v>
      </c>
      <c r="J38" s="185"/>
      <c r="K38" s="186"/>
      <c r="L38" s="10" t="s">
        <v>81</v>
      </c>
      <c r="M38" s="10"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144</v>
      </c>
      <c r="C49" s="179"/>
      <c r="D49" s="179"/>
      <c r="E49" s="179"/>
      <c r="F49" s="180"/>
      <c r="G49" s="29">
        <v>2</v>
      </c>
      <c r="H49" s="29" t="s">
        <v>81</v>
      </c>
      <c r="I49" s="184" t="s">
        <v>82</v>
      </c>
      <c r="J49" s="185"/>
      <c r="K49" s="186"/>
      <c r="L49" s="10" t="s">
        <v>81</v>
      </c>
      <c r="M49" s="10"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3" t="s">
        <v>145</v>
      </c>
      <c r="C60" s="154"/>
      <c r="D60" s="154"/>
      <c r="E60" s="155"/>
      <c r="F60" s="29">
        <v>2</v>
      </c>
      <c r="G60" s="29" t="s">
        <v>81</v>
      </c>
      <c r="H60" s="184" t="s">
        <v>82</v>
      </c>
      <c r="I60" s="185"/>
      <c r="J60" s="186"/>
      <c r="K60" s="10" t="s">
        <v>81</v>
      </c>
      <c r="L60" s="10" t="s">
        <v>81</v>
      </c>
      <c r="M60" s="10" t="s">
        <v>81</v>
      </c>
      <c r="N60" s="153"/>
      <c r="O60" s="154"/>
      <c r="P60" s="154"/>
      <c r="Q60" s="154"/>
      <c r="R60" s="155"/>
      <c r="S60" s="29"/>
      <c r="T60" s="29"/>
      <c r="U60" s="184"/>
      <c r="V60" s="185"/>
      <c r="W60" s="186"/>
      <c r="X60" s="23"/>
      <c r="Y60" s="10"/>
      <c r="Z60" s="10"/>
    </row>
    <row r="61" spans="1:26" ht="18" customHeight="1">
      <c r="A61" s="63"/>
      <c r="B61" s="156"/>
      <c r="C61" s="157"/>
      <c r="D61" s="157"/>
      <c r="E61" s="158"/>
      <c r="F61" s="30"/>
      <c r="G61" s="30"/>
      <c r="H61" s="162"/>
      <c r="I61" s="163"/>
      <c r="J61" s="164"/>
      <c r="K61" s="24"/>
      <c r="L61" s="11"/>
      <c r="M61" s="11"/>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t="s">
        <v>146</v>
      </c>
      <c r="C70" s="154"/>
      <c r="D70" s="154"/>
      <c r="E70" s="154"/>
      <c r="F70" s="155"/>
      <c r="G70" s="225" t="s">
        <v>130</v>
      </c>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t="s">
        <v>147</v>
      </c>
      <c r="C71" s="157"/>
      <c r="D71" s="157"/>
      <c r="E71" s="157"/>
      <c r="F71" s="158"/>
      <c r="G71" s="202" t="s">
        <v>130</v>
      </c>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c r="C72" s="157"/>
      <c r="D72" s="157"/>
      <c r="E72" s="157"/>
      <c r="F72" s="158"/>
      <c r="G72" s="202"/>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148</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149</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150</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151</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152</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230"/>
      <c r="C85" s="18" t="s">
        <v>88</v>
      </c>
      <c r="D85" s="209" t="s">
        <v>153</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47.6" customHeight="1">
      <c r="B86" s="231" t="s">
        <v>114</v>
      </c>
      <c r="C86" s="19" t="s">
        <v>90</v>
      </c>
      <c r="D86" s="236" t="s">
        <v>154</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155</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193.5" customHeight="1">
      <c r="B88" s="231" t="s">
        <v>117</v>
      </c>
      <c r="C88" s="16" t="s">
        <v>93</v>
      </c>
      <c r="D88" s="233" t="s">
        <v>156</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157</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158</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K60:L60 L49:M55 Y38:Z44 L38:M44 Y49:Z55 Y60:Z66 H27:H33 H16:H22 U16:U22 H49:H55 U27:U33 L27:M33 U38:U44 K64 U49:U55 L61:L66 T60:T66 H38:H44 M60:M66 K61:K62 G60:G66" xr:uid="{00000000-0002-0000-0300-000000000000}">
      <formula1>"○"</formula1>
    </dataValidation>
    <dataValidation type="list" allowBlank="1" showInputMessage="1" showErrorMessage="1" sqref="Z23 Z34 D34:K34 D23:K23 V16:V22 I27:I33 V27:V33 I16:I22 V38:V44 I49:I55 V49:V55 I38:I44 U60:U66 H60:H66" xr:uid="{00000000-0002-0000-0300-000001000000}">
      <formula1>"全学開講,一部開講"</formula1>
    </dataValidation>
    <dataValidation type="list" allowBlank="1" showInputMessage="1" showErrorMessage="1" sqref="O4" xr:uid="{00000000-0002-0000-03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3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300-000000000000}"/>
  </hyperlinks>
  <printOptions horizontalCentered="1"/>
  <pageMargins left="0.78740157480314965" right="0.78740157480314965" top="0.59055118110236227" bottom="0.19685039370078741" header="0.31496062992125984" footer="0.31496062992125984"/>
  <pageSetup paperSize="9" scale="98" orientation="landscape" r:id="rId2"/>
  <rowBreaks count="3" manualBreakCount="3">
    <brk id="34" max="25" man="1"/>
    <brk id="67" max="25" man="1"/>
    <brk id="83" max="25"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Z98"/>
  <sheetViews>
    <sheetView showZeros="0"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159</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160</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161</v>
      </c>
      <c r="C16" s="179"/>
      <c r="D16" s="179"/>
      <c r="E16" s="179"/>
      <c r="F16" s="180"/>
      <c r="G16" s="29">
        <v>2</v>
      </c>
      <c r="H16" s="29" t="s">
        <v>81</v>
      </c>
      <c r="I16" s="184" t="s">
        <v>82</v>
      </c>
      <c r="J16" s="185"/>
      <c r="K16" s="186"/>
      <c r="L16" s="10" t="s">
        <v>81</v>
      </c>
      <c r="M16" s="10"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161</v>
      </c>
      <c r="C27" s="179"/>
      <c r="D27" s="179"/>
      <c r="E27" s="179"/>
      <c r="F27" s="180"/>
      <c r="G27" s="29">
        <v>2</v>
      </c>
      <c r="H27" s="29" t="s">
        <v>81</v>
      </c>
      <c r="I27" s="184" t="s">
        <v>82</v>
      </c>
      <c r="J27" s="185"/>
      <c r="K27" s="186"/>
      <c r="L27" s="10" t="s">
        <v>81</v>
      </c>
      <c r="M27" s="10"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161</v>
      </c>
      <c r="C38" s="179"/>
      <c r="D38" s="179"/>
      <c r="E38" s="179"/>
      <c r="F38" s="180"/>
      <c r="G38" s="29">
        <v>2</v>
      </c>
      <c r="H38" s="29" t="s">
        <v>81</v>
      </c>
      <c r="I38" s="184" t="s">
        <v>82</v>
      </c>
      <c r="J38" s="185"/>
      <c r="K38" s="186"/>
      <c r="L38" s="10" t="s">
        <v>81</v>
      </c>
      <c r="M38" s="10"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161</v>
      </c>
      <c r="C49" s="179"/>
      <c r="D49" s="179"/>
      <c r="E49" s="179"/>
      <c r="F49" s="180"/>
      <c r="G49" s="29">
        <v>2</v>
      </c>
      <c r="H49" s="29" t="s">
        <v>81</v>
      </c>
      <c r="I49" s="184" t="s">
        <v>82</v>
      </c>
      <c r="J49" s="185"/>
      <c r="K49" s="186"/>
      <c r="L49" s="10" t="s">
        <v>81</v>
      </c>
      <c r="M49" s="10"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3" t="s">
        <v>161</v>
      </c>
      <c r="C60" s="154"/>
      <c r="D60" s="154"/>
      <c r="E60" s="155"/>
      <c r="F60" s="29">
        <v>2</v>
      </c>
      <c r="G60" s="29" t="s">
        <v>81</v>
      </c>
      <c r="H60" s="184" t="s">
        <v>82</v>
      </c>
      <c r="I60" s="185"/>
      <c r="J60" s="186"/>
      <c r="K60" s="10" t="s">
        <v>81</v>
      </c>
      <c r="L60" s="10" t="s">
        <v>81</v>
      </c>
      <c r="M60" s="10" t="s">
        <v>81</v>
      </c>
      <c r="N60" s="153"/>
      <c r="O60" s="154"/>
      <c r="P60" s="154"/>
      <c r="Q60" s="154"/>
      <c r="R60" s="155"/>
      <c r="S60" s="29"/>
      <c r="T60" s="29"/>
      <c r="U60" s="184"/>
      <c r="V60" s="185"/>
      <c r="W60" s="186"/>
      <c r="X60" s="23"/>
      <c r="Y60" s="10"/>
      <c r="Z60" s="10"/>
    </row>
    <row r="61" spans="1:26" ht="18" customHeight="1">
      <c r="A61" s="63"/>
      <c r="B61" s="242"/>
      <c r="C61" s="243"/>
      <c r="D61" s="243"/>
      <c r="E61" s="244"/>
      <c r="F61" s="88"/>
      <c r="G61" s="88"/>
      <c r="H61" s="245"/>
      <c r="I61" s="246"/>
      <c r="J61" s="247"/>
      <c r="K61" s="89"/>
      <c r="L61" s="89"/>
      <c r="M61" s="89"/>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t="s">
        <v>162</v>
      </c>
      <c r="C70" s="154"/>
      <c r="D70" s="154"/>
      <c r="E70" s="154"/>
      <c r="F70" s="155"/>
      <c r="G70" s="225" t="s">
        <v>130</v>
      </c>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t="s">
        <v>163</v>
      </c>
      <c r="C71" s="157"/>
      <c r="D71" s="157"/>
      <c r="E71" s="157"/>
      <c r="F71" s="158"/>
      <c r="G71" s="202" t="s">
        <v>130</v>
      </c>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c r="C72" s="157"/>
      <c r="D72" s="157"/>
      <c r="E72" s="157"/>
      <c r="F72" s="158"/>
      <c r="G72" s="202"/>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164</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165</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166</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167</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168</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230"/>
      <c r="C85" s="18" t="s">
        <v>88</v>
      </c>
      <c r="D85" s="209" t="s">
        <v>169</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47.6" customHeight="1">
      <c r="B86" s="231" t="s">
        <v>114</v>
      </c>
      <c r="C86" s="19" t="s">
        <v>90</v>
      </c>
      <c r="D86" s="236" t="s">
        <v>170</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171</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192.95" customHeight="1">
      <c r="B88" s="231" t="s">
        <v>117</v>
      </c>
      <c r="C88" s="16" t="s">
        <v>93</v>
      </c>
      <c r="D88" s="233" t="s">
        <v>172</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173</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174</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00000000-0002-0000-04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400-000001000000}">
      <formula1>"学部・学科によって、修了要件は相違する,学部・学科によって、修了要件は相違しない"</formula1>
    </dataValidation>
    <dataValidation type="list" allowBlank="1" showInputMessage="1" showErrorMessage="1" sqref="Z23 Z34 D34:K34 D23:K23 V16:V22 I27:I33 V27:V33 I16:I22 V38:V44 I49:I55 V49:V55 I38:I44 U60:U66 H60:H66" xr:uid="{00000000-0002-0000-0400-000002000000}">
      <formula1>"全学開講,一部開講"</formula1>
    </dataValidation>
    <dataValidation type="list" allowBlank="1" showInputMessage="1" showErrorMessage="1" sqref="Y16:Z22 L16:M22 Y27:Z33 H27:H33 L49:M55 Y38:Z44 L38:M44 Y49:Z55 Y60:Z66 H38:H44 H16:H22 U16:U22 L62:L66 U27:U33 L27:M33 U38:U44 K64 U49:U55 T60:T66 H49:H55 K62 K60:L61 M60:M66 G60:G66" xr:uid="{00000000-0002-0000-0400-000003000000}">
      <formula1>"○"</formula1>
    </dataValidation>
  </dataValidations>
  <hyperlinks>
    <hyperlink ref="B98" r:id="rId1" xr:uid="{00000000-0004-0000-0400-000000000000}"/>
  </hyperlinks>
  <printOptions horizontalCentered="1"/>
  <pageMargins left="0.78740157480314965" right="0.78740157480314965" top="0.59055118110236227" bottom="0.19685039370078741" header="0.31496062992125984" footer="0.31496062992125984"/>
  <pageSetup paperSize="9" scale="98" orientation="landscape" r:id="rId2"/>
  <rowBreaks count="3" manualBreakCount="3">
    <brk id="34" max="25" man="1"/>
    <brk id="67" max="25" man="1"/>
    <brk id="83" max="2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Z98"/>
  <sheetViews>
    <sheetView showZeros="0"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175</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176</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161</v>
      </c>
      <c r="C16" s="179"/>
      <c r="D16" s="179"/>
      <c r="E16" s="179"/>
      <c r="F16" s="180"/>
      <c r="G16" s="29">
        <v>2</v>
      </c>
      <c r="H16" s="29" t="s">
        <v>81</v>
      </c>
      <c r="I16" s="184" t="s">
        <v>82</v>
      </c>
      <c r="J16" s="185"/>
      <c r="K16" s="186"/>
      <c r="L16" s="10" t="s">
        <v>81</v>
      </c>
      <c r="M16" s="10"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161</v>
      </c>
      <c r="C27" s="179"/>
      <c r="D27" s="179"/>
      <c r="E27" s="179"/>
      <c r="F27" s="180"/>
      <c r="G27" s="29">
        <v>2</v>
      </c>
      <c r="H27" s="29" t="s">
        <v>81</v>
      </c>
      <c r="I27" s="184" t="s">
        <v>82</v>
      </c>
      <c r="J27" s="185"/>
      <c r="K27" s="186"/>
      <c r="L27" s="10" t="s">
        <v>81</v>
      </c>
      <c r="M27" s="10"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161</v>
      </c>
      <c r="C38" s="179"/>
      <c r="D38" s="179"/>
      <c r="E38" s="179"/>
      <c r="F38" s="180"/>
      <c r="G38" s="29">
        <v>2</v>
      </c>
      <c r="H38" s="29" t="s">
        <v>81</v>
      </c>
      <c r="I38" s="184" t="s">
        <v>82</v>
      </c>
      <c r="J38" s="185"/>
      <c r="K38" s="186"/>
      <c r="L38" s="10" t="s">
        <v>81</v>
      </c>
      <c r="M38" s="10"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161</v>
      </c>
      <c r="C49" s="179"/>
      <c r="D49" s="179"/>
      <c r="E49" s="179"/>
      <c r="F49" s="180"/>
      <c r="G49" s="29">
        <v>2</v>
      </c>
      <c r="H49" s="29" t="s">
        <v>81</v>
      </c>
      <c r="I49" s="184" t="s">
        <v>82</v>
      </c>
      <c r="J49" s="185"/>
      <c r="K49" s="186"/>
      <c r="L49" s="10" t="s">
        <v>81</v>
      </c>
      <c r="M49" s="10"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3" t="s">
        <v>161</v>
      </c>
      <c r="C60" s="154"/>
      <c r="D60" s="154"/>
      <c r="E60" s="155"/>
      <c r="F60" s="29">
        <v>2</v>
      </c>
      <c r="G60" s="29" t="s">
        <v>81</v>
      </c>
      <c r="H60" s="184" t="s">
        <v>82</v>
      </c>
      <c r="I60" s="185"/>
      <c r="J60" s="186"/>
      <c r="K60" s="23" t="s">
        <v>81</v>
      </c>
      <c r="L60" s="10" t="s">
        <v>81</v>
      </c>
      <c r="M60" s="10" t="s">
        <v>81</v>
      </c>
      <c r="N60" s="153"/>
      <c r="O60" s="154"/>
      <c r="P60" s="154"/>
      <c r="Q60" s="154"/>
      <c r="R60" s="155"/>
      <c r="S60" s="29"/>
      <c r="T60" s="29"/>
      <c r="U60" s="184"/>
      <c r="V60" s="185"/>
      <c r="W60" s="186"/>
      <c r="X60" s="23"/>
      <c r="Y60" s="10"/>
      <c r="Z60" s="10"/>
    </row>
    <row r="61" spans="1:26" ht="18" customHeight="1">
      <c r="A61" s="63"/>
      <c r="B61" s="156"/>
      <c r="C61" s="157"/>
      <c r="D61" s="157"/>
      <c r="E61" s="158"/>
      <c r="F61" s="30"/>
      <c r="G61" s="30"/>
      <c r="H61" s="162"/>
      <c r="I61" s="163"/>
      <c r="J61" s="164"/>
      <c r="K61" s="24"/>
      <c r="L61" s="11"/>
      <c r="M61" s="11"/>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t="s">
        <v>177</v>
      </c>
      <c r="C70" s="154"/>
      <c r="D70" s="154"/>
      <c r="E70" s="154"/>
      <c r="F70" s="155"/>
      <c r="G70" s="225" t="s">
        <v>100</v>
      </c>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t="s">
        <v>163</v>
      </c>
      <c r="C71" s="157"/>
      <c r="D71" s="157"/>
      <c r="E71" s="157"/>
      <c r="F71" s="158"/>
      <c r="G71" s="202" t="s">
        <v>130</v>
      </c>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c r="C72" s="157"/>
      <c r="D72" s="157"/>
      <c r="E72" s="157"/>
      <c r="F72" s="158"/>
      <c r="G72" s="202"/>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164</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165</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166</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167</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168</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230"/>
      <c r="C85" s="18" t="s">
        <v>88</v>
      </c>
      <c r="D85" s="209" t="s">
        <v>169</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47.6" customHeight="1">
      <c r="B86" s="231" t="s">
        <v>114</v>
      </c>
      <c r="C86" s="19" t="s">
        <v>90</v>
      </c>
      <c r="D86" s="236" t="s">
        <v>170</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171</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192.95" customHeight="1">
      <c r="B88" s="231" t="s">
        <v>117</v>
      </c>
      <c r="C88" s="16" t="s">
        <v>93</v>
      </c>
      <c r="D88" s="233" t="s">
        <v>172</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173</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174</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H27:H33 L49:M55 Y38:Z44 L38:M44 Y49:Z55 Y60:Z66 H38:H44 H16:H22 U16:U22 K60:K62 U27:U33 L27:M33 U38:U44 K64 U49:U55 G60:G66 T60:T66 L60:M66 H49:H55" xr:uid="{00000000-0002-0000-0500-000000000000}">
      <formula1>"○"</formula1>
    </dataValidation>
    <dataValidation type="list" allowBlank="1" showInputMessage="1" showErrorMessage="1" sqref="Z23 Z34 D34:K34 D23:K23 V16:V22 I27:I33 V27:V33 I16:I22 V38:V44 H60:H66 V49:V55 I38:I44 U60:U66 I49:I55" xr:uid="{00000000-0002-0000-0500-000001000000}">
      <formula1>"全学開講,一部開講"</formula1>
    </dataValidation>
    <dataValidation type="list" allowBlank="1" showInputMessage="1" showErrorMessage="1" sqref="O4" xr:uid="{00000000-0002-0000-05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5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500-000000000000}"/>
  </hyperlinks>
  <printOptions horizontalCentered="1"/>
  <pageMargins left="0.78740157480314965" right="0.78740157480314965" top="0.59055118110236227" bottom="0.19685039370078741" header="0.31496062992125984" footer="0.31496062992125984"/>
  <pageSetup paperSize="9" scale="98" orientation="landscape" r:id="rId2"/>
  <rowBreaks count="3" manualBreakCount="3">
    <brk id="34" max="25" man="1"/>
    <brk id="67" max="25" man="1"/>
    <brk id="83" max="25"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Z98"/>
  <sheetViews>
    <sheetView showZeros="0"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178</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179</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180</v>
      </c>
      <c r="C16" s="179"/>
      <c r="D16" s="179"/>
      <c r="E16" s="179"/>
      <c r="F16" s="180"/>
      <c r="G16" s="29">
        <v>2</v>
      </c>
      <c r="H16" s="29" t="s">
        <v>81</v>
      </c>
      <c r="I16" s="184" t="s">
        <v>82</v>
      </c>
      <c r="J16" s="185"/>
      <c r="K16" s="186"/>
      <c r="L16" s="10" t="s">
        <v>81</v>
      </c>
      <c r="M16" s="10"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180</v>
      </c>
      <c r="C27" s="179"/>
      <c r="D27" s="179"/>
      <c r="E27" s="179"/>
      <c r="F27" s="180"/>
      <c r="G27" s="29">
        <v>2</v>
      </c>
      <c r="H27" s="29" t="s">
        <v>81</v>
      </c>
      <c r="I27" s="184" t="s">
        <v>82</v>
      </c>
      <c r="J27" s="185"/>
      <c r="K27" s="186"/>
      <c r="L27" s="10" t="s">
        <v>81</v>
      </c>
      <c r="M27" s="10"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180</v>
      </c>
      <c r="C38" s="179"/>
      <c r="D38" s="179"/>
      <c r="E38" s="179"/>
      <c r="F38" s="180"/>
      <c r="G38" s="29">
        <v>2</v>
      </c>
      <c r="H38" s="29" t="s">
        <v>81</v>
      </c>
      <c r="I38" s="184" t="s">
        <v>82</v>
      </c>
      <c r="J38" s="185"/>
      <c r="K38" s="186"/>
      <c r="L38" s="10" t="s">
        <v>81</v>
      </c>
      <c r="M38" s="10"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180</v>
      </c>
      <c r="C49" s="179"/>
      <c r="D49" s="179"/>
      <c r="E49" s="179"/>
      <c r="F49" s="180"/>
      <c r="G49" s="29">
        <v>2</v>
      </c>
      <c r="H49" s="29" t="s">
        <v>81</v>
      </c>
      <c r="I49" s="184" t="s">
        <v>82</v>
      </c>
      <c r="J49" s="185"/>
      <c r="K49" s="186"/>
      <c r="L49" s="10" t="s">
        <v>81</v>
      </c>
      <c r="M49" s="10"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3" t="s">
        <v>180</v>
      </c>
      <c r="C60" s="154"/>
      <c r="D60" s="154"/>
      <c r="E60" s="155"/>
      <c r="F60" s="29">
        <v>2</v>
      </c>
      <c r="G60" s="29" t="s">
        <v>81</v>
      </c>
      <c r="H60" s="184" t="s">
        <v>82</v>
      </c>
      <c r="I60" s="185"/>
      <c r="J60" s="186"/>
      <c r="K60" s="23" t="s">
        <v>81</v>
      </c>
      <c r="L60" s="10" t="s">
        <v>81</v>
      </c>
      <c r="M60" s="10" t="s">
        <v>81</v>
      </c>
      <c r="N60" s="153"/>
      <c r="O60" s="154"/>
      <c r="P60" s="154"/>
      <c r="Q60" s="154"/>
      <c r="R60" s="155"/>
      <c r="S60" s="29"/>
      <c r="T60" s="29"/>
      <c r="U60" s="184"/>
      <c r="V60" s="185"/>
      <c r="W60" s="186"/>
      <c r="X60" s="23"/>
      <c r="Y60" s="10"/>
      <c r="Z60" s="10"/>
    </row>
    <row r="61" spans="1:26" ht="18" customHeight="1">
      <c r="A61" s="63"/>
      <c r="B61" s="156" t="s">
        <v>181</v>
      </c>
      <c r="C61" s="157"/>
      <c r="D61" s="157"/>
      <c r="E61" s="158"/>
      <c r="F61" s="30">
        <v>2</v>
      </c>
      <c r="G61" s="30" t="s">
        <v>81</v>
      </c>
      <c r="H61" s="162" t="s">
        <v>82</v>
      </c>
      <c r="I61" s="163"/>
      <c r="J61" s="164"/>
      <c r="K61" s="24" t="s">
        <v>81</v>
      </c>
      <c r="L61" s="11" t="s">
        <v>81</v>
      </c>
      <c r="M61" s="11" t="s">
        <v>81</v>
      </c>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t="s">
        <v>129</v>
      </c>
      <c r="C70" s="154"/>
      <c r="D70" s="154"/>
      <c r="E70" s="154"/>
      <c r="F70" s="155"/>
      <c r="G70" s="225" t="s">
        <v>130</v>
      </c>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t="s">
        <v>182</v>
      </c>
      <c r="C71" s="157"/>
      <c r="D71" s="157"/>
      <c r="E71" s="157"/>
      <c r="F71" s="158"/>
      <c r="G71" s="202" t="s">
        <v>100</v>
      </c>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t="s">
        <v>183</v>
      </c>
      <c r="C72" s="157"/>
      <c r="D72" s="157"/>
      <c r="E72" s="157"/>
      <c r="F72" s="158"/>
      <c r="G72" s="202" t="s">
        <v>100</v>
      </c>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184</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185</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186</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187</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188</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230"/>
      <c r="C85" s="18" t="s">
        <v>88</v>
      </c>
      <c r="D85" s="209" t="s">
        <v>189</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47.6" customHeight="1">
      <c r="B86" s="231" t="s">
        <v>114</v>
      </c>
      <c r="C86" s="19" t="s">
        <v>90</v>
      </c>
      <c r="D86" s="236" t="s">
        <v>190</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191</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192.95" customHeight="1">
      <c r="B88" s="231" t="s">
        <v>117</v>
      </c>
      <c r="C88" s="16" t="s">
        <v>93</v>
      </c>
      <c r="D88" s="233" t="s">
        <v>192</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193</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194</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00000000-0002-0000-06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600-000001000000}">
      <formula1>"学部・学科によって、修了要件は相違する,学部・学科によって、修了要件は相違しない"</formula1>
    </dataValidation>
    <dataValidation type="list" allowBlank="1" showInputMessage="1" showErrorMessage="1" sqref="Z23 Z34 D34:K34 D23:K23 V16:V22 I38:I44 V27:V33 I27:I33 V38:V44 H60:H66 V49:V55 I49:I55 U60:U66 I16:I22" xr:uid="{00000000-0002-0000-0600-000002000000}">
      <formula1>"全学開講,一部開講"</formula1>
    </dataValidation>
    <dataValidation type="list" allowBlank="1" showInputMessage="1" showErrorMessage="1" sqref="Y16:Z22 L16:M22 Y27:Z33 H27:H33 L49:M55 Y38:Z44 L38:M44 Y49:Z55 Y60:Z66 H38:H44 H16:H22 U16:U22 K60:K62 U27:U33 L27:M33 U38:U44 K64 U49:U55 G60:G66 T60:T66 L60:M66 H49:H55" xr:uid="{00000000-0002-0000-0600-000003000000}">
      <formula1>"○"</formula1>
    </dataValidation>
  </dataValidations>
  <hyperlinks>
    <hyperlink ref="B98" r:id="rId1" xr:uid="{00000000-0004-0000-0600-000000000000}"/>
  </hyperlinks>
  <printOptions horizontalCentered="1"/>
  <pageMargins left="0.78740157480314965" right="0.78740157480314965" top="0.59055118110236227" bottom="0.19685039370078741" header="0.31496062992125984" footer="0.31496062992125984"/>
  <pageSetup paperSize="9" scale="98" orientation="landscape" r:id="rId2"/>
  <rowBreaks count="3" manualBreakCount="3">
    <brk id="34" max="25" man="1"/>
    <brk id="67" max="25" man="1"/>
    <brk id="83" max="2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Z98"/>
  <sheetViews>
    <sheetView showZeros="0"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195</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196</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144</v>
      </c>
      <c r="C16" s="179"/>
      <c r="D16" s="179"/>
      <c r="E16" s="179"/>
      <c r="F16" s="180"/>
      <c r="G16" s="29">
        <v>2</v>
      </c>
      <c r="H16" s="29" t="s">
        <v>81</v>
      </c>
      <c r="I16" s="184" t="s">
        <v>82</v>
      </c>
      <c r="J16" s="185"/>
      <c r="K16" s="186"/>
      <c r="L16" s="10" t="s">
        <v>81</v>
      </c>
      <c r="M16" s="10"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144</v>
      </c>
      <c r="C27" s="179"/>
      <c r="D27" s="179"/>
      <c r="E27" s="179"/>
      <c r="F27" s="180"/>
      <c r="G27" s="29">
        <v>2</v>
      </c>
      <c r="H27" s="29" t="s">
        <v>81</v>
      </c>
      <c r="I27" s="184" t="s">
        <v>82</v>
      </c>
      <c r="J27" s="185"/>
      <c r="K27" s="186"/>
      <c r="L27" s="10" t="s">
        <v>81</v>
      </c>
      <c r="M27" s="10"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144</v>
      </c>
      <c r="C38" s="179"/>
      <c r="D38" s="179"/>
      <c r="E38" s="179"/>
      <c r="F38" s="180"/>
      <c r="G38" s="29">
        <v>2</v>
      </c>
      <c r="H38" s="29" t="s">
        <v>81</v>
      </c>
      <c r="I38" s="184" t="s">
        <v>82</v>
      </c>
      <c r="J38" s="185"/>
      <c r="K38" s="186"/>
      <c r="L38" s="10" t="s">
        <v>81</v>
      </c>
      <c r="M38" s="10"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144</v>
      </c>
      <c r="C49" s="179"/>
      <c r="D49" s="179"/>
      <c r="E49" s="179"/>
      <c r="F49" s="180"/>
      <c r="G49" s="29">
        <v>2</v>
      </c>
      <c r="H49" s="29" t="s">
        <v>81</v>
      </c>
      <c r="I49" s="184" t="s">
        <v>82</v>
      </c>
      <c r="J49" s="185"/>
      <c r="K49" s="186"/>
      <c r="L49" s="10" t="s">
        <v>81</v>
      </c>
      <c r="M49" s="10"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3" t="s">
        <v>144</v>
      </c>
      <c r="C60" s="154"/>
      <c r="D60" s="154"/>
      <c r="E60" s="155"/>
      <c r="F60" s="29">
        <v>2</v>
      </c>
      <c r="G60" s="29" t="s">
        <v>81</v>
      </c>
      <c r="H60" s="184" t="s">
        <v>82</v>
      </c>
      <c r="I60" s="185"/>
      <c r="J60" s="186"/>
      <c r="K60" s="10" t="s">
        <v>81</v>
      </c>
      <c r="L60" s="10" t="s">
        <v>81</v>
      </c>
      <c r="M60" s="10" t="s">
        <v>81</v>
      </c>
      <c r="N60" s="153"/>
      <c r="O60" s="154"/>
      <c r="P60" s="154"/>
      <c r="Q60" s="154"/>
      <c r="R60" s="155"/>
      <c r="S60" s="29"/>
      <c r="T60" s="29"/>
      <c r="U60" s="184"/>
      <c r="V60" s="185"/>
      <c r="W60" s="186"/>
      <c r="X60" s="23"/>
      <c r="Y60" s="10"/>
      <c r="Z60" s="10"/>
    </row>
    <row r="61" spans="1:26" ht="18" customHeight="1">
      <c r="A61" s="63"/>
      <c r="B61" s="156"/>
      <c r="C61" s="157"/>
      <c r="D61" s="157"/>
      <c r="E61" s="158"/>
      <c r="F61" s="30"/>
      <c r="G61" s="30"/>
      <c r="H61" s="162"/>
      <c r="I61" s="163"/>
      <c r="J61" s="164"/>
      <c r="K61" s="24"/>
      <c r="L61" s="11"/>
      <c r="M61" s="11"/>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t="s">
        <v>146</v>
      </c>
      <c r="C70" s="154"/>
      <c r="D70" s="154"/>
      <c r="E70" s="154"/>
      <c r="F70" s="155"/>
      <c r="G70" s="225" t="s">
        <v>130</v>
      </c>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c r="C71" s="157"/>
      <c r="D71" s="157"/>
      <c r="E71" s="157"/>
      <c r="F71" s="158"/>
      <c r="G71" s="202"/>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c r="C72" s="157"/>
      <c r="D72" s="157"/>
      <c r="E72" s="157"/>
      <c r="F72" s="158"/>
      <c r="G72" s="202"/>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148</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149</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150</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151</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152</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230"/>
      <c r="C85" s="18" t="s">
        <v>88</v>
      </c>
      <c r="D85" s="209" t="s">
        <v>153</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47.6" customHeight="1">
      <c r="B86" s="231" t="s">
        <v>114</v>
      </c>
      <c r="C86" s="19" t="s">
        <v>90</v>
      </c>
      <c r="D86" s="236" t="s">
        <v>154</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155</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192.95" customHeight="1">
      <c r="B88" s="231" t="s">
        <v>117</v>
      </c>
      <c r="C88" s="16" t="s">
        <v>93</v>
      </c>
      <c r="D88" s="233" t="s">
        <v>156</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157</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158</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K60:K62 L49:M55 Y38:Z44 L38:M44 Y49:Z55 Y60:Z66 H27:H33 H16:H22 U16:U22 H49:H55 U27:U33 L27:M33 U38:U44 K64 U49:U55 H38:H44 T60:T66 L60:M66 G60:G66" xr:uid="{00000000-0002-0000-0700-000000000000}">
      <formula1>"○"</formula1>
    </dataValidation>
    <dataValidation type="list" allowBlank="1" showInputMessage="1" showErrorMessage="1" sqref="Z23 Z34 D34:K34 D23:K23 V16:V22 I27:I33 V27:V33 I16:I22 V38:V44 I49:I55 V49:V55 I38:I44 U60:U66 H60:H66" xr:uid="{00000000-0002-0000-0700-000001000000}">
      <formula1>"全学開講,一部開講"</formula1>
    </dataValidation>
    <dataValidation type="list" allowBlank="1" showInputMessage="1" showErrorMessage="1" sqref="O4" xr:uid="{00000000-0002-0000-07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7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700-000000000000}"/>
  </hyperlinks>
  <printOptions horizontalCentered="1"/>
  <pageMargins left="0.78740157480314965" right="0.78740157480314965" top="0.59055118110236227" bottom="0.19685039370078741" header="0.31496062992125984" footer="0.31496062992125984"/>
  <pageSetup paperSize="9" scale="98" orientation="landscape" r:id="rId2"/>
  <rowBreaks count="3" manualBreakCount="3">
    <brk id="34" max="25" man="1"/>
    <brk id="67" max="25" man="1"/>
    <brk id="83" max="2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Z98"/>
  <sheetViews>
    <sheetView showZeros="0"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197</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198</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161</v>
      </c>
      <c r="C16" s="179"/>
      <c r="D16" s="179"/>
      <c r="E16" s="179"/>
      <c r="F16" s="180"/>
      <c r="G16" s="29">
        <v>2</v>
      </c>
      <c r="H16" s="29" t="s">
        <v>81</v>
      </c>
      <c r="I16" s="184" t="s">
        <v>82</v>
      </c>
      <c r="J16" s="185"/>
      <c r="K16" s="186"/>
      <c r="L16" s="10" t="s">
        <v>81</v>
      </c>
      <c r="M16" s="10"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161</v>
      </c>
      <c r="C27" s="179"/>
      <c r="D27" s="179"/>
      <c r="E27" s="179"/>
      <c r="F27" s="180"/>
      <c r="G27" s="29">
        <v>2</v>
      </c>
      <c r="H27" s="29" t="s">
        <v>81</v>
      </c>
      <c r="I27" s="184" t="s">
        <v>82</v>
      </c>
      <c r="J27" s="185"/>
      <c r="K27" s="186"/>
      <c r="L27" s="10" t="s">
        <v>81</v>
      </c>
      <c r="M27" s="10"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161</v>
      </c>
      <c r="C38" s="179"/>
      <c r="D38" s="179"/>
      <c r="E38" s="179"/>
      <c r="F38" s="180"/>
      <c r="G38" s="29">
        <v>2</v>
      </c>
      <c r="H38" s="29" t="s">
        <v>81</v>
      </c>
      <c r="I38" s="184" t="s">
        <v>82</v>
      </c>
      <c r="J38" s="185"/>
      <c r="K38" s="186"/>
      <c r="L38" s="10" t="s">
        <v>81</v>
      </c>
      <c r="M38" s="10"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161</v>
      </c>
      <c r="C49" s="179"/>
      <c r="D49" s="179"/>
      <c r="E49" s="179"/>
      <c r="F49" s="180"/>
      <c r="G49" s="29">
        <v>2</v>
      </c>
      <c r="H49" s="29" t="s">
        <v>81</v>
      </c>
      <c r="I49" s="184" t="s">
        <v>82</v>
      </c>
      <c r="J49" s="185"/>
      <c r="K49" s="186"/>
      <c r="L49" s="10" t="s">
        <v>81</v>
      </c>
      <c r="M49" s="10"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3" t="s">
        <v>161</v>
      </c>
      <c r="C60" s="154"/>
      <c r="D60" s="154"/>
      <c r="E60" s="155"/>
      <c r="F60" s="29">
        <v>2</v>
      </c>
      <c r="G60" s="29" t="s">
        <v>81</v>
      </c>
      <c r="H60" s="184" t="s">
        <v>82</v>
      </c>
      <c r="I60" s="185"/>
      <c r="J60" s="186"/>
      <c r="K60" s="10" t="s">
        <v>81</v>
      </c>
      <c r="L60" s="10" t="s">
        <v>81</v>
      </c>
      <c r="M60" s="10" t="s">
        <v>81</v>
      </c>
      <c r="N60" s="153"/>
      <c r="O60" s="154"/>
      <c r="P60" s="154"/>
      <c r="Q60" s="154"/>
      <c r="R60" s="155"/>
      <c r="S60" s="29"/>
      <c r="T60" s="29"/>
      <c r="U60" s="184"/>
      <c r="V60" s="185"/>
      <c r="W60" s="186"/>
      <c r="X60" s="23"/>
      <c r="Y60" s="10"/>
      <c r="Z60" s="10"/>
    </row>
    <row r="61" spans="1:26" ht="18" customHeight="1">
      <c r="A61" s="63"/>
      <c r="B61" s="156"/>
      <c r="C61" s="157"/>
      <c r="D61" s="157"/>
      <c r="E61" s="158"/>
      <c r="F61" s="30"/>
      <c r="G61" s="30"/>
      <c r="H61" s="162"/>
      <c r="I61" s="163"/>
      <c r="J61" s="164"/>
      <c r="K61" s="24"/>
      <c r="L61" s="11"/>
      <c r="M61" s="11"/>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t="s">
        <v>146</v>
      </c>
      <c r="C70" s="154"/>
      <c r="D70" s="154"/>
      <c r="E70" s="154"/>
      <c r="F70" s="155"/>
      <c r="G70" s="225" t="s">
        <v>130</v>
      </c>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c r="C71" s="157"/>
      <c r="D71" s="157"/>
      <c r="E71" s="157"/>
      <c r="F71" s="158"/>
      <c r="G71" s="202"/>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c r="C72" s="157"/>
      <c r="D72" s="157"/>
      <c r="E72" s="157"/>
      <c r="F72" s="158"/>
      <c r="G72" s="202"/>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164</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165</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166</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167</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168</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230"/>
      <c r="C85" s="18" t="s">
        <v>88</v>
      </c>
      <c r="D85" s="209" t="s">
        <v>169</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47.6" customHeight="1">
      <c r="B86" s="231" t="s">
        <v>114</v>
      </c>
      <c r="C86" s="19" t="s">
        <v>90</v>
      </c>
      <c r="D86" s="236" t="s">
        <v>170</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171</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192.95" customHeight="1">
      <c r="B88" s="231" t="s">
        <v>117</v>
      </c>
      <c r="C88" s="16" t="s">
        <v>93</v>
      </c>
      <c r="D88" s="233" t="s">
        <v>172</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173</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174</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00000000-0002-0000-08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800-000001000000}">
      <formula1>"学部・学科によって、修了要件は相違する,学部・学科によって、修了要件は相違しない"</formula1>
    </dataValidation>
    <dataValidation type="list" allowBlank="1" showInputMessage="1" showErrorMessage="1" sqref="Z23 Z34 D34:K34 D23:K23 V16:V22 I27:I33 V27:V33 I16:I22 V38:V44 I49:I55 V49:V55 I38:I44 U60:U66 H60:H66" xr:uid="{00000000-0002-0000-0800-000002000000}">
      <formula1>"全学開講,一部開講"</formula1>
    </dataValidation>
    <dataValidation type="list" allowBlank="1" showInputMessage="1" showErrorMessage="1" sqref="Y16:Z22 L16:M22 Y27:Z33 H27:H33 L49:M55 Y38:Z44 L38:M44 Y49:Z55 Y60:Z66 H38:H44 H16:H22 U16:U22 G60:G66 U27:U33 L27:M33 U38:U44 K64 U49:U55 L61:L66 T60:T66 H49:H55 M60:M66 K61:K62 K60:L60" xr:uid="{00000000-0002-0000-0800-000003000000}">
      <formula1>"○"</formula1>
    </dataValidation>
  </dataValidations>
  <hyperlinks>
    <hyperlink ref="B98" r:id="rId1" xr:uid="{00000000-0004-0000-0800-000000000000}"/>
  </hyperlinks>
  <printOptions horizontalCentered="1"/>
  <pageMargins left="0.78740157480314965" right="0.78740157480314965" top="0.59055118110236227" bottom="0.19685039370078741" header="0.31496062992125984" footer="0.31496062992125984"/>
  <pageSetup paperSize="9" scale="98" orientation="landscape" r:id="rId2"/>
  <rowBreaks count="3" manualBreakCount="3">
    <brk id="34" max="25" man="1"/>
    <brk id="67" max="25" man="1"/>
    <brk id="83" max="2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Z98"/>
  <sheetViews>
    <sheetView showZeros="0"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199</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200</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161</v>
      </c>
      <c r="C16" s="179"/>
      <c r="D16" s="179"/>
      <c r="E16" s="179"/>
      <c r="F16" s="180"/>
      <c r="G16" s="29">
        <v>2</v>
      </c>
      <c r="H16" s="29" t="s">
        <v>81</v>
      </c>
      <c r="I16" s="184" t="s">
        <v>82</v>
      </c>
      <c r="J16" s="185"/>
      <c r="K16" s="186"/>
      <c r="L16" s="10" t="s">
        <v>81</v>
      </c>
      <c r="M16" s="10"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161</v>
      </c>
      <c r="C27" s="179"/>
      <c r="D27" s="179"/>
      <c r="E27" s="179"/>
      <c r="F27" s="180"/>
      <c r="G27" s="29">
        <v>2</v>
      </c>
      <c r="H27" s="29" t="s">
        <v>81</v>
      </c>
      <c r="I27" s="184" t="s">
        <v>82</v>
      </c>
      <c r="J27" s="185"/>
      <c r="K27" s="186"/>
      <c r="L27" s="10" t="s">
        <v>81</v>
      </c>
      <c r="M27" s="10"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161</v>
      </c>
      <c r="C38" s="179"/>
      <c r="D38" s="179"/>
      <c r="E38" s="179"/>
      <c r="F38" s="180"/>
      <c r="G38" s="29">
        <v>2</v>
      </c>
      <c r="H38" s="29" t="s">
        <v>81</v>
      </c>
      <c r="I38" s="184" t="s">
        <v>82</v>
      </c>
      <c r="J38" s="185"/>
      <c r="K38" s="186"/>
      <c r="L38" s="10" t="s">
        <v>81</v>
      </c>
      <c r="M38" s="10"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161</v>
      </c>
      <c r="C49" s="179"/>
      <c r="D49" s="179"/>
      <c r="E49" s="179"/>
      <c r="F49" s="180"/>
      <c r="G49" s="29">
        <v>2</v>
      </c>
      <c r="H49" s="29" t="s">
        <v>81</v>
      </c>
      <c r="I49" s="184" t="s">
        <v>82</v>
      </c>
      <c r="J49" s="185"/>
      <c r="K49" s="186"/>
      <c r="L49" s="10" t="s">
        <v>81</v>
      </c>
      <c r="M49" s="10"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3" t="s">
        <v>161</v>
      </c>
      <c r="C60" s="154"/>
      <c r="D60" s="154"/>
      <c r="E60" s="155"/>
      <c r="F60" s="29">
        <v>2</v>
      </c>
      <c r="G60" s="29" t="s">
        <v>81</v>
      </c>
      <c r="H60" s="184" t="s">
        <v>82</v>
      </c>
      <c r="I60" s="185"/>
      <c r="J60" s="186"/>
      <c r="K60" s="10" t="s">
        <v>81</v>
      </c>
      <c r="L60" s="10" t="s">
        <v>81</v>
      </c>
      <c r="M60" s="10" t="s">
        <v>81</v>
      </c>
      <c r="N60" s="153"/>
      <c r="O60" s="154"/>
      <c r="P60" s="154"/>
      <c r="Q60" s="154"/>
      <c r="R60" s="155"/>
      <c r="S60" s="29"/>
      <c r="T60" s="29"/>
      <c r="U60" s="184"/>
      <c r="V60" s="185"/>
      <c r="W60" s="186"/>
      <c r="X60" s="23"/>
      <c r="Y60" s="10"/>
      <c r="Z60" s="10"/>
    </row>
    <row r="61" spans="1:26" ht="18" customHeight="1">
      <c r="A61" s="63"/>
      <c r="B61" s="156"/>
      <c r="C61" s="157"/>
      <c r="D61" s="157"/>
      <c r="E61" s="158"/>
      <c r="F61" s="30"/>
      <c r="G61" s="30"/>
      <c r="H61" s="162"/>
      <c r="I61" s="163"/>
      <c r="J61" s="164"/>
      <c r="K61" s="24"/>
      <c r="L61" s="11"/>
      <c r="M61" s="11"/>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t="s">
        <v>146</v>
      </c>
      <c r="C70" s="154"/>
      <c r="D70" s="154"/>
      <c r="E70" s="154"/>
      <c r="F70" s="155"/>
      <c r="G70" s="225" t="s">
        <v>130</v>
      </c>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c r="C71" s="157"/>
      <c r="D71" s="157"/>
      <c r="E71" s="157"/>
      <c r="F71" s="158"/>
      <c r="G71" s="202"/>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c r="C72" s="157"/>
      <c r="D72" s="157"/>
      <c r="E72" s="157"/>
      <c r="F72" s="158"/>
      <c r="G72" s="202"/>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164</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165</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166</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167</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168</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230"/>
      <c r="C85" s="18" t="s">
        <v>88</v>
      </c>
      <c r="D85" s="209" t="s">
        <v>169</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47.6" customHeight="1">
      <c r="B86" s="231" t="s">
        <v>114</v>
      </c>
      <c r="C86" s="19" t="s">
        <v>90</v>
      </c>
      <c r="D86" s="236" t="s">
        <v>170</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171</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192.95" customHeight="1">
      <c r="B88" s="231" t="s">
        <v>117</v>
      </c>
      <c r="C88" s="16" t="s">
        <v>93</v>
      </c>
      <c r="D88" s="233" t="s">
        <v>172</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173</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174</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L16:M22 Y27:Z33 H27:H33 L49:M55 Y38:Z44 L38:M44 Y49:Z55 Y60:Z66 H38:H44 H16:H22 U16:U22 G60:G66 U27:U33 L27:M33 U38:U44 K64 U49:U55 L61:L66 T60:T66 H49:H55 M60:M66 K61:K62 K60:L60" xr:uid="{00000000-0002-0000-0900-000000000000}">
      <formula1>"○"</formula1>
    </dataValidation>
    <dataValidation type="list" allowBlank="1" showInputMessage="1" showErrorMessage="1" sqref="Z23 Z34 D34:K34 D23:K23 V16:V22 I27:I33 V27:V33 I16:I22 V38:V44 I49:I55 V49:V55 I38:I44 U60:U66 H60:H66" xr:uid="{00000000-0002-0000-0900-000001000000}">
      <formula1>"全学開講,一部開講"</formula1>
    </dataValidation>
    <dataValidation type="list" allowBlank="1" showInputMessage="1" showErrorMessage="1" sqref="O4" xr:uid="{00000000-0002-0000-09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9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900-000000000000}"/>
  </hyperlinks>
  <printOptions horizontalCentered="1"/>
  <pageMargins left="0.78740157480314965" right="0.78740157480314965" top="0.59055118110236227" bottom="0.19685039370078741" header="0.31496062992125984" footer="0.31496062992125984"/>
  <pageSetup paperSize="9" scale="98" orientation="landscape" r:id="rId2"/>
  <rowBreaks count="3" manualBreakCount="3">
    <brk id="34" max="25" man="1"/>
    <brk id="67" max="25" man="1"/>
    <brk id="83" max="2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Z98"/>
  <sheetViews>
    <sheetView showZeros="0"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201</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202</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203</v>
      </c>
      <c r="C16" s="179"/>
      <c r="D16" s="179"/>
      <c r="E16" s="179"/>
      <c r="F16" s="180"/>
      <c r="G16" s="29">
        <v>2</v>
      </c>
      <c r="H16" s="29" t="s">
        <v>81</v>
      </c>
      <c r="I16" s="184" t="s">
        <v>82</v>
      </c>
      <c r="J16" s="185"/>
      <c r="K16" s="186"/>
      <c r="L16" s="10" t="s">
        <v>81</v>
      </c>
      <c r="M16" s="11"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203</v>
      </c>
      <c r="C27" s="179"/>
      <c r="D27" s="179"/>
      <c r="E27" s="179"/>
      <c r="F27" s="180"/>
      <c r="G27" s="29">
        <v>2</v>
      </c>
      <c r="H27" s="29" t="s">
        <v>81</v>
      </c>
      <c r="I27" s="184" t="s">
        <v>82</v>
      </c>
      <c r="J27" s="185"/>
      <c r="K27" s="186"/>
      <c r="L27" s="10" t="s">
        <v>81</v>
      </c>
      <c r="M27" s="11"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203</v>
      </c>
      <c r="C38" s="179"/>
      <c r="D38" s="179"/>
      <c r="E38" s="179"/>
      <c r="F38" s="180"/>
      <c r="G38" s="29">
        <v>2</v>
      </c>
      <c r="H38" s="29" t="s">
        <v>81</v>
      </c>
      <c r="I38" s="184" t="s">
        <v>82</v>
      </c>
      <c r="J38" s="185"/>
      <c r="K38" s="186"/>
      <c r="L38" s="10" t="s">
        <v>81</v>
      </c>
      <c r="M38" s="11"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203</v>
      </c>
      <c r="C49" s="179"/>
      <c r="D49" s="179"/>
      <c r="E49" s="179"/>
      <c r="F49" s="180"/>
      <c r="G49" s="29">
        <v>2</v>
      </c>
      <c r="H49" s="29" t="s">
        <v>81</v>
      </c>
      <c r="I49" s="184" t="s">
        <v>82</v>
      </c>
      <c r="J49" s="185"/>
      <c r="K49" s="186"/>
      <c r="L49" s="10" t="s">
        <v>81</v>
      </c>
      <c r="M49" s="11"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3" t="s">
        <v>203</v>
      </c>
      <c r="C60" s="154"/>
      <c r="D60" s="154"/>
      <c r="E60" s="155"/>
      <c r="F60" s="29">
        <v>2</v>
      </c>
      <c r="G60" s="29" t="s">
        <v>81</v>
      </c>
      <c r="H60" s="184" t="s">
        <v>82</v>
      </c>
      <c r="I60" s="185"/>
      <c r="J60" s="186"/>
      <c r="K60" s="10" t="s">
        <v>81</v>
      </c>
      <c r="L60" s="10" t="s">
        <v>81</v>
      </c>
      <c r="M60" s="10" t="s">
        <v>81</v>
      </c>
      <c r="N60" s="153"/>
      <c r="O60" s="154"/>
      <c r="P60" s="154"/>
      <c r="Q60" s="154"/>
      <c r="R60" s="155"/>
      <c r="S60" s="29"/>
      <c r="T60" s="29"/>
      <c r="U60" s="184"/>
      <c r="V60" s="185"/>
      <c r="W60" s="186"/>
      <c r="X60" s="23"/>
      <c r="Y60" s="10"/>
      <c r="Z60" s="10"/>
    </row>
    <row r="61" spans="1:26" ht="18" customHeight="1">
      <c r="A61" s="63"/>
      <c r="B61" s="156" t="s">
        <v>204</v>
      </c>
      <c r="C61" s="157"/>
      <c r="D61" s="157"/>
      <c r="E61" s="158"/>
      <c r="F61" s="30">
        <v>1</v>
      </c>
      <c r="G61" s="30" t="s">
        <v>81</v>
      </c>
      <c r="H61" s="162" t="s">
        <v>82</v>
      </c>
      <c r="I61" s="163"/>
      <c r="J61" s="164"/>
      <c r="K61" s="24" t="s">
        <v>81</v>
      </c>
      <c r="L61" s="11" t="s">
        <v>81</v>
      </c>
      <c r="M61" s="11" t="s">
        <v>81</v>
      </c>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t="s">
        <v>205</v>
      </c>
      <c r="C70" s="154"/>
      <c r="D70" s="154"/>
      <c r="E70" s="154"/>
      <c r="F70" s="155"/>
      <c r="G70" s="225" t="s">
        <v>100</v>
      </c>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t="s">
        <v>206</v>
      </c>
      <c r="C71" s="157"/>
      <c r="D71" s="157"/>
      <c r="E71" s="157"/>
      <c r="F71" s="158"/>
      <c r="G71" s="202" t="s">
        <v>100</v>
      </c>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t="s">
        <v>207</v>
      </c>
      <c r="C72" s="157"/>
      <c r="D72" s="157"/>
      <c r="E72" s="157"/>
      <c r="F72" s="158"/>
      <c r="G72" s="202" t="s">
        <v>100</v>
      </c>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t="s">
        <v>208</v>
      </c>
      <c r="C73" s="157"/>
      <c r="D73" s="157"/>
      <c r="E73" s="157"/>
      <c r="F73" s="158"/>
      <c r="G73" s="202" t="s">
        <v>130</v>
      </c>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209</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210</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211</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212</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213</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230"/>
      <c r="C85" s="18" t="s">
        <v>88</v>
      </c>
      <c r="D85" s="209" t="s">
        <v>214</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47.6" customHeight="1">
      <c r="B86" s="231" t="s">
        <v>114</v>
      </c>
      <c r="C86" s="19" t="s">
        <v>90</v>
      </c>
      <c r="D86" s="236" t="s">
        <v>215</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216</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192.95" customHeight="1">
      <c r="B88" s="231" t="s">
        <v>117</v>
      </c>
      <c r="C88" s="16" t="s">
        <v>93</v>
      </c>
      <c r="D88" s="233" t="s">
        <v>217</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218</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219</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00000000-0002-0000-0A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A00-000001000000}">
      <formula1>"学部・学科によって、修了要件は相違する,学部・学科によって、修了要件は相違しない"</formula1>
    </dataValidation>
    <dataValidation type="list" allowBlank="1" showInputMessage="1" showErrorMessage="1" sqref="Z23 Z34 D34:K34 D23:K23 V16:V22 I27:I33 V27:V33 I16:I22 V38:V44 I49:I55 V49:V55 I38:I44 U60:U66 H60:H66" xr:uid="{00000000-0002-0000-0A00-000002000000}">
      <formula1>"全学開講,一部開講"</formula1>
    </dataValidation>
    <dataValidation type="list" allowBlank="1" showInputMessage="1" showErrorMessage="1" sqref="Y16:Z22 K64 Y27:Z33 H27:H33 L49:M55 Y38:Z44 L38:M44 Y49:Z55 Y60:Z66 H38:H44 H16:H22 U16:U22 G60:G66 U27:U33 L27:M33 U38:U44 L16:M22 U49:U55 H49:H55 T60:T66 L60:M66 K60:K62" xr:uid="{00000000-0002-0000-0A00-000003000000}">
      <formula1>"○"</formula1>
    </dataValidation>
  </dataValidations>
  <hyperlinks>
    <hyperlink ref="B98" r:id="rId1" xr:uid="{00000000-0004-0000-0A00-000000000000}"/>
  </hyperlinks>
  <printOptions horizontalCentered="1"/>
  <pageMargins left="0.78740157480314965" right="0.78740157480314965" top="0.59055118110236227" bottom="0.19685039370078741" header="0.31496062992125984" footer="0.31496062992125984"/>
  <pageSetup paperSize="9" scale="98" orientation="landscape" r:id="rId2"/>
  <rowBreaks count="3" manualBreakCount="3">
    <brk id="34" max="25" man="1"/>
    <brk id="67" max="25" man="1"/>
    <brk id="83" max="2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Z98"/>
  <sheetViews>
    <sheetView showZeros="0"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220</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221</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161</v>
      </c>
      <c r="C16" s="179"/>
      <c r="D16" s="179"/>
      <c r="E16" s="179"/>
      <c r="F16" s="180"/>
      <c r="G16" s="29">
        <v>2</v>
      </c>
      <c r="H16" s="29" t="s">
        <v>81</v>
      </c>
      <c r="I16" s="184" t="s">
        <v>82</v>
      </c>
      <c r="J16" s="185"/>
      <c r="K16" s="186"/>
      <c r="L16" s="10" t="s">
        <v>81</v>
      </c>
      <c r="M16" s="10"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161</v>
      </c>
      <c r="C27" s="179"/>
      <c r="D27" s="179"/>
      <c r="E27" s="179"/>
      <c r="F27" s="180"/>
      <c r="G27" s="29">
        <v>2</v>
      </c>
      <c r="H27" s="29" t="s">
        <v>81</v>
      </c>
      <c r="I27" s="184" t="s">
        <v>82</v>
      </c>
      <c r="J27" s="185"/>
      <c r="K27" s="186"/>
      <c r="L27" s="10" t="s">
        <v>81</v>
      </c>
      <c r="M27" s="10"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161</v>
      </c>
      <c r="C38" s="179"/>
      <c r="D38" s="179"/>
      <c r="E38" s="179"/>
      <c r="F38" s="180"/>
      <c r="G38" s="29">
        <v>2</v>
      </c>
      <c r="H38" s="29" t="s">
        <v>81</v>
      </c>
      <c r="I38" s="184" t="s">
        <v>82</v>
      </c>
      <c r="J38" s="185"/>
      <c r="K38" s="186"/>
      <c r="L38" s="10" t="s">
        <v>81</v>
      </c>
      <c r="M38" s="10"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161</v>
      </c>
      <c r="C49" s="179"/>
      <c r="D49" s="179"/>
      <c r="E49" s="179"/>
      <c r="F49" s="180"/>
      <c r="G49" s="29">
        <v>2</v>
      </c>
      <c r="H49" s="29" t="s">
        <v>81</v>
      </c>
      <c r="I49" s="184" t="s">
        <v>82</v>
      </c>
      <c r="J49" s="185"/>
      <c r="K49" s="186"/>
      <c r="L49" s="10" t="s">
        <v>81</v>
      </c>
      <c r="M49" s="10"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3" t="s">
        <v>222</v>
      </c>
      <c r="C60" s="154"/>
      <c r="D60" s="154"/>
      <c r="E60" s="155"/>
      <c r="F60" s="29">
        <v>2</v>
      </c>
      <c r="G60" s="29" t="s">
        <v>81</v>
      </c>
      <c r="H60" s="184" t="s">
        <v>82</v>
      </c>
      <c r="I60" s="185"/>
      <c r="J60" s="186"/>
      <c r="K60" s="10" t="s">
        <v>81</v>
      </c>
      <c r="L60" s="10" t="s">
        <v>81</v>
      </c>
      <c r="M60" s="10" t="s">
        <v>81</v>
      </c>
      <c r="N60" s="153"/>
      <c r="O60" s="154"/>
      <c r="P60" s="154"/>
      <c r="Q60" s="154"/>
      <c r="R60" s="155"/>
      <c r="S60" s="29"/>
      <c r="T60" s="29"/>
      <c r="U60" s="184"/>
      <c r="V60" s="185"/>
      <c r="W60" s="186"/>
      <c r="X60" s="23"/>
      <c r="Y60" s="10"/>
      <c r="Z60" s="10"/>
    </row>
    <row r="61" spans="1:26" ht="18" customHeight="1">
      <c r="A61" s="63"/>
      <c r="B61" s="156"/>
      <c r="C61" s="157"/>
      <c r="D61" s="157"/>
      <c r="E61" s="158"/>
      <c r="F61" s="30"/>
      <c r="G61" s="30"/>
      <c r="H61" s="162"/>
      <c r="I61" s="163"/>
      <c r="J61" s="164"/>
      <c r="K61" s="24"/>
      <c r="L61" s="11"/>
      <c r="M61" s="11"/>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t="s">
        <v>223</v>
      </c>
      <c r="C70" s="154"/>
      <c r="D70" s="154"/>
      <c r="E70" s="154"/>
      <c r="F70" s="155"/>
      <c r="G70" s="225" t="s">
        <v>100</v>
      </c>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t="s">
        <v>163</v>
      </c>
      <c r="C71" s="157"/>
      <c r="D71" s="157"/>
      <c r="E71" s="157"/>
      <c r="F71" s="158"/>
      <c r="G71" s="202" t="s">
        <v>130</v>
      </c>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c r="C72" s="157"/>
      <c r="D72" s="157"/>
      <c r="E72" s="157"/>
      <c r="F72" s="158"/>
      <c r="G72" s="202"/>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164</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165</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166</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167</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168</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230"/>
      <c r="C85" s="18" t="s">
        <v>88</v>
      </c>
      <c r="D85" s="209" t="s">
        <v>169</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47.6" customHeight="1">
      <c r="B86" s="231" t="s">
        <v>114</v>
      </c>
      <c r="C86" s="19" t="s">
        <v>90</v>
      </c>
      <c r="D86" s="236" t="s">
        <v>170</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171</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192.95" customHeight="1">
      <c r="B88" s="231" t="s">
        <v>117</v>
      </c>
      <c r="C88" s="16" t="s">
        <v>93</v>
      </c>
      <c r="D88" s="233" t="s">
        <v>172</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173</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174</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Y16:Z22 K64 Y27:Z33 H27:H33 L49:M55 Y38:Z44 L38:M44 Y49:Z55 Y60:Z66 H38:H44 H16:H22 U16:U22 G60:G66 U27:U33 L27:M33 U38:U44 L16:M22 U49:U55 L61:L66 T60:T66 H49:H55 M60:M66 K61:K62 K60:L60" xr:uid="{00000000-0002-0000-0B00-000000000000}">
      <formula1>"○"</formula1>
    </dataValidation>
    <dataValidation type="list" allowBlank="1" showInputMessage="1" showErrorMessage="1" sqref="Z23 Z34 D34:K34 D23:K23 V16:V22 I27:I33 V27:V33 I16:I22 V38:V44 I49:I55 V49:V55 I38:I44 U60:U66 H60:H66" xr:uid="{00000000-0002-0000-0B00-000001000000}">
      <formula1>"全学開講,一部開講"</formula1>
    </dataValidation>
    <dataValidation type="list" allowBlank="1" showInputMessage="1" showErrorMessage="1" sqref="O4" xr:uid="{00000000-0002-0000-0B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B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B00-000000000000}"/>
  </hyperlinks>
  <printOptions horizontalCentered="1"/>
  <pageMargins left="0.78740157480314965" right="0.78740157480314965" top="0.59055118110236227" bottom="0.19685039370078741" header="0.31496062992125984" footer="0.31496062992125984"/>
  <pageSetup paperSize="9" scale="98" orientation="landscape" r:id="rId2"/>
  <rowBreaks count="3" manualBreakCount="3">
    <brk id="34" max="25" man="1"/>
    <brk id="67" max="25" man="1"/>
    <brk id="83" max="2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Z98"/>
  <sheetViews>
    <sheetView showZeros="0"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224</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225</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226</v>
      </c>
      <c r="C16" s="179"/>
      <c r="D16" s="179"/>
      <c r="E16" s="179"/>
      <c r="F16" s="180"/>
      <c r="G16" s="29">
        <v>2</v>
      </c>
      <c r="H16" s="29" t="s">
        <v>81</v>
      </c>
      <c r="I16" s="184" t="s">
        <v>82</v>
      </c>
      <c r="J16" s="185"/>
      <c r="K16" s="186"/>
      <c r="L16" s="10" t="s">
        <v>81</v>
      </c>
      <c r="M16" s="10"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226</v>
      </c>
      <c r="C27" s="179"/>
      <c r="D27" s="179"/>
      <c r="E27" s="179"/>
      <c r="F27" s="180"/>
      <c r="G27" s="29">
        <v>2</v>
      </c>
      <c r="H27" s="29" t="s">
        <v>81</v>
      </c>
      <c r="I27" s="184" t="s">
        <v>82</v>
      </c>
      <c r="J27" s="185"/>
      <c r="K27" s="186"/>
      <c r="L27" s="10" t="s">
        <v>81</v>
      </c>
      <c r="M27" s="10"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226</v>
      </c>
      <c r="C38" s="179"/>
      <c r="D38" s="179"/>
      <c r="E38" s="179"/>
      <c r="F38" s="180"/>
      <c r="G38" s="29">
        <v>2</v>
      </c>
      <c r="H38" s="29" t="s">
        <v>81</v>
      </c>
      <c r="I38" s="184" t="s">
        <v>82</v>
      </c>
      <c r="J38" s="185"/>
      <c r="K38" s="186"/>
      <c r="L38" s="10" t="s">
        <v>81</v>
      </c>
      <c r="M38" s="10"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226</v>
      </c>
      <c r="C49" s="179"/>
      <c r="D49" s="179"/>
      <c r="E49" s="179"/>
      <c r="F49" s="180"/>
      <c r="G49" s="29">
        <v>2</v>
      </c>
      <c r="H49" s="29" t="s">
        <v>81</v>
      </c>
      <c r="I49" s="184" t="s">
        <v>82</v>
      </c>
      <c r="J49" s="185"/>
      <c r="K49" s="186"/>
      <c r="L49" s="10" t="s">
        <v>81</v>
      </c>
      <c r="M49" s="10"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3" t="s">
        <v>226</v>
      </c>
      <c r="C60" s="154"/>
      <c r="D60" s="154"/>
      <c r="E60" s="155"/>
      <c r="F60" s="29">
        <v>2</v>
      </c>
      <c r="G60" s="29" t="s">
        <v>81</v>
      </c>
      <c r="H60" s="184" t="s">
        <v>82</v>
      </c>
      <c r="I60" s="185"/>
      <c r="J60" s="186"/>
      <c r="K60" s="10" t="s">
        <v>81</v>
      </c>
      <c r="L60" s="10" t="s">
        <v>81</v>
      </c>
      <c r="M60" s="10" t="s">
        <v>81</v>
      </c>
      <c r="N60" s="153"/>
      <c r="O60" s="154"/>
      <c r="P60" s="154"/>
      <c r="Q60" s="154"/>
      <c r="R60" s="155"/>
      <c r="S60" s="29"/>
      <c r="T60" s="29"/>
      <c r="U60" s="184"/>
      <c r="V60" s="185"/>
      <c r="W60" s="186"/>
      <c r="X60" s="23"/>
      <c r="Y60" s="10"/>
      <c r="Z60" s="10"/>
    </row>
    <row r="61" spans="1:26" ht="18" customHeight="1">
      <c r="A61" s="63"/>
      <c r="B61" s="156" t="s">
        <v>144</v>
      </c>
      <c r="C61" s="157"/>
      <c r="D61" s="157"/>
      <c r="E61" s="158"/>
      <c r="F61" s="30">
        <v>2</v>
      </c>
      <c r="G61" s="30" t="s">
        <v>81</v>
      </c>
      <c r="H61" s="162" t="s">
        <v>82</v>
      </c>
      <c r="I61" s="163"/>
      <c r="J61" s="164"/>
      <c r="K61" s="24" t="s">
        <v>81</v>
      </c>
      <c r="L61" s="11" t="s">
        <v>81</v>
      </c>
      <c r="M61" s="11" t="s">
        <v>81</v>
      </c>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t="s">
        <v>227</v>
      </c>
      <c r="C70" s="154"/>
      <c r="D70" s="154"/>
      <c r="E70" s="154"/>
      <c r="F70" s="155"/>
      <c r="G70" s="225" t="s">
        <v>130</v>
      </c>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t="s">
        <v>228</v>
      </c>
      <c r="C71" s="157"/>
      <c r="D71" s="157"/>
      <c r="E71" s="157"/>
      <c r="F71" s="158"/>
      <c r="G71" s="202" t="s">
        <v>130</v>
      </c>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c r="C72" s="157"/>
      <c r="D72" s="157"/>
      <c r="E72" s="157"/>
      <c r="F72" s="158"/>
      <c r="G72" s="202"/>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229</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230</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231</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232</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233</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80.45" customHeight="1">
      <c r="B85" s="230"/>
      <c r="C85" s="18" t="s">
        <v>88</v>
      </c>
      <c r="D85" s="209" t="s">
        <v>234</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52.1" customHeight="1">
      <c r="B86" s="231" t="s">
        <v>114</v>
      </c>
      <c r="C86" s="19" t="s">
        <v>90</v>
      </c>
      <c r="D86" s="236" t="s">
        <v>235</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236</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231.95" customHeight="1">
      <c r="B88" s="231" t="s">
        <v>117</v>
      </c>
      <c r="C88" s="16" t="s">
        <v>93</v>
      </c>
      <c r="D88" s="233" t="s">
        <v>237</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238</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239</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00000000-0002-0000-0C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C00-000001000000}">
      <formula1>"学部・学科によって、修了要件は相違する,学部・学科によって、修了要件は相違しない"</formula1>
    </dataValidation>
    <dataValidation type="list" allowBlank="1" showInputMessage="1" showErrorMessage="1" sqref="Z23 Z34 D34:K34 D23:K23 V16:V22 I27:I33 V27:V33 I16:I22 V38:V44 I49:I55 V49:V55 I38:I44 U60:U66 H60:H66" xr:uid="{00000000-0002-0000-0C00-000002000000}">
      <formula1>"全学開講,一部開講"</formula1>
    </dataValidation>
    <dataValidation type="list" allowBlank="1" showInputMessage="1" showErrorMessage="1" sqref="Y16:Z22 L16:M22 Y27:Z33 L27:M33 L49:M55 Y38:Z44 L38:M44 Y49:Z55 Y60:Z66 H38:H44 H16:H22 U16:U22 G60:G66 U27:U33 H27:H33 U38:U44 K64 U49:U55 L61:L66 T60:T66 H49:H55 M60:M66 K61:K62 K60:L60" xr:uid="{00000000-0002-0000-0C00-000003000000}">
      <formula1>"○"</formula1>
    </dataValidation>
  </dataValidations>
  <hyperlinks>
    <hyperlink ref="B98" r:id="rId1" xr:uid="{00000000-0004-0000-0C00-000000000000}"/>
  </hyperlinks>
  <printOptions horizontalCentered="1"/>
  <pageMargins left="0.78740157480314965" right="0.78740157480314965" top="0.59055118110236227" bottom="0.19685039370078741" header="0.31496062992125984" footer="0.31496062992125984"/>
  <pageSetup paperSize="9" scale="98" orientation="landscape" r:id="rId2"/>
  <rowBreaks count="3" manualBreakCount="3">
    <brk id="34" max="25" man="1"/>
    <brk id="67" max="25" man="1"/>
    <brk id="83" max="2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Z98"/>
  <sheetViews>
    <sheetView showZeros="0" zoomScaleNormal="100" zoomScaleSheetLayoutView="100" zoomScalePageLayoutView="85" workbookViewId="0">
      <selection activeCell="W2" sqref="A2:Z2"/>
    </sheetView>
  </sheetViews>
  <sheetFormatPr defaultColWidth="9" defaultRowHeight="18.75" customHeight="1"/>
  <cols>
    <col min="1" max="1" width="2.5" style="4" customWidth="1"/>
    <col min="2" max="2" width="27.75" style="4" customWidth="1"/>
    <col min="3" max="13" width="3.375" style="4" customWidth="1"/>
    <col min="14" max="14" width="8.875" style="4" customWidth="1"/>
    <col min="15" max="15" width="18.875" style="4" customWidth="1"/>
    <col min="16" max="19" width="3.375" style="4" customWidth="1"/>
    <col min="20" max="20" width="3.5" style="4" customWidth="1"/>
    <col min="21" max="26" width="3.375" style="4" customWidth="1"/>
    <col min="27" max="16384" width="9" style="4"/>
  </cols>
  <sheetData>
    <row r="1" spans="1:26" ht="15" customHeight="1">
      <c r="W1" s="177" t="s">
        <v>240</v>
      </c>
      <c r="X1" s="177"/>
      <c r="Y1" s="177"/>
      <c r="Z1" s="177"/>
    </row>
    <row r="2" spans="1:26" ht="18" customHeight="1">
      <c r="A2" s="214" t="s">
        <v>68</v>
      </c>
      <c r="B2" s="214"/>
      <c r="C2" s="214"/>
      <c r="D2" s="214"/>
      <c r="E2" s="214"/>
      <c r="F2" s="214"/>
      <c r="G2" s="214"/>
      <c r="H2" s="214"/>
      <c r="I2" s="214"/>
      <c r="J2" s="214"/>
      <c r="K2" s="214"/>
      <c r="L2" s="214"/>
      <c r="M2" s="214"/>
      <c r="N2" s="214"/>
      <c r="O2" s="214"/>
      <c r="P2" s="214"/>
      <c r="Q2" s="214"/>
      <c r="R2" s="214"/>
      <c r="S2" s="214"/>
      <c r="T2" s="214"/>
      <c r="U2" s="214"/>
      <c r="V2" s="214"/>
      <c r="W2" s="214"/>
      <c r="X2" s="214"/>
      <c r="Y2" s="214"/>
      <c r="Z2" s="214"/>
    </row>
    <row r="3" spans="1:26" ht="15" customHeight="1">
      <c r="B3" s="63"/>
      <c r="C3" s="63"/>
      <c r="D3" s="63"/>
      <c r="E3" s="63"/>
      <c r="F3" s="63"/>
      <c r="G3" s="63"/>
      <c r="H3" s="63"/>
      <c r="I3" s="63"/>
      <c r="J3" s="63"/>
      <c r="K3" s="63"/>
      <c r="L3" s="63"/>
      <c r="M3" s="63"/>
      <c r="N3" s="63"/>
      <c r="O3" s="63"/>
      <c r="P3" s="63"/>
      <c r="Q3" s="63"/>
      <c r="R3" s="63"/>
      <c r="S3" s="63"/>
      <c r="T3" s="63"/>
      <c r="U3" s="63"/>
      <c r="V3" s="63"/>
      <c r="W3" s="63"/>
      <c r="X3" s="63"/>
      <c r="Y3" s="63"/>
      <c r="Z3" s="63"/>
    </row>
    <row r="4" spans="1:26" ht="18" customHeight="1">
      <c r="A4" s="4" t="s">
        <v>69</v>
      </c>
      <c r="B4" s="63"/>
      <c r="C4" s="63"/>
      <c r="D4" s="63"/>
      <c r="E4" s="63"/>
      <c r="F4" s="63"/>
      <c r="G4" s="63"/>
      <c r="H4" s="61" t="s">
        <v>70</v>
      </c>
      <c r="I4" s="63"/>
      <c r="J4" s="63"/>
      <c r="K4" s="63"/>
      <c r="L4" s="63"/>
      <c r="M4" s="63"/>
      <c r="N4" s="63"/>
      <c r="O4" s="168" t="s">
        <v>71</v>
      </c>
      <c r="P4" s="169"/>
      <c r="Q4" s="169"/>
      <c r="R4" s="169"/>
      <c r="S4" s="169"/>
      <c r="T4" s="169"/>
      <c r="U4" s="169"/>
      <c r="V4" s="169"/>
      <c r="W4" s="169"/>
      <c r="X4" s="169"/>
      <c r="Y4" s="169"/>
      <c r="Z4" s="170"/>
    </row>
    <row r="5" spans="1:26" ht="6" customHeight="1">
      <c r="B5" s="63"/>
      <c r="C5" s="63"/>
      <c r="D5" s="63"/>
      <c r="E5" s="63"/>
      <c r="F5" s="63"/>
      <c r="G5" s="63"/>
      <c r="H5" s="63"/>
      <c r="I5" s="63"/>
      <c r="J5" s="63"/>
      <c r="K5" s="63"/>
      <c r="L5" s="63"/>
      <c r="M5" s="63"/>
      <c r="N5" s="63"/>
      <c r="O5" s="6"/>
      <c r="P5" s="63"/>
      <c r="Q5" s="63"/>
      <c r="R5" s="63"/>
      <c r="S5" s="63"/>
      <c r="T5" s="63"/>
      <c r="U5" s="63"/>
      <c r="V5" s="63"/>
      <c r="W5" s="63"/>
      <c r="X5" s="63"/>
      <c r="Y5" s="63"/>
      <c r="Z5" s="63"/>
    </row>
    <row r="6" spans="1:26" ht="18" customHeight="1">
      <c r="B6" s="215" t="s">
        <v>241</v>
      </c>
      <c r="C6" s="216"/>
      <c r="D6" s="216"/>
      <c r="E6" s="216"/>
      <c r="F6" s="216"/>
      <c r="G6" s="216"/>
      <c r="H6" s="216"/>
      <c r="I6" s="216"/>
      <c r="J6" s="216"/>
      <c r="K6" s="216"/>
      <c r="L6" s="216"/>
      <c r="M6" s="216"/>
      <c r="N6" s="216"/>
      <c r="O6" s="216"/>
      <c r="P6" s="216"/>
      <c r="Q6" s="216"/>
      <c r="R6" s="216"/>
      <c r="S6" s="216"/>
      <c r="T6" s="216"/>
      <c r="U6" s="216"/>
      <c r="V6" s="216"/>
      <c r="W6" s="216"/>
      <c r="X6" s="216"/>
      <c r="Y6" s="216"/>
      <c r="Z6" s="217"/>
    </row>
    <row r="7" spans="1:26" ht="18" customHeight="1">
      <c r="B7" s="218"/>
      <c r="C7" s="219"/>
      <c r="D7" s="219"/>
      <c r="E7" s="219"/>
      <c r="F7" s="219"/>
      <c r="G7" s="219"/>
      <c r="H7" s="219"/>
      <c r="I7" s="219"/>
      <c r="J7" s="219"/>
      <c r="K7" s="219"/>
      <c r="L7" s="219"/>
      <c r="M7" s="219"/>
      <c r="N7" s="219"/>
      <c r="O7" s="219"/>
      <c r="P7" s="219"/>
      <c r="Q7" s="219"/>
      <c r="R7" s="219"/>
      <c r="S7" s="219"/>
      <c r="T7" s="219"/>
      <c r="U7" s="219"/>
      <c r="V7" s="219"/>
      <c r="W7" s="219"/>
      <c r="X7" s="219"/>
      <c r="Y7" s="219"/>
      <c r="Z7" s="220"/>
    </row>
    <row r="8" spans="1:26" ht="18" customHeight="1">
      <c r="B8" s="218"/>
      <c r="C8" s="219"/>
      <c r="D8" s="219"/>
      <c r="E8" s="219"/>
      <c r="F8" s="219"/>
      <c r="G8" s="219"/>
      <c r="H8" s="219"/>
      <c r="I8" s="219"/>
      <c r="J8" s="219"/>
      <c r="K8" s="219"/>
      <c r="L8" s="219"/>
      <c r="M8" s="219"/>
      <c r="N8" s="219"/>
      <c r="O8" s="219"/>
      <c r="P8" s="219"/>
      <c r="Q8" s="219"/>
      <c r="R8" s="219"/>
      <c r="S8" s="219"/>
      <c r="T8" s="219"/>
      <c r="U8" s="219"/>
      <c r="V8" s="219"/>
      <c r="W8" s="219"/>
      <c r="X8" s="219"/>
      <c r="Y8" s="219"/>
      <c r="Z8" s="220"/>
    </row>
    <row r="9" spans="1:26" ht="18" customHeight="1">
      <c r="B9" s="218"/>
      <c r="C9" s="219"/>
      <c r="D9" s="219"/>
      <c r="E9" s="219"/>
      <c r="F9" s="219"/>
      <c r="G9" s="219"/>
      <c r="H9" s="219"/>
      <c r="I9" s="219"/>
      <c r="J9" s="219"/>
      <c r="K9" s="219"/>
      <c r="L9" s="219"/>
      <c r="M9" s="219"/>
      <c r="N9" s="219"/>
      <c r="O9" s="219"/>
      <c r="P9" s="219"/>
      <c r="Q9" s="219"/>
      <c r="R9" s="219"/>
      <c r="S9" s="219"/>
      <c r="T9" s="219"/>
      <c r="U9" s="219"/>
      <c r="V9" s="219"/>
      <c r="W9" s="219"/>
      <c r="X9" s="219"/>
      <c r="Y9" s="219"/>
      <c r="Z9" s="220"/>
    </row>
    <row r="10" spans="1:26" ht="18" customHeight="1">
      <c r="B10" s="218"/>
      <c r="C10" s="221"/>
      <c r="D10" s="221"/>
      <c r="E10" s="221"/>
      <c r="F10" s="221"/>
      <c r="G10" s="221"/>
      <c r="H10" s="221"/>
      <c r="I10" s="221"/>
      <c r="J10" s="221"/>
      <c r="K10" s="221"/>
      <c r="L10" s="221"/>
      <c r="M10" s="221"/>
      <c r="N10" s="221"/>
      <c r="O10" s="221"/>
      <c r="P10" s="221"/>
      <c r="Q10" s="221"/>
      <c r="R10" s="221"/>
      <c r="S10" s="221"/>
      <c r="T10" s="221"/>
      <c r="U10" s="221"/>
      <c r="V10" s="221"/>
      <c r="W10" s="221"/>
      <c r="X10" s="221"/>
      <c r="Y10" s="221"/>
      <c r="Z10" s="220"/>
    </row>
    <row r="11" spans="1:26" ht="18" customHeight="1">
      <c r="B11" s="222"/>
      <c r="C11" s="223"/>
      <c r="D11" s="223"/>
      <c r="E11" s="223"/>
      <c r="F11" s="223"/>
      <c r="G11" s="223"/>
      <c r="H11" s="223"/>
      <c r="I11" s="223"/>
      <c r="J11" s="223"/>
      <c r="K11" s="223"/>
      <c r="L11" s="223"/>
      <c r="M11" s="223"/>
      <c r="N11" s="223"/>
      <c r="O11" s="223"/>
      <c r="P11" s="223"/>
      <c r="Q11" s="223"/>
      <c r="R11" s="223"/>
      <c r="S11" s="223"/>
      <c r="T11" s="223"/>
      <c r="U11" s="223"/>
      <c r="V11" s="223"/>
      <c r="W11" s="223"/>
      <c r="X11" s="223"/>
      <c r="Y11" s="223"/>
      <c r="Z11" s="224"/>
    </row>
    <row r="12" spans="1:26" ht="7.5" customHeight="1">
      <c r="B12" s="63"/>
      <c r="C12" s="63"/>
      <c r="D12" s="63"/>
      <c r="E12" s="63"/>
      <c r="F12" s="63"/>
      <c r="G12" s="63"/>
      <c r="H12" s="63"/>
      <c r="I12" s="63"/>
      <c r="J12" s="63"/>
      <c r="K12" s="63"/>
      <c r="L12" s="63"/>
      <c r="M12" s="63"/>
      <c r="N12" s="63"/>
      <c r="O12" s="63"/>
      <c r="P12" s="63"/>
      <c r="Q12" s="63"/>
      <c r="R12" s="63"/>
      <c r="S12" s="63"/>
      <c r="T12" s="63"/>
      <c r="U12" s="63"/>
      <c r="V12" s="63"/>
      <c r="W12" s="63"/>
      <c r="X12" s="63"/>
      <c r="Y12" s="63"/>
      <c r="Z12" s="63"/>
    </row>
    <row r="13" spans="1:26" ht="18" customHeight="1">
      <c r="A13" s="213" t="s">
        <v>73</v>
      </c>
      <c r="B13" s="213"/>
      <c r="C13" s="213"/>
      <c r="D13" s="213"/>
      <c r="E13" s="213"/>
      <c r="F13" s="213"/>
      <c r="G13" s="213"/>
      <c r="H13" s="213"/>
      <c r="I13" s="213"/>
      <c r="J13" s="213"/>
      <c r="K13" s="213"/>
      <c r="L13" s="213"/>
      <c r="M13" s="213"/>
      <c r="N13" s="213"/>
      <c r="O13" s="213"/>
      <c r="P13" s="213"/>
      <c r="Q13" s="213"/>
      <c r="R13" s="213"/>
      <c r="S13" s="213"/>
      <c r="T13" s="213"/>
      <c r="U13" s="213"/>
      <c r="V13" s="213"/>
      <c r="W13" s="213"/>
      <c r="X13" s="213"/>
      <c r="Y13" s="213"/>
      <c r="Z13" s="213"/>
    </row>
    <row r="14" spans="1:26" ht="18" customHeight="1">
      <c r="A14" s="213"/>
      <c r="B14" s="213"/>
      <c r="C14" s="213"/>
      <c r="D14" s="213"/>
      <c r="E14" s="213"/>
      <c r="F14" s="213"/>
      <c r="G14" s="213"/>
      <c r="H14" s="213"/>
      <c r="I14" s="213"/>
      <c r="J14" s="213"/>
      <c r="K14" s="213"/>
      <c r="L14" s="213"/>
      <c r="M14" s="213"/>
      <c r="N14" s="213"/>
      <c r="O14" s="213"/>
      <c r="P14" s="213"/>
      <c r="Q14" s="213"/>
      <c r="R14" s="213"/>
      <c r="S14" s="213"/>
      <c r="T14" s="213"/>
      <c r="U14" s="213"/>
      <c r="V14" s="213"/>
      <c r="W14" s="213"/>
      <c r="X14" s="213"/>
      <c r="Y14" s="213"/>
      <c r="Z14" s="213"/>
    </row>
    <row r="15" spans="1:26" ht="18" customHeight="1">
      <c r="A15" s="60"/>
      <c r="B15" s="168" t="s">
        <v>74</v>
      </c>
      <c r="C15" s="169"/>
      <c r="D15" s="169"/>
      <c r="E15" s="169"/>
      <c r="F15" s="170"/>
      <c r="G15" s="7" t="s">
        <v>75</v>
      </c>
      <c r="H15" s="28" t="s">
        <v>76</v>
      </c>
      <c r="I15" s="169" t="s">
        <v>77</v>
      </c>
      <c r="J15" s="169"/>
      <c r="K15" s="169"/>
      <c r="L15" s="9" t="s">
        <v>78</v>
      </c>
      <c r="M15" s="9" t="s">
        <v>79</v>
      </c>
      <c r="N15" s="168" t="s">
        <v>74</v>
      </c>
      <c r="O15" s="169"/>
      <c r="P15" s="169"/>
      <c r="Q15" s="169"/>
      <c r="R15" s="169"/>
      <c r="S15" s="170"/>
      <c r="T15" s="7" t="s">
        <v>75</v>
      </c>
      <c r="U15" s="28" t="s">
        <v>76</v>
      </c>
      <c r="V15" s="169" t="s">
        <v>77</v>
      </c>
      <c r="W15" s="169"/>
      <c r="X15" s="169"/>
      <c r="Y15" s="9" t="s">
        <v>78</v>
      </c>
      <c r="Z15" s="9" t="s">
        <v>79</v>
      </c>
    </row>
    <row r="16" spans="1:26" ht="18" customHeight="1">
      <c r="A16" s="60"/>
      <c r="B16" s="178" t="s">
        <v>242</v>
      </c>
      <c r="C16" s="179"/>
      <c r="D16" s="179"/>
      <c r="E16" s="179"/>
      <c r="F16" s="180"/>
      <c r="G16" s="29">
        <v>2</v>
      </c>
      <c r="H16" s="29" t="s">
        <v>81</v>
      </c>
      <c r="I16" s="184" t="s">
        <v>82</v>
      </c>
      <c r="J16" s="185"/>
      <c r="K16" s="186"/>
      <c r="L16" s="10" t="s">
        <v>81</v>
      </c>
      <c r="M16" s="10" t="s">
        <v>81</v>
      </c>
      <c r="N16" s="153"/>
      <c r="O16" s="154"/>
      <c r="P16" s="154"/>
      <c r="Q16" s="154"/>
      <c r="R16" s="154"/>
      <c r="S16" s="155"/>
      <c r="T16" s="29"/>
      <c r="U16" s="29"/>
      <c r="V16" s="184"/>
      <c r="W16" s="185"/>
      <c r="X16" s="186"/>
      <c r="Y16" s="10"/>
      <c r="Z16" s="10"/>
    </row>
    <row r="17" spans="1:26" ht="18" customHeight="1">
      <c r="A17" s="60"/>
      <c r="B17" s="171"/>
      <c r="C17" s="172"/>
      <c r="D17" s="172"/>
      <c r="E17" s="172"/>
      <c r="F17" s="173"/>
      <c r="G17" s="30"/>
      <c r="H17" s="30"/>
      <c r="I17" s="162"/>
      <c r="J17" s="163"/>
      <c r="K17" s="164"/>
      <c r="L17" s="11"/>
      <c r="M17" s="11"/>
      <c r="N17" s="156"/>
      <c r="O17" s="157"/>
      <c r="P17" s="157"/>
      <c r="Q17" s="157"/>
      <c r="R17" s="157"/>
      <c r="S17" s="158"/>
      <c r="T17" s="30"/>
      <c r="U17" s="30"/>
      <c r="V17" s="162"/>
      <c r="W17" s="163"/>
      <c r="X17" s="164"/>
      <c r="Y17" s="11"/>
      <c r="Z17" s="11"/>
    </row>
    <row r="18" spans="1:26" ht="18" customHeight="1">
      <c r="A18" s="60"/>
      <c r="B18" s="171"/>
      <c r="C18" s="172"/>
      <c r="D18" s="172"/>
      <c r="E18" s="172"/>
      <c r="F18" s="173"/>
      <c r="G18" s="30"/>
      <c r="H18" s="30"/>
      <c r="I18" s="162"/>
      <c r="J18" s="163"/>
      <c r="K18" s="164"/>
      <c r="L18" s="11"/>
      <c r="M18" s="11"/>
      <c r="N18" s="156"/>
      <c r="O18" s="157"/>
      <c r="P18" s="157"/>
      <c r="Q18" s="157"/>
      <c r="R18" s="157"/>
      <c r="S18" s="158"/>
      <c r="T18" s="30"/>
      <c r="U18" s="30"/>
      <c r="V18" s="162"/>
      <c r="W18" s="163"/>
      <c r="X18" s="164"/>
      <c r="Y18" s="11"/>
      <c r="Z18" s="11"/>
    </row>
    <row r="19" spans="1:26" ht="18" customHeight="1">
      <c r="A19" s="60"/>
      <c r="B19" s="171"/>
      <c r="C19" s="172"/>
      <c r="D19" s="172"/>
      <c r="E19" s="172"/>
      <c r="F19" s="173"/>
      <c r="G19" s="30"/>
      <c r="H19" s="30"/>
      <c r="I19" s="162"/>
      <c r="J19" s="163"/>
      <c r="K19" s="164"/>
      <c r="L19" s="11"/>
      <c r="M19" s="11"/>
      <c r="N19" s="156"/>
      <c r="O19" s="157"/>
      <c r="P19" s="157"/>
      <c r="Q19" s="157"/>
      <c r="R19" s="157"/>
      <c r="S19" s="158"/>
      <c r="T19" s="30"/>
      <c r="U19" s="30"/>
      <c r="V19" s="162"/>
      <c r="W19" s="163"/>
      <c r="X19" s="164"/>
      <c r="Y19" s="11"/>
      <c r="Z19" s="11"/>
    </row>
    <row r="20" spans="1:26" ht="18" customHeight="1">
      <c r="A20" s="60"/>
      <c r="B20" s="171"/>
      <c r="C20" s="172"/>
      <c r="D20" s="172"/>
      <c r="E20" s="172"/>
      <c r="F20" s="173"/>
      <c r="G20" s="30"/>
      <c r="H20" s="30"/>
      <c r="I20" s="162"/>
      <c r="J20" s="163"/>
      <c r="K20" s="164"/>
      <c r="L20" s="11"/>
      <c r="M20" s="11"/>
      <c r="N20" s="156"/>
      <c r="O20" s="157"/>
      <c r="P20" s="157"/>
      <c r="Q20" s="157"/>
      <c r="R20" s="157"/>
      <c r="S20" s="158"/>
      <c r="T20" s="30"/>
      <c r="U20" s="30"/>
      <c r="V20" s="162"/>
      <c r="W20" s="163"/>
      <c r="X20" s="164"/>
      <c r="Y20" s="11"/>
      <c r="Z20" s="11"/>
    </row>
    <row r="21" spans="1:26" ht="18" customHeight="1">
      <c r="A21" s="63"/>
      <c r="B21" s="171"/>
      <c r="C21" s="172"/>
      <c r="D21" s="172"/>
      <c r="E21" s="172"/>
      <c r="F21" s="173"/>
      <c r="G21" s="30"/>
      <c r="H21" s="30"/>
      <c r="I21" s="162"/>
      <c r="J21" s="163"/>
      <c r="K21" s="164"/>
      <c r="L21" s="11"/>
      <c r="M21" s="11"/>
      <c r="N21" s="156"/>
      <c r="O21" s="157"/>
      <c r="P21" s="157"/>
      <c r="Q21" s="157"/>
      <c r="R21" s="157"/>
      <c r="S21" s="158"/>
      <c r="T21" s="30"/>
      <c r="U21" s="30"/>
      <c r="V21" s="162"/>
      <c r="W21" s="163"/>
      <c r="X21" s="164"/>
      <c r="Y21" s="11"/>
      <c r="Z21" s="11"/>
    </row>
    <row r="22" spans="1:26" ht="18" customHeight="1">
      <c r="A22" s="63"/>
      <c r="B22" s="174"/>
      <c r="C22" s="175"/>
      <c r="D22" s="175"/>
      <c r="E22" s="175"/>
      <c r="F22" s="176"/>
      <c r="G22" s="31"/>
      <c r="H22" s="31"/>
      <c r="I22" s="165"/>
      <c r="J22" s="166"/>
      <c r="K22" s="167"/>
      <c r="L22" s="12"/>
      <c r="M22" s="12"/>
      <c r="N22" s="159"/>
      <c r="O22" s="160"/>
      <c r="P22" s="160"/>
      <c r="Q22" s="160"/>
      <c r="R22" s="160"/>
      <c r="S22" s="161"/>
      <c r="T22" s="31"/>
      <c r="U22" s="31"/>
      <c r="V22" s="165"/>
      <c r="W22" s="166"/>
      <c r="X22" s="167"/>
      <c r="Y22" s="12"/>
      <c r="Z22" s="12"/>
    </row>
    <row r="23" spans="1:26" ht="7.5" customHeight="1">
      <c r="A23" s="63"/>
      <c r="B23" s="13"/>
      <c r="C23" s="13"/>
      <c r="D23" s="63"/>
      <c r="E23" s="63"/>
      <c r="F23" s="63"/>
      <c r="G23" s="63"/>
      <c r="H23" s="63"/>
      <c r="I23" s="63"/>
      <c r="J23" s="63"/>
      <c r="K23" s="63"/>
      <c r="L23" s="13"/>
      <c r="M23" s="13"/>
      <c r="N23" s="13"/>
      <c r="O23" s="13"/>
      <c r="P23" s="13"/>
      <c r="Q23" s="13"/>
      <c r="R23" s="13"/>
      <c r="S23" s="13"/>
      <c r="T23" s="13"/>
      <c r="U23" s="13"/>
      <c r="V23" s="13"/>
      <c r="W23" s="13"/>
      <c r="X23" s="13"/>
      <c r="Y23" s="13"/>
      <c r="Z23" s="63"/>
    </row>
    <row r="24" spans="1:26" ht="18" customHeight="1">
      <c r="A24" s="213" t="s">
        <v>83</v>
      </c>
      <c r="B24" s="213"/>
      <c r="C24" s="213"/>
      <c r="D24" s="213"/>
      <c r="E24" s="213"/>
      <c r="F24" s="213"/>
      <c r="G24" s="213"/>
      <c r="H24" s="213"/>
      <c r="I24" s="213"/>
      <c r="J24" s="213"/>
      <c r="K24" s="213"/>
      <c r="L24" s="213"/>
      <c r="M24" s="213"/>
      <c r="N24" s="213"/>
      <c r="O24" s="213"/>
      <c r="P24" s="213"/>
      <c r="Q24" s="213"/>
      <c r="R24" s="213"/>
      <c r="S24" s="213"/>
      <c r="T24" s="213"/>
      <c r="U24" s="213"/>
      <c r="V24" s="213"/>
      <c r="W24" s="213"/>
      <c r="X24" s="213"/>
      <c r="Y24" s="213"/>
      <c r="Z24" s="213"/>
    </row>
    <row r="25" spans="1:26" ht="18" customHeight="1">
      <c r="A25" s="213"/>
      <c r="B25" s="213"/>
      <c r="C25" s="213"/>
      <c r="D25" s="213"/>
      <c r="E25" s="213"/>
      <c r="F25" s="213"/>
      <c r="G25" s="213"/>
      <c r="H25" s="213"/>
      <c r="I25" s="213"/>
      <c r="J25" s="213"/>
      <c r="K25" s="213"/>
      <c r="L25" s="213"/>
      <c r="M25" s="213"/>
      <c r="N25" s="213"/>
      <c r="O25" s="213"/>
      <c r="P25" s="213"/>
      <c r="Q25" s="213"/>
      <c r="R25" s="213"/>
      <c r="S25" s="213"/>
      <c r="T25" s="213"/>
      <c r="U25" s="213"/>
      <c r="V25" s="213"/>
      <c r="W25" s="213"/>
      <c r="X25" s="213"/>
      <c r="Y25" s="213"/>
      <c r="Z25" s="213"/>
    </row>
    <row r="26" spans="1:26" ht="18" customHeight="1">
      <c r="A26" s="60"/>
      <c r="B26" s="168" t="s">
        <v>74</v>
      </c>
      <c r="C26" s="169"/>
      <c r="D26" s="169"/>
      <c r="E26" s="169"/>
      <c r="F26" s="170"/>
      <c r="G26" s="7" t="s">
        <v>75</v>
      </c>
      <c r="H26" s="28" t="s">
        <v>76</v>
      </c>
      <c r="I26" s="169" t="s">
        <v>77</v>
      </c>
      <c r="J26" s="169"/>
      <c r="K26" s="169"/>
      <c r="L26" s="9" t="s">
        <v>84</v>
      </c>
      <c r="M26" s="9" t="s">
        <v>85</v>
      </c>
      <c r="N26" s="168" t="s">
        <v>74</v>
      </c>
      <c r="O26" s="169"/>
      <c r="P26" s="169"/>
      <c r="Q26" s="169"/>
      <c r="R26" s="169"/>
      <c r="S26" s="170"/>
      <c r="T26" s="7" t="s">
        <v>75</v>
      </c>
      <c r="U26" s="28" t="s">
        <v>76</v>
      </c>
      <c r="V26" s="169" t="s">
        <v>77</v>
      </c>
      <c r="W26" s="169"/>
      <c r="X26" s="169"/>
      <c r="Y26" s="9" t="s">
        <v>84</v>
      </c>
      <c r="Z26" s="9" t="s">
        <v>85</v>
      </c>
    </row>
    <row r="27" spans="1:26" ht="18" customHeight="1">
      <c r="A27" s="60"/>
      <c r="B27" s="178" t="s">
        <v>242</v>
      </c>
      <c r="C27" s="179"/>
      <c r="D27" s="179"/>
      <c r="E27" s="179"/>
      <c r="F27" s="180"/>
      <c r="G27" s="29">
        <v>2</v>
      </c>
      <c r="H27" s="29" t="s">
        <v>81</v>
      </c>
      <c r="I27" s="184" t="s">
        <v>82</v>
      </c>
      <c r="J27" s="185"/>
      <c r="K27" s="186"/>
      <c r="L27" s="10" t="s">
        <v>81</v>
      </c>
      <c r="M27" s="10" t="s">
        <v>81</v>
      </c>
      <c r="N27" s="153"/>
      <c r="O27" s="154"/>
      <c r="P27" s="154"/>
      <c r="Q27" s="154"/>
      <c r="R27" s="154"/>
      <c r="S27" s="155"/>
      <c r="T27" s="29"/>
      <c r="U27" s="29"/>
      <c r="V27" s="184"/>
      <c r="W27" s="185"/>
      <c r="X27" s="186"/>
      <c r="Y27" s="10"/>
      <c r="Z27" s="10"/>
    </row>
    <row r="28" spans="1:26" ht="18" customHeight="1">
      <c r="A28" s="60"/>
      <c r="B28" s="171"/>
      <c r="C28" s="172"/>
      <c r="D28" s="172"/>
      <c r="E28" s="172"/>
      <c r="F28" s="173"/>
      <c r="G28" s="30"/>
      <c r="H28" s="30"/>
      <c r="I28" s="162"/>
      <c r="J28" s="163"/>
      <c r="K28" s="164"/>
      <c r="L28" s="11"/>
      <c r="M28" s="11"/>
      <c r="N28" s="156"/>
      <c r="O28" s="157"/>
      <c r="P28" s="157"/>
      <c r="Q28" s="157"/>
      <c r="R28" s="157"/>
      <c r="S28" s="158"/>
      <c r="T28" s="30"/>
      <c r="U28" s="30"/>
      <c r="V28" s="162"/>
      <c r="W28" s="163"/>
      <c r="X28" s="164"/>
      <c r="Y28" s="11"/>
      <c r="Z28" s="11"/>
    </row>
    <row r="29" spans="1:26" ht="18" customHeight="1">
      <c r="A29" s="60"/>
      <c r="B29" s="171"/>
      <c r="C29" s="172"/>
      <c r="D29" s="172"/>
      <c r="E29" s="172"/>
      <c r="F29" s="173"/>
      <c r="G29" s="30"/>
      <c r="H29" s="30"/>
      <c r="I29" s="162"/>
      <c r="J29" s="163"/>
      <c r="K29" s="164"/>
      <c r="L29" s="11"/>
      <c r="M29" s="11"/>
      <c r="N29" s="156"/>
      <c r="O29" s="157"/>
      <c r="P29" s="157"/>
      <c r="Q29" s="157"/>
      <c r="R29" s="157"/>
      <c r="S29" s="158"/>
      <c r="T29" s="30"/>
      <c r="U29" s="30"/>
      <c r="V29" s="162"/>
      <c r="W29" s="163"/>
      <c r="X29" s="164"/>
      <c r="Y29" s="11"/>
      <c r="Z29" s="11"/>
    </row>
    <row r="30" spans="1:26" ht="18" customHeight="1">
      <c r="A30" s="60"/>
      <c r="B30" s="171"/>
      <c r="C30" s="172"/>
      <c r="D30" s="172"/>
      <c r="E30" s="172"/>
      <c r="F30" s="173"/>
      <c r="G30" s="30"/>
      <c r="H30" s="30"/>
      <c r="I30" s="162"/>
      <c r="J30" s="163"/>
      <c r="K30" s="164"/>
      <c r="L30" s="11"/>
      <c r="M30" s="11"/>
      <c r="N30" s="156"/>
      <c r="O30" s="157"/>
      <c r="P30" s="157"/>
      <c r="Q30" s="157"/>
      <c r="R30" s="157"/>
      <c r="S30" s="158"/>
      <c r="T30" s="30"/>
      <c r="U30" s="30"/>
      <c r="V30" s="162"/>
      <c r="W30" s="163"/>
      <c r="X30" s="164"/>
      <c r="Y30" s="11"/>
      <c r="Z30" s="11"/>
    </row>
    <row r="31" spans="1:26" ht="18" customHeight="1">
      <c r="A31" s="60"/>
      <c r="B31" s="171"/>
      <c r="C31" s="172"/>
      <c r="D31" s="172"/>
      <c r="E31" s="172"/>
      <c r="F31" s="173"/>
      <c r="G31" s="30"/>
      <c r="H31" s="30"/>
      <c r="I31" s="162"/>
      <c r="J31" s="163"/>
      <c r="K31" s="164"/>
      <c r="L31" s="11"/>
      <c r="M31" s="11"/>
      <c r="N31" s="156"/>
      <c r="O31" s="157"/>
      <c r="P31" s="157"/>
      <c r="Q31" s="157"/>
      <c r="R31" s="157"/>
      <c r="S31" s="158"/>
      <c r="T31" s="30"/>
      <c r="U31" s="30"/>
      <c r="V31" s="162"/>
      <c r="W31" s="163"/>
      <c r="X31" s="164"/>
      <c r="Y31" s="11"/>
      <c r="Z31" s="11"/>
    </row>
    <row r="32" spans="1:26" ht="18" customHeight="1">
      <c r="A32" s="60"/>
      <c r="B32" s="171"/>
      <c r="C32" s="172"/>
      <c r="D32" s="172"/>
      <c r="E32" s="172"/>
      <c r="F32" s="173"/>
      <c r="G32" s="30"/>
      <c r="H32" s="30"/>
      <c r="I32" s="162"/>
      <c r="J32" s="163"/>
      <c r="K32" s="164"/>
      <c r="L32" s="11"/>
      <c r="M32" s="11"/>
      <c r="N32" s="156"/>
      <c r="O32" s="157"/>
      <c r="P32" s="157"/>
      <c r="Q32" s="157"/>
      <c r="R32" s="157"/>
      <c r="S32" s="158"/>
      <c r="T32" s="30"/>
      <c r="U32" s="30"/>
      <c r="V32" s="162"/>
      <c r="W32" s="163"/>
      <c r="X32" s="164"/>
      <c r="Y32" s="11"/>
      <c r="Z32" s="11"/>
    </row>
    <row r="33" spans="1:26" ht="18" customHeight="1">
      <c r="A33" s="60"/>
      <c r="B33" s="174"/>
      <c r="C33" s="175"/>
      <c r="D33" s="175"/>
      <c r="E33" s="175"/>
      <c r="F33" s="176"/>
      <c r="G33" s="31"/>
      <c r="H33" s="31"/>
      <c r="I33" s="165"/>
      <c r="J33" s="166"/>
      <c r="K33" s="167"/>
      <c r="L33" s="12"/>
      <c r="M33" s="12"/>
      <c r="N33" s="159"/>
      <c r="O33" s="160"/>
      <c r="P33" s="160"/>
      <c r="Q33" s="160"/>
      <c r="R33" s="160"/>
      <c r="S33" s="161"/>
      <c r="T33" s="31"/>
      <c r="U33" s="31"/>
      <c r="V33" s="165"/>
      <c r="W33" s="166"/>
      <c r="X33" s="167"/>
      <c r="Y33" s="12"/>
      <c r="Z33" s="12"/>
    </row>
    <row r="34" spans="1:26" ht="7.5" customHeight="1">
      <c r="A34" s="63"/>
      <c r="B34" s="13"/>
      <c r="C34" s="13"/>
      <c r="D34" s="63"/>
      <c r="E34" s="63"/>
      <c r="F34" s="63"/>
      <c r="G34" s="63"/>
      <c r="H34" s="63"/>
      <c r="I34" s="63"/>
      <c r="J34" s="63"/>
      <c r="K34" s="63"/>
      <c r="L34" s="13"/>
      <c r="M34" s="13"/>
      <c r="N34" s="13"/>
      <c r="O34" s="13"/>
      <c r="P34" s="13"/>
      <c r="Q34" s="13"/>
      <c r="R34" s="13"/>
      <c r="S34" s="13"/>
      <c r="T34" s="13"/>
      <c r="U34" s="13"/>
      <c r="V34" s="13"/>
      <c r="W34" s="13"/>
      <c r="X34" s="13"/>
      <c r="Y34" s="13"/>
      <c r="Z34" s="63"/>
    </row>
    <row r="35" spans="1:26" ht="18" customHeight="1">
      <c r="A35" s="213" t="s">
        <v>86</v>
      </c>
      <c r="B35" s="213"/>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row>
    <row r="36" spans="1:26" ht="18" customHeight="1">
      <c r="A36" s="213"/>
      <c r="B36" s="213"/>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row>
    <row r="37" spans="1:26" ht="18" customHeight="1">
      <c r="A37" s="60"/>
      <c r="B37" s="168" t="s">
        <v>74</v>
      </c>
      <c r="C37" s="169"/>
      <c r="D37" s="169"/>
      <c r="E37" s="169"/>
      <c r="F37" s="170"/>
      <c r="G37" s="7" t="s">
        <v>75</v>
      </c>
      <c r="H37" s="28" t="s">
        <v>76</v>
      </c>
      <c r="I37" s="168" t="s">
        <v>77</v>
      </c>
      <c r="J37" s="169"/>
      <c r="K37" s="170"/>
      <c r="L37" s="9" t="s">
        <v>87</v>
      </c>
      <c r="M37" s="9" t="s">
        <v>88</v>
      </c>
      <c r="N37" s="168" t="s">
        <v>74</v>
      </c>
      <c r="O37" s="169"/>
      <c r="P37" s="169"/>
      <c r="Q37" s="169"/>
      <c r="R37" s="169"/>
      <c r="S37" s="170"/>
      <c r="T37" s="7" t="s">
        <v>75</v>
      </c>
      <c r="U37" s="28" t="s">
        <v>76</v>
      </c>
      <c r="V37" s="168" t="s">
        <v>77</v>
      </c>
      <c r="W37" s="169"/>
      <c r="X37" s="170"/>
      <c r="Y37" s="9" t="s">
        <v>87</v>
      </c>
      <c r="Z37" s="9" t="s">
        <v>88</v>
      </c>
    </row>
    <row r="38" spans="1:26" ht="18" customHeight="1">
      <c r="A38" s="63"/>
      <c r="B38" s="178" t="s">
        <v>242</v>
      </c>
      <c r="C38" s="179"/>
      <c r="D38" s="179"/>
      <c r="E38" s="179"/>
      <c r="F38" s="180"/>
      <c r="G38" s="29">
        <v>2</v>
      </c>
      <c r="H38" s="29" t="s">
        <v>81</v>
      </c>
      <c r="I38" s="184" t="s">
        <v>82</v>
      </c>
      <c r="J38" s="185"/>
      <c r="K38" s="186"/>
      <c r="L38" s="10" t="s">
        <v>81</v>
      </c>
      <c r="M38" s="10" t="s">
        <v>81</v>
      </c>
      <c r="N38" s="153"/>
      <c r="O38" s="154"/>
      <c r="P38" s="154"/>
      <c r="Q38" s="154"/>
      <c r="R38" s="154"/>
      <c r="S38" s="155"/>
      <c r="T38" s="29"/>
      <c r="U38" s="29"/>
      <c r="V38" s="184"/>
      <c r="W38" s="185"/>
      <c r="X38" s="186"/>
      <c r="Y38" s="10"/>
      <c r="Z38" s="10"/>
    </row>
    <row r="39" spans="1:26" ht="18" customHeight="1">
      <c r="A39" s="63"/>
      <c r="B39" s="171"/>
      <c r="C39" s="172"/>
      <c r="D39" s="172"/>
      <c r="E39" s="172"/>
      <c r="F39" s="173"/>
      <c r="G39" s="30"/>
      <c r="H39" s="30"/>
      <c r="I39" s="162"/>
      <c r="J39" s="163"/>
      <c r="K39" s="164"/>
      <c r="L39" s="11"/>
      <c r="M39" s="11"/>
      <c r="N39" s="156"/>
      <c r="O39" s="157"/>
      <c r="P39" s="157"/>
      <c r="Q39" s="157"/>
      <c r="R39" s="157"/>
      <c r="S39" s="158"/>
      <c r="T39" s="30"/>
      <c r="U39" s="30"/>
      <c r="V39" s="162"/>
      <c r="W39" s="163"/>
      <c r="X39" s="164"/>
      <c r="Y39" s="11"/>
      <c r="Z39" s="11"/>
    </row>
    <row r="40" spans="1:26" ht="18" customHeight="1">
      <c r="A40" s="63"/>
      <c r="B40" s="171"/>
      <c r="C40" s="172"/>
      <c r="D40" s="172"/>
      <c r="E40" s="172"/>
      <c r="F40" s="173"/>
      <c r="G40" s="30"/>
      <c r="H40" s="30"/>
      <c r="I40" s="162"/>
      <c r="J40" s="163"/>
      <c r="K40" s="164"/>
      <c r="L40" s="11"/>
      <c r="M40" s="11"/>
      <c r="N40" s="156"/>
      <c r="O40" s="157"/>
      <c r="P40" s="157"/>
      <c r="Q40" s="157"/>
      <c r="R40" s="157"/>
      <c r="S40" s="158"/>
      <c r="T40" s="30"/>
      <c r="U40" s="30"/>
      <c r="V40" s="162"/>
      <c r="W40" s="163"/>
      <c r="X40" s="164"/>
      <c r="Y40" s="11"/>
      <c r="Z40" s="11"/>
    </row>
    <row r="41" spans="1:26" ht="18" customHeight="1">
      <c r="A41" s="63"/>
      <c r="B41" s="171"/>
      <c r="C41" s="172"/>
      <c r="D41" s="172"/>
      <c r="E41" s="172"/>
      <c r="F41" s="173"/>
      <c r="G41" s="30"/>
      <c r="H41" s="30"/>
      <c r="I41" s="162"/>
      <c r="J41" s="163"/>
      <c r="K41" s="164"/>
      <c r="L41" s="11"/>
      <c r="M41" s="11"/>
      <c r="N41" s="156"/>
      <c r="O41" s="157"/>
      <c r="P41" s="157"/>
      <c r="Q41" s="157"/>
      <c r="R41" s="157"/>
      <c r="S41" s="158"/>
      <c r="T41" s="30"/>
      <c r="U41" s="30"/>
      <c r="V41" s="162"/>
      <c r="W41" s="163"/>
      <c r="X41" s="164"/>
      <c r="Y41" s="11"/>
      <c r="Z41" s="11"/>
    </row>
    <row r="42" spans="1:26" ht="18" customHeight="1">
      <c r="A42" s="63"/>
      <c r="B42" s="171"/>
      <c r="C42" s="172"/>
      <c r="D42" s="172"/>
      <c r="E42" s="172"/>
      <c r="F42" s="173"/>
      <c r="G42" s="30"/>
      <c r="H42" s="30"/>
      <c r="I42" s="162"/>
      <c r="J42" s="163"/>
      <c r="K42" s="164"/>
      <c r="L42" s="11"/>
      <c r="M42" s="11"/>
      <c r="N42" s="156"/>
      <c r="O42" s="157"/>
      <c r="P42" s="157"/>
      <c r="Q42" s="157"/>
      <c r="R42" s="157"/>
      <c r="S42" s="158"/>
      <c r="T42" s="30"/>
      <c r="U42" s="30"/>
      <c r="V42" s="162"/>
      <c r="W42" s="163"/>
      <c r="X42" s="164"/>
      <c r="Y42" s="11"/>
      <c r="Z42" s="11"/>
    </row>
    <row r="43" spans="1:26" ht="18" customHeight="1">
      <c r="A43" s="63"/>
      <c r="B43" s="171"/>
      <c r="C43" s="172"/>
      <c r="D43" s="172"/>
      <c r="E43" s="172"/>
      <c r="F43" s="173"/>
      <c r="G43" s="30"/>
      <c r="H43" s="30"/>
      <c r="I43" s="162"/>
      <c r="J43" s="163"/>
      <c r="K43" s="164"/>
      <c r="L43" s="11"/>
      <c r="M43" s="11"/>
      <c r="N43" s="156"/>
      <c r="O43" s="157"/>
      <c r="P43" s="157"/>
      <c r="Q43" s="157"/>
      <c r="R43" s="157"/>
      <c r="S43" s="158"/>
      <c r="T43" s="30"/>
      <c r="U43" s="30"/>
      <c r="V43" s="162"/>
      <c r="W43" s="163"/>
      <c r="X43" s="164"/>
      <c r="Y43" s="11"/>
      <c r="Z43" s="11"/>
    </row>
    <row r="44" spans="1:26" ht="18" customHeight="1">
      <c r="A44" s="63"/>
      <c r="B44" s="174"/>
      <c r="C44" s="175"/>
      <c r="D44" s="175"/>
      <c r="E44" s="175"/>
      <c r="F44" s="176"/>
      <c r="G44" s="31"/>
      <c r="H44" s="31"/>
      <c r="I44" s="165"/>
      <c r="J44" s="166"/>
      <c r="K44" s="167"/>
      <c r="L44" s="12"/>
      <c r="M44" s="12"/>
      <c r="N44" s="159"/>
      <c r="O44" s="160"/>
      <c r="P44" s="160"/>
      <c r="Q44" s="160"/>
      <c r="R44" s="160"/>
      <c r="S44" s="161"/>
      <c r="T44" s="31"/>
      <c r="U44" s="31"/>
      <c r="V44" s="165"/>
      <c r="W44" s="166"/>
      <c r="X44" s="167"/>
      <c r="Y44" s="12"/>
      <c r="Z44" s="12"/>
    </row>
    <row r="45" spans="1:26" ht="7.5" customHeight="1">
      <c r="B45" s="64"/>
      <c r="C45" s="64"/>
      <c r="D45" s="64"/>
      <c r="E45" s="64"/>
      <c r="F45" s="64"/>
      <c r="G45" s="64"/>
      <c r="H45" s="64"/>
      <c r="I45" s="64"/>
      <c r="J45" s="64"/>
      <c r="K45" s="64"/>
      <c r="L45" s="64"/>
      <c r="M45" s="64"/>
      <c r="N45" s="64"/>
      <c r="O45" s="64"/>
      <c r="P45" s="64"/>
      <c r="Q45" s="64"/>
      <c r="R45" s="64"/>
      <c r="S45" s="64"/>
      <c r="T45" s="64"/>
      <c r="U45" s="64"/>
      <c r="V45" s="64"/>
      <c r="W45" s="64"/>
      <c r="X45" s="64"/>
      <c r="Y45" s="64"/>
    </row>
    <row r="46" spans="1:26" ht="18" customHeight="1">
      <c r="A46" s="213" t="s">
        <v>89</v>
      </c>
      <c r="B46" s="213"/>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row>
    <row r="47" spans="1:26" ht="18" customHeight="1">
      <c r="A47" s="213"/>
      <c r="B47" s="213"/>
      <c r="C47" s="213"/>
      <c r="D47" s="213"/>
      <c r="E47" s="213"/>
      <c r="F47" s="213"/>
      <c r="G47" s="213"/>
      <c r="H47" s="213"/>
      <c r="I47" s="213"/>
      <c r="J47" s="213"/>
      <c r="K47" s="213"/>
      <c r="L47" s="213"/>
      <c r="M47" s="213"/>
      <c r="N47" s="213"/>
      <c r="O47" s="213"/>
      <c r="P47" s="213"/>
      <c r="Q47" s="213"/>
      <c r="R47" s="213"/>
      <c r="S47" s="213"/>
      <c r="T47" s="213"/>
      <c r="U47" s="213"/>
      <c r="V47" s="213"/>
      <c r="W47" s="213"/>
      <c r="X47" s="213"/>
      <c r="Y47" s="213"/>
      <c r="Z47" s="213"/>
    </row>
    <row r="48" spans="1:26" ht="18" customHeight="1">
      <c r="A48" s="60"/>
      <c r="B48" s="168" t="s">
        <v>74</v>
      </c>
      <c r="C48" s="169"/>
      <c r="D48" s="169"/>
      <c r="E48" s="169"/>
      <c r="F48" s="170"/>
      <c r="G48" s="7" t="s">
        <v>75</v>
      </c>
      <c r="H48" s="28" t="s">
        <v>76</v>
      </c>
      <c r="I48" s="168" t="s">
        <v>77</v>
      </c>
      <c r="J48" s="169"/>
      <c r="K48" s="170"/>
      <c r="L48" s="9" t="s">
        <v>90</v>
      </c>
      <c r="M48" s="9" t="s">
        <v>91</v>
      </c>
      <c r="N48" s="168" t="s">
        <v>74</v>
      </c>
      <c r="O48" s="169"/>
      <c r="P48" s="169"/>
      <c r="Q48" s="169"/>
      <c r="R48" s="169"/>
      <c r="S48" s="170"/>
      <c r="T48" s="7" t="s">
        <v>75</v>
      </c>
      <c r="U48" s="28" t="s">
        <v>76</v>
      </c>
      <c r="V48" s="168" t="s">
        <v>77</v>
      </c>
      <c r="W48" s="169"/>
      <c r="X48" s="170"/>
      <c r="Y48" s="9" t="s">
        <v>90</v>
      </c>
      <c r="Z48" s="9" t="s">
        <v>91</v>
      </c>
    </row>
    <row r="49" spans="1:26" ht="18" customHeight="1">
      <c r="A49" s="63"/>
      <c r="B49" s="178" t="s">
        <v>242</v>
      </c>
      <c r="C49" s="179"/>
      <c r="D49" s="179"/>
      <c r="E49" s="179"/>
      <c r="F49" s="180"/>
      <c r="G49" s="29">
        <v>2</v>
      </c>
      <c r="H49" s="29" t="s">
        <v>81</v>
      </c>
      <c r="I49" s="184" t="s">
        <v>82</v>
      </c>
      <c r="J49" s="185"/>
      <c r="K49" s="186"/>
      <c r="L49" s="10" t="s">
        <v>81</v>
      </c>
      <c r="M49" s="10" t="s">
        <v>81</v>
      </c>
      <c r="N49" s="153"/>
      <c r="O49" s="154"/>
      <c r="P49" s="154"/>
      <c r="Q49" s="154"/>
      <c r="R49" s="154"/>
      <c r="S49" s="155"/>
      <c r="T49" s="29"/>
      <c r="U49" s="29"/>
      <c r="V49" s="184"/>
      <c r="W49" s="185"/>
      <c r="X49" s="186"/>
      <c r="Y49" s="10"/>
      <c r="Z49" s="10"/>
    </row>
    <row r="50" spans="1:26" ht="18" customHeight="1">
      <c r="A50" s="63"/>
      <c r="B50" s="171"/>
      <c r="C50" s="172"/>
      <c r="D50" s="172"/>
      <c r="E50" s="172"/>
      <c r="F50" s="173"/>
      <c r="G50" s="30"/>
      <c r="H50" s="30"/>
      <c r="I50" s="162"/>
      <c r="J50" s="163"/>
      <c r="K50" s="164"/>
      <c r="L50" s="11"/>
      <c r="M50" s="11"/>
      <c r="N50" s="156"/>
      <c r="O50" s="157"/>
      <c r="P50" s="157"/>
      <c r="Q50" s="157"/>
      <c r="R50" s="157"/>
      <c r="S50" s="158"/>
      <c r="T50" s="30"/>
      <c r="U50" s="30"/>
      <c r="V50" s="162"/>
      <c r="W50" s="163"/>
      <c r="X50" s="164"/>
      <c r="Y50" s="11"/>
      <c r="Z50" s="11"/>
    </row>
    <row r="51" spans="1:26" ht="18" customHeight="1">
      <c r="A51" s="63"/>
      <c r="B51" s="171"/>
      <c r="C51" s="172"/>
      <c r="D51" s="172"/>
      <c r="E51" s="172"/>
      <c r="F51" s="173"/>
      <c r="G51" s="30"/>
      <c r="H51" s="30"/>
      <c r="I51" s="162"/>
      <c r="J51" s="163"/>
      <c r="K51" s="164"/>
      <c r="L51" s="11"/>
      <c r="M51" s="11"/>
      <c r="N51" s="156"/>
      <c r="O51" s="157"/>
      <c r="P51" s="157"/>
      <c r="Q51" s="157"/>
      <c r="R51" s="157"/>
      <c r="S51" s="158"/>
      <c r="T51" s="30"/>
      <c r="U51" s="30"/>
      <c r="V51" s="162"/>
      <c r="W51" s="163"/>
      <c r="X51" s="164"/>
      <c r="Y51" s="11"/>
      <c r="Z51" s="11"/>
    </row>
    <row r="52" spans="1:26" ht="18" customHeight="1">
      <c r="A52" s="63"/>
      <c r="B52" s="171"/>
      <c r="C52" s="172"/>
      <c r="D52" s="172"/>
      <c r="E52" s="172"/>
      <c r="F52" s="173"/>
      <c r="G52" s="30"/>
      <c r="H52" s="30"/>
      <c r="I52" s="162"/>
      <c r="J52" s="163"/>
      <c r="K52" s="164"/>
      <c r="L52" s="11"/>
      <c r="M52" s="11"/>
      <c r="N52" s="156"/>
      <c r="O52" s="157"/>
      <c r="P52" s="157"/>
      <c r="Q52" s="157"/>
      <c r="R52" s="157"/>
      <c r="S52" s="158"/>
      <c r="T52" s="30"/>
      <c r="U52" s="30"/>
      <c r="V52" s="162"/>
      <c r="W52" s="163"/>
      <c r="X52" s="164"/>
      <c r="Y52" s="11"/>
      <c r="Z52" s="11"/>
    </row>
    <row r="53" spans="1:26" ht="18" customHeight="1">
      <c r="A53" s="63"/>
      <c r="B53" s="171"/>
      <c r="C53" s="172"/>
      <c r="D53" s="172"/>
      <c r="E53" s="172"/>
      <c r="F53" s="173"/>
      <c r="G53" s="30"/>
      <c r="H53" s="30"/>
      <c r="I53" s="162"/>
      <c r="J53" s="163"/>
      <c r="K53" s="164"/>
      <c r="L53" s="11"/>
      <c r="M53" s="11"/>
      <c r="N53" s="156"/>
      <c r="O53" s="157"/>
      <c r="P53" s="157"/>
      <c r="Q53" s="157"/>
      <c r="R53" s="157"/>
      <c r="S53" s="158"/>
      <c r="T53" s="30"/>
      <c r="U53" s="30"/>
      <c r="V53" s="162"/>
      <c r="W53" s="163"/>
      <c r="X53" s="164"/>
      <c r="Y53" s="11"/>
      <c r="Z53" s="11"/>
    </row>
    <row r="54" spans="1:26" ht="18" customHeight="1">
      <c r="A54" s="63"/>
      <c r="B54" s="171"/>
      <c r="C54" s="172"/>
      <c r="D54" s="172"/>
      <c r="E54" s="172"/>
      <c r="F54" s="173"/>
      <c r="G54" s="30"/>
      <c r="H54" s="30"/>
      <c r="I54" s="162"/>
      <c r="J54" s="163"/>
      <c r="K54" s="164"/>
      <c r="L54" s="11"/>
      <c r="M54" s="11"/>
      <c r="N54" s="156"/>
      <c r="O54" s="157"/>
      <c r="P54" s="157"/>
      <c r="Q54" s="157"/>
      <c r="R54" s="157"/>
      <c r="S54" s="158"/>
      <c r="T54" s="30"/>
      <c r="U54" s="30"/>
      <c r="V54" s="162"/>
      <c r="W54" s="163"/>
      <c r="X54" s="164"/>
      <c r="Y54" s="11"/>
      <c r="Z54" s="11"/>
    </row>
    <row r="55" spans="1:26" ht="18" customHeight="1">
      <c r="A55" s="63"/>
      <c r="B55" s="174"/>
      <c r="C55" s="175"/>
      <c r="D55" s="175"/>
      <c r="E55" s="175"/>
      <c r="F55" s="176"/>
      <c r="G55" s="31"/>
      <c r="H55" s="31"/>
      <c r="I55" s="165"/>
      <c r="J55" s="166"/>
      <c r="K55" s="167"/>
      <c r="L55" s="12"/>
      <c r="M55" s="12"/>
      <c r="N55" s="159"/>
      <c r="O55" s="160"/>
      <c r="P55" s="160"/>
      <c r="Q55" s="160"/>
      <c r="R55" s="160"/>
      <c r="S55" s="161"/>
      <c r="T55" s="31"/>
      <c r="U55" s="31"/>
      <c r="V55" s="165"/>
      <c r="W55" s="166"/>
      <c r="X55" s="167"/>
      <c r="Y55" s="12"/>
      <c r="Z55" s="12"/>
    </row>
    <row r="56" spans="1:26" ht="7.5" customHeight="1">
      <c r="B56" s="64"/>
      <c r="C56" s="64"/>
      <c r="D56" s="64"/>
      <c r="E56" s="64"/>
      <c r="F56" s="64"/>
      <c r="G56" s="64"/>
      <c r="H56" s="64"/>
      <c r="I56" s="64"/>
      <c r="J56" s="64"/>
      <c r="K56" s="64"/>
      <c r="L56" s="64"/>
      <c r="M56" s="64"/>
      <c r="N56" s="64"/>
      <c r="O56" s="64"/>
      <c r="P56" s="64"/>
      <c r="Q56" s="64"/>
      <c r="R56" s="64"/>
      <c r="S56" s="64"/>
      <c r="T56" s="64"/>
      <c r="U56" s="64"/>
      <c r="V56" s="64"/>
      <c r="W56" s="64"/>
      <c r="X56" s="64"/>
      <c r="Y56" s="64"/>
    </row>
    <row r="57" spans="1:26" ht="18" customHeight="1">
      <c r="A57" s="213" t="s">
        <v>92</v>
      </c>
      <c r="B57" s="213"/>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row>
    <row r="58" spans="1:26" ht="18" customHeight="1">
      <c r="A58" s="213"/>
      <c r="B58" s="213"/>
      <c r="C58" s="213"/>
      <c r="D58" s="213"/>
      <c r="E58" s="213"/>
      <c r="F58" s="213"/>
      <c r="G58" s="213"/>
      <c r="H58" s="213"/>
      <c r="I58" s="213"/>
      <c r="J58" s="213"/>
      <c r="K58" s="213"/>
      <c r="L58" s="213"/>
      <c r="M58" s="213"/>
      <c r="N58" s="213"/>
      <c r="O58" s="213"/>
      <c r="P58" s="213"/>
      <c r="Q58" s="213"/>
      <c r="R58" s="213"/>
      <c r="S58" s="213"/>
      <c r="T58" s="213"/>
      <c r="U58" s="213"/>
      <c r="V58" s="213"/>
      <c r="W58" s="213"/>
      <c r="X58" s="213"/>
      <c r="Y58" s="213"/>
      <c r="Z58" s="213"/>
    </row>
    <row r="59" spans="1:26" ht="18" customHeight="1">
      <c r="A59" s="60"/>
      <c r="B59" s="168" t="s">
        <v>74</v>
      </c>
      <c r="C59" s="169"/>
      <c r="D59" s="169"/>
      <c r="E59" s="170"/>
      <c r="F59" s="7" t="s">
        <v>75</v>
      </c>
      <c r="G59" s="28" t="s">
        <v>76</v>
      </c>
      <c r="H59" s="20" t="s">
        <v>77</v>
      </c>
      <c r="I59" s="21"/>
      <c r="J59" s="22"/>
      <c r="K59" s="9" t="s">
        <v>93</v>
      </c>
      <c r="L59" s="9" t="s">
        <v>94</v>
      </c>
      <c r="M59" s="9" t="s">
        <v>95</v>
      </c>
      <c r="N59" s="168" t="s">
        <v>74</v>
      </c>
      <c r="O59" s="169"/>
      <c r="P59" s="169"/>
      <c r="Q59" s="169"/>
      <c r="R59" s="170"/>
      <c r="S59" s="7" t="s">
        <v>75</v>
      </c>
      <c r="T59" s="28" t="s">
        <v>76</v>
      </c>
      <c r="U59" s="20" t="s">
        <v>77</v>
      </c>
      <c r="V59" s="21"/>
      <c r="W59" s="22"/>
      <c r="X59" s="9" t="s">
        <v>93</v>
      </c>
      <c r="Y59" s="9" t="s">
        <v>94</v>
      </c>
      <c r="Z59" s="9" t="s">
        <v>95</v>
      </c>
    </row>
    <row r="60" spans="1:26" ht="18" customHeight="1">
      <c r="A60" s="63"/>
      <c r="B60" s="153" t="s">
        <v>243</v>
      </c>
      <c r="C60" s="154"/>
      <c r="D60" s="154"/>
      <c r="E60" s="155"/>
      <c r="F60" s="29">
        <v>2</v>
      </c>
      <c r="G60" s="29" t="s">
        <v>81</v>
      </c>
      <c r="H60" s="184" t="s">
        <v>82</v>
      </c>
      <c r="I60" s="185"/>
      <c r="J60" s="186"/>
      <c r="K60" s="10" t="s">
        <v>81</v>
      </c>
      <c r="L60" s="10" t="s">
        <v>81</v>
      </c>
      <c r="M60" s="10" t="s">
        <v>81</v>
      </c>
      <c r="N60" s="153"/>
      <c r="O60" s="154"/>
      <c r="P60" s="154"/>
      <c r="Q60" s="154"/>
      <c r="R60" s="155"/>
      <c r="S60" s="29"/>
      <c r="T60" s="29"/>
      <c r="U60" s="184"/>
      <c r="V60" s="185"/>
      <c r="W60" s="186"/>
      <c r="X60" s="23"/>
      <c r="Y60" s="10"/>
      <c r="Z60" s="10"/>
    </row>
    <row r="61" spans="1:26" ht="18" customHeight="1">
      <c r="A61" s="63"/>
      <c r="B61" s="156" t="s">
        <v>244</v>
      </c>
      <c r="C61" s="157"/>
      <c r="D61" s="157"/>
      <c r="E61" s="158"/>
      <c r="F61" s="30">
        <v>2</v>
      </c>
      <c r="G61" s="30" t="s">
        <v>81</v>
      </c>
      <c r="H61" s="162" t="s">
        <v>82</v>
      </c>
      <c r="I61" s="163"/>
      <c r="J61" s="164"/>
      <c r="K61" s="24" t="s">
        <v>81</v>
      </c>
      <c r="L61" s="11" t="s">
        <v>81</v>
      </c>
      <c r="M61" s="11" t="s">
        <v>81</v>
      </c>
      <c r="N61" s="156"/>
      <c r="O61" s="157"/>
      <c r="P61" s="157"/>
      <c r="Q61" s="157"/>
      <c r="R61" s="158"/>
      <c r="S61" s="30"/>
      <c r="T61" s="30"/>
      <c r="U61" s="162"/>
      <c r="V61" s="163"/>
      <c r="W61" s="164"/>
      <c r="X61" s="24"/>
      <c r="Y61" s="11"/>
      <c r="Z61" s="11"/>
    </row>
    <row r="62" spans="1:26" ht="18" customHeight="1">
      <c r="A62" s="63"/>
      <c r="B62" s="156"/>
      <c r="C62" s="157"/>
      <c r="D62" s="157"/>
      <c r="E62" s="158"/>
      <c r="F62" s="30"/>
      <c r="G62" s="30"/>
      <c r="H62" s="162"/>
      <c r="I62" s="163"/>
      <c r="J62" s="164"/>
      <c r="K62" s="24"/>
      <c r="L62" s="11"/>
      <c r="M62" s="11"/>
      <c r="N62" s="156"/>
      <c r="O62" s="157"/>
      <c r="P62" s="157"/>
      <c r="Q62" s="157"/>
      <c r="R62" s="158"/>
      <c r="S62" s="30"/>
      <c r="T62" s="30"/>
      <c r="U62" s="162"/>
      <c r="V62" s="163"/>
      <c r="W62" s="164"/>
      <c r="X62" s="24"/>
      <c r="Y62" s="11"/>
      <c r="Z62" s="11"/>
    </row>
    <row r="63" spans="1:26" ht="18" customHeight="1">
      <c r="A63" s="63"/>
      <c r="B63" s="156"/>
      <c r="C63" s="157"/>
      <c r="D63" s="157"/>
      <c r="E63" s="158"/>
      <c r="F63" s="30"/>
      <c r="G63" s="30"/>
      <c r="H63" s="162"/>
      <c r="I63" s="163"/>
      <c r="J63" s="164"/>
      <c r="K63" s="24"/>
      <c r="L63" s="11"/>
      <c r="M63" s="11"/>
      <c r="N63" s="156"/>
      <c r="O63" s="157"/>
      <c r="P63" s="157"/>
      <c r="Q63" s="157"/>
      <c r="R63" s="158"/>
      <c r="S63" s="30"/>
      <c r="T63" s="30"/>
      <c r="U63" s="162"/>
      <c r="V63" s="163"/>
      <c r="W63" s="164"/>
      <c r="X63" s="24"/>
      <c r="Y63" s="11"/>
      <c r="Z63" s="11"/>
    </row>
    <row r="64" spans="1:26" ht="18" customHeight="1">
      <c r="A64" s="63"/>
      <c r="B64" s="156"/>
      <c r="C64" s="157"/>
      <c r="D64" s="157"/>
      <c r="E64" s="158"/>
      <c r="F64" s="30"/>
      <c r="G64" s="30"/>
      <c r="H64" s="162"/>
      <c r="I64" s="163"/>
      <c r="J64" s="164"/>
      <c r="K64" s="24"/>
      <c r="L64" s="11"/>
      <c r="M64" s="11"/>
      <c r="N64" s="156"/>
      <c r="O64" s="157"/>
      <c r="P64" s="157"/>
      <c r="Q64" s="157"/>
      <c r="R64" s="158"/>
      <c r="S64" s="30"/>
      <c r="T64" s="30"/>
      <c r="U64" s="162"/>
      <c r="V64" s="163"/>
      <c r="W64" s="164"/>
      <c r="X64" s="24"/>
      <c r="Y64" s="11"/>
      <c r="Z64" s="11"/>
    </row>
    <row r="65" spans="1:26" ht="18" customHeight="1">
      <c r="A65" s="63"/>
      <c r="B65" s="156"/>
      <c r="C65" s="157"/>
      <c r="D65" s="157"/>
      <c r="E65" s="158"/>
      <c r="F65" s="30"/>
      <c r="G65" s="30"/>
      <c r="H65" s="162"/>
      <c r="I65" s="163"/>
      <c r="J65" s="164"/>
      <c r="K65" s="24"/>
      <c r="L65" s="11"/>
      <c r="M65" s="11"/>
      <c r="N65" s="156"/>
      <c r="O65" s="157"/>
      <c r="P65" s="157"/>
      <c r="Q65" s="157"/>
      <c r="R65" s="158"/>
      <c r="S65" s="30"/>
      <c r="T65" s="30"/>
      <c r="U65" s="162"/>
      <c r="V65" s="163"/>
      <c r="W65" s="164"/>
      <c r="X65" s="24"/>
      <c r="Y65" s="11"/>
      <c r="Z65" s="11"/>
    </row>
    <row r="66" spans="1:26" ht="18" customHeight="1">
      <c r="A66" s="63"/>
      <c r="B66" s="159"/>
      <c r="C66" s="160"/>
      <c r="D66" s="160"/>
      <c r="E66" s="161"/>
      <c r="F66" s="31"/>
      <c r="G66" s="31"/>
      <c r="H66" s="165"/>
      <c r="I66" s="166"/>
      <c r="J66" s="167"/>
      <c r="K66" s="25"/>
      <c r="L66" s="12"/>
      <c r="M66" s="12"/>
      <c r="N66" s="159"/>
      <c r="O66" s="160"/>
      <c r="P66" s="160"/>
      <c r="Q66" s="160"/>
      <c r="R66" s="161"/>
      <c r="S66" s="31"/>
      <c r="T66" s="31"/>
      <c r="U66" s="165"/>
      <c r="V66" s="166"/>
      <c r="W66" s="167"/>
      <c r="X66" s="25"/>
      <c r="Y66" s="12"/>
      <c r="Z66" s="12"/>
    </row>
    <row r="67" spans="1:26" ht="7.5" customHeight="1">
      <c r="B67" s="64"/>
      <c r="C67" s="64"/>
      <c r="D67" s="64"/>
      <c r="E67" s="64"/>
      <c r="F67" s="64"/>
      <c r="G67" s="64"/>
      <c r="H67" s="64"/>
      <c r="I67" s="64"/>
      <c r="J67" s="64"/>
      <c r="K67" s="64"/>
      <c r="L67" s="64"/>
      <c r="M67" s="64"/>
      <c r="N67" s="64"/>
      <c r="O67" s="64"/>
      <c r="P67" s="64"/>
      <c r="Q67" s="64"/>
      <c r="R67" s="64"/>
      <c r="S67" s="64"/>
      <c r="T67" s="64"/>
      <c r="U67" s="64"/>
      <c r="V67" s="64"/>
      <c r="W67" s="64"/>
      <c r="X67" s="64"/>
      <c r="Y67" s="64"/>
    </row>
    <row r="68" spans="1:26" ht="18" customHeight="1">
      <c r="A68" s="60" t="s">
        <v>97</v>
      </c>
      <c r="B68" s="60"/>
      <c r="C68" s="60"/>
      <c r="D68" s="60"/>
      <c r="E68" s="60"/>
      <c r="F68" s="60"/>
      <c r="G68" s="60"/>
      <c r="H68" s="60"/>
      <c r="I68" s="60"/>
      <c r="J68" s="60"/>
      <c r="K68" s="60"/>
      <c r="L68" s="63"/>
      <c r="M68" s="63"/>
      <c r="N68" s="63"/>
      <c r="O68" s="63"/>
      <c r="P68" s="63"/>
      <c r="Q68" s="63"/>
      <c r="R68" s="63"/>
      <c r="S68" s="63"/>
      <c r="T68" s="63"/>
      <c r="U68" s="63"/>
      <c r="V68" s="63"/>
      <c r="W68" s="63"/>
      <c r="X68" s="63"/>
      <c r="Y68" s="63"/>
      <c r="Z68" s="63"/>
    </row>
    <row r="69" spans="1:26" ht="18" customHeight="1">
      <c r="A69" s="60"/>
      <c r="B69" s="168" t="s">
        <v>74</v>
      </c>
      <c r="C69" s="169"/>
      <c r="D69" s="169"/>
      <c r="E69" s="169"/>
      <c r="F69" s="170"/>
      <c r="G69" s="168" t="s">
        <v>98</v>
      </c>
      <c r="H69" s="169"/>
      <c r="I69" s="169"/>
      <c r="J69" s="169"/>
      <c r="K69" s="169"/>
      <c r="L69" s="169"/>
      <c r="M69" s="170"/>
      <c r="N69" s="181" t="s">
        <v>74</v>
      </c>
      <c r="O69" s="182"/>
      <c r="P69" s="182"/>
      <c r="Q69" s="182"/>
      <c r="R69" s="182"/>
      <c r="S69" s="183"/>
      <c r="T69" s="168" t="s">
        <v>98</v>
      </c>
      <c r="U69" s="169"/>
      <c r="V69" s="169"/>
      <c r="W69" s="169"/>
      <c r="X69" s="169"/>
      <c r="Y69" s="169"/>
      <c r="Z69" s="170"/>
    </row>
    <row r="70" spans="1:26" ht="18" customHeight="1">
      <c r="A70" s="63"/>
      <c r="B70" s="153"/>
      <c r="C70" s="154"/>
      <c r="D70" s="154"/>
      <c r="E70" s="154"/>
      <c r="F70" s="155"/>
      <c r="G70" s="225"/>
      <c r="H70" s="226"/>
      <c r="I70" s="226"/>
      <c r="J70" s="226"/>
      <c r="K70" s="226"/>
      <c r="L70" s="226"/>
      <c r="M70" s="227"/>
      <c r="N70" s="153"/>
      <c r="O70" s="154"/>
      <c r="P70" s="154"/>
      <c r="Q70" s="154"/>
      <c r="R70" s="154"/>
      <c r="S70" s="155"/>
      <c r="T70" s="225"/>
      <c r="U70" s="226"/>
      <c r="V70" s="226"/>
      <c r="W70" s="226"/>
      <c r="X70" s="226"/>
      <c r="Y70" s="226"/>
      <c r="Z70" s="227"/>
    </row>
    <row r="71" spans="1:26" ht="18" customHeight="1">
      <c r="A71" s="63"/>
      <c r="B71" s="156"/>
      <c r="C71" s="157"/>
      <c r="D71" s="157"/>
      <c r="E71" s="157"/>
      <c r="F71" s="158"/>
      <c r="G71" s="202"/>
      <c r="H71" s="203"/>
      <c r="I71" s="203"/>
      <c r="J71" s="203"/>
      <c r="K71" s="203"/>
      <c r="L71" s="203"/>
      <c r="M71" s="204"/>
      <c r="N71" s="156"/>
      <c r="O71" s="157"/>
      <c r="P71" s="157"/>
      <c r="Q71" s="157"/>
      <c r="R71" s="157"/>
      <c r="S71" s="158"/>
      <c r="T71" s="202"/>
      <c r="U71" s="203"/>
      <c r="V71" s="203"/>
      <c r="W71" s="203"/>
      <c r="X71" s="203"/>
      <c r="Y71" s="203"/>
      <c r="Z71" s="204"/>
    </row>
    <row r="72" spans="1:26" ht="18" customHeight="1">
      <c r="A72" s="63"/>
      <c r="B72" s="156"/>
      <c r="C72" s="157"/>
      <c r="D72" s="157"/>
      <c r="E72" s="157"/>
      <c r="F72" s="158"/>
      <c r="G72" s="202"/>
      <c r="H72" s="203"/>
      <c r="I72" s="203"/>
      <c r="J72" s="203"/>
      <c r="K72" s="203"/>
      <c r="L72" s="203"/>
      <c r="M72" s="204"/>
      <c r="N72" s="156"/>
      <c r="O72" s="157"/>
      <c r="P72" s="157"/>
      <c r="Q72" s="157"/>
      <c r="R72" s="157"/>
      <c r="S72" s="158"/>
      <c r="T72" s="202"/>
      <c r="U72" s="203"/>
      <c r="V72" s="203"/>
      <c r="W72" s="203"/>
      <c r="X72" s="203"/>
      <c r="Y72" s="203"/>
      <c r="Z72" s="204"/>
    </row>
    <row r="73" spans="1:26" ht="18" customHeight="1">
      <c r="A73" s="63"/>
      <c r="B73" s="156"/>
      <c r="C73" s="157"/>
      <c r="D73" s="157"/>
      <c r="E73" s="157"/>
      <c r="F73" s="158"/>
      <c r="G73" s="202"/>
      <c r="H73" s="203"/>
      <c r="I73" s="203"/>
      <c r="J73" s="203"/>
      <c r="K73" s="203"/>
      <c r="L73" s="203"/>
      <c r="M73" s="204"/>
      <c r="N73" s="156"/>
      <c r="O73" s="157"/>
      <c r="P73" s="157"/>
      <c r="Q73" s="157"/>
      <c r="R73" s="157"/>
      <c r="S73" s="158"/>
      <c r="T73" s="202"/>
      <c r="U73" s="203"/>
      <c r="V73" s="203"/>
      <c r="W73" s="203"/>
      <c r="X73" s="203"/>
      <c r="Y73" s="203"/>
      <c r="Z73" s="204"/>
    </row>
    <row r="74" spans="1:26" ht="18" customHeight="1">
      <c r="A74" s="63"/>
      <c r="B74" s="156"/>
      <c r="C74" s="157"/>
      <c r="D74" s="157"/>
      <c r="E74" s="157"/>
      <c r="F74" s="158"/>
      <c r="G74" s="202"/>
      <c r="H74" s="203"/>
      <c r="I74" s="203"/>
      <c r="J74" s="203"/>
      <c r="K74" s="203"/>
      <c r="L74" s="203"/>
      <c r="M74" s="204"/>
      <c r="N74" s="156"/>
      <c r="O74" s="157"/>
      <c r="P74" s="157"/>
      <c r="Q74" s="157"/>
      <c r="R74" s="157"/>
      <c r="S74" s="158"/>
      <c r="T74" s="202"/>
      <c r="U74" s="203"/>
      <c r="V74" s="203"/>
      <c r="W74" s="203"/>
      <c r="X74" s="203"/>
      <c r="Y74" s="203"/>
      <c r="Z74" s="204"/>
    </row>
    <row r="75" spans="1:26" ht="18" customHeight="1">
      <c r="A75" s="63"/>
      <c r="B75" s="156"/>
      <c r="C75" s="157"/>
      <c r="D75" s="157"/>
      <c r="E75" s="157"/>
      <c r="F75" s="158"/>
      <c r="G75" s="202"/>
      <c r="H75" s="203"/>
      <c r="I75" s="203"/>
      <c r="J75" s="203"/>
      <c r="K75" s="203"/>
      <c r="L75" s="203"/>
      <c r="M75" s="204"/>
      <c r="N75" s="156"/>
      <c r="O75" s="157"/>
      <c r="P75" s="157"/>
      <c r="Q75" s="157"/>
      <c r="R75" s="157"/>
      <c r="S75" s="158"/>
      <c r="T75" s="202"/>
      <c r="U75" s="203"/>
      <c r="V75" s="203"/>
      <c r="W75" s="203"/>
      <c r="X75" s="203"/>
      <c r="Y75" s="203"/>
      <c r="Z75" s="204"/>
    </row>
    <row r="76" spans="1:26" ht="18" customHeight="1">
      <c r="A76" s="63"/>
      <c r="B76" s="159"/>
      <c r="C76" s="160"/>
      <c r="D76" s="160"/>
      <c r="E76" s="160"/>
      <c r="F76" s="161"/>
      <c r="G76" s="199"/>
      <c r="H76" s="200"/>
      <c r="I76" s="200"/>
      <c r="J76" s="200"/>
      <c r="K76" s="200"/>
      <c r="L76" s="200"/>
      <c r="M76" s="201"/>
      <c r="N76" s="159"/>
      <c r="O76" s="160"/>
      <c r="P76" s="160"/>
      <c r="Q76" s="160"/>
      <c r="R76" s="160"/>
      <c r="S76" s="161"/>
      <c r="T76" s="199"/>
      <c r="U76" s="200"/>
      <c r="V76" s="200"/>
      <c r="W76" s="200"/>
      <c r="X76" s="200"/>
      <c r="Y76" s="200"/>
      <c r="Z76" s="201"/>
    </row>
    <row r="77" spans="1:26" ht="18" customHeight="1">
      <c r="A77" s="63"/>
      <c r="B77" s="120"/>
      <c r="C77" s="120"/>
      <c r="D77" s="120"/>
      <c r="E77" s="120"/>
      <c r="F77" s="120"/>
      <c r="G77" s="3"/>
      <c r="H77" s="3"/>
      <c r="I77" s="3"/>
      <c r="J77" s="3"/>
      <c r="K77" s="3"/>
      <c r="L77" s="3"/>
      <c r="M77" s="3"/>
      <c r="N77" s="120"/>
      <c r="O77" s="120"/>
      <c r="P77" s="120"/>
      <c r="Q77" s="120"/>
      <c r="R77" s="120"/>
      <c r="S77" s="120"/>
      <c r="T77" s="3"/>
      <c r="U77" s="3"/>
      <c r="V77" s="3"/>
      <c r="W77" s="3"/>
      <c r="X77" s="3"/>
      <c r="Y77" s="3"/>
      <c r="Z77" s="3"/>
    </row>
    <row r="78" spans="1:26" ht="18.75" customHeight="1">
      <c r="A78" s="4" t="s">
        <v>101</v>
      </c>
    </row>
    <row r="79" spans="1:26" ht="18.75" customHeight="1">
      <c r="B79" s="14" t="s">
        <v>102</v>
      </c>
      <c r="C79" s="15"/>
      <c r="D79" s="240" t="s">
        <v>103</v>
      </c>
      <c r="E79" s="240"/>
      <c r="F79" s="240"/>
      <c r="G79" s="240"/>
      <c r="H79" s="240"/>
      <c r="I79" s="240"/>
      <c r="J79" s="240"/>
      <c r="K79" s="240"/>
      <c r="L79" s="240"/>
      <c r="M79" s="240"/>
      <c r="N79" s="240"/>
      <c r="O79" s="240"/>
      <c r="P79" s="240"/>
      <c r="Q79" s="240"/>
      <c r="R79" s="240"/>
      <c r="S79" s="240"/>
      <c r="T79" s="240"/>
      <c r="U79" s="240"/>
      <c r="V79" s="240"/>
      <c r="W79" s="240"/>
      <c r="X79" s="240"/>
      <c r="Y79" s="240"/>
      <c r="Z79" s="241"/>
    </row>
    <row r="80" spans="1:26" ht="120.95" customHeight="1">
      <c r="B80" s="231" t="s">
        <v>104</v>
      </c>
      <c r="C80" s="19" t="s">
        <v>78</v>
      </c>
      <c r="D80" s="236" t="s">
        <v>245</v>
      </c>
      <c r="E80" s="237"/>
      <c r="F80" s="237"/>
      <c r="G80" s="237"/>
      <c r="H80" s="237"/>
      <c r="I80" s="237"/>
      <c r="J80" s="237"/>
      <c r="K80" s="237"/>
      <c r="L80" s="237"/>
      <c r="M80" s="237"/>
      <c r="N80" s="237"/>
      <c r="O80" s="237"/>
      <c r="P80" s="237"/>
      <c r="Q80" s="237"/>
      <c r="R80" s="237"/>
      <c r="S80" s="237"/>
      <c r="T80" s="237"/>
      <c r="U80" s="237"/>
      <c r="V80" s="237"/>
      <c r="W80" s="237"/>
      <c r="X80" s="237"/>
      <c r="Y80" s="237"/>
      <c r="Z80" s="238"/>
    </row>
    <row r="81" spans="1:26" ht="78" customHeight="1">
      <c r="B81" s="232"/>
      <c r="C81" s="26" t="s">
        <v>106</v>
      </c>
      <c r="D81" s="205" t="s">
        <v>246</v>
      </c>
      <c r="E81" s="206"/>
      <c r="F81" s="206"/>
      <c r="G81" s="206"/>
      <c r="H81" s="206"/>
      <c r="I81" s="206"/>
      <c r="J81" s="206"/>
      <c r="K81" s="206"/>
      <c r="L81" s="206"/>
      <c r="M81" s="206"/>
      <c r="N81" s="206"/>
      <c r="O81" s="206"/>
      <c r="P81" s="206"/>
      <c r="Q81" s="206"/>
      <c r="R81" s="206"/>
      <c r="S81" s="206"/>
      <c r="T81" s="206"/>
      <c r="U81" s="206"/>
      <c r="V81" s="206"/>
      <c r="W81" s="206"/>
      <c r="X81" s="206"/>
      <c r="Y81" s="206"/>
      <c r="Z81" s="207"/>
    </row>
    <row r="82" spans="1:26" ht="105" customHeight="1">
      <c r="B82" s="229" t="s">
        <v>108</v>
      </c>
      <c r="C82" s="16" t="s">
        <v>84</v>
      </c>
      <c r="D82" s="208" t="s">
        <v>247</v>
      </c>
      <c r="E82" s="179"/>
      <c r="F82" s="179"/>
      <c r="G82" s="179"/>
      <c r="H82" s="179"/>
      <c r="I82" s="179"/>
      <c r="J82" s="179"/>
      <c r="K82" s="179"/>
      <c r="L82" s="179"/>
      <c r="M82" s="179"/>
      <c r="N82" s="179"/>
      <c r="O82" s="179"/>
      <c r="P82" s="179"/>
      <c r="Q82" s="179"/>
      <c r="R82" s="179"/>
      <c r="S82" s="179"/>
      <c r="T82" s="179"/>
      <c r="U82" s="179"/>
      <c r="V82" s="179"/>
      <c r="W82" s="179"/>
      <c r="X82" s="179"/>
      <c r="Y82" s="179"/>
      <c r="Z82" s="180"/>
    </row>
    <row r="83" spans="1:26" ht="90.95" customHeight="1">
      <c r="B83" s="230"/>
      <c r="C83" s="27" t="s">
        <v>85</v>
      </c>
      <c r="D83" s="212" t="s">
        <v>248</v>
      </c>
      <c r="E83" s="175"/>
      <c r="F83" s="175"/>
      <c r="G83" s="175"/>
      <c r="H83" s="175"/>
      <c r="I83" s="175"/>
      <c r="J83" s="175"/>
      <c r="K83" s="175"/>
      <c r="L83" s="175"/>
      <c r="M83" s="175"/>
      <c r="N83" s="175"/>
      <c r="O83" s="175"/>
      <c r="P83" s="175"/>
      <c r="Q83" s="175"/>
      <c r="R83" s="175"/>
      <c r="S83" s="175"/>
      <c r="T83" s="175"/>
      <c r="U83" s="175"/>
      <c r="V83" s="175"/>
      <c r="W83" s="175"/>
      <c r="X83" s="175"/>
      <c r="Y83" s="175"/>
      <c r="Z83" s="176"/>
    </row>
    <row r="84" spans="1:26" ht="142.5" customHeight="1">
      <c r="B84" s="229" t="s">
        <v>111</v>
      </c>
      <c r="C84" s="16" t="s">
        <v>87</v>
      </c>
      <c r="D84" s="208" t="s">
        <v>249</v>
      </c>
      <c r="E84" s="179"/>
      <c r="F84" s="179"/>
      <c r="G84" s="179"/>
      <c r="H84" s="179"/>
      <c r="I84" s="179"/>
      <c r="J84" s="179"/>
      <c r="K84" s="179"/>
      <c r="L84" s="179"/>
      <c r="M84" s="179"/>
      <c r="N84" s="179"/>
      <c r="O84" s="179"/>
      <c r="P84" s="179"/>
      <c r="Q84" s="179"/>
      <c r="R84" s="179"/>
      <c r="S84" s="179"/>
      <c r="T84" s="179"/>
      <c r="U84" s="179"/>
      <c r="V84" s="179"/>
      <c r="W84" s="179"/>
      <c r="X84" s="179"/>
      <c r="Y84" s="179"/>
      <c r="Z84" s="180"/>
    </row>
    <row r="85" spans="1:26" ht="66" customHeight="1">
      <c r="B85" s="230"/>
      <c r="C85" s="18" t="s">
        <v>88</v>
      </c>
      <c r="D85" s="209" t="s">
        <v>250</v>
      </c>
      <c r="E85" s="210"/>
      <c r="F85" s="210"/>
      <c r="G85" s="210"/>
      <c r="H85" s="210"/>
      <c r="I85" s="210"/>
      <c r="J85" s="210"/>
      <c r="K85" s="210"/>
      <c r="L85" s="210"/>
      <c r="M85" s="210"/>
      <c r="N85" s="210"/>
      <c r="O85" s="210"/>
      <c r="P85" s="210"/>
      <c r="Q85" s="210"/>
      <c r="R85" s="210"/>
      <c r="S85" s="210"/>
      <c r="T85" s="210"/>
      <c r="U85" s="210"/>
      <c r="V85" s="210"/>
      <c r="W85" s="210"/>
      <c r="X85" s="210"/>
      <c r="Y85" s="210"/>
      <c r="Z85" s="211"/>
    </row>
    <row r="86" spans="1:26" ht="147.6" customHeight="1">
      <c r="B86" s="231" t="s">
        <v>114</v>
      </c>
      <c r="C86" s="19" t="s">
        <v>90</v>
      </c>
      <c r="D86" s="236" t="s">
        <v>251</v>
      </c>
      <c r="E86" s="237"/>
      <c r="F86" s="237"/>
      <c r="G86" s="237"/>
      <c r="H86" s="237"/>
      <c r="I86" s="237"/>
      <c r="J86" s="237"/>
      <c r="K86" s="237"/>
      <c r="L86" s="237"/>
      <c r="M86" s="237"/>
      <c r="N86" s="237"/>
      <c r="O86" s="237"/>
      <c r="P86" s="237"/>
      <c r="Q86" s="237"/>
      <c r="R86" s="237"/>
      <c r="S86" s="237"/>
      <c r="T86" s="237"/>
      <c r="U86" s="237"/>
      <c r="V86" s="237"/>
      <c r="W86" s="237"/>
      <c r="X86" s="237"/>
      <c r="Y86" s="237"/>
      <c r="Z86" s="238"/>
    </row>
    <row r="87" spans="1:26" ht="69.95" customHeight="1">
      <c r="B87" s="235"/>
      <c r="C87" s="17" t="s">
        <v>91</v>
      </c>
      <c r="D87" s="239" t="s">
        <v>252</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192.95" customHeight="1">
      <c r="B88" s="231" t="s">
        <v>117</v>
      </c>
      <c r="C88" s="16" t="s">
        <v>93</v>
      </c>
      <c r="D88" s="233" t="s">
        <v>253</v>
      </c>
      <c r="E88" s="154"/>
      <c r="F88" s="154"/>
      <c r="G88" s="154"/>
      <c r="H88" s="154"/>
      <c r="I88" s="154"/>
      <c r="J88" s="154"/>
      <c r="K88" s="154"/>
      <c r="L88" s="154"/>
      <c r="M88" s="154"/>
      <c r="N88" s="154"/>
      <c r="O88" s="154"/>
      <c r="P88" s="154"/>
      <c r="Q88" s="154"/>
      <c r="R88" s="154"/>
      <c r="S88" s="154"/>
      <c r="T88" s="154"/>
      <c r="U88" s="154"/>
      <c r="V88" s="154"/>
      <c r="W88" s="154"/>
      <c r="X88" s="154"/>
      <c r="Y88" s="154"/>
      <c r="Z88" s="155"/>
    </row>
    <row r="89" spans="1:26" ht="134.44999999999999" customHeight="1">
      <c r="B89" s="232"/>
      <c r="C89" s="17" t="s">
        <v>94</v>
      </c>
      <c r="D89" s="228" t="s">
        <v>254</v>
      </c>
      <c r="E89" s="157"/>
      <c r="F89" s="157"/>
      <c r="G89" s="157"/>
      <c r="H89" s="157"/>
      <c r="I89" s="157"/>
      <c r="J89" s="157"/>
      <c r="K89" s="157"/>
      <c r="L89" s="157"/>
      <c r="M89" s="157"/>
      <c r="N89" s="157"/>
      <c r="O89" s="157"/>
      <c r="P89" s="157"/>
      <c r="Q89" s="157"/>
      <c r="R89" s="157"/>
      <c r="S89" s="157"/>
      <c r="T89" s="157"/>
      <c r="U89" s="157"/>
      <c r="V89" s="157"/>
      <c r="W89" s="157"/>
      <c r="X89" s="157"/>
      <c r="Y89" s="157"/>
      <c r="Z89" s="158"/>
    </row>
    <row r="90" spans="1:26" ht="66" customHeight="1">
      <c r="B90" s="230"/>
      <c r="C90" s="18" t="s">
        <v>95</v>
      </c>
      <c r="D90" s="234" t="s">
        <v>255</v>
      </c>
      <c r="E90" s="194"/>
      <c r="F90" s="194"/>
      <c r="G90" s="194"/>
      <c r="H90" s="194"/>
      <c r="I90" s="194"/>
      <c r="J90" s="194"/>
      <c r="K90" s="194"/>
      <c r="L90" s="194"/>
      <c r="M90" s="194"/>
      <c r="N90" s="194"/>
      <c r="O90" s="194"/>
      <c r="P90" s="194"/>
      <c r="Q90" s="194"/>
      <c r="R90" s="194"/>
      <c r="S90" s="194"/>
      <c r="T90" s="194"/>
      <c r="U90" s="194"/>
      <c r="V90" s="194"/>
      <c r="W90" s="194"/>
      <c r="X90" s="194"/>
      <c r="Y90" s="194"/>
      <c r="Z90" s="195"/>
    </row>
    <row r="91" spans="1:26" ht="6" customHeight="1"/>
    <row r="92" spans="1:26" ht="18.75" customHeight="1">
      <c r="A92" s="4" t="s">
        <v>121</v>
      </c>
    </row>
    <row r="93" spans="1:26" ht="18.75" customHeight="1">
      <c r="B93" s="187" t="s">
        <v>122</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row r="97" spans="1:26" ht="15" customHeight="1">
      <c r="A97" s="4" t="s">
        <v>123</v>
      </c>
    </row>
    <row r="98" spans="1:26" ht="15" customHeight="1">
      <c r="B98" s="196" t="s">
        <v>124</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93:Z95"/>
    <mergeCell ref="B98:Z98"/>
    <mergeCell ref="B86:B87"/>
    <mergeCell ref="D86:Z86"/>
    <mergeCell ref="D87:Z87"/>
    <mergeCell ref="B88:B90"/>
    <mergeCell ref="D88:Z88"/>
    <mergeCell ref="D89:Z89"/>
    <mergeCell ref="D90:Z90"/>
  </mergeCells>
  <phoneticPr fontId="1"/>
  <dataValidations count="4">
    <dataValidation type="list" allowBlank="1" showInputMessage="1" showErrorMessage="1" sqref="H74:M77 G70:G77 H70:M71 T70:T77 U70:Z71 U74:Z77" xr:uid="{00000000-0002-0000-0D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D00-000001000000}">
      <formula1>"学部・学科によって、修了要件は相違する,学部・学科によって、修了要件は相違しない"</formula1>
    </dataValidation>
    <dataValidation type="list" allowBlank="1" showInputMessage="1" showErrorMessage="1" sqref="Z23 Z34 D34:K34 D23:K23 V16:V22 I49:I55 V27:V33 I16:I22 V38:V44 I38:I44 V49:V55 I27:I33 U60:U66 H60:H66" xr:uid="{00000000-0002-0000-0D00-000002000000}">
      <formula1>"全学開講,一部開講"</formula1>
    </dataValidation>
    <dataValidation type="list" allowBlank="1" showInputMessage="1" showErrorMessage="1" sqref="Y16:Z22 K64 Y27:Z33 H27:H33 L49:M55 Y38:Z44 L38:M44 Y49:Z55 Y60:Z66 H38:H44 H16:H22 U16:U22 G60:G66 U27:U33 L27:M33 U38:U44 L16:M22 U49:U55 L61:L66 T60:T66 H49:H55 M60:M66 K61:K62 K60:L60" xr:uid="{00000000-0002-0000-0D00-000003000000}">
      <formula1>"○"</formula1>
    </dataValidation>
  </dataValidations>
  <hyperlinks>
    <hyperlink ref="B98" r:id="rId1" xr:uid="{00000000-0004-0000-0D00-000000000000}"/>
  </hyperlinks>
  <printOptions horizontalCentered="1"/>
  <pageMargins left="0.78740157480314965" right="0.78740157480314965" top="0.59055118110236227" bottom="0.19685039370078741" header="0.31496062992125984" footer="0.31496062992125984"/>
  <pageSetup paperSize="9" scale="98" orientation="landscape" r:id="rId2"/>
  <rowBreaks count="3" manualBreakCount="3">
    <brk id="34" max="25" man="1"/>
    <brk id="67" max="25" man="1"/>
    <brk id="83" max="2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30"/>
  <sheetViews>
    <sheetView view="pageBreakPreview" zoomScaleNormal="100" zoomScaleSheetLayoutView="100" workbookViewId="0">
      <selection activeCell="H14" sqref="H14"/>
    </sheetView>
  </sheetViews>
  <sheetFormatPr defaultColWidth="9" defaultRowHeight="18.75" customHeight="1"/>
  <cols>
    <col min="1" max="1" width="2.75" style="5" customWidth="1"/>
    <col min="2" max="2" width="30" style="5" customWidth="1"/>
    <col min="3" max="17" width="6.125" style="5" customWidth="1"/>
    <col min="18" max="18" width="6.625" style="5" customWidth="1"/>
    <col min="19" max="16384" width="9" style="5"/>
  </cols>
  <sheetData>
    <row r="1" spans="1:20" ht="18" customHeight="1">
      <c r="A1" s="60"/>
      <c r="B1" s="60"/>
      <c r="C1" s="60"/>
      <c r="D1" s="60"/>
      <c r="E1" s="60"/>
      <c r="F1" s="248" t="s">
        <v>256</v>
      </c>
      <c r="G1" s="248"/>
      <c r="H1" s="248"/>
      <c r="I1" s="248"/>
      <c r="J1" s="248"/>
      <c r="K1" s="248"/>
      <c r="L1" s="248"/>
      <c r="M1" s="248"/>
      <c r="N1" s="248"/>
      <c r="O1" s="248"/>
      <c r="P1" s="248"/>
      <c r="Q1" s="248"/>
      <c r="R1" s="248"/>
      <c r="S1" s="60"/>
      <c r="T1" s="60"/>
    </row>
    <row r="2" spans="1:20" ht="18" customHeight="1">
      <c r="A2" s="214" t="s">
        <v>257</v>
      </c>
      <c r="B2" s="214"/>
      <c r="C2" s="214"/>
      <c r="D2" s="214"/>
      <c r="E2" s="214"/>
      <c r="F2" s="214"/>
      <c r="G2" s="214"/>
      <c r="H2" s="214"/>
      <c r="I2" s="214"/>
      <c r="J2" s="214"/>
      <c r="K2" s="214"/>
      <c r="L2" s="214"/>
      <c r="M2" s="214"/>
      <c r="N2" s="214"/>
      <c r="O2" s="214"/>
      <c r="P2" s="214"/>
      <c r="Q2" s="214"/>
      <c r="R2" s="214"/>
      <c r="S2" s="60"/>
      <c r="T2" s="60"/>
    </row>
    <row r="3" spans="1:20" ht="7.5" customHeight="1">
      <c r="A3" s="63"/>
      <c r="B3" s="63"/>
      <c r="C3" s="63"/>
      <c r="D3" s="63"/>
      <c r="E3" s="63"/>
      <c r="F3" s="63"/>
      <c r="G3" s="63"/>
      <c r="H3" s="63"/>
      <c r="I3" s="63"/>
      <c r="J3" s="63"/>
      <c r="K3" s="63"/>
      <c r="L3" s="63"/>
      <c r="M3" s="63"/>
      <c r="N3" s="63"/>
      <c r="O3" s="63"/>
      <c r="P3" s="63"/>
      <c r="Q3" s="63"/>
      <c r="R3" s="63"/>
      <c r="S3" s="60"/>
      <c r="T3" s="60"/>
    </row>
    <row r="4" spans="1:20" ht="18" customHeight="1">
      <c r="A4" s="60" t="s">
        <v>258</v>
      </c>
      <c r="B4" s="60"/>
      <c r="C4" s="249" t="str">
        <f>'様式１　大学等概要'!E12</f>
        <v>令和3</v>
      </c>
      <c r="D4" s="250"/>
      <c r="E4" s="63" t="s">
        <v>20</v>
      </c>
      <c r="F4" s="63"/>
      <c r="G4" s="63"/>
      <c r="H4" s="63"/>
      <c r="I4" s="63"/>
      <c r="J4" s="6"/>
      <c r="K4" s="63"/>
      <c r="L4" s="63"/>
      <c r="M4" s="120"/>
      <c r="N4" s="120"/>
      <c r="O4" s="120"/>
      <c r="P4" s="120"/>
      <c r="Q4" s="120"/>
      <c r="R4" s="120"/>
      <c r="S4" s="60"/>
      <c r="T4" s="60"/>
    </row>
    <row r="5" spans="1:20" ht="6" customHeight="1">
      <c r="A5" s="63"/>
      <c r="B5" s="63"/>
      <c r="C5" s="63"/>
      <c r="D5" s="63"/>
      <c r="E5" s="63"/>
      <c r="F5" s="63"/>
      <c r="G5" s="63"/>
      <c r="H5" s="63"/>
      <c r="I5" s="63"/>
      <c r="J5" s="63"/>
      <c r="K5" s="63"/>
      <c r="L5" s="63"/>
      <c r="M5" s="63"/>
      <c r="N5" s="63"/>
      <c r="O5" s="63"/>
      <c r="P5" s="63"/>
      <c r="Q5" s="63"/>
      <c r="R5" s="63"/>
      <c r="S5" s="60"/>
      <c r="T5" s="60"/>
    </row>
    <row r="6" spans="1:20" ht="18" customHeight="1">
      <c r="A6" s="60" t="s">
        <v>259</v>
      </c>
      <c r="B6" s="63"/>
      <c r="C6" s="63"/>
      <c r="D6" s="63"/>
      <c r="E6" s="63"/>
      <c r="F6" s="63"/>
      <c r="G6" s="63"/>
      <c r="H6" s="63"/>
      <c r="I6" s="63"/>
      <c r="J6" s="63"/>
      <c r="K6" s="63"/>
      <c r="L6" s="63"/>
      <c r="M6" s="63"/>
      <c r="N6" s="63"/>
      <c r="O6" s="63"/>
      <c r="P6" s="63"/>
      <c r="Q6" s="63"/>
      <c r="R6" s="63"/>
      <c r="S6" s="60"/>
      <c r="T6" s="60"/>
    </row>
    <row r="7" spans="1:20" ht="6" customHeight="1">
      <c r="A7" s="60"/>
      <c r="B7" s="63"/>
      <c r="C7" s="63"/>
      <c r="D7" s="63"/>
      <c r="E7" s="63"/>
      <c r="F7" s="63"/>
      <c r="G7" s="63"/>
      <c r="H7" s="63"/>
      <c r="I7" s="63"/>
      <c r="J7" s="63"/>
      <c r="K7" s="63"/>
      <c r="L7" s="63"/>
      <c r="M7" s="63"/>
      <c r="N7" s="63"/>
      <c r="O7" s="63"/>
      <c r="P7" s="63"/>
      <c r="Q7" s="63"/>
      <c r="R7" s="63"/>
      <c r="S7" s="60"/>
      <c r="T7" s="60"/>
    </row>
    <row r="8" spans="1:20" ht="18" customHeight="1">
      <c r="A8" s="60"/>
      <c r="B8" s="251" t="s">
        <v>260</v>
      </c>
      <c r="C8" s="253" t="s">
        <v>261</v>
      </c>
      <c r="D8" s="255" t="s">
        <v>262</v>
      </c>
      <c r="E8" s="257" t="s">
        <v>263</v>
      </c>
      <c r="F8" s="257"/>
      <c r="G8" s="257" t="s">
        <v>264</v>
      </c>
      <c r="H8" s="257"/>
      <c r="I8" s="257" t="s">
        <v>265</v>
      </c>
      <c r="J8" s="257"/>
      <c r="K8" s="184" t="s">
        <v>266</v>
      </c>
      <c r="L8" s="186"/>
      <c r="M8" s="184" t="s">
        <v>267</v>
      </c>
      <c r="N8" s="186"/>
      <c r="O8" s="184" t="s">
        <v>268</v>
      </c>
      <c r="P8" s="186"/>
      <c r="Q8" s="258" t="s">
        <v>269</v>
      </c>
      <c r="R8" s="260" t="s">
        <v>270</v>
      </c>
      <c r="S8" s="60"/>
      <c r="T8" s="32"/>
    </row>
    <row r="9" spans="1:20" ht="18" customHeight="1">
      <c r="A9" s="60"/>
      <c r="B9" s="252"/>
      <c r="C9" s="254"/>
      <c r="D9" s="256"/>
      <c r="E9" s="33" t="s">
        <v>271</v>
      </c>
      <c r="F9" s="34" t="s">
        <v>272</v>
      </c>
      <c r="G9" s="35" t="s">
        <v>271</v>
      </c>
      <c r="H9" s="36" t="s">
        <v>272</v>
      </c>
      <c r="I9" s="33" t="s">
        <v>271</v>
      </c>
      <c r="J9" s="34" t="s">
        <v>272</v>
      </c>
      <c r="K9" s="35" t="s">
        <v>271</v>
      </c>
      <c r="L9" s="36" t="s">
        <v>272</v>
      </c>
      <c r="M9" s="33" t="s">
        <v>271</v>
      </c>
      <c r="N9" s="34" t="s">
        <v>272</v>
      </c>
      <c r="O9" s="35" t="s">
        <v>271</v>
      </c>
      <c r="P9" s="36" t="s">
        <v>272</v>
      </c>
      <c r="Q9" s="259"/>
      <c r="R9" s="261"/>
      <c r="S9" s="60"/>
      <c r="T9" s="32"/>
    </row>
    <row r="10" spans="1:20" ht="18" customHeight="1">
      <c r="A10" s="13"/>
      <c r="B10" s="71" t="s">
        <v>273</v>
      </c>
      <c r="C10" s="113">
        <v>115</v>
      </c>
      <c r="D10" s="109">
        <v>698</v>
      </c>
      <c r="E10" s="37">
        <v>118</v>
      </c>
      <c r="F10" s="38">
        <v>118</v>
      </c>
      <c r="G10" s="39"/>
      <c r="H10" s="40"/>
      <c r="I10" s="37"/>
      <c r="J10" s="38"/>
      <c r="K10" s="39"/>
      <c r="L10" s="40"/>
      <c r="M10" s="37"/>
      <c r="N10" s="38"/>
      <c r="O10" s="39"/>
      <c r="P10" s="40"/>
      <c r="Q10" s="41">
        <f>E10+G10+I10+K10+M10+O10</f>
        <v>118</v>
      </c>
      <c r="R10" s="42">
        <f>Q10/D10</f>
        <v>0.16905444126074498</v>
      </c>
      <c r="S10" s="60"/>
      <c r="T10" s="60"/>
    </row>
    <row r="11" spans="1:20" ht="18" customHeight="1">
      <c r="A11" s="13"/>
      <c r="B11" s="72" t="s">
        <v>274</v>
      </c>
      <c r="C11" s="110">
        <v>686</v>
      </c>
      <c r="D11" s="111">
        <v>2744</v>
      </c>
      <c r="E11" s="43">
        <v>808</v>
      </c>
      <c r="F11" s="44">
        <v>314</v>
      </c>
      <c r="G11" s="45"/>
      <c r="H11" s="46"/>
      <c r="I11" s="43"/>
      <c r="J11" s="44"/>
      <c r="K11" s="45"/>
      <c r="L11" s="46"/>
      <c r="M11" s="43"/>
      <c r="N11" s="44"/>
      <c r="O11" s="45"/>
      <c r="P11" s="46"/>
      <c r="Q11" s="47">
        <f t="shared" ref="Q11:Q29" si="0">E11+G11+I11+K11+M11+O11</f>
        <v>808</v>
      </c>
      <c r="R11" s="48">
        <f t="shared" ref="R11:R29" si="1">Q11/D11</f>
        <v>0.29446064139941691</v>
      </c>
      <c r="S11" s="60"/>
      <c r="T11" s="60"/>
    </row>
    <row r="12" spans="1:20" ht="18" customHeight="1">
      <c r="A12" s="13"/>
      <c r="B12" s="72" t="s">
        <v>275</v>
      </c>
      <c r="C12" s="110">
        <v>230</v>
      </c>
      <c r="D12" s="111">
        <v>932</v>
      </c>
      <c r="E12" s="43">
        <v>6</v>
      </c>
      <c r="F12" s="44">
        <v>2</v>
      </c>
      <c r="G12" s="45"/>
      <c r="H12" s="46"/>
      <c r="I12" s="43"/>
      <c r="J12" s="44"/>
      <c r="K12" s="45"/>
      <c r="L12" s="46"/>
      <c r="M12" s="43"/>
      <c r="N12" s="44"/>
      <c r="O12" s="45"/>
      <c r="P12" s="46"/>
      <c r="Q12" s="47">
        <f t="shared" si="0"/>
        <v>6</v>
      </c>
      <c r="R12" s="48">
        <f t="shared" si="1"/>
        <v>6.4377682403433476E-3</v>
      </c>
      <c r="S12" s="60"/>
      <c r="T12" s="60"/>
    </row>
    <row r="13" spans="1:20" ht="18" customHeight="1">
      <c r="A13" s="13"/>
      <c r="B13" s="72" t="s">
        <v>276</v>
      </c>
      <c r="C13" s="110">
        <v>250</v>
      </c>
      <c r="D13" s="111">
        <v>1024</v>
      </c>
      <c r="E13" s="43">
        <v>257</v>
      </c>
      <c r="F13" s="44">
        <v>246</v>
      </c>
      <c r="G13" s="45"/>
      <c r="H13" s="46"/>
      <c r="I13" s="43"/>
      <c r="J13" s="44"/>
      <c r="K13" s="45"/>
      <c r="L13" s="46"/>
      <c r="M13" s="43"/>
      <c r="N13" s="44"/>
      <c r="O13" s="45"/>
      <c r="P13" s="46"/>
      <c r="Q13" s="47">
        <f t="shared" si="0"/>
        <v>257</v>
      </c>
      <c r="R13" s="48">
        <f t="shared" si="1"/>
        <v>0.2509765625</v>
      </c>
      <c r="S13" s="60"/>
      <c r="T13" s="60"/>
    </row>
    <row r="14" spans="1:20" ht="18" customHeight="1">
      <c r="A14" s="13"/>
      <c r="B14" s="72"/>
      <c r="C14" s="114"/>
      <c r="D14" s="116"/>
      <c r="E14" s="43"/>
      <c r="F14" s="44"/>
      <c r="G14" s="45"/>
      <c r="H14" s="46"/>
      <c r="I14" s="43"/>
      <c r="J14" s="44"/>
      <c r="K14" s="45"/>
      <c r="L14" s="46"/>
      <c r="M14" s="43"/>
      <c r="N14" s="44"/>
      <c r="O14" s="45"/>
      <c r="P14" s="46"/>
      <c r="Q14" s="47">
        <v>0</v>
      </c>
      <c r="R14" s="48" t="e">
        <f t="shared" si="1"/>
        <v>#DIV/0!</v>
      </c>
      <c r="S14" s="60"/>
      <c r="T14" s="60"/>
    </row>
    <row r="15" spans="1:20" ht="18" customHeight="1">
      <c r="A15" s="13"/>
      <c r="B15" s="72"/>
      <c r="C15" s="114"/>
      <c r="D15" s="116"/>
      <c r="E15" s="43"/>
      <c r="F15" s="44"/>
      <c r="G15" s="45"/>
      <c r="H15" s="46"/>
      <c r="I15" s="43"/>
      <c r="J15" s="44"/>
      <c r="K15" s="45"/>
      <c r="L15" s="46"/>
      <c r="M15" s="43"/>
      <c r="N15" s="44"/>
      <c r="O15" s="45"/>
      <c r="P15" s="46"/>
      <c r="Q15" s="47">
        <v>0</v>
      </c>
      <c r="R15" s="48" t="e">
        <f t="shared" si="1"/>
        <v>#DIV/0!</v>
      </c>
      <c r="S15" s="60"/>
      <c r="T15" s="60"/>
    </row>
    <row r="16" spans="1:20" ht="18" customHeight="1">
      <c r="A16" s="13"/>
      <c r="B16" s="72"/>
      <c r="C16" s="114"/>
      <c r="D16" s="116"/>
      <c r="E16" s="43"/>
      <c r="F16" s="44"/>
      <c r="G16" s="45"/>
      <c r="H16" s="46"/>
      <c r="I16" s="43"/>
      <c r="J16" s="44"/>
      <c r="K16" s="45"/>
      <c r="L16" s="46"/>
      <c r="M16" s="43"/>
      <c r="N16" s="44"/>
      <c r="O16" s="45"/>
      <c r="P16" s="46"/>
      <c r="Q16" s="47">
        <f t="shared" si="0"/>
        <v>0</v>
      </c>
      <c r="R16" s="48" t="e">
        <f t="shared" si="1"/>
        <v>#DIV/0!</v>
      </c>
      <c r="S16" s="60"/>
      <c r="T16" s="60"/>
    </row>
    <row r="17" spans="1:18" ht="18" customHeight="1">
      <c r="A17" s="13"/>
      <c r="B17" s="72"/>
      <c r="C17" s="114"/>
      <c r="D17" s="116"/>
      <c r="E17" s="43"/>
      <c r="F17" s="44"/>
      <c r="G17" s="45"/>
      <c r="H17" s="46"/>
      <c r="I17" s="43"/>
      <c r="J17" s="44"/>
      <c r="K17" s="45"/>
      <c r="L17" s="46"/>
      <c r="M17" s="43"/>
      <c r="N17" s="44"/>
      <c r="O17" s="45"/>
      <c r="P17" s="46"/>
      <c r="Q17" s="47">
        <f t="shared" si="0"/>
        <v>0</v>
      </c>
      <c r="R17" s="48" t="e">
        <f t="shared" si="1"/>
        <v>#DIV/0!</v>
      </c>
    </row>
    <row r="18" spans="1:18" ht="18" customHeight="1">
      <c r="A18" s="13"/>
      <c r="B18" s="72"/>
      <c r="C18" s="114"/>
      <c r="D18" s="116"/>
      <c r="E18" s="43"/>
      <c r="F18" s="44"/>
      <c r="G18" s="45"/>
      <c r="H18" s="46"/>
      <c r="I18" s="43"/>
      <c r="J18" s="44"/>
      <c r="K18" s="45"/>
      <c r="L18" s="46"/>
      <c r="M18" s="43"/>
      <c r="N18" s="44"/>
      <c r="O18" s="45"/>
      <c r="P18" s="46"/>
      <c r="Q18" s="47">
        <f>E18+G18+I18+K18+M18+O18</f>
        <v>0</v>
      </c>
      <c r="R18" s="48" t="e">
        <f t="shared" si="1"/>
        <v>#DIV/0!</v>
      </c>
    </row>
    <row r="19" spans="1:18" ht="18" customHeight="1">
      <c r="A19" s="13"/>
      <c r="B19" s="72"/>
      <c r="C19" s="114"/>
      <c r="D19" s="116"/>
      <c r="E19" s="43"/>
      <c r="F19" s="44"/>
      <c r="G19" s="45"/>
      <c r="H19" s="46"/>
      <c r="I19" s="43"/>
      <c r="J19" s="44"/>
      <c r="K19" s="45"/>
      <c r="L19" s="46"/>
      <c r="M19" s="43"/>
      <c r="N19" s="44"/>
      <c r="O19" s="45"/>
      <c r="P19" s="46"/>
      <c r="Q19" s="47">
        <f t="shared" si="0"/>
        <v>0</v>
      </c>
      <c r="R19" s="48" t="e">
        <f t="shared" si="1"/>
        <v>#DIV/0!</v>
      </c>
    </row>
    <row r="20" spans="1:18" ht="18" customHeight="1">
      <c r="A20" s="13"/>
      <c r="B20" s="72"/>
      <c r="C20" s="114"/>
      <c r="D20" s="116"/>
      <c r="E20" s="43"/>
      <c r="F20" s="44"/>
      <c r="G20" s="45"/>
      <c r="H20" s="46"/>
      <c r="I20" s="43"/>
      <c r="J20" s="44"/>
      <c r="K20" s="45"/>
      <c r="L20" s="46"/>
      <c r="M20" s="43"/>
      <c r="N20" s="44"/>
      <c r="O20" s="45"/>
      <c r="P20" s="46"/>
      <c r="Q20" s="47">
        <f t="shared" si="0"/>
        <v>0</v>
      </c>
      <c r="R20" s="48" t="e">
        <f t="shared" si="1"/>
        <v>#DIV/0!</v>
      </c>
    </row>
    <row r="21" spans="1:18" ht="18" customHeight="1">
      <c r="A21" s="13"/>
      <c r="B21" s="72"/>
      <c r="C21" s="114"/>
      <c r="D21" s="116"/>
      <c r="E21" s="43"/>
      <c r="F21" s="44"/>
      <c r="G21" s="45"/>
      <c r="H21" s="46"/>
      <c r="I21" s="43"/>
      <c r="J21" s="44"/>
      <c r="K21" s="45"/>
      <c r="L21" s="46"/>
      <c r="M21" s="43"/>
      <c r="N21" s="44"/>
      <c r="O21" s="45"/>
      <c r="P21" s="46"/>
      <c r="Q21" s="47">
        <f t="shared" si="0"/>
        <v>0</v>
      </c>
      <c r="R21" s="48" t="e">
        <f t="shared" si="1"/>
        <v>#DIV/0!</v>
      </c>
    </row>
    <row r="22" spans="1:18" ht="18" customHeight="1">
      <c r="A22" s="13"/>
      <c r="B22" s="72"/>
      <c r="C22" s="114"/>
      <c r="D22" s="116"/>
      <c r="E22" s="43"/>
      <c r="F22" s="44"/>
      <c r="G22" s="45"/>
      <c r="H22" s="46"/>
      <c r="I22" s="43"/>
      <c r="J22" s="44"/>
      <c r="K22" s="45"/>
      <c r="L22" s="46"/>
      <c r="M22" s="43"/>
      <c r="N22" s="44"/>
      <c r="O22" s="45"/>
      <c r="P22" s="46"/>
      <c r="Q22" s="47">
        <f t="shared" si="0"/>
        <v>0</v>
      </c>
      <c r="R22" s="48" t="e">
        <f t="shared" si="1"/>
        <v>#DIV/0!</v>
      </c>
    </row>
    <row r="23" spans="1:18" ht="18" customHeight="1">
      <c r="A23" s="13"/>
      <c r="B23" s="72"/>
      <c r="C23" s="114"/>
      <c r="D23" s="116"/>
      <c r="E23" s="43"/>
      <c r="F23" s="44"/>
      <c r="G23" s="45"/>
      <c r="H23" s="46"/>
      <c r="I23" s="43"/>
      <c r="J23" s="44"/>
      <c r="K23" s="45"/>
      <c r="L23" s="46"/>
      <c r="M23" s="43"/>
      <c r="N23" s="44"/>
      <c r="O23" s="45"/>
      <c r="P23" s="46"/>
      <c r="Q23" s="47">
        <f t="shared" si="0"/>
        <v>0</v>
      </c>
      <c r="R23" s="48" t="e">
        <f t="shared" si="1"/>
        <v>#DIV/0!</v>
      </c>
    </row>
    <row r="24" spans="1:18" ht="18" customHeight="1">
      <c r="A24" s="13"/>
      <c r="B24" s="72"/>
      <c r="C24" s="114"/>
      <c r="D24" s="116"/>
      <c r="E24" s="43"/>
      <c r="F24" s="44"/>
      <c r="G24" s="45"/>
      <c r="H24" s="46"/>
      <c r="I24" s="43"/>
      <c r="J24" s="44"/>
      <c r="K24" s="45"/>
      <c r="L24" s="46"/>
      <c r="M24" s="43"/>
      <c r="N24" s="44"/>
      <c r="O24" s="45"/>
      <c r="P24" s="46"/>
      <c r="Q24" s="47">
        <f t="shared" si="0"/>
        <v>0</v>
      </c>
      <c r="R24" s="48" t="e">
        <f t="shared" si="1"/>
        <v>#DIV/0!</v>
      </c>
    </row>
    <row r="25" spans="1:18" ht="18" customHeight="1">
      <c r="A25" s="13"/>
      <c r="B25" s="72"/>
      <c r="C25" s="114"/>
      <c r="D25" s="116"/>
      <c r="E25" s="43"/>
      <c r="F25" s="44"/>
      <c r="G25" s="45"/>
      <c r="H25" s="46"/>
      <c r="I25" s="43"/>
      <c r="J25" s="44"/>
      <c r="K25" s="45"/>
      <c r="L25" s="46"/>
      <c r="M25" s="43"/>
      <c r="N25" s="44"/>
      <c r="O25" s="45"/>
      <c r="P25" s="46"/>
      <c r="Q25" s="47">
        <f t="shared" si="0"/>
        <v>0</v>
      </c>
      <c r="R25" s="48" t="e">
        <f t="shared" si="1"/>
        <v>#DIV/0!</v>
      </c>
    </row>
    <row r="26" spans="1:18" ht="18" customHeight="1">
      <c r="A26" s="13"/>
      <c r="B26" s="72"/>
      <c r="C26" s="114"/>
      <c r="D26" s="116"/>
      <c r="E26" s="43"/>
      <c r="F26" s="44"/>
      <c r="G26" s="45"/>
      <c r="H26" s="46"/>
      <c r="I26" s="43"/>
      <c r="J26" s="44"/>
      <c r="K26" s="45"/>
      <c r="L26" s="46"/>
      <c r="M26" s="43"/>
      <c r="N26" s="44"/>
      <c r="O26" s="45"/>
      <c r="P26" s="46"/>
      <c r="Q26" s="47">
        <f t="shared" si="0"/>
        <v>0</v>
      </c>
      <c r="R26" s="48" t="e">
        <f t="shared" si="1"/>
        <v>#DIV/0!</v>
      </c>
    </row>
    <row r="27" spans="1:18" ht="18" customHeight="1">
      <c r="A27" s="13"/>
      <c r="B27" s="72"/>
      <c r="C27" s="115"/>
      <c r="D27" s="116"/>
      <c r="E27" s="43"/>
      <c r="F27" s="44"/>
      <c r="G27" s="45"/>
      <c r="H27" s="46"/>
      <c r="I27" s="43"/>
      <c r="J27" s="44"/>
      <c r="K27" s="45"/>
      <c r="L27" s="46"/>
      <c r="M27" s="43"/>
      <c r="N27" s="44"/>
      <c r="O27" s="45"/>
      <c r="P27" s="46"/>
      <c r="Q27" s="47">
        <f t="shared" si="0"/>
        <v>0</v>
      </c>
      <c r="R27" s="48" t="e">
        <f t="shared" si="1"/>
        <v>#DIV/0!</v>
      </c>
    </row>
    <row r="28" spans="1:18" ht="18" customHeight="1">
      <c r="A28" s="13"/>
      <c r="B28" s="72"/>
      <c r="C28" s="115"/>
      <c r="D28" s="116"/>
      <c r="E28" s="43"/>
      <c r="F28" s="44"/>
      <c r="G28" s="45"/>
      <c r="H28" s="46"/>
      <c r="I28" s="43"/>
      <c r="J28" s="44"/>
      <c r="K28" s="45"/>
      <c r="L28" s="46"/>
      <c r="M28" s="43"/>
      <c r="N28" s="44"/>
      <c r="O28" s="45"/>
      <c r="P28" s="46"/>
      <c r="Q28" s="47">
        <f t="shared" si="0"/>
        <v>0</v>
      </c>
      <c r="R28" s="48" t="e">
        <f t="shared" si="1"/>
        <v>#DIV/0!</v>
      </c>
    </row>
    <row r="29" spans="1:18" ht="18" customHeight="1" thickBot="1">
      <c r="A29" s="13"/>
      <c r="B29" s="49"/>
      <c r="C29" s="121"/>
      <c r="D29" s="119"/>
      <c r="E29" s="37"/>
      <c r="F29" s="38"/>
      <c r="G29" s="39"/>
      <c r="H29" s="40"/>
      <c r="I29" s="37"/>
      <c r="J29" s="38"/>
      <c r="K29" s="39"/>
      <c r="L29" s="40"/>
      <c r="M29" s="37"/>
      <c r="N29" s="38"/>
      <c r="O29" s="39"/>
      <c r="P29" s="40"/>
      <c r="Q29" s="50">
        <f t="shared" si="0"/>
        <v>0</v>
      </c>
      <c r="R29" s="42" t="e">
        <f t="shared" si="1"/>
        <v>#DIV/0!</v>
      </c>
    </row>
    <row r="30" spans="1:18" ht="18" customHeight="1" thickTop="1">
      <c r="A30" s="60"/>
      <c r="B30" s="51" t="s">
        <v>277</v>
      </c>
      <c r="C30" s="52">
        <f t="shared" ref="C30:Q30" si="2">SUM(C10:C29)</f>
        <v>1281</v>
      </c>
      <c r="D30" s="53">
        <f t="shared" si="2"/>
        <v>5398</v>
      </c>
      <c r="E30" s="54">
        <f t="shared" si="2"/>
        <v>1189</v>
      </c>
      <c r="F30" s="55">
        <f t="shared" si="2"/>
        <v>680</v>
      </c>
      <c r="G30" s="56">
        <f t="shared" si="2"/>
        <v>0</v>
      </c>
      <c r="H30" s="57">
        <f t="shared" si="2"/>
        <v>0</v>
      </c>
      <c r="I30" s="54">
        <f t="shared" si="2"/>
        <v>0</v>
      </c>
      <c r="J30" s="55">
        <f t="shared" si="2"/>
        <v>0</v>
      </c>
      <c r="K30" s="56">
        <f t="shared" si="2"/>
        <v>0</v>
      </c>
      <c r="L30" s="57">
        <f t="shared" si="2"/>
        <v>0</v>
      </c>
      <c r="M30" s="54">
        <f t="shared" si="2"/>
        <v>0</v>
      </c>
      <c r="N30" s="55">
        <f t="shared" si="2"/>
        <v>0</v>
      </c>
      <c r="O30" s="56">
        <f t="shared" si="2"/>
        <v>0</v>
      </c>
      <c r="P30" s="57">
        <f t="shared" si="2"/>
        <v>0</v>
      </c>
      <c r="Q30" s="58">
        <f t="shared" si="2"/>
        <v>1189</v>
      </c>
      <c r="R30" s="59">
        <f>Q30/D30</f>
        <v>0.22026676546869212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44"/>
  <sheetViews>
    <sheetView showZeros="0" view="pageBreakPreview" topLeftCell="A16" zoomScaleNormal="100" zoomScaleSheetLayoutView="100" workbookViewId="0">
      <selection activeCell="B31" sqref="B31:J44"/>
    </sheetView>
  </sheetViews>
  <sheetFormatPr defaultColWidth="11.375" defaultRowHeight="18.75" customHeight="1"/>
  <cols>
    <col min="1" max="1" width="2.75" style="73" customWidth="1"/>
    <col min="2" max="2" width="16.625" style="60" customWidth="1"/>
    <col min="3" max="3" width="8.875" style="60" customWidth="1"/>
    <col min="4" max="4" width="2.25" style="60" customWidth="1"/>
    <col min="5" max="5" width="16.625" style="60" customWidth="1"/>
    <col min="6" max="6" width="8.875" style="60" customWidth="1"/>
    <col min="7" max="7" width="2.25" style="60" customWidth="1"/>
    <col min="8" max="8" width="16.625" style="60" customWidth="1"/>
    <col min="9" max="9" width="8.875" style="60" customWidth="1"/>
    <col min="10" max="10" width="2.25" style="60" customWidth="1"/>
    <col min="11" max="16384" width="11.375" style="60"/>
  </cols>
  <sheetData>
    <row r="1" spans="1:11" ht="18.75" customHeight="1">
      <c r="A1" s="73" t="s">
        <v>278</v>
      </c>
      <c r="J1" s="122" t="s">
        <v>279</v>
      </c>
    </row>
    <row r="2" spans="1:11" ht="18.75" customHeight="1">
      <c r="A2" s="214" t="s">
        <v>280</v>
      </c>
      <c r="B2" s="214"/>
      <c r="C2" s="214"/>
      <c r="D2" s="214"/>
      <c r="E2" s="214"/>
      <c r="F2" s="214"/>
      <c r="G2" s="214"/>
      <c r="H2" s="214"/>
      <c r="I2" s="214"/>
      <c r="J2" s="214"/>
    </row>
    <row r="3" spans="1:11" ht="7.5" customHeight="1">
      <c r="B3" s="63"/>
      <c r="C3" s="63"/>
      <c r="D3" s="63"/>
      <c r="E3" s="63"/>
      <c r="F3" s="63"/>
      <c r="G3" s="63"/>
      <c r="H3" s="63"/>
      <c r="I3" s="63"/>
      <c r="J3" s="63"/>
    </row>
    <row r="4" spans="1:11" ht="18.75" customHeight="1">
      <c r="A4" s="60" t="s">
        <v>2</v>
      </c>
      <c r="B4" s="60" t="s">
        <v>281</v>
      </c>
      <c r="I4" s="63"/>
      <c r="J4" s="63"/>
    </row>
    <row r="5" spans="1:11" ht="18.75" customHeight="1">
      <c r="A5" s="60"/>
      <c r="B5" s="283" t="s">
        <v>282</v>
      </c>
      <c r="C5" s="197"/>
      <c r="D5" s="197"/>
      <c r="E5" s="197"/>
      <c r="F5" s="197"/>
      <c r="G5" s="197"/>
      <c r="H5" s="197"/>
      <c r="I5" s="197"/>
      <c r="J5" s="198"/>
      <c r="K5" s="60" t="str">
        <f>IF(B5="","入力してください","")</f>
        <v/>
      </c>
    </row>
    <row r="6" spans="1:11" ht="7.5" customHeight="1">
      <c r="B6" s="63"/>
      <c r="C6" s="63"/>
      <c r="D6" s="63"/>
      <c r="E6" s="63"/>
      <c r="F6" s="63"/>
      <c r="G6" s="63"/>
      <c r="H6" s="63"/>
      <c r="I6" s="63"/>
      <c r="J6" s="63"/>
    </row>
    <row r="7" spans="1:11" ht="18.75" customHeight="1">
      <c r="A7" s="60" t="s">
        <v>5</v>
      </c>
      <c r="B7" s="60" t="s">
        <v>283</v>
      </c>
      <c r="K7" s="61"/>
    </row>
    <row r="8" spans="1:11" ht="18.75" customHeight="1">
      <c r="A8" s="64"/>
      <c r="B8" s="262" t="s">
        <v>284</v>
      </c>
      <c r="C8" s="263"/>
      <c r="D8" s="263"/>
      <c r="E8" s="263"/>
      <c r="F8" s="263"/>
      <c r="G8" s="263"/>
      <c r="H8" s="263"/>
      <c r="I8" s="271"/>
      <c r="J8" s="272"/>
      <c r="K8" s="60" t="str">
        <f>IF(B8="","入力してください","")</f>
        <v/>
      </c>
    </row>
    <row r="9" spans="1:11" ht="18.75" customHeight="1">
      <c r="A9" s="64"/>
      <c r="B9" s="273"/>
      <c r="C9" s="274"/>
      <c r="D9" s="274"/>
      <c r="E9" s="274"/>
      <c r="F9" s="274"/>
      <c r="G9" s="274"/>
      <c r="H9" s="274"/>
      <c r="I9" s="274"/>
      <c r="J9" s="275"/>
    </row>
    <row r="10" spans="1:11" ht="18.75" customHeight="1">
      <c r="A10" s="64"/>
      <c r="B10" s="273"/>
      <c r="C10" s="274"/>
      <c r="D10" s="274"/>
      <c r="E10" s="274"/>
      <c r="F10" s="274"/>
      <c r="G10" s="274"/>
      <c r="H10" s="274"/>
      <c r="I10" s="274"/>
      <c r="J10" s="275"/>
    </row>
    <row r="11" spans="1:11" ht="18.75" customHeight="1">
      <c r="A11" s="64"/>
      <c r="B11" s="273"/>
      <c r="C11" s="274"/>
      <c r="D11" s="274"/>
      <c r="E11" s="274"/>
      <c r="F11" s="274"/>
      <c r="G11" s="274"/>
      <c r="H11" s="274"/>
      <c r="I11" s="274"/>
      <c r="J11" s="275"/>
    </row>
    <row r="12" spans="1:11" ht="18.75" customHeight="1">
      <c r="A12" s="64"/>
      <c r="B12" s="276"/>
      <c r="C12" s="277"/>
      <c r="D12" s="277"/>
      <c r="E12" s="277"/>
      <c r="F12" s="277"/>
      <c r="G12" s="277"/>
      <c r="H12" s="277"/>
      <c r="I12" s="277"/>
      <c r="J12" s="278"/>
    </row>
    <row r="13" spans="1:11" ht="7.5" customHeight="1">
      <c r="A13" s="64"/>
      <c r="B13" s="64"/>
      <c r="C13" s="64"/>
      <c r="D13" s="64"/>
      <c r="E13" s="64"/>
      <c r="F13" s="64"/>
      <c r="G13" s="64"/>
      <c r="H13" s="64"/>
      <c r="I13" s="64"/>
      <c r="J13" s="64"/>
    </row>
    <row r="14" spans="1:11" ht="18.75" customHeight="1">
      <c r="A14" s="117" t="s">
        <v>285</v>
      </c>
      <c r="B14" s="117" t="s">
        <v>286</v>
      </c>
      <c r="C14" s="117"/>
      <c r="D14" s="117"/>
      <c r="E14" s="117"/>
      <c r="F14" s="117"/>
      <c r="G14" s="117"/>
      <c r="H14" s="117"/>
      <c r="I14" s="117"/>
      <c r="J14" s="117"/>
    </row>
    <row r="15" spans="1:11" ht="18.75" customHeight="1">
      <c r="A15" s="64"/>
      <c r="B15" s="262" t="s">
        <v>287</v>
      </c>
      <c r="C15" s="263"/>
      <c r="D15" s="263"/>
      <c r="E15" s="263"/>
      <c r="F15" s="263"/>
      <c r="G15" s="263"/>
      <c r="H15" s="263"/>
      <c r="I15" s="271"/>
      <c r="J15" s="272"/>
      <c r="K15" s="60" t="str">
        <f>IF(B15="","入力してください","")</f>
        <v/>
      </c>
    </row>
    <row r="16" spans="1:11" ht="18.75" customHeight="1">
      <c r="A16" s="64"/>
      <c r="B16" s="273"/>
      <c r="C16" s="274"/>
      <c r="D16" s="274"/>
      <c r="E16" s="274"/>
      <c r="F16" s="274"/>
      <c r="G16" s="274"/>
      <c r="H16" s="274"/>
      <c r="I16" s="274"/>
      <c r="J16" s="275"/>
    </row>
    <row r="17" spans="1:11" ht="18.75" customHeight="1">
      <c r="A17" s="64"/>
      <c r="B17" s="273"/>
      <c r="C17" s="274"/>
      <c r="D17" s="274"/>
      <c r="E17" s="274"/>
      <c r="F17" s="274"/>
      <c r="G17" s="274"/>
      <c r="H17" s="274"/>
      <c r="I17" s="274"/>
      <c r="J17" s="275"/>
    </row>
    <row r="18" spans="1:11" ht="18.75" customHeight="1">
      <c r="A18" s="64"/>
      <c r="B18" s="273"/>
      <c r="C18" s="274"/>
      <c r="D18" s="274"/>
      <c r="E18" s="274"/>
      <c r="F18" s="274"/>
      <c r="G18" s="274"/>
      <c r="H18" s="274"/>
      <c r="I18" s="274"/>
      <c r="J18" s="275"/>
    </row>
    <row r="19" spans="1:11" ht="18.75" customHeight="1">
      <c r="A19" s="64"/>
      <c r="B19" s="273"/>
      <c r="C19" s="274"/>
      <c r="D19" s="274"/>
      <c r="E19" s="274"/>
      <c r="F19" s="274"/>
      <c r="G19" s="274"/>
      <c r="H19" s="274"/>
      <c r="I19" s="274"/>
      <c r="J19" s="275"/>
    </row>
    <row r="20" spans="1:11" ht="18.75" customHeight="1">
      <c r="A20" s="64"/>
      <c r="B20" s="273"/>
      <c r="C20" s="274"/>
      <c r="D20" s="274"/>
      <c r="E20" s="274"/>
      <c r="F20" s="274"/>
      <c r="G20" s="274"/>
      <c r="H20" s="274"/>
      <c r="I20" s="274"/>
      <c r="J20" s="275"/>
    </row>
    <row r="21" spans="1:11" ht="18.75" customHeight="1">
      <c r="A21" s="64"/>
      <c r="B21" s="273"/>
      <c r="C21" s="274"/>
      <c r="D21" s="274"/>
      <c r="E21" s="274"/>
      <c r="F21" s="274"/>
      <c r="G21" s="274"/>
      <c r="H21" s="274"/>
      <c r="I21" s="274"/>
      <c r="J21" s="275"/>
    </row>
    <row r="22" spans="1:11" ht="18.75" customHeight="1">
      <c r="A22" s="64"/>
      <c r="B22" s="273"/>
      <c r="C22" s="274"/>
      <c r="D22" s="274"/>
      <c r="E22" s="274"/>
      <c r="F22" s="274"/>
      <c r="G22" s="274"/>
      <c r="H22" s="274"/>
      <c r="I22" s="274"/>
      <c r="J22" s="275"/>
    </row>
    <row r="23" spans="1:11" ht="18.75" customHeight="1">
      <c r="A23" s="64"/>
      <c r="B23" s="273"/>
      <c r="C23" s="274"/>
      <c r="D23" s="274"/>
      <c r="E23" s="274"/>
      <c r="F23" s="274"/>
      <c r="G23" s="274"/>
      <c r="H23" s="274"/>
      <c r="I23" s="274"/>
      <c r="J23" s="275"/>
    </row>
    <row r="24" spans="1:11" ht="18.75" customHeight="1">
      <c r="A24" s="64"/>
      <c r="B24" s="273"/>
      <c r="C24" s="274"/>
      <c r="D24" s="274"/>
      <c r="E24" s="274"/>
      <c r="F24" s="274"/>
      <c r="G24" s="274"/>
      <c r="H24" s="274"/>
      <c r="I24" s="274"/>
      <c r="J24" s="275"/>
    </row>
    <row r="25" spans="1:11" ht="18.75" customHeight="1">
      <c r="A25" s="64"/>
      <c r="B25" s="276"/>
      <c r="C25" s="277"/>
      <c r="D25" s="277"/>
      <c r="E25" s="277"/>
      <c r="F25" s="277"/>
      <c r="G25" s="277"/>
      <c r="H25" s="277"/>
      <c r="I25" s="277"/>
      <c r="J25" s="278"/>
    </row>
    <row r="26" spans="1:11" ht="7.5" customHeight="1">
      <c r="A26" s="78"/>
      <c r="B26" s="78"/>
      <c r="C26" s="78"/>
      <c r="D26" s="78"/>
      <c r="E26" s="78"/>
      <c r="F26" s="78"/>
      <c r="G26" s="78"/>
      <c r="H26" s="78"/>
      <c r="I26" s="78"/>
      <c r="J26" s="78"/>
    </row>
    <row r="27" spans="1:11" ht="18.75" customHeight="1">
      <c r="A27" s="60" t="s">
        <v>11</v>
      </c>
      <c r="B27" s="60" t="s">
        <v>288</v>
      </c>
    </row>
    <row r="28" spans="1:11" s="63" customFormat="1" ht="18.75" customHeight="1">
      <c r="B28" s="65" t="s">
        <v>289</v>
      </c>
      <c r="C28" s="74">
        <f>'様式３　履修者等数の実績'!R30</f>
        <v>0.22026676546869212</v>
      </c>
      <c r="D28" s="66"/>
      <c r="E28" s="66" t="s">
        <v>290</v>
      </c>
      <c r="F28" s="74">
        <v>0.47</v>
      </c>
      <c r="G28" s="66"/>
      <c r="H28" s="66" t="s">
        <v>291</v>
      </c>
      <c r="I28" s="75">
        <v>0.71</v>
      </c>
      <c r="J28" s="67"/>
      <c r="K28" s="60"/>
    </row>
    <row r="29" spans="1:11" s="63" customFormat="1" ht="18.75" customHeight="1">
      <c r="B29" s="68" t="s">
        <v>292</v>
      </c>
      <c r="C29" s="76">
        <v>0.92</v>
      </c>
      <c r="D29" s="69"/>
      <c r="E29" s="69" t="s">
        <v>293</v>
      </c>
      <c r="F29" s="76">
        <v>0.99</v>
      </c>
      <c r="G29" s="69"/>
      <c r="H29" s="69" t="s">
        <v>294</v>
      </c>
      <c r="I29" s="77">
        <f>'様式３　履修者等数の実績'!D30</f>
        <v>5398</v>
      </c>
      <c r="J29" s="70"/>
      <c r="K29" s="61"/>
    </row>
    <row r="30" spans="1:11" ht="18.75" customHeight="1">
      <c r="A30" s="60"/>
      <c r="B30" s="202" t="s">
        <v>295</v>
      </c>
      <c r="C30" s="203"/>
      <c r="D30" s="203"/>
      <c r="E30" s="203"/>
      <c r="F30" s="203"/>
      <c r="G30" s="203"/>
      <c r="H30" s="203"/>
      <c r="I30" s="203"/>
      <c r="J30" s="204"/>
      <c r="K30" s="61"/>
    </row>
    <row r="31" spans="1:11" ht="18.75" customHeight="1">
      <c r="A31" s="60"/>
      <c r="B31" s="280" t="s">
        <v>296</v>
      </c>
      <c r="C31" s="281"/>
      <c r="D31" s="281"/>
      <c r="E31" s="281"/>
      <c r="F31" s="281"/>
      <c r="G31" s="281"/>
      <c r="H31" s="281"/>
      <c r="I31" s="281"/>
      <c r="J31" s="282"/>
      <c r="K31" s="61" t="str">
        <f>IF(B31="","入力してください","")</f>
        <v/>
      </c>
    </row>
    <row r="32" spans="1:11" ht="18.75" customHeight="1">
      <c r="A32" s="60"/>
      <c r="B32" s="265"/>
      <c r="C32" s="266"/>
      <c r="D32" s="266"/>
      <c r="E32" s="266"/>
      <c r="F32" s="266"/>
      <c r="G32" s="266"/>
      <c r="H32" s="266"/>
      <c r="I32" s="266"/>
      <c r="J32" s="267"/>
      <c r="K32" s="61"/>
    </row>
    <row r="33" spans="1:11" ht="18.75" customHeight="1">
      <c r="A33" s="60"/>
      <c r="B33" s="265"/>
      <c r="C33" s="266"/>
      <c r="D33" s="266"/>
      <c r="E33" s="266"/>
      <c r="F33" s="266"/>
      <c r="G33" s="266"/>
      <c r="H33" s="266"/>
      <c r="I33" s="266"/>
      <c r="J33" s="267"/>
      <c r="K33" s="61"/>
    </row>
    <row r="34" spans="1:11" ht="18.75" customHeight="1">
      <c r="A34" s="60"/>
      <c r="B34" s="265"/>
      <c r="C34" s="266"/>
      <c r="D34" s="266"/>
      <c r="E34" s="266"/>
      <c r="F34" s="266"/>
      <c r="G34" s="266"/>
      <c r="H34" s="266"/>
      <c r="I34" s="266"/>
      <c r="J34" s="267"/>
      <c r="K34" s="61"/>
    </row>
    <row r="35" spans="1:11" ht="18.75" customHeight="1">
      <c r="A35" s="60"/>
      <c r="B35" s="265"/>
      <c r="C35" s="266"/>
      <c r="D35" s="266"/>
      <c r="E35" s="266"/>
      <c r="F35" s="266"/>
      <c r="G35" s="266"/>
      <c r="H35" s="266"/>
      <c r="I35" s="266"/>
      <c r="J35" s="267"/>
      <c r="K35" s="61"/>
    </row>
    <row r="36" spans="1:11" ht="18.75" customHeight="1">
      <c r="A36" s="60"/>
      <c r="B36" s="265"/>
      <c r="C36" s="266"/>
      <c r="D36" s="266"/>
      <c r="E36" s="266"/>
      <c r="F36" s="266"/>
      <c r="G36" s="266"/>
      <c r="H36" s="266"/>
      <c r="I36" s="266"/>
      <c r="J36" s="267"/>
      <c r="K36" s="61"/>
    </row>
    <row r="37" spans="1:11" ht="18.75" customHeight="1">
      <c r="A37" s="60"/>
      <c r="B37" s="265"/>
      <c r="C37" s="266"/>
      <c r="D37" s="266"/>
      <c r="E37" s="266"/>
      <c r="F37" s="266"/>
      <c r="G37" s="266"/>
      <c r="H37" s="266"/>
      <c r="I37" s="266"/>
      <c r="J37" s="267"/>
      <c r="K37" s="61"/>
    </row>
    <row r="38" spans="1:11" ht="18.75" customHeight="1">
      <c r="A38" s="60"/>
      <c r="B38" s="265"/>
      <c r="C38" s="266"/>
      <c r="D38" s="266"/>
      <c r="E38" s="266"/>
      <c r="F38" s="266"/>
      <c r="G38" s="266"/>
      <c r="H38" s="266"/>
      <c r="I38" s="266"/>
      <c r="J38" s="267"/>
      <c r="K38" s="61"/>
    </row>
    <row r="39" spans="1:11" ht="18.75" customHeight="1">
      <c r="A39" s="60"/>
      <c r="B39" s="265"/>
      <c r="C39" s="266"/>
      <c r="D39" s="266"/>
      <c r="E39" s="266"/>
      <c r="F39" s="266"/>
      <c r="G39" s="266"/>
      <c r="H39" s="266"/>
      <c r="I39" s="266"/>
      <c r="J39" s="267"/>
      <c r="K39" s="61"/>
    </row>
    <row r="40" spans="1:11" ht="18.75" customHeight="1">
      <c r="A40" s="60"/>
      <c r="B40" s="265"/>
      <c r="C40" s="266"/>
      <c r="D40" s="266"/>
      <c r="E40" s="266"/>
      <c r="F40" s="266"/>
      <c r="G40" s="266"/>
      <c r="H40" s="266"/>
      <c r="I40" s="266"/>
      <c r="J40" s="267"/>
      <c r="K40" s="61"/>
    </row>
    <row r="41" spans="1:11" ht="18.75" customHeight="1">
      <c r="A41" s="60"/>
      <c r="B41" s="265"/>
      <c r="C41" s="266"/>
      <c r="D41" s="266"/>
      <c r="E41" s="266"/>
      <c r="F41" s="266"/>
      <c r="G41" s="266"/>
      <c r="H41" s="266"/>
      <c r="I41" s="266"/>
      <c r="J41" s="267"/>
      <c r="K41" s="61"/>
    </row>
    <row r="42" spans="1:11" ht="18.75" customHeight="1">
      <c r="A42" s="60"/>
      <c r="B42" s="265"/>
      <c r="C42" s="266"/>
      <c r="D42" s="266"/>
      <c r="E42" s="266"/>
      <c r="F42" s="266"/>
      <c r="G42" s="266"/>
      <c r="H42" s="266"/>
      <c r="I42" s="266"/>
      <c r="J42" s="267"/>
      <c r="K42" s="61"/>
    </row>
    <row r="43" spans="1:11" ht="18.75" customHeight="1">
      <c r="A43" s="78"/>
      <c r="B43" s="265"/>
      <c r="C43" s="266"/>
      <c r="D43" s="266"/>
      <c r="E43" s="266"/>
      <c r="F43" s="266"/>
      <c r="G43" s="266"/>
      <c r="H43" s="266"/>
      <c r="I43" s="266"/>
      <c r="J43" s="267"/>
      <c r="K43" s="61"/>
    </row>
    <row r="44" spans="1:11" ht="18.75" customHeight="1">
      <c r="A44" s="78"/>
      <c r="B44" s="268"/>
      <c r="C44" s="269"/>
      <c r="D44" s="269"/>
      <c r="E44" s="269"/>
      <c r="F44" s="269"/>
      <c r="G44" s="269"/>
      <c r="H44" s="269"/>
      <c r="I44" s="269"/>
      <c r="J44" s="270"/>
    </row>
    <row r="45" spans="1:11" ht="18.75" customHeight="1">
      <c r="A45" s="117" t="s">
        <v>14</v>
      </c>
      <c r="B45" s="60" t="s">
        <v>297</v>
      </c>
      <c r="I45" s="117"/>
      <c r="J45" s="117"/>
    </row>
    <row r="46" spans="1:11" ht="18.75" customHeight="1">
      <c r="A46" s="78"/>
      <c r="B46" s="262" t="s">
        <v>298</v>
      </c>
      <c r="C46" s="263"/>
      <c r="D46" s="263"/>
      <c r="E46" s="263"/>
      <c r="F46" s="263"/>
      <c r="G46" s="263"/>
      <c r="H46" s="263"/>
      <c r="I46" s="263"/>
      <c r="J46" s="264"/>
      <c r="K46" s="60" t="str">
        <f>IF(B46="","入力してください","")</f>
        <v/>
      </c>
    </row>
    <row r="47" spans="1:11" ht="18.75" customHeight="1">
      <c r="A47" s="78"/>
      <c r="B47" s="265"/>
      <c r="C47" s="266"/>
      <c r="D47" s="266"/>
      <c r="E47" s="266"/>
      <c r="F47" s="266"/>
      <c r="G47" s="266"/>
      <c r="H47" s="266"/>
      <c r="I47" s="266"/>
      <c r="J47" s="267"/>
    </row>
    <row r="48" spans="1:11" ht="18.75" customHeight="1">
      <c r="A48" s="78"/>
      <c r="B48" s="265"/>
      <c r="C48" s="266"/>
      <c r="D48" s="266"/>
      <c r="E48" s="266"/>
      <c r="F48" s="266"/>
      <c r="G48" s="266"/>
      <c r="H48" s="266"/>
      <c r="I48" s="266"/>
      <c r="J48" s="267"/>
    </row>
    <row r="49" spans="1:10" ht="18.75" customHeight="1">
      <c r="A49" s="78"/>
      <c r="B49" s="265"/>
      <c r="C49" s="266"/>
      <c r="D49" s="266"/>
      <c r="E49" s="266"/>
      <c r="F49" s="266"/>
      <c r="G49" s="266"/>
      <c r="H49" s="266"/>
      <c r="I49" s="266"/>
      <c r="J49" s="267"/>
    </row>
    <row r="50" spans="1:10" ht="18.75" customHeight="1">
      <c r="A50" s="78"/>
      <c r="B50" s="265"/>
      <c r="C50" s="266"/>
      <c r="D50" s="266"/>
      <c r="E50" s="266"/>
      <c r="F50" s="266"/>
      <c r="G50" s="266"/>
      <c r="H50" s="266"/>
      <c r="I50" s="266"/>
      <c r="J50" s="267"/>
    </row>
    <row r="51" spans="1:10" ht="18.75" customHeight="1">
      <c r="A51" s="78"/>
      <c r="B51" s="265"/>
      <c r="C51" s="266"/>
      <c r="D51" s="266"/>
      <c r="E51" s="266"/>
      <c r="F51" s="266"/>
      <c r="G51" s="266"/>
      <c r="H51" s="266"/>
      <c r="I51" s="266"/>
      <c r="J51" s="267"/>
    </row>
    <row r="52" spans="1:10" ht="18.75" customHeight="1">
      <c r="A52" s="78"/>
      <c r="B52" s="265"/>
      <c r="C52" s="266"/>
      <c r="D52" s="266"/>
      <c r="E52" s="266"/>
      <c r="F52" s="266"/>
      <c r="G52" s="266"/>
      <c r="H52" s="266"/>
      <c r="I52" s="266"/>
      <c r="J52" s="267"/>
    </row>
    <row r="53" spans="1:10" ht="18.75" customHeight="1">
      <c r="A53" s="78"/>
      <c r="B53" s="265"/>
      <c r="C53" s="266"/>
      <c r="D53" s="266"/>
      <c r="E53" s="266"/>
      <c r="F53" s="266"/>
      <c r="G53" s="266"/>
      <c r="H53" s="266"/>
      <c r="I53" s="266"/>
      <c r="J53" s="267"/>
    </row>
    <row r="54" spans="1:10" ht="18.75" customHeight="1">
      <c r="A54" s="78"/>
      <c r="B54" s="265"/>
      <c r="C54" s="266"/>
      <c r="D54" s="266"/>
      <c r="E54" s="266"/>
      <c r="F54" s="266"/>
      <c r="G54" s="266"/>
      <c r="H54" s="266"/>
      <c r="I54" s="266"/>
      <c r="J54" s="267"/>
    </row>
    <row r="55" spans="1:10" ht="18.75" customHeight="1">
      <c r="A55" s="78"/>
      <c r="B55" s="265"/>
      <c r="C55" s="266"/>
      <c r="D55" s="266"/>
      <c r="E55" s="266"/>
      <c r="F55" s="266"/>
      <c r="G55" s="266"/>
      <c r="H55" s="266"/>
      <c r="I55" s="266"/>
      <c r="J55" s="267"/>
    </row>
    <row r="56" spans="1:10" ht="18.75" customHeight="1">
      <c r="A56" s="78"/>
      <c r="B56" s="265"/>
      <c r="C56" s="266"/>
      <c r="D56" s="266"/>
      <c r="E56" s="266"/>
      <c r="F56" s="266"/>
      <c r="G56" s="266"/>
      <c r="H56" s="266"/>
      <c r="I56" s="266"/>
      <c r="J56" s="267"/>
    </row>
    <row r="57" spans="1:10" ht="18.75" customHeight="1">
      <c r="A57" s="78"/>
      <c r="B57" s="265"/>
      <c r="C57" s="266"/>
      <c r="D57" s="266"/>
      <c r="E57" s="266"/>
      <c r="F57" s="266"/>
      <c r="G57" s="266"/>
      <c r="H57" s="266"/>
      <c r="I57" s="266"/>
      <c r="J57" s="267"/>
    </row>
    <row r="58" spans="1:10" ht="18.75" customHeight="1">
      <c r="A58" s="78"/>
      <c r="B58" s="265"/>
      <c r="C58" s="266"/>
      <c r="D58" s="266"/>
      <c r="E58" s="266"/>
      <c r="F58" s="266"/>
      <c r="G58" s="266"/>
      <c r="H58" s="266"/>
      <c r="I58" s="266"/>
      <c r="J58" s="267"/>
    </row>
    <row r="59" spans="1:10" ht="18.75" customHeight="1">
      <c r="A59" s="78"/>
      <c r="B59" s="265"/>
      <c r="C59" s="266"/>
      <c r="D59" s="266"/>
      <c r="E59" s="266"/>
      <c r="F59" s="266"/>
      <c r="G59" s="266"/>
      <c r="H59" s="266"/>
      <c r="I59" s="266"/>
      <c r="J59" s="267"/>
    </row>
    <row r="60" spans="1:10" ht="18.75" customHeight="1">
      <c r="A60" s="78"/>
      <c r="B60" s="265"/>
      <c r="C60" s="266"/>
      <c r="D60" s="266"/>
      <c r="E60" s="266"/>
      <c r="F60" s="266"/>
      <c r="G60" s="266"/>
      <c r="H60" s="266"/>
      <c r="I60" s="266"/>
      <c r="J60" s="267"/>
    </row>
    <row r="61" spans="1:10" ht="18.75" customHeight="1">
      <c r="A61" s="78"/>
      <c r="B61" s="265"/>
      <c r="C61" s="266"/>
      <c r="D61" s="266"/>
      <c r="E61" s="266"/>
      <c r="F61" s="266"/>
      <c r="G61" s="266"/>
      <c r="H61" s="266"/>
      <c r="I61" s="266"/>
      <c r="J61" s="267"/>
    </row>
    <row r="62" spans="1:10" ht="18.75" customHeight="1">
      <c r="A62" s="78"/>
      <c r="B62" s="265"/>
      <c r="C62" s="266"/>
      <c r="D62" s="266"/>
      <c r="E62" s="266"/>
      <c r="F62" s="266"/>
      <c r="G62" s="266"/>
      <c r="H62" s="266"/>
      <c r="I62" s="266"/>
      <c r="J62" s="267"/>
    </row>
    <row r="63" spans="1:10" ht="18.75" customHeight="1">
      <c r="A63" s="78"/>
      <c r="B63" s="265"/>
      <c r="C63" s="266"/>
      <c r="D63" s="266"/>
      <c r="E63" s="266"/>
      <c r="F63" s="266"/>
      <c r="G63" s="266"/>
      <c r="H63" s="266"/>
      <c r="I63" s="266"/>
      <c r="J63" s="267"/>
    </row>
    <row r="64" spans="1:10" ht="18.75" customHeight="1">
      <c r="A64" s="78"/>
      <c r="B64" s="265"/>
      <c r="C64" s="266"/>
      <c r="D64" s="266"/>
      <c r="E64" s="266"/>
      <c r="F64" s="266"/>
      <c r="G64" s="266"/>
      <c r="H64" s="266"/>
      <c r="I64" s="266"/>
      <c r="J64" s="267"/>
    </row>
    <row r="65" spans="1:11" ht="18.75" customHeight="1">
      <c r="A65" s="78"/>
      <c r="B65" s="265"/>
      <c r="C65" s="266"/>
      <c r="D65" s="266"/>
      <c r="E65" s="266"/>
      <c r="F65" s="266"/>
      <c r="G65" s="266"/>
      <c r="H65" s="266"/>
      <c r="I65" s="266"/>
      <c r="J65" s="267"/>
    </row>
    <row r="66" spans="1:11" ht="18.75" customHeight="1">
      <c r="A66" s="78"/>
      <c r="B66" s="268"/>
      <c r="C66" s="269"/>
      <c r="D66" s="269"/>
      <c r="E66" s="269"/>
      <c r="F66" s="269"/>
      <c r="G66" s="269"/>
      <c r="H66" s="269"/>
      <c r="I66" s="269"/>
      <c r="J66" s="270"/>
    </row>
    <row r="67" spans="1:11" ht="7.5" customHeight="1">
      <c r="A67" s="78"/>
      <c r="B67" s="78"/>
      <c r="C67" s="78"/>
      <c r="D67" s="78"/>
      <c r="E67" s="78"/>
      <c r="F67" s="78"/>
      <c r="G67" s="78"/>
      <c r="H67" s="78"/>
      <c r="I67" s="78"/>
      <c r="J67" s="78"/>
    </row>
    <row r="68" spans="1:11" ht="18.75" customHeight="1">
      <c r="A68" s="60" t="s">
        <v>17</v>
      </c>
      <c r="B68" s="60" t="s">
        <v>299</v>
      </c>
    </row>
    <row r="69" spans="1:11" ht="18.75" customHeight="1">
      <c r="A69" s="60"/>
      <c r="B69" s="262" t="s">
        <v>300</v>
      </c>
      <c r="C69" s="263"/>
      <c r="D69" s="263"/>
      <c r="E69" s="263"/>
      <c r="F69" s="263"/>
      <c r="G69" s="263"/>
      <c r="H69" s="263"/>
      <c r="I69" s="271"/>
      <c r="J69" s="272"/>
      <c r="K69" s="61" t="str">
        <f>IF(B69="","入力してください","")</f>
        <v/>
      </c>
    </row>
    <row r="70" spans="1:11" ht="18.75" customHeight="1">
      <c r="A70" s="60"/>
      <c r="B70" s="273"/>
      <c r="C70" s="274"/>
      <c r="D70" s="274"/>
      <c r="E70" s="274"/>
      <c r="F70" s="274"/>
      <c r="G70" s="274"/>
      <c r="H70" s="274"/>
      <c r="I70" s="274"/>
      <c r="J70" s="275"/>
      <c r="K70" s="61"/>
    </row>
    <row r="71" spans="1:11" ht="18.75" customHeight="1">
      <c r="A71" s="60"/>
      <c r="B71" s="273"/>
      <c r="C71" s="274"/>
      <c r="D71" s="274"/>
      <c r="E71" s="274"/>
      <c r="F71" s="274"/>
      <c r="G71" s="274"/>
      <c r="H71" s="274"/>
      <c r="I71" s="274"/>
      <c r="J71" s="275"/>
      <c r="K71" s="61"/>
    </row>
    <row r="72" spans="1:11" ht="18.75" customHeight="1">
      <c r="A72" s="60"/>
      <c r="B72" s="273"/>
      <c r="C72" s="274"/>
      <c r="D72" s="274"/>
      <c r="E72" s="274"/>
      <c r="F72" s="274"/>
      <c r="G72" s="274"/>
      <c r="H72" s="274"/>
      <c r="I72" s="274"/>
      <c r="J72" s="275"/>
      <c r="K72" s="61"/>
    </row>
    <row r="73" spans="1:11" ht="18.75" customHeight="1">
      <c r="A73" s="60"/>
      <c r="B73" s="273"/>
      <c r="C73" s="274"/>
      <c r="D73" s="274"/>
      <c r="E73" s="274"/>
      <c r="F73" s="274"/>
      <c r="G73" s="274"/>
      <c r="H73" s="274"/>
      <c r="I73" s="274"/>
      <c r="J73" s="275"/>
      <c r="K73" s="61"/>
    </row>
    <row r="74" spans="1:11" ht="18.75" customHeight="1">
      <c r="A74" s="60"/>
      <c r="B74" s="273"/>
      <c r="C74" s="274"/>
      <c r="D74" s="274"/>
      <c r="E74" s="274"/>
      <c r="F74" s="274"/>
      <c r="G74" s="274"/>
      <c r="H74" s="274"/>
      <c r="I74" s="274"/>
      <c r="J74" s="275"/>
      <c r="K74" s="61"/>
    </row>
    <row r="75" spans="1:11" ht="18.75" customHeight="1">
      <c r="A75" s="60"/>
      <c r="B75" s="273"/>
      <c r="C75" s="274"/>
      <c r="D75" s="274"/>
      <c r="E75" s="274"/>
      <c r="F75" s="274"/>
      <c r="G75" s="274"/>
      <c r="H75" s="274"/>
      <c r="I75" s="274"/>
      <c r="J75" s="275"/>
      <c r="K75" s="61"/>
    </row>
    <row r="76" spans="1:11" ht="18.75" customHeight="1">
      <c r="A76" s="60"/>
      <c r="B76" s="273"/>
      <c r="C76" s="274"/>
      <c r="D76" s="274"/>
      <c r="E76" s="274"/>
      <c r="F76" s="274"/>
      <c r="G76" s="274"/>
      <c r="H76" s="274"/>
      <c r="I76" s="274"/>
      <c r="J76" s="275"/>
      <c r="K76" s="61"/>
    </row>
    <row r="77" spans="1:11" ht="18.75" customHeight="1">
      <c r="A77" s="60"/>
      <c r="B77" s="273"/>
      <c r="C77" s="274"/>
      <c r="D77" s="274"/>
      <c r="E77" s="274"/>
      <c r="F77" s="274"/>
      <c r="G77" s="274"/>
      <c r="H77" s="274"/>
      <c r="I77" s="274"/>
      <c r="J77" s="275"/>
      <c r="K77" s="61"/>
    </row>
    <row r="78" spans="1:11" ht="18.75" customHeight="1">
      <c r="A78" s="60"/>
      <c r="B78" s="273"/>
      <c r="C78" s="274"/>
      <c r="D78" s="274"/>
      <c r="E78" s="274"/>
      <c r="F78" s="274"/>
      <c r="G78" s="274"/>
      <c r="H78" s="274"/>
      <c r="I78" s="274"/>
      <c r="J78" s="275"/>
      <c r="K78" s="61"/>
    </row>
    <row r="79" spans="1:11" ht="18.75" customHeight="1">
      <c r="A79" s="60"/>
      <c r="B79" s="273"/>
      <c r="C79" s="274"/>
      <c r="D79" s="274"/>
      <c r="E79" s="274"/>
      <c r="F79" s="274"/>
      <c r="G79" s="274"/>
      <c r="H79" s="274"/>
      <c r="I79" s="274"/>
      <c r="J79" s="275"/>
      <c r="K79" s="61"/>
    </row>
    <row r="80" spans="1:11" ht="18.75" customHeight="1">
      <c r="A80" s="60"/>
      <c r="B80" s="273"/>
      <c r="C80" s="274"/>
      <c r="D80" s="274"/>
      <c r="E80" s="274"/>
      <c r="F80" s="274"/>
      <c r="G80" s="274"/>
      <c r="H80" s="274"/>
      <c r="I80" s="274"/>
      <c r="J80" s="275"/>
      <c r="K80" s="61"/>
    </row>
    <row r="81" spans="1:11" ht="18.75" customHeight="1">
      <c r="A81" s="60"/>
      <c r="B81" s="273"/>
      <c r="C81" s="274"/>
      <c r="D81" s="274"/>
      <c r="E81" s="274"/>
      <c r="F81" s="274"/>
      <c r="G81" s="274"/>
      <c r="H81" s="274"/>
      <c r="I81" s="274"/>
      <c r="J81" s="275"/>
      <c r="K81" s="61"/>
    </row>
    <row r="82" spans="1:11" ht="18.75" customHeight="1">
      <c r="A82" s="60"/>
      <c r="B82" s="273"/>
      <c r="C82" s="274"/>
      <c r="D82" s="274"/>
      <c r="E82" s="274"/>
      <c r="F82" s="274"/>
      <c r="G82" s="274"/>
      <c r="H82" s="274"/>
      <c r="I82" s="274"/>
      <c r="J82" s="275"/>
      <c r="K82" s="61"/>
    </row>
    <row r="83" spans="1:11" ht="18.75" customHeight="1">
      <c r="A83" s="60"/>
      <c r="B83" s="273"/>
      <c r="C83" s="274"/>
      <c r="D83" s="274"/>
      <c r="E83" s="274"/>
      <c r="F83" s="274"/>
      <c r="G83" s="274"/>
      <c r="H83" s="274"/>
      <c r="I83" s="274"/>
      <c r="J83" s="275"/>
      <c r="K83" s="61"/>
    </row>
    <row r="84" spans="1:11" ht="18.75" customHeight="1">
      <c r="A84" s="60"/>
      <c r="B84" s="273"/>
      <c r="C84" s="274"/>
      <c r="D84" s="274"/>
      <c r="E84" s="274"/>
      <c r="F84" s="274"/>
      <c r="G84" s="274"/>
      <c r="H84" s="274"/>
      <c r="I84" s="274"/>
      <c r="J84" s="275"/>
      <c r="K84" s="61"/>
    </row>
    <row r="85" spans="1:11" ht="18.75" customHeight="1">
      <c r="A85" s="78"/>
      <c r="B85" s="273"/>
      <c r="C85" s="274"/>
      <c r="D85" s="274"/>
      <c r="E85" s="274"/>
      <c r="F85" s="274"/>
      <c r="G85" s="274"/>
      <c r="H85" s="274"/>
      <c r="I85" s="274"/>
      <c r="J85" s="275"/>
      <c r="K85" s="61"/>
    </row>
    <row r="86" spans="1:11" ht="18.75" customHeight="1">
      <c r="A86" s="78"/>
      <c r="B86" s="276"/>
      <c r="C86" s="277"/>
      <c r="D86" s="277"/>
      <c r="E86" s="277"/>
      <c r="F86" s="277"/>
      <c r="G86" s="277"/>
      <c r="H86" s="277"/>
      <c r="I86" s="277"/>
      <c r="J86" s="278"/>
      <c r="K86" s="61"/>
    </row>
    <row r="87" spans="1:11" ht="7.5" customHeight="1">
      <c r="A87" s="78"/>
      <c r="B87" s="78"/>
      <c r="C87" s="78"/>
      <c r="D87" s="78"/>
      <c r="E87" s="78"/>
      <c r="F87" s="78"/>
      <c r="G87" s="78"/>
      <c r="H87" s="78"/>
      <c r="I87" s="78"/>
      <c r="J87" s="78"/>
    </row>
    <row r="88" spans="1:11" ht="18.75" customHeight="1">
      <c r="A88" s="60" t="s">
        <v>301</v>
      </c>
      <c r="B88" s="60" t="s">
        <v>302</v>
      </c>
    </row>
    <row r="89" spans="1:11" ht="18.75" customHeight="1">
      <c r="A89" s="60"/>
      <c r="B89" s="262" t="s">
        <v>303</v>
      </c>
      <c r="C89" s="263"/>
      <c r="D89" s="263"/>
      <c r="E89" s="263"/>
      <c r="F89" s="263"/>
      <c r="G89" s="263"/>
      <c r="H89" s="263"/>
      <c r="I89" s="271"/>
      <c r="J89" s="272"/>
    </row>
    <row r="90" spans="1:11" ht="18.75" customHeight="1">
      <c r="A90" s="60"/>
      <c r="B90" s="273"/>
      <c r="C90" s="274"/>
      <c r="D90" s="274"/>
      <c r="E90" s="274"/>
      <c r="F90" s="274"/>
      <c r="G90" s="274"/>
      <c r="H90" s="274"/>
      <c r="I90" s="274"/>
      <c r="J90" s="275"/>
      <c r="K90" s="61"/>
    </row>
    <row r="91" spans="1:11" ht="18.75" customHeight="1">
      <c r="A91" s="60"/>
      <c r="B91" s="273"/>
      <c r="C91" s="274"/>
      <c r="D91" s="274"/>
      <c r="E91" s="274"/>
      <c r="F91" s="274"/>
      <c r="G91" s="274"/>
      <c r="H91" s="274"/>
      <c r="I91" s="274"/>
      <c r="J91" s="275"/>
      <c r="K91" s="61" t="str">
        <f>IF(B89="","入力してください","")</f>
        <v/>
      </c>
    </row>
    <row r="92" spans="1:11" ht="18.75" customHeight="1">
      <c r="A92" s="60"/>
      <c r="B92" s="273"/>
      <c r="C92" s="274"/>
      <c r="D92" s="274"/>
      <c r="E92" s="274"/>
      <c r="F92" s="274"/>
      <c r="G92" s="274"/>
      <c r="H92" s="274"/>
      <c r="I92" s="274"/>
      <c r="J92" s="275"/>
      <c r="K92" s="61"/>
    </row>
    <row r="93" spans="1:11" ht="18.75" customHeight="1">
      <c r="A93" s="60"/>
      <c r="B93" s="273"/>
      <c r="C93" s="274"/>
      <c r="D93" s="274"/>
      <c r="E93" s="274"/>
      <c r="F93" s="274"/>
      <c r="G93" s="274"/>
      <c r="H93" s="274"/>
      <c r="I93" s="274"/>
      <c r="J93" s="275"/>
      <c r="K93" s="61"/>
    </row>
    <row r="94" spans="1:11" ht="18.75" customHeight="1">
      <c r="A94" s="60"/>
      <c r="B94" s="273"/>
      <c r="C94" s="274"/>
      <c r="D94" s="274"/>
      <c r="E94" s="274"/>
      <c r="F94" s="274"/>
      <c r="G94" s="274"/>
      <c r="H94" s="274"/>
      <c r="I94" s="274"/>
      <c r="J94" s="275"/>
      <c r="K94" s="61"/>
    </row>
    <row r="95" spans="1:11" ht="18.75" customHeight="1">
      <c r="A95" s="60"/>
      <c r="B95" s="273"/>
      <c r="C95" s="274"/>
      <c r="D95" s="274"/>
      <c r="E95" s="274"/>
      <c r="F95" s="274"/>
      <c r="G95" s="274"/>
      <c r="H95" s="274"/>
      <c r="I95" s="274"/>
      <c r="J95" s="275"/>
      <c r="K95" s="61"/>
    </row>
    <row r="96" spans="1:11" ht="18.75" customHeight="1">
      <c r="A96" s="60"/>
      <c r="B96" s="273"/>
      <c r="C96" s="274"/>
      <c r="D96" s="274"/>
      <c r="E96" s="274"/>
      <c r="F96" s="274"/>
      <c r="G96" s="274"/>
      <c r="H96" s="274"/>
      <c r="I96" s="274"/>
      <c r="J96" s="275"/>
      <c r="K96" s="61"/>
    </row>
    <row r="97" spans="1:11" ht="18.75" customHeight="1">
      <c r="A97" s="60"/>
      <c r="B97" s="273"/>
      <c r="C97" s="274"/>
      <c r="D97" s="274"/>
      <c r="E97" s="274"/>
      <c r="F97" s="274"/>
      <c r="G97" s="274"/>
      <c r="H97" s="274"/>
      <c r="I97" s="274"/>
      <c r="J97" s="275"/>
      <c r="K97" s="61"/>
    </row>
    <row r="98" spans="1:11" ht="18.75" customHeight="1">
      <c r="A98" s="60"/>
      <c r="B98" s="273"/>
      <c r="C98" s="274"/>
      <c r="D98" s="274"/>
      <c r="E98" s="274"/>
      <c r="F98" s="274"/>
      <c r="G98" s="274"/>
      <c r="H98" s="274"/>
      <c r="I98" s="274"/>
      <c r="J98" s="275"/>
      <c r="K98" s="61"/>
    </row>
    <row r="99" spans="1:11" ht="18.75" customHeight="1">
      <c r="A99" s="60"/>
      <c r="B99" s="273"/>
      <c r="C99" s="274"/>
      <c r="D99" s="274"/>
      <c r="E99" s="274"/>
      <c r="F99" s="274"/>
      <c r="G99" s="274"/>
      <c r="H99" s="274"/>
      <c r="I99" s="274"/>
      <c r="J99" s="275"/>
      <c r="K99" s="61"/>
    </row>
    <row r="100" spans="1:11" ht="18.75" customHeight="1">
      <c r="A100" s="60"/>
      <c r="B100" s="273"/>
      <c r="C100" s="274"/>
      <c r="D100" s="274"/>
      <c r="E100" s="274"/>
      <c r="F100" s="274"/>
      <c r="G100" s="274"/>
      <c r="H100" s="274"/>
      <c r="I100" s="274"/>
      <c r="J100" s="275"/>
      <c r="K100" s="61"/>
    </row>
    <row r="101" spans="1:11" ht="18.75" customHeight="1">
      <c r="A101" s="60"/>
      <c r="B101" s="273"/>
      <c r="C101" s="274"/>
      <c r="D101" s="274"/>
      <c r="E101" s="274"/>
      <c r="F101" s="274"/>
      <c r="G101" s="274"/>
      <c r="H101" s="274"/>
      <c r="I101" s="274"/>
      <c r="J101" s="275"/>
      <c r="K101" s="61"/>
    </row>
    <row r="102" spans="1:11" ht="18.75" customHeight="1">
      <c r="A102" s="60"/>
      <c r="B102" s="273"/>
      <c r="C102" s="274"/>
      <c r="D102" s="274"/>
      <c r="E102" s="274"/>
      <c r="F102" s="274"/>
      <c r="G102" s="274"/>
      <c r="H102" s="274"/>
      <c r="I102" s="274"/>
      <c r="J102" s="275"/>
      <c r="K102" s="61"/>
    </row>
    <row r="103" spans="1:11" ht="18.75" customHeight="1">
      <c r="A103" s="60"/>
      <c r="B103" s="273"/>
      <c r="C103" s="274"/>
      <c r="D103" s="274"/>
      <c r="E103" s="274"/>
      <c r="F103" s="274"/>
      <c r="G103" s="274"/>
      <c r="H103" s="274"/>
      <c r="I103" s="274"/>
      <c r="J103" s="275"/>
      <c r="K103" s="61"/>
    </row>
    <row r="104" spans="1:11" ht="18.75" customHeight="1">
      <c r="A104" s="60"/>
      <c r="B104" s="273"/>
      <c r="C104" s="274"/>
      <c r="D104" s="274"/>
      <c r="E104" s="274"/>
      <c r="F104" s="274"/>
      <c r="G104" s="274"/>
      <c r="H104" s="274"/>
      <c r="I104" s="274"/>
      <c r="J104" s="275"/>
      <c r="K104" s="61"/>
    </row>
    <row r="105" spans="1:11" ht="18.75" customHeight="1">
      <c r="A105" s="60"/>
      <c r="B105" s="273"/>
      <c r="C105" s="274"/>
      <c r="D105" s="274"/>
      <c r="E105" s="274"/>
      <c r="F105" s="274"/>
      <c r="G105" s="274"/>
      <c r="H105" s="274"/>
      <c r="I105" s="274"/>
      <c r="J105" s="275"/>
      <c r="K105" s="61"/>
    </row>
    <row r="106" spans="1:11" ht="18.75" customHeight="1">
      <c r="A106" s="60"/>
      <c r="B106" s="273"/>
      <c r="C106" s="274"/>
      <c r="D106" s="274"/>
      <c r="E106" s="274"/>
      <c r="F106" s="274"/>
      <c r="G106" s="274"/>
      <c r="H106" s="274"/>
      <c r="I106" s="274"/>
      <c r="J106" s="275"/>
      <c r="K106" s="61"/>
    </row>
    <row r="107" spans="1:11" ht="18.75" customHeight="1">
      <c r="A107" s="78"/>
      <c r="B107" s="273"/>
      <c r="C107" s="274"/>
      <c r="D107" s="274"/>
      <c r="E107" s="274"/>
      <c r="F107" s="274"/>
      <c r="G107" s="274"/>
      <c r="H107" s="274"/>
      <c r="I107" s="274"/>
      <c r="J107" s="275"/>
      <c r="K107" s="61"/>
    </row>
    <row r="108" spans="1:11" ht="18.75" customHeight="1">
      <c r="A108" s="78"/>
      <c r="B108" s="276"/>
      <c r="C108" s="277"/>
      <c r="D108" s="277"/>
      <c r="E108" s="277"/>
      <c r="F108" s="277"/>
      <c r="G108" s="277"/>
      <c r="H108" s="277"/>
      <c r="I108" s="277"/>
      <c r="J108" s="278"/>
      <c r="K108" s="61"/>
    </row>
    <row r="109" spans="1:11" ht="7.5" customHeight="1">
      <c r="A109" s="78"/>
      <c r="B109" s="78"/>
      <c r="C109" s="78"/>
      <c r="D109" s="78"/>
      <c r="E109" s="78"/>
      <c r="F109" s="78"/>
      <c r="G109" s="78"/>
      <c r="H109" s="78"/>
      <c r="I109" s="78"/>
      <c r="J109" s="78"/>
    </row>
    <row r="110" spans="1:11" ht="18.75" customHeight="1">
      <c r="A110" s="60" t="s">
        <v>23</v>
      </c>
      <c r="B110" s="279" t="s">
        <v>304</v>
      </c>
      <c r="C110" s="279"/>
      <c r="D110" s="279"/>
      <c r="E110" s="279"/>
      <c r="F110" s="279"/>
      <c r="G110" s="279"/>
      <c r="H110" s="279"/>
      <c r="I110" s="279"/>
      <c r="J110" s="279"/>
    </row>
    <row r="111" spans="1:11" ht="18.75" customHeight="1">
      <c r="A111" s="78"/>
      <c r="B111" s="262" t="s">
        <v>305</v>
      </c>
      <c r="C111" s="263"/>
      <c r="D111" s="263"/>
      <c r="E111" s="263"/>
      <c r="F111" s="263"/>
      <c r="G111" s="263"/>
      <c r="H111" s="263"/>
      <c r="I111" s="271"/>
      <c r="J111" s="272"/>
    </row>
    <row r="112" spans="1:11" ht="18.75" customHeight="1">
      <c r="A112" s="78"/>
      <c r="B112" s="273"/>
      <c r="C112" s="274"/>
      <c r="D112" s="274"/>
      <c r="E112" s="274"/>
      <c r="F112" s="274"/>
      <c r="G112" s="274"/>
      <c r="H112" s="274"/>
      <c r="I112" s="274"/>
      <c r="J112" s="275"/>
      <c r="K112" s="61"/>
    </row>
    <row r="113" spans="1:11" ht="18.75" customHeight="1">
      <c r="A113" s="78"/>
      <c r="B113" s="273"/>
      <c r="C113" s="274"/>
      <c r="D113" s="274"/>
      <c r="E113" s="274"/>
      <c r="F113" s="274"/>
      <c r="G113" s="274"/>
      <c r="H113" s="274"/>
      <c r="I113" s="274"/>
      <c r="J113" s="275"/>
      <c r="K113" s="60" t="str">
        <f>IF(B111="","入力してください","")</f>
        <v/>
      </c>
    </row>
    <row r="114" spans="1:11" ht="18.75" customHeight="1">
      <c r="A114" s="78"/>
      <c r="B114" s="273"/>
      <c r="C114" s="274"/>
      <c r="D114" s="274"/>
      <c r="E114" s="274"/>
      <c r="F114" s="274"/>
      <c r="G114" s="274"/>
      <c r="H114" s="274"/>
      <c r="I114" s="274"/>
      <c r="J114" s="275"/>
    </row>
    <row r="115" spans="1:11" ht="18.75" customHeight="1">
      <c r="A115" s="78"/>
      <c r="B115" s="273"/>
      <c r="C115" s="274"/>
      <c r="D115" s="274"/>
      <c r="E115" s="274"/>
      <c r="F115" s="274"/>
      <c r="G115" s="274"/>
      <c r="H115" s="274"/>
      <c r="I115" s="274"/>
      <c r="J115" s="275"/>
    </row>
    <row r="116" spans="1:11" ht="18.75" customHeight="1">
      <c r="A116" s="78"/>
      <c r="B116" s="273"/>
      <c r="C116" s="274"/>
      <c r="D116" s="274"/>
      <c r="E116" s="274"/>
      <c r="F116" s="274"/>
      <c r="G116" s="274"/>
      <c r="H116" s="274"/>
      <c r="I116" s="274"/>
      <c r="J116" s="275"/>
    </row>
    <row r="117" spans="1:11" ht="18.75" customHeight="1">
      <c r="A117" s="78"/>
      <c r="B117" s="273"/>
      <c r="C117" s="274"/>
      <c r="D117" s="274"/>
      <c r="E117" s="274"/>
      <c r="F117" s="274"/>
      <c r="G117" s="274"/>
      <c r="H117" s="274"/>
      <c r="I117" s="274"/>
      <c r="J117" s="275"/>
    </row>
    <row r="118" spans="1:11" ht="18.75" customHeight="1">
      <c r="A118" s="78"/>
      <c r="B118" s="273"/>
      <c r="C118" s="274"/>
      <c r="D118" s="274"/>
      <c r="E118" s="274"/>
      <c r="F118" s="274"/>
      <c r="G118" s="274"/>
      <c r="H118" s="274"/>
      <c r="I118" s="274"/>
      <c r="J118" s="275"/>
    </row>
    <row r="119" spans="1:11" ht="18.75" customHeight="1">
      <c r="A119" s="78"/>
      <c r="B119" s="273"/>
      <c r="C119" s="274"/>
      <c r="D119" s="274"/>
      <c r="E119" s="274"/>
      <c r="F119" s="274"/>
      <c r="G119" s="274"/>
      <c r="H119" s="274"/>
      <c r="I119" s="274"/>
      <c r="J119" s="275"/>
    </row>
    <row r="120" spans="1:11" ht="18.75" customHeight="1">
      <c r="A120" s="78"/>
      <c r="B120" s="273"/>
      <c r="C120" s="274"/>
      <c r="D120" s="274"/>
      <c r="E120" s="274"/>
      <c r="F120" s="274"/>
      <c r="G120" s="274"/>
      <c r="H120" s="274"/>
      <c r="I120" s="274"/>
      <c r="J120" s="275"/>
    </row>
    <row r="121" spans="1:11" ht="18.75" customHeight="1">
      <c r="A121" s="78"/>
      <c r="B121" s="273"/>
      <c r="C121" s="274"/>
      <c r="D121" s="274"/>
      <c r="E121" s="274"/>
      <c r="F121" s="274"/>
      <c r="G121" s="274"/>
      <c r="H121" s="274"/>
      <c r="I121" s="274"/>
      <c r="J121" s="275"/>
    </row>
    <row r="122" spans="1:11" ht="18.75" customHeight="1">
      <c r="A122" s="78"/>
      <c r="B122" s="273"/>
      <c r="C122" s="274"/>
      <c r="D122" s="274"/>
      <c r="E122" s="274"/>
      <c r="F122" s="274"/>
      <c r="G122" s="274"/>
      <c r="H122" s="274"/>
      <c r="I122" s="274"/>
      <c r="J122" s="275"/>
    </row>
    <row r="123" spans="1:11" ht="18.75" customHeight="1">
      <c r="A123" s="78"/>
      <c r="B123" s="273"/>
      <c r="C123" s="274"/>
      <c r="D123" s="274"/>
      <c r="E123" s="274"/>
      <c r="F123" s="274"/>
      <c r="G123" s="274"/>
      <c r="H123" s="274"/>
      <c r="I123" s="274"/>
      <c r="J123" s="275"/>
    </row>
    <row r="124" spans="1:11" ht="18.75" customHeight="1">
      <c r="A124" s="78"/>
      <c r="B124" s="273"/>
      <c r="C124" s="274"/>
      <c r="D124" s="274"/>
      <c r="E124" s="274"/>
      <c r="F124" s="274"/>
      <c r="G124" s="274"/>
      <c r="H124" s="274"/>
      <c r="I124" s="274"/>
      <c r="J124" s="275"/>
    </row>
    <row r="125" spans="1:11" ht="18.75" customHeight="1">
      <c r="A125" s="78"/>
      <c r="B125" s="273"/>
      <c r="C125" s="274"/>
      <c r="D125" s="274"/>
      <c r="E125" s="274"/>
      <c r="F125" s="274"/>
      <c r="G125" s="274"/>
      <c r="H125" s="274"/>
      <c r="I125" s="274"/>
      <c r="J125" s="275"/>
    </row>
    <row r="126" spans="1:11" ht="18.75" customHeight="1">
      <c r="A126" s="78"/>
      <c r="B126" s="273"/>
      <c r="C126" s="274"/>
      <c r="D126" s="274"/>
      <c r="E126" s="274"/>
      <c r="F126" s="274"/>
      <c r="G126" s="274"/>
      <c r="H126" s="274"/>
      <c r="I126" s="274"/>
      <c r="J126" s="275"/>
    </row>
    <row r="127" spans="1:11" ht="18.75" customHeight="1">
      <c r="A127" s="78"/>
      <c r="B127" s="273"/>
      <c r="C127" s="274"/>
      <c r="D127" s="274"/>
      <c r="E127" s="274"/>
      <c r="F127" s="274"/>
      <c r="G127" s="274"/>
      <c r="H127" s="274"/>
      <c r="I127" s="274"/>
      <c r="J127" s="275"/>
    </row>
    <row r="128" spans="1:11" ht="18.75" customHeight="1">
      <c r="A128" s="78"/>
      <c r="B128" s="273"/>
      <c r="C128" s="274"/>
      <c r="D128" s="274"/>
      <c r="E128" s="274"/>
      <c r="F128" s="274"/>
      <c r="G128" s="274"/>
      <c r="H128" s="274"/>
      <c r="I128" s="274"/>
      <c r="J128" s="275"/>
    </row>
    <row r="129" spans="1:10" ht="18.75" customHeight="1">
      <c r="A129" s="78"/>
      <c r="B129" s="276"/>
      <c r="C129" s="277"/>
      <c r="D129" s="277"/>
      <c r="E129" s="277"/>
      <c r="F129" s="277"/>
      <c r="G129" s="277"/>
      <c r="H129" s="277"/>
      <c r="I129" s="277"/>
      <c r="J129" s="278"/>
    </row>
    <row r="130" spans="1:10" ht="7.5" customHeight="1">
      <c r="A130" s="78"/>
      <c r="B130" s="86"/>
      <c r="C130" s="86"/>
      <c r="D130" s="86"/>
      <c r="E130" s="86"/>
      <c r="F130" s="86"/>
      <c r="G130" s="86"/>
      <c r="H130" s="86"/>
      <c r="I130" s="86"/>
      <c r="J130" s="86"/>
    </row>
    <row r="131" spans="1:10" ht="18.75" customHeight="1">
      <c r="A131" s="78"/>
      <c r="B131" s="78"/>
      <c r="C131" s="78"/>
      <c r="D131" s="78"/>
      <c r="E131" s="78"/>
      <c r="F131" s="78"/>
      <c r="G131" s="78"/>
      <c r="H131" s="78"/>
      <c r="I131" s="78"/>
      <c r="J131" s="78"/>
    </row>
    <row r="132" spans="1:10" ht="18.75" customHeight="1">
      <c r="A132" s="78"/>
      <c r="B132" s="78"/>
      <c r="C132" s="78"/>
      <c r="D132" s="78"/>
      <c r="E132" s="78"/>
      <c r="F132" s="78"/>
      <c r="G132" s="78"/>
      <c r="H132" s="78"/>
      <c r="I132" s="78"/>
      <c r="J132" s="78"/>
    </row>
    <row r="133" spans="1:10" ht="18.75" customHeight="1">
      <c r="A133" s="78"/>
      <c r="B133" s="78"/>
      <c r="C133" s="78"/>
      <c r="D133" s="78"/>
      <c r="E133" s="78"/>
      <c r="F133" s="78"/>
      <c r="G133" s="78"/>
      <c r="H133" s="78"/>
      <c r="I133" s="78"/>
      <c r="J133" s="78"/>
    </row>
    <row r="134" spans="1:10" ht="18.75" customHeight="1">
      <c r="A134" s="78"/>
      <c r="B134" s="78"/>
      <c r="C134" s="78"/>
      <c r="D134" s="78"/>
      <c r="E134" s="78"/>
      <c r="F134" s="78"/>
      <c r="G134" s="78"/>
      <c r="H134" s="78"/>
      <c r="I134" s="78"/>
      <c r="J134" s="78"/>
    </row>
    <row r="135" spans="1:10" ht="18.75" customHeight="1">
      <c r="A135" s="78"/>
      <c r="B135" s="78"/>
      <c r="C135" s="78"/>
      <c r="D135" s="78"/>
      <c r="E135" s="78"/>
      <c r="F135" s="78"/>
      <c r="G135" s="78"/>
      <c r="H135" s="78"/>
      <c r="I135" s="78"/>
      <c r="J135" s="78"/>
    </row>
    <row r="136" spans="1:10" ht="18.75" customHeight="1">
      <c r="A136" s="78"/>
      <c r="B136" s="78"/>
      <c r="C136" s="78"/>
      <c r="D136" s="78"/>
      <c r="E136" s="78"/>
      <c r="F136" s="78"/>
      <c r="G136" s="78"/>
      <c r="H136" s="78"/>
      <c r="I136" s="78"/>
      <c r="J136" s="78"/>
    </row>
    <row r="137" spans="1:10" ht="18.75" customHeight="1">
      <c r="A137" s="78"/>
      <c r="B137" s="78"/>
      <c r="C137" s="78"/>
      <c r="D137" s="78"/>
      <c r="E137" s="78"/>
      <c r="F137" s="78"/>
      <c r="G137" s="78"/>
      <c r="H137" s="78"/>
      <c r="I137" s="78"/>
      <c r="J137" s="78"/>
    </row>
    <row r="138" spans="1:10" ht="18.75" customHeight="1">
      <c r="A138" s="78"/>
      <c r="B138" s="78"/>
      <c r="C138" s="78"/>
      <c r="D138" s="78"/>
      <c r="E138" s="78"/>
      <c r="F138" s="78"/>
      <c r="G138" s="78"/>
      <c r="H138" s="78"/>
      <c r="I138" s="78"/>
      <c r="J138" s="78"/>
    </row>
    <row r="139" spans="1:10" ht="18.75" customHeight="1">
      <c r="A139" s="78"/>
      <c r="B139" s="78"/>
      <c r="C139" s="78"/>
      <c r="D139" s="78"/>
      <c r="E139" s="78"/>
      <c r="F139" s="78"/>
      <c r="G139" s="78"/>
      <c r="H139" s="78"/>
      <c r="I139" s="78"/>
      <c r="J139" s="78"/>
    </row>
    <row r="140" spans="1:10" ht="18.75" customHeight="1">
      <c r="A140" s="78"/>
      <c r="B140" s="78"/>
      <c r="C140" s="78"/>
      <c r="D140" s="78"/>
      <c r="E140" s="78"/>
      <c r="F140" s="78"/>
      <c r="G140" s="78"/>
      <c r="H140" s="78"/>
      <c r="I140" s="78"/>
      <c r="J140" s="78"/>
    </row>
    <row r="141" spans="1:10" ht="18.75" customHeight="1">
      <c r="A141" s="78"/>
      <c r="B141" s="78"/>
      <c r="C141" s="78"/>
      <c r="D141" s="78"/>
      <c r="E141" s="78"/>
      <c r="F141" s="78"/>
      <c r="G141" s="78"/>
      <c r="H141" s="78"/>
      <c r="I141" s="78"/>
      <c r="J141" s="78"/>
    </row>
    <row r="142" spans="1:10" ht="18.75" customHeight="1">
      <c r="A142" s="78"/>
      <c r="B142" s="78"/>
      <c r="C142" s="78"/>
      <c r="D142" s="78"/>
      <c r="E142" s="78"/>
      <c r="F142" s="78"/>
      <c r="G142" s="78"/>
      <c r="H142" s="78"/>
      <c r="I142" s="78"/>
      <c r="J142" s="78"/>
    </row>
    <row r="143" spans="1:10" ht="14.25">
      <c r="A143" s="78"/>
      <c r="B143" s="78"/>
      <c r="C143" s="78"/>
      <c r="D143" s="78"/>
      <c r="E143" s="78"/>
      <c r="F143" s="78"/>
      <c r="G143" s="78"/>
      <c r="H143" s="78"/>
      <c r="I143" s="78"/>
      <c r="J143" s="78"/>
    </row>
    <row r="144" spans="1:10" ht="7.5" customHeight="1">
      <c r="A144" s="87"/>
      <c r="B144" s="87"/>
      <c r="C144" s="87"/>
      <c r="D144" s="87"/>
      <c r="E144" s="87"/>
      <c r="F144" s="87"/>
      <c r="G144" s="87"/>
      <c r="H144" s="87"/>
      <c r="I144" s="87"/>
      <c r="J144" s="87"/>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K26"/>
  <sheetViews>
    <sheetView showZeros="0" view="pageBreakPreview" topLeftCell="A16" zoomScaleNormal="100" zoomScaleSheetLayoutView="100" workbookViewId="0">
      <selection activeCell="E10" sqref="E10:J10"/>
    </sheetView>
  </sheetViews>
  <sheetFormatPr defaultColWidth="11.375" defaultRowHeight="22.5" customHeight="1"/>
  <cols>
    <col min="1" max="3" width="2.75" style="60" customWidth="1"/>
    <col min="4" max="4" width="22.25" style="60" customWidth="1"/>
    <col min="5" max="5" width="21.625" style="60" customWidth="1"/>
    <col min="6" max="7" width="7.75" style="60" customWidth="1"/>
    <col min="8" max="8" width="33.375" style="60" customWidth="1"/>
    <col min="9" max="9" width="24.5" style="60" customWidth="1"/>
    <col min="10" max="10" width="5.5" style="60" customWidth="1"/>
    <col min="11" max="11" width="4.125" style="60" customWidth="1"/>
    <col min="12" max="16384" width="11.375" style="60"/>
  </cols>
  <sheetData>
    <row r="1" spans="1:11" ht="18.75" customHeight="1">
      <c r="A1" s="60" t="s">
        <v>306</v>
      </c>
      <c r="J1" s="122" t="s">
        <v>307</v>
      </c>
    </row>
    <row r="2" spans="1:11" ht="18.75" customHeight="1">
      <c r="A2" s="214" t="s">
        <v>308</v>
      </c>
      <c r="B2" s="214"/>
      <c r="C2" s="214"/>
      <c r="D2" s="214"/>
      <c r="E2" s="214"/>
      <c r="F2" s="214"/>
      <c r="G2" s="214"/>
      <c r="H2" s="214"/>
      <c r="I2" s="214"/>
      <c r="J2" s="214"/>
    </row>
    <row r="3" spans="1:11" ht="7.5" customHeight="1">
      <c r="A3" s="118"/>
      <c r="B3" s="118"/>
      <c r="C3" s="118"/>
      <c r="D3" s="118"/>
      <c r="E3" s="118"/>
      <c r="F3" s="118"/>
      <c r="G3" s="118"/>
      <c r="H3" s="118"/>
      <c r="I3" s="118"/>
      <c r="J3" s="118"/>
    </row>
    <row r="4" spans="1:11" ht="18.75" customHeight="1">
      <c r="A4" s="60" t="s">
        <v>2</v>
      </c>
      <c r="B4" s="60" t="s">
        <v>309</v>
      </c>
      <c r="C4" s="78"/>
      <c r="D4" s="78"/>
      <c r="E4" s="78"/>
      <c r="F4" s="78"/>
      <c r="G4" s="78"/>
      <c r="H4" s="78"/>
      <c r="I4" s="78"/>
      <c r="J4" s="78"/>
    </row>
    <row r="5" spans="1:11" ht="18.75" customHeight="1">
      <c r="B5" s="168" t="s">
        <v>310</v>
      </c>
      <c r="C5" s="169"/>
      <c r="D5" s="170"/>
      <c r="E5" s="169" t="s">
        <v>311</v>
      </c>
      <c r="F5" s="169"/>
      <c r="G5" s="169"/>
      <c r="H5" s="169"/>
      <c r="I5" s="169"/>
      <c r="J5" s="170"/>
    </row>
    <row r="6" spans="1:11" ht="18.75" customHeight="1">
      <c r="B6" s="62" t="s">
        <v>312</v>
      </c>
      <c r="C6" s="78"/>
      <c r="D6" s="79"/>
      <c r="I6" s="78"/>
      <c r="J6" s="79"/>
    </row>
    <row r="7" spans="1:11" ht="207" customHeight="1">
      <c r="B7" s="80"/>
      <c r="C7" s="290" t="s">
        <v>313</v>
      </c>
      <c r="D7" s="291"/>
      <c r="E7" s="298" t="s">
        <v>314</v>
      </c>
      <c r="F7" s="296"/>
      <c r="G7" s="296"/>
      <c r="H7" s="296"/>
      <c r="I7" s="296"/>
      <c r="J7" s="297"/>
      <c r="K7" s="60" t="str">
        <f>IF(E7="","入力してください","")</f>
        <v/>
      </c>
    </row>
    <row r="8" spans="1:11" ht="207" customHeight="1">
      <c r="B8" s="80"/>
      <c r="C8" s="300" t="s">
        <v>315</v>
      </c>
      <c r="D8" s="301"/>
      <c r="E8" s="298" t="s">
        <v>316</v>
      </c>
      <c r="F8" s="296"/>
      <c r="G8" s="296"/>
      <c r="H8" s="296"/>
      <c r="I8" s="296"/>
      <c r="J8" s="297"/>
      <c r="K8" s="60" t="str">
        <f t="shared" ref="K8:K16" si="0">IF(E8="","入力してください","")</f>
        <v/>
      </c>
    </row>
    <row r="9" spans="1:11" ht="172.5" customHeight="1">
      <c r="B9" s="80"/>
      <c r="C9" s="290" t="s">
        <v>317</v>
      </c>
      <c r="D9" s="291"/>
      <c r="E9" s="298" t="s">
        <v>318</v>
      </c>
      <c r="F9" s="296"/>
      <c r="G9" s="296"/>
      <c r="H9" s="296"/>
      <c r="I9" s="296"/>
      <c r="J9" s="297"/>
      <c r="K9" s="60" t="str">
        <f t="shared" si="0"/>
        <v/>
      </c>
    </row>
    <row r="10" spans="1:11" ht="172.5" customHeight="1">
      <c r="B10" s="80"/>
      <c r="C10" s="290" t="s">
        <v>319</v>
      </c>
      <c r="D10" s="291"/>
      <c r="E10" s="299" t="s">
        <v>320</v>
      </c>
      <c r="F10" s="292"/>
      <c r="G10" s="292"/>
      <c r="H10" s="292"/>
      <c r="I10" s="292"/>
      <c r="J10" s="293"/>
      <c r="K10" s="60" t="str">
        <f t="shared" si="0"/>
        <v/>
      </c>
    </row>
    <row r="11" spans="1:11" ht="172.5" customHeight="1">
      <c r="B11" s="80"/>
      <c r="C11" s="290" t="s">
        <v>321</v>
      </c>
      <c r="D11" s="291"/>
      <c r="E11" s="299" t="s">
        <v>322</v>
      </c>
      <c r="F11" s="292"/>
      <c r="G11" s="292"/>
      <c r="H11" s="292"/>
      <c r="I11" s="292"/>
      <c r="J11" s="293"/>
      <c r="K11" s="60" t="str">
        <f t="shared" si="0"/>
        <v/>
      </c>
    </row>
    <row r="12" spans="1:11" ht="18.75" customHeight="1">
      <c r="B12" s="81" t="s">
        <v>323</v>
      </c>
      <c r="C12" s="82"/>
      <c r="D12" s="83"/>
      <c r="E12" s="84"/>
      <c r="F12" s="84"/>
      <c r="G12" s="84"/>
      <c r="H12" s="84"/>
      <c r="I12" s="84"/>
      <c r="J12" s="85"/>
    </row>
    <row r="13" spans="1:11" ht="244.15" customHeight="1">
      <c r="B13" s="80"/>
      <c r="C13" s="290" t="s">
        <v>324</v>
      </c>
      <c r="D13" s="291"/>
      <c r="E13" s="292" t="s">
        <v>325</v>
      </c>
      <c r="F13" s="292"/>
      <c r="G13" s="292"/>
      <c r="H13" s="292"/>
      <c r="I13" s="292"/>
      <c r="J13" s="293"/>
      <c r="K13" s="60" t="str">
        <f t="shared" si="0"/>
        <v/>
      </c>
    </row>
    <row r="14" spans="1:11" ht="255" customHeight="1">
      <c r="B14" s="80"/>
      <c r="C14" s="290" t="s">
        <v>326</v>
      </c>
      <c r="D14" s="291"/>
      <c r="E14" s="292" t="s">
        <v>327</v>
      </c>
      <c r="F14" s="292"/>
      <c r="G14" s="292"/>
      <c r="H14" s="292"/>
      <c r="I14" s="292"/>
      <c r="J14" s="293"/>
      <c r="K14" s="60" t="str">
        <f t="shared" si="0"/>
        <v/>
      </c>
    </row>
    <row r="15" spans="1:11" ht="243" customHeight="1">
      <c r="B15" s="294" t="s">
        <v>328</v>
      </c>
      <c r="C15" s="295"/>
      <c r="D15" s="291"/>
      <c r="E15" s="296" t="s">
        <v>329</v>
      </c>
      <c r="F15" s="296"/>
      <c r="G15" s="296"/>
      <c r="H15" s="296"/>
      <c r="I15" s="296"/>
      <c r="J15" s="297"/>
      <c r="K15" s="60" t="str">
        <f t="shared" si="0"/>
        <v/>
      </c>
    </row>
    <row r="16" spans="1:11" ht="243" customHeight="1">
      <c r="B16" s="284" t="s">
        <v>330</v>
      </c>
      <c r="C16" s="285"/>
      <c r="D16" s="286"/>
      <c r="E16" s="269" t="s">
        <v>331</v>
      </c>
      <c r="F16" s="269"/>
      <c r="G16" s="269"/>
      <c r="H16" s="269"/>
      <c r="I16" s="269"/>
      <c r="J16" s="270"/>
      <c r="K16" s="60" t="str">
        <f t="shared" si="0"/>
        <v/>
      </c>
    </row>
    <row r="17" spans="1:11" ht="7.5" customHeight="1">
      <c r="B17" s="78"/>
      <c r="C17" s="78"/>
      <c r="D17" s="78"/>
      <c r="E17" s="78"/>
      <c r="F17" s="78"/>
      <c r="G17" s="78"/>
      <c r="H17" s="78"/>
      <c r="I17" s="78"/>
      <c r="J17" s="78"/>
    </row>
    <row r="18" spans="1:11" ht="18.75" customHeight="1">
      <c r="A18" s="60" t="s">
        <v>332</v>
      </c>
      <c r="C18" s="78"/>
      <c r="D18" s="78"/>
      <c r="E18" s="78"/>
      <c r="F18" s="117"/>
      <c r="G18" s="287" t="s">
        <v>333</v>
      </c>
      <c r="H18" s="288"/>
      <c r="I18" s="288"/>
      <c r="J18" s="289"/>
      <c r="K18" s="60" t="str">
        <f>IF(G18="","公表は必須事項です","")</f>
        <v/>
      </c>
    </row>
    <row r="19" spans="1:11" ht="22.5" customHeight="1">
      <c r="B19" s="78"/>
      <c r="C19" s="78"/>
      <c r="D19" s="78"/>
      <c r="E19" s="78"/>
      <c r="F19" s="78"/>
      <c r="G19" s="78"/>
      <c r="H19" s="78"/>
      <c r="I19" s="78"/>
      <c r="J19" s="78"/>
    </row>
    <row r="20" spans="1:11" ht="22.5" customHeight="1">
      <c r="B20" s="78"/>
      <c r="C20" s="78"/>
      <c r="D20" s="78"/>
      <c r="E20" s="78"/>
      <c r="F20" s="78"/>
      <c r="G20" s="78"/>
      <c r="H20" s="78"/>
      <c r="I20" s="78"/>
      <c r="J20" s="78"/>
    </row>
    <row r="21" spans="1:11" ht="22.5" customHeight="1">
      <c r="B21" s="78"/>
      <c r="C21" s="78"/>
      <c r="D21" s="78"/>
      <c r="E21" s="78"/>
      <c r="F21" s="78"/>
      <c r="G21" s="78"/>
      <c r="H21" s="78"/>
      <c r="I21" s="78"/>
      <c r="J21" s="78"/>
    </row>
    <row r="22" spans="1:11" ht="22.5" customHeight="1">
      <c r="B22" s="78"/>
      <c r="C22" s="78"/>
      <c r="D22" s="78"/>
      <c r="E22" s="78"/>
      <c r="F22" s="78"/>
      <c r="G22" s="78"/>
      <c r="H22" s="78"/>
      <c r="I22" s="78"/>
      <c r="J22" s="78"/>
    </row>
    <row r="23" spans="1:11" ht="22.5" customHeight="1">
      <c r="B23" s="78"/>
      <c r="C23" s="78"/>
      <c r="D23" s="78"/>
      <c r="E23" s="78"/>
      <c r="F23" s="78"/>
      <c r="G23" s="78"/>
      <c r="H23" s="78"/>
      <c r="I23" s="78"/>
      <c r="J23" s="78"/>
    </row>
    <row r="24" spans="1:11" ht="22.5" customHeight="1">
      <c r="B24" s="64"/>
      <c r="C24" s="64"/>
      <c r="D24" s="64"/>
      <c r="E24" s="64"/>
      <c r="F24" s="64"/>
      <c r="G24" s="64"/>
      <c r="H24" s="64"/>
      <c r="I24" s="64"/>
      <c r="J24" s="64"/>
    </row>
    <row r="25" spans="1:11" ht="22.5" customHeight="1">
      <c r="B25" s="64"/>
      <c r="C25" s="64"/>
      <c r="D25" s="64"/>
      <c r="E25" s="64"/>
      <c r="F25" s="64"/>
      <c r="G25" s="64"/>
      <c r="H25" s="64"/>
      <c r="I25" s="64"/>
      <c r="J25" s="64"/>
    </row>
    <row r="26" spans="1:11" ht="22.5" customHeight="1">
      <c r="B26" s="64"/>
      <c r="C26" s="64"/>
      <c r="D26" s="64"/>
      <c r="E26" s="64"/>
      <c r="F26" s="64"/>
      <c r="G26" s="64"/>
      <c r="H26" s="64"/>
      <c r="I26" s="64"/>
      <c r="J26" s="64"/>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00000000-0004-0000-1000-000000000000}"/>
  </hyperlinks>
  <printOptions horizontalCentered="1"/>
  <pageMargins left="0.78740157480314965" right="0.78740157480314965" top="0.78740157480314965" bottom="0.78740157480314965" header="0.31496062992125984" footer="0.31496062992125984"/>
  <pageSetup paperSize="9" scale="66" fitToHeight="0"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124"/>
  <sheetViews>
    <sheetView showZeros="0" tabSelected="1" view="pageBreakPreview" topLeftCell="A125" zoomScaleNormal="100" zoomScaleSheetLayoutView="100" workbookViewId="0">
      <selection activeCell="B125" sqref="B125"/>
    </sheetView>
  </sheetViews>
  <sheetFormatPr defaultColWidth="11.375" defaultRowHeight="18.75" customHeight="1"/>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c r="E1" s="302" t="s">
        <v>334</v>
      </c>
      <c r="F1" s="302"/>
    </row>
    <row r="2" spans="1:6" ht="18.75" customHeight="1">
      <c r="A2" s="303" t="s">
        <v>335</v>
      </c>
      <c r="B2" s="303"/>
      <c r="C2" s="303"/>
      <c r="D2" s="303"/>
      <c r="E2" s="303"/>
      <c r="F2" s="303"/>
    </row>
    <row r="3" spans="1:6" ht="7.5" customHeight="1">
      <c r="A3" s="123"/>
      <c r="B3" s="123"/>
      <c r="C3" s="123"/>
      <c r="D3" s="123"/>
      <c r="E3" s="123"/>
      <c r="F3" s="123"/>
    </row>
    <row r="4" spans="1:6" ht="18.75" customHeight="1">
      <c r="A4" s="123" t="s">
        <v>2</v>
      </c>
      <c r="B4" s="2" t="s">
        <v>336</v>
      </c>
      <c r="C4" s="123"/>
      <c r="D4" s="123"/>
      <c r="E4" s="123"/>
      <c r="F4" s="123"/>
    </row>
    <row r="5" spans="1:6" ht="18.75" customHeight="1">
      <c r="A5" s="123"/>
      <c r="B5" s="304" t="s">
        <v>337</v>
      </c>
      <c r="C5" s="305"/>
      <c r="D5" s="305"/>
      <c r="E5" s="305"/>
      <c r="F5" s="306"/>
    </row>
    <row r="6" spans="1:6" ht="18.75" customHeight="1">
      <c r="A6" s="123"/>
      <c r="B6" s="307"/>
      <c r="C6" s="308"/>
      <c r="D6" s="308"/>
      <c r="E6" s="308"/>
      <c r="F6" s="309"/>
    </row>
    <row r="7" spans="1:6" ht="18.75" customHeight="1">
      <c r="A7" s="123"/>
      <c r="B7" s="307"/>
      <c r="C7" s="308"/>
      <c r="D7" s="308"/>
      <c r="E7" s="308"/>
      <c r="F7" s="309"/>
    </row>
    <row r="8" spans="1:6" ht="18.75" customHeight="1">
      <c r="A8" s="123"/>
      <c r="B8" s="307"/>
      <c r="C8" s="308"/>
      <c r="D8" s="308"/>
      <c r="E8" s="308"/>
      <c r="F8" s="309"/>
    </row>
    <row r="9" spans="1:6" ht="18.75" customHeight="1">
      <c r="A9" s="123"/>
      <c r="B9" s="307"/>
      <c r="C9" s="308"/>
      <c r="D9" s="308"/>
      <c r="E9" s="308"/>
      <c r="F9" s="309"/>
    </row>
    <row r="10" spans="1:6" ht="18.75" customHeight="1">
      <c r="A10" s="123"/>
      <c r="B10" s="307"/>
      <c r="C10" s="308"/>
      <c r="D10" s="308"/>
      <c r="E10" s="308"/>
      <c r="F10" s="309"/>
    </row>
    <row r="11" spans="1:6" ht="18.75" customHeight="1">
      <c r="A11" s="123"/>
      <c r="B11" s="307"/>
      <c r="C11" s="308"/>
      <c r="D11" s="308"/>
      <c r="E11" s="308"/>
      <c r="F11" s="309"/>
    </row>
    <row r="12" spans="1:6" ht="18.75" customHeight="1">
      <c r="A12" s="123"/>
      <c r="B12" s="307"/>
      <c r="C12" s="308"/>
      <c r="D12" s="308"/>
      <c r="E12" s="308"/>
      <c r="F12" s="309"/>
    </row>
    <row r="13" spans="1:6" ht="18.75" customHeight="1">
      <c r="A13" s="123"/>
      <c r="B13" s="307"/>
      <c r="C13" s="308"/>
      <c r="D13" s="308"/>
      <c r="E13" s="308"/>
      <c r="F13" s="309"/>
    </row>
    <row r="14" spans="1:6" ht="18.75" customHeight="1">
      <c r="A14" s="123"/>
      <c r="B14" s="307"/>
      <c r="C14" s="308"/>
      <c r="D14" s="308"/>
      <c r="E14" s="308"/>
      <c r="F14" s="309"/>
    </row>
    <row r="15" spans="1:6" ht="18.75" customHeight="1">
      <c r="A15" s="123"/>
      <c r="B15" s="307"/>
      <c r="C15" s="308"/>
      <c r="D15" s="308"/>
      <c r="E15" s="308"/>
      <c r="F15" s="309"/>
    </row>
    <row r="16" spans="1:6" ht="18.75" customHeight="1">
      <c r="A16" s="123"/>
      <c r="B16" s="307"/>
      <c r="C16" s="308"/>
      <c r="D16" s="308"/>
      <c r="E16" s="308"/>
      <c r="F16" s="309"/>
    </row>
    <row r="17" spans="1:6" ht="18.75" customHeight="1">
      <c r="A17" s="123"/>
      <c r="B17" s="307"/>
      <c r="C17" s="308"/>
      <c r="D17" s="308"/>
      <c r="E17" s="308"/>
      <c r="F17" s="309"/>
    </row>
    <row r="18" spans="1:6" ht="18.75" customHeight="1">
      <c r="A18" s="123"/>
      <c r="B18" s="307"/>
      <c r="C18" s="308"/>
      <c r="D18" s="308"/>
      <c r="E18" s="308"/>
      <c r="F18" s="309"/>
    </row>
    <row r="19" spans="1:6" ht="18.75" customHeight="1">
      <c r="A19" s="123"/>
      <c r="B19" s="307"/>
      <c r="C19" s="308"/>
      <c r="D19" s="308"/>
      <c r="E19" s="308"/>
      <c r="F19" s="309"/>
    </row>
    <row r="20" spans="1:6" ht="18.75" customHeight="1">
      <c r="A20" s="123"/>
      <c r="B20" s="307"/>
      <c r="C20" s="308"/>
      <c r="D20" s="308"/>
      <c r="E20" s="308"/>
      <c r="F20" s="309"/>
    </row>
    <row r="21" spans="1:6" ht="18.75" customHeight="1">
      <c r="A21" s="123"/>
      <c r="B21" s="307"/>
      <c r="C21" s="308"/>
      <c r="D21" s="308"/>
      <c r="E21" s="308"/>
      <c r="F21" s="309"/>
    </row>
    <row r="22" spans="1:6" ht="18.75" customHeight="1">
      <c r="A22" s="123"/>
      <c r="B22" s="307"/>
      <c r="C22" s="308"/>
      <c r="D22" s="308"/>
      <c r="E22" s="308"/>
      <c r="F22" s="309"/>
    </row>
    <row r="23" spans="1:6" ht="18.75" customHeight="1">
      <c r="A23" s="123"/>
      <c r="B23" s="307"/>
      <c r="C23" s="308"/>
      <c r="D23" s="308"/>
      <c r="E23" s="308"/>
      <c r="F23" s="309"/>
    </row>
    <row r="24" spans="1:6" ht="18.75" customHeight="1">
      <c r="A24" s="123"/>
      <c r="B24" s="307"/>
      <c r="C24" s="308"/>
      <c r="D24" s="308"/>
      <c r="E24" s="308"/>
      <c r="F24" s="309"/>
    </row>
    <row r="25" spans="1:6" ht="18.75" customHeight="1">
      <c r="A25" s="123"/>
      <c r="B25" s="307"/>
      <c r="C25" s="308"/>
      <c r="D25" s="308"/>
      <c r="E25" s="308"/>
      <c r="F25" s="309"/>
    </row>
    <row r="26" spans="1:6" ht="18.75" customHeight="1">
      <c r="A26" s="123"/>
      <c r="B26" s="307"/>
      <c r="C26" s="308"/>
      <c r="D26" s="308"/>
      <c r="E26" s="308"/>
      <c r="F26" s="309"/>
    </row>
    <row r="27" spans="1:6" ht="18.75" customHeight="1">
      <c r="A27" s="123"/>
      <c r="B27" s="307"/>
      <c r="C27" s="308"/>
      <c r="D27" s="308"/>
      <c r="E27" s="308"/>
      <c r="F27" s="309"/>
    </row>
    <row r="28" spans="1:6" ht="18.75" customHeight="1">
      <c r="A28" s="123"/>
      <c r="B28" s="307"/>
      <c r="C28" s="308"/>
      <c r="D28" s="308"/>
      <c r="E28" s="308"/>
      <c r="F28" s="309"/>
    </row>
    <row r="29" spans="1:6" ht="18.75" customHeight="1">
      <c r="A29" s="123"/>
      <c r="B29" s="307"/>
      <c r="C29" s="308"/>
      <c r="D29" s="308"/>
      <c r="E29" s="308"/>
      <c r="F29" s="309"/>
    </row>
    <row r="30" spans="1:6" ht="18.75" customHeight="1">
      <c r="A30" s="123"/>
      <c r="B30" s="307"/>
      <c r="C30" s="308"/>
      <c r="D30" s="308"/>
      <c r="E30" s="308"/>
      <c r="F30" s="309"/>
    </row>
    <row r="31" spans="1:6" ht="18.75" customHeight="1">
      <c r="A31" s="123"/>
      <c r="B31" s="307"/>
      <c r="C31" s="308"/>
      <c r="D31" s="308"/>
      <c r="E31" s="308"/>
      <c r="F31" s="309"/>
    </row>
    <row r="32" spans="1:6" ht="18.75" customHeight="1">
      <c r="A32" s="123"/>
      <c r="B32" s="307"/>
      <c r="C32" s="308"/>
      <c r="D32" s="308"/>
      <c r="E32" s="308"/>
      <c r="F32" s="309"/>
    </row>
    <row r="33" spans="1:6" ht="18.75" customHeight="1">
      <c r="A33" s="123"/>
      <c r="B33" s="307"/>
      <c r="C33" s="308"/>
      <c r="D33" s="308"/>
      <c r="E33" s="308"/>
      <c r="F33" s="309"/>
    </row>
    <row r="34" spans="1:6" ht="18.75" customHeight="1">
      <c r="A34" s="123"/>
      <c r="B34" s="307"/>
      <c r="C34" s="308"/>
      <c r="D34" s="308"/>
      <c r="E34" s="308"/>
      <c r="F34" s="309"/>
    </row>
    <row r="35" spans="1:6" ht="18.75" customHeight="1">
      <c r="A35" s="123"/>
      <c r="B35" s="307"/>
      <c r="C35" s="308"/>
      <c r="D35" s="308"/>
      <c r="E35" s="308"/>
      <c r="F35" s="309"/>
    </row>
    <row r="36" spans="1:6" ht="18.75" customHeight="1">
      <c r="A36" s="123"/>
      <c r="B36" s="307"/>
      <c r="C36" s="308"/>
      <c r="D36" s="308"/>
      <c r="E36" s="308"/>
      <c r="F36" s="309"/>
    </row>
    <row r="37" spans="1:6" ht="18.75" customHeight="1">
      <c r="A37" s="123"/>
      <c r="B37" s="307"/>
      <c r="C37" s="308"/>
      <c r="D37" s="308"/>
      <c r="E37" s="308"/>
      <c r="F37" s="309"/>
    </row>
    <row r="38" spans="1:6" ht="18.75" customHeight="1">
      <c r="A38" s="123"/>
      <c r="B38" s="307"/>
      <c r="C38" s="308"/>
      <c r="D38" s="308"/>
      <c r="E38" s="308"/>
      <c r="F38" s="309"/>
    </row>
    <row r="39" spans="1:6" ht="18.75" customHeight="1">
      <c r="A39" s="123"/>
      <c r="B39" s="307"/>
      <c r="C39" s="308"/>
      <c r="D39" s="308"/>
      <c r="E39" s="308"/>
      <c r="F39" s="309"/>
    </row>
    <row r="40" spans="1:6" ht="18.75" customHeight="1">
      <c r="A40" s="123"/>
      <c r="B40" s="307"/>
      <c r="C40" s="308"/>
      <c r="D40" s="308"/>
      <c r="E40" s="308"/>
      <c r="F40" s="309"/>
    </row>
    <row r="41" spans="1:6" ht="18.75" customHeight="1">
      <c r="A41" s="123"/>
      <c r="B41" s="307"/>
      <c r="C41" s="308"/>
      <c r="D41" s="308"/>
      <c r="E41" s="308"/>
      <c r="F41" s="309"/>
    </row>
    <row r="42" spans="1:6" ht="18.75" customHeight="1">
      <c r="A42" s="123"/>
      <c r="B42" s="310"/>
      <c r="C42" s="311"/>
      <c r="D42" s="311"/>
      <c r="E42" s="311"/>
      <c r="F42" s="312"/>
    </row>
    <row r="43" spans="1:6" ht="18.75" customHeight="1">
      <c r="A43" s="123" t="s">
        <v>5</v>
      </c>
      <c r="B43" s="2" t="s">
        <v>338</v>
      </c>
      <c r="C43" s="123"/>
      <c r="D43" s="123"/>
      <c r="E43" s="123"/>
      <c r="F43" s="123"/>
    </row>
    <row r="44" spans="1:6" ht="18.75" customHeight="1">
      <c r="A44" s="123"/>
      <c r="B44" s="304"/>
      <c r="C44" s="313"/>
      <c r="D44" s="313"/>
      <c r="E44" s="313"/>
      <c r="F44" s="314"/>
    </row>
    <row r="45" spans="1:6" ht="18.75" customHeight="1">
      <c r="A45" s="123"/>
      <c r="B45" s="315"/>
      <c r="C45" s="316"/>
      <c r="D45" s="316"/>
      <c r="E45" s="316"/>
      <c r="F45" s="317"/>
    </row>
    <row r="46" spans="1:6" ht="18.75" customHeight="1">
      <c r="A46" s="123"/>
      <c r="B46" s="315"/>
      <c r="C46" s="316"/>
      <c r="D46" s="316"/>
      <c r="E46" s="316"/>
      <c r="F46" s="317"/>
    </row>
    <row r="47" spans="1:6" ht="18.75" customHeight="1">
      <c r="A47" s="123"/>
      <c r="B47" s="315"/>
      <c r="C47" s="316"/>
      <c r="D47" s="316"/>
      <c r="E47" s="316"/>
      <c r="F47" s="317"/>
    </row>
    <row r="48" spans="1:6" ht="18.75" customHeight="1">
      <c r="A48" s="123"/>
      <c r="B48" s="315"/>
      <c r="C48" s="316"/>
      <c r="D48" s="316"/>
      <c r="E48" s="316"/>
      <c r="F48" s="317"/>
    </row>
    <row r="49" spans="1:6" ht="18.75" customHeight="1">
      <c r="A49" s="123"/>
      <c r="B49" s="315"/>
      <c r="C49" s="316"/>
      <c r="D49" s="316"/>
      <c r="E49" s="316"/>
      <c r="F49" s="317"/>
    </row>
    <row r="50" spans="1:6" ht="18.75" customHeight="1">
      <c r="A50" s="123"/>
      <c r="B50" s="315"/>
      <c r="C50" s="316"/>
      <c r="D50" s="316"/>
      <c r="E50" s="316"/>
      <c r="F50" s="317"/>
    </row>
    <row r="51" spans="1:6" ht="18.75" customHeight="1">
      <c r="A51" s="123"/>
      <c r="B51" s="315"/>
      <c r="C51" s="316"/>
      <c r="D51" s="316"/>
      <c r="E51" s="316"/>
      <c r="F51" s="317"/>
    </row>
    <row r="52" spans="1:6" ht="18.75" customHeight="1">
      <c r="A52" s="123"/>
      <c r="B52" s="315"/>
      <c r="C52" s="316"/>
      <c r="D52" s="316"/>
      <c r="E52" s="316"/>
      <c r="F52" s="317"/>
    </row>
    <row r="53" spans="1:6" ht="18.75" customHeight="1">
      <c r="A53" s="123"/>
      <c r="B53" s="315"/>
      <c r="C53" s="316"/>
      <c r="D53" s="316"/>
      <c r="E53" s="316"/>
      <c r="F53" s="317"/>
    </row>
    <row r="54" spans="1:6" ht="18.75" customHeight="1">
      <c r="A54" s="123"/>
      <c r="B54" s="315"/>
      <c r="C54" s="316"/>
      <c r="D54" s="316"/>
      <c r="E54" s="316"/>
      <c r="F54" s="317"/>
    </row>
    <row r="55" spans="1:6" ht="18.75" customHeight="1">
      <c r="A55" s="123"/>
      <c r="B55" s="315"/>
      <c r="C55" s="316"/>
      <c r="D55" s="316"/>
      <c r="E55" s="316"/>
      <c r="F55" s="317"/>
    </row>
    <row r="56" spans="1:6" ht="18.75" customHeight="1">
      <c r="A56" s="123"/>
      <c r="B56" s="315"/>
      <c r="C56" s="316"/>
      <c r="D56" s="316"/>
      <c r="E56" s="316"/>
      <c r="F56" s="317"/>
    </row>
    <row r="57" spans="1:6" ht="18.75" customHeight="1">
      <c r="A57" s="123"/>
      <c r="B57" s="315"/>
      <c r="C57" s="316"/>
      <c r="D57" s="316"/>
      <c r="E57" s="316"/>
      <c r="F57" s="317"/>
    </row>
    <row r="58" spans="1:6" ht="18.75" customHeight="1">
      <c r="A58" s="123"/>
      <c r="B58" s="315"/>
      <c r="C58" s="316"/>
      <c r="D58" s="316"/>
      <c r="E58" s="316"/>
      <c r="F58" s="317"/>
    </row>
    <row r="59" spans="1:6" ht="18.75" customHeight="1">
      <c r="A59" s="123"/>
      <c r="B59" s="315"/>
      <c r="C59" s="316"/>
      <c r="D59" s="316"/>
      <c r="E59" s="316"/>
      <c r="F59" s="317"/>
    </row>
    <row r="60" spans="1:6" ht="18.75" customHeight="1">
      <c r="A60" s="123"/>
      <c r="B60" s="315"/>
      <c r="C60" s="316"/>
      <c r="D60" s="316"/>
      <c r="E60" s="316"/>
      <c r="F60" s="317"/>
    </row>
    <row r="61" spans="1:6" ht="18.75" customHeight="1">
      <c r="A61" s="123"/>
      <c r="B61" s="315"/>
      <c r="C61" s="316"/>
      <c r="D61" s="316"/>
      <c r="E61" s="316"/>
      <c r="F61" s="317"/>
    </row>
    <row r="62" spans="1:6" ht="18.75" customHeight="1">
      <c r="A62" s="123"/>
      <c r="B62" s="315"/>
      <c r="C62" s="316"/>
      <c r="D62" s="316"/>
      <c r="E62" s="316"/>
      <c r="F62" s="317"/>
    </row>
    <row r="63" spans="1:6" ht="18.75" customHeight="1">
      <c r="A63" s="123"/>
      <c r="B63" s="315"/>
      <c r="C63" s="316"/>
      <c r="D63" s="316"/>
      <c r="E63" s="316"/>
      <c r="F63" s="317"/>
    </row>
    <row r="64" spans="1:6" ht="18.75" customHeight="1">
      <c r="A64" s="123"/>
      <c r="B64" s="315"/>
      <c r="C64" s="316"/>
      <c r="D64" s="316"/>
      <c r="E64" s="316"/>
      <c r="F64" s="317"/>
    </row>
    <row r="65" spans="1:6" ht="18.75" customHeight="1">
      <c r="A65" s="123"/>
      <c r="B65" s="315"/>
      <c r="C65" s="316"/>
      <c r="D65" s="316"/>
      <c r="E65" s="316"/>
      <c r="F65" s="317"/>
    </row>
    <row r="66" spans="1:6" ht="18.75" customHeight="1">
      <c r="A66" s="123"/>
      <c r="B66" s="315"/>
      <c r="C66" s="316"/>
      <c r="D66" s="316"/>
      <c r="E66" s="316"/>
      <c r="F66" s="317"/>
    </row>
    <row r="67" spans="1:6" ht="18.75" customHeight="1">
      <c r="A67" s="123"/>
      <c r="B67" s="315"/>
      <c r="C67" s="316"/>
      <c r="D67" s="316"/>
      <c r="E67" s="316"/>
      <c r="F67" s="317"/>
    </row>
    <row r="68" spans="1:6" ht="18.75" customHeight="1">
      <c r="A68" s="123"/>
      <c r="B68" s="315"/>
      <c r="C68" s="316"/>
      <c r="D68" s="316"/>
      <c r="E68" s="316"/>
      <c r="F68" s="317"/>
    </row>
    <row r="69" spans="1:6" ht="18.75" customHeight="1">
      <c r="A69" s="123"/>
      <c r="B69" s="315"/>
      <c r="C69" s="316"/>
      <c r="D69" s="316"/>
      <c r="E69" s="316"/>
      <c r="F69" s="317"/>
    </row>
    <row r="70" spans="1:6" ht="18.75" customHeight="1">
      <c r="A70" s="123"/>
      <c r="B70" s="315"/>
      <c r="C70" s="316"/>
      <c r="D70" s="316"/>
      <c r="E70" s="316"/>
      <c r="F70" s="317"/>
    </row>
    <row r="71" spans="1:6" ht="18.75" customHeight="1">
      <c r="A71" s="123"/>
      <c r="B71" s="315"/>
      <c r="C71" s="316"/>
      <c r="D71" s="316"/>
      <c r="E71" s="316"/>
      <c r="F71" s="317"/>
    </row>
    <row r="72" spans="1:6" ht="18.75" customHeight="1">
      <c r="A72" s="123"/>
      <c r="B72" s="315"/>
      <c r="C72" s="316"/>
      <c r="D72" s="316"/>
      <c r="E72" s="316"/>
      <c r="F72" s="317"/>
    </row>
    <row r="73" spans="1:6" ht="18.75" customHeight="1">
      <c r="A73" s="123"/>
      <c r="B73" s="315"/>
      <c r="C73" s="316"/>
      <c r="D73" s="316"/>
      <c r="E73" s="316"/>
      <c r="F73" s="317"/>
    </row>
    <row r="74" spans="1:6" ht="18.75" customHeight="1">
      <c r="A74" s="123"/>
      <c r="B74" s="315"/>
      <c r="C74" s="316"/>
      <c r="D74" s="316"/>
      <c r="E74" s="316"/>
      <c r="F74" s="317"/>
    </row>
    <row r="75" spans="1:6" ht="18.75" customHeight="1">
      <c r="A75" s="123"/>
      <c r="B75" s="315"/>
      <c r="C75" s="316"/>
      <c r="D75" s="316"/>
      <c r="E75" s="316"/>
      <c r="F75" s="317"/>
    </row>
    <row r="76" spans="1:6" ht="18.75" customHeight="1">
      <c r="A76" s="123"/>
      <c r="B76" s="315"/>
      <c r="C76" s="316"/>
      <c r="D76" s="316"/>
      <c r="E76" s="316"/>
      <c r="F76" s="317"/>
    </row>
    <row r="77" spans="1:6" ht="18.75" customHeight="1">
      <c r="A77" s="123"/>
      <c r="B77" s="315"/>
      <c r="C77" s="316"/>
      <c r="D77" s="316"/>
      <c r="E77" s="316"/>
      <c r="F77" s="317"/>
    </row>
    <row r="78" spans="1:6" ht="18.75" customHeight="1">
      <c r="A78" s="123"/>
      <c r="B78" s="315"/>
      <c r="C78" s="316"/>
      <c r="D78" s="316"/>
      <c r="E78" s="316"/>
      <c r="F78" s="317"/>
    </row>
    <row r="79" spans="1:6" ht="18.75" customHeight="1">
      <c r="A79" s="123"/>
      <c r="B79" s="315"/>
      <c r="C79" s="316"/>
      <c r="D79" s="316"/>
      <c r="E79" s="316"/>
      <c r="F79" s="317"/>
    </row>
    <row r="80" spans="1:6" ht="18.75" customHeight="1">
      <c r="A80" s="123"/>
      <c r="B80" s="315"/>
      <c r="C80" s="316"/>
      <c r="D80" s="316"/>
      <c r="E80" s="316"/>
      <c r="F80" s="317"/>
    </row>
    <row r="81" spans="1:6" ht="18.75" customHeight="1">
      <c r="A81" s="123"/>
      <c r="B81" s="315"/>
      <c r="C81" s="316"/>
      <c r="D81" s="316"/>
      <c r="E81" s="316"/>
      <c r="F81" s="317"/>
    </row>
    <row r="82" spans="1:6" ht="18.75" customHeight="1">
      <c r="A82" s="123"/>
      <c r="B82" s="315"/>
      <c r="C82" s="316"/>
      <c r="D82" s="316"/>
      <c r="E82" s="316"/>
      <c r="F82" s="317"/>
    </row>
    <row r="83" spans="1:6" ht="18.75" customHeight="1">
      <c r="A83" s="123"/>
      <c r="B83" s="318"/>
      <c r="C83" s="319"/>
      <c r="D83" s="319"/>
      <c r="E83" s="319"/>
      <c r="F83" s="320"/>
    </row>
    <row r="84" spans="1:6" ht="18.75" customHeight="1">
      <c r="A84" s="2" t="s">
        <v>285</v>
      </c>
      <c r="B84" s="2" t="s">
        <v>339</v>
      </c>
      <c r="C84" s="2"/>
      <c r="D84" s="2"/>
      <c r="E84" s="2"/>
      <c r="F84" s="2"/>
    </row>
    <row r="85" spans="1:6" ht="18.75" customHeight="1">
      <c r="A85" s="123"/>
      <c r="B85" s="304"/>
      <c r="C85" s="313"/>
      <c r="D85" s="313"/>
      <c r="E85" s="313"/>
      <c r="F85" s="314"/>
    </row>
    <row r="86" spans="1:6" ht="18.75" customHeight="1">
      <c r="A86" s="123"/>
      <c r="B86" s="315"/>
      <c r="C86" s="316"/>
      <c r="D86" s="316"/>
      <c r="E86" s="316"/>
      <c r="F86" s="317"/>
    </row>
    <row r="87" spans="1:6" ht="18.75" customHeight="1">
      <c r="A87" s="123"/>
      <c r="B87" s="315"/>
      <c r="C87" s="316"/>
      <c r="D87" s="316"/>
      <c r="E87" s="316"/>
      <c r="F87" s="317"/>
    </row>
    <row r="88" spans="1:6" ht="18.75" customHeight="1">
      <c r="A88" s="123"/>
      <c r="B88" s="315"/>
      <c r="C88" s="316"/>
      <c r="D88" s="316"/>
      <c r="E88" s="316"/>
      <c r="F88" s="317"/>
    </row>
    <row r="89" spans="1:6" ht="18.75" customHeight="1">
      <c r="A89" s="123"/>
      <c r="B89" s="315"/>
      <c r="C89" s="316"/>
      <c r="D89" s="316"/>
      <c r="E89" s="316"/>
      <c r="F89" s="317"/>
    </row>
    <row r="90" spans="1:6" ht="18.75" customHeight="1">
      <c r="A90" s="123"/>
      <c r="B90" s="315"/>
      <c r="C90" s="316"/>
      <c r="D90" s="316"/>
      <c r="E90" s="316"/>
      <c r="F90" s="317"/>
    </row>
    <row r="91" spans="1:6" ht="18.75" customHeight="1">
      <c r="A91" s="123"/>
      <c r="B91" s="315"/>
      <c r="C91" s="316"/>
      <c r="D91" s="316"/>
      <c r="E91" s="316"/>
      <c r="F91" s="317"/>
    </row>
    <row r="92" spans="1:6" ht="18.75" customHeight="1">
      <c r="A92" s="123"/>
      <c r="B92" s="315"/>
      <c r="C92" s="316"/>
      <c r="D92" s="316"/>
      <c r="E92" s="316"/>
      <c r="F92" s="317"/>
    </row>
    <row r="93" spans="1:6" ht="18.75" customHeight="1">
      <c r="A93" s="123"/>
      <c r="B93" s="315"/>
      <c r="C93" s="316"/>
      <c r="D93" s="316"/>
      <c r="E93" s="316"/>
      <c r="F93" s="317"/>
    </row>
    <row r="94" spans="1:6" ht="18.75" customHeight="1">
      <c r="A94" s="123"/>
      <c r="B94" s="315"/>
      <c r="C94" s="316"/>
      <c r="D94" s="316"/>
      <c r="E94" s="316"/>
      <c r="F94" s="317"/>
    </row>
    <row r="95" spans="1:6" ht="18.75" customHeight="1">
      <c r="A95" s="123"/>
      <c r="B95" s="315"/>
      <c r="C95" s="316"/>
      <c r="D95" s="316"/>
      <c r="E95" s="316"/>
      <c r="F95" s="317"/>
    </row>
    <row r="96" spans="1:6" ht="18.75" customHeight="1">
      <c r="A96" s="123"/>
      <c r="B96" s="315"/>
      <c r="C96" s="316"/>
      <c r="D96" s="316"/>
      <c r="E96" s="316"/>
      <c r="F96" s="317"/>
    </row>
    <row r="97" spans="1:6" ht="18.75" customHeight="1">
      <c r="A97" s="123"/>
      <c r="B97" s="315"/>
      <c r="C97" s="316"/>
      <c r="D97" s="316"/>
      <c r="E97" s="316"/>
      <c r="F97" s="317"/>
    </row>
    <row r="98" spans="1:6" ht="18.75" customHeight="1">
      <c r="A98" s="123"/>
      <c r="B98" s="315"/>
      <c r="C98" s="316"/>
      <c r="D98" s="316"/>
      <c r="E98" s="316"/>
      <c r="F98" s="317"/>
    </row>
    <row r="99" spans="1:6" ht="18.75" customHeight="1">
      <c r="A99" s="123"/>
      <c r="B99" s="315"/>
      <c r="C99" s="316"/>
      <c r="D99" s="316"/>
      <c r="E99" s="316"/>
      <c r="F99" s="317"/>
    </row>
    <row r="100" spans="1:6" ht="18.75" customHeight="1">
      <c r="A100" s="123"/>
      <c r="B100" s="315"/>
      <c r="C100" s="316"/>
      <c r="D100" s="316"/>
      <c r="E100" s="316"/>
      <c r="F100" s="317"/>
    </row>
    <row r="101" spans="1:6" ht="18.75" customHeight="1">
      <c r="A101" s="123"/>
      <c r="B101" s="315"/>
      <c r="C101" s="316"/>
      <c r="D101" s="316"/>
      <c r="E101" s="316"/>
      <c r="F101" s="317"/>
    </row>
    <row r="102" spans="1:6" ht="18.75" customHeight="1">
      <c r="A102" s="123"/>
      <c r="B102" s="315"/>
      <c r="C102" s="316"/>
      <c r="D102" s="316"/>
      <c r="E102" s="316"/>
      <c r="F102" s="317"/>
    </row>
    <row r="103" spans="1:6" ht="18.75" customHeight="1">
      <c r="A103" s="123"/>
      <c r="B103" s="315"/>
      <c r="C103" s="316"/>
      <c r="D103" s="316"/>
      <c r="E103" s="316"/>
      <c r="F103" s="317"/>
    </row>
    <row r="104" spans="1:6" ht="18.75" customHeight="1">
      <c r="A104" s="123"/>
      <c r="B104" s="315"/>
      <c r="C104" s="316"/>
      <c r="D104" s="316"/>
      <c r="E104" s="316"/>
      <c r="F104" s="317"/>
    </row>
    <row r="105" spans="1:6" ht="18.75" customHeight="1">
      <c r="A105" s="123"/>
      <c r="B105" s="315"/>
      <c r="C105" s="316"/>
      <c r="D105" s="316"/>
      <c r="E105" s="316"/>
      <c r="F105" s="317"/>
    </row>
    <row r="106" spans="1:6" ht="18.75" customHeight="1">
      <c r="A106" s="123"/>
      <c r="B106" s="315"/>
      <c r="C106" s="316"/>
      <c r="D106" s="316"/>
      <c r="E106" s="316"/>
      <c r="F106" s="317"/>
    </row>
    <row r="107" spans="1:6" ht="18.75" customHeight="1">
      <c r="A107" s="123"/>
      <c r="B107" s="315"/>
      <c r="C107" s="316"/>
      <c r="D107" s="316"/>
      <c r="E107" s="316"/>
      <c r="F107" s="317"/>
    </row>
    <row r="108" spans="1:6" ht="18.75" customHeight="1">
      <c r="A108" s="123"/>
      <c r="B108" s="315"/>
      <c r="C108" s="316"/>
      <c r="D108" s="316"/>
      <c r="E108" s="316"/>
      <c r="F108" s="317"/>
    </row>
    <row r="109" spans="1:6" ht="18.75" customHeight="1">
      <c r="A109" s="123"/>
      <c r="B109" s="315"/>
      <c r="C109" s="316"/>
      <c r="D109" s="316"/>
      <c r="E109" s="316"/>
      <c r="F109" s="317"/>
    </row>
    <row r="110" spans="1:6" ht="18.75" customHeight="1">
      <c r="A110" s="123"/>
      <c r="B110" s="315"/>
      <c r="C110" s="316"/>
      <c r="D110" s="316"/>
      <c r="E110" s="316"/>
      <c r="F110" s="317"/>
    </row>
    <row r="111" spans="1:6" ht="18.75" customHeight="1">
      <c r="A111" s="123"/>
      <c r="B111" s="315"/>
      <c r="C111" s="316"/>
      <c r="D111" s="316"/>
      <c r="E111" s="316"/>
      <c r="F111" s="317"/>
    </row>
    <row r="112" spans="1:6" ht="18.75" customHeight="1">
      <c r="A112" s="123"/>
      <c r="B112" s="315"/>
      <c r="C112" s="316"/>
      <c r="D112" s="316"/>
      <c r="E112" s="316"/>
      <c r="F112" s="317"/>
    </row>
    <row r="113" spans="1:6" ht="18.75" customHeight="1">
      <c r="A113" s="123"/>
      <c r="B113" s="315"/>
      <c r="C113" s="316"/>
      <c r="D113" s="316"/>
      <c r="E113" s="316"/>
      <c r="F113" s="317"/>
    </row>
    <row r="114" spans="1:6" ht="18.75" customHeight="1">
      <c r="A114" s="123"/>
      <c r="B114" s="315"/>
      <c r="C114" s="316"/>
      <c r="D114" s="316"/>
      <c r="E114" s="316"/>
      <c r="F114" s="317"/>
    </row>
    <row r="115" spans="1:6" ht="18.75" customHeight="1">
      <c r="A115" s="123"/>
      <c r="B115" s="315"/>
      <c r="C115" s="316"/>
      <c r="D115" s="316"/>
      <c r="E115" s="316"/>
      <c r="F115" s="317"/>
    </row>
    <row r="116" spans="1:6" ht="18.75" customHeight="1">
      <c r="A116" s="123"/>
      <c r="B116" s="315"/>
      <c r="C116" s="316"/>
      <c r="D116" s="316"/>
      <c r="E116" s="316"/>
      <c r="F116" s="317"/>
    </row>
    <row r="117" spans="1:6" ht="18.75" customHeight="1">
      <c r="A117" s="123"/>
      <c r="B117" s="315"/>
      <c r="C117" s="316"/>
      <c r="D117" s="316"/>
      <c r="E117" s="316"/>
      <c r="F117" s="317"/>
    </row>
    <row r="118" spans="1:6" ht="18.75" customHeight="1">
      <c r="A118" s="123"/>
      <c r="B118" s="315"/>
      <c r="C118" s="316"/>
      <c r="D118" s="316"/>
      <c r="E118" s="316"/>
      <c r="F118" s="317"/>
    </row>
    <row r="119" spans="1:6" ht="18.75" customHeight="1">
      <c r="A119" s="123"/>
      <c r="B119" s="315"/>
      <c r="C119" s="316"/>
      <c r="D119" s="316"/>
      <c r="E119" s="316"/>
      <c r="F119" s="317"/>
    </row>
    <row r="120" spans="1:6" ht="18.75" customHeight="1">
      <c r="A120" s="123"/>
      <c r="B120" s="315"/>
      <c r="C120" s="316"/>
      <c r="D120" s="316"/>
      <c r="E120" s="316"/>
      <c r="F120" s="317"/>
    </row>
    <row r="121" spans="1:6" ht="18.75" customHeight="1">
      <c r="A121" s="123"/>
      <c r="B121" s="315"/>
      <c r="C121" s="316"/>
      <c r="D121" s="316"/>
      <c r="E121" s="316"/>
      <c r="F121" s="317"/>
    </row>
    <row r="122" spans="1:6" ht="18.75" customHeight="1">
      <c r="A122" s="123"/>
      <c r="B122" s="315"/>
      <c r="C122" s="316"/>
      <c r="D122" s="316"/>
      <c r="E122" s="316"/>
      <c r="F122" s="317"/>
    </row>
    <row r="123" spans="1:6" ht="18.75" customHeight="1">
      <c r="A123" s="123"/>
      <c r="B123" s="315"/>
      <c r="C123" s="316"/>
      <c r="D123" s="316"/>
      <c r="E123" s="316"/>
      <c r="F123" s="317"/>
    </row>
    <row r="124" spans="1:6" ht="18.75" customHeight="1">
      <c r="A124" s="123"/>
      <c r="B124" s="318"/>
      <c r="C124" s="319"/>
      <c r="D124" s="319"/>
      <c r="E124" s="319"/>
      <c r="F124" s="320"/>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松原　武秀</cp:lastModifiedBy>
  <cp:revision/>
  <dcterms:created xsi:type="dcterms:W3CDTF">2011-06-14T05:32:50Z</dcterms:created>
  <dcterms:modified xsi:type="dcterms:W3CDTF">2022-06-06T09:35:11Z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