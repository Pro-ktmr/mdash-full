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Jmsrv\学生課_jmbdc\教務係\kyomu1\11【通知、事務連絡（文部科学省、高専機構等）】\R3\42【機構本部】【文科省・公募案内】「数理・データサイエンス・ＡＩ教育プログラム」の認定等における公募について\02応募\"/>
    </mc:Choice>
  </mc:AlternateContent>
  <bookViews>
    <workbookView xWindow="0" yWindow="0" windowWidth="23040" windowHeight="10536" tabRatio="885" activeTab="1"/>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Titles" localSheetId="4">'様式５　自己点検・評価'!$5:$6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R24" i="40"/>
  <c r="Q24" i="40"/>
  <c r="Q23" i="40"/>
  <c r="R23" i="40" s="1"/>
  <c r="R22" i="40"/>
  <c r="Q22" i="40"/>
  <c r="Q21" i="40"/>
  <c r="R21" i="40" s="1"/>
  <c r="Q20" i="40"/>
  <c r="R20" i="40" s="1"/>
  <c r="Q19" i="40"/>
  <c r="R19" i="40" s="1"/>
  <c r="Q18" i="40"/>
  <c r="R18" i="40" s="1"/>
  <c r="Q17" i="40"/>
  <c r="R17" i="40" s="1"/>
  <c r="R16" i="40"/>
  <c r="Q16" i="40"/>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<sst xmlns="http://schemas.openxmlformats.org/spreadsheetml/2006/main" count="334" uniqueCount="213">
  <si>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</si>
  <si>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</si>
  <si>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</si>
  <si>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</si>
  <si>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</si>
  <si>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</si>
  <si>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</si>
  <si>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</si>
  <si>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</si>
  <si>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</si>
  <si>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</si>
  <si>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</si>
  <si>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</si>
  <si>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</si>
  <si>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</si>
  <si>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</si>
  <si>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</si>
  <si>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</si>
  <si>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</si>
  <si>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</si>
  <si>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</si>
  <si>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</si>
  <si>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</si>
  <si>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</si>
  <si>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</si>
  <si>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</si>
  <si>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</si>
  <si>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</si>
  <si>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</si>
  <si>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</si>
  <si>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</si>
  <si>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</si>
  <si>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</si>
  <si>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</si>
  <si>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</si>
  <si>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</si>
  <si>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</si>
  <si>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</si>
  <si>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</si>
  <si>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</si>
  <si>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</si>
  <si>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</si>
  <si>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</si>
  <si>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</si>
  <si>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</si>
  <si>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</si>
  <si>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</si>
  <si>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</si>
  <si>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</si>
  <si>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</si>
  <si>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</si>
  <si>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</si>
  <si>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</si>
  <si>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</si>
  <si>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</si>
  <si>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</si>
  <si>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</si>
  <si>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</si>
  <si>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</si>
  <si>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</si>
  <si>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</si>
  <si>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</si>
  <si>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</si>
  <si>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</si>
  <si>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</si>
  <si>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</si>
  <si>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</si>
  <si>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</si>
  <si>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</si>
  <si>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</si>
  <si>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</si>
  <si>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</si>
  <si>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</si>
  <si>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</si>
  <si>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</si>
  <si>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</si>
  <si>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</si>
  <si>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</si>
  <si>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</si>
  <si>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</si>
  <si>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</si>
  <si>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</si>
  <si>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</si>
  <si>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</si>
  <si>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</si>
  <si>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</si>
  <si>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</si>
  <si>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</si>
  <si>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</si>
  <si>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</si>
  <si>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</si>
  <si>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</si>
  <si>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</si>
  <si>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</si>
  <si>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</si>
  <si>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</si>
  <si>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</si>
  <si>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</si>
  <si>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</si>
  <si>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</si>
  <si>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</si>
  <si>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</si>
  <si>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</si>
  <si>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</si>
  <si>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</si>
  <si>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</si>
  <si>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</si>
  <si>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</si>
  <si>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</si>
  <si>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</si>
  <si>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</si>
  <si>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</si>
  <si>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</si>
  <si>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</si>
  <si>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</si>
  <si>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</si>
  <si>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</si>
  <si>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</si>
  <si>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</si>
  <si>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</si>
  <si>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</si>
  <si>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</si>
  <si>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</si>
  <si>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</si>
  <si>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</si>
  <si>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</si>
  <si>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</si>
  <si>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</si>
  <si>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</si>
  <si>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</si>
  <si>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</si>
  <si>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</si>
  <si>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</si>
  <si>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</si>
  <si>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</si>
  <si>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</si>
  <si>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</si>
  <si>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</si>
  <si>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</si>
  <si>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</si>
  <si>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</si>
  <si>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</si>
  <si>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</si>
  <si>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</si>
  <si>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</si>
  <si>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</si>
  <si>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</si>
  <si>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</si>
  <si>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長野工業高等専門学校</t>
    <phoneticPr fontId="1"/>
  </si>
  <si>
    <t>独立行政法人国立高等専門学校機構</t>
    <phoneticPr fontId="1"/>
  </si>
  <si>
    <t>高等専門学校</t>
  </si>
  <si>
    <t>長野県長野市徳間716</t>
    <phoneticPr fontId="1"/>
  </si>
  <si>
    <t>長野工業高等専門学校 数理・データサイエンス・AI教育プログラム</t>
    <phoneticPr fontId="1"/>
  </si>
  <si>
    <t>令和元</t>
    <rPh sb="0" eb="2">
      <t>レイワ</t>
    </rPh>
    <rPh sb="2" eb="3">
      <t>ガン</t>
    </rPh>
    <phoneticPr fontId="1"/>
  </si>
  <si>
    <t>無</t>
  </si>
  <si>
    <t>江﨑尚和</t>
    <phoneticPr fontId="1"/>
  </si>
  <si>
    <t>校長</t>
    <rPh sb="0" eb="2">
      <t>コウチョウ</t>
    </rPh>
    <phoneticPr fontId="1"/>
  </si>
  <si>
    <t>教務委員会</t>
    <rPh sb="0" eb="5">
      <t>キョウムイインカイ</t>
    </rPh>
    <phoneticPr fontId="1"/>
  </si>
  <si>
    <t>濱口直樹</t>
    <rPh sb="0" eb="2">
      <t>ハマグチ</t>
    </rPh>
    <rPh sb="2" eb="4">
      <t>ナオキ</t>
    </rPh>
    <phoneticPr fontId="1"/>
  </si>
  <si>
    <t>教務主事</t>
    <rPh sb="0" eb="4">
      <t>キョウムシュジ</t>
    </rPh>
    <phoneticPr fontId="1"/>
  </si>
  <si>
    <t>教育改善委員会</t>
    <rPh sb="0" eb="7">
      <t>キョウイクカイゼンイインカイ</t>
    </rPh>
    <phoneticPr fontId="1"/>
  </si>
  <si>
    <t>楡井雅巳</t>
    <rPh sb="0" eb="4">
      <t>ニレイマサミ</t>
    </rPh>
    <phoneticPr fontId="1"/>
  </si>
  <si>
    <t>教育改善委員長</t>
    <rPh sb="0" eb="7">
      <t>キョウイクカイゼンイインチョウ</t>
    </rPh>
    <phoneticPr fontId="1"/>
  </si>
  <si>
    <t>認定教育プログラム</t>
  </si>
  <si>
    <t>学生課教務係</t>
    <rPh sb="0" eb="3">
      <t>ガクセイカ</t>
    </rPh>
    <rPh sb="3" eb="6">
      <t>キョウムガカリ</t>
    </rPh>
    <phoneticPr fontId="1"/>
  </si>
  <si>
    <t>齊藤大起</t>
    <rPh sb="0" eb="4">
      <t>サイトウダイキ</t>
    </rPh>
    <phoneticPr fontId="1"/>
  </si>
  <si>
    <t>kyomu@nagano-nct.ac.jp</t>
    <phoneticPr fontId="1"/>
  </si>
  <si>
    <t>026-295-7017</t>
    <phoneticPr fontId="1"/>
  </si>
  <si>
    <t>学部・学科によって、修了要件は相違しない</t>
  </si>
  <si>
    <t>倫理学</t>
    <rPh sb="0" eb="3">
      <t>リンリガク</t>
    </rPh>
    <phoneticPr fontId="1"/>
  </si>
  <si>
    <t>○</t>
  </si>
  <si>
    <t>全学開講</t>
  </si>
  <si>
    <t>情報技術基礎</t>
    <rPh sb="0" eb="6">
      <t>ジョウホウギジュツキソ</t>
    </rPh>
    <phoneticPr fontId="1"/>
  </si>
  <si>
    <t>確率統計I</t>
    <rPh sb="0" eb="4">
      <t>カクリツトウケイ</t>
    </rPh>
    <phoneticPr fontId="1"/>
  </si>
  <si>
    <t>4-1統計および数理基礎</t>
  </si>
  <si>
    <t>・データの集計、表形式のデータ　「情報技術基礎」（７～９回目）</t>
    <rPh sb="5" eb="7">
      <t>シュウケイ</t>
    </rPh>
    <rPh sb="8" eb="11">
      <t>ヒョウケイシキ</t>
    </rPh>
    <rPh sb="17" eb="23">
      <t>ジョウホウギジュツキソ</t>
    </rPh>
    <rPh sb="28" eb="30">
      <t>カイメ</t>
    </rPh>
    <phoneticPr fontId="1"/>
  </si>
  <si>
    <t>・データ表現　「情報技術基礎」（７～９回目）、「確率統計I」（１１回目）</t>
    <rPh sb="4" eb="6">
      <t>ヒョウゲン</t>
    </rPh>
    <rPh sb="8" eb="14">
      <t>ジョウホウギジュツキソ</t>
    </rPh>
    <rPh sb="19" eb="21">
      <t>カイメ</t>
    </rPh>
    <rPh sb="24" eb="28">
      <t>カクリツトウケイ</t>
    </rPh>
    <rPh sb="33" eb="34">
      <t>カイ</t>
    </rPh>
    <rPh sb="34" eb="35">
      <t>メ</t>
    </rPh>
    <phoneticPr fontId="1"/>
  </si>
  <si>
    <t>・データの分布と代表値（平均値、中央値、最頻値）、代表値の性質の違い　「確率統計I」（７～8回目）
・データのばらつき（分散、標準偏差）　「確率統計I」（９回目）
・相関と因果（相関係数）　「確率統計I」（１１回目）</t>
    <rPh sb="5" eb="7">
      <t>ブンプ</t>
    </rPh>
    <rPh sb="8" eb="11">
      <t>ダイヒョウチ</t>
    </rPh>
    <rPh sb="12" eb="15">
      <t>ヘイキンチ</t>
    </rPh>
    <rPh sb="16" eb="19">
      <t>チュウオウチ</t>
    </rPh>
    <rPh sb="20" eb="23">
      <t>サイヒンチ</t>
    </rPh>
    <rPh sb="25" eb="28">
      <t>ダイヒョウチ</t>
    </rPh>
    <rPh sb="29" eb="31">
      <t>セイシツ</t>
    </rPh>
    <rPh sb="32" eb="33">
      <t>チガ</t>
    </rPh>
    <rPh sb="36" eb="40">
      <t>カクリツトウケイ</t>
    </rPh>
    <rPh sb="46" eb="48">
      <t>カイメ</t>
    </rPh>
    <rPh sb="60" eb="62">
      <t>ブンサン</t>
    </rPh>
    <rPh sb="63" eb="67">
      <t>ヒョウジュンヘンサ</t>
    </rPh>
    <rPh sb="70" eb="74">
      <t>カクリツトウケイ</t>
    </rPh>
    <rPh sb="78" eb="79">
      <t>カイ</t>
    </rPh>
    <rPh sb="79" eb="80">
      <t>メ</t>
    </rPh>
    <rPh sb="83" eb="85">
      <t>ソウカン</t>
    </rPh>
    <rPh sb="86" eb="88">
      <t>インガ</t>
    </rPh>
    <rPh sb="89" eb="93">
      <t>ソウカンケイスウ</t>
    </rPh>
    <rPh sb="96" eb="100">
      <t>カクリツトウケイ</t>
    </rPh>
    <rPh sb="105" eb="106">
      <t>カイ</t>
    </rPh>
    <rPh sb="106" eb="107">
      <t>メ</t>
    </rPh>
    <phoneticPr fontId="1"/>
  </si>
  <si>
    <t>・ロボット、AI　「倫理学」（１１回目）</t>
    <rPh sb="10" eb="13">
      <t>リンリガク</t>
    </rPh>
    <phoneticPr fontId="1"/>
  </si>
  <si>
    <t>・AI最新技術の活用例　「倫理学」（１０回目）</t>
    <rPh sb="3" eb="5">
      <t>サイシン</t>
    </rPh>
    <rPh sb="5" eb="7">
      <t>ギジュツ</t>
    </rPh>
    <rPh sb="8" eb="10">
      <t>カツヨウ</t>
    </rPh>
    <rPh sb="10" eb="11">
      <t>レイ</t>
    </rPh>
    <rPh sb="13" eb="16">
      <t>リンリガク</t>
    </rPh>
    <phoneticPr fontId="1"/>
  </si>
  <si>
    <t>・調査データ、データの作成　「情報技術基礎」（７～９回目）</t>
    <rPh sb="1" eb="3">
      <t>チョウサ</t>
    </rPh>
    <rPh sb="11" eb="13">
      <t>サクセイ</t>
    </rPh>
    <rPh sb="15" eb="21">
      <t>ジョウホウギジュツキソ</t>
    </rPh>
    <rPh sb="26" eb="28">
      <t>カイメ</t>
    </rPh>
    <phoneticPr fontId="1"/>
  </si>
  <si>
    <t>・データ解析、データ可視化　「情報技術基礎」（７～９回目）</t>
    <rPh sb="4" eb="6">
      <t>カイセキ</t>
    </rPh>
    <rPh sb="10" eb="13">
      <t>カシカ</t>
    </rPh>
    <rPh sb="15" eb="21">
      <t>ジョウホウギジュツキソ</t>
    </rPh>
    <rPh sb="26" eb="28">
      <t>カイメ</t>
    </rPh>
    <phoneticPr fontId="1"/>
  </si>
  <si>
    <t>・データ・AI利活用事例紹介　「倫理学」（１０～１１回目）</t>
    <rPh sb="7" eb="10">
      <t>リカツヨウ</t>
    </rPh>
    <rPh sb="10" eb="14">
      <t>ジレイショウカイ</t>
    </rPh>
    <phoneticPr fontId="1"/>
  </si>
  <si>
    <t>・個人情報保護　「情報技術基礎」（１４回目）
・AIサービスの責任論、データ・AI活用における負の事例紹介　「倫理学」（１０～１１回目）</t>
    <rPh sb="1" eb="3">
      <t>コジン</t>
    </rPh>
    <rPh sb="3" eb="5">
      <t>ジョウホウ</t>
    </rPh>
    <rPh sb="5" eb="7">
      <t>ホゴ</t>
    </rPh>
    <rPh sb="9" eb="11">
      <t>ジョウホウ</t>
    </rPh>
    <rPh sb="11" eb="13">
      <t>ギジュツ</t>
    </rPh>
    <rPh sb="13" eb="15">
      <t>キソ</t>
    </rPh>
    <rPh sb="19" eb="21">
      <t>カイメ</t>
    </rPh>
    <rPh sb="31" eb="33">
      <t>セキニン</t>
    </rPh>
    <rPh sb="33" eb="34">
      <t>ロン</t>
    </rPh>
    <rPh sb="41" eb="43">
      <t>カツヨウ</t>
    </rPh>
    <rPh sb="47" eb="48">
      <t>フ</t>
    </rPh>
    <rPh sb="49" eb="51">
      <t>ジレイ</t>
    </rPh>
    <rPh sb="51" eb="53">
      <t>ショウカイ</t>
    </rPh>
    <rPh sb="55" eb="58">
      <t>リンリガク</t>
    </rPh>
    <rPh sb="65" eb="67">
      <t>カイメ</t>
    </rPh>
    <phoneticPr fontId="1"/>
  </si>
  <si>
    <t>情報セキュリティ、パスワード、悪意ある情報搾取　「情報技術基礎」（１３～１５回）</t>
    <rPh sb="0" eb="2">
      <t>ジョウホウ</t>
    </rPh>
    <rPh sb="15" eb="17">
      <t>アクイ</t>
    </rPh>
    <rPh sb="19" eb="21">
      <t>ジョウホウ</t>
    </rPh>
    <rPh sb="21" eb="23">
      <t>サクシュ</t>
    </rPh>
    <rPh sb="25" eb="27">
      <t>ジョウホウ</t>
    </rPh>
    <rPh sb="27" eb="29">
      <t>ギジュツ</t>
    </rPh>
    <rPh sb="29" eb="31">
      <t>キソ</t>
    </rPh>
    <rPh sb="38" eb="39">
      <t>カイ</t>
    </rPh>
    <phoneticPr fontId="1"/>
  </si>
  <si>
    <t>デジタル化、グローバル化が進む社会において必要な基礎知識である「数理・データサイエンス・AI」の素養</t>
    <rPh sb="4" eb="5">
      <t>カ</t>
    </rPh>
    <rPh sb="11" eb="12">
      <t>カ</t>
    </rPh>
    <rPh sb="13" eb="14">
      <t>スス</t>
    </rPh>
    <rPh sb="15" eb="17">
      <t>シャカイ</t>
    </rPh>
    <rPh sb="21" eb="23">
      <t>ヒツヨウ</t>
    </rPh>
    <rPh sb="24" eb="26">
      <t>キソ</t>
    </rPh>
    <rPh sb="26" eb="28">
      <t>チシキ</t>
    </rPh>
    <rPh sb="32" eb="34">
      <t>スウリ</t>
    </rPh>
    <rPh sb="48" eb="50">
      <t>ソヨウ</t>
    </rPh>
    <phoneticPr fontId="1"/>
  </si>
  <si>
    <t>機械工学科</t>
    <rPh sb="0" eb="5">
      <t>キカイコウガッカ</t>
    </rPh>
    <phoneticPr fontId="1"/>
  </si>
  <si>
    <t>電気電子工学科</t>
    <rPh sb="0" eb="7">
      <t>デンキデンシコウガッカ</t>
    </rPh>
    <phoneticPr fontId="1"/>
  </si>
  <si>
    <t>電子制御工学科</t>
    <rPh sb="0" eb="4">
      <t>デンシセイギョ</t>
    </rPh>
    <rPh sb="4" eb="7">
      <t>コウガッカ</t>
    </rPh>
    <phoneticPr fontId="1"/>
  </si>
  <si>
    <t>電子情報工学科</t>
    <rPh sb="0" eb="7">
      <t>デンシジョウホウコウガッカ</t>
    </rPh>
    <phoneticPr fontId="1"/>
  </si>
  <si>
    <t>環境都市工学科</t>
    <rPh sb="0" eb="2">
      <t>カンキョウ</t>
    </rPh>
    <rPh sb="2" eb="7">
      <t>トシコウガッカ</t>
    </rPh>
    <phoneticPr fontId="1"/>
  </si>
  <si>
    <t>長野工業高等専門学校教務委員会規則</t>
    <rPh sb="0" eb="2">
      <t>ナガノ</t>
    </rPh>
    <rPh sb="2" eb="4">
      <t>コウギョウ</t>
    </rPh>
    <rPh sb="4" eb="6">
      <t>コウトウ</t>
    </rPh>
    <rPh sb="6" eb="8">
      <t>センモン</t>
    </rPh>
    <rPh sb="8" eb="10">
      <t>ガッコウ</t>
    </rPh>
    <rPh sb="10" eb="12">
      <t>キョウム</t>
    </rPh>
    <rPh sb="12" eb="15">
      <t>イインカイ</t>
    </rPh>
    <rPh sb="15" eb="17">
      <t>キソク</t>
    </rPh>
    <phoneticPr fontId="1"/>
  </si>
  <si>
    <t>本委員会は、教務に関する次の事項について、調査審議し、必要な業務を行う。
一　教育課程、授業時間割並びに年間授業計画に関すること。
二　試験、学業成績の評価並びに進級、卒業の認定に関すること。
三　入学、退学、休学、転学科に関すること。
四　その他教務に関すること。</t>
    <phoneticPr fontId="1"/>
  </si>
  <si>
    <t>工学科・教授・教務主事　　濱口直樹　（委員長）
工学科・教授・教務主事補　　奥村紀浩　
工学科・准教授・教務主事補　　北山光也
工学科・講師・教務主事補　　苅米志帆乃
工学科・教授　　藤澤義範
工学科・准教授　　花岡大生
工学科・講師　　嶋﨑太一
工学科・助教　　大原涼平
学生課長　　中嶋広隆</t>
    <phoneticPr fontId="1"/>
  </si>
  <si>
    <t>現在、修了要件である全科目が必修科目であり、令和元年度に履修初年度となった学生が５年生となる令和５年度に履修者はほぼ100%となる。</t>
    <phoneticPr fontId="1"/>
  </si>
  <si>
    <t>現在、修了要件である全科目が必修科目であり、全学生が受講する。今後も授業改善を行いながらこの体制を継続する。</t>
    <rPh sb="0" eb="2">
      <t>ゲンザイ</t>
    </rPh>
    <rPh sb="3" eb="7">
      <t>シュウリョウヨウケン</t>
    </rPh>
    <rPh sb="10" eb="13">
      <t>ゼンカモク</t>
    </rPh>
    <rPh sb="14" eb="18">
      <t>ヒッシュウカモク</t>
    </rPh>
    <rPh sb="22" eb="23">
      <t>ゼン</t>
    </rPh>
    <rPh sb="23" eb="25">
      <t>ガクセイ</t>
    </rPh>
    <rPh sb="26" eb="28">
      <t>ジュコウ</t>
    </rPh>
    <rPh sb="31" eb="33">
      <t>コンゴ</t>
    </rPh>
    <rPh sb="34" eb="36">
      <t>ジュギョウ</t>
    </rPh>
    <rPh sb="36" eb="38">
      <t>カイゼン</t>
    </rPh>
    <rPh sb="39" eb="40">
      <t>オコナ</t>
    </rPh>
    <rPh sb="46" eb="48">
      <t>タイセイ</t>
    </rPh>
    <rPh sb="49" eb="51">
      <t>ケイゾク</t>
    </rPh>
    <phoneticPr fontId="1"/>
  </si>
  <si>
    <t>現在、修了要件である全科目が必修科目であり、令和元年度以降の入学生は全員が履修することになる。入学時のガイダンスでも本プログラムを周知し、より教育効果が高まるよう教育改善に向けた取り組みを継続する。</t>
    <rPh sb="0" eb="2">
      <t>ゲンザイ</t>
    </rPh>
    <rPh sb="3" eb="7">
      <t>シュウリョウヨウケン</t>
    </rPh>
    <rPh sb="10" eb="13">
      <t>ゼンカモク</t>
    </rPh>
    <rPh sb="14" eb="16">
      <t>ヒッシュウ</t>
    </rPh>
    <rPh sb="16" eb="18">
      <t>カモク</t>
    </rPh>
    <rPh sb="22" eb="27">
      <t>レイワガンネンド</t>
    </rPh>
    <rPh sb="27" eb="29">
      <t>イコウ</t>
    </rPh>
    <rPh sb="30" eb="33">
      <t>ニュウガクセイ</t>
    </rPh>
    <rPh sb="34" eb="36">
      <t>ゼンイン</t>
    </rPh>
    <rPh sb="37" eb="39">
      <t>リシュウ</t>
    </rPh>
    <rPh sb="47" eb="50">
      <t>ニュウガクジ</t>
    </rPh>
    <rPh sb="58" eb="59">
      <t>ホン</t>
    </rPh>
    <rPh sb="65" eb="67">
      <t>シュウチ</t>
    </rPh>
    <rPh sb="71" eb="75">
      <t>キョウイクコウカ</t>
    </rPh>
    <rPh sb="76" eb="77">
      <t>タカ</t>
    </rPh>
    <rPh sb="81" eb="85">
      <t>キョウイクカイゼン</t>
    </rPh>
    <rPh sb="86" eb="87">
      <t>ム</t>
    </rPh>
    <rPh sb="89" eb="90">
      <t>ト</t>
    </rPh>
    <rPh sb="91" eb="92">
      <t>ク</t>
    </rPh>
    <rPh sb="94" eb="96">
      <t>ケイゾク</t>
    </rPh>
    <phoneticPr fontId="1"/>
  </si>
  <si>
    <t>履修要件である全科目が必修科目である。全学生が修得できるよう科目担当者による理解度の確認や必要な補習指導を実施している。また、クラス担任教員と科目担当者の連携して指導する体制をとっており、今後もこれを継続する。</t>
    <rPh sb="0" eb="4">
      <t>リシュウヨウケン</t>
    </rPh>
    <rPh sb="7" eb="10">
      <t>ゼンカモク</t>
    </rPh>
    <rPh sb="11" eb="15">
      <t>ヒッシュウカモク</t>
    </rPh>
    <rPh sb="19" eb="22">
      <t>ゼンガクセイ</t>
    </rPh>
    <rPh sb="23" eb="25">
      <t>シュウトク</t>
    </rPh>
    <rPh sb="30" eb="35">
      <t>カモクタントウシャ</t>
    </rPh>
    <rPh sb="38" eb="41">
      <t>リカイド</t>
    </rPh>
    <rPh sb="42" eb="44">
      <t>カクニン</t>
    </rPh>
    <rPh sb="45" eb="47">
      <t>ヒツヨウ</t>
    </rPh>
    <rPh sb="48" eb="52">
      <t>ホシュウシドウ</t>
    </rPh>
    <rPh sb="53" eb="55">
      <t>ジッシ</t>
    </rPh>
    <phoneticPr fontId="1"/>
  </si>
  <si>
    <t>全ての科目についてオフィスアワーを設定し、シラバスにも記載して周知している。また、多くの教員が上記の時間によらず学生の質問等に対応している。オンライン授業でも利用できるアカウントにより、全学生へのメールでの連絡も可能となっており、補習の日程調整等にも利用されている。</t>
    <rPh sb="0" eb="1">
      <t>スベ</t>
    </rPh>
    <rPh sb="3" eb="5">
      <t>カモク</t>
    </rPh>
    <rPh sb="17" eb="19">
      <t>セッテイ</t>
    </rPh>
    <rPh sb="27" eb="29">
      <t>キサイ</t>
    </rPh>
    <rPh sb="31" eb="33">
      <t>シュウチ</t>
    </rPh>
    <rPh sb="41" eb="42">
      <t>オオ</t>
    </rPh>
    <rPh sb="44" eb="46">
      <t>キョウイン</t>
    </rPh>
    <rPh sb="47" eb="49">
      <t>ジョウキ</t>
    </rPh>
    <rPh sb="50" eb="52">
      <t>ジカン</t>
    </rPh>
    <rPh sb="56" eb="58">
      <t>ガクセイ</t>
    </rPh>
    <rPh sb="59" eb="62">
      <t>シツモントウ</t>
    </rPh>
    <rPh sb="63" eb="65">
      <t>タイオウ</t>
    </rPh>
    <phoneticPr fontId="1"/>
  </si>
  <si>
    <t>本プログラムの対象科目は課題等への取り組みにより学修状況の評価を行っている。また、情報教育センターや図書館、一部学科にパソコンがあり、学生がパソコンを使用できる環境が整備されている。さらにはBYOD導入により、時間や場所に制限されず、卒業研究をはじめとする調査や研究の際に利用可能となっている。</t>
    <rPh sb="0" eb="1">
      <t>ホン</t>
    </rPh>
    <rPh sb="7" eb="11">
      <t>タイショウカモク</t>
    </rPh>
    <rPh sb="12" eb="15">
      <t>カダイトウ</t>
    </rPh>
    <rPh sb="17" eb="18">
      <t>ト</t>
    </rPh>
    <rPh sb="19" eb="20">
      <t>ク</t>
    </rPh>
    <rPh sb="24" eb="28">
      <t>ガクシュウジョウキョウ</t>
    </rPh>
    <rPh sb="29" eb="31">
      <t>ヒョウカ</t>
    </rPh>
    <rPh sb="32" eb="33">
      <t>オコナ</t>
    </rPh>
    <rPh sb="134" eb="135">
      <t>サイ</t>
    </rPh>
    <phoneticPr fontId="1"/>
  </si>
  <si>
    <t>授業内容改善のため、学生を対象に授業評価アンケートを実施している。このアンケートには、「教員の説明のわかりやすさ」に関する項目や「積極的な取り組みの学生の自己評価」等の項目はあるが、本プログラムの理解度に関する効果的な計測には不十分と考えられるため、内容を検討する必要がある。</t>
    <rPh sb="84" eb="86">
      <t>コウモク</t>
    </rPh>
    <phoneticPr fontId="1"/>
  </si>
  <si>
    <t>本プログラムに設定されている科目はすべて必修科目である。令和4年度の学科再編後のカリキュラムではデータサイエンス科目群の枠組みを設置しており、今後も在学生および入学希望者に対しても広く推奨していく。</t>
    <rPh sb="0" eb="1">
      <t>ホン</t>
    </rPh>
    <rPh sb="7" eb="9">
      <t>セッテイ</t>
    </rPh>
    <rPh sb="14" eb="16">
      <t>カモク</t>
    </rPh>
    <rPh sb="20" eb="24">
      <t>ヒッシュウカモク</t>
    </rPh>
    <rPh sb="58" eb="59">
      <t>グン</t>
    </rPh>
    <rPh sb="71" eb="73">
      <t>コンゴ</t>
    </rPh>
    <rPh sb="74" eb="77">
      <t>ザイガクセイ</t>
    </rPh>
    <rPh sb="80" eb="82">
      <t>ニュウガク</t>
    </rPh>
    <rPh sb="82" eb="85">
      <t>キボウシャ</t>
    </rPh>
    <rPh sb="86" eb="87">
      <t>タイ</t>
    </rPh>
    <rPh sb="90" eb="91">
      <t>ヒロ</t>
    </rPh>
    <rPh sb="92" eb="94">
      <t>スイショウ</t>
    </rPh>
    <phoneticPr fontId="1"/>
  </si>
  <si>
    <t>本プログラムは４年次までの必修科目として設定しており、令和元年度以降の入学生はほぼ100%の履修率となる。
今後も教育改善に取り組みながらこれを継続する。</t>
    <rPh sb="0" eb="1">
      <t>ホン</t>
    </rPh>
    <rPh sb="8" eb="10">
      <t>ネンジ</t>
    </rPh>
    <rPh sb="13" eb="17">
      <t>ヒッシュウカモク</t>
    </rPh>
    <rPh sb="20" eb="22">
      <t>セッテイ</t>
    </rPh>
    <rPh sb="27" eb="29">
      <t>レイワ</t>
    </rPh>
    <rPh sb="29" eb="32">
      <t>ガンネンド</t>
    </rPh>
    <rPh sb="32" eb="34">
      <t>イコウ</t>
    </rPh>
    <rPh sb="35" eb="38">
      <t>ニュウガクセイ</t>
    </rPh>
    <rPh sb="46" eb="49">
      <t>リシュウリツ</t>
    </rPh>
    <rPh sb="54" eb="56">
      <t>コンゴ</t>
    </rPh>
    <rPh sb="57" eb="59">
      <t>キョウイク</t>
    </rPh>
    <rPh sb="59" eb="61">
      <t>カイゼン</t>
    </rPh>
    <rPh sb="62" eb="63">
      <t>ト</t>
    </rPh>
    <rPh sb="64" eb="65">
      <t>ク</t>
    </rPh>
    <rPh sb="72" eb="74">
      <t>ケイゾク</t>
    </rPh>
    <phoneticPr fontId="1"/>
  </si>
  <si>
    <t>令和3年度時点での本プログラムの修了者の卒業生はいない。</t>
    <rPh sb="0" eb="2">
      <t>レイワ</t>
    </rPh>
    <rPh sb="3" eb="7">
      <t>ネンドジテン</t>
    </rPh>
    <rPh sb="9" eb="10">
      <t>ホン</t>
    </rPh>
    <rPh sb="16" eb="19">
      <t>シュウリョウシャ</t>
    </rPh>
    <rPh sb="20" eb="23">
      <t>ソツギョウセイ</t>
    </rPh>
    <phoneticPr fontId="1"/>
  </si>
  <si>
    <t>参与会（学外有識者による外部評価）において、令和4年度4月の学科改組に伴い、データサイエンス分野への取り組みに期待する意見があった。また、義務教育におけるGIGAスクール構想が始まり、ITやプログラミングに興味を持つ子が増えてくると思われるため、発展していく最先端技術に触れられる機会を作ってほしいとの意見が寄せられている。</t>
    <rPh sb="4" eb="9">
      <t>ガクガイユウシキシャ</t>
    </rPh>
    <rPh sb="12" eb="16">
      <t>ガイブヒョウカ</t>
    </rPh>
    <rPh sb="22" eb="24">
      <t>レイワ</t>
    </rPh>
    <rPh sb="25" eb="27">
      <t>ネンド</t>
    </rPh>
    <rPh sb="28" eb="29">
      <t>ガツ</t>
    </rPh>
    <rPh sb="69" eb="73">
      <t>ギムキョウイク</t>
    </rPh>
    <rPh sb="85" eb="87">
      <t>コウソウ</t>
    </rPh>
    <rPh sb="88" eb="89">
      <t>ハジ</t>
    </rPh>
    <rPh sb="103" eb="105">
      <t>キョウミ</t>
    </rPh>
    <rPh sb="106" eb="107">
      <t>モ</t>
    </rPh>
    <rPh sb="108" eb="109">
      <t>コ</t>
    </rPh>
    <rPh sb="110" eb="111">
      <t>フ</t>
    </rPh>
    <rPh sb="116" eb="117">
      <t>オモ</t>
    </rPh>
    <rPh sb="123" eb="125">
      <t>ハッテン</t>
    </rPh>
    <rPh sb="129" eb="134">
      <t>サイセンタンギジュツ</t>
    </rPh>
    <rPh sb="135" eb="136">
      <t>フ</t>
    </rPh>
    <rPh sb="140" eb="142">
      <t>キカイ</t>
    </rPh>
    <rPh sb="143" eb="144">
      <t>ツク</t>
    </rPh>
    <rPh sb="151" eb="153">
      <t>イケン</t>
    </rPh>
    <rPh sb="154" eb="155">
      <t>ヨ</t>
    </rPh>
    <phoneticPr fontId="1"/>
  </si>
  <si>
    <t>卒業生アンケートの回答に、IT系知識を身につけることの必要性について記載があった。
また、授業評価アンケートにおける「将来の自分に必要かどうかを考えることができた」等の回答は、おおむね良好である。
本プログラムに関する科目においては、特に先進的な事例紹介を行うなど、「学ぶ楽しさ」「学ぶことの意義」の理解につながる授業設計としたい。</t>
    <rPh sb="45" eb="49">
      <t>ジュギョウヒョウカ</t>
    </rPh>
    <rPh sb="59" eb="61">
      <t>ショウライ</t>
    </rPh>
    <rPh sb="62" eb="64">
      <t>ジブン</t>
    </rPh>
    <rPh sb="65" eb="67">
      <t>ヒツヨウ</t>
    </rPh>
    <rPh sb="72" eb="73">
      <t>カンガ</t>
    </rPh>
    <rPh sb="82" eb="83">
      <t>トウ</t>
    </rPh>
    <rPh sb="84" eb="86">
      <t>カイトウ</t>
    </rPh>
    <rPh sb="92" eb="94">
      <t>リョウコウ</t>
    </rPh>
    <rPh sb="99" eb="100">
      <t>ホン</t>
    </rPh>
    <rPh sb="106" eb="107">
      <t>カン</t>
    </rPh>
    <rPh sb="109" eb="111">
      <t>カモク</t>
    </rPh>
    <rPh sb="117" eb="118">
      <t>トク</t>
    </rPh>
    <rPh sb="119" eb="122">
      <t>センシンテキ</t>
    </rPh>
    <rPh sb="123" eb="127">
      <t>ジレイショウカイ</t>
    </rPh>
    <rPh sb="128" eb="129">
      <t>オコナ</t>
    </rPh>
    <rPh sb="134" eb="135">
      <t>マナ</t>
    </rPh>
    <rPh sb="136" eb="137">
      <t>タノ</t>
    </rPh>
    <rPh sb="141" eb="142">
      <t>マナ</t>
    </rPh>
    <rPh sb="146" eb="148">
      <t>イギ</t>
    </rPh>
    <rPh sb="150" eb="152">
      <t>リカイ</t>
    </rPh>
    <rPh sb="157" eb="159">
      <t>ジュギョウ</t>
    </rPh>
    <rPh sb="159" eb="161">
      <t>セッケイ</t>
    </rPh>
    <phoneticPr fontId="1"/>
  </si>
  <si>
    <t>これまでの実施状況を踏まえ学科再編後のカリキュラムへの更新を進めるとともに、教育力向上のためのFD研修会を引き続き計画し、授業内容を改善していく。
授業評価アンケートにおける「授業のわかりやすさ」に対する回答に対して、科目担当教員が自身の授業改善に向けた参考資料として取り組む体制としている。</t>
    <rPh sb="10" eb="11">
      <t>フ</t>
    </rPh>
    <rPh sb="15" eb="17">
      <t>サイヘン</t>
    </rPh>
    <rPh sb="27" eb="29">
      <t>コウシン</t>
    </rPh>
    <rPh sb="30" eb="31">
      <t>スス</t>
    </rPh>
    <rPh sb="38" eb="43">
      <t>キョウイクリョクコウジョウ</t>
    </rPh>
    <rPh sb="53" eb="54">
      <t>ヒ</t>
    </rPh>
    <rPh sb="55" eb="56">
      <t>ツヅ</t>
    </rPh>
    <rPh sb="57" eb="59">
      <t>ケイカク</t>
    </rPh>
    <rPh sb="74" eb="76">
      <t>ジュギョウ</t>
    </rPh>
    <rPh sb="76" eb="78">
      <t>ヒョウカ</t>
    </rPh>
    <rPh sb="88" eb="90">
      <t>ジュギョウ</t>
    </rPh>
    <rPh sb="99" eb="100">
      <t>タイ</t>
    </rPh>
    <rPh sb="102" eb="104">
      <t>カイトウ</t>
    </rPh>
    <rPh sb="105" eb="106">
      <t>タイ</t>
    </rPh>
    <rPh sb="109" eb="115">
      <t>カモクタントウキョウイン</t>
    </rPh>
    <rPh sb="116" eb="118">
      <t>ジシン</t>
    </rPh>
    <rPh sb="119" eb="123">
      <t>ジュギョウカイゼン</t>
    </rPh>
    <rPh sb="124" eb="125">
      <t>ム</t>
    </rPh>
    <rPh sb="127" eb="131">
      <t>サンコウシリョウ</t>
    </rPh>
    <rPh sb="134" eb="135">
      <t>ト</t>
    </rPh>
    <rPh sb="136" eb="137">
      <t>ク</t>
    </rPh>
    <rPh sb="138" eb="140">
      <t>タイセイ</t>
    </rPh>
    <phoneticPr fontId="1"/>
  </si>
  <si>
    <t>・データ・AI活用領域の広がり、研究開発　「倫理学」（９～１１回目）</t>
    <rPh sb="7" eb="11">
      <t>カツヨウリョウイキ</t>
    </rPh>
    <rPh sb="12" eb="13">
      <t>ヒロ</t>
    </rPh>
    <rPh sb="16" eb="18">
      <t>ケンキュウ</t>
    </rPh>
    <rPh sb="18" eb="20">
      <t>カイハツ</t>
    </rPh>
    <rPh sb="22" eb="25">
      <t>リンリガク</t>
    </rPh>
    <rPh sb="31" eb="33">
      <t>カイメ</t>
    </rPh>
    <phoneticPr fontId="1"/>
  </si>
  <si>
    <t>本プログラムリテラシーレベルの対象科目はすべて必修科目である。単位修得状況は教務委員会で確認している。休学者、退学者および編入学生（外国人留学生、4年次編入学生）を除き、プログラムの履修・修得者は100％となる。</t>
    <rPh sb="31" eb="33">
      <t>タンイ</t>
    </rPh>
    <rPh sb="33" eb="37">
      <t>シュウトクジョウキョウ</t>
    </rPh>
    <rPh sb="38" eb="43">
      <t>キョウムイインカイ</t>
    </rPh>
    <rPh sb="44" eb="46">
      <t>カクニン</t>
    </rPh>
    <phoneticPr fontId="1"/>
  </si>
  <si>
    <t>https://www.nagano-nct.ac.jp/guide/MDASH/index.php</t>
    <phoneticPr fontId="1"/>
  </si>
  <si>
    <t>https://www.nagano-nct.ac.jp/guide/MDASH/pdf/self-assessment.pdf</t>
    <phoneticPr fontId="1"/>
  </si>
  <si>
    <t>様式２</t>
    <phoneticPr fontId="1"/>
  </si>
  <si>
    <t>以下の科目を修得すること。
　　情報技術基礎（1年次開講・1単位）
　　確率統計Ⅰ （3年次開講・1単位）
　　倫理学 （4年次開講・2単位）</t>
    <rPh sb="0" eb="2">
      <t>イカ</t>
    </rPh>
    <rPh sb="3" eb="5">
      <t>カモク</t>
    </rPh>
    <rPh sb="6" eb="8">
      <t>シュウトク</t>
    </rPh>
    <rPh sb="25" eb="26">
      <t>ジ</t>
    </rPh>
    <rPh sb="26" eb="28">
      <t>カイコウ</t>
    </rPh>
    <rPh sb="64" eb="66">
      <t>カイコウ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</si>
</sst>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53" xfId="0" applyFont="1" applyBorder="1" applyAlignment="1">
      <alignment horizontal="center" vertical="center" shrinkToFit="1"/>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2" xfId="0" applyNumberFormat="1" applyFont="1" applyFill="1" applyBorder="1" applyAlignment="1">
      <alignment horizontal="center" vertical="center" shrinkToFit="1"/>
    </xf>
    <xf numFmtId="176" fontId="8" fillId="0" borderId="3"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2"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9" fillId="0" borderId="0" xfId="0" applyFont="1" applyAlignment="1">
      <alignment horizontal="center" vertical="center"/>
    </xf>
    <xf numFmtId="0" fontId="8" fillId="0" borderId="7" xfId="0" applyFont="1" applyBorder="1" applyAlignment="1">
      <alignment horizontal="left" vertical="center" wrapText="1" shrinkToFit="1"/>
    </xf>
    <xf numFmtId="0" fontId="8" fillId="0" borderId="0" xfId="0" applyFont="1" applyAlignment="1">
      <alignment horizontal="left" vertical="center" shrinkToFit="1"/>
    </xf>
    <xf numFmtId="0" fontId="8" fillId="0" borderId="6" xfId="0" applyFont="1" applyBorder="1" applyAlignment="1">
      <alignment horizontal="left"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2" xfId="0" applyFont="1" applyFill="1" applyBorder="1" applyAlignment="1">
      <alignment vertical="center" shrinkToFit="1"/>
    </xf>
    <xf numFmtId="0" fontId="9" fillId="0" borderId="3" xfId="0" applyFont="1" applyFill="1" applyBorder="1" applyAlignment="1">
      <alignment vertical="center" shrinkToFit="1"/>
    </xf>
    <xf numFmtId="0" fontId="9" fillId="0" borderId="4" xfId="0" applyFont="1" applyFill="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9" xfId="0" applyFont="1" applyBorder="1" applyAlignment="1">
      <alignment vertical="top" wrapText="1" shrinkToFit="1"/>
    </xf>
    <xf numFmtId="0" fontId="10" fillId="0" borderId="8"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2" fillId="0" borderId="2" xfId="2" applyFont="1" applyFill="1" applyBorder="1" applyAlignment="1">
      <alignment horizontal="center" vertical="center" shrinkToFit="1"/>
    </xf>
    <xf numFmtId="0" fontId="12" fillId="0" borderId="3" xfId="2" applyFont="1" applyFill="1" applyBorder="1" applyAlignment="1">
      <alignment horizontal="center" vertical="center" shrinkToFit="1"/>
    </xf>
    <xf numFmtId="0" fontId="12" fillId="0" borderId="4" xfId="2" applyFont="1" applyFill="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10" xfId="0" applyFont="1" applyBorder="1" applyAlignment="1">
      <alignment horizontal="left" vertical="center" shrinkToFit="1"/>
    </xf>
    <xf numFmtId="0" fontId="8" fillId="0" borderId="11" xfId="0" applyFont="1" applyBorder="1" applyAlignment="1">
      <alignment horizontal="left" vertical="center" shrinkToFit="1"/>
    </xf>
    <xf numFmtId="0" fontId="8" fillId="0" borderId="12" xfId="0" applyFont="1" applyBorder="1" applyAlignment="1">
      <alignment horizontal="left"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nagano-nct.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5"/>
  <sheetViews>
    <sheetView view="pageBreakPreview" zoomScaleNormal="100" zoomScaleSheetLayoutView="100" workbookViewId="0">
      <selection activeCell="P26" sqref="P26"/>
    </sheetView>
  </sheetViews>
  <sheetFormatPr defaultColWidth="9" defaultRowHeight="18.75" customHeight="1" x14ac:dyDescent="0.2"/>
  <cols>
    <col min="1" max="1" width="3.33203125" style="14" customWidth="1"/>
    <col min="2" max="2" width="11.109375" style="14" customWidth="1"/>
    <col min="3" max="8" width="6.6640625" style="14" customWidth="1"/>
    <col min="9" max="9" width="3.33203125" style="14" customWidth="1"/>
    <col min="10" max="10" width="10" style="14" customWidth="1"/>
    <col min="11" max="11" width="3.33203125" style="14" customWidth="1"/>
    <col min="12" max="12" width="7.77734375" style="14" customWidth="1"/>
    <col min="13" max="13" width="3.33203125" style="14" customWidth="1"/>
    <col min="14" max="14" width="4.44140625" style="14" customWidth="1"/>
    <col min="15" max="15" width="9" style="31"/>
    <col min="16" max="16384" width="9" style="13"/>
  </cols>
  <sheetData>
    <row r="1" spans="1:15" ht="24" customHeight="1" x14ac:dyDescent="0.2">
      <c r="M1" s="140" t="s">
        <v>25</v>
      </c>
      <c r="N1" s="140"/>
    </row>
    <row r="2" spans="1:15" ht="24" customHeight="1" x14ac:dyDescent="0.2">
      <c r="A2" s="146" t="s">
        <v>83</v>
      </c>
      <c r="B2" s="146"/>
      <c r="C2" s="146"/>
      <c r="D2" s="146"/>
      <c r="E2" s="146"/>
      <c r="F2" s="146"/>
      <c r="G2" s="146"/>
      <c r="H2" s="146"/>
      <c r="I2" s="146"/>
      <c r="J2" s="146"/>
      <c r="K2" s="146"/>
      <c r="L2" s="146"/>
      <c r="M2" s="146"/>
      <c r="N2" s="146"/>
    </row>
    <row r="3" spans="1:15" ht="24" customHeight="1" x14ac:dyDescent="0.2"/>
    <row r="4" spans="1:15" ht="24" customHeight="1" x14ac:dyDescent="0.2">
      <c r="A4" s="14" t="s">
        <v>6</v>
      </c>
      <c r="B4" s="15" t="s">
        <v>16</v>
      </c>
      <c r="C4" s="130" t="s">
        <v>148</v>
      </c>
      <c r="D4" s="131"/>
      <c r="E4" s="131"/>
      <c r="F4" s="131"/>
      <c r="G4" s="131"/>
      <c r="H4" s="131"/>
      <c r="I4" s="131"/>
      <c r="J4" s="131"/>
      <c r="K4" s="131"/>
      <c r="L4" s="131"/>
      <c r="M4" s="131"/>
      <c r="N4" s="132"/>
      <c r="O4" s="31" t="str">
        <f>IF(C4="","入力してください","")</f>
        <v/>
      </c>
    </row>
    <row r="5" spans="1:15" ht="7.5" customHeight="1" x14ac:dyDescent="0.2">
      <c r="B5" s="15"/>
      <c r="C5" s="15"/>
      <c r="D5" s="15"/>
      <c r="E5" s="16"/>
      <c r="F5" s="37"/>
      <c r="G5" s="37"/>
      <c r="H5" s="37"/>
      <c r="I5" s="37"/>
      <c r="J5" s="37"/>
      <c r="K5" s="37"/>
      <c r="L5" s="37"/>
      <c r="M5" s="37"/>
      <c r="N5" s="37"/>
    </row>
    <row r="6" spans="1:15" ht="24" customHeight="1" x14ac:dyDescent="0.2">
      <c r="A6" s="14" t="s">
        <v>48</v>
      </c>
      <c r="B6" s="15" t="s">
        <v>49</v>
      </c>
      <c r="C6" s="15"/>
      <c r="D6" s="130" t="s">
        <v>149</v>
      </c>
      <c r="E6" s="131"/>
      <c r="F6" s="131"/>
      <c r="G6" s="131"/>
      <c r="H6" s="132"/>
      <c r="I6" s="17" t="s">
        <v>86</v>
      </c>
      <c r="J6" s="37" t="s">
        <v>87</v>
      </c>
      <c r="K6" s="130" t="s">
        <v>150</v>
      </c>
      <c r="L6" s="131"/>
      <c r="M6" s="131"/>
      <c r="N6" s="132"/>
      <c r="O6" s="31" t="str">
        <f>IF(D6="","入力してください","")</f>
        <v/>
      </c>
    </row>
    <row r="7" spans="1:15" ht="7.5" customHeight="1" x14ac:dyDescent="0.2">
      <c r="B7" s="15"/>
      <c r="C7" s="15"/>
      <c r="D7" s="15"/>
      <c r="E7" s="16"/>
      <c r="F7" s="37"/>
      <c r="G7" s="37"/>
      <c r="H7" s="37"/>
      <c r="I7" s="37"/>
      <c r="J7" s="37"/>
      <c r="K7" s="37"/>
      <c r="L7" s="37"/>
      <c r="M7" s="37"/>
      <c r="N7" s="37"/>
    </row>
    <row r="8" spans="1:15" ht="24" customHeight="1" x14ac:dyDescent="0.2">
      <c r="A8" s="14" t="s">
        <v>13</v>
      </c>
      <c r="B8" s="15" t="s">
        <v>45</v>
      </c>
      <c r="C8" s="130" t="s">
        <v>151</v>
      </c>
      <c r="D8" s="131"/>
      <c r="E8" s="131"/>
      <c r="F8" s="131"/>
      <c r="G8" s="131"/>
      <c r="H8" s="131"/>
      <c r="I8" s="131"/>
      <c r="J8" s="131"/>
      <c r="K8" s="131"/>
      <c r="L8" s="131"/>
      <c r="M8" s="131"/>
      <c r="N8" s="132"/>
      <c r="O8" s="31" t="str">
        <f>IF(C8="","入力してください","")</f>
        <v/>
      </c>
    </row>
    <row r="9" spans="1:15" ht="7.5" customHeight="1" x14ac:dyDescent="0.2">
      <c r="B9" s="15"/>
      <c r="C9" s="15"/>
      <c r="D9" s="15"/>
      <c r="E9" s="16"/>
      <c r="F9" s="37"/>
      <c r="G9" s="37"/>
      <c r="H9" s="37"/>
      <c r="I9" s="37"/>
      <c r="J9" s="37"/>
      <c r="K9" s="37"/>
      <c r="L9" s="37"/>
      <c r="M9" s="37"/>
      <c r="N9" s="37"/>
    </row>
    <row r="10" spans="1:15" ht="24" customHeight="1" x14ac:dyDescent="0.2">
      <c r="A10" s="14" t="s">
        <v>11</v>
      </c>
      <c r="B10" s="15" t="s">
        <v>85</v>
      </c>
      <c r="C10" s="15"/>
      <c r="D10" s="15"/>
      <c r="E10" s="130" t="s">
        <v>152</v>
      </c>
      <c r="F10" s="131"/>
      <c r="G10" s="131"/>
      <c r="H10" s="131"/>
      <c r="I10" s="131"/>
      <c r="J10" s="131"/>
      <c r="K10" s="131"/>
      <c r="L10" s="131"/>
      <c r="M10" s="131"/>
      <c r="N10" s="132"/>
      <c r="O10" s="31" t="str">
        <f>IF(E10="","入力してください","")</f>
        <v/>
      </c>
    </row>
    <row r="11" spans="1:15" ht="7.5" customHeight="1" x14ac:dyDescent="0.2">
      <c r="B11" s="16"/>
      <c r="C11" s="16"/>
      <c r="D11" s="16"/>
      <c r="E11" s="16"/>
      <c r="F11" s="37"/>
      <c r="G11" s="37"/>
      <c r="H11" s="37"/>
      <c r="I11" s="37"/>
      <c r="J11" s="37"/>
      <c r="K11" s="37"/>
      <c r="L11" s="37"/>
      <c r="M11" s="37"/>
      <c r="N11" s="37"/>
    </row>
    <row r="12" spans="1:15" ht="24" customHeight="1" x14ac:dyDescent="0.2">
      <c r="A12" s="14" t="s">
        <v>58</v>
      </c>
      <c r="B12" s="16" t="s">
        <v>59</v>
      </c>
      <c r="C12" s="16"/>
      <c r="D12" s="16"/>
      <c r="E12" s="147" t="s">
        <v>153</v>
      </c>
      <c r="F12" s="148"/>
      <c r="G12" s="17" t="s">
        <v>96</v>
      </c>
      <c r="H12" s="14" t="s">
        <v>97</v>
      </c>
      <c r="N12" s="117" t="s">
        <v>154</v>
      </c>
      <c r="O12" s="31" t="str">
        <f>IF(E12="","入力してください","")</f>
        <v/>
      </c>
    </row>
    <row r="13" spans="1:15" ht="7.5" customHeight="1" x14ac:dyDescent="0.2">
      <c r="B13" s="16"/>
      <c r="C13" s="16"/>
      <c r="D13" s="16"/>
      <c r="E13" s="16"/>
      <c r="F13" s="37"/>
      <c r="G13" s="37"/>
      <c r="H13" s="37"/>
      <c r="I13" s="37"/>
      <c r="J13" s="37"/>
      <c r="K13" s="37"/>
      <c r="L13" s="37"/>
      <c r="M13" s="37"/>
      <c r="N13" s="37"/>
    </row>
    <row r="14" spans="1:15" ht="24" customHeight="1" x14ac:dyDescent="0.2">
      <c r="A14" s="14" t="s">
        <v>53</v>
      </c>
      <c r="B14" s="14" t="s">
        <v>0</v>
      </c>
      <c r="C14" s="141" t="s">
        <v>5</v>
      </c>
      <c r="D14" s="142"/>
      <c r="E14" s="143">
        <v>77</v>
      </c>
      <c r="F14" s="145"/>
      <c r="G14" s="18" t="s">
        <v>7</v>
      </c>
      <c r="I14" s="141" t="s">
        <v>8</v>
      </c>
      <c r="J14" s="142"/>
      <c r="K14" s="143">
        <v>20</v>
      </c>
      <c r="L14" s="144"/>
      <c r="M14" s="145"/>
      <c r="N14" s="19" t="s">
        <v>7</v>
      </c>
      <c r="O14" s="31" t="str">
        <f>IF(OR(E14="",K14=""),"入力してください","")</f>
        <v/>
      </c>
    </row>
    <row r="15" spans="1:15" ht="7.5" customHeight="1" x14ac:dyDescent="0.2">
      <c r="F15" s="20"/>
      <c r="G15" s="20"/>
      <c r="H15" s="20"/>
      <c r="I15" s="20"/>
      <c r="J15" s="20"/>
      <c r="K15" s="20"/>
      <c r="L15" s="20"/>
      <c r="M15" s="19"/>
      <c r="N15" s="19"/>
    </row>
    <row r="16" spans="1:15" ht="24" customHeight="1" x14ac:dyDescent="0.2">
      <c r="A16" s="14" t="s">
        <v>60</v>
      </c>
      <c r="B16" s="14" t="s">
        <v>70</v>
      </c>
      <c r="F16" s="20"/>
      <c r="G16" s="20"/>
      <c r="H16" s="20"/>
      <c r="I16" s="20"/>
      <c r="J16" s="20"/>
      <c r="K16" s="149">
        <v>6</v>
      </c>
      <c r="L16" s="150"/>
      <c r="M16" s="151"/>
      <c r="N16" s="19" t="s">
        <v>51</v>
      </c>
      <c r="O16" s="31" t="str">
        <f>IF(K16="","入力してください","")</f>
        <v/>
      </c>
    </row>
    <row r="17" spans="1:15" ht="7.5" customHeight="1" x14ac:dyDescent="0.2">
      <c r="F17" s="20"/>
      <c r="G17" s="20"/>
      <c r="H17" s="20"/>
      <c r="I17" s="20"/>
      <c r="J17" s="20"/>
      <c r="K17" s="20"/>
      <c r="L17" s="20"/>
      <c r="M17" s="19"/>
      <c r="N17" s="19"/>
    </row>
    <row r="18" spans="1:15" ht="24" customHeight="1" x14ac:dyDescent="0.2">
      <c r="A18" s="14" t="s">
        <v>24</v>
      </c>
      <c r="B18" s="14" t="s">
        <v>77</v>
      </c>
      <c r="E18" s="133">
        <v>200</v>
      </c>
      <c r="F18" s="134"/>
      <c r="G18" s="21" t="s">
        <v>21</v>
      </c>
      <c r="H18" s="20"/>
      <c r="K18" s="155"/>
      <c r="L18" s="155"/>
      <c r="M18" s="155"/>
      <c r="N18" s="155"/>
      <c r="O18" s="31" t="str">
        <f>IF(E18="","入力してください","")</f>
        <v/>
      </c>
    </row>
    <row r="19" spans="1:15" ht="7.5" customHeight="1" x14ac:dyDescent="0.2">
      <c r="E19" s="10"/>
      <c r="F19" s="20"/>
      <c r="G19" s="20"/>
      <c r="L19" s="36"/>
      <c r="M19" s="36"/>
      <c r="N19" s="22"/>
    </row>
    <row r="20" spans="1:15" ht="24" customHeight="1" x14ac:dyDescent="0.2">
      <c r="A20" s="14" t="s">
        <v>76</v>
      </c>
      <c r="B20" s="14" t="s">
        <v>78</v>
      </c>
      <c r="E20" s="10"/>
      <c r="F20" s="20"/>
      <c r="G20" s="20"/>
      <c r="H20" s="14" t="s">
        <v>52</v>
      </c>
      <c r="J20" s="152">
        <v>1017</v>
      </c>
      <c r="K20" s="153"/>
      <c r="L20" s="154"/>
      <c r="M20" s="36" t="s">
        <v>51</v>
      </c>
      <c r="N20" s="22"/>
      <c r="O20" s="31" t="str">
        <f>IF(J20="","入力してください","")</f>
        <v/>
      </c>
    </row>
    <row r="21" spans="1:15" ht="7.5" customHeight="1" x14ac:dyDescent="0.2">
      <c r="E21" s="10"/>
      <c r="F21" s="20"/>
      <c r="G21" s="20"/>
      <c r="L21" s="36"/>
      <c r="M21" s="36"/>
      <c r="N21" s="22"/>
    </row>
    <row r="22" spans="1:15" ht="24" customHeight="1" x14ac:dyDescent="0.2">
      <c r="B22" s="29" t="s">
        <v>17</v>
      </c>
      <c r="C22" s="133">
        <v>208</v>
      </c>
      <c r="D22" s="134"/>
      <c r="E22" s="10" t="s">
        <v>22</v>
      </c>
      <c r="F22" s="20"/>
      <c r="G22" s="129" t="s">
        <v>18</v>
      </c>
      <c r="H22" s="129"/>
      <c r="I22" s="133">
        <v>205</v>
      </c>
      <c r="J22" s="134"/>
      <c r="K22" s="17" t="s">
        <v>22</v>
      </c>
      <c r="M22" s="36"/>
      <c r="N22" s="22"/>
    </row>
    <row r="23" spans="1:15" ht="7.5" customHeight="1" x14ac:dyDescent="0.2">
      <c r="B23" s="29"/>
      <c r="C23" s="11"/>
      <c r="D23" s="11"/>
      <c r="E23" s="10"/>
      <c r="F23" s="20"/>
      <c r="G23" s="36"/>
      <c r="H23" s="36"/>
      <c r="I23" s="11"/>
      <c r="J23" s="11"/>
      <c r="K23" s="17"/>
      <c r="M23" s="36"/>
      <c r="N23" s="22"/>
    </row>
    <row r="24" spans="1:15" ht="24" customHeight="1" x14ac:dyDescent="0.2">
      <c r="B24" s="29" t="s">
        <v>19</v>
      </c>
      <c r="C24" s="133">
        <v>199</v>
      </c>
      <c r="D24" s="134"/>
      <c r="E24" s="10" t="s">
        <v>22</v>
      </c>
      <c r="F24" s="20"/>
      <c r="G24" s="129" t="s">
        <v>20</v>
      </c>
      <c r="H24" s="129"/>
      <c r="I24" s="133">
        <v>203</v>
      </c>
      <c r="J24" s="134"/>
      <c r="K24" s="17" t="s">
        <v>22</v>
      </c>
      <c r="M24" s="36"/>
      <c r="N24" s="22"/>
    </row>
    <row r="25" spans="1:15" ht="7.5" customHeight="1" x14ac:dyDescent="0.2">
      <c r="B25" s="29"/>
      <c r="C25" s="11"/>
      <c r="D25" s="11"/>
      <c r="E25" s="10"/>
      <c r="F25" s="20"/>
      <c r="G25" s="36"/>
      <c r="H25" s="36"/>
      <c r="I25" s="11"/>
      <c r="J25" s="11"/>
      <c r="K25" s="17"/>
      <c r="M25" s="36"/>
      <c r="N25" s="22"/>
    </row>
    <row r="26" spans="1:15" ht="24" customHeight="1" x14ac:dyDescent="0.2">
      <c r="B26" s="29" t="s">
        <v>46</v>
      </c>
      <c r="C26" s="133">
        <v>202</v>
      </c>
      <c r="D26" s="134"/>
      <c r="E26" s="10" t="s">
        <v>7</v>
      </c>
      <c r="F26" s="20"/>
      <c r="G26" s="129" t="s">
        <v>47</v>
      </c>
      <c r="H26" s="129"/>
      <c r="I26" s="133">
        <v>0</v>
      </c>
      <c r="J26" s="134"/>
      <c r="K26" s="17" t="s">
        <v>7</v>
      </c>
      <c r="M26" s="36"/>
      <c r="N26" s="22"/>
    </row>
    <row r="27" spans="1:15" ht="7.5" customHeight="1" x14ac:dyDescent="0.2">
      <c r="F27" s="20"/>
      <c r="G27" s="20"/>
      <c r="M27" s="23"/>
      <c r="N27" s="23"/>
    </row>
    <row r="28" spans="1:15" ht="24" customHeight="1" x14ac:dyDescent="0.2">
      <c r="A28" s="14" t="s">
        <v>50</v>
      </c>
      <c r="B28" s="15" t="s">
        <v>75</v>
      </c>
      <c r="C28" s="15"/>
      <c r="D28" s="15"/>
      <c r="E28" s="15"/>
      <c r="F28" s="17"/>
      <c r="G28" s="37"/>
      <c r="H28" s="37"/>
      <c r="I28" s="37"/>
      <c r="J28" s="24"/>
      <c r="K28" s="24"/>
      <c r="L28" s="24"/>
      <c r="M28" s="24"/>
      <c r="N28" s="24"/>
    </row>
    <row r="29" spans="1:15" s="14" customFormat="1" ht="24" customHeight="1" x14ac:dyDescent="0.2">
      <c r="B29" s="137" t="s">
        <v>74</v>
      </c>
      <c r="C29" s="137"/>
      <c r="D29" s="130" t="s">
        <v>155</v>
      </c>
      <c r="E29" s="131"/>
      <c r="F29" s="131"/>
      <c r="G29" s="138" t="s">
        <v>23</v>
      </c>
      <c r="H29" s="137"/>
      <c r="I29" s="139"/>
      <c r="J29" s="130" t="s">
        <v>156</v>
      </c>
      <c r="K29" s="131"/>
      <c r="L29" s="131"/>
      <c r="M29" s="131"/>
      <c r="N29" s="132"/>
      <c r="O29" s="31" t="str">
        <f>IF(OR(D29="",J29=""),"入力してください","")</f>
        <v/>
      </c>
    </row>
    <row r="30" spans="1:15" ht="7.5" customHeight="1" x14ac:dyDescent="0.2">
      <c r="F30" s="20"/>
      <c r="G30" s="20"/>
      <c r="M30" s="23"/>
      <c r="N30" s="23"/>
    </row>
    <row r="31" spans="1:15" ht="24" customHeight="1" x14ac:dyDescent="0.2">
      <c r="A31" s="14" t="s">
        <v>54</v>
      </c>
      <c r="B31" s="15" t="s">
        <v>80</v>
      </c>
      <c r="C31" s="15"/>
      <c r="D31" s="15"/>
      <c r="E31" s="15"/>
      <c r="F31" s="17"/>
      <c r="G31" s="24"/>
      <c r="H31" s="24"/>
      <c r="I31" s="24"/>
      <c r="J31" s="24"/>
      <c r="K31" s="24"/>
      <c r="L31" s="24"/>
      <c r="M31" s="24"/>
      <c r="N31" s="24"/>
    </row>
    <row r="32" spans="1:15" ht="24" customHeight="1" x14ac:dyDescent="0.2">
      <c r="B32" s="130" t="s">
        <v>157</v>
      </c>
      <c r="C32" s="131"/>
      <c r="D32" s="131"/>
      <c r="E32" s="131"/>
      <c r="F32" s="131"/>
      <c r="G32" s="131"/>
      <c r="H32" s="131"/>
      <c r="I32" s="131"/>
      <c r="J32" s="131"/>
      <c r="K32" s="131"/>
      <c r="L32" s="131"/>
      <c r="M32" s="131"/>
      <c r="N32" s="132"/>
      <c r="O32" s="31"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37" t="s">
        <v>74</v>
      </c>
      <c r="C34" s="137"/>
      <c r="D34" s="130" t="s">
        <v>158</v>
      </c>
      <c r="E34" s="131"/>
      <c r="F34" s="131"/>
      <c r="G34" s="138" t="s">
        <v>55</v>
      </c>
      <c r="H34" s="137"/>
      <c r="I34" s="139"/>
      <c r="J34" s="130" t="s">
        <v>159</v>
      </c>
      <c r="K34" s="131"/>
      <c r="L34" s="131"/>
      <c r="M34" s="131"/>
      <c r="N34" s="132"/>
      <c r="O34" s="31" t="str">
        <f>IF(OR(D34="",J34=""),"入力してください","")</f>
        <v/>
      </c>
    </row>
    <row r="35" spans="1:15" ht="7.5" customHeight="1" x14ac:dyDescent="0.2">
      <c r="F35" s="37"/>
      <c r="G35" s="37"/>
      <c r="H35" s="37"/>
      <c r="I35" s="37"/>
      <c r="J35" s="37"/>
      <c r="K35" s="37"/>
      <c r="L35" s="37"/>
      <c r="M35" s="37"/>
      <c r="N35" s="37"/>
    </row>
    <row r="36" spans="1:15" ht="24" customHeight="1" x14ac:dyDescent="0.2">
      <c r="A36" s="14" t="s">
        <v>61</v>
      </c>
      <c r="B36" s="14" t="s">
        <v>81</v>
      </c>
      <c r="M36" s="23"/>
      <c r="N36" s="23"/>
    </row>
    <row r="37" spans="1:15" ht="24" customHeight="1" x14ac:dyDescent="0.2">
      <c r="B37" s="130" t="s">
        <v>160</v>
      </c>
      <c r="C37" s="131"/>
      <c r="D37" s="131"/>
      <c r="E37" s="131"/>
      <c r="F37" s="131"/>
      <c r="G37" s="131"/>
      <c r="H37" s="131"/>
      <c r="I37" s="131"/>
      <c r="J37" s="131"/>
      <c r="K37" s="131"/>
      <c r="L37" s="131"/>
      <c r="M37" s="131"/>
      <c r="N37" s="132"/>
      <c r="O37" s="31" t="str">
        <f>IF(B37="","入力してください","")</f>
        <v/>
      </c>
    </row>
    <row r="38" spans="1:15" ht="7.5" customHeight="1" x14ac:dyDescent="0.2">
      <c r="F38" s="37"/>
      <c r="G38" s="37"/>
      <c r="H38" s="37"/>
      <c r="I38" s="37"/>
      <c r="J38" s="37"/>
      <c r="K38" s="37"/>
      <c r="L38" s="37"/>
      <c r="M38" s="37"/>
      <c r="N38" s="37"/>
    </row>
    <row r="39" spans="1:15" s="14" customFormat="1" ht="24" customHeight="1" x14ac:dyDescent="0.2">
      <c r="B39" s="137" t="s">
        <v>74</v>
      </c>
      <c r="C39" s="137"/>
      <c r="D39" s="130" t="s">
        <v>161</v>
      </c>
      <c r="E39" s="131"/>
      <c r="F39" s="131"/>
      <c r="G39" s="138" t="s">
        <v>55</v>
      </c>
      <c r="H39" s="137"/>
      <c r="I39" s="139"/>
      <c r="J39" s="130" t="s">
        <v>162</v>
      </c>
      <c r="K39" s="131"/>
      <c r="L39" s="131"/>
      <c r="M39" s="131"/>
      <c r="N39" s="132"/>
      <c r="O39" s="31" t="str">
        <f>IF(OR(D39="",J39=""),"入力してください","")</f>
        <v/>
      </c>
    </row>
    <row r="40" spans="1:15" ht="7.5" customHeight="1" x14ac:dyDescent="0.2">
      <c r="F40" s="37"/>
      <c r="G40" s="37"/>
      <c r="H40" s="37"/>
      <c r="I40" s="37"/>
      <c r="J40" s="37"/>
      <c r="K40" s="37"/>
      <c r="L40" s="37"/>
      <c r="M40" s="37"/>
      <c r="N40" s="37"/>
    </row>
    <row r="41" spans="1:15" ht="24" customHeight="1" x14ac:dyDescent="0.2">
      <c r="A41" s="14" t="s">
        <v>88</v>
      </c>
      <c r="B41" s="73" t="s">
        <v>69</v>
      </c>
      <c r="E41" s="74"/>
      <c r="F41" s="130" t="s">
        <v>163</v>
      </c>
      <c r="G41" s="131"/>
      <c r="H41" s="131"/>
      <c r="I41" s="131"/>
      <c r="J41" s="131"/>
      <c r="K41" s="131"/>
      <c r="L41" s="131"/>
      <c r="M41" s="131"/>
      <c r="N41" s="132"/>
      <c r="O41" s="31" t="str">
        <f>IF(F41="","入力してください","")</f>
        <v/>
      </c>
    </row>
    <row r="42" spans="1:15" ht="7.5" customHeight="1" x14ac:dyDescent="0.2">
      <c r="F42" s="37"/>
      <c r="G42" s="37"/>
      <c r="H42" s="37"/>
      <c r="I42" s="37"/>
      <c r="J42" s="37"/>
      <c r="K42" s="37"/>
      <c r="L42" s="37"/>
      <c r="M42" s="37"/>
      <c r="N42" s="37"/>
    </row>
    <row r="43" spans="1:15" ht="24" customHeight="1" x14ac:dyDescent="0.2">
      <c r="A43" s="14" t="s">
        <v>98</v>
      </c>
    </row>
    <row r="44" spans="1:15" ht="24" customHeight="1" x14ac:dyDescent="0.2">
      <c r="B44" s="30" t="s">
        <v>1</v>
      </c>
      <c r="C44" s="135" t="s">
        <v>164</v>
      </c>
      <c r="D44" s="136"/>
      <c r="E44" s="136"/>
      <c r="F44" s="136"/>
      <c r="G44" s="136"/>
      <c r="H44" s="136"/>
      <c r="I44" s="26" t="s">
        <v>2</v>
      </c>
      <c r="J44" s="27"/>
      <c r="K44" s="130" t="s">
        <v>165</v>
      </c>
      <c r="L44" s="131"/>
      <c r="M44" s="131"/>
      <c r="N44" s="132"/>
      <c r="O44" s="31" t="str">
        <f>IF(OR(C44="",K44=""),"入力してください","")</f>
        <v/>
      </c>
    </row>
    <row r="45" spans="1:15" ht="24" customHeight="1" x14ac:dyDescent="0.2">
      <c r="B45" s="25" t="s">
        <v>4</v>
      </c>
      <c r="C45" s="123" t="s">
        <v>166</v>
      </c>
      <c r="D45" s="124"/>
      <c r="E45" s="124"/>
      <c r="F45" s="124"/>
      <c r="G45" s="124"/>
      <c r="H45" s="125"/>
      <c r="I45" s="26" t="s">
        <v>3</v>
      </c>
      <c r="J45" s="27"/>
      <c r="K45" s="126" t="s">
        <v>167</v>
      </c>
      <c r="L45" s="127"/>
      <c r="M45" s="127"/>
      <c r="N45" s="128"/>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zoomScaleNormal="100" zoomScaleSheetLayoutView="100" workbookViewId="0">
      <selection activeCell="AB9" sqref="AB9"/>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240" t="s">
        <v>211</v>
      </c>
      <c r="X1" s="240"/>
      <c r="Y1" s="240"/>
      <c r="Z1" s="240"/>
    </row>
    <row r="2" spans="1:26" ht="18" customHeight="1" x14ac:dyDescent="0.2">
      <c r="A2" s="207" t="s">
        <v>67</v>
      </c>
      <c r="B2" s="207"/>
      <c r="C2" s="207"/>
      <c r="D2" s="207"/>
      <c r="E2" s="207"/>
      <c r="F2" s="207"/>
      <c r="G2" s="207"/>
      <c r="H2" s="207"/>
      <c r="I2" s="207"/>
      <c r="J2" s="207"/>
      <c r="K2" s="207"/>
      <c r="L2" s="207"/>
      <c r="M2" s="207"/>
      <c r="N2" s="207"/>
      <c r="O2" s="207"/>
      <c r="P2" s="207"/>
      <c r="Q2" s="207"/>
      <c r="R2" s="207"/>
      <c r="S2" s="207"/>
      <c r="T2" s="207"/>
      <c r="U2" s="207"/>
      <c r="V2" s="207"/>
      <c r="W2" s="207"/>
      <c r="X2" s="207"/>
      <c r="Y2" s="207"/>
      <c r="Z2" s="207"/>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99</v>
      </c>
      <c r="B4" s="29"/>
      <c r="C4" s="29"/>
      <c r="D4" s="29"/>
      <c r="E4" s="29"/>
      <c r="F4" s="29"/>
      <c r="G4" s="29"/>
      <c r="H4" s="15" t="s">
        <v>112</v>
      </c>
      <c r="I4" s="29"/>
      <c r="J4" s="29"/>
      <c r="K4" s="29"/>
      <c r="L4" s="29"/>
      <c r="M4" s="29"/>
      <c r="N4" s="29"/>
      <c r="O4" s="149" t="s">
        <v>168</v>
      </c>
      <c r="P4" s="150"/>
      <c r="Q4" s="150"/>
      <c r="R4" s="150"/>
      <c r="S4" s="150"/>
      <c r="T4" s="150"/>
      <c r="U4" s="150"/>
      <c r="V4" s="150"/>
      <c r="W4" s="150"/>
      <c r="X4" s="150"/>
      <c r="Y4" s="150"/>
      <c r="Z4" s="151"/>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08" t="s">
        <v>212</v>
      </c>
      <c r="C6" s="310"/>
      <c r="D6" s="310"/>
      <c r="E6" s="310"/>
      <c r="F6" s="310"/>
      <c r="G6" s="310"/>
      <c r="H6" s="310"/>
      <c r="I6" s="310"/>
      <c r="J6" s="310"/>
      <c r="K6" s="310"/>
      <c r="L6" s="310"/>
      <c r="M6" s="310"/>
      <c r="N6" s="310"/>
      <c r="O6" s="310"/>
      <c r="P6" s="310"/>
      <c r="Q6" s="310"/>
      <c r="R6" s="310"/>
      <c r="S6" s="310"/>
      <c r="T6" s="310"/>
      <c r="U6" s="310"/>
      <c r="V6" s="310"/>
      <c r="W6" s="310"/>
      <c r="X6" s="310"/>
      <c r="Y6" s="310"/>
      <c r="Z6" s="311"/>
    </row>
    <row r="7" spans="1:26" ht="18" customHeight="1" x14ac:dyDescent="0.2">
      <c r="B7" s="312"/>
      <c r="C7" s="209"/>
      <c r="D7" s="209"/>
      <c r="E7" s="209"/>
      <c r="F7" s="209"/>
      <c r="G7" s="209"/>
      <c r="H7" s="209"/>
      <c r="I7" s="209"/>
      <c r="J7" s="209"/>
      <c r="K7" s="209"/>
      <c r="L7" s="209"/>
      <c r="M7" s="209"/>
      <c r="N7" s="209"/>
      <c r="O7" s="209"/>
      <c r="P7" s="209"/>
      <c r="Q7" s="209"/>
      <c r="R7" s="209"/>
      <c r="S7" s="209"/>
      <c r="T7" s="209"/>
      <c r="U7" s="209"/>
      <c r="V7" s="209"/>
      <c r="W7" s="209"/>
      <c r="X7" s="209"/>
      <c r="Y7" s="209"/>
      <c r="Z7" s="313"/>
    </row>
    <row r="8" spans="1:26" ht="18" customHeight="1" x14ac:dyDescent="0.2">
      <c r="B8" s="312"/>
      <c r="C8" s="209"/>
      <c r="D8" s="209"/>
      <c r="E8" s="209"/>
      <c r="F8" s="209"/>
      <c r="G8" s="209"/>
      <c r="H8" s="209"/>
      <c r="I8" s="209"/>
      <c r="J8" s="209"/>
      <c r="K8" s="209"/>
      <c r="L8" s="209"/>
      <c r="M8" s="209"/>
      <c r="N8" s="209"/>
      <c r="O8" s="209"/>
      <c r="P8" s="209"/>
      <c r="Q8" s="209"/>
      <c r="R8" s="209"/>
      <c r="S8" s="209"/>
      <c r="T8" s="209"/>
      <c r="U8" s="209"/>
      <c r="V8" s="209"/>
      <c r="W8" s="209"/>
      <c r="X8" s="209"/>
      <c r="Y8" s="209"/>
      <c r="Z8" s="313"/>
    </row>
    <row r="9" spans="1:26" ht="18" customHeight="1" x14ac:dyDescent="0.2">
      <c r="B9" s="312"/>
      <c r="C9" s="209"/>
      <c r="D9" s="209"/>
      <c r="E9" s="209"/>
      <c r="F9" s="209"/>
      <c r="G9" s="209"/>
      <c r="H9" s="209"/>
      <c r="I9" s="209"/>
      <c r="J9" s="209"/>
      <c r="K9" s="209"/>
      <c r="L9" s="209"/>
      <c r="M9" s="209"/>
      <c r="N9" s="209"/>
      <c r="O9" s="209"/>
      <c r="P9" s="209"/>
      <c r="Q9" s="209"/>
      <c r="R9" s="209"/>
      <c r="S9" s="209"/>
      <c r="T9" s="209"/>
      <c r="U9" s="209"/>
      <c r="V9" s="209"/>
      <c r="W9" s="209"/>
      <c r="X9" s="209"/>
      <c r="Y9" s="209"/>
      <c r="Z9" s="313"/>
    </row>
    <row r="10" spans="1:26" ht="18" customHeight="1" x14ac:dyDescent="0.2">
      <c r="B10" s="312"/>
      <c r="C10" s="209"/>
      <c r="D10" s="209"/>
      <c r="E10" s="209"/>
      <c r="F10" s="209"/>
      <c r="G10" s="209"/>
      <c r="H10" s="209"/>
      <c r="I10" s="209"/>
      <c r="J10" s="209"/>
      <c r="K10" s="209"/>
      <c r="L10" s="209"/>
      <c r="M10" s="209"/>
      <c r="N10" s="209"/>
      <c r="O10" s="209"/>
      <c r="P10" s="209"/>
      <c r="Q10" s="209"/>
      <c r="R10" s="209"/>
      <c r="S10" s="209"/>
      <c r="T10" s="209"/>
      <c r="U10" s="209"/>
      <c r="V10" s="209"/>
      <c r="W10" s="209"/>
      <c r="X10" s="209"/>
      <c r="Y10" s="209"/>
      <c r="Z10" s="313"/>
    </row>
    <row r="11" spans="1:26" ht="18" customHeight="1" x14ac:dyDescent="0.2">
      <c r="B11" s="314"/>
      <c r="C11" s="210"/>
      <c r="D11" s="210"/>
      <c r="E11" s="210"/>
      <c r="F11" s="210"/>
      <c r="G11" s="210"/>
      <c r="H11" s="210"/>
      <c r="I11" s="210"/>
      <c r="J11" s="210"/>
      <c r="K11" s="210"/>
      <c r="L11" s="210"/>
      <c r="M11" s="210"/>
      <c r="N11" s="210"/>
      <c r="O11" s="210"/>
      <c r="P11" s="210"/>
      <c r="Q11" s="210"/>
      <c r="R11" s="210"/>
      <c r="S11" s="210"/>
      <c r="T11" s="210"/>
      <c r="U11" s="210"/>
      <c r="V11" s="210"/>
      <c r="W11" s="210"/>
      <c r="X11" s="210"/>
      <c r="Y11" s="210"/>
      <c r="Z11" s="315"/>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3" t="s">
        <v>125</v>
      </c>
      <c r="B13" s="203"/>
      <c r="C13" s="203"/>
      <c r="D13" s="203"/>
      <c r="E13" s="203"/>
      <c r="F13" s="203"/>
      <c r="G13" s="203"/>
      <c r="H13" s="203"/>
      <c r="I13" s="203"/>
      <c r="J13" s="203"/>
      <c r="K13" s="203"/>
      <c r="L13" s="203"/>
      <c r="M13" s="203"/>
      <c r="N13" s="203"/>
      <c r="O13" s="203"/>
      <c r="P13" s="203"/>
      <c r="Q13" s="203"/>
      <c r="R13" s="203"/>
      <c r="S13" s="203"/>
      <c r="T13" s="203"/>
      <c r="U13" s="203"/>
      <c r="V13" s="203"/>
      <c r="W13" s="203"/>
      <c r="X13" s="203"/>
      <c r="Y13" s="203"/>
      <c r="Z13" s="203"/>
    </row>
    <row r="14" spans="1:26" ht="18" customHeight="1" x14ac:dyDescent="0.2">
      <c r="A14" s="203"/>
      <c r="B14" s="203"/>
      <c r="C14" s="203"/>
      <c r="D14" s="203"/>
      <c r="E14" s="203"/>
      <c r="F14" s="203"/>
      <c r="G14" s="203"/>
      <c r="H14" s="203"/>
      <c r="I14" s="203"/>
      <c r="J14" s="203"/>
      <c r="K14" s="203"/>
      <c r="L14" s="203"/>
      <c r="M14" s="203"/>
      <c r="N14" s="203"/>
      <c r="O14" s="203"/>
      <c r="P14" s="203"/>
      <c r="Q14" s="203"/>
      <c r="R14" s="203"/>
      <c r="S14" s="203"/>
      <c r="T14" s="203"/>
      <c r="U14" s="203"/>
      <c r="V14" s="203"/>
      <c r="W14" s="203"/>
      <c r="X14" s="203"/>
      <c r="Y14" s="203"/>
      <c r="Z14" s="203"/>
    </row>
    <row r="15" spans="1:26" ht="18" customHeight="1" x14ac:dyDescent="0.2">
      <c r="A15" s="14"/>
      <c r="B15" s="149" t="s">
        <v>100</v>
      </c>
      <c r="C15" s="150"/>
      <c r="D15" s="150"/>
      <c r="E15" s="150"/>
      <c r="F15" s="151"/>
      <c r="G15" s="30" t="s">
        <v>141</v>
      </c>
      <c r="H15" s="112" t="s">
        <v>140</v>
      </c>
      <c r="I15" s="150" t="s">
        <v>101</v>
      </c>
      <c r="J15" s="150"/>
      <c r="K15" s="150"/>
      <c r="L15" s="75" t="s">
        <v>104</v>
      </c>
      <c r="M15" s="75" t="s">
        <v>107</v>
      </c>
      <c r="N15" s="149" t="s">
        <v>100</v>
      </c>
      <c r="O15" s="150"/>
      <c r="P15" s="150"/>
      <c r="Q15" s="150"/>
      <c r="R15" s="150"/>
      <c r="S15" s="151"/>
      <c r="T15" s="30" t="s">
        <v>141</v>
      </c>
      <c r="U15" s="112" t="s">
        <v>140</v>
      </c>
      <c r="V15" s="150" t="s">
        <v>101</v>
      </c>
      <c r="W15" s="150"/>
      <c r="X15" s="150"/>
      <c r="Y15" s="75" t="s">
        <v>104</v>
      </c>
      <c r="Z15" s="75" t="s">
        <v>107</v>
      </c>
    </row>
    <row r="16" spans="1:26" ht="18" customHeight="1" x14ac:dyDescent="0.2">
      <c r="A16" s="14"/>
      <c r="B16" s="194" t="s">
        <v>169</v>
      </c>
      <c r="C16" s="195"/>
      <c r="D16" s="195"/>
      <c r="E16" s="195"/>
      <c r="F16" s="196"/>
      <c r="G16" s="113">
        <v>2</v>
      </c>
      <c r="H16" s="113" t="s">
        <v>170</v>
      </c>
      <c r="I16" s="188" t="s">
        <v>171</v>
      </c>
      <c r="J16" s="189"/>
      <c r="K16" s="190"/>
      <c r="L16" s="113" t="s">
        <v>170</v>
      </c>
      <c r="M16" s="113" t="s">
        <v>170</v>
      </c>
      <c r="N16" s="156"/>
      <c r="O16" s="157"/>
      <c r="P16" s="157"/>
      <c r="Q16" s="157"/>
      <c r="R16" s="157"/>
      <c r="S16" s="158"/>
      <c r="T16" s="113"/>
      <c r="U16" s="113"/>
      <c r="V16" s="188"/>
      <c r="W16" s="189"/>
      <c r="X16" s="190"/>
      <c r="Y16" s="113"/>
      <c r="Z16" s="113"/>
    </row>
    <row r="17" spans="1:26" ht="18" customHeight="1" x14ac:dyDescent="0.2">
      <c r="A17" s="14"/>
      <c r="B17" s="197"/>
      <c r="C17" s="198"/>
      <c r="D17" s="198"/>
      <c r="E17" s="198"/>
      <c r="F17" s="199"/>
      <c r="G17" s="114"/>
      <c r="H17" s="114"/>
      <c r="I17" s="191"/>
      <c r="J17" s="192"/>
      <c r="K17" s="193"/>
      <c r="L17" s="114"/>
      <c r="M17" s="114"/>
      <c r="N17" s="165"/>
      <c r="O17" s="166"/>
      <c r="P17" s="166"/>
      <c r="Q17" s="166"/>
      <c r="R17" s="166"/>
      <c r="S17" s="167"/>
      <c r="T17" s="114"/>
      <c r="U17" s="114"/>
      <c r="V17" s="191"/>
      <c r="W17" s="192"/>
      <c r="X17" s="193"/>
      <c r="Y17" s="114"/>
      <c r="Z17" s="114"/>
    </row>
    <row r="18" spans="1:26" ht="18" customHeight="1" x14ac:dyDescent="0.2">
      <c r="A18" s="14"/>
      <c r="B18" s="197"/>
      <c r="C18" s="198"/>
      <c r="D18" s="198"/>
      <c r="E18" s="198"/>
      <c r="F18" s="199"/>
      <c r="G18" s="114"/>
      <c r="H18" s="114"/>
      <c r="I18" s="191"/>
      <c r="J18" s="192"/>
      <c r="K18" s="193"/>
      <c r="L18" s="114"/>
      <c r="M18" s="114"/>
      <c r="N18" s="165"/>
      <c r="O18" s="166"/>
      <c r="P18" s="166"/>
      <c r="Q18" s="166"/>
      <c r="R18" s="166"/>
      <c r="S18" s="167"/>
      <c r="T18" s="114"/>
      <c r="U18" s="114"/>
      <c r="V18" s="191"/>
      <c r="W18" s="192"/>
      <c r="X18" s="193"/>
      <c r="Y18" s="114"/>
      <c r="Z18" s="114"/>
    </row>
    <row r="19" spans="1:26" ht="18" customHeight="1" x14ac:dyDescent="0.2">
      <c r="A19" s="14"/>
      <c r="B19" s="197"/>
      <c r="C19" s="198"/>
      <c r="D19" s="198"/>
      <c r="E19" s="198"/>
      <c r="F19" s="199"/>
      <c r="G19" s="114"/>
      <c r="H19" s="114"/>
      <c r="I19" s="191"/>
      <c r="J19" s="192"/>
      <c r="K19" s="193"/>
      <c r="L19" s="114"/>
      <c r="M19" s="114"/>
      <c r="N19" s="165"/>
      <c r="O19" s="166"/>
      <c r="P19" s="166"/>
      <c r="Q19" s="166"/>
      <c r="R19" s="166"/>
      <c r="S19" s="167"/>
      <c r="T19" s="114"/>
      <c r="U19" s="114"/>
      <c r="V19" s="191"/>
      <c r="W19" s="192"/>
      <c r="X19" s="193"/>
      <c r="Y19" s="114"/>
      <c r="Z19" s="114"/>
    </row>
    <row r="20" spans="1:26" ht="18" customHeight="1" x14ac:dyDescent="0.2">
      <c r="A20" s="14"/>
      <c r="B20" s="197"/>
      <c r="C20" s="198"/>
      <c r="D20" s="198"/>
      <c r="E20" s="198"/>
      <c r="F20" s="199"/>
      <c r="G20" s="114"/>
      <c r="H20" s="114"/>
      <c r="I20" s="191"/>
      <c r="J20" s="192"/>
      <c r="K20" s="193"/>
      <c r="L20" s="114"/>
      <c r="M20" s="114"/>
      <c r="N20" s="165"/>
      <c r="O20" s="166"/>
      <c r="P20" s="166"/>
      <c r="Q20" s="166"/>
      <c r="R20" s="166"/>
      <c r="S20" s="167"/>
      <c r="T20" s="114"/>
      <c r="U20" s="114"/>
      <c r="V20" s="191"/>
      <c r="W20" s="192"/>
      <c r="X20" s="193"/>
      <c r="Y20" s="114"/>
      <c r="Z20" s="114"/>
    </row>
    <row r="21" spans="1:26" ht="18" customHeight="1" x14ac:dyDescent="0.2">
      <c r="A21" s="29"/>
      <c r="B21" s="197"/>
      <c r="C21" s="198"/>
      <c r="D21" s="198"/>
      <c r="E21" s="198"/>
      <c r="F21" s="199"/>
      <c r="G21" s="114"/>
      <c r="H21" s="114"/>
      <c r="I21" s="191"/>
      <c r="J21" s="192"/>
      <c r="K21" s="193"/>
      <c r="L21" s="114"/>
      <c r="M21" s="114"/>
      <c r="N21" s="165"/>
      <c r="O21" s="166"/>
      <c r="P21" s="166"/>
      <c r="Q21" s="166"/>
      <c r="R21" s="166"/>
      <c r="S21" s="167"/>
      <c r="T21" s="114"/>
      <c r="U21" s="114"/>
      <c r="V21" s="191"/>
      <c r="W21" s="192"/>
      <c r="X21" s="193"/>
      <c r="Y21" s="114"/>
      <c r="Z21" s="114"/>
    </row>
    <row r="22" spans="1:26" ht="18" customHeight="1" x14ac:dyDescent="0.2">
      <c r="A22" s="29"/>
      <c r="B22" s="204"/>
      <c r="C22" s="205"/>
      <c r="D22" s="205"/>
      <c r="E22" s="205"/>
      <c r="F22" s="206"/>
      <c r="G22" s="115"/>
      <c r="H22" s="115"/>
      <c r="I22" s="200"/>
      <c r="J22" s="201"/>
      <c r="K22" s="202"/>
      <c r="L22" s="121"/>
      <c r="M22" s="121"/>
      <c r="N22" s="221"/>
      <c r="O22" s="222"/>
      <c r="P22" s="222"/>
      <c r="Q22" s="222"/>
      <c r="R22" s="222"/>
      <c r="S22" s="223"/>
      <c r="T22" s="115"/>
      <c r="U22" s="115"/>
      <c r="V22" s="200"/>
      <c r="W22" s="201"/>
      <c r="X22" s="202"/>
      <c r="Y22" s="121"/>
      <c r="Z22" s="121"/>
    </row>
    <row r="23" spans="1:26" ht="7.5" customHeight="1" x14ac:dyDescent="0.2">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2">
      <c r="A24" s="203" t="s">
        <v>126</v>
      </c>
      <c r="B24" s="203"/>
      <c r="C24" s="203"/>
      <c r="D24" s="203"/>
      <c r="E24" s="203"/>
      <c r="F24" s="203"/>
      <c r="G24" s="203"/>
      <c r="H24" s="203"/>
      <c r="I24" s="203"/>
      <c r="J24" s="203"/>
      <c r="K24" s="203"/>
      <c r="L24" s="203"/>
      <c r="M24" s="203"/>
      <c r="N24" s="203"/>
      <c r="O24" s="203"/>
      <c r="P24" s="203"/>
      <c r="Q24" s="203"/>
      <c r="R24" s="203"/>
      <c r="S24" s="203"/>
      <c r="T24" s="203"/>
      <c r="U24" s="203"/>
      <c r="V24" s="203"/>
      <c r="W24" s="203"/>
      <c r="X24" s="203"/>
      <c r="Y24" s="203"/>
      <c r="Z24" s="203"/>
    </row>
    <row r="25" spans="1:26" ht="18" customHeight="1" x14ac:dyDescent="0.2">
      <c r="A25" s="203"/>
      <c r="B25" s="203"/>
      <c r="C25" s="203"/>
      <c r="D25" s="203"/>
      <c r="E25" s="203"/>
      <c r="F25" s="203"/>
      <c r="G25" s="203"/>
      <c r="H25" s="203"/>
      <c r="I25" s="203"/>
      <c r="J25" s="203"/>
      <c r="K25" s="203"/>
      <c r="L25" s="203"/>
      <c r="M25" s="203"/>
      <c r="N25" s="203"/>
      <c r="O25" s="203"/>
      <c r="P25" s="203"/>
      <c r="Q25" s="203"/>
      <c r="R25" s="203"/>
      <c r="S25" s="203"/>
      <c r="T25" s="203"/>
      <c r="U25" s="203"/>
      <c r="V25" s="203"/>
      <c r="W25" s="203"/>
      <c r="X25" s="203"/>
      <c r="Y25" s="203"/>
      <c r="Z25" s="203"/>
    </row>
    <row r="26" spans="1:26" ht="18" customHeight="1" x14ac:dyDescent="0.2">
      <c r="A26" s="14"/>
      <c r="B26" s="149" t="s">
        <v>100</v>
      </c>
      <c r="C26" s="150"/>
      <c r="D26" s="150"/>
      <c r="E26" s="150"/>
      <c r="F26" s="151"/>
      <c r="G26" s="30" t="s">
        <v>141</v>
      </c>
      <c r="H26" s="112" t="s">
        <v>140</v>
      </c>
      <c r="I26" s="150" t="s">
        <v>101</v>
      </c>
      <c r="J26" s="150"/>
      <c r="K26" s="150"/>
      <c r="L26" s="75" t="s">
        <v>127</v>
      </c>
      <c r="M26" s="75" t="s">
        <v>128</v>
      </c>
      <c r="N26" s="149" t="s">
        <v>100</v>
      </c>
      <c r="O26" s="150"/>
      <c r="P26" s="150"/>
      <c r="Q26" s="150"/>
      <c r="R26" s="150"/>
      <c r="S26" s="151"/>
      <c r="T26" s="30" t="s">
        <v>141</v>
      </c>
      <c r="U26" s="112" t="s">
        <v>140</v>
      </c>
      <c r="V26" s="150" t="s">
        <v>101</v>
      </c>
      <c r="W26" s="150"/>
      <c r="X26" s="150"/>
      <c r="Y26" s="75" t="s">
        <v>127</v>
      </c>
      <c r="Z26" s="75" t="s">
        <v>128</v>
      </c>
    </row>
    <row r="27" spans="1:26" ht="18" customHeight="1" x14ac:dyDescent="0.2">
      <c r="A27" s="14"/>
      <c r="B27" s="194" t="s">
        <v>172</v>
      </c>
      <c r="C27" s="195"/>
      <c r="D27" s="195"/>
      <c r="E27" s="195"/>
      <c r="F27" s="196"/>
      <c r="G27" s="113">
        <v>1</v>
      </c>
      <c r="H27" s="113" t="s">
        <v>170</v>
      </c>
      <c r="I27" s="188" t="s">
        <v>171</v>
      </c>
      <c r="J27" s="189"/>
      <c r="K27" s="190"/>
      <c r="L27" s="113" t="s">
        <v>170</v>
      </c>
      <c r="M27" s="113"/>
      <c r="N27" s="156"/>
      <c r="O27" s="157"/>
      <c r="P27" s="157"/>
      <c r="Q27" s="157"/>
      <c r="R27" s="157"/>
      <c r="S27" s="158"/>
      <c r="T27" s="113"/>
      <c r="U27" s="113"/>
      <c r="V27" s="188"/>
      <c r="W27" s="189"/>
      <c r="X27" s="190"/>
      <c r="Y27" s="113"/>
      <c r="Z27" s="113"/>
    </row>
    <row r="28" spans="1:26" ht="18" customHeight="1" x14ac:dyDescent="0.2">
      <c r="A28" s="14"/>
      <c r="B28" s="197" t="s">
        <v>169</v>
      </c>
      <c r="C28" s="198"/>
      <c r="D28" s="198"/>
      <c r="E28" s="198"/>
      <c r="F28" s="199"/>
      <c r="G28" s="114">
        <v>2</v>
      </c>
      <c r="H28" s="114" t="s">
        <v>170</v>
      </c>
      <c r="I28" s="191" t="s">
        <v>171</v>
      </c>
      <c r="J28" s="192"/>
      <c r="K28" s="193"/>
      <c r="L28" s="114"/>
      <c r="M28" s="114" t="s">
        <v>170</v>
      </c>
      <c r="N28" s="165"/>
      <c r="O28" s="166"/>
      <c r="P28" s="166"/>
      <c r="Q28" s="166"/>
      <c r="R28" s="166"/>
      <c r="S28" s="167"/>
      <c r="T28" s="114"/>
      <c r="U28" s="114"/>
      <c r="V28" s="191"/>
      <c r="W28" s="192"/>
      <c r="X28" s="193"/>
      <c r="Y28" s="114"/>
      <c r="Z28" s="114"/>
    </row>
    <row r="29" spans="1:26" ht="18" customHeight="1" x14ac:dyDescent="0.2">
      <c r="A29" s="14"/>
      <c r="B29" s="197"/>
      <c r="C29" s="198"/>
      <c r="D29" s="198"/>
      <c r="E29" s="198"/>
      <c r="F29" s="199"/>
      <c r="G29" s="114"/>
      <c r="H29" s="114"/>
      <c r="I29" s="191"/>
      <c r="J29" s="192"/>
      <c r="K29" s="193"/>
      <c r="L29" s="114"/>
      <c r="M29" s="114"/>
      <c r="N29" s="165"/>
      <c r="O29" s="166"/>
      <c r="P29" s="166"/>
      <c r="Q29" s="166"/>
      <c r="R29" s="166"/>
      <c r="S29" s="167"/>
      <c r="T29" s="114"/>
      <c r="U29" s="114"/>
      <c r="V29" s="191"/>
      <c r="W29" s="192"/>
      <c r="X29" s="193"/>
      <c r="Y29" s="114"/>
      <c r="Z29" s="114"/>
    </row>
    <row r="30" spans="1:26" ht="18" customHeight="1" x14ac:dyDescent="0.2">
      <c r="A30" s="14"/>
      <c r="B30" s="197"/>
      <c r="C30" s="198"/>
      <c r="D30" s="198"/>
      <c r="E30" s="198"/>
      <c r="F30" s="199"/>
      <c r="G30" s="114"/>
      <c r="H30" s="114"/>
      <c r="I30" s="191"/>
      <c r="J30" s="192"/>
      <c r="K30" s="193"/>
      <c r="L30" s="114"/>
      <c r="M30" s="114"/>
      <c r="N30" s="165"/>
      <c r="O30" s="166"/>
      <c r="P30" s="166"/>
      <c r="Q30" s="166"/>
      <c r="R30" s="166"/>
      <c r="S30" s="167"/>
      <c r="T30" s="114"/>
      <c r="U30" s="114"/>
      <c r="V30" s="191"/>
      <c r="W30" s="192"/>
      <c r="X30" s="193"/>
      <c r="Y30" s="114"/>
      <c r="Z30" s="114"/>
    </row>
    <row r="31" spans="1:26" ht="18" customHeight="1" x14ac:dyDescent="0.2">
      <c r="A31" s="14"/>
      <c r="B31" s="197"/>
      <c r="C31" s="198"/>
      <c r="D31" s="198"/>
      <c r="E31" s="198"/>
      <c r="F31" s="199"/>
      <c r="G31" s="114"/>
      <c r="H31" s="114"/>
      <c r="I31" s="191"/>
      <c r="J31" s="192"/>
      <c r="K31" s="193"/>
      <c r="L31" s="114"/>
      <c r="M31" s="114"/>
      <c r="N31" s="165"/>
      <c r="O31" s="166"/>
      <c r="P31" s="166"/>
      <c r="Q31" s="166"/>
      <c r="R31" s="166"/>
      <c r="S31" s="167"/>
      <c r="T31" s="114"/>
      <c r="U31" s="114"/>
      <c r="V31" s="191"/>
      <c r="W31" s="192"/>
      <c r="X31" s="193"/>
      <c r="Y31" s="114"/>
      <c r="Z31" s="114"/>
    </row>
    <row r="32" spans="1:26" ht="18" customHeight="1" x14ac:dyDescent="0.2">
      <c r="A32" s="14"/>
      <c r="B32" s="197"/>
      <c r="C32" s="198"/>
      <c r="D32" s="198"/>
      <c r="E32" s="198"/>
      <c r="F32" s="199"/>
      <c r="G32" s="114"/>
      <c r="H32" s="114"/>
      <c r="I32" s="191"/>
      <c r="J32" s="192"/>
      <c r="K32" s="193"/>
      <c r="L32" s="114"/>
      <c r="M32" s="114"/>
      <c r="N32" s="165"/>
      <c r="O32" s="166"/>
      <c r="P32" s="166"/>
      <c r="Q32" s="166"/>
      <c r="R32" s="166"/>
      <c r="S32" s="167"/>
      <c r="T32" s="114"/>
      <c r="U32" s="114"/>
      <c r="V32" s="191"/>
      <c r="W32" s="192"/>
      <c r="X32" s="193"/>
      <c r="Y32" s="114"/>
      <c r="Z32" s="114"/>
    </row>
    <row r="33" spans="1:26" ht="18" customHeight="1" x14ac:dyDescent="0.2">
      <c r="A33" s="14"/>
      <c r="B33" s="204"/>
      <c r="C33" s="205"/>
      <c r="D33" s="205"/>
      <c r="E33" s="205"/>
      <c r="F33" s="206"/>
      <c r="G33" s="115"/>
      <c r="H33" s="115"/>
      <c r="I33" s="200"/>
      <c r="J33" s="201"/>
      <c r="K33" s="202"/>
      <c r="L33" s="121"/>
      <c r="M33" s="121"/>
      <c r="N33" s="221"/>
      <c r="O33" s="222"/>
      <c r="P33" s="222"/>
      <c r="Q33" s="222"/>
      <c r="R33" s="222"/>
      <c r="S33" s="223"/>
      <c r="T33" s="115"/>
      <c r="U33" s="115"/>
      <c r="V33" s="200"/>
      <c r="W33" s="201"/>
      <c r="X33" s="202"/>
      <c r="Y33" s="121"/>
      <c r="Z33" s="121"/>
    </row>
    <row r="34" spans="1:26" ht="7.5" customHeight="1" x14ac:dyDescent="0.2">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2">
      <c r="A35" s="203" t="s">
        <v>129</v>
      </c>
      <c r="B35" s="203"/>
      <c r="C35" s="203"/>
      <c r="D35" s="203"/>
      <c r="E35" s="203"/>
      <c r="F35" s="203"/>
      <c r="G35" s="203"/>
      <c r="H35" s="203"/>
      <c r="I35" s="203"/>
      <c r="J35" s="203"/>
      <c r="K35" s="203"/>
      <c r="L35" s="203"/>
      <c r="M35" s="203"/>
      <c r="N35" s="203"/>
      <c r="O35" s="203"/>
      <c r="P35" s="203"/>
      <c r="Q35" s="203"/>
      <c r="R35" s="203"/>
      <c r="S35" s="203"/>
      <c r="T35" s="203"/>
      <c r="U35" s="203"/>
      <c r="V35" s="203"/>
      <c r="W35" s="203"/>
      <c r="X35" s="203"/>
      <c r="Y35" s="203"/>
      <c r="Z35" s="203"/>
    </row>
    <row r="36" spans="1:26" ht="18" customHeight="1" x14ac:dyDescent="0.2">
      <c r="A36" s="203"/>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3"/>
      <c r="Z36" s="203"/>
    </row>
    <row r="37" spans="1:26" ht="18" customHeight="1" x14ac:dyDescent="0.2">
      <c r="A37" s="14"/>
      <c r="B37" s="149" t="s">
        <v>100</v>
      </c>
      <c r="C37" s="150"/>
      <c r="D37" s="150"/>
      <c r="E37" s="150"/>
      <c r="F37" s="151"/>
      <c r="G37" s="30" t="s">
        <v>141</v>
      </c>
      <c r="H37" s="112" t="s">
        <v>140</v>
      </c>
      <c r="I37" s="149" t="s">
        <v>101</v>
      </c>
      <c r="J37" s="150"/>
      <c r="K37" s="151"/>
      <c r="L37" s="75" t="s">
        <v>130</v>
      </c>
      <c r="M37" s="75" t="s">
        <v>131</v>
      </c>
      <c r="N37" s="149" t="s">
        <v>100</v>
      </c>
      <c r="O37" s="150"/>
      <c r="P37" s="150"/>
      <c r="Q37" s="150"/>
      <c r="R37" s="150"/>
      <c r="S37" s="151"/>
      <c r="T37" s="30" t="s">
        <v>141</v>
      </c>
      <c r="U37" s="112" t="s">
        <v>140</v>
      </c>
      <c r="V37" s="149" t="s">
        <v>101</v>
      </c>
      <c r="W37" s="150"/>
      <c r="X37" s="151"/>
      <c r="Y37" s="75" t="s">
        <v>130</v>
      </c>
      <c r="Z37" s="75" t="s">
        <v>131</v>
      </c>
    </row>
    <row r="38" spans="1:26" ht="18" customHeight="1" x14ac:dyDescent="0.2">
      <c r="A38" s="29"/>
      <c r="B38" s="194" t="s">
        <v>172</v>
      </c>
      <c r="C38" s="195"/>
      <c r="D38" s="195"/>
      <c r="E38" s="195"/>
      <c r="F38" s="196"/>
      <c r="G38" s="113">
        <v>1</v>
      </c>
      <c r="H38" s="113" t="s">
        <v>170</v>
      </c>
      <c r="I38" s="188" t="s">
        <v>171</v>
      </c>
      <c r="J38" s="189"/>
      <c r="K38" s="190"/>
      <c r="L38" s="113" t="s">
        <v>170</v>
      </c>
      <c r="M38" s="113"/>
      <c r="N38" s="156"/>
      <c r="O38" s="157"/>
      <c r="P38" s="157"/>
      <c r="Q38" s="157"/>
      <c r="R38" s="157"/>
      <c r="S38" s="158"/>
      <c r="T38" s="113"/>
      <c r="U38" s="113"/>
      <c r="V38" s="188"/>
      <c r="W38" s="189"/>
      <c r="X38" s="190"/>
      <c r="Y38" s="113"/>
      <c r="Z38" s="113"/>
    </row>
    <row r="39" spans="1:26" ht="18" customHeight="1" x14ac:dyDescent="0.2">
      <c r="A39" s="29"/>
      <c r="B39" s="197" t="s">
        <v>169</v>
      </c>
      <c r="C39" s="198"/>
      <c r="D39" s="198"/>
      <c r="E39" s="198"/>
      <c r="F39" s="199"/>
      <c r="G39" s="114">
        <v>2</v>
      </c>
      <c r="H39" s="114" t="s">
        <v>170</v>
      </c>
      <c r="I39" s="191" t="s">
        <v>171</v>
      </c>
      <c r="J39" s="192"/>
      <c r="K39" s="193"/>
      <c r="L39" s="114"/>
      <c r="M39" s="114" t="s">
        <v>170</v>
      </c>
      <c r="N39" s="165"/>
      <c r="O39" s="166"/>
      <c r="P39" s="166"/>
      <c r="Q39" s="166"/>
      <c r="R39" s="166"/>
      <c r="S39" s="167"/>
      <c r="T39" s="114"/>
      <c r="U39" s="114"/>
      <c r="V39" s="191"/>
      <c r="W39" s="192"/>
      <c r="X39" s="193"/>
      <c r="Y39" s="114"/>
      <c r="Z39" s="114"/>
    </row>
    <row r="40" spans="1:26" ht="18" customHeight="1" x14ac:dyDescent="0.2">
      <c r="A40" s="29"/>
      <c r="B40" s="197"/>
      <c r="C40" s="198"/>
      <c r="D40" s="198"/>
      <c r="E40" s="198"/>
      <c r="F40" s="199"/>
      <c r="G40" s="114"/>
      <c r="H40" s="114"/>
      <c r="I40" s="191"/>
      <c r="J40" s="192"/>
      <c r="K40" s="193"/>
      <c r="L40" s="114"/>
      <c r="M40" s="114"/>
      <c r="N40" s="165"/>
      <c r="O40" s="166"/>
      <c r="P40" s="166"/>
      <c r="Q40" s="166"/>
      <c r="R40" s="166"/>
      <c r="S40" s="167"/>
      <c r="T40" s="114"/>
      <c r="U40" s="114"/>
      <c r="V40" s="191"/>
      <c r="W40" s="192"/>
      <c r="X40" s="193"/>
      <c r="Y40" s="114"/>
      <c r="Z40" s="114"/>
    </row>
    <row r="41" spans="1:26" ht="18" customHeight="1" x14ac:dyDescent="0.2">
      <c r="A41" s="29"/>
      <c r="B41" s="197"/>
      <c r="C41" s="198"/>
      <c r="D41" s="198"/>
      <c r="E41" s="198"/>
      <c r="F41" s="199"/>
      <c r="G41" s="114"/>
      <c r="H41" s="114"/>
      <c r="I41" s="191"/>
      <c r="J41" s="192"/>
      <c r="K41" s="193"/>
      <c r="L41" s="114"/>
      <c r="M41" s="114"/>
      <c r="N41" s="165"/>
      <c r="O41" s="166"/>
      <c r="P41" s="166"/>
      <c r="Q41" s="166"/>
      <c r="R41" s="166"/>
      <c r="S41" s="167"/>
      <c r="T41" s="114"/>
      <c r="U41" s="114"/>
      <c r="V41" s="191"/>
      <c r="W41" s="192"/>
      <c r="X41" s="193"/>
      <c r="Y41" s="114"/>
      <c r="Z41" s="114"/>
    </row>
    <row r="42" spans="1:26" ht="18" customHeight="1" x14ac:dyDescent="0.2">
      <c r="A42" s="29"/>
      <c r="B42" s="197"/>
      <c r="C42" s="198"/>
      <c r="D42" s="198"/>
      <c r="E42" s="198"/>
      <c r="F42" s="199"/>
      <c r="G42" s="114"/>
      <c r="H42" s="114"/>
      <c r="I42" s="191"/>
      <c r="J42" s="192"/>
      <c r="K42" s="193"/>
      <c r="L42" s="114"/>
      <c r="M42" s="114"/>
      <c r="N42" s="165"/>
      <c r="O42" s="166"/>
      <c r="P42" s="166"/>
      <c r="Q42" s="166"/>
      <c r="R42" s="166"/>
      <c r="S42" s="167"/>
      <c r="T42" s="114"/>
      <c r="U42" s="114"/>
      <c r="V42" s="191"/>
      <c r="W42" s="192"/>
      <c r="X42" s="193"/>
      <c r="Y42" s="114"/>
      <c r="Z42" s="114"/>
    </row>
    <row r="43" spans="1:26" ht="18" customHeight="1" x14ac:dyDescent="0.2">
      <c r="A43" s="29"/>
      <c r="B43" s="197"/>
      <c r="C43" s="198"/>
      <c r="D43" s="198"/>
      <c r="E43" s="198"/>
      <c r="F43" s="199"/>
      <c r="G43" s="114"/>
      <c r="H43" s="114"/>
      <c r="I43" s="191"/>
      <c r="J43" s="192"/>
      <c r="K43" s="193"/>
      <c r="L43" s="114"/>
      <c r="M43" s="114"/>
      <c r="N43" s="165"/>
      <c r="O43" s="166"/>
      <c r="P43" s="166"/>
      <c r="Q43" s="166"/>
      <c r="R43" s="166"/>
      <c r="S43" s="167"/>
      <c r="T43" s="114"/>
      <c r="U43" s="114"/>
      <c r="V43" s="191"/>
      <c r="W43" s="192"/>
      <c r="X43" s="193"/>
      <c r="Y43" s="114"/>
      <c r="Z43" s="114"/>
    </row>
    <row r="44" spans="1:26" ht="18" customHeight="1" x14ac:dyDescent="0.2">
      <c r="A44" s="29"/>
      <c r="B44" s="204"/>
      <c r="C44" s="205"/>
      <c r="D44" s="205"/>
      <c r="E44" s="205"/>
      <c r="F44" s="206"/>
      <c r="G44" s="115"/>
      <c r="H44" s="115"/>
      <c r="I44" s="200"/>
      <c r="J44" s="201"/>
      <c r="K44" s="202"/>
      <c r="L44" s="121"/>
      <c r="M44" s="121"/>
      <c r="N44" s="221"/>
      <c r="O44" s="222"/>
      <c r="P44" s="222"/>
      <c r="Q44" s="222"/>
      <c r="R44" s="222"/>
      <c r="S44" s="223"/>
      <c r="T44" s="115"/>
      <c r="U44" s="115"/>
      <c r="V44" s="200"/>
      <c r="W44" s="201"/>
      <c r="X44" s="202"/>
      <c r="Y44" s="121"/>
      <c r="Z44" s="121"/>
    </row>
    <row r="45" spans="1:26" ht="7.5" customHeight="1" x14ac:dyDescent="0.2">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2">
      <c r="A46" s="203" t="s">
        <v>132</v>
      </c>
      <c r="B46" s="203"/>
      <c r="C46" s="203"/>
      <c r="D46" s="203"/>
      <c r="E46" s="203"/>
      <c r="F46" s="203"/>
      <c r="G46" s="203"/>
      <c r="H46" s="203"/>
      <c r="I46" s="203"/>
      <c r="J46" s="203"/>
      <c r="K46" s="203"/>
      <c r="L46" s="203"/>
      <c r="M46" s="203"/>
      <c r="N46" s="203"/>
      <c r="O46" s="203"/>
      <c r="P46" s="203"/>
      <c r="Q46" s="203"/>
      <c r="R46" s="203"/>
      <c r="S46" s="203"/>
      <c r="T46" s="203"/>
      <c r="U46" s="203"/>
      <c r="V46" s="203"/>
      <c r="W46" s="203"/>
      <c r="X46" s="203"/>
      <c r="Y46" s="203"/>
      <c r="Z46" s="203"/>
    </row>
    <row r="47" spans="1:26" ht="18" customHeight="1" x14ac:dyDescent="0.2">
      <c r="A47" s="203"/>
      <c r="B47" s="203"/>
      <c r="C47" s="203"/>
      <c r="D47" s="203"/>
      <c r="E47" s="203"/>
      <c r="F47" s="203"/>
      <c r="G47" s="203"/>
      <c r="H47" s="203"/>
      <c r="I47" s="203"/>
      <c r="J47" s="203"/>
      <c r="K47" s="203"/>
      <c r="L47" s="203"/>
      <c r="M47" s="203"/>
      <c r="N47" s="203"/>
      <c r="O47" s="203"/>
      <c r="P47" s="203"/>
      <c r="Q47" s="203"/>
      <c r="R47" s="203"/>
      <c r="S47" s="203"/>
      <c r="T47" s="203"/>
      <c r="U47" s="203"/>
      <c r="V47" s="203"/>
      <c r="W47" s="203"/>
      <c r="X47" s="203"/>
      <c r="Y47" s="203"/>
      <c r="Z47" s="203"/>
    </row>
    <row r="48" spans="1:26" ht="18" customHeight="1" x14ac:dyDescent="0.2">
      <c r="A48" s="14"/>
      <c r="B48" s="149" t="s">
        <v>100</v>
      </c>
      <c r="C48" s="150"/>
      <c r="D48" s="150"/>
      <c r="E48" s="150"/>
      <c r="F48" s="151"/>
      <c r="G48" s="30" t="s">
        <v>141</v>
      </c>
      <c r="H48" s="112" t="s">
        <v>140</v>
      </c>
      <c r="I48" s="149" t="s">
        <v>101</v>
      </c>
      <c r="J48" s="150"/>
      <c r="K48" s="151"/>
      <c r="L48" s="75" t="s">
        <v>106</v>
      </c>
      <c r="M48" s="75" t="s">
        <v>108</v>
      </c>
      <c r="N48" s="149" t="s">
        <v>100</v>
      </c>
      <c r="O48" s="150"/>
      <c r="P48" s="150"/>
      <c r="Q48" s="150"/>
      <c r="R48" s="150"/>
      <c r="S48" s="151"/>
      <c r="T48" s="30" t="s">
        <v>141</v>
      </c>
      <c r="U48" s="112" t="s">
        <v>140</v>
      </c>
      <c r="V48" s="149" t="s">
        <v>101</v>
      </c>
      <c r="W48" s="150"/>
      <c r="X48" s="151"/>
      <c r="Y48" s="75" t="s">
        <v>106</v>
      </c>
      <c r="Z48" s="75" t="s">
        <v>108</v>
      </c>
    </row>
    <row r="49" spans="1:26" ht="18" customHeight="1" x14ac:dyDescent="0.2">
      <c r="A49" s="29"/>
      <c r="B49" s="194" t="s">
        <v>172</v>
      </c>
      <c r="C49" s="195"/>
      <c r="D49" s="195"/>
      <c r="E49" s="195"/>
      <c r="F49" s="196"/>
      <c r="G49" s="113">
        <v>1</v>
      </c>
      <c r="H49" s="113" t="s">
        <v>170</v>
      </c>
      <c r="I49" s="188" t="s">
        <v>171</v>
      </c>
      <c r="J49" s="189"/>
      <c r="K49" s="190"/>
      <c r="L49" s="113" t="s">
        <v>170</v>
      </c>
      <c r="M49" s="113" t="s">
        <v>170</v>
      </c>
      <c r="N49" s="156"/>
      <c r="O49" s="157"/>
      <c r="P49" s="157"/>
      <c r="Q49" s="157"/>
      <c r="R49" s="157"/>
      <c r="S49" s="158"/>
      <c r="T49" s="113"/>
      <c r="U49" s="113"/>
      <c r="V49" s="188"/>
      <c r="W49" s="189"/>
      <c r="X49" s="190"/>
      <c r="Y49" s="113"/>
      <c r="Z49" s="113"/>
    </row>
    <row r="50" spans="1:26" ht="18" customHeight="1" x14ac:dyDescent="0.2">
      <c r="A50" s="29"/>
      <c r="B50" s="197" t="s">
        <v>169</v>
      </c>
      <c r="C50" s="198"/>
      <c r="D50" s="198"/>
      <c r="E50" s="198"/>
      <c r="F50" s="199"/>
      <c r="G50" s="114">
        <v>2</v>
      </c>
      <c r="H50" s="114" t="s">
        <v>170</v>
      </c>
      <c r="I50" s="191" t="s">
        <v>171</v>
      </c>
      <c r="J50" s="192"/>
      <c r="K50" s="193"/>
      <c r="L50" s="114" t="s">
        <v>170</v>
      </c>
      <c r="M50" s="114"/>
      <c r="N50" s="165"/>
      <c r="O50" s="166"/>
      <c r="P50" s="166"/>
      <c r="Q50" s="166"/>
      <c r="R50" s="166"/>
      <c r="S50" s="167"/>
      <c r="T50" s="114"/>
      <c r="U50" s="114"/>
      <c r="V50" s="191"/>
      <c r="W50" s="192"/>
      <c r="X50" s="193"/>
      <c r="Y50" s="114"/>
      <c r="Z50" s="114"/>
    </row>
    <row r="51" spans="1:26" ht="18" customHeight="1" x14ac:dyDescent="0.2">
      <c r="A51" s="29"/>
      <c r="B51" s="197"/>
      <c r="C51" s="198"/>
      <c r="D51" s="198"/>
      <c r="E51" s="198"/>
      <c r="F51" s="199"/>
      <c r="G51" s="114"/>
      <c r="H51" s="114"/>
      <c r="I51" s="191"/>
      <c r="J51" s="192"/>
      <c r="K51" s="193"/>
      <c r="L51" s="114"/>
      <c r="M51" s="114"/>
      <c r="N51" s="165"/>
      <c r="O51" s="166"/>
      <c r="P51" s="166"/>
      <c r="Q51" s="166"/>
      <c r="R51" s="166"/>
      <c r="S51" s="167"/>
      <c r="T51" s="114"/>
      <c r="U51" s="114"/>
      <c r="V51" s="191"/>
      <c r="W51" s="192"/>
      <c r="X51" s="193"/>
      <c r="Y51" s="114"/>
      <c r="Z51" s="114"/>
    </row>
    <row r="52" spans="1:26" ht="18" customHeight="1" x14ac:dyDescent="0.2">
      <c r="A52" s="29"/>
      <c r="B52" s="197"/>
      <c r="C52" s="198"/>
      <c r="D52" s="198"/>
      <c r="E52" s="198"/>
      <c r="F52" s="199"/>
      <c r="G52" s="114"/>
      <c r="H52" s="114"/>
      <c r="I52" s="191"/>
      <c r="J52" s="192"/>
      <c r="K52" s="193"/>
      <c r="L52" s="114"/>
      <c r="M52" s="114"/>
      <c r="N52" s="165"/>
      <c r="O52" s="166"/>
      <c r="P52" s="166"/>
      <c r="Q52" s="166"/>
      <c r="R52" s="166"/>
      <c r="S52" s="167"/>
      <c r="T52" s="114"/>
      <c r="U52" s="114"/>
      <c r="V52" s="191"/>
      <c r="W52" s="192"/>
      <c r="X52" s="193"/>
      <c r="Y52" s="114"/>
      <c r="Z52" s="114"/>
    </row>
    <row r="53" spans="1:26" ht="18" customHeight="1" x14ac:dyDescent="0.2">
      <c r="A53" s="29"/>
      <c r="B53" s="197"/>
      <c r="C53" s="198"/>
      <c r="D53" s="198"/>
      <c r="E53" s="198"/>
      <c r="F53" s="199"/>
      <c r="G53" s="114"/>
      <c r="H53" s="114"/>
      <c r="I53" s="191"/>
      <c r="J53" s="192"/>
      <c r="K53" s="193"/>
      <c r="L53" s="114"/>
      <c r="M53" s="114"/>
      <c r="N53" s="165"/>
      <c r="O53" s="166"/>
      <c r="P53" s="166"/>
      <c r="Q53" s="166"/>
      <c r="R53" s="166"/>
      <c r="S53" s="167"/>
      <c r="T53" s="114"/>
      <c r="U53" s="114"/>
      <c r="V53" s="191"/>
      <c r="W53" s="192"/>
      <c r="X53" s="193"/>
      <c r="Y53" s="114"/>
      <c r="Z53" s="114"/>
    </row>
    <row r="54" spans="1:26" ht="18" customHeight="1" x14ac:dyDescent="0.2">
      <c r="A54" s="29"/>
      <c r="B54" s="197"/>
      <c r="C54" s="198"/>
      <c r="D54" s="198"/>
      <c r="E54" s="198"/>
      <c r="F54" s="199"/>
      <c r="G54" s="114"/>
      <c r="H54" s="114"/>
      <c r="I54" s="191"/>
      <c r="J54" s="192"/>
      <c r="K54" s="193"/>
      <c r="L54" s="114"/>
      <c r="M54" s="114"/>
      <c r="N54" s="165"/>
      <c r="O54" s="166"/>
      <c r="P54" s="166"/>
      <c r="Q54" s="166"/>
      <c r="R54" s="166"/>
      <c r="S54" s="167"/>
      <c r="T54" s="114"/>
      <c r="U54" s="114"/>
      <c r="V54" s="191"/>
      <c r="W54" s="192"/>
      <c r="X54" s="193"/>
      <c r="Y54" s="114"/>
      <c r="Z54" s="114"/>
    </row>
    <row r="55" spans="1:26" ht="18" customHeight="1" x14ac:dyDescent="0.2">
      <c r="A55" s="29"/>
      <c r="B55" s="204"/>
      <c r="C55" s="205"/>
      <c r="D55" s="205"/>
      <c r="E55" s="205"/>
      <c r="F55" s="206"/>
      <c r="G55" s="115"/>
      <c r="H55" s="115"/>
      <c r="I55" s="200"/>
      <c r="J55" s="201"/>
      <c r="K55" s="202"/>
      <c r="L55" s="121"/>
      <c r="M55" s="121"/>
      <c r="N55" s="221"/>
      <c r="O55" s="222"/>
      <c r="P55" s="222"/>
      <c r="Q55" s="222"/>
      <c r="R55" s="222"/>
      <c r="S55" s="223"/>
      <c r="T55" s="115"/>
      <c r="U55" s="115"/>
      <c r="V55" s="200"/>
      <c r="W55" s="201"/>
      <c r="X55" s="202"/>
      <c r="Y55" s="121"/>
      <c r="Z55" s="121"/>
    </row>
    <row r="56" spans="1:26" ht="7.5" customHeight="1" x14ac:dyDescent="0.2">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2">
      <c r="A57" s="203" t="s">
        <v>133</v>
      </c>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row>
    <row r="58" spans="1:26" ht="18" customHeight="1" x14ac:dyDescent="0.2">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c r="Y58" s="203"/>
      <c r="Z58" s="203"/>
    </row>
    <row r="59" spans="1:26" ht="18" customHeight="1" x14ac:dyDescent="0.2">
      <c r="A59" s="14"/>
      <c r="B59" s="149" t="s">
        <v>100</v>
      </c>
      <c r="C59" s="150"/>
      <c r="D59" s="150"/>
      <c r="E59" s="151"/>
      <c r="F59" s="30" t="s">
        <v>141</v>
      </c>
      <c r="G59" s="112" t="s">
        <v>140</v>
      </c>
      <c r="H59" s="107" t="s">
        <v>101</v>
      </c>
      <c r="I59" s="108"/>
      <c r="J59" s="109"/>
      <c r="K59" s="75" t="s">
        <v>105</v>
      </c>
      <c r="L59" s="75" t="s">
        <v>134</v>
      </c>
      <c r="M59" s="75" t="s">
        <v>135</v>
      </c>
      <c r="N59" s="149" t="s">
        <v>100</v>
      </c>
      <c r="O59" s="150"/>
      <c r="P59" s="150"/>
      <c r="Q59" s="150"/>
      <c r="R59" s="151"/>
      <c r="S59" s="30" t="s">
        <v>141</v>
      </c>
      <c r="T59" s="112" t="s">
        <v>140</v>
      </c>
      <c r="U59" s="107" t="s">
        <v>101</v>
      </c>
      <c r="V59" s="108"/>
      <c r="W59" s="109"/>
      <c r="X59" s="75" t="s">
        <v>105</v>
      </c>
      <c r="Y59" s="75" t="s">
        <v>134</v>
      </c>
      <c r="Z59" s="75" t="s">
        <v>135</v>
      </c>
    </row>
    <row r="60" spans="1:26" ht="18" customHeight="1" x14ac:dyDescent="0.2">
      <c r="A60" s="29"/>
      <c r="B60" s="156" t="s">
        <v>172</v>
      </c>
      <c r="C60" s="157"/>
      <c r="D60" s="157"/>
      <c r="E60" s="158"/>
      <c r="F60" s="113">
        <v>1</v>
      </c>
      <c r="G60" s="113" t="s">
        <v>170</v>
      </c>
      <c r="H60" s="188" t="s">
        <v>171</v>
      </c>
      <c r="I60" s="189"/>
      <c r="J60" s="190"/>
      <c r="K60" s="113"/>
      <c r="L60" s="113" t="s">
        <v>170</v>
      </c>
      <c r="M60" s="113" t="s">
        <v>170</v>
      </c>
      <c r="N60" s="156"/>
      <c r="O60" s="157"/>
      <c r="P60" s="157"/>
      <c r="Q60" s="157"/>
      <c r="R60" s="158"/>
      <c r="S60" s="113"/>
      <c r="T60" s="113"/>
      <c r="U60" s="188"/>
      <c r="V60" s="189"/>
      <c r="W60" s="190"/>
      <c r="X60" s="120"/>
      <c r="Y60" s="113"/>
      <c r="Z60" s="113"/>
    </row>
    <row r="61" spans="1:26" ht="18" customHeight="1" x14ac:dyDescent="0.2">
      <c r="A61" s="29"/>
      <c r="B61" s="165" t="s">
        <v>173</v>
      </c>
      <c r="C61" s="166"/>
      <c r="D61" s="166"/>
      <c r="E61" s="167"/>
      <c r="F61" s="114">
        <v>1</v>
      </c>
      <c r="G61" s="114" t="s">
        <v>170</v>
      </c>
      <c r="H61" s="191" t="s">
        <v>171</v>
      </c>
      <c r="I61" s="192"/>
      <c r="J61" s="193"/>
      <c r="K61" s="122" t="s">
        <v>170</v>
      </c>
      <c r="L61" s="114" t="s">
        <v>170</v>
      </c>
      <c r="M61" s="114"/>
      <c r="N61" s="165"/>
      <c r="O61" s="166"/>
      <c r="P61" s="166"/>
      <c r="Q61" s="166"/>
      <c r="R61" s="167"/>
      <c r="S61" s="114"/>
      <c r="T61" s="114"/>
      <c r="U61" s="191"/>
      <c r="V61" s="192"/>
      <c r="W61" s="193"/>
      <c r="X61" s="118"/>
      <c r="Y61" s="114"/>
      <c r="Z61" s="114"/>
    </row>
    <row r="62" spans="1:26" ht="18" customHeight="1" x14ac:dyDescent="0.2">
      <c r="A62" s="29"/>
      <c r="B62" s="165"/>
      <c r="C62" s="166"/>
      <c r="D62" s="166"/>
      <c r="E62" s="167"/>
      <c r="F62" s="114"/>
      <c r="G62" s="114"/>
      <c r="H62" s="191"/>
      <c r="I62" s="192"/>
      <c r="J62" s="193"/>
      <c r="K62" s="118"/>
      <c r="L62" s="114"/>
      <c r="M62" s="114"/>
      <c r="N62" s="165"/>
      <c r="O62" s="166"/>
      <c r="P62" s="166"/>
      <c r="Q62" s="166"/>
      <c r="R62" s="167"/>
      <c r="S62" s="114"/>
      <c r="T62" s="114"/>
      <c r="U62" s="191"/>
      <c r="V62" s="192"/>
      <c r="W62" s="193"/>
      <c r="X62" s="118"/>
      <c r="Y62" s="114"/>
      <c r="Z62" s="114"/>
    </row>
    <row r="63" spans="1:26" ht="18" customHeight="1" x14ac:dyDescent="0.2">
      <c r="A63" s="29"/>
      <c r="B63" s="165"/>
      <c r="C63" s="166"/>
      <c r="D63" s="166"/>
      <c r="E63" s="167"/>
      <c r="F63" s="114"/>
      <c r="G63" s="114"/>
      <c r="H63" s="191"/>
      <c r="I63" s="192"/>
      <c r="J63" s="193"/>
      <c r="K63" s="118"/>
      <c r="L63" s="114"/>
      <c r="M63" s="114"/>
      <c r="N63" s="165"/>
      <c r="O63" s="166"/>
      <c r="P63" s="166"/>
      <c r="Q63" s="166"/>
      <c r="R63" s="167"/>
      <c r="S63" s="114"/>
      <c r="T63" s="114"/>
      <c r="U63" s="191"/>
      <c r="V63" s="192"/>
      <c r="W63" s="193"/>
      <c r="X63" s="118"/>
      <c r="Y63" s="114"/>
      <c r="Z63" s="114"/>
    </row>
    <row r="64" spans="1:26" ht="18" customHeight="1" x14ac:dyDescent="0.2">
      <c r="A64" s="29"/>
      <c r="B64" s="165"/>
      <c r="C64" s="166"/>
      <c r="D64" s="166"/>
      <c r="E64" s="167"/>
      <c r="F64" s="114"/>
      <c r="G64" s="114"/>
      <c r="H64" s="191"/>
      <c r="I64" s="192"/>
      <c r="J64" s="193"/>
      <c r="K64" s="118"/>
      <c r="L64" s="114"/>
      <c r="M64" s="114"/>
      <c r="N64" s="165"/>
      <c r="O64" s="166"/>
      <c r="P64" s="166"/>
      <c r="Q64" s="166"/>
      <c r="R64" s="167"/>
      <c r="S64" s="114"/>
      <c r="T64" s="114"/>
      <c r="U64" s="191"/>
      <c r="V64" s="192"/>
      <c r="W64" s="193"/>
      <c r="X64" s="118"/>
      <c r="Y64" s="114"/>
      <c r="Z64" s="114"/>
    </row>
    <row r="65" spans="1:26" ht="18" customHeight="1" x14ac:dyDescent="0.2">
      <c r="A65" s="29"/>
      <c r="B65" s="165"/>
      <c r="C65" s="166"/>
      <c r="D65" s="166"/>
      <c r="E65" s="167"/>
      <c r="F65" s="114"/>
      <c r="G65" s="114"/>
      <c r="H65" s="191"/>
      <c r="I65" s="192"/>
      <c r="J65" s="193"/>
      <c r="K65" s="118"/>
      <c r="L65" s="114"/>
      <c r="M65" s="114"/>
      <c r="N65" s="165"/>
      <c r="O65" s="166"/>
      <c r="P65" s="166"/>
      <c r="Q65" s="166"/>
      <c r="R65" s="167"/>
      <c r="S65" s="114"/>
      <c r="T65" s="114"/>
      <c r="U65" s="191"/>
      <c r="V65" s="192"/>
      <c r="W65" s="193"/>
      <c r="X65" s="118"/>
      <c r="Y65" s="114"/>
      <c r="Z65" s="114"/>
    </row>
    <row r="66" spans="1:26" ht="18" customHeight="1" x14ac:dyDescent="0.2">
      <c r="A66" s="29"/>
      <c r="B66" s="221"/>
      <c r="C66" s="222"/>
      <c r="D66" s="222"/>
      <c r="E66" s="223"/>
      <c r="F66" s="115"/>
      <c r="G66" s="115"/>
      <c r="H66" s="200"/>
      <c r="I66" s="201"/>
      <c r="J66" s="202"/>
      <c r="K66" s="119"/>
      <c r="L66" s="121"/>
      <c r="M66" s="121"/>
      <c r="N66" s="221"/>
      <c r="O66" s="222"/>
      <c r="P66" s="222"/>
      <c r="Q66" s="222"/>
      <c r="R66" s="223"/>
      <c r="S66" s="115"/>
      <c r="T66" s="115"/>
      <c r="U66" s="200"/>
      <c r="V66" s="201"/>
      <c r="W66" s="202"/>
      <c r="X66" s="119"/>
      <c r="Y66" s="121"/>
      <c r="Z66" s="121"/>
    </row>
    <row r="67" spans="1:26" ht="7.5" customHeight="1" x14ac:dyDescent="0.2">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2">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49" t="s">
        <v>100</v>
      </c>
      <c r="C69" s="150"/>
      <c r="D69" s="150"/>
      <c r="E69" s="150"/>
      <c r="F69" s="151"/>
      <c r="G69" s="149" t="s">
        <v>146</v>
      </c>
      <c r="H69" s="150"/>
      <c r="I69" s="150"/>
      <c r="J69" s="150"/>
      <c r="K69" s="150"/>
      <c r="L69" s="150"/>
      <c r="M69" s="151"/>
      <c r="N69" s="227" t="s">
        <v>100</v>
      </c>
      <c r="O69" s="228"/>
      <c r="P69" s="228"/>
      <c r="Q69" s="228"/>
      <c r="R69" s="228"/>
      <c r="S69" s="229"/>
      <c r="T69" s="149" t="s">
        <v>146</v>
      </c>
      <c r="U69" s="150"/>
      <c r="V69" s="150"/>
      <c r="W69" s="150"/>
      <c r="X69" s="150"/>
      <c r="Y69" s="150"/>
      <c r="Z69" s="151"/>
    </row>
    <row r="70" spans="1:26" ht="18" customHeight="1" x14ac:dyDescent="0.2">
      <c r="A70" s="29"/>
      <c r="B70" s="156" t="s">
        <v>173</v>
      </c>
      <c r="C70" s="157"/>
      <c r="D70" s="157"/>
      <c r="E70" s="157"/>
      <c r="F70" s="158"/>
      <c r="G70" s="159" t="s">
        <v>174</v>
      </c>
      <c r="H70" s="160"/>
      <c r="I70" s="160"/>
      <c r="J70" s="160"/>
      <c r="K70" s="160"/>
      <c r="L70" s="160"/>
      <c r="M70" s="161"/>
      <c r="N70" s="156"/>
      <c r="O70" s="157"/>
      <c r="P70" s="157"/>
      <c r="Q70" s="157"/>
      <c r="R70" s="157"/>
      <c r="S70" s="158"/>
      <c r="T70" s="159"/>
      <c r="U70" s="160"/>
      <c r="V70" s="160"/>
      <c r="W70" s="160"/>
      <c r="X70" s="160"/>
      <c r="Y70" s="160"/>
      <c r="Z70" s="161"/>
    </row>
    <row r="71" spans="1:26" ht="18" customHeight="1" x14ac:dyDescent="0.2">
      <c r="A71" s="29"/>
      <c r="B71" s="165"/>
      <c r="C71" s="166"/>
      <c r="D71" s="166"/>
      <c r="E71" s="166"/>
      <c r="F71" s="167"/>
      <c r="G71" s="168"/>
      <c r="H71" s="169"/>
      <c r="I71" s="169"/>
      <c r="J71" s="169"/>
      <c r="K71" s="169"/>
      <c r="L71" s="169"/>
      <c r="M71" s="170"/>
      <c r="N71" s="165"/>
      <c r="O71" s="166"/>
      <c r="P71" s="166"/>
      <c r="Q71" s="166"/>
      <c r="R71" s="166"/>
      <c r="S71" s="167"/>
      <c r="T71" s="168"/>
      <c r="U71" s="169"/>
      <c r="V71" s="169"/>
      <c r="W71" s="169"/>
      <c r="X71" s="169"/>
      <c r="Y71" s="169"/>
      <c r="Z71" s="170"/>
    </row>
    <row r="72" spans="1:26" ht="18" customHeight="1" x14ac:dyDescent="0.2">
      <c r="A72" s="29"/>
      <c r="B72" s="165"/>
      <c r="C72" s="166"/>
      <c r="D72" s="166"/>
      <c r="E72" s="166"/>
      <c r="F72" s="167"/>
      <c r="G72" s="168"/>
      <c r="H72" s="169"/>
      <c r="I72" s="169"/>
      <c r="J72" s="169"/>
      <c r="K72" s="169"/>
      <c r="L72" s="169"/>
      <c r="M72" s="170"/>
      <c r="N72" s="165"/>
      <c r="O72" s="166"/>
      <c r="P72" s="166"/>
      <c r="Q72" s="166"/>
      <c r="R72" s="166"/>
      <c r="S72" s="167"/>
      <c r="T72" s="168"/>
      <c r="U72" s="169"/>
      <c r="V72" s="169"/>
      <c r="W72" s="169"/>
      <c r="X72" s="169"/>
      <c r="Y72" s="169"/>
      <c r="Z72" s="170"/>
    </row>
    <row r="73" spans="1:26" ht="18" customHeight="1" x14ac:dyDescent="0.2">
      <c r="A73" s="29"/>
      <c r="B73" s="165"/>
      <c r="C73" s="166"/>
      <c r="D73" s="166"/>
      <c r="E73" s="166"/>
      <c r="F73" s="167"/>
      <c r="G73" s="168"/>
      <c r="H73" s="169"/>
      <c r="I73" s="169"/>
      <c r="J73" s="169"/>
      <c r="K73" s="169"/>
      <c r="L73" s="169"/>
      <c r="M73" s="170"/>
      <c r="N73" s="165"/>
      <c r="O73" s="166"/>
      <c r="P73" s="166"/>
      <c r="Q73" s="166"/>
      <c r="R73" s="166"/>
      <c r="S73" s="167"/>
      <c r="T73" s="168"/>
      <c r="U73" s="169"/>
      <c r="V73" s="169"/>
      <c r="W73" s="169"/>
      <c r="X73" s="169"/>
      <c r="Y73" s="169"/>
      <c r="Z73" s="170"/>
    </row>
    <row r="74" spans="1:26" ht="18" customHeight="1" x14ac:dyDescent="0.2">
      <c r="A74" s="29"/>
      <c r="B74" s="165"/>
      <c r="C74" s="166"/>
      <c r="D74" s="166"/>
      <c r="E74" s="166"/>
      <c r="F74" s="167"/>
      <c r="G74" s="168"/>
      <c r="H74" s="169"/>
      <c r="I74" s="169"/>
      <c r="J74" s="169"/>
      <c r="K74" s="169"/>
      <c r="L74" s="169"/>
      <c r="M74" s="170"/>
      <c r="N74" s="165"/>
      <c r="O74" s="166"/>
      <c r="P74" s="166"/>
      <c r="Q74" s="166"/>
      <c r="R74" s="166"/>
      <c r="S74" s="167"/>
      <c r="T74" s="168"/>
      <c r="U74" s="169"/>
      <c r="V74" s="169"/>
      <c r="W74" s="169"/>
      <c r="X74" s="169"/>
      <c r="Y74" s="169"/>
      <c r="Z74" s="170"/>
    </row>
    <row r="75" spans="1:26" ht="18" customHeight="1" x14ac:dyDescent="0.2">
      <c r="A75" s="29"/>
      <c r="B75" s="165"/>
      <c r="C75" s="166"/>
      <c r="D75" s="166"/>
      <c r="E75" s="166"/>
      <c r="F75" s="167"/>
      <c r="G75" s="168"/>
      <c r="H75" s="169"/>
      <c r="I75" s="169"/>
      <c r="J75" s="169"/>
      <c r="K75" s="169"/>
      <c r="L75" s="169"/>
      <c r="M75" s="170"/>
      <c r="N75" s="165"/>
      <c r="O75" s="166"/>
      <c r="P75" s="166"/>
      <c r="Q75" s="166"/>
      <c r="R75" s="166"/>
      <c r="S75" s="167"/>
      <c r="T75" s="168"/>
      <c r="U75" s="169"/>
      <c r="V75" s="169"/>
      <c r="W75" s="169"/>
      <c r="X75" s="169"/>
      <c r="Y75" s="169"/>
      <c r="Z75" s="170"/>
    </row>
    <row r="76" spans="1:26" ht="18" customHeight="1" x14ac:dyDescent="0.2">
      <c r="A76" s="29"/>
      <c r="B76" s="221"/>
      <c r="C76" s="222"/>
      <c r="D76" s="222"/>
      <c r="E76" s="222"/>
      <c r="F76" s="223"/>
      <c r="G76" s="224"/>
      <c r="H76" s="225"/>
      <c r="I76" s="225"/>
      <c r="J76" s="225"/>
      <c r="K76" s="225"/>
      <c r="L76" s="225"/>
      <c r="M76" s="226"/>
      <c r="N76" s="221"/>
      <c r="O76" s="222"/>
      <c r="P76" s="222"/>
      <c r="Q76" s="222"/>
      <c r="R76" s="222"/>
      <c r="S76" s="223"/>
      <c r="T76" s="224"/>
      <c r="U76" s="225"/>
      <c r="V76" s="225"/>
      <c r="W76" s="225"/>
      <c r="X76" s="225"/>
      <c r="Y76" s="225"/>
      <c r="Z76" s="226"/>
    </row>
    <row r="77" spans="1:26" ht="18" customHeight="1" x14ac:dyDescent="0.2">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2">
      <c r="A78" s="13" t="s">
        <v>142</v>
      </c>
    </row>
    <row r="79" spans="1:26" ht="18.75" customHeight="1" x14ac:dyDescent="0.2">
      <c r="B79" s="78" t="s">
        <v>102</v>
      </c>
      <c r="C79" s="79"/>
      <c r="D79" s="186" t="s">
        <v>103</v>
      </c>
      <c r="E79" s="186"/>
      <c r="F79" s="186"/>
      <c r="G79" s="186"/>
      <c r="H79" s="186"/>
      <c r="I79" s="186"/>
      <c r="J79" s="186"/>
      <c r="K79" s="186"/>
      <c r="L79" s="186"/>
      <c r="M79" s="186"/>
      <c r="N79" s="186"/>
      <c r="O79" s="186"/>
      <c r="P79" s="186"/>
      <c r="Q79" s="186"/>
      <c r="R79" s="186"/>
      <c r="S79" s="186"/>
      <c r="T79" s="186"/>
      <c r="U79" s="186"/>
      <c r="V79" s="186"/>
      <c r="W79" s="186"/>
      <c r="X79" s="186"/>
      <c r="Y79" s="186"/>
      <c r="Z79" s="187"/>
    </row>
    <row r="80" spans="1:26" ht="78" customHeight="1" x14ac:dyDescent="0.2">
      <c r="B80" s="173" t="s">
        <v>109</v>
      </c>
      <c r="C80" s="85" t="s">
        <v>104</v>
      </c>
      <c r="D80" s="181" t="s">
        <v>178</v>
      </c>
      <c r="E80" s="182"/>
      <c r="F80" s="182"/>
      <c r="G80" s="182"/>
      <c r="H80" s="182"/>
      <c r="I80" s="182"/>
      <c r="J80" s="182"/>
      <c r="K80" s="182"/>
      <c r="L80" s="182"/>
      <c r="M80" s="182"/>
      <c r="N80" s="182"/>
      <c r="O80" s="182"/>
      <c r="P80" s="182"/>
      <c r="Q80" s="182"/>
      <c r="R80" s="182"/>
      <c r="S80" s="182"/>
      <c r="T80" s="182"/>
      <c r="U80" s="182"/>
      <c r="V80" s="182"/>
      <c r="W80" s="182"/>
      <c r="X80" s="182"/>
      <c r="Y80" s="182"/>
      <c r="Z80" s="183"/>
    </row>
    <row r="81" spans="1:26" ht="78" customHeight="1" x14ac:dyDescent="0.2">
      <c r="B81" s="174"/>
      <c r="C81" s="110" t="s">
        <v>137</v>
      </c>
      <c r="D81" s="211" t="s">
        <v>179</v>
      </c>
      <c r="E81" s="212"/>
      <c r="F81" s="212"/>
      <c r="G81" s="212"/>
      <c r="H81" s="212"/>
      <c r="I81" s="212"/>
      <c r="J81" s="212"/>
      <c r="K81" s="212"/>
      <c r="L81" s="212"/>
      <c r="M81" s="212"/>
      <c r="N81" s="212"/>
      <c r="O81" s="212"/>
      <c r="P81" s="212"/>
      <c r="Q81" s="212"/>
      <c r="R81" s="212"/>
      <c r="S81" s="212"/>
      <c r="T81" s="212"/>
      <c r="U81" s="212"/>
      <c r="V81" s="212"/>
      <c r="W81" s="212"/>
      <c r="X81" s="212"/>
      <c r="Y81" s="212"/>
      <c r="Z81" s="213"/>
    </row>
    <row r="82" spans="1:26" ht="78" customHeight="1" x14ac:dyDescent="0.2">
      <c r="B82" s="171" t="s">
        <v>110</v>
      </c>
      <c r="C82" s="80" t="s">
        <v>127</v>
      </c>
      <c r="D82" s="214" t="s">
        <v>180</v>
      </c>
      <c r="E82" s="215"/>
      <c r="F82" s="215"/>
      <c r="G82" s="215"/>
      <c r="H82" s="215"/>
      <c r="I82" s="215"/>
      <c r="J82" s="215"/>
      <c r="K82" s="215"/>
      <c r="L82" s="215"/>
      <c r="M82" s="215"/>
      <c r="N82" s="215"/>
      <c r="O82" s="215"/>
      <c r="P82" s="215"/>
      <c r="Q82" s="215"/>
      <c r="R82" s="215"/>
      <c r="S82" s="215"/>
      <c r="T82" s="215"/>
      <c r="U82" s="215"/>
      <c r="V82" s="215"/>
      <c r="W82" s="215"/>
      <c r="X82" s="215"/>
      <c r="Y82" s="215"/>
      <c r="Z82" s="216"/>
    </row>
    <row r="83" spans="1:26" ht="78" customHeight="1" x14ac:dyDescent="0.2">
      <c r="B83" s="172"/>
      <c r="C83" s="111" t="s">
        <v>128</v>
      </c>
      <c r="D83" s="219" t="s">
        <v>207</v>
      </c>
      <c r="E83" s="219"/>
      <c r="F83" s="219"/>
      <c r="G83" s="219"/>
      <c r="H83" s="219"/>
      <c r="I83" s="219"/>
      <c r="J83" s="219"/>
      <c r="K83" s="219"/>
      <c r="L83" s="219"/>
      <c r="M83" s="219"/>
      <c r="N83" s="219"/>
      <c r="O83" s="219"/>
      <c r="P83" s="219"/>
      <c r="Q83" s="219"/>
      <c r="R83" s="219"/>
      <c r="S83" s="219"/>
      <c r="T83" s="219"/>
      <c r="U83" s="219"/>
      <c r="V83" s="219"/>
      <c r="W83" s="219"/>
      <c r="X83" s="219"/>
      <c r="Y83" s="219"/>
      <c r="Z83" s="220"/>
    </row>
    <row r="84" spans="1:26" ht="66" customHeight="1" x14ac:dyDescent="0.2">
      <c r="B84" s="171" t="s">
        <v>111</v>
      </c>
      <c r="C84" s="80" t="s">
        <v>130</v>
      </c>
      <c r="D84" s="215" t="s">
        <v>181</v>
      </c>
      <c r="E84" s="215"/>
      <c r="F84" s="215"/>
      <c r="G84" s="215"/>
      <c r="H84" s="215"/>
      <c r="I84" s="215"/>
      <c r="J84" s="215"/>
      <c r="K84" s="215"/>
      <c r="L84" s="215"/>
      <c r="M84" s="215"/>
      <c r="N84" s="215"/>
      <c r="O84" s="215"/>
      <c r="P84" s="215"/>
      <c r="Q84" s="215"/>
      <c r="R84" s="215"/>
      <c r="S84" s="215"/>
      <c r="T84" s="215"/>
      <c r="U84" s="215"/>
      <c r="V84" s="215"/>
      <c r="W84" s="215"/>
      <c r="X84" s="215"/>
      <c r="Y84" s="215"/>
      <c r="Z84" s="216"/>
    </row>
    <row r="85" spans="1:26" ht="66" customHeight="1" x14ac:dyDescent="0.2">
      <c r="B85" s="172"/>
      <c r="C85" s="82" t="s">
        <v>131</v>
      </c>
      <c r="D85" s="217" t="s">
        <v>182</v>
      </c>
      <c r="E85" s="217"/>
      <c r="F85" s="217"/>
      <c r="G85" s="217"/>
      <c r="H85" s="217"/>
      <c r="I85" s="217"/>
      <c r="J85" s="217"/>
      <c r="K85" s="217"/>
      <c r="L85" s="217"/>
      <c r="M85" s="217"/>
      <c r="N85" s="217"/>
      <c r="O85" s="217"/>
      <c r="P85" s="217"/>
      <c r="Q85" s="217"/>
      <c r="R85" s="217"/>
      <c r="S85" s="217"/>
      <c r="T85" s="217"/>
      <c r="U85" s="217"/>
      <c r="V85" s="217"/>
      <c r="W85" s="217"/>
      <c r="X85" s="217"/>
      <c r="Y85" s="217"/>
      <c r="Z85" s="218"/>
    </row>
    <row r="86" spans="1:26" ht="66" customHeight="1" x14ac:dyDescent="0.2">
      <c r="B86" s="173" t="s">
        <v>138</v>
      </c>
      <c r="C86" s="85" t="s">
        <v>106</v>
      </c>
      <c r="D86" s="181" t="s">
        <v>183</v>
      </c>
      <c r="E86" s="182"/>
      <c r="F86" s="182"/>
      <c r="G86" s="182"/>
      <c r="H86" s="182"/>
      <c r="I86" s="182"/>
      <c r="J86" s="182"/>
      <c r="K86" s="182"/>
      <c r="L86" s="182"/>
      <c r="M86" s="182"/>
      <c r="N86" s="182"/>
      <c r="O86" s="182"/>
      <c r="P86" s="182"/>
      <c r="Q86" s="182"/>
      <c r="R86" s="182"/>
      <c r="S86" s="182"/>
      <c r="T86" s="182"/>
      <c r="U86" s="182"/>
      <c r="V86" s="182"/>
      <c r="W86" s="182"/>
      <c r="X86" s="182"/>
      <c r="Y86" s="182"/>
      <c r="Z86" s="183"/>
    </row>
    <row r="87" spans="1:26" ht="66" customHeight="1" x14ac:dyDescent="0.2">
      <c r="B87" s="180"/>
      <c r="C87" s="81" t="s">
        <v>108</v>
      </c>
      <c r="D87" s="184" t="s">
        <v>184</v>
      </c>
      <c r="E87" s="184"/>
      <c r="F87" s="184"/>
      <c r="G87" s="184"/>
      <c r="H87" s="184"/>
      <c r="I87" s="184"/>
      <c r="J87" s="184"/>
      <c r="K87" s="184"/>
      <c r="L87" s="184"/>
      <c r="M87" s="184"/>
      <c r="N87" s="184"/>
      <c r="O87" s="184"/>
      <c r="P87" s="184"/>
      <c r="Q87" s="184"/>
      <c r="R87" s="184"/>
      <c r="S87" s="184"/>
      <c r="T87" s="184"/>
      <c r="U87" s="184"/>
      <c r="V87" s="184"/>
      <c r="W87" s="184"/>
      <c r="X87" s="184"/>
      <c r="Y87" s="184"/>
      <c r="Z87" s="185"/>
    </row>
    <row r="88" spans="1:26" ht="66" customHeight="1" x14ac:dyDescent="0.2">
      <c r="B88" s="173" t="s">
        <v>139</v>
      </c>
      <c r="C88" s="80" t="s">
        <v>105</v>
      </c>
      <c r="D88" s="175" t="s">
        <v>177</v>
      </c>
      <c r="E88" s="176"/>
      <c r="F88" s="176"/>
      <c r="G88" s="176"/>
      <c r="H88" s="176"/>
      <c r="I88" s="176"/>
      <c r="J88" s="176"/>
      <c r="K88" s="176"/>
      <c r="L88" s="176"/>
      <c r="M88" s="176"/>
      <c r="N88" s="176"/>
      <c r="O88" s="176"/>
      <c r="P88" s="176"/>
      <c r="Q88" s="176"/>
      <c r="R88" s="176"/>
      <c r="S88" s="176"/>
      <c r="T88" s="176"/>
      <c r="U88" s="176"/>
      <c r="V88" s="176"/>
      <c r="W88" s="176"/>
      <c r="X88" s="176"/>
      <c r="Y88" s="176"/>
      <c r="Z88" s="177"/>
    </row>
    <row r="89" spans="1:26" ht="66" customHeight="1" x14ac:dyDescent="0.2">
      <c r="B89" s="174"/>
      <c r="C89" s="81" t="s">
        <v>134</v>
      </c>
      <c r="D89" s="162" t="s">
        <v>176</v>
      </c>
      <c r="E89" s="163"/>
      <c r="F89" s="163"/>
      <c r="G89" s="163"/>
      <c r="H89" s="163"/>
      <c r="I89" s="163"/>
      <c r="J89" s="163"/>
      <c r="K89" s="163"/>
      <c r="L89" s="163"/>
      <c r="M89" s="163"/>
      <c r="N89" s="163"/>
      <c r="O89" s="163"/>
      <c r="P89" s="163"/>
      <c r="Q89" s="163"/>
      <c r="R89" s="163"/>
      <c r="S89" s="163"/>
      <c r="T89" s="163"/>
      <c r="U89" s="163"/>
      <c r="V89" s="163"/>
      <c r="W89" s="163"/>
      <c r="X89" s="163"/>
      <c r="Y89" s="163"/>
      <c r="Z89" s="164"/>
    </row>
    <row r="90" spans="1:26" ht="66" customHeight="1" x14ac:dyDescent="0.2">
      <c r="B90" s="172"/>
      <c r="C90" s="82" t="s">
        <v>135</v>
      </c>
      <c r="D90" s="178" t="s">
        <v>175</v>
      </c>
      <c r="E90" s="178"/>
      <c r="F90" s="178"/>
      <c r="G90" s="178"/>
      <c r="H90" s="178"/>
      <c r="I90" s="178"/>
      <c r="J90" s="178"/>
      <c r="K90" s="178"/>
      <c r="L90" s="178"/>
      <c r="M90" s="178"/>
      <c r="N90" s="178"/>
      <c r="O90" s="178"/>
      <c r="P90" s="178"/>
      <c r="Q90" s="178"/>
      <c r="R90" s="178"/>
      <c r="S90" s="178"/>
      <c r="T90" s="178"/>
      <c r="U90" s="178"/>
      <c r="V90" s="178"/>
      <c r="W90" s="178"/>
      <c r="X90" s="178"/>
      <c r="Y90" s="178"/>
      <c r="Z90" s="179"/>
    </row>
    <row r="91" spans="1:26" ht="6" customHeight="1" x14ac:dyDescent="0.2"/>
    <row r="92" spans="1:26" ht="18.75" customHeight="1" x14ac:dyDescent="0.2">
      <c r="A92" s="13" t="s">
        <v>143</v>
      </c>
    </row>
    <row r="93" spans="1:26" ht="18.75" customHeight="1" x14ac:dyDescent="0.2">
      <c r="B93" s="230" t="s">
        <v>185</v>
      </c>
      <c r="C93" s="231"/>
      <c r="D93" s="231"/>
      <c r="E93" s="231"/>
      <c r="F93" s="231"/>
      <c r="G93" s="231"/>
      <c r="H93" s="231"/>
      <c r="I93" s="231"/>
      <c r="J93" s="231"/>
      <c r="K93" s="231"/>
      <c r="L93" s="231"/>
      <c r="M93" s="231"/>
      <c r="N93" s="231"/>
      <c r="O93" s="231"/>
      <c r="P93" s="231"/>
      <c r="Q93" s="231"/>
      <c r="R93" s="231"/>
      <c r="S93" s="231"/>
      <c r="T93" s="231"/>
      <c r="U93" s="231"/>
      <c r="V93" s="231"/>
      <c r="W93" s="231"/>
      <c r="X93" s="231"/>
      <c r="Y93" s="231"/>
      <c r="Z93" s="232"/>
    </row>
    <row r="94" spans="1:26" ht="18.75" customHeight="1" x14ac:dyDescent="0.2">
      <c r="B94" s="233"/>
      <c r="C94" s="234"/>
      <c r="D94" s="234"/>
      <c r="E94" s="234"/>
      <c r="F94" s="234"/>
      <c r="G94" s="234"/>
      <c r="H94" s="234"/>
      <c r="I94" s="234"/>
      <c r="J94" s="234"/>
      <c r="K94" s="234"/>
      <c r="L94" s="234"/>
      <c r="M94" s="234"/>
      <c r="N94" s="234"/>
      <c r="O94" s="234"/>
      <c r="P94" s="234"/>
      <c r="Q94" s="234"/>
      <c r="R94" s="234"/>
      <c r="S94" s="234"/>
      <c r="T94" s="234"/>
      <c r="U94" s="234"/>
      <c r="V94" s="234"/>
      <c r="W94" s="234"/>
      <c r="X94" s="234"/>
      <c r="Y94" s="234"/>
      <c r="Z94" s="235"/>
    </row>
    <row r="95" spans="1:26" ht="18.75" customHeight="1" x14ac:dyDescent="0.2">
      <c r="B95" s="236"/>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9"/>
    </row>
    <row r="96" spans="1:26" ht="6" customHeight="1" x14ac:dyDescent="0.2"/>
    <row r="97" spans="1:26" ht="15" customHeight="1" x14ac:dyDescent="0.2">
      <c r="A97" s="13" t="s">
        <v>144</v>
      </c>
    </row>
    <row r="98" spans="1:26" ht="15" customHeight="1" x14ac:dyDescent="0.2">
      <c r="B98" s="237" t="s">
        <v>209</v>
      </c>
      <c r="C98" s="238"/>
      <c r="D98" s="238"/>
      <c r="E98" s="238"/>
      <c r="F98" s="238"/>
      <c r="G98" s="238"/>
      <c r="H98" s="238"/>
      <c r="I98" s="238"/>
      <c r="J98" s="238"/>
      <c r="K98" s="238"/>
      <c r="L98" s="238"/>
      <c r="M98" s="238"/>
      <c r="N98" s="238"/>
      <c r="O98" s="238"/>
      <c r="P98" s="238"/>
      <c r="Q98" s="238"/>
      <c r="R98" s="238"/>
      <c r="S98" s="238"/>
      <c r="T98" s="238"/>
      <c r="U98" s="238"/>
      <c r="V98" s="238"/>
      <c r="W98" s="238"/>
      <c r="X98" s="238"/>
      <c r="Y98" s="238"/>
      <c r="Z98" s="239"/>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H27:H33 H38:H44 Y38:Z44 H49:H55 Y49:Z55 Y60:Z66 G60:G66 H16:H22 U16:U22 T60:T66 U27:U33 L27:M33 U38:U44 L38:M44 U49:U55 L49:M55 L60:M66 K60:K61">
      <formula1>"○"</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78740157480314965" bottom="0.39370078740157483" header="0.31496062992125984" footer="0.31496062992125984"/>
  <pageSetup paperSize="9" scale="90" fitToHeight="0"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0"/>
  <sheetViews>
    <sheetView view="pageBreakPreview" zoomScaleNormal="100" zoomScaleSheetLayoutView="100" workbookViewId="0">
      <selection activeCell="A2" sqref="A2:N2"/>
    </sheetView>
  </sheetViews>
  <sheetFormatPr defaultColWidth="9" defaultRowHeight="18.75" customHeight="1" x14ac:dyDescent="0.2"/>
  <cols>
    <col min="1" max="1" width="2.77734375" style="1" customWidth="1"/>
    <col min="2" max="2" width="30" style="1" customWidth="1"/>
    <col min="3" max="17" width="6.109375" style="1" customWidth="1"/>
    <col min="18" max="18" width="6.6640625" style="1" customWidth="1"/>
    <col min="19" max="16384" width="9" style="1"/>
  </cols>
  <sheetData>
    <row r="1" spans="1:20" ht="18" customHeight="1" x14ac:dyDescent="0.2">
      <c r="F1" s="241" t="s">
        <v>63</v>
      </c>
      <c r="G1" s="241"/>
      <c r="H1" s="241"/>
      <c r="I1" s="241"/>
      <c r="J1" s="241"/>
      <c r="K1" s="241"/>
      <c r="L1" s="241"/>
      <c r="M1" s="241"/>
      <c r="N1" s="241"/>
      <c r="O1" s="241"/>
      <c r="P1" s="241"/>
      <c r="Q1" s="241"/>
      <c r="R1" s="241"/>
    </row>
    <row r="2" spans="1:20" ht="18" customHeight="1" x14ac:dyDescent="0.2">
      <c r="A2" s="242" t="s">
        <v>89</v>
      </c>
      <c r="B2" s="242"/>
      <c r="C2" s="242"/>
      <c r="D2" s="242"/>
      <c r="E2" s="242"/>
      <c r="F2" s="242"/>
      <c r="G2" s="242"/>
      <c r="H2" s="242"/>
      <c r="I2" s="242"/>
      <c r="J2" s="242"/>
      <c r="K2" s="242"/>
      <c r="L2" s="242"/>
      <c r="M2" s="242"/>
      <c r="N2" s="242"/>
      <c r="O2" s="242"/>
      <c r="P2" s="242"/>
      <c r="Q2" s="242"/>
      <c r="R2" s="242"/>
      <c r="S2" s="4"/>
    </row>
    <row r="3" spans="1:20" ht="7.5" customHeight="1" x14ac:dyDescent="0.2">
      <c r="A3" s="38"/>
      <c r="B3" s="38"/>
      <c r="C3" s="38"/>
      <c r="D3" s="38"/>
      <c r="E3" s="38"/>
      <c r="F3" s="38"/>
      <c r="G3" s="38"/>
      <c r="H3" s="38"/>
      <c r="I3" s="38"/>
      <c r="J3" s="38"/>
      <c r="K3" s="38"/>
      <c r="L3" s="38"/>
      <c r="M3" s="38"/>
      <c r="N3" s="38"/>
      <c r="O3" s="38"/>
      <c r="P3" s="38"/>
      <c r="Q3" s="38"/>
      <c r="R3" s="38"/>
    </row>
    <row r="4" spans="1:20" ht="18" customHeight="1" x14ac:dyDescent="0.2">
      <c r="A4" s="4" t="s">
        <v>147</v>
      </c>
      <c r="B4" s="4"/>
      <c r="C4" s="243" t="str">
        <f>'様式１　大学等概要'!E12</f>
        <v>令和元</v>
      </c>
      <c r="D4" s="244"/>
      <c r="E4" s="38" t="s">
        <v>113</v>
      </c>
      <c r="F4" s="38"/>
      <c r="G4" s="38"/>
      <c r="H4" s="38"/>
      <c r="I4" s="38"/>
      <c r="J4" s="86"/>
      <c r="K4" s="38"/>
      <c r="L4" s="38"/>
      <c r="M4" s="116"/>
      <c r="N4" s="116"/>
      <c r="O4" s="116"/>
      <c r="P4" s="116"/>
      <c r="Q4" s="116"/>
      <c r="R4" s="116"/>
    </row>
    <row r="5" spans="1:20" ht="6" customHeight="1" x14ac:dyDescent="0.2">
      <c r="A5" s="38"/>
      <c r="B5" s="38"/>
      <c r="C5" s="38"/>
      <c r="D5" s="38"/>
      <c r="E5" s="38"/>
      <c r="F5" s="38"/>
      <c r="G5" s="38"/>
      <c r="H5" s="38"/>
      <c r="I5" s="38"/>
      <c r="J5" s="38"/>
      <c r="K5" s="38"/>
      <c r="L5" s="38"/>
      <c r="M5" s="38"/>
      <c r="N5" s="38"/>
      <c r="O5" s="38"/>
      <c r="P5" s="38"/>
      <c r="Q5" s="38"/>
      <c r="R5" s="38"/>
    </row>
    <row r="6" spans="1:20" ht="18" customHeight="1" x14ac:dyDescent="0.2">
      <c r="A6" s="4" t="s">
        <v>145</v>
      </c>
      <c r="B6" s="38"/>
      <c r="C6" s="38"/>
      <c r="D6" s="38"/>
      <c r="E6" s="38"/>
      <c r="F6" s="38"/>
      <c r="G6" s="38"/>
      <c r="H6" s="38"/>
      <c r="I6" s="38"/>
      <c r="J6" s="38"/>
      <c r="K6" s="38"/>
      <c r="L6" s="38"/>
      <c r="M6" s="38"/>
      <c r="N6" s="38"/>
      <c r="O6" s="38"/>
      <c r="P6" s="38"/>
      <c r="Q6" s="38"/>
      <c r="R6" s="38"/>
    </row>
    <row r="7" spans="1:20" ht="6" customHeight="1" x14ac:dyDescent="0.2">
      <c r="A7" s="4"/>
      <c r="B7" s="38"/>
      <c r="C7" s="38"/>
      <c r="D7" s="38"/>
      <c r="E7" s="38"/>
      <c r="F7" s="38"/>
      <c r="G7" s="38"/>
      <c r="H7" s="38"/>
      <c r="I7" s="38"/>
      <c r="J7" s="38"/>
      <c r="K7" s="38"/>
      <c r="L7" s="38"/>
      <c r="M7" s="38"/>
      <c r="N7" s="38"/>
      <c r="O7" s="38"/>
      <c r="P7" s="38"/>
      <c r="Q7" s="38"/>
      <c r="R7" s="38"/>
    </row>
    <row r="8" spans="1:20" ht="18" customHeight="1" x14ac:dyDescent="0.2">
      <c r="B8" s="245" t="s">
        <v>79</v>
      </c>
      <c r="C8" s="247" t="s">
        <v>84</v>
      </c>
      <c r="D8" s="249" t="s">
        <v>68</v>
      </c>
      <c r="E8" s="251" t="s">
        <v>90</v>
      </c>
      <c r="F8" s="251"/>
      <c r="G8" s="251" t="s">
        <v>91</v>
      </c>
      <c r="H8" s="251"/>
      <c r="I8" s="251" t="s">
        <v>92</v>
      </c>
      <c r="J8" s="251"/>
      <c r="K8" s="252" t="s">
        <v>93</v>
      </c>
      <c r="L8" s="253"/>
      <c r="M8" s="252" t="s">
        <v>94</v>
      </c>
      <c r="N8" s="253"/>
      <c r="O8" s="252" t="s">
        <v>95</v>
      </c>
      <c r="P8" s="253"/>
      <c r="Q8" s="254" t="s">
        <v>62</v>
      </c>
      <c r="R8" s="256" t="s">
        <v>56</v>
      </c>
      <c r="T8" s="34"/>
    </row>
    <row r="9" spans="1:20" ht="18" customHeight="1" x14ac:dyDescent="0.2">
      <c r="A9" s="4"/>
      <c r="B9" s="246"/>
      <c r="C9" s="248"/>
      <c r="D9" s="250"/>
      <c r="E9" s="43" t="s">
        <v>44</v>
      </c>
      <c r="F9" s="44" t="s">
        <v>43</v>
      </c>
      <c r="G9" s="45" t="s">
        <v>44</v>
      </c>
      <c r="H9" s="46" t="s">
        <v>43</v>
      </c>
      <c r="I9" s="43" t="s">
        <v>44</v>
      </c>
      <c r="J9" s="44" t="s">
        <v>43</v>
      </c>
      <c r="K9" s="45" t="s">
        <v>44</v>
      </c>
      <c r="L9" s="46" t="s">
        <v>43</v>
      </c>
      <c r="M9" s="43" t="s">
        <v>44</v>
      </c>
      <c r="N9" s="44" t="s">
        <v>43</v>
      </c>
      <c r="O9" s="45" t="s">
        <v>44</v>
      </c>
      <c r="P9" s="46" t="s">
        <v>43</v>
      </c>
      <c r="Q9" s="255"/>
      <c r="R9" s="257"/>
      <c r="T9" s="34"/>
    </row>
    <row r="10" spans="1:20" ht="18" customHeight="1" x14ac:dyDescent="0.2">
      <c r="A10" s="47"/>
      <c r="B10" s="87" t="s">
        <v>186</v>
      </c>
      <c r="C10" s="47">
        <v>40</v>
      </c>
      <c r="D10" s="48">
        <v>200</v>
      </c>
      <c r="E10" s="49">
        <v>42</v>
      </c>
      <c r="F10" s="50"/>
      <c r="G10" s="51">
        <v>40</v>
      </c>
      <c r="H10" s="52"/>
      <c r="I10" s="49">
        <v>40</v>
      </c>
      <c r="J10" s="50"/>
      <c r="K10" s="51"/>
      <c r="L10" s="52"/>
      <c r="M10" s="49"/>
      <c r="N10" s="50"/>
      <c r="O10" s="51"/>
      <c r="P10" s="52"/>
      <c r="Q10" s="53">
        <f>E10+G10+I10+K10+M10+O10</f>
        <v>122</v>
      </c>
      <c r="R10" s="54">
        <f>Q10/D10</f>
        <v>0.61</v>
      </c>
    </row>
    <row r="11" spans="1:20" ht="18" customHeight="1" x14ac:dyDescent="0.2">
      <c r="A11" s="47"/>
      <c r="B11" s="88" t="s">
        <v>187</v>
      </c>
      <c r="C11" s="63">
        <v>40</v>
      </c>
      <c r="D11" s="56">
        <v>200</v>
      </c>
      <c r="E11" s="57">
        <v>43</v>
      </c>
      <c r="F11" s="58"/>
      <c r="G11" s="59">
        <v>43</v>
      </c>
      <c r="H11" s="60"/>
      <c r="I11" s="57">
        <v>40</v>
      </c>
      <c r="J11" s="58"/>
      <c r="K11" s="59"/>
      <c r="L11" s="60"/>
      <c r="M11" s="57"/>
      <c r="N11" s="58"/>
      <c r="O11" s="59"/>
      <c r="P11" s="60"/>
      <c r="Q11" s="61">
        <f t="shared" ref="Q11:Q29" si="0">E11+G11+I11+K11+M11+O11</f>
        <v>126</v>
      </c>
      <c r="R11" s="62">
        <f t="shared" ref="R11:R29" si="1">Q11/D11</f>
        <v>0.63</v>
      </c>
    </row>
    <row r="12" spans="1:20" ht="18" customHeight="1" x14ac:dyDescent="0.2">
      <c r="A12" s="47"/>
      <c r="B12" s="88" t="s">
        <v>188</v>
      </c>
      <c r="C12" s="63">
        <v>40</v>
      </c>
      <c r="D12" s="56">
        <v>200</v>
      </c>
      <c r="E12" s="57">
        <v>41</v>
      </c>
      <c r="F12" s="58"/>
      <c r="G12" s="59">
        <v>41</v>
      </c>
      <c r="H12" s="60"/>
      <c r="I12" s="57">
        <v>42</v>
      </c>
      <c r="J12" s="58"/>
      <c r="K12" s="59"/>
      <c r="L12" s="60"/>
      <c r="M12" s="57"/>
      <c r="N12" s="58"/>
      <c r="O12" s="59"/>
      <c r="P12" s="60"/>
      <c r="Q12" s="61">
        <f t="shared" si="0"/>
        <v>124</v>
      </c>
      <c r="R12" s="62">
        <f t="shared" si="1"/>
        <v>0.62</v>
      </c>
    </row>
    <row r="13" spans="1:20" ht="18" customHeight="1" x14ac:dyDescent="0.2">
      <c r="A13" s="47"/>
      <c r="B13" s="88" t="s">
        <v>189</v>
      </c>
      <c r="C13" s="63">
        <v>40</v>
      </c>
      <c r="D13" s="56">
        <v>200</v>
      </c>
      <c r="E13" s="57">
        <v>41</v>
      </c>
      <c r="F13" s="58"/>
      <c r="G13" s="59">
        <v>42</v>
      </c>
      <c r="H13" s="60"/>
      <c r="I13" s="57">
        <v>42</v>
      </c>
      <c r="J13" s="58"/>
      <c r="K13" s="59"/>
      <c r="L13" s="60"/>
      <c r="M13" s="57"/>
      <c r="N13" s="58"/>
      <c r="O13" s="59"/>
      <c r="P13" s="60"/>
      <c r="Q13" s="61">
        <f t="shared" si="0"/>
        <v>125</v>
      </c>
      <c r="R13" s="62">
        <f t="shared" si="1"/>
        <v>0.625</v>
      </c>
    </row>
    <row r="14" spans="1:20" ht="18" customHeight="1" x14ac:dyDescent="0.2">
      <c r="A14" s="47"/>
      <c r="B14" s="88" t="s">
        <v>190</v>
      </c>
      <c r="C14" s="63">
        <v>40</v>
      </c>
      <c r="D14" s="56">
        <v>200</v>
      </c>
      <c r="E14" s="57">
        <v>41</v>
      </c>
      <c r="F14" s="58"/>
      <c r="G14" s="59">
        <v>42</v>
      </c>
      <c r="H14" s="60"/>
      <c r="I14" s="57">
        <v>40</v>
      </c>
      <c r="J14" s="58"/>
      <c r="K14" s="59"/>
      <c r="L14" s="60"/>
      <c r="M14" s="57"/>
      <c r="N14" s="58"/>
      <c r="O14" s="59"/>
      <c r="P14" s="60"/>
      <c r="Q14" s="61">
        <f t="shared" si="0"/>
        <v>123</v>
      </c>
      <c r="R14" s="62">
        <f t="shared" si="1"/>
        <v>0.61499999999999999</v>
      </c>
    </row>
    <row r="15" spans="1:20" ht="18" customHeight="1" x14ac:dyDescent="0.2">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2">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2">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2">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2">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2">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2">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2">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2">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2">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2">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2">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2">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2">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5">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2">
      <c r="B30" s="91" t="s">
        <v>57</v>
      </c>
      <c r="C30" s="92">
        <f t="shared" ref="C30:Q30" si="2">SUM(C10:C29)</f>
        <v>200</v>
      </c>
      <c r="D30" s="65">
        <f t="shared" si="2"/>
        <v>1000</v>
      </c>
      <c r="E30" s="66">
        <f t="shared" si="2"/>
        <v>208</v>
      </c>
      <c r="F30" s="67">
        <f t="shared" si="2"/>
        <v>0</v>
      </c>
      <c r="G30" s="68">
        <f t="shared" si="2"/>
        <v>208</v>
      </c>
      <c r="H30" s="69">
        <f t="shared" si="2"/>
        <v>0</v>
      </c>
      <c r="I30" s="66">
        <f t="shared" si="2"/>
        <v>204</v>
      </c>
      <c r="J30" s="67">
        <f t="shared" si="2"/>
        <v>0</v>
      </c>
      <c r="K30" s="68">
        <f t="shared" si="2"/>
        <v>0</v>
      </c>
      <c r="L30" s="69">
        <f t="shared" si="2"/>
        <v>0</v>
      </c>
      <c r="M30" s="66">
        <f t="shared" si="2"/>
        <v>0</v>
      </c>
      <c r="N30" s="67">
        <f t="shared" si="2"/>
        <v>0</v>
      </c>
      <c r="O30" s="68">
        <f t="shared" si="2"/>
        <v>0</v>
      </c>
      <c r="P30" s="69">
        <f t="shared" si="2"/>
        <v>0</v>
      </c>
      <c r="Q30" s="70">
        <f t="shared" si="2"/>
        <v>620</v>
      </c>
      <c r="R30" s="71">
        <f>Q30/D30</f>
        <v>0.62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39370078740157483" header="0.31496062992125984" footer="0.31496062992125984"/>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4"/>
  <sheetViews>
    <sheetView showZeros="0" view="pageBreakPreview" topLeftCell="A37" zoomScaleNormal="100" zoomScaleSheetLayoutView="100" workbookViewId="0">
      <selection activeCell="A2" sqref="A2:N2"/>
    </sheetView>
  </sheetViews>
  <sheetFormatPr defaultColWidth="11.33203125" defaultRowHeight="18.75" customHeight="1" x14ac:dyDescent="0.2"/>
  <cols>
    <col min="1" max="1" width="2.77734375" style="2"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1" width="11.33203125" style="31"/>
    <col min="12" max="16384" width="11.33203125" style="1"/>
  </cols>
  <sheetData>
    <row r="1" spans="1:11" ht="18.75" customHeight="1" x14ac:dyDescent="0.2">
      <c r="A1" s="2" t="s">
        <v>114</v>
      </c>
      <c r="J1" s="41" t="s">
        <v>115</v>
      </c>
    </row>
    <row r="2" spans="1:11" ht="18.75" customHeight="1" x14ac:dyDescent="0.2">
      <c r="A2" s="242" t="s">
        <v>64</v>
      </c>
      <c r="B2" s="242"/>
      <c r="C2" s="242"/>
      <c r="D2" s="242"/>
      <c r="E2" s="242"/>
      <c r="F2" s="242"/>
      <c r="G2" s="242"/>
      <c r="H2" s="242"/>
      <c r="I2" s="242"/>
      <c r="J2" s="242"/>
    </row>
    <row r="3" spans="1:11" ht="7.5" customHeight="1" x14ac:dyDescent="0.2">
      <c r="B3" s="38"/>
      <c r="C3" s="38"/>
      <c r="D3" s="38"/>
      <c r="E3" s="38"/>
      <c r="F3" s="38"/>
      <c r="G3" s="38"/>
      <c r="H3" s="38"/>
      <c r="I3" s="38"/>
      <c r="J3" s="38"/>
    </row>
    <row r="4" spans="1:11" ht="18.75" customHeight="1" x14ac:dyDescent="0.2">
      <c r="A4" s="1" t="s">
        <v>6</v>
      </c>
      <c r="B4" s="4" t="s">
        <v>72</v>
      </c>
      <c r="C4" s="4"/>
      <c r="D4" s="4"/>
      <c r="E4" s="4"/>
      <c r="F4" s="4"/>
      <c r="G4" s="4"/>
      <c r="H4" s="4"/>
      <c r="I4" s="38"/>
      <c r="J4" s="38"/>
    </row>
    <row r="5" spans="1:11" ht="18.75" customHeight="1" x14ac:dyDescent="0.2">
      <c r="A5" s="1"/>
      <c r="B5" s="135" t="s">
        <v>191</v>
      </c>
      <c r="C5" s="136"/>
      <c r="D5" s="136"/>
      <c r="E5" s="136"/>
      <c r="F5" s="136"/>
      <c r="G5" s="136"/>
      <c r="H5" s="136"/>
      <c r="I5" s="136"/>
      <c r="J5" s="267"/>
      <c r="K5" s="31" t="str">
        <f>IF(B5="","入力してください","")</f>
        <v/>
      </c>
    </row>
    <row r="6" spans="1:11" ht="7.5" customHeight="1" x14ac:dyDescent="0.2">
      <c r="B6" s="38"/>
      <c r="C6" s="38"/>
      <c r="D6" s="38"/>
      <c r="E6" s="38"/>
      <c r="F6" s="38"/>
      <c r="G6" s="38"/>
      <c r="H6" s="38"/>
      <c r="I6" s="38"/>
      <c r="J6" s="38"/>
    </row>
    <row r="7" spans="1:11" s="4" customFormat="1" ht="18.75" customHeight="1" x14ac:dyDescent="0.2">
      <c r="A7" s="1" t="s">
        <v>9</v>
      </c>
      <c r="B7" s="1" t="s">
        <v>39</v>
      </c>
      <c r="C7" s="1"/>
      <c r="D7" s="1"/>
      <c r="E7" s="1"/>
      <c r="F7" s="1"/>
      <c r="G7" s="1"/>
      <c r="H7" s="1"/>
      <c r="I7" s="1"/>
      <c r="J7" s="1"/>
      <c r="K7" s="35"/>
    </row>
    <row r="8" spans="1:11" s="4" customFormat="1" ht="18.75" customHeight="1" x14ac:dyDescent="0.2">
      <c r="A8" s="93"/>
      <c r="B8" s="268" t="s">
        <v>192</v>
      </c>
      <c r="C8" s="269"/>
      <c r="D8" s="269"/>
      <c r="E8" s="269"/>
      <c r="F8" s="269"/>
      <c r="G8" s="269"/>
      <c r="H8" s="269"/>
      <c r="I8" s="270"/>
      <c r="J8" s="271"/>
      <c r="K8" s="31" t="str">
        <f>IF(B8="","入力してください","")</f>
        <v/>
      </c>
    </row>
    <row r="9" spans="1:11" s="4" customFormat="1" ht="18.75" customHeight="1" x14ac:dyDescent="0.2">
      <c r="A9" s="93"/>
      <c r="B9" s="272"/>
      <c r="C9" s="273"/>
      <c r="D9" s="273"/>
      <c r="E9" s="273"/>
      <c r="F9" s="273"/>
      <c r="G9" s="273"/>
      <c r="H9" s="273"/>
      <c r="I9" s="273"/>
      <c r="J9" s="274"/>
      <c r="K9" s="31"/>
    </row>
    <row r="10" spans="1:11" s="4" customFormat="1" ht="18.75" customHeight="1" x14ac:dyDescent="0.2">
      <c r="A10" s="93"/>
      <c r="B10" s="272"/>
      <c r="C10" s="273"/>
      <c r="D10" s="273"/>
      <c r="E10" s="273"/>
      <c r="F10" s="273"/>
      <c r="G10" s="273"/>
      <c r="H10" s="273"/>
      <c r="I10" s="273"/>
      <c r="J10" s="274"/>
      <c r="K10" s="31"/>
    </row>
    <row r="11" spans="1:11" s="4" customFormat="1" ht="18.75" customHeight="1" x14ac:dyDescent="0.2">
      <c r="A11" s="93"/>
      <c r="B11" s="272"/>
      <c r="C11" s="273"/>
      <c r="D11" s="273"/>
      <c r="E11" s="273"/>
      <c r="F11" s="273"/>
      <c r="G11" s="273"/>
      <c r="H11" s="273"/>
      <c r="I11" s="273"/>
      <c r="J11" s="274"/>
      <c r="K11" s="31"/>
    </row>
    <row r="12" spans="1:11" s="4" customFormat="1" ht="18.75" customHeight="1" x14ac:dyDescent="0.2">
      <c r="A12" s="93"/>
      <c r="B12" s="275"/>
      <c r="C12" s="276"/>
      <c r="D12" s="276"/>
      <c r="E12" s="276"/>
      <c r="F12" s="276"/>
      <c r="G12" s="276"/>
      <c r="H12" s="276"/>
      <c r="I12" s="276"/>
      <c r="J12" s="277"/>
      <c r="K12" s="31"/>
    </row>
    <row r="13" spans="1:11" s="4" customFormat="1" ht="7.5" customHeight="1" x14ac:dyDescent="0.2">
      <c r="A13" s="93"/>
      <c r="B13" s="93"/>
      <c r="C13" s="93"/>
      <c r="D13" s="93"/>
      <c r="E13" s="93"/>
      <c r="F13" s="93"/>
      <c r="G13" s="93"/>
      <c r="H13" s="93"/>
      <c r="I13" s="93"/>
      <c r="J13" s="93"/>
      <c r="K13" s="31"/>
    </row>
    <row r="14" spans="1:11" s="4" customFormat="1" ht="18.75" customHeight="1" x14ac:dyDescent="0.2">
      <c r="A14" s="94" t="s">
        <v>10</v>
      </c>
      <c r="B14" s="94" t="s">
        <v>15</v>
      </c>
      <c r="C14" s="94"/>
      <c r="D14" s="94"/>
      <c r="E14" s="94"/>
      <c r="F14" s="94"/>
      <c r="G14" s="94"/>
      <c r="H14" s="94"/>
      <c r="I14" s="94"/>
      <c r="J14" s="94"/>
      <c r="K14" s="31"/>
    </row>
    <row r="15" spans="1:11" s="4" customFormat="1" ht="18.75" customHeight="1" x14ac:dyDescent="0.2">
      <c r="A15" s="93"/>
      <c r="B15" s="268" t="s">
        <v>193</v>
      </c>
      <c r="C15" s="278"/>
      <c r="D15" s="278"/>
      <c r="E15" s="278"/>
      <c r="F15" s="278"/>
      <c r="G15" s="278"/>
      <c r="H15" s="278"/>
      <c r="I15" s="279"/>
      <c r="J15" s="280"/>
      <c r="K15" s="31" t="str">
        <f>IF(B15="","入力してください","")</f>
        <v/>
      </c>
    </row>
    <row r="16" spans="1:11" s="4" customFormat="1" ht="18.75" customHeight="1" x14ac:dyDescent="0.2">
      <c r="A16" s="93"/>
      <c r="B16" s="281"/>
      <c r="C16" s="282"/>
      <c r="D16" s="282"/>
      <c r="E16" s="282"/>
      <c r="F16" s="282"/>
      <c r="G16" s="282"/>
      <c r="H16" s="282"/>
      <c r="I16" s="282"/>
      <c r="J16" s="283"/>
      <c r="K16" s="31"/>
    </row>
    <row r="17" spans="1:11" s="4" customFormat="1" ht="18.75" customHeight="1" x14ac:dyDescent="0.2">
      <c r="A17" s="93"/>
      <c r="B17" s="281"/>
      <c r="C17" s="282"/>
      <c r="D17" s="282"/>
      <c r="E17" s="282"/>
      <c r="F17" s="282"/>
      <c r="G17" s="282"/>
      <c r="H17" s="282"/>
      <c r="I17" s="282"/>
      <c r="J17" s="283"/>
      <c r="K17" s="31"/>
    </row>
    <row r="18" spans="1:11" s="4" customFormat="1" ht="18.75" customHeight="1" x14ac:dyDescent="0.2">
      <c r="A18" s="93"/>
      <c r="B18" s="281"/>
      <c r="C18" s="282"/>
      <c r="D18" s="282"/>
      <c r="E18" s="282"/>
      <c r="F18" s="282"/>
      <c r="G18" s="282"/>
      <c r="H18" s="282"/>
      <c r="I18" s="282"/>
      <c r="J18" s="283"/>
      <c r="K18" s="31"/>
    </row>
    <row r="19" spans="1:11" s="4" customFormat="1" ht="18.75" customHeight="1" x14ac:dyDescent="0.2">
      <c r="A19" s="93"/>
      <c r="B19" s="281"/>
      <c r="C19" s="282"/>
      <c r="D19" s="282"/>
      <c r="E19" s="282"/>
      <c r="F19" s="282"/>
      <c r="G19" s="282"/>
      <c r="H19" s="282"/>
      <c r="I19" s="282"/>
      <c r="J19" s="283"/>
      <c r="K19" s="31"/>
    </row>
    <row r="20" spans="1:11" s="4" customFormat="1" ht="18.75" customHeight="1" x14ac:dyDescent="0.2">
      <c r="A20" s="93"/>
      <c r="B20" s="281"/>
      <c r="C20" s="282"/>
      <c r="D20" s="282"/>
      <c r="E20" s="282"/>
      <c r="F20" s="282"/>
      <c r="G20" s="282"/>
      <c r="H20" s="282"/>
      <c r="I20" s="282"/>
      <c r="J20" s="283"/>
      <c r="K20" s="31"/>
    </row>
    <row r="21" spans="1:11" s="4" customFormat="1" ht="18.75" customHeight="1" x14ac:dyDescent="0.2">
      <c r="A21" s="93"/>
      <c r="B21" s="281"/>
      <c r="C21" s="282"/>
      <c r="D21" s="282"/>
      <c r="E21" s="282"/>
      <c r="F21" s="282"/>
      <c r="G21" s="282"/>
      <c r="H21" s="282"/>
      <c r="I21" s="282"/>
      <c r="J21" s="283"/>
      <c r="K21" s="31"/>
    </row>
    <row r="22" spans="1:11" s="4" customFormat="1" ht="18.75" customHeight="1" x14ac:dyDescent="0.2">
      <c r="A22" s="93"/>
      <c r="B22" s="281"/>
      <c r="C22" s="282"/>
      <c r="D22" s="282"/>
      <c r="E22" s="282"/>
      <c r="F22" s="282"/>
      <c r="G22" s="282"/>
      <c r="H22" s="282"/>
      <c r="I22" s="282"/>
      <c r="J22" s="283"/>
      <c r="K22" s="31"/>
    </row>
    <row r="23" spans="1:11" s="4" customFormat="1" ht="18.75" customHeight="1" x14ac:dyDescent="0.2">
      <c r="A23" s="93"/>
      <c r="B23" s="281"/>
      <c r="C23" s="282"/>
      <c r="D23" s="282"/>
      <c r="E23" s="282"/>
      <c r="F23" s="282"/>
      <c r="G23" s="282"/>
      <c r="H23" s="282"/>
      <c r="I23" s="282"/>
      <c r="J23" s="283"/>
      <c r="K23" s="31"/>
    </row>
    <row r="24" spans="1:11" s="4" customFormat="1" ht="18.75" customHeight="1" x14ac:dyDescent="0.2">
      <c r="A24" s="93"/>
      <c r="B24" s="281"/>
      <c r="C24" s="282"/>
      <c r="D24" s="282"/>
      <c r="E24" s="282"/>
      <c r="F24" s="282"/>
      <c r="G24" s="282"/>
      <c r="H24" s="282"/>
      <c r="I24" s="282"/>
      <c r="J24" s="283"/>
      <c r="K24" s="31"/>
    </row>
    <row r="25" spans="1:11" s="4" customFormat="1" ht="18.75" customHeight="1" x14ac:dyDescent="0.2">
      <c r="A25" s="93"/>
      <c r="B25" s="284"/>
      <c r="C25" s="285"/>
      <c r="D25" s="285"/>
      <c r="E25" s="285"/>
      <c r="F25" s="285"/>
      <c r="G25" s="285"/>
      <c r="H25" s="285"/>
      <c r="I25" s="285"/>
      <c r="J25" s="286"/>
      <c r="K25" s="31"/>
    </row>
    <row r="26" spans="1:11" ht="7.5" customHeight="1" x14ac:dyDescent="0.2">
      <c r="A26" s="39"/>
      <c r="B26" s="39"/>
      <c r="C26" s="39"/>
      <c r="D26" s="39"/>
      <c r="E26" s="39"/>
      <c r="F26" s="39"/>
      <c r="G26" s="39"/>
      <c r="H26" s="39"/>
      <c r="I26" s="39"/>
      <c r="J26" s="39"/>
    </row>
    <row r="27" spans="1:11" s="4" customFormat="1" ht="18.75" customHeight="1" x14ac:dyDescent="0.2">
      <c r="A27" s="1" t="s">
        <v>13</v>
      </c>
      <c r="B27" s="1" t="s">
        <v>26</v>
      </c>
      <c r="C27" s="1"/>
      <c r="D27" s="1"/>
      <c r="E27" s="1"/>
      <c r="F27" s="1"/>
      <c r="G27" s="1"/>
      <c r="H27" s="1"/>
      <c r="I27" s="1"/>
      <c r="J27" s="1"/>
      <c r="K27" s="31"/>
    </row>
    <row r="28" spans="1:11" s="29" customFormat="1" ht="18.75" customHeight="1" x14ac:dyDescent="0.2">
      <c r="B28" s="95" t="s">
        <v>116</v>
      </c>
      <c r="C28" s="96">
        <f>'様式３　履修者等数の実績'!R30</f>
        <v>0.62</v>
      </c>
      <c r="D28" s="97"/>
      <c r="E28" s="97" t="s">
        <v>117</v>
      </c>
      <c r="F28" s="96">
        <v>0.8</v>
      </c>
      <c r="G28" s="97"/>
      <c r="H28" s="97" t="s">
        <v>118</v>
      </c>
      <c r="I28" s="98">
        <v>1</v>
      </c>
      <c r="J28" s="99"/>
      <c r="K28" s="31"/>
    </row>
    <row r="29" spans="1:11" s="29" customFormat="1" ht="18.75" customHeight="1" x14ac:dyDescent="0.2">
      <c r="B29" s="83" t="s">
        <v>119</v>
      </c>
      <c r="C29" s="100">
        <v>1</v>
      </c>
      <c r="D29" s="84"/>
      <c r="E29" s="84" t="s">
        <v>120</v>
      </c>
      <c r="F29" s="100">
        <v>1</v>
      </c>
      <c r="G29" s="84"/>
      <c r="H29" s="84" t="s">
        <v>121</v>
      </c>
      <c r="I29" s="101">
        <f>'様式３　履修者等数の実績'!D30</f>
        <v>1000</v>
      </c>
      <c r="J29" s="102"/>
      <c r="K29" s="35"/>
    </row>
    <row r="30" spans="1:11" s="4" customFormat="1" ht="18.75" customHeight="1" x14ac:dyDescent="0.2">
      <c r="A30" s="1"/>
      <c r="B30" s="168" t="s">
        <v>122</v>
      </c>
      <c r="C30" s="169"/>
      <c r="D30" s="169"/>
      <c r="E30" s="169"/>
      <c r="F30" s="169"/>
      <c r="G30" s="169"/>
      <c r="H30" s="169"/>
      <c r="I30" s="169"/>
      <c r="J30" s="170"/>
      <c r="K30" s="35"/>
    </row>
    <row r="31" spans="1:11" s="4" customFormat="1" ht="18.75" customHeight="1" x14ac:dyDescent="0.2">
      <c r="A31" s="1"/>
      <c r="B31" s="258" t="s">
        <v>194</v>
      </c>
      <c r="C31" s="259"/>
      <c r="D31" s="259"/>
      <c r="E31" s="259"/>
      <c r="F31" s="259"/>
      <c r="G31" s="259"/>
      <c r="H31" s="259"/>
      <c r="I31" s="259"/>
      <c r="J31" s="260"/>
      <c r="K31" s="35" t="str">
        <f>IF(B31="","入力してください","")</f>
        <v/>
      </c>
    </row>
    <row r="32" spans="1:11" s="4" customFormat="1" ht="18.75" customHeight="1" x14ac:dyDescent="0.2">
      <c r="A32" s="1"/>
      <c r="B32" s="261"/>
      <c r="C32" s="262"/>
      <c r="D32" s="262"/>
      <c r="E32" s="262"/>
      <c r="F32" s="262"/>
      <c r="G32" s="262"/>
      <c r="H32" s="262"/>
      <c r="I32" s="262"/>
      <c r="J32" s="263"/>
      <c r="K32" s="35"/>
    </row>
    <row r="33" spans="1:11" s="4" customFormat="1" ht="18.75" customHeight="1" x14ac:dyDescent="0.2">
      <c r="A33" s="1"/>
      <c r="B33" s="261"/>
      <c r="C33" s="262"/>
      <c r="D33" s="262"/>
      <c r="E33" s="262"/>
      <c r="F33" s="262"/>
      <c r="G33" s="262"/>
      <c r="H33" s="262"/>
      <c r="I33" s="262"/>
      <c r="J33" s="263"/>
      <c r="K33" s="35"/>
    </row>
    <row r="34" spans="1:11" s="4" customFormat="1" ht="18.75" customHeight="1" x14ac:dyDescent="0.2">
      <c r="A34" s="1"/>
      <c r="B34" s="261"/>
      <c r="C34" s="262"/>
      <c r="D34" s="262"/>
      <c r="E34" s="262"/>
      <c r="F34" s="262"/>
      <c r="G34" s="262"/>
      <c r="H34" s="262"/>
      <c r="I34" s="262"/>
      <c r="J34" s="263"/>
      <c r="K34" s="35"/>
    </row>
    <row r="35" spans="1:11" s="4" customFormat="1" ht="18.75" customHeight="1" x14ac:dyDescent="0.2">
      <c r="A35" s="1"/>
      <c r="B35" s="261"/>
      <c r="C35" s="262"/>
      <c r="D35" s="262"/>
      <c r="E35" s="262"/>
      <c r="F35" s="262"/>
      <c r="G35" s="262"/>
      <c r="H35" s="262"/>
      <c r="I35" s="262"/>
      <c r="J35" s="263"/>
      <c r="K35" s="35"/>
    </row>
    <row r="36" spans="1:11" s="4" customFormat="1" ht="18.75" customHeight="1" x14ac:dyDescent="0.2">
      <c r="A36" s="1"/>
      <c r="B36" s="261"/>
      <c r="C36" s="262"/>
      <c r="D36" s="262"/>
      <c r="E36" s="262"/>
      <c r="F36" s="262"/>
      <c r="G36" s="262"/>
      <c r="H36" s="262"/>
      <c r="I36" s="262"/>
      <c r="J36" s="263"/>
      <c r="K36" s="35"/>
    </row>
    <row r="37" spans="1:11" s="4" customFormat="1" ht="18.75" customHeight="1" x14ac:dyDescent="0.2">
      <c r="A37" s="1"/>
      <c r="B37" s="261"/>
      <c r="C37" s="262"/>
      <c r="D37" s="262"/>
      <c r="E37" s="262"/>
      <c r="F37" s="262"/>
      <c r="G37" s="262"/>
      <c r="H37" s="262"/>
      <c r="I37" s="262"/>
      <c r="J37" s="263"/>
      <c r="K37" s="35"/>
    </row>
    <row r="38" spans="1:11" s="4" customFormat="1" ht="18.75" customHeight="1" x14ac:dyDescent="0.2">
      <c r="A38" s="1"/>
      <c r="B38" s="261"/>
      <c r="C38" s="262"/>
      <c r="D38" s="262"/>
      <c r="E38" s="262"/>
      <c r="F38" s="262"/>
      <c r="G38" s="262"/>
      <c r="H38" s="262"/>
      <c r="I38" s="262"/>
      <c r="J38" s="263"/>
      <c r="K38" s="35"/>
    </row>
    <row r="39" spans="1:11" s="4" customFormat="1" ht="18.75" customHeight="1" x14ac:dyDescent="0.2">
      <c r="A39" s="1"/>
      <c r="B39" s="261"/>
      <c r="C39" s="262"/>
      <c r="D39" s="262"/>
      <c r="E39" s="262"/>
      <c r="F39" s="262"/>
      <c r="G39" s="262"/>
      <c r="H39" s="262"/>
      <c r="I39" s="262"/>
      <c r="J39" s="263"/>
      <c r="K39" s="35"/>
    </row>
    <row r="40" spans="1:11" s="4" customFormat="1" ht="18.75" customHeight="1" x14ac:dyDescent="0.2">
      <c r="A40" s="1"/>
      <c r="B40" s="261"/>
      <c r="C40" s="262"/>
      <c r="D40" s="262"/>
      <c r="E40" s="262"/>
      <c r="F40" s="262"/>
      <c r="G40" s="262"/>
      <c r="H40" s="262"/>
      <c r="I40" s="262"/>
      <c r="J40" s="263"/>
      <c r="K40" s="35"/>
    </row>
    <row r="41" spans="1:11" s="4" customFormat="1" ht="18.75" customHeight="1" x14ac:dyDescent="0.2">
      <c r="A41" s="1"/>
      <c r="B41" s="261"/>
      <c r="C41" s="262"/>
      <c r="D41" s="262"/>
      <c r="E41" s="262"/>
      <c r="F41" s="262"/>
      <c r="G41" s="262"/>
      <c r="H41" s="262"/>
      <c r="I41" s="262"/>
      <c r="J41" s="263"/>
      <c r="K41" s="35"/>
    </row>
    <row r="42" spans="1:11" s="4" customFormat="1" ht="18.75" customHeight="1" x14ac:dyDescent="0.2">
      <c r="A42" s="1"/>
      <c r="B42" s="261"/>
      <c r="C42" s="262"/>
      <c r="D42" s="262"/>
      <c r="E42" s="262"/>
      <c r="F42" s="262"/>
      <c r="G42" s="262"/>
      <c r="H42" s="262"/>
      <c r="I42" s="262"/>
      <c r="J42" s="263"/>
      <c r="K42" s="35"/>
    </row>
    <row r="43" spans="1:11" ht="18.75" customHeight="1" x14ac:dyDescent="0.2">
      <c r="A43" s="39"/>
      <c r="B43" s="261"/>
      <c r="C43" s="262"/>
      <c r="D43" s="262"/>
      <c r="E43" s="262"/>
      <c r="F43" s="262"/>
      <c r="G43" s="262"/>
      <c r="H43" s="262"/>
      <c r="I43" s="262"/>
      <c r="J43" s="263"/>
      <c r="K43" s="35"/>
    </row>
    <row r="44" spans="1:11" ht="18.75" customHeight="1" x14ac:dyDescent="0.2">
      <c r="A44" s="39"/>
      <c r="B44" s="264"/>
      <c r="C44" s="265"/>
      <c r="D44" s="265"/>
      <c r="E44" s="265"/>
      <c r="F44" s="265"/>
      <c r="G44" s="265"/>
      <c r="H44" s="265"/>
      <c r="I44" s="265"/>
      <c r="J44" s="266"/>
    </row>
    <row r="45" spans="1:11" s="4" customFormat="1" ht="18.75" customHeight="1" x14ac:dyDescent="0.2">
      <c r="A45" s="103" t="s">
        <v>11</v>
      </c>
      <c r="B45" s="1" t="s">
        <v>65</v>
      </c>
      <c r="C45" s="1"/>
      <c r="D45" s="1"/>
      <c r="E45" s="1"/>
      <c r="F45" s="1"/>
      <c r="G45" s="1"/>
      <c r="H45" s="1"/>
      <c r="I45" s="103"/>
      <c r="J45" s="103"/>
      <c r="K45" s="31"/>
    </row>
    <row r="46" spans="1:11" ht="18.75" customHeight="1" x14ac:dyDescent="0.2">
      <c r="A46" s="39"/>
      <c r="B46" s="268" t="s">
        <v>195</v>
      </c>
      <c r="C46" s="278"/>
      <c r="D46" s="278"/>
      <c r="E46" s="278"/>
      <c r="F46" s="278"/>
      <c r="G46" s="278"/>
      <c r="H46" s="278"/>
      <c r="I46" s="278"/>
      <c r="J46" s="287"/>
      <c r="K46" s="31" t="str">
        <f>IF(B46="","入力してください","")</f>
        <v/>
      </c>
    </row>
    <row r="47" spans="1:11" ht="18.75" customHeight="1" x14ac:dyDescent="0.2">
      <c r="A47" s="39"/>
      <c r="B47" s="261"/>
      <c r="C47" s="262"/>
      <c r="D47" s="262"/>
      <c r="E47" s="262"/>
      <c r="F47" s="262"/>
      <c r="G47" s="262"/>
      <c r="H47" s="262"/>
      <c r="I47" s="262"/>
      <c r="J47" s="263"/>
    </row>
    <row r="48" spans="1:11" ht="18.75" customHeight="1" x14ac:dyDescent="0.2">
      <c r="A48" s="39"/>
      <c r="B48" s="261"/>
      <c r="C48" s="262"/>
      <c r="D48" s="262"/>
      <c r="E48" s="262"/>
      <c r="F48" s="262"/>
      <c r="G48" s="262"/>
      <c r="H48" s="262"/>
      <c r="I48" s="262"/>
      <c r="J48" s="263"/>
    </row>
    <row r="49" spans="1:10" ht="18.75" customHeight="1" x14ac:dyDescent="0.2">
      <c r="A49" s="39"/>
      <c r="B49" s="261"/>
      <c r="C49" s="262"/>
      <c r="D49" s="262"/>
      <c r="E49" s="262"/>
      <c r="F49" s="262"/>
      <c r="G49" s="262"/>
      <c r="H49" s="262"/>
      <c r="I49" s="262"/>
      <c r="J49" s="263"/>
    </row>
    <row r="50" spans="1:10" ht="18.75" customHeight="1" x14ac:dyDescent="0.2">
      <c r="A50" s="39"/>
      <c r="B50" s="261"/>
      <c r="C50" s="262"/>
      <c r="D50" s="262"/>
      <c r="E50" s="262"/>
      <c r="F50" s="262"/>
      <c r="G50" s="262"/>
      <c r="H50" s="262"/>
      <c r="I50" s="262"/>
      <c r="J50" s="263"/>
    </row>
    <row r="51" spans="1:10" ht="18.75" customHeight="1" x14ac:dyDescent="0.2">
      <c r="A51" s="39"/>
      <c r="B51" s="261"/>
      <c r="C51" s="262"/>
      <c r="D51" s="262"/>
      <c r="E51" s="262"/>
      <c r="F51" s="262"/>
      <c r="G51" s="262"/>
      <c r="H51" s="262"/>
      <c r="I51" s="262"/>
      <c r="J51" s="263"/>
    </row>
    <row r="52" spans="1:10" ht="18.75" customHeight="1" x14ac:dyDescent="0.2">
      <c r="A52" s="39"/>
      <c r="B52" s="261"/>
      <c r="C52" s="262"/>
      <c r="D52" s="262"/>
      <c r="E52" s="262"/>
      <c r="F52" s="262"/>
      <c r="G52" s="262"/>
      <c r="H52" s="262"/>
      <c r="I52" s="262"/>
      <c r="J52" s="263"/>
    </row>
    <row r="53" spans="1:10" ht="18.75" customHeight="1" x14ac:dyDescent="0.2">
      <c r="A53" s="39"/>
      <c r="B53" s="261"/>
      <c r="C53" s="262"/>
      <c r="D53" s="262"/>
      <c r="E53" s="262"/>
      <c r="F53" s="262"/>
      <c r="G53" s="262"/>
      <c r="H53" s="262"/>
      <c r="I53" s="262"/>
      <c r="J53" s="263"/>
    </row>
    <row r="54" spans="1:10" ht="18.75" customHeight="1" x14ac:dyDescent="0.2">
      <c r="A54" s="39"/>
      <c r="B54" s="261"/>
      <c r="C54" s="262"/>
      <c r="D54" s="262"/>
      <c r="E54" s="262"/>
      <c r="F54" s="262"/>
      <c r="G54" s="262"/>
      <c r="H54" s="262"/>
      <c r="I54" s="262"/>
      <c r="J54" s="263"/>
    </row>
    <row r="55" spans="1:10" ht="18.75" customHeight="1" x14ac:dyDescent="0.2">
      <c r="A55" s="39"/>
      <c r="B55" s="261"/>
      <c r="C55" s="262"/>
      <c r="D55" s="262"/>
      <c r="E55" s="262"/>
      <c r="F55" s="262"/>
      <c r="G55" s="262"/>
      <c r="H55" s="262"/>
      <c r="I55" s="262"/>
      <c r="J55" s="263"/>
    </row>
    <row r="56" spans="1:10" ht="18.75" customHeight="1" x14ac:dyDescent="0.2">
      <c r="A56" s="39"/>
      <c r="B56" s="261"/>
      <c r="C56" s="262"/>
      <c r="D56" s="262"/>
      <c r="E56" s="262"/>
      <c r="F56" s="262"/>
      <c r="G56" s="262"/>
      <c r="H56" s="262"/>
      <c r="I56" s="262"/>
      <c r="J56" s="263"/>
    </row>
    <row r="57" spans="1:10" ht="18.75" customHeight="1" x14ac:dyDescent="0.2">
      <c r="A57" s="39"/>
      <c r="B57" s="261"/>
      <c r="C57" s="262"/>
      <c r="D57" s="262"/>
      <c r="E57" s="262"/>
      <c r="F57" s="262"/>
      <c r="G57" s="262"/>
      <c r="H57" s="262"/>
      <c r="I57" s="262"/>
      <c r="J57" s="263"/>
    </row>
    <row r="58" spans="1:10" ht="18.75" customHeight="1" x14ac:dyDescent="0.2">
      <c r="A58" s="39"/>
      <c r="B58" s="261"/>
      <c r="C58" s="262"/>
      <c r="D58" s="262"/>
      <c r="E58" s="262"/>
      <c r="F58" s="262"/>
      <c r="G58" s="262"/>
      <c r="H58" s="262"/>
      <c r="I58" s="262"/>
      <c r="J58" s="263"/>
    </row>
    <row r="59" spans="1:10" ht="18.75" customHeight="1" x14ac:dyDescent="0.2">
      <c r="A59" s="39"/>
      <c r="B59" s="261"/>
      <c r="C59" s="262"/>
      <c r="D59" s="262"/>
      <c r="E59" s="262"/>
      <c r="F59" s="262"/>
      <c r="G59" s="262"/>
      <c r="H59" s="262"/>
      <c r="I59" s="262"/>
      <c r="J59" s="263"/>
    </row>
    <row r="60" spans="1:10" ht="18.75" customHeight="1" x14ac:dyDescent="0.2">
      <c r="A60" s="39"/>
      <c r="B60" s="261"/>
      <c r="C60" s="262"/>
      <c r="D60" s="262"/>
      <c r="E60" s="262"/>
      <c r="F60" s="262"/>
      <c r="G60" s="262"/>
      <c r="H60" s="262"/>
      <c r="I60" s="262"/>
      <c r="J60" s="263"/>
    </row>
    <row r="61" spans="1:10" ht="18.75" customHeight="1" x14ac:dyDescent="0.2">
      <c r="A61" s="39"/>
      <c r="B61" s="261"/>
      <c r="C61" s="262"/>
      <c r="D61" s="262"/>
      <c r="E61" s="262"/>
      <c r="F61" s="262"/>
      <c r="G61" s="262"/>
      <c r="H61" s="262"/>
      <c r="I61" s="262"/>
      <c r="J61" s="263"/>
    </row>
    <row r="62" spans="1:10" ht="18.75" customHeight="1" x14ac:dyDescent="0.2">
      <c r="A62" s="39"/>
      <c r="B62" s="261"/>
      <c r="C62" s="262"/>
      <c r="D62" s="262"/>
      <c r="E62" s="262"/>
      <c r="F62" s="262"/>
      <c r="G62" s="262"/>
      <c r="H62" s="262"/>
      <c r="I62" s="262"/>
      <c r="J62" s="263"/>
    </row>
    <row r="63" spans="1:10" ht="18.75" customHeight="1" x14ac:dyDescent="0.2">
      <c r="A63" s="39"/>
      <c r="B63" s="261"/>
      <c r="C63" s="262"/>
      <c r="D63" s="262"/>
      <c r="E63" s="262"/>
      <c r="F63" s="262"/>
      <c r="G63" s="262"/>
      <c r="H63" s="262"/>
      <c r="I63" s="262"/>
      <c r="J63" s="263"/>
    </row>
    <row r="64" spans="1:10" ht="18.75" customHeight="1" x14ac:dyDescent="0.2">
      <c r="A64" s="39"/>
      <c r="B64" s="261"/>
      <c r="C64" s="262"/>
      <c r="D64" s="262"/>
      <c r="E64" s="262"/>
      <c r="F64" s="262"/>
      <c r="G64" s="262"/>
      <c r="H64" s="262"/>
      <c r="I64" s="262"/>
      <c r="J64" s="263"/>
    </row>
    <row r="65" spans="1:11" ht="18.75" customHeight="1" x14ac:dyDescent="0.2">
      <c r="A65" s="39"/>
      <c r="B65" s="261"/>
      <c r="C65" s="262"/>
      <c r="D65" s="262"/>
      <c r="E65" s="262"/>
      <c r="F65" s="262"/>
      <c r="G65" s="262"/>
      <c r="H65" s="262"/>
      <c r="I65" s="262"/>
      <c r="J65" s="263"/>
    </row>
    <row r="66" spans="1:11" ht="18.75" customHeight="1" x14ac:dyDescent="0.2">
      <c r="A66" s="39"/>
      <c r="B66" s="264"/>
      <c r="C66" s="265"/>
      <c r="D66" s="265"/>
      <c r="E66" s="265"/>
      <c r="F66" s="265"/>
      <c r="G66" s="265"/>
      <c r="H66" s="265"/>
      <c r="I66" s="265"/>
      <c r="J66" s="266"/>
    </row>
    <row r="67" spans="1:11" ht="7.5" customHeight="1" x14ac:dyDescent="0.2">
      <c r="A67" s="39"/>
      <c r="B67" s="39"/>
      <c r="C67" s="39"/>
      <c r="D67" s="39"/>
      <c r="E67" s="39"/>
      <c r="F67" s="39"/>
      <c r="G67" s="39"/>
      <c r="H67" s="39"/>
      <c r="I67" s="39"/>
      <c r="J67" s="39"/>
    </row>
    <row r="68" spans="1:11" s="4" customFormat="1" ht="18.75" customHeight="1" x14ac:dyDescent="0.2">
      <c r="A68" s="1" t="s">
        <v>14</v>
      </c>
      <c r="B68" s="1" t="s">
        <v>71</v>
      </c>
      <c r="C68" s="1"/>
      <c r="D68" s="1"/>
      <c r="E68" s="1"/>
      <c r="F68" s="1"/>
      <c r="G68" s="1"/>
      <c r="H68" s="1"/>
      <c r="I68" s="1"/>
      <c r="J68" s="1"/>
      <c r="K68" s="31"/>
    </row>
    <row r="69" spans="1:11" s="4" customFormat="1" ht="18.75" customHeight="1" x14ac:dyDescent="0.2">
      <c r="A69" s="1"/>
      <c r="B69" s="268" t="s">
        <v>196</v>
      </c>
      <c r="C69" s="288"/>
      <c r="D69" s="288"/>
      <c r="E69" s="288"/>
      <c r="F69" s="288"/>
      <c r="G69" s="288"/>
      <c r="H69" s="288"/>
      <c r="I69" s="270"/>
      <c r="J69" s="271"/>
      <c r="K69" s="35" t="str">
        <f>IF(B69="","入力してください","")</f>
        <v/>
      </c>
    </row>
    <row r="70" spans="1:11" s="4" customFormat="1" ht="18.75" customHeight="1" x14ac:dyDescent="0.2">
      <c r="A70" s="1"/>
      <c r="B70" s="272"/>
      <c r="C70" s="273"/>
      <c r="D70" s="273"/>
      <c r="E70" s="273"/>
      <c r="F70" s="273"/>
      <c r="G70" s="273"/>
      <c r="H70" s="273"/>
      <c r="I70" s="273"/>
      <c r="J70" s="274"/>
      <c r="K70" s="35"/>
    </row>
    <row r="71" spans="1:11" s="4" customFormat="1" ht="18.75" customHeight="1" x14ac:dyDescent="0.2">
      <c r="A71" s="1"/>
      <c r="B71" s="272"/>
      <c r="C71" s="273"/>
      <c r="D71" s="273"/>
      <c r="E71" s="273"/>
      <c r="F71" s="273"/>
      <c r="G71" s="273"/>
      <c r="H71" s="273"/>
      <c r="I71" s="273"/>
      <c r="J71" s="274"/>
      <c r="K71" s="35"/>
    </row>
    <row r="72" spans="1:11" s="4" customFormat="1" ht="18.75" customHeight="1" x14ac:dyDescent="0.2">
      <c r="A72" s="1"/>
      <c r="B72" s="272"/>
      <c r="C72" s="273"/>
      <c r="D72" s="273"/>
      <c r="E72" s="273"/>
      <c r="F72" s="273"/>
      <c r="G72" s="273"/>
      <c r="H72" s="273"/>
      <c r="I72" s="273"/>
      <c r="J72" s="274"/>
      <c r="K72" s="35"/>
    </row>
    <row r="73" spans="1:11" s="4" customFormat="1" ht="18.75" customHeight="1" x14ac:dyDescent="0.2">
      <c r="A73" s="1"/>
      <c r="B73" s="272"/>
      <c r="C73" s="273"/>
      <c r="D73" s="273"/>
      <c r="E73" s="273"/>
      <c r="F73" s="273"/>
      <c r="G73" s="273"/>
      <c r="H73" s="273"/>
      <c r="I73" s="273"/>
      <c r="J73" s="274"/>
      <c r="K73" s="35"/>
    </row>
    <row r="74" spans="1:11" s="4" customFormat="1" ht="18.75" customHeight="1" x14ac:dyDescent="0.2">
      <c r="A74" s="1"/>
      <c r="B74" s="272"/>
      <c r="C74" s="273"/>
      <c r="D74" s="273"/>
      <c r="E74" s="273"/>
      <c r="F74" s="273"/>
      <c r="G74" s="273"/>
      <c r="H74" s="273"/>
      <c r="I74" s="273"/>
      <c r="J74" s="274"/>
      <c r="K74" s="35"/>
    </row>
    <row r="75" spans="1:11" s="4" customFormat="1" ht="18.75" customHeight="1" x14ac:dyDescent="0.2">
      <c r="A75" s="1"/>
      <c r="B75" s="272"/>
      <c r="C75" s="273"/>
      <c r="D75" s="273"/>
      <c r="E75" s="273"/>
      <c r="F75" s="273"/>
      <c r="G75" s="273"/>
      <c r="H75" s="273"/>
      <c r="I75" s="273"/>
      <c r="J75" s="274"/>
      <c r="K75" s="35"/>
    </row>
    <row r="76" spans="1:11" s="4" customFormat="1" ht="18.75" customHeight="1" x14ac:dyDescent="0.2">
      <c r="A76" s="1"/>
      <c r="B76" s="272"/>
      <c r="C76" s="273"/>
      <c r="D76" s="273"/>
      <c r="E76" s="273"/>
      <c r="F76" s="273"/>
      <c r="G76" s="273"/>
      <c r="H76" s="273"/>
      <c r="I76" s="273"/>
      <c r="J76" s="274"/>
      <c r="K76" s="35"/>
    </row>
    <row r="77" spans="1:11" s="4" customFormat="1" ht="18.75" customHeight="1" x14ac:dyDescent="0.2">
      <c r="A77" s="1"/>
      <c r="B77" s="272"/>
      <c r="C77" s="273"/>
      <c r="D77" s="273"/>
      <c r="E77" s="273"/>
      <c r="F77" s="273"/>
      <c r="G77" s="273"/>
      <c r="H77" s="273"/>
      <c r="I77" s="273"/>
      <c r="J77" s="274"/>
      <c r="K77" s="35"/>
    </row>
    <row r="78" spans="1:11" s="4" customFormat="1" ht="18.75" customHeight="1" x14ac:dyDescent="0.2">
      <c r="A78" s="1"/>
      <c r="B78" s="272"/>
      <c r="C78" s="273"/>
      <c r="D78" s="273"/>
      <c r="E78" s="273"/>
      <c r="F78" s="273"/>
      <c r="G78" s="273"/>
      <c r="H78" s="273"/>
      <c r="I78" s="273"/>
      <c r="J78" s="274"/>
      <c r="K78" s="35"/>
    </row>
    <row r="79" spans="1:11" s="4" customFormat="1" ht="18.75" customHeight="1" x14ac:dyDescent="0.2">
      <c r="A79" s="1"/>
      <c r="B79" s="272"/>
      <c r="C79" s="273"/>
      <c r="D79" s="273"/>
      <c r="E79" s="273"/>
      <c r="F79" s="273"/>
      <c r="G79" s="273"/>
      <c r="H79" s="273"/>
      <c r="I79" s="273"/>
      <c r="J79" s="274"/>
      <c r="K79" s="35"/>
    </row>
    <row r="80" spans="1:11" s="4" customFormat="1" ht="18.75" customHeight="1" x14ac:dyDescent="0.2">
      <c r="A80" s="1"/>
      <c r="B80" s="272"/>
      <c r="C80" s="273"/>
      <c r="D80" s="273"/>
      <c r="E80" s="273"/>
      <c r="F80" s="273"/>
      <c r="G80" s="273"/>
      <c r="H80" s="273"/>
      <c r="I80" s="273"/>
      <c r="J80" s="274"/>
      <c r="K80" s="35"/>
    </row>
    <row r="81" spans="1:11" s="4" customFormat="1" ht="18.75" customHeight="1" x14ac:dyDescent="0.2">
      <c r="A81" s="1"/>
      <c r="B81" s="272"/>
      <c r="C81" s="273"/>
      <c r="D81" s="273"/>
      <c r="E81" s="273"/>
      <c r="F81" s="273"/>
      <c r="G81" s="273"/>
      <c r="H81" s="273"/>
      <c r="I81" s="273"/>
      <c r="J81" s="274"/>
      <c r="K81" s="35"/>
    </row>
    <row r="82" spans="1:11" s="4" customFormat="1" ht="18.75" customHeight="1" x14ac:dyDescent="0.2">
      <c r="A82" s="1"/>
      <c r="B82" s="272"/>
      <c r="C82" s="273"/>
      <c r="D82" s="273"/>
      <c r="E82" s="273"/>
      <c r="F82" s="273"/>
      <c r="G82" s="273"/>
      <c r="H82" s="273"/>
      <c r="I82" s="273"/>
      <c r="J82" s="274"/>
      <c r="K82" s="35"/>
    </row>
    <row r="83" spans="1:11" s="4" customFormat="1" ht="18.75" customHeight="1" x14ac:dyDescent="0.2">
      <c r="A83" s="1"/>
      <c r="B83" s="272"/>
      <c r="C83" s="273"/>
      <c r="D83" s="273"/>
      <c r="E83" s="273"/>
      <c r="F83" s="273"/>
      <c r="G83" s="273"/>
      <c r="H83" s="273"/>
      <c r="I83" s="273"/>
      <c r="J83" s="274"/>
      <c r="K83" s="35"/>
    </row>
    <row r="84" spans="1:11" s="4" customFormat="1" ht="18.75" customHeight="1" x14ac:dyDescent="0.2">
      <c r="A84" s="1"/>
      <c r="B84" s="272"/>
      <c r="C84" s="273"/>
      <c r="D84" s="273"/>
      <c r="E84" s="273"/>
      <c r="F84" s="273"/>
      <c r="G84" s="273"/>
      <c r="H84" s="273"/>
      <c r="I84" s="273"/>
      <c r="J84" s="274"/>
      <c r="K84" s="35"/>
    </row>
    <row r="85" spans="1:11" ht="18.75" customHeight="1" x14ac:dyDescent="0.2">
      <c r="A85" s="39"/>
      <c r="B85" s="272"/>
      <c r="C85" s="273"/>
      <c r="D85" s="273"/>
      <c r="E85" s="273"/>
      <c r="F85" s="273"/>
      <c r="G85" s="273"/>
      <c r="H85" s="273"/>
      <c r="I85" s="273"/>
      <c r="J85" s="274"/>
      <c r="K85" s="35"/>
    </row>
    <row r="86" spans="1:11" ht="18.75" customHeight="1" x14ac:dyDescent="0.2">
      <c r="A86" s="39"/>
      <c r="B86" s="275"/>
      <c r="C86" s="276"/>
      <c r="D86" s="276"/>
      <c r="E86" s="276"/>
      <c r="F86" s="276"/>
      <c r="G86" s="276"/>
      <c r="H86" s="276"/>
      <c r="I86" s="276"/>
      <c r="J86" s="277"/>
      <c r="K86" s="35"/>
    </row>
    <row r="87" spans="1:11" ht="7.5" customHeight="1" x14ac:dyDescent="0.2">
      <c r="A87" s="39"/>
      <c r="B87" s="39"/>
      <c r="C87" s="39"/>
      <c r="D87" s="39"/>
      <c r="E87" s="39"/>
      <c r="F87" s="39"/>
      <c r="G87" s="39"/>
      <c r="H87" s="39"/>
      <c r="I87" s="39"/>
      <c r="J87" s="39"/>
    </row>
    <row r="88" spans="1:11" s="4" customFormat="1" ht="18.75" customHeight="1" x14ac:dyDescent="0.2">
      <c r="A88" s="1" t="s">
        <v>12</v>
      </c>
      <c r="B88" s="1" t="s">
        <v>27</v>
      </c>
      <c r="C88" s="1"/>
      <c r="D88" s="1"/>
      <c r="E88" s="1"/>
      <c r="F88" s="1"/>
      <c r="G88" s="1"/>
      <c r="H88" s="1"/>
      <c r="I88" s="1"/>
      <c r="J88" s="1"/>
      <c r="K88" s="31"/>
    </row>
    <row r="89" spans="1:11" s="4" customFormat="1" ht="18.75" customHeight="1" x14ac:dyDescent="0.2">
      <c r="A89" s="1"/>
      <c r="B89" s="268" t="s">
        <v>197</v>
      </c>
      <c r="C89" s="288"/>
      <c r="D89" s="288"/>
      <c r="E89" s="288"/>
      <c r="F89" s="288"/>
      <c r="G89" s="288"/>
      <c r="H89" s="288"/>
      <c r="I89" s="270"/>
      <c r="J89" s="271"/>
      <c r="K89" s="31"/>
    </row>
    <row r="90" spans="1:11" s="4" customFormat="1" ht="18.75" customHeight="1" x14ac:dyDescent="0.2">
      <c r="A90" s="1"/>
      <c r="B90" s="272"/>
      <c r="C90" s="273"/>
      <c r="D90" s="273"/>
      <c r="E90" s="273"/>
      <c r="F90" s="273"/>
      <c r="G90" s="273"/>
      <c r="H90" s="273"/>
      <c r="I90" s="273"/>
      <c r="J90" s="274"/>
      <c r="K90" s="35"/>
    </row>
    <row r="91" spans="1:11" s="4" customFormat="1" ht="18.75" customHeight="1" x14ac:dyDescent="0.2">
      <c r="A91" s="1"/>
      <c r="B91" s="272"/>
      <c r="C91" s="273"/>
      <c r="D91" s="273"/>
      <c r="E91" s="273"/>
      <c r="F91" s="273"/>
      <c r="G91" s="273"/>
      <c r="H91" s="273"/>
      <c r="I91" s="273"/>
      <c r="J91" s="274"/>
      <c r="K91" s="35" t="str">
        <f>IF(B89="","入力してください","")</f>
        <v/>
      </c>
    </row>
    <row r="92" spans="1:11" s="4" customFormat="1" ht="18.75" customHeight="1" x14ac:dyDescent="0.2">
      <c r="A92" s="1"/>
      <c r="B92" s="272"/>
      <c r="C92" s="273"/>
      <c r="D92" s="273"/>
      <c r="E92" s="273"/>
      <c r="F92" s="273"/>
      <c r="G92" s="273"/>
      <c r="H92" s="273"/>
      <c r="I92" s="273"/>
      <c r="J92" s="274"/>
      <c r="K92" s="35"/>
    </row>
    <row r="93" spans="1:11" s="4" customFormat="1" ht="18.75" customHeight="1" x14ac:dyDescent="0.2">
      <c r="A93" s="1"/>
      <c r="B93" s="272"/>
      <c r="C93" s="273"/>
      <c r="D93" s="273"/>
      <c r="E93" s="273"/>
      <c r="F93" s="273"/>
      <c r="G93" s="273"/>
      <c r="H93" s="273"/>
      <c r="I93" s="273"/>
      <c r="J93" s="274"/>
      <c r="K93" s="35"/>
    </row>
    <row r="94" spans="1:11" s="4" customFormat="1" ht="18.75" customHeight="1" x14ac:dyDescent="0.2">
      <c r="A94" s="1"/>
      <c r="B94" s="272"/>
      <c r="C94" s="273"/>
      <c r="D94" s="273"/>
      <c r="E94" s="273"/>
      <c r="F94" s="273"/>
      <c r="G94" s="273"/>
      <c r="H94" s="273"/>
      <c r="I94" s="273"/>
      <c r="J94" s="274"/>
      <c r="K94" s="35"/>
    </row>
    <row r="95" spans="1:11" s="4" customFormat="1" ht="18.75" customHeight="1" x14ac:dyDescent="0.2">
      <c r="A95" s="1"/>
      <c r="B95" s="272"/>
      <c r="C95" s="273"/>
      <c r="D95" s="273"/>
      <c r="E95" s="273"/>
      <c r="F95" s="273"/>
      <c r="G95" s="273"/>
      <c r="H95" s="273"/>
      <c r="I95" s="273"/>
      <c r="J95" s="274"/>
      <c r="K95" s="35"/>
    </row>
    <row r="96" spans="1:11" s="4" customFormat="1" ht="18.75" customHeight="1" x14ac:dyDescent="0.2">
      <c r="A96" s="1"/>
      <c r="B96" s="272"/>
      <c r="C96" s="273"/>
      <c r="D96" s="273"/>
      <c r="E96" s="273"/>
      <c r="F96" s="273"/>
      <c r="G96" s="273"/>
      <c r="H96" s="273"/>
      <c r="I96" s="273"/>
      <c r="J96" s="274"/>
      <c r="K96" s="35"/>
    </row>
    <row r="97" spans="1:11" s="4" customFormat="1" ht="18.75" customHeight="1" x14ac:dyDescent="0.2">
      <c r="A97" s="1"/>
      <c r="B97" s="272"/>
      <c r="C97" s="273"/>
      <c r="D97" s="273"/>
      <c r="E97" s="273"/>
      <c r="F97" s="273"/>
      <c r="G97" s="273"/>
      <c r="H97" s="273"/>
      <c r="I97" s="273"/>
      <c r="J97" s="274"/>
      <c r="K97" s="35"/>
    </row>
    <row r="98" spans="1:11" s="4" customFormat="1" ht="18.75" customHeight="1" x14ac:dyDescent="0.2">
      <c r="A98" s="1"/>
      <c r="B98" s="272"/>
      <c r="C98" s="273"/>
      <c r="D98" s="273"/>
      <c r="E98" s="273"/>
      <c r="F98" s="273"/>
      <c r="G98" s="273"/>
      <c r="H98" s="273"/>
      <c r="I98" s="273"/>
      <c r="J98" s="274"/>
      <c r="K98" s="35"/>
    </row>
    <row r="99" spans="1:11" s="4" customFormat="1" ht="18.75" customHeight="1" x14ac:dyDescent="0.2">
      <c r="A99" s="1"/>
      <c r="B99" s="272"/>
      <c r="C99" s="273"/>
      <c r="D99" s="273"/>
      <c r="E99" s="273"/>
      <c r="F99" s="273"/>
      <c r="G99" s="273"/>
      <c r="H99" s="273"/>
      <c r="I99" s="273"/>
      <c r="J99" s="274"/>
      <c r="K99" s="35"/>
    </row>
    <row r="100" spans="1:11" s="4" customFormat="1" ht="18.75" customHeight="1" x14ac:dyDescent="0.2">
      <c r="A100" s="1"/>
      <c r="B100" s="272"/>
      <c r="C100" s="273"/>
      <c r="D100" s="273"/>
      <c r="E100" s="273"/>
      <c r="F100" s="273"/>
      <c r="G100" s="273"/>
      <c r="H100" s="273"/>
      <c r="I100" s="273"/>
      <c r="J100" s="274"/>
      <c r="K100" s="35"/>
    </row>
    <row r="101" spans="1:11" s="4" customFormat="1" ht="18.75" customHeight="1" x14ac:dyDescent="0.2">
      <c r="A101" s="1"/>
      <c r="B101" s="272"/>
      <c r="C101" s="273"/>
      <c r="D101" s="273"/>
      <c r="E101" s="273"/>
      <c r="F101" s="273"/>
      <c r="G101" s="273"/>
      <c r="H101" s="273"/>
      <c r="I101" s="273"/>
      <c r="J101" s="274"/>
      <c r="K101" s="35"/>
    </row>
    <row r="102" spans="1:11" s="4" customFormat="1" ht="18.75" customHeight="1" x14ac:dyDescent="0.2">
      <c r="A102" s="1"/>
      <c r="B102" s="272"/>
      <c r="C102" s="273"/>
      <c r="D102" s="273"/>
      <c r="E102" s="273"/>
      <c r="F102" s="273"/>
      <c r="G102" s="273"/>
      <c r="H102" s="273"/>
      <c r="I102" s="273"/>
      <c r="J102" s="274"/>
      <c r="K102" s="35"/>
    </row>
    <row r="103" spans="1:11" s="4" customFormat="1" ht="18.75" customHeight="1" x14ac:dyDescent="0.2">
      <c r="A103" s="1"/>
      <c r="B103" s="272"/>
      <c r="C103" s="273"/>
      <c r="D103" s="273"/>
      <c r="E103" s="273"/>
      <c r="F103" s="273"/>
      <c r="G103" s="273"/>
      <c r="H103" s="273"/>
      <c r="I103" s="273"/>
      <c r="J103" s="274"/>
      <c r="K103" s="35"/>
    </row>
    <row r="104" spans="1:11" s="4" customFormat="1" ht="18.75" customHeight="1" x14ac:dyDescent="0.2">
      <c r="A104" s="1"/>
      <c r="B104" s="272"/>
      <c r="C104" s="273"/>
      <c r="D104" s="273"/>
      <c r="E104" s="273"/>
      <c r="F104" s="273"/>
      <c r="G104" s="273"/>
      <c r="H104" s="273"/>
      <c r="I104" s="273"/>
      <c r="J104" s="274"/>
      <c r="K104" s="35"/>
    </row>
    <row r="105" spans="1:11" s="4" customFormat="1" ht="18.75" customHeight="1" x14ac:dyDescent="0.2">
      <c r="A105" s="1"/>
      <c r="B105" s="272"/>
      <c r="C105" s="273"/>
      <c r="D105" s="273"/>
      <c r="E105" s="273"/>
      <c r="F105" s="273"/>
      <c r="G105" s="273"/>
      <c r="H105" s="273"/>
      <c r="I105" s="273"/>
      <c r="J105" s="274"/>
      <c r="K105" s="35"/>
    </row>
    <row r="106" spans="1:11" s="4" customFormat="1" ht="18.75" customHeight="1" x14ac:dyDescent="0.2">
      <c r="A106" s="1"/>
      <c r="B106" s="272"/>
      <c r="C106" s="273"/>
      <c r="D106" s="273"/>
      <c r="E106" s="273"/>
      <c r="F106" s="273"/>
      <c r="G106" s="273"/>
      <c r="H106" s="273"/>
      <c r="I106" s="273"/>
      <c r="J106" s="274"/>
      <c r="K106" s="35"/>
    </row>
    <row r="107" spans="1:11" ht="18.75" customHeight="1" x14ac:dyDescent="0.2">
      <c r="A107" s="39"/>
      <c r="B107" s="272"/>
      <c r="C107" s="273"/>
      <c r="D107" s="273"/>
      <c r="E107" s="273"/>
      <c r="F107" s="273"/>
      <c r="G107" s="273"/>
      <c r="H107" s="273"/>
      <c r="I107" s="273"/>
      <c r="J107" s="274"/>
      <c r="K107" s="35"/>
    </row>
    <row r="108" spans="1:11" ht="18.75" customHeight="1" x14ac:dyDescent="0.2">
      <c r="A108" s="39"/>
      <c r="B108" s="275"/>
      <c r="C108" s="276"/>
      <c r="D108" s="276"/>
      <c r="E108" s="276"/>
      <c r="F108" s="276"/>
      <c r="G108" s="276"/>
      <c r="H108" s="276"/>
      <c r="I108" s="276"/>
      <c r="J108" s="277"/>
      <c r="K108" s="35"/>
    </row>
    <row r="109" spans="1:11" ht="7.5" customHeight="1" x14ac:dyDescent="0.2">
      <c r="A109" s="39"/>
      <c r="B109" s="39"/>
      <c r="C109" s="39"/>
      <c r="D109" s="39"/>
      <c r="E109" s="39"/>
      <c r="F109" s="39"/>
      <c r="G109" s="39"/>
      <c r="H109" s="39"/>
      <c r="I109" s="39"/>
      <c r="J109" s="39"/>
    </row>
    <row r="110" spans="1:11" s="4" customFormat="1" ht="18.75" customHeight="1" x14ac:dyDescent="0.2">
      <c r="A110" s="1" t="s">
        <v>53</v>
      </c>
      <c r="B110" s="289" t="s">
        <v>82</v>
      </c>
      <c r="C110" s="289"/>
      <c r="D110" s="289"/>
      <c r="E110" s="289"/>
      <c r="F110" s="289"/>
      <c r="G110" s="289"/>
      <c r="H110" s="289"/>
      <c r="I110" s="289"/>
      <c r="J110" s="289"/>
      <c r="K110" s="31"/>
    </row>
    <row r="111" spans="1:11" ht="18.75" customHeight="1" x14ac:dyDescent="0.2">
      <c r="A111" s="39"/>
      <c r="B111" s="268" t="s">
        <v>198</v>
      </c>
      <c r="C111" s="288"/>
      <c r="D111" s="288"/>
      <c r="E111" s="288"/>
      <c r="F111" s="288"/>
      <c r="G111" s="288"/>
      <c r="H111" s="288"/>
      <c r="I111" s="270"/>
      <c r="J111" s="271"/>
    </row>
    <row r="112" spans="1:11" ht="18.75" customHeight="1" x14ac:dyDescent="0.2">
      <c r="A112" s="39"/>
      <c r="B112" s="272"/>
      <c r="C112" s="273"/>
      <c r="D112" s="273"/>
      <c r="E112" s="273"/>
      <c r="F112" s="273"/>
      <c r="G112" s="273"/>
      <c r="H112" s="273"/>
      <c r="I112" s="273"/>
      <c r="J112" s="274"/>
      <c r="K112" s="35"/>
    </row>
    <row r="113" spans="1:11" ht="18.75" customHeight="1" x14ac:dyDescent="0.2">
      <c r="A113" s="39"/>
      <c r="B113" s="272"/>
      <c r="C113" s="273"/>
      <c r="D113" s="273"/>
      <c r="E113" s="273"/>
      <c r="F113" s="273"/>
      <c r="G113" s="273"/>
      <c r="H113" s="273"/>
      <c r="I113" s="273"/>
      <c r="J113" s="274"/>
      <c r="K113" s="31" t="str">
        <f>IF(B111="","入力してください","")</f>
        <v/>
      </c>
    </row>
    <row r="114" spans="1:11" ht="18.75" customHeight="1" x14ac:dyDescent="0.2">
      <c r="A114" s="39"/>
      <c r="B114" s="272"/>
      <c r="C114" s="273"/>
      <c r="D114" s="273"/>
      <c r="E114" s="273"/>
      <c r="F114" s="273"/>
      <c r="G114" s="273"/>
      <c r="H114" s="273"/>
      <c r="I114" s="273"/>
      <c r="J114" s="274"/>
    </row>
    <row r="115" spans="1:11" ht="18.75" customHeight="1" x14ac:dyDescent="0.2">
      <c r="A115" s="39"/>
      <c r="B115" s="272"/>
      <c r="C115" s="273"/>
      <c r="D115" s="273"/>
      <c r="E115" s="273"/>
      <c r="F115" s="273"/>
      <c r="G115" s="273"/>
      <c r="H115" s="273"/>
      <c r="I115" s="273"/>
      <c r="J115" s="274"/>
    </row>
    <row r="116" spans="1:11" ht="18.75" customHeight="1" x14ac:dyDescent="0.2">
      <c r="A116" s="39"/>
      <c r="B116" s="272"/>
      <c r="C116" s="273"/>
      <c r="D116" s="273"/>
      <c r="E116" s="273"/>
      <c r="F116" s="273"/>
      <c r="G116" s="273"/>
      <c r="H116" s="273"/>
      <c r="I116" s="273"/>
      <c r="J116" s="274"/>
    </row>
    <row r="117" spans="1:11" ht="18.75" customHeight="1" x14ac:dyDescent="0.2">
      <c r="A117" s="39"/>
      <c r="B117" s="272"/>
      <c r="C117" s="273"/>
      <c r="D117" s="273"/>
      <c r="E117" s="273"/>
      <c r="F117" s="273"/>
      <c r="G117" s="273"/>
      <c r="H117" s="273"/>
      <c r="I117" s="273"/>
      <c r="J117" s="274"/>
    </row>
    <row r="118" spans="1:11" ht="18.75" customHeight="1" x14ac:dyDescent="0.2">
      <c r="A118" s="39"/>
      <c r="B118" s="272"/>
      <c r="C118" s="273"/>
      <c r="D118" s="273"/>
      <c r="E118" s="273"/>
      <c r="F118" s="273"/>
      <c r="G118" s="273"/>
      <c r="H118" s="273"/>
      <c r="I118" s="273"/>
      <c r="J118" s="274"/>
    </row>
    <row r="119" spans="1:11" ht="18.75" customHeight="1" x14ac:dyDescent="0.2">
      <c r="A119" s="39"/>
      <c r="B119" s="272"/>
      <c r="C119" s="273"/>
      <c r="D119" s="273"/>
      <c r="E119" s="273"/>
      <c r="F119" s="273"/>
      <c r="G119" s="273"/>
      <c r="H119" s="273"/>
      <c r="I119" s="273"/>
      <c r="J119" s="274"/>
    </row>
    <row r="120" spans="1:11" ht="18.75" customHeight="1" x14ac:dyDescent="0.2">
      <c r="A120" s="39"/>
      <c r="B120" s="272"/>
      <c r="C120" s="273"/>
      <c r="D120" s="273"/>
      <c r="E120" s="273"/>
      <c r="F120" s="273"/>
      <c r="G120" s="273"/>
      <c r="H120" s="273"/>
      <c r="I120" s="273"/>
      <c r="J120" s="274"/>
    </row>
    <row r="121" spans="1:11" ht="18.75" customHeight="1" x14ac:dyDescent="0.2">
      <c r="A121" s="39"/>
      <c r="B121" s="272"/>
      <c r="C121" s="273"/>
      <c r="D121" s="273"/>
      <c r="E121" s="273"/>
      <c r="F121" s="273"/>
      <c r="G121" s="273"/>
      <c r="H121" s="273"/>
      <c r="I121" s="273"/>
      <c r="J121" s="274"/>
    </row>
    <row r="122" spans="1:11" ht="18.75" customHeight="1" x14ac:dyDescent="0.2">
      <c r="A122" s="39"/>
      <c r="B122" s="272"/>
      <c r="C122" s="273"/>
      <c r="D122" s="273"/>
      <c r="E122" s="273"/>
      <c r="F122" s="273"/>
      <c r="G122" s="273"/>
      <c r="H122" s="273"/>
      <c r="I122" s="273"/>
      <c r="J122" s="274"/>
    </row>
    <row r="123" spans="1:11" ht="18.75" customHeight="1" x14ac:dyDescent="0.2">
      <c r="A123" s="39"/>
      <c r="B123" s="272"/>
      <c r="C123" s="273"/>
      <c r="D123" s="273"/>
      <c r="E123" s="273"/>
      <c r="F123" s="273"/>
      <c r="G123" s="273"/>
      <c r="H123" s="273"/>
      <c r="I123" s="273"/>
      <c r="J123" s="274"/>
    </row>
    <row r="124" spans="1:11" ht="18.75" customHeight="1" x14ac:dyDescent="0.2">
      <c r="A124" s="39"/>
      <c r="B124" s="272"/>
      <c r="C124" s="273"/>
      <c r="D124" s="273"/>
      <c r="E124" s="273"/>
      <c r="F124" s="273"/>
      <c r="G124" s="273"/>
      <c r="H124" s="273"/>
      <c r="I124" s="273"/>
      <c r="J124" s="274"/>
    </row>
    <row r="125" spans="1:11" ht="18.75" customHeight="1" x14ac:dyDescent="0.2">
      <c r="A125" s="39"/>
      <c r="B125" s="272"/>
      <c r="C125" s="273"/>
      <c r="D125" s="273"/>
      <c r="E125" s="273"/>
      <c r="F125" s="273"/>
      <c r="G125" s="273"/>
      <c r="H125" s="273"/>
      <c r="I125" s="273"/>
      <c r="J125" s="274"/>
    </row>
    <row r="126" spans="1:11" ht="18.75" customHeight="1" x14ac:dyDescent="0.2">
      <c r="A126" s="39"/>
      <c r="B126" s="272"/>
      <c r="C126" s="273"/>
      <c r="D126" s="273"/>
      <c r="E126" s="273"/>
      <c r="F126" s="273"/>
      <c r="G126" s="273"/>
      <c r="H126" s="273"/>
      <c r="I126" s="273"/>
      <c r="J126" s="274"/>
    </row>
    <row r="127" spans="1:11" ht="18.75" customHeight="1" x14ac:dyDescent="0.2">
      <c r="A127" s="39"/>
      <c r="B127" s="272"/>
      <c r="C127" s="273"/>
      <c r="D127" s="273"/>
      <c r="E127" s="273"/>
      <c r="F127" s="273"/>
      <c r="G127" s="273"/>
      <c r="H127" s="273"/>
      <c r="I127" s="273"/>
      <c r="J127" s="274"/>
    </row>
    <row r="128" spans="1:11" ht="18.75" customHeight="1" x14ac:dyDescent="0.2">
      <c r="A128" s="39"/>
      <c r="B128" s="272"/>
      <c r="C128" s="273"/>
      <c r="D128" s="273"/>
      <c r="E128" s="273"/>
      <c r="F128" s="273"/>
      <c r="G128" s="273"/>
      <c r="H128" s="273"/>
      <c r="I128" s="273"/>
      <c r="J128" s="274"/>
    </row>
    <row r="129" spans="1:10" ht="18.75" customHeight="1" x14ac:dyDescent="0.2">
      <c r="A129" s="39"/>
      <c r="B129" s="275"/>
      <c r="C129" s="276"/>
      <c r="D129" s="276"/>
      <c r="E129" s="276"/>
      <c r="F129" s="276"/>
      <c r="G129" s="276"/>
      <c r="H129" s="276"/>
      <c r="I129" s="276"/>
      <c r="J129" s="277"/>
    </row>
    <row r="130" spans="1:10" ht="7.5" customHeight="1" x14ac:dyDescent="0.2">
      <c r="A130" s="39"/>
      <c r="B130" s="104"/>
      <c r="C130" s="104"/>
      <c r="D130" s="104"/>
      <c r="E130" s="104"/>
      <c r="F130" s="104"/>
      <c r="G130" s="104"/>
      <c r="H130" s="104"/>
      <c r="I130" s="104"/>
      <c r="J130" s="104"/>
    </row>
    <row r="131" spans="1:10" ht="18.75" customHeight="1" x14ac:dyDescent="0.2">
      <c r="A131" s="39"/>
      <c r="B131" s="39"/>
      <c r="C131" s="39"/>
      <c r="D131" s="39"/>
      <c r="E131" s="39"/>
      <c r="F131" s="39"/>
      <c r="G131" s="39"/>
      <c r="H131" s="39"/>
      <c r="I131" s="39"/>
      <c r="J131" s="39"/>
    </row>
    <row r="132" spans="1:10" ht="18.75" customHeight="1" x14ac:dyDescent="0.2">
      <c r="A132" s="39"/>
      <c r="B132" s="39"/>
      <c r="C132" s="39"/>
      <c r="D132" s="39"/>
      <c r="E132" s="39"/>
      <c r="F132" s="39"/>
      <c r="G132" s="39"/>
      <c r="H132" s="39"/>
      <c r="I132" s="39"/>
      <c r="J132" s="39"/>
    </row>
    <row r="133" spans="1:10" ht="18.75" customHeight="1" x14ac:dyDescent="0.2">
      <c r="A133" s="39"/>
      <c r="B133" s="39"/>
      <c r="C133" s="39"/>
      <c r="D133" s="39"/>
      <c r="E133" s="39"/>
      <c r="F133" s="39"/>
      <c r="G133" s="39"/>
      <c r="H133" s="39"/>
      <c r="I133" s="39"/>
      <c r="J133" s="39"/>
    </row>
    <row r="134" spans="1:10" ht="18.75" customHeight="1" x14ac:dyDescent="0.2">
      <c r="A134" s="39"/>
      <c r="B134" s="39"/>
      <c r="C134" s="39"/>
      <c r="D134" s="39"/>
      <c r="E134" s="39"/>
      <c r="F134" s="39"/>
      <c r="G134" s="39"/>
      <c r="H134" s="39"/>
      <c r="I134" s="39"/>
      <c r="J134" s="39"/>
    </row>
    <row r="135" spans="1:10" ht="18.75" customHeight="1" x14ac:dyDescent="0.2">
      <c r="A135" s="39"/>
      <c r="B135" s="39"/>
      <c r="C135" s="39"/>
      <c r="D135" s="39"/>
      <c r="E135" s="39"/>
      <c r="F135" s="39"/>
      <c r="G135" s="39"/>
      <c r="H135" s="39"/>
      <c r="I135" s="39"/>
      <c r="J135" s="39"/>
    </row>
    <row r="136" spans="1:10" ht="18.75" customHeight="1" x14ac:dyDescent="0.2">
      <c r="A136" s="39"/>
      <c r="B136" s="39"/>
      <c r="C136" s="39"/>
      <c r="D136" s="39"/>
      <c r="E136" s="39"/>
      <c r="F136" s="39"/>
      <c r="G136" s="39"/>
      <c r="H136" s="39"/>
      <c r="I136" s="39"/>
      <c r="J136" s="39"/>
    </row>
    <row r="137" spans="1:10" ht="18.75" customHeight="1" x14ac:dyDescent="0.2">
      <c r="A137" s="39"/>
      <c r="B137" s="39"/>
      <c r="C137" s="39"/>
      <c r="D137" s="39"/>
      <c r="E137" s="39"/>
      <c r="F137" s="39"/>
      <c r="G137" s="39"/>
      <c r="H137" s="39"/>
      <c r="I137" s="39"/>
      <c r="J137" s="39"/>
    </row>
    <row r="138" spans="1:10" ht="18.75" customHeight="1" x14ac:dyDescent="0.2">
      <c r="A138" s="39"/>
      <c r="B138" s="39"/>
      <c r="C138" s="39"/>
      <c r="D138" s="39"/>
      <c r="E138" s="39"/>
      <c r="F138" s="39"/>
      <c r="G138" s="39"/>
      <c r="H138" s="39"/>
      <c r="I138" s="39"/>
      <c r="J138" s="39"/>
    </row>
    <row r="139" spans="1:10" ht="18.75" customHeight="1" x14ac:dyDescent="0.2">
      <c r="A139" s="39"/>
      <c r="B139" s="39"/>
      <c r="C139" s="39"/>
      <c r="D139" s="39"/>
      <c r="E139" s="39"/>
      <c r="F139" s="39"/>
      <c r="G139" s="39"/>
      <c r="H139" s="39"/>
      <c r="I139" s="39"/>
      <c r="J139" s="39"/>
    </row>
    <row r="140" spans="1:10" ht="18.75" customHeight="1" x14ac:dyDescent="0.2">
      <c r="A140" s="39"/>
      <c r="B140" s="39"/>
      <c r="C140" s="39"/>
      <c r="D140" s="39"/>
      <c r="E140" s="39"/>
      <c r="F140" s="39"/>
      <c r="G140" s="39"/>
      <c r="H140" s="39"/>
      <c r="I140" s="39"/>
      <c r="J140" s="39"/>
    </row>
    <row r="141" spans="1:10" ht="18.75" customHeight="1" x14ac:dyDescent="0.2">
      <c r="A141" s="39"/>
      <c r="B141" s="39"/>
      <c r="C141" s="39"/>
      <c r="D141" s="39"/>
      <c r="E141" s="39"/>
      <c r="F141" s="39"/>
      <c r="G141" s="39"/>
      <c r="H141" s="39"/>
      <c r="I141" s="39"/>
      <c r="J141" s="39"/>
    </row>
    <row r="142" spans="1:10" ht="18.75" customHeight="1" x14ac:dyDescent="0.2">
      <c r="A142" s="39"/>
      <c r="B142" s="39"/>
      <c r="C142" s="39"/>
      <c r="D142" s="39"/>
      <c r="E142" s="39"/>
      <c r="F142" s="39"/>
      <c r="G142" s="39"/>
      <c r="H142" s="39"/>
      <c r="I142" s="39"/>
      <c r="J142" s="39"/>
    </row>
    <row r="143" spans="1:10" ht="14.4" x14ac:dyDescent="0.2">
      <c r="A143" s="39"/>
      <c r="B143" s="39"/>
      <c r="C143" s="39"/>
      <c r="D143" s="39"/>
      <c r="E143" s="39"/>
      <c r="F143" s="39"/>
      <c r="G143" s="39"/>
      <c r="H143" s="39"/>
      <c r="I143" s="39"/>
      <c r="J143" s="39"/>
    </row>
    <row r="144" spans="1:10" ht="7.5" customHeight="1" x14ac:dyDescent="0.2">
      <c r="A144" s="105"/>
      <c r="B144" s="105"/>
      <c r="C144" s="105"/>
      <c r="D144" s="105"/>
      <c r="E144" s="105"/>
      <c r="F144" s="105"/>
      <c r="G144" s="105"/>
      <c r="H144" s="105"/>
      <c r="I144" s="105"/>
      <c r="J144" s="105"/>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39370078740157483" header="0.31496062992125984" footer="0.31496062992125984"/>
  <pageSetup paperSize="9" fitToHeight="0"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A2" sqref="A2:N2"/>
    </sheetView>
  </sheetViews>
  <sheetFormatPr defaultColWidth="11.33203125" defaultRowHeight="22.5" customHeight="1" x14ac:dyDescent="0.2"/>
  <cols>
    <col min="1" max="3" width="2.77734375" style="1" customWidth="1"/>
    <col min="4" max="4" width="22.21875" style="1" customWidth="1"/>
    <col min="5" max="5" width="21.6640625" style="1" customWidth="1"/>
    <col min="6" max="7" width="7.77734375" style="1" customWidth="1"/>
    <col min="8" max="8" width="33.33203125" style="1" customWidth="1"/>
    <col min="9" max="9" width="24.44140625" style="1" customWidth="1"/>
    <col min="10" max="10" width="5.44140625" style="1" customWidth="1"/>
    <col min="11" max="11" width="4.109375" style="31" customWidth="1"/>
    <col min="12" max="16384" width="11.33203125" style="1"/>
  </cols>
  <sheetData>
    <row r="1" spans="1:11" ht="18.75" customHeight="1" x14ac:dyDescent="0.2">
      <c r="A1" s="1" t="s">
        <v>123</v>
      </c>
      <c r="J1" s="41" t="s">
        <v>73</v>
      </c>
    </row>
    <row r="2" spans="1:11" ht="18.75" customHeight="1" x14ac:dyDescent="0.2">
      <c r="A2" s="242" t="s">
        <v>42</v>
      </c>
      <c r="B2" s="242"/>
      <c r="C2" s="242"/>
      <c r="D2" s="242"/>
      <c r="E2" s="242"/>
      <c r="F2" s="242"/>
      <c r="G2" s="242"/>
      <c r="H2" s="242"/>
      <c r="I2" s="242"/>
      <c r="J2" s="242"/>
    </row>
    <row r="3" spans="1:11" ht="7.5" customHeight="1" x14ac:dyDescent="0.2">
      <c r="A3" s="42"/>
      <c r="B3" s="42"/>
      <c r="C3" s="42"/>
      <c r="D3" s="42"/>
      <c r="E3" s="42"/>
      <c r="F3" s="42"/>
      <c r="G3" s="42"/>
      <c r="H3" s="42"/>
      <c r="I3" s="42"/>
      <c r="J3" s="42"/>
    </row>
    <row r="4" spans="1:11" ht="18.75" customHeight="1" x14ac:dyDescent="0.2">
      <c r="A4" s="1" t="s">
        <v>6</v>
      </c>
      <c r="B4" s="4" t="s">
        <v>41</v>
      </c>
      <c r="C4" s="39"/>
      <c r="D4" s="39"/>
      <c r="E4" s="40"/>
      <c r="F4" s="40"/>
      <c r="G4" s="40"/>
      <c r="H4" s="40"/>
      <c r="I4" s="40"/>
      <c r="J4" s="40"/>
    </row>
    <row r="5" spans="1:11" ht="18.75" customHeight="1" x14ac:dyDescent="0.2">
      <c r="B5" s="295" t="s">
        <v>38</v>
      </c>
      <c r="C5" s="296"/>
      <c r="D5" s="297"/>
      <c r="E5" s="298" t="s">
        <v>40</v>
      </c>
      <c r="F5" s="298"/>
      <c r="G5" s="298"/>
      <c r="H5" s="298"/>
      <c r="I5" s="298"/>
      <c r="J5" s="299"/>
    </row>
    <row r="6" spans="1:11" ht="18.75" customHeight="1" x14ac:dyDescent="0.2">
      <c r="B6" s="3" t="s">
        <v>28</v>
      </c>
      <c r="C6" s="39"/>
      <c r="D6" s="7"/>
      <c r="I6" s="40"/>
      <c r="J6" s="5"/>
    </row>
    <row r="7" spans="1:11" ht="207" customHeight="1" x14ac:dyDescent="0.2">
      <c r="B7" s="6"/>
      <c r="C7" s="300" t="s">
        <v>29</v>
      </c>
      <c r="D7" s="301"/>
      <c r="E7" s="292" t="s">
        <v>208</v>
      </c>
      <c r="F7" s="293"/>
      <c r="G7" s="293"/>
      <c r="H7" s="293"/>
      <c r="I7" s="293"/>
      <c r="J7" s="294"/>
      <c r="K7" s="31" t="str">
        <f>IF(E7="","入力してください","")</f>
        <v/>
      </c>
    </row>
    <row r="8" spans="1:11" ht="207" customHeight="1" x14ac:dyDescent="0.2">
      <c r="B8" s="6"/>
      <c r="C8" s="290" t="s">
        <v>30</v>
      </c>
      <c r="D8" s="291"/>
      <c r="E8" s="292" t="s">
        <v>199</v>
      </c>
      <c r="F8" s="293"/>
      <c r="G8" s="293"/>
      <c r="H8" s="293"/>
      <c r="I8" s="293"/>
      <c r="J8" s="294"/>
      <c r="K8" s="31" t="str">
        <f>IF(E8="","入力してください","")</f>
        <v/>
      </c>
    </row>
    <row r="9" spans="1:11" ht="172.5" customHeight="1" x14ac:dyDescent="0.2">
      <c r="B9" s="6"/>
      <c r="C9" s="300" t="s">
        <v>31</v>
      </c>
      <c r="D9" s="301"/>
      <c r="E9" s="292" t="s">
        <v>200</v>
      </c>
      <c r="F9" s="293"/>
      <c r="G9" s="293"/>
      <c r="H9" s="293"/>
      <c r="I9" s="293"/>
      <c r="J9" s="294"/>
      <c r="K9" s="31" t="str">
        <f>IF(E9="","入力してください","")</f>
        <v/>
      </c>
    </row>
    <row r="10" spans="1:11" ht="172.5" customHeight="1" x14ac:dyDescent="0.2">
      <c r="B10" s="6"/>
      <c r="C10" s="300" t="s">
        <v>32</v>
      </c>
      <c r="D10" s="301"/>
      <c r="E10" s="292" t="s">
        <v>201</v>
      </c>
      <c r="F10" s="293"/>
      <c r="G10" s="293"/>
      <c r="H10" s="293"/>
      <c r="I10" s="293"/>
      <c r="J10" s="294"/>
      <c r="K10" s="31" t="str">
        <f t="shared" ref="K10:K14" si="0">IF(E10="","入力してください","")</f>
        <v/>
      </c>
    </row>
    <row r="11" spans="1:11" ht="172.5" customHeight="1" x14ac:dyDescent="0.2">
      <c r="B11" s="6"/>
      <c r="C11" s="300" t="s">
        <v>33</v>
      </c>
      <c r="D11" s="301"/>
      <c r="E11" s="292" t="s">
        <v>202</v>
      </c>
      <c r="F11" s="293"/>
      <c r="G11" s="293"/>
      <c r="H11" s="293"/>
      <c r="I11" s="293"/>
      <c r="J11" s="294"/>
      <c r="K11" s="31" t="str">
        <f t="shared" si="0"/>
        <v/>
      </c>
    </row>
    <row r="12" spans="1:11" ht="18.75" customHeight="1" x14ac:dyDescent="0.2">
      <c r="B12" s="9" t="s">
        <v>34</v>
      </c>
      <c r="C12" s="28"/>
      <c r="D12" s="8"/>
      <c r="E12" s="32"/>
      <c r="F12" s="32"/>
      <c r="G12" s="32"/>
      <c r="H12" s="32"/>
      <c r="I12" s="32"/>
      <c r="J12" s="33"/>
    </row>
    <row r="13" spans="1:11" ht="244.2" customHeight="1" x14ac:dyDescent="0.2">
      <c r="B13" s="6"/>
      <c r="C13" s="300" t="s">
        <v>35</v>
      </c>
      <c r="D13" s="301"/>
      <c r="E13" s="293" t="s">
        <v>203</v>
      </c>
      <c r="F13" s="293"/>
      <c r="G13" s="293"/>
      <c r="H13" s="293"/>
      <c r="I13" s="293"/>
      <c r="J13" s="294"/>
      <c r="K13" s="31" t="str">
        <f t="shared" si="0"/>
        <v/>
      </c>
    </row>
    <row r="14" spans="1:11" ht="255" customHeight="1" x14ac:dyDescent="0.2">
      <c r="B14" s="6"/>
      <c r="C14" s="300" t="s">
        <v>36</v>
      </c>
      <c r="D14" s="301"/>
      <c r="E14" s="293" t="s">
        <v>204</v>
      </c>
      <c r="F14" s="293"/>
      <c r="G14" s="293"/>
      <c r="H14" s="293"/>
      <c r="I14" s="293"/>
      <c r="J14" s="294"/>
      <c r="K14" s="31" t="str">
        <f t="shared" si="0"/>
        <v/>
      </c>
    </row>
    <row r="15" spans="1:11" ht="243" customHeight="1" x14ac:dyDescent="0.2">
      <c r="B15" s="308" t="s">
        <v>37</v>
      </c>
      <c r="C15" s="309"/>
      <c r="D15" s="301"/>
      <c r="E15" s="293" t="s">
        <v>205</v>
      </c>
      <c r="F15" s="293"/>
      <c r="G15" s="293"/>
      <c r="H15" s="293"/>
      <c r="I15" s="293"/>
      <c r="J15" s="294"/>
      <c r="K15" s="31" t="str">
        <f>IF(E15="","入力してください","")</f>
        <v/>
      </c>
    </row>
    <row r="16" spans="1:11" ht="243" customHeight="1" x14ac:dyDescent="0.2">
      <c r="A16" s="31"/>
      <c r="B16" s="302" t="s">
        <v>66</v>
      </c>
      <c r="C16" s="303"/>
      <c r="D16" s="304"/>
      <c r="E16" s="265" t="s">
        <v>206</v>
      </c>
      <c r="F16" s="265"/>
      <c r="G16" s="265"/>
      <c r="H16" s="265"/>
      <c r="I16" s="265"/>
      <c r="J16" s="266"/>
      <c r="K16" s="31" t="str">
        <f>IF(E16="","入力してください","")</f>
        <v/>
      </c>
    </row>
    <row r="17" spans="1:11" ht="7.5" customHeight="1" x14ac:dyDescent="0.2">
      <c r="B17" s="39"/>
      <c r="C17" s="39"/>
      <c r="D17" s="39"/>
      <c r="E17" s="40"/>
      <c r="F17" s="40"/>
      <c r="G17" s="40"/>
      <c r="H17" s="40"/>
      <c r="I17" s="40"/>
      <c r="J17" s="40"/>
    </row>
    <row r="18" spans="1:11" ht="18.75" customHeight="1" x14ac:dyDescent="0.2">
      <c r="A18" s="1" t="s">
        <v>124</v>
      </c>
      <c r="B18" s="4"/>
      <c r="C18" s="39"/>
      <c r="D18" s="39"/>
      <c r="E18" s="40"/>
      <c r="F18" s="94"/>
      <c r="G18" s="305" t="s">
        <v>210</v>
      </c>
      <c r="H18" s="306"/>
      <c r="I18" s="306"/>
      <c r="J18" s="307"/>
      <c r="K18" s="31" t="str">
        <f>IF(G18="","入力してください","")</f>
        <v/>
      </c>
    </row>
    <row r="19" spans="1:11" ht="22.5" customHeight="1" x14ac:dyDescent="0.2">
      <c r="B19" s="39"/>
      <c r="C19" s="39"/>
      <c r="D19" s="39"/>
      <c r="E19" s="40"/>
      <c r="F19" s="40"/>
      <c r="G19" s="40"/>
      <c r="H19" s="40"/>
      <c r="I19" s="40"/>
      <c r="J19" s="40"/>
    </row>
    <row r="20" spans="1:11" ht="22.5" customHeight="1" x14ac:dyDescent="0.2">
      <c r="B20" s="39"/>
      <c r="C20" s="39"/>
      <c r="D20" s="39"/>
      <c r="E20" s="40"/>
      <c r="F20" s="40"/>
      <c r="G20" s="40"/>
      <c r="H20" s="40"/>
      <c r="I20" s="40"/>
      <c r="J20" s="40"/>
    </row>
    <row r="21" spans="1:11" ht="22.5" customHeight="1" x14ac:dyDescent="0.2">
      <c r="B21" s="39"/>
      <c r="C21" s="39"/>
      <c r="D21" s="39"/>
      <c r="E21" s="40"/>
      <c r="F21" s="40"/>
      <c r="G21" s="40"/>
      <c r="H21" s="40"/>
      <c r="I21" s="40"/>
      <c r="J21" s="40"/>
    </row>
    <row r="22" spans="1:11" ht="22.5" customHeight="1" x14ac:dyDescent="0.2">
      <c r="B22" s="39"/>
      <c r="C22" s="39"/>
      <c r="D22" s="39"/>
      <c r="E22" s="40"/>
      <c r="F22" s="40"/>
      <c r="G22" s="40"/>
      <c r="H22" s="40"/>
      <c r="I22" s="40"/>
      <c r="J22" s="40"/>
    </row>
    <row r="23" spans="1:11" ht="22.5" customHeight="1" x14ac:dyDescent="0.2">
      <c r="B23" s="39"/>
      <c r="C23" s="39"/>
      <c r="D23" s="39"/>
      <c r="E23" s="40"/>
      <c r="F23" s="40"/>
      <c r="G23" s="40"/>
      <c r="H23" s="40"/>
      <c r="I23" s="40"/>
      <c r="J23" s="40"/>
    </row>
    <row r="24" spans="1:11" ht="22.5" customHeight="1" x14ac:dyDescent="0.2">
      <c r="B24" s="106"/>
      <c r="C24" s="106"/>
      <c r="D24" s="106"/>
      <c r="E24" s="106"/>
      <c r="F24" s="106"/>
      <c r="G24" s="106"/>
      <c r="H24" s="106"/>
      <c r="I24" s="106"/>
      <c r="J24" s="106"/>
    </row>
    <row r="25" spans="1:11" ht="22.5" customHeight="1" x14ac:dyDescent="0.2">
      <c r="B25" s="106"/>
      <c r="C25" s="106"/>
      <c r="D25" s="106"/>
      <c r="E25" s="106"/>
      <c r="F25" s="106"/>
      <c r="G25" s="106"/>
      <c r="H25" s="106"/>
      <c r="I25" s="106"/>
      <c r="J25" s="106"/>
    </row>
    <row r="26" spans="1:11" ht="22.5" customHeight="1" x14ac:dyDescent="0.2">
      <c r="B26" s="106"/>
      <c r="C26" s="106"/>
      <c r="D26" s="106"/>
      <c r="E26" s="106"/>
      <c r="F26" s="106"/>
      <c r="G26" s="106"/>
      <c r="H26" s="106"/>
      <c r="I26" s="106"/>
      <c r="J26" s="106"/>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39370078740157483" header="0.31496062992125984" footer="0.31496062992125984"/>
  <pageSetup paperSize="9" scale="95"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22F0A28D3ED7E4FA64ED365BBC64810" ma:contentTypeVersion="2" ma:contentTypeDescription="新しいドキュメントを作成します。" ma:contentTypeScope="" ma:versionID="b4f09ce6f80142841346f99874185cfc">
  <xsd:schema xmlns:xsd="http://www.w3.org/2001/XMLSchema" xmlns:xs="http://www.w3.org/2001/XMLSchema" xmlns:p="http://schemas.microsoft.com/office/2006/metadata/properties" xmlns:ns2="be7239b9-907a-4a54-a72f-2289a27d7ac7" targetNamespace="http://schemas.microsoft.com/office/2006/metadata/properties" ma:root="true" ma:fieldsID="c01d1c4d5779df621baaea4bc0440b26" ns2:_="">
    <xsd:import namespace="be7239b9-907a-4a54-a72f-2289a27d7ac7"/>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7239b9-907a-4a54-a72f-2289a27d7a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22ACDC-0639-4A7C-B582-481A7930FB5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57091F2-72AE-4A7C-A9B5-F71AFA55BD4A}">
  <ds:schemaRefs>
    <ds:schemaRef ds:uri="http://schemas.microsoft.com/sharepoint/v3/contenttype/forms"/>
  </ds:schemaRefs>
</ds:datastoreItem>
</file>

<file path=customXml/itemProps3.xml><?xml version="1.0" encoding="utf-8"?>
<ds:datastoreItem xmlns:ds="http://schemas.openxmlformats.org/officeDocument/2006/customXml" ds:itemID="{983909F6-515F-488A-AA7A-E7EB325F6A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7239b9-907a-4a54-a72f-2289a27d7a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2fe835d-5e95-4512-8ae0-a7b38af25fc8}" enabled="0" method="" siteId="{72fe835d-5e95-4512-8ae0-a7b38af25fc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'様式５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教務係１</cp:lastModifiedBy>
  <cp:lastPrinted>2022-05-19T00:11:09Z</cp:lastPrinted>
  <dcterms:created xsi:type="dcterms:W3CDTF">2011-06-14T05:32:50Z</dcterms:created>
  <dcterms:modified xsi:type="dcterms:W3CDTF">2022-05-23T09:31:32Z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0x010100322F0A28D3ED7E4FA64ED365BBC64810</vt:lpwstr>
  </property>
</Properties>
</file>