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V:\部署用\●1001データサイエンス\★2022年度申請資料\リテラシーレベル\8 文科省提出書類【0520_17時締切】\新しいフォルダー\"/>
    </mc:Choice>
  </mc:AlternateContent>
  <bookViews>
    <workbookView xWindow="0" yWindow="0" windowWidth="28800" windowHeight="12864" tabRatio="885" activeTab="1"/>
  </bookViews>
  <sheets>
    <sheet name="様式１　大学等概要" sheetId="1" r:id="rId1"/>
    <sheet name="様式２　プログラムを構成する授業科目" sheetId="2" r:id="rId2"/>
    <sheet name="様式３　履修者等数の実績" sheetId="3" r:id="rId3"/>
    <sheet name="様式４　教育の質・履修者数を向上させるための体制・計画" sheetId="4" r:id="rId4"/>
    <sheet name="様式５　自己点検・評価" sheetId="5" r:id="rId5"/>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大学等概要'!$A$1:$N$45</definedName>
    <definedName name="_xlnm.Print_Area" localSheetId="1">'様式２　プログラムを構成する授業科目'!$A$1:$Z$98</definedName>
    <definedName name="_xlnm.Print_Area" localSheetId="2">'様式３　履修者等数の実績'!$A$1:$R$30</definedName>
    <definedName name="_xlnm.Print_Area" localSheetId="3">'様式４　教育の質・履修者数を向上させるための体制・計画'!$A$1:$J$130</definedName>
    <definedName name="_xlnm.Print_Area" localSheetId="4">'様式５　自己点検・評価'!$A$1:$J$18</definedName>
  </definedNames>
  <calcPr calcId="162913"/>
</workbook>
</file>

<file path=xl/calcChain.xml><?xml version="1.0" encoding="utf-8"?>
<calcChain xmlns="http://schemas.openxmlformats.org/spreadsheetml/2006/main">
  <c r="K18" i="5" l="1"/>
  <c r="K16" i="5"/>
  <c r="K15" i="5"/>
  <c r="K14" i="5"/>
  <c r="K13" i="5"/>
  <c r="K11" i="5"/>
  <c r="K10" i="5"/>
  <c r="K9" i="5"/>
  <c r="K8" i="5"/>
  <c r="K7" i="5"/>
  <c r="K113" i="4"/>
  <c r="K91" i="4"/>
  <c r="K69" i="4"/>
  <c r="K46" i="4"/>
  <c r="K31" i="4"/>
  <c r="K15" i="4"/>
  <c r="K8" i="4"/>
  <c r="K5" i="4"/>
  <c r="P30" i="3"/>
  <c r="O30" i="3"/>
  <c r="N30" i="3"/>
  <c r="M30" i="3"/>
  <c r="L30" i="3"/>
  <c r="K30" i="3"/>
  <c r="J30" i="3"/>
  <c r="I30" i="3"/>
  <c r="H30" i="3"/>
  <c r="G30" i="3"/>
  <c r="F30" i="3"/>
  <c r="E30" i="3"/>
  <c r="D30" i="3"/>
  <c r="I29" i="4" s="1"/>
  <c r="C30" i="3"/>
  <c r="Q29" i="3"/>
  <c r="R29" i="3" s="1"/>
  <c r="R28" i="3"/>
  <c r="Q28" i="3"/>
  <c r="Q27" i="3"/>
  <c r="R27" i="3" s="1"/>
  <c r="R26" i="3"/>
  <c r="Q26" i="3"/>
  <c r="Q25" i="3"/>
  <c r="R25" i="3" s="1"/>
  <c r="R24" i="3"/>
  <c r="Q24" i="3"/>
  <c r="Q23" i="3"/>
  <c r="R23" i="3" s="1"/>
  <c r="R22" i="3"/>
  <c r="Q22" i="3"/>
  <c r="Q21" i="3"/>
  <c r="R21" i="3" s="1"/>
  <c r="R20" i="3"/>
  <c r="Q20" i="3"/>
  <c r="Q19" i="3"/>
  <c r="R19" i="3" s="1"/>
  <c r="R18" i="3"/>
  <c r="Q18" i="3"/>
  <c r="Q17" i="3"/>
  <c r="R17" i="3" s="1"/>
  <c r="R16" i="3"/>
  <c r="Q16" i="3"/>
  <c r="Q15" i="3"/>
  <c r="R15" i="3" s="1"/>
  <c r="R14" i="3"/>
  <c r="Q14" i="3"/>
  <c r="Q13" i="3"/>
  <c r="R13" i="3" s="1"/>
  <c r="R12" i="3"/>
  <c r="Q12" i="3"/>
  <c r="Q11" i="3"/>
  <c r="R11" i="3" s="1"/>
  <c r="R10" i="3"/>
  <c r="Q10" i="3"/>
  <c r="C4" i="3"/>
  <c r="O45" i="1"/>
  <c r="O44" i="1"/>
  <c r="O41" i="1"/>
  <c r="O39" i="1"/>
  <c r="O37" i="1"/>
  <c r="O34" i="1"/>
  <c r="O32" i="1"/>
  <c r="O29" i="1"/>
  <c r="O20" i="1"/>
  <c r="O18" i="1"/>
  <c r="O16" i="1"/>
  <c r="O14" i="1"/>
  <c r="O12" i="1"/>
  <c r="O10" i="1"/>
  <c r="O8" i="1"/>
  <c r="O6" i="1"/>
  <c r="O4" i="1"/>
  <c r="Q30" i="3" l="1"/>
  <c r="R30" i="3" s="1"/>
  <c r="C28" i="4" s="1"/>
</calcChain>
</file>

<file path=xl/sharedStrings.xml><?xml version="1.0" encoding="utf-8"?>
<sst xmlns="http://schemas.openxmlformats.org/spreadsheetml/2006/main" count="356" uniqueCount="210">
  <si>
    <t>様式１</t>
  </si>
  <si>
    <t>数理・データサイエンス・AI教育プログラム認定制度（リテラシーレベル）　申請様式</t>
  </si>
  <si>
    <t>①</t>
  </si>
  <si>
    <t>学校名</t>
  </si>
  <si>
    <t>関西大学</t>
  </si>
  <si>
    <t>②</t>
  </si>
  <si>
    <t>大学等の設置者</t>
  </si>
  <si>
    <t>学校法人関西大学</t>
  </si>
  <si>
    <t>③</t>
  </si>
  <si>
    <t>設置形態</t>
  </si>
  <si>
    <t>私立大学</t>
  </si>
  <si>
    <t>④</t>
  </si>
  <si>
    <t>所在地</t>
  </si>
  <si>
    <t>大阪府吹田市山手町3丁目3番35号</t>
  </si>
  <si>
    <t>⑤</t>
  </si>
  <si>
    <t>申請するプログラム名称</t>
  </si>
  <si>
    <t>⑥</t>
  </si>
  <si>
    <t>プログラムの開設年度</t>
  </si>
  <si>
    <t>令和3年</t>
  </si>
  <si>
    <t>年度</t>
  </si>
  <si>
    <t>⑦応用基礎レベルの申請の有無</t>
  </si>
  <si>
    <t>無</t>
  </si>
  <si>
    <t>⑧</t>
  </si>
  <si>
    <t>教員数</t>
  </si>
  <si>
    <t>（常勤）</t>
  </si>
  <si>
    <t>人</t>
  </si>
  <si>
    <t>（非常勤）</t>
  </si>
  <si>
    <t>⑨</t>
  </si>
  <si>
    <t>プログラムの授業を教えている教員数</t>
  </si>
  <si>
    <t>⑩</t>
  </si>
  <si>
    <t>全学部・学科の入学定員</t>
  </si>
  <si>
    <t>⑪</t>
  </si>
  <si>
    <t>全学部・学科の学生数（学年別）</t>
  </si>
  <si>
    <t>総数</t>
  </si>
  <si>
    <t>１年次</t>
  </si>
  <si>
    <t>２年次</t>
  </si>
  <si>
    <t>３年次</t>
  </si>
  <si>
    <t>４年次</t>
  </si>
  <si>
    <t>５年次</t>
  </si>
  <si>
    <t>６年次</t>
  </si>
  <si>
    <t>⑫</t>
  </si>
  <si>
    <t>プログラムの運営責任者</t>
  </si>
  <si>
    <t>（責任者名）</t>
  </si>
  <si>
    <t>堀井康史</t>
  </si>
  <si>
    <t>（役職名）</t>
  </si>
  <si>
    <t>関西大学学長補佐</t>
  </si>
  <si>
    <t>⑬</t>
  </si>
  <si>
    <t>プログラムを改善・進化させるための体制（委員会・組織等）</t>
  </si>
  <si>
    <t>データサイエンス教育プロジェクト</t>
  </si>
  <si>
    <t>岡田忠克</t>
  </si>
  <si>
    <t>プロジェクトリーダー（副学長）</t>
  </si>
  <si>
    <t>⑭</t>
  </si>
  <si>
    <t>プログラムの自己点検・評価を行う体制（委員会・組織等）</t>
  </si>
  <si>
    <t>⑮</t>
  </si>
  <si>
    <t>申請する認定プログラム</t>
  </si>
  <si>
    <t>認定教育プログラム</t>
  </si>
  <si>
    <t>連絡先</t>
  </si>
  <si>
    <t>所属部署名</t>
  </si>
  <si>
    <t>学長課</t>
  </si>
  <si>
    <t>担当者名</t>
  </si>
  <si>
    <t>坂井　美和</t>
  </si>
  <si>
    <t>E-mail</t>
  </si>
  <si>
    <t>gakuchohisho@ml.kandai.jp</t>
  </si>
  <si>
    <t>電話番号</t>
  </si>
  <si>
    <t>06-6368-1416</t>
  </si>
  <si>
    <t>様式２－○</t>
  </si>
  <si>
    <t>プログラムを構成する授業科目について</t>
  </si>
  <si>
    <t>①具体的な修了要件</t>
  </si>
  <si>
    <t>②教育プログラムの修了要件</t>
  </si>
  <si>
    <t>学部・学科によって、修了要件は相違しない</t>
  </si>
  <si>
    <t>プログラムを構成する以下の2科目4単位を修得すること。
「活用法を見聞するAI・データサイエンス」　2単位
「活用法を体験するAI・データサイエンス」　2単位</t>
  </si>
  <si>
    <t>③現在進行中の社会変化（第４次産業革命、Society 5.0、データ駆動型社会等）に深く寄与しているものであり、それが自らの生活と密接に結びついている」の内容を含む授業科目</t>
  </si>
  <si>
    <t>授業科目</t>
  </si>
  <si>
    <t>単位数</t>
  </si>
  <si>
    <t>必修</t>
  </si>
  <si>
    <t>開講状況</t>
  </si>
  <si>
    <t>1-1</t>
  </si>
  <si>
    <t>1-6</t>
  </si>
  <si>
    <t>活用法を見聞するAI・データサイエンス</t>
  </si>
  <si>
    <t>全学開講</t>
  </si>
  <si>
    <t>○</t>
  </si>
  <si>
    <t>活用法を体験するAI・データサイエンス</t>
  </si>
  <si>
    <t>④「社会で活用されているデータ」や「データの活用領域」は非常に広範囲であって、日常生活や社会の課題を解決する有用なツールになり得るもの」の内容を含む授業科目</t>
  </si>
  <si>
    <t>1-2</t>
  </si>
  <si>
    <t>1-3</t>
  </si>
  <si>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</si>
  <si>
    <t>1-4</t>
  </si>
  <si>
    <t>1-5</t>
  </si>
  <si>
    <t>⑥「活用に当たっての様々な留意事項（ELSI、個人情報、データ倫理、ＡＩ社会原則等）を考慮し、情報セキュリティや情報漏洩等、データを守る上での留意事項への理解をする」の内容を含む授業科目</t>
  </si>
  <si>
    <t>3-1</t>
  </si>
  <si>
    <t>3-2</t>
  </si>
  <si>
    <t>⑦「実データ・実課題（学術データ等を含む）を用いた演習など、社会での実例を題材として、「データを読む、説明する、扱う」といった数理・データサイエンス・ＡＩの基本的な活用法に関するもの」の内容を含む授業科目</t>
  </si>
  <si>
    <t>2-1</t>
  </si>
  <si>
    <t>2-2</t>
  </si>
  <si>
    <t>2-3</t>
  </si>
  <si>
    <t>⑧選択「４．オプション」の内容を含む授業科目</t>
  </si>
  <si>
    <t>選択項目</t>
  </si>
  <si>
    <t>4‐5テキスト解析</t>
  </si>
  <si>
    <t>4‐6画像解析</t>
  </si>
  <si>
    <t>⑨プログラムを構成する授業の内容</t>
  </si>
  <si>
    <t>授業に含まれている内容・要素</t>
  </si>
  <si>
    <t>講義内容</t>
  </si>
  <si>
    <t>（１）現在進行中の社会変化（第４次産業革命、Society 5.0、データ駆動型社会等）に深く寄与しているものであり、それが自らの生活と密接に結びついている</t>
  </si>
  <si>
    <t>「活用法を見聞するAI・データサイエンス」における講義内容
　・ECにおけるレコメンデーションシステム（第1回）
　・犯罪のコントロール（抑止）（第3回）
　・自動運転における損害賠償責任の設計（第4回）
　・GoogleのBERTやカレル大学のユニバーサルデザイン（第5回）
　・AIが働き方を決定（第8回）
　・オープンデータ基本指針やデジタル・ガバメント推進方針、デジタル庁の設置など、政府におけるデータ・AI利用（第9回）
　・外国語教育・学習におけるエクステンデッド・リアリティーの利用（第10回）
　・感染症対策（第11回）
　・まちづくり、都市計画、社会資本（インフラ）の維持管理において、求められているICTの枠組みとその利用（第13回）
「活用法を体験するAI・データサイエンス」における講義内容
　・政治学に多変量解析、実験、ネットワーク分析、テキスト分析、シミュレーション、機械学習等を導入した研究（第2回）
　・都市環境（熱中症予防対策）、気候変動に伴うエネルギー需要変化の予測、激甚化する自然災害に対する防災計画の検討（第6回）
　・Pythonの機械学習ライブラリScikit-learnの紹介（第9回）
　・囲碁ソフトAlpha Go、ルービックキューブを操るロボット、歩行スキルの模倣学習、ブロック崩しゲーム（第10回）
　・ドローンの自律飛行や産業応用におけるAI・データ活用（第12回）
　・自然言語処理分野での最新動向（第13回)
　・最新の深層学習を利用した画像処理手法であるOpenPoseの工学的利用（第14回）</t>
  </si>
  <si>
    <t>（２）「社会で活用されているデータ」や「データの活用領域」は非常に広範囲であって、日常生活や社会の課題を解決する有用なツールになり得るもの</t>
  </si>
  <si>
    <t>「活用法を見聞するAI・データサイエンス」における講義内容
　・業務でのモデル活用（第1回）
　・選挙予測のために活用される選挙情勢調査データ（第2回）
　・社会福祉、犯罪などの社会病理に関する質的・量的データ（第3回）
　・自動運転やウェアラブルデバイスを用いて得られるデータ（第4回）
　・人事データ（第8回）
　・国勢調査データ（第9回）
　・自動翻訳など自然言語処理データ（第10回）
　・感染症対策のための感染者・重症者・死亡者データ（第11回）
「活用法を体験するAI・データサイエンス」における講義内容
　・政治学に使用される観察データ、調査データ、画像データ、SNSデータなど（第2回）
　・心理測定や社会調査におけるデータ（第3回）
　・色々なブランドのシェアや購買行動についてのデータ（第5回）
　・環境問題，エネルギー問題，防災等に関するデータ（第6回）
　・製品設計，デザインの方向性を探るための感性分析の手法として，SD法による製品の印象についてのアンケートの実施と活用（第9回）
　・人間の学習をモデル化したDQN、短期記憶モデル、好奇心、エピソード記憶、メタ学習（第10回）
　・ドローンで得たカメラ画像やセンサデータ（第12回）
　・音声発話データ、文章データ（第13回)
　・自動車の安全運転サポートのためのデータ（第14回）</t>
  </si>
  <si>
    <t xml:space="preserve">「活用法を見聞するAI・データサイエンス」における講義内容
　・政治、ECでのAIの活用（第1回）
　・犯罪などの社会病理、社会福祉（第3回）
　・生命・身体上の低リスク要因を保険料の割引に使う健康増進型保険の設計（第4回）
　・古典漢文データ読解のための自然言語処理（第5回）
　・ウソの因果関係に騙されないための自然界、人間社会における因果推論の基礎（第6回）
　・AIによる採用・評価の決定（第8回）
　・都道府県ごとの少子化対策計画策定や防災計画の策定への国勢調査データの利用（第9回）
　・機械翻訳、学習ログの活用（第10回）
　・年金政策，労働政策，選挙政策，公衆衛生政策（第11回）
　・まちづくり、都市計画、社会資本（インフラ）の維持管理のためのデータサイエンス・AIの活用（第13回）
「活用法を体験するAI・データサイエンス」における講義内容
　・自動運転における観測データからの固定物、自動車のAI判定（第1回）
　・政治学における仮説検証や原因究明（因果推論）（第2回）
　・都市環境や気候の変動に伴うエネルギー需要変化の予測と、自然災害に対する防災計画検討等へのデータ・AI活用（第6回）
　・ユーザの評価の曖昧さを考慮したデータ分析へのファジィ活用（第9回）
　・ロボット技術（第10回）
　・どのような領域でニューラルネットワークが使われているのかを解説（第11回）
　・ドローンで得たデータに基づくインフラ等の自動点検（第12回）
　・人間とコンピュータとの対話、ヒューマンインターフェース（第13回)
</t>
  </si>
  <si>
    <t>（３）様々なデータ利活用の現場におけるデータ利活用事例が示され、様々な適用領域（流通、製造、金融、サービス、インフラ、公共、ヘルスケア等）の知見と組み合わせることで価値を創出するもの</t>
  </si>
  <si>
    <t>「活用法を見聞するAI・データサイエンス」における講義内容
　・EC・流通におけるデータサイエンスの活用（第1回）
　・自治体で意識調査を通じてデータが収集され，市政の意思決定や広報に活用されている事例の紹介（高槻市）（第2回）
　・社会福祉と犯罪などの社会病理を取り扱う現場（第3回）
　・健康増進型保険について、InsurTechとよばれる保険業界でのIT活用技術におけるリスク把握（第4回）
　・AIによる採用・評価の決定（第8回）
　・地方自治体がビッグデータを活用して結婚支援事業を展開している例など、公的機関におけるデータ利用の実例を説明（第9回）
　・教育現場でのデータ・AI利活用（第10回）
　・政策決定や合意形成（第11回）
　・社会生活を支えるインフラ構造物の点検における、劣化診断のための検査データの活用（第13回）
「活用法を体験するAI・データサイエンス」における講義内容
　・投票啓発活動に関するオンライン・フィールド実験例の紹介と、社会におけるデータの活用（第2回）
　・教育水準の向上やより望ましい社会の設計をめざすためのデータとその活用（第4回）
　・都市環境、気候変動に伴うエネルギー需要変化の予測，防災計画検討等へのデータの活用（第6回）
　・問題文作成へのAI技術の活用（第8回）
　・ミズノ株式会社と共同で実施したゴルフクラブの打ちやすさの分析（第9回）
　・並列学習、シミュレーション学習による強化学習の短期化と実環境での強化学習（第10回）
　・ドローン産業におけるAI・データ活用の実際（第12回）
　・音声アシスタント、情報検索サービス、機械翻訳システム（第13回)
　・工学分野で利用されている人工知能技術の具体例の説明（第14回）</t>
  </si>
  <si>
    <t>（４）活用に当たっての様々な留意事項（ELSI、個人情報、データ倫理、ＡＩ社会原則等）を考慮し、情報セキュリティや情報漏洩等、データを守る上での留意事項への理解をする</t>
  </si>
  <si>
    <t xml:space="preserve">「活用法を見聞するAI・データサイエンス」における講義内容
　・質問文のワーディングの違いで，得られるデータが異なる事例を説明し，データのバイアスについて注意喚起した。 データの活用の負の事例としてケンブリッジ・アナリティカ社疑惑を取り上げ，世論が誘導される可能性を紹介した。（第2回）
　・AIによる採用・評価の決定：使用者、労働者から見た利点と問題点（第8回）
　・個人情報を特定させないためのデータ合成手法の紹介、個人情報を保護するための粒度コントロールによる情報管理（第11回）
　・データを扱う上で重要となる個人情報保護法の概要、匿名加工情報や要配慮個人情報の説明、オプトアウト・オプトインなどのキーワードの説明、プライバシー保護の重要性の説明、プライバシーの権利や忘れられる権利の説明。続いて、AIを正しく扱うために必要な研究者倫理・データ倫理として、してはならない3つの行為（データのねつ造、改ざん、盗用）の説明。ビジネスフレームワークの観点からAIの失敗例を紹介し、データバイアスに代表されるデータの質・量の問題がAI開発の最重要ポイントであることを説明（第12回）
・DXを進めるにあたって、データサイエンスを実施した上で、必要に応じてAI導入やAI選択を検討するという手順の重要性を説明（第13回）
「活用法を体験するAI・データサイエンス」における講義内容
　・個人情報保護の観点から、人流データにおける個人情報の秘匿や特定につながる情報の取り扱い上の注意点を説明（第6回）
　・製品の印象に関するアンケート調査を実施する上での留意事項を解説し，曖昧なデータをAI手法で解析する際の注意点を説明（第9回）
　・ニューラルネットワークを利用する上での効果的な利用法、問題点について解説。学習データの取り方に関する注意点を解説（第11回）
　・AI搭載ドローンの軍事利用について触れ、AIの正しい活用につい学生自身に考えるよう促す（第12回）
　・工学分野での人工知能の利用について、社会生活へ及ぼす影響に鑑みて、安易に利用することなく、社会状況の整備（法整備）や発生するリスクなどを強く意識するように説明。例えば、人工知能利用として1960年代に開発された投薬支援プログラムが、法整備ができていないことを理由に不採択になったことなどを説明（第14回）
</t>
  </si>
  <si>
    <t>（５）実データ・実課題（学術データ等を含む）を用いた演習など、社会での実例を題材として、「データを読む、説明する、扱う」といった数理・データサイエンス・ＡＩの基本的な活用法に関するもの</t>
  </si>
  <si>
    <t xml:space="preserve">「活用法を見聞するAI・データサイエンス」における講義内容
　・選挙予測の誤りの事例から，割当抽出がどのように活用されたかを読み取り，また無作為抽出の重要性を学ぶ（第2回）
　・環境と植物の成長・ワクチンの有効性等の実例をもとに、誤った因果推論を避けて統計情報を正しく理解する方法を学ぶ（第6回）
　・マーケティングリサーチ、行動経済学に関わる過去の有名な調査データを読む（第7回）
　・外国語教育分野で行われている研究のデータを読む（第10回）
　・分居モデルを用いたシミュレーション実験によるデータ取得の体験（第11回）
　・平均、分散、ヒストグラム、散布図など、Rの解析機能を用いてデータの可視化手法と読み方を学ぶ（第15回）
「活用法を体験するAI・データサイエンス」における講義内容
　・心理測定データにおける「真の値」としての平均値の意味，複数の測定データによる因子の意味、ビッグデータを処理する意味（第3回）
　・色々な分野のマーケティングのデータ(シェアや購買行動）から同じ法則性を見出す（第5回）
　・環境問題、エネルギー問題、防災等に関するデータからの情報・知恵の読み取り（第6回）
　・データ、情報、知識の違いを意識してデータを読む（第8回）
　・感性分析のために収集するアンケートデータの解釈（第9回）
　・Haarlikeカスケード分類器による認識、新たな分類器作成の手順説明、カスケード分類器を利用した画像認識プログラムの配布（第14回）
　・集めたデータと集まったデータ。統計学者のデータの読み方を学ぶ（第15回）
</t>
  </si>
  <si>
    <t xml:space="preserve">「活用法を見聞するAI・データサイエンス」における講義内容
　・古典漢文データの取り扱い（第5回）
　・マーケティング・サイエンスの代表的ツールである知覚マップの役割、作成に必要なデータの種類と統計分析手法（第7回）
　・分居モデルを用いたシミュレーションデータの取り扱い（第11回）
　・AIにおける入力と出力の関係の基本的な考え方（第13回）
　・核酸、タンパク質の配列解析（第14回）
　・Rを用いてアヤメのがく片、花弁の実データをクラスタ分析し、3種類のアヤメがデータに含まれていることを実演（第15回）
「活用法を体験するAI・データサイエンス」における講義内容
　・マーケティングのデータ(シェアや購買行動)のランキングを作り、そこに一定の法則性があることを示す（第5回）
　・ニューラルネットワークでのデータ処理の流れ、扱い方における課題を説明（第6回）
　・データや情報の入力を行うのは人であり、AI技術を扱う人に倫理観が求められることを説明（第8回）
　・アンケートデータをファジィ集合に分類し，機械学習の１つである決定木で分析する方法を説明（第9回）
　・テンプレートマッチングとカスケード分類器による画像処理について、類似点と相違点を説明（第14回）
　・出生率、テレビ視聴率、地球温暖化の現状を視覚化し、データの意味を実感する（第15回）
</t>
  </si>
  <si>
    <t>⑩プログラムの学修成果（学生等が身に付けられる能力等）</t>
  </si>
  <si>
    <t>さまざまな専門分野における AI・データサイエンス技術の活用事例を、各学部教員がリレー形式で紹介する。AI・データサイエンス技術の開発に関わる教員の研究事例にも触れ、データの統計学的な取り扱いとAI 特有のデータ処理技法に関する知識を広く身につける。</t>
  </si>
  <si>
    <t>⑪プログラムの授業内容等を公表しているアドレス</t>
  </si>
  <si>
    <t>https://www.kansai-u.ac.jp/ds/</t>
  </si>
  <si>
    <t>様式３</t>
  </si>
  <si>
    <t>プログラムの履修者数等の実績について</t>
  </si>
  <si>
    <t>①プログラム開設年度</t>
  </si>
  <si>
    <t>②履修者・修了者の実績</t>
  </si>
  <si>
    <t>学部・学科名称</t>
  </si>
  <si>
    <t>入学
定員</t>
  </si>
  <si>
    <t>収容
定員</t>
  </si>
  <si>
    <t>令和3年度</t>
  </si>
  <si>
    <t>令和2年度</t>
  </si>
  <si>
    <t>令和元年度</t>
  </si>
  <si>
    <t>平成30年度</t>
  </si>
  <si>
    <t>平成29年度</t>
  </si>
  <si>
    <t>平成28年度</t>
  </si>
  <si>
    <t>履修者数
合計</t>
  </si>
  <si>
    <t>履修率</t>
  </si>
  <si>
    <t>履修者数</t>
  </si>
  <si>
    <t>修了者数</t>
  </si>
  <si>
    <t>法学部</t>
  </si>
  <si>
    <t>文学部</t>
  </si>
  <si>
    <t>経済学部</t>
  </si>
  <si>
    <t>商学部</t>
  </si>
  <si>
    <t>社会学部</t>
  </si>
  <si>
    <t>政策創造学部</t>
  </si>
  <si>
    <t>外国語学部</t>
  </si>
  <si>
    <t>人間健康学部</t>
  </si>
  <si>
    <t>社会安全学部</t>
  </si>
  <si>
    <t>システム理工学部</t>
  </si>
  <si>
    <t>環境都市工学部</t>
  </si>
  <si>
    <t>化学生命工学部</t>
  </si>
  <si>
    <t>合　計</t>
  </si>
  <si>
    <t>　　　　　　　　　　　　　　　　　　　　　　　　　　　　　　　　　　　　　　　　　　　　　　　　　　　　　　　　　　　　　　　　　　　　　　　　　　　　　　　　　　　　　　　　　　　　　　　　　　　　　　　　　　　　　　　　　　　　　　　　　　　　　　　　　　　　　　　　　　　　　　　　　　　　　　　　　　　　　　　　　　　　　　　　　　　　　　　　　　　　　　　　　　　　　　　　　　　　　　　　　　　　　　　　　　　　　　　　　　　　　　　　　　　　　　　　　　　　　　　　　　　　　　　　　　　　　　　　　　　　　　　　　　　　　　　　　　　　　　　　　　　　　　　　　　　　　　　　　　　　　　　　　　　　　　　　　　　　　　　　　　　　　　　　　　　　　　　　　　　　　　　　　　　　　　　　　　　　　　　　　　　　　　　　　　　　　　　　　　　　　　　　　　　　　　　　　　　　　　　　　　　　　　　　　　　　　　　　　　　　　　　　　　　　　　　　　　　　　　　　　　　　　　　　　　　　　　　　　　　　　　　　　　　　　　　　　　　　　　　　　　　　　　　　　　　　　　　　　　　　　　　　　　　　　　　　　　　　　　　　　　　　　　　　　　　　　　　　　　　　　　　　　　　　　　　　　　　　　　　　　　　　　　　　　　　　　　　　　　　　　　　　　　　　　　　　　　　　　　　　　　　　　　　　　　　　　　　　　　　　　　　　　　　　　　　　　　　　　　　　　　　　　　　　　　　　　　　　　　　　　　　　　　　　　　　　　　　　　　　　　　　　　　　　　　　　　　　　　　　　　　　　　　　　　　　　　　　　　　　　　　　　　　　　　　　　　　</t>
  </si>
  <si>
    <t>様式４</t>
  </si>
  <si>
    <t>教育の質・履修者数を向上させるための体制・計画について</t>
  </si>
  <si>
    <t>プログラムを改善・進化させるための体制を定める規則名称</t>
  </si>
  <si>
    <t>データサイエンス教育プロジェクト規程</t>
  </si>
  <si>
    <t>体制の目的</t>
  </si>
  <si>
    <t>本学における全学的な数理・データサイエンス・AI教育を推進し、データサイエンス教育のプログラム構築に資することを目的に、データサイエンス教育プロジェクトでは以下の業務を行う。
(１) 文部科学省における数理・データサイエンス・AI教育プログラム認定制度に関する事項
(２) 前号における数理・データサイエンス・AI教育プログラムの設計に関する事項
(３) 学内及び学外からの視点による自己点検・評価に関する事項
(４) 履修促進に向けた広報活動に関する事項
(５) その他プロジェクトの目的達成のために必要な事項</t>
  </si>
  <si>
    <t>具体的な構成員</t>
  </si>
  <si>
    <t>履修者数・履修率の向上に向けた計画</t>
  </si>
  <si>
    <t>令和３年度実績</t>
  </si>
  <si>
    <t>令和４年度予定</t>
  </si>
  <si>
    <t>令和５年度予定</t>
  </si>
  <si>
    <t>令和６年度予定</t>
  </si>
  <si>
    <t>令和７年度予定</t>
  </si>
  <si>
    <t>収容定員（名）</t>
  </si>
  <si>
    <t>具体的な計画</t>
  </si>
  <si>
    <t>学部・学科に関係なく希望する学生全員が受講可能となるような必要な体制・取組等</t>
  </si>
  <si>
    <t>できる限り多くの学生が履修できるような具体的な周知方法・取組</t>
  </si>
  <si>
    <t>　</t>
  </si>
  <si>
    <t>⑦</t>
  </si>
  <si>
    <t>できる限り多くの学生が履修・修得できるようなサポート体制</t>
  </si>
  <si>
    <t>複数のキャンパスにまたがって学部が存在する本学において、学生に平等かつ円滑なサポートを提供するには、授業のフルオンデマンド化が必須である。しかし、オンデマンド化により、学生が好きな時間に講義を受講できるのは、学生が計画立てて授業を受講する習慣を失わせることになりかねず、サービスの向上には繋がらない。そのため、各授業のビデオ視聴と小テストには1週間の期限を設け、かつこれを厳格に運用すること、そして各回の小テストの結果を速やかに学生にフィードバックする体制をとることで、個々の学生が自身の成績をLMS上で把握できるように配慮している。その結果、授業最終回に実施した授業評価アンケートでは、オンデマンド授業でありながら、履修者の80%近い学生から回答を得ることができた。多くの学生が最終回まで積極的に授業に参加していたのは、厳格な授業運営と適切なサポート体制が機能していたためと判断している。</t>
  </si>
  <si>
    <t>授業時間内外で学習指導、質問を受け付ける具体的な仕組み</t>
  </si>
  <si>
    <t>本教育プログラムの科目は、すべてフルオンデマンドで実施している。授業においては、ビデオ視聴をするだけではなく、その理解度を測定するために授業内容に関連した小テストを毎回実施している。また、学生からの質問に対しては、LMSのメッセージ、タイムライン、掲示板などの機能を活用し、授業担当教員が速やかに返答できる体制を整えている。さらに、授業全体を統括する主担当教員1名を設け、授業の進捗状況の確認から、学生からの質問に対する返答状況の把握までを行っている。さらに、主担当教員は、学生の勉学に有用な情報をＬＭＳのメッセージ、タイムライン、掲示板機能で情報共有を図るなど、受講学生へのサービス向上に注力している。</t>
  </si>
  <si>
    <t>　　　　　　　　　　　　　　　　　　　　　　　　　　　　　　　　　　　　　　　　　　　　　　　　　　　　　　　　　　　　　　　　　　　　　　　　　</t>
  </si>
  <si>
    <t>様式５</t>
  </si>
  <si>
    <t>自己点検・評価について</t>
  </si>
  <si>
    <t>自己点検・評価体制における意見等</t>
  </si>
  <si>
    <t>自己点検・評価の視点</t>
  </si>
  <si>
    <t>自己点検・評価体制における意見・結果・改善に向けた取組等</t>
  </si>
  <si>
    <t>学内からの視点</t>
  </si>
  <si>
    <t>プログラムの履修・修得状況</t>
  </si>
  <si>
    <t>学修成果</t>
  </si>
  <si>
    <t>学生アンケート等を通じた学生の内容の理解度</t>
  </si>
  <si>
    <t>学生アンケート等を通じた後輩等他の学生への推奨度</t>
  </si>
  <si>
    <t>全学的な履修者数、履修率向上に向けた計画の達成・進捗状況</t>
  </si>
  <si>
    <t>本教育プログラムを構成する「活用法を見聞するAI・データサイエンス」、「活用法を体験するAI・データサイエンス」は、2021年度、本学のすべての学生が履修可能な全学共通科目としてスタートしたものである。2022年度は、これらの科目を関西大学重点科目に位置付け、数理・データサイエンス・AI教育の重要性を全学に強くアピールするとともに、データサイエンス教育プロジェクトチームを教育推進部に設置し、総合的なサポート体制の整備を目指す計画である。</t>
  </si>
  <si>
    <t>学外からの視点</t>
  </si>
  <si>
    <t>教育プログラム修了者の進路、活躍状況、企業等の評価</t>
  </si>
  <si>
    <t>産業界からの視点を含めた教育プログラム内容・手法等への意見</t>
  </si>
  <si>
    <t>数理・データサイエンス・ＡＩを「学ぶ楽しさ」「学ぶことの意義」を理解させること</t>
  </si>
  <si>
    <t>内容・水準を維持・向上しつつ、より「分かりやすい」授業とすること</t>
  </si>
  <si>
    <t>本教育プログラムでは、13学部から教員が集合し、リレー形式で授業を行っている。これをより分かりやすく、興味深いものにするため、授業担当教員はそれぞれの所属学部の専門性と自身の研究紹介を授業冒頭で行うように心がけている。これにより、学生は個々の教員のバックグラウンドを理解した上で、未知の分野のＡＩ・データサイエンスを体験できるように設計されており、この手法が効果的であったことを授業評価アンケートにおいても確認している。また、次年度に向けた改善点として、学習時の利便性を高めるため、視聴ビデオのオンデマンド配信を行う際には、学生への授業スライドの配布を推奨している。</t>
  </si>
  <si>
    <t>②自己点検・評価体制における意見等を公表しているアドレス</t>
  </si>
  <si>
    <t>https://www.kansai-u.ac.jp/ds/
https://www.kansai-u.ac.jp/ds/img/pdf/ds_questionnaire.pdf</t>
  </si>
  <si>
    <t>「活用法を見聞するAI・データサイエンス」における講義内容
　・政治におけるビッグデータの利用（第1回）
　・選挙情勢調査における選挙予測（第2回）
　・急激な社会変動と犯罪などの社会病理（第3回）
　・自動運転技術と健康増進型保険（第4回）
　・AI技術の登場と労働評価（第8回）
　・新型コロナ禍による社会のデジタル化の促進と政府のデータ利活用（第9回）
　・外国語教育・学習におけるAI活用（第10回）
　・デジタルツイン（第11回）
　・少子高齢化による働き手不足への対応のためのDXの推進（「Society 5.0」に向けた行動変化）（第13回）
「活用法を体験するAI・データサイエンス」における講義内容
  ・人工知能学会AIマップ（第１回）
　・iPhoneに搭載されたLiDARセンサに基づくGPSデータからの人流情報の抽出と温暖化対策への応用（第6回）
　・魅力ある製品開発のために感性分析が導入されている社会的背景と企業のニーズ（第9回）
　・人間を圧倒する分散型深層強化学習（Agent57）とゲームAI（Alpha Go）（第10回）
　・ドローン産業の現状（第12回）
　・音声認識や機械翻訳の性能向上と活用場面の拡大（第13回)
　・工学分野での機械学習利用の歴史、人工知能の初期段階で工学利用されたテンプレートマッチング（第14回）</t>
    <rPh sb="325" eb="326">
      <t>ダイ</t>
    </rPh>
    <phoneticPr fontId="20"/>
  </si>
  <si>
    <t>「活用法を見聞するAI・データサイエンス」における講義内容
　・意思決定における決定木の利用（第4回）
　・社会調査法やデータサイエンスにおける質的・量的調査の方法（第3回）
　・文字，音声の自然言語処理（第10回）
　・データ駆動型アプローチとモデル駆動型アプローチ（第11回）
　・ドローンや３次元計測によるデータ収集（第13回）
　・統計分析ソフトR（第15回）
「活用法を体験するAI・データサイエンス」における講義内容
  ・誤差逆伝播学習と深層学習の基礎、機械学習ID3による知識獲得、ファジィ集合とファジィ推論によるしなやかなAI・データサイエンス（第１回）
　・政治学に関するデータの多変量解析、シミュレーション、可視化（第2回）
　・薬剤の臨床試験やマーケティングで利用されるランダム化比較試験の解説、および科学的な証拠に基づいたデータ分析の方法（第4回）
　・多くの学生がイメージ／体験したデータと、巨大データを扱う際の処理技術・プラットフォームの差異（第6回）
　・決定木、回帰分析、機械学習（教師ありデータ、教師なしデータ）（第8回）
　・ユーザの評価の曖昧さを考慮したデータ分析を目的としたファジィC4.5決定木生成アルゴリズム（第9回）
　・機械学習（教師あり学習、教師なし学習）、強化学習（試行錯誤と報酬）、深層学習、ニューラルネットワーク（第10回）
　・ニューラルネットワークがどのような技術であるのかを解説（第11回）
　・ドローンで得たデータによるAIの学習（第12回）
　・自然言語処理、機械学習、ディープラーニング（第13回)
　・人工知能の中で注目されている技術の変遷の説明（第14回）</t>
    <rPh sb="283" eb="284">
      <t>ダイ</t>
    </rPh>
    <phoneticPr fontId="20"/>
  </si>
  <si>
    <t xml:space="preserve">「活用法を見聞するAI・データサイエンス」における講義内容
　・マサチューセッツ州の医療データ公開問題等から，データの公開が個人情報の漏えいにつながる可能性を説明（第2回）
　・利用者を限定させることによるデータ管理（第11回）
　・情報セキュリティの基本要素であるCIA（機密性、完全性、可用性）の意味と例、CIAに基づく管理策を説明。Cの管理策の一つである暗号化について、共通鍵暗号、公開鍵暗号という2種類の方式を説明。ソフトウエアの更新、セキュリティソフトの導入、IDとパスワードの適切な管理というセキュリティの三原則を説明した後、使い回しを回避する安全なパスワードの作成法を説明。また、ランサムウェアやフィッシング詐欺、標的型攻撃、ソーシャルエンジニアリングなど、人を狙った悪意ある攻撃が問題となっていることを述べた。さらに、これまでの有名な情報漏えい事件を紹介した後、JNSAが発行する「情報セキュリティインシデントに関する調査報告書」に基づき、インシデントの原因別割合・媒体別割合（件数）を年代ごとに見て、近年の傾向を説明（第12回）
</t>
    <phoneticPr fontId="20"/>
  </si>
  <si>
    <t>「活用法を見聞するAI・データサイエンス」における講義内容
　・ビッグデータから政治家の支援者候補の特徴を説明（第1回）
　・収集されたデータの分析結果に基づき、人間の行動に関する理論がどのように構築されたかを説明（第7回）
　・分居モデルを用いたパラメータの意味の理解の重要性（第11回）
　・Rを使って、3種類のアヤメのがく片、花弁の実データを散布図上に描き、その特徴を説明（第15回）
「活用法を体験するAI・データサイエンス」における講義内容
　・良い決定木の作り方、回帰分析の意味を理解する（第8回）
　・アンケートデータをAIで分析し，生成された決定木から有益な知識を発見するための手法（第9回）
　・ニューラルネットワークがデータから学習することの意味を説明、解説（第11回）
　・歩行者信号認識のためのカスケード分類器の作成過程、誤認識が発生した原因と認識率向上のための留意事項（第14回）
　・身近な商品のばらつきを箱ひげ図で統計分析、分類、説明（第15回）</t>
    <phoneticPr fontId="20"/>
  </si>
  <si>
    <r>
      <rPr>
        <sz val="8"/>
        <color theme="1"/>
        <rFont val="ＭＳ Ｐゴシック"/>
        <family val="3"/>
        <charset val="128"/>
        <scheme val="minor"/>
      </rPr>
      <t xml:space="preserve">総合情報学部
</t>
    </r>
    <r>
      <rPr>
        <sz val="6"/>
        <color theme="1"/>
        <rFont val="ＭＳ Ｐゴシック"/>
        <family val="3"/>
        <charset val="128"/>
        <scheme val="minor"/>
      </rPr>
      <t>※収容定員には編入学定員90名（30名×3学年）含む。</t>
    </r>
    <rPh sb="8" eb="10">
      <t>シュウヨウ</t>
    </rPh>
    <rPh sb="10" eb="12">
      <t>テイイン</t>
    </rPh>
    <rPh sb="14" eb="17">
      <t>ヘンニュウガク</t>
    </rPh>
    <rPh sb="17" eb="19">
      <t>テイイン</t>
    </rPh>
    <rPh sb="21" eb="22">
      <t>メイ</t>
    </rPh>
    <rPh sb="25" eb="26">
      <t>メイ</t>
    </rPh>
    <rPh sb="28" eb="30">
      <t>ガクネン</t>
    </rPh>
    <rPh sb="31" eb="32">
      <t>フク</t>
    </rPh>
    <phoneticPr fontId="20"/>
  </si>
  <si>
    <t>　本学は13学部からなり、学部の専門性や興味対象も多岐にわたっている。そのため、本教育プログラムでは、当該分野を日常的に研究・活用する教員が各学部から集まり、リレー形式で授業を展開する方式を採用している。これにより、すべての履修学生が自身の専門性を越えて、AI・データサイエンスが社会に広く浸透し、実践的に活用されている現状を学ぶことになる。加えて、自身の専門分野においても、その重要度が急速に高まりつつあることを実感し、学習意欲の向上に繋げている。
　授業では担当教員の専門分野における活用事例、研究事例を通してAI・データサイエンス技術を学ぶため、毎回の授業テーマが異なることになる。そのため、ある授業が難しく、理解が困難であっても、次回は新たな気持ちで授業に臨むことができることから、文理を問わず関心が長続きするように配慮されている。こうした授業設計の狙いが有効に機能していることは、授業評価アンケートからも確認できる。多学部を擁する総合大学において、さまざまな学部の学生を特定の授業に導くことは難しいが、本学ではこのような「総合大学ならではの手法」で履修率の向上を目指している。</t>
    <phoneticPr fontId="20"/>
  </si>
  <si>
    <r>
      <t>毎授業時に実施される小テストは、1週間の受験期間が過ぎると点数化され、LMS上で即座に確認できるようにしている。このデータは、毎時間、表形式でLMS内に蓄積されるため、これをダウンロードし表計算ソフトで可視化することも可能である。現在は2021年度の授業データのみが蓄積されているが、これを毎年続け、データ蓄積量を増やせば、年度毎の学修状況の比較も可能である。
また、授業評価アンケートを実施し、学修成果の測定を行っている。2021年度のアンケートでは、90%を超える回答学生から、学修成果がキャリア形成に役立つとの回答を得ており、今後、就職活動期を迎えた学生の動向を注視していきたいと考えている。</t>
    </r>
    <r>
      <rPr>
        <sz val="12"/>
        <rFont val="宋体"/>
      </rPr>
      <t xml:space="preserve">
</t>
    </r>
    <phoneticPr fontId="20"/>
  </si>
  <si>
    <t>毎年、すべての卒業生を対象に「就職・進路状況調査」を実施しているため、教育プログラム修了者の進路追跡が可能である。また、教育プログラムの修了者には、オープンバッジを利用した修了認定証を発行する予定である。こうした試みは、数理・データサイエンス・AI分野に関心を持つ学生を多く生み出し、当該分野を実践する関連企業に人材提供をしやすくする効果があるものと期待している。本教育プログラムが2021年度より開始したこと、低年次の履修生が多いことから、修了者の進路、活躍状況、企業等での評価を得るまでには至っていないが、今後は「就職・進路状況調査」を活用し、分析に役立てたいと考えている。</t>
    <rPh sb="255" eb="257">
      <t>コンゴ</t>
    </rPh>
    <phoneticPr fontId="20"/>
  </si>
  <si>
    <t>13学部を擁する本学では、個々の学部の専門性が大きく異なるため、学生の興味の対象も千差万別であるが、学ぶ楽しさ、学ぶことの意義を理解させるための工夫として、全学部から数理・データサイエンス・AI技術を日常的に研究、あるいは活用している教員を集め、リレー形式で授業を展開している。毎回、様々な分野の教員が交代で担当するため、飽きることなく受講でき、あらゆる分野で当該技術が活用されていることを学んでいる。授業評価アンケートの自由記述欄に、本教育プログラムを学ぶことの楽しさや学ぶことの意義を書く学生が非常に多かったのも、リレー形式での授業が、本学の学生の学びに有効に機能したからではないかと考えている。</t>
    <rPh sb="151" eb="153">
      <t>コウタイ</t>
    </rPh>
    <rPh sb="154" eb="156">
      <t>タントウ</t>
    </rPh>
    <rPh sb="203" eb="205">
      <t>ヒョウカ</t>
    </rPh>
    <phoneticPr fontId="20"/>
  </si>
  <si>
    <t xml:space="preserve">本学は、千里山、高槻、高槻ミューズ、堺、梅田の5キャンパスに別れており、従来、全学部の学生が同一授業に参加することが非常に難しかった。これを克服するため、完全オンデマンド化し、学習支援システムLMSを活用してビデオ配信と小テストをWeb上で実施し、学生への教育と理解度の測定を行っている。また、学生・教員間の双方向性を高めるため、LMSのメッセージ、タイムライン、掲示板の各機能を活用し、学生の疑問に対して即座に回答できる体制を整えるとともに、質問内容を整理して掲示板に再掲示する等、情報共有にも注力している。さらに、授業の主担当教員1名を配置し、すべての仕組みが滞りなく運用されていることを常時監視している。このような受講環境を整備することにより、本教育プログラムの科目を、全学対象の共通教養科目として開講し、全学部の学生全員を受講可能にしている。
</t>
  </si>
  <si>
    <t xml:space="preserve">本教育プログラムに関するホームページを公開し、当該技術を習得することの社会的重要性と必要性を説明し、レベルに応じて体系的に学習できるよう全学対象の共通教養科目が提供されていること、また、学部の専門的な視点から当該技術を深く学べる学部専門教育プログラムが並行して実施されていることを周知している。さらに、授業の紹介、学生の声、授業に携わる教員の研究紹介コーナーを設け、学生の履修意欲の向上を図っている。これに加え、「非常に有意義な授業だった」、「視野が広がった」、「たいへん興味深かった」との声が多数寄せられた2021年度授業評価アンケートの結果を掲載し、より多くのが学生が当該科目に興味をもち、履修するような呼びかけを行っている。また、新入生に向けて共通教養科目のパンフレットを配布し、本教育プログラムについて周知を行っている。
</t>
  </si>
  <si>
    <t>AI・データサイエンスのホームページに「学生の声」のコーナーを設け、受講生の生の声を掲載している。「自己点検」のコーナーには、授業で実施した独自授業評価アンケートの結果を公表している。
アンケートでは、約80%の学生が回答しており、「有意義な授業だった」、「視野が広がった」、「興味深かった」等の高評価が多く見られた。また、この科目は「あなたにとって有意義だったか」、「キャリア形成に有意義だったか」、「関連科目が開講された場合、受講したいか」との問いに対して、いずれも約90%の学生が前向きな回答をしていた。これらの声を、後輩学生にフィードバックすることで履修者増につなげていきたいと考えている。</t>
    <rPh sb="101" eb="102">
      <t>ヤク</t>
    </rPh>
    <rPh sb="235" eb="236">
      <t>ヤク</t>
    </rPh>
    <rPh sb="293" eb="294">
      <t>カンガ</t>
    </rPh>
    <phoneticPr fontId="20"/>
  </si>
  <si>
    <t>2021年度の本教育プログラムの履修状況は次の通りである。
「活用法を見聞するAI・データサイエンス」（春学期）　履修者 424名
「活用法を体験するAI・データサイエンス」（秋学期）　履修者 810名
春学期から秋学期に履修者が倍増しているが、多くの学生はこれらの科目の一方のみを受講する傾向にあり、セットで履修した学生が極めて少なかった。この状況を克服するため、以下の取組を行う。
・ホームページを定期的に見直し、本教育プログラムの魅力を強く発信する。
・オープンバッジを活用した認定プログラム制度を導入する。
・授業時に授業スライドを配布するなど、学生の勉学の利便性を高める。</t>
    <rPh sb="53" eb="55">
      <t>ガッキ</t>
    </rPh>
    <rPh sb="89" eb="91">
      <t>ガッキ</t>
    </rPh>
    <phoneticPr fontId="20"/>
  </si>
  <si>
    <t>関西大学AI・データサイエンス 教育プログラム（リテラシーレベル）</t>
    <phoneticPr fontId="20"/>
  </si>
  <si>
    <t xml:space="preserve">数理・データサイエンス教育強化拠点コンソーシアムに所属し、数々のシンポジウムで啓蒙活動に参画してきた。その際に得られた産業界の視点や動向、意見を収集し、本学で実施可能な独自教育プログラムの開発を進めてきた。
また、連携関係にあるMathworks Japan様のご厚意により、授業終了後に本学向けセミナー「AI・データサイエンスセミナー　MATLABで体験するディープラーニング」を実施し、一定の効果が得られたものと考えている。今後は本学の外部評価委員や各界の指導的有識者に出席いただいている関西大学経営審議会において、様々な意見を頂戴し、産業界とも直結した学びを提供していきたいと考えている。
</t>
    <rPh sb="76" eb="78">
      <t>ホンガク</t>
    </rPh>
    <rPh sb="144" eb="146">
      <t>ホンガク</t>
    </rPh>
    <rPh sb="191" eb="193">
      <t>ジッシ</t>
    </rPh>
    <rPh sb="214" eb="216">
      <t>コンゴ</t>
    </rPh>
    <rPh sb="217" eb="219">
      <t>ホンガク</t>
    </rPh>
    <rPh sb="220" eb="222">
      <t>ガイブ</t>
    </rPh>
    <rPh sb="222" eb="224">
      <t>ヒョウカ</t>
    </rPh>
    <rPh sb="224" eb="226">
      <t>イイン</t>
    </rPh>
    <rPh sb="227" eb="229">
      <t>カクカイ</t>
    </rPh>
    <rPh sb="230" eb="233">
      <t>シドウテキ</t>
    </rPh>
    <rPh sb="233" eb="236">
      <t>ユウシキシャ</t>
    </rPh>
    <rPh sb="237" eb="239">
      <t>シュッセキ</t>
    </rPh>
    <rPh sb="246" eb="248">
      <t>カンサイ</t>
    </rPh>
    <rPh sb="248" eb="250">
      <t>ダイガク</t>
    </rPh>
    <rPh sb="250" eb="252">
      <t>ケイエイ</t>
    </rPh>
    <rPh sb="252" eb="255">
      <t>シンギカイ</t>
    </rPh>
    <rPh sb="260" eb="262">
      <t>サマザマ</t>
    </rPh>
    <rPh sb="263" eb="265">
      <t>イケン</t>
    </rPh>
    <rPh sb="266" eb="268">
      <t>チョウダイ</t>
    </rPh>
    <phoneticPr fontId="20"/>
  </si>
  <si>
    <t xml:space="preserve">本教育プログラムでは受講者全員に対して、大学が共通に実施する授業評価アンケートに加えて、本教育プログラムにおいても独自の授業評価アンケートを実施し、学生の理解度の詳細な分析に役立てている。2021年度は履修者810名中645名から回答を得ることができ、学生の学習環境、学習時間、視聴ビデオ・小テストの難易度、疑問を持ったときの対応方法など、詳細なデータを集めている。履修学生の多くが授業に興味を持ち、疑問に感じた点については視聴ビデオの見直し、自分で調べるなどして理解に努めていることがわかる。学生の声に真摯に耳を傾け、オンデマンド授業の更なる質の向上に努めたいと考えている。
</t>
    <phoneticPr fontId="20"/>
  </si>
  <si>
    <t>データサイエンス教育プロジェクト構成員
副学長　　　　　　　　　　　　　 人間健康学部　　教授　　岡田忠克（プロジェクトリーダー）
学長補佐　　　　　　　　　　　  総合情報学部　　教授　　堀井康史
共通教養教育推進委員長　文学部　　　　　　  教授　　村上泰子　
学長が推薦する教育職員　 商学部　　　　　　 教授　　矢田勝俊
学長が推薦する教育職員　 総合情報学部　　教授　　林    勲
学事局長　 竹中敏治
学長室長　 田和広</t>
    <phoneticPr fontId="2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</si>
</sst>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24">
    <font>
      <sz val="11"/>
      <color theme="1"/>
      <name val="ＭＳ Ｐゴシック"/>
      <charset val="128"/>
      <scheme val="minor"/>
    </font>
    <font>
      <sz val="12"/>
      <color theme="1"/>
      <name val="ＭＳ Ｐゴシック"/>
      <family val="3"/>
      <charset val="128"/>
      <scheme val="minor"/>
    </font>
    <font>
      <sz val="12"/>
      <color rgb="FFFF0000"/>
      <name val="ＭＳ Ｐゴシック"/>
      <family val="3"/>
      <charset val="128"/>
      <scheme val="minor"/>
    </font>
    <font>
      <sz val="14"/>
      <color theme="1"/>
      <name val="ＭＳ Ｐゴシック"/>
      <family val="3"/>
      <charset val="128"/>
      <scheme val="minor"/>
    </font>
    <font>
      <sz val="9"/>
      <color theme="1"/>
      <name val="ＭＳ Ｐゴシック"/>
      <family val="3"/>
      <charset val="128"/>
      <scheme val="minor"/>
    </font>
    <font>
      <sz val="12"/>
      <name val="ＭＳ Ｐゴシック"/>
      <family val="3"/>
      <charset val="128"/>
      <scheme val="minor"/>
    </font>
    <font>
      <sz val="9"/>
      <color rgb="FFFF0000"/>
      <name val="ＭＳ Ｐゴシック"/>
      <family val="3"/>
      <charset val="128"/>
      <scheme val="minor"/>
    </font>
    <font>
      <u/>
      <sz val="11"/>
      <name val="ＭＳ Ｐゴシック"/>
      <family val="3"/>
      <charset val="128"/>
      <scheme val="minor"/>
    </font>
    <font>
      <sz val="10"/>
      <name val="ＭＳ Ｐゴシック"/>
      <family val="3"/>
      <charset val="128"/>
      <scheme val="minor"/>
    </font>
    <font>
      <sz val="12"/>
      <name val="ＭＳ Ｐゴシック"/>
      <family val="3"/>
      <charset val="128"/>
    </font>
    <font>
      <sz val="10"/>
      <color theme="1"/>
      <name val="ＭＳ Ｐゴシック"/>
      <family val="3"/>
      <charset val="128"/>
      <scheme val="minor"/>
    </font>
    <font>
      <sz val="7"/>
      <color theme="1"/>
      <name val="ＭＳ Ｐゴシック"/>
      <family val="3"/>
      <charset val="128"/>
      <scheme val="minor"/>
    </font>
    <font>
      <sz val="14"/>
      <name val="ＭＳ Ｐゴシック"/>
      <family val="3"/>
      <charset val="128"/>
      <scheme val="minor"/>
    </font>
    <font>
      <sz val="8"/>
      <name val="ＭＳ Ｐゴシック"/>
      <family val="3"/>
      <charset val="128"/>
      <scheme val="minor"/>
    </font>
    <font>
      <sz val="9"/>
      <name val="ＭＳ Ｐゴシック"/>
      <family val="3"/>
      <charset val="128"/>
      <scheme val="minor"/>
    </font>
    <font>
      <sz val="11"/>
      <name val="ＭＳ Ｐゴシック"/>
      <family val="3"/>
      <charset val="128"/>
      <scheme val="minor"/>
    </font>
    <font>
      <sz val="10"/>
      <color theme="1"/>
      <name val="ＭＳ Ｐゴシック"/>
      <family val="3"/>
      <charset val="128"/>
    </font>
    <font>
      <u/>
      <sz val="11"/>
      <color theme="10"/>
      <name val="ＭＳ Ｐゴシック"/>
      <family val="3"/>
      <charset val="128"/>
      <scheme val="minor"/>
    </font>
    <font>
      <sz val="13"/>
      <name val="ＭＳ Ｐゴシック"/>
      <family val="3"/>
      <charset val="128"/>
      <scheme val="minor"/>
    </font>
    <font>
      <sz val="11"/>
      <color theme="1"/>
      <name val="ＭＳ Ｐゴシック"/>
      <family val="3"/>
      <charset val="128"/>
      <scheme val="minor"/>
    </font>
    <font>
      <sz val="6"/>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name val="宋体"/>
    </font>
  </fonts>
  <fills count="2">
    <fill>
      <patternFill patternType="none"/>
    </fill>
    <fill>
      <patternFill patternType="gray125"/>
    </fill>
  </fills>
  <borders count="53">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top style="hair">
        <color auto="1"/>
      </top>
      <bottom/>
      <diagonal/>
    </border>
    <border>
      <left style="thin">
        <color auto="1"/>
      </left>
      <right/>
      <top/>
      <bottom style="hair">
        <color auto="1"/>
      </bottom>
      <diagonal/>
    </border>
    <border>
      <left/>
      <right/>
      <top/>
      <bottom style="hair">
        <color auto="1"/>
      </bottom>
      <diagonal/>
    </border>
    <border>
      <left/>
      <right/>
      <top style="hair">
        <color auto="1"/>
      </top>
      <bottom/>
      <diagonal/>
    </border>
    <border>
      <left/>
      <right style="thin">
        <color auto="1"/>
      </right>
      <top/>
      <bottom style="hair">
        <color auto="1"/>
      </bottom>
      <diagonal/>
    </border>
    <border>
      <left/>
      <right style="thin">
        <color auto="1"/>
      </right>
      <top style="hair">
        <color auto="1"/>
      </top>
      <bottom/>
      <diagonal/>
    </border>
    <border>
      <left style="thin">
        <color auto="1"/>
      </left>
      <right style="thin">
        <color auto="1"/>
      </right>
      <top style="thin">
        <color auto="1"/>
      </top>
      <bottom/>
      <diagonal/>
    </border>
    <border>
      <left style="thin">
        <color auto="1"/>
      </left>
      <right style="thin">
        <color auto="1"/>
      </right>
      <top style="thin">
        <color auto="1"/>
      </top>
      <bottom style="hair">
        <color auto="1"/>
      </bottom>
      <diagonal/>
    </border>
    <border>
      <left style="thin">
        <color auto="1"/>
      </left>
      <right style="thin">
        <color auto="1"/>
      </right>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thin">
        <color auto="1"/>
      </left>
      <right style="thin">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style="thin">
        <color auto="1"/>
      </right>
      <top style="double">
        <color auto="1"/>
      </top>
      <bottom style="thin">
        <color auto="1"/>
      </bottom>
      <diagonal/>
    </border>
    <border>
      <left/>
      <right/>
      <top style="double">
        <color auto="1"/>
      </top>
      <bottom style="thin">
        <color auto="1"/>
      </bottom>
      <diagonal/>
    </border>
    <border>
      <left style="thin">
        <color auto="1"/>
      </left>
      <right/>
      <top style="double">
        <color auto="1"/>
      </top>
      <bottom style="thin">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style="thin">
        <color auto="1"/>
      </left>
      <right style="thin">
        <color auto="1"/>
      </right>
      <top style="thin">
        <color auto="1"/>
      </top>
      <bottom style="thin">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style="hair">
        <color auto="1"/>
      </right>
      <top style="thin">
        <color auto="1"/>
      </top>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hair">
        <color auto="1"/>
      </left>
      <right style="thin">
        <color auto="1"/>
      </right>
      <top style="thin">
        <color auto="1"/>
      </top>
      <bottom style="hair">
        <color auto="1"/>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s>
  <cellStyleXfs count="3">
    <xf numFmtId="0" fontId="0" fillId="0" borderId="0">
      <alignment vertical="center"/>
    </xf>
    <xf numFmtId="38" fontId="19" fillId="0" borderId="0" applyFont="0" applyFill="0" applyBorder="0" applyAlignment="0" applyProtection="0">
      <alignment vertical="center"/>
    </xf>
    <xf numFmtId="0" fontId="17" fillId="0" borderId="0" applyNumberFormat="0" applyFill="0" applyBorder="0" applyAlignment="0" applyProtection="0">
      <alignment vertical="center"/>
    </xf>
  </cellStyleXfs>
  <cellXfs count="354">
    <xf numFmtId="0" fontId="0" fillId="0" borderId="0" xfId="0">
      <alignment vertical="center"/>
    </xf>
    <xf numFmtId="0" fontId="1" fillId="0" borderId="0" xfId="0" applyFont="1">
      <alignment vertical="center"/>
    </xf>
    <xf numFmtId="0" fontId="1" fillId="0" borderId="0" xfId="0" applyFont="1" applyAlignment="1">
      <alignment horizontal="right" vertical="center"/>
    </xf>
    <xf numFmtId="0" fontId="1" fillId="0" borderId="0" xfId="0" applyFont="1" applyAlignment="1">
      <alignment horizontal="center" vertical="center"/>
    </xf>
    <xf numFmtId="0" fontId="2" fillId="0" borderId="0" xfId="0" applyFont="1">
      <alignment vertical="center"/>
    </xf>
    <xf numFmtId="0" fontId="3" fillId="0" borderId="0" xfId="0" applyFont="1" applyAlignment="1">
      <alignment horizontal="center" vertical="center"/>
    </xf>
    <xf numFmtId="0" fontId="4" fillId="0" borderId="0" xfId="0" applyFont="1" applyAlignment="1">
      <alignment vertical="top" wrapText="1"/>
    </xf>
    <xf numFmtId="0" fontId="1" fillId="0" borderId="4" xfId="0" applyFont="1" applyBorder="1">
      <alignment vertical="center"/>
    </xf>
    <xf numFmtId="0" fontId="4" fillId="0" borderId="5" xfId="0" applyFont="1" applyBorder="1" applyAlignment="1">
      <alignment vertical="top" wrapText="1"/>
    </xf>
    <xf numFmtId="0" fontId="4" fillId="0" borderId="4" xfId="0" applyFont="1" applyBorder="1" applyAlignment="1">
      <alignment vertical="top" wrapText="1"/>
    </xf>
    <xf numFmtId="0" fontId="1" fillId="0" borderId="16" xfId="0" applyFont="1" applyBorder="1">
      <alignment vertical="center"/>
    </xf>
    <xf numFmtId="0" fontId="4" fillId="0" borderId="15" xfId="0" applyFont="1" applyBorder="1" applyAlignment="1">
      <alignment vertical="top" wrapText="1"/>
    </xf>
    <xf numFmtId="0" fontId="4" fillId="0" borderId="13" xfId="0" applyFont="1" applyBorder="1" applyAlignment="1">
      <alignment vertical="top" wrapText="1"/>
    </xf>
    <xf numFmtId="0" fontId="6" fillId="0" borderId="15" xfId="0" applyFont="1" applyBorder="1" applyAlignment="1">
      <alignment vertical="top" shrinkToFit="1"/>
    </xf>
    <xf numFmtId="0" fontId="1" fillId="0" borderId="0" xfId="0" applyFont="1" applyAlignment="1">
      <alignment vertical="center" wrapText="1"/>
    </xf>
    <xf numFmtId="0" fontId="1" fillId="0" borderId="0" xfId="0" applyFont="1" applyAlignment="1">
      <alignment vertical="top" wrapText="1"/>
    </xf>
    <xf numFmtId="0" fontId="6" fillId="0" borderId="13" xfId="0" applyFont="1" applyBorder="1" applyAlignment="1">
      <alignment vertical="top" shrinkToFit="1"/>
    </xf>
    <xf numFmtId="0" fontId="5" fillId="0" borderId="0" xfId="0" applyFont="1" applyAlignment="1">
      <alignment horizontal="center" vertical="center"/>
    </xf>
    <xf numFmtId="0" fontId="4" fillId="0" borderId="0" xfId="0" applyFont="1">
      <alignment vertical="center"/>
    </xf>
    <xf numFmtId="0" fontId="5" fillId="0" borderId="1" xfId="0" applyFont="1" applyBorder="1" applyAlignment="1">
      <alignment horizontal="center" vertical="center" wrapText="1" shrinkToFit="1"/>
    </xf>
    <xf numFmtId="9" fontId="5" fillId="0" borderId="2" xfId="0" applyNumberFormat="1" applyFont="1" applyBorder="1" applyAlignment="1">
      <alignment horizontal="center" vertical="center" wrapText="1" shrinkToFit="1"/>
    </xf>
    <xf numFmtId="0" fontId="5" fillId="0" borderId="2" xfId="0" applyFont="1" applyBorder="1" applyAlignment="1">
      <alignment horizontal="center" vertical="center" wrapText="1" shrinkToFit="1"/>
    </xf>
    <xf numFmtId="0" fontId="5" fillId="0" borderId="17" xfId="0" applyFont="1" applyBorder="1" applyAlignment="1">
      <alignment horizontal="center" vertical="center" shrinkToFit="1"/>
    </xf>
    <xf numFmtId="9" fontId="5" fillId="0" borderId="18" xfId="0" applyNumberFormat="1" applyFont="1" applyBorder="1" applyAlignment="1">
      <alignment horizontal="center" vertical="center" shrinkToFit="1"/>
    </xf>
    <xf numFmtId="0" fontId="5" fillId="0" borderId="18" xfId="0" applyFont="1" applyBorder="1" applyAlignment="1">
      <alignment horizontal="center" vertical="center" shrinkToFit="1"/>
    </xf>
    <xf numFmtId="0" fontId="2" fillId="0" borderId="0" xfId="0" applyFont="1" applyAlignment="1">
      <alignment vertical="center"/>
    </xf>
    <xf numFmtId="9" fontId="5" fillId="0" borderId="2" xfId="0" applyNumberFormat="1" applyFont="1" applyBorder="1" applyAlignment="1">
      <alignment horizontal="center" vertical="center" shrinkToFit="1"/>
    </xf>
    <xf numFmtId="0" fontId="5" fillId="0" borderId="3" xfId="0" applyFont="1" applyBorder="1" applyAlignment="1">
      <alignment horizontal="center" vertical="center" shrinkToFit="1"/>
    </xf>
    <xf numFmtId="176" fontId="5" fillId="0" borderId="18" xfId="0" applyNumberFormat="1" applyFont="1" applyBorder="1" applyAlignment="1">
      <alignment horizontal="center" vertical="center" shrinkToFit="1"/>
    </xf>
    <xf numFmtId="0" fontId="5" fillId="0" borderId="20" xfId="0" applyFont="1" applyBorder="1" applyAlignment="1">
      <alignment horizontal="center" vertical="center" shrinkToFit="1"/>
    </xf>
    <xf numFmtId="0" fontId="4" fillId="0" borderId="0" xfId="0" applyFont="1" applyAlignment="1">
      <alignment vertical="top" shrinkToFit="1"/>
    </xf>
    <xf numFmtId="0" fontId="4" fillId="0" borderId="0" xfId="0" applyFont="1" applyAlignment="1">
      <alignment vertical="center" wrapText="1"/>
    </xf>
    <xf numFmtId="0" fontId="11" fillId="0" borderId="6" xfId="0" applyFont="1" applyBorder="1" applyAlignment="1">
      <alignment horizontal="center" vertical="center"/>
    </xf>
    <xf numFmtId="0" fontId="11" fillId="0" borderId="25" xfId="0" applyFont="1" applyBorder="1" applyAlignment="1">
      <alignment horizontal="center" vertical="center" wrapText="1"/>
    </xf>
    <xf numFmtId="0" fontId="11" fillId="0" borderId="26" xfId="0" applyFont="1" applyBorder="1" applyAlignment="1">
      <alignment horizontal="center" vertical="center"/>
    </xf>
    <xf numFmtId="0" fontId="11" fillId="0" borderId="8" xfId="0" applyFont="1" applyBorder="1" applyAlignment="1">
      <alignment horizontal="center" vertical="center" wrapText="1"/>
    </xf>
    <xf numFmtId="0" fontId="1" fillId="0" borderId="0" xfId="0" applyFont="1" applyAlignment="1">
      <alignment vertical="center" shrinkToFit="1"/>
    </xf>
    <xf numFmtId="0" fontId="1" fillId="0" borderId="23" xfId="0" applyFont="1" applyBorder="1" applyAlignment="1">
      <alignment horizontal="left" vertical="center" shrinkToFit="1"/>
    </xf>
    <xf numFmtId="0" fontId="1" fillId="0" borderId="4" xfId="0" applyFont="1" applyBorder="1" applyAlignment="1">
      <alignment vertical="center" shrinkToFit="1"/>
    </xf>
    <xf numFmtId="176" fontId="1" fillId="0" borderId="4" xfId="0" applyNumberFormat="1" applyFont="1" applyBorder="1" applyAlignment="1">
      <alignment vertical="center" shrinkToFit="1"/>
    </xf>
    <xf numFmtId="176" fontId="1" fillId="0" borderId="27" xfId="0" applyNumberFormat="1" applyFont="1" applyBorder="1" applyAlignment="1">
      <alignment vertical="center" shrinkToFit="1"/>
    </xf>
    <xf numFmtId="176" fontId="1" fillId="0" borderId="28" xfId="0" applyNumberFormat="1" applyFont="1" applyBorder="1" applyAlignment="1">
      <alignment vertical="center" shrinkToFit="1"/>
    </xf>
    <xf numFmtId="176" fontId="1" fillId="0" borderId="5" xfId="0" applyNumberFormat="1" applyFont="1" applyBorder="1" applyAlignment="1">
      <alignment vertical="center" shrinkToFit="1"/>
    </xf>
    <xf numFmtId="0" fontId="1" fillId="0" borderId="29" xfId="0" applyFont="1" applyBorder="1" applyAlignment="1">
      <alignment horizontal="left" vertical="center" shrinkToFit="1"/>
    </xf>
    <xf numFmtId="0" fontId="1" fillId="0" borderId="15" xfId="0" applyFont="1" applyBorder="1" applyAlignment="1">
      <alignment vertical="center" shrinkToFit="1"/>
    </xf>
    <xf numFmtId="0" fontId="1" fillId="0" borderId="14" xfId="0" applyFont="1" applyBorder="1" applyAlignment="1">
      <alignment vertical="center" shrinkToFit="1"/>
    </xf>
    <xf numFmtId="176" fontId="1" fillId="0" borderId="14" xfId="0" applyNumberFormat="1" applyFont="1" applyBorder="1" applyAlignment="1">
      <alignment vertical="center" shrinkToFit="1"/>
    </xf>
    <xf numFmtId="176" fontId="1" fillId="0" borderId="30" xfId="0" applyNumberFormat="1" applyFont="1" applyBorder="1" applyAlignment="1">
      <alignment vertical="center" shrinkToFit="1"/>
    </xf>
    <xf numFmtId="176" fontId="1" fillId="0" borderId="31" xfId="0" applyNumberFormat="1" applyFont="1" applyBorder="1" applyAlignment="1">
      <alignment vertical="center" shrinkToFit="1"/>
    </xf>
    <xf numFmtId="176" fontId="1" fillId="0" borderId="13" xfId="0" applyNumberFormat="1" applyFont="1" applyBorder="1" applyAlignment="1">
      <alignment vertical="center" shrinkToFit="1"/>
    </xf>
    <xf numFmtId="0" fontId="1" fillId="0" borderId="13" xfId="0" applyFont="1" applyBorder="1" applyAlignment="1">
      <alignment vertical="center" shrinkToFit="1"/>
    </xf>
    <xf numFmtId="0" fontId="1" fillId="0" borderId="32" xfId="0" applyFont="1" applyBorder="1" applyAlignment="1">
      <alignment horizontal="left" vertical="center" shrinkToFit="1"/>
    </xf>
    <xf numFmtId="0" fontId="1" fillId="0" borderId="5" xfId="0" applyFont="1" applyBorder="1" applyAlignment="1">
      <alignment vertical="center" shrinkToFit="1"/>
    </xf>
    <xf numFmtId="0" fontId="1" fillId="0" borderId="33" xfId="0" applyFont="1" applyBorder="1" applyAlignment="1">
      <alignment horizontal="center" vertical="center" shrinkToFit="1"/>
    </xf>
    <xf numFmtId="0" fontId="1" fillId="0" borderId="34" xfId="0" applyFont="1" applyBorder="1" applyAlignment="1">
      <alignment vertical="center" shrinkToFit="1"/>
    </xf>
    <xf numFmtId="0" fontId="1" fillId="0" borderId="35" xfId="0" applyFont="1" applyBorder="1" applyAlignment="1">
      <alignment vertical="center" shrinkToFit="1"/>
    </xf>
    <xf numFmtId="176" fontId="1" fillId="0" borderId="35" xfId="0" applyNumberFormat="1" applyFont="1" applyBorder="1" applyAlignment="1">
      <alignment vertical="center" shrinkToFit="1"/>
    </xf>
    <xf numFmtId="176" fontId="1" fillId="0" borderId="36" xfId="0" applyNumberFormat="1" applyFont="1" applyBorder="1" applyAlignment="1">
      <alignment vertical="center" shrinkToFit="1"/>
    </xf>
    <xf numFmtId="176" fontId="1" fillId="0" borderId="37" xfId="0" applyNumberFormat="1" applyFont="1" applyBorder="1" applyAlignment="1">
      <alignment vertical="center" shrinkToFit="1"/>
    </xf>
    <xf numFmtId="176" fontId="1" fillId="0" borderId="38" xfId="0" applyNumberFormat="1" applyFont="1" applyBorder="1" applyAlignment="1">
      <alignment vertical="center" shrinkToFit="1"/>
    </xf>
    <xf numFmtId="0" fontId="1" fillId="0" borderId="0" xfId="0" applyFont="1" applyAlignment="1">
      <alignment horizontal="left" vertical="center"/>
    </xf>
    <xf numFmtId="0" fontId="1" fillId="0" borderId="0" xfId="0" applyFont="1" applyBorder="1" applyAlignment="1">
      <alignment vertical="center" shrinkToFit="1"/>
    </xf>
    <xf numFmtId="0" fontId="0" fillId="0" borderId="0" xfId="0" applyFont="1">
      <alignment vertical="center"/>
    </xf>
    <xf numFmtId="176" fontId="1" fillId="0" borderId="23" xfId="0" applyNumberFormat="1" applyFont="1" applyBorder="1" applyAlignment="1">
      <alignment vertical="center" shrinkToFit="1"/>
    </xf>
    <xf numFmtId="9" fontId="1" fillId="0" borderId="5" xfId="0" applyNumberFormat="1" applyFont="1" applyBorder="1" applyAlignment="1">
      <alignment vertical="center" shrinkToFit="1"/>
    </xf>
    <xf numFmtId="176" fontId="1" fillId="0" borderId="29" xfId="0" applyNumberFormat="1" applyFont="1" applyBorder="1" applyAlignment="1">
      <alignment vertical="center" shrinkToFit="1"/>
    </xf>
    <xf numFmtId="9" fontId="1" fillId="0" borderId="29" xfId="0" applyNumberFormat="1" applyFont="1" applyBorder="1" applyAlignment="1">
      <alignment vertical="center" shrinkToFit="1"/>
    </xf>
    <xf numFmtId="176" fontId="1" fillId="0" borderId="32" xfId="0" applyNumberFormat="1" applyFont="1" applyBorder="1" applyAlignment="1">
      <alignment vertical="center" shrinkToFit="1"/>
    </xf>
    <xf numFmtId="176" fontId="1" fillId="0" borderId="33" xfId="0" applyNumberFormat="1" applyFont="1" applyBorder="1" applyAlignment="1">
      <alignment vertical="center" shrinkToFit="1"/>
    </xf>
    <xf numFmtId="9" fontId="1" fillId="0" borderId="38" xfId="0" applyNumberFormat="1" applyFont="1" applyBorder="1" applyAlignment="1">
      <alignment vertical="center" shrinkToFit="1"/>
    </xf>
    <xf numFmtId="0" fontId="5" fillId="0" borderId="0" xfId="0" applyFont="1">
      <alignment vertical="center"/>
    </xf>
    <xf numFmtId="0" fontId="5" fillId="0" borderId="0" xfId="0" applyFont="1" applyAlignment="1">
      <alignment vertical="center"/>
    </xf>
    <xf numFmtId="0" fontId="5" fillId="0" borderId="41" xfId="0" applyFont="1" applyBorder="1" applyAlignment="1">
      <alignment vertical="center" shrinkToFit="1"/>
    </xf>
    <xf numFmtId="0" fontId="13" fillId="0" borderId="11" xfId="0" applyFont="1" applyBorder="1" applyAlignment="1">
      <alignment horizontal="center" vertical="center" shrinkToFit="1"/>
    </xf>
    <xf numFmtId="0" fontId="5" fillId="0" borderId="23" xfId="0" applyFont="1" applyBorder="1" applyAlignment="1">
      <alignment horizontal="center" vertical="center" shrinkToFit="1"/>
    </xf>
    <xf numFmtId="0" fontId="5" fillId="0" borderId="29" xfId="0" applyFont="1" applyBorder="1" applyAlignment="1">
      <alignment horizontal="center" vertical="center" shrinkToFit="1"/>
    </xf>
    <xf numFmtId="0" fontId="5" fillId="0" borderId="24" xfId="0" applyFont="1" applyBorder="1" applyAlignment="1">
      <alignment horizontal="center" vertical="center" shrinkToFit="1"/>
    </xf>
    <xf numFmtId="0" fontId="5" fillId="0" borderId="0" xfId="0" applyFont="1" applyAlignment="1">
      <alignment vertical="center" shrinkToFit="1"/>
    </xf>
    <xf numFmtId="0" fontId="5" fillId="0" borderId="0" xfId="0" applyFont="1" applyAlignment="1">
      <alignment vertical="top" wrapText="1"/>
    </xf>
    <xf numFmtId="0" fontId="5" fillId="0" borderId="9" xfId="0" applyFont="1" applyBorder="1" applyAlignment="1">
      <alignment vertical="center"/>
    </xf>
    <xf numFmtId="0" fontId="5" fillId="0" borderId="0" xfId="0" applyFont="1" applyAlignment="1">
      <alignment horizontal="left" vertical="center"/>
    </xf>
    <xf numFmtId="49" fontId="14" fillId="0" borderId="41" xfId="0" applyNumberFormat="1" applyFont="1" applyBorder="1" applyAlignment="1">
      <alignment horizontal="center" vertical="center"/>
    </xf>
    <xf numFmtId="0" fontId="5" fillId="0" borderId="40" xfId="0" applyFont="1" applyBorder="1" applyAlignment="1">
      <alignment horizontal="center" vertical="center"/>
    </xf>
    <xf numFmtId="0" fontId="5" fillId="0" borderId="23" xfId="0" applyFont="1" applyBorder="1" applyAlignment="1">
      <alignment vertical="center" shrinkToFit="1"/>
    </xf>
    <xf numFmtId="0" fontId="5" fillId="0" borderId="13" xfId="0" applyFont="1" applyBorder="1" applyAlignment="1">
      <alignment horizontal="center" vertical="center"/>
    </xf>
    <xf numFmtId="0" fontId="5" fillId="0" borderId="29" xfId="0" applyFont="1" applyBorder="1" applyAlignment="1">
      <alignment vertical="center" shrinkToFit="1"/>
    </xf>
    <xf numFmtId="0" fontId="5" fillId="0" borderId="29" xfId="0" applyFont="1" applyFill="1" applyBorder="1" applyAlignment="1">
      <alignment vertical="center" shrinkToFit="1"/>
    </xf>
    <xf numFmtId="0" fontId="5" fillId="0" borderId="45" xfId="0" applyFont="1" applyBorder="1" applyAlignment="1">
      <alignment horizontal="center" vertical="center"/>
    </xf>
    <xf numFmtId="0" fontId="5" fillId="0" borderId="46" xfId="0" applyFont="1" applyBorder="1" applyAlignment="1">
      <alignment horizontal="center" vertical="center" shrinkToFit="1"/>
    </xf>
    <xf numFmtId="0" fontId="5" fillId="0" borderId="10" xfId="0" applyFont="1" applyBorder="1" applyAlignment="1">
      <alignment vertical="center"/>
    </xf>
    <xf numFmtId="0" fontId="5" fillId="0" borderId="11" xfId="0" applyFont="1" applyBorder="1" applyAlignment="1">
      <alignment vertical="center"/>
    </xf>
    <xf numFmtId="0" fontId="5" fillId="0" borderId="40" xfId="0" applyFont="1" applyBorder="1">
      <alignment vertical="center"/>
    </xf>
    <xf numFmtId="0" fontId="5" fillId="0" borderId="13" xfId="0" applyFont="1" applyBorder="1">
      <alignment vertical="center"/>
    </xf>
    <xf numFmtId="0" fontId="5" fillId="0" borderId="0" xfId="0" applyFont="1" applyBorder="1" applyAlignment="1">
      <alignment vertical="center" shrinkToFit="1"/>
    </xf>
    <xf numFmtId="0" fontId="5" fillId="0" borderId="0" xfId="0" applyFont="1" applyBorder="1" applyAlignment="1">
      <alignment horizontal="center" vertical="center" shrinkToFit="1"/>
    </xf>
    <xf numFmtId="0" fontId="5" fillId="0" borderId="9" xfId="0" applyFont="1" applyBorder="1">
      <alignment vertical="center"/>
    </xf>
    <xf numFmtId="0" fontId="5" fillId="0" borderId="11" xfId="0" applyFont="1" applyBorder="1">
      <alignment vertical="center"/>
    </xf>
    <xf numFmtId="49" fontId="14" fillId="0" borderId="48" xfId="0" applyNumberFormat="1" applyFont="1" applyBorder="1" applyAlignment="1">
      <alignment horizontal="center" vertical="center"/>
    </xf>
    <xf numFmtId="49" fontId="14" fillId="0" borderId="49" xfId="0" applyNumberFormat="1" applyFont="1" applyBorder="1" applyAlignment="1">
      <alignment horizontal="center" vertical="center"/>
    </xf>
    <xf numFmtId="49" fontId="14" fillId="0" borderId="50" xfId="0" applyNumberFormat="1" applyFont="1" applyBorder="1" applyAlignment="1">
      <alignment horizontal="center" vertical="center"/>
    </xf>
    <xf numFmtId="49" fontId="14" fillId="0" borderId="25" xfId="0" applyNumberFormat="1" applyFont="1" applyBorder="1" applyAlignment="1">
      <alignment horizontal="center" vertical="center"/>
    </xf>
    <xf numFmtId="49" fontId="14" fillId="0" borderId="52" xfId="0" applyNumberFormat="1" applyFont="1" applyBorder="1" applyAlignment="1">
      <alignment horizontal="center" vertical="center"/>
    </xf>
    <xf numFmtId="49" fontId="14" fillId="0" borderId="30" xfId="0" applyNumberFormat="1" applyFont="1" applyBorder="1" applyAlignment="1">
      <alignment horizontal="center" vertical="center"/>
    </xf>
    <xf numFmtId="0" fontId="5" fillId="0" borderId="7" xfId="0" applyFont="1" applyBorder="1" applyAlignment="1">
      <alignment vertical="center" shrinkToFit="1"/>
    </xf>
    <xf numFmtId="0" fontId="5" fillId="0" borderId="5" xfId="0" applyFont="1" applyBorder="1" applyAlignment="1">
      <alignment vertical="center" shrinkToFit="1"/>
    </xf>
    <xf numFmtId="0" fontId="5" fillId="0" borderId="0" xfId="0" applyFont="1" applyBorder="1" applyAlignment="1">
      <alignment vertical="center"/>
    </xf>
    <xf numFmtId="0" fontId="5" fillId="0" borderId="4" xfId="0" applyFont="1" applyBorder="1">
      <alignment vertical="center"/>
    </xf>
    <xf numFmtId="0" fontId="5" fillId="0" borderId="0" xfId="0" applyFont="1" applyBorder="1">
      <alignment vertical="center"/>
    </xf>
    <xf numFmtId="176" fontId="5" fillId="0" borderId="4" xfId="0" applyNumberFormat="1" applyFont="1" applyBorder="1" applyAlignment="1">
      <alignment vertical="center"/>
    </xf>
    <xf numFmtId="176" fontId="5" fillId="0" borderId="0" xfId="0" applyNumberFormat="1" applyFont="1" applyBorder="1">
      <alignment vertical="center"/>
    </xf>
    <xf numFmtId="0" fontId="5" fillId="0" borderId="0" xfId="0" applyFont="1" applyBorder="1" applyAlignment="1">
      <alignment horizontal="center" vertical="center"/>
    </xf>
    <xf numFmtId="176" fontId="5" fillId="0" borderId="10" xfId="0" applyNumberFormat="1" applyFont="1" applyBorder="1" applyAlignment="1">
      <alignment vertical="center" shrinkToFit="1"/>
    </xf>
    <xf numFmtId="0" fontId="5" fillId="0" borderId="0" xfId="0" applyFont="1" applyFill="1">
      <alignment vertical="center"/>
    </xf>
    <xf numFmtId="0" fontId="5" fillId="0" borderId="41" xfId="0" applyFont="1" applyBorder="1">
      <alignment vertical="center"/>
    </xf>
    <xf numFmtId="0" fontId="5" fillId="0" borderId="41" xfId="0" applyFont="1" applyBorder="1" applyAlignment="1">
      <alignment horizontal="center" vertical="center" shrinkToFit="1"/>
    </xf>
    <xf numFmtId="176" fontId="5" fillId="0" borderId="0" xfId="0" applyNumberFormat="1" applyFont="1" applyBorder="1" applyAlignment="1">
      <alignment vertical="center" wrapText="1"/>
    </xf>
    <xf numFmtId="176" fontId="5" fillId="0" borderId="0" xfId="0" applyNumberFormat="1" applyFont="1" applyAlignment="1">
      <alignment vertical="center" wrapText="1"/>
    </xf>
    <xf numFmtId="176" fontId="5" fillId="0" borderId="0" xfId="0" applyNumberFormat="1" applyFont="1" applyAlignment="1">
      <alignment horizontal="left" vertical="center" wrapText="1"/>
    </xf>
    <xf numFmtId="0" fontId="1" fillId="0" borderId="29" xfId="0" applyFont="1" applyBorder="1" applyAlignment="1">
      <alignment horizontal="left" vertical="center" wrapText="1" shrinkToFit="1"/>
    </xf>
    <xf numFmtId="0" fontId="5" fillId="0" borderId="0" xfId="0" applyFont="1" applyFill="1" applyAlignment="1">
      <alignment horizontal="center" vertical="center"/>
    </xf>
    <xf numFmtId="0" fontId="5" fillId="0" borderId="9" xfId="0" applyFont="1" applyBorder="1" applyAlignment="1">
      <alignment vertical="center" shrinkToFit="1"/>
    </xf>
    <xf numFmtId="0" fontId="5" fillId="0" borderId="10" xfId="0" applyFont="1" applyBorder="1" applyAlignment="1">
      <alignment vertical="center" shrinkToFit="1"/>
    </xf>
    <xf numFmtId="0" fontId="5" fillId="0" borderId="9" xfId="0" applyFont="1" applyFill="1" applyBorder="1" applyAlignment="1">
      <alignment horizontal="center" vertical="center" shrinkToFit="1"/>
    </xf>
    <xf numFmtId="0" fontId="5" fillId="0" borderId="10" xfId="0" applyFont="1" applyFill="1" applyBorder="1" applyAlignment="1">
      <alignment horizontal="center" vertical="center" shrinkToFit="1"/>
    </xf>
    <xf numFmtId="0" fontId="5" fillId="0" borderId="11" xfId="0" applyFont="1" applyFill="1" applyBorder="1" applyAlignment="1">
      <alignment horizontal="center" vertical="center" shrinkToFit="1"/>
    </xf>
    <xf numFmtId="49" fontId="17" fillId="0" borderId="9" xfId="2" applyNumberFormat="1" applyBorder="1" applyAlignment="1">
      <alignment vertical="center" shrinkToFit="1"/>
    </xf>
    <xf numFmtId="49" fontId="5" fillId="0" borderId="10" xfId="0" applyNumberFormat="1" applyFont="1" applyBorder="1" applyAlignment="1">
      <alignment vertical="center" shrinkToFit="1"/>
    </xf>
    <xf numFmtId="49" fontId="5" fillId="0" borderId="11" xfId="0" applyNumberFormat="1" applyFont="1" applyBorder="1" applyAlignment="1">
      <alignment vertical="center" shrinkToFit="1"/>
    </xf>
    <xf numFmtId="49" fontId="5" fillId="0" borderId="9" xfId="1" applyNumberFormat="1" applyFont="1" applyBorder="1" applyAlignment="1">
      <alignment horizontal="center" vertical="center" shrinkToFit="1"/>
    </xf>
    <xf numFmtId="49" fontId="5" fillId="0" borderId="10" xfId="1" applyNumberFormat="1" applyFont="1" applyBorder="1" applyAlignment="1">
      <alignment horizontal="center" vertical="center" shrinkToFit="1"/>
    </xf>
    <xf numFmtId="49" fontId="5" fillId="0" borderId="11" xfId="1" applyNumberFormat="1" applyFont="1" applyBorder="1" applyAlignment="1">
      <alignment horizontal="center" vertical="center" shrinkToFit="1"/>
    </xf>
    <xf numFmtId="0" fontId="5" fillId="0" borderId="0" xfId="0" applyFont="1" applyBorder="1" applyAlignment="1">
      <alignment horizontal="right" vertical="center" shrinkToFit="1"/>
    </xf>
    <xf numFmtId="0" fontId="5" fillId="0" borderId="9" xfId="0" applyFont="1" applyBorder="1" applyAlignment="1">
      <alignment horizontal="center" vertical="center" shrinkToFit="1"/>
    </xf>
    <xf numFmtId="0" fontId="5" fillId="0" borderId="10" xfId="0" applyFont="1" applyBorder="1" applyAlignment="1">
      <alignment horizontal="center" vertical="center" shrinkToFit="1"/>
    </xf>
    <xf numFmtId="0" fontId="5" fillId="0" borderId="4" xfId="0" applyFont="1" applyBorder="1" applyAlignment="1">
      <alignment horizontal="right" vertical="center" shrinkToFit="1"/>
    </xf>
    <xf numFmtId="0" fontId="5" fillId="0" borderId="5" xfId="0" applyFont="1" applyBorder="1" applyAlignment="1">
      <alignment horizontal="right" vertical="center" shrinkToFit="1"/>
    </xf>
    <xf numFmtId="0" fontId="5" fillId="0" borderId="11" xfId="0" applyFont="1" applyBorder="1" applyAlignment="1">
      <alignment horizontal="center" vertical="center" shrinkToFit="1"/>
    </xf>
    <xf numFmtId="176" fontId="5" fillId="0" borderId="9" xfId="0" applyNumberFormat="1" applyFont="1" applyBorder="1" applyAlignment="1">
      <alignment horizontal="center" vertical="center" shrinkToFit="1"/>
    </xf>
    <xf numFmtId="176" fontId="5" fillId="0" borderId="11" xfId="0" applyNumberFormat="1" applyFont="1" applyBorder="1" applyAlignment="1">
      <alignment horizontal="center" vertical="center" shrinkToFit="1"/>
    </xf>
    <xf numFmtId="0" fontId="5" fillId="0" borderId="0" xfId="0" applyFont="1" applyBorder="1" applyAlignment="1">
      <alignment horizontal="center" vertical="center"/>
    </xf>
    <xf numFmtId="0" fontId="5" fillId="0" borderId="9" xfId="0" applyFont="1" applyBorder="1" applyAlignment="1">
      <alignment horizontal="center" vertical="center"/>
    </xf>
    <xf numFmtId="0" fontId="5" fillId="0" borderId="10" xfId="0" applyFont="1" applyBorder="1" applyAlignment="1">
      <alignment horizontal="center" vertical="center"/>
    </xf>
    <xf numFmtId="0" fontId="5" fillId="0" borderId="11" xfId="0" applyFont="1" applyBorder="1" applyAlignment="1">
      <alignment horizontal="center" vertical="center"/>
    </xf>
    <xf numFmtId="0" fontId="5" fillId="0" borderId="0" xfId="0" applyFont="1" applyBorder="1" applyAlignment="1">
      <alignment vertical="center" shrinkToFit="1"/>
    </xf>
    <xf numFmtId="176" fontId="5" fillId="0" borderId="9" xfId="0" applyNumberFormat="1" applyFont="1" applyBorder="1" applyAlignment="1">
      <alignment horizontal="center" vertical="center"/>
    </xf>
    <xf numFmtId="176" fontId="5" fillId="0" borderId="10" xfId="0" applyNumberFormat="1" applyFont="1" applyBorder="1" applyAlignment="1">
      <alignment horizontal="center" vertical="center"/>
    </xf>
    <xf numFmtId="176" fontId="5" fillId="0" borderId="11" xfId="0" applyNumberFormat="1" applyFont="1" applyBorder="1" applyAlignment="1">
      <alignment horizontal="center" vertical="center"/>
    </xf>
    <xf numFmtId="0" fontId="5" fillId="0" borderId="9" xfId="0" applyNumberFormat="1" applyFont="1" applyBorder="1" applyAlignment="1">
      <alignment horizontal="center" vertical="center"/>
    </xf>
    <xf numFmtId="0" fontId="5" fillId="0" borderId="11" xfId="0" applyNumberFormat="1" applyFont="1" applyBorder="1" applyAlignment="1">
      <alignment horizontal="center" vertical="center"/>
    </xf>
    <xf numFmtId="0" fontId="5" fillId="0" borderId="0" xfId="0" applyFont="1" applyBorder="1" applyAlignment="1">
      <alignment horizontal="right" vertical="center"/>
    </xf>
    <xf numFmtId="0" fontId="5" fillId="0" borderId="5" xfId="0" applyFont="1" applyBorder="1" applyAlignment="1">
      <alignment horizontal="right" vertical="center"/>
    </xf>
    <xf numFmtId="176" fontId="5" fillId="0" borderId="10" xfId="0" applyNumberFormat="1" applyFont="1" applyBorder="1" applyAlignment="1">
      <alignment horizontal="center" vertical="center" shrinkToFit="1"/>
    </xf>
    <xf numFmtId="0" fontId="5" fillId="0" borderId="0" xfId="0" applyFont="1" applyAlignment="1">
      <alignment horizontal="right" vertical="center"/>
    </xf>
    <xf numFmtId="0" fontId="18" fillId="0" borderId="0" xfId="0" applyFont="1" applyAlignment="1">
      <alignment horizontal="center" vertical="center"/>
    </xf>
    <xf numFmtId="0" fontId="5" fillId="0" borderId="0" xfId="0" applyFont="1" applyAlignment="1">
      <alignment vertical="center" wrapText="1"/>
    </xf>
    <xf numFmtId="0" fontId="5" fillId="0" borderId="1" xfId="0" applyFont="1" applyBorder="1" applyAlignment="1">
      <alignment horizontal="left" vertical="top" wrapText="1" shrinkToFit="1"/>
    </xf>
    <xf numFmtId="0" fontId="5" fillId="0" borderId="2" xfId="0" applyFont="1" applyBorder="1" applyAlignment="1">
      <alignment horizontal="left" vertical="top" shrinkToFit="1"/>
    </xf>
    <xf numFmtId="0" fontId="5" fillId="0" borderId="3" xfId="0" applyFont="1" applyBorder="1" applyAlignment="1">
      <alignment horizontal="left" vertical="top" shrinkToFit="1"/>
    </xf>
    <xf numFmtId="0" fontId="5" fillId="0" borderId="4" xfId="0" applyFont="1" applyBorder="1" applyAlignment="1">
      <alignment horizontal="left" vertical="top" shrinkToFit="1"/>
    </xf>
    <xf numFmtId="0" fontId="5" fillId="0" borderId="0" xfId="0" applyFont="1" applyBorder="1" applyAlignment="1">
      <alignment horizontal="left" vertical="top" shrinkToFit="1"/>
    </xf>
    <xf numFmtId="0" fontId="5" fillId="0" borderId="5" xfId="0" applyFont="1" applyBorder="1" applyAlignment="1">
      <alignment horizontal="left" vertical="top" shrinkToFit="1"/>
    </xf>
    <xf numFmtId="0" fontId="5" fillId="0" borderId="0" xfId="0" applyFont="1" applyAlignment="1">
      <alignment horizontal="left" vertical="top" shrinkToFit="1"/>
    </xf>
    <xf numFmtId="0" fontId="5" fillId="0" borderId="6" xfId="0" applyFont="1" applyBorder="1" applyAlignment="1">
      <alignment horizontal="left" vertical="top" shrinkToFit="1"/>
    </xf>
    <xf numFmtId="0" fontId="5" fillId="0" borderId="7" xfId="0" applyFont="1" applyBorder="1" applyAlignment="1">
      <alignment horizontal="left" vertical="top" shrinkToFit="1"/>
    </xf>
    <xf numFmtId="0" fontId="5" fillId="0" borderId="8" xfId="0" applyFont="1" applyBorder="1" applyAlignment="1">
      <alignment horizontal="left" vertical="top" shrinkToFit="1"/>
    </xf>
    <xf numFmtId="0" fontId="10" fillId="0" borderId="42" xfId="0" applyFont="1" applyBorder="1" applyAlignment="1">
      <alignment horizontal="left" vertical="center" wrapText="1" shrinkToFit="1"/>
    </xf>
    <xf numFmtId="0" fontId="10" fillId="0" borderId="42" xfId="0" applyFont="1" applyBorder="1" applyAlignment="1">
      <alignment horizontal="left" vertical="center" shrinkToFit="1"/>
    </xf>
    <xf numFmtId="0" fontId="10" fillId="0" borderId="40" xfId="0" applyFont="1" applyBorder="1" applyAlignment="1">
      <alignment horizontal="left" vertical="center" shrinkToFit="1"/>
    </xf>
    <xf numFmtId="0" fontId="8" fillId="0" borderId="7" xfId="0" applyFont="1" applyBorder="1" applyAlignment="1">
      <alignment horizontal="left" vertical="center" wrapText="1" shrinkToFit="1"/>
    </xf>
    <xf numFmtId="0" fontId="8" fillId="0" borderId="7" xfId="0" applyFont="1" applyBorder="1" applyAlignment="1">
      <alignment horizontal="left" vertical="center" shrinkToFit="1"/>
    </xf>
    <xf numFmtId="0" fontId="8" fillId="0" borderId="8" xfId="0" applyFont="1" applyBorder="1" applyAlignment="1">
      <alignment horizontal="left" vertical="center" shrinkToFit="1"/>
    </xf>
    <xf numFmtId="0" fontId="8" fillId="0" borderId="2" xfId="0" applyFont="1" applyBorder="1" applyAlignment="1">
      <alignment horizontal="left" vertical="center" wrapText="1" shrinkToFit="1"/>
    </xf>
    <xf numFmtId="0" fontId="8" fillId="0" borderId="2" xfId="0" applyFont="1" applyBorder="1" applyAlignment="1">
      <alignment horizontal="left" vertical="center" shrinkToFit="1"/>
    </xf>
    <xf numFmtId="0" fontId="8" fillId="0" borderId="3" xfId="0" applyFont="1" applyBorder="1" applyAlignment="1">
      <alignment horizontal="left" vertical="center" shrinkToFit="1"/>
    </xf>
    <xf numFmtId="0" fontId="8" fillId="0" borderId="15" xfId="0" applyFont="1" applyBorder="1" applyAlignment="1">
      <alignment horizontal="left" vertical="center" wrapText="1" shrinkToFit="1"/>
    </xf>
    <xf numFmtId="0" fontId="8" fillId="0" borderId="15" xfId="0" applyFont="1" applyBorder="1" applyAlignment="1">
      <alignment horizontal="left" vertical="center" shrinkToFit="1"/>
    </xf>
    <xf numFmtId="0" fontId="8" fillId="0" borderId="13" xfId="0" applyFont="1" applyBorder="1" applyAlignment="1">
      <alignment horizontal="left" vertical="center" shrinkToFit="1"/>
    </xf>
    <xf numFmtId="0" fontId="5" fillId="0" borderId="43" xfId="0" applyFont="1" applyBorder="1" applyAlignment="1">
      <alignment vertical="center" shrinkToFit="1"/>
    </xf>
    <xf numFmtId="0" fontId="5" fillId="0" borderId="44" xfId="0" applyFont="1" applyBorder="1" applyAlignment="1">
      <alignment vertical="center" shrinkToFit="1"/>
    </xf>
    <xf numFmtId="0" fontId="5" fillId="0" borderId="45" xfId="0" applyFont="1" applyBorder="1" applyAlignment="1">
      <alignment vertical="center" shrinkToFit="1"/>
    </xf>
    <xf numFmtId="0" fontId="5" fillId="0" borderId="43" xfId="0" applyFont="1" applyBorder="1" applyAlignment="1">
      <alignment horizontal="center" vertical="center" shrinkToFit="1"/>
    </xf>
    <xf numFmtId="0" fontId="5" fillId="0" borderId="44" xfId="0" applyFont="1" applyBorder="1" applyAlignment="1">
      <alignment horizontal="center" vertical="center" shrinkToFit="1"/>
    </xf>
    <xf numFmtId="0" fontId="5" fillId="0" borderId="45" xfId="0" applyFont="1" applyBorder="1" applyAlignment="1">
      <alignment horizontal="center" vertical="center" shrinkToFit="1"/>
    </xf>
    <xf numFmtId="0" fontId="5" fillId="0" borderId="14" xfId="0" applyFont="1" applyBorder="1" applyAlignment="1">
      <alignment vertical="center" shrinkToFit="1"/>
    </xf>
    <xf numFmtId="0" fontId="5" fillId="0" borderId="15" xfId="0" applyFont="1" applyBorder="1" applyAlignment="1">
      <alignment vertical="center" shrinkToFit="1"/>
    </xf>
    <xf numFmtId="0" fontId="5" fillId="0" borderId="13" xfId="0" applyFont="1" applyBorder="1" applyAlignment="1">
      <alignment vertical="center" shrinkToFit="1"/>
    </xf>
    <xf numFmtId="0" fontId="5" fillId="0" borderId="14" xfId="0" applyFont="1" applyBorder="1" applyAlignment="1">
      <alignment horizontal="center" vertical="center" shrinkToFit="1"/>
    </xf>
    <xf numFmtId="0" fontId="5" fillId="0" borderId="15" xfId="0" applyFont="1" applyBorder="1" applyAlignment="1">
      <alignment horizontal="center" vertical="center" shrinkToFit="1"/>
    </xf>
    <xf numFmtId="0" fontId="5" fillId="0" borderId="13" xfId="0" applyFont="1" applyBorder="1" applyAlignment="1">
      <alignment horizontal="center" vertical="center" shrinkToFit="1"/>
    </xf>
    <xf numFmtId="0" fontId="8" fillId="0" borderId="42" xfId="0" applyFont="1" applyBorder="1" applyAlignment="1">
      <alignment vertical="center" wrapText="1" shrinkToFit="1"/>
    </xf>
    <xf numFmtId="0" fontId="8" fillId="0" borderId="42" xfId="0" applyFont="1" applyBorder="1" applyAlignment="1">
      <alignment vertical="center" shrinkToFit="1"/>
    </xf>
    <xf numFmtId="0" fontId="8" fillId="0" borderId="40" xfId="0" applyFont="1" applyBorder="1" applyAlignment="1">
      <alignment vertical="center" shrinkToFit="1"/>
    </xf>
    <xf numFmtId="0" fontId="8" fillId="0" borderId="14" xfId="0" applyFont="1" applyBorder="1" applyAlignment="1">
      <alignment vertical="center" wrapText="1" shrinkToFit="1"/>
    </xf>
    <xf numFmtId="0" fontId="8" fillId="0" borderId="15" xfId="0" applyFont="1" applyBorder="1" applyAlignment="1">
      <alignment vertical="center" shrinkToFit="1"/>
    </xf>
    <xf numFmtId="0" fontId="8" fillId="0" borderId="13" xfId="0" applyFont="1" applyBorder="1" applyAlignment="1">
      <alignment vertical="center" shrinkToFit="1"/>
    </xf>
    <xf numFmtId="0" fontId="8" fillId="0" borderId="7" xfId="0" applyFont="1" applyBorder="1" applyAlignment="1">
      <alignment vertical="center" wrapText="1" shrinkToFit="1"/>
    </xf>
    <xf numFmtId="0" fontId="8" fillId="0" borderId="7" xfId="0" applyFont="1" applyBorder="1" applyAlignment="1">
      <alignment vertical="center" shrinkToFit="1"/>
    </xf>
    <xf numFmtId="0" fontId="8" fillId="0" borderId="8" xfId="0" applyFont="1" applyBorder="1" applyAlignment="1">
      <alignment vertical="center" shrinkToFit="1"/>
    </xf>
    <xf numFmtId="0" fontId="17" fillId="0" borderId="9" xfId="2" applyBorder="1" applyAlignment="1">
      <alignment vertical="center" shrinkToFit="1"/>
    </xf>
    <xf numFmtId="0" fontId="5" fillId="0" borderId="11" xfId="0" applyFont="1" applyBorder="1" applyAlignment="1">
      <alignment vertical="center" shrinkToFit="1"/>
    </xf>
    <xf numFmtId="0" fontId="15" fillId="0" borderId="47" xfId="0" applyFont="1" applyBorder="1" applyAlignment="1">
      <alignment vertical="center" wrapText="1"/>
    </xf>
    <xf numFmtId="0" fontId="15" fillId="0" borderId="28" xfId="0" applyFont="1" applyBorder="1" applyAlignment="1">
      <alignment vertical="center" wrapText="1"/>
    </xf>
    <xf numFmtId="0" fontId="15" fillId="0" borderId="51" xfId="0" applyFont="1" applyBorder="1" applyAlignment="1">
      <alignment vertical="center" wrapText="1"/>
    </xf>
    <xf numFmtId="0" fontId="5" fillId="0" borderId="1" xfId="0" applyFont="1" applyBorder="1" applyAlignment="1">
      <alignment vertical="center" wrapText="1" shrinkToFit="1"/>
    </xf>
    <xf numFmtId="0" fontId="5" fillId="0" borderId="2" xfId="0" applyFont="1" applyBorder="1" applyAlignment="1">
      <alignment vertical="center" shrinkToFit="1"/>
    </xf>
    <xf numFmtId="0" fontId="5" fillId="0" borderId="3" xfId="0" applyFont="1" applyBorder="1" applyAlignment="1">
      <alignment vertical="center" shrinkToFit="1"/>
    </xf>
    <xf numFmtId="0" fontId="5" fillId="0" borderId="4" xfId="0" applyFont="1" applyBorder="1" applyAlignment="1">
      <alignment vertical="center" shrinkToFit="1"/>
    </xf>
    <xf numFmtId="0" fontId="5" fillId="0" borderId="5" xfId="0" applyFont="1" applyBorder="1" applyAlignment="1">
      <alignment vertical="center" shrinkToFit="1"/>
    </xf>
    <xf numFmtId="0" fontId="5" fillId="0" borderId="6" xfId="0" applyFont="1" applyBorder="1" applyAlignment="1">
      <alignment vertical="center" shrinkToFit="1"/>
    </xf>
    <xf numFmtId="0" fontId="5" fillId="0" borderId="7" xfId="0" applyFont="1" applyBorder="1" applyAlignment="1">
      <alignment vertical="center" shrinkToFit="1"/>
    </xf>
    <xf numFmtId="0" fontId="5" fillId="0" borderId="8" xfId="0" applyFont="1" applyBorder="1" applyAlignment="1">
      <alignment vertical="center" shrinkToFit="1"/>
    </xf>
    <xf numFmtId="0" fontId="16" fillId="0" borderId="2" xfId="0" applyFont="1" applyBorder="1" applyAlignment="1">
      <alignment horizontal="left" vertical="center" wrapText="1" shrinkToFit="1"/>
    </xf>
    <xf numFmtId="0" fontId="10" fillId="0" borderId="2" xfId="0" applyFont="1" applyBorder="1" applyAlignment="1">
      <alignment horizontal="left" vertical="center" shrinkToFit="1"/>
    </xf>
    <xf numFmtId="0" fontId="10" fillId="0" borderId="3" xfId="0" applyFont="1" applyBorder="1" applyAlignment="1">
      <alignment horizontal="left" vertical="center" shrinkToFit="1"/>
    </xf>
    <xf numFmtId="0" fontId="8" fillId="0" borderId="19" xfId="0" applyFont="1" applyBorder="1" applyAlignment="1">
      <alignment horizontal="left" vertical="center" wrapText="1" shrinkToFit="1"/>
    </xf>
    <xf numFmtId="0" fontId="8" fillId="0" borderId="19" xfId="0" applyFont="1" applyBorder="1" applyAlignment="1">
      <alignment horizontal="left" vertical="center" shrinkToFit="1"/>
    </xf>
    <xf numFmtId="0" fontId="8" fillId="0" borderId="21" xfId="0" applyFont="1" applyBorder="1" applyAlignment="1">
      <alignment horizontal="left" vertical="center" shrinkToFit="1"/>
    </xf>
    <xf numFmtId="0" fontId="8" fillId="0" borderId="42" xfId="0" applyFont="1" applyBorder="1" applyAlignment="1">
      <alignment horizontal="left" vertical="center" wrapText="1" shrinkToFit="1"/>
    </xf>
    <xf numFmtId="0" fontId="8" fillId="0" borderId="42" xfId="0" applyFont="1" applyBorder="1" applyAlignment="1">
      <alignment horizontal="left" vertical="center" shrinkToFit="1"/>
    </xf>
    <xf numFmtId="0" fontId="8" fillId="0" borderId="40" xfId="0" applyFont="1" applyBorder="1" applyAlignment="1">
      <alignment horizontal="left" vertical="center" shrinkToFit="1"/>
    </xf>
    <xf numFmtId="0" fontId="8" fillId="0" borderId="44" xfId="0" applyFont="1" applyBorder="1" applyAlignment="1">
      <alignment horizontal="left" vertical="center" wrapText="1" shrinkToFit="1"/>
    </xf>
    <xf numFmtId="0" fontId="8" fillId="0" borderId="44" xfId="0" applyFont="1" applyBorder="1" applyAlignment="1">
      <alignment horizontal="left" vertical="center" shrinkToFit="1"/>
    </xf>
    <xf numFmtId="0" fontId="8" fillId="0" borderId="45" xfId="0" applyFont="1" applyBorder="1" applyAlignment="1">
      <alignment horizontal="left" vertical="center" shrinkToFit="1"/>
    </xf>
    <xf numFmtId="0" fontId="5" fillId="0" borderId="39" xfId="0" applyFont="1" applyFill="1" applyBorder="1" applyAlignment="1">
      <alignment vertical="center" shrinkToFit="1"/>
    </xf>
    <xf numFmtId="0" fontId="5" fillId="0" borderId="42" xfId="0" applyFont="1" applyFill="1" applyBorder="1" applyAlignment="1">
      <alignment vertical="center" shrinkToFit="1"/>
    </xf>
    <xf numFmtId="0" fontId="5" fillId="0" borderId="40" xfId="0" applyFont="1" applyFill="1" applyBorder="1" applyAlignment="1">
      <alignment vertical="center" shrinkToFit="1"/>
    </xf>
    <xf numFmtId="0" fontId="5" fillId="0" borderId="39" xfId="0" applyFont="1" applyFill="1" applyBorder="1" applyAlignment="1">
      <alignment horizontal="center" vertical="center" shrinkToFit="1"/>
    </xf>
    <xf numFmtId="0" fontId="5" fillId="0" borderId="42" xfId="0" applyFont="1" applyFill="1" applyBorder="1" applyAlignment="1">
      <alignment horizontal="center" vertical="center" shrinkToFit="1"/>
    </xf>
    <xf numFmtId="0" fontId="5" fillId="0" borderId="40" xfId="0" applyFont="1" applyFill="1" applyBorder="1" applyAlignment="1">
      <alignment horizontal="center" vertical="center" shrinkToFit="1"/>
    </xf>
    <xf numFmtId="0" fontId="5" fillId="0" borderId="39" xfId="0" applyFont="1" applyBorder="1" applyAlignment="1">
      <alignment vertical="center" shrinkToFit="1"/>
    </xf>
    <xf numFmtId="0" fontId="5" fillId="0" borderId="42" xfId="0" applyFont="1" applyBorder="1" applyAlignment="1">
      <alignment vertical="center" shrinkToFit="1"/>
    </xf>
    <xf numFmtId="0" fontId="5" fillId="0" borderId="40" xfId="0" applyFont="1" applyBorder="1" applyAlignment="1">
      <alignment vertical="center" shrinkToFit="1"/>
    </xf>
    <xf numFmtId="0" fontId="5" fillId="0" borderId="39" xfId="0" applyFont="1" applyBorder="1" applyAlignment="1">
      <alignment horizontal="center" vertical="center" shrinkToFit="1"/>
    </xf>
    <xf numFmtId="0" fontId="5" fillId="0" borderId="42" xfId="0" applyFont="1" applyBorder="1" applyAlignment="1">
      <alignment horizontal="center" vertical="center" shrinkToFit="1"/>
    </xf>
    <xf numFmtId="0" fontId="5" fillId="0" borderId="40" xfId="0" applyFont="1" applyBorder="1" applyAlignment="1">
      <alignment horizontal="center" vertical="center" shrinkToFit="1"/>
    </xf>
    <xf numFmtId="0" fontId="5" fillId="0" borderId="14" xfId="0" applyFont="1" applyFill="1" applyBorder="1" applyAlignment="1">
      <alignment vertical="center" shrinkToFit="1"/>
    </xf>
    <xf numFmtId="0" fontId="5" fillId="0" borderId="15" xfId="0" applyFont="1" applyFill="1" applyBorder="1" applyAlignment="1">
      <alignment vertical="center" shrinkToFit="1"/>
    </xf>
    <xf numFmtId="0" fontId="5" fillId="0" borderId="13" xfId="0" applyFont="1" applyFill="1" applyBorder="1" applyAlignment="1">
      <alignment vertical="center" shrinkToFit="1"/>
    </xf>
    <xf numFmtId="0" fontId="5" fillId="0" borderId="14" xfId="0" applyFont="1" applyFill="1" applyBorder="1" applyAlignment="1">
      <alignment horizontal="center" vertical="center" shrinkToFit="1"/>
    </xf>
    <xf numFmtId="0" fontId="5" fillId="0" borderId="15" xfId="0" applyFont="1" applyFill="1" applyBorder="1" applyAlignment="1">
      <alignment horizontal="center" vertical="center" shrinkToFit="1"/>
    </xf>
    <xf numFmtId="0" fontId="5" fillId="0" borderId="13" xfId="0" applyFont="1" applyFill="1" applyBorder="1" applyAlignment="1">
      <alignment horizontal="center" vertical="center" shrinkToFit="1"/>
    </xf>
    <xf numFmtId="0" fontId="5" fillId="0" borderId="14" xfId="0" applyFont="1" applyBorder="1" applyAlignment="1">
      <alignment horizontal="center" vertical="center"/>
    </xf>
    <xf numFmtId="0" fontId="5" fillId="0" borderId="15" xfId="0" applyFont="1" applyBorder="1" applyAlignment="1">
      <alignment horizontal="center" vertical="center"/>
    </xf>
    <xf numFmtId="0" fontId="5" fillId="0" borderId="13" xfId="0" applyFont="1" applyBorder="1" applyAlignment="1">
      <alignment horizontal="center" vertical="center"/>
    </xf>
    <xf numFmtId="0" fontId="5" fillId="0" borderId="43" xfId="0" applyFont="1" applyBorder="1" applyAlignment="1">
      <alignment horizontal="center" vertical="center"/>
    </xf>
    <xf numFmtId="0" fontId="5" fillId="0" borderId="44" xfId="0" applyFont="1" applyBorder="1" applyAlignment="1">
      <alignment horizontal="center" vertical="center"/>
    </xf>
    <xf numFmtId="0" fontId="5" fillId="0" borderId="45" xfId="0" applyFont="1" applyBorder="1" applyAlignment="1">
      <alignment horizontal="center" vertical="center"/>
    </xf>
    <xf numFmtId="0" fontId="5" fillId="0" borderId="9" xfId="0" applyFont="1" applyFill="1" applyBorder="1" applyAlignment="1">
      <alignment horizontal="center" vertical="center"/>
    </xf>
    <xf numFmtId="0" fontId="5" fillId="0" borderId="10" xfId="0" applyFont="1" applyFill="1" applyBorder="1" applyAlignment="1">
      <alignment horizontal="center" vertical="center"/>
    </xf>
    <xf numFmtId="0" fontId="5" fillId="0" borderId="11" xfId="0" applyFont="1" applyFill="1" applyBorder="1" applyAlignment="1">
      <alignment horizontal="center" vertical="center"/>
    </xf>
    <xf numFmtId="0" fontId="5" fillId="0" borderId="1" xfId="0" applyFont="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39" xfId="0" applyFont="1" applyBorder="1" applyAlignment="1">
      <alignment horizontal="center" vertical="center"/>
    </xf>
    <xf numFmtId="0" fontId="5" fillId="0" borderId="42" xfId="0" applyFont="1" applyBorder="1" applyAlignment="1">
      <alignment horizontal="center" vertical="center"/>
    </xf>
    <xf numFmtId="0" fontId="5" fillId="0" borderId="40" xfId="0" applyFont="1" applyBorder="1" applyAlignment="1">
      <alignment horizontal="center" vertical="center"/>
    </xf>
    <xf numFmtId="0" fontId="5" fillId="0" borderId="14" xfId="0" applyFont="1" applyBorder="1" applyAlignment="1">
      <alignment horizontal="left" vertical="center" shrinkToFit="1"/>
    </xf>
    <xf numFmtId="0" fontId="5" fillId="0" borderId="15" xfId="0" applyFont="1" applyBorder="1" applyAlignment="1">
      <alignment horizontal="left" vertical="center" shrinkToFit="1"/>
    </xf>
    <xf numFmtId="0" fontId="5" fillId="0" borderId="13" xfId="0" applyFont="1" applyBorder="1" applyAlignment="1">
      <alignment horizontal="left" vertical="center" shrinkToFit="1"/>
    </xf>
    <xf numFmtId="0" fontId="5" fillId="0" borderId="43" xfId="0" applyFont="1" applyBorder="1" applyAlignment="1">
      <alignment horizontal="left" vertical="center" shrinkToFit="1"/>
    </xf>
    <xf numFmtId="0" fontId="5" fillId="0" borderId="44" xfId="0" applyFont="1" applyBorder="1" applyAlignment="1">
      <alignment horizontal="left" vertical="center" shrinkToFit="1"/>
    </xf>
    <xf numFmtId="0" fontId="5" fillId="0" borderId="45" xfId="0" applyFont="1" applyBorder="1" applyAlignment="1">
      <alignment horizontal="left" vertical="center" shrinkToFit="1"/>
    </xf>
    <xf numFmtId="0" fontId="5" fillId="0" borderId="39" xfId="0" applyFont="1" applyBorder="1" applyAlignment="1">
      <alignment horizontal="left" vertical="center" shrinkToFit="1"/>
    </xf>
    <xf numFmtId="0" fontId="5" fillId="0" borderId="42" xfId="0" applyFont="1" applyBorder="1" applyAlignment="1">
      <alignment horizontal="left" vertical="center" shrinkToFit="1"/>
    </xf>
    <xf numFmtId="0" fontId="5" fillId="0" borderId="40" xfId="0" applyFont="1" applyBorder="1" applyAlignment="1">
      <alignment horizontal="left" vertical="center" shrinkToFit="1"/>
    </xf>
    <xf numFmtId="0" fontId="5" fillId="0" borderId="0" xfId="0" applyFont="1" applyAlignment="1">
      <alignment horizontal="center" vertical="center"/>
    </xf>
    <xf numFmtId="0" fontId="12" fillId="0" borderId="0" xfId="0" applyFont="1" applyAlignment="1">
      <alignment horizontal="center" vertical="center"/>
    </xf>
    <xf numFmtId="0" fontId="1" fillId="0" borderId="0" xfId="0" applyFont="1" applyAlignment="1">
      <alignment horizontal="right" vertical="center"/>
    </xf>
    <xf numFmtId="0" fontId="3" fillId="0" borderId="0" xfId="0" applyFont="1" applyAlignment="1">
      <alignment horizontal="center" vertical="center"/>
    </xf>
    <xf numFmtId="0" fontId="1" fillId="0" borderId="9" xfId="0" applyNumberFormat="1" applyFont="1" applyBorder="1" applyAlignment="1">
      <alignment horizontal="center" vertical="center" shrinkToFit="1"/>
    </xf>
    <xf numFmtId="0" fontId="1" fillId="0" borderId="11" xfId="0" applyNumberFormat="1" applyFont="1" applyBorder="1" applyAlignment="1">
      <alignment horizontal="center" vertical="center" shrinkToFit="1"/>
    </xf>
    <xf numFmtId="0" fontId="1" fillId="0" borderId="23" xfId="0" applyFont="1" applyBorder="1" applyAlignment="1">
      <alignment horizontal="center" vertical="center"/>
    </xf>
    <xf numFmtId="0" fontId="1" fillId="0" borderId="39" xfId="0" applyFont="1" applyBorder="1" applyAlignment="1">
      <alignment horizontal="center" vertical="center"/>
    </xf>
    <xf numFmtId="0" fontId="1" fillId="0" borderId="40" xfId="0" applyFont="1" applyBorder="1" applyAlignment="1">
      <alignment horizontal="center" vertical="center"/>
    </xf>
    <xf numFmtId="0" fontId="1" fillId="0" borderId="22" xfId="0" applyFont="1" applyBorder="1" applyAlignment="1">
      <alignment horizontal="center" vertical="center"/>
    </xf>
    <xf numFmtId="0" fontId="1" fillId="0" borderId="24" xfId="0" applyFont="1" applyBorder="1" applyAlignment="1">
      <alignment horizontal="center" vertical="center"/>
    </xf>
    <xf numFmtId="0" fontId="10" fillId="0" borderId="2" xfId="0" applyFont="1" applyBorder="1" applyAlignment="1">
      <alignment horizontal="center" vertical="center" wrapText="1"/>
    </xf>
    <xf numFmtId="0" fontId="10" fillId="0" borderId="7" xfId="0" applyFont="1" applyBorder="1" applyAlignment="1">
      <alignment horizontal="center" vertical="center"/>
    </xf>
    <xf numFmtId="0" fontId="10" fillId="0" borderId="1" xfId="0" applyFont="1" applyBorder="1" applyAlignment="1">
      <alignment horizontal="center" vertical="center" wrapText="1"/>
    </xf>
    <xf numFmtId="0" fontId="10" fillId="0" borderId="6" xfId="0" applyFont="1" applyBorder="1" applyAlignment="1">
      <alignment horizontal="center" vertical="center"/>
    </xf>
    <xf numFmtId="0" fontId="11" fillId="0" borderId="22" xfId="0" applyFont="1" applyBorder="1" applyAlignment="1">
      <alignment horizontal="center" vertical="center" wrapText="1"/>
    </xf>
    <xf numFmtId="0" fontId="11" fillId="0" borderId="24" xfId="0" applyFont="1" applyBorder="1" applyAlignment="1">
      <alignment horizontal="center" vertical="center"/>
    </xf>
    <xf numFmtId="0" fontId="10" fillId="0" borderId="3" xfId="0" applyFont="1" applyBorder="1" applyAlignment="1">
      <alignment horizontal="center" vertical="center"/>
    </xf>
    <xf numFmtId="0" fontId="10" fillId="0" borderId="8" xfId="0" applyFont="1" applyBorder="1" applyAlignment="1">
      <alignment horizontal="center" vertical="center"/>
    </xf>
    <xf numFmtId="0" fontId="5" fillId="0" borderId="1" xfId="0" applyFont="1" applyBorder="1" applyAlignment="1">
      <alignment vertical="top" wrapText="1" shrinkToFit="1"/>
    </xf>
    <xf numFmtId="0" fontId="2" fillId="0" borderId="2" xfId="0" applyFont="1" applyBorder="1" applyAlignment="1">
      <alignment vertical="top" wrapText="1" shrinkToFit="1"/>
    </xf>
    <xf numFmtId="0" fontId="2" fillId="0" borderId="2" xfId="0" applyFont="1" applyBorder="1" applyAlignment="1">
      <alignment vertical="top" shrinkToFit="1"/>
    </xf>
    <xf numFmtId="0" fontId="2" fillId="0" borderId="3" xfId="0" applyFont="1" applyBorder="1" applyAlignment="1">
      <alignment vertical="top" shrinkToFit="1"/>
    </xf>
    <xf numFmtId="0" fontId="2" fillId="0" borderId="4" xfId="0" applyFont="1" applyBorder="1" applyAlignment="1">
      <alignment vertical="top" shrinkToFit="1"/>
    </xf>
    <xf numFmtId="0" fontId="2" fillId="0" borderId="0" xfId="0" applyFont="1" applyAlignment="1">
      <alignment vertical="top" shrinkToFit="1"/>
    </xf>
    <xf numFmtId="0" fontId="2" fillId="0" borderId="5" xfId="0" applyFont="1" applyBorder="1" applyAlignment="1">
      <alignment vertical="top" shrinkToFit="1"/>
    </xf>
    <xf numFmtId="0" fontId="2" fillId="0" borderId="6" xfId="0" applyFont="1" applyBorder="1" applyAlignment="1">
      <alignment vertical="top" shrinkToFit="1"/>
    </xf>
    <xf numFmtId="0" fontId="2" fillId="0" borderId="7" xfId="0" applyFont="1" applyBorder="1" applyAlignment="1">
      <alignment vertical="top" shrinkToFit="1"/>
    </xf>
    <xf numFmtId="0" fontId="2" fillId="0" borderId="8" xfId="0" applyFont="1" applyBorder="1" applyAlignment="1">
      <alignment vertical="top" shrinkToFit="1"/>
    </xf>
    <xf numFmtId="0" fontId="5" fillId="0" borderId="16" xfId="0" applyFont="1" applyBorder="1" applyAlignment="1">
      <alignment vertical="top" wrapText="1" shrinkToFit="1"/>
    </xf>
    <xf numFmtId="0" fontId="5" fillId="0" borderId="19" xfId="0" applyFont="1" applyBorder="1" applyAlignment="1">
      <alignment vertical="top" shrinkToFit="1"/>
    </xf>
    <xf numFmtId="0" fontId="5" fillId="0" borderId="21" xfId="0" applyFont="1" applyBorder="1" applyAlignment="1">
      <alignment vertical="top" shrinkToFit="1"/>
    </xf>
    <xf numFmtId="0" fontId="5" fillId="0" borderId="4" xfId="0" applyFont="1" applyBorder="1" applyAlignment="1">
      <alignment vertical="top" shrinkToFit="1"/>
    </xf>
    <xf numFmtId="0" fontId="5" fillId="0" borderId="0" xfId="0" applyFont="1" applyAlignment="1">
      <alignment vertical="top" shrinkToFit="1"/>
    </xf>
    <xf numFmtId="0" fontId="5" fillId="0" borderId="5" xfId="0" applyFont="1" applyBorder="1" applyAlignment="1">
      <alignment vertical="top" shrinkToFit="1"/>
    </xf>
    <xf numFmtId="0" fontId="5" fillId="0" borderId="6" xfId="0" applyFont="1" applyBorder="1" applyAlignment="1">
      <alignment vertical="top" shrinkToFit="1"/>
    </xf>
    <xf numFmtId="0" fontId="5" fillId="0" borderId="7" xfId="0" applyFont="1" applyBorder="1" applyAlignment="1">
      <alignment vertical="top" shrinkToFit="1"/>
    </xf>
    <xf numFmtId="0" fontId="5" fillId="0" borderId="8" xfId="0" applyFont="1" applyBorder="1" applyAlignment="1">
      <alignment vertical="top" shrinkToFit="1"/>
    </xf>
    <xf numFmtId="0" fontId="8" fillId="0" borderId="1" xfId="0" applyFont="1" applyBorder="1" applyAlignment="1">
      <alignment vertical="top" wrapText="1" shrinkToFit="1"/>
    </xf>
    <xf numFmtId="0" fontId="8" fillId="0" borderId="2" xfId="0" applyFont="1" applyBorder="1" applyAlignment="1">
      <alignment vertical="top" wrapText="1" shrinkToFit="1"/>
    </xf>
    <xf numFmtId="0" fontId="8" fillId="0" borderId="2" xfId="0" applyFont="1" applyBorder="1" applyAlignment="1">
      <alignment vertical="top" shrinkToFit="1"/>
    </xf>
    <xf numFmtId="0" fontId="8" fillId="0" borderId="3" xfId="0" applyFont="1" applyBorder="1" applyAlignment="1">
      <alignment vertical="top" shrinkToFit="1"/>
    </xf>
    <xf numFmtId="0" fontId="8" fillId="0" borderId="4" xfId="0" applyFont="1" applyBorder="1" applyAlignment="1">
      <alignment vertical="top" shrinkToFit="1"/>
    </xf>
    <xf numFmtId="0" fontId="8" fillId="0" borderId="0" xfId="0" applyFont="1" applyAlignment="1">
      <alignment vertical="top" shrinkToFit="1"/>
    </xf>
    <xf numFmtId="0" fontId="8" fillId="0" borderId="5" xfId="0" applyFont="1" applyBorder="1" applyAlignment="1">
      <alignment vertical="top" shrinkToFit="1"/>
    </xf>
    <xf numFmtId="0" fontId="8" fillId="0" borderId="6" xfId="0" applyFont="1" applyBorder="1" applyAlignment="1">
      <alignment vertical="top" shrinkToFit="1"/>
    </xf>
    <xf numFmtId="0" fontId="8" fillId="0" borderId="7" xfId="0" applyFont="1" applyBorder="1" applyAlignment="1">
      <alignment vertical="top" shrinkToFit="1"/>
    </xf>
    <xf numFmtId="0" fontId="8" fillId="0" borderId="8" xfId="0" applyFont="1" applyBorder="1" applyAlignment="1">
      <alignment vertical="top" shrinkToFit="1"/>
    </xf>
    <xf numFmtId="0" fontId="9" fillId="0" borderId="1" xfId="0" applyFont="1" applyBorder="1" applyAlignment="1">
      <alignment vertical="top" wrapText="1" shrinkToFit="1"/>
    </xf>
    <xf numFmtId="0" fontId="9" fillId="0" borderId="2" xfId="0" applyFont="1" applyBorder="1" applyAlignment="1">
      <alignment vertical="top" wrapText="1" shrinkToFit="1"/>
    </xf>
    <xf numFmtId="0" fontId="9" fillId="0" borderId="2" xfId="0" applyFont="1" applyBorder="1" applyAlignment="1">
      <alignment vertical="top" shrinkToFit="1"/>
    </xf>
    <xf numFmtId="0" fontId="9" fillId="0" borderId="3" xfId="0" applyFont="1" applyBorder="1" applyAlignment="1">
      <alignment vertical="top" shrinkToFit="1"/>
    </xf>
    <xf numFmtId="0" fontId="9" fillId="0" borderId="4" xfId="0" applyFont="1" applyBorder="1" applyAlignment="1">
      <alignment vertical="top" shrinkToFit="1"/>
    </xf>
    <xf numFmtId="0" fontId="9" fillId="0" borderId="0" xfId="0" applyFont="1" applyAlignment="1">
      <alignment vertical="top" shrinkToFit="1"/>
    </xf>
    <xf numFmtId="0" fontId="9" fillId="0" borderId="5" xfId="0" applyFont="1" applyBorder="1" applyAlignment="1">
      <alignment vertical="top" shrinkToFit="1"/>
    </xf>
    <xf numFmtId="0" fontId="9" fillId="0" borderId="6" xfId="0" applyFont="1" applyBorder="1" applyAlignment="1">
      <alignment vertical="top" shrinkToFit="1"/>
    </xf>
    <xf numFmtId="0" fontId="9" fillId="0" borderId="7" xfId="0" applyFont="1" applyBorder="1" applyAlignment="1">
      <alignment vertical="top" shrinkToFit="1"/>
    </xf>
    <xf numFmtId="0" fontId="9" fillId="0" borderId="8" xfId="0" applyFont="1" applyBorder="1" applyAlignment="1">
      <alignment vertical="top" shrinkToFit="1"/>
    </xf>
    <xf numFmtId="0" fontId="1" fillId="0" borderId="7" xfId="0" applyFont="1" applyBorder="1" applyAlignment="1">
      <alignment vertical="center"/>
    </xf>
    <xf numFmtId="0" fontId="9" fillId="0" borderId="3" xfId="0" applyFont="1" applyBorder="1" applyAlignment="1">
      <alignment vertical="top" wrapText="1" shrinkToFit="1"/>
    </xf>
    <xf numFmtId="0" fontId="9" fillId="0" borderId="4" xfId="0" applyFont="1" applyBorder="1" applyAlignment="1">
      <alignment vertical="top" wrapText="1" shrinkToFit="1"/>
    </xf>
    <xf numFmtId="0" fontId="9" fillId="0" borderId="0" xfId="0" applyFont="1" applyAlignment="1">
      <alignment vertical="top" wrapText="1" shrinkToFit="1"/>
    </xf>
    <xf numFmtId="0" fontId="9" fillId="0" borderId="5" xfId="0" applyFont="1" applyBorder="1" applyAlignment="1">
      <alignment vertical="top" wrapText="1" shrinkToFit="1"/>
    </xf>
    <xf numFmtId="0" fontId="9" fillId="0" borderId="6" xfId="0" applyFont="1" applyBorder="1" applyAlignment="1">
      <alignment vertical="top" wrapText="1" shrinkToFit="1"/>
    </xf>
    <xf numFmtId="0" fontId="9" fillId="0" borderId="7" xfId="0" applyFont="1" applyBorder="1" applyAlignment="1">
      <alignment vertical="top" wrapText="1" shrinkToFit="1"/>
    </xf>
    <xf numFmtId="0" fontId="9" fillId="0" borderId="8" xfId="0" applyFont="1" applyBorder="1" applyAlignment="1">
      <alignment vertical="top" wrapText="1" shrinkToFit="1"/>
    </xf>
    <xf numFmtId="0" fontId="5" fillId="0" borderId="2" xfId="0" applyFont="1" applyBorder="1" applyAlignment="1">
      <alignment vertical="top" wrapText="1" shrinkToFit="1"/>
    </xf>
    <xf numFmtId="0" fontId="5" fillId="0" borderId="2" xfId="0" applyFont="1" applyBorder="1" applyAlignment="1">
      <alignment vertical="top" shrinkToFit="1"/>
    </xf>
    <xf numFmtId="0" fontId="5" fillId="0" borderId="3" xfId="0" applyFont="1" applyBorder="1" applyAlignment="1">
      <alignment vertical="top" shrinkToFit="1"/>
    </xf>
    <xf numFmtId="0" fontId="1" fillId="0" borderId="14" xfId="0" applyFont="1" applyBorder="1" applyAlignment="1">
      <alignment vertical="center" wrapText="1"/>
    </xf>
    <xf numFmtId="0" fontId="1" fillId="0" borderId="15" xfId="0" applyFont="1" applyBorder="1" applyAlignment="1">
      <alignment vertical="center" wrapText="1"/>
    </xf>
    <xf numFmtId="0" fontId="1" fillId="0" borderId="13" xfId="0" applyFont="1" applyBorder="1" applyAlignment="1">
      <alignment vertical="center" wrapText="1"/>
    </xf>
    <xf numFmtId="0" fontId="5" fillId="0" borderId="15" xfId="0" applyFont="1" applyBorder="1" applyAlignment="1">
      <alignment vertical="top" wrapText="1" shrinkToFit="1"/>
    </xf>
    <xf numFmtId="0" fontId="5" fillId="0" borderId="13" xfId="0" applyFont="1" applyBorder="1" applyAlignment="1">
      <alignment vertical="top" wrapText="1" shrinkToFit="1"/>
    </xf>
    <xf numFmtId="0" fontId="1" fillId="0" borderId="6" xfId="0" applyFont="1" applyBorder="1" applyAlignment="1">
      <alignment vertical="center" wrapText="1"/>
    </xf>
    <xf numFmtId="0" fontId="1" fillId="0" borderId="7" xfId="0" applyFont="1" applyBorder="1" applyAlignment="1">
      <alignment vertical="center" wrapText="1"/>
    </xf>
    <xf numFmtId="0" fontId="1" fillId="0" borderId="8" xfId="0" applyFont="1" applyBorder="1" applyAlignment="1">
      <alignment vertical="center" wrapText="1"/>
    </xf>
    <xf numFmtId="0" fontId="5" fillId="0" borderId="7" xfId="0" applyFont="1" applyBorder="1" applyAlignment="1">
      <alignment vertical="top" wrapText="1" shrinkToFit="1"/>
    </xf>
    <xf numFmtId="0" fontId="5" fillId="0" borderId="8" xfId="0" applyFont="1" applyBorder="1" applyAlignment="1">
      <alignment vertical="top" wrapText="1" shrinkToFit="1"/>
    </xf>
    <xf numFmtId="0" fontId="7" fillId="0" borderId="9" xfId="2" applyFont="1" applyBorder="1" applyAlignment="1">
      <alignment horizontal="center" vertical="center" wrapText="1" shrinkToFit="1"/>
    </xf>
    <xf numFmtId="0" fontId="7" fillId="0" borderId="10" xfId="2" applyFont="1" applyBorder="1" applyAlignment="1">
      <alignment horizontal="center" vertical="center" shrinkToFit="1"/>
    </xf>
    <xf numFmtId="0" fontId="7" fillId="0" borderId="11" xfId="2" applyFont="1" applyBorder="1" applyAlignment="1">
      <alignment horizontal="center" vertical="center" shrinkToFit="1"/>
    </xf>
    <xf numFmtId="0" fontId="1" fillId="0" borderId="12" xfId="0" applyFont="1" applyBorder="1" applyAlignment="1">
      <alignment vertical="center" wrapText="1"/>
    </xf>
    <xf numFmtId="0" fontId="5" fillId="0" borderId="14" xfId="0" applyFont="1" applyBorder="1" applyAlignment="1">
      <alignment vertical="top" wrapText="1" shrinkToFit="1"/>
    </xf>
    <xf numFmtId="0" fontId="1" fillId="0" borderId="12" xfId="0" applyFont="1" applyBorder="1" applyAlignment="1">
      <alignment vertical="center"/>
    </xf>
    <xf numFmtId="0" fontId="0" fillId="0" borderId="13" xfId="0" applyBorder="1" applyAlignment="1">
      <alignment vertical="center"/>
    </xf>
    <xf numFmtId="0" fontId="1" fillId="0" borderId="9" xfId="0" applyFont="1" applyBorder="1" applyAlignment="1">
      <alignment horizontal="center" vertical="center"/>
    </xf>
    <xf numFmtId="0" fontId="1" fillId="0" borderId="10" xfId="0" applyFont="1" applyBorder="1" applyAlignment="1">
      <alignment horizontal="center" vertical="center"/>
    </xf>
    <xf numFmtId="0" fontId="1" fillId="0" borderId="11" xfId="0" applyFont="1" applyBorder="1" applyAlignment="1">
      <alignment horizontal="center" vertical="center"/>
    </xf>
  </cellXfs>
  <cellStyles count="3">
    <cellStyle name="ハイパーリンク" xfId="2" builtinId="8"/>
    <cellStyle name="桁区切り" xfId="1" builtinId="6"/>
    <cellStyle name="標準"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about:blank"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about:blank"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5"/>
  <sheetViews>
    <sheetView view="pageBreakPreview" zoomScaleNormal="100" zoomScaleSheetLayoutView="100" workbookViewId="0">
      <selection activeCell="Q14" sqref="Q14"/>
    </sheetView>
  </sheetViews>
  <sheetFormatPr defaultColWidth="9" defaultRowHeight="18.75" customHeight="1"/>
  <cols>
    <col min="1" max="1" width="3.33203125" style="70" customWidth="1"/>
    <col min="2" max="2" width="11.109375" style="70" customWidth="1"/>
    <col min="3" max="8" width="6.6640625" style="70" customWidth="1"/>
    <col min="9" max="9" width="3.33203125" style="70" customWidth="1"/>
    <col min="10" max="10" width="10" style="70" customWidth="1"/>
    <col min="11" max="11" width="3.33203125" style="70" customWidth="1"/>
    <col min="12" max="12" width="7.77734375" style="70" customWidth="1"/>
    <col min="13" max="13" width="3.33203125" style="70" customWidth="1"/>
    <col min="14" max="14" width="4.44140625" style="70" customWidth="1"/>
    <col min="15" max="15" width="9" style="4"/>
    <col min="16" max="16384" width="9" style="70"/>
  </cols>
  <sheetData>
    <row r="1" spans="1:15" ht="24" customHeight="1">
      <c r="M1" s="152" t="s">
        <v>0</v>
      </c>
      <c r="N1" s="152"/>
    </row>
    <row r="2" spans="1:15" ht="24" customHeight="1">
      <c r="A2" s="153" t="s">
        <v>1</v>
      </c>
      <c r="B2" s="153"/>
      <c r="C2" s="153"/>
      <c r="D2" s="153"/>
      <c r="E2" s="153"/>
      <c r="F2" s="153"/>
      <c r="G2" s="153"/>
      <c r="H2" s="153"/>
      <c r="I2" s="153"/>
      <c r="J2" s="153"/>
      <c r="K2" s="153"/>
      <c r="L2" s="153"/>
      <c r="M2" s="153"/>
      <c r="N2" s="153"/>
    </row>
    <row r="3" spans="1:15" ht="24" customHeight="1"/>
    <row r="4" spans="1:15" ht="24" customHeight="1">
      <c r="A4" s="70" t="s">
        <v>2</v>
      </c>
      <c r="B4" s="71" t="s">
        <v>3</v>
      </c>
      <c r="C4" s="132" t="s">
        <v>4</v>
      </c>
      <c r="D4" s="133"/>
      <c r="E4" s="133"/>
      <c r="F4" s="133"/>
      <c r="G4" s="133"/>
      <c r="H4" s="133"/>
      <c r="I4" s="133"/>
      <c r="J4" s="133"/>
      <c r="K4" s="133"/>
      <c r="L4" s="133"/>
      <c r="M4" s="133"/>
      <c r="N4" s="136"/>
      <c r="O4" s="4" t="str">
        <f>IF(C4="","入力してください","")</f>
        <v/>
      </c>
    </row>
    <row r="5" spans="1:15" ht="7.5" customHeight="1">
      <c r="B5" s="71"/>
      <c r="C5" s="71"/>
      <c r="D5" s="71"/>
      <c r="E5" s="80"/>
      <c r="F5" s="93"/>
      <c r="G5" s="93"/>
      <c r="H5" s="93"/>
      <c r="I5" s="93"/>
      <c r="J5" s="93"/>
      <c r="K5" s="93"/>
      <c r="L5" s="93"/>
      <c r="M5" s="93"/>
      <c r="N5" s="93"/>
    </row>
    <row r="6" spans="1:15" ht="24" customHeight="1">
      <c r="A6" s="70" t="s">
        <v>5</v>
      </c>
      <c r="B6" s="71" t="s">
        <v>6</v>
      </c>
      <c r="C6" s="71"/>
      <c r="D6" s="132" t="s">
        <v>7</v>
      </c>
      <c r="E6" s="133"/>
      <c r="F6" s="133"/>
      <c r="G6" s="133"/>
      <c r="H6" s="136"/>
      <c r="I6" s="105" t="s">
        <v>8</v>
      </c>
      <c r="J6" s="93" t="s">
        <v>9</v>
      </c>
      <c r="K6" s="132" t="s">
        <v>10</v>
      </c>
      <c r="L6" s="133"/>
      <c r="M6" s="133"/>
      <c r="N6" s="136"/>
      <c r="O6" s="4" t="str">
        <f>IF(D6="","入力してください","")</f>
        <v/>
      </c>
    </row>
    <row r="7" spans="1:15" ht="7.5" customHeight="1">
      <c r="B7" s="71"/>
      <c r="C7" s="71"/>
      <c r="D7" s="71"/>
      <c r="E7" s="80"/>
      <c r="F7" s="93"/>
      <c r="G7" s="93"/>
      <c r="H7" s="93"/>
      <c r="I7" s="93"/>
      <c r="J7" s="93"/>
      <c r="K7" s="93"/>
      <c r="L7" s="93"/>
      <c r="M7" s="93"/>
      <c r="N7" s="93"/>
    </row>
    <row r="8" spans="1:15" ht="24" customHeight="1">
      <c r="A8" s="70" t="s">
        <v>11</v>
      </c>
      <c r="B8" s="71" t="s">
        <v>12</v>
      </c>
      <c r="C8" s="132" t="s">
        <v>13</v>
      </c>
      <c r="D8" s="133"/>
      <c r="E8" s="133"/>
      <c r="F8" s="133"/>
      <c r="G8" s="133"/>
      <c r="H8" s="133"/>
      <c r="I8" s="133"/>
      <c r="J8" s="133"/>
      <c r="K8" s="133"/>
      <c r="L8" s="133"/>
      <c r="M8" s="133"/>
      <c r="N8" s="136"/>
      <c r="O8" s="4" t="str">
        <f>IF(C8="","入力してください","")</f>
        <v/>
      </c>
    </row>
    <row r="9" spans="1:15" ht="7.5" customHeight="1">
      <c r="B9" s="71"/>
      <c r="C9" s="71"/>
      <c r="D9" s="71"/>
      <c r="E9" s="80"/>
      <c r="F9" s="93"/>
      <c r="G9" s="93"/>
      <c r="H9" s="93"/>
      <c r="I9" s="93"/>
      <c r="J9" s="93"/>
      <c r="K9" s="93"/>
      <c r="L9" s="93"/>
      <c r="M9" s="93"/>
      <c r="N9" s="93"/>
    </row>
    <row r="10" spans="1:15" ht="24" customHeight="1">
      <c r="A10" s="70" t="s">
        <v>14</v>
      </c>
      <c r="B10" s="71" t="s">
        <v>15</v>
      </c>
      <c r="C10" s="71"/>
      <c r="D10" s="71"/>
      <c r="E10" s="132" t="s">
        <v>206</v>
      </c>
      <c r="F10" s="133"/>
      <c r="G10" s="133"/>
      <c r="H10" s="133"/>
      <c r="I10" s="133"/>
      <c r="J10" s="133"/>
      <c r="K10" s="133"/>
      <c r="L10" s="133"/>
      <c r="M10" s="133"/>
      <c r="N10" s="136"/>
      <c r="O10" s="4" t="str">
        <f>IF(E10="","入力してください","")</f>
        <v/>
      </c>
    </row>
    <row r="11" spans="1:15" ht="7.5" customHeight="1">
      <c r="B11" s="80"/>
      <c r="C11" s="80"/>
      <c r="D11" s="80"/>
      <c r="E11" s="80"/>
      <c r="F11" s="93"/>
      <c r="G11" s="93"/>
      <c r="H11" s="93"/>
      <c r="I11" s="93"/>
      <c r="J11" s="93"/>
      <c r="K11" s="93"/>
      <c r="L11" s="93"/>
      <c r="M11" s="93"/>
      <c r="N11" s="93"/>
    </row>
    <row r="12" spans="1:15" ht="24" customHeight="1">
      <c r="A12" s="70" t="s">
        <v>16</v>
      </c>
      <c r="B12" s="80" t="s">
        <v>17</v>
      </c>
      <c r="C12" s="80"/>
      <c r="D12" s="80"/>
      <c r="E12" s="147" t="s">
        <v>18</v>
      </c>
      <c r="F12" s="148"/>
      <c r="G12" s="105" t="s">
        <v>19</v>
      </c>
      <c r="H12" s="70" t="s">
        <v>20</v>
      </c>
      <c r="N12" s="114" t="s">
        <v>21</v>
      </c>
      <c r="O12" s="4" t="str">
        <f>IF(E12="","入力してください","")</f>
        <v/>
      </c>
    </row>
    <row r="13" spans="1:15" ht="7.5" customHeight="1">
      <c r="B13" s="80"/>
      <c r="C13" s="80"/>
      <c r="D13" s="80"/>
      <c r="E13" s="80"/>
      <c r="F13" s="93"/>
      <c r="G13" s="93"/>
      <c r="H13" s="93"/>
      <c r="I13" s="93"/>
      <c r="J13" s="93"/>
      <c r="K13" s="93"/>
      <c r="L13" s="93"/>
      <c r="M13" s="93"/>
      <c r="N13" s="93"/>
    </row>
    <row r="14" spans="1:15" ht="24" customHeight="1">
      <c r="A14" s="70" t="s">
        <v>22</v>
      </c>
      <c r="B14" s="70" t="s">
        <v>23</v>
      </c>
      <c r="C14" s="149" t="s">
        <v>24</v>
      </c>
      <c r="D14" s="150"/>
      <c r="E14" s="137">
        <v>806</v>
      </c>
      <c r="F14" s="138"/>
      <c r="G14" s="106" t="s">
        <v>25</v>
      </c>
      <c r="I14" s="149" t="s">
        <v>26</v>
      </c>
      <c r="J14" s="150"/>
      <c r="K14" s="137">
        <v>1762</v>
      </c>
      <c r="L14" s="151"/>
      <c r="M14" s="138"/>
      <c r="N14" s="115" t="s">
        <v>25</v>
      </c>
      <c r="O14" s="4" t="str">
        <f>IF(OR(E14="",K14=""),"入力してください","")</f>
        <v/>
      </c>
    </row>
    <row r="15" spans="1:15" ht="7.5" customHeight="1">
      <c r="F15" s="107"/>
      <c r="G15" s="107"/>
      <c r="H15" s="107"/>
      <c r="I15" s="107"/>
      <c r="J15" s="107"/>
      <c r="K15" s="107"/>
      <c r="L15" s="107"/>
      <c r="M15" s="115"/>
      <c r="N15" s="115"/>
    </row>
    <row r="16" spans="1:15" ht="24" customHeight="1">
      <c r="A16" s="70" t="s">
        <v>27</v>
      </c>
      <c r="B16" s="70" t="s">
        <v>28</v>
      </c>
      <c r="F16" s="107"/>
      <c r="G16" s="107"/>
      <c r="H16" s="107"/>
      <c r="I16" s="107"/>
      <c r="J16" s="107"/>
      <c r="K16" s="140">
        <v>28</v>
      </c>
      <c r="L16" s="141"/>
      <c r="M16" s="142"/>
      <c r="N16" s="115" t="s">
        <v>25</v>
      </c>
      <c r="O16" s="4" t="str">
        <f>IF(K16="","入力してください","")</f>
        <v/>
      </c>
    </row>
    <row r="17" spans="1:15" ht="7.5" customHeight="1">
      <c r="F17" s="107"/>
      <c r="G17" s="107"/>
      <c r="H17" s="107"/>
      <c r="I17" s="107"/>
      <c r="J17" s="107"/>
      <c r="K17" s="107"/>
      <c r="L17" s="107"/>
      <c r="M17" s="115"/>
      <c r="N17" s="115"/>
    </row>
    <row r="18" spans="1:15" ht="24" customHeight="1">
      <c r="A18" s="70" t="s">
        <v>29</v>
      </c>
      <c r="B18" s="70" t="s">
        <v>30</v>
      </c>
      <c r="E18" s="137">
        <v>6522</v>
      </c>
      <c r="F18" s="138"/>
      <c r="G18" s="108" t="s">
        <v>25</v>
      </c>
      <c r="H18" s="107"/>
      <c r="K18" s="143"/>
      <c r="L18" s="143"/>
      <c r="M18" s="143"/>
      <c r="N18" s="143"/>
      <c r="O18" s="4" t="str">
        <f>IF(E18="","入力してください","")</f>
        <v/>
      </c>
    </row>
    <row r="19" spans="1:15" ht="7.5" customHeight="1">
      <c r="E19" s="109"/>
      <c r="F19" s="107"/>
      <c r="G19" s="107"/>
      <c r="L19" s="110"/>
      <c r="M19" s="110"/>
      <c r="N19" s="116"/>
    </row>
    <row r="20" spans="1:15" ht="24" customHeight="1">
      <c r="A20" s="70" t="s">
        <v>31</v>
      </c>
      <c r="B20" s="70" t="s">
        <v>32</v>
      </c>
      <c r="E20" s="109"/>
      <c r="F20" s="107"/>
      <c r="G20" s="107"/>
      <c r="H20" s="70" t="s">
        <v>33</v>
      </c>
      <c r="J20" s="144">
        <v>27736</v>
      </c>
      <c r="K20" s="145"/>
      <c r="L20" s="146"/>
      <c r="M20" s="110" t="s">
        <v>25</v>
      </c>
      <c r="N20" s="116"/>
      <c r="O20" s="4" t="str">
        <f>IF(J20="","入力してください","")</f>
        <v/>
      </c>
    </row>
    <row r="21" spans="1:15" ht="7.5" customHeight="1">
      <c r="E21" s="109"/>
      <c r="F21" s="107"/>
      <c r="G21" s="107"/>
      <c r="L21" s="110"/>
      <c r="M21" s="110"/>
      <c r="N21" s="116"/>
    </row>
    <row r="22" spans="1:15" ht="24" customHeight="1">
      <c r="B22" s="17" t="s">
        <v>34</v>
      </c>
      <c r="C22" s="137">
        <v>6661</v>
      </c>
      <c r="D22" s="138"/>
      <c r="E22" s="109" t="s">
        <v>25</v>
      </c>
      <c r="F22" s="107"/>
      <c r="G22" s="139" t="s">
        <v>35</v>
      </c>
      <c r="H22" s="139"/>
      <c r="I22" s="137">
        <v>6587</v>
      </c>
      <c r="J22" s="138"/>
      <c r="K22" s="105" t="s">
        <v>25</v>
      </c>
      <c r="M22" s="110"/>
      <c r="N22" s="116"/>
    </row>
    <row r="23" spans="1:15" ht="7.5" customHeight="1">
      <c r="B23" s="17"/>
      <c r="C23" s="111"/>
      <c r="D23" s="111"/>
      <c r="E23" s="109"/>
      <c r="F23" s="107"/>
      <c r="G23" s="110"/>
      <c r="H23" s="110"/>
      <c r="I23" s="111"/>
      <c r="J23" s="111"/>
      <c r="K23" s="105"/>
      <c r="M23" s="110"/>
      <c r="N23" s="116"/>
    </row>
    <row r="24" spans="1:15" ht="24" customHeight="1">
      <c r="B24" s="17" t="s">
        <v>36</v>
      </c>
      <c r="C24" s="137">
        <v>6697</v>
      </c>
      <c r="D24" s="138"/>
      <c r="E24" s="109" t="s">
        <v>25</v>
      </c>
      <c r="F24" s="107"/>
      <c r="G24" s="139" t="s">
        <v>37</v>
      </c>
      <c r="H24" s="139"/>
      <c r="I24" s="137">
        <v>7791</v>
      </c>
      <c r="J24" s="138"/>
      <c r="K24" s="105" t="s">
        <v>25</v>
      </c>
      <c r="M24" s="110"/>
      <c r="N24" s="116"/>
    </row>
    <row r="25" spans="1:15" ht="7.5" customHeight="1">
      <c r="B25" s="17"/>
      <c r="C25" s="111"/>
      <c r="D25" s="111"/>
      <c r="E25" s="109"/>
      <c r="F25" s="107"/>
      <c r="G25" s="110"/>
      <c r="H25" s="110"/>
      <c r="I25" s="111"/>
      <c r="J25" s="111"/>
      <c r="K25" s="105"/>
      <c r="M25" s="110"/>
      <c r="N25" s="116"/>
    </row>
    <row r="26" spans="1:15" ht="24" customHeight="1">
      <c r="B26" s="17" t="s">
        <v>38</v>
      </c>
      <c r="C26" s="137"/>
      <c r="D26" s="138"/>
      <c r="E26" s="109" t="s">
        <v>25</v>
      </c>
      <c r="F26" s="107"/>
      <c r="G26" s="139" t="s">
        <v>39</v>
      </c>
      <c r="H26" s="139"/>
      <c r="I26" s="137"/>
      <c r="J26" s="138"/>
      <c r="K26" s="105" t="s">
        <v>25</v>
      </c>
      <c r="M26" s="110"/>
      <c r="N26" s="116"/>
    </row>
    <row r="27" spans="1:15" ht="7.5" customHeight="1">
      <c r="F27" s="107"/>
      <c r="G27" s="107"/>
      <c r="M27" s="117"/>
      <c r="N27" s="117"/>
    </row>
    <row r="28" spans="1:15" ht="24" customHeight="1">
      <c r="A28" s="70" t="s">
        <v>40</v>
      </c>
      <c r="B28" s="71" t="s">
        <v>41</v>
      </c>
      <c r="C28" s="71"/>
      <c r="D28" s="71"/>
      <c r="E28" s="71"/>
      <c r="F28" s="105"/>
      <c r="G28" s="93"/>
      <c r="H28" s="93"/>
      <c r="I28" s="93"/>
      <c r="J28" s="103"/>
      <c r="K28" s="103"/>
      <c r="L28" s="103"/>
      <c r="M28" s="103"/>
      <c r="N28" s="103"/>
    </row>
    <row r="29" spans="1:15" ht="24" customHeight="1">
      <c r="B29" s="131" t="s">
        <v>42</v>
      </c>
      <c r="C29" s="131"/>
      <c r="D29" s="132" t="s">
        <v>43</v>
      </c>
      <c r="E29" s="133"/>
      <c r="F29" s="133"/>
      <c r="G29" s="134" t="s">
        <v>44</v>
      </c>
      <c r="H29" s="131"/>
      <c r="I29" s="135"/>
      <c r="J29" s="132" t="s">
        <v>45</v>
      </c>
      <c r="K29" s="133"/>
      <c r="L29" s="133"/>
      <c r="M29" s="133"/>
      <c r="N29" s="136"/>
      <c r="O29" s="4" t="str">
        <f>IF(OR(D29="",J29=""),"入力してください","")</f>
        <v/>
      </c>
    </row>
    <row r="30" spans="1:15" ht="7.5" customHeight="1">
      <c r="F30" s="107"/>
      <c r="G30" s="107"/>
      <c r="M30" s="117"/>
      <c r="N30" s="117"/>
    </row>
    <row r="31" spans="1:15" ht="24" customHeight="1">
      <c r="A31" s="70" t="s">
        <v>46</v>
      </c>
      <c r="B31" s="71" t="s">
        <v>47</v>
      </c>
      <c r="C31" s="71"/>
      <c r="D31" s="71"/>
      <c r="E31" s="71"/>
      <c r="F31" s="105"/>
      <c r="G31" s="103"/>
      <c r="H31" s="103"/>
      <c r="I31" s="103"/>
      <c r="J31" s="103"/>
      <c r="K31" s="103"/>
      <c r="L31" s="103"/>
      <c r="M31" s="103"/>
      <c r="N31" s="103"/>
    </row>
    <row r="32" spans="1:15" ht="24" customHeight="1">
      <c r="B32" s="132" t="s">
        <v>48</v>
      </c>
      <c r="C32" s="133"/>
      <c r="D32" s="133"/>
      <c r="E32" s="133"/>
      <c r="F32" s="133"/>
      <c r="G32" s="133"/>
      <c r="H32" s="133"/>
      <c r="I32" s="133"/>
      <c r="J32" s="133"/>
      <c r="K32" s="133"/>
      <c r="L32" s="133"/>
      <c r="M32" s="133"/>
      <c r="N32" s="136"/>
      <c r="O32" s="4" t="str">
        <f>IF(B32="","入力してください","")</f>
        <v/>
      </c>
    </row>
    <row r="33" spans="1:15" ht="7.5" customHeight="1">
      <c r="B33" s="94"/>
      <c r="C33" s="94"/>
      <c r="D33" s="94"/>
      <c r="E33" s="94"/>
      <c r="F33" s="94"/>
      <c r="G33" s="94"/>
      <c r="H33" s="94"/>
      <c r="I33" s="94"/>
      <c r="J33" s="94"/>
      <c r="K33" s="94"/>
      <c r="L33" s="94"/>
      <c r="M33" s="94"/>
      <c r="N33" s="94"/>
    </row>
    <row r="34" spans="1:15" ht="24" customHeight="1">
      <c r="B34" s="131" t="s">
        <v>42</v>
      </c>
      <c r="C34" s="131"/>
      <c r="D34" s="132" t="s">
        <v>49</v>
      </c>
      <c r="E34" s="133"/>
      <c r="F34" s="133"/>
      <c r="G34" s="134" t="s">
        <v>44</v>
      </c>
      <c r="H34" s="131"/>
      <c r="I34" s="135"/>
      <c r="J34" s="132" t="s">
        <v>50</v>
      </c>
      <c r="K34" s="133"/>
      <c r="L34" s="133"/>
      <c r="M34" s="133"/>
      <c r="N34" s="136"/>
      <c r="O34" s="4" t="str">
        <f>IF(OR(D34="",J34=""),"入力してください","")</f>
        <v/>
      </c>
    </row>
    <row r="35" spans="1:15" ht="7.5" customHeight="1">
      <c r="F35" s="93"/>
      <c r="G35" s="93"/>
      <c r="H35" s="93"/>
      <c r="I35" s="93"/>
      <c r="J35" s="93"/>
      <c r="K35" s="93"/>
      <c r="L35" s="93"/>
      <c r="M35" s="93"/>
      <c r="N35" s="93"/>
    </row>
    <row r="36" spans="1:15" ht="24" customHeight="1">
      <c r="A36" s="70" t="s">
        <v>51</v>
      </c>
      <c r="B36" s="70" t="s">
        <v>52</v>
      </c>
      <c r="M36" s="117"/>
      <c r="N36" s="117"/>
    </row>
    <row r="37" spans="1:15" ht="24" customHeight="1">
      <c r="B37" s="132" t="s">
        <v>48</v>
      </c>
      <c r="C37" s="133"/>
      <c r="D37" s="133"/>
      <c r="E37" s="133"/>
      <c r="F37" s="133"/>
      <c r="G37" s="133"/>
      <c r="H37" s="133"/>
      <c r="I37" s="133"/>
      <c r="J37" s="133"/>
      <c r="K37" s="133"/>
      <c r="L37" s="133"/>
      <c r="M37" s="133"/>
      <c r="N37" s="136"/>
      <c r="O37" s="4" t="str">
        <f>IF(B37="","入力してください","")</f>
        <v/>
      </c>
    </row>
    <row r="38" spans="1:15" ht="7.5" customHeight="1">
      <c r="F38" s="93"/>
      <c r="G38" s="93"/>
      <c r="H38" s="93"/>
      <c r="I38" s="93"/>
      <c r="J38" s="93"/>
      <c r="K38" s="93"/>
      <c r="L38" s="93"/>
      <c r="M38" s="93"/>
      <c r="N38" s="93"/>
    </row>
    <row r="39" spans="1:15" ht="24" customHeight="1">
      <c r="B39" s="131" t="s">
        <v>42</v>
      </c>
      <c r="C39" s="131"/>
      <c r="D39" s="132" t="s">
        <v>49</v>
      </c>
      <c r="E39" s="133"/>
      <c r="F39" s="133"/>
      <c r="G39" s="134" t="s">
        <v>44</v>
      </c>
      <c r="H39" s="131"/>
      <c r="I39" s="135"/>
      <c r="J39" s="132" t="s">
        <v>50</v>
      </c>
      <c r="K39" s="133"/>
      <c r="L39" s="133"/>
      <c r="M39" s="133"/>
      <c r="N39" s="136"/>
      <c r="O39" s="4" t="str">
        <f>IF(OR(D39="",J39=""),"入力してください","")</f>
        <v/>
      </c>
    </row>
    <row r="40" spans="1:15" ht="7.5" customHeight="1">
      <c r="F40" s="93"/>
      <c r="G40" s="93"/>
      <c r="H40" s="93"/>
      <c r="I40" s="93"/>
      <c r="J40" s="93"/>
      <c r="K40" s="93"/>
      <c r="L40" s="93"/>
      <c r="M40" s="93"/>
      <c r="N40" s="93"/>
    </row>
    <row r="41" spans="1:15" ht="24" customHeight="1">
      <c r="A41" s="70" t="s">
        <v>53</v>
      </c>
      <c r="B41" s="112" t="s">
        <v>54</v>
      </c>
      <c r="E41" s="104"/>
      <c r="F41" s="132" t="s">
        <v>55</v>
      </c>
      <c r="G41" s="133"/>
      <c r="H41" s="133"/>
      <c r="I41" s="133"/>
      <c r="J41" s="133"/>
      <c r="K41" s="133"/>
      <c r="L41" s="133"/>
      <c r="M41" s="133"/>
      <c r="N41" s="136"/>
      <c r="O41" s="4" t="str">
        <f>IF(F41="","入力してください","")</f>
        <v/>
      </c>
    </row>
    <row r="42" spans="1:15" ht="7.5" customHeight="1">
      <c r="F42" s="93"/>
      <c r="G42" s="93"/>
      <c r="H42" s="93"/>
      <c r="I42" s="93"/>
      <c r="J42" s="93"/>
      <c r="K42" s="93"/>
      <c r="L42" s="93"/>
      <c r="M42" s="93"/>
      <c r="N42" s="93"/>
    </row>
    <row r="43" spans="1:15" ht="24" customHeight="1">
      <c r="A43" s="70" t="s">
        <v>56</v>
      </c>
    </row>
    <row r="44" spans="1:15" ht="24" customHeight="1">
      <c r="B44" s="72" t="s">
        <v>57</v>
      </c>
      <c r="C44" s="120" t="s">
        <v>58</v>
      </c>
      <c r="D44" s="121"/>
      <c r="E44" s="121"/>
      <c r="F44" s="121"/>
      <c r="G44" s="121"/>
      <c r="H44" s="121"/>
      <c r="I44" s="95" t="s">
        <v>59</v>
      </c>
      <c r="J44" s="96"/>
      <c r="K44" s="122" t="s">
        <v>60</v>
      </c>
      <c r="L44" s="123"/>
      <c r="M44" s="123"/>
      <c r="N44" s="124"/>
      <c r="O44" s="4" t="str">
        <f>IF(OR(C44="",K44=""),"入力してください","")</f>
        <v/>
      </c>
    </row>
    <row r="45" spans="1:15" ht="24" customHeight="1">
      <c r="B45" s="113" t="s">
        <v>61</v>
      </c>
      <c r="C45" s="125" t="s">
        <v>62</v>
      </c>
      <c r="D45" s="126"/>
      <c r="E45" s="126"/>
      <c r="F45" s="126"/>
      <c r="G45" s="126"/>
      <c r="H45" s="127"/>
      <c r="I45" s="95" t="s">
        <v>63</v>
      </c>
      <c r="J45" s="96"/>
      <c r="K45" s="128" t="s">
        <v>64</v>
      </c>
      <c r="L45" s="129"/>
      <c r="M45" s="129"/>
      <c r="N45" s="130"/>
      <c r="O45" s="4" t="str">
        <f>IF(OR(C45="",K45=""),"入力してください","")</f>
        <v/>
      </c>
    </row>
  </sheetData>
  <mergeCells count="44">
    <mergeCell ref="M1:N1"/>
    <mergeCell ref="A2:N2"/>
    <mergeCell ref="C4:N4"/>
    <mergeCell ref="D6:H6"/>
    <mergeCell ref="K6:N6"/>
    <mergeCell ref="C8:N8"/>
    <mergeCell ref="E10:N10"/>
    <mergeCell ref="E12:F12"/>
    <mergeCell ref="C14:D14"/>
    <mergeCell ref="E14:F14"/>
    <mergeCell ref="I14:J14"/>
    <mergeCell ref="K14:M14"/>
    <mergeCell ref="K16:M16"/>
    <mergeCell ref="E18:F18"/>
    <mergeCell ref="K18:N18"/>
    <mergeCell ref="J20:L20"/>
    <mergeCell ref="C22:D22"/>
    <mergeCell ref="G22:H22"/>
    <mergeCell ref="I22:J22"/>
    <mergeCell ref="C24:D24"/>
    <mergeCell ref="G24:H24"/>
    <mergeCell ref="I24:J24"/>
    <mergeCell ref="C26:D26"/>
    <mergeCell ref="G26:H26"/>
    <mergeCell ref="I26:J26"/>
    <mergeCell ref="B29:C29"/>
    <mergeCell ref="D29:F29"/>
    <mergeCell ref="G29:I29"/>
    <mergeCell ref="J29:N29"/>
    <mergeCell ref="B32:N32"/>
    <mergeCell ref="B34:C34"/>
    <mergeCell ref="D34:F34"/>
    <mergeCell ref="G34:I34"/>
    <mergeCell ref="J34:N34"/>
    <mergeCell ref="B37:N37"/>
    <mergeCell ref="C44:H44"/>
    <mergeCell ref="K44:N44"/>
    <mergeCell ref="C45:H45"/>
    <mergeCell ref="K45:N45"/>
    <mergeCell ref="B39:C39"/>
    <mergeCell ref="D39:F39"/>
    <mergeCell ref="G39:I39"/>
    <mergeCell ref="J39:N39"/>
    <mergeCell ref="F41:N41"/>
  </mergeCells>
  <phoneticPr fontId="20"/>
  <dataValidations count="3">
    <dataValidation type="list" allowBlank="1" showInputMessage="1" showErrorMessage="1" sqref="K6">
      <formula1>"国立大学, 公立大学, 私立大学, 短期大学, 高等専門学校, その他"</formula1>
    </dataValidation>
    <dataValidation type="list" allowBlank="1" showInputMessage="1" showErrorMessage="1" sqref="N12">
      <formula1>"有,無"</formula1>
    </dataValidation>
    <dataValidation type="list" allowBlank="1" showInputMessage="1" showErrorMessage="1" sqref="F41:N41">
      <formula1>"認定教育プログラム,認定教育プログラム+（プラス）,認定教育プログラムと認定教育プログラム+（プラス）"</formula1>
    </dataValidation>
  </dataValidations>
  <hyperlinks>
    <hyperlink ref="C45" r:id="rId1"/>
  </hyperlinks>
  <printOptions horizontalCentered="1"/>
  <pageMargins left="0.78680555555555598" right="0.78680555555555598" top="0.78680555555555598" bottom="0.39305555555555599" header="0.31388888888888899" footer="0.31388888888888899"/>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98"/>
  <sheetViews>
    <sheetView showZeros="0" tabSelected="1" view="pageBreakPreview" zoomScaleNormal="100" zoomScaleSheetLayoutView="100" workbookViewId="0">
      <selection activeCell="AB62" sqref="AB62"/>
    </sheetView>
  </sheetViews>
  <sheetFormatPr defaultColWidth="9" defaultRowHeight="18.75" customHeight="1"/>
  <cols>
    <col min="1" max="1" width="2.44140625" style="70" customWidth="1"/>
    <col min="2" max="2" width="27.77734375" style="70" customWidth="1"/>
    <col min="3" max="13" width="3.33203125" style="70" customWidth="1"/>
    <col min="14" max="14" width="8.88671875" style="70" customWidth="1"/>
    <col min="15" max="15" width="18.88671875" style="70" customWidth="1"/>
    <col min="16" max="19" width="3.33203125" style="70" customWidth="1"/>
    <col min="20" max="20" width="3.44140625" style="70" customWidth="1"/>
    <col min="21" max="26" width="3.33203125" style="70" customWidth="1"/>
    <col min="27" max="16384" width="9" style="70"/>
  </cols>
  <sheetData>
    <row r="1" spans="1:26" ht="15" customHeight="1">
      <c r="W1" s="265" t="s">
        <v>65</v>
      </c>
      <c r="X1" s="265"/>
      <c r="Y1" s="265"/>
      <c r="Z1" s="265"/>
    </row>
    <row r="2" spans="1:26" ht="18" customHeight="1">
      <c r="A2" s="266" t="s">
        <v>66</v>
      </c>
      <c r="B2" s="266"/>
      <c r="C2" s="266"/>
      <c r="D2" s="266"/>
      <c r="E2" s="266"/>
      <c r="F2" s="266"/>
      <c r="G2" s="266"/>
      <c r="H2" s="266"/>
      <c r="I2" s="266"/>
      <c r="J2" s="266"/>
      <c r="K2" s="266"/>
      <c r="L2" s="266"/>
      <c r="M2" s="266"/>
      <c r="N2" s="266"/>
      <c r="O2" s="266"/>
      <c r="P2" s="266"/>
      <c r="Q2" s="266"/>
      <c r="R2" s="266"/>
      <c r="S2" s="266"/>
      <c r="T2" s="266"/>
      <c r="U2" s="266"/>
      <c r="V2" s="266"/>
      <c r="W2" s="266"/>
      <c r="X2" s="266"/>
      <c r="Y2" s="266"/>
      <c r="Z2" s="266"/>
    </row>
    <row r="3" spans="1:26" ht="15" customHeight="1">
      <c r="B3" s="17"/>
      <c r="C3" s="17"/>
      <c r="D3" s="17"/>
      <c r="E3" s="17"/>
      <c r="F3" s="17"/>
      <c r="G3" s="17"/>
      <c r="H3" s="17"/>
      <c r="I3" s="17"/>
      <c r="J3" s="17"/>
      <c r="K3" s="17"/>
      <c r="L3" s="17"/>
      <c r="M3" s="17"/>
      <c r="N3" s="17"/>
      <c r="O3" s="17"/>
      <c r="P3" s="17"/>
      <c r="Q3" s="17"/>
      <c r="R3" s="17"/>
      <c r="S3" s="17"/>
      <c r="T3" s="17"/>
      <c r="U3" s="17"/>
      <c r="V3" s="17"/>
      <c r="W3" s="17"/>
      <c r="X3" s="17"/>
      <c r="Y3" s="17"/>
      <c r="Z3" s="17"/>
    </row>
    <row r="4" spans="1:26" ht="18" customHeight="1">
      <c r="A4" s="70" t="s">
        <v>67</v>
      </c>
      <c r="B4" s="17"/>
      <c r="C4" s="17"/>
      <c r="D4" s="17"/>
      <c r="E4" s="17"/>
      <c r="F4" s="17"/>
      <c r="G4" s="17"/>
      <c r="H4" s="71" t="s">
        <v>68</v>
      </c>
      <c r="I4" s="17"/>
      <c r="J4" s="17"/>
      <c r="K4" s="17"/>
      <c r="L4" s="17"/>
      <c r="M4" s="17"/>
      <c r="N4" s="17"/>
      <c r="O4" s="140" t="s">
        <v>69</v>
      </c>
      <c r="P4" s="141"/>
      <c r="Q4" s="141"/>
      <c r="R4" s="141"/>
      <c r="S4" s="141"/>
      <c r="T4" s="141"/>
      <c r="U4" s="141"/>
      <c r="V4" s="141"/>
      <c r="W4" s="141"/>
      <c r="X4" s="141"/>
      <c r="Y4" s="141"/>
      <c r="Z4" s="142"/>
    </row>
    <row r="5" spans="1:26" ht="6" customHeight="1">
      <c r="B5" s="17"/>
      <c r="C5" s="17"/>
      <c r="D5" s="17"/>
      <c r="E5" s="17"/>
      <c r="F5" s="17"/>
      <c r="G5" s="17"/>
      <c r="H5" s="17"/>
      <c r="I5" s="17"/>
      <c r="J5" s="17"/>
      <c r="K5" s="17"/>
      <c r="L5" s="17"/>
      <c r="M5" s="17"/>
      <c r="N5" s="17"/>
      <c r="O5" s="80"/>
      <c r="P5" s="17"/>
      <c r="Q5" s="17"/>
      <c r="R5" s="17"/>
      <c r="S5" s="17"/>
      <c r="T5" s="17"/>
      <c r="U5" s="17"/>
      <c r="V5" s="17"/>
      <c r="W5" s="17"/>
      <c r="X5" s="17"/>
      <c r="Y5" s="17"/>
      <c r="Z5" s="17"/>
    </row>
    <row r="6" spans="1:26" ht="18" customHeight="1">
      <c r="B6" s="155" t="s">
        <v>70</v>
      </c>
      <c r="C6" s="156"/>
      <c r="D6" s="156"/>
      <c r="E6" s="156"/>
      <c r="F6" s="156"/>
      <c r="G6" s="156"/>
      <c r="H6" s="156"/>
      <c r="I6" s="156"/>
      <c r="J6" s="156"/>
      <c r="K6" s="156"/>
      <c r="L6" s="156"/>
      <c r="M6" s="156"/>
      <c r="N6" s="156"/>
      <c r="O6" s="156"/>
      <c r="P6" s="156"/>
      <c r="Q6" s="156"/>
      <c r="R6" s="156"/>
      <c r="S6" s="156"/>
      <c r="T6" s="156"/>
      <c r="U6" s="156"/>
      <c r="V6" s="156"/>
      <c r="W6" s="156"/>
      <c r="X6" s="156"/>
      <c r="Y6" s="156"/>
      <c r="Z6" s="157"/>
    </row>
    <row r="7" spans="1:26" ht="18" customHeight="1">
      <c r="B7" s="158"/>
      <c r="C7" s="159"/>
      <c r="D7" s="159"/>
      <c r="E7" s="159"/>
      <c r="F7" s="159"/>
      <c r="G7" s="159"/>
      <c r="H7" s="159"/>
      <c r="I7" s="159"/>
      <c r="J7" s="159"/>
      <c r="K7" s="159"/>
      <c r="L7" s="159"/>
      <c r="M7" s="159"/>
      <c r="N7" s="159"/>
      <c r="O7" s="159"/>
      <c r="P7" s="159"/>
      <c r="Q7" s="159"/>
      <c r="R7" s="159"/>
      <c r="S7" s="159"/>
      <c r="T7" s="159"/>
      <c r="U7" s="159"/>
      <c r="V7" s="159"/>
      <c r="W7" s="159"/>
      <c r="X7" s="159"/>
      <c r="Y7" s="159"/>
      <c r="Z7" s="160"/>
    </row>
    <row r="8" spans="1:26" ht="18" customHeight="1">
      <c r="B8" s="158"/>
      <c r="C8" s="159"/>
      <c r="D8" s="159"/>
      <c r="E8" s="159"/>
      <c r="F8" s="159"/>
      <c r="G8" s="159"/>
      <c r="H8" s="159"/>
      <c r="I8" s="159"/>
      <c r="J8" s="159"/>
      <c r="K8" s="159"/>
      <c r="L8" s="159"/>
      <c r="M8" s="159"/>
      <c r="N8" s="159"/>
      <c r="O8" s="159"/>
      <c r="P8" s="159"/>
      <c r="Q8" s="159"/>
      <c r="R8" s="159"/>
      <c r="S8" s="159"/>
      <c r="T8" s="159"/>
      <c r="U8" s="159"/>
      <c r="V8" s="159"/>
      <c r="W8" s="159"/>
      <c r="X8" s="159"/>
      <c r="Y8" s="159"/>
      <c r="Z8" s="160"/>
    </row>
    <row r="9" spans="1:26" ht="18" customHeight="1">
      <c r="B9" s="158"/>
      <c r="C9" s="159"/>
      <c r="D9" s="159"/>
      <c r="E9" s="159"/>
      <c r="F9" s="159"/>
      <c r="G9" s="159"/>
      <c r="H9" s="159"/>
      <c r="I9" s="159"/>
      <c r="J9" s="159"/>
      <c r="K9" s="159"/>
      <c r="L9" s="159"/>
      <c r="M9" s="159"/>
      <c r="N9" s="159"/>
      <c r="O9" s="159"/>
      <c r="P9" s="159"/>
      <c r="Q9" s="159"/>
      <c r="R9" s="159"/>
      <c r="S9" s="159"/>
      <c r="T9" s="159"/>
      <c r="U9" s="159"/>
      <c r="V9" s="159"/>
      <c r="W9" s="159"/>
      <c r="X9" s="159"/>
      <c r="Y9" s="159"/>
      <c r="Z9" s="160"/>
    </row>
    <row r="10" spans="1:26" ht="18" customHeight="1">
      <c r="B10" s="158"/>
      <c r="C10" s="161"/>
      <c r="D10" s="161"/>
      <c r="E10" s="161"/>
      <c r="F10" s="161"/>
      <c r="G10" s="161"/>
      <c r="H10" s="161"/>
      <c r="I10" s="161"/>
      <c r="J10" s="161"/>
      <c r="K10" s="161"/>
      <c r="L10" s="161"/>
      <c r="M10" s="161"/>
      <c r="N10" s="161"/>
      <c r="O10" s="161"/>
      <c r="P10" s="161"/>
      <c r="Q10" s="161"/>
      <c r="R10" s="161"/>
      <c r="S10" s="161"/>
      <c r="T10" s="161"/>
      <c r="U10" s="161"/>
      <c r="V10" s="161"/>
      <c r="W10" s="161"/>
      <c r="X10" s="161"/>
      <c r="Y10" s="161"/>
      <c r="Z10" s="160"/>
    </row>
    <row r="11" spans="1:26" ht="18" customHeight="1">
      <c r="B11" s="162"/>
      <c r="C11" s="163"/>
      <c r="D11" s="163"/>
      <c r="E11" s="163"/>
      <c r="F11" s="163"/>
      <c r="G11" s="163"/>
      <c r="H11" s="163"/>
      <c r="I11" s="163"/>
      <c r="J11" s="163"/>
      <c r="K11" s="163"/>
      <c r="L11" s="163"/>
      <c r="M11" s="163"/>
      <c r="N11" s="163"/>
      <c r="O11" s="163"/>
      <c r="P11" s="163"/>
      <c r="Q11" s="163"/>
      <c r="R11" s="163"/>
      <c r="S11" s="163"/>
      <c r="T11" s="163"/>
      <c r="U11" s="163"/>
      <c r="V11" s="163"/>
      <c r="W11" s="163"/>
      <c r="X11" s="163"/>
      <c r="Y11" s="163"/>
      <c r="Z11" s="164"/>
    </row>
    <row r="12" spans="1:26" ht="7.5" customHeight="1">
      <c r="B12" s="17"/>
      <c r="C12" s="17"/>
      <c r="D12" s="17"/>
      <c r="E12" s="17"/>
      <c r="F12" s="17"/>
      <c r="G12" s="17"/>
      <c r="H12" s="17"/>
      <c r="I12" s="17"/>
      <c r="J12" s="17"/>
      <c r="K12" s="17"/>
      <c r="L12" s="17"/>
      <c r="M12" s="17"/>
      <c r="N12" s="17"/>
      <c r="O12" s="17"/>
      <c r="P12" s="17"/>
      <c r="Q12" s="17"/>
      <c r="R12" s="17"/>
      <c r="S12" s="17"/>
      <c r="T12" s="17"/>
      <c r="U12" s="17"/>
      <c r="V12" s="17"/>
      <c r="W12" s="17"/>
      <c r="X12" s="17"/>
      <c r="Y12" s="17"/>
      <c r="Z12" s="17"/>
    </row>
    <row r="13" spans="1:26" ht="18" customHeight="1">
      <c r="A13" s="154" t="s">
        <v>71</v>
      </c>
      <c r="B13" s="154"/>
      <c r="C13" s="154"/>
      <c r="D13" s="154"/>
      <c r="E13" s="154"/>
      <c r="F13" s="154"/>
      <c r="G13" s="154"/>
      <c r="H13" s="154"/>
      <c r="I13" s="154"/>
      <c r="J13" s="154"/>
      <c r="K13" s="154"/>
      <c r="L13" s="154"/>
      <c r="M13" s="154"/>
      <c r="N13" s="154"/>
      <c r="O13" s="154"/>
      <c r="P13" s="154"/>
      <c r="Q13" s="154"/>
      <c r="R13" s="154"/>
      <c r="S13" s="154"/>
      <c r="T13" s="154"/>
      <c r="U13" s="154"/>
      <c r="V13" s="154"/>
      <c r="W13" s="154"/>
      <c r="X13" s="154"/>
      <c r="Y13" s="154"/>
      <c r="Z13" s="154"/>
    </row>
    <row r="14" spans="1:26" ht="18" customHeight="1">
      <c r="A14" s="154"/>
      <c r="B14" s="154"/>
      <c r="C14" s="154"/>
      <c r="D14" s="154"/>
      <c r="E14" s="154"/>
      <c r="F14" s="154"/>
      <c r="G14" s="154"/>
      <c r="H14" s="154"/>
      <c r="I14" s="154"/>
      <c r="J14" s="154"/>
      <c r="K14" s="154"/>
      <c r="L14" s="154"/>
      <c r="M14" s="154"/>
      <c r="N14" s="154"/>
      <c r="O14" s="154"/>
      <c r="P14" s="154"/>
      <c r="Q14" s="154"/>
      <c r="R14" s="154"/>
      <c r="S14" s="154"/>
      <c r="T14" s="154"/>
      <c r="U14" s="154"/>
      <c r="V14" s="154"/>
      <c r="W14" s="154"/>
      <c r="X14" s="154"/>
      <c r="Y14" s="154"/>
      <c r="Z14" s="154"/>
    </row>
    <row r="15" spans="1:26" ht="18" customHeight="1">
      <c r="B15" s="140" t="s">
        <v>72</v>
      </c>
      <c r="C15" s="141"/>
      <c r="D15" s="141"/>
      <c r="E15" s="141"/>
      <c r="F15" s="142"/>
      <c r="G15" s="72" t="s">
        <v>73</v>
      </c>
      <c r="H15" s="73" t="s">
        <v>74</v>
      </c>
      <c r="I15" s="141" t="s">
        <v>75</v>
      </c>
      <c r="J15" s="141"/>
      <c r="K15" s="141"/>
      <c r="L15" s="81" t="s">
        <v>76</v>
      </c>
      <c r="M15" s="81" t="s">
        <v>77</v>
      </c>
      <c r="N15" s="140" t="s">
        <v>72</v>
      </c>
      <c r="O15" s="141"/>
      <c r="P15" s="141"/>
      <c r="Q15" s="141"/>
      <c r="R15" s="141"/>
      <c r="S15" s="142"/>
      <c r="T15" s="72" t="s">
        <v>73</v>
      </c>
      <c r="U15" s="73" t="s">
        <v>74</v>
      </c>
      <c r="V15" s="141" t="s">
        <v>75</v>
      </c>
      <c r="W15" s="141"/>
      <c r="X15" s="141"/>
      <c r="Y15" s="81" t="s">
        <v>76</v>
      </c>
      <c r="Z15" s="81" t="s">
        <v>77</v>
      </c>
    </row>
    <row r="16" spans="1:26" ht="18" customHeight="1">
      <c r="B16" s="262" t="s">
        <v>78</v>
      </c>
      <c r="C16" s="263"/>
      <c r="D16" s="263"/>
      <c r="E16" s="263"/>
      <c r="F16" s="264"/>
      <c r="G16" s="74">
        <v>2</v>
      </c>
      <c r="H16" s="74" t="s">
        <v>80</v>
      </c>
      <c r="I16" s="253" t="s">
        <v>79</v>
      </c>
      <c r="J16" s="254"/>
      <c r="K16" s="255"/>
      <c r="L16" s="83" t="s">
        <v>80</v>
      </c>
      <c r="M16" s="83" t="s">
        <v>80</v>
      </c>
      <c r="N16" s="229"/>
      <c r="O16" s="230"/>
      <c r="P16" s="230"/>
      <c r="Q16" s="230"/>
      <c r="R16" s="230"/>
      <c r="S16" s="231"/>
      <c r="T16" s="74"/>
      <c r="U16" s="74"/>
      <c r="V16" s="253"/>
      <c r="W16" s="254"/>
      <c r="X16" s="255"/>
      <c r="Y16" s="74"/>
      <c r="Z16" s="74"/>
    </row>
    <row r="17" spans="1:26" ht="18" customHeight="1">
      <c r="B17" s="256" t="s">
        <v>81</v>
      </c>
      <c r="C17" s="257"/>
      <c r="D17" s="257"/>
      <c r="E17" s="257"/>
      <c r="F17" s="258"/>
      <c r="G17" s="75">
        <v>2</v>
      </c>
      <c r="H17" s="75" t="s">
        <v>80</v>
      </c>
      <c r="I17" s="241" t="s">
        <v>79</v>
      </c>
      <c r="J17" s="242"/>
      <c r="K17" s="243"/>
      <c r="L17" s="85" t="s">
        <v>80</v>
      </c>
      <c r="M17" s="86" t="s">
        <v>80</v>
      </c>
      <c r="N17" s="183"/>
      <c r="O17" s="184"/>
      <c r="P17" s="184"/>
      <c r="Q17" s="184"/>
      <c r="R17" s="184"/>
      <c r="S17" s="185"/>
      <c r="T17" s="75"/>
      <c r="U17" s="75"/>
      <c r="V17" s="241"/>
      <c r="W17" s="242"/>
      <c r="X17" s="243"/>
      <c r="Y17" s="75"/>
      <c r="Z17" s="75"/>
    </row>
    <row r="18" spans="1:26" ht="18" customHeight="1">
      <c r="B18" s="256"/>
      <c r="C18" s="257"/>
      <c r="D18" s="257"/>
      <c r="E18" s="257"/>
      <c r="F18" s="258"/>
      <c r="G18" s="75"/>
      <c r="H18" s="75"/>
      <c r="I18" s="241"/>
      <c r="J18" s="242"/>
      <c r="K18" s="243"/>
      <c r="L18" s="75"/>
      <c r="M18" s="75"/>
      <c r="N18" s="183"/>
      <c r="O18" s="184"/>
      <c r="P18" s="184"/>
      <c r="Q18" s="184"/>
      <c r="R18" s="184"/>
      <c r="S18" s="185"/>
      <c r="T18" s="75"/>
      <c r="U18" s="75"/>
      <c r="V18" s="241"/>
      <c r="W18" s="242"/>
      <c r="X18" s="243"/>
      <c r="Y18" s="75"/>
      <c r="Z18" s="75"/>
    </row>
    <row r="19" spans="1:26" ht="18" customHeight="1">
      <c r="B19" s="256"/>
      <c r="C19" s="257"/>
      <c r="D19" s="257"/>
      <c r="E19" s="257"/>
      <c r="F19" s="258"/>
      <c r="G19" s="75"/>
      <c r="H19" s="75"/>
      <c r="I19" s="241"/>
      <c r="J19" s="242"/>
      <c r="K19" s="243"/>
      <c r="L19" s="75"/>
      <c r="M19" s="75"/>
      <c r="N19" s="183"/>
      <c r="O19" s="184"/>
      <c r="P19" s="184"/>
      <c r="Q19" s="184"/>
      <c r="R19" s="184"/>
      <c r="S19" s="185"/>
      <c r="T19" s="75"/>
      <c r="U19" s="75"/>
      <c r="V19" s="241"/>
      <c r="W19" s="242"/>
      <c r="X19" s="243"/>
      <c r="Y19" s="75"/>
      <c r="Z19" s="75"/>
    </row>
    <row r="20" spans="1:26" ht="18" customHeight="1">
      <c r="B20" s="256"/>
      <c r="C20" s="257"/>
      <c r="D20" s="257"/>
      <c r="E20" s="257"/>
      <c r="F20" s="258"/>
      <c r="G20" s="75"/>
      <c r="H20" s="75"/>
      <c r="I20" s="241"/>
      <c r="J20" s="242"/>
      <c r="K20" s="243"/>
      <c r="L20" s="75"/>
      <c r="M20" s="75"/>
      <c r="N20" s="183"/>
      <c r="O20" s="184"/>
      <c r="P20" s="184"/>
      <c r="Q20" s="184"/>
      <c r="R20" s="184"/>
      <c r="S20" s="185"/>
      <c r="T20" s="75"/>
      <c r="U20" s="75"/>
      <c r="V20" s="241"/>
      <c r="W20" s="242"/>
      <c r="X20" s="243"/>
      <c r="Y20" s="75"/>
      <c r="Z20" s="75"/>
    </row>
    <row r="21" spans="1:26" ht="18" customHeight="1">
      <c r="A21" s="17"/>
      <c r="B21" s="256"/>
      <c r="C21" s="257"/>
      <c r="D21" s="257"/>
      <c r="E21" s="257"/>
      <c r="F21" s="258"/>
      <c r="G21" s="75"/>
      <c r="H21" s="75"/>
      <c r="I21" s="241"/>
      <c r="J21" s="242"/>
      <c r="K21" s="243"/>
      <c r="L21" s="75"/>
      <c r="M21" s="75"/>
      <c r="N21" s="183"/>
      <c r="O21" s="184"/>
      <c r="P21" s="184"/>
      <c r="Q21" s="184"/>
      <c r="R21" s="184"/>
      <c r="S21" s="185"/>
      <c r="T21" s="75"/>
      <c r="U21" s="75"/>
      <c r="V21" s="241"/>
      <c r="W21" s="242"/>
      <c r="X21" s="243"/>
      <c r="Y21" s="75"/>
      <c r="Z21" s="75"/>
    </row>
    <row r="22" spans="1:26" ht="18" customHeight="1">
      <c r="A22" s="17"/>
      <c r="B22" s="259"/>
      <c r="C22" s="260"/>
      <c r="D22" s="260"/>
      <c r="E22" s="260"/>
      <c r="F22" s="261"/>
      <c r="G22" s="76"/>
      <c r="H22" s="76"/>
      <c r="I22" s="244"/>
      <c r="J22" s="245"/>
      <c r="K22" s="246"/>
      <c r="L22" s="88"/>
      <c r="M22" s="88"/>
      <c r="N22" s="177"/>
      <c r="O22" s="178"/>
      <c r="P22" s="178"/>
      <c r="Q22" s="178"/>
      <c r="R22" s="178"/>
      <c r="S22" s="179"/>
      <c r="T22" s="76"/>
      <c r="U22" s="76"/>
      <c r="V22" s="244"/>
      <c r="W22" s="245"/>
      <c r="X22" s="246"/>
      <c r="Y22" s="88"/>
      <c r="Z22" s="88"/>
    </row>
    <row r="23" spans="1:26" ht="7.5" customHeight="1">
      <c r="A23" s="17"/>
      <c r="B23" s="77"/>
      <c r="C23" s="77"/>
      <c r="D23" s="17"/>
      <c r="E23" s="17"/>
      <c r="F23" s="17"/>
      <c r="G23" s="17"/>
      <c r="H23" s="17"/>
      <c r="I23" s="17"/>
      <c r="J23" s="17"/>
      <c r="K23" s="17"/>
      <c r="L23" s="77"/>
      <c r="M23" s="77"/>
      <c r="N23" s="77"/>
      <c r="O23" s="77"/>
      <c r="P23" s="77"/>
      <c r="Q23" s="77"/>
      <c r="R23" s="77"/>
      <c r="S23" s="77"/>
      <c r="T23" s="77"/>
      <c r="U23" s="77"/>
      <c r="V23" s="77"/>
      <c r="W23" s="77"/>
      <c r="X23" s="77"/>
      <c r="Y23" s="77"/>
      <c r="Z23" s="17"/>
    </row>
    <row r="24" spans="1:26" ht="18" customHeight="1">
      <c r="A24" s="154" t="s">
        <v>82</v>
      </c>
      <c r="B24" s="154"/>
      <c r="C24" s="154"/>
      <c r="D24" s="154"/>
      <c r="E24" s="154"/>
      <c r="F24" s="154"/>
      <c r="G24" s="154"/>
      <c r="H24" s="154"/>
      <c r="I24" s="154"/>
      <c r="J24" s="154"/>
      <c r="K24" s="154"/>
      <c r="L24" s="154"/>
      <c r="M24" s="154"/>
      <c r="N24" s="154"/>
      <c r="O24" s="154"/>
      <c r="P24" s="154"/>
      <c r="Q24" s="154"/>
      <c r="R24" s="154"/>
      <c r="S24" s="154"/>
      <c r="T24" s="154"/>
      <c r="U24" s="154"/>
      <c r="V24" s="154"/>
      <c r="W24" s="154"/>
      <c r="X24" s="154"/>
      <c r="Y24" s="154"/>
      <c r="Z24" s="154"/>
    </row>
    <row r="25" spans="1:26" ht="18" customHeight="1">
      <c r="A25" s="154"/>
      <c r="B25" s="154"/>
      <c r="C25" s="154"/>
      <c r="D25" s="154"/>
      <c r="E25" s="154"/>
      <c r="F25" s="154"/>
      <c r="G25" s="154"/>
      <c r="H25" s="154"/>
      <c r="I25" s="154"/>
      <c r="J25" s="154"/>
      <c r="K25" s="154"/>
      <c r="L25" s="154"/>
      <c r="M25" s="154"/>
      <c r="N25" s="154"/>
      <c r="O25" s="154"/>
      <c r="P25" s="154"/>
      <c r="Q25" s="154"/>
      <c r="R25" s="154"/>
      <c r="S25" s="154"/>
      <c r="T25" s="154"/>
      <c r="U25" s="154"/>
      <c r="V25" s="154"/>
      <c r="W25" s="154"/>
      <c r="X25" s="154"/>
      <c r="Y25" s="154"/>
      <c r="Z25" s="154"/>
    </row>
    <row r="26" spans="1:26" ht="18" customHeight="1">
      <c r="B26" s="140" t="s">
        <v>72</v>
      </c>
      <c r="C26" s="141"/>
      <c r="D26" s="141"/>
      <c r="E26" s="141"/>
      <c r="F26" s="142"/>
      <c r="G26" s="72" t="s">
        <v>73</v>
      </c>
      <c r="H26" s="73" t="s">
        <v>74</v>
      </c>
      <c r="I26" s="141" t="s">
        <v>75</v>
      </c>
      <c r="J26" s="141"/>
      <c r="K26" s="141"/>
      <c r="L26" s="81" t="s">
        <v>83</v>
      </c>
      <c r="M26" s="81" t="s">
        <v>84</v>
      </c>
      <c r="N26" s="140" t="s">
        <v>72</v>
      </c>
      <c r="O26" s="141"/>
      <c r="P26" s="141"/>
      <c r="Q26" s="141"/>
      <c r="R26" s="141"/>
      <c r="S26" s="142"/>
      <c r="T26" s="72" t="s">
        <v>73</v>
      </c>
      <c r="U26" s="73" t="s">
        <v>74</v>
      </c>
      <c r="V26" s="141" t="s">
        <v>75</v>
      </c>
      <c r="W26" s="141"/>
      <c r="X26" s="141"/>
      <c r="Y26" s="81" t="s">
        <v>83</v>
      </c>
      <c r="Z26" s="81" t="s">
        <v>84</v>
      </c>
    </row>
    <row r="27" spans="1:26" ht="18" customHeight="1">
      <c r="B27" s="262" t="s">
        <v>78</v>
      </c>
      <c r="C27" s="263"/>
      <c r="D27" s="263"/>
      <c r="E27" s="263"/>
      <c r="F27" s="264"/>
      <c r="G27" s="74">
        <v>2</v>
      </c>
      <c r="H27" s="74" t="s">
        <v>80</v>
      </c>
      <c r="I27" s="253" t="s">
        <v>79</v>
      </c>
      <c r="J27" s="254"/>
      <c r="K27" s="255"/>
      <c r="L27" s="83" t="s">
        <v>80</v>
      </c>
      <c r="M27" s="83" t="s">
        <v>80</v>
      </c>
      <c r="N27" s="229"/>
      <c r="O27" s="230"/>
      <c r="P27" s="230"/>
      <c r="Q27" s="230"/>
      <c r="R27" s="230"/>
      <c r="S27" s="231"/>
      <c r="T27" s="74"/>
      <c r="U27" s="74"/>
      <c r="V27" s="253"/>
      <c r="W27" s="254"/>
      <c r="X27" s="255"/>
      <c r="Y27" s="74"/>
      <c r="Z27" s="74"/>
    </row>
    <row r="28" spans="1:26" ht="18" customHeight="1">
      <c r="B28" s="256" t="s">
        <v>81</v>
      </c>
      <c r="C28" s="257"/>
      <c r="D28" s="257"/>
      <c r="E28" s="257"/>
      <c r="F28" s="258"/>
      <c r="G28" s="75">
        <v>2</v>
      </c>
      <c r="H28" s="75" t="s">
        <v>80</v>
      </c>
      <c r="I28" s="241" t="s">
        <v>79</v>
      </c>
      <c r="J28" s="242"/>
      <c r="K28" s="243"/>
      <c r="L28" s="85" t="s">
        <v>80</v>
      </c>
      <c r="M28" s="85" t="s">
        <v>80</v>
      </c>
      <c r="N28" s="183"/>
      <c r="O28" s="184"/>
      <c r="P28" s="184"/>
      <c r="Q28" s="184"/>
      <c r="R28" s="184"/>
      <c r="S28" s="185"/>
      <c r="T28" s="75"/>
      <c r="U28" s="75"/>
      <c r="V28" s="241"/>
      <c r="W28" s="242"/>
      <c r="X28" s="243"/>
      <c r="Y28" s="75"/>
      <c r="Z28" s="75"/>
    </row>
    <row r="29" spans="1:26" ht="18" customHeight="1">
      <c r="B29" s="256"/>
      <c r="C29" s="257"/>
      <c r="D29" s="257"/>
      <c r="E29" s="257"/>
      <c r="F29" s="258"/>
      <c r="G29" s="75"/>
      <c r="H29" s="75"/>
      <c r="I29" s="241"/>
      <c r="J29" s="242"/>
      <c r="K29" s="243"/>
      <c r="L29" s="75"/>
      <c r="M29" s="75"/>
      <c r="N29" s="183"/>
      <c r="O29" s="184"/>
      <c r="P29" s="184"/>
      <c r="Q29" s="184"/>
      <c r="R29" s="184"/>
      <c r="S29" s="185"/>
      <c r="T29" s="75"/>
      <c r="U29" s="75"/>
      <c r="V29" s="241"/>
      <c r="W29" s="242"/>
      <c r="X29" s="243"/>
      <c r="Y29" s="75"/>
      <c r="Z29" s="75"/>
    </row>
    <row r="30" spans="1:26" ht="18" customHeight="1">
      <c r="B30" s="256"/>
      <c r="C30" s="257"/>
      <c r="D30" s="257"/>
      <c r="E30" s="257"/>
      <c r="F30" s="258"/>
      <c r="G30" s="75"/>
      <c r="H30" s="75"/>
      <c r="I30" s="241"/>
      <c r="J30" s="242"/>
      <c r="K30" s="243"/>
      <c r="L30" s="75"/>
      <c r="M30" s="75"/>
      <c r="N30" s="183"/>
      <c r="O30" s="184"/>
      <c r="P30" s="184"/>
      <c r="Q30" s="184"/>
      <c r="R30" s="184"/>
      <c r="S30" s="185"/>
      <c r="T30" s="75"/>
      <c r="U30" s="75"/>
      <c r="V30" s="241"/>
      <c r="W30" s="242"/>
      <c r="X30" s="243"/>
      <c r="Y30" s="75"/>
      <c r="Z30" s="75"/>
    </row>
    <row r="31" spans="1:26" ht="18" customHeight="1">
      <c r="B31" s="256"/>
      <c r="C31" s="257"/>
      <c r="D31" s="257"/>
      <c r="E31" s="257"/>
      <c r="F31" s="258"/>
      <c r="G31" s="75"/>
      <c r="H31" s="75"/>
      <c r="I31" s="241"/>
      <c r="J31" s="242"/>
      <c r="K31" s="243"/>
      <c r="L31" s="75"/>
      <c r="M31" s="75"/>
      <c r="N31" s="183"/>
      <c r="O31" s="184"/>
      <c r="P31" s="184"/>
      <c r="Q31" s="184"/>
      <c r="R31" s="184"/>
      <c r="S31" s="185"/>
      <c r="T31" s="75"/>
      <c r="U31" s="75"/>
      <c r="V31" s="241"/>
      <c r="W31" s="242"/>
      <c r="X31" s="243"/>
      <c r="Y31" s="75"/>
      <c r="Z31" s="75"/>
    </row>
    <row r="32" spans="1:26" ht="18" customHeight="1">
      <c r="B32" s="256"/>
      <c r="C32" s="257"/>
      <c r="D32" s="257"/>
      <c r="E32" s="257"/>
      <c r="F32" s="258"/>
      <c r="G32" s="75"/>
      <c r="H32" s="75"/>
      <c r="I32" s="241"/>
      <c r="J32" s="242"/>
      <c r="K32" s="243"/>
      <c r="L32" s="75"/>
      <c r="M32" s="75"/>
      <c r="N32" s="183"/>
      <c r="O32" s="184"/>
      <c r="P32" s="184"/>
      <c r="Q32" s="184"/>
      <c r="R32" s="184"/>
      <c r="S32" s="185"/>
      <c r="T32" s="75"/>
      <c r="U32" s="75"/>
      <c r="V32" s="241"/>
      <c r="W32" s="242"/>
      <c r="X32" s="243"/>
      <c r="Y32" s="75"/>
      <c r="Z32" s="75"/>
    </row>
    <row r="33" spans="1:26" ht="18" customHeight="1">
      <c r="B33" s="259"/>
      <c r="C33" s="260"/>
      <c r="D33" s="260"/>
      <c r="E33" s="260"/>
      <c r="F33" s="261"/>
      <c r="G33" s="76"/>
      <c r="H33" s="76"/>
      <c r="I33" s="244"/>
      <c r="J33" s="245"/>
      <c r="K33" s="246"/>
      <c r="L33" s="88"/>
      <c r="M33" s="88"/>
      <c r="N33" s="177"/>
      <c r="O33" s="178"/>
      <c r="P33" s="178"/>
      <c r="Q33" s="178"/>
      <c r="R33" s="178"/>
      <c r="S33" s="179"/>
      <c r="T33" s="76"/>
      <c r="U33" s="76"/>
      <c r="V33" s="244"/>
      <c r="W33" s="245"/>
      <c r="X33" s="246"/>
      <c r="Y33" s="88"/>
      <c r="Z33" s="88"/>
    </row>
    <row r="34" spans="1:26" ht="7.5" customHeight="1">
      <c r="A34" s="17"/>
      <c r="B34" s="77"/>
      <c r="C34" s="77"/>
      <c r="D34" s="17"/>
      <c r="E34" s="17"/>
      <c r="F34" s="17"/>
      <c r="G34" s="17"/>
      <c r="H34" s="17"/>
      <c r="I34" s="17"/>
      <c r="J34" s="17"/>
      <c r="K34" s="17"/>
      <c r="L34" s="77"/>
      <c r="M34" s="77"/>
      <c r="N34" s="77"/>
      <c r="O34" s="77"/>
      <c r="P34" s="77"/>
      <c r="Q34" s="77"/>
      <c r="R34" s="77"/>
      <c r="S34" s="77"/>
      <c r="T34" s="77"/>
      <c r="U34" s="77"/>
      <c r="V34" s="77"/>
      <c r="W34" s="77"/>
      <c r="X34" s="77"/>
      <c r="Y34" s="77"/>
      <c r="Z34" s="17"/>
    </row>
    <row r="35" spans="1:26" ht="18" customHeight="1">
      <c r="A35" s="154" t="s">
        <v>85</v>
      </c>
      <c r="B35" s="154"/>
      <c r="C35" s="154"/>
      <c r="D35" s="154"/>
      <c r="E35" s="154"/>
      <c r="F35" s="154"/>
      <c r="G35" s="154"/>
      <c r="H35" s="154"/>
      <c r="I35" s="154"/>
      <c r="J35" s="154"/>
      <c r="K35" s="154"/>
      <c r="L35" s="154"/>
      <c r="M35" s="154"/>
      <c r="N35" s="154"/>
      <c r="O35" s="154"/>
      <c r="P35" s="154"/>
      <c r="Q35" s="154"/>
      <c r="R35" s="154"/>
      <c r="S35" s="154"/>
      <c r="T35" s="154"/>
      <c r="U35" s="154"/>
      <c r="V35" s="154"/>
      <c r="W35" s="154"/>
      <c r="X35" s="154"/>
      <c r="Y35" s="154"/>
      <c r="Z35" s="154"/>
    </row>
    <row r="36" spans="1:26" ht="18" customHeight="1">
      <c r="A36" s="154"/>
      <c r="B36" s="154"/>
      <c r="C36" s="154"/>
      <c r="D36" s="154"/>
      <c r="E36" s="154"/>
      <c r="F36" s="154"/>
      <c r="G36" s="154"/>
      <c r="H36" s="154"/>
      <c r="I36" s="154"/>
      <c r="J36" s="154"/>
      <c r="K36" s="154"/>
      <c r="L36" s="154"/>
      <c r="M36" s="154"/>
      <c r="N36" s="154"/>
      <c r="O36" s="154"/>
      <c r="P36" s="154"/>
      <c r="Q36" s="154"/>
      <c r="R36" s="154"/>
      <c r="S36" s="154"/>
      <c r="T36" s="154"/>
      <c r="U36" s="154"/>
      <c r="V36" s="154"/>
      <c r="W36" s="154"/>
      <c r="X36" s="154"/>
      <c r="Y36" s="154"/>
      <c r="Z36" s="154"/>
    </row>
    <row r="37" spans="1:26" ht="18" customHeight="1">
      <c r="B37" s="140" t="s">
        <v>72</v>
      </c>
      <c r="C37" s="141"/>
      <c r="D37" s="141"/>
      <c r="E37" s="141"/>
      <c r="F37" s="142"/>
      <c r="G37" s="72" t="s">
        <v>73</v>
      </c>
      <c r="H37" s="73" t="s">
        <v>74</v>
      </c>
      <c r="I37" s="140" t="s">
        <v>75</v>
      </c>
      <c r="J37" s="141"/>
      <c r="K37" s="142"/>
      <c r="L37" s="81" t="s">
        <v>86</v>
      </c>
      <c r="M37" s="81" t="s">
        <v>87</v>
      </c>
      <c r="N37" s="140" t="s">
        <v>72</v>
      </c>
      <c r="O37" s="141"/>
      <c r="P37" s="141"/>
      <c r="Q37" s="141"/>
      <c r="R37" s="141"/>
      <c r="S37" s="142"/>
      <c r="T37" s="72" t="s">
        <v>73</v>
      </c>
      <c r="U37" s="73" t="s">
        <v>74</v>
      </c>
      <c r="V37" s="140" t="s">
        <v>75</v>
      </c>
      <c r="W37" s="141"/>
      <c r="X37" s="142"/>
      <c r="Y37" s="81" t="s">
        <v>86</v>
      </c>
      <c r="Z37" s="81" t="s">
        <v>87</v>
      </c>
    </row>
    <row r="38" spans="1:26" ht="18" customHeight="1">
      <c r="A38" s="17"/>
      <c r="B38" s="262" t="s">
        <v>78</v>
      </c>
      <c r="C38" s="263"/>
      <c r="D38" s="263"/>
      <c r="E38" s="263"/>
      <c r="F38" s="264"/>
      <c r="G38" s="74">
        <v>2</v>
      </c>
      <c r="H38" s="74" t="s">
        <v>80</v>
      </c>
      <c r="I38" s="253" t="s">
        <v>79</v>
      </c>
      <c r="J38" s="254"/>
      <c r="K38" s="255"/>
      <c r="L38" s="83" t="s">
        <v>80</v>
      </c>
      <c r="M38" s="83" t="s">
        <v>80</v>
      </c>
      <c r="N38" s="229"/>
      <c r="O38" s="230"/>
      <c r="P38" s="230"/>
      <c r="Q38" s="230"/>
      <c r="R38" s="230"/>
      <c r="S38" s="231"/>
      <c r="T38" s="74"/>
      <c r="U38" s="74"/>
      <c r="V38" s="253"/>
      <c r="W38" s="254"/>
      <c r="X38" s="255"/>
      <c r="Y38" s="74"/>
      <c r="Z38" s="74"/>
    </row>
    <row r="39" spans="1:26" ht="18" customHeight="1">
      <c r="A39" s="17"/>
      <c r="B39" s="256" t="s">
        <v>81</v>
      </c>
      <c r="C39" s="257"/>
      <c r="D39" s="257"/>
      <c r="E39" s="257"/>
      <c r="F39" s="258"/>
      <c r="G39" s="75">
        <v>2</v>
      </c>
      <c r="H39" s="75" t="s">
        <v>80</v>
      </c>
      <c r="I39" s="241" t="s">
        <v>79</v>
      </c>
      <c r="J39" s="242"/>
      <c r="K39" s="243"/>
      <c r="L39" s="85" t="s">
        <v>80</v>
      </c>
      <c r="M39" s="85" t="s">
        <v>80</v>
      </c>
      <c r="N39" s="183"/>
      <c r="O39" s="184"/>
      <c r="P39" s="184"/>
      <c r="Q39" s="184"/>
      <c r="R39" s="184"/>
      <c r="S39" s="185"/>
      <c r="T39" s="75"/>
      <c r="U39" s="75"/>
      <c r="V39" s="241"/>
      <c r="W39" s="242"/>
      <c r="X39" s="243"/>
      <c r="Y39" s="75"/>
      <c r="Z39" s="75"/>
    </row>
    <row r="40" spans="1:26" ht="18" customHeight="1">
      <c r="A40" s="17"/>
      <c r="B40" s="256"/>
      <c r="C40" s="257"/>
      <c r="D40" s="257"/>
      <c r="E40" s="257"/>
      <c r="F40" s="258"/>
      <c r="G40" s="75"/>
      <c r="H40" s="75"/>
      <c r="I40" s="241"/>
      <c r="J40" s="242"/>
      <c r="K40" s="243"/>
      <c r="L40" s="75"/>
      <c r="M40" s="75"/>
      <c r="N40" s="183"/>
      <c r="O40" s="184"/>
      <c r="P40" s="184"/>
      <c r="Q40" s="184"/>
      <c r="R40" s="184"/>
      <c r="S40" s="185"/>
      <c r="T40" s="75"/>
      <c r="U40" s="75"/>
      <c r="V40" s="241"/>
      <c r="W40" s="242"/>
      <c r="X40" s="243"/>
      <c r="Y40" s="75"/>
      <c r="Z40" s="75"/>
    </row>
    <row r="41" spans="1:26" ht="18" customHeight="1">
      <c r="A41" s="17"/>
      <c r="B41" s="256"/>
      <c r="C41" s="257"/>
      <c r="D41" s="257"/>
      <c r="E41" s="257"/>
      <c r="F41" s="258"/>
      <c r="G41" s="75"/>
      <c r="H41" s="75"/>
      <c r="I41" s="241"/>
      <c r="J41" s="242"/>
      <c r="K41" s="243"/>
      <c r="L41" s="75"/>
      <c r="M41" s="75"/>
      <c r="N41" s="183"/>
      <c r="O41" s="184"/>
      <c r="P41" s="184"/>
      <c r="Q41" s="184"/>
      <c r="R41" s="184"/>
      <c r="S41" s="185"/>
      <c r="T41" s="75"/>
      <c r="U41" s="75"/>
      <c r="V41" s="241"/>
      <c r="W41" s="242"/>
      <c r="X41" s="243"/>
      <c r="Y41" s="75"/>
      <c r="Z41" s="75"/>
    </row>
    <row r="42" spans="1:26" ht="18" customHeight="1">
      <c r="A42" s="17"/>
      <c r="B42" s="256"/>
      <c r="C42" s="257"/>
      <c r="D42" s="257"/>
      <c r="E42" s="257"/>
      <c r="F42" s="258"/>
      <c r="G42" s="75"/>
      <c r="H42" s="75"/>
      <c r="I42" s="241"/>
      <c r="J42" s="242"/>
      <c r="K42" s="243"/>
      <c r="L42" s="75"/>
      <c r="M42" s="75"/>
      <c r="N42" s="183"/>
      <c r="O42" s="184"/>
      <c r="P42" s="184"/>
      <c r="Q42" s="184"/>
      <c r="R42" s="184"/>
      <c r="S42" s="185"/>
      <c r="T42" s="75"/>
      <c r="U42" s="75"/>
      <c r="V42" s="241"/>
      <c r="W42" s="242"/>
      <c r="X42" s="243"/>
      <c r="Y42" s="75"/>
      <c r="Z42" s="75"/>
    </row>
    <row r="43" spans="1:26" ht="18" customHeight="1">
      <c r="A43" s="17"/>
      <c r="B43" s="256"/>
      <c r="C43" s="257"/>
      <c r="D43" s="257"/>
      <c r="E43" s="257"/>
      <c r="F43" s="258"/>
      <c r="G43" s="75"/>
      <c r="H43" s="75"/>
      <c r="I43" s="241"/>
      <c r="J43" s="242"/>
      <c r="K43" s="243"/>
      <c r="L43" s="75"/>
      <c r="M43" s="75"/>
      <c r="N43" s="183"/>
      <c r="O43" s="184"/>
      <c r="P43" s="184"/>
      <c r="Q43" s="184"/>
      <c r="R43" s="184"/>
      <c r="S43" s="185"/>
      <c r="T43" s="75"/>
      <c r="U43" s="75"/>
      <c r="V43" s="241"/>
      <c r="W43" s="242"/>
      <c r="X43" s="243"/>
      <c r="Y43" s="75"/>
      <c r="Z43" s="75"/>
    </row>
    <row r="44" spans="1:26" ht="18" customHeight="1">
      <c r="A44" s="17"/>
      <c r="B44" s="259"/>
      <c r="C44" s="260"/>
      <c r="D44" s="260"/>
      <c r="E44" s="260"/>
      <c r="F44" s="261"/>
      <c r="G44" s="76"/>
      <c r="H44" s="76"/>
      <c r="I44" s="244"/>
      <c r="J44" s="245"/>
      <c r="K44" s="246"/>
      <c r="L44" s="88"/>
      <c r="M44" s="88"/>
      <c r="N44" s="177"/>
      <c r="O44" s="178"/>
      <c r="P44" s="178"/>
      <c r="Q44" s="178"/>
      <c r="R44" s="178"/>
      <c r="S44" s="179"/>
      <c r="T44" s="76"/>
      <c r="U44" s="76"/>
      <c r="V44" s="244"/>
      <c r="W44" s="245"/>
      <c r="X44" s="246"/>
      <c r="Y44" s="88"/>
      <c r="Z44" s="88"/>
    </row>
    <row r="45" spans="1:26" ht="7.5" customHeight="1">
      <c r="B45" s="78"/>
      <c r="C45" s="78"/>
      <c r="D45" s="78"/>
      <c r="E45" s="78"/>
      <c r="F45" s="78"/>
      <c r="G45" s="78"/>
      <c r="H45" s="78"/>
      <c r="I45" s="78"/>
      <c r="J45" s="78"/>
      <c r="K45" s="78"/>
      <c r="L45" s="78"/>
      <c r="M45" s="78"/>
      <c r="N45" s="78"/>
      <c r="O45" s="78"/>
      <c r="P45" s="78"/>
      <c r="Q45" s="78"/>
      <c r="R45" s="78"/>
      <c r="S45" s="78"/>
      <c r="T45" s="78"/>
      <c r="U45" s="78"/>
      <c r="V45" s="78"/>
      <c r="W45" s="78"/>
      <c r="X45" s="78"/>
      <c r="Y45" s="78"/>
    </row>
    <row r="46" spans="1:26" ht="18" customHeight="1">
      <c r="A46" s="154" t="s">
        <v>88</v>
      </c>
      <c r="B46" s="154"/>
      <c r="C46" s="154"/>
      <c r="D46" s="154"/>
      <c r="E46" s="154"/>
      <c r="F46" s="154"/>
      <c r="G46" s="154"/>
      <c r="H46" s="154"/>
      <c r="I46" s="154"/>
      <c r="J46" s="154"/>
      <c r="K46" s="154"/>
      <c r="L46" s="154"/>
      <c r="M46" s="154"/>
      <c r="N46" s="154"/>
      <c r="O46" s="154"/>
      <c r="P46" s="154"/>
      <c r="Q46" s="154"/>
      <c r="R46" s="154"/>
      <c r="S46" s="154"/>
      <c r="T46" s="154"/>
      <c r="U46" s="154"/>
      <c r="V46" s="154"/>
      <c r="W46" s="154"/>
      <c r="X46" s="154"/>
      <c r="Y46" s="154"/>
      <c r="Z46" s="154"/>
    </row>
    <row r="47" spans="1:26" ht="18" customHeight="1">
      <c r="A47" s="154"/>
      <c r="B47" s="154"/>
      <c r="C47" s="154"/>
      <c r="D47" s="154"/>
      <c r="E47" s="154"/>
      <c r="F47" s="154"/>
      <c r="G47" s="154"/>
      <c r="H47" s="154"/>
      <c r="I47" s="154"/>
      <c r="J47" s="154"/>
      <c r="K47" s="154"/>
      <c r="L47" s="154"/>
      <c r="M47" s="154"/>
      <c r="N47" s="154"/>
      <c r="O47" s="154"/>
      <c r="P47" s="154"/>
      <c r="Q47" s="154"/>
      <c r="R47" s="154"/>
      <c r="S47" s="154"/>
      <c r="T47" s="154"/>
      <c r="U47" s="154"/>
      <c r="V47" s="154"/>
      <c r="W47" s="154"/>
      <c r="X47" s="154"/>
      <c r="Y47" s="154"/>
      <c r="Z47" s="154"/>
    </row>
    <row r="48" spans="1:26" ht="18" customHeight="1">
      <c r="B48" s="140" t="s">
        <v>72</v>
      </c>
      <c r="C48" s="141"/>
      <c r="D48" s="141"/>
      <c r="E48" s="141"/>
      <c r="F48" s="142"/>
      <c r="G48" s="72" t="s">
        <v>73</v>
      </c>
      <c r="H48" s="73" t="s">
        <v>74</v>
      </c>
      <c r="I48" s="140" t="s">
        <v>75</v>
      </c>
      <c r="J48" s="141"/>
      <c r="K48" s="142"/>
      <c r="L48" s="81" t="s">
        <v>89</v>
      </c>
      <c r="M48" s="81" t="s">
        <v>90</v>
      </c>
      <c r="N48" s="140" t="s">
        <v>72</v>
      </c>
      <c r="O48" s="141"/>
      <c r="P48" s="141"/>
      <c r="Q48" s="141"/>
      <c r="R48" s="141"/>
      <c r="S48" s="142"/>
      <c r="T48" s="72" t="s">
        <v>73</v>
      </c>
      <c r="U48" s="73" t="s">
        <v>74</v>
      </c>
      <c r="V48" s="140" t="s">
        <v>75</v>
      </c>
      <c r="W48" s="141"/>
      <c r="X48" s="142"/>
      <c r="Y48" s="81" t="s">
        <v>89</v>
      </c>
      <c r="Z48" s="81" t="s">
        <v>90</v>
      </c>
    </row>
    <row r="49" spans="1:31" ht="18" customHeight="1">
      <c r="A49" s="17"/>
      <c r="B49" s="262" t="s">
        <v>78</v>
      </c>
      <c r="C49" s="263"/>
      <c r="D49" s="263"/>
      <c r="E49" s="263"/>
      <c r="F49" s="264"/>
      <c r="G49" s="74">
        <v>2</v>
      </c>
      <c r="H49" s="74" t="s">
        <v>80</v>
      </c>
      <c r="I49" s="253" t="s">
        <v>79</v>
      </c>
      <c r="J49" s="254"/>
      <c r="K49" s="255"/>
      <c r="L49" s="83" t="s">
        <v>80</v>
      </c>
      <c r="M49" s="83" t="s">
        <v>80</v>
      </c>
      <c r="N49" s="229"/>
      <c r="O49" s="230"/>
      <c r="P49" s="230"/>
      <c r="Q49" s="230"/>
      <c r="R49" s="230"/>
      <c r="S49" s="231"/>
      <c r="T49" s="74"/>
      <c r="U49" s="74"/>
      <c r="V49" s="253"/>
      <c r="W49" s="254"/>
      <c r="X49" s="255"/>
      <c r="Y49" s="74"/>
      <c r="Z49" s="74"/>
    </row>
    <row r="50" spans="1:31" ht="18" customHeight="1">
      <c r="A50" s="17"/>
      <c r="B50" s="256" t="s">
        <v>81</v>
      </c>
      <c r="C50" s="257"/>
      <c r="D50" s="257"/>
      <c r="E50" s="257"/>
      <c r="F50" s="258"/>
      <c r="G50" s="75">
        <v>2</v>
      </c>
      <c r="H50" s="75" t="s">
        <v>80</v>
      </c>
      <c r="I50" s="241" t="s">
        <v>79</v>
      </c>
      <c r="J50" s="242"/>
      <c r="K50" s="243"/>
      <c r="L50" s="86" t="s">
        <v>80</v>
      </c>
      <c r="M50" s="86"/>
      <c r="N50" s="183"/>
      <c r="O50" s="184"/>
      <c r="P50" s="184"/>
      <c r="Q50" s="184"/>
      <c r="R50" s="184"/>
      <c r="S50" s="185"/>
      <c r="T50" s="75"/>
      <c r="U50" s="75"/>
      <c r="V50" s="241"/>
      <c r="W50" s="242"/>
      <c r="X50" s="243"/>
      <c r="Y50" s="75"/>
      <c r="Z50" s="75"/>
    </row>
    <row r="51" spans="1:31" ht="18" customHeight="1">
      <c r="A51" s="17"/>
      <c r="B51" s="256"/>
      <c r="C51" s="257"/>
      <c r="D51" s="257"/>
      <c r="E51" s="257"/>
      <c r="F51" s="258"/>
      <c r="G51" s="75"/>
      <c r="H51" s="75"/>
      <c r="I51" s="241"/>
      <c r="J51" s="242"/>
      <c r="K51" s="243"/>
      <c r="L51" s="75"/>
      <c r="M51" s="75"/>
      <c r="N51" s="183"/>
      <c r="O51" s="184"/>
      <c r="P51" s="184"/>
      <c r="Q51" s="184"/>
      <c r="R51" s="184"/>
      <c r="S51" s="185"/>
      <c r="T51" s="75"/>
      <c r="U51" s="75"/>
      <c r="V51" s="241"/>
      <c r="W51" s="242"/>
      <c r="X51" s="243"/>
      <c r="Y51" s="75"/>
      <c r="Z51" s="75"/>
    </row>
    <row r="52" spans="1:31" ht="18" customHeight="1">
      <c r="A52" s="17"/>
      <c r="B52" s="256"/>
      <c r="C52" s="257"/>
      <c r="D52" s="257"/>
      <c r="E52" s="257"/>
      <c r="F52" s="258"/>
      <c r="G52" s="75"/>
      <c r="H52" s="75"/>
      <c r="I52" s="241"/>
      <c r="J52" s="242"/>
      <c r="K52" s="243"/>
      <c r="L52" s="75"/>
      <c r="M52" s="75"/>
      <c r="N52" s="183"/>
      <c r="O52" s="184"/>
      <c r="P52" s="184"/>
      <c r="Q52" s="184"/>
      <c r="R52" s="184"/>
      <c r="S52" s="185"/>
      <c r="T52" s="75"/>
      <c r="U52" s="75"/>
      <c r="V52" s="241"/>
      <c r="W52" s="242"/>
      <c r="X52" s="243"/>
      <c r="Y52" s="75"/>
      <c r="Z52" s="75"/>
    </row>
    <row r="53" spans="1:31" ht="18" customHeight="1">
      <c r="A53" s="17"/>
      <c r="B53" s="256"/>
      <c r="C53" s="257"/>
      <c r="D53" s="257"/>
      <c r="E53" s="257"/>
      <c r="F53" s="258"/>
      <c r="G53" s="75"/>
      <c r="H53" s="75"/>
      <c r="I53" s="241"/>
      <c r="J53" s="242"/>
      <c r="K53" s="243"/>
      <c r="L53" s="75"/>
      <c r="M53" s="75"/>
      <c r="N53" s="183"/>
      <c r="O53" s="184"/>
      <c r="P53" s="184"/>
      <c r="Q53" s="184"/>
      <c r="R53" s="184"/>
      <c r="S53" s="185"/>
      <c r="T53" s="75"/>
      <c r="U53" s="75"/>
      <c r="V53" s="241"/>
      <c r="W53" s="242"/>
      <c r="X53" s="243"/>
      <c r="Y53" s="75"/>
      <c r="Z53" s="75"/>
    </row>
    <row r="54" spans="1:31" ht="18" customHeight="1">
      <c r="A54" s="17"/>
      <c r="B54" s="256"/>
      <c r="C54" s="257"/>
      <c r="D54" s="257"/>
      <c r="E54" s="257"/>
      <c r="F54" s="258"/>
      <c r="G54" s="75"/>
      <c r="H54" s="75"/>
      <c r="I54" s="241"/>
      <c r="J54" s="242"/>
      <c r="K54" s="243"/>
      <c r="L54" s="75"/>
      <c r="M54" s="75"/>
      <c r="N54" s="183"/>
      <c r="O54" s="184"/>
      <c r="P54" s="184"/>
      <c r="Q54" s="184"/>
      <c r="R54" s="184"/>
      <c r="S54" s="185"/>
      <c r="T54" s="75"/>
      <c r="U54" s="75"/>
      <c r="V54" s="241"/>
      <c r="W54" s="242"/>
      <c r="X54" s="243"/>
      <c r="Y54" s="75"/>
      <c r="Z54" s="75"/>
    </row>
    <row r="55" spans="1:31" ht="18" customHeight="1">
      <c r="A55" s="17"/>
      <c r="B55" s="259"/>
      <c r="C55" s="260"/>
      <c r="D55" s="260"/>
      <c r="E55" s="260"/>
      <c r="F55" s="261"/>
      <c r="G55" s="76"/>
      <c r="H55" s="76"/>
      <c r="I55" s="244"/>
      <c r="J55" s="245"/>
      <c r="K55" s="246"/>
      <c r="L55" s="88"/>
      <c r="M55" s="88"/>
      <c r="N55" s="177"/>
      <c r="O55" s="178"/>
      <c r="P55" s="178"/>
      <c r="Q55" s="178"/>
      <c r="R55" s="178"/>
      <c r="S55" s="179"/>
      <c r="T55" s="76"/>
      <c r="U55" s="76"/>
      <c r="V55" s="244"/>
      <c r="W55" s="245"/>
      <c r="X55" s="246"/>
      <c r="Y55" s="88"/>
      <c r="Z55" s="88"/>
    </row>
    <row r="56" spans="1:31" ht="7.5" customHeight="1">
      <c r="B56" s="78"/>
      <c r="C56" s="78"/>
      <c r="D56" s="78"/>
      <c r="E56" s="78"/>
      <c r="F56" s="78"/>
      <c r="G56" s="78"/>
      <c r="H56" s="78"/>
      <c r="I56" s="78"/>
      <c r="J56" s="78"/>
      <c r="K56" s="78"/>
      <c r="L56" s="78"/>
      <c r="M56" s="78"/>
      <c r="N56" s="78"/>
      <c r="O56" s="78"/>
      <c r="P56" s="78"/>
      <c r="Q56" s="78"/>
      <c r="R56" s="78"/>
      <c r="S56" s="78"/>
      <c r="T56" s="78"/>
      <c r="U56" s="78"/>
      <c r="V56" s="78"/>
      <c r="W56" s="78"/>
      <c r="X56" s="78"/>
      <c r="Y56" s="78"/>
    </row>
    <row r="57" spans="1:31" ht="18" customHeight="1">
      <c r="A57" s="154" t="s">
        <v>91</v>
      </c>
      <c r="B57" s="154"/>
      <c r="C57" s="154"/>
      <c r="D57" s="154"/>
      <c r="E57" s="154"/>
      <c r="F57" s="154"/>
      <c r="G57" s="154"/>
      <c r="H57" s="154"/>
      <c r="I57" s="154"/>
      <c r="J57" s="154"/>
      <c r="K57" s="154"/>
      <c r="L57" s="154"/>
      <c r="M57" s="154"/>
      <c r="N57" s="154"/>
      <c r="O57" s="154"/>
      <c r="P57" s="154"/>
      <c r="Q57" s="154"/>
      <c r="R57" s="154"/>
      <c r="S57" s="154"/>
      <c r="T57" s="154"/>
      <c r="U57" s="154"/>
      <c r="V57" s="154"/>
      <c r="W57" s="154"/>
      <c r="X57" s="154"/>
      <c r="Y57" s="154"/>
      <c r="Z57" s="154"/>
    </row>
    <row r="58" spans="1:31" ht="18" customHeight="1">
      <c r="A58" s="154"/>
      <c r="B58" s="154"/>
      <c r="C58" s="154"/>
      <c r="D58" s="154"/>
      <c r="E58" s="154"/>
      <c r="F58" s="154"/>
      <c r="G58" s="154"/>
      <c r="H58" s="154"/>
      <c r="I58" s="154"/>
      <c r="J58" s="154"/>
      <c r="K58" s="154"/>
      <c r="L58" s="154"/>
      <c r="M58" s="154"/>
      <c r="N58" s="154"/>
      <c r="O58" s="154"/>
      <c r="P58" s="154"/>
      <c r="Q58" s="154"/>
      <c r="R58" s="154"/>
      <c r="S58" s="154"/>
      <c r="T58" s="154"/>
      <c r="U58" s="154"/>
      <c r="V58" s="154"/>
      <c r="W58" s="154"/>
      <c r="X58" s="154"/>
      <c r="Y58" s="154"/>
      <c r="Z58" s="154"/>
    </row>
    <row r="59" spans="1:31" ht="18" customHeight="1">
      <c r="B59" s="140" t="s">
        <v>72</v>
      </c>
      <c r="C59" s="141"/>
      <c r="D59" s="141"/>
      <c r="E59" s="142"/>
      <c r="F59" s="72" t="s">
        <v>73</v>
      </c>
      <c r="G59" s="73" t="s">
        <v>74</v>
      </c>
      <c r="H59" s="79" t="s">
        <v>75</v>
      </c>
      <c r="I59" s="89"/>
      <c r="J59" s="90"/>
      <c r="K59" s="81" t="s">
        <v>92</v>
      </c>
      <c r="L59" s="81" t="s">
        <v>93</v>
      </c>
      <c r="M59" s="81" t="s">
        <v>94</v>
      </c>
      <c r="N59" s="140" t="s">
        <v>72</v>
      </c>
      <c r="O59" s="141"/>
      <c r="P59" s="141"/>
      <c r="Q59" s="141"/>
      <c r="R59" s="142"/>
      <c r="S59" s="72" t="s">
        <v>73</v>
      </c>
      <c r="T59" s="73" t="s">
        <v>74</v>
      </c>
      <c r="U59" s="79" t="s">
        <v>75</v>
      </c>
      <c r="V59" s="89"/>
      <c r="W59" s="90"/>
      <c r="X59" s="81" t="s">
        <v>92</v>
      </c>
      <c r="Y59" s="81" t="s">
        <v>93</v>
      </c>
      <c r="Z59" s="81" t="s">
        <v>94</v>
      </c>
    </row>
    <row r="60" spans="1:31" ht="18" customHeight="1">
      <c r="A60" s="17"/>
      <c r="B60" s="229" t="s">
        <v>78</v>
      </c>
      <c r="C60" s="230"/>
      <c r="D60" s="230"/>
      <c r="E60" s="231"/>
      <c r="F60" s="74">
        <v>2</v>
      </c>
      <c r="G60" s="74" t="s">
        <v>80</v>
      </c>
      <c r="H60" s="253" t="s">
        <v>79</v>
      </c>
      <c r="I60" s="254"/>
      <c r="J60" s="255"/>
      <c r="K60" s="91" t="s">
        <v>80</v>
      </c>
      <c r="L60" s="83" t="s">
        <v>80</v>
      </c>
      <c r="M60" s="83" t="s">
        <v>80</v>
      </c>
      <c r="N60" s="229"/>
      <c r="O60" s="230"/>
      <c r="P60" s="230"/>
      <c r="Q60" s="230"/>
      <c r="R60" s="231"/>
      <c r="S60" s="74"/>
      <c r="T60" s="74"/>
      <c r="U60" s="253"/>
      <c r="V60" s="254"/>
      <c r="W60" s="255"/>
      <c r="X60" s="82"/>
      <c r="Y60" s="74"/>
      <c r="Z60" s="74"/>
    </row>
    <row r="61" spans="1:31" ht="18" customHeight="1">
      <c r="A61" s="17"/>
      <c r="B61" s="183" t="s">
        <v>81</v>
      </c>
      <c r="C61" s="184"/>
      <c r="D61" s="184"/>
      <c r="E61" s="185"/>
      <c r="F61" s="75">
        <v>2</v>
      </c>
      <c r="G61" s="75" t="s">
        <v>80</v>
      </c>
      <c r="H61" s="241" t="s">
        <v>79</v>
      </c>
      <c r="I61" s="242"/>
      <c r="J61" s="243"/>
      <c r="K61" s="92" t="s">
        <v>80</v>
      </c>
      <c r="L61" s="85" t="s">
        <v>80</v>
      </c>
      <c r="M61" s="85" t="s">
        <v>80</v>
      </c>
      <c r="N61" s="183"/>
      <c r="O61" s="184"/>
      <c r="P61" s="184"/>
      <c r="Q61" s="184"/>
      <c r="R61" s="185"/>
      <c r="S61" s="75"/>
      <c r="T61" s="75"/>
      <c r="U61" s="241"/>
      <c r="V61" s="242"/>
      <c r="W61" s="243"/>
      <c r="X61" s="84"/>
      <c r="Y61" s="75"/>
      <c r="Z61" s="75"/>
    </row>
    <row r="62" spans="1:31" ht="18" customHeight="1">
      <c r="A62" s="17"/>
      <c r="B62" s="183"/>
      <c r="C62" s="184"/>
      <c r="D62" s="184"/>
      <c r="E62" s="185"/>
      <c r="F62" s="75"/>
      <c r="G62" s="75"/>
      <c r="H62" s="241"/>
      <c r="I62" s="242"/>
      <c r="J62" s="243"/>
      <c r="K62" s="84"/>
      <c r="L62" s="75"/>
      <c r="M62" s="75"/>
      <c r="N62" s="183"/>
      <c r="O62" s="184"/>
      <c r="P62" s="184"/>
      <c r="Q62" s="184"/>
      <c r="R62" s="185"/>
      <c r="S62" s="75"/>
      <c r="T62" s="75"/>
      <c r="U62" s="241"/>
      <c r="V62" s="242"/>
      <c r="W62" s="243"/>
      <c r="X62" s="84"/>
      <c r="Y62" s="75"/>
      <c r="Z62" s="75"/>
    </row>
    <row r="63" spans="1:31" ht="18" customHeight="1">
      <c r="A63" s="17"/>
      <c r="B63" s="183"/>
      <c r="C63" s="184"/>
      <c r="D63" s="184"/>
      <c r="E63" s="185"/>
      <c r="F63" s="75"/>
      <c r="G63" s="75"/>
      <c r="H63" s="241"/>
      <c r="I63" s="242"/>
      <c r="J63" s="243"/>
      <c r="K63" s="84"/>
      <c r="L63" s="75"/>
      <c r="M63" s="75"/>
      <c r="N63" s="183"/>
      <c r="O63" s="184"/>
      <c r="P63" s="184"/>
      <c r="Q63" s="184"/>
      <c r="R63" s="185"/>
      <c r="S63" s="75"/>
      <c r="T63" s="75"/>
      <c r="U63" s="241"/>
      <c r="V63" s="242"/>
      <c r="W63" s="243"/>
      <c r="X63" s="84"/>
      <c r="Y63" s="75"/>
      <c r="Z63" s="75"/>
    </row>
    <row r="64" spans="1:31" ht="18" customHeight="1">
      <c r="A64" s="17"/>
      <c r="B64" s="183"/>
      <c r="C64" s="184"/>
      <c r="D64" s="184"/>
      <c r="E64" s="185"/>
      <c r="F64" s="75"/>
      <c r="G64" s="75"/>
      <c r="H64" s="241"/>
      <c r="I64" s="242"/>
      <c r="J64" s="243"/>
      <c r="K64" s="84"/>
      <c r="L64" s="75"/>
      <c r="M64" s="75"/>
      <c r="N64" s="183"/>
      <c r="O64" s="184"/>
      <c r="P64" s="184"/>
      <c r="Q64" s="184"/>
      <c r="R64" s="185"/>
      <c r="S64" s="75"/>
      <c r="T64" s="75"/>
      <c r="U64" s="241"/>
      <c r="V64" s="242"/>
      <c r="W64" s="243"/>
      <c r="X64" s="84"/>
      <c r="Y64" s="75"/>
      <c r="Z64" s="75"/>
      <c r="AE64" s="4"/>
    </row>
    <row r="65" spans="1:32" ht="18" customHeight="1">
      <c r="A65" s="17"/>
      <c r="B65" s="183"/>
      <c r="C65" s="184"/>
      <c r="D65" s="184"/>
      <c r="E65" s="185"/>
      <c r="F65" s="75"/>
      <c r="G65" s="75"/>
      <c r="H65" s="241"/>
      <c r="I65" s="242"/>
      <c r="J65" s="243"/>
      <c r="K65" s="84"/>
      <c r="L65" s="75"/>
      <c r="M65" s="75"/>
      <c r="N65" s="183"/>
      <c r="O65" s="184"/>
      <c r="P65" s="184"/>
      <c r="Q65" s="184"/>
      <c r="R65" s="185"/>
      <c r="S65" s="75"/>
      <c r="T65" s="75"/>
      <c r="U65" s="241"/>
      <c r="V65" s="242"/>
      <c r="W65" s="243"/>
      <c r="X65" s="84"/>
      <c r="Y65" s="75"/>
      <c r="Z65" s="75"/>
    </row>
    <row r="66" spans="1:32" ht="18" customHeight="1">
      <c r="A66" s="17"/>
      <c r="B66" s="177"/>
      <c r="C66" s="178"/>
      <c r="D66" s="178"/>
      <c r="E66" s="179"/>
      <c r="F66" s="76"/>
      <c r="G66" s="76"/>
      <c r="H66" s="244"/>
      <c r="I66" s="245"/>
      <c r="J66" s="246"/>
      <c r="K66" s="87"/>
      <c r="L66" s="88"/>
      <c r="M66" s="88"/>
      <c r="N66" s="177"/>
      <c r="O66" s="178"/>
      <c r="P66" s="178"/>
      <c r="Q66" s="178"/>
      <c r="R66" s="179"/>
      <c r="S66" s="76"/>
      <c r="T66" s="76"/>
      <c r="U66" s="244"/>
      <c r="V66" s="245"/>
      <c r="W66" s="246"/>
      <c r="X66" s="87"/>
      <c r="Y66" s="88"/>
      <c r="Z66" s="88"/>
    </row>
    <row r="67" spans="1:32" ht="7.5" customHeight="1">
      <c r="B67" s="78"/>
      <c r="C67" s="78"/>
      <c r="D67" s="78"/>
      <c r="E67" s="78"/>
      <c r="F67" s="78"/>
      <c r="G67" s="78"/>
      <c r="H67" s="78"/>
      <c r="I67" s="78"/>
      <c r="J67" s="78"/>
      <c r="K67" s="78"/>
      <c r="L67" s="78"/>
      <c r="M67" s="78"/>
      <c r="N67" s="78"/>
      <c r="O67" s="78"/>
      <c r="P67" s="78"/>
      <c r="Q67" s="78"/>
      <c r="R67" s="78"/>
      <c r="S67" s="78"/>
      <c r="T67" s="78"/>
      <c r="U67" s="78"/>
      <c r="V67" s="78"/>
      <c r="W67" s="78"/>
      <c r="X67" s="78"/>
      <c r="Y67" s="78"/>
    </row>
    <row r="68" spans="1:32" ht="18" customHeight="1">
      <c r="A68" s="112" t="s">
        <v>95</v>
      </c>
      <c r="B68" s="112"/>
      <c r="C68" s="112"/>
      <c r="D68" s="112"/>
      <c r="E68" s="112"/>
      <c r="F68" s="112"/>
      <c r="G68" s="112"/>
      <c r="H68" s="112"/>
      <c r="I68" s="112"/>
      <c r="J68" s="112"/>
      <c r="K68" s="112"/>
      <c r="L68" s="119"/>
      <c r="M68" s="119"/>
      <c r="N68" s="17"/>
      <c r="O68" s="17"/>
      <c r="P68" s="17"/>
      <c r="Q68" s="17"/>
      <c r="R68" s="17"/>
      <c r="S68" s="17"/>
      <c r="T68" s="17"/>
      <c r="U68" s="17"/>
      <c r="V68" s="17"/>
      <c r="W68" s="17"/>
      <c r="X68" s="17"/>
      <c r="Y68" s="17"/>
      <c r="Z68" s="17"/>
      <c r="AF68" s="4"/>
    </row>
    <row r="69" spans="1:32" ht="18" customHeight="1">
      <c r="B69" s="247" t="s">
        <v>72</v>
      </c>
      <c r="C69" s="248"/>
      <c r="D69" s="248"/>
      <c r="E69" s="248"/>
      <c r="F69" s="249"/>
      <c r="G69" s="247" t="s">
        <v>96</v>
      </c>
      <c r="H69" s="248"/>
      <c r="I69" s="248"/>
      <c r="J69" s="248"/>
      <c r="K69" s="248"/>
      <c r="L69" s="248"/>
      <c r="M69" s="249"/>
      <c r="N69" s="250" t="s">
        <v>72</v>
      </c>
      <c r="O69" s="251"/>
      <c r="P69" s="251"/>
      <c r="Q69" s="251"/>
      <c r="R69" s="251"/>
      <c r="S69" s="252"/>
      <c r="T69" s="140" t="s">
        <v>96</v>
      </c>
      <c r="U69" s="141"/>
      <c r="V69" s="141"/>
      <c r="W69" s="141"/>
      <c r="X69" s="141"/>
      <c r="Y69" s="141"/>
      <c r="Z69" s="142"/>
    </row>
    <row r="70" spans="1:32" ht="18" customHeight="1">
      <c r="A70" s="17"/>
      <c r="B70" s="223" t="s">
        <v>78</v>
      </c>
      <c r="C70" s="224"/>
      <c r="D70" s="224"/>
      <c r="E70" s="224"/>
      <c r="F70" s="225"/>
      <c r="G70" s="226" t="s">
        <v>97</v>
      </c>
      <c r="H70" s="227"/>
      <c r="I70" s="227"/>
      <c r="J70" s="227"/>
      <c r="K70" s="227"/>
      <c r="L70" s="227"/>
      <c r="M70" s="228"/>
      <c r="N70" s="229"/>
      <c r="O70" s="230"/>
      <c r="P70" s="230"/>
      <c r="Q70" s="230"/>
      <c r="R70" s="230"/>
      <c r="S70" s="231"/>
      <c r="T70" s="232"/>
      <c r="U70" s="233"/>
      <c r="V70" s="233"/>
      <c r="W70" s="233"/>
      <c r="X70" s="233"/>
      <c r="Y70" s="233"/>
      <c r="Z70" s="234"/>
    </row>
    <row r="71" spans="1:32" ht="18" customHeight="1">
      <c r="A71" s="17"/>
      <c r="B71" s="235" t="s">
        <v>81</v>
      </c>
      <c r="C71" s="236"/>
      <c r="D71" s="236"/>
      <c r="E71" s="236"/>
      <c r="F71" s="237"/>
      <c r="G71" s="238" t="s">
        <v>98</v>
      </c>
      <c r="H71" s="239"/>
      <c r="I71" s="239"/>
      <c r="J71" s="239"/>
      <c r="K71" s="239"/>
      <c r="L71" s="239"/>
      <c r="M71" s="240"/>
      <c r="N71" s="183"/>
      <c r="O71" s="184"/>
      <c r="P71" s="184"/>
      <c r="Q71" s="184"/>
      <c r="R71" s="184"/>
      <c r="S71" s="185"/>
      <c r="T71" s="186"/>
      <c r="U71" s="187"/>
      <c r="V71" s="187"/>
      <c r="W71" s="187"/>
      <c r="X71" s="187"/>
      <c r="Y71" s="187"/>
      <c r="Z71" s="188"/>
    </row>
    <row r="72" spans="1:32" ht="18" customHeight="1">
      <c r="A72" s="17"/>
      <c r="B72" s="183"/>
      <c r="C72" s="184"/>
      <c r="D72" s="184"/>
      <c r="E72" s="184"/>
      <c r="F72" s="185"/>
      <c r="G72" s="186"/>
      <c r="H72" s="187"/>
      <c r="I72" s="187"/>
      <c r="J72" s="187"/>
      <c r="K72" s="187"/>
      <c r="L72" s="187"/>
      <c r="M72" s="188"/>
      <c r="N72" s="183"/>
      <c r="O72" s="184"/>
      <c r="P72" s="184"/>
      <c r="Q72" s="184"/>
      <c r="R72" s="184"/>
      <c r="S72" s="185"/>
      <c r="T72" s="186"/>
      <c r="U72" s="187"/>
      <c r="V72" s="187"/>
      <c r="W72" s="187"/>
      <c r="X72" s="187"/>
      <c r="Y72" s="187"/>
      <c r="Z72" s="188"/>
    </row>
    <row r="73" spans="1:32" ht="18" customHeight="1">
      <c r="A73" s="17"/>
      <c r="B73" s="183"/>
      <c r="C73" s="184"/>
      <c r="D73" s="184"/>
      <c r="E73" s="184"/>
      <c r="F73" s="185"/>
      <c r="G73" s="186"/>
      <c r="H73" s="187"/>
      <c r="I73" s="187"/>
      <c r="J73" s="187"/>
      <c r="K73" s="187"/>
      <c r="L73" s="187"/>
      <c r="M73" s="188"/>
      <c r="N73" s="183"/>
      <c r="O73" s="184"/>
      <c r="P73" s="184"/>
      <c r="Q73" s="184"/>
      <c r="R73" s="184"/>
      <c r="S73" s="185"/>
      <c r="T73" s="186"/>
      <c r="U73" s="187"/>
      <c r="V73" s="187"/>
      <c r="W73" s="187"/>
      <c r="X73" s="187"/>
      <c r="Y73" s="187"/>
      <c r="Z73" s="188"/>
    </row>
    <row r="74" spans="1:32" ht="18" customHeight="1">
      <c r="A74" s="17"/>
      <c r="B74" s="183"/>
      <c r="C74" s="184"/>
      <c r="D74" s="184"/>
      <c r="E74" s="184"/>
      <c r="F74" s="185"/>
      <c r="G74" s="186"/>
      <c r="H74" s="187"/>
      <c r="I74" s="187"/>
      <c r="J74" s="187"/>
      <c r="K74" s="187"/>
      <c r="L74" s="187"/>
      <c r="M74" s="188"/>
      <c r="N74" s="183"/>
      <c r="O74" s="184"/>
      <c r="P74" s="184"/>
      <c r="Q74" s="184"/>
      <c r="R74" s="184"/>
      <c r="S74" s="185"/>
      <c r="T74" s="186"/>
      <c r="U74" s="187"/>
      <c r="V74" s="187"/>
      <c r="W74" s="187"/>
      <c r="X74" s="187"/>
      <c r="Y74" s="187"/>
      <c r="Z74" s="188"/>
    </row>
    <row r="75" spans="1:32" ht="18" customHeight="1">
      <c r="A75" s="17"/>
      <c r="B75" s="183"/>
      <c r="C75" s="184"/>
      <c r="D75" s="184"/>
      <c r="E75" s="184"/>
      <c r="F75" s="185"/>
      <c r="G75" s="186"/>
      <c r="H75" s="187"/>
      <c r="I75" s="187"/>
      <c r="J75" s="187"/>
      <c r="K75" s="187"/>
      <c r="L75" s="187"/>
      <c r="M75" s="188"/>
      <c r="N75" s="183"/>
      <c r="O75" s="184"/>
      <c r="P75" s="184"/>
      <c r="Q75" s="184"/>
      <c r="R75" s="184"/>
      <c r="S75" s="185"/>
      <c r="T75" s="186"/>
      <c r="U75" s="187"/>
      <c r="V75" s="187"/>
      <c r="W75" s="187"/>
      <c r="X75" s="187"/>
      <c r="Y75" s="187"/>
      <c r="Z75" s="188"/>
    </row>
    <row r="76" spans="1:32" ht="18" customHeight="1">
      <c r="A76" s="17"/>
      <c r="B76" s="177"/>
      <c r="C76" s="178"/>
      <c r="D76" s="178"/>
      <c r="E76" s="178"/>
      <c r="F76" s="179"/>
      <c r="G76" s="180"/>
      <c r="H76" s="181"/>
      <c r="I76" s="181"/>
      <c r="J76" s="181"/>
      <c r="K76" s="181"/>
      <c r="L76" s="181"/>
      <c r="M76" s="182"/>
      <c r="N76" s="177"/>
      <c r="O76" s="178"/>
      <c r="P76" s="178"/>
      <c r="Q76" s="178"/>
      <c r="R76" s="178"/>
      <c r="S76" s="179"/>
      <c r="T76" s="180"/>
      <c r="U76" s="181"/>
      <c r="V76" s="181"/>
      <c r="W76" s="181"/>
      <c r="X76" s="181"/>
      <c r="Y76" s="181"/>
      <c r="Z76" s="182"/>
    </row>
    <row r="77" spans="1:32" ht="18" customHeight="1">
      <c r="A77" s="17"/>
      <c r="B77" s="93"/>
      <c r="C77" s="93"/>
      <c r="D77" s="93"/>
      <c r="E77" s="93"/>
      <c r="F77" s="93"/>
      <c r="G77" s="94"/>
      <c r="H77" s="94"/>
      <c r="I77" s="94"/>
      <c r="J77" s="94"/>
      <c r="K77" s="94"/>
      <c r="L77" s="94"/>
      <c r="M77" s="94"/>
      <c r="N77" s="93"/>
      <c r="O77" s="93"/>
      <c r="P77" s="93"/>
      <c r="Q77" s="93"/>
      <c r="R77" s="93"/>
      <c r="S77" s="93"/>
      <c r="T77" s="94"/>
      <c r="U77" s="94"/>
      <c r="V77" s="94"/>
      <c r="W77" s="94"/>
      <c r="X77" s="94"/>
      <c r="Y77" s="94"/>
      <c r="Z77" s="94"/>
    </row>
    <row r="78" spans="1:32" ht="18.75" customHeight="1">
      <c r="A78" s="70" t="s">
        <v>99</v>
      </c>
    </row>
    <row r="79" spans="1:32" ht="18.75" customHeight="1">
      <c r="B79" s="95" t="s">
        <v>100</v>
      </c>
      <c r="C79" s="96"/>
      <c r="D79" s="141" t="s">
        <v>101</v>
      </c>
      <c r="E79" s="141"/>
      <c r="F79" s="141"/>
      <c r="G79" s="141"/>
      <c r="H79" s="141"/>
      <c r="I79" s="141"/>
      <c r="J79" s="141"/>
      <c r="K79" s="141"/>
      <c r="L79" s="141"/>
      <c r="M79" s="141"/>
      <c r="N79" s="141"/>
      <c r="O79" s="141"/>
      <c r="P79" s="141"/>
      <c r="Q79" s="141"/>
      <c r="R79" s="141"/>
      <c r="S79" s="141"/>
      <c r="T79" s="141"/>
      <c r="U79" s="141"/>
      <c r="V79" s="141"/>
      <c r="W79" s="141"/>
      <c r="X79" s="141"/>
      <c r="Y79" s="141"/>
      <c r="Z79" s="142"/>
    </row>
    <row r="80" spans="1:32" ht="246.6" customHeight="1">
      <c r="B80" s="200" t="s">
        <v>102</v>
      </c>
      <c r="C80" s="97" t="s">
        <v>76</v>
      </c>
      <c r="D80" s="211" t="s">
        <v>193</v>
      </c>
      <c r="E80" s="212"/>
      <c r="F80" s="212"/>
      <c r="G80" s="212"/>
      <c r="H80" s="212"/>
      <c r="I80" s="212"/>
      <c r="J80" s="212"/>
      <c r="K80" s="212"/>
      <c r="L80" s="212"/>
      <c r="M80" s="212"/>
      <c r="N80" s="212"/>
      <c r="O80" s="212"/>
      <c r="P80" s="212"/>
      <c r="Q80" s="212"/>
      <c r="R80" s="212"/>
      <c r="S80" s="212"/>
      <c r="T80" s="212"/>
      <c r="U80" s="212"/>
      <c r="V80" s="212"/>
      <c r="W80" s="212"/>
      <c r="X80" s="212"/>
      <c r="Y80" s="212"/>
      <c r="Z80" s="213"/>
    </row>
    <row r="81" spans="1:26" ht="253.2" customHeight="1">
      <c r="B81" s="201"/>
      <c r="C81" s="98" t="s">
        <v>77</v>
      </c>
      <c r="D81" s="214" t="s">
        <v>103</v>
      </c>
      <c r="E81" s="215"/>
      <c r="F81" s="215"/>
      <c r="G81" s="215"/>
      <c r="H81" s="215"/>
      <c r="I81" s="215"/>
      <c r="J81" s="215"/>
      <c r="K81" s="215"/>
      <c r="L81" s="215"/>
      <c r="M81" s="215"/>
      <c r="N81" s="215"/>
      <c r="O81" s="215"/>
      <c r="P81" s="215"/>
      <c r="Q81" s="215"/>
      <c r="R81" s="215"/>
      <c r="S81" s="215"/>
      <c r="T81" s="215"/>
      <c r="U81" s="215"/>
      <c r="V81" s="215"/>
      <c r="W81" s="215"/>
      <c r="X81" s="215"/>
      <c r="Y81" s="215"/>
      <c r="Z81" s="216"/>
    </row>
    <row r="82" spans="1:26" ht="282" customHeight="1">
      <c r="B82" s="200" t="s">
        <v>104</v>
      </c>
      <c r="C82" s="99" t="s">
        <v>83</v>
      </c>
      <c r="D82" s="217" t="s">
        <v>105</v>
      </c>
      <c r="E82" s="218"/>
      <c r="F82" s="218"/>
      <c r="G82" s="218"/>
      <c r="H82" s="218"/>
      <c r="I82" s="218"/>
      <c r="J82" s="218"/>
      <c r="K82" s="218"/>
      <c r="L82" s="218"/>
      <c r="M82" s="218"/>
      <c r="N82" s="218"/>
      <c r="O82" s="218"/>
      <c r="P82" s="218"/>
      <c r="Q82" s="218"/>
      <c r="R82" s="218"/>
      <c r="S82" s="218"/>
      <c r="T82" s="218"/>
      <c r="U82" s="218"/>
      <c r="V82" s="218"/>
      <c r="W82" s="218"/>
      <c r="X82" s="218"/>
      <c r="Y82" s="218"/>
      <c r="Z82" s="219"/>
    </row>
    <row r="83" spans="1:26" ht="276.60000000000002" customHeight="1">
      <c r="B83" s="202"/>
      <c r="C83" s="100" t="s">
        <v>84</v>
      </c>
      <c r="D83" s="220" t="s">
        <v>106</v>
      </c>
      <c r="E83" s="221"/>
      <c r="F83" s="221"/>
      <c r="G83" s="221"/>
      <c r="H83" s="221"/>
      <c r="I83" s="221"/>
      <c r="J83" s="221"/>
      <c r="K83" s="221"/>
      <c r="L83" s="221"/>
      <c r="M83" s="221"/>
      <c r="N83" s="221"/>
      <c r="O83" s="221"/>
      <c r="P83" s="221"/>
      <c r="Q83" s="221"/>
      <c r="R83" s="221"/>
      <c r="S83" s="221"/>
      <c r="T83" s="221"/>
      <c r="U83" s="221"/>
      <c r="V83" s="221"/>
      <c r="W83" s="221"/>
      <c r="X83" s="221"/>
      <c r="Y83" s="221"/>
      <c r="Z83" s="222"/>
    </row>
    <row r="84" spans="1:26" ht="276.60000000000002" customHeight="1">
      <c r="B84" s="200" t="s">
        <v>107</v>
      </c>
      <c r="C84" s="99" t="s">
        <v>86</v>
      </c>
      <c r="D84" s="165" t="s">
        <v>194</v>
      </c>
      <c r="E84" s="166"/>
      <c r="F84" s="166"/>
      <c r="G84" s="166"/>
      <c r="H84" s="166"/>
      <c r="I84" s="166"/>
      <c r="J84" s="166"/>
      <c r="K84" s="166"/>
      <c r="L84" s="166"/>
      <c r="M84" s="166"/>
      <c r="N84" s="166"/>
      <c r="O84" s="166"/>
      <c r="P84" s="166"/>
      <c r="Q84" s="166"/>
      <c r="R84" s="166"/>
      <c r="S84" s="166"/>
      <c r="T84" s="166"/>
      <c r="U84" s="166"/>
      <c r="V84" s="166"/>
      <c r="W84" s="166"/>
      <c r="X84" s="166"/>
      <c r="Y84" s="166"/>
      <c r="Z84" s="167"/>
    </row>
    <row r="85" spans="1:26" ht="297" customHeight="1">
      <c r="B85" s="202"/>
      <c r="C85" s="101" t="s">
        <v>87</v>
      </c>
      <c r="D85" s="168" t="s">
        <v>108</v>
      </c>
      <c r="E85" s="169"/>
      <c r="F85" s="169"/>
      <c r="G85" s="169"/>
      <c r="H85" s="169"/>
      <c r="I85" s="169"/>
      <c r="J85" s="169"/>
      <c r="K85" s="169"/>
      <c r="L85" s="169"/>
      <c r="M85" s="169"/>
      <c r="N85" s="169"/>
      <c r="O85" s="169"/>
      <c r="P85" s="169"/>
      <c r="Q85" s="169"/>
      <c r="R85" s="169"/>
      <c r="S85" s="169"/>
      <c r="T85" s="169"/>
      <c r="U85" s="169"/>
      <c r="V85" s="169"/>
      <c r="W85" s="169"/>
      <c r="X85" s="169"/>
      <c r="Y85" s="169"/>
      <c r="Z85" s="170"/>
    </row>
    <row r="86" spans="1:26" ht="326.39999999999998" customHeight="1">
      <c r="B86" s="200" t="s">
        <v>109</v>
      </c>
      <c r="C86" s="97" t="s">
        <v>89</v>
      </c>
      <c r="D86" s="171" t="s">
        <v>110</v>
      </c>
      <c r="E86" s="172"/>
      <c r="F86" s="172"/>
      <c r="G86" s="172"/>
      <c r="H86" s="172"/>
      <c r="I86" s="172"/>
      <c r="J86" s="172"/>
      <c r="K86" s="172"/>
      <c r="L86" s="172"/>
      <c r="M86" s="172"/>
      <c r="N86" s="172"/>
      <c r="O86" s="172"/>
      <c r="P86" s="172"/>
      <c r="Q86" s="172"/>
      <c r="R86" s="172"/>
      <c r="S86" s="172"/>
      <c r="T86" s="172"/>
      <c r="U86" s="172"/>
      <c r="V86" s="172"/>
      <c r="W86" s="172"/>
      <c r="X86" s="172"/>
      <c r="Y86" s="172"/>
      <c r="Z86" s="173"/>
    </row>
    <row r="87" spans="1:26" ht="141" customHeight="1">
      <c r="B87" s="201"/>
      <c r="C87" s="102" t="s">
        <v>90</v>
      </c>
      <c r="D87" s="174" t="s">
        <v>195</v>
      </c>
      <c r="E87" s="175"/>
      <c r="F87" s="175"/>
      <c r="G87" s="175"/>
      <c r="H87" s="175"/>
      <c r="I87" s="175"/>
      <c r="J87" s="175"/>
      <c r="K87" s="175"/>
      <c r="L87" s="175"/>
      <c r="M87" s="175"/>
      <c r="N87" s="175"/>
      <c r="O87" s="175"/>
      <c r="P87" s="175"/>
      <c r="Q87" s="175"/>
      <c r="R87" s="175"/>
      <c r="S87" s="175"/>
      <c r="T87" s="175"/>
      <c r="U87" s="175"/>
      <c r="V87" s="175"/>
      <c r="W87" s="175"/>
      <c r="X87" s="175"/>
      <c r="Y87" s="175"/>
      <c r="Z87" s="176"/>
    </row>
    <row r="88" spans="1:26" ht="264" customHeight="1">
      <c r="B88" s="200" t="s">
        <v>111</v>
      </c>
      <c r="C88" s="99" t="s">
        <v>92</v>
      </c>
      <c r="D88" s="189" t="s">
        <v>112</v>
      </c>
      <c r="E88" s="190"/>
      <c r="F88" s="190"/>
      <c r="G88" s="190"/>
      <c r="H88" s="190"/>
      <c r="I88" s="190"/>
      <c r="J88" s="190"/>
      <c r="K88" s="190"/>
      <c r="L88" s="190"/>
      <c r="M88" s="190"/>
      <c r="N88" s="190"/>
      <c r="O88" s="190"/>
      <c r="P88" s="190"/>
      <c r="Q88" s="190"/>
      <c r="R88" s="190"/>
      <c r="S88" s="190"/>
      <c r="T88" s="190"/>
      <c r="U88" s="190"/>
      <c r="V88" s="190"/>
      <c r="W88" s="190"/>
      <c r="X88" s="190"/>
      <c r="Y88" s="190"/>
      <c r="Z88" s="191"/>
    </row>
    <row r="89" spans="1:26" ht="172.2" customHeight="1">
      <c r="B89" s="201"/>
      <c r="C89" s="102" t="s">
        <v>93</v>
      </c>
      <c r="D89" s="192" t="s">
        <v>196</v>
      </c>
      <c r="E89" s="193"/>
      <c r="F89" s="193"/>
      <c r="G89" s="193"/>
      <c r="H89" s="193"/>
      <c r="I89" s="193"/>
      <c r="J89" s="193"/>
      <c r="K89" s="193"/>
      <c r="L89" s="193"/>
      <c r="M89" s="193"/>
      <c r="N89" s="193"/>
      <c r="O89" s="193"/>
      <c r="P89" s="193"/>
      <c r="Q89" s="193"/>
      <c r="R89" s="193"/>
      <c r="S89" s="193"/>
      <c r="T89" s="193"/>
      <c r="U89" s="193"/>
      <c r="V89" s="193"/>
      <c r="W89" s="193"/>
      <c r="X89" s="193"/>
      <c r="Y89" s="193"/>
      <c r="Z89" s="194"/>
    </row>
    <row r="90" spans="1:26" ht="208.8" customHeight="1">
      <c r="B90" s="202"/>
      <c r="C90" s="101" t="s">
        <v>94</v>
      </c>
      <c r="D90" s="195" t="s">
        <v>113</v>
      </c>
      <c r="E90" s="196"/>
      <c r="F90" s="196"/>
      <c r="G90" s="196"/>
      <c r="H90" s="196"/>
      <c r="I90" s="196"/>
      <c r="J90" s="196"/>
      <c r="K90" s="196"/>
      <c r="L90" s="196"/>
      <c r="M90" s="196"/>
      <c r="N90" s="196"/>
      <c r="O90" s="196"/>
      <c r="P90" s="196"/>
      <c r="Q90" s="196"/>
      <c r="R90" s="196"/>
      <c r="S90" s="196"/>
      <c r="T90" s="196"/>
      <c r="U90" s="196"/>
      <c r="V90" s="196"/>
      <c r="W90" s="196"/>
      <c r="X90" s="196"/>
      <c r="Y90" s="196"/>
      <c r="Z90" s="197"/>
    </row>
    <row r="91" spans="1:26" ht="6" customHeight="1"/>
    <row r="92" spans="1:26" ht="18.75" customHeight="1">
      <c r="A92" s="70" t="s">
        <v>114</v>
      </c>
    </row>
    <row r="93" spans="1:26" ht="18.75" customHeight="1">
      <c r="B93" s="203" t="s">
        <v>115</v>
      </c>
      <c r="C93" s="204"/>
      <c r="D93" s="204"/>
      <c r="E93" s="204"/>
      <c r="F93" s="204"/>
      <c r="G93" s="204"/>
      <c r="H93" s="204"/>
      <c r="I93" s="204"/>
      <c r="J93" s="204"/>
      <c r="K93" s="204"/>
      <c r="L93" s="204"/>
      <c r="M93" s="204"/>
      <c r="N93" s="204"/>
      <c r="O93" s="204"/>
      <c r="P93" s="204"/>
      <c r="Q93" s="204"/>
      <c r="R93" s="204"/>
      <c r="S93" s="204"/>
      <c r="T93" s="204"/>
      <c r="U93" s="204"/>
      <c r="V93" s="204"/>
      <c r="W93" s="204"/>
      <c r="X93" s="204"/>
      <c r="Y93" s="204"/>
      <c r="Z93" s="205"/>
    </row>
    <row r="94" spans="1:26" ht="18.75" customHeight="1">
      <c r="B94" s="206"/>
      <c r="C94" s="143"/>
      <c r="D94" s="143"/>
      <c r="E94" s="143"/>
      <c r="F94" s="143"/>
      <c r="G94" s="143"/>
      <c r="H94" s="143"/>
      <c r="I94" s="143"/>
      <c r="J94" s="143"/>
      <c r="K94" s="143"/>
      <c r="L94" s="143"/>
      <c r="M94" s="143"/>
      <c r="N94" s="143"/>
      <c r="O94" s="143"/>
      <c r="P94" s="143"/>
      <c r="Q94" s="143"/>
      <c r="R94" s="143"/>
      <c r="S94" s="143"/>
      <c r="T94" s="143"/>
      <c r="U94" s="143"/>
      <c r="V94" s="143"/>
      <c r="W94" s="143"/>
      <c r="X94" s="143"/>
      <c r="Y94" s="143"/>
      <c r="Z94" s="207"/>
    </row>
    <row r="95" spans="1:26" ht="18.75" customHeight="1">
      <c r="B95" s="208"/>
      <c r="C95" s="209"/>
      <c r="D95" s="209"/>
      <c r="E95" s="209"/>
      <c r="F95" s="209"/>
      <c r="G95" s="209"/>
      <c r="H95" s="209"/>
      <c r="I95" s="209"/>
      <c r="J95" s="209"/>
      <c r="K95" s="209"/>
      <c r="L95" s="209"/>
      <c r="M95" s="209"/>
      <c r="N95" s="209"/>
      <c r="O95" s="209"/>
      <c r="P95" s="209"/>
      <c r="Q95" s="209"/>
      <c r="R95" s="209"/>
      <c r="S95" s="209"/>
      <c r="T95" s="209"/>
      <c r="U95" s="209"/>
      <c r="V95" s="209"/>
      <c r="W95" s="209"/>
      <c r="X95" s="209"/>
      <c r="Y95" s="209"/>
      <c r="Z95" s="210"/>
    </row>
    <row r="96" spans="1:26" ht="6" customHeight="1"/>
    <row r="97" spans="1:26" ht="15" customHeight="1">
      <c r="A97" s="70" t="s">
        <v>116</v>
      </c>
    </row>
    <row r="98" spans="1:26" ht="15" customHeight="1">
      <c r="B98" s="198" t="s">
        <v>117</v>
      </c>
      <c r="C98" s="121"/>
      <c r="D98" s="121"/>
      <c r="E98" s="121"/>
      <c r="F98" s="121"/>
      <c r="G98" s="121"/>
      <c r="H98" s="121"/>
      <c r="I98" s="121"/>
      <c r="J98" s="121"/>
      <c r="K98" s="121"/>
      <c r="L98" s="121"/>
      <c r="M98" s="121"/>
      <c r="N98" s="121"/>
      <c r="O98" s="121"/>
      <c r="P98" s="121"/>
      <c r="Q98" s="121"/>
      <c r="R98" s="121"/>
      <c r="S98" s="121"/>
      <c r="T98" s="121"/>
      <c r="U98" s="121"/>
      <c r="V98" s="121"/>
      <c r="W98" s="121"/>
      <c r="X98" s="121"/>
      <c r="Y98" s="121"/>
      <c r="Z98" s="199"/>
    </row>
  </sheetData>
  <mergeCells count="218">
    <mergeCell ref="W1:Z1"/>
    <mergeCell ref="A2:Z2"/>
    <mergeCell ref="O4:Z4"/>
    <mergeCell ref="B15:F15"/>
    <mergeCell ref="I15:K15"/>
    <mergeCell ref="N15:S15"/>
    <mergeCell ref="V15:X15"/>
    <mergeCell ref="B16:F16"/>
    <mergeCell ref="I16:K16"/>
    <mergeCell ref="N16:S16"/>
    <mergeCell ref="V16:X16"/>
    <mergeCell ref="B17:F17"/>
    <mergeCell ref="I17:K17"/>
    <mergeCell ref="N17:S17"/>
    <mergeCell ref="V17:X17"/>
    <mergeCell ref="B18:F18"/>
    <mergeCell ref="I18:K18"/>
    <mergeCell ref="N18:S18"/>
    <mergeCell ref="V18:X18"/>
    <mergeCell ref="B19:F19"/>
    <mergeCell ref="I19:K19"/>
    <mergeCell ref="N19:S19"/>
    <mergeCell ref="V19:X19"/>
    <mergeCell ref="B20:F20"/>
    <mergeCell ref="I20:K20"/>
    <mergeCell ref="N20:S20"/>
    <mergeCell ref="V20:X20"/>
    <mergeCell ref="B21:F21"/>
    <mergeCell ref="I21:K21"/>
    <mergeCell ref="N21:S21"/>
    <mergeCell ref="V21:X21"/>
    <mergeCell ref="B22:F22"/>
    <mergeCell ref="I22:K22"/>
    <mergeCell ref="N22:S22"/>
    <mergeCell ref="V22:X22"/>
    <mergeCell ref="B26:F26"/>
    <mergeCell ref="I26:K26"/>
    <mergeCell ref="N26:S26"/>
    <mergeCell ref="V26:X26"/>
    <mergeCell ref="B27:F27"/>
    <mergeCell ref="I27:K27"/>
    <mergeCell ref="N27:S27"/>
    <mergeCell ref="V27:X27"/>
    <mergeCell ref="B28:F28"/>
    <mergeCell ref="I28:K28"/>
    <mergeCell ref="N28:S28"/>
    <mergeCell ref="V28:X28"/>
    <mergeCell ref="B29:F29"/>
    <mergeCell ref="I29:K29"/>
    <mergeCell ref="N29:S29"/>
    <mergeCell ref="V29:X29"/>
    <mergeCell ref="B30:F30"/>
    <mergeCell ref="I30:K30"/>
    <mergeCell ref="N30:S30"/>
    <mergeCell ref="V30:X30"/>
    <mergeCell ref="B31:F31"/>
    <mergeCell ref="I31:K31"/>
    <mergeCell ref="N31:S31"/>
    <mergeCell ref="V31:X31"/>
    <mergeCell ref="B32:F32"/>
    <mergeCell ref="I32:K32"/>
    <mergeCell ref="N32:S32"/>
    <mergeCell ref="V32:X32"/>
    <mergeCell ref="B33:F33"/>
    <mergeCell ref="I33:K33"/>
    <mergeCell ref="N33:S33"/>
    <mergeCell ref="V33:X33"/>
    <mergeCell ref="B37:F37"/>
    <mergeCell ref="I37:K37"/>
    <mergeCell ref="N37:S37"/>
    <mergeCell ref="V37:X37"/>
    <mergeCell ref="B38:F38"/>
    <mergeCell ref="I38:K38"/>
    <mergeCell ref="N38:S38"/>
    <mergeCell ref="V38:X38"/>
    <mergeCell ref="B39:F39"/>
    <mergeCell ref="I39:K39"/>
    <mergeCell ref="N39:S39"/>
    <mergeCell ref="V39:X39"/>
    <mergeCell ref="B40:F40"/>
    <mergeCell ref="I40:K40"/>
    <mergeCell ref="N40:S40"/>
    <mergeCell ref="V40:X40"/>
    <mergeCell ref="B41:F41"/>
    <mergeCell ref="I41:K41"/>
    <mergeCell ref="N41:S41"/>
    <mergeCell ref="V41:X41"/>
    <mergeCell ref="B42:F42"/>
    <mergeCell ref="I42:K42"/>
    <mergeCell ref="N42:S42"/>
    <mergeCell ref="V42:X42"/>
    <mergeCell ref="B43:F43"/>
    <mergeCell ref="I43:K43"/>
    <mergeCell ref="N43:S43"/>
    <mergeCell ref="V43:X43"/>
    <mergeCell ref="B44:F44"/>
    <mergeCell ref="I44:K44"/>
    <mergeCell ref="N44:S44"/>
    <mergeCell ref="V44:X44"/>
    <mergeCell ref="B48:F48"/>
    <mergeCell ref="I48:K48"/>
    <mergeCell ref="N48:S48"/>
    <mergeCell ref="V48:X48"/>
    <mergeCell ref="B49:F49"/>
    <mergeCell ref="I49:K49"/>
    <mergeCell ref="N49:S49"/>
    <mergeCell ref="V49:X49"/>
    <mergeCell ref="A46:Z47"/>
    <mergeCell ref="B50:F50"/>
    <mergeCell ref="I50:K50"/>
    <mergeCell ref="N50:S50"/>
    <mergeCell ref="V50:X50"/>
    <mergeCell ref="B51:F51"/>
    <mergeCell ref="I51:K51"/>
    <mergeCell ref="N51:S51"/>
    <mergeCell ref="V51:X51"/>
    <mergeCell ref="B52:F52"/>
    <mergeCell ref="I52:K52"/>
    <mergeCell ref="N52:S52"/>
    <mergeCell ref="V52:X52"/>
    <mergeCell ref="B53:F53"/>
    <mergeCell ref="I53:K53"/>
    <mergeCell ref="N53:S53"/>
    <mergeCell ref="V53:X53"/>
    <mergeCell ref="B54:F54"/>
    <mergeCell ref="I54:K54"/>
    <mergeCell ref="N54:S54"/>
    <mergeCell ref="V54:X54"/>
    <mergeCell ref="B55:F55"/>
    <mergeCell ref="I55:K55"/>
    <mergeCell ref="N55:S55"/>
    <mergeCell ref="V55:X55"/>
    <mergeCell ref="B59:E59"/>
    <mergeCell ref="N59:R59"/>
    <mergeCell ref="B60:E60"/>
    <mergeCell ref="H60:J60"/>
    <mergeCell ref="N60:R60"/>
    <mergeCell ref="U60:W60"/>
    <mergeCell ref="B61:E61"/>
    <mergeCell ref="H61:J61"/>
    <mergeCell ref="N61:R61"/>
    <mergeCell ref="U61:W61"/>
    <mergeCell ref="B62:E62"/>
    <mergeCell ref="H62:J62"/>
    <mergeCell ref="N62:R62"/>
    <mergeCell ref="U62:W62"/>
    <mergeCell ref="B63:E63"/>
    <mergeCell ref="H63:J63"/>
    <mergeCell ref="N63:R63"/>
    <mergeCell ref="U63:W63"/>
    <mergeCell ref="B64:E64"/>
    <mergeCell ref="H64:J64"/>
    <mergeCell ref="N64:R64"/>
    <mergeCell ref="U64:W64"/>
    <mergeCell ref="B65:E65"/>
    <mergeCell ref="H65:J65"/>
    <mergeCell ref="N65:R65"/>
    <mergeCell ref="U65:W65"/>
    <mergeCell ref="B66:E66"/>
    <mergeCell ref="H66:J66"/>
    <mergeCell ref="N66:R66"/>
    <mergeCell ref="U66:W66"/>
    <mergeCell ref="B69:F69"/>
    <mergeCell ref="G69:M69"/>
    <mergeCell ref="N69:S69"/>
    <mergeCell ref="T69:Z69"/>
    <mergeCell ref="N75:S75"/>
    <mergeCell ref="T75:Z75"/>
    <mergeCell ref="B70:F70"/>
    <mergeCell ref="G70:M70"/>
    <mergeCell ref="N70:S70"/>
    <mergeCell ref="T70:Z70"/>
    <mergeCell ref="B71:F71"/>
    <mergeCell ref="G71:M71"/>
    <mergeCell ref="N71:S71"/>
    <mergeCell ref="T71:Z71"/>
    <mergeCell ref="B72:F72"/>
    <mergeCell ref="G72:M72"/>
    <mergeCell ref="N72:S72"/>
    <mergeCell ref="T72:Z72"/>
    <mergeCell ref="D88:Z88"/>
    <mergeCell ref="D89:Z89"/>
    <mergeCell ref="D90:Z90"/>
    <mergeCell ref="B98:Z98"/>
    <mergeCell ref="B80:B81"/>
    <mergeCell ref="B82:B83"/>
    <mergeCell ref="B84:B85"/>
    <mergeCell ref="B86:B87"/>
    <mergeCell ref="B88:B90"/>
    <mergeCell ref="B93:Z95"/>
    <mergeCell ref="D80:Z80"/>
    <mergeCell ref="D81:Z81"/>
    <mergeCell ref="D82:Z82"/>
    <mergeCell ref="D83:Z83"/>
    <mergeCell ref="A24:Z25"/>
    <mergeCell ref="B6:Z11"/>
    <mergeCell ref="A13:Z14"/>
    <mergeCell ref="A57:Z58"/>
    <mergeCell ref="A35:Z36"/>
    <mergeCell ref="D84:Z84"/>
    <mergeCell ref="D85:Z85"/>
    <mergeCell ref="D86:Z86"/>
    <mergeCell ref="D87:Z87"/>
    <mergeCell ref="B76:F76"/>
    <mergeCell ref="G76:M76"/>
    <mergeCell ref="N76:S76"/>
    <mergeCell ref="T76:Z76"/>
    <mergeCell ref="D79:Z79"/>
    <mergeCell ref="B73:F73"/>
    <mergeCell ref="G73:M73"/>
    <mergeCell ref="N73:S73"/>
    <mergeCell ref="T73:Z73"/>
    <mergeCell ref="B74:F74"/>
    <mergeCell ref="G74:M74"/>
    <mergeCell ref="N74:S74"/>
    <mergeCell ref="T74:Z74"/>
    <mergeCell ref="B75:F75"/>
    <mergeCell ref="G75:M75"/>
  </mergeCells>
  <phoneticPr fontId="20"/>
  <dataValidations count="4">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D23:K23 Z23 D34:K34 Z34 H60:H66 I16:I22 I27:I33 I38:I44 I49:I55 U60:U66 V16:V22 V27:V33 V38:V44 V49:V55">
      <formula1>"全学開講,一部開講"</formula1>
    </dataValidation>
    <dataValidation type="list" allowBlank="1" showInputMessage="1" showErrorMessage="1" sqref="G60:G66 H16:H22 H27:H33 H38:H44 H49:H55 K60:K61 T60:T66 U16:U22 U27:U33 U38:U44 U49:U55 Y16:Z22 Y27:Z33 Y38:Z44 Y49:Z55 Y60:Z66 L16:M22 L27:M33 L38:M44 L49:M55 L60:M66">
      <formula1>"○"</formula1>
    </dataValidation>
    <dataValidation type="list" allowBlank="1" showInputMessage="1" showErrorMessage="1" sqref="G70:G77 T70:T77 U74:Z77 H74:M77 H70:M71 U70:Z71">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hyperlinks>
  <printOptions horizontalCentered="1"/>
  <pageMargins left="0.78680555555555598" right="0.78680555555555598" top="0.59027777777777801" bottom="0.196527777777778" header="0.31388888888888899" footer="0.196527777777778"/>
  <pageSetup paperSize="9" scale="98" orientation="landscape" r:id="rId2"/>
  <rowBreaks count="4" manualBreakCount="4">
    <brk id="34" max="25" man="1"/>
    <brk id="67" max="25" man="1"/>
    <brk id="7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0"/>
  <sheetViews>
    <sheetView view="pageBreakPreview" zoomScaleNormal="100" zoomScaleSheetLayoutView="100" workbookViewId="0">
      <selection activeCell="Q14" sqref="Q14"/>
    </sheetView>
  </sheetViews>
  <sheetFormatPr defaultColWidth="9" defaultRowHeight="18.75" customHeight="1"/>
  <cols>
    <col min="1" max="1" width="2.77734375" style="1" customWidth="1"/>
    <col min="2" max="2" width="30" style="1" customWidth="1"/>
    <col min="3" max="17" width="6.109375" style="1" customWidth="1"/>
    <col min="18" max="18" width="6.6640625" style="1" customWidth="1"/>
    <col min="19" max="16384" width="9" style="1"/>
  </cols>
  <sheetData>
    <row r="1" spans="1:20" ht="18" customHeight="1">
      <c r="F1" s="267" t="s">
        <v>118</v>
      </c>
      <c r="G1" s="267"/>
      <c r="H1" s="267"/>
      <c r="I1" s="267"/>
      <c r="J1" s="267"/>
      <c r="K1" s="267"/>
      <c r="L1" s="267"/>
      <c r="M1" s="267"/>
      <c r="N1" s="267"/>
      <c r="O1" s="267"/>
      <c r="P1" s="267"/>
      <c r="Q1" s="267"/>
      <c r="R1" s="267"/>
    </row>
    <row r="2" spans="1:20" ht="18" customHeight="1">
      <c r="A2" s="268" t="s">
        <v>119</v>
      </c>
      <c r="B2" s="268"/>
      <c r="C2" s="268"/>
      <c r="D2" s="268"/>
      <c r="E2" s="268"/>
      <c r="F2" s="268"/>
      <c r="G2" s="268"/>
      <c r="H2" s="268"/>
      <c r="I2" s="268"/>
      <c r="J2" s="268"/>
      <c r="K2" s="268"/>
      <c r="L2" s="268"/>
      <c r="M2" s="268"/>
      <c r="N2" s="268"/>
      <c r="O2" s="268"/>
      <c r="P2" s="268"/>
      <c r="Q2" s="268"/>
      <c r="R2" s="268"/>
    </row>
    <row r="3" spans="1:20" ht="7.5" customHeight="1">
      <c r="A3" s="3"/>
      <c r="B3" s="3"/>
      <c r="C3" s="3"/>
      <c r="D3" s="3"/>
      <c r="E3" s="3"/>
      <c r="F3" s="3"/>
      <c r="G3" s="3"/>
      <c r="H3" s="3"/>
      <c r="I3" s="3"/>
      <c r="J3" s="3"/>
      <c r="K3" s="3"/>
      <c r="L3" s="3"/>
      <c r="M3" s="3"/>
      <c r="N3" s="3"/>
      <c r="O3" s="3"/>
      <c r="P3" s="3"/>
      <c r="Q3" s="3"/>
      <c r="R3" s="3"/>
    </row>
    <row r="4" spans="1:20" ht="18" customHeight="1">
      <c r="A4" s="1" t="s">
        <v>120</v>
      </c>
      <c r="C4" s="269" t="str">
        <f>'様式１　大学等概要'!E12</f>
        <v>令和3年</v>
      </c>
      <c r="D4" s="270"/>
      <c r="E4" s="3" t="s">
        <v>19</v>
      </c>
      <c r="F4" s="3"/>
      <c r="G4" s="3"/>
      <c r="H4" s="3"/>
      <c r="I4" s="3"/>
      <c r="J4" s="60"/>
      <c r="K4" s="3"/>
      <c r="L4" s="3"/>
      <c r="M4" s="61"/>
      <c r="N4" s="61"/>
      <c r="O4" s="61"/>
      <c r="P4" s="61"/>
      <c r="Q4" s="61"/>
      <c r="R4" s="61"/>
    </row>
    <row r="5" spans="1:20" ht="6" customHeight="1">
      <c r="A5" s="3"/>
      <c r="B5" s="3"/>
      <c r="C5" s="3"/>
      <c r="D5" s="3"/>
      <c r="E5" s="3"/>
      <c r="F5" s="3"/>
      <c r="G5" s="3"/>
      <c r="H5" s="3"/>
      <c r="I5" s="3"/>
      <c r="J5" s="3"/>
      <c r="K5" s="3"/>
      <c r="L5" s="3"/>
      <c r="M5" s="3"/>
      <c r="N5" s="3"/>
      <c r="O5" s="3"/>
      <c r="P5" s="3"/>
      <c r="Q5" s="3"/>
      <c r="R5" s="3"/>
    </row>
    <row r="6" spans="1:20" ht="18" customHeight="1">
      <c r="A6" s="1" t="s">
        <v>121</v>
      </c>
      <c r="B6" s="3"/>
      <c r="C6" s="3"/>
      <c r="D6" s="3"/>
      <c r="E6" s="3"/>
      <c r="F6" s="3"/>
      <c r="G6" s="3"/>
      <c r="H6" s="3"/>
      <c r="I6" s="3"/>
      <c r="J6" s="3"/>
      <c r="K6" s="3"/>
      <c r="L6" s="3"/>
      <c r="M6" s="3"/>
      <c r="N6" s="3"/>
      <c r="O6" s="3"/>
      <c r="P6" s="3"/>
      <c r="Q6" s="3"/>
      <c r="R6" s="3"/>
    </row>
    <row r="7" spans="1:20" ht="6" customHeight="1">
      <c r="B7" s="3"/>
      <c r="C7" s="3"/>
      <c r="D7" s="3"/>
      <c r="E7" s="3"/>
      <c r="F7" s="3"/>
      <c r="G7" s="3"/>
      <c r="H7" s="3"/>
      <c r="I7" s="3"/>
      <c r="J7" s="3"/>
      <c r="K7" s="3"/>
      <c r="L7" s="3"/>
      <c r="M7" s="3"/>
      <c r="N7" s="3"/>
      <c r="O7" s="3"/>
      <c r="P7" s="3"/>
      <c r="Q7" s="3"/>
      <c r="R7" s="3"/>
    </row>
    <row r="8" spans="1:20" ht="18" customHeight="1">
      <c r="B8" s="274" t="s">
        <v>122</v>
      </c>
      <c r="C8" s="276" t="s">
        <v>123</v>
      </c>
      <c r="D8" s="278" t="s">
        <v>124</v>
      </c>
      <c r="E8" s="271" t="s">
        <v>125</v>
      </c>
      <c r="F8" s="271"/>
      <c r="G8" s="271" t="s">
        <v>126</v>
      </c>
      <c r="H8" s="271"/>
      <c r="I8" s="271" t="s">
        <v>127</v>
      </c>
      <c r="J8" s="271"/>
      <c r="K8" s="272" t="s">
        <v>128</v>
      </c>
      <c r="L8" s="273"/>
      <c r="M8" s="272" t="s">
        <v>129</v>
      </c>
      <c r="N8" s="273"/>
      <c r="O8" s="272" t="s">
        <v>130</v>
      </c>
      <c r="P8" s="273"/>
      <c r="Q8" s="280" t="s">
        <v>131</v>
      </c>
      <c r="R8" s="282" t="s">
        <v>132</v>
      </c>
      <c r="T8" s="62"/>
    </row>
    <row r="9" spans="1:20" ht="18" customHeight="1">
      <c r="B9" s="275"/>
      <c r="C9" s="277"/>
      <c r="D9" s="279"/>
      <c r="E9" s="32" t="s">
        <v>133</v>
      </c>
      <c r="F9" s="33" t="s">
        <v>134</v>
      </c>
      <c r="G9" s="34" t="s">
        <v>133</v>
      </c>
      <c r="H9" s="35" t="s">
        <v>134</v>
      </c>
      <c r="I9" s="32" t="s">
        <v>133</v>
      </c>
      <c r="J9" s="33" t="s">
        <v>134</v>
      </c>
      <c r="K9" s="34" t="s">
        <v>133</v>
      </c>
      <c r="L9" s="35" t="s">
        <v>134</v>
      </c>
      <c r="M9" s="32" t="s">
        <v>133</v>
      </c>
      <c r="N9" s="33" t="s">
        <v>134</v>
      </c>
      <c r="O9" s="34" t="s">
        <v>133</v>
      </c>
      <c r="P9" s="35" t="s">
        <v>134</v>
      </c>
      <c r="Q9" s="281"/>
      <c r="R9" s="283"/>
      <c r="T9" s="62"/>
    </row>
    <row r="10" spans="1:20" ht="18" customHeight="1">
      <c r="A10" s="36"/>
      <c r="B10" s="37" t="s">
        <v>135</v>
      </c>
      <c r="C10" s="36">
        <v>715</v>
      </c>
      <c r="D10" s="38">
        <v>2860</v>
      </c>
      <c r="E10" s="39">
        <v>12</v>
      </c>
      <c r="F10" s="40">
        <v>11</v>
      </c>
      <c r="G10" s="41"/>
      <c r="H10" s="42"/>
      <c r="I10" s="39"/>
      <c r="J10" s="40"/>
      <c r="K10" s="41"/>
      <c r="L10" s="42"/>
      <c r="M10" s="39"/>
      <c r="N10" s="40"/>
      <c r="O10" s="41"/>
      <c r="P10" s="42"/>
      <c r="Q10" s="63">
        <f>E10+G10+I10+K10+M10+O10</f>
        <v>12</v>
      </c>
      <c r="R10" s="64">
        <f>Q10/D10</f>
        <v>4.1958041958041958E-3</v>
      </c>
    </row>
    <row r="11" spans="1:20" ht="18" customHeight="1">
      <c r="A11" s="36"/>
      <c r="B11" s="43" t="s">
        <v>136</v>
      </c>
      <c r="C11" s="44">
        <v>770</v>
      </c>
      <c r="D11" s="45">
        <v>3080</v>
      </c>
      <c r="E11" s="46">
        <v>21</v>
      </c>
      <c r="F11" s="47">
        <v>17</v>
      </c>
      <c r="G11" s="48"/>
      <c r="H11" s="49"/>
      <c r="I11" s="46"/>
      <c r="J11" s="47"/>
      <c r="K11" s="48"/>
      <c r="L11" s="49"/>
      <c r="M11" s="46"/>
      <c r="N11" s="47"/>
      <c r="O11" s="48"/>
      <c r="P11" s="49"/>
      <c r="Q11" s="65">
        <f t="shared" ref="Q11:Q29" si="0">E11+G11+I11+K11+M11+O11</f>
        <v>21</v>
      </c>
      <c r="R11" s="66">
        <f t="shared" ref="R11:R30" si="1">Q11/D11</f>
        <v>6.8181818181818179E-3</v>
      </c>
    </row>
    <row r="12" spans="1:20" ht="18" customHeight="1">
      <c r="A12" s="36"/>
      <c r="B12" s="43" t="s">
        <v>137</v>
      </c>
      <c r="C12" s="44">
        <v>726</v>
      </c>
      <c r="D12" s="45">
        <v>2904</v>
      </c>
      <c r="E12" s="46">
        <v>21</v>
      </c>
      <c r="F12" s="47">
        <v>15</v>
      </c>
      <c r="G12" s="48"/>
      <c r="H12" s="49"/>
      <c r="I12" s="46"/>
      <c r="J12" s="47"/>
      <c r="K12" s="48"/>
      <c r="L12" s="49"/>
      <c r="M12" s="46"/>
      <c r="N12" s="47"/>
      <c r="O12" s="48"/>
      <c r="P12" s="49"/>
      <c r="Q12" s="65">
        <f t="shared" si="0"/>
        <v>21</v>
      </c>
      <c r="R12" s="66">
        <f t="shared" si="1"/>
        <v>7.2314049586776862E-3</v>
      </c>
    </row>
    <row r="13" spans="1:20" ht="18" customHeight="1">
      <c r="A13" s="36"/>
      <c r="B13" s="43" t="s">
        <v>138</v>
      </c>
      <c r="C13" s="44">
        <v>726</v>
      </c>
      <c r="D13" s="45">
        <v>2904</v>
      </c>
      <c r="E13" s="46">
        <v>17</v>
      </c>
      <c r="F13" s="47">
        <v>15</v>
      </c>
      <c r="G13" s="48"/>
      <c r="H13" s="49"/>
      <c r="I13" s="46"/>
      <c r="J13" s="47"/>
      <c r="K13" s="48"/>
      <c r="L13" s="49"/>
      <c r="M13" s="46"/>
      <c r="N13" s="47"/>
      <c r="O13" s="48"/>
      <c r="P13" s="49"/>
      <c r="Q13" s="65">
        <f t="shared" si="0"/>
        <v>17</v>
      </c>
      <c r="R13" s="66">
        <f t="shared" si="1"/>
        <v>5.8539944903581269E-3</v>
      </c>
    </row>
    <row r="14" spans="1:20" ht="18" customHeight="1">
      <c r="A14" s="36"/>
      <c r="B14" s="43" t="s">
        <v>139</v>
      </c>
      <c r="C14" s="44">
        <v>792</v>
      </c>
      <c r="D14" s="45">
        <v>3168</v>
      </c>
      <c r="E14" s="46">
        <v>7</v>
      </c>
      <c r="F14" s="47">
        <v>5</v>
      </c>
      <c r="G14" s="48"/>
      <c r="H14" s="49"/>
      <c r="I14" s="46"/>
      <c r="J14" s="47"/>
      <c r="K14" s="48"/>
      <c r="L14" s="49"/>
      <c r="M14" s="46"/>
      <c r="N14" s="47"/>
      <c r="O14" s="48"/>
      <c r="P14" s="49"/>
      <c r="Q14" s="65">
        <f t="shared" si="0"/>
        <v>7</v>
      </c>
      <c r="R14" s="66">
        <f t="shared" si="1"/>
        <v>2.2095959595959595E-3</v>
      </c>
    </row>
    <row r="15" spans="1:20" ht="18" customHeight="1">
      <c r="A15" s="36"/>
      <c r="B15" s="43" t="s">
        <v>140</v>
      </c>
      <c r="C15" s="44">
        <v>350</v>
      </c>
      <c r="D15" s="45">
        <v>1400</v>
      </c>
      <c r="E15" s="46">
        <v>3</v>
      </c>
      <c r="F15" s="47">
        <v>2</v>
      </c>
      <c r="G15" s="48"/>
      <c r="H15" s="49"/>
      <c r="I15" s="46"/>
      <c r="J15" s="47"/>
      <c r="K15" s="48"/>
      <c r="L15" s="49"/>
      <c r="M15" s="46"/>
      <c r="N15" s="47"/>
      <c r="O15" s="48"/>
      <c r="P15" s="49"/>
      <c r="Q15" s="65">
        <f t="shared" si="0"/>
        <v>3</v>
      </c>
      <c r="R15" s="66">
        <f t="shared" si="1"/>
        <v>2.142857142857143E-3</v>
      </c>
    </row>
    <row r="16" spans="1:20" ht="18" customHeight="1">
      <c r="A16" s="36"/>
      <c r="B16" s="43" t="s">
        <v>141</v>
      </c>
      <c r="C16" s="44">
        <v>165</v>
      </c>
      <c r="D16" s="45">
        <v>660</v>
      </c>
      <c r="E16" s="46">
        <v>0</v>
      </c>
      <c r="F16" s="47">
        <v>0</v>
      </c>
      <c r="G16" s="48"/>
      <c r="H16" s="49"/>
      <c r="I16" s="46"/>
      <c r="J16" s="47"/>
      <c r="K16" s="48"/>
      <c r="L16" s="49"/>
      <c r="M16" s="46"/>
      <c r="N16" s="47"/>
      <c r="O16" s="48"/>
      <c r="P16" s="49"/>
      <c r="Q16" s="65">
        <f t="shared" si="0"/>
        <v>0</v>
      </c>
      <c r="R16" s="66">
        <f t="shared" si="1"/>
        <v>0</v>
      </c>
    </row>
    <row r="17" spans="1:18" ht="18" customHeight="1">
      <c r="A17" s="36"/>
      <c r="B17" s="43" t="s">
        <v>142</v>
      </c>
      <c r="C17" s="44">
        <v>330</v>
      </c>
      <c r="D17" s="45">
        <v>1320</v>
      </c>
      <c r="E17" s="46">
        <v>11</v>
      </c>
      <c r="F17" s="47">
        <v>9</v>
      </c>
      <c r="G17" s="48"/>
      <c r="H17" s="49"/>
      <c r="I17" s="46"/>
      <c r="J17" s="47"/>
      <c r="K17" s="48"/>
      <c r="L17" s="49"/>
      <c r="M17" s="46"/>
      <c r="N17" s="47"/>
      <c r="O17" s="48"/>
      <c r="P17" s="49"/>
      <c r="Q17" s="65">
        <f t="shared" si="0"/>
        <v>11</v>
      </c>
      <c r="R17" s="66">
        <f t="shared" si="1"/>
        <v>8.3333333333333332E-3</v>
      </c>
    </row>
    <row r="18" spans="1:18" ht="18" customHeight="1">
      <c r="A18" s="36"/>
      <c r="B18" s="118" t="s">
        <v>197</v>
      </c>
      <c r="C18" s="44">
        <v>500</v>
      </c>
      <c r="D18" s="45">
        <v>2090</v>
      </c>
      <c r="E18" s="46">
        <v>22</v>
      </c>
      <c r="F18" s="47">
        <v>19</v>
      </c>
      <c r="G18" s="48"/>
      <c r="H18" s="49"/>
      <c r="I18" s="46"/>
      <c r="J18" s="47"/>
      <c r="K18" s="48"/>
      <c r="L18" s="49"/>
      <c r="M18" s="46"/>
      <c r="N18" s="47"/>
      <c r="O18" s="48"/>
      <c r="P18" s="49"/>
      <c r="Q18" s="65">
        <f t="shared" si="0"/>
        <v>22</v>
      </c>
      <c r="R18" s="66">
        <f t="shared" si="1"/>
        <v>1.0526315789473684E-2</v>
      </c>
    </row>
    <row r="19" spans="1:18" ht="18" customHeight="1">
      <c r="A19" s="36"/>
      <c r="B19" s="43" t="s">
        <v>143</v>
      </c>
      <c r="C19" s="44">
        <v>275</v>
      </c>
      <c r="D19" s="45">
        <v>1100</v>
      </c>
      <c r="E19" s="46">
        <v>6</v>
      </c>
      <c r="F19" s="47">
        <v>5</v>
      </c>
      <c r="G19" s="48"/>
      <c r="H19" s="49"/>
      <c r="I19" s="46"/>
      <c r="J19" s="47"/>
      <c r="K19" s="48"/>
      <c r="L19" s="49"/>
      <c r="M19" s="46"/>
      <c r="N19" s="47"/>
      <c r="O19" s="48"/>
      <c r="P19" s="49"/>
      <c r="Q19" s="65">
        <f t="shared" si="0"/>
        <v>6</v>
      </c>
      <c r="R19" s="66">
        <f t="shared" si="1"/>
        <v>5.454545454545455E-3</v>
      </c>
    </row>
    <row r="20" spans="1:18" ht="18" customHeight="1">
      <c r="A20" s="36"/>
      <c r="B20" s="43" t="s">
        <v>144</v>
      </c>
      <c r="C20" s="44">
        <v>501</v>
      </c>
      <c r="D20" s="45">
        <v>2004</v>
      </c>
      <c r="E20" s="46">
        <v>1</v>
      </c>
      <c r="F20" s="47">
        <v>1</v>
      </c>
      <c r="G20" s="48"/>
      <c r="H20" s="49"/>
      <c r="I20" s="46"/>
      <c r="J20" s="47"/>
      <c r="K20" s="48"/>
      <c r="L20" s="49"/>
      <c r="M20" s="46"/>
      <c r="N20" s="47"/>
      <c r="O20" s="48"/>
      <c r="P20" s="49"/>
      <c r="Q20" s="65">
        <f t="shared" si="0"/>
        <v>1</v>
      </c>
      <c r="R20" s="66">
        <f t="shared" si="1"/>
        <v>4.9900199600798399E-4</v>
      </c>
    </row>
    <row r="21" spans="1:18" ht="18" customHeight="1">
      <c r="A21" s="36"/>
      <c r="B21" s="43" t="s">
        <v>145</v>
      </c>
      <c r="C21" s="44">
        <v>325</v>
      </c>
      <c r="D21" s="45">
        <v>1300</v>
      </c>
      <c r="E21" s="46">
        <v>1</v>
      </c>
      <c r="F21" s="47">
        <v>1</v>
      </c>
      <c r="G21" s="48"/>
      <c r="H21" s="49"/>
      <c r="I21" s="46"/>
      <c r="J21" s="47"/>
      <c r="K21" s="48"/>
      <c r="L21" s="49"/>
      <c r="M21" s="46"/>
      <c r="N21" s="47"/>
      <c r="O21" s="48"/>
      <c r="P21" s="49"/>
      <c r="Q21" s="65">
        <f t="shared" si="0"/>
        <v>1</v>
      </c>
      <c r="R21" s="66">
        <f t="shared" si="1"/>
        <v>7.6923076923076923E-4</v>
      </c>
    </row>
    <row r="22" spans="1:18" ht="18" customHeight="1">
      <c r="A22" s="36"/>
      <c r="B22" s="43" t="s">
        <v>146</v>
      </c>
      <c r="C22" s="44">
        <v>347</v>
      </c>
      <c r="D22" s="45">
        <v>1388</v>
      </c>
      <c r="E22" s="46">
        <v>0</v>
      </c>
      <c r="F22" s="47">
        <v>0</v>
      </c>
      <c r="G22" s="48"/>
      <c r="H22" s="49"/>
      <c r="I22" s="46"/>
      <c r="J22" s="47"/>
      <c r="K22" s="48"/>
      <c r="L22" s="49"/>
      <c r="M22" s="46"/>
      <c r="N22" s="47"/>
      <c r="O22" s="48"/>
      <c r="P22" s="49"/>
      <c r="Q22" s="65">
        <f t="shared" si="0"/>
        <v>0</v>
      </c>
      <c r="R22" s="66">
        <f t="shared" si="1"/>
        <v>0</v>
      </c>
    </row>
    <row r="23" spans="1:18" ht="18" customHeight="1">
      <c r="A23" s="36"/>
      <c r="B23" s="43"/>
      <c r="C23" s="44"/>
      <c r="D23" s="45"/>
      <c r="E23" s="46"/>
      <c r="F23" s="47"/>
      <c r="G23" s="48"/>
      <c r="H23" s="49"/>
      <c r="I23" s="46"/>
      <c r="J23" s="47"/>
      <c r="K23" s="48"/>
      <c r="L23" s="49"/>
      <c r="M23" s="46"/>
      <c r="N23" s="47"/>
      <c r="O23" s="48"/>
      <c r="P23" s="49"/>
      <c r="Q23" s="65">
        <f t="shared" si="0"/>
        <v>0</v>
      </c>
      <c r="R23" s="66" t="e">
        <f t="shared" si="1"/>
        <v>#DIV/0!</v>
      </c>
    </row>
    <row r="24" spans="1:18" ht="18" customHeight="1">
      <c r="A24" s="36"/>
      <c r="B24" s="43"/>
      <c r="C24" s="44"/>
      <c r="D24" s="45"/>
      <c r="E24" s="46"/>
      <c r="F24" s="47"/>
      <c r="G24" s="48"/>
      <c r="H24" s="49"/>
      <c r="I24" s="46"/>
      <c r="J24" s="47"/>
      <c r="K24" s="48"/>
      <c r="L24" s="49"/>
      <c r="M24" s="46"/>
      <c r="N24" s="47"/>
      <c r="O24" s="48"/>
      <c r="P24" s="49"/>
      <c r="Q24" s="65">
        <f t="shared" si="0"/>
        <v>0</v>
      </c>
      <c r="R24" s="66" t="e">
        <f t="shared" si="1"/>
        <v>#DIV/0!</v>
      </c>
    </row>
    <row r="25" spans="1:18" ht="18" customHeight="1">
      <c r="A25" s="36"/>
      <c r="B25" s="43"/>
      <c r="C25" s="44"/>
      <c r="D25" s="45"/>
      <c r="E25" s="46"/>
      <c r="F25" s="47"/>
      <c r="G25" s="48"/>
      <c r="H25" s="49"/>
      <c r="I25" s="46"/>
      <c r="J25" s="47"/>
      <c r="K25" s="48"/>
      <c r="L25" s="49"/>
      <c r="M25" s="46"/>
      <c r="N25" s="47"/>
      <c r="O25" s="48"/>
      <c r="P25" s="49"/>
      <c r="Q25" s="65">
        <f t="shared" si="0"/>
        <v>0</v>
      </c>
      <c r="R25" s="66" t="e">
        <f t="shared" si="1"/>
        <v>#DIV/0!</v>
      </c>
    </row>
    <row r="26" spans="1:18" ht="18" customHeight="1">
      <c r="A26" s="36"/>
      <c r="B26" s="43"/>
      <c r="C26" s="44"/>
      <c r="D26" s="45"/>
      <c r="E26" s="46"/>
      <c r="F26" s="47"/>
      <c r="G26" s="48"/>
      <c r="H26" s="49"/>
      <c r="I26" s="46"/>
      <c r="J26" s="47"/>
      <c r="K26" s="48"/>
      <c r="L26" s="49"/>
      <c r="M26" s="46"/>
      <c r="N26" s="47"/>
      <c r="O26" s="48"/>
      <c r="P26" s="49"/>
      <c r="Q26" s="65">
        <f t="shared" si="0"/>
        <v>0</v>
      </c>
      <c r="R26" s="66" t="e">
        <f t="shared" si="1"/>
        <v>#DIV/0!</v>
      </c>
    </row>
    <row r="27" spans="1:18" ht="18" customHeight="1">
      <c r="A27" s="36"/>
      <c r="B27" s="43"/>
      <c r="C27" s="50"/>
      <c r="D27" s="45"/>
      <c r="E27" s="46"/>
      <c r="F27" s="47"/>
      <c r="G27" s="48"/>
      <c r="H27" s="49"/>
      <c r="I27" s="46"/>
      <c r="J27" s="47"/>
      <c r="K27" s="48"/>
      <c r="L27" s="49"/>
      <c r="M27" s="46"/>
      <c r="N27" s="47"/>
      <c r="O27" s="48"/>
      <c r="P27" s="49"/>
      <c r="Q27" s="65">
        <f t="shared" si="0"/>
        <v>0</v>
      </c>
      <c r="R27" s="66" t="e">
        <f t="shared" si="1"/>
        <v>#DIV/0!</v>
      </c>
    </row>
    <row r="28" spans="1:18" ht="18" customHeight="1">
      <c r="A28" s="36"/>
      <c r="B28" s="43"/>
      <c r="C28" s="50"/>
      <c r="D28" s="45"/>
      <c r="E28" s="46"/>
      <c r="F28" s="47"/>
      <c r="G28" s="48"/>
      <c r="H28" s="49"/>
      <c r="I28" s="46"/>
      <c r="J28" s="47"/>
      <c r="K28" s="48"/>
      <c r="L28" s="49"/>
      <c r="M28" s="46"/>
      <c r="N28" s="47"/>
      <c r="O28" s="48"/>
      <c r="P28" s="49"/>
      <c r="Q28" s="65">
        <f t="shared" si="0"/>
        <v>0</v>
      </c>
      <c r="R28" s="66" t="e">
        <f t="shared" si="1"/>
        <v>#DIV/0!</v>
      </c>
    </row>
    <row r="29" spans="1:18" ht="18" customHeight="1">
      <c r="A29" s="36"/>
      <c r="B29" s="51"/>
      <c r="C29" s="52"/>
      <c r="D29" s="38"/>
      <c r="E29" s="39"/>
      <c r="F29" s="40"/>
      <c r="G29" s="41"/>
      <c r="H29" s="42"/>
      <c r="I29" s="39"/>
      <c r="J29" s="40"/>
      <c r="K29" s="41"/>
      <c r="L29" s="42"/>
      <c r="M29" s="39"/>
      <c r="N29" s="40"/>
      <c r="O29" s="41"/>
      <c r="P29" s="42"/>
      <c r="Q29" s="67">
        <f t="shared" si="0"/>
        <v>0</v>
      </c>
      <c r="R29" s="64" t="e">
        <f t="shared" si="1"/>
        <v>#DIV/0!</v>
      </c>
    </row>
    <row r="30" spans="1:18" ht="18" customHeight="1">
      <c r="B30" s="53" t="s">
        <v>147</v>
      </c>
      <c r="C30" s="54">
        <f t="shared" ref="C30:Q30" si="2">SUM(C10:C29)</f>
        <v>6522</v>
      </c>
      <c r="D30" s="55">
        <f t="shared" si="2"/>
        <v>26178</v>
      </c>
      <c r="E30" s="56">
        <f t="shared" si="2"/>
        <v>122</v>
      </c>
      <c r="F30" s="57">
        <f t="shared" si="2"/>
        <v>100</v>
      </c>
      <c r="G30" s="58">
        <f t="shared" si="2"/>
        <v>0</v>
      </c>
      <c r="H30" s="59">
        <f t="shared" si="2"/>
        <v>0</v>
      </c>
      <c r="I30" s="56">
        <f t="shared" si="2"/>
        <v>0</v>
      </c>
      <c r="J30" s="57">
        <f t="shared" si="2"/>
        <v>0</v>
      </c>
      <c r="K30" s="58">
        <f t="shared" si="2"/>
        <v>0</v>
      </c>
      <c r="L30" s="59">
        <f t="shared" si="2"/>
        <v>0</v>
      </c>
      <c r="M30" s="56">
        <f t="shared" si="2"/>
        <v>0</v>
      </c>
      <c r="N30" s="57">
        <f t="shared" si="2"/>
        <v>0</v>
      </c>
      <c r="O30" s="58">
        <f t="shared" si="2"/>
        <v>0</v>
      </c>
      <c r="P30" s="59">
        <f t="shared" si="2"/>
        <v>0</v>
      </c>
      <c r="Q30" s="68">
        <f t="shared" si="2"/>
        <v>122</v>
      </c>
      <c r="R30" s="69">
        <f t="shared" si="1"/>
        <v>4.6604018641607453E-3</v>
      </c>
    </row>
  </sheetData>
  <mergeCells count="14">
    <mergeCell ref="F1:R1"/>
    <mergeCell ref="A2:R2"/>
    <mergeCell ref="C4:D4"/>
    <mergeCell ref="E8:F8"/>
    <mergeCell ref="G8:H8"/>
    <mergeCell ref="I8:J8"/>
    <mergeCell ref="K8:L8"/>
    <mergeCell ref="M8:N8"/>
    <mergeCell ref="O8:P8"/>
    <mergeCell ref="B8:B9"/>
    <mergeCell ref="C8:C9"/>
    <mergeCell ref="D8:D9"/>
    <mergeCell ref="Q8:Q9"/>
    <mergeCell ref="R8:R9"/>
  </mergeCells>
  <phoneticPr fontId="20"/>
  <conditionalFormatting sqref="C4:D4">
    <cfRule type="cellIs" priority="1" stopIfTrue="1" operator="equal">
      <formula>0</formula>
    </cfRule>
  </conditionalFormatting>
  <printOptions horizontalCentered="1"/>
  <pageMargins left="0.78680555555555598" right="0.78680555555555598" top="0.78680555555555598" bottom="0.59027777777777801" header="0.31388888888888899" footer="0.31388888888888899"/>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4"/>
  <sheetViews>
    <sheetView showZeros="0" view="pageBreakPreview" zoomScale="85" zoomScaleNormal="100" zoomScaleSheetLayoutView="85" workbookViewId="0">
      <selection activeCell="B15" sqref="B15:J25"/>
    </sheetView>
  </sheetViews>
  <sheetFormatPr defaultColWidth="11.33203125" defaultRowHeight="18.75" customHeight="1"/>
  <cols>
    <col min="1" max="1" width="2.77734375" style="18" customWidth="1"/>
    <col min="2" max="2" width="16.6640625" style="1" customWidth="1"/>
    <col min="3" max="3" width="8.88671875" style="1" customWidth="1"/>
    <col min="4" max="4" width="2.21875" style="1" customWidth="1"/>
    <col min="5" max="5" width="16.6640625" style="1" customWidth="1"/>
    <col min="6" max="6" width="8.88671875" style="1" customWidth="1"/>
    <col min="7" max="7" width="2.21875" style="1" customWidth="1"/>
    <col min="8" max="8" width="16.6640625" style="1" customWidth="1"/>
    <col min="9" max="9" width="8.88671875" style="1" customWidth="1"/>
    <col min="10" max="10" width="2.21875" style="1" customWidth="1"/>
    <col min="11" max="11" width="11.33203125" style="4"/>
    <col min="12" max="16384" width="11.33203125" style="1"/>
  </cols>
  <sheetData>
    <row r="1" spans="1:11" ht="18.75" customHeight="1">
      <c r="A1" s="18" t="s">
        <v>148</v>
      </c>
      <c r="J1" s="2" t="s">
        <v>149</v>
      </c>
    </row>
    <row r="2" spans="1:11" ht="18.75" customHeight="1">
      <c r="A2" s="268" t="s">
        <v>150</v>
      </c>
      <c r="B2" s="268"/>
      <c r="C2" s="268"/>
      <c r="D2" s="268"/>
      <c r="E2" s="268"/>
      <c r="F2" s="268"/>
      <c r="G2" s="268"/>
      <c r="H2" s="268"/>
      <c r="I2" s="268"/>
      <c r="J2" s="268"/>
    </row>
    <row r="3" spans="1:11" ht="7.5" customHeight="1">
      <c r="B3" s="3"/>
      <c r="C3" s="3"/>
      <c r="D3" s="3"/>
      <c r="E3" s="3"/>
      <c r="F3" s="3"/>
      <c r="G3" s="3"/>
      <c r="H3" s="3"/>
      <c r="I3" s="3"/>
      <c r="J3" s="3"/>
    </row>
    <row r="4" spans="1:11" ht="18.75" customHeight="1">
      <c r="A4" s="1" t="s">
        <v>2</v>
      </c>
      <c r="B4" s="1" t="s">
        <v>151</v>
      </c>
      <c r="I4" s="3"/>
      <c r="J4" s="3"/>
    </row>
    <row r="5" spans="1:11" ht="18.75" customHeight="1">
      <c r="A5" s="1"/>
      <c r="B5" s="120" t="s">
        <v>152</v>
      </c>
      <c r="C5" s="121"/>
      <c r="D5" s="121"/>
      <c r="E5" s="121"/>
      <c r="F5" s="121"/>
      <c r="G5" s="121"/>
      <c r="H5" s="121"/>
      <c r="I5" s="121"/>
      <c r="J5" s="199"/>
      <c r="K5" s="4" t="str">
        <f>IF(B5="","入力してください","")</f>
        <v/>
      </c>
    </row>
    <row r="6" spans="1:11" ht="7.5" customHeight="1">
      <c r="B6" s="3"/>
      <c r="C6" s="3"/>
      <c r="D6" s="3"/>
      <c r="E6" s="3"/>
      <c r="F6" s="3"/>
      <c r="G6" s="3"/>
      <c r="H6" s="3"/>
      <c r="I6" s="3"/>
      <c r="J6" s="3"/>
    </row>
    <row r="7" spans="1:11" ht="18.75" customHeight="1">
      <c r="A7" s="1" t="s">
        <v>5</v>
      </c>
      <c r="B7" s="1" t="s">
        <v>153</v>
      </c>
      <c r="K7" s="25"/>
    </row>
    <row r="8" spans="1:11" ht="18.75" customHeight="1">
      <c r="A8" s="15"/>
      <c r="B8" s="303" t="s">
        <v>154</v>
      </c>
      <c r="C8" s="304"/>
      <c r="D8" s="304"/>
      <c r="E8" s="304"/>
      <c r="F8" s="304"/>
      <c r="G8" s="304"/>
      <c r="H8" s="304"/>
      <c r="I8" s="305"/>
      <c r="J8" s="306"/>
      <c r="K8" s="4" t="str">
        <f>IF(B8="","入力してください","")</f>
        <v/>
      </c>
    </row>
    <row r="9" spans="1:11" ht="18.75" customHeight="1">
      <c r="A9" s="15"/>
      <c r="B9" s="307"/>
      <c r="C9" s="308"/>
      <c r="D9" s="308"/>
      <c r="E9" s="308"/>
      <c r="F9" s="308"/>
      <c r="G9" s="308"/>
      <c r="H9" s="308"/>
      <c r="I9" s="308"/>
      <c r="J9" s="309"/>
    </row>
    <row r="10" spans="1:11" ht="18.75" customHeight="1">
      <c r="A10" s="15"/>
      <c r="B10" s="307"/>
      <c r="C10" s="308"/>
      <c r="D10" s="308"/>
      <c r="E10" s="308"/>
      <c r="F10" s="308"/>
      <c r="G10" s="308"/>
      <c r="H10" s="308"/>
      <c r="I10" s="308"/>
      <c r="J10" s="309"/>
    </row>
    <row r="11" spans="1:11" ht="18.75" customHeight="1">
      <c r="A11" s="15"/>
      <c r="B11" s="307"/>
      <c r="C11" s="308"/>
      <c r="D11" s="308"/>
      <c r="E11" s="308"/>
      <c r="F11" s="308"/>
      <c r="G11" s="308"/>
      <c r="H11" s="308"/>
      <c r="I11" s="308"/>
      <c r="J11" s="309"/>
    </row>
    <row r="12" spans="1:11" ht="18.75" customHeight="1">
      <c r="A12" s="15"/>
      <c r="B12" s="310"/>
      <c r="C12" s="311"/>
      <c r="D12" s="311"/>
      <c r="E12" s="311"/>
      <c r="F12" s="311"/>
      <c r="G12" s="311"/>
      <c r="H12" s="311"/>
      <c r="I12" s="311"/>
      <c r="J12" s="312"/>
    </row>
    <row r="13" spans="1:11" ht="7.5" customHeight="1">
      <c r="A13" s="15"/>
      <c r="B13" s="15"/>
      <c r="C13" s="15"/>
      <c r="D13" s="15"/>
      <c r="E13" s="15"/>
      <c r="F13" s="15"/>
      <c r="G13" s="15"/>
      <c r="H13" s="15"/>
      <c r="I13" s="15"/>
      <c r="J13" s="15"/>
    </row>
    <row r="14" spans="1:11" ht="18.75" customHeight="1">
      <c r="A14" s="14" t="s">
        <v>8</v>
      </c>
      <c r="B14" s="14" t="s">
        <v>155</v>
      </c>
      <c r="C14" s="14"/>
      <c r="D14" s="14"/>
      <c r="E14" s="14"/>
      <c r="F14" s="14"/>
      <c r="G14" s="14"/>
      <c r="H14" s="14"/>
      <c r="I14" s="14"/>
      <c r="J14" s="14"/>
    </row>
    <row r="15" spans="1:11" ht="18.75" customHeight="1">
      <c r="A15" s="15"/>
      <c r="B15" s="313" t="s">
        <v>209</v>
      </c>
      <c r="C15" s="314"/>
      <c r="D15" s="314"/>
      <c r="E15" s="314"/>
      <c r="F15" s="314"/>
      <c r="G15" s="314"/>
      <c r="H15" s="314"/>
      <c r="I15" s="315"/>
      <c r="J15" s="316"/>
      <c r="K15" s="4" t="str">
        <f>IF(B15="","入力してください","")</f>
        <v/>
      </c>
    </row>
    <row r="16" spans="1:11" ht="18.75" customHeight="1">
      <c r="A16" s="15"/>
      <c r="B16" s="317"/>
      <c r="C16" s="318"/>
      <c r="D16" s="318"/>
      <c r="E16" s="318"/>
      <c r="F16" s="318"/>
      <c r="G16" s="318"/>
      <c r="H16" s="318"/>
      <c r="I16" s="318"/>
      <c r="J16" s="319"/>
    </row>
    <row r="17" spans="1:11" ht="18.75" customHeight="1">
      <c r="A17" s="15"/>
      <c r="B17" s="317"/>
      <c r="C17" s="318"/>
      <c r="D17" s="318"/>
      <c r="E17" s="318"/>
      <c r="F17" s="318"/>
      <c r="G17" s="318"/>
      <c r="H17" s="318"/>
      <c r="I17" s="318"/>
      <c r="J17" s="319"/>
    </row>
    <row r="18" spans="1:11" ht="18.75" customHeight="1">
      <c r="A18" s="15"/>
      <c r="B18" s="317"/>
      <c r="C18" s="318"/>
      <c r="D18" s="318"/>
      <c r="E18" s="318"/>
      <c r="F18" s="318"/>
      <c r="G18" s="318"/>
      <c r="H18" s="318"/>
      <c r="I18" s="318"/>
      <c r="J18" s="319"/>
    </row>
    <row r="19" spans="1:11" ht="18.75" customHeight="1">
      <c r="A19" s="15"/>
      <c r="B19" s="317"/>
      <c r="C19" s="318"/>
      <c r="D19" s="318"/>
      <c r="E19" s="318"/>
      <c r="F19" s="318"/>
      <c r="G19" s="318"/>
      <c r="H19" s="318"/>
      <c r="I19" s="318"/>
      <c r="J19" s="319"/>
    </row>
    <row r="20" spans="1:11" ht="18.75" customHeight="1">
      <c r="A20" s="15"/>
      <c r="B20" s="317"/>
      <c r="C20" s="318"/>
      <c r="D20" s="318"/>
      <c r="E20" s="318"/>
      <c r="F20" s="318"/>
      <c r="G20" s="318"/>
      <c r="H20" s="318"/>
      <c r="I20" s="318"/>
      <c r="J20" s="319"/>
    </row>
    <row r="21" spans="1:11" ht="18.75" customHeight="1">
      <c r="A21" s="15"/>
      <c r="B21" s="317"/>
      <c r="C21" s="318"/>
      <c r="D21" s="318"/>
      <c r="E21" s="318"/>
      <c r="F21" s="318"/>
      <c r="G21" s="318"/>
      <c r="H21" s="318"/>
      <c r="I21" s="318"/>
      <c r="J21" s="319"/>
    </row>
    <row r="22" spans="1:11" ht="18.75" customHeight="1">
      <c r="A22" s="15"/>
      <c r="B22" s="317"/>
      <c r="C22" s="318"/>
      <c r="D22" s="318"/>
      <c r="E22" s="318"/>
      <c r="F22" s="318"/>
      <c r="G22" s="318"/>
      <c r="H22" s="318"/>
      <c r="I22" s="318"/>
      <c r="J22" s="319"/>
    </row>
    <row r="23" spans="1:11" ht="18.75" customHeight="1">
      <c r="A23" s="15"/>
      <c r="B23" s="317"/>
      <c r="C23" s="318"/>
      <c r="D23" s="318"/>
      <c r="E23" s="318"/>
      <c r="F23" s="318"/>
      <c r="G23" s="318"/>
      <c r="H23" s="318"/>
      <c r="I23" s="318"/>
      <c r="J23" s="319"/>
    </row>
    <row r="24" spans="1:11" ht="18.75" customHeight="1">
      <c r="A24" s="15"/>
      <c r="B24" s="317"/>
      <c r="C24" s="318"/>
      <c r="D24" s="318"/>
      <c r="E24" s="318"/>
      <c r="F24" s="318"/>
      <c r="G24" s="318"/>
      <c r="H24" s="318"/>
      <c r="I24" s="318"/>
      <c r="J24" s="319"/>
    </row>
    <row r="25" spans="1:11" ht="18.75" customHeight="1">
      <c r="A25" s="15"/>
      <c r="B25" s="320"/>
      <c r="C25" s="321"/>
      <c r="D25" s="321"/>
      <c r="E25" s="321"/>
      <c r="F25" s="321"/>
      <c r="G25" s="321"/>
      <c r="H25" s="321"/>
      <c r="I25" s="321"/>
      <c r="J25" s="322"/>
    </row>
    <row r="26" spans="1:11" ht="7.5" customHeight="1">
      <c r="A26" s="6"/>
      <c r="B26" s="6"/>
      <c r="C26" s="6"/>
      <c r="D26" s="6"/>
      <c r="E26" s="6"/>
      <c r="F26" s="6"/>
      <c r="G26" s="6"/>
      <c r="H26" s="6"/>
      <c r="I26" s="6"/>
      <c r="J26" s="6"/>
    </row>
    <row r="27" spans="1:11" ht="18.75" customHeight="1">
      <c r="A27" s="1" t="s">
        <v>11</v>
      </c>
      <c r="B27" s="1" t="s">
        <v>156</v>
      </c>
    </row>
    <row r="28" spans="1:11" s="17" customFormat="1" ht="18.75" customHeight="1">
      <c r="B28" s="19" t="s">
        <v>157</v>
      </c>
      <c r="C28" s="20">
        <f>'様式３　履修者等数の実績'!R30</f>
        <v>4.6604018641607453E-3</v>
      </c>
      <c r="D28" s="21"/>
      <c r="E28" s="21" t="s">
        <v>158</v>
      </c>
      <c r="F28" s="20">
        <v>0.2</v>
      </c>
      <c r="G28" s="21"/>
      <c r="H28" s="21" t="s">
        <v>159</v>
      </c>
      <c r="I28" s="26">
        <v>0.3</v>
      </c>
      <c r="J28" s="27"/>
      <c r="K28" s="4"/>
    </row>
    <row r="29" spans="1:11" s="17" customFormat="1" ht="18.75" customHeight="1">
      <c r="B29" s="22" t="s">
        <v>160</v>
      </c>
      <c r="C29" s="23">
        <v>0.4</v>
      </c>
      <c r="D29" s="24"/>
      <c r="E29" s="24" t="s">
        <v>161</v>
      </c>
      <c r="F29" s="23">
        <v>0.5</v>
      </c>
      <c r="G29" s="24"/>
      <c r="H29" s="24" t="s">
        <v>162</v>
      </c>
      <c r="I29" s="28">
        <f>'様式３　履修者等数の実績'!D30</f>
        <v>26178</v>
      </c>
      <c r="J29" s="29"/>
      <c r="K29" s="25"/>
    </row>
    <row r="30" spans="1:11" ht="18.75" customHeight="1">
      <c r="A30" s="1"/>
      <c r="B30" s="186" t="s">
        <v>163</v>
      </c>
      <c r="C30" s="187"/>
      <c r="D30" s="187"/>
      <c r="E30" s="187"/>
      <c r="F30" s="187"/>
      <c r="G30" s="187"/>
      <c r="H30" s="187"/>
      <c r="I30" s="187"/>
      <c r="J30" s="188"/>
      <c r="K30" s="25"/>
    </row>
    <row r="31" spans="1:11" ht="18.75" customHeight="1">
      <c r="A31" s="1"/>
      <c r="B31" s="294" t="s">
        <v>198</v>
      </c>
      <c r="C31" s="295"/>
      <c r="D31" s="295"/>
      <c r="E31" s="295"/>
      <c r="F31" s="295"/>
      <c r="G31" s="295"/>
      <c r="H31" s="295"/>
      <c r="I31" s="295"/>
      <c r="J31" s="296"/>
      <c r="K31" s="25" t="str">
        <f>IF(B31="","入力してください","")</f>
        <v/>
      </c>
    </row>
    <row r="32" spans="1:11" ht="18.75" customHeight="1">
      <c r="A32" s="1"/>
      <c r="B32" s="297"/>
      <c r="C32" s="298"/>
      <c r="D32" s="298"/>
      <c r="E32" s="298"/>
      <c r="F32" s="298"/>
      <c r="G32" s="298"/>
      <c r="H32" s="298"/>
      <c r="I32" s="298"/>
      <c r="J32" s="299"/>
      <c r="K32" s="25"/>
    </row>
    <row r="33" spans="1:11" ht="18.75" customHeight="1">
      <c r="A33" s="1"/>
      <c r="B33" s="297"/>
      <c r="C33" s="298"/>
      <c r="D33" s="298"/>
      <c r="E33" s="298"/>
      <c r="F33" s="298"/>
      <c r="G33" s="298"/>
      <c r="H33" s="298"/>
      <c r="I33" s="298"/>
      <c r="J33" s="299"/>
      <c r="K33" s="25"/>
    </row>
    <row r="34" spans="1:11" ht="18.75" customHeight="1">
      <c r="A34" s="1"/>
      <c r="B34" s="297"/>
      <c r="C34" s="298"/>
      <c r="D34" s="298"/>
      <c r="E34" s="298"/>
      <c r="F34" s="298"/>
      <c r="G34" s="298"/>
      <c r="H34" s="298"/>
      <c r="I34" s="298"/>
      <c r="J34" s="299"/>
      <c r="K34" s="25"/>
    </row>
    <row r="35" spans="1:11" ht="18.75" customHeight="1">
      <c r="A35" s="1"/>
      <c r="B35" s="297"/>
      <c r="C35" s="298"/>
      <c r="D35" s="298"/>
      <c r="E35" s="298"/>
      <c r="F35" s="298"/>
      <c r="G35" s="298"/>
      <c r="H35" s="298"/>
      <c r="I35" s="298"/>
      <c r="J35" s="299"/>
      <c r="K35" s="25"/>
    </row>
    <row r="36" spans="1:11" ht="18.75" customHeight="1">
      <c r="A36" s="1"/>
      <c r="B36" s="297"/>
      <c r="C36" s="298"/>
      <c r="D36" s="298"/>
      <c r="E36" s="298"/>
      <c r="F36" s="298"/>
      <c r="G36" s="298"/>
      <c r="H36" s="298"/>
      <c r="I36" s="298"/>
      <c r="J36" s="299"/>
      <c r="K36" s="25"/>
    </row>
    <row r="37" spans="1:11" ht="18.75" customHeight="1">
      <c r="A37" s="1"/>
      <c r="B37" s="297"/>
      <c r="C37" s="298"/>
      <c r="D37" s="298"/>
      <c r="E37" s="298"/>
      <c r="F37" s="298"/>
      <c r="G37" s="298"/>
      <c r="H37" s="298"/>
      <c r="I37" s="298"/>
      <c r="J37" s="299"/>
      <c r="K37" s="25"/>
    </row>
    <row r="38" spans="1:11" ht="18.75" customHeight="1">
      <c r="A38" s="1"/>
      <c r="B38" s="297"/>
      <c r="C38" s="298"/>
      <c r="D38" s="298"/>
      <c r="E38" s="298"/>
      <c r="F38" s="298"/>
      <c r="G38" s="298"/>
      <c r="H38" s="298"/>
      <c r="I38" s="298"/>
      <c r="J38" s="299"/>
      <c r="K38" s="25"/>
    </row>
    <row r="39" spans="1:11" ht="18.75" customHeight="1">
      <c r="A39" s="1"/>
      <c r="B39" s="297"/>
      <c r="C39" s="298"/>
      <c r="D39" s="298"/>
      <c r="E39" s="298"/>
      <c r="F39" s="298"/>
      <c r="G39" s="298"/>
      <c r="H39" s="298"/>
      <c r="I39" s="298"/>
      <c r="J39" s="299"/>
      <c r="K39" s="25"/>
    </row>
    <row r="40" spans="1:11" ht="18.75" customHeight="1">
      <c r="A40" s="1"/>
      <c r="B40" s="297"/>
      <c r="C40" s="298"/>
      <c r="D40" s="298"/>
      <c r="E40" s="298"/>
      <c r="F40" s="298"/>
      <c r="G40" s="298"/>
      <c r="H40" s="298"/>
      <c r="I40" s="298"/>
      <c r="J40" s="299"/>
      <c r="K40" s="25"/>
    </row>
    <row r="41" spans="1:11" ht="18.75" customHeight="1">
      <c r="A41" s="1"/>
      <c r="B41" s="297"/>
      <c r="C41" s="298"/>
      <c r="D41" s="298"/>
      <c r="E41" s="298"/>
      <c r="F41" s="298"/>
      <c r="G41" s="298"/>
      <c r="H41" s="298"/>
      <c r="I41" s="298"/>
      <c r="J41" s="299"/>
      <c r="K41" s="25"/>
    </row>
    <row r="42" spans="1:11" ht="18.75" customHeight="1">
      <c r="A42" s="1"/>
      <c r="B42" s="297"/>
      <c r="C42" s="298"/>
      <c r="D42" s="298"/>
      <c r="E42" s="298"/>
      <c r="F42" s="298"/>
      <c r="G42" s="298"/>
      <c r="H42" s="298"/>
      <c r="I42" s="298"/>
      <c r="J42" s="299"/>
      <c r="K42" s="25"/>
    </row>
    <row r="43" spans="1:11" ht="18.75" customHeight="1">
      <c r="A43" s="6"/>
      <c r="B43" s="297"/>
      <c r="C43" s="298"/>
      <c r="D43" s="298"/>
      <c r="E43" s="298"/>
      <c r="F43" s="298"/>
      <c r="G43" s="298"/>
      <c r="H43" s="298"/>
      <c r="I43" s="298"/>
      <c r="J43" s="299"/>
      <c r="K43" s="25"/>
    </row>
    <row r="44" spans="1:11" ht="18.75" customHeight="1">
      <c r="A44" s="6"/>
      <c r="B44" s="300"/>
      <c r="C44" s="301"/>
      <c r="D44" s="301"/>
      <c r="E44" s="301"/>
      <c r="F44" s="301"/>
      <c r="G44" s="301"/>
      <c r="H44" s="301"/>
      <c r="I44" s="301"/>
      <c r="J44" s="302"/>
    </row>
    <row r="45" spans="1:11" ht="18.75" customHeight="1">
      <c r="A45" s="14" t="s">
        <v>14</v>
      </c>
      <c r="B45" s="1" t="s">
        <v>164</v>
      </c>
      <c r="I45" s="14"/>
      <c r="J45" s="14"/>
    </row>
    <row r="46" spans="1:11" ht="18.75" customHeight="1">
      <c r="A46" s="6"/>
      <c r="B46" s="313" t="s">
        <v>202</v>
      </c>
      <c r="C46" s="314"/>
      <c r="D46" s="314"/>
      <c r="E46" s="314"/>
      <c r="F46" s="314"/>
      <c r="G46" s="314"/>
      <c r="H46" s="314"/>
      <c r="I46" s="314"/>
      <c r="J46" s="324"/>
      <c r="K46" s="4" t="str">
        <f>IF(B46="","入力してください","")</f>
        <v/>
      </c>
    </row>
    <row r="47" spans="1:11" ht="18.75" customHeight="1">
      <c r="A47" s="6"/>
      <c r="B47" s="325"/>
      <c r="C47" s="326"/>
      <c r="D47" s="326"/>
      <c r="E47" s="326"/>
      <c r="F47" s="326"/>
      <c r="G47" s="326"/>
      <c r="H47" s="326"/>
      <c r="I47" s="326"/>
      <c r="J47" s="327"/>
    </row>
    <row r="48" spans="1:11" ht="18.75" customHeight="1">
      <c r="A48" s="6"/>
      <c r="B48" s="325"/>
      <c r="C48" s="326"/>
      <c r="D48" s="326"/>
      <c r="E48" s="326"/>
      <c r="F48" s="326"/>
      <c r="G48" s="326"/>
      <c r="H48" s="326"/>
      <c r="I48" s="326"/>
      <c r="J48" s="327"/>
    </row>
    <row r="49" spans="1:10" ht="18.75" customHeight="1">
      <c r="A49" s="6"/>
      <c r="B49" s="325"/>
      <c r="C49" s="326"/>
      <c r="D49" s="326"/>
      <c r="E49" s="326"/>
      <c r="F49" s="326"/>
      <c r="G49" s="326"/>
      <c r="H49" s="326"/>
      <c r="I49" s="326"/>
      <c r="J49" s="327"/>
    </row>
    <row r="50" spans="1:10" ht="18.75" customHeight="1">
      <c r="A50" s="6"/>
      <c r="B50" s="325"/>
      <c r="C50" s="326"/>
      <c r="D50" s="326"/>
      <c r="E50" s="326"/>
      <c r="F50" s="326"/>
      <c r="G50" s="326"/>
      <c r="H50" s="326"/>
      <c r="I50" s="326"/>
      <c r="J50" s="327"/>
    </row>
    <row r="51" spans="1:10" ht="18.75" customHeight="1">
      <c r="A51" s="6"/>
      <c r="B51" s="325"/>
      <c r="C51" s="326"/>
      <c r="D51" s="326"/>
      <c r="E51" s="326"/>
      <c r="F51" s="326"/>
      <c r="G51" s="326"/>
      <c r="H51" s="326"/>
      <c r="I51" s="326"/>
      <c r="J51" s="327"/>
    </row>
    <row r="52" spans="1:10" ht="18.75" customHeight="1">
      <c r="A52" s="6"/>
      <c r="B52" s="325"/>
      <c r="C52" s="326"/>
      <c r="D52" s="326"/>
      <c r="E52" s="326"/>
      <c r="F52" s="326"/>
      <c r="G52" s="326"/>
      <c r="H52" s="326"/>
      <c r="I52" s="326"/>
      <c r="J52" s="327"/>
    </row>
    <row r="53" spans="1:10" ht="18.75" customHeight="1">
      <c r="A53" s="6"/>
      <c r="B53" s="325"/>
      <c r="C53" s="326"/>
      <c r="D53" s="326"/>
      <c r="E53" s="326"/>
      <c r="F53" s="326"/>
      <c r="G53" s="326"/>
      <c r="H53" s="326"/>
      <c r="I53" s="326"/>
      <c r="J53" s="327"/>
    </row>
    <row r="54" spans="1:10" ht="18.75" customHeight="1">
      <c r="A54" s="6"/>
      <c r="B54" s="325"/>
      <c r="C54" s="326"/>
      <c r="D54" s="326"/>
      <c r="E54" s="326"/>
      <c r="F54" s="326"/>
      <c r="G54" s="326"/>
      <c r="H54" s="326"/>
      <c r="I54" s="326"/>
      <c r="J54" s="327"/>
    </row>
    <row r="55" spans="1:10" ht="18.75" customHeight="1">
      <c r="A55" s="6"/>
      <c r="B55" s="325"/>
      <c r="C55" s="326"/>
      <c r="D55" s="326"/>
      <c r="E55" s="326"/>
      <c r="F55" s="326"/>
      <c r="G55" s="326"/>
      <c r="H55" s="326"/>
      <c r="I55" s="326"/>
      <c r="J55" s="327"/>
    </row>
    <row r="56" spans="1:10" ht="18.75" customHeight="1">
      <c r="A56" s="6"/>
      <c r="B56" s="325"/>
      <c r="C56" s="326"/>
      <c r="D56" s="326"/>
      <c r="E56" s="326"/>
      <c r="F56" s="326"/>
      <c r="G56" s="326"/>
      <c r="H56" s="326"/>
      <c r="I56" s="326"/>
      <c r="J56" s="327"/>
    </row>
    <row r="57" spans="1:10" ht="18.75" customHeight="1">
      <c r="A57" s="6"/>
      <c r="B57" s="325"/>
      <c r="C57" s="326"/>
      <c r="D57" s="326"/>
      <c r="E57" s="326"/>
      <c r="F57" s="326"/>
      <c r="G57" s="326"/>
      <c r="H57" s="326"/>
      <c r="I57" s="326"/>
      <c r="J57" s="327"/>
    </row>
    <row r="58" spans="1:10" ht="18.75" customHeight="1">
      <c r="A58" s="6"/>
      <c r="B58" s="325"/>
      <c r="C58" s="326"/>
      <c r="D58" s="326"/>
      <c r="E58" s="326"/>
      <c r="F58" s="326"/>
      <c r="G58" s="326"/>
      <c r="H58" s="326"/>
      <c r="I58" s="326"/>
      <c r="J58" s="327"/>
    </row>
    <row r="59" spans="1:10" ht="18.75" customHeight="1">
      <c r="A59" s="6"/>
      <c r="B59" s="325"/>
      <c r="C59" s="326"/>
      <c r="D59" s="326"/>
      <c r="E59" s="326"/>
      <c r="F59" s="326"/>
      <c r="G59" s="326"/>
      <c r="H59" s="326"/>
      <c r="I59" s="326"/>
      <c r="J59" s="327"/>
    </row>
    <row r="60" spans="1:10" ht="18.75" customHeight="1">
      <c r="A60" s="6"/>
      <c r="B60" s="325"/>
      <c r="C60" s="326"/>
      <c r="D60" s="326"/>
      <c r="E60" s="326"/>
      <c r="F60" s="326"/>
      <c r="G60" s="326"/>
      <c r="H60" s="326"/>
      <c r="I60" s="326"/>
      <c r="J60" s="327"/>
    </row>
    <row r="61" spans="1:10" ht="18.75" customHeight="1">
      <c r="A61" s="6"/>
      <c r="B61" s="325"/>
      <c r="C61" s="326"/>
      <c r="D61" s="326"/>
      <c r="E61" s="326"/>
      <c r="F61" s="326"/>
      <c r="G61" s="326"/>
      <c r="H61" s="326"/>
      <c r="I61" s="326"/>
      <c r="J61" s="327"/>
    </row>
    <row r="62" spans="1:10" ht="18.75" customHeight="1">
      <c r="A62" s="6"/>
      <c r="B62" s="325"/>
      <c r="C62" s="326"/>
      <c r="D62" s="326"/>
      <c r="E62" s="326"/>
      <c r="F62" s="326"/>
      <c r="G62" s="326"/>
      <c r="H62" s="326"/>
      <c r="I62" s="326"/>
      <c r="J62" s="327"/>
    </row>
    <row r="63" spans="1:10" ht="18.75" customHeight="1">
      <c r="A63" s="6"/>
      <c r="B63" s="325"/>
      <c r="C63" s="326"/>
      <c r="D63" s="326"/>
      <c r="E63" s="326"/>
      <c r="F63" s="326"/>
      <c r="G63" s="326"/>
      <c r="H63" s="326"/>
      <c r="I63" s="326"/>
      <c r="J63" s="327"/>
    </row>
    <row r="64" spans="1:10" ht="18.75" customHeight="1">
      <c r="A64" s="6"/>
      <c r="B64" s="325"/>
      <c r="C64" s="326"/>
      <c r="D64" s="326"/>
      <c r="E64" s="326"/>
      <c r="F64" s="326"/>
      <c r="G64" s="326"/>
      <c r="H64" s="326"/>
      <c r="I64" s="326"/>
      <c r="J64" s="327"/>
    </row>
    <row r="65" spans="1:11" ht="18.75" customHeight="1">
      <c r="A65" s="6"/>
      <c r="B65" s="325"/>
      <c r="C65" s="326"/>
      <c r="D65" s="326"/>
      <c r="E65" s="326"/>
      <c r="F65" s="326"/>
      <c r="G65" s="326"/>
      <c r="H65" s="326"/>
      <c r="I65" s="326"/>
      <c r="J65" s="327"/>
    </row>
    <row r="66" spans="1:11" ht="18.75" customHeight="1">
      <c r="A66" s="6"/>
      <c r="B66" s="328"/>
      <c r="C66" s="329"/>
      <c r="D66" s="329"/>
      <c r="E66" s="329"/>
      <c r="F66" s="329"/>
      <c r="G66" s="329"/>
      <c r="H66" s="329"/>
      <c r="I66" s="329"/>
      <c r="J66" s="330"/>
    </row>
    <row r="67" spans="1:11" ht="7.5" customHeight="1">
      <c r="A67" s="6"/>
      <c r="B67" s="6"/>
      <c r="C67" s="6"/>
      <c r="D67" s="6"/>
      <c r="E67" s="6"/>
      <c r="F67" s="6"/>
      <c r="G67" s="6"/>
      <c r="H67" s="6"/>
      <c r="I67" s="6"/>
      <c r="J67" s="6"/>
    </row>
    <row r="68" spans="1:11" ht="18.75" customHeight="1">
      <c r="A68" s="1" t="s">
        <v>16</v>
      </c>
      <c r="B68" s="1" t="s">
        <v>165</v>
      </c>
    </row>
    <row r="69" spans="1:11" ht="18.75" customHeight="1">
      <c r="A69" s="1"/>
      <c r="B69" s="313" t="s">
        <v>203</v>
      </c>
      <c r="C69" s="331"/>
      <c r="D69" s="331"/>
      <c r="E69" s="331"/>
      <c r="F69" s="331"/>
      <c r="G69" s="331"/>
      <c r="H69" s="331"/>
      <c r="I69" s="332"/>
      <c r="J69" s="333"/>
      <c r="K69" s="25" t="str">
        <f>IF(B69="","入力してください","")</f>
        <v/>
      </c>
    </row>
    <row r="70" spans="1:11" ht="18.75" customHeight="1">
      <c r="A70" s="1"/>
      <c r="B70" s="297"/>
      <c r="C70" s="298"/>
      <c r="D70" s="298"/>
      <c r="E70" s="298"/>
      <c r="F70" s="298"/>
      <c r="G70" s="298"/>
      <c r="H70" s="298"/>
      <c r="I70" s="298"/>
      <c r="J70" s="299"/>
      <c r="K70" s="25"/>
    </row>
    <row r="71" spans="1:11" ht="18.75" customHeight="1">
      <c r="A71" s="1"/>
      <c r="B71" s="297"/>
      <c r="C71" s="298"/>
      <c r="D71" s="298"/>
      <c r="E71" s="298"/>
      <c r="F71" s="298"/>
      <c r="G71" s="298"/>
      <c r="H71" s="298"/>
      <c r="I71" s="298"/>
      <c r="J71" s="299"/>
      <c r="K71" s="25"/>
    </row>
    <row r="72" spans="1:11" ht="18.75" customHeight="1">
      <c r="A72" s="1"/>
      <c r="B72" s="297"/>
      <c r="C72" s="298"/>
      <c r="D72" s="298"/>
      <c r="E72" s="298"/>
      <c r="F72" s="298"/>
      <c r="G72" s="298"/>
      <c r="H72" s="298"/>
      <c r="I72" s="298"/>
      <c r="J72" s="299"/>
      <c r="K72" s="25"/>
    </row>
    <row r="73" spans="1:11" ht="18.75" customHeight="1">
      <c r="A73" s="1"/>
      <c r="B73" s="297"/>
      <c r="C73" s="298"/>
      <c r="D73" s="298"/>
      <c r="E73" s="298"/>
      <c r="F73" s="298"/>
      <c r="G73" s="298"/>
      <c r="H73" s="298"/>
      <c r="I73" s="298"/>
      <c r="J73" s="299"/>
      <c r="K73" s="25"/>
    </row>
    <row r="74" spans="1:11" ht="18.75" customHeight="1">
      <c r="A74" s="1"/>
      <c r="B74" s="297"/>
      <c r="C74" s="298"/>
      <c r="D74" s="298"/>
      <c r="E74" s="298"/>
      <c r="F74" s="298"/>
      <c r="G74" s="298"/>
      <c r="H74" s="298"/>
      <c r="I74" s="298"/>
      <c r="J74" s="299"/>
      <c r="K74" s="25"/>
    </row>
    <row r="75" spans="1:11" ht="18.75" customHeight="1">
      <c r="A75" s="1"/>
      <c r="B75" s="297"/>
      <c r="C75" s="298"/>
      <c r="D75" s="298"/>
      <c r="E75" s="298"/>
      <c r="F75" s="298"/>
      <c r="G75" s="298"/>
      <c r="H75" s="298"/>
      <c r="I75" s="298"/>
      <c r="J75" s="299"/>
      <c r="K75" s="25"/>
    </row>
    <row r="76" spans="1:11" ht="18.75" customHeight="1">
      <c r="A76" s="1"/>
      <c r="B76" s="297"/>
      <c r="C76" s="298"/>
      <c r="D76" s="298"/>
      <c r="E76" s="298"/>
      <c r="F76" s="298"/>
      <c r="G76" s="298"/>
      <c r="H76" s="298"/>
      <c r="I76" s="298"/>
      <c r="J76" s="299"/>
      <c r="K76" s="25"/>
    </row>
    <row r="77" spans="1:11" ht="18.75" customHeight="1">
      <c r="A77" s="1"/>
      <c r="B77" s="297"/>
      <c r="C77" s="298"/>
      <c r="D77" s="298"/>
      <c r="E77" s="298"/>
      <c r="F77" s="298"/>
      <c r="G77" s="298"/>
      <c r="H77" s="298"/>
      <c r="I77" s="298"/>
      <c r="J77" s="299"/>
      <c r="K77" s="25"/>
    </row>
    <row r="78" spans="1:11" ht="18.75" customHeight="1">
      <c r="A78" s="1"/>
      <c r="B78" s="297"/>
      <c r="C78" s="298"/>
      <c r="D78" s="298"/>
      <c r="E78" s="298"/>
      <c r="F78" s="298"/>
      <c r="G78" s="298"/>
      <c r="H78" s="298"/>
      <c r="I78" s="298"/>
      <c r="J78" s="299"/>
      <c r="K78" s="25"/>
    </row>
    <row r="79" spans="1:11" ht="18.75" customHeight="1">
      <c r="A79" s="1"/>
      <c r="B79" s="297"/>
      <c r="C79" s="298"/>
      <c r="D79" s="298"/>
      <c r="E79" s="298"/>
      <c r="F79" s="298"/>
      <c r="G79" s="298"/>
      <c r="H79" s="298"/>
      <c r="I79" s="298"/>
      <c r="J79" s="299"/>
      <c r="K79" s="25"/>
    </row>
    <row r="80" spans="1:11" ht="18.75" customHeight="1">
      <c r="A80" s="1"/>
      <c r="B80" s="297"/>
      <c r="C80" s="298"/>
      <c r="D80" s="298"/>
      <c r="E80" s="298"/>
      <c r="F80" s="298"/>
      <c r="G80" s="298"/>
      <c r="H80" s="298"/>
      <c r="I80" s="298"/>
      <c r="J80" s="299"/>
      <c r="K80" s="25"/>
    </row>
    <row r="81" spans="1:11" ht="18.75" customHeight="1">
      <c r="A81" s="1"/>
      <c r="B81" s="297"/>
      <c r="C81" s="298"/>
      <c r="D81" s="298"/>
      <c r="E81" s="298"/>
      <c r="F81" s="298"/>
      <c r="G81" s="298"/>
      <c r="H81" s="298"/>
      <c r="I81" s="298"/>
      <c r="J81" s="299"/>
      <c r="K81" s="25"/>
    </row>
    <row r="82" spans="1:11" ht="18.75" customHeight="1">
      <c r="A82" s="1"/>
      <c r="B82" s="297"/>
      <c r="C82" s="298"/>
      <c r="D82" s="298"/>
      <c r="E82" s="298"/>
      <c r="F82" s="298"/>
      <c r="G82" s="298"/>
      <c r="H82" s="298"/>
      <c r="I82" s="298"/>
      <c r="J82" s="299"/>
      <c r="K82" s="25"/>
    </row>
    <row r="83" spans="1:11" ht="18.75" customHeight="1">
      <c r="A83" s="1"/>
      <c r="B83" s="297"/>
      <c r="C83" s="298"/>
      <c r="D83" s="298"/>
      <c r="E83" s="298"/>
      <c r="F83" s="298"/>
      <c r="G83" s="298"/>
      <c r="H83" s="298"/>
      <c r="I83" s="298"/>
      <c r="J83" s="299"/>
      <c r="K83" s="25"/>
    </row>
    <row r="84" spans="1:11" ht="18.75" customHeight="1">
      <c r="A84" s="1"/>
      <c r="B84" s="297"/>
      <c r="C84" s="298"/>
      <c r="D84" s="298"/>
      <c r="E84" s="298"/>
      <c r="F84" s="298"/>
      <c r="G84" s="298"/>
      <c r="H84" s="298"/>
      <c r="I84" s="298"/>
      <c r="J84" s="299"/>
      <c r="K84" s="25"/>
    </row>
    <row r="85" spans="1:11" ht="18.75" customHeight="1">
      <c r="A85" s="6"/>
      <c r="B85" s="297"/>
      <c r="C85" s="298"/>
      <c r="D85" s="298"/>
      <c r="E85" s="298"/>
      <c r="F85" s="298"/>
      <c r="G85" s="298"/>
      <c r="H85" s="298"/>
      <c r="I85" s="298"/>
      <c r="J85" s="299"/>
      <c r="K85" s="25"/>
    </row>
    <row r="86" spans="1:11" ht="18.75" customHeight="1">
      <c r="A86" s="6"/>
      <c r="B86" s="300"/>
      <c r="C86" s="301"/>
      <c r="D86" s="301"/>
      <c r="E86" s="301"/>
      <c r="F86" s="301"/>
      <c r="G86" s="301"/>
      <c r="H86" s="301"/>
      <c r="I86" s="301"/>
      <c r="J86" s="302"/>
      <c r="K86" s="25"/>
    </row>
    <row r="87" spans="1:11" ht="7.5" customHeight="1">
      <c r="A87" s="6"/>
      <c r="B87" s="6" t="s">
        <v>166</v>
      </c>
      <c r="C87" s="6"/>
      <c r="D87" s="6"/>
      <c r="E87" s="6"/>
      <c r="F87" s="6"/>
      <c r="G87" s="6"/>
      <c r="H87" s="6"/>
      <c r="I87" s="6"/>
      <c r="J87" s="6"/>
    </row>
    <row r="88" spans="1:11" ht="18.75" customHeight="1">
      <c r="A88" s="1" t="s">
        <v>167</v>
      </c>
      <c r="B88" s="1" t="s">
        <v>168</v>
      </c>
    </row>
    <row r="89" spans="1:11" ht="18.75" customHeight="1">
      <c r="A89" s="1"/>
      <c r="B89" s="284" t="s">
        <v>169</v>
      </c>
      <c r="C89" s="285"/>
      <c r="D89" s="285"/>
      <c r="E89" s="285"/>
      <c r="F89" s="285"/>
      <c r="G89" s="285"/>
      <c r="H89" s="285"/>
      <c r="I89" s="286"/>
      <c r="J89" s="287"/>
    </row>
    <row r="90" spans="1:11" ht="18.75" customHeight="1">
      <c r="A90" s="1"/>
      <c r="B90" s="288"/>
      <c r="C90" s="289"/>
      <c r="D90" s="289"/>
      <c r="E90" s="289"/>
      <c r="F90" s="289"/>
      <c r="G90" s="289"/>
      <c r="H90" s="289"/>
      <c r="I90" s="289"/>
      <c r="J90" s="290"/>
      <c r="K90" s="25"/>
    </row>
    <row r="91" spans="1:11" ht="18.75" customHeight="1">
      <c r="A91" s="1"/>
      <c r="B91" s="288"/>
      <c r="C91" s="289"/>
      <c r="D91" s="289"/>
      <c r="E91" s="289"/>
      <c r="F91" s="289"/>
      <c r="G91" s="289"/>
      <c r="H91" s="289"/>
      <c r="I91" s="289"/>
      <c r="J91" s="290"/>
      <c r="K91" s="25" t="str">
        <f>IF(B89="","入力してください","")</f>
        <v/>
      </c>
    </row>
    <row r="92" spans="1:11" ht="18.75" customHeight="1">
      <c r="A92" s="1"/>
      <c r="B92" s="288"/>
      <c r="C92" s="289"/>
      <c r="D92" s="289"/>
      <c r="E92" s="289"/>
      <c r="F92" s="289"/>
      <c r="G92" s="289"/>
      <c r="H92" s="289"/>
      <c r="I92" s="289"/>
      <c r="J92" s="290"/>
      <c r="K92" s="25"/>
    </row>
    <row r="93" spans="1:11" ht="18.75" customHeight="1">
      <c r="A93" s="1"/>
      <c r="B93" s="288"/>
      <c r="C93" s="289"/>
      <c r="D93" s="289"/>
      <c r="E93" s="289"/>
      <c r="F93" s="289"/>
      <c r="G93" s="289"/>
      <c r="H93" s="289"/>
      <c r="I93" s="289"/>
      <c r="J93" s="290"/>
      <c r="K93" s="25"/>
    </row>
    <row r="94" spans="1:11" ht="18.75" customHeight="1">
      <c r="A94" s="1"/>
      <c r="B94" s="288"/>
      <c r="C94" s="289"/>
      <c r="D94" s="289"/>
      <c r="E94" s="289"/>
      <c r="F94" s="289"/>
      <c r="G94" s="289"/>
      <c r="H94" s="289"/>
      <c r="I94" s="289"/>
      <c r="J94" s="290"/>
      <c r="K94" s="25"/>
    </row>
    <row r="95" spans="1:11" ht="18.75" customHeight="1">
      <c r="A95" s="1"/>
      <c r="B95" s="288"/>
      <c r="C95" s="289"/>
      <c r="D95" s="289"/>
      <c r="E95" s="289"/>
      <c r="F95" s="289"/>
      <c r="G95" s="289"/>
      <c r="H95" s="289"/>
      <c r="I95" s="289"/>
      <c r="J95" s="290"/>
      <c r="K95" s="25"/>
    </row>
    <row r="96" spans="1:11" ht="18.75" customHeight="1">
      <c r="A96" s="1"/>
      <c r="B96" s="288"/>
      <c r="C96" s="289"/>
      <c r="D96" s="289"/>
      <c r="E96" s="289"/>
      <c r="F96" s="289"/>
      <c r="G96" s="289"/>
      <c r="H96" s="289"/>
      <c r="I96" s="289"/>
      <c r="J96" s="290"/>
      <c r="K96" s="25"/>
    </row>
    <row r="97" spans="1:11" ht="18.75" customHeight="1">
      <c r="A97" s="1"/>
      <c r="B97" s="288"/>
      <c r="C97" s="289"/>
      <c r="D97" s="289"/>
      <c r="E97" s="289"/>
      <c r="F97" s="289"/>
      <c r="G97" s="289"/>
      <c r="H97" s="289"/>
      <c r="I97" s="289"/>
      <c r="J97" s="290"/>
      <c r="K97" s="25"/>
    </row>
    <row r="98" spans="1:11" ht="18.75" customHeight="1">
      <c r="A98" s="1"/>
      <c r="B98" s="288"/>
      <c r="C98" s="289"/>
      <c r="D98" s="289"/>
      <c r="E98" s="289"/>
      <c r="F98" s="289"/>
      <c r="G98" s="289"/>
      <c r="H98" s="289"/>
      <c r="I98" s="289"/>
      <c r="J98" s="290"/>
      <c r="K98" s="25"/>
    </row>
    <row r="99" spans="1:11" ht="18.75" customHeight="1">
      <c r="A99" s="1"/>
      <c r="B99" s="288"/>
      <c r="C99" s="289"/>
      <c r="D99" s="289"/>
      <c r="E99" s="289"/>
      <c r="F99" s="289"/>
      <c r="G99" s="289"/>
      <c r="H99" s="289"/>
      <c r="I99" s="289"/>
      <c r="J99" s="290"/>
      <c r="K99" s="25"/>
    </row>
    <row r="100" spans="1:11" ht="18.75" customHeight="1">
      <c r="A100" s="1"/>
      <c r="B100" s="288"/>
      <c r="C100" s="289"/>
      <c r="D100" s="289"/>
      <c r="E100" s="289"/>
      <c r="F100" s="289"/>
      <c r="G100" s="289"/>
      <c r="H100" s="289"/>
      <c r="I100" s="289"/>
      <c r="J100" s="290"/>
      <c r="K100" s="25"/>
    </row>
    <row r="101" spans="1:11" ht="18.75" customHeight="1">
      <c r="A101" s="1"/>
      <c r="B101" s="288"/>
      <c r="C101" s="289"/>
      <c r="D101" s="289"/>
      <c r="E101" s="289"/>
      <c r="F101" s="289"/>
      <c r="G101" s="289"/>
      <c r="H101" s="289"/>
      <c r="I101" s="289"/>
      <c r="J101" s="290"/>
      <c r="K101" s="25"/>
    </row>
    <row r="102" spans="1:11" ht="18.75" customHeight="1">
      <c r="A102" s="1"/>
      <c r="B102" s="288"/>
      <c r="C102" s="289"/>
      <c r="D102" s="289"/>
      <c r="E102" s="289"/>
      <c r="F102" s="289"/>
      <c r="G102" s="289"/>
      <c r="H102" s="289"/>
      <c r="I102" s="289"/>
      <c r="J102" s="290"/>
      <c r="K102" s="25"/>
    </row>
    <row r="103" spans="1:11" ht="18.75" customHeight="1">
      <c r="A103" s="1"/>
      <c r="B103" s="288"/>
      <c r="C103" s="289"/>
      <c r="D103" s="289"/>
      <c r="E103" s="289"/>
      <c r="F103" s="289"/>
      <c r="G103" s="289"/>
      <c r="H103" s="289"/>
      <c r="I103" s="289"/>
      <c r="J103" s="290"/>
      <c r="K103" s="25"/>
    </row>
    <row r="104" spans="1:11" ht="18.75" customHeight="1">
      <c r="A104" s="1"/>
      <c r="B104" s="288"/>
      <c r="C104" s="289"/>
      <c r="D104" s="289"/>
      <c r="E104" s="289"/>
      <c r="F104" s="289"/>
      <c r="G104" s="289"/>
      <c r="H104" s="289"/>
      <c r="I104" s="289"/>
      <c r="J104" s="290"/>
      <c r="K104" s="25"/>
    </row>
    <row r="105" spans="1:11" ht="18.75" customHeight="1">
      <c r="A105" s="1"/>
      <c r="B105" s="288"/>
      <c r="C105" s="289"/>
      <c r="D105" s="289"/>
      <c r="E105" s="289"/>
      <c r="F105" s="289"/>
      <c r="G105" s="289"/>
      <c r="H105" s="289"/>
      <c r="I105" s="289"/>
      <c r="J105" s="290"/>
      <c r="K105" s="25"/>
    </row>
    <row r="106" spans="1:11" ht="18.75" customHeight="1">
      <c r="A106" s="1"/>
      <c r="B106" s="288"/>
      <c r="C106" s="289"/>
      <c r="D106" s="289"/>
      <c r="E106" s="289"/>
      <c r="F106" s="289"/>
      <c r="G106" s="289"/>
      <c r="H106" s="289"/>
      <c r="I106" s="289"/>
      <c r="J106" s="290"/>
      <c r="K106" s="25"/>
    </row>
    <row r="107" spans="1:11" ht="18.75" customHeight="1">
      <c r="A107" s="6"/>
      <c r="B107" s="288"/>
      <c r="C107" s="289"/>
      <c r="D107" s="289"/>
      <c r="E107" s="289"/>
      <c r="F107" s="289"/>
      <c r="G107" s="289"/>
      <c r="H107" s="289"/>
      <c r="I107" s="289"/>
      <c r="J107" s="290"/>
      <c r="K107" s="25"/>
    </row>
    <row r="108" spans="1:11" ht="18.75" customHeight="1">
      <c r="A108" s="6"/>
      <c r="B108" s="291"/>
      <c r="C108" s="292"/>
      <c r="D108" s="292"/>
      <c r="E108" s="292"/>
      <c r="F108" s="292"/>
      <c r="G108" s="292"/>
      <c r="H108" s="292"/>
      <c r="I108" s="292"/>
      <c r="J108" s="293"/>
      <c r="K108" s="25"/>
    </row>
    <row r="109" spans="1:11" ht="7.5" customHeight="1">
      <c r="A109" s="6"/>
      <c r="B109" s="6"/>
      <c r="C109" s="6"/>
      <c r="D109" s="6"/>
      <c r="E109" s="6"/>
      <c r="F109" s="6"/>
      <c r="G109" s="6"/>
      <c r="H109" s="6"/>
      <c r="I109" s="6"/>
      <c r="J109" s="6"/>
    </row>
    <row r="110" spans="1:11" ht="18.75" customHeight="1">
      <c r="A110" s="1" t="s">
        <v>22</v>
      </c>
      <c r="B110" s="323" t="s">
        <v>170</v>
      </c>
      <c r="C110" s="323"/>
      <c r="D110" s="323"/>
      <c r="E110" s="323"/>
      <c r="F110" s="323"/>
      <c r="G110" s="323"/>
      <c r="H110" s="323"/>
      <c r="I110" s="323"/>
      <c r="J110" s="323"/>
    </row>
    <row r="111" spans="1:11" ht="18.75" customHeight="1">
      <c r="A111" s="6"/>
      <c r="B111" s="284" t="s">
        <v>171</v>
      </c>
      <c r="C111" s="285"/>
      <c r="D111" s="285"/>
      <c r="E111" s="285"/>
      <c r="F111" s="285"/>
      <c r="G111" s="285"/>
      <c r="H111" s="285"/>
      <c r="I111" s="286"/>
      <c r="J111" s="287"/>
    </row>
    <row r="112" spans="1:11" ht="18.75" customHeight="1">
      <c r="A112" s="6"/>
      <c r="B112" s="288"/>
      <c r="C112" s="289"/>
      <c r="D112" s="289"/>
      <c r="E112" s="289"/>
      <c r="F112" s="289"/>
      <c r="G112" s="289"/>
      <c r="H112" s="289"/>
      <c r="I112" s="289"/>
      <c r="J112" s="290"/>
      <c r="K112" s="25"/>
    </row>
    <row r="113" spans="1:11" ht="18.75" customHeight="1">
      <c r="A113" s="6"/>
      <c r="B113" s="288"/>
      <c r="C113" s="289"/>
      <c r="D113" s="289"/>
      <c r="E113" s="289"/>
      <c r="F113" s="289"/>
      <c r="G113" s="289"/>
      <c r="H113" s="289"/>
      <c r="I113" s="289"/>
      <c r="J113" s="290"/>
      <c r="K113" s="4" t="str">
        <f>IF(B111="","入力してください","")</f>
        <v/>
      </c>
    </row>
    <row r="114" spans="1:11" ht="18.75" customHeight="1">
      <c r="A114" s="6"/>
      <c r="B114" s="288"/>
      <c r="C114" s="289"/>
      <c r="D114" s="289"/>
      <c r="E114" s="289"/>
      <c r="F114" s="289"/>
      <c r="G114" s="289"/>
      <c r="H114" s="289"/>
      <c r="I114" s="289"/>
      <c r="J114" s="290"/>
    </row>
    <row r="115" spans="1:11" ht="18.75" customHeight="1">
      <c r="A115" s="6"/>
      <c r="B115" s="288"/>
      <c r="C115" s="289"/>
      <c r="D115" s="289"/>
      <c r="E115" s="289"/>
      <c r="F115" s="289"/>
      <c r="G115" s="289"/>
      <c r="H115" s="289"/>
      <c r="I115" s="289"/>
      <c r="J115" s="290"/>
    </row>
    <row r="116" spans="1:11" ht="18.75" customHeight="1">
      <c r="A116" s="6"/>
      <c r="B116" s="288"/>
      <c r="C116" s="289"/>
      <c r="D116" s="289"/>
      <c r="E116" s="289"/>
      <c r="F116" s="289"/>
      <c r="G116" s="289"/>
      <c r="H116" s="289"/>
      <c r="I116" s="289"/>
      <c r="J116" s="290"/>
    </row>
    <row r="117" spans="1:11" ht="18.75" customHeight="1">
      <c r="A117" s="6"/>
      <c r="B117" s="288"/>
      <c r="C117" s="289"/>
      <c r="D117" s="289"/>
      <c r="E117" s="289"/>
      <c r="F117" s="289"/>
      <c r="G117" s="289"/>
      <c r="H117" s="289"/>
      <c r="I117" s="289"/>
      <c r="J117" s="290"/>
    </row>
    <row r="118" spans="1:11" ht="18.75" customHeight="1">
      <c r="A118" s="6"/>
      <c r="B118" s="288"/>
      <c r="C118" s="289"/>
      <c r="D118" s="289"/>
      <c r="E118" s="289"/>
      <c r="F118" s="289"/>
      <c r="G118" s="289"/>
      <c r="H118" s="289"/>
      <c r="I118" s="289"/>
      <c r="J118" s="290"/>
    </row>
    <row r="119" spans="1:11" ht="18.75" customHeight="1">
      <c r="A119" s="6"/>
      <c r="B119" s="288"/>
      <c r="C119" s="289"/>
      <c r="D119" s="289"/>
      <c r="E119" s="289"/>
      <c r="F119" s="289"/>
      <c r="G119" s="289"/>
      <c r="H119" s="289"/>
      <c r="I119" s="289"/>
      <c r="J119" s="290"/>
    </row>
    <row r="120" spans="1:11" ht="18.75" customHeight="1">
      <c r="A120" s="6"/>
      <c r="B120" s="288"/>
      <c r="C120" s="289"/>
      <c r="D120" s="289"/>
      <c r="E120" s="289"/>
      <c r="F120" s="289"/>
      <c r="G120" s="289"/>
      <c r="H120" s="289"/>
      <c r="I120" s="289"/>
      <c r="J120" s="290"/>
    </row>
    <row r="121" spans="1:11" ht="18.75" customHeight="1">
      <c r="A121" s="6"/>
      <c r="B121" s="288"/>
      <c r="C121" s="289"/>
      <c r="D121" s="289"/>
      <c r="E121" s="289"/>
      <c r="F121" s="289"/>
      <c r="G121" s="289"/>
      <c r="H121" s="289"/>
      <c r="I121" s="289"/>
      <c r="J121" s="290"/>
    </row>
    <row r="122" spans="1:11" ht="18.75" customHeight="1">
      <c r="A122" s="6"/>
      <c r="B122" s="288"/>
      <c r="C122" s="289"/>
      <c r="D122" s="289"/>
      <c r="E122" s="289"/>
      <c r="F122" s="289"/>
      <c r="G122" s="289"/>
      <c r="H122" s="289"/>
      <c r="I122" s="289"/>
      <c r="J122" s="290"/>
    </row>
    <row r="123" spans="1:11" ht="18.75" customHeight="1">
      <c r="A123" s="6"/>
      <c r="B123" s="288"/>
      <c r="C123" s="289"/>
      <c r="D123" s="289"/>
      <c r="E123" s="289"/>
      <c r="F123" s="289"/>
      <c r="G123" s="289"/>
      <c r="H123" s="289"/>
      <c r="I123" s="289"/>
      <c r="J123" s="290"/>
    </row>
    <row r="124" spans="1:11" ht="18.75" customHeight="1">
      <c r="A124" s="6"/>
      <c r="B124" s="288"/>
      <c r="C124" s="289"/>
      <c r="D124" s="289"/>
      <c r="E124" s="289"/>
      <c r="F124" s="289"/>
      <c r="G124" s="289"/>
      <c r="H124" s="289"/>
      <c r="I124" s="289"/>
      <c r="J124" s="290"/>
    </row>
    <row r="125" spans="1:11" ht="18.75" customHeight="1">
      <c r="A125" s="6"/>
      <c r="B125" s="288"/>
      <c r="C125" s="289"/>
      <c r="D125" s="289"/>
      <c r="E125" s="289"/>
      <c r="F125" s="289"/>
      <c r="G125" s="289"/>
      <c r="H125" s="289"/>
      <c r="I125" s="289"/>
      <c r="J125" s="290"/>
    </row>
    <row r="126" spans="1:11" ht="18.75" customHeight="1">
      <c r="A126" s="6"/>
      <c r="B126" s="288"/>
      <c r="C126" s="289"/>
      <c r="D126" s="289"/>
      <c r="E126" s="289"/>
      <c r="F126" s="289"/>
      <c r="G126" s="289"/>
      <c r="H126" s="289"/>
      <c r="I126" s="289"/>
      <c r="J126" s="290"/>
    </row>
    <row r="127" spans="1:11" ht="18.75" customHeight="1">
      <c r="A127" s="6"/>
      <c r="B127" s="288"/>
      <c r="C127" s="289"/>
      <c r="D127" s="289"/>
      <c r="E127" s="289"/>
      <c r="F127" s="289"/>
      <c r="G127" s="289"/>
      <c r="H127" s="289"/>
      <c r="I127" s="289"/>
      <c r="J127" s="290"/>
    </row>
    <row r="128" spans="1:11" ht="18.75" customHeight="1">
      <c r="A128" s="6"/>
      <c r="B128" s="288"/>
      <c r="C128" s="289"/>
      <c r="D128" s="289"/>
      <c r="E128" s="289"/>
      <c r="F128" s="289"/>
      <c r="G128" s="289"/>
      <c r="H128" s="289"/>
      <c r="I128" s="289"/>
      <c r="J128" s="290"/>
    </row>
    <row r="129" spans="1:10" ht="18.75" customHeight="1">
      <c r="A129" s="6"/>
      <c r="B129" s="291"/>
      <c r="C129" s="292"/>
      <c r="D129" s="292"/>
      <c r="E129" s="292"/>
      <c r="F129" s="292"/>
      <c r="G129" s="292"/>
      <c r="H129" s="292"/>
      <c r="I129" s="292"/>
      <c r="J129" s="293"/>
    </row>
    <row r="130" spans="1:10" ht="7.5" customHeight="1">
      <c r="A130" s="6"/>
      <c r="B130" s="30"/>
      <c r="C130" s="30"/>
      <c r="D130" s="30"/>
      <c r="E130" s="30"/>
      <c r="F130" s="30"/>
      <c r="G130" s="30"/>
      <c r="H130" s="30"/>
      <c r="I130" s="30"/>
      <c r="J130" s="30"/>
    </row>
    <row r="131" spans="1:10" ht="18.75" customHeight="1">
      <c r="A131" s="6"/>
      <c r="B131" s="6"/>
      <c r="C131" s="6"/>
      <c r="D131" s="6"/>
      <c r="E131" s="6"/>
      <c r="F131" s="6"/>
      <c r="G131" s="6"/>
      <c r="H131" s="6"/>
      <c r="I131" s="6"/>
      <c r="J131" s="6"/>
    </row>
    <row r="132" spans="1:10" ht="18.75" customHeight="1">
      <c r="A132" s="6"/>
      <c r="B132" s="6"/>
      <c r="C132" s="6"/>
      <c r="D132" s="6"/>
      <c r="E132" s="6"/>
      <c r="F132" s="6"/>
      <c r="G132" s="6"/>
      <c r="H132" s="6"/>
      <c r="I132" s="6"/>
      <c r="J132" s="6"/>
    </row>
    <row r="133" spans="1:10" ht="18.75" customHeight="1">
      <c r="A133" s="6"/>
      <c r="B133" s="6"/>
      <c r="C133" s="6"/>
      <c r="D133" s="6"/>
      <c r="E133" s="6"/>
      <c r="F133" s="6"/>
      <c r="G133" s="6"/>
      <c r="H133" s="6"/>
      <c r="I133" s="6"/>
      <c r="J133" s="6"/>
    </row>
    <row r="134" spans="1:10" ht="18.75" customHeight="1">
      <c r="A134" s="6"/>
      <c r="B134" s="6"/>
      <c r="C134" s="6"/>
      <c r="D134" s="6"/>
      <c r="E134" s="6"/>
      <c r="F134" s="6"/>
      <c r="G134" s="6"/>
      <c r="H134" s="6"/>
      <c r="I134" s="6"/>
      <c r="J134" s="6"/>
    </row>
    <row r="135" spans="1:10" ht="18.75" customHeight="1">
      <c r="A135" s="6"/>
      <c r="B135" s="6"/>
      <c r="C135" s="6"/>
      <c r="D135" s="6"/>
      <c r="E135" s="6"/>
      <c r="F135" s="6"/>
      <c r="G135" s="6"/>
      <c r="H135" s="6"/>
      <c r="I135" s="6"/>
      <c r="J135" s="6"/>
    </row>
    <row r="136" spans="1:10" ht="18.75" customHeight="1">
      <c r="A136" s="6"/>
      <c r="B136" s="6"/>
      <c r="C136" s="6"/>
      <c r="D136" s="6"/>
      <c r="E136" s="6"/>
      <c r="F136" s="6"/>
      <c r="G136" s="6"/>
      <c r="H136" s="6"/>
      <c r="I136" s="6"/>
      <c r="J136" s="6"/>
    </row>
    <row r="137" spans="1:10" ht="18.75" customHeight="1">
      <c r="A137" s="6"/>
      <c r="B137" s="6"/>
      <c r="C137" s="6"/>
      <c r="D137" s="6"/>
      <c r="E137" s="6"/>
      <c r="F137" s="6"/>
      <c r="G137" s="6"/>
      <c r="H137" s="6"/>
      <c r="I137" s="6"/>
      <c r="J137" s="6"/>
    </row>
    <row r="138" spans="1:10" ht="18.75" customHeight="1">
      <c r="A138" s="6"/>
      <c r="B138" s="6"/>
      <c r="C138" s="6"/>
      <c r="D138" s="6"/>
      <c r="E138" s="6"/>
      <c r="F138" s="6"/>
      <c r="G138" s="6"/>
      <c r="H138" s="6"/>
      <c r="I138" s="6"/>
      <c r="J138" s="6"/>
    </row>
    <row r="139" spans="1:10" ht="18.75" customHeight="1">
      <c r="A139" s="6"/>
      <c r="B139" s="6"/>
      <c r="C139" s="6"/>
      <c r="D139" s="6"/>
      <c r="E139" s="6"/>
      <c r="F139" s="6"/>
      <c r="G139" s="6"/>
      <c r="H139" s="6"/>
      <c r="I139" s="6"/>
      <c r="J139" s="6"/>
    </row>
    <row r="140" spans="1:10" ht="18.75" customHeight="1">
      <c r="A140" s="6"/>
      <c r="B140" s="6"/>
      <c r="C140" s="6"/>
      <c r="D140" s="6"/>
      <c r="E140" s="6"/>
      <c r="F140" s="6"/>
      <c r="G140" s="6"/>
      <c r="H140" s="6"/>
      <c r="I140" s="6"/>
      <c r="J140" s="6"/>
    </row>
    <row r="141" spans="1:10" ht="18.75" customHeight="1">
      <c r="A141" s="6"/>
      <c r="B141" s="6"/>
      <c r="C141" s="6"/>
      <c r="D141" s="6"/>
      <c r="E141" s="6"/>
      <c r="F141" s="6"/>
      <c r="G141" s="6"/>
      <c r="H141" s="6"/>
      <c r="I141" s="6"/>
      <c r="J141" s="6"/>
    </row>
    <row r="142" spans="1:10" ht="18.75" customHeight="1">
      <c r="A142" s="6"/>
      <c r="B142" s="6"/>
      <c r="C142" s="6"/>
      <c r="D142" s="6"/>
      <c r="E142" s="6"/>
      <c r="F142" s="6"/>
      <c r="G142" s="6"/>
      <c r="H142" s="6"/>
      <c r="I142" s="6"/>
      <c r="J142" s="6"/>
    </row>
    <row r="143" spans="1:10" ht="14.4">
      <c r="A143" s="6"/>
      <c r="B143" s="6"/>
      <c r="C143" s="6"/>
      <c r="D143" s="6"/>
      <c r="E143" s="6"/>
      <c r="F143" s="6"/>
      <c r="G143" s="6"/>
      <c r="H143" s="6"/>
      <c r="I143" s="6"/>
      <c r="J143" s="6"/>
    </row>
    <row r="144" spans="1:10" ht="7.5" customHeight="1">
      <c r="A144" s="31"/>
      <c r="B144" s="31"/>
      <c r="C144" s="31"/>
      <c r="D144" s="31"/>
      <c r="E144" s="31"/>
      <c r="F144" s="31"/>
      <c r="G144" s="31"/>
      <c r="H144" s="31"/>
      <c r="I144" s="31"/>
      <c r="J144" s="31"/>
    </row>
  </sheetData>
  <mergeCells count="11">
    <mergeCell ref="B111:J129"/>
    <mergeCell ref="B31:J44"/>
    <mergeCell ref="B8:J12"/>
    <mergeCell ref="B15:J25"/>
    <mergeCell ref="A2:J2"/>
    <mergeCell ref="B5:J5"/>
    <mergeCell ref="B30:J30"/>
    <mergeCell ref="B110:J110"/>
    <mergeCell ref="B46:J66"/>
    <mergeCell ref="B69:J86"/>
    <mergeCell ref="B89:J108"/>
  </mergeCells>
  <phoneticPr fontId="20"/>
  <printOptions horizontalCentered="1"/>
  <pageMargins left="0.78680555555555598" right="0.78680555555555598" top="0.78680555555555598" bottom="0.78680555555555598" header="0.31388888888888899" footer="0.31388888888888899"/>
  <pageSetup paperSize="9" orientation="portrait" r:id="rId1"/>
  <rowBreaks count="2" manualBreakCount="2">
    <brk id="44" max="9" man="1"/>
    <brk id="87"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showZeros="0" view="pageBreakPreview" zoomScale="115" zoomScaleNormal="100" zoomScaleSheetLayoutView="115" workbookViewId="0">
      <selection activeCell="L9" sqref="L9"/>
    </sheetView>
  </sheetViews>
  <sheetFormatPr defaultColWidth="11.33203125" defaultRowHeight="22.5" customHeight="1"/>
  <cols>
    <col min="1" max="3" width="2.77734375" style="1" customWidth="1"/>
    <col min="4" max="4" width="22.21875" style="1" customWidth="1"/>
    <col min="5" max="5" width="21.6640625" style="1" customWidth="1"/>
    <col min="6" max="7" width="7.77734375" style="1" customWidth="1"/>
    <col min="8" max="8" width="33.33203125" style="1" customWidth="1"/>
    <col min="9" max="9" width="24.44140625" style="1" customWidth="1"/>
    <col min="10" max="10" width="5.44140625" style="1" customWidth="1"/>
    <col min="11" max="11" width="4.109375" style="4" customWidth="1"/>
    <col min="12" max="16384" width="11.33203125" style="1"/>
  </cols>
  <sheetData>
    <row r="1" spans="1:11" ht="18.75" customHeight="1">
      <c r="A1" s="1" t="s">
        <v>172</v>
      </c>
      <c r="J1" s="2" t="s">
        <v>173</v>
      </c>
    </row>
    <row r="2" spans="1:11" ht="18.75" customHeight="1">
      <c r="A2" s="268" t="s">
        <v>174</v>
      </c>
      <c r="B2" s="268"/>
      <c r="C2" s="268"/>
      <c r="D2" s="268"/>
      <c r="E2" s="268"/>
      <c r="F2" s="268"/>
      <c r="G2" s="268"/>
      <c r="H2" s="268"/>
      <c r="I2" s="268"/>
      <c r="J2" s="268"/>
    </row>
    <row r="3" spans="1:11" ht="7.5" customHeight="1">
      <c r="A3" s="5"/>
      <c r="B3" s="5"/>
      <c r="C3" s="5"/>
      <c r="D3" s="5"/>
      <c r="E3" s="5"/>
      <c r="F3" s="5"/>
      <c r="G3" s="5"/>
      <c r="H3" s="5"/>
      <c r="I3" s="5"/>
      <c r="J3" s="5"/>
    </row>
    <row r="4" spans="1:11" ht="18.75" customHeight="1">
      <c r="A4" s="1" t="s">
        <v>2</v>
      </c>
      <c r="B4" s="1" t="s">
        <v>175</v>
      </c>
      <c r="C4" s="6"/>
      <c r="D4" s="6"/>
      <c r="E4" s="6"/>
      <c r="F4" s="6"/>
      <c r="G4" s="6"/>
      <c r="H4" s="6"/>
      <c r="I4" s="6"/>
      <c r="J4" s="6"/>
    </row>
    <row r="5" spans="1:11" ht="18.75" customHeight="1">
      <c r="B5" s="351" t="s">
        <v>176</v>
      </c>
      <c r="C5" s="352"/>
      <c r="D5" s="353"/>
      <c r="E5" s="352" t="s">
        <v>177</v>
      </c>
      <c r="F5" s="352"/>
      <c r="G5" s="352"/>
      <c r="H5" s="352"/>
      <c r="I5" s="352"/>
      <c r="J5" s="353"/>
    </row>
    <row r="6" spans="1:11" ht="18.75" customHeight="1">
      <c r="B6" s="7" t="s">
        <v>178</v>
      </c>
      <c r="C6" s="6"/>
      <c r="D6" s="8"/>
      <c r="I6" s="6"/>
      <c r="J6" s="8"/>
    </row>
    <row r="7" spans="1:11" ht="265.05" customHeight="1">
      <c r="B7" s="9"/>
      <c r="C7" s="347" t="s">
        <v>179</v>
      </c>
      <c r="D7" s="336"/>
      <c r="E7" s="348" t="s">
        <v>205</v>
      </c>
      <c r="F7" s="337"/>
      <c r="G7" s="337"/>
      <c r="H7" s="337"/>
      <c r="I7" s="337"/>
      <c r="J7" s="338"/>
      <c r="K7" s="4" t="str">
        <f t="shared" ref="K7:K9" si="0">IF(E7="","入力してください","")</f>
        <v/>
      </c>
    </row>
    <row r="8" spans="1:11" ht="207" customHeight="1">
      <c r="B8" s="9"/>
      <c r="C8" s="349" t="s">
        <v>180</v>
      </c>
      <c r="D8" s="350"/>
      <c r="E8" s="348" t="s">
        <v>199</v>
      </c>
      <c r="F8" s="337"/>
      <c r="G8" s="337"/>
      <c r="H8" s="337"/>
      <c r="I8" s="337"/>
      <c r="J8" s="338"/>
      <c r="K8" s="4" t="str">
        <f t="shared" si="0"/>
        <v/>
      </c>
    </row>
    <row r="9" spans="1:11" ht="172.5" customHeight="1">
      <c r="B9" s="9"/>
      <c r="C9" s="347" t="s">
        <v>181</v>
      </c>
      <c r="D9" s="336"/>
      <c r="E9" s="348" t="s">
        <v>208</v>
      </c>
      <c r="F9" s="337"/>
      <c r="G9" s="337"/>
      <c r="H9" s="337"/>
      <c r="I9" s="337"/>
      <c r="J9" s="338"/>
      <c r="K9" s="4" t="str">
        <f t="shared" si="0"/>
        <v/>
      </c>
    </row>
    <row r="10" spans="1:11" ht="172.5" customHeight="1">
      <c r="B10" s="9"/>
      <c r="C10" s="347" t="s">
        <v>182</v>
      </c>
      <c r="D10" s="336"/>
      <c r="E10" s="348" t="s">
        <v>204</v>
      </c>
      <c r="F10" s="337"/>
      <c r="G10" s="337"/>
      <c r="H10" s="337"/>
      <c r="I10" s="337"/>
      <c r="J10" s="338"/>
      <c r="K10" s="4" t="str">
        <f t="shared" ref="K10:K16" si="1">IF(E10="","入力してください","")</f>
        <v/>
      </c>
    </row>
    <row r="11" spans="1:11" ht="172.5" customHeight="1">
      <c r="B11" s="9"/>
      <c r="C11" s="347" t="s">
        <v>183</v>
      </c>
      <c r="D11" s="336"/>
      <c r="E11" s="348" t="s">
        <v>184</v>
      </c>
      <c r="F11" s="337"/>
      <c r="G11" s="337"/>
      <c r="H11" s="337"/>
      <c r="I11" s="337"/>
      <c r="J11" s="338"/>
      <c r="K11" s="4" t="str">
        <f t="shared" si="1"/>
        <v/>
      </c>
    </row>
    <row r="12" spans="1:11" ht="18.75" customHeight="1">
      <c r="B12" s="10" t="s">
        <v>185</v>
      </c>
      <c r="C12" s="11"/>
      <c r="D12" s="12"/>
      <c r="E12" s="13"/>
      <c r="F12" s="13"/>
      <c r="G12" s="13"/>
      <c r="H12" s="13"/>
      <c r="I12" s="13"/>
      <c r="J12" s="16"/>
    </row>
    <row r="13" spans="1:11" ht="244.2" customHeight="1">
      <c r="B13" s="9"/>
      <c r="C13" s="347" t="s">
        <v>186</v>
      </c>
      <c r="D13" s="336"/>
      <c r="E13" s="337" t="s">
        <v>200</v>
      </c>
      <c r="F13" s="337"/>
      <c r="G13" s="337"/>
      <c r="H13" s="337"/>
      <c r="I13" s="337"/>
      <c r="J13" s="338"/>
      <c r="K13" s="4" t="str">
        <f t="shared" si="1"/>
        <v/>
      </c>
    </row>
    <row r="14" spans="1:11" ht="255" customHeight="1">
      <c r="B14" s="9"/>
      <c r="C14" s="347" t="s">
        <v>187</v>
      </c>
      <c r="D14" s="336"/>
      <c r="E14" s="337" t="s">
        <v>207</v>
      </c>
      <c r="F14" s="337"/>
      <c r="G14" s="337"/>
      <c r="H14" s="337"/>
      <c r="I14" s="337"/>
      <c r="J14" s="338"/>
      <c r="K14" s="4" t="str">
        <f t="shared" si="1"/>
        <v/>
      </c>
    </row>
    <row r="15" spans="1:11" ht="243" customHeight="1">
      <c r="B15" s="334" t="s">
        <v>188</v>
      </c>
      <c r="C15" s="335"/>
      <c r="D15" s="336"/>
      <c r="E15" s="337" t="s">
        <v>201</v>
      </c>
      <c r="F15" s="337"/>
      <c r="G15" s="337"/>
      <c r="H15" s="337"/>
      <c r="I15" s="337"/>
      <c r="J15" s="338"/>
      <c r="K15" s="4" t="str">
        <f t="shared" si="1"/>
        <v/>
      </c>
    </row>
    <row r="16" spans="1:11" ht="243" customHeight="1">
      <c r="A16" s="4"/>
      <c r="B16" s="339" t="s">
        <v>189</v>
      </c>
      <c r="C16" s="340"/>
      <c r="D16" s="341"/>
      <c r="E16" s="342" t="s">
        <v>190</v>
      </c>
      <c r="F16" s="342"/>
      <c r="G16" s="342"/>
      <c r="H16" s="342"/>
      <c r="I16" s="342"/>
      <c r="J16" s="343"/>
      <c r="K16" s="4" t="str">
        <f t="shared" si="1"/>
        <v/>
      </c>
    </row>
    <row r="17" spans="1:11" ht="7.5" customHeight="1">
      <c r="B17" s="6"/>
      <c r="C17" s="6"/>
      <c r="D17" s="6"/>
      <c r="E17" s="6"/>
      <c r="F17" s="6"/>
      <c r="G17" s="6"/>
      <c r="H17" s="6"/>
      <c r="I17" s="6"/>
      <c r="J17" s="6"/>
    </row>
    <row r="18" spans="1:11" ht="29.4" customHeight="1">
      <c r="A18" s="1" t="s">
        <v>191</v>
      </c>
      <c r="C18" s="6"/>
      <c r="D18" s="6"/>
      <c r="E18" s="6"/>
      <c r="F18" s="14"/>
      <c r="G18" s="344" t="s">
        <v>192</v>
      </c>
      <c r="H18" s="345"/>
      <c r="I18" s="345"/>
      <c r="J18" s="346"/>
      <c r="K18" s="4" t="str">
        <f>IF(G18="","入力してください","")</f>
        <v/>
      </c>
    </row>
    <row r="19" spans="1:11" ht="22.5" customHeight="1">
      <c r="B19" s="6"/>
      <c r="C19" s="6"/>
      <c r="D19" s="6"/>
      <c r="E19" s="6"/>
      <c r="F19" s="6"/>
      <c r="G19" s="6"/>
      <c r="H19" s="6"/>
      <c r="I19" s="6"/>
      <c r="J19" s="6"/>
    </row>
    <row r="20" spans="1:11" ht="22.5" customHeight="1">
      <c r="B20" s="6"/>
      <c r="C20" s="6"/>
      <c r="D20" s="6"/>
      <c r="E20" s="6"/>
      <c r="F20" s="6"/>
      <c r="G20" s="6"/>
      <c r="H20" s="6"/>
      <c r="I20" s="6"/>
      <c r="J20" s="6"/>
    </row>
    <row r="21" spans="1:11" ht="22.5" customHeight="1">
      <c r="B21" s="6"/>
      <c r="C21" s="6"/>
      <c r="D21" s="6"/>
      <c r="E21" s="6"/>
      <c r="F21" s="6"/>
      <c r="G21" s="6"/>
      <c r="H21" s="6"/>
      <c r="I21" s="6"/>
      <c r="J21" s="6"/>
    </row>
    <row r="22" spans="1:11" ht="22.5" customHeight="1">
      <c r="B22" s="6"/>
      <c r="C22" s="6"/>
      <c r="D22" s="6"/>
      <c r="E22" s="6"/>
      <c r="F22" s="6"/>
      <c r="G22" s="6"/>
      <c r="H22" s="6"/>
      <c r="I22" s="6"/>
      <c r="J22" s="6"/>
    </row>
    <row r="23" spans="1:11" ht="22.5" customHeight="1">
      <c r="B23" s="6"/>
      <c r="C23" s="6"/>
      <c r="D23" s="6"/>
      <c r="E23" s="6"/>
      <c r="F23" s="6"/>
      <c r="G23" s="6"/>
      <c r="H23" s="6"/>
      <c r="I23" s="6"/>
      <c r="J23" s="6"/>
    </row>
    <row r="24" spans="1:11" ht="22.5" customHeight="1">
      <c r="B24" s="15"/>
      <c r="C24" s="15"/>
      <c r="D24" s="15"/>
      <c r="E24" s="15"/>
      <c r="F24" s="15"/>
      <c r="G24" s="15"/>
      <c r="H24" s="15"/>
      <c r="I24" s="15"/>
      <c r="J24" s="15"/>
    </row>
    <row r="25" spans="1:11" ht="22.5" customHeight="1">
      <c r="B25" s="15"/>
      <c r="C25" s="15"/>
      <c r="D25" s="15"/>
      <c r="E25" s="15"/>
      <c r="F25" s="15"/>
      <c r="G25" s="15"/>
      <c r="H25" s="15"/>
      <c r="I25" s="15"/>
      <c r="J25" s="15"/>
    </row>
    <row r="26" spans="1:11" ht="22.5" customHeight="1">
      <c r="B26" s="15"/>
      <c r="C26" s="15"/>
      <c r="D26" s="15"/>
      <c r="E26" s="15"/>
      <c r="F26" s="15"/>
      <c r="G26" s="15"/>
      <c r="H26" s="15"/>
      <c r="I26" s="15"/>
      <c r="J26" s="15"/>
    </row>
  </sheetData>
  <mergeCells count="22">
    <mergeCell ref="A2:J2"/>
    <mergeCell ref="B5:D5"/>
    <mergeCell ref="E5:J5"/>
    <mergeCell ref="C7:D7"/>
    <mergeCell ref="E7:J7"/>
    <mergeCell ref="C8:D8"/>
    <mergeCell ref="E8:J8"/>
    <mergeCell ref="C9:D9"/>
    <mergeCell ref="E9:J9"/>
    <mergeCell ref="C10:D10"/>
    <mergeCell ref="E10:J10"/>
    <mergeCell ref="C11:D11"/>
    <mergeCell ref="E11:J11"/>
    <mergeCell ref="C13:D13"/>
    <mergeCell ref="E13:J13"/>
    <mergeCell ref="C14:D14"/>
    <mergeCell ref="E14:J14"/>
    <mergeCell ref="B15:D15"/>
    <mergeCell ref="E15:J15"/>
    <mergeCell ref="B16:D16"/>
    <mergeCell ref="E16:J16"/>
    <mergeCell ref="G18:J18"/>
  </mergeCells>
  <phoneticPr fontId="20"/>
  <printOptions horizontalCentered="1"/>
  <pageMargins left="0.78680555555555598" right="0.78680555555555598" top="0.78680555555555598" bottom="0.78680555555555598" header="0.31388888888888899" footer="0.31388888888888899"/>
  <pageSetup paperSize="9" scale="99" orientation="landscape" r:id="rId1"/>
  <rowBreaks count="2" manualBreakCount="2">
    <brk id="11" max="9" man="1"/>
    <brk id="14"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5</vt:i4>
      </vt:variant>
    </vt:vector>
  </HeadingPairs>
  <TitlesOfParts>
    <vt:vector size="10" baseType="lpstr">
      <vt:lpstr>様式１　大学等概要</vt:lpstr>
      <vt:lpstr>様式２　プログラムを構成する授業科目</vt:lpstr>
      <vt:lpstr>様式３　履修者等数の実績</vt:lpstr>
      <vt:lpstr>様式４　教育の質・履修者数を向上させるための体制・計画</vt:lpstr>
      <vt:lpstr>様式５　自己点検・評価</vt:lpstr>
      <vt:lpstr>'様式１　大学等概要'!Print_Area</vt:lpstr>
      <vt:lpstr>'様式２　プログラムを構成する授業科目'!Print_Area</vt:lpstr>
      <vt:lpstr>'様式３　履修者等数の実績'!Print_Area</vt:lpstr>
      <vt:lpstr>'様式４　教育の質・履修者数を向上させるための体制・計画'!Print_Area</vt:lpstr>
      <vt:lpstr>'様式５　自己点検・評価'!Print_Area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関西大学</cp:lastModifiedBy>
  <cp:lastPrinted>2022-05-23T08:19:56Z</cp:lastPrinted>
  <dcterms:created xsi:type="dcterms:W3CDTF">2011-06-14T05:32:00Z</dcterms:created>
  <dcterms:modified xsi:type="dcterms:W3CDTF">2022-05-23T08:20:42Z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y fmtid="{D5CDD505-2E9C-101B-9397-08002B2CF9AE}" pid="9" name="KSOProductBuildVer">
    <vt:lpwstr>1041-10.8.2.6694</vt:lpwstr>
  </property>
</Properties>
</file>