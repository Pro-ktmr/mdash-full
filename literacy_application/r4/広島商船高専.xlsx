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kaga\教務係\13_プロジェクト（COMPASS5.0）数理・データサイエンス・AI教育プログラム認定制度（リテラシーレベル）→このプロジェクトが終了したら，12_プロジェクトへ移動\20220530_【再提出・リテラシーレベル申請】\広島商船高等専門学校（修正）\01_広島商船高等専門学校_リテラシー（修正）\"/>
    </mc:Choice>
  </mc:AlternateContent>
  <xr:revisionPtr revIDLastSave="0" documentId="13_ncr:1_{48605864-5FCE-4D77-9F32-99E4063EE28B}" xr6:coauthVersionLast="36" xr6:coauthVersionMax="47" xr10:uidLastSave="{00000000-0000-0000-0000-000000000000}"/>
  <bookViews>
    <workbookView xWindow="0" yWindow="0" windowWidth="28800" windowHeight="12135" tabRatio="885" activeTab="6" xr2:uid="{00000000-000D-0000-FFFF-FFFF00000000}"/>
  </bookViews>
  <sheets>
    <sheet name="様式１　大学等概要" sheetId="8" r:id="rId1"/>
    <sheet name="様式２－１　プログラムを構成する授業科目" sheetId="39" r:id="rId2"/>
    <sheet name="様式２－２　プログラムを構成する授業科目" sheetId="44" r:id="rId3"/>
    <sheet name="様式２－３　プログラムを構成する授業科目" sheetId="45" r:id="rId4"/>
    <sheet name="様式３　履修者等数の実績" sheetId="40" r:id="rId5"/>
    <sheet name="様式４　教育の質・履修者数を向上させるための体制・計画" sheetId="41" r:id="rId6"/>
    <sheet name="様式５　自己点検・評価" sheetId="42" r:id="rId7"/>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'様式２－３　プログラムを構成する授業科目'!#REF!</definedName>
    <definedName name="_xlnm._FilterDatabase" localSheetId="4" hidden="1">'様式３　履修者等数の実績'!#REF!</definedName>
    <definedName name="_xlnm.Print_Area" localSheetId="0">'様式１　大学等概要'!$A$1:$N$45</definedName>
    <definedName name="_xlnm.Print_Area" localSheetId="1">'様式２－１　プログラムを構成する授業科目'!$A$1:$Z$98</definedName>
    <definedName name="_xlnm.Print_Area" localSheetId="2">'様式２－２　プログラムを構成する授業科目'!$A$1:$Z$98</definedName>
    <definedName name="_xlnm.Print_Area" localSheetId="3">'様式２－３　プログラムを構成する授業科目'!$A$1:$Z$98</definedName>
    <definedName name="_xlnm.Print_Area" localSheetId="4">'様式３　履修者等数の実績'!$A$1:$R$30</definedName>
    <definedName name="_xlnm.Print_Area" localSheetId="5">'様式４　教育の質・履修者数を向上させるための体制・計画'!$A$1:$J$130</definedName>
    <definedName name="_xlnm.Print_Area" localSheetId="6">'様式５　自己点検・評価'!$A$1:$J$18</definedName>
  </definedNames>
  <calcPr calcId="191028"/>
</workbook>
</file>

<file path=xl/calcChain.xml><?xml version="1.0" encoding="utf-8"?>
<calcChain xmlns="http://schemas.openxmlformats.org/spreadsheetml/2006/main">
  <c r="J20" i="8" l="1"/>
  <c r="K18" i="42"/>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<sst xmlns="http://schemas.openxmlformats.org/spreadsheetml/2006/main" count="650" uniqueCount="251">
  <si>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</si>
  <si>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</si>
  <si>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</si>
  <si>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</si>
  <si>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広島商船高等専門学校</t>
    <rPh sb="0" eb="2">
      <t>ヒロシマ</t>
    </rPh>
    <rPh sb="2" eb="4">
      <t>ショウセン</t>
    </rPh>
    <rPh sb="4" eb="10">
      <t>コウトウセンモンガッコウ</t>
    </rPh>
    <phoneticPr fontId="1"/>
  </si>
  <si>
    <t>②</t>
    <phoneticPr fontId="1"/>
  </si>
  <si>
    <t>大学等の設置者</t>
  </si>
  <si>
    <t>独立行政法人　国立高等専門学校機構</t>
    <rPh sb="0" eb="2">
      <t>ドクリツ</t>
    </rPh>
    <rPh sb="2" eb="6">
      <t>ギョウセイホウジン</t>
    </rPh>
    <rPh sb="7" eb="9">
      <t>コクリツ</t>
    </rPh>
    <rPh sb="9" eb="17">
      <t>コウトウセンモンガッコウキコウ</t>
    </rPh>
    <phoneticPr fontId="1"/>
  </si>
  <si>
    <t>③</t>
  </si>
  <si>
    <t>設置形態</t>
    <phoneticPr fontId="1"/>
  </si>
  <si>
    <t>高等専門学校</t>
  </si>
  <si>
    <t>④</t>
    <phoneticPr fontId="1"/>
  </si>
  <si>
    <t>所在地</t>
    <phoneticPr fontId="1"/>
  </si>
  <si>
    <t>広島県豊田郡大崎上島町東野4272番地1</t>
    <rPh sb="0" eb="3">
      <t>ヒロシマケン</t>
    </rPh>
    <rPh sb="3" eb="6">
      <t>トヨタグン</t>
    </rPh>
    <rPh sb="6" eb="11">
      <t>オオサキカミジマチョウ</t>
    </rPh>
    <rPh sb="11" eb="13">
      <t>ヒガシノ</t>
    </rPh>
    <rPh sb="17" eb="19">
      <t>バンチ</t>
    </rPh>
    <phoneticPr fontId="1"/>
  </si>
  <si>
    <t>⑤</t>
    <phoneticPr fontId="1"/>
  </si>
  <si>
    <t>申請するプログラム名称</t>
    <rPh sb="0" eb="2">
      <t>シンセイ</t>
    </rPh>
    <rPh sb="9" eb="11">
      <t>メイショウ</t>
    </rPh>
    <phoneticPr fontId="1"/>
  </si>
  <si>
    <t>数理・データサイエンス・AI教育プログラム</t>
    <rPh sb="0" eb="2">
      <t>スウリ</t>
    </rPh>
    <rPh sb="14" eb="16">
      <t>キョウイク</t>
    </rPh>
    <phoneticPr fontId="1"/>
  </si>
  <si>
    <t>⑥</t>
    <phoneticPr fontId="1"/>
  </si>
  <si>
    <t>プログラムの開設年度</t>
    <rPh sb="6" eb="8">
      <t>カイセツ</t>
    </rPh>
    <rPh sb="8" eb="10">
      <t>ネンド</t>
    </rPh>
    <phoneticPr fontId="1"/>
  </si>
  <si>
    <t>令和３</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</si>
  <si>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</si>
  <si>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</si>
  <si>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</si>
  <si>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</si>
  <si>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</si>
  <si>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</si>
  <si>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</si>
  <si>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</si>
  <si>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</si>
  <si>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</si>
  <si>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</si>
  <si>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</si>
  <si>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</si>
  <si>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</si>
  <si>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</si>
  <si>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</si>
  <si>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</si>
  <si>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</si>
  <si>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</si>
  <si>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</si>
  <si>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</si>
  <si>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</si>
  <si>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</si>
  <si>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</si>
  <si>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</si>
  <si>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河口　信義</t>
    <rPh sb="0" eb="2">
      <t>コウグチ</t>
    </rPh>
    <rPh sb="3" eb="5">
      <t>ノブヨシ</t>
    </rPh>
    <phoneticPr fontId="1"/>
  </si>
  <si>
    <t>（役職名）</t>
    <rPh sb="1" eb="4">
      <t>ヤクショクメイ</t>
    </rPh>
    <phoneticPr fontId="1"/>
  </si>
  <si>
    <t>校長</t>
    <rPh sb="0" eb="2">
      <t>コウチョウ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</si>
  <si>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</si>
  <si>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</si>
  <si>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広島商船高等専門学校自己点検評価委員会数理・データサイエンス・AI専門部会</t>
  </si>
  <si>
    <t>大山　博史</t>
    <rPh sb="0" eb="2">
      <t>オオヤマ</t>
    </rPh>
    <rPh sb="3" eb="4">
      <t>ヒロシ</t>
    </rPh>
    <rPh sb="4" eb="5">
      <t>シ</t>
    </rPh>
    <phoneticPr fontId="1"/>
  </si>
  <si>
    <t>教務主事</t>
    <rPh sb="0" eb="4">
      <t>キョウムシュジ</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</si>
  <si>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</si>
  <si>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</si>
  <si>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広島商船高等専門学校自己点検評価委員会</t>
    <rPh sb="0" eb="2">
      <t>ヒロシマ</t>
    </rPh>
    <rPh sb="2" eb="4">
      <t>ショウセン</t>
    </rPh>
    <rPh sb="4" eb="10">
      <t>コウトウセンモンガッコウ</t>
    </rPh>
    <rPh sb="10" eb="14">
      <t>ジコテンケン</t>
    </rPh>
    <rPh sb="14" eb="16">
      <t>ヒョウカ</t>
    </rPh>
    <rPh sb="16" eb="19">
      <t>イインカイ</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</si>
  <si>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</si>
  <si>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</si>
  <si>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</si>
  <si>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</si>
  <si>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</si>
  <si>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学生課教務係</t>
    <rPh sb="0" eb="3">
      <t>ガクセイカ</t>
    </rPh>
    <rPh sb="3" eb="6">
      <t>キョウムカカリ</t>
    </rPh>
    <phoneticPr fontId="1"/>
  </si>
  <si>
    <t>担当者名</t>
    <rPh sb="0" eb="2">
      <t>タントウ</t>
    </rPh>
    <rPh sb="2" eb="3">
      <t>シャ</t>
    </rPh>
    <rPh sb="3" eb="4">
      <t>メイ</t>
    </rPh>
    <phoneticPr fontId="1"/>
  </si>
  <si>
    <t>寺下　貴展</t>
    <rPh sb="0" eb="2">
      <t>テラシタ</t>
    </rPh>
    <rPh sb="3" eb="5">
      <t>タカノブ</t>
    </rPh>
    <phoneticPr fontId="1"/>
  </si>
  <si>
    <t>E-mail</t>
  </si>
  <si>
    <t>kyoumu@hiroshima-cmt.ac.jp</t>
    <phoneticPr fontId="1"/>
  </si>
  <si>
    <t>電話番号</t>
  </si>
  <si>
    <t>0846-67-3022</t>
    <phoneticPr fontId="1"/>
  </si>
  <si>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</si>
  <si>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</si>
  <si>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</si>
  <si>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</si>
  <si>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</si>
  <si>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平成28年度以降に入学した商船学科の入学生について、商船学科の対象授業科目のすべての単位を修得していること。
【対象授業科目（必修科目）】
海事演習：２単位、商船学科１・２年次対象
航海演習：１単位、商船学科航海コース４年次対象
数値計算：１単位、商船学科機関コース５年次対象</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</si>
  <si>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</si>
  <si>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</si>
  <si>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</si>
  <si>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</si>
  <si>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</si>
  <si>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</si>
  <si>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</si>
  <si>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海事演習（１・２年次）</t>
    <rPh sb="0" eb="2">
      <t>カイジ</t>
    </rPh>
    <rPh sb="2" eb="4">
      <t>エンシュウ</t>
    </rPh>
    <rPh sb="8" eb="10">
      <t>ネンジ</t>
    </rPh>
    <phoneticPr fontId="1"/>
  </si>
  <si>
    <t>○</t>
  </si>
  <si>
    <t>一部開講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</si>
  <si>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</si>
  <si>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</si>
  <si>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</si>
  <si>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航海演習（航海コース４年次）</t>
    <rPh sb="0" eb="2">
      <t>コウカイ</t>
    </rPh>
    <rPh sb="2" eb="4">
      <t>エンシュウ</t>
    </rPh>
    <rPh sb="5" eb="7">
      <t>コウカイ</t>
    </rPh>
    <rPh sb="11" eb="13">
      <t>ネンジ</t>
    </rPh>
    <phoneticPr fontId="1"/>
  </si>
  <si>
    <t>数値計算（機関コース５年次）</t>
    <rPh sb="0" eb="4">
      <t>スウチケイサン</t>
    </rPh>
    <rPh sb="5" eb="7">
      <t>キカン</t>
    </rPh>
    <rPh sb="11" eb="13">
      <t>ネンジ</t>
    </rPh>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</si>
  <si>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</si>
  <si>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</si>
  <si>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</si>
  <si>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</si>
  <si>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</si>
  <si>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</si>
  <si>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</si>
  <si>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</si>
  <si>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</si>
  <si>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</si>
  <si>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航海演習（航海コース４年次）</t>
    <phoneticPr fontId="1"/>
  </si>
  <si>
    <t>数値計算（機関コース５年次）</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</si>
  <si>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</si>
  <si>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</si>
  <si>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基礎実習（全学科１年次）</t>
    <rPh sb="0" eb="4">
      <t>キソジッシュウ</t>
    </rPh>
    <rPh sb="5" eb="8">
      <t>ゼンガッカ</t>
    </rPh>
    <rPh sb="9" eb="11">
      <t>ネンジ</t>
    </rPh>
    <phoneticPr fontId="1"/>
  </si>
  <si>
    <t>4‐2アルゴリズム基礎</t>
  </si>
  <si>
    <t>応用数学（５年次）</t>
    <rPh sb="6" eb="8">
      <t>ネンジ</t>
    </rPh>
    <phoneticPr fontId="1"/>
  </si>
  <si>
    <t>4-1統計および数理基礎</t>
  </si>
  <si>
    <t>実験実習（３年次）</t>
    <rPh sb="0" eb="4">
      <t>ジッケンジッシュウ</t>
    </rPh>
    <rPh sb="6" eb="7">
      <t>ネン</t>
    </rPh>
    <rPh sb="7" eb="8">
      <t>ツギ</t>
    </rPh>
    <phoneticPr fontId="1"/>
  </si>
  <si>
    <t>実験実習（３年次）</t>
    <rPh sb="0" eb="2">
      <t>ジッケン</t>
    </rPh>
    <rPh sb="2" eb="4">
      <t>ジッシュウ</t>
    </rPh>
    <rPh sb="6" eb="8">
      <t>ネンジ</t>
    </rPh>
    <phoneticPr fontId="1"/>
  </si>
  <si>
    <t>4‐3データ構造とプログラミング基礎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</si>
  <si>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</si>
  <si>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</si>
  <si>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</si>
  <si>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</si>
  <si>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第4次産業革命、Society 5.0：「海事演習」（第10回目ー自動化技術入門）</t>
  </si>
  <si>
    <t>1-6</t>
    <phoneticPr fontId="1"/>
  </si>
  <si>
    <t>データ駆動型社会：「海事演習」（第10回目ー自動化技術入門）</t>
  </si>
  <si>
    <t>（２）「社会で活用されているデータ」や「データの活用領域」は非常に広範囲であって、日常生活や社会の課題を解決する有用なツールになり得るもの</t>
    <phoneticPr fontId="1"/>
  </si>
  <si>
    <t>データの作成：（航海コース）「航海演習」（第6回）（機関コース）「数値計算」（第10回）</t>
  </si>
  <si>
    <t>仮説検証、知識発見、原因究明:（航海コース）「航海演習」（第7回）（機関コース）「数値計算」（第1回）</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</si>
  <si>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</si>
  <si>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データ解析・可視化・仮説検証:（航海コース）「航海演習」（第12回-15回）（機関コース）「数値計算」（第11回-第13回）</t>
  </si>
  <si>
    <t xml:space="preserve">課題解決に向けた提案：仮説検証、知識発見、原因究明:（航海コース）「航海演習」（第12回-15回）（機関コース）「数値計算」（第11回-第13回）																						</t>
  </si>
  <si>
    <t>（４）活用に当たっての様々な留意事項（ELSI、個人情報、データ倫理、ＡＩ社会原則等）を考慮し、情報セキュリティや情報漏洩等、データを守る上での留意事項への理解をする</t>
    <phoneticPr fontId="1"/>
  </si>
  <si>
    <t>データ倫理・AI社会原則：「海事演習」（第11回目）</t>
  </si>
  <si>
    <t>情報漏洩等によるセキュリティ事故の事例紹介：「海事演習」（第11回目）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</si>
  <si>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</si>
  <si>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データのばらつき、相関と因果、統計情報の正しい取り扱い：：（航海コース）「航海演習」（第6回）（機関コース）「数値計算」（第10回）</t>
  </si>
  <si>
    <t>データ表現：（航海コース）「航海演習」（第12回-15回）（機関コース）「数値計算」（第11回-第13回）</t>
  </si>
  <si>
    <t>データ解析ツール：（航海コース）「航海演習」（第12回-15回）（機関コース）「数値計算」（第11回-第13回）</t>
  </si>
  <si>
    <t>⑩プログラムの学修成果（学生等が身に付けられる能力等）</t>
    <phoneticPr fontId="1"/>
  </si>
  <si>
    <t>デジタル社会の「読み・書き・そろばん」である数理・データサイエンス・AIの基礎的素養を身につけ、自らの専門分野に応用できること。
社会情勢や社会での実例を学び、人間中心の適切な判断ができ、学修した知識やスキル等を説明、活用できること。</t>
  </si>
  <si>
    <t>⑪プログラムの授業内容等を公表しているアドレス</t>
    <phoneticPr fontId="1"/>
  </si>
  <si>
    <t>https://www.hiroshima-cmt.ac.jp/release/ai.html</t>
  </si>
  <si>
    <t>様式２－２</t>
    <phoneticPr fontId="1"/>
  </si>
  <si>
    <t>平成28年度以降に入学した電子制御工学科の入学生について、電子制御工学科の対象授業科目のすべての単位を修得していること。
【対象授業科目（必修科目）】
情報演習：１単位、電子制御工学科１年次対象
電気数学Ⅱ：２単位、電子制御工学科５年次対象
システム工学：２単位、電子制御工学科５年次対象</t>
  </si>
  <si>
    <t>情報演習（１年次）</t>
  </si>
  <si>
    <t>システム工学（５年次）</t>
  </si>
  <si>
    <t>電気数学Ⅱ（５年次）</t>
  </si>
  <si>
    <t>電気数学Ⅱ（５年次）</t>
    <rPh sb="0" eb="2">
      <t>デンキ</t>
    </rPh>
    <rPh sb="2" eb="4">
      <t>スウガク</t>
    </rPh>
    <rPh sb="7" eb="9">
      <t>ネンジ</t>
    </rPh>
    <phoneticPr fontId="1"/>
  </si>
  <si>
    <t>情報演習（１年次）</t>
    <rPh sb="0" eb="4">
      <t>ジョウホウエンシュウ</t>
    </rPh>
    <rPh sb="6" eb="8">
      <t>ネンジ</t>
    </rPh>
    <phoneticPr fontId="1"/>
  </si>
  <si>
    <t>4‐6画像解析</t>
  </si>
  <si>
    <t>社会で起きている変化：「情報演習」（第1-2回目）　　　　　　　　　　　　　　　　　　　　　　　　　　　　　　　　　　　</t>
  </si>
  <si>
    <t>データ・AI利活用の最新動向：「情報演習」（第15回目）　　　　　　　　　　　　　　　　　　　　　　　　　　　　　　　</t>
  </si>
  <si>
    <t>社会で活用されているデータ：「情報演習」（第3-4回目）</t>
  </si>
  <si>
    <t>社会で活用されているデータ：「情報演習」（第5回目）</t>
  </si>
  <si>
    <t>データ・AIの活用領域：「情報演習」（第6回目）</t>
  </si>
  <si>
    <t>データ・AIの活用領域：「情報演習」（第7回目）</t>
  </si>
  <si>
    <t>Society5.0概要：「システム工学」（第14回）</t>
  </si>
  <si>
    <t>Society5.0概要：「システム工学」（第15回）</t>
  </si>
  <si>
    <t>データ・AI利活用のための基礎技術：「情報演習」（第9-10回目）　　　　　　　　　　　　　　　　　　　　　　　　　　　　            確率・統計：「電気数学Ⅱ」(第12-13回)</t>
  </si>
  <si>
    <t>データ・AI利活用のための基礎技術：「情報演習」（第11-12回目）　　　　　　　　　　　　　　　　　　　　　　　　　　　　　  　    確率・統計：「電気数学Ⅱ」(第14回)</t>
  </si>
  <si>
    <t>データ・AI利活用のための基礎技術：「情報演習」（第13-14回目）　　　　　　　　　　　　　　　　　　　　　　　　　　               確率・統計：「電気数学Ⅱ」(第15回)</t>
  </si>
  <si>
    <t>様式２－３</t>
    <phoneticPr fontId="1"/>
  </si>
  <si>
    <t>平成28年度以降に入学した流通情報工学科の入学生について、流通情報工学科の対象授業科目のすべての単位を修得していること。
【対象授業科目（必修科目）】
情報演習：２単位、流通情報工学科２年次対象
コンピュータ概論：２単位、流通情報工学科２年次対象
流通情報工学演習：４単位、流通情報工学科４年次対象</t>
  </si>
  <si>
    <t>コンピュータ概論（２年次）</t>
    <rPh sb="6" eb="8">
      <t>ガイロン</t>
    </rPh>
    <rPh sb="10" eb="12">
      <t>ネンジ</t>
    </rPh>
    <phoneticPr fontId="1"/>
  </si>
  <si>
    <t>流通情報工学演習（４年次）</t>
  </si>
  <si>
    <t>情報演習（２年次）</t>
    <rPh sb="0" eb="4">
      <t>ジョウホウエンシュウ</t>
    </rPh>
    <rPh sb="6" eb="8">
      <t>ネンジ</t>
    </rPh>
    <phoneticPr fontId="1"/>
  </si>
  <si>
    <t>情報演習（２年次）</t>
    <phoneticPr fontId="1"/>
  </si>
  <si>
    <t>流通情報工学演習（４年次）</t>
    <phoneticPr fontId="1"/>
  </si>
  <si>
    <t>⑧選択「４．オプション」の内容を含む授業科目</t>
  </si>
  <si>
    <t>流通情報工学実習（２年次）</t>
  </si>
  <si>
    <t>統計学（３年次）</t>
    <rPh sb="0" eb="3">
      <t>トウケイガク</t>
    </rPh>
    <rPh sb="5" eb="7">
      <t>ネンジ</t>
    </rPh>
    <phoneticPr fontId="1"/>
  </si>
  <si>
    <t>⑨プログラムを構成する授業の内容</t>
  </si>
  <si>
    <t>第4次産業革命、Society 5.0：「コンピュータ概論」（第10-11回目）</t>
    <rPh sb="27" eb="29">
      <t>ガイロン</t>
    </rPh>
    <rPh sb="31" eb="32">
      <t>ダイ</t>
    </rPh>
    <rPh sb="37" eb="39">
      <t>カイメ</t>
    </rPh>
    <phoneticPr fontId="1"/>
  </si>
  <si>
    <t>データ駆動型社会：「コンピュータ概論」（第12回目）</t>
  </si>
  <si>
    <t>情報化社会：「コンピュータ概論」（第9回目）</t>
    <rPh sb="0" eb="3">
      <t>ジョウホウカ</t>
    </rPh>
    <phoneticPr fontId="1"/>
  </si>
  <si>
    <t>流通産業におけるデータの利活用：「コンピュータ概論」（第13-14回目）</t>
    <phoneticPr fontId="1"/>
  </si>
  <si>
    <t>単回帰分析と係数の検定：「流通情報工学演習」（第3-4回目）</t>
  </si>
  <si>
    <t>流通システムにおける数理計画法の導入：「流通情報工学演習」（第9-10回目）</t>
  </si>
  <si>
    <t>個人情報保護法、データ倫理、AI社会原則：「情報演習」（11回目）</t>
    <rPh sb="22" eb="26">
      <t>ジョウホウエンシュウ</t>
    </rPh>
    <rPh sb="30" eb="32">
      <t>カイメ</t>
    </rPh>
    <phoneticPr fontId="1"/>
  </si>
  <si>
    <t>現代社会における情報セキュリティ：「コンピュータ概論」（15回目）
情報セキュリティ対策：「情報演習」（10回目）</t>
    <rPh sb="34" eb="36">
      <t>ジョウホウ</t>
    </rPh>
    <rPh sb="42" eb="44">
      <t>タイサク</t>
    </rPh>
    <rPh sb="46" eb="50">
      <t>ジョウホウエンシュウ</t>
    </rPh>
    <rPh sb="54" eb="56">
      <t>カイメ</t>
    </rPh>
    <phoneticPr fontId="1"/>
  </si>
  <si>
    <t>データの種類、データの分布と代表値、ばらつき：「情報演習」（4-6回目）
財務諸表、収益性分析、安全性分析：「流通情報工学演習」（第11-12回目）</t>
  </si>
  <si>
    <t>データの可視化方法とその特徴：「情報演習」（7回目）
エクセルの基本操作、グラフ作成、データの判定：「流通情報工学演習」（第2回目）</t>
  </si>
  <si>
    <t>基本統計処理プログラム：「情報演習」（8回目）
データベースからの知識獲得：「流通情報工学演習」（第13-14回目）</t>
  </si>
  <si>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</si>
  <si>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</si>
  <si>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</si>
  <si>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</si>
  <si>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</si>
  <si>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</si>
  <si>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</si>
  <si>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</si>
  <si>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</si>
  <si>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</si>
  <si>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</si>
  <si>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</si>
  <si>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</si>
  <si>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</si>
  <si>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</si>
  <si>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</si>
  <si>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</si>
  <si>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商船学科</t>
    <rPh sb="0" eb="4">
      <t>ショウセンガッカ</t>
    </rPh>
    <phoneticPr fontId="1"/>
  </si>
  <si>
    <t>電子制御工学科</t>
    <rPh sb="0" eb="7">
      <t>デンシセイギョコウガッカ</t>
    </rPh>
    <phoneticPr fontId="1"/>
  </si>
  <si>
    <t>流通情報工学科</t>
    <rPh sb="0" eb="7">
      <t>リュウツウジョウホウコウガッカ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</si>
  <si>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</si>
  <si>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</si>
  <si>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</si>
  <si>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</si>
  <si>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</si>
  <si>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広島商船高等専門学校自己点検評価委員会数理・データサイエンス・AI専門部会内規</t>
  </si>
  <si>
    <t>体制の目的</t>
    <rPh sb="0" eb="2">
      <t>タイセイ</t>
    </rPh>
    <rPh sb="3" eb="5">
      <t>モクテキ</t>
    </rPh>
    <phoneticPr fontId="1"/>
  </si>
  <si>
    <t>　本校学生に数理・データサイエンス・AIに係る関心を高め、かつ適切に理解し、それらを活用する基礎的な能力を育成することを目的とした「広島商船高等専門学校　数理・データサイエンス・AI教育プログラム」を改善・進化させるため、広島商船高等専門学校自己点検評価委員会数理・データサイエンス・AI専門部会を設置した。</t>
  </si>
  <si>
    <t>③</t>
    <phoneticPr fontId="1"/>
  </si>
  <si>
    <t>具体的な構成員</t>
    <rPh sb="0" eb="3">
      <t>グタイテキ</t>
    </rPh>
    <rPh sb="4" eb="7">
      <t>コウセイイン</t>
    </rPh>
    <phoneticPr fontId="1"/>
  </si>
  <si>
    <t>※令和３年度の体制を記載
【部会長】
大山　博史（教務主事）
【部会員】
岸　拓真（教務主事補）
小河　浩（副校長（評価担当））
川崎　雄貴（一般教科教員）
片平　卓志（商船学科教員）
石橋　和葵（電子制御工学科教員）
加藤　博明（流通情報工学科教員）
七條　友歩（学生課長）</t>
  </si>
  <si>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</si>
  <si>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</si>
  <si>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</si>
  <si>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</si>
  <si>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</si>
  <si>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</si>
  <si>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</si>
  <si>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</si>
  <si>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</si>
  <si>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</si>
  <si>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</si>
  <si>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</si>
  <si>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</si>
  <si>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</si>
  <si>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</si>
  <si>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</si>
  <si>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</si>
  <si>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</si>
  <si>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</si>
  <si>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</si>
  <si>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</si>
  <si>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プログラムを必修科目で構成しており入学するすべての学生全員が履修する。修得状況については学生の進級状況を把握することにより確認することができる。
　修得状況に課題のある学生に対しては、教員のオフィスアワー等を活用してフォローできる体制を構築済みである。
　プログラムの履修の実績としては、令和２年度以降の入学生全員が履修している状況であり、１年次入学者に対する履修率は１００％である。</t>
  </si>
  <si>
    <t>学修成果</t>
    <rPh sb="0" eb="2">
      <t>ガクシュウ</t>
    </rPh>
    <rPh sb="2" eb="4">
      <t>セイカ</t>
    </rPh>
    <phoneticPr fontId="1"/>
  </si>
  <si>
    <t>　各学科でAIやIoT教育に取り組みつつ、全学生にオンラインツールであるTeamsを導入するなど、数理・データサイエンス・AI分野を含む情報教育の強化を行っており、卒業時には各専門学科において、自らの専門分野においてデータ活用ができる素養を備えたエンジニアを育成するカリキュラムとなっている。教育プログラムを構成する科目の成績やFD委員会で実施している授業評価アンケート結果を分析することによって、授業内容に関する学生の学習状況を把握することができ、その結果を教務委員会、FD委員会が連携し、教育プログラムを含めたカリキュラムの評価・改善に活用している。また、すべての科目においてシラバスが公開されており、学生にとっても各科目において求められる学習成果が何であるかが明確となっている。</t>
  </si>
  <si>
    <t>学生アンケート等を通じた学生の内容の理解度</t>
  </si>
  <si>
    <t>　本教育プログラム受講者である学生全員に対して授業評価アンケートを実施しており、FD委員会において学生の理解度を把握している。また授業アンケートを授業担当教員にフィードバックを行い、教員自らによる授業改善に活用している。また、シラバスには科目のルーブリックが掲載されており、学生自身も理解度を把握できる仕組みとなっている。
　なお、令和３年度の教育プログラムの科目群の授業評価の平均値は４．４４(最高評価は５)と高いものとなっている。この結果は授業担当教員へフィードバックされており授業の改善に活用している。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</si>
  <si>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</si>
  <si>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すべての学生が教育プログラム履修者であるため、履修を促すための特別な推奨を特に行っていない。ただし、授業評価アンケートを通じて授業における学生の興味関心の確認は絶えず行っている。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</si>
  <si>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</si>
  <si>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全校で本教育プログラムを必修科目で構成しており、入学者はすべて履修者となる。このため、１年次入学者に対する履修率は原則１００％である。今後、新たなカリキュラムを編成する際にも本教育プログラムを達成する必修科目群でカリキュラムを構成する計画である。
　令和２年度の１年次入学者から教育プログラムが適用され、以降すべての１年次入学者（約１２０名）が履修している。</t>
  </si>
  <si>
    <t>学外からの視点</t>
  </si>
  <si>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</si>
  <si>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卒業生を対象としたアンケートを毎年実施し、本教育プログラムを修了した卒業生の学習目標達成度や満足度を把握する仕組みとなっている。また、修了者の進路（就職先・進学先）を学校として把握しており、運営委員会及び教員会議等で報告され、教育プログラムの成果を点検できるものとなっている。</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</si>
  <si>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</si>
  <si>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本校と協力関係にある企業との交流会である産業振興交流会に所属する企業や学生のインターンシップ先にアンケート等を行うことにより、産業界からの教育への期待を取り入れるとともに、外部評価委員が参加する運営諮問会議を毎年開催し教育内容ついての意見をいただき、教育の点検と改善を行ってい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</si>
  <si>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</si>
  <si>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本教育プログラムでは学科ごとにプログラムを構成する科目群を準備しており、モデルカリキュラム(リテラシーレベル)の導入部分に準じた内容を展開しつつ、自らが専門とする分野でどのようにデータが活用されているのかを学ぶことにより、学生が自ら興味を持ち、学ぶ意義を実感できる授業内容となっている。
　また、授業評価アンケートでは「学ぶ楽しさ」「学ぶことの意義」が反映されるアンケート項目として「授業の満足度」を確認している。本教育プログラムを構成する授業の平均値が４．３９(最高評価は５)と高い評価となっており、学生が興味関心を持ち真摯に授業を受けていることが確認できる。この結果は授業担当教員へフィードバックされており授業の改善に活用している。</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</si>
  <si>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</si>
  <si>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本校の教育プログラムでは専門学科ごとにプログラムを構成する科目群を準備しており、各専門分野で具体的に活用されている情報技術やデータについての授業がその分野を専門とする教員によって展開されており、内容・水準を維持・向上しつつ、より「分かりやすい」授業となっている。
　また、授業評価アンケートによって授業内容の分かりやすさの確認を行っており、本教育プログラムを構成する科目の授業評価アンケートにおいて平均値が４．３７(最高評価は５)となっており、分かりやすい授業となっていることが確認できている。この結果は授業担当教員へフィードバックされており授業の改善に活用している。</t>
  </si>
  <si>
    <t>②自己点検・評価体制における意見等を公表しているアドレス</t>
    <phoneticPr fontId="1"/>
  </si>
  <si>
    <t>　授業時間内で教員が学生の学習指導、質問を受け付けるほか、令和２年度より全学生にオンラインツールであるTeamsを導入しており、各クラスのチームやチャットを通じて、授業時間以外にも質疑応答をインターネット上で相談できる環境となっている。</t>
    <rPh sb="90" eb="94">
      <t>シツギオウトウ</t>
    </rPh>
    <phoneticPr fontId="1"/>
  </si>
  <si>
    <t>　全学科の教育プログラムを必修科目で構成しており、カリキュラム上では在学中の適切な時期に対象科目を開講する。また、少人数教育という高専の特徴を活かし、各学科の教員が学生の専門性に対応した教材を用いて講義を行い、学生の履修・修得を支援している。また、対応可能教員を学生に明確にし、授業担当教員に加え他の教員への相談もできるようにする。</t>
    <rPh sb="124" eb="130">
      <t>タイオウカノウキョウイン</t>
    </rPh>
    <rPh sb="131" eb="133">
      <t>ガクセイ</t>
    </rPh>
    <rPh sb="134" eb="136">
      <t>メイカク</t>
    </rPh>
    <rPh sb="139" eb="141">
      <t>ジュギョウ</t>
    </rPh>
    <rPh sb="141" eb="143">
      <t>タントウ</t>
    </rPh>
    <rPh sb="143" eb="145">
      <t>キョウイン</t>
    </rPh>
    <rPh sb="146" eb="147">
      <t>クワ</t>
    </rPh>
    <rPh sb="148" eb="149">
      <t>ホカ</t>
    </rPh>
    <rPh sb="150" eb="152">
      <t>キョウイン</t>
    </rPh>
    <rPh sb="154" eb="156">
      <t>ソウダン</t>
    </rPh>
    <phoneticPr fontId="1"/>
  </si>
  <si>
    <t>　全学科の教育プログラムを必修科目で構成しており、全学生が履修する。
　本校がAI・数理データーサイエンスについて学ぶことができることをHPの掲載と、学校案内等への掲載も行う。教育プログラムについてはHPやWEBシラバスで確認できるようにし、ホームルームなどを通じて学生へ周知をおこなう。</t>
    <rPh sb="36" eb="38">
      <t>ホンコウ</t>
    </rPh>
    <rPh sb="42" eb="44">
      <t>スウリ</t>
    </rPh>
    <rPh sb="57" eb="58">
      <t>マナ</t>
    </rPh>
    <rPh sb="71" eb="73">
      <t>ケイサイ</t>
    </rPh>
    <rPh sb="75" eb="79">
      <t>ガッコウアンナイ</t>
    </rPh>
    <rPh sb="79" eb="80">
      <t>トウ</t>
    </rPh>
    <rPh sb="82" eb="84">
      <t>ケイサイ</t>
    </rPh>
    <rPh sb="85" eb="86">
      <t>オコナ</t>
    </rPh>
    <rPh sb="88" eb="90">
      <t>キョウイク</t>
    </rPh>
    <rPh sb="111" eb="113">
      <t>カクニン</t>
    </rPh>
    <rPh sb="130" eb="131">
      <t>ツウ</t>
    </rPh>
    <phoneticPr fontId="1"/>
  </si>
  <si>
    <t>　各学科の学生が専門性を活かしつつプログラムを履修できるように、各学科ごとに教育プログラムを構成している。教育プログラムを全学科の学生全員が受講可能な必修科目で構成しており、学生全員が履修する体制となっている。なお各学科で履修タイミングにばらつきがでないように、低学年の際と高学年の際でそれぞれ履修できるように構成した。各教育プログラムの履修科目は連携を行い、履修状況や授業内容について共有するものとする。</t>
    <rPh sb="111" eb="113">
      <t>リシュウ</t>
    </rPh>
    <rPh sb="131" eb="134">
      <t>テイガクネン</t>
    </rPh>
    <rPh sb="135" eb="136">
      <t>サイ</t>
    </rPh>
    <rPh sb="137" eb="140">
      <t>コウガクネン</t>
    </rPh>
    <rPh sb="141" eb="142">
      <t>サイ</t>
    </rPh>
    <rPh sb="147" eb="149">
      <t>リシュウ</t>
    </rPh>
    <rPh sb="155" eb="157">
      <t>コウセイ</t>
    </rPh>
    <rPh sb="160" eb="161">
      <t>カク</t>
    </rPh>
    <rPh sb="161" eb="163">
      <t>キョウイク</t>
    </rPh>
    <rPh sb="169" eb="173">
      <t>リシュウカモク</t>
    </rPh>
    <rPh sb="174" eb="176">
      <t>レンケイ</t>
    </rPh>
    <rPh sb="177" eb="178">
      <t>オコナ</t>
    </rPh>
    <rPh sb="180" eb="184">
      <t>リシュウジョウキョウ</t>
    </rPh>
    <rPh sb="185" eb="189">
      <t>ジュギョウナイヨウ</t>
    </rPh>
    <rPh sb="193" eb="195">
      <t>キョウユウ</t>
    </rPh>
    <phoneticPr fontId="1"/>
  </si>
  <si>
    <t xml:space="preserve">　本プログラムに関する各学科の対象授業科目は必修科目で構成しているため、上記のように年度ごとに履修者数及び履修率が向上する予定となっている。令和7年度で100%を目指す。
</t>
    <rPh sb="70" eb="72">
      <t>レイワ</t>
    </rPh>
    <rPh sb="73" eb="75">
      <t>ネンド</t>
    </rPh>
    <rPh sb="81" eb="83">
      <t>メザ</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</si>
</sst>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ＭＳ Ｐゴシック"/>
      <family val="3"/>
    </font>
    <font>
      <sz val="12"/>
      <color rgb="FF000000"/>
      <name val="ＭＳ Ｐゴシック"/>
      <family val="3"/>
      <charset val="128"/>
      <scheme val="minor"/>
    </font>
  </fonts>
  <fills count="2">
    <fill>
      <patternFill patternType="none"/>
    </fill>
    <fill>
      <patternFill patternType="gray125"/>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right style="thin">
        <color rgb="FF000000"/>
      </right>
      <top style="thin">
        <color indexed="64"/>
      </top>
      <bottom style="hair">
        <color indexed="64"/>
      </bottom>
      <diagonal/>
    </border>
    <border>
      <left/>
      <right style="thin">
        <color rgb="FF000000"/>
      </right>
      <top style="hair">
        <color indexed="64"/>
      </top>
      <bottom style="hair">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right style="thin">
        <color rgb="FF000000"/>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18">
    <xf numFmtId="0" fontId="0" fillId="0" borderId="0" xfId="0">
      <alignment vertical="center"/>
    </xf>
    <xf numFmtId="0" fontId="2"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20" xfId="0" applyFont="1" applyBorder="1" applyAlignment="1">
      <alignment vertical="top" shrinkToFit="1"/>
    </xf>
    <xf numFmtId="0" fontId="11" fillId="0" borderId="18" xfId="0" applyFont="1" applyBorder="1" applyAlignment="1">
      <alignment vertical="top" shrinkToFit="1"/>
    </xf>
    <xf numFmtId="0" fontId="12"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top" wrapText="1"/>
    </xf>
    <xf numFmtId="0" fontId="8" fillId="0" borderId="3" xfId="0" applyFont="1" applyBorder="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Alignment="1">
      <alignment vertical="center" wrapText="1"/>
    </xf>
    <xf numFmtId="0" fontId="19" fillId="0" borderId="0" xfId="0" applyFont="1">
      <alignment vertical="center"/>
    </xf>
    <xf numFmtId="0" fontId="19" fillId="0" borderId="0" xfId="0" applyFont="1" applyAlignment="1">
      <alignment vertical="top" wrapText="1"/>
    </xf>
    <xf numFmtId="0" fontId="19" fillId="0" borderId="0" xfId="0" applyFont="1" applyAlignment="1">
      <alignment vertical="top" shrinkToFit="1"/>
    </xf>
    <xf numFmtId="0" fontId="19" fillId="0" borderId="0" xfId="0" applyFont="1" applyAlignment="1">
      <alignment vertical="center" wrapText="1"/>
    </xf>
    <xf numFmtId="49" fontId="17"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1" fillId="0" borderId="32" xfId="0" applyFont="1" applyBorder="1" applyAlignment="1">
      <alignment vertical="center" wrapTex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7" fillId="0" borderId="2" xfId="3" applyBorder="1" applyAlignment="1">
      <alignment vertical="center" wrapText="1" shrinkToFit="1"/>
    </xf>
    <xf numFmtId="0" fontId="7" fillId="0" borderId="3" xfId="3" applyBorder="1" applyAlignment="1">
      <alignment vertical="center" shrinkToFit="1"/>
    </xf>
    <xf numFmtId="0" fontId="7" fillId="0" borderId="4" xfId="3" applyBorder="1" applyAlignment="1">
      <alignment vertical="center" shrinkToFit="1"/>
    </xf>
    <xf numFmtId="0" fontId="9" fillId="0" borderId="0" xfId="0" applyFont="1" applyAlignment="1">
      <alignment horizontal="center" vertical="center"/>
    </xf>
    <xf numFmtId="0" fontId="23" fillId="0" borderId="7" xfId="0" applyFont="1" applyBorder="1" applyAlignment="1">
      <alignment vertical="center" wrapText="1"/>
    </xf>
    <xf numFmtId="0" fontId="23" fillId="0" borderId="8" xfId="0" applyFont="1" applyBorder="1" applyAlignment="1">
      <alignment vertical="center" wrapText="1"/>
    </xf>
    <xf numFmtId="0" fontId="23" fillId="0" borderId="55" xfId="0" applyFont="1" applyBorder="1" applyAlignment="1">
      <alignment vertical="center" wrapText="1"/>
    </xf>
    <xf numFmtId="0" fontId="23" fillId="0" borderId="5" xfId="0" applyFont="1" applyBorder="1" applyAlignment="1">
      <alignment vertical="center" wrapText="1"/>
    </xf>
    <xf numFmtId="0" fontId="23" fillId="0" borderId="0" xfId="0" applyFont="1" applyAlignment="1">
      <alignment vertical="center" wrapText="1"/>
    </xf>
    <xf numFmtId="0" fontId="23" fillId="0" borderId="57" xfId="0" applyFont="1" applyBorder="1" applyAlignment="1">
      <alignment vertical="center" wrapText="1"/>
    </xf>
    <xf numFmtId="0" fontId="23" fillId="0" borderId="58" xfId="0" applyFont="1" applyBorder="1" applyAlignment="1">
      <alignment vertical="center" wrapText="1"/>
    </xf>
    <xf numFmtId="0" fontId="23" fillId="0" borderId="59" xfId="0" applyFont="1" applyBorder="1" applyAlignment="1">
      <alignment vertical="center" wrapText="1"/>
    </xf>
    <xf numFmtId="0" fontId="23" fillId="0" borderId="60" xfId="0" applyFont="1" applyBorder="1" applyAlignment="1">
      <alignment vertical="center" wrapText="1"/>
    </xf>
    <xf numFmtId="0" fontId="7" fillId="0" borderId="2" xfId="3" applyBorder="1" applyAlignment="1">
      <alignment vertical="center" shrinkToFit="1"/>
    </xf>
    <xf numFmtId="0" fontId="23" fillId="0" borderId="8" xfId="0" applyFont="1" applyBorder="1" applyAlignment="1">
      <alignment vertical="center"/>
    </xf>
    <xf numFmtId="0" fontId="23" fillId="0" borderId="55" xfId="0" applyFont="1" applyBorder="1" applyAlignment="1">
      <alignment vertical="center"/>
    </xf>
    <xf numFmtId="0" fontId="23" fillId="0" borderId="2" xfId="0" applyFont="1" applyBorder="1" applyAlignment="1">
      <alignment vertical="center" wrapText="1"/>
    </xf>
    <xf numFmtId="0" fontId="23" fillId="0" borderId="3" xfId="0" applyFont="1" applyBorder="1" applyAlignment="1">
      <alignment vertical="center" wrapText="1"/>
    </xf>
    <xf numFmtId="0" fontId="23" fillId="0" borderId="56" xfId="0" applyFont="1" applyBorder="1" applyAlignment="1">
      <alignment vertical="center" wrapText="1"/>
    </xf>
    <xf numFmtId="0" fontId="23" fillId="0" borderId="37" xfId="0" applyFont="1" applyBorder="1" applyAlignment="1">
      <alignment vertical="center"/>
    </xf>
    <xf numFmtId="0" fontId="23" fillId="0" borderId="39" xfId="0" applyFont="1" applyBorder="1" applyAlignment="1">
      <alignment vertical="center"/>
    </xf>
    <xf numFmtId="0" fontId="23" fillId="0" borderId="53" xfId="0" applyFont="1" applyBorder="1" applyAlignment="1">
      <alignment vertical="center"/>
    </xf>
    <xf numFmtId="0" fontId="23" fillId="0" borderId="19" xfId="0" applyFont="1" applyBorder="1" applyAlignment="1">
      <alignment vertical="center"/>
    </xf>
    <xf numFmtId="0" fontId="23" fillId="0" borderId="20" xfId="0" applyFont="1" applyBorder="1" applyAlignment="1">
      <alignment vertical="center"/>
    </xf>
    <xf numFmtId="0" fontId="23" fillId="0" borderId="54" xfId="0" applyFont="1" applyBorder="1" applyAlignment="1">
      <alignment vertical="center"/>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22" xfId="0" applyFont="1" applyBorder="1" applyAlignment="1">
      <alignment horizontal="lef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19" xfId="0" applyFont="1" applyBorder="1" applyAlignment="1">
      <alignment vertical="center" wrapText="1" shrinkToFit="1"/>
    </xf>
    <xf numFmtId="0" fontId="9" fillId="0" borderId="6" xfId="0" applyFont="1" applyBorder="1" applyAlignment="1">
      <alignment vertical="center"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8"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24" fillId="0" borderId="19" xfId="0" applyFont="1" applyBorder="1" applyAlignment="1">
      <alignment vertical="top" wrapText="1" shrinkToFit="1"/>
    </xf>
    <xf numFmtId="0" fontId="24" fillId="0" borderId="20" xfId="0" applyFont="1" applyBorder="1" applyAlignment="1">
      <alignment vertical="top" wrapText="1" shrinkToFit="1"/>
    </xf>
    <xf numFmtId="0" fontId="24"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4" fillId="0" borderId="6" xfId="0" applyFont="1" applyBorder="1" applyAlignment="1">
      <alignment vertical="top" wrapText="1" shrinkToFit="1"/>
    </xf>
    <xf numFmtId="0" fontId="24" fillId="0" borderId="12" xfId="0" applyFont="1" applyBorder="1" applyAlignment="1">
      <alignment vertical="top" wrapText="1" shrinkToFit="1"/>
    </xf>
    <xf numFmtId="0" fontId="7" fillId="0" borderId="2" xfId="3" applyBorder="1" applyAlignment="1">
      <alignment horizontal="left" vertical="center" shrinkToFit="1"/>
    </xf>
    <xf numFmtId="0" fontId="7" fillId="0" borderId="3" xfId="3" applyBorder="1" applyAlignment="1">
      <alignment horizontal="left" vertical="center" shrinkToFit="1"/>
    </xf>
    <xf numFmtId="0" fontId="7" fillId="0" borderId="4" xfId="3" applyBorder="1" applyAlignment="1">
      <alignment horizontal="left"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4">
    <cellStyle name="Hyperlink" xfId="3" xr:uid="{00000000-000B-0000-0000-000008000000}"/>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hiroshima-cmt.ac.jp/release/ai.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hiroshima-cmt.ac.jp/release/ai.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hiroshima-cmt.ac.jp/release/ai.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hiroshima-cmt.ac.jp/release/a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85" zoomScaleNormal="100" zoomScaleSheetLayoutView="85" workbookViewId="0">
      <selection activeCell="G18" sqref="G18:J18"/>
    </sheetView>
  </sheetViews>
  <sheetFormatPr defaultColWidth="9" defaultRowHeight="18.75" customHeight="1" x14ac:dyDescent="0.15"/>
  <cols>
    <col min="1" max="1" width="3.375" style="13" customWidth="1"/>
    <col min="2" max="2" width="11.125" style="13" customWidth="1"/>
    <col min="3" max="8" width="6.625" style="13" customWidth="1"/>
    <col min="9" max="9" width="3.375" style="13" customWidth="1"/>
    <col min="10" max="10" width="10" style="13" customWidth="1"/>
    <col min="11" max="11" width="3.375" style="13" customWidth="1"/>
    <col min="12" max="12" width="7.75" style="13" customWidth="1"/>
    <col min="13" max="13" width="3.375" style="13" customWidth="1"/>
    <col min="14" max="14" width="4.5" style="13" customWidth="1"/>
    <col min="15" max="15" width="9" style="26"/>
    <col min="16" max="16384" width="9" style="12"/>
  </cols>
  <sheetData>
    <row r="1" spans="1:15" ht="24" customHeight="1" x14ac:dyDescent="0.15">
      <c r="M1" s="128" t="s">
        <v>0</v>
      </c>
      <c r="N1" s="128"/>
    </row>
    <row r="2" spans="1:15" ht="24" customHeight="1" x14ac:dyDescent="0.15">
      <c r="A2" s="131" t="s">
        <v>1</v>
      </c>
      <c r="B2" s="131"/>
      <c r="C2" s="131"/>
      <c r="D2" s="131"/>
      <c r="E2" s="131"/>
      <c r="F2" s="131"/>
      <c r="G2" s="131"/>
      <c r="H2" s="131"/>
      <c r="I2" s="131"/>
      <c r="J2" s="131"/>
      <c r="K2" s="131"/>
      <c r="L2" s="131"/>
      <c r="M2" s="131"/>
      <c r="N2" s="131"/>
    </row>
    <row r="3" spans="1:15" ht="24" customHeight="1" x14ac:dyDescent="0.15"/>
    <row r="4" spans="1:15" ht="24" customHeight="1" x14ac:dyDescent="0.15">
      <c r="A4" s="13" t="s">
        <v>2</v>
      </c>
      <c r="B4" s="13" t="s">
        <v>3</v>
      </c>
      <c r="C4" s="118" t="s">
        <v>4</v>
      </c>
      <c r="D4" s="119"/>
      <c r="E4" s="119"/>
      <c r="F4" s="119"/>
      <c r="G4" s="119"/>
      <c r="H4" s="119"/>
      <c r="I4" s="119"/>
      <c r="J4" s="119"/>
      <c r="K4" s="119"/>
      <c r="L4" s="119"/>
      <c r="M4" s="119"/>
      <c r="N4" s="120"/>
      <c r="O4" s="26" t="str">
        <f>IF(C4="","入力してください","")</f>
        <v/>
      </c>
    </row>
    <row r="5" spans="1:15" ht="7.5" customHeight="1" x14ac:dyDescent="0.15">
      <c r="E5" s="14"/>
      <c r="F5" s="30"/>
      <c r="G5" s="30"/>
      <c r="H5" s="30"/>
      <c r="I5" s="30"/>
      <c r="J5" s="30"/>
      <c r="K5" s="30"/>
      <c r="L5" s="30"/>
      <c r="M5" s="30"/>
      <c r="N5" s="30"/>
    </row>
    <row r="6" spans="1:15" ht="24" customHeight="1" x14ac:dyDescent="0.15">
      <c r="A6" s="13" t="s">
        <v>5</v>
      </c>
      <c r="B6" s="13" t="s">
        <v>6</v>
      </c>
      <c r="D6" s="118" t="s">
        <v>7</v>
      </c>
      <c r="E6" s="119"/>
      <c r="F6" s="119"/>
      <c r="G6" s="119"/>
      <c r="H6" s="120"/>
      <c r="I6" s="13" t="s">
        <v>8</v>
      </c>
      <c r="J6" s="30" t="s">
        <v>9</v>
      </c>
      <c r="K6" s="118" t="s">
        <v>10</v>
      </c>
      <c r="L6" s="119"/>
      <c r="M6" s="119"/>
      <c r="N6" s="120"/>
      <c r="O6" s="26" t="str">
        <f>IF(D6="","入力してください","")</f>
        <v/>
      </c>
    </row>
    <row r="7" spans="1:15" ht="7.5" customHeight="1" x14ac:dyDescent="0.15">
      <c r="E7" s="14"/>
      <c r="F7" s="30"/>
      <c r="G7" s="30"/>
      <c r="H7" s="30"/>
      <c r="I7" s="30"/>
      <c r="J7" s="30"/>
      <c r="K7" s="30"/>
      <c r="L7" s="30"/>
      <c r="M7" s="30"/>
      <c r="N7" s="30"/>
    </row>
    <row r="8" spans="1:15" ht="24" customHeight="1" x14ac:dyDescent="0.15">
      <c r="A8" s="13" t="s">
        <v>11</v>
      </c>
      <c r="B8" s="13" t="s">
        <v>12</v>
      </c>
      <c r="C8" s="118" t="s">
        <v>13</v>
      </c>
      <c r="D8" s="119"/>
      <c r="E8" s="119"/>
      <c r="F8" s="119"/>
      <c r="G8" s="119"/>
      <c r="H8" s="119"/>
      <c r="I8" s="119"/>
      <c r="J8" s="119"/>
      <c r="K8" s="119"/>
      <c r="L8" s="119"/>
      <c r="M8" s="119"/>
      <c r="N8" s="120"/>
      <c r="O8" s="26" t="str">
        <f>IF(C8="","入力してください","")</f>
        <v/>
      </c>
    </row>
    <row r="9" spans="1:15" ht="7.5" customHeight="1" x14ac:dyDescent="0.15">
      <c r="E9" s="14"/>
      <c r="F9" s="30"/>
      <c r="G9" s="30"/>
      <c r="H9" s="30"/>
      <c r="I9" s="30"/>
      <c r="J9" s="30"/>
      <c r="K9" s="30"/>
      <c r="L9" s="30"/>
      <c r="M9" s="30"/>
      <c r="N9" s="30"/>
    </row>
    <row r="10" spans="1:15" ht="24" customHeight="1" x14ac:dyDescent="0.15">
      <c r="A10" s="13" t="s">
        <v>14</v>
      </c>
      <c r="B10" s="13" t="s">
        <v>15</v>
      </c>
      <c r="E10" s="118" t="s">
        <v>16</v>
      </c>
      <c r="F10" s="119"/>
      <c r="G10" s="119"/>
      <c r="H10" s="119"/>
      <c r="I10" s="119"/>
      <c r="J10" s="119"/>
      <c r="K10" s="119"/>
      <c r="L10" s="119"/>
      <c r="M10" s="119"/>
      <c r="N10" s="120"/>
      <c r="O10" s="26" t="str">
        <f>IF(E10="","入力してください","")</f>
        <v/>
      </c>
    </row>
    <row r="11" spans="1:15" ht="7.5" customHeight="1" x14ac:dyDescent="0.15">
      <c r="B11" s="14"/>
      <c r="C11" s="14"/>
      <c r="D11" s="14"/>
      <c r="E11" s="14"/>
      <c r="F11" s="30"/>
      <c r="G11" s="30"/>
      <c r="H11" s="30"/>
      <c r="I11" s="30"/>
      <c r="J11" s="30"/>
      <c r="K11" s="30"/>
      <c r="L11" s="30"/>
      <c r="M11" s="30"/>
      <c r="N11" s="30"/>
    </row>
    <row r="12" spans="1:15" ht="24" customHeight="1" x14ac:dyDescent="0.15">
      <c r="A12" s="13" t="s">
        <v>17</v>
      </c>
      <c r="B12" s="14" t="s">
        <v>18</v>
      </c>
      <c r="C12" s="14"/>
      <c r="D12" s="14"/>
      <c r="E12" s="132" t="s">
        <v>19</v>
      </c>
      <c r="F12" s="133"/>
      <c r="G12" s="13" t="s">
        <v>20</v>
      </c>
      <c r="H12" s="13" t="s">
        <v>21</v>
      </c>
      <c r="N12" s="100" t="s">
        <v>22</v>
      </c>
      <c r="O12" s="26" t="str">
        <f>IF(E12="","入力してください","")</f>
        <v/>
      </c>
    </row>
    <row r="13" spans="1:15" ht="7.5" customHeight="1" x14ac:dyDescent="0.15">
      <c r="B13" s="14"/>
      <c r="C13" s="14"/>
      <c r="D13" s="14"/>
      <c r="E13" s="14"/>
      <c r="F13" s="30"/>
      <c r="G13" s="30"/>
      <c r="H13" s="30"/>
      <c r="I13" s="30"/>
      <c r="J13" s="30"/>
      <c r="K13" s="30"/>
      <c r="L13" s="30"/>
      <c r="M13" s="30"/>
      <c r="N13" s="30"/>
    </row>
    <row r="14" spans="1:15" ht="24" customHeight="1" x14ac:dyDescent="0.15">
      <c r="A14" s="13" t="s">
        <v>23</v>
      </c>
      <c r="B14" s="13" t="s">
        <v>24</v>
      </c>
      <c r="C14" s="128" t="s">
        <v>25</v>
      </c>
      <c r="D14" s="129"/>
      <c r="E14" s="121">
        <v>52</v>
      </c>
      <c r="F14" s="122"/>
      <c r="G14" s="15" t="s">
        <v>26</v>
      </c>
      <c r="I14" s="128" t="s">
        <v>27</v>
      </c>
      <c r="J14" s="129"/>
      <c r="K14" s="121">
        <v>7</v>
      </c>
      <c r="L14" s="130"/>
      <c r="M14" s="122"/>
      <c r="N14" s="16" t="s">
        <v>26</v>
      </c>
      <c r="O14" s="26" t="str">
        <f>IF(OR(E14="",K14=""),"入力してください","")</f>
        <v/>
      </c>
    </row>
    <row r="15" spans="1:15" ht="7.5" customHeight="1" x14ac:dyDescent="0.15">
      <c r="M15" s="16"/>
      <c r="N15" s="16"/>
    </row>
    <row r="16" spans="1:15" ht="24" customHeight="1" x14ac:dyDescent="0.15">
      <c r="A16" s="13" t="s">
        <v>28</v>
      </c>
      <c r="B16" s="13" t="s">
        <v>29</v>
      </c>
      <c r="K16" s="132">
        <v>33</v>
      </c>
      <c r="L16" s="134"/>
      <c r="M16" s="133"/>
      <c r="N16" s="16" t="s">
        <v>26</v>
      </c>
      <c r="O16" s="26" t="str">
        <f>IF(K16="","入力してください","")</f>
        <v/>
      </c>
    </row>
    <row r="17" spans="1:15" ht="7.5" customHeight="1" x14ac:dyDescent="0.15">
      <c r="M17" s="16"/>
      <c r="N17" s="16"/>
    </row>
    <row r="18" spans="1:15" ht="24" customHeight="1" x14ac:dyDescent="0.15">
      <c r="A18" s="13" t="s">
        <v>30</v>
      </c>
      <c r="B18" s="13" t="s">
        <v>31</v>
      </c>
      <c r="E18" s="121">
        <v>120</v>
      </c>
      <c r="F18" s="122"/>
      <c r="G18" s="17" t="s">
        <v>32</v>
      </c>
      <c r="K18" s="138"/>
      <c r="L18" s="138"/>
      <c r="M18" s="138"/>
      <c r="N18" s="138"/>
      <c r="O18" s="26" t="str">
        <f>IF(E18="","入力してください","")</f>
        <v/>
      </c>
    </row>
    <row r="19" spans="1:15" ht="7.5" customHeight="1" x14ac:dyDescent="0.15">
      <c r="E19" s="9"/>
      <c r="L19" s="24"/>
      <c r="M19" s="24"/>
      <c r="N19" s="16"/>
    </row>
    <row r="20" spans="1:15" ht="24" customHeight="1" x14ac:dyDescent="0.15">
      <c r="A20" s="13" t="s">
        <v>33</v>
      </c>
      <c r="B20" s="13" t="s">
        <v>34</v>
      </c>
      <c r="E20" s="9"/>
      <c r="H20" s="13" t="s">
        <v>35</v>
      </c>
      <c r="J20" s="135">
        <f>SUM(C22,C24,C26,I22,I24,I26)</f>
        <v>679</v>
      </c>
      <c r="K20" s="136"/>
      <c r="L20" s="137"/>
      <c r="M20" s="24" t="s">
        <v>26</v>
      </c>
      <c r="N20" s="16"/>
      <c r="O20" s="26" t="str">
        <f>IF(J20="","入力してください","")</f>
        <v/>
      </c>
    </row>
    <row r="21" spans="1:15" ht="7.5" customHeight="1" x14ac:dyDescent="0.15">
      <c r="E21" s="9"/>
      <c r="L21" s="24"/>
      <c r="M21" s="24"/>
      <c r="N21" s="16"/>
    </row>
    <row r="22" spans="1:15" ht="24" customHeight="1" x14ac:dyDescent="0.15">
      <c r="B22" s="24" t="s">
        <v>36</v>
      </c>
      <c r="C22" s="121">
        <v>121</v>
      </c>
      <c r="D22" s="122"/>
      <c r="E22" s="9" t="s">
        <v>26</v>
      </c>
      <c r="G22" s="117" t="s">
        <v>37</v>
      </c>
      <c r="H22" s="117"/>
      <c r="I22" s="121">
        <v>125</v>
      </c>
      <c r="J22" s="122"/>
      <c r="K22" s="13" t="s">
        <v>26</v>
      </c>
      <c r="M22" s="24"/>
      <c r="N22" s="16"/>
    </row>
    <row r="23" spans="1:15" ht="7.5" customHeight="1" x14ac:dyDescent="0.15">
      <c r="B23" s="24"/>
      <c r="C23" s="10"/>
      <c r="D23" s="10"/>
      <c r="E23" s="9"/>
      <c r="G23" s="24"/>
      <c r="H23" s="24"/>
      <c r="I23" s="10"/>
      <c r="J23" s="10"/>
      <c r="M23" s="24"/>
      <c r="N23" s="16"/>
    </row>
    <row r="24" spans="1:15" ht="24" customHeight="1" x14ac:dyDescent="0.15">
      <c r="B24" s="24" t="s">
        <v>38</v>
      </c>
      <c r="C24" s="121">
        <v>130</v>
      </c>
      <c r="D24" s="122"/>
      <c r="E24" s="9" t="s">
        <v>26</v>
      </c>
      <c r="G24" s="117" t="s">
        <v>39</v>
      </c>
      <c r="H24" s="117"/>
      <c r="I24" s="121">
        <v>128</v>
      </c>
      <c r="J24" s="122"/>
      <c r="K24" s="13" t="s">
        <v>26</v>
      </c>
      <c r="M24" s="24"/>
      <c r="N24" s="16"/>
    </row>
    <row r="25" spans="1:15" ht="7.5" customHeight="1" x14ac:dyDescent="0.15">
      <c r="B25" s="24"/>
      <c r="C25" s="10"/>
      <c r="D25" s="10"/>
      <c r="E25" s="9"/>
      <c r="G25" s="24"/>
      <c r="H25" s="24"/>
      <c r="I25" s="10"/>
      <c r="J25" s="10"/>
      <c r="M25" s="24"/>
      <c r="N25" s="16"/>
    </row>
    <row r="26" spans="1:15" ht="24" customHeight="1" x14ac:dyDescent="0.15">
      <c r="B26" s="24" t="s">
        <v>40</v>
      </c>
      <c r="C26" s="121">
        <v>127</v>
      </c>
      <c r="D26" s="122"/>
      <c r="E26" s="9" t="s">
        <v>26</v>
      </c>
      <c r="G26" s="117" t="s">
        <v>41</v>
      </c>
      <c r="H26" s="117"/>
      <c r="I26" s="121">
        <v>48</v>
      </c>
      <c r="J26" s="122"/>
      <c r="K26" s="13" t="s">
        <v>26</v>
      </c>
      <c r="M26" s="24"/>
      <c r="N26" s="16"/>
    </row>
    <row r="27" spans="1:15" ht="7.5" customHeight="1" x14ac:dyDescent="0.15">
      <c r="M27" s="18"/>
      <c r="N27" s="18"/>
    </row>
    <row r="28" spans="1:15" ht="24" customHeight="1" x14ac:dyDescent="0.15">
      <c r="A28" s="13" t="s">
        <v>42</v>
      </c>
      <c r="B28" s="13" t="s">
        <v>43</v>
      </c>
      <c r="G28" s="30"/>
      <c r="H28" s="30"/>
      <c r="I28" s="30"/>
      <c r="J28" s="19"/>
      <c r="K28" s="19"/>
      <c r="L28" s="19"/>
      <c r="M28" s="19"/>
      <c r="N28" s="19"/>
    </row>
    <row r="29" spans="1:15" s="13" customFormat="1" ht="24" customHeight="1" x14ac:dyDescent="0.15">
      <c r="B29" s="125" t="s">
        <v>44</v>
      </c>
      <c r="C29" s="125"/>
      <c r="D29" s="118" t="s">
        <v>45</v>
      </c>
      <c r="E29" s="119"/>
      <c r="F29" s="119"/>
      <c r="G29" s="126" t="s">
        <v>46</v>
      </c>
      <c r="H29" s="125"/>
      <c r="I29" s="127"/>
      <c r="J29" s="118" t="s">
        <v>47</v>
      </c>
      <c r="K29" s="119"/>
      <c r="L29" s="119"/>
      <c r="M29" s="119"/>
      <c r="N29" s="120"/>
      <c r="O29" s="26" t="str">
        <f>IF(OR(D29="",J29=""),"入力してください","")</f>
        <v/>
      </c>
    </row>
    <row r="30" spans="1:15" ht="7.5" customHeight="1" x14ac:dyDescent="0.15">
      <c r="M30" s="18"/>
      <c r="N30" s="18"/>
    </row>
    <row r="31" spans="1:15" ht="24" customHeight="1" x14ac:dyDescent="0.15">
      <c r="A31" s="13" t="s">
        <v>48</v>
      </c>
      <c r="B31" s="13" t="s">
        <v>49</v>
      </c>
      <c r="G31" s="19"/>
      <c r="H31" s="19"/>
      <c r="I31" s="19"/>
      <c r="J31" s="19"/>
      <c r="K31" s="19"/>
      <c r="L31" s="19"/>
      <c r="M31" s="19"/>
      <c r="N31" s="19"/>
    </row>
    <row r="32" spans="1:15" ht="24" customHeight="1" x14ac:dyDescent="0.15">
      <c r="B32" s="118" t="s">
        <v>50</v>
      </c>
      <c r="C32" s="119"/>
      <c r="D32" s="119"/>
      <c r="E32" s="119"/>
      <c r="F32" s="119"/>
      <c r="G32" s="119"/>
      <c r="H32" s="119"/>
      <c r="I32" s="119"/>
      <c r="J32" s="119"/>
      <c r="K32" s="119"/>
      <c r="L32" s="119"/>
      <c r="M32" s="119"/>
      <c r="N32" s="120"/>
      <c r="O32" s="26" t="str">
        <f>IF(B32="","入力してください","")</f>
        <v/>
      </c>
    </row>
    <row r="33" spans="1:15" ht="7.5" customHeight="1" x14ac:dyDescent="0.15">
      <c r="B33" s="11"/>
      <c r="C33" s="11"/>
      <c r="D33" s="11"/>
      <c r="E33" s="11"/>
      <c r="F33" s="11"/>
      <c r="G33" s="11"/>
      <c r="H33" s="11"/>
      <c r="I33" s="11"/>
      <c r="J33" s="11"/>
      <c r="K33" s="11"/>
      <c r="L33" s="11"/>
      <c r="M33" s="11"/>
      <c r="N33" s="11"/>
    </row>
    <row r="34" spans="1:15" s="13" customFormat="1" ht="24" customHeight="1" x14ac:dyDescent="0.15">
      <c r="B34" s="125" t="s">
        <v>44</v>
      </c>
      <c r="C34" s="125"/>
      <c r="D34" s="118" t="s">
        <v>51</v>
      </c>
      <c r="E34" s="119"/>
      <c r="F34" s="119"/>
      <c r="G34" s="126" t="s">
        <v>46</v>
      </c>
      <c r="H34" s="125"/>
      <c r="I34" s="127"/>
      <c r="J34" s="118" t="s">
        <v>52</v>
      </c>
      <c r="K34" s="119"/>
      <c r="L34" s="119"/>
      <c r="M34" s="119"/>
      <c r="N34" s="120"/>
      <c r="O34" s="26" t="str">
        <f>IF(OR(D34="",J34=""),"入力してください","")</f>
        <v/>
      </c>
    </row>
    <row r="35" spans="1:15" ht="7.5" customHeight="1" x14ac:dyDescent="0.15">
      <c r="F35" s="30"/>
      <c r="G35" s="30"/>
      <c r="H35" s="30"/>
      <c r="I35" s="30"/>
      <c r="J35" s="30"/>
      <c r="K35" s="30"/>
      <c r="L35" s="30"/>
      <c r="M35" s="30"/>
      <c r="N35" s="30"/>
    </row>
    <row r="36" spans="1:15" ht="24" customHeight="1" x14ac:dyDescent="0.15">
      <c r="A36" s="13" t="s">
        <v>53</v>
      </c>
      <c r="B36" s="13" t="s">
        <v>54</v>
      </c>
      <c r="M36" s="18"/>
      <c r="N36" s="18"/>
    </row>
    <row r="37" spans="1:15" ht="24" customHeight="1" x14ac:dyDescent="0.15">
      <c r="B37" s="118" t="s">
        <v>55</v>
      </c>
      <c r="C37" s="119"/>
      <c r="D37" s="119"/>
      <c r="E37" s="119"/>
      <c r="F37" s="119"/>
      <c r="G37" s="119"/>
      <c r="H37" s="119"/>
      <c r="I37" s="119"/>
      <c r="J37" s="119"/>
      <c r="K37" s="119"/>
      <c r="L37" s="119"/>
      <c r="M37" s="119"/>
      <c r="N37" s="120"/>
      <c r="O37" s="26" t="str">
        <f>IF(B37="","入力してください","")</f>
        <v/>
      </c>
    </row>
    <row r="38" spans="1:15" ht="7.5" customHeight="1" x14ac:dyDescent="0.15">
      <c r="F38" s="30"/>
      <c r="G38" s="30"/>
      <c r="H38" s="30"/>
      <c r="I38" s="30"/>
      <c r="J38" s="30"/>
      <c r="K38" s="30"/>
      <c r="L38" s="30"/>
      <c r="M38" s="30"/>
      <c r="N38" s="30"/>
    </row>
    <row r="39" spans="1:15" s="13" customFormat="1" ht="24" customHeight="1" x14ac:dyDescent="0.15">
      <c r="B39" s="125" t="s">
        <v>44</v>
      </c>
      <c r="C39" s="125"/>
      <c r="D39" s="118" t="s">
        <v>45</v>
      </c>
      <c r="E39" s="119"/>
      <c r="F39" s="119"/>
      <c r="G39" s="126" t="s">
        <v>46</v>
      </c>
      <c r="H39" s="125"/>
      <c r="I39" s="127"/>
      <c r="J39" s="118" t="s">
        <v>47</v>
      </c>
      <c r="K39" s="119"/>
      <c r="L39" s="119"/>
      <c r="M39" s="119"/>
      <c r="N39" s="120"/>
      <c r="O39" s="26" t="str">
        <f>IF(OR(D39="",J39=""),"入力してください","")</f>
        <v/>
      </c>
    </row>
    <row r="40" spans="1:15" ht="7.5" customHeight="1" x14ac:dyDescent="0.15">
      <c r="F40" s="30"/>
      <c r="G40" s="30"/>
      <c r="H40" s="30"/>
      <c r="I40" s="30"/>
      <c r="J40" s="30"/>
      <c r="K40" s="30"/>
      <c r="L40" s="30"/>
      <c r="M40" s="30"/>
      <c r="N40" s="30"/>
    </row>
    <row r="41" spans="1:15" ht="24" customHeight="1" x14ac:dyDescent="0.15">
      <c r="A41" s="13" t="s">
        <v>56</v>
      </c>
      <c r="B41" s="13" t="s">
        <v>57</v>
      </c>
      <c r="E41" s="65"/>
      <c r="F41" s="118" t="s">
        <v>58</v>
      </c>
      <c r="G41" s="119"/>
      <c r="H41" s="119"/>
      <c r="I41" s="119"/>
      <c r="J41" s="119"/>
      <c r="K41" s="119"/>
      <c r="L41" s="119"/>
      <c r="M41" s="119"/>
      <c r="N41" s="120"/>
      <c r="O41" s="26" t="str">
        <f>IF(F41="","入力してください","")</f>
        <v/>
      </c>
    </row>
    <row r="42" spans="1:15" ht="7.5" customHeight="1" x14ac:dyDescent="0.15">
      <c r="F42" s="30"/>
      <c r="G42" s="30"/>
      <c r="H42" s="30"/>
      <c r="I42" s="30"/>
      <c r="J42" s="30"/>
      <c r="K42" s="30"/>
      <c r="L42" s="30"/>
      <c r="M42" s="30"/>
      <c r="N42" s="30"/>
    </row>
    <row r="43" spans="1:15" ht="24" customHeight="1" x14ac:dyDescent="0.15">
      <c r="A43" s="13" t="s">
        <v>59</v>
      </c>
    </row>
    <row r="44" spans="1:15" ht="24" customHeight="1" x14ac:dyDescent="0.15">
      <c r="B44" s="25" t="s">
        <v>60</v>
      </c>
      <c r="C44" s="123" t="s">
        <v>61</v>
      </c>
      <c r="D44" s="124"/>
      <c r="E44" s="124"/>
      <c r="F44" s="124"/>
      <c r="G44" s="124"/>
      <c r="H44" s="124"/>
      <c r="I44" s="21" t="s">
        <v>62</v>
      </c>
      <c r="J44" s="22"/>
      <c r="K44" s="118" t="s">
        <v>63</v>
      </c>
      <c r="L44" s="119"/>
      <c r="M44" s="119"/>
      <c r="N44" s="120"/>
      <c r="O44" s="26" t="str">
        <f>IF(OR(C44="",K44=""),"入力してください","")</f>
        <v/>
      </c>
    </row>
    <row r="45" spans="1:15" ht="24" customHeight="1" x14ac:dyDescent="0.15">
      <c r="B45" s="20" t="s">
        <v>64</v>
      </c>
      <c r="C45" s="111" t="s">
        <v>65</v>
      </c>
      <c r="D45" s="112"/>
      <c r="E45" s="112"/>
      <c r="F45" s="112"/>
      <c r="G45" s="112"/>
      <c r="H45" s="113"/>
      <c r="I45" s="21" t="s">
        <v>66</v>
      </c>
      <c r="J45" s="22"/>
      <c r="K45" s="114" t="s">
        <v>67</v>
      </c>
      <c r="L45" s="115"/>
      <c r="M45" s="115"/>
      <c r="N45" s="116"/>
      <c r="O45" s="26"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Z98"/>
  <sheetViews>
    <sheetView showZeros="0" tabSelected="1" view="pageBreakPreview" topLeftCell="B23" zoomScale="77" zoomScaleNormal="100" zoomScaleSheetLayoutView="10" workbookViewId="0">
      <selection activeCell="G18" sqref="G18:J18"/>
    </sheetView>
  </sheetViews>
  <sheetFormatPr defaultColWidth="9" defaultRowHeight="18.7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228" t="s">
        <v>68</v>
      </c>
      <c r="X1" s="228"/>
      <c r="Y1" s="228"/>
      <c r="Z1" s="228"/>
    </row>
    <row r="2" spans="1:26" ht="18" customHeight="1" x14ac:dyDescent="0.15">
      <c r="A2" s="189" t="s">
        <v>69</v>
      </c>
      <c r="B2" s="189"/>
      <c r="C2" s="189"/>
      <c r="D2" s="189"/>
      <c r="E2" s="189"/>
      <c r="F2" s="189"/>
      <c r="G2" s="189"/>
      <c r="H2" s="189"/>
      <c r="I2" s="189"/>
      <c r="J2" s="189"/>
      <c r="K2" s="189"/>
      <c r="L2" s="189"/>
      <c r="M2" s="189"/>
      <c r="N2" s="189"/>
      <c r="O2" s="189"/>
      <c r="P2" s="189"/>
      <c r="Q2" s="189"/>
      <c r="R2" s="189"/>
      <c r="S2" s="189"/>
      <c r="T2" s="189"/>
      <c r="U2" s="189"/>
      <c r="V2" s="189"/>
      <c r="W2" s="189"/>
      <c r="X2" s="189"/>
      <c r="Y2" s="189"/>
      <c r="Z2" s="189"/>
    </row>
    <row r="3" spans="1:26" ht="15" customHeight="1" x14ac:dyDescent="0.15">
      <c r="B3" s="24"/>
      <c r="C3" s="24"/>
      <c r="D3" s="24"/>
      <c r="E3" s="24"/>
      <c r="F3" s="24"/>
      <c r="G3" s="24"/>
      <c r="H3" s="24"/>
      <c r="I3" s="24"/>
      <c r="J3" s="24"/>
      <c r="K3" s="24"/>
      <c r="L3" s="24"/>
      <c r="M3" s="24"/>
      <c r="N3" s="24"/>
      <c r="O3" s="24"/>
      <c r="P3" s="24"/>
      <c r="Q3" s="24"/>
      <c r="R3" s="24"/>
      <c r="S3" s="24"/>
      <c r="T3" s="24"/>
      <c r="U3" s="24"/>
      <c r="V3" s="24"/>
      <c r="W3" s="24"/>
      <c r="X3" s="24"/>
      <c r="Y3" s="24"/>
      <c r="Z3" s="24"/>
    </row>
    <row r="4" spans="1:26" ht="18" customHeight="1" x14ac:dyDescent="0.15">
      <c r="A4" s="12" t="s">
        <v>70</v>
      </c>
      <c r="B4" s="24"/>
      <c r="C4" s="24"/>
      <c r="D4" s="24"/>
      <c r="E4" s="24"/>
      <c r="F4" s="24"/>
      <c r="G4" s="24"/>
      <c r="H4" s="13" t="s">
        <v>71</v>
      </c>
      <c r="I4" s="24"/>
      <c r="J4" s="24"/>
      <c r="K4" s="24"/>
      <c r="L4" s="24"/>
      <c r="M4" s="24"/>
      <c r="N4" s="24"/>
      <c r="O4" s="132" t="s">
        <v>72</v>
      </c>
      <c r="P4" s="134"/>
      <c r="Q4" s="134"/>
      <c r="R4" s="134"/>
      <c r="S4" s="134"/>
      <c r="T4" s="134"/>
      <c r="U4" s="134"/>
      <c r="V4" s="134"/>
      <c r="W4" s="134"/>
      <c r="X4" s="134"/>
      <c r="Y4" s="134"/>
      <c r="Z4" s="133"/>
    </row>
    <row r="5" spans="1:26" ht="6" customHeight="1" x14ac:dyDescent="0.15">
      <c r="B5" s="24"/>
      <c r="C5" s="24"/>
      <c r="D5" s="24"/>
      <c r="E5" s="24"/>
      <c r="F5" s="24"/>
      <c r="G5" s="24"/>
      <c r="H5" s="24"/>
      <c r="I5" s="24"/>
      <c r="J5" s="24"/>
      <c r="K5" s="24"/>
      <c r="L5" s="24"/>
      <c r="M5" s="24"/>
      <c r="N5" s="24"/>
      <c r="O5" s="14"/>
      <c r="P5" s="24"/>
      <c r="Q5" s="24"/>
      <c r="R5" s="24"/>
      <c r="S5" s="24"/>
      <c r="T5" s="24"/>
      <c r="U5" s="24"/>
      <c r="V5" s="24"/>
      <c r="W5" s="24"/>
      <c r="X5" s="24"/>
      <c r="Y5" s="24"/>
      <c r="Z5" s="24"/>
    </row>
    <row r="6" spans="1:26" ht="18" customHeight="1" x14ac:dyDescent="0.15">
      <c r="B6" s="190" t="s">
        <v>73</v>
      </c>
      <c r="C6" s="191"/>
      <c r="D6" s="191"/>
      <c r="E6" s="191"/>
      <c r="F6" s="191"/>
      <c r="G6" s="191"/>
      <c r="H6" s="191"/>
      <c r="I6" s="191"/>
      <c r="J6" s="191"/>
      <c r="K6" s="191"/>
      <c r="L6" s="191"/>
      <c r="M6" s="191"/>
      <c r="N6" s="191"/>
      <c r="O6" s="191"/>
      <c r="P6" s="191"/>
      <c r="Q6" s="191"/>
      <c r="R6" s="191"/>
      <c r="S6" s="191"/>
      <c r="T6" s="191"/>
      <c r="U6" s="191"/>
      <c r="V6" s="191"/>
      <c r="W6" s="191"/>
      <c r="X6" s="191"/>
      <c r="Y6" s="191"/>
      <c r="Z6" s="192"/>
    </row>
    <row r="7" spans="1:26" ht="18" customHeight="1" x14ac:dyDescent="0.15">
      <c r="B7" s="193"/>
      <c r="C7" s="194"/>
      <c r="D7" s="194"/>
      <c r="E7" s="194"/>
      <c r="F7" s="194"/>
      <c r="G7" s="194"/>
      <c r="H7" s="194"/>
      <c r="I7" s="194"/>
      <c r="J7" s="194"/>
      <c r="K7" s="194"/>
      <c r="L7" s="194"/>
      <c r="M7" s="194"/>
      <c r="N7" s="194"/>
      <c r="O7" s="194"/>
      <c r="P7" s="194"/>
      <c r="Q7" s="194"/>
      <c r="R7" s="194"/>
      <c r="S7" s="194"/>
      <c r="T7" s="194"/>
      <c r="U7" s="194"/>
      <c r="V7" s="194"/>
      <c r="W7" s="194"/>
      <c r="X7" s="194"/>
      <c r="Y7" s="194"/>
      <c r="Z7" s="195"/>
    </row>
    <row r="8" spans="1:26" ht="18" customHeight="1" x14ac:dyDescent="0.15">
      <c r="B8" s="193"/>
      <c r="C8" s="194"/>
      <c r="D8" s="194"/>
      <c r="E8" s="194"/>
      <c r="F8" s="194"/>
      <c r="G8" s="194"/>
      <c r="H8" s="194"/>
      <c r="I8" s="194"/>
      <c r="J8" s="194"/>
      <c r="K8" s="194"/>
      <c r="L8" s="194"/>
      <c r="M8" s="194"/>
      <c r="N8" s="194"/>
      <c r="O8" s="194"/>
      <c r="P8" s="194"/>
      <c r="Q8" s="194"/>
      <c r="R8" s="194"/>
      <c r="S8" s="194"/>
      <c r="T8" s="194"/>
      <c r="U8" s="194"/>
      <c r="V8" s="194"/>
      <c r="W8" s="194"/>
      <c r="X8" s="194"/>
      <c r="Y8" s="194"/>
      <c r="Z8" s="195"/>
    </row>
    <row r="9" spans="1:26" ht="18" customHeight="1" x14ac:dyDescent="0.15">
      <c r="B9" s="193"/>
      <c r="C9" s="194"/>
      <c r="D9" s="194"/>
      <c r="E9" s="194"/>
      <c r="F9" s="194"/>
      <c r="G9" s="194"/>
      <c r="H9" s="194"/>
      <c r="I9" s="194"/>
      <c r="J9" s="194"/>
      <c r="K9" s="194"/>
      <c r="L9" s="194"/>
      <c r="M9" s="194"/>
      <c r="N9" s="194"/>
      <c r="O9" s="194"/>
      <c r="P9" s="194"/>
      <c r="Q9" s="194"/>
      <c r="R9" s="194"/>
      <c r="S9" s="194"/>
      <c r="T9" s="194"/>
      <c r="U9" s="194"/>
      <c r="V9" s="194"/>
      <c r="W9" s="194"/>
      <c r="X9" s="194"/>
      <c r="Y9" s="194"/>
      <c r="Z9" s="195"/>
    </row>
    <row r="10" spans="1:26" ht="18" customHeight="1" x14ac:dyDescent="0.15">
      <c r="B10" s="193"/>
      <c r="C10" s="194"/>
      <c r="D10" s="194"/>
      <c r="E10" s="194"/>
      <c r="F10" s="194"/>
      <c r="G10" s="194"/>
      <c r="H10" s="194"/>
      <c r="I10" s="194"/>
      <c r="J10" s="194"/>
      <c r="K10" s="194"/>
      <c r="L10" s="194"/>
      <c r="M10" s="194"/>
      <c r="N10" s="194"/>
      <c r="O10" s="194"/>
      <c r="P10" s="194"/>
      <c r="Q10" s="194"/>
      <c r="R10" s="194"/>
      <c r="S10" s="194"/>
      <c r="T10" s="194"/>
      <c r="U10" s="194"/>
      <c r="V10" s="194"/>
      <c r="W10" s="194"/>
      <c r="X10" s="194"/>
      <c r="Y10" s="194"/>
      <c r="Z10" s="195"/>
    </row>
    <row r="11" spans="1:26" ht="18" customHeight="1" x14ac:dyDescent="0.15">
      <c r="B11" s="196"/>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8"/>
    </row>
    <row r="12" spans="1:26" ht="7.5" customHeight="1" x14ac:dyDescent="0.15">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8" customHeight="1" x14ac:dyDescent="0.15">
      <c r="A13" s="185" t="s">
        <v>74</v>
      </c>
      <c r="B13" s="185"/>
      <c r="C13" s="185"/>
      <c r="D13" s="185"/>
      <c r="E13" s="185"/>
      <c r="F13" s="185"/>
      <c r="G13" s="185"/>
      <c r="H13" s="185"/>
      <c r="I13" s="185"/>
      <c r="J13" s="185"/>
      <c r="K13" s="185"/>
      <c r="L13" s="185"/>
      <c r="M13" s="185"/>
      <c r="N13" s="185"/>
      <c r="O13" s="185"/>
      <c r="P13" s="185"/>
      <c r="Q13" s="185"/>
      <c r="R13" s="185"/>
      <c r="S13" s="185"/>
      <c r="T13" s="185"/>
      <c r="U13" s="185"/>
      <c r="V13" s="185"/>
      <c r="W13" s="185"/>
      <c r="X13" s="185"/>
      <c r="Y13" s="185"/>
      <c r="Z13" s="185"/>
    </row>
    <row r="14" spans="1:26" ht="18" customHeight="1" x14ac:dyDescent="0.15">
      <c r="A14" s="185"/>
      <c r="B14" s="185"/>
      <c r="C14" s="185"/>
      <c r="D14" s="185"/>
      <c r="E14" s="185"/>
      <c r="F14" s="185"/>
      <c r="G14" s="185"/>
      <c r="H14" s="185"/>
      <c r="I14" s="185"/>
      <c r="J14" s="185"/>
      <c r="K14" s="185"/>
      <c r="L14" s="185"/>
      <c r="M14" s="185"/>
      <c r="N14" s="185"/>
      <c r="O14" s="185"/>
      <c r="P14" s="185"/>
      <c r="Q14" s="185"/>
      <c r="R14" s="185"/>
      <c r="S14" s="185"/>
      <c r="T14" s="185"/>
      <c r="U14" s="185"/>
      <c r="V14" s="185"/>
      <c r="W14" s="185"/>
      <c r="X14" s="185"/>
      <c r="Y14" s="185"/>
      <c r="Z14" s="185"/>
    </row>
    <row r="15" spans="1:26" ht="18" customHeight="1" x14ac:dyDescent="0.15">
      <c r="A15" s="13"/>
      <c r="B15" s="132" t="s">
        <v>75</v>
      </c>
      <c r="C15" s="134"/>
      <c r="D15" s="134"/>
      <c r="E15" s="134"/>
      <c r="F15" s="133"/>
      <c r="G15" s="25" t="s">
        <v>76</v>
      </c>
      <c r="H15" s="96" t="s">
        <v>77</v>
      </c>
      <c r="I15" s="134" t="s">
        <v>78</v>
      </c>
      <c r="J15" s="134"/>
      <c r="K15" s="134"/>
      <c r="L15" s="66" t="s">
        <v>79</v>
      </c>
      <c r="M15" s="66" t="s">
        <v>80</v>
      </c>
      <c r="N15" s="132" t="s">
        <v>75</v>
      </c>
      <c r="O15" s="134"/>
      <c r="P15" s="134"/>
      <c r="Q15" s="134"/>
      <c r="R15" s="134"/>
      <c r="S15" s="133"/>
      <c r="T15" s="25" t="s">
        <v>76</v>
      </c>
      <c r="U15" s="96" t="s">
        <v>77</v>
      </c>
      <c r="V15" s="134" t="s">
        <v>78</v>
      </c>
      <c r="W15" s="134"/>
      <c r="X15" s="134"/>
      <c r="Y15" s="66" t="s">
        <v>79</v>
      </c>
      <c r="Z15" s="66" t="s">
        <v>80</v>
      </c>
    </row>
    <row r="16" spans="1:26" ht="18" customHeight="1" x14ac:dyDescent="0.15">
      <c r="A16" s="13"/>
      <c r="B16" s="176" t="s">
        <v>81</v>
      </c>
      <c r="C16" s="177"/>
      <c r="D16" s="177"/>
      <c r="E16" s="177"/>
      <c r="F16" s="178"/>
      <c r="G16" s="97">
        <v>2</v>
      </c>
      <c r="H16" s="97" t="s">
        <v>82</v>
      </c>
      <c r="I16" s="170" t="s">
        <v>83</v>
      </c>
      <c r="J16" s="171"/>
      <c r="K16" s="172"/>
      <c r="L16" s="97" t="s">
        <v>82</v>
      </c>
      <c r="M16" s="97" t="s">
        <v>82</v>
      </c>
      <c r="N16" s="139"/>
      <c r="O16" s="140"/>
      <c r="P16" s="140"/>
      <c r="Q16" s="140"/>
      <c r="R16" s="140"/>
      <c r="S16" s="141"/>
      <c r="T16" s="97"/>
      <c r="U16" s="97"/>
      <c r="V16" s="170"/>
      <c r="W16" s="171"/>
      <c r="X16" s="172"/>
      <c r="Y16" s="97"/>
      <c r="Z16" s="97"/>
    </row>
    <row r="17" spans="1:26" ht="18" customHeight="1" x14ac:dyDescent="0.15">
      <c r="A17" s="13"/>
      <c r="B17" s="179"/>
      <c r="C17" s="180"/>
      <c r="D17" s="180"/>
      <c r="E17" s="180"/>
      <c r="F17" s="181"/>
      <c r="G17" s="98"/>
      <c r="H17" s="98"/>
      <c r="I17" s="173"/>
      <c r="J17" s="174"/>
      <c r="K17" s="175"/>
      <c r="L17" s="98"/>
      <c r="M17" s="98"/>
      <c r="N17" s="148"/>
      <c r="O17" s="149"/>
      <c r="P17" s="149"/>
      <c r="Q17" s="149"/>
      <c r="R17" s="149"/>
      <c r="S17" s="150"/>
      <c r="T17" s="98"/>
      <c r="U17" s="98"/>
      <c r="V17" s="173"/>
      <c r="W17" s="174"/>
      <c r="X17" s="175"/>
      <c r="Y17" s="98"/>
      <c r="Z17" s="98"/>
    </row>
    <row r="18" spans="1:26" ht="18" customHeight="1" x14ac:dyDescent="0.15">
      <c r="A18" s="13"/>
      <c r="B18" s="179"/>
      <c r="C18" s="180"/>
      <c r="D18" s="180"/>
      <c r="E18" s="180"/>
      <c r="F18" s="181"/>
      <c r="G18" s="98"/>
      <c r="H18" s="98"/>
      <c r="I18" s="173"/>
      <c r="J18" s="174"/>
      <c r="K18" s="175"/>
      <c r="L18" s="98"/>
      <c r="M18" s="98"/>
      <c r="N18" s="148"/>
      <c r="O18" s="149"/>
      <c r="P18" s="149"/>
      <c r="Q18" s="149"/>
      <c r="R18" s="149"/>
      <c r="S18" s="150"/>
      <c r="T18" s="98"/>
      <c r="U18" s="98"/>
      <c r="V18" s="173"/>
      <c r="W18" s="174"/>
      <c r="X18" s="175"/>
      <c r="Y18" s="98"/>
      <c r="Z18" s="98"/>
    </row>
    <row r="19" spans="1:26" ht="18" customHeight="1" x14ac:dyDescent="0.15">
      <c r="A19" s="13"/>
      <c r="B19" s="179"/>
      <c r="C19" s="180"/>
      <c r="D19" s="180"/>
      <c r="E19" s="180"/>
      <c r="F19" s="181"/>
      <c r="G19" s="98"/>
      <c r="H19" s="98"/>
      <c r="I19" s="173"/>
      <c r="J19" s="174"/>
      <c r="K19" s="175"/>
      <c r="L19" s="98"/>
      <c r="M19" s="98"/>
      <c r="N19" s="148"/>
      <c r="O19" s="149"/>
      <c r="P19" s="149"/>
      <c r="Q19" s="149"/>
      <c r="R19" s="149"/>
      <c r="S19" s="150"/>
      <c r="T19" s="98"/>
      <c r="U19" s="98"/>
      <c r="V19" s="173"/>
      <c r="W19" s="174"/>
      <c r="X19" s="175"/>
      <c r="Y19" s="98"/>
      <c r="Z19" s="98"/>
    </row>
    <row r="20" spans="1:26" ht="18" customHeight="1" x14ac:dyDescent="0.15">
      <c r="A20" s="13"/>
      <c r="B20" s="179"/>
      <c r="C20" s="180"/>
      <c r="D20" s="180"/>
      <c r="E20" s="180"/>
      <c r="F20" s="181"/>
      <c r="G20" s="98"/>
      <c r="H20" s="98"/>
      <c r="I20" s="173"/>
      <c r="J20" s="174"/>
      <c r="K20" s="175"/>
      <c r="L20" s="98"/>
      <c r="M20" s="98"/>
      <c r="N20" s="148"/>
      <c r="O20" s="149"/>
      <c r="P20" s="149"/>
      <c r="Q20" s="149"/>
      <c r="R20" s="149"/>
      <c r="S20" s="150"/>
      <c r="T20" s="98"/>
      <c r="U20" s="98"/>
      <c r="V20" s="173"/>
      <c r="W20" s="174"/>
      <c r="X20" s="175"/>
      <c r="Y20" s="98"/>
      <c r="Z20" s="98"/>
    </row>
    <row r="21" spans="1:26" ht="18" customHeight="1" x14ac:dyDescent="0.15">
      <c r="A21" s="24"/>
      <c r="B21" s="179"/>
      <c r="C21" s="180"/>
      <c r="D21" s="180"/>
      <c r="E21" s="180"/>
      <c r="F21" s="181"/>
      <c r="G21" s="98"/>
      <c r="H21" s="98"/>
      <c r="I21" s="173"/>
      <c r="J21" s="174"/>
      <c r="K21" s="175"/>
      <c r="L21" s="98"/>
      <c r="M21" s="98"/>
      <c r="N21" s="148"/>
      <c r="O21" s="149"/>
      <c r="P21" s="149"/>
      <c r="Q21" s="149"/>
      <c r="R21" s="149"/>
      <c r="S21" s="150"/>
      <c r="T21" s="98"/>
      <c r="U21" s="98"/>
      <c r="V21" s="173"/>
      <c r="W21" s="174"/>
      <c r="X21" s="175"/>
      <c r="Y21" s="98"/>
      <c r="Z21" s="98"/>
    </row>
    <row r="22" spans="1:26" ht="18" customHeight="1" x14ac:dyDescent="0.15">
      <c r="A22" s="24"/>
      <c r="B22" s="186"/>
      <c r="C22" s="187"/>
      <c r="D22" s="187"/>
      <c r="E22" s="187"/>
      <c r="F22" s="188"/>
      <c r="G22" s="99"/>
      <c r="H22" s="99"/>
      <c r="I22" s="182"/>
      <c r="J22" s="183"/>
      <c r="K22" s="184"/>
      <c r="L22" s="104"/>
      <c r="M22" s="104"/>
      <c r="N22" s="209"/>
      <c r="O22" s="210"/>
      <c r="P22" s="210"/>
      <c r="Q22" s="210"/>
      <c r="R22" s="210"/>
      <c r="S22" s="211"/>
      <c r="T22" s="99"/>
      <c r="U22" s="99"/>
      <c r="V22" s="182"/>
      <c r="W22" s="183"/>
      <c r="X22" s="184"/>
      <c r="Y22" s="104"/>
      <c r="Z22" s="104"/>
    </row>
    <row r="23" spans="1:26" ht="7.5" customHeight="1" x14ac:dyDescent="0.15">
      <c r="A23" s="24"/>
      <c r="B23" s="30"/>
      <c r="C23" s="30"/>
      <c r="D23" s="24"/>
      <c r="E23" s="24"/>
      <c r="F23" s="24"/>
      <c r="G23" s="24"/>
      <c r="H23" s="24"/>
      <c r="I23" s="24"/>
      <c r="J23" s="24"/>
      <c r="K23" s="24"/>
      <c r="L23" s="30"/>
      <c r="M23" s="30"/>
      <c r="N23" s="30"/>
      <c r="O23" s="30"/>
      <c r="P23" s="30"/>
      <c r="Q23" s="30"/>
      <c r="R23" s="30"/>
      <c r="S23" s="30"/>
      <c r="T23" s="30"/>
      <c r="U23" s="30"/>
      <c r="V23" s="30"/>
      <c r="W23" s="30"/>
      <c r="X23" s="30"/>
      <c r="Y23" s="30"/>
      <c r="Z23" s="24"/>
    </row>
    <row r="24" spans="1:26" ht="18" customHeight="1" x14ac:dyDescent="0.15">
      <c r="A24" s="185" t="s">
        <v>84</v>
      </c>
      <c r="B24" s="185"/>
      <c r="C24" s="185"/>
      <c r="D24" s="185"/>
      <c r="E24" s="185"/>
      <c r="F24" s="185"/>
      <c r="G24" s="185"/>
      <c r="H24" s="185"/>
      <c r="I24" s="185"/>
      <c r="J24" s="185"/>
      <c r="K24" s="185"/>
      <c r="L24" s="185"/>
      <c r="M24" s="185"/>
      <c r="N24" s="185"/>
      <c r="O24" s="185"/>
      <c r="P24" s="185"/>
      <c r="Q24" s="185"/>
      <c r="R24" s="185"/>
      <c r="S24" s="185"/>
      <c r="T24" s="185"/>
      <c r="U24" s="185"/>
      <c r="V24" s="185"/>
      <c r="W24" s="185"/>
      <c r="X24" s="185"/>
      <c r="Y24" s="185"/>
      <c r="Z24" s="185"/>
    </row>
    <row r="25" spans="1:26" ht="18" customHeight="1" x14ac:dyDescent="0.15">
      <c r="A25" s="185"/>
      <c r="B25" s="185"/>
      <c r="C25" s="185"/>
      <c r="D25" s="185"/>
      <c r="E25" s="185"/>
      <c r="F25" s="185"/>
      <c r="G25" s="185"/>
      <c r="H25" s="185"/>
      <c r="I25" s="185"/>
      <c r="J25" s="185"/>
      <c r="K25" s="185"/>
      <c r="L25" s="185"/>
      <c r="M25" s="185"/>
      <c r="N25" s="185"/>
      <c r="O25" s="185"/>
      <c r="P25" s="185"/>
      <c r="Q25" s="185"/>
      <c r="R25" s="185"/>
      <c r="S25" s="185"/>
      <c r="T25" s="185"/>
      <c r="U25" s="185"/>
      <c r="V25" s="185"/>
      <c r="W25" s="185"/>
      <c r="X25" s="185"/>
      <c r="Y25" s="185"/>
      <c r="Z25" s="185"/>
    </row>
    <row r="26" spans="1:26" ht="18" customHeight="1" x14ac:dyDescent="0.15">
      <c r="A26" s="13"/>
      <c r="B26" s="132" t="s">
        <v>75</v>
      </c>
      <c r="C26" s="134"/>
      <c r="D26" s="134"/>
      <c r="E26" s="134"/>
      <c r="F26" s="133"/>
      <c r="G26" s="25" t="s">
        <v>76</v>
      </c>
      <c r="H26" s="96" t="s">
        <v>77</v>
      </c>
      <c r="I26" s="134" t="s">
        <v>78</v>
      </c>
      <c r="J26" s="134"/>
      <c r="K26" s="134"/>
      <c r="L26" s="66" t="s">
        <v>85</v>
      </c>
      <c r="M26" s="66" t="s">
        <v>86</v>
      </c>
      <c r="N26" s="132" t="s">
        <v>75</v>
      </c>
      <c r="O26" s="134"/>
      <c r="P26" s="134"/>
      <c r="Q26" s="134"/>
      <c r="R26" s="134"/>
      <c r="S26" s="133"/>
      <c r="T26" s="25" t="s">
        <v>76</v>
      </c>
      <c r="U26" s="96" t="s">
        <v>77</v>
      </c>
      <c r="V26" s="134" t="s">
        <v>78</v>
      </c>
      <c r="W26" s="134"/>
      <c r="X26" s="134"/>
      <c r="Y26" s="66" t="s">
        <v>85</v>
      </c>
      <c r="Z26" s="66" t="s">
        <v>86</v>
      </c>
    </row>
    <row r="27" spans="1:26" ht="18" customHeight="1" x14ac:dyDescent="0.15">
      <c r="A27" s="13"/>
      <c r="B27" s="176" t="s">
        <v>87</v>
      </c>
      <c r="C27" s="177"/>
      <c r="D27" s="177"/>
      <c r="E27" s="177"/>
      <c r="F27" s="178"/>
      <c r="G27" s="97">
        <v>1</v>
      </c>
      <c r="H27" s="97" t="s">
        <v>82</v>
      </c>
      <c r="I27" s="170" t="s">
        <v>83</v>
      </c>
      <c r="J27" s="171"/>
      <c r="K27" s="172"/>
      <c r="L27" s="97" t="s">
        <v>82</v>
      </c>
      <c r="M27" s="97" t="s">
        <v>82</v>
      </c>
      <c r="N27" s="139"/>
      <c r="O27" s="140"/>
      <c r="P27" s="140"/>
      <c r="Q27" s="140"/>
      <c r="R27" s="140"/>
      <c r="S27" s="141"/>
      <c r="T27" s="97"/>
      <c r="U27" s="97"/>
      <c r="V27" s="170"/>
      <c r="W27" s="171"/>
      <c r="X27" s="172"/>
      <c r="Y27" s="97"/>
      <c r="Z27" s="97"/>
    </row>
    <row r="28" spans="1:26" ht="18" customHeight="1" x14ac:dyDescent="0.15">
      <c r="A28" s="13"/>
      <c r="B28" s="179" t="s">
        <v>88</v>
      </c>
      <c r="C28" s="180"/>
      <c r="D28" s="180"/>
      <c r="E28" s="180"/>
      <c r="F28" s="181"/>
      <c r="G28" s="98">
        <v>1</v>
      </c>
      <c r="H28" s="98" t="s">
        <v>82</v>
      </c>
      <c r="I28" s="173" t="s">
        <v>83</v>
      </c>
      <c r="J28" s="174"/>
      <c r="K28" s="175"/>
      <c r="L28" s="98" t="s">
        <v>82</v>
      </c>
      <c r="M28" s="98" t="s">
        <v>82</v>
      </c>
      <c r="N28" s="148"/>
      <c r="O28" s="149"/>
      <c r="P28" s="149"/>
      <c r="Q28" s="149"/>
      <c r="R28" s="149"/>
      <c r="S28" s="150"/>
      <c r="T28" s="98"/>
      <c r="U28" s="98"/>
      <c r="V28" s="173"/>
      <c r="W28" s="174"/>
      <c r="X28" s="175"/>
      <c r="Y28" s="98"/>
      <c r="Z28" s="98"/>
    </row>
    <row r="29" spans="1:26" ht="18" customHeight="1" x14ac:dyDescent="0.15">
      <c r="A29" s="13"/>
      <c r="B29" s="179"/>
      <c r="C29" s="180"/>
      <c r="D29" s="180"/>
      <c r="E29" s="180"/>
      <c r="F29" s="181"/>
      <c r="G29" s="98"/>
      <c r="H29" s="98"/>
      <c r="I29" s="173"/>
      <c r="J29" s="174"/>
      <c r="K29" s="175"/>
      <c r="L29" s="98"/>
      <c r="M29" s="98"/>
      <c r="N29" s="148"/>
      <c r="O29" s="149"/>
      <c r="P29" s="149"/>
      <c r="Q29" s="149"/>
      <c r="R29" s="149"/>
      <c r="S29" s="150"/>
      <c r="T29" s="98"/>
      <c r="U29" s="98"/>
      <c r="V29" s="173"/>
      <c r="W29" s="174"/>
      <c r="X29" s="175"/>
      <c r="Y29" s="98"/>
      <c r="Z29" s="98"/>
    </row>
    <row r="30" spans="1:26" ht="18" customHeight="1" x14ac:dyDescent="0.15">
      <c r="A30" s="13"/>
      <c r="B30" s="179"/>
      <c r="C30" s="180"/>
      <c r="D30" s="180"/>
      <c r="E30" s="180"/>
      <c r="F30" s="181"/>
      <c r="G30" s="98"/>
      <c r="H30" s="98"/>
      <c r="I30" s="173"/>
      <c r="J30" s="174"/>
      <c r="K30" s="175"/>
      <c r="L30" s="98"/>
      <c r="M30" s="98"/>
      <c r="N30" s="148"/>
      <c r="O30" s="149"/>
      <c r="P30" s="149"/>
      <c r="Q30" s="149"/>
      <c r="R30" s="149"/>
      <c r="S30" s="150"/>
      <c r="T30" s="98"/>
      <c r="U30" s="98"/>
      <c r="V30" s="173"/>
      <c r="W30" s="174"/>
      <c r="X30" s="175"/>
      <c r="Y30" s="98"/>
      <c r="Z30" s="98"/>
    </row>
    <row r="31" spans="1:26" ht="18" customHeight="1" x14ac:dyDescent="0.15">
      <c r="A31" s="13"/>
      <c r="B31" s="179"/>
      <c r="C31" s="180"/>
      <c r="D31" s="180"/>
      <c r="E31" s="180"/>
      <c r="F31" s="181"/>
      <c r="G31" s="98"/>
      <c r="H31" s="98"/>
      <c r="I31" s="173"/>
      <c r="J31" s="174"/>
      <c r="K31" s="175"/>
      <c r="L31" s="98"/>
      <c r="M31" s="98"/>
      <c r="N31" s="148"/>
      <c r="O31" s="149"/>
      <c r="P31" s="149"/>
      <c r="Q31" s="149"/>
      <c r="R31" s="149"/>
      <c r="S31" s="150"/>
      <c r="T31" s="98"/>
      <c r="U31" s="98"/>
      <c r="V31" s="173"/>
      <c r="W31" s="174"/>
      <c r="X31" s="175"/>
      <c r="Y31" s="98"/>
      <c r="Z31" s="98"/>
    </row>
    <row r="32" spans="1:26" ht="18" customHeight="1" x14ac:dyDescent="0.15">
      <c r="A32" s="13"/>
      <c r="B32" s="179"/>
      <c r="C32" s="180"/>
      <c r="D32" s="180"/>
      <c r="E32" s="180"/>
      <c r="F32" s="181"/>
      <c r="G32" s="98"/>
      <c r="H32" s="98"/>
      <c r="I32" s="173"/>
      <c r="J32" s="174"/>
      <c r="K32" s="175"/>
      <c r="L32" s="98"/>
      <c r="M32" s="98"/>
      <c r="N32" s="148"/>
      <c r="O32" s="149"/>
      <c r="P32" s="149"/>
      <c r="Q32" s="149"/>
      <c r="R32" s="149"/>
      <c r="S32" s="150"/>
      <c r="T32" s="98"/>
      <c r="U32" s="98"/>
      <c r="V32" s="173"/>
      <c r="W32" s="174"/>
      <c r="X32" s="175"/>
      <c r="Y32" s="98"/>
      <c r="Z32" s="98"/>
    </row>
    <row r="33" spans="1:26" ht="18" customHeight="1" x14ac:dyDescent="0.15">
      <c r="A33" s="13"/>
      <c r="B33" s="186"/>
      <c r="C33" s="187"/>
      <c r="D33" s="187"/>
      <c r="E33" s="187"/>
      <c r="F33" s="188"/>
      <c r="G33" s="99"/>
      <c r="H33" s="99"/>
      <c r="I33" s="182"/>
      <c r="J33" s="183"/>
      <c r="K33" s="184"/>
      <c r="L33" s="104"/>
      <c r="M33" s="104"/>
      <c r="N33" s="209"/>
      <c r="O33" s="210"/>
      <c r="P33" s="210"/>
      <c r="Q33" s="210"/>
      <c r="R33" s="210"/>
      <c r="S33" s="211"/>
      <c r="T33" s="99"/>
      <c r="U33" s="99"/>
      <c r="V33" s="182"/>
      <c r="W33" s="183"/>
      <c r="X33" s="184"/>
      <c r="Y33" s="104"/>
      <c r="Z33" s="104"/>
    </row>
    <row r="34" spans="1:26" ht="7.5" customHeight="1" x14ac:dyDescent="0.15">
      <c r="A34" s="24"/>
      <c r="B34" s="30"/>
      <c r="C34" s="30"/>
      <c r="D34" s="24"/>
      <c r="E34" s="24"/>
      <c r="F34" s="24"/>
      <c r="G34" s="24"/>
      <c r="H34" s="24"/>
      <c r="I34" s="24"/>
      <c r="J34" s="24"/>
      <c r="K34" s="24"/>
      <c r="L34" s="30"/>
      <c r="M34" s="30"/>
      <c r="N34" s="30"/>
      <c r="O34" s="30"/>
      <c r="P34" s="30"/>
      <c r="Q34" s="30"/>
      <c r="R34" s="30"/>
      <c r="S34" s="30"/>
      <c r="T34" s="30"/>
      <c r="U34" s="30"/>
      <c r="V34" s="30"/>
      <c r="W34" s="30"/>
      <c r="X34" s="30"/>
      <c r="Y34" s="30"/>
      <c r="Z34" s="24"/>
    </row>
    <row r="35" spans="1:26" ht="18" customHeight="1" x14ac:dyDescent="0.15">
      <c r="A35" s="185" t="s">
        <v>89</v>
      </c>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row>
    <row r="36" spans="1:26" ht="18" customHeight="1" x14ac:dyDescent="0.15">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c r="Y36" s="185"/>
      <c r="Z36" s="185"/>
    </row>
    <row r="37" spans="1:26" ht="18" customHeight="1" x14ac:dyDescent="0.15">
      <c r="A37" s="13"/>
      <c r="B37" s="132" t="s">
        <v>75</v>
      </c>
      <c r="C37" s="134"/>
      <c r="D37" s="134"/>
      <c r="E37" s="134"/>
      <c r="F37" s="133"/>
      <c r="G37" s="25" t="s">
        <v>76</v>
      </c>
      <c r="H37" s="96" t="s">
        <v>77</v>
      </c>
      <c r="I37" s="132" t="s">
        <v>78</v>
      </c>
      <c r="J37" s="134"/>
      <c r="K37" s="133"/>
      <c r="L37" s="66" t="s">
        <v>90</v>
      </c>
      <c r="M37" s="66" t="s">
        <v>91</v>
      </c>
      <c r="N37" s="132" t="s">
        <v>75</v>
      </c>
      <c r="O37" s="134"/>
      <c r="P37" s="134"/>
      <c r="Q37" s="134"/>
      <c r="R37" s="134"/>
      <c r="S37" s="133"/>
      <c r="T37" s="25" t="s">
        <v>76</v>
      </c>
      <c r="U37" s="96" t="s">
        <v>77</v>
      </c>
      <c r="V37" s="132" t="s">
        <v>78</v>
      </c>
      <c r="W37" s="134"/>
      <c r="X37" s="133"/>
      <c r="Y37" s="66" t="s">
        <v>90</v>
      </c>
      <c r="Z37" s="66" t="s">
        <v>91</v>
      </c>
    </row>
    <row r="38" spans="1:26" ht="18" customHeight="1" x14ac:dyDescent="0.15">
      <c r="A38" s="24"/>
      <c r="B38" s="176" t="s">
        <v>87</v>
      </c>
      <c r="C38" s="177"/>
      <c r="D38" s="177"/>
      <c r="E38" s="177"/>
      <c r="F38" s="178"/>
      <c r="G38" s="97">
        <v>1</v>
      </c>
      <c r="H38" s="97" t="s">
        <v>82</v>
      </c>
      <c r="I38" s="170" t="s">
        <v>83</v>
      </c>
      <c r="J38" s="171"/>
      <c r="K38" s="172"/>
      <c r="L38" s="97" t="s">
        <v>82</v>
      </c>
      <c r="M38" s="97" t="s">
        <v>82</v>
      </c>
      <c r="N38" s="139"/>
      <c r="O38" s="140"/>
      <c r="P38" s="140"/>
      <c r="Q38" s="140"/>
      <c r="R38" s="140"/>
      <c r="S38" s="141"/>
      <c r="T38" s="97"/>
      <c r="U38" s="97"/>
      <c r="V38" s="170"/>
      <c r="W38" s="171"/>
      <c r="X38" s="172"/>
      <c r="Y38" s="97"/>
      <c r="Z38" s="97"/>
    </row>
    <row r="39" spans="1:26" ht="18" customHeight="1" x14ac:dyDescent="0.15">
      <c r="A39" s="24"/>
      <c r="B39" s="179" t="s">
        <v>88</v>
      </c>
      <c r="C39" s="180"/>
      <c r="D39" s="180"/>
      <c r="E39" s="180"/>
      <c r="F39" s="181"/>
      <c r="G39" s="98">
        <v>1</v>
      </c>
      <c r="H39" s="98" t="s">
        <v>82</v>
      </c>
      <c r="I39" s="173" t="s">
        <v>83</v>
      </c>
      <c r="J39" s="174"/>
      <c r="K39" s="175"/>
      <c r="L39" s="98" t="s">
        <v>82</v>
      </c>
      <c r="M39" s="98" t="s">
        <v>82</v>
      </c>
      <c r="N39" s="148"/>
      <c r="O39" s="149"/>
      <c r="P39" s="149"/>
      <c r="Q39" s="149"/>
      <c r="R39" s="149"/>
      <c r="S39" s="150"/>
      <c r="T39" s="98"/>
      <c r="U39" s="98"/>
      <c r="V39" s="173"/>
      <c r="W39" s="174"/>
      <c r="X39" s="175"/>
      <c r="Y39" s="98"/>
      <c r="Z39" s="98"/>
    </row>
    <row r="40" spans="1:26" ht="18" customHeight="1" x14ac:dyDescent="0.15">
      <c r="A40" s="24"/>
      <c r="B40" s="179"/>
      <c r="C40" s="180"/>
      <c r="D40" s="180"/>
      <c r="E40" s="180"/>
      <c r="F40" s="181"/>
      <c r="G40" s="98"/>
      <c r="H40" s="98"/>
      <c r="I40" s="173"/>
      <c r="J40" s="174"/>
      <c r="K40" s="175"/>
      <c r="L40" s="98"/>
      <c r="M40" s="98"/>
      <c r="N40" s="148"/>
      <c r="O40" s="149"/>
      <c r="P40" s="149"/>
      <c r="Q40" s="149"/>
      <c r="R40" s="149"/>
      <c r="S40" s="150"/>
      <c r="T40" s="98"/>
      <c r="U40" s="98"/>
      <c r="V40" s="173"/>
      <c r="W40" s="174"/>
      <c r="X40" s="175"/>
      <c r="Y40" s="98"/>
      <c r="Z40" s="98"/>
    </row>
    <row r="41" spans="1:26" ht="18" customHeight="1" x14ac:dyDescent="0.15">
      <c r="A41" s="24"/>
      <c r="B41" s="179"/>
      <c r="C41" s="180"/>
      <c r="D41" s="180"/>
      <c r="E41" s="180"/>
      <c r="F41" s="181"/>
      <c r="G41" s="98"/>
      <c r="H41" s="98"/>
      <c r="I41" s="173"/>
      <c r="J41" s="174"/>
      <c r="K41" s="175"/>
      <c r="L41" s="98"/>
      <c r="M41" s="98"/>
      <c r="N41" s="148"/>
      <c r="O41" s="149"/>
      <c r="P41" s="149"/>
      <c r="Q41" s="149"/>
      <c r="R41" s="149"/>
      <c r="S41" s="150"/>
      <c r="T41" s="98"/>
      <c r="U41" s="98"/>
      <c r="V41" s="173"/>
      <c r="W41" s="174"/>
      <c r="X41" s="175"/>
      <c r="Y41" s="98"/>
      <c r="Z41" s="98"/>
    </row>
    <row r="42" spans="1:26" ht="18" customHeight="1" x14ac:dyDescent="0.15">
      <c r="A42" s="24"/>
      <c r="B42" s="179"/>
      <c r="C42" s="180"/>
      <c r="D42" s="180"/>
      <c r="E42" s="180"/>
      <c r="F42" s="181"/>
      <c r="G42" s="98"/>
      <c r="H42" s="98"/>
      <c r="I42" s="173"/>
      <c r="J42" s="174"/>
      <c r="K42" s="175"/>
      <c r="L42" s="98"/>
      <c r="M42" s="98"/>
      <c r="N42" s="148"/>
      <c r="O42" s="149"/>
      <c r="P42" s="149"/>
      <c r="Q42" s="149"/>
      <c r="R42" s="149"/>
      <c r="S42" s="150"/>
      <c r="T42" s="98"/>
      <c r="U42" s="98"/>
      <c r="V42" s="173"/>
      <c r="W42" s="174"/>
      <c r="X42" s="175"/>
      <c r="Y42" s="98"/>
      <c r="Z42" s="98"/>
    </row>
    <row r="43" spans="1:26" ht="18" customHeight="1" x14ac:dyDescent="0.15">
      <c r="A43" s="24"/>
      <c r="B43" s="179"/>
      <c r="C43" s="180"/>
      <c r="D43" s="180"/>
      <c r="E43" s="180"/>
      <c r="F43" s="181"/>
      <c r="G43" s="98"/>
      <c r="H43" s="98"/>
      <c r="I43" s="173"/>
      <c r="J43" s="174"/>
      <c r="K43" s="175"/>
      <c r="L43" s="98"/>
      <c r="M43" s="98"/>
      <c r="N43" s="148"/>
      <c r="O43" s="149"/>
      <c r="P43" s="149"/>
      <c r="Q43" s="149"/>
      <c r="R43" s="149"/>
      <c r="S43" s="150"/>
      <c r="T43" s="98"/>
      <c r="U43" s="98"/>
      <c r="V43" s="173"/>
      <c r="W43" s="174"/>
      <c r="X43" s="175"/>
      <c r="Y43" s="98"/>
      <c r="Z43" s="98"/>
    </row>
    <row r="44" spans="1:26" ht="18" customHeight="1" x14ac:dyDescent="0.15">
      <c r="A44" s="24"/>
      <c r="B44" s="186"/>
      <c r="C44" s="187"/>
      <c r="D44" s="187"/>
      <c r="E44" s="187"/>
      <c r="F44" s="188"/>
      <c r="G44" s="99"/>
      <c r="H44" s="99"/>
      <c r="I44" s="182"/>
      <c r="J44" s="183"/>
      <c r="K44" s="184"/>
      <c r="L44" s="104"/>
      <c r="M44" s="104"/>
      <c r="N44" s="209"/>
      <c r="O44" s="210"/>
      <c r="P44" s="210"/>
      <c r="Q44" s="210"/>
      <c r="R44" s="210"/>
      <c r="S44" s="211"/>
      <c r="T44" s="99"/>
      <c r="U44" s="99"/>
      <c r="V44" s="182"/>
      <c r="W44" s="183"/>
      <c r="X44" s="184"/>
      <c r="Y44" s="104"/>
      <c r="Z44" s="104"/>
    </row>
    <row r="45" spans="1:26" ht="7.5" customHeight="1" x14ac:dyDescent="0.15">
      <c r="B45" s="67"/>
      <c r="C45" s="67"/>
      <c r="D45" s="67"/>
      <c r="E45" s="67"/>
      <c r="F45" s="67"/>
      <c r="G45" s="67"/>
      <c r="H45" s="67"/>
      <c r="I45" s="67"/>
      <c r="J45" s="67"/>
      <c r="K45" s="67"/>
      <c r="L45" s="67"/>
      <c r="M45" s="67"/>
      <c r="N45" s="67"/>
      <c r="O45" s="67"/>
      <c r="P45" s="67"/>
      <c r="Q45" s="67"/>
      <c r="R45" s="67"/>
      <c r="S45" s="67"/>
      <c r="T45" s="67"/>
      <c r="U45" s="67"/>
      <c r="V45" s="67"/>
      <c r="W45" s="67"/>
      <c r="X45" s="67"/>
      <c r="Y45" s="67"/>
    </row>
    <row r="46" spans="1:26" ht="18" customHeight="1" x14ac:dyDescent="0.15">
      <c r="A46" s="185" t="s">
        <v>92</v>
      </c>
      <c r="B46" s="185"/>
      <c r="C46" s="185"/>
      <c r="D46" s="185"/>
      <c r="E46" s="185"/>
      <c r="F46" s="185"/>
      <c r="G46" s="185"/>
      <c r="H46" s="185"/>
      <c r="I46" s="185"/>
      <c r="J46" s="185"/>
      <c r="K46" s="185"/>
      <c r="L46" s="185"/>
      <c r="M46" s="185"/>
      <c r="N46" s="185"/>
      <c r="O46" s="185"/>
      <c r="P46" s="185"/>
      <c r="Q46" s="185"/>
      <c r="R46" s="185"/>
      <c r="S46" s="185"/>
      <c r="T46" s="185"/>
      <c r="U46" s="185"/>
      <c r="V46" s="185"/>
      <c r="W46" s="185"/>
      <c r="X46" s="185"/>
      <c r="Y46" s="185"/>
      <c r="Z46" s="185"/>
    </row>
    <row r="47" spans="1:26" ht="18" customHeight="1" x14ac:dyDescent="0.15">
      <c r="A47" s="185"/>
      <c r="B47" s="185"/>
      <c r="C47" s="185"/>
      <c r="D47" s="185"/>
      <c r="E47" s="185"/>
      <c r="F47" s="185"/>
      <c r="G47" s="185"/>
      <c r="H47" s="185"/>
      <c r="I47" s="185"/>
      <c r="J47" s="185"/>
      <c r="K47" s="185"/>
      <c r="L47" s="185"/>
      <c r="M47" s="185"/>
      <c r="N47" s="185"/>
      <c r="O47" s="185"/>
      <c r="P47" s="185"/>
      <c r="Q47" s="185"/>
      <c r="R47" s="185"/>
      <c r="S47" s="185"/>
      <c r="T47" s="185"/>
      <c r="U47" s="185"/>
      <c r="V47" s="185"/>
      <c r="W47" s="185"/>
      <c r="X47" s="185"/>
      <c r="Y47" s="185"/>
      <c r="Z47" s="185"/>
    </row>
    <row r="48" spans="1:26" ht="18" customHeight="1" x14ac:dyDescent="0.15">
      <c r="A48" s="13"/>
      <c r="B48" s="132" t="s">
        <v>75</v>
      </c>
      <c r="C48" s="134"/>
      <c r="D48" s="134"/>
      <c r="E48" s="134"/>
      <c r="F48" s="133"/>
      <c r="G48" s="25" t="s">
        <v>76</v>
      </c>
      <c r="H48" s="96" t="s">
        <v>77</v>
      </c>
      <c r="I48" s="132" t="s">
        <v>78</v>
      </c>
      <c r="J48" s="134"/>
      <c r="K48" s="133"/>
      <c r="L48" s="66" t="s">
        <v>93</v>
      </c>
      <c r="M48" s="66" t="s">
        <v>94</v>
      </c>
      <c r="N48" s="132" t="s">
        <v>75</v>
      </c>
      <c r="O48" s="134"/>
      <c r="P48" s="134"/>
      <c r="Q48" s="134"/>
      <c r="R48" s="134"/>
      <c r="S48" s="133"/>
      <c r="T48" s="25" t="s">
        <v>76</v>
      </c>
      <c r="U48" s="96" t="s">
        <v>77</v>
      </c>
      <c r="V48" s="132" t="s">
        <v>78</v>
      </c>
      <c r="W48" s="134"/>
      <c r="X48" s="133"/>
      <c r="Y48" s="66" t="s">
        <v>93</v>
      </c>
      <c r="Z48" s="66" t="s">
        <v>94</v>
      </c>
    </row>
    <row r="49" spans="1:26" ht="18" customHeight="1" x14ac:dyDescent="0.15">
      <c r="A49" s="24"/>
      <c r="B49" s="176" t="s">
        <v>81</v>
      </c>
      <c r="C49" s="177"/>
      <c r="D49" s="177"/>
      <c r="E49" s="177"/>
      <c r="F49" s="178"/>
      <c r="G49" s="97">
        <v>2</v>
      </c>
      <c r="H49" s="97" t="s">
        <v>82</v>
      </c>
      <c r="I49" s="170" t="s">
        <v>83</v>
      </c>
      <c r="J49" s="171"/>
      <c r="K49" s="172"/>
      <c r="L49" s="97" t="s">
        <v>82</v>
      </c>
      <c r="M49" s="97" t="s">
        <v>82</v>
      </c>
      <c r="N49" s="139"/>
      <c r="O49" s="140"/>
      <c r="P49" s="140"/>
      <c r="Q49" s="140"/>
      <c r="R49" s="140"/>
      <c r="S49" s="141"/>
      <c r="T49" s="97"/>
      <c r="U49" s="97"/>
      <c r="V49" s="170"/>
      <c r="W49" s="171"/>
      <c r="X49" s="172"/>
      <c r="Y49" s="97"/>
      <c r="Z49" s="97"/>
    </row>
    <row r="50" spans="1:26" ht="18" customHeight="1" x14ac:dyDescent="0.15">
      <c r="A50" s="24"/>
      <c r="B50" s="179"/>
      <c r="C50" s="180"/>
      <c r="D50" s="180"/>
      <c r="E50" s="180"/>
      <c r="F50" s="181"/>
      <c r="G50" s="98"/>
      <c r="H50" s="98"/>
      <c r="I50" s="173"/>
      <c r="J50" s="174"/>
      <c r="K50" s="175"/>
      <c r="L50" s="98"/>
      <c r="M50" s="98"/>
      <c r="N50" s="148"/>
      <c r="O50" s="149"/>
      <c r="P50" s="149"/>
      <c r="Q50" s="149"/>
      <c r="R50" s="149"/>
      <c r="S50" s="150"/>
      <c r="T50" s="98"/>
      <c r="U50" s="98"/>
      <c r="V50" s="173"/>
      <c r="W50" s="174"/>
      <c r="X50" s="175"/>
      <c r="Y50" s="98"/>
      <c r="Z50" s="98"/>
    </row>
    <row r="51" spans="1:26" ht="18" customHeight="1" x14ac:dyDescent="0.15">
      <c r="A51" s="24"/>
      <c r="B51" s="179"/>
      <c r="C51" s="180"/>
      <c r="D51" s="180"/>
      <c r="E51" s="180"/>
      <c r="F51" s="181"/>
      <c r="G51" s="98"/>
      <c r="H51" s="98"/>
      <c r="I51" s="173"/>
      <c r="J51" s="174"/>
      <c r="K51" s="175"/>
      <c r="L51" s="98"/>
      <c r="M51" s="98"/>
      <c r="N51" s="148"/>
      <c r="O51" s="149"/>
      <c r="P51" s="149"/>
      <c r="Q51" s="149"/>
      <c r="R51" s="149"/>
      <c r="S51" s="150"/>
      <c r="T51" s="98"/>
      <c r="U51" s="98"/>
      <c r="V51" s="173"/>
      <c r="W51" s="174"/>
      <c r="X51" s="175"/>
      <c r="Y51" s="98"/>
      <c r="Z51" s="98"/>
    </row>
    <row r="52" spans="1:26" ht="18" customHeight="1" x14ac:dyDescent="0.15">
      <c r="A52" s="24"/>
      <c r="B52" s="179"/>
      <c r="C52" s="180"/>
      <c r="D52" s="180"/>
      <c r="E52" s="180"/>
      <c r="F52" s="181"/>
      <c r="G52" s="98"/>
      <c r="H52" s="98"/>
      <c r="I52" s="173"/>
      <c r="J52" s="174"/>
      <c r="K52" s="175"/>
      <c r="L52" s="98"/>
      <c r="M52" s="98"/>
      <c r="N52" s="148"/>
      <c r="O52" s="149"/>
      <c r="P52" s="149"/>
      <c r="Q52" s="149"/>
      <c r="R52" s="149"/>
      <c r="S52" s="150"/>
      <c r="T52" s="98"/>
      <c r="U52" s="98"/>
      <c r="V52" s="173"/>
      <c r="W52" s="174"/>
      <c r="X52" s="175"/>
      <c r="Y52" s="98"/>
      <c r="Z52" s="98"/>
    </row>
    <row r="53" spans="1:26" ht="18" customHeight="1" x14ac:dyDescent="0.15">
      <c r="A53" s="24"/>
      <c r="B53" s="179"/>
      <c r="C53" s="180"/>
      <c r="D53" s="180"/>
      <c r="E53" s="180"/>
      <c r="F53" s="181"/>
      <c r="G53" s="98"/>
      <c r="H53" s="98"/>
      <c r="I53" s="173"/>
      <c r="J53" s="174"/>
      <c r="K53" s="175"/>
      <c r="L53" s="98"/>
      <c r="M53" s="98"/>
      <c r="N53" s="148"/>
      <c r="O53" s="149"/>
      <c r="P53" s="149"/>
      <c r="Q53" s="149"/>
      <c r="R53" s="149"/>
      <c r="S53" s="150"/>
      <c r="T53" s="98"/>
      <c r="U53" s="98"/>
      <c r="V53" s="173"/>
      <c r="W53" s="174"/>
      <c r="X53" s="175"/>
      <c r="Y53" s="98"/>
      <c r="Z53" s="98"/>
    </row>
    <row r="54" spans="1:26" ht="18" customHeight="1" x14ac:dyDescent="0.15">
      <c r="A54" s="24"/>
      <c r="B54" s="179"/>
      <c r="C54" s="180"/>
      <c r="D54" s="180"/>
      <c r="E54" s="180"/>
      <c r="F54" s="181"/>
      <c r="G54" s="98"/>
      <c r="H54" s="98"/>
      <c r="I54" s="173"/>
      <c r="J54" s="174"/>
      <c r="K54" s="175"/>
      <c r="L54" s="98"/>
      <c r="M54" s="98"/>
      <c r="N54" s="148"/>
      <c r="O54" s="149"/>
      <c r="P54" s="149"/>
      <c r="Q54" s="149"/>
      <c r="R54" s="149"/>
      <c r="S54" s="150"/>
      <c r="T54" s="98"/>
      <c r="U54" s="98"/>
      <c r="V54" s="173"/>
      <c r="W54" s="174"/>
      <c r="X54" s="175"/>
      <c r="Y54" s="98"/>
      <c r="Z54" s="98"/>
    </row>
    <row r="55" spans="1:26" ht="18" customHeight="1" x14ac:dyDescent="0.15">
      <c r="A55" s="24"/>
      <c r="B55" s="186"/>
      <c r="C55" s="187"/>
      <c r="D55" s="187"/>
      <c r="E55" s="187"/>
      <c r="F55" s="188"/>
      <c r="G55" s="99"/>
      <c r="H55" s="99"/>
      <c r="I55" s="182"/>
      <c r="J55" s="183"/>
      <c r="K55" s="184"/>
      <c r="L55" s="104"/>
      <c r="M55" s="104"/>
      <c r="N55" s="209"/>
      <c r="O55" s="210"/>
      <c r="P55" s="210"/>
      <c r="Q55" s="210"/>
      <c r="R55" s="210"/>
      <c r="S55" s="211"/>
      <c r="T55" s="99"/>
      <c r="U55" s="99"/>
      <c r="V55" s="182"/>
      <c r="W55" s="183"/>
      <c r="X55" s="184"/>
      <c r="Y55" s="104"/>
      <c r="Z55" s="104"/>
    </row>
    <row r="56" spans="1:26" ht="7.5" customHeight="1" x14ac:dyDescent="0.15">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6" ht="18" customHeight="1" x14ac:dyDescent="0.15">
      <c r="A57" s="185" t="s">
        <v>95</v>
      </c>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row>
    <row r="58" spans="1:26" ht="18" customHeight="1" x14ac:dyDescent="0.15">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row>
    <row r="59" spans="1:26" ht="18" customHeight="1" x14ac:dyDescent="0.15">
      <c r="A59" s="13"/>
      <c r="B59" s="132" t="s">
        <v>75</v>
      </c>
      <c r="C59" s="134"/>
      <c r="D59" s="134"/>
      <c r="E59" s="133"/>
      <c r="F59" s="25" t="s">
        <v>76</v>
      </c>
      <c r="G59" s="96" t="s">
        <v>77</v>
      </c>
      <c r="H59" s="21" t="s">
        <v>78</v>
      </c>
      <c r="I59" s="93"/>
      <c r="J59" s="22"/>
      <c r="K59" s="66" t="s">
        <v>96</v>
      </c>
      <c r="L59" s="66" t="s">
        <v>97</v>
      </c>
      <c r="M59" s="66" t="s">
        <v>98</v>
      </c>
      <c r="N59" s="132" t="s">
        <v>75</v>
      </c>
      <c r="O59" s="134"/>
      <c r="P59" s="134"/>
      <c r="Q59" s="134"/>
      <c r="R59" s="133"/>
      <c r="S59" s="25" t="s">
        <v>76</v>
      </c>
      <c r="T59" s="96" t="s">
        <v>77</v>
      </c>
      <c r="U59" s="21" t="s">
        <v>78</v>
      </c>
      <c r="V59" s="93"/>
      <c r="W59" s="22"/>
      <c r="X59" s="66" t="s">
        <v>96</v>
      </c>
      <c r="Y59" s="66" t="s">
        <v>97</v>
      </c>
      <c r="Z59" s="66" t="s">
        <v>98</v>
      </c>
    </row>
    <row r="60" spans="1:26" ht="18" customHeight="1" x14ac:dyDescent="0.15">
      <c r="A60" s="24"/>
      <c r="B60" s="139" t="s">
        <v>99</v>
      </c>
      <c r="C60" s="140"/>
      <c r="D60" s="140"/>
      <c r="E60" s="141"/>
      <c r="F60" s="97">
        <v>1</v>
      </c>
      <c r="G60" s="97" t="s">
        <v>82</v>
      </c>
      <c r="H60" s="170" t="s">
        <v>83</v>
      </c>
      <c r="I60" s="171"/>
      <c r="J60" s="172"/>
      <c r="K60" s="97" t="s">
        <v>82</v>
      </c>
      <c r="L60" s="97" t="s">
        <v>82</v>
      </c>
      <c r="M60" s="97" t="s">
        <v>82</v>
      </c>
      <c r="N60" s="139"/>
      <c r="O60" s="140"/>
      <c r="P60" s="140"/>
      <c r="Q60" s="140"/>
      <c r="R60" s="141"/>
      <c r="S60" s="97"/>
      <c r="T60" s="97"/>
      <c r="U60" s="170"/>
      <c r="V60" s="171"/>
      <c r="W60" s="172"/>
      <c r="X60" s="103"/>
      <c r="Y60" s="97"/>
      <c r="Z60" s="97"/>
    </row>
    <row r="61" spans="1:26" ht="18" customHeight="1" x14ac:dyDescent="0.15">
      <c r="A61" s="24"/>
      <c r="B61" s="148" t="s">
        <v>100</v>
      </c>
      <c r="C61" s="149"/>
      <c r="D61" s="149"/>
      <c r="E61" s="150"/>
      <c r="F61" s="98">
        <v>1</v>
      </c>
      <c r="G61" s="98" t="s">
        <v>82</v>
      </c>
      <c r="H61" s="173" t="s">
        <v>83</v>
      </c>
      <c r="I61" s="174"/>
      <c r="J61" s="175"/>
      <c r="K61" s="98" t="s">
        <v>82</v>
      </c>
      <c r="L61" s="98" t="s">
        <v>82</v>
      </c>
      <c r="M61" s="98" t="s">
        <v>82</v>
      </c>
      <c r="N61" s="148"/>
      <c r="O61" s="149"/>
      <c r="P61" s="149"/>
      <c r="Q61" s="149"/>
      <c r="R61" s="150"/>
      <c r="S61" s="98"/>
      <c r="T61" s="98"/>
      <c r="U61" s="173"/>
      <c r="V61" s="174"/>
      <c r="W61" s="175"/>
      <c r="X61" s="101"/>
      <c r="Y61" s="98"/>
      <c r="Z61" s="98"/>
    </row>
    <row r="62" spans="1:26" ht="18" customHeight="1" x14ac:dyDescent="0.15">
      <c r="A62" s="24"/>
      <c r="B62" s="148"/>
      <c r="C62" s="149"/>
      <c r="D62" s="149"/>
      <c r="E62" s="150"/>
      <c r="F62" s="98"/>
      <c r="G62" s="98"/>
      <c r="H62" s="173"/>
      <c r="I62" s="174"/>
      <c r="J62" s="175"/>
      <c r="K62" s="101"/>
      <c r="L62" s="98"/>
      <c r="M62" s="98"/>
      <c r="N62" s="148"/>
      <c r="O62" s="149"/>
      <c r="P62" s="149"/>
      <c r="Q62" s="149"/>
      <c r="R62" s="150"/>
      <c r="S62" s="98"/>
      <c r="T62" s="98"/>
      <c r="U62" s="173"/>
      <c r="V62" s="174"/>
      <c r="W62" s="175"/>
      <c r="X62" s="101"/>
      <c r="Y62" s="98"/>
      <c r="Z62" s="98"/>
    </row>
    <row r="63" spans="1:26" ht="18" customHeight="1" x14ac:dyDescent="0.15">
      <c r="A63" s="24"/>
      <c r="B63" s="148"/>
      <c r="C63" s="149"/>
      <c r="D63" s="149"/>
      <c r="E63" s="150"/>
      <c r="F63" s="98"/>
      <c r="G63" s="98"/>
      <c r="H63" s="173"/>
      <c r="I63" s="174"/>
      <c r="J63" s="175"/>
      <c r="K63" s="101"/>
      <c r="L63" s="98"/>
      <c r="M63" s="98"/>
      <c r="N63" s="148"/>
      <c r="O63" s="149"/>
      <c r="P63" s="149"/>
      <c r="Q63" s="149"/>
      <c r="R63" s="150"/>
      <c r="S63" s="98"/>
      <c r="T63" s="98"/>
      <c r="U63" s="173"/>
      <c r="V63" s="174"/>
      <c r="W63" s="175"/>
      <c r="X63" s="101"/>
      <c r="Y63" s="98"/>
      <c r="Z63" s="98"/>
    </row>
    <row r="64" spans="1:26" ht="18" customHeight="1" x14ac:dyDescent="0.15">
      <c r="A64" s="24"/>
      <c r="B64" s="148"/>
      <c r="C64" s="149"/>
      <c r="D64" s="149"/>
      <c r="E64" s="150"/>
      <c r="F64" s="98"/>
      <c r="G64" s="98"/>
      <c r="H64" s="173"/>
      <c r="I64" s="174"/>
      <c r="J64" s="175"/>
      <c r="K64" s="101"/>
      <c r="L64" s="98"/>
      <c r="M64" s="98"/>
      <c r="N64" s="148"/>
      <c r="O64" s="149"/>
      <c r="P64" s="149"/>
      <c r="Q64" s="149"/>
      <c r="R64" s="150"/>
      <c r="S64" s="98"/>
      <c r="T64" s="98"/>
      <c r="U64" s="173"/>
      <c r="V64" s="174"/>
      <c r="W64" s="175"/>
      <c r="X64" s="101"/>
      <c r="Y64" s="98"/>
      <c r="Z64" s="98"/>
    </row>
    <row r="65" spans="1:26" ht="18" customHeight="1" x14ac:dyDescent="0.15">
      <c r="A65" s="24"/>
      <c r="B65" s="148"/>
      <c r="C65" s="149"/>
      <c r="D65" s="149"/>
      <c r="E65" s="150"/>
      <c r="F65" s="98"/>
      <c r="G65" s="98"/>
      <c r="H65" s="173"/>
      <c r="I65" s="174"/>
      <c r="J65" s="175"/>
      <c r="K65" s="101"/>
      <c r="L65" s="98"/>
      <c r="M65" s="98"/>
      <c r="N65" s="148"/>
      <c r="O65" s="149"/>
      <c r="P65" s="149"/>
      <c r="Q65" s="149"/>
      <c r="R65" s="150"/>
      <c r="S65" s="98"/>
      <c r="T65" s="98"/>
      <c r="U65" s="173"/>
      <c r="V65" s="174"/>
      <c r="W65" s="175"/>
      <c r="X65" s="101"/>
      <c r="Y65" s="98"/>
      <c r="Z65" s="98"/>
    </row>
    <row r="66" spans="1:26" ht="18" customHeight="1" x14ac:dyDescent="0.15">
      <c r="A66" s="24"/>
      <c r="B66" s="209"/>
      <c r="C66" s="210"/>
      <c r="D66" s="210"/>
      <c r="E66" s="211"/>
      <c r="F66" s="99"/>
      <c r="G66" s="99"/>
      <c r="H66" s="182"/>
      <c r="I66" s="183"/>
      <c r="J66" s="184"/>
      <c r="K66" s="102"/>
      <c r="L66" s="104"/>
      <c r="M66" s="104"/>
      <c r="N66" s="209"/>
      <c r="O66" s="210"/>
      <c r="P66" s="210"/>
      <c r="Q66" s="210"/>
      <c r="R66" s="211"/>
      <c r="S66" s="99"/>
      <c r="T66" s="99"/>
      <c r="U66" s="182"/>
      <c r="V66" s="183"/>
      <c r="W66" s="184"/>
      <c r="X66" s="102"/>
      <c r="Y66" s="104"/>
      <c r="Z66" s="104"/>
    </row>
    <row r="67" spans="1:26" ht="7.5" customHeight="1" x14ac:dyDescent="0.15">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6" ht="18" customHeight="1" x14ac:dyDescent="0.15">
      <c r="A68" s="13" t="s">
        <v>101</v>
      </c>
      <c r="B68" s="13"/>
      <c r="C68" s="13"/>
      <c r="D68" s="13"/>
      <c r="E68" s="13"/>
      <c r="F68" s="13"/>
      <c r="G68" s="13"/>
      <c r="H68" s="13"/>
      <c r="I68" s="13"/>
      <c r="J68" s="13"/>
      <c r="K68" s="13"/>
      <c r="L68" s="24"/>
      <c r="M68" s="24"/>
      <c r="N68" s="24"/>
      <c r="O68" s="24"/>
      <c r="P68" s="24"/>
      <c r="Q68" s="24"/>
      <c r="R68" s="24"/>
      <c r="S68" s="24"/>
      <c r="T68" s="24"/>
      <c r="U68" s="24"/>
      <c r="V68" s="24"/>
      <c r="W68" s="24"/>
      <c r="X68" s="24"/>
      <c r="Y68" s="24"/>
      <c r="Z68" s="24"/>
    </row>
    <row r="69" spans="1:26" ht="18" customHeight="1" x14ac:dyDescent="0.15">
      <c r="A69" s="13"/>
      <c r="B69" s="132" t="s">
        <v>75</v>
      </c>
      <c r="C69" s="134"/>
      <c r="D69" s="134"/>
      <c r="E69" s="134"/>
      <c r="F69" s="133"/>
      <c r="G69" s="132" t="s">
        <v>102</v>
      </c>
      <c r="H69" s="134"/>
      <c r="I69" s="134"/>
      <c r="J69" s="134"/>
      <c r="K69" s="134"/>
      <c r="L69" s="134"/>
      <c r="M69" s="133"/>
      <c r="N69" s="215" t="s">
        <v>75</v>
      </c>
      <c r="O69" s="216"/>
      <c r="P69" s="216"/>
      <c r="Q69" s="216"/>
      <c r="R69" s="216"/>
      <c r="S69" s="217"/>
      <c r="T69" s="132" t="s">
        <v>102</v>
      </c>
      <c r="U69" s="134"/>
      <c r="V69" s="134"/>
      <c r="W69" s="134"/>
      <c r="X69" s="134"/>
      <c r="Y69" s="134"/>
      <c r="Z69" s="133"/>
    </row>
    <row r="70" spans="1:26" ht="18" customHeight="1" x14ac:dyDescent="0.15">
      <c r="A70" s="24"/>
      <c r="B70" s="139" t="s">
        <v>103</v>
      </c>
      <c r="C70" s="140"/>
      <c r="D70" s="140"/>
      <c r="E70" s="140"/>
      <c r="F70" s="141"/>
      <c r="G70" s="142" t="s">
        <v>104</v>
      </c>
      <c r="H70" s="143"/>
      <c r="I70" s="143"/>
      <c r="J70" s="143"/>
      <c r="K70" s="143"/>
      <c r="L70" s="143"/>
      <c r="M70" s="144"/>
      <c r="N70" s="139"/>
      <c r="O70" s="140"/>
      <c r="P70" s="140"/>
      <c r="Q70" s="140"/>
      <c r="R70" s="140"/>
      <c r="S70" s="141"/>
      <c r="T70" s="142"/>
      <c r="U70" s="143"/>
      <c r="V70" s="143"/>
      <c r="W70" s="143"/>
      <c r="X70" s="143"/>
      <c r="Y70" s="143"/>
      <c r="Z70" s="144"/>
    </row>
    <row r="71" spans="1:26" ht="18" customHeight="1" x14ac:dyDescent="0.15">
      <c r="A71" s="24"/>
      <c r="B71" s="148" t="s">
        <v>105</v>
      </c>
      <c r="C71" s="149"/>
      <c r="D71" s="149"/>
      <c r="E71" s="149"/>
      <c r="F71" s="150"/>
      <c r="G71" s="151" t="s">
        <v>106</v>
      </c>
      <c r="H71" s="152"/>
      <c r="I71" s="152"/>
      <c r="J71" s="152"/>
      <c r="K71" s="152"/>
      <c r="L71" s="152"/>
      <c r="M71" s="153"/>
      <c r="N71" s="148"/>
      <c r="O71" s="149"/>
      <c r="P71" s="149"/>
      <c r="Q71" s="149"/>
      <c r="R71" s="149"/>
      <c r="S71" s="150"/>
      <c r="T71" s="151"/>
      <c r="U71" s="152"/>
      <c r="V71" s="152"/>
      <c r="W71" s="152"/>
      <c r="X71" s="152"/>
      <c r="Y71" s="152"/>
      <c r="Z71" s="153"/>
    </row>
    <row r="72" spans="1:26" ht="18" customHeight="1" x14ac:dyDescent="0.15">
      <c r="A72" s="24"/>
      <c r="B72" s="148" t="s">
        <v>107</v>
      </c>
      <c r="C72" s="149"/>
      <c r="D72" s="149"/>
      <c r="E72" s="149"/>
      <c r="F72" s="150"/>
      <c r="G72" s="151" t="s">
        <v>104</v>
      </c>
      <c r="H72" s="152"/>
      <c r="I72" s="152"/>
      <c r="J72" s="152"/>
      <c r="K72" s="152"/>
      <c r="L72" s="152"/>
      <c r="M72" s="153"/>
      <c r="N72" s="148"/>
      <c r="O72" s="149"/>
      <c r="P72" s="149"/>
      <c r="Q72" s="149"/>
      <c r="R72" s="149"/>
      <c r="S72" s="150"/>
      <c r="T72" s="151"/>
      <c r="U72" s="152"/>
      <c r="V72" s="152"/>
      <c r="W72" s="152"/>
      <c r="X72" s="152"/>
      <c r="Y72" s="152"/>
      <c r="Z72" s="153"/>
    </row>
    <row r="73" spans="1:26" ht="18" customHeight="1" x14ac:dyDescent="0.15">
      <c r="A73" s="24"/>
      <c r="B73" s="148" t="s">
        <v>108</v>
      </c>
      <c r="C73" s="149"/>
      <c r="D73" s="149"/>
      <c r="E73" s="149"/>
      <c r="F73" s="150"/>
      <c r="G73" s="151" t="s">
        <v>109</v>
      </c>
      <c r="H73" s="152"/>
      <c r="I73" s="152"/>
      <c r="J73" s="152"/>
      <c r="K73" s="152"/>
      <c r="L73" s="152"/>
      <c r="M73" s="153"/>
      <c r="N73" s="148"/>
      <c r="O73" s="149"/>
      <c r="P73" s="149"/>
      <c r="Q73" s="149"/>
      <c r="R73" s="149"/>
      <c r="S73" s="150"/>
      <c r="T73" s="151"/>
      <c r="U73" s="152"/>
      <c r="V73" s="152"/>
      <c r="W73" s="152"/>
      <c r="X73" s="152"/>
      <c r="Y73" s="152"/>
      <c r="Z73" s="153"/>
    </row>
    <row r="74" spans="1:26" ht="18" customHeight="1" x14ac:dyDescent="0.15">
      <c r="A74" s="24"/>
      <c r="B74" s="148"/>
      <c r="C74" s="149"/>
      <c r="D74" s="149"/>
      <c r="E74" s="149"/>
      <c r="F74" s="150"/>
      <c r="G74" s="151"/>
      <c r="H74" s="152"/>
      <c r="I74" s="152"/>
      <c r="J74" s="152"/>
      <c r="K74" s="152"/>
      <c r="L74" s="152"/>
      <c r="M74" s="153"/>
      <c r="N74" s="148"/>
      <c r="O74" s="149"/>
      <c r="P74" s="149"/>
      <c r="Q74" s="149"/>
      <c r="R74" s="149"/>
      <c r="S74" s="150"/>
      <c r="T74" s="151"/>
      <c r="U74" s="152"/>
      <c r="V74" s="152"/>
      <c r="W74" s="152"/>
      <c r="X74" s="152"/>
      <c r="Y74" s="152"/>
      <c r="Z74" s="153"/>
    </row>
    <row r="75" spans="1:26" ht="18" customHeight="1" x14ac:dyDescent="0.15">
      <c r="A75" s="24"/>
      <c r="B75" s="148"/>
      <c r="C75" s="149"/>
      <c r="D75" s="149"/>
      <c r="E75" s="149"/>
      <c r="F75" s="150"/>
      <c r="G75" s="151"/>
      <c r="H75" s="152"/>
      <c r="I75" s="152"/>
      <c r="J75" s="152"/>
      <c r="K75" s="152"/>
      <c r="L75" s="152"/>
      <c r="M75" s="153"/>
      <c r="N75" s="148"/>
      <c r="O75" s="149"/>
      <c r="P75" s="149"/>
      <c r="Q75" s="149"/>
      <c r="R75" s="149"/>
      <c r="S75" s="150"/>
      <c r="T75" s="151"/>
      <c r="U75" s="152"/>
      <c r="V75" s="152"/>
      <c r="W75" s="152"/>
      <c r="X75" s="152"/>
      <c r="Y75" s="152"/>
      <c r="Z75" s="153"/>
    </row>
    <row r="76" spans="1:26" ht="18" customHeight="1" x14ac:dyDescent="0.15">
      <c r="A76" s="24"/>
      <c r="B76" s="209"/>
      <c r="C76" s="210"/>
      <c r="D76" s="210"/>
      <c r="E76" s="210"/>
      <c r="F76" s="211"/>
      <c r="G76" s="212"/>
      <c r="H76" s="213"/>
      <c r="I76" s="213"/>
      <c r="J76" s="213"/>
      <c r="K76" s="213"/>
      <c r="L76" s="213"/>
      <c r="M76" s="214"/>
      <c r="N76" s="209"/>
      <c r="O76" s="210"/>
      <c r="P76" s="210"/>
      <c r="Q76" s="210"/>
      <c r="R76" s="210"/>
      <c r="S76" s="211"/>
      <c r="T76" s="212"/>
      <c r="U76" s="213"/>
      <c r="V76" s="213"/>
      <c r="W76" s="213"/>
      <c r="X76" s="213"/>
      <c r="Y76" s="213"/>
      <c r="Z76" s="214"/>
    </row>
    <row r="77" spans="1:26" ht="18" customHeight="1" x14ac:dyDescent="0.15">
      <c r="A77" s="24"/>
      <c r="B77" s="30"/>
      <c r="C77" s="30"/>
      <c r="D77" s="30"/>
      <c r="E77" s="30"/>
      <c r="F77" s="30"/>
      <c r="G77" s="11"/>
      <c r="H77" s="11"/>
      <c r="I77" s="11"/>
      <c r="J77" s="11"/>
      <c r="K77" s="11"/>
      <c r="L77" s="11"/>
      <c r="M77" s="11"/>
      <c r="N77" s="30"/>
      <c r="O77" s="30"/>
      <c r="P77" s="30"/>
      <c r="Q77" s="30"/>
      <c r="R77" s="30"/>
      <c r="S77" s="30"/>
      <c r="T77" s="11"/>
      <c r="U77" s="11"/>
      <c r="V77" s="11"/>
      <c r="W77" s="11"/>
      <c r="X77" s="11"/>
      <c r="Y77" s="11"/>
      <c r="Z77" s="11"/>
    </row>
    <row r="78" spans="1:26" ht="18.75" customHeight="1" x14ac:dyDescent="0.15">
      <c r="A78" s="12" t="s">
        <v>110</v>
      </c>
    </row>
    <row r="79" spans="1:26" ht="18.75" customHeight="1" x14ac:dyDescent="0.15">
      <c r="B79" s="68" t="s">
        <v>111</v>
      </c>
      <c r="C79" s="69"/>
      <c r="D79" s="168" t="s">
        <v>112</v>
      </c>
      <c r="E79" s="168"/>
      <c r="F79" s="168"/>
      <c r="G79" s="168"/>
      <c r="H79" s="168"/>
      <c r="I79" s="168"/>
      <c r="J79" s="168"/>
      <c r="K79" s="168"/>
      <c r="L79" s="168"/>
      <c r="M79" s="168"/>
      <c r="N79" s="168"/>
      <c r="O79" s="168"/>
      <c r="P79" s="168"/>
      <c r="Q79" s="168"/>
      <c r="R79" s="168"/>
      <c r="S79" s="168"/>
      <c r="T79" s="168"/>
      <c r="U79" s="168"/>
      <c r="V79" s="168"/>
      <c r="W79" s="168"/>
      <c r="X79" s="168"/>
      <c r="Y79" s="168"/>
      <c r="Z79" s="169"/>
    </row>
    <row r="80" spans="1:26" ht="78" customHeight="1" x14ac:dyDescent="0.15">
      <c r="B80" s="156" t="s">
        <v>113</v>
      </c>
      <c r="C80" s="75" t="s">
        <v>79</v>
      </c>
      <c r="D80" s="163" t="s">
        <v>114</v>
      </c>
      <c r="E80" s="163"/>
      <c r="F80" s="163"/>
      <c r="G80" s="163"/>
      <c r="H80" s="163"/>
      <c r="I80" s="163"/>
      <c r="J80" s="163"/>
      <c r="K80" s="163"/>
      <c r="L80" s="163"/>
      <c r="M80" s="163"/>
      <c r="N80" s="163"/>
      <c r="O80" s="163"/>
      <c r="P80" s="163"/>
      <c r="Q80" s="163"/>
      <c r="R80" s="163"/>
      <c r="S80" s="163"/>
      <c r="T80" s="163"/>
      <c r="U80" s="163"/>
      <c r="V80" s="163"/>
      <c r="W80" s="163"/>
      <c r="X80" s="163"/>
      <c r="Y80" s="163"/>
      <c r="Z80" s="164"/>
    </row>
    <row r="81" spans="1:26" ht="78" customHeight="1" x14ac:dyDescent="0.15">
      <c r="B81" s="157"/>
      <c r="C81" s="94" t="s">
        <v>115</v>
      </c>
      <c r="D81" s="199" t="s">
        <v>116</v>
      </c>
      <c r="E81" s="199"/>
      <c r="F81" s="199"/>
      <c r="G81" s="199"/>
      <c r="H81" s="199"/>
      <c r="I81" s="199"/>
      <c r="J81" s="199"/>
      <c r="K81" s="199"/>
      <c r="L81" s="199"/>
      <c r="M81" s="199"/>
      <c r="N81" s="199"/>
      <c r="O81" s="199"/>
      <c r="P81" s="199"/>
      <c r="Q81" s="199"/>
      <c r="R81" s="199"/>
      <c r="S81" s="199"/>
      <c r="T81" s="199"/>
      <c r="U81" s="199"/>
      <c r="V81" s="199"/>
      <c r="W81" s="199"/>
      <c r="X81" s="199"/>
      <c r="Y81" s="199"/>
      <c r="Z81" s="200"/>
    </row>
    <row r="82" spans="1:26" ht="78" customHeight="1" x14ac:dyDescent="0.15">
      <c r="B82" s="154" t="s">
        <v>117</v>
      </c>
      <c r="C82" s="70" t="s">
        <v>85</v>
      </c>
      <c r="D82" s="201" t="s">
        <v>118</v>
      </c>
      <c r="E82" s="201"/>
      <c r="F82" s="201"/>
      <c r="G82" s="201"/>
      <c r="H82" s="201"/>
      <c r="I82" s="201"/>
      <c r="J82" s="201"/>
      <c r="K82" s="201"/>
      <c r="L82" s="201"/>
      <c r="M82" s="201"/>
      <c r="N82" s="201"/>
      <c r="O82" s="201"/>
      <c r="P82" s="201"/>
      <c r="Q82" s="201"/>
      <c r="R82" s="201"/>
      <c r="S82" s="201"/>
      <c r="T82" s="201"/>
      <c r="U82" s="201"/>
      <c r="V82" s="201"/>
      <c r="W82" s="201"/>
      <c r="X82" s="201"/>
      <c r="Y82" s="201"/>
      <c r="Z82" s="202"/>
    </row>
    <row r="83" spans="1:26" ht="78" customHeight="1" x14ac:dyDescent="0.15">
      <c r="B83" s="155"/>
      <c r="C83" s="95" t="s">
        <v>86</v>
      </c>
      <c r="D83" s="205" t="s">
        <v>119</v>
      </c>
      <c r="E83" s="205"/>
      <c r="F83" s="205"/>
      <c r="G83" s="205"/>
      <c r="H83" s="205"/>
      <c r="I83" s="205"/>
      <c r="J83" s="205"/>
      <c r="K83" s="205"/>
      <c r="L83" s="205"/>
      <c r="M83" s="205"/>
      <c r="N83" s="205"/>
      <c r="O83" s="205"/>
      <c r="P83" s="205"/>
      <c r="Q83" s="205"/>
      <c r="R83" s="205"/>
      <c r="S83" s="205"/>
      <c r="T83" s="205"/>
      <c r="U83" s="205"/>
      <c r="V83" s="205"/>
      <c r="W83" s="205"/>
      <c r="X83" s="205"/>
      <c r="Y83" s="205"/>
      <c r="Z83" s="206"/>
    </row>
    <row r="84" spans="1:26" ht="66" customHeight="1" x14ac:dyDescent="0.15">
      <c r="B84" s="154" t="s">
        <v>120</v>
      </c>
      <c r="C84" s="70" t="s">
        <v>90</v>
      </c>
      <c r="D84" s="207" t="s">
        <v>121</v>
      </c>
      <c r="E84" s="207"/>
      <c r="F84" s="207"/>
      <c r="G84" s="207"/>
      <c r="H84" s="207"/>
      <c r="I84" s="207"/>
      <c r="J84" s="207"/>
      <c r="K84" s="207"/>
      <c r="L84" s="207"/>
      <c r="M84" s="207"/>
      <c r="N84" s="207"/>
      <c r="O84" s="207"/>
      <c r="P84" s="207"/>
      <c r="Q84" s="207"/>
      <c r="R84" s="207"/>
      <c r="S84" s="207"/>
      <c r="T84" s="207"/>
      <c r="U84" s="207"/>
      <c r="V84" s="207"/>
      <c r="W84" s="207"/>
      <c r="X84" s="207"/>
      <c r="Y84" s="207"/>
      <c r="Z84" s="208"/>
    </row>
    <row r="85" spans="1:26" ht="66" customHeight="1" x14ac:dyDescent="0.15">
      <c r="B85" s="155"/>
      <c r="C85" s="72" t="s">
        <v>91</v>
      </c>
      <c r="D85" s="203" t="s">
        <v>122</v>
      </c>
      <c r="E85" s="203"/>
      <c r="F85" s="203"/>
      <c r="G85" s="203"/>
      <c r="H85" s="203"/>
      <c r="I85" s="203"/>
      <c r="J85" s="203"/>
      <c r="K85" s="203"/>
      <c r="L85" s="203"/>
      <c r="M85" s="203"/>
      <c r="N85" s="203"/>
      <c r="O85" s="203"/>
      <c r="P85" s="203"/>
      <c r="Q85" s="203"/>
      <c r="R85" s="203"/>
      <c r="S85" s="203"/>
      <c r="T85" s="203"/>
      <c r="U85" s="203"/>
      <c r="V85" s="203"/>
      <c r="W85" s="203"/>
      <c r="X85" s="203"/>
      <c r="Y85" s="203"/>
      <c r="Z85" s="204"/>
    </row>
    <row r="86" spans="1:26" ht="66" customHeight="1" x14ac:dyDescent="0.15">
      <c r="B86" s="156" t="s">
        <v>123</v>
      </c>
      <c r="C86" s="75" t="s">
        <v>93</v>
      </c>
      <c r="D86" s="163" t="s">
        <v>124</v>
      </c>
      <c r="E86" s="163"/>
      <c r="F86" s="163"/>
      <c r="G86" s="163"/>
      <c r="H86" s="163"/>
      <c r="I86" s="163"/>
      <c r="J86" s="163"/>
      <c r="K86" s="163"/>
      <c r="L86" s="163"/>
      <c r="M86" s="163"/>
      <c r="N86" s="163"/>
      <c r="O86" s="163"/>
      <c r="P86" s="163"/>
      <c r="Q86" s="163"/>
      <c r="R86" s="163"/>
      <c r="S86" s="163"/>
      <c r="T86" s="163"/>
      <c r="U86" s="163"/>
      <c r="V86" s="163"/>
      <c r="W86" s="163"/>
      <c r="X86" s="163"/>
      <c r="Y86" s="163"/>
      <c r="Z86" s="164"/>
    </row>
    <row r="87" spans="1:26" ht="66" customHeight="1" x14ac:dyDescent="0.15">
      <c r="B87" s="162"/>
      <c r="C87" s="71" t="s">
        <v>94</v>
      </c>
      <c r="D87" s="165" t="s">
        <v>125</v>
      </c>
      <c r="E87" s="166"/>
      <c r="F87" s="166"/>
      <c r="G87" s="166"/>
      <c r="H87" s="166"/>
      <c r="I87" s="166"/>
      <c r="J87" s="166"/>
      <c r="K87" s="166"/>
      <c r="L87" s="166"/>
      <c r="M87" s="166"/>
      <c r="N87" s="166"/>
      <c r="O87" s="166"/>
      <c r="P87" s="166"/>
      <c r="Q87" s="166"/>
      <c r="R87" s="166"/>
      <c r="S87" s="166"/>
      <c r="T87" s="166"/>
      <c r="U87" s="166"/>
      <c r="V87" s="166"/>
      <c r="W87" s="166"/>
      <c r="X87" s="166"/>
      <c r="Y87" s="166"/>
      <c r="Z87" s="167"/>
    </row>
    <row r="88" spans="1:26" ht="66" customHeight="1" x14ac:dyDescent="0.15">
      <c r="B88" s="156" t="s">
        <v>126</v>
      </c>
      <c r="C88" s="70" t="s">
        <v>96</v>
      </c>
      <c r="D88" s="158" t="s">
        <v>127</v>
      </c>
      <c r="E88" s="158"/>
      <c r="F88" s="158"/>
      <c r="G88" s="158"/>
      <c r="H88" s="158"/>
      <c r="I88" s="158"/>
      <c r="J88" s="158"/>
      <c r="K88" s="158"/>
      <c r="L88" s="158"/>
      <c r="M88" s="158"/>
      <c r="N88" s="158"/>
      <c r="O88" s="158"/>
      <c r="P88" s="158"/>
      <c r="Q88" s="158"/>
      <c r="R88" s="158"/>
      <c r="S88" s="158"/>
      <c r="T88" s="158"/>
      <c r="U88" s="158"/>
      <c r="V88" s="158"/>
      <c r="W88" s="158"/>
      <c r="X88" s="158"/>
      <c r="Y88" s="158"/>
      <c r="Z88" s="159"/>
    </row>
    <row r="89" spans="1:26" ht="66" customHeight="1" x14ac:dyDescent="0.15">
      <c r="B89" s="157"/>
      <c r="C89" s="71" t="s">
        <v>97</v>
      </c>
      <c r="D89" s="145" t="s">
        <v>128</v>
      </c>
      <c r="E89" s="146"/>
      <c r="F89" s="146"/>
      <c r="G89" s="146"/>
      <c r="H89" s="146"/>
      <c r="I89" s="146"/>
      <c r="J89" s="146"/>
      <c r="K89" s="146"/>
      <c r="L89" s="146"/>
      <c r="M89" s="146"/>
      <c r="N89" s="146"/>
      <c r="O89" s="146"/>
      <c r="P89" s="146"/>
      <c r="Q89" s="146"/>
      <c r="R89" s="146"/>
      <c r="S89" s="146"/>
      <c r="T89" s="146"/>
      <c r="U89" s="146"/>
      <c r="V89" s="146"/>
      <c r="W89" s="146"/>
      <c r="X89" s="146"/>
      <c r="Y89" s="146"/>
      <c r="Z89" s="147"/>
    </row>
    <row r="90" spans="1:26" ht="66" customHeight="1" x14ac:dyDescent="0.15">
      <c r="B90" s="155"/>
      <c r="C90" s="72" t="s">
        <v>98</v>
      </c>
      <c r="D90" s="160" t="s">
        <v>129</v>
      </c>
      <c r="E90" s="160"/>
      <c r="F90" s="160"/>
      <c r="G90" s="160"/>
      <c r="H90" s="160"/>
      <c r="I90" s="160"/>
      <c r="J90" s="160"/>
      <c r="K90" s="160"/>
      <c r="L90" s="160"/>
      <c r="M90" s="160"/>
      <c r="N90" s="160"/>
      <c r="O90" s="160"/>
      <c r="P90" s="160"/>
      <c r="Q90" s="160"/>
      <c r="R90" s="160"/>
      <c r="S90" s="160"/>
      <c r="T90" s="160"/>
      <c r="U90" s="160"/>
      <c r="V90" s="160"/>
      <c r="W90" s="160"/>
      <c r="X90" s="160"/>
      <c r="Y90" s="160"/>
      <c r="Z90" s="161"/>
    </row>
    <row r="91" spans="1:26" ht="6" customHeight="1" x14ac:dyDescent="0.15"/>
    <row r="92" spans="1:26" ht="18.75" customHeight="1" x14ac:dyDescent="0.15">
      <c r="A92" s="12" t="s">
        <v>130</v>
      </c>
    </row>
    <row r="93" spans="1:26" ht="18.75" customHeight="1" x14ac:dyDescent="0.15">
      <c r="B93" s="218" t="s">
        <v>131</v>
      </c>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20"/>
    </row>
    <row r="94" spans="1:26" ht="18.75" customHeight="1" x14ac:dyDescent="0.15">
      <c r="B94" s="221"/>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3"/>
    </row>
    <row r="95" spans="1:26" ht="18.75" customHeight="1" x14ac:dyDescent="0.15">
      <c r="B95" s="224"/>
      <c r="C95" s="160"/>
      <c r="D95" s="160"/>
      <c r="E95" s="160"/>
      <c r="F95" s="160"/>
      <c r="G95" s="160"/>
      <c r="H95" s="160"/>
      <c r="I95" s="160"/>
      <c r="J95" s="160"/>
      <c r="K95" s="160"/>
      <c r="L95" s="160"/>
      <c r="M95" s="160"/>
      <c r="N95" s="160"/>
      <c r="O95" s="160"/>
      <c r="P95" s="160"/>
      <c r="Q95" s="160"/>
      <c r="R95" s="160"/>
      <c r="S95" s="160"/>
      <c r="T95" s="160"/>
      <c r="U95" s="160"/>
      <c r="V95" s="160"/>
      <c r="W95" s="160"/>
      <c r="X95" s="160"/>
      <c r="Y95" s="160"/>
      <c r="Z95" s="161"/>
    </row>
    <row r="96" spans="1:26" ht="6" customHeight="1" x14ac:dyDescent="0.15"/>
    <row r="97" spans="1:26" ht="15" customHeight="1" x14ac:dyDescent="0.15">
      <c r="A97" s="12" t="s">
        <v>132</v>
      </c>
    </row>
    <row r="98" spans="1:26" ht="14.25" x14ac:dyDescent="0.15">
      <c r="B98" s="225" t="s">
        <v>133</v>
      </c>
      <c r="C98" s="226"/>
      <c r="D98" s="226"/>
      <c r="E98" s="226"/>
      <c r="F98" s="226"/>
      <c r="G98" s="226"/>
      <c r="H98" s="226"/>
      <c r="I98" s="226"/>
      <c r="J98" s="226"/>
      <c r="K98" s="226"/>
      <c r="L98" s="226"/>
      <c r="M98" s="226"/>
      <c r="N98" s="226"/>
      <c r="O98" s="226"/>
      <c r="P98" s="226"/>
      <c r="Q98" s="226"/>
      <c r="R98" s="226"/>
      <c r="S98" s="226"/>
      <c r="T98" s="226"/>
      <c r="U98" s="226"/>
      <c r="V98" s="226"/>
      <c r="W98" s="226"/>
      <c r="X98" s="226"/>
      <c r="Y98" s="226"/>
      <c r="Z98" s="227"/>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G60:G66 Y38:Z44 L49:M55 Y49:Z55 Y60:Z66 L60:M66 H16:H22 U16:U22 H27:H33 U27:U33 T60:T66 U38:U44 H38:H44 U49:U55 H49:H55 L38:M44 K60:K61" xr:uid="{4C0986EB-3601-4249-85F7-B678A400A117}">
      <formula1>"○"</formula1>
    </dataValidation>
    <dataValidation type="list" allowBlank="1" showInputMessage="1" showErrorMessage="1" sqref="Z23 Z34 D34:K34 D23:K23 V16:V22 I16:I22 V27:V33 I27:I33 V38:V44 I49:I55 V49:V55 I38:I44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Z98" r:id="rId1" display="https://www.hiroshima-cmt.ac.jp/release/ai.html" xr:uid="{867C2CD6-A71A-4CA3-A793-5E86AF0B9939}"/>
  </hyperlinks>
  <printOptions horizontalCentered="1"/>
  <pageMargins left="0.78740157480314965" right="0.78740157480314965" top="0.59055118110236227" bottom="0.19685039370078741" header="0.31496062992125984" footer="0.19685039370078741"/>
  <pageSetup paperSize="9" scale="99" fitToHeight="0"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6921-EE6D-4B54-9DF5-94B47FB56977}">
  <dimension ref="A1:Z98"/>
  <sheetViews>
    <sheetView showZeros="0" tabSelected="1" view="pageBreakPreview" topLeftCell="A4" zoomScale="40" zoomScaleNormal="100" zoomScaleSheetLayoutView="40" workbookViewId="0">
      <selection activeCell="G18" sqref="G18:J18"/>
    </sheetView>
  </sheetViews>
  <sheetFormatPr defaultColWidth="9" defaultRowHeight="18.7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228" t="s">
        <v>134</v>
      </c>
      <c r="X1" s="228"/>
      <c r="Y1" s="228"/>
      <c r="Z1" s="228"/>
    </row>
    <row r="2" spans="1:26" ht="18" customHeight="1" x14ac:dyDescent="0.15">
      <c r="A2" s="189" t="s">
        <v>69</v>
      </c>
      <c r="B2" s="189"/>
      <c r="C2" s="189"/>
      <c r="D2" s="189"/>
      <c r="E2" s="189"/>
      <c r="F2" s="189"/>
      <c r="G2" s="189"/>
      <c r="H2" s="189"/>
      <c r="I2" s="189"/>
      <c r="J2" s="189"/>
      <c r="K2" s="189"/>
      <c r="L2" s="189"/>
      <c r="M2" s="189"/>
      <c r="N2" s="189"/>
      <c r="O2" s="189"/>
      <c r="P2" s="189"/>
      <c r="Q2" s="189"/>
      <c r="R2" s="189"/>
      <c r="S2" s="189"/>
      <c r="T2" s="189"/>
      <c r="U2" s="189"/>
      <c r="V2" s="189"/>
      <c r="W2" s="189"/>
      <c r="X2" s="189"/>
      <c r="Y2" s="189"/>
      <c r="Z2" s="189"/>
    </row>
    <row r="3" spans="1:26" ht="15" customHeight="1" x14ac:dyDescent="0.15">
      <c r="B3" s="24"/>
      <c r="C3" s="24"/>
      <c r="D3" s="24"/>
      <c r="E3" s="24"/>
      <c r="F3" s="24"/>
      <c r="G3" s="24"/>
      <c r="H3" s="24"/>
      <c r="I3" s="24"/>
      <c r="J3" s="24"/>
      <c r="K3" s="24"/>
      <c r="L3" s="24"/>
      <c r="M3" s="24"/>
      <c r="N3" s="24"/>
      <c r="O3" s="24"/>
      <c r="P3" s="24"/>
      <c r="Q3" s="24"/>
      <c r="R3" s="24"/>
      <c r="S3" s="24"/>
      <c r="T3" s="24"/>
      <c r="U3" s="24"/>
      <c r="V3" s="24"/>
      <c r="W3" s="24"/>
      <c r="X3" s="24"/>
      <c r="Y3" s="24"/>
      <c r="Z3" s="24"/>
    </row>
    <row r="4" spans="1:26" ht="18" customHeight="1" x14ac:dyDescent="0.15">
      <c r="A4" s="12" t="s">
        <v>70</v>
      </c>
      <c r="B4" s="24"/>
      <c r="C4" s="24"/>
      <c r="D4" s="24"/>
      <c r="E4" s="24"/>
      <c r="F4" s="24"/>
      <c r="G4" s="24"/>
      <c r="H4" s="13" t="s">
        <v>71</v>
      </c>
      <c r="I4" s="24"/>
      <c r="J4" s="24"/>
      <c r="K4" s="24"/>
      <c r="L4" s="24"/>
      <c r="M4" s="24"/>
      <c r="N4" s="24"/>
      <c r="O4" s="132" t="s">
        <v>72</v>
      </c>
      <c r="P4" s="134"/>
      <c r="Q4" s="134"/>
      <c r="R4" s="134"/>
      <c r="S4" s="134"/>
      <c r="T4" s="134"/>
      <c r="U4" s="134"/>
      <c r="V4" s="134"/>
      <c r="W4" s="134"/>
      <c r="X4" s="134"/>
      <c r="Y4" s="134"/>
      <c r="Z4" s="133"/>
    </row>
    <row r="5" spans="1:26" ht="6" customHeight="1" x14ac:dyDescent="0.15">
      <c r="B5" s="24"/>
      <c r="C5" s="24"/>
      <c r="D5" s="24"/>
      <c r="E5" s="24"/>
      <c r="F5" s="24"/>
      <c r="G5" s="24"/>
      <c r="H5" s="24"/>
      <c r="I5" s="24"/>
      <c r="J5" s="24"/>
      <c r="K5" s="24"/>
      <c r="L5" s="24"/>
      <c r="M5" s="24"/>
      <c r="N5" s="24"/>
      <c r="O5" s="14"/>
      <c r="P5" s="24"/>
      <c r="Q5" s="24"/>
      <c r="R5" s="24"/>
      <c r="S5" s="24"/>
      <c r="T5" s="24"/>
      <c r="U5" s="24"/>
      <c r="V5" s="24"/>
      <c r="W5" s="24"/>
      <c r="X5" s="24"/>
      <c r="Y5" s="24"/>
      <c r="Z5" s="24"/>
    </row>
    <row r="6" spans="1:26" ht="18" customHeight="1" x14ac:dyDescent="0.15">
      <c r="B6" s="190" t="s">
        <v>135</v>
      </c>
      <c r="C6" s="191"/>
      <c r="D6" s="191"/>
      <c r="E6" s="191"/>
      <c r="F6" s="191"/>
      <c r="G6" s="191"/>
      <c r="H6" s="191"/>
      <c r="I6" s="191"/>
      <c r="J6" s="191"/>
      <c r="K6" s="191"/>
      <c r="L6" s="191"/>
      <c r="M6" s="191"/>
      <c r="N6" s="191"/>
      <c r="O6" s="191"/>
      <c r="P6" s="191"/>
      <c r="Q6" s="191"/>
      <c r="R6" s="191"/>
      <c r="S6" s="191"/>
      <c r="T6" s="191"/>
      <c r="U6" s="191"/>
      <c r="V6" s="191"/>
      <c r="W6" s="191"/>
      <c r="X6" s="191"/>
      <c r="Y6" s="191"/>
      <c r="Z6" s="192"/>
    </row>
    <row r="7" spans="1:26" ht="18" customHeight="1" x14ac:dyDescent="0.15">
      <c r="B7" s="193"/>
      <c r="C7" s="194"/>
      <c r="D7" s="194"/>
      <c r="E7" s="194"/>
      <c r="F7" s="194"/>
      <c r="G7" s="194"/>
      <c r="H7" s="194"/>
      <c r="I7" s="194"/>
      <c r="J7" s="194"/>
      <c r="K7" s="194"/>
      <c r="L7" s="194"/>
      <c r="M7" s="194"/>
      <c r="N7" s="194"/>
      <c r="O7" s="194"/>
      <c r="P7" s="194"/>
      <c r="Q7" s="194"/>
      <c r="R7" s="194"/>
      <c r="S7" s="194"/>
      <c r="T7" s="194"/>
      <c r="U7" s="194"/>
      <c r="V7" s="194"/>
      <c r="W7" s="194"/>
      <c r="X7" s="194"/>
      <c r="Y7" s="194"/>
      <c r="Z7" s="195"/>
    </row>
    <row r="8" spans="1:26" ht="18" customHeight="1" x14ac:dyDescent="0.15">
      <c r="B8" s="193"/>
      <c r="C8" s="194"/>
      <c r="D8" s="194"/>
      <c r="E8" s="194"/>
      <c r="F8" s="194"/>
      <c r="G8" s="194"/>
      <c r="H8" s="194"/>
      <c r="I8" s="194"/>
      <c r="J8" s="194"/>
      <c r="K8" s="194"/>
      <c r="L8" s="194"/>
      <c r="M8" s="194"/>
      <c r="N8" s="194"/>
      <c r="O8" s="194"/>
      <c r="P8" s="194"/>
      <c r="Q8" s="194"/>
      <c r="R8" s="194"/>
      <c r="S8" s="194"/>
      <c r="T8" s="194"/>
      <c r="U8" s="194"/>
      <c r="V8" s="194"/>
      <c r="W8" s="194"/>
      <c r="X8" s="194"/>
      <c r="Y8" s="194"/>
      <c r="Z8" s="195"/>
    </row>
    <row r="9" spans="1:26" ht="18" customHeight="1" x14ac:dyDescent="0.15">
      <c r="B9" s="193"/>
      <c r="C9" s="194"/>
      <c r="D9" s="194"/>
      <c r="E9" s="194"/>
      <c r="F9" s="194"/>
      <c r="G9" s="194"/>
      <c r="H9" s="194"/>
      <c r="I9" s="194"/>
      <c r="J9" s="194"/>
      <c r="K9" s="194"/>
      <c r="L9" s="194"/>
      <c r="M9" s="194"/>
      <c r="N9" s="194"/>
      <c r="O9" s="194"/>
      <c r="P9" s="194"/>
      <c r="Q9" s="194"/>
      <c r="R9" s="194"/>
      <c r="S9" s="194"/>
      <c r="T9" s="194"/>
      <c r="U9" s="194"/>
      <c r="V9" s="194"/>
      <c r="W9" s="194"/>
      <c r="X9" s="194"/>
      <c r="Y9" s="194"/>
      <c r="Z9" s="195"/>
    </row>
    <row r="10" spans="1:26" ht="18" customHeight="1" x14ac:dyDescent="0.15">
      <c r="B10" s="193"/>
      <c r="C10" s="194"/>
      <c r="D10" s="194"/>
      <c r="E10" s="194"/>
      <c r="F10" s="194"/>
      <c r="G10" s="194"/>
      <c r="H10" s="194"/>
      <c r="I10" s="194"/>
      <c r="J10" s="194"/>
      <c r="K10" s="194"/>
      <c r="L10" s="194"/>
      <c r="M10" s="194"/>
      <c r="N10" s="194"/>
      <c r="O10" s="194"/>
      <c r="P10" s="194"/>
      <c r="Q10" s="194"/>
      <c r="R10" s="194"/>
      <c r="S10" s="194"/>
      <c r="T10" s="194"/>
      <c r="U10" s="194"/>
      <c r="V10" s="194"/>
      <c r="W10" s="194"/>
      <c r="X10" s="194"/>
      <c r="Y10" s="194"/>
      <c r="Z10" s="195"/>
    </row>
    <row r="11" spans="1:26" ht="18" customHeight="1" x14ac:dyDescent="0.15">
      <c r="B11" s="196"/>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8"/>
    </row>
    <row r="12" spans="1:26" ht="7.5" customHeight="1" x14ac:dyDescent="0.15">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8" customHeight="1" x14ac:dyDescent="0.15">
      <c r="A13" s="185" t="s">
        <v>74</v>
      </c>
      <c r="B13" s="185"/>
      <c r="C13" s="185"/>
      <c r="D13" s="185"/>
      <c r="E13" s="185"/>
      <c r="F13" s="185"/>
      <c r="G13" s="185"/>
      <c r="H13" s="185"/>
      <c r="I13" s="185"/>
      <c r="J13" s="185"/>
      <c r="K13" s="185"/>
      <c r="L13" s="185"/>
      <c r="M13" s="185"/>
      <c r="N13" s="185"/>
      <c r="O13" s="185"/>
      <c r="P13" s="185"/>
      <c r="Q13" s="185"/>
      <c r="R13" s="185"/>
      <c r="S13" s="185"/>
      <c r="T13" s="185"/>
      <c r="U13" s="185"/>
      <c r="V13" s="185"/>
      <c r="W13" s="185"/>
      <c r="X13" s="185"/>
      <c r="Y13" s="185"/>
      <c r="Z13" s="185"/>
    </row>
    <row r="14" spans="1:26" ht="18" customHeight="1" x14ac:dyDescent="0.15">
      <c r="A14" s="185"/>
      <c r="B14" s="185"/>
      <c r="C14" s="185"/>
      <c r="D14" s="185"/>
      <c r="E14" s="185"/>
      <c r="F14" s="185"/>
      <c r="G14" s="185"/>
      <c r="H14" s="185"/>
      <c r="I14" s="185"/>
      <c r="J14" s="185"/>
      <c r="K14" s="185"/>
      <c r="L14" s="185"/>
      <c r="M14" s="185"/>
      <c r="N14" s="185"/>
      <c r="O14" s="185"/>
      <c r="P14" s="185"/>
      <c r="Q14" s="185"/>
      <c r="R14" s="185"/>
      <c r="S14" s="185"/>
      <c r="T14" s="185"/>
      <c r="U14" s="185"/>
      <c r="V14" s="185"/>
      <c r="W14" s="185"/>
      <c r="X14" s="185"/>
      <c r="Y14" s="185"/>
      <c r="Z14" s="185"/>
    </row>
    <row r="15" spans="1:26" ht="18" customHeight="1" x14ac:dyDescent="0.15">
      <c r="A15" s="13"/>
      <c r="B15" s="132" t="s">
        <v>75</v>
      </c>
      <c r="C15" s="134"/>
      <c r="D15" s="134"/>
      <c r="E15" s="134"/>
      <c r="F15" s="133"/>
      <c r="G15" s="25" t="s">
        <v>76</v>
      </c>
      <c r="H15" s="96" t="s">
        <v>77</v>
      </c>
      <c r="I15" s="134" t="s">
        <v>78</v>
      </c>
      <c r="J15" s="134"/>
      <c r="K15" s="134"/>
      <c r="L15" s="66" t="s">
        <v>79</v>
      </c>
      <c r="M15" s="66" t="s">
        <v>80</v>
      </c>
      <c r="N15" s="132" t="s">
        <v>75</v>
      </c>
      <c r="O15" s="134"/>
      <c r="P15" s="134"/>
      <c r="Q15" s="134"/>
      <c r="R15" s="134"/>
      <c r="S15" s="133"/>
      <c r="T15" s="25" t="s">
        <v>76</v>
      </c>
      <c r="U15" s="96" t="s">
        <v>77</v>
      </c>
      <c r="V15" s="134" t="s">
        <v>78</v>
      </c>
      <c r="W15" s="134"/>
      <c r="X15" s="134"/>
      <c r="Y15" s="66" t="s">
        <v>79</v>
      </c>
      <c r="Z15" s="66" t="s">
        <v>80</v>
      </c>
    </row>
    <row r="16" spans="1:26" ht="18" customHeight="1" x14ac:dyDescent="0.15">
      <c r="A16" s="13"/>
      <c r="B16" s="244" t="s">
        <v>136</v>
      </c>
      <c r="C16" s="245"/>
      <c r="D16" s="245"/>
      <c r="E16" s="245"/>
      <c r="F16" s="246"/>
      <c r="G16" s="97">
        <v>1</v>
      </c>
      <c r="H16" s="97" t="s">
        <v>82</v>
      </c>
      <c r="I16" s="170" t="s">
        <v>83</v>
      </c>
      <c r="J16" s="171"/>
      <c r="K16" s="172"/>
      <c r="L16" s="97" t="s">
        <v>82</v>
      </c>
      <c r="M16" s="97" t="s">
        <v>82</v>
      </c>
      <c r="N16" s="139"/>
      <c r="O16" s="140"/>
      <c r="P16" s="140"/>
      <c r="Q16" s="140"/>
      <c r="R16" s="140"/>
      <c r="S16" s="141"/>
      <c r="T16" s="97"/>
      <c r="U16" s="97"/>
      <c r="V16" s="170"/>
      <c r="W16" s="171"/>
      <c r="X16" s="172"/>
      <c r="Y16" s="97"/>
      <c r="Z16" s="97"/>
    </row>
    <row r="17" spans="1:26" ht="18" customHeight="1" x14ac:dyDescent="0.15">
      <c r="A17" s="13"/>
      <c r="B17" s="247"/>
      <c r="C17" s="248"/>
      <c r="D17" s="248"/>
      <c r="E17" s="248"/>
      <c r="F17" s="249"/>
      <c r="G17" s="98"/>
      <c r="H17" s="98"/>
      <c r="I17" s="173"/>
      <c r="J17" s="174"/>
      <c r="K17" s="175"/>
      <c r="L17" s="98"/>
      <c r="M17" s="98"/>
      <c r="N17" s="148"/>
      <c r="O17" s="149"/>
      <c r="P17" s="149"/>
      <c r="Q17" s="149"/>
      <c r="R17" s="149"/>
      <c r="S17" s="150"/>
      <c r="T17" s="98"/>
      <c r="U17" s="98"/>
      <c r="V17" s="173"/>
      <c r="W17" s="174"/>
      <c r="X17" s="175"/>
      <c r="Y17" s="98"/>
      <c r="Z17" s="98"/>
    </row>
    <row r="18" spans="1:26" ht="18" customHeight="1" x14ac:dyDescent="0.15">
      <c r="A18" s="13"/>
      <c r="B18" s="179"/>
      <c r="C18" s="180"/>
      <c r="D18" s="180"/>
      <c r="E18" s="180"/>
      <c r="F18" s="181"/>
      <c r="G18" s="98"/>
      <c r="H18" s="98"/>
      <c r="I18" s="173"/>
      <c r="J18" s="174"/>
      <c r="K18" s="175"/>
      <c r="L18" s="98"/>
      <c r="M18" s="98"/>
      <c r="N18" s="148"/>
      <c r="O18" s="149"/>
      <c r="P18" s="149"/>
      <c r="Q18" s="149"/>
      <c r="R18" s="149"/>
      <c r="S18" s="150"/>
      <c r="T18" s="98"/>
      <c r="U18" s="98"/>
      <c r="V18" s="173"/>
      <c r="W18" s="174"/>
      <c r="X18" s="175"/>
      <c r="Y18" s="98"/>
      <c r="Z18" s="98"/>
    </row>
    <row r="19" spans="1:26" ht="18" customHeight="1" x14ac:dyDescent="0.15">
      <c r="A19" s="13"/>
      <c r="B19" s="179"/>
      <c r="C19" s="180"/>
      <c r="D19" s="180"/>
      <c r="E19" s="180"/>
      <c r="F19" s="181"/>
      <c r="G19" s="98"/>
      <c r="H19" s="98"/>
      <c r="I19" s="173"/>
      <c r="J19" s="174"/>
      <c r="K19" s="175"/>
      <c r="L19" s="98"/>
      <c r="M19" s="98"/>
      <c r="N19" s="148"/>
      <c r="O19" s="149"/>
      <c r="P19" s="149"/>
      <c r="Q19" s="149"/>
      <c r="R19" s="149"/>
      <c r="S19" s="150"/>
      <c r="T19" s="98"/>
      <c r="U19" s="98"/>
      <c r="V19" s="173"/>
      <c r="W19" s="174"/>
      <c r="X19" s="175"/>
      <c r="Y19" s="98"/>
      <c r="Z19" s="98"/>
    </row>
    <row r="20" spans="1:26" ht="18" customHeight="1" x14ac:dyDescent="0.15">
      <c r="A20" s="13"/>
      <c r="B20" s="179"/>
      <c r="C20" s="180"/>
      <c r="D20" s="180"/>
      <c r="E20" s="180"/>
      <c r="F20" s="181"/>
      <c r="G20" s="98"/>
      <c r="H20" s="98"/>
      <c r="I20" s="173"/>
      <c r="J20" s="174"/>
      <c r="K20" s="175"/>
      <c r="L20" s="98"/>
      <c r="M20" s="98"/>
      <c r="N20" s="148"/>
      <c r="O20" s="149"/>
      <c r="P20" s="149"/>
      <c r="Q20" s="149"/>
      <c r="R20" s="149"/>
      <c r="S20" s="150"/>
      <c r="T20" s="98"/>
      <c r="U20" s="98"/>
      <c r="V20" s="173"/>
      <c r="W20" s="174"/>
      <c r="X20" s="175"/>
      <c r="Y20" s="98"/>
      <c r="Z20" s="98"/>
    </row>
    <row r="21" spans="1:26" ht="18" customHeight="1" x14ac:dyDescent="0.15">
      <c r="A21" s="24"/>
      <c r="B21" s="179"/>
      <c r="C21" s="180"/>
      <c r="D21" s="180"/>
      <c r="E21" s="180"/>
      <c r="F21" s="181"/>
      <c r="G21" s="98"/>
      <c r="H21" s="98"/>
      <c r="I21" s="173"/>
      <c r="J21" s="174"/>
      <c r="K21" s="175"/>
      <c r="L21" s="98"/>
      <c r="M21" s="98"/>
      <c r="N21" s="148"/>
      <c r="O21" s="149"/>
      <c r="P21" s="149"/>
      <c r="Q21" s="149"/>
      <c r="R21" s="149"/>
      <c r="S21" s="150"/>
      <c r="T21" s="98"/>
      <c r="U21" s="98"/>
      <c r="V21" s="173"/>
      <c r="W21" s="174"/>
      <c r="X21" s="175"/>
      <c r="Y21" s="98"/>
      <c r="Z21" s="98"/>
    </row>
    <row r="22" spans="1:26" ht="18" customHeight="1" x14ac:dyDescent="0.15">
      <c r="A22" s="24"/>
      <c r="B22" s="186"/>
      <c r="C22" s="187"/>
      <c r="D22" s="187"/>
      <c r="E22" s="187"/>
      <c r="F22" s="188"/>
      <c r="G22" s="99"/>
      <c r="H22" s="99"/>
      <c r="I22" s="182"/>
      <c r="J22" s="183"/>
      <c r="K22" s="184"/>
      <c r="L22" s="104"/>
      <c r="M22" s="104"/>
      <c r="N22" s="209"/>
      <c r="O22" s="210"/>
      <c r="P22" s="210"/>
      <c r="Q22" s="210"/>
      <c r="R22" s="210"/>
      <c r="S22" s="211"/>
      <c r="T22" s="99"/>
      <c r="U22" s="99"/>
      <c r="V22" s="182"/>
      <c r="W22" s="183"/>
      <c r="X22" s="184"/>
      <c r="Y22" s="104"/>
      <c r="Z22" s="104"/>
    </row>
    <row r="23" spans="1:26" ht="7.5" customHeight="1" x14ac:dyDescent="0.15">
      <c r="A23" s="24"/>
      <c r="B23" s="30"/>
      <c r="C23" s="30"/>
      <c r="D23" s="24"/>
      <c r="E23" s="24"/>
      <c r="F23" s="24"/>
      <c r="G23" s="24"/>
      <c r="H23" s="24"/>
      <c r="I23" s="24"/>
      <c r="J23" s="24"/>
      <c r="K23" s="24"/>
      <c r="L23" s="30"/>
      <c r="M23" s="30"/>
      <c r="N23" s="30"/>
      <c r="O23" s="30"/>
      <c r="P23" s="30"/>
      <c r="Q23" s="30"/>
      <c r="R23" s="30"/>
      <c r="S23" s="30"/>
      <c r="T23" s="30"/>
      <c r="U23" s="30"/>
      <c r="V23" s="30"/>
      <c r="W23" s="30"/>
      <c r="X23" s="30"/>
      <c r="Y23" s="30"/>
      <c r="Z23" s="24"/>
    </row>
    <row r="24" spans="1:26" ht="18" customHeight="1" x14ac:dyDescent="0.15">
      <c r="A24" s="185" t="s">
        <v>84</v>
      </c>
      <c r="B24" s="185"/>
      <c r="C24" s="185"/>
      <c r="D24" s="185"/>
      <c r="E24" s="185"/>
      <c r="F24" s="185"/>
      <c r="G24" s="185"/>
      <c r="H24" s="185"/>
      <c r="I24" s="185"/>
      <c r="J24" s="185"/>
      <c r="K24" s="185"/>
      <c r="L24" s="185"/>
      <c r="M24" s="185"/>
      <c r="N24" s="185"/>
      <c r="O24" s="185"/>
      <c r="P24" s="185"/>
      <c r="Q24" s="185"/>
      <c r="R24" s="185"/>
      <c r="S24" s="185"/>
      <c r="T24" s="185"/>
      <c r="U24" s="185"/>
      <c r="V24" s="185"/>
      <c r="W24" s="185"/>
      <c r="X24" s="185"/>
      <c r="Y24" s="185"/>
      <c r="Z24" s="185"/>
    </row>
    <row r="25" spans="1:26" ht="18" customHeight="1" x14ac:dyDescent="0.15">
      <c r="A25" s="185"/>
      <c r="B25" s="185"/>
      <c r="C25" s="185"/>
      <c r="D25" s="185"/>
      <c r="E25" s="185"/>
      <c r="F25" s="185"/>
      <c r="G25" s="185"/>
      <c r="H25" s="185"/>
      <c r="I25" s="185"/>
      <c r="J25" s="185"/>
      <c r="K25" s="185"/>
      <c r="L25" s="185"/>
      <c r="M25" s="185"/>
      <c r="N25" s="185"/>
      <c r="O25" s="185"/>
      <c r="P25" s="185"/>
      <c r="Q25" s="185"/>
      <c r="R25" s="185"/>
      <c r="S25" s="185"/>
      <c r="T25" s="185"/>
      <c r="U25" s="185"/>
      <c r="V25" s="185"/>
      <c r="W25" s="185"/>
      <c r="X25" s="185"/>
      <c r="Y25" s="185"/>
      <c r="Z25" s="185"/>
    </row>
    <row r="26" spans="1:26" ht="18" customHeight="1" x14ac:dyDescent="0.15">
      <c r="A26" s="13"/>
      <c r="B26" s="132" t="s">
        <v>75</v>
      </c>
      <c r="C26" s="134"/>
      <c r="D26" s="134"/>
      <c r="E26" s="134"/>
      <c r="F26" s="133"/>
      <c r="G26" s="25" t="s">
        <v>76</v>
      </c>
      <c r="H26" s="96" t="s">
        <v>77</v>
      </c>
      <c r="I26" s="134" t="s">
        <v>78</v>
      </c>
      <c r="J26" s="134"/>
      <c r="K26" s="134"/>
      <c r="L26" s="66" t="s">
        <v>85</v>
      </c>
      <c r="M26" s="66" t="s">
        <v>86</v>
      </c>
      <c r="N26" s="132" t="s">
        <v>75</v>
      </c>
      <c r="O26" s="134"/>
      <c r="P26" s="134"/>
      <c r="Q26" s="134"/>
      <c r="R26" s="134"/>
      <c r="S26" s="133"/>
      <c r="T26" s="25" t="s">
        <v>76</v>
      </c>
      <c r="U26" s="96" t="s">
        <v>77</v>
      </c>
      <c r="V26" s="134" t="s">
        <v>78</v>
      </c>
      <c r="W26" s="134"/>
      <c r="X26" s="134"/>
      <c r="Y26" s="66" t="s">
        <v>85</v>
      </c>
      <c r="Z26" s="66" t="s">
        <v>86</v>
      </c>
    </row>
    <row r="27" spans="1:26" ht="18" customHeight="1" x14ac:dyDescent="0.15">
      <c r="A27" s="13"/>
      <c r="B27" s="244" t="s">
        <v>136</v>
      </c>
      <c r="C27" s="245"/>
      <c r="D27" s="245"/>
      <c r="E27" s="245"/>
      <c r="F27" s="246"/>
      <c r="G27" s="98">
        <v>1</v>
      </c>
      <c r="H27" s="98" t="s">
        <v>82</v>
      </c>
      <c r="I27" s="173" t="s">
        <v>83</v>
      </c>
      <c r="J27" s="174"/>
      <c r="K27" s="175"/>
      <c r="L27" s="97" t="s">
        <v>82</v>
      </c>
      <c r="M27" s="97" t="s">
        <v>82</v>
      </c>
      <c r="N27" s="139"/>
      <c r="O27" s="140"/>
      <c r="P27" s="140"/>
      <c r="Q27" s="140"/>
      <c r="R27" s="140"/>
      <c r="S27" s="141"/>
      <c r="T27" s="97"/>
      <c r="U27" s="97"/>
      <c r="V27" s="170"/>
      <c r="W27" s="171"/>
      <c r="X27" s="172"/>
      <c r="Y27" s="97"/>
      <c r="Z27" s="97"/>
    </row>
    <row r="28" spans="1:26" ht="18" customHeight="1" x14ac:dyDescent="0.15">
      <c r="A28" s="13"/>
      <c r="B28" s="179"/>
      <c r="C28" s="180"/>
      <c r="D28" s="180"/>
      <c r="E28" s="180"/>
      <c r="F28" s="181"/>
      <c r="G28" s="98"/>
      <c r="H28" s="98"/>
      <c r="I28" s="173"/>
      <c r="J28" s="174"/>
      <c r="K28" s="175"/>
      <c r="L28" s="98"/>
      <c r="M28" s="98"/>
      <c r="N28" s="148"/>
      <c r="O28" s="149"/>
      <c r="P28" s="149"/>
      <c r="Q28" s="149"/>
      <c r="R28" s="149"/>
      <c r="S28" s="150"/>
      <c r="T28" s="98"/>
      <c r="U28" s="98"/>
      <c r="V28" s="173"/>
      <c r="W28" s="174"/>
      <c r="X28" s="175"/>
      <c r="Y28" s="98"/>
      <c r="Z28" s="98"/>
    </row>
    <row r="29" spans="1:26" ht="18" customHeight="1" x14ac:dyDescent="0.15">
      <c r="A29" s="13"/>
      <c r="B29" s="179"/>
      <c r="C29" s="180"/>
      <c r="D29" s="180"/>
      <c r="E29" s="180"/>
      <c r="F29" s="181"/>
      <c r="G29" s="98"/>
      <c r="H29" s="98"/>
      <c r="I29" s="173"/>
      <c r="J29" s="174"/>
      <c r="K29" s="175"/>
      <c r="L29" s="98"/>
      <c r="M29" s="98"/>
      <c r="N29" s="148"/>
      <c r="O29" s="149"/>
      <c r="P29" s="149"/>
      <c r="Q29" s="149"/>
      <c r="R29" s="149"/>
      <c r="S29" s="150"/>
      <c r="T29" s="98"/>
      <c r="U29" s="98"/>
      <c r="V29" s="173"/>
      <c r="W29" s="174"/>
      <c r="X29" s="175"/>
      <c r="Y29" s="98"/>
      <c r="Z29" s="98"/>
    </row>
    <row r="30" spans="1:26" ht="18" customHeight="1" x14ac:dyDescent="0.15">
      <c r="A30" s="13"/>
      <c r="B30" s="179"/>
      <c r="C30" s="180"/>
      <c r="D30" s="180"/>
      <c r="E30" s="180"/>
      <c r="F30" s="181"/>
      <c r="G30" s="98"/>
      <c r="H30" s="98"/>
      <c r="I30" s="173"/>
      <c r="J30" s="174"/>
      <c r="K30" s="175"/>
      <c r="L30" s="98"/>
      <c r="M30" s="98"/>
      <c r="N30" s="148"/>
      <c r="O30" s="149"/>
      <c r="P30" s="149"/>
      <c r="Q30" s="149"/>
      <c r="R30" s="149"/>
      <c r="S30" s="150"/>
      <c r="T30" s="98"/>
      <c r="U30" s="98"/>
      <c r="V30" s="173"/>
      <c r="W30" s="174"/>
      <c r="X30" s="175"/>
      <c r="Y30" s="98"/>
      <c r="Z30" s="98"/>
    </row>
    <row r="31" spans="1:26" ht="18" customHeight="1" x14ac:dyDescent="0.15">
      <c r="A31" s="13"/>
      <c r="B31" s="179"/>
      <c r="C31" s="180"/>
      <c r="D31" s="180"/>
      <c r="E31" s="180"/>
      <c r="F31" s="181"/>
      <c r="G31" s="98"/>
      <c r="H31" s="98"/>
      <c r="I31" s="173"/>
      <c r="J31" s="174"/>
      <c r="K31" s="175"/>
      <c r="L31" s="98"/>
      <c r="M31" s="98"/>
      <c r="N31" s="148"/>
      <c r="O31" s="149"/>
      <c r="P31" s="149"/>
      <c r="Q31" s="149"/>
      <c r="R31" s="149"/>
      <c r="S31" s="150"/>
      <c r="T31" s="98"/>
      <c r="U31" s="98"/>
      <c r="V31" s="173"/>
      <c r="W31" s="174"/>
      <c r="X31" s="175"/>
      <c r="Y31" s="98"/>
      <c r="Z31" s="98"/>
    </row>
    <row r="32" spans="1:26" ht="18" customHeight="1" x14ac:dyDescent="0.15">
      <c r="A32" s="13"/>
      <c r="B32" s="179"/>
      <c r="C32" s="180"/>
      <c r="D32" s="180"/>
      <c r="E32" s="180"/>
      <c r="F32" s="181"/>
      <c r="G32" s="98"/>
      <c r="H32" s="98"/>
      <c r="I32" s="173"/>
      <c r="J32" s="174"/>
      <c r="K32" s="175"/>
      <c r="L32" s="98"/>
      <c r="M32" s="98"/>
      <c r="N32" s="148"/>
      <c r="O32" s="149"/>
      <c r="P32" s="149"/>
      <c r="Q32" s="149"/>
      <c r="R32" s="149"/>
      <c r="S32" s="150"/>
      <c r="T32" s="98"/>
      <c r="U32" s="98"/>
      <c r="V32" s="173"/>
      <c r="W32" s="174"/>
      <c r="X32" s="175"/>
      <c r="Y32" s="98"/>
      <c r="Z32" s="98"/>
    </row>
    <row r="33" spans="1:26" ht="18" customHeight="1" x14ac:dyDescent="0.15">
      <c r="A33" s="13"/>
      <c r="B33" s="186"/>
      <c r="C33" s="187"/>
      <c r="D33" s="187"/>
      <c r="E33" s="187"/>
      <c r="F33" s="188"/>
      <c r="G33" s="99"/>
      <c r="H33" s="99"/>
      <c r="I33" s="182"/>
      <c r="J33" s="183"/>
      <c r="K33" s="184"/>
      <c r="L33" s="104"/>
      <c r="M33" s="104"/>
      <c r="N33" s="209"/>
      <c r="O33" s="210"/>
      <c r="P33" s="210"/>
      <c r="Q33" s="210"/>
      <c r="R33" s="210"/>
      <c r="S33" s="211"/>
      <c r="T33" s="99"/>
      <c r="U33" s="99"/>
      <c r="V33" s="182"/>
      <c r="W33" s="183"/>
      <c r="X33" s="184"/>
      <c r="Y33" s="104"/>
      <c r="Z33" s="104"/>
    </row>
    <row r="34" spans="1:26" ht="7.5" customHeight="1" x14ac:dyDescent="0.15">
      <c r="A34" s="24"/>
      <c r="B34" s="30"/>
      <c r="C34" s="30"/>
      <c r="D34" s="24"/>
      <c r="E34" s="24"/>
      <c r="F34" s="24"/>
      <c r="G34" s="24"/>
      <c r="H34" s="24"/>
      <c r="I34" s="24"/>
      <c r="J34" s="24"/>
      <c r="K34" s="24"/>
      <c r="L34" s="30"/>
      <c r="M34" s="30"/>
      <c r="N34" s="30"/>
      <c r="O34" s="30"/>
      <c r="P34" s="30"/>
      <c r="Q34" s="30"/>
      <c r="R34" s="30"/>
      <c r="S34" s="30"/>
      <c r="T34" s="30"/>
      <c r="U34" s="30"/>
      <c r="V34" s="30"/>
      <c r="W34" s="30"/>
      <c r="X34" s="30"/>
      <c r="Y34" s="30"/>
      <c r="Z34" s="24"/>
    </row>
    <row r="35" spans="1:26" ht="18" customHeight="1" x14ac:dyDescent="0.15">
      <c r="A35" s="185" t="s">
        <v>89</v>
      </c>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row>
    <row r="36" spans="1:26" ht="18" customHeight="1" x14ac:dyDescent="0.15">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c r="Y36" s="185"/>
      <c r="Z36" s="185"/>
    </row>
    <row r="37" spans="1:26" ht="18" customHeight="1" x14ac:dyDescent="0.15">
      <c r="A37" s="13"/>
      <c r="B37" s="132" t="s">
        <v>75</v>
      </c>
      <c r="C37" s="134"/>
      <c r="D37" s="134"/>
      <c r="E37" s="134"/>
      <c r="F37" s="133"/>
      <c r="G37" s="25" t="s">
        <v>76</v>
      </c>
      <c r="H37" s="96" t="s">
        <v>77</v>
      </c>
      <c r="I37" s="132" t="s">
        <v>78</v>
      </c>
      <c r="J37" s="134"/>
      <c r="K37" s="133"/>
      <c r="L37" s="66" t="s">
        <v>90</v>
      </c>
      <c r="M37" s="66" t="s">
        <v>91</v>
      </c>
      <c r="N37" s="132" t="s">
        <v>75</v>
      </c>
      <c r="O37" s="134"/>
      <c r="P37" s="134"/>
      <c r="Q37" s="134"/>
      <c r="R37" s="134"/>
      <c r="S37" s="133"/>
      <c r="T37" s="25" t="s">
        <v>76</v>
      </c>
      <c r="U37" s="96" t="s">
        <v>77</v>
      </c>
      <c r="V37" s="132" t="s">
        <v>78</v>
      </c>
      <c r="W37" s="134"/>
      <c r="X37" s="133"/>
      <c r="Y37" s="66" t="s">
        <v>90</v>
      </c>
      <c r="Z37" s="66" t="s">
        <v>91</v>
      </c>
    </row>
    <row r="38" spans="1:26" ht="18" customHeight="1" x14ac:dyDescent="0.15">
      <c r="A38" s="24"/>
      <c r="B38" s="244" t="s">
        <v>136</v>
      </c>
      <c r="C38" s="245"/>
      <c r="D38" s="245"/>
      <c r="E38" s="245"/>
      <c r="F38" s="246"/>
      <c r="G38" s="98">
        <v>1</v>
      </c>
      <c r="H38" s="98" t="s">
        <v>82</v>
      </c>
      <c r="I38" s="173" t="s">
        <v>83</v>
      </c>
      <c r="J38" s="174"/>
      <c r="K38" s="175"/>
      <c r="L38" s="97" t="s">
        <v>82</v>
      </c>
      <c r="M38" s="97" t="s">
        <v>82</v>
      </c>
      <c r="N38" s="139"/>
      <c r="O38" s="140"/>
      <c r="P38" s="140"/>
      <c r="Q38" s="140"/>
      <c r="R38" s="140"/>
      <c r="S38" s="141"/>
      <c r="T38" s="97"/>
      <c r="U38" s="97"/>
      <c r="V38" s="170"/>
      <c r="W38" s="171"/>
      <c r="X38" s="172"/>
      <c r="Y38" s="97"/>
      <c r="Z38" s="97"/>
    </row>
    <row r="39" spans="1:26" ht="18" customHeight="1" x14ac:dyDescent="0.15">
      <c r="A39" s="24"/>
      <c r="B39" s="179"/>
      <c r="C39" s="180"/>
      <c r="D39" s="180"/>
      <c r="E39" s="180"/>
      <c r="F39" s="181"/>
      <c r="G39" s="98"/>
      <c r="H39" s="98"/>
      <c r="I39" s="173"/>
      <c r="J39" s="174"/>
      <c r="K39" s="175"/>
      <c r="L39" s="98"/>
      <c r="M39" s="98"/>
      <c r="N39" s="148"/>
      <c r="O39" s="149"/>
      <c r="P39" s="149"/>
      <c r="Q39" s="149"/>
      <c r="R39" s="149"/>
      <c r="S39" s="150"/>
      <c r="T39" s="98"/>
      <c r="U39" s="98"/>
      <c r="V39" s="173"/>
      <c r="W39" s="174"/>
      <c r="X39" s="175"/>
      <c r="Y39" s="98"/>
      <c r="Z39" s="98"/>
    </row>
    <row r="40" spans="1:26" ht="18" customHeight="1" x14ac:dyDescent="0.15">
      <c r="A40" s="24"/>
      <c r="B40" s="179"/>
      <c r="C40" s="180"/>
      <c r="D40" s="180"/>
      <c r="E40" s="180"/>
      <c r="F40" s="181"/>
      <c r="G40" s="98"/>
      <c r="H40" s="98"/>
      <c r="I40" s="173"/>
      <c r="J40" s="174"/>
      <c r="K40" s="175"/>
      <c r="L40" s="98"/>
      <c r="M40" s="98"/>
      <c r="N40" s="148"/>
      <c r="O40" s="149"/>
      <c r="P40" s="149"/>
      <c r="Q40" s="149"/>
      <c r="R40" s="149"/>
      <c r="S40" s="150"/>
      <c r="T40" s="98"/>
      <c r="U40" s="98"/>
      <c r="V40" s="173"/>
      <c r="W40" s="174"/>
      <c r="X40" s="175"/>
      <c r="Y40" s="98"/>
      <c r="Z40" s="98"/>
    </row>
    <row r="41" spans="1:26" ht="18" customHeight="1" x14ac:dyDescent="0.15">
      <c r="A41" s="24"/>
      <c r="B41" s="179"/>
      <c r="C41" s="180"/>
      <c r="D41" s="180"/>
      <c r="E41" s="180"/>
      <c r="F41" s="181"/>
      <c r="G41" s="98"/>
      <c r="H41" s="98"/>
      <c r="I41" s="173"/>
      <c r="J41" s="174"/>
      <c r="K41" s="175"/>
      <c r="L41" s="98"/>
      <c r="M41" s="98"/>
      <c r="N41" s="148"/>
      <c r="O41" s="149"/>
      <c r="P41" s="149"/>
      <c r="Q41" s="149"/>
      <c r="R41" s="149"/>
      <c r="S41" s="150"/>
      <c r="T41" s="98"/>
      <c r="U41" s="98"/>
      <c r="V41" s="173"/>
      <c r="W41" s="174"/>
      <c r="X41" s="175"/>
      <c r="Y41" s="98"/>
      <c r="Z41" s="98"/>
    </row>
    <row r="42" spans="1:26" ht="18" customHeight="1" x14ac:dyDescent="0.15">
      <c r="A42" s="24"/>
      <c r="B42" s="179"/>
      <c r="C42" s="180"/>
      <c r="D42" s="180"/>
      <c r="E42" s="180"/>
      <c r="F42" s="181"/>
      <c r="G42" s="98"/>
      <c r="H42" s="98"/>
      <c r="I42" s="173"/>
      <c r="J42" s="174"/>
      <c r="K42" s="175"/>
      <c r="L42" s="98"/>
      <c r="M42" s="98"/>
      <c r="N42" s="148"/>
      <c r="O42" s="149"/>
      <c r="P42" s="149"/>
      <c r="Q42" s="149"/>
      <c r="R42" s="149"/>
      <c r="S42" s="150"/>
      <c r="T42" s="98"/>
      <c r="U42" s="98"/>
      <c r="V42" s="173"/>
      <c r="W42" s="174"/>
      <c r="X42" s="175"/>
      <c r="Y42" s="98"/>
      <c r="Z42" s="98"/>
    </row>
    <row r="43" spans="1:26" ht="18" customHeight="1" x14ac:dyDescent="0.15">
      <c r="A43" s="24"/>
      <c r="B43" s="179"/>
      <c r="C43" s="180"/>
      <c r="D43" s="180"/>
      <c r="E43" s="180"/>
      <c r="F43" s="181"/>
      <c r="G43" s="98"/>
      <c r="H43" s="98"/>
      <c r="I43" s="173"/>
      <c r="J43" s="174"/>
      <c r="K43" s="175"/>
      <c r="L43" s="98"/>
      <c r="M43" s="98"/>
      <c r="N43" s="148"/>
      <c r="O43" s="149"/>
      <c r="P43" s="149"/>
      <c r="Q43" s="149"/>
      <c r="R43" s="149"/>
      <c r="S43" s="150"/>
      <c r="T43" s="98"/>
      <c r="U43" s="98"/>
      <c r="V43" s="173"/>
      <c r="W43" s="174"/>
      <c r="X43" s="175"/>
      <c r="Y43" s="98"/>
      <c r="Z43" s="98"/>
    </row>
    <row r="44" spans="1:26" ht="18" customHeight="1" x14ac:dyDescent="0.15">
      <c r="A44" s="24"/>
      <c r="B44" s="186"/>
      <c r="C44" s="187"/>
      <c r="D44" s="187"/>
      <c r="E44" s="187"/>
      <c r="F44" s="188"/>
      <c r="G44" s="99"/>
      <c r="H44" s="99"/>
      <c r="I44" s="182"/>
      <c r="J44" s="183"/>
      <c r="K44" s="184"/>
      <c r="L44" s="104"/>
      <c r="M44" s="104"/>
      <c r="N44" s="209"/>
      <c r="O44" s="210"/>
      <c r="P44" s="210"/>
      <c r="Q44" s="210"/>
      <c r="R44" s="210"/>
      <c r="S44" s="211"/>
      <c r="T44" s="99"/>
      <c r="U44" s="99"/>
      <c r="V44" s="182"/>
      <c r="W44" s="183"/>
      <c r="X44" s="184"/>
      <c r="Y44" s="104"/>
      <c r="Z44" s="104"/>
    </row>
    <row r="45" spans="1:26" ht="7.5" customHeight="1" x14ac:dyDescent="0.15">
      <c r="B45" s="67"/>
      <c r="C45" s="67"/>
      <c r="D45" s="67"/>
      <c r="E45" s="67"/>
      <c r="F45" s="67"/>
      <c r="G45" s="67"/>
      <c r="H45" s="67"/>
      <c r="I45" s="67"/>
      <c r="J45" s="67"/>
      <c r="K45" s="67"/>
      <c r="L45" s="67"/>
      <c r="M45" s="67"/>
      <c r="N45" s="67"/>
      <c r="O45" s="67"/>
      <c r="P45" s="67"/>
      <c r="Q45" s="67"/>
      <c r="R45" s="67"/>
      <c r="S45" s="67"/>
      <c r="T45" s="67"/>
      <c r="U45" s="67"/>
      <c r="V45" s="67"/>
      <c r="W45" s="67"/>
      <c r="X45" s="67"/>
      <c r="Y45" s="67"/>
    </row>
    <row r="46" spans="1:26" ht="18" customHeight="1" x14ac:dyDescent="0.15">
      <c r="A46" s="185" t="s">
        <v>92</v>
      </c>
      <c r="B46" s="185"/>
      <c r="C46" s="185"/>
      <c r="D46" s="185"/>
      <c r="E46" s="185"/>
      <c r="F46" s="185"/>
      <c r="G46" s="185"/>
      <c r="H46" s="185"/>
      <c r="I46" s="185"/>
      <c r="J46" s="185"/>
      <c r="K46" s="185"/>
      <c r="L46" s="185"/>
      <c r="M46" s="185"/>
      <c r="N46" s="185"/>
      <c r="O46" s="185"/>
      <c r="P46" s="185"/>
      <c r="Q46" s="185"/>
      <c r="R46" s="185"/>
      <c r="S46" s="185"/>
      <c r="T46" s="185"/>
      <c r="U46" s="185"/>
      <c r="V46" s="185"/>
      <c r="W46" s="185"/>
      <c r="X46" s="185"/>
      <c r="Y46" s="185"/>
      <c r="Z46" s="185"/>
    </row>
    <row r="47" spans="1:26" ht="18" customHeight="1" x14ac:dyDescent="0.15">
      <c r="A47" s="185"/>
      <c r="B47" s="185"/>
      <c r="C47" s="185"/>
      <c r="D47" s="185"/>
      <c r="E47" s="185"/>
      <c r="F47" s="185"/>
      <c r="G47" s="185"/>
      <c r="H47" s="185"/>
      <c r="I47" s="185"/>
      <c r="J47" s="185"/>
      <c r="K47" s="185"/>
      <c r="L47" s="185"/>
      <c r="M47" s="185"/>
      <c r="N47" s="185"/>
      <c r="O47" s="185"/>
      <c r="P47" s="185"/>
      <c r="Q47" s="185"/>
      <c r="R47" s="185"/>
      <c r="S47" s="185"/>
      <c r="T47" s="185"/>
      <c r="U47" s="185"/>
      <c r="V47" s="185"/>
      <c r="W47" s="185"/>
      <c r="X47" s="185"/>
      <c r="Y47" s="185"/>
      <c r="Z47" s="185"/>
    </row>
    <row r="48" spans="1:26" ht="18" customHeight="1" x14ac:dyDescent="0.15">
      <c r="A48" s="13"/>
      <c r="B48" s="132" t="s">
        <v>75</v>
      </c>
      <c r="C48" s="134"/>
      <c r="D48" s="134"/>
      <c r="E48" s="134"/>
      <c r="F48" s="133"/>
      <c r="G48" s="25" t="s">
        <v>76</v>
      </c>
      <c r="H48" s="96" t="s">
        <v>77</v>
      </c>
      <c r="I48" s="132" t="s">
        <v>78</v>
      </c>
      <c r="J48" s="134"/>
      <c r="K48" s="133"/>
      <c r="L48" s="66" t="s">
        <v>93</v>
      </c>
      <c r="M48" s="66" t="s">
        <v>94</v>
      </c>
      <c r="N48" s="132" t="s">
        <v>75</v>
      </c>
      <c r="O48" s="134"/>
      <c r="P48" s="134"/>
      <c r="Q48" s="134"/>
      <c r="R48" s="134"/>
      <c r="S48" s="133"/>
      <c r="T48" s="25" t="s">
        <v>76</v>
      </c>
      <c r="U48" s="96" t="s">
        <v>77</v>
      </c>
      <c r="V48" s="132" t="s">
        <v>78</v>
      </c>
      <c r="W48" s="134"/>
      <c r="X48" s="133"/>
      <c r="Y48" s="66" t="s">
        <v>93</v>
      </c>
      <c r="Z48" s="66" t="s">
        <v>94</v>
      </c>
    </row>
    <row r="49" spans="1:26" ht="18" customHeight="1" x14ac:dyDescent="0.15">
      <c r="A49" s="24"/>
      <c r="B49" s="244" t="s">
        <v>137</v>
      </c>
      <c r="C49" s="245"/>
      <c r="D49" s="245"/>
      <c r="E49" s="245"/>
      <c r="F49" s="246"/>
      <c r="G49" s="98">
        <v>2</v>
      </c>
      <c r="H49" s="98" t="s">
        <v>82</v>
      </c>
      <c r="I49" s="173" t="s">
        <v>83</v>
      </c>
      <c r="J49" s="174"/>
      <c r="K49" s="175"/>
      <c r="L49" s="97" t="s">
        <v>82</v>
      </c>
      <c r="M49" s="97" t="s">
        <v>82</v>
      </c>
      <c r="N49" s="139"/>
      <c r="O49" s="140"/>
      <c r="P49" s="140"/>
      <c r="Q49" s="140"/>
      <c r="R49" s="140"/>
      <c r="S49" s="141"/>
      <c r="T49" s="97"/>
      <c r="U49" s="97"/>
      <c r="V49" s="170"/>
      <c r="W49" s="171"/>
      <c r="X49" s="172"/>
      <c r="Y49" s="97"/>
      <c r="Z49" s="97"/>
    </row>
    <row r="50" spans="1:26" ht="18" customHeight="1" x14ac:dyDescent="0.15">
      <c r="A50" s="24"/>
      <c r="B50" s="179"/>
      <c r="C50" s="180"/>
      <c r="D50" s="180"/>
      <c r="E50" s="180"/>
      <c r="F50" s="181"/>
      <c r="G50" s="98"/>
      <c r="H50" s="98"/>
      <c r="I50" s="173"/>
      <c r="J50" s="174"/>
      <c r="K50" s="175"/>
      <c r="L50" s="98"/>
      <c r="M50" s="98"/>
      <c r="N50" s="148"/>
      <c r="O50" s="149"/>
      <c r="P50" s="149"/>
      <c r="Q50" s="149"/>
      <c r="R50" s="149"/>
      <c r="S50" s="150"/>
      <c r="T50" s="98"/>
      <c r="U50" s="98"/>
      <c r="V50" s="173"/>
      <c r="W50" s="174"/>
      <c r="X50" s="175"/>
      <c r="Y50" s="98"/>
      <c r="Z50" s="98"/>
    </row>
    <row r="51" spans="1:26" ht="18" customHeight="1" x14ac:dyDescent="0.15">
      <c r="A51" s="24"/>
      <c r="B51" s="179"/>
      <c r="C51" s="180"/>
      <c r="D51" s="180"/>
      <c r="E51" s="180"/>
      <c r="F51" s="181"/>
      <c r="G51" s="98"/>
      <c r="H51" s="98"/>
      <c r="I51" s="173"/>
      <c r="J51" s="174"/>
      <c r="K51" s="175"/>
      <c r="L51" s="98"/>
      <c r="M51" s="98"/>
      <c r="N51" s="148"/>
      <c r="O51" s="149"/>
      <c r="P51" s="149"/>
      <c r="Q51" s="149"/>
      <c r="R51" s="149"/>
      <c r="S51" s="150"/>
      <c r="T51" s="98"/>
      <c r="U51" s="98"/>
      <c r="V51" s="173"/>
      <c r="W51" s="174"/>
      <c r="X51" s="175"/>
      <c r="Y51" s="98"/>
      <c r="Z51" s="98"/>
    </row>
    <row r="52" spans="1:26" ht="18" customHeight="1" x14ac:dyDescent="0.15">
      <c r="A52" s="24"/>
      <c r="B52" s="179"/>
      <c r="C52" s="180"/>
      <c r="D52" s="180"/>
      <c r="E52" s="180"/>
      <c r="F52" s="181"/>
      <c r="G52" s="98"/>
      <c r="H52" s="98"/>
      <c r="I52" s="173"/>
      <c r="J52" s="174"/>
      <c r="K52" s="175"/>
      <c r="L52" s="98"/>
      <c r="M52" s="98"/>
      <c r="N52" s="148"/>
      <c r="O52" s="149"/>
      <c r="P52" s="149"/>
      <c r="Q52" s="149"/>
      <c r="R52" s="149"/>
      <c r="S52" s="150"/>
      <c r="T52" s="98"/>
      <c r="U52" s="98"/>
      <c r="V52" s="173"/>
      <c r="W52" s="174"/>
      <c r="X52" s="175"/>
      <c r="Y52" s="98"/>
      <c r="Z52" s="98"/>
    </row>
    <row r="53" spans="1:26" ht="18" customHeight="1" x14ac:dyDescent="0.15">
      <c r="A53" s="24"/>
      <c r="B53" s="179"/>
      <c r="C53" s="180"/>
      <c r="D53" s="180"/>
      <c r="E53" s="180"/>
      <c r="F53" s="181"/>
      <c r="G53" s="98"/>
      <c r="H53" s="98"/>
      <c r="I53" s="173"/>
      <c r="J53" s="174"/>
      <c r="K53" s="175"/>
      <c r="L53" s="98"/>
      <c r="M53" s="98"/>
      <c r="N53" s="148"/>
      <c r="O53" s="149"/>
      <c r="P53" s="149"/>
      <c r="Q53" s="149"/>
      <c r="R53" s="149"/>
      <c r="S53" s="150"/>
      <c r="T53" s="98"/>
      <c r="U53" s="98"/>
      <c r="V53" s="173"/>
      <c r="W53" s="174"/>
      <c r="X53" s="175"/>
      <c r="Y53" s="98"/>
      <c r="Z53" s="98"/>
    </row>
    <row r="54" spans="1:26" ht="18" customHeight="1" x14ac:dyDescent="0.15">
      <c r="A54" s="24"/>
      <c r="B54" s="179"/>
      <c r="C54" s="180"/>
      <c r="D54" s="180"/>
      <c r="E54" s="180"/>
      <c r="F54" s="181"/>
      <c r="G54" s="98"/>
      <c r="H54" s="98"/>
      <c r="I54" s="173"/>
      <c r="J54" s="174"/>
      <c r="K54" s="175"/>
      <c r="L54" s="98"/>
      <c r="M54" s="98"/>
      <c r="N54" s="148"/>
      <c r="O54" s="149"/>
      <c r="P54" s="149"/>
      <c r="Q54" s="149"/>
      <c r="R54" s="149"/>
      <c r="S54" s="150"/>
      <c r="T54" s="98"/>
      <c r="U54" s="98"/>
      <c r="V54" s="173"/>
      <c r="W54" s="174"/>
      <c r="X54" s="175"/>
      <c r="Y54" s="98"/>
      <c r="Z54" s="98"/>
    </row>
    <row r="55" spans="1:26" ht="18" customHeight="1" x14ac:dyDescent="0.15">
      <c r="A55" s="24"/>
      <c r="B55" s="186"/>
      <c r="C55" s="187"/>
      <c r="D55" s="187"/>
      <c r="E55" s="187"/>
      <c r="F55" s="188"/>
      <c r="G55" s="99"/>
      <c r="H55" s="99"/>
      <c r="I55" s="182"/>
      <c r="J55" s="183"/>
      <c r="K55" s="184"/>
      <c r="L55" s="104"/>
      <c r="M55" s="104"/>
      <c r="N55" s="209"/>
      <c r="O55" s="210"/>
      <c r="P55" s="210"/>
      <c r="Q55" s="210"/>
      <c r="R55" s="210"/>
      <c r="S55" s="211"/>
      <c r="T55" s="99"/>
      <c r="U55" s="99"/>
      <c r="V55" s="182"/>
      <c r="W55" s="183"/>
      <c r="X55" s="184"/>
      <c r="Y55" s="104"/>
      <c r="Z55" s="104"/>
    </row>
    <row r="56" spans="1:26" ht="7.5" customHeight="1" x14ac:dyDescent="0.15">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6" ht="18" customHeight="1" x14ac:dyDescent="0.15">
      <c r="A57" s="185" t="s">
        <v>95</v>
      </c>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row>
    <row r="58" spans="1:26" ht="18" customHeight="1" x14ac:dyDescent="0.15">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row>
    <row r="59" spans="1:26" ht="18" customHeight="1" x14ac:dyDescent="0.15">
      <c r="A59" s="13"/>
      <c r="B59" s="132" t="s">
        <v>75</v>
      </c>
      <c r="C59" s="134"/>
      <c r="D59" s="134"/>
      <c r="E59" s="133"/>
      <c r="F59" s="25" t="s">
        <v>76</v>
      </c>
      <c r="G59" s="96" t="s">
        <v>77</v>
      </c>
      <c r="H59" s="21" t="s">
        <v>78</v>
      </c>
      <c r="I59" s="93"/>
      <c r="J59" s="22"/>
      <c r="K59" s="66" t="s">
        <v>96</v>
      </c>
      <c r="L59" s="66" t="s">
        <v>97</v>
      </c>
      <c r="M59" s="66" t="s">
        <v>98</v>
      </c>
      <c r="N59" s="132" t="s">
        <v>75</v>
      </c>
      <c r="O59" s="134"/>
      <c r="P59" s="134"/>
      <c r="Q59" s="134"/>
      <c r="R59" s="133"/>
      <c r="S59" s="25" t="s">
        <v>76</v>
      </c>
      <c r="T59" s="96" t="s">
        <v>77</v>
      </c>
      <c r="U59" s="21" t="s">
        <v>78</v>
      </c>
      <c r="V59" s="93"/>
      <c r="W59" s="22"/>
      <c r="X59" s="66" t="s">
        <v>96</v>
      </c>
      <c r="Y59" s="66" t="s">
        <v>97</v>
      </c>
      <c r="Z59" s="66" t="s">
        <v>98</v>
      </c>
    </row>
    <row r="60" spans="1:26" ht="18" customHeight="1" x14ac:dyDescent="0.15">
      <c r="A60" s="24"/>
      <c r="B60" s="244" t="s">
        <v>136</v>
      </c>
      <c r="C60" s="245"/>
      <c r="D60" s="245"/>
      <c r="E60" s="246"/>
      <c r="F60" s="97">
        <v>2</v>
      </c>
      <c r="G60" s="97" t="s">
        <v>82</v>
      </c>
      <c r="H60" s="170" t="s">
        <v>83</v>
      </c>
      <c r="I60" s="171"/>
      <c r="J60" s="172"/>
      <c r="K60" s="97" t="s">
        <v>82</v>
      </c>
      <c r="L60" s="97" t="s">
        <v>82</v>
      </c>
      <c r="M60" s="97" t="s">
        <v>82</v>
      </c>
      <c r="N60" s="139"/>
      <c r="O60" s="140"/>
      <c r="P60" s="140"/>
      <c r="Q60" s="140"/>
      <c r="R60" s="141"/>
      <c r="S60" s="97"/>
      <c r="T60" s="97"/>
      <c r="U60" s="170"/>
      <c r="V60" s="171"/>
      <c r="W60" s="172"/>
      <c r="X60" s="103"/>
      <c r="Y60" s="97"/>
      <c r="Z60" s="97"/>
    </row>
    <row r="61" spans="1:26" ht="18" customHeight="1" x14ac:dyDescent="0.15">
      <c r="A61" s="24"/>
      <c r="B61" s="247" t="s">
        <v>138</v>
      </c>
      <c r="C61" s="248"/>
      <c r="D61" s="248"/>
      <c r="E61" s="249"/>
      <c r="F61" s="98">
        <v>2</v>
      </c>
      <c r="G61" s="98" t="s">
        <v>82</v>
      </c>
      <c r="H61" s="173" t="s">
        <v>83</v>
      </c>
      <c r="I61" s="174"/>
      <c r="J61" s="175"/>
      <c r="K61" s="97" t="s">
        <v>82</v>
      </c>
      <c r="L61" s="97" t="s">
        <v>82</v>
      </c>
      <c r="M61" s="97" t="s">
        <v>82</v>
      </c>
      <c r="N61" s="148"/>
      <c r="O61" s="149"/>
      <c r="P61" s="149"/>
      <c r="Q61" s="149"/>
      <c r="R61" s="150"/>
      <c r="S61" s="98"/>
      <c r="T61" s="98"/>
      <c r="U61" s="173"/>
      <c r="V61" s="174"/>
      <c r="W61" s="175"/>
      <c r="X61" s="101"/>
      <c r="Y61" s="98"/>
      <c r="Z61" s="98"/>
    </row>
    <row r="62" spans="1:26" ht="18" customHeight="1" x14ac:dyDescent="0.15">
      <c r="A62" s="24"/>
      <c r="B62" s="148"/>
      <c r="C62" s="149"/>
      <c r="D62" s="149"/>
      <c r="E62" s="150"/>
      <c r="F62" s="98"/>
      <c r="G62" s="98"/>
      <c r="H62" s="173"/>
      <c r="I62" s="174"/>
      <c r="J62" s="175"/>
      <c r="K62" s="101"/>
      <c r="L62" s="98"/>
      <c r="M62" s="98"/>
      <c r="N62" s="148"/>
      <c r="O62" s="149"/>
      <c r="P62" s="149"/>
      <c r="Q62" s="149"/>
      <c r="R62" s="150"/>
      <c r="S62" s="98"/>
      <c r="T62" s="98"/>
      <c r="U62" s="173"/>
      <c r="V62" s="174"/>
      <c r="W62" s="175"/>
      <c r="X62" s="101"/>
      <c r="Y62" s="98"/>
      <c r="Z62" s="98"/>
    </row>
    <row r="63" spans="1:26" ht="18" customHeight="1" x14ac:dyDescent="0.15">
      <c r="A63" s="24"/>
      <c r="B63" s="148"/>
      <c r="C63" s="149"/>
      <c r="D63" s="149"/>
      <c r="E63" s="150"/>
      <c r="F63" s="98"/>
      <c r="G63" s="98"/>
      <c r="H63" s="173"/>
      <c r="I63" s="174"/>
      <c r="J63" s="175"/>
      <c r="K63" s="101"/>
      <c r="L63" s="98"/>
      <c r="M63" s="98"/>
      <c r="N63" s="148"/>
      <c r="O63" s="149"/>
      <c r="P63" s="149"/>
      <c r="Q63" s="149"/>
      <c r="R63" s="150"/>
      <c r="S63" s="98"/>
      <c r="T63" s="98"/>
      <c r="U63" s="173"/>
      <c r="V63" s="174"/>
      <c r="W63" s="175"/>
      <c r="X63" s="101"/>
      <c r="Y63" s="98"/>
      <c r="Z63" s="98"/>
    </row>
    <row r="64" spans="1:26" ht="18" customHeight="1" x14ac:dyDescent="0.15">
      <c r="A64" s="24"/>
      <c r="B64" s="148"/>
      <c r="C64" s="149"/>
      <c r="D64" s="149"/>
      <c r="E64" s="150"/>
      <c r="F64" s="98"/>
      <c r="G64" s="98"/>
      <c r="H64" s="173"/>
      <c r="I64" s="174"/>
      <c r="J64" s="175"/>
      <c r="K64" s="101"/>
      <c r="L64" s="98"/>
      <c r="M64" s="98"/>
      <c r="N64" s="148"/>
      <c r="O64" s="149"/>
      <c r="P64" s="149"/>
      <c r="Q64" s="149"/>
      <c r="R64" s="150"/>
      <c r="S64" s="98"/>
      <c r="T64" s="98"/>
      <c r="U64" s="173"/>
      <c r="V64" s="174"/>
      <c r="W64" s="175"/>
      <c r="X64" s="101"/>
      <c r="Y64" s="98"/>
      <c r="Z64" s="98"/>
    </row>
    <row r="65" spans="1:26" ht="18" customHeight="1" x14ac:dyDescent="0.15">
      <c r="A65" s="24"/>
      <c r="B65" s="148"/>
      <c r="C65" s="149"/>
      <c r="D65" s="149"/>
      <c r="E65" s="150"/>
      <c r="F65" s="98"/>
      <c r="G65" s="98"/>
      <c r="H65" s="173"/>
      <c r="I65" s="174"/>
      <c r="J65" s="175"/>
      <c r="K65" s="101"/>
      <c r="L65" s="98"/>
      <c r="M65" s="98"/>
      <c r="N65" s="148"/>
      <c r="O65" s="149"/>
      <c r="P65" s="149"/>
      <c r="Q65" s="149"/>
      <c r="R65" s="150"/>
      <c r="S65" s="98"/>
      <c r="T65" s="98"/>
      <c r="U65" s="173"/>
      <c r="V65" s="174"/>
      <c r="W65" s="175"/>
      <c r="X65" s="101"/>
      <c r="Y65" s="98"/>
      <c r="Z65" s="98"/>
    </row>
    <row r="66" spans="1:26" ht="18" customHeight="1" x14ac:dyDescent="0.15">
      <c r="A66" s="24"/>
      <c r="B66" s="209"/>
      <c r="C66" s="210"/>
      <c r="D66" s="210"/>
      <c r="E66" s="211"/>
      <c r="F66" s="99"/>
      <c r="G66" s="99"/>
      <c r="H66" s="182"/>
      <c r="I66" s="183"/>
      <c r="J66" s="184"/>
      <c r="K66" s="102"/>
      <c r="L66" s="104"/>
      <c r="M66" s="104"/>
      <c r="N66" s="209"/>
      <c r="O66" s="210"/>
      <c r="P66" s="210"/>
      <c r="Q66" s="210"/>
      <c r="R66" s="211"/>
      <c r="S66" s="99"/>
      <c r="T66" s="99"/>
      <c r="U66" s="182"/>
      <c r="V66" s="183"/>
      <c r="W66" s="184"/>
      <c r="X66" s="102"/>
      <c r="Y66" s="104"/>
      <c r="Z66" s="104"/>
    </row>
    <row r="67" spans="1:26" ht="7.5" customHeight="1" x14ac:dyDescent="0.15">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6" ht="18" customHeight="1" x14ac:dyDescent="0.15">
      <c r="A68" s="13" t="s">
        <v>101</v>
      </c>
      <c r="B68" s="13"/>
      <c r="C68" s="13"/>
      <c r="D68" s="13"/>
      <c r="E68" s="13"/>
      <c r="F68" s="13"/>
      <c r="G68" s="13"/>
      <c r="H68" s="13"/>
      <c r="I68" s="13"/>
      <c r="J68" s="13"/>
      <c r="K68" s="13"/>
      <c r="L68" s="24"/>
      <c r="M68" s="24"/>
      <c r="N68" s="24"/>
      <c r="O68" s="24"/>
      <c r="P68" s="24"/>
      <c r="Q68" s="24"/>
      <c r="R68" s="24"/>
      <c r="S68" s="24"/>
      <c r="T68" s="24"/>
      <c r="U68" s="24"/>
      <c r="V68" s="24"/>
      <c r="W68" s="24"/>
      <c r="X68" s="24"/>
      <c r="Y68" s="24"/>
      <c r="Z68" s="24"/>
    </row>
    <row r="69" spans="1:26" ht="18" customHeight="1" x14ac:dyDescent="0.15">
      <c r="A69" s="13"/>
      <c r="B69" s="132" t="s">
        <v>75</v>
      </c>
      <c r="C69" s="134"/>
      <c r="D69" s="134"/>
      <c r="E69" s="134"/>
      <c r="F69" s="133"/>
      <c r="G69" s="132" t="s">
        <v>102</v>
      </c>
      <c r="H69" s="134"/>
      <c r="I69" s="134"/>
      <c r="J69" s="134"/>
      <c r="K69" s="134"/>
      <c r="L69" s="134"/>
      <c r="M69" s="133"/>
      <c r="N69" s="215" t="s">
        <v>75</v>
      </c>
      <c r="O69" s="216"/>
      <c r="P69" s="216"/>
      <c r="Q69" s="216"/>
      <c r="R69" s="216"/>
      <c r="S69" s="217"/>
      <c r="T69" s="132" t="s">
        <v>102</v>
      </c>
      <c r="U69" s="134"/>
      <c r="V69" s="134"/>
      <c r="W69" s="134"/>
      <c r="X69" s="134"/>
      <c r="Y69" s="134"/>
      <c r="Z69" s="133"/>
    </row>
    <row r="70" spans="1:26" ht="18" customHeight="1" x14ac:dyDescent="0.15">
      <c r="A70" s="24"/>
      <c r="B70" s="139" t="s">
        <v>103</v>
      </c>
      <c r="C70" s="140"/>
      <c r="D70" s="140"/>
      <c r="E70" s="140"/>
      <c r="F70" s="141"/>
      <c r="G70" s="142" t="s">
        <v>104</v>
      </c>
      <c r="H70" s="143"/>
      <c r="I70" s="143"/>
      <c r="J70" s="143"/>
      <c r="K70" s="143"/>
      <c r="L70" s="143"/>
      <c r="M70" s="144"/>
      <c r="N70" s="139"/>
      <c r="O70" s="140"/>
      <c r="P70" s="140"/>
      <c r="Q70" s="140"/>
      <c r="R70" s="140"/>
      <c r="S70" s="141"/>
      <c r="T70" s="142"/>
      <c r="U70" s="143"/>
      <c r="V70" s="143"/>
      <c r="W70" s="143"/>
      <c r="X70" s="143"/>
      <c r="Y70" s="143"/>
      <c r="Z70" s="144"/>
    </row>
    <row r="71" spans="1:26" ht="18" customHeight="1" x14ac:dyDescent="0.15">
      <c r="A71" s="24"/>
      <c r="B71" s="148" t="s">
        <v>139</v>
      </c>
      <c r="C71" s="149"/>
      <c r="D71" s="149"/>
      <c r="E71" s="149"/>
      <c r="F71" s="150"/>
      <c r="G71" s="151" t="s">
        <v>106</v>
      </c>
      <c r="H71" s="152"/>
      <c r="I71" s="152"/>
      <c r="J71" s="152"/>
      <c r="K71" s="152"/>
      <c r="L71" s="152"/>
      <c r="M71" s="153"/>
      <c r="N71" s="148"/>
      <c r="O71" s="149"/>
      <c r="P71" s="149"/>
      <c r="Q71" s="149"/>
      <c r="R71" s="149"/>
      <c r="S71" s="150"/>
      <c r="T71" s="151"/>
      <c r="U71" s="152"/>
      <c r="V71" s="152"/>
      <c r="W71" s="152"/>
      <c r="X71" s="152"/>
      <c r="Y71" s="152"/>
      <c r="Z71" s="153"/>
    </row>
    <row r="72" spans="1:26" ht="18" customHeight="1" x14ac:dyDescent="0.15">
      <c r="A72" s="24"/>
      <c r="B72" s="148" t="s">
        <v>140</v>
      </c>
      <c r="C72" s="149"/>
      <c r="D72" s="149"/>
      <c r="E72" s="149"/>
      <c r="F72" s="150"/>
      <c r="G72" s="151" t="s">
        <v>104</v>
      </c>
      <c r="H72" s="152"/>
      <c r="I72" s="152"/>
      <c r="J72" s="152"/>
      <c r="K72" s="152"/>
      <c r="L72" s="152"/>
      <c r="M72" s="153"/>
      <c r="N72" s="148"/>
      <c r="O72" s="149"/>
      <c r="P72" s="149"/>
      <c r="Q72" s="149"/>
      <c r="R72" s="149"/>
      <c r="S72" s="150"/>
      <c r="T72" s="151"/>
      <c r="U72" s="152"/>
      <c r="V72" s="152"/>
      <c r="W72" s="152"/>
      <c r="X72" s="152"/>
      <c r="Y72" s="152"/>
      <c r="Z72" s="153"/>
    </row>
    <row r="73" spans="1:26" ht="18" customHeight="1" x14ac:dyDescent="0.15">
      <c r="A73" s="24"/>
      <c r="B73" s="148" t="s">
        <v>140</v>
      </c>
      <c r="C73" s="149"/>
      <c r="D73" s="149"/>
      <c r="E73" s="149"/>
      <c r="F73" s="150"/>
      <c r="G73" s="151" t="s">
        <v>109</v>
      </c>
      <c r="H73" s="152"/>
      <c r="I73" s="152"/>
      <c r="J73" s="152"/>
      <c r="K73" s="152"/>
      <c r="L73" s="152"/>
      <c r="M73" s="153"/>
      <c r="N73" s="148"/>
      <c r="O73" s="149"/>
      <c r="P73" s="149"/>
      <c r="Q73" s="149"/>
      <c r="R73" s="149"/>
      <c r="S73" s="150"/>
      <c r="T73" s="151"/>
      <c r="U73" s="152"/>
      <c r="V73" s="152"/>
      <c r="W73" s="152"/>
      <c r="X73" s="152"/>
      <c r="Y73" s="152"/>
      <c r="Z73" s="153"/>
    </row>
    <row r="74" spans="1:26" ht="18" customHeight="1" x14ac:dyDescent="0.15">
      <c r="A74" s="24"/>
      <c r="B74" s="148" t="s">
        <v>140</v>
      </c>
      <c r="C74" s="149"/>
      <c r="D74" s="149"/>
      <c r="E74" s="149"/>
      <c r="F74" s="150"/>
      <c r="G74" s="151" t="s">
        <v>141</v>
      </c>
      <c r="H74" s="152"/>
      <c r="I74" s="152"/>
      <c r="J74" s="152"/>
      <c r="K74" s="152"/>
      <c r="L74" s="152"/>
      <c r="M74" s="153"/>
      <c r="N74" s="148"/>
      <c r="O74" s="149"/>
      <c r="P74" s="149"/>
      <c r="Q74" s="149"/>
      <c r="R74" s="149"/>
      <c r="S74" s="150"/>
      <c r="T74" s="151"/>
      <c r="U74" s="152"/>
      <c r="V74" s="152"/>
      <c r="W74" s="152"/>
      <c r="X74" s="152"/>
      <c r="Y74" s="152"/>
      <c r="Z74" s="153"/>
    </row>
    <row r="75" spans="1:26" ht="18" customHeight="1" x14ac:dyDescent="0.15">
      <c r="A75" s="24"/>
      <c r="B75" s="148"/>
      <c r="C75" s="149"/>
      <c r="D75" s="149"/>
      <c r="E75" s="149"/>
      <c r="F75" s="150"/>
      <c r="G75" s="151"/>
      <c r="H75" s="152"/>
      <c r="I75" s="152"/>
      <c r="J75" s="152"/>
      <c r="K75" s="152"/>
      <c r="L75" s="152"/>
      <c r="M75" s="153"/>
      <c r="N75" s="148"/>
      <c r="O75" s="149"/>
      <c r="P75" s="149"/>
      <c r="Q75" s="149"/>
      <c r="R75" s="149"/>
      <c r="S75" s="150"/>
      <c r="T75" s="151"/>
      <c r="U75" s="152"/>
      <c r="V75" s="152"/>
      <c r="W75" s="152"/>
      <c r="X75" s="152"/>
      <c r="Y75" s="152"/>
      <c r="Z75" s="153"/>
    </row>
    <row r="76" spans="1:26" ht="18" customHeight="1" x14ac:dyDescent="0.15">
      <c r="A76" s="24"/>
      <c r="B76" s="209"/>
      <c r="C76" s="210"/>
      <c r="D76" s="210"/>
      <c r="E76" s="210"/>
      <c r="F76" s="211"/>
      <c r="G76" s="212"/>
      <c r="H76" s="213"/>
      <c r="I76" s="213"/>
      <c r="J76" s="213"/>
      <c r="K76" s="213"/>
      <c r="L76" s="213"/>
      <c r="M76" s="214"/>
      <c r="N76" s="209"/>
      <c r="O76" s="210"/>
      <c r="P76" s="210"/>
      <c r="Q76" s="210"/>
      <c r="R76" s="210"/>
      <c r="S76" s="211"/>
      <c r="T76" s="212"/>
      <c r="U76" s="213"/>
      <c r="V76" s="213"/>
      <c r="W76" s="213"/>
      <c r="X76" s="213"/>
      <c r="Y76" s="213"/>
      <c r="Z76" s="214"/>
    </row>
    <row r="77" spans="1:26" ht="18" customHeight="1" x14ac:dyDescent="0.15">
      <c r="A77" s="24"/>
      <c r="B77" s="30"/>
      <c r="C77" s="30"/>
      <c r="D77" s="30"/>
      <c r="E77" s="30"/>
      <c r="F77" s="30"/>
      <c r="G77" s="11"/>
      <c r="H77" s="11"/>
      <c r="I77" s="11"/>
      <c r="J77" s="11"/>
      <c r="K77" s="11"/>
      <c r="L77" s="11"/>
      <c r="M77" s="11"/>
      <c r="N77" s="30"/>
      <c r="O77" s="30"/>
      <c r="P77" s="30"/>
      <c r="Q77" s="30"/>
      <c r="R77" s="30"/>
      <c r="S77" s="30"/>
      <c r="T77" s="11"/>
      <c r="U77" s="11"/>
      <c r="V77" s="11"/>
      <c r="W77" s="11"/>
      <c r="X77" s="11"/>
      <c r="Y77" s="11"/>
      <c r="Z77" s="11"/>
    </row>
    <row r="78" spans="1:26" ht="18.75" customHeight="1" x14ac:dyDescent="0.15">
      <c r="A78" s="12" t="s">
        <v>110</v>
      </c>
    </row>
    <row r="79" spans="1:26" ht="18.75" customHeight="1" x14ac:dyDescent="0.15">
      <c r="B79" s="68" t="s">
        <v>111</v>
      </c>
      <c r="C79" s="69"/>
      <c r="D79" s="168" t="s">
        <v>112</v>
      </c>
      <c r="E79" s="168"/>
      <c r="F79" s="168"/>
      <c r="G79" s="168"/>
      <c r="H79" s="168"/>
      <c r="I79" s="168"/>
      <c r="J79" s="168"/>
      <c r="K79" s="168"/>
      <c r="L79" s="168"/>
      <c r="M79" s="168"/>
      <c r="N79" s="168"/>
      <c r="O79" s="168"/>
      <c r="P79" s="168"/>
      <c r="Q79" s="168"/>
      <c r="R79" s="168"/>
      <c r="S79" s="168"/>
      <c r="T79" s="168"/>
      <c r="U79" s="168"/>
      <c r="V79" s="168"/>
      <c r="W79" s="168"/>
      <c r="X79" s="168"/>
      <c r="Y79" s="168"/>
      <c r="Z79" s="169"/>
    </row>
    <row r="80" spans="1:26" ht="78" customHeight="1" x14ac:dyDescent="0.15">
      <c r="B80" s="156" t="s">
        <v>113</v>
      </c>
      <c r="C80" s="75" t="s">
        <v>79</v>
      </c>
      <c r="D80" s="230" t="s">
        <v>142</v>
      </c>
      <c r="E80" s="230"/>
      <c r="F80" s="230"/>
      <c r="G80" s="230"/>
      <c r="H80" s="230"/>
      <c r="I80" s="230"/>
      <c r="J80" s="230"/>
      <c r="K80" s="230"/>
      <c r="L80" s="230"/>
      <c r="M80" s="230"/>
      <c r="N80" s="230"/>
      <c r="O80" s="230"/>
      <c r="P80" s="230"/>
      <c r="Q80" s="230"/>
      <c r="R80" s="230"/>
      <c r="S80" s="230"/>
      <c r="T80" s="230"/>
      <c r="U80" s="230"/>
      <c r="V80" s="230"/>
      <c r="W80" s="230"/>
      <c r="X80" s="230"/>
      <c r="Y80" s="230"/>
      <c r="Z80" s="231"/>
    </row>
    <row r="81" spans="1:26" ht="78" customHeight="1" x14ac:dyDescent="0.15">
      <c r="B81" s="157"/>
      <c r="C81" s="94" t="s">
        <v>115</v>
      </c>
      <c r="D81" s="230" t="s">
        <v>143</v>
      </c>
      <c r="E81" s="230"/>
      <c r="F81" s="230"/>
      <c r="G81" s="230"/>
      <c r="H81" s="230"/>
      <c r="I81" s="230"/>
      <c r="J81" s="230"/>
      <c r="K81" s="230"/>
      <c r="L81" s="230"/>
      <c r="M81" s="230"/>
      <c r="N81" s="230"/>
      <c r="O81" s="230"/>
      <c r="P81" s="230"/>
      <c r="Q81" s="230"/>
      <c r="R81" s="230"/>
      <c r="S81" s="230"/>
      <c r="T81" s="230"/>
      <c r="U81" s="230"/>
      <c r="V81" s="230"/>
      <c r="W81" s="230"/>
      <c r="X81" s="230"/>
      <c r="Y81" s="230"/>
      <c r="Z81" s="231"/>
    </row>
    <row r="82" spans="1:26" ht="78" customHeight="1" x14ac:dyDescent="0.15">
      <c r="B82" s="154" t="s">
        <v>117</v>
      </c>
      <c r="C82" s="70" t="s">
        <v>85</v>
      </c>
      <c r="D82" s="239" t="s">
        <v>144</v>
      </c>
      <c r="E82" s="239"/>
      <c r="F82" s="239"/>
      <c r="G82" s="239"/>
      <c r="H82" s="239"/>
      <c r="I82" s="239"/>
      <c r="J82" s="239"/>
      <c r="K82" s="239"/>
      <c r="L82" s="239"/>
      <c r="M82" s="239"/>
      <c r="N82" s="239"/>
      <c r="O82" s="239"/>
      <c r="P82" s="239"/>
      <c r="Q82" s="239"/>
      <c r="R82" s="239"/>
      <c r="S82" s="239"/>
      <c r="T82" s="239"/>
      <c r="U82" s="239"/>
      <c r="V82" s="239"/>
      <c r="W82" s="239"/>
      <c r="X82" s="239"/>
      <c r="Y82" s="239"/>
      <c r="Z82" s="240"/>
    </row>
    <row r="83" spans="1:26" ht="78" customHeight="1" x14ac:dyDescent="0.15">
      <c r="B83" s="155"/>
      <c r="C83" s="95" t="s">
        <v>86</v>
      </c>
      <c r="D83" s="239" t="s">
        <v>145</v>
      </c>
      <c r="E83" s="239"/>
      <c r="F83" s="239"/>
      <c r="G83" s="239"/>
      <c r="H83" s="239"/>
      <c r="I83" s="239"/>
      <c r="J83" s="239"/>
      <c r="K83" s="239"/>
      <c r="L83" s="239"/>
      <c r="M83" s="239"/>
      <c r="N83" s="239"/>
      <c r="O83" s="239"/>
      <c r="P83" s="239"/>
      <c r="Q83" s="239"/>
      <c r="R83" s="239"/>
      <c r="S83" s="239"/>
      <c r="T83" s="239"/>
      <c r="U83" s="239"/>
      <c r="V83" s="239"/>
      <c r="W83" s="239"/>
      <c r="X83" s="239"/>
      <c r="Y83" s="239"/>
      <c r="Z83" s="240"/>
    </row>
    <row r="84" spans="1:26" ht="66" customHeight="1" x14ac:dyDescent="0.15">
      <c r="B84" s="154" t="s">
        <v>120</v>
      </c>
      <c r="C84" s="70" t="s">
        <v>90</v>
      </c>
      <c r="D84" s="239" t="s">
        <v>146</v>
      </c>
      <c r="E84" s="239"/>
      <c r="F84" s="239"/>
      <c r="G84" s="239"/>
      <c r="H84" s="239"/>
      <c r="I84" s="239"/>
      <c r="J84" s="239"/>
      <c r="K84" s="239"/>
      <c r="L84" s="239"/>
      <c r="M84" s="239"/>
      <c r="N84" s="239"/>
      <c r="O84" s="239"/>
      <c r="P84" s="239"/>
      <c r="Q84" s="239"/>
      <c r="R84" s="239"/>
      <c r="S84" s="239"/>
      <c r="T84" s="239"/>
      <c r="U84" s="239"/>
      <c r="V84" s="239"/>
      <c r="W84" s="239"/>
      <c r="X84" s="239"/>
      <c r="Y84" s="239"/>
      <c r="Z84" s="240"/>
    </row>
    <row r="85" spans="1:26" ht="66" customHeight="1" x14ac:dyDescent="0.15">
      <c r="B85" s="155"/>
      <c r="C85" s="72" t="s">
        <v>91</v>
      </c>
      <c r="D85" s="239" t="s">
        <v>147</v>
      </c>
      <c r="E85" s="239"/>
      <c r="F85" s="239"/>
      <c r="G85" s="239"/>
      <c r="H85" s="239"/>
      <c r="I85" s="239"/>
      <c r="J85" s="239"/>
      <c r="K85" s="239"/>
      <c r="L85" s="239"/>
      <c r="M85" s="239"/>
      <c r="N85" s="239"/>
      <c r="O85" s="239"/>
      <c r="P85" s="239"/>
      <c r="Q85" s="239"/>
      <c r="R85" s="239"/>
      <c r="S85" s="239"/>
      <c r="T85" s="239"/>
      <c r="U85" s="239"/>
      <c r="V85" s="239"/>
      <c r="W85" s="239"/>
      <c r="X85" s="239"/>
      <c r="Y85" s="239"/>
      <c r="Z85" s="240"/>
    </row>
    <row r="86" spans="1:26" ht="66" customHeight="1" x14ac:dyDescent="0.15">
      <c r="B86" s="156" t="s">
        <v>123</v>
      </c>
      <c r="C86" s="75" t="s">
        <v>93</v>
      </c>
      <c r="D86" s="239" t="s">
        <v>148</v>
      </c>
      <c r="E86" s="239"/>
      <c r="F86" s="239"/>
      <c r="G86" s="239"/>
      <c r="H86" s="239"/>
      <c r="I86" s="239"/>
      <c r="J86" s="239"/>
      <c r="K86" s="239"/>
      <c r="L86" s="239"/>
      <c r="M86" s="239"/>
      <c r="N86" s="239"/>
      <c r="O86" s="239"/>
      <c r="P86" s="239"/>
      <c r="Q86" s="239"/>
      <c r="R86" s="239"/>
      <c r="S86" s="239"/>
      <c r="T86" s="239"/>
      <c r="U86" s="239"/>
      <c r="V86" s="239"/>
      <c r="W86" s="239"/>
      <c r="X86" s="239"/>
      <c r="Y86" s="239"/>
      <c r="Z86" s="240"/>
    </row>
    <row r="87" spans="1:26" ht="66" customHeight="1" x14ac:dyDescent="0.15">
      <c r="B87" s="162"/>
      <c r="C87" s="71" t="s">
        <v>94</v>
      </c>
      <c r="D87" s="239" t="s">
        <v>149</v>
      </c>
      <c r="E87" s="239"/>
      <c r="F87" s="239"/>
      <c r="G87" s="239"/>
      <c r="H87" s="239"/>
      <c r="I87" s="239"/>
      <c r="J87" s="239"/>
      <c r="K87" s="239"/>
      <c r="L87" s="239"/>
      <c r="M87" s="239"/>
      <c r="N87" s="239"/>
      <c r="O87" s="239"/>
      <c r="P87" s="239"/>
      <c r="Q87" s="239"/>
      <c r="R87" s="239"/>
      <c r="S87" s="239"/>
      <c r="T87" s="239"/>
      <c r="U87" s="239"/>
      <c r="V87" s="239"/>
      <c r="W87" s="239"/>
      <c r="X87" s="239"/>
      <c r="Y87" s="239"/>
      <c r="Z87" s="240"/>
    </row>
    <row r="88" spans="1:26" ht="66" customHeight="1" x14ac:dyDescent="0.15">
      <c r="B88" s="156" t="s">
        <v>126</v>
      </c>
      <c r="C88" s="70" t="s">
        <v>96</v>
      </c>
      <c r="D88" s="230" t="s">
        <v>150</v>
      </c>
      <c r="E88" s="230"/>
      <c r="F88" s="230"/>
      <c r="G88" s="230"/>
      <c r="H88" s="230"/>
      <c r="I88" s="230"/>
      <c r="J88" s="230"/>
      <c r="K88" s="230"/>
      <c r="L88" s="230"/>
      <c r="M88" s="230"/>
      <c r="N88" s="230"/>
      <c r="O88" s="230"/>
      <c r="P88" s="230"/>
      <c r="Q88" s="230"/>
      <c r="R88" s="230"/>
      <c r="S88" s="230"/>
      <c r="T88" s="230"/>
      <c r="U88" s="230"/>
      <c r="V88" s="230"/>
      <c r="W88" s="230"/>
      <c r="X88" s="230"/>
      <c r="Y88" s="230"/>
      <c r="Z88" s="231"/>
    </row>
    <row r="89" spans="1:26" ht="66" customHeight="1" x14ac:dyDescent="0.15">
      <c r="B89" s="157"/>
      <c r="C89" s="71" t="s">
        <v>97</v>
      </c>
      <c r="D89" s="230" t="s">
        <v>151</v>
      </c>
      <c r="E89" s="230"/>
      <c r="F89" s="230"/>
      <c r="G89" s="230"/>
      <c r="H89" s="230"/>
      <c r="I89" s="230"/>
      <c r="J89" s="230"/>
      <c r="K89" s="230"/>
      <c r="L89" s="230"/>
      <c r="M89" s="230"/>
      <c r="N89" s="230"/>
      <c r="O89" s="230"/>
      <c r="P89" s="230"/>
      <c r="Q89" s="230"/>
      <c r="R89" s="230"/>
      <c r="S89" s="230"/>
      <c r="T89" s="230"/>
      <c r="U89" s="230"/>
      <c r="V89" s="230"/>
      <c r="W89" s="230"/>
      <c r="X89" s="230"/>
      <c r="Y89" s="230"/>
      <c r="Z89" s="231"/>
    </row>
    <row r="90" spans="1:26" ht="66" customHeight="1" x14ac:dyDescent="0.15">
      <c r="B90" s="155"/>
      <c r="C90" s="72" t="s">
        <v>98</v>
      </c>
      <c r="D90" s="241" t="s">
        <v>152</v>
      </c>
      <c r="E90" s="242"/>
      <c r="F90" s="242"/>
      <c r="G90" s="242"/>
      <c r="H90" s="242"/>
      <c r="I90" s="242"/>
      <c r="J90" s="242"/>
      <c r="K90" s="242"/>
      <c r="L90" s="242"/>
      <c r="M90" s="242"/>
      <c r="N90" s="242"/>
      <c r="O90" s="242"/>
      <c r="P90" s="242"/>
      <c r="Q90" s="242"/>
      <c r="R90" s="242"/>
      <c r="S90" s="242"/>
      <c r="T90" s="242"/>
      <c r="U90" s="242"/>
      <c r="V90" s="242"/>
      <c r="W90" s="242"/>
      <c r="X90" s="242"/>
      <c r="Y90" s="242"/>
      <c r="Z90" s="243"/>
    </row>
    <row r="91" spans="1:26" ht="6" customHeight="1" x14ac:dyDescent="0.15"/>
    <row r="92" spans="1:26" ht="18.75" customHeight="1" x14ac:dyDescent="0.15">
      <c r="A92" s="12" t="s">
        <v>130</v>
      </c>
    </row>
    <row r="93" spans="1:26" ht="18.75" customHeight="1" x14ac:dyDescent="0.15">
      <c r="B93" s="229" t="s">
        <v>131</v>
      </c>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1"/>
    </row>
    <row r="94" spans="1:26" ht="18.75" customHeight="1" x14ac:dyDescent="0.15">
      <c r="B94" s="232"/>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4"/>
    </row>
    <row r="95" spans="1:26" ht="18.75" customHeight="1" x14ac:dyDescent="0.15">
      <c r="B95" s="235"/>
      <c r="C95" s="236"/>
      <c r="D95" s="236"/>
      <c r="E95" s="236"/>
      <c r="F95" s="236"/>
      <c r="G95" s="236"/>
      <c r="H95" s="236"/>
      <c r="I95" s="236"/>
      <c r="J95" s="236"/>
      <c r="K95" s="236"/>
      <c r="L95" s="236"/>
      <c r="M95" s="236"/>
      <c r="N95" s="236"/>
      <c r="O95" s="236"/>
      <c r="P95" s="236"/>
      <c r="Q95" s="236"/>
      <c r="R95" s="236"/>
      <c r="S95" s="236"/>
      <c r="T95" s="236"/>
      <c r="U95" s="236"/>
      <c r="V95" s="236"/>
      <c r="W95" s="236"/>
      <c r="X95" s="236"/>
      <c r="Y95" s="236"/>
      <c r="Z95" s="237"/>
    </row>
    <row r="96" spans="1:26" ht="6" customHeight="1" x14ac:dyDescent="0.15"/>
    <row r="97" spans="1:26" ht="15" customHeight="1" x14ac:dyDescent="0.15">
      <c r="A97" s="12" t="s">
        <v>132</v>
      </c>
    </row>
    <row r="98" spans="1:26" ht="15" customHeight="1" x14ac:dyDescent="0.15">
      <c r="B98" s="238" t="s">
        <v>133</v>
      </c>
      <c r="C98" s="226"/>
      <c r="D98" s="226"/>
      <c r="E98" s="226"/>
      <c r="F98" s="226"/>
      <c r="G98" s="226"/>
      <c r="H98" s="226"/>
      <c r="I98" s="226"/>
      <c r="J98" s="226"/>
      <c r="K98" s="226"/>
      <c r="L98" s="226"/>
      <c r="M98" s="226"/>
      <c r="N98" s="226"/>
      <c r="O98" s="226"/>
      <c r="P98" s="226"/>
      <c r="Q98" s="226"/>
      <c r="R98" s="226"/>
      <c r="S98" s="226"/>
      <c r="T98" s="226"/>
      <c r="U98" s="226"/>
      <c r="V98" s="226"/>
      <c r="W98" s="226"/>
      <c r="X98" s="226"/>
      <c r="Y98" s="226"/>
      <c r="Z98" s="227"/>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96397BCC-FB33-4247-883E-B859788A39A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9CD5ABE4-75D5-43D3-B196-821C8BA34FD8}">
      <formula1>"学部・学科によって、修了要件は相違する,学部・学科によって、修了要件は相違しない"</formula1>
    </dataValidation>
    <dataValidation type="list" allowBlank="1" showInputMessage="1" showErrorMessage="1" sqref="Z23 Z34 D34:K34 D23:K23 V16:V22 I16:I22 V27:V33 H60:H66 V38:V44 I38:I44 V49:V55 I27:I33 U60:U66 I49:I55" xr:uid="{4EFC5680-CA5C-4772-97D1-F389E24C91B4}">
      <formula1>"全学開講,一部開講"</formula1>
    </dataValidation>
    <dataValidation type="list" allowBlank="1" showInputMessage="1" showErrorMessage="1" sqref="Y16:Z22 L16:M22 Y27:Z33 L27:M33 L38:M44 Y38:Z44 L49:M55 Y49:Z55 Y60:Z66 K60:K61 H16:H22 U16:U22 H49:H55 U27:U33 T60:T66 U38:U44 H27:H33 U49:U55 H38:H44 G60:G66 L60:M66" xr:uid="{6DA526BB-59F6-4CFF-92DE-9FDD6B3624E8}">
      <formula1>"○"</formula1>
    </dataValidation>
  </dataValidations>
  <hyperlinks>
    <hyperlink ref="B98:Z98" r:id="rId1" display="https://www.hiroshima-cmt.ac.jp/release/ai.html" xr:uid="{425B60AB-7776-42D4-8228-E7D22055A917}"/>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7129-4039-419F-A186-C3C1165C27EF}">
  <dimension ref="A1:Z98"/>
  <sheetViews>
    <sheetView showZeros="0" tabSelected="1" view="pageBreakPreview" topLeftCell="D34" zoomScale="40" zoomScaleNormal="100" zoomScaleSheetLayoutView="40" workbookViewId="0">
      <selection activeCell="G18" sqref="G18:J18"/>
    </sheetView>
  </sheetViews>
  <sheetFormatPr defaultColWidth="9" defaultRowHeight="18.75" customHeight="1" x14ac:dyDescent="0.15"/>
  <cols>
    <col min="1" max="1" width="2.5" style="12" customWidth="1"/>
    <col min="2" max="2" width="27.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x14ac:dyDescent="0.15">
      <c r="W1" s="228" t="s">
        <v>153</v>
      </c>
      <c r="X1" s="228"/>
      <c r="Y1" s="228"/>
      <c r="Z1" s="228"/>
    </row>
    <row r="2" spans="1:26" ht="18" customHeight="1" x14ac:dyDescent="0.15">
      <c r="A2" s="189" t="s">
        <v>69</v>
      </c>
      <c r="B2" s="189"/>
      <c r="C2" s="189"/>
      <c r="D2" s="189"/>
      <c r="E2" s="189"/>
      <c r="F2" s="189"/>
      <c r="G2" s="189"/>
      <c r="H2" s="189"/>
      <c r="I2" s="189"/>
      <c r="J2" s="189"/>
      <c r="K2" s="189"/>
      <c r="L2" s="189"/>
      <c r="M2" s="189"/>
      <c r="N2" s="189"/>
      <c r="O2" s="189"/>
      <c r="P2" s="189"/>
      <c r="Q2" s="189"/>
      <c r="R2" s="189"/>
      <c r="S2" s="189"/>
      <c r="T2" s="189"/>
      <c r="U2" s="189"/>
      <c r="V2" s="189"/>
      <c r="W2" s="189"/>
      <c r="X2" s="189"/>
      <c r="Y2" s="189"/>
      <c r="Z2" s="189"/>
    </row>
    <row r="3" spans="1:26" ht="15" customHeight="1" x14ac:dyDescent="0.15">
      <c r="B3" s="24"/>
      <c r="C3" s="24"/>
      <c r="D3" s="24"/>
      <c r="E3" s="24"/>
      <c r="F3" s="24"/>
      <c r="G3" s="24"/>
      <c r="H3" s="24"/>
      <c r="I3" s="24"/>
      <c r="J3" s="24"/>
      <c r="K3" s="24"/>
      <c r="L3" s="24"/>
      <c r="M3" s="24"/>
      <c r="N3" s="24"/>
      <c r="O3" s="24"/>
      <c r="P3" s="24"/>
      <c r="Q3" s="24"/>
      <c r="R3" s="24"/>
      <c r="S3" s="24"/>
      <c r="T3" s="24"/>
      <c r="U3" s="24"/>
      <c r="V3" s="24"/>
      <c r="W3" s="24"/>
      <c r="X3" s="24"/>
      <c r="Y3" s="24"/>
      <c r="Z3" s="24"/>
    </row>
    <row r="4" spans="1:26" ht="18" customHeight="1" x14ac:dyDescent="0.15">
      <c r="A4" s="12" t="s">
        <v>70</v>
      </c>
      <c r="B4" s="24"/>
      <c r="C4" s="24"/>
      <c r="D4" s="24"/>
      <c r="E4" s="24"/>
      <c r="F4" s="24"/>
      <c r="G4" s="24"/>
      <c r="H4" s="13" t="s">
        <v>71</v>
      </c>
      <c r="I4" s="24"/>
      <c r="J4" s="24"/>
      <c r="K4" s="24"/>
      <c r="L4" s="24"/>
      <c r="M4" s="24"/>
      <c r="N4" s="24"/>
      <c r="O4" s="132" t="s">
        <v>72</v>
      </c>
      <c r="P4" s="134"/>
      <c r="Q4" s="134"/>
      <c r="R4" s="134"/>
      <c r="S4" s="134"/>
      <c r="T4" s="134"/>
      <c r="U4" s="134"/>
      <c r="V4" s="134"/>
      <c r="W4" s="134"/>
      <c r="X4" s="134"/>
      <c r="Y4" s="134"/>
      <c r="Z4" s="133"/>
    </row>
    <row r="5" spans="1:26" ht="6" customHeight="1" x14ac:dyDescent="0.15">
      <c r="B5" s="24"/>
      <c r="C5" s="24"/>
      <c r="D5" s="24"/>
      <c r="E5" s="24"/>
      <c r="F5" s="24"/>
      <c r="G5" s="24"/>
      <c r="H5" s="24"/>
      <c r="I5" s="24"/>
      <c r="J5" s="24"/>
      <c r="K5" s="24"/>
      <c r="L5" s="24"/>
      <c r="M5" s="24"/>
      <c r="N5" s="24"/>
      <c r="O5" s="14"/>
      <c r="P5" s="24"/>
      <c r="Q5" s="24"/>
      <c r="R5" s="24"/>
      <c r="S5" s="24"/>
      <c r="T5" s="24"/>
      <c r="U5" s="24"/>
      <c r="V5" s="24"/>
      <c r="W5" s="24"/>
      <c r="X5" s="24"/>
      <c r="Y5" s="24"/>
      <c r="Z5" s="24"/>
    </row>
    <row r="6" spans="1:26" ht="18" customHeight="1" x14ac:dyDescent="0.15">
      <c r="B6" s="190" t="s">
        <v>154</v>
      </c>
      <c r="C6" s="191"/>
      <c r="D6" s="191"/>
      <c r="E6" s="191"/>
      <c r="F6" s="191"/>
      <c r="G6" s="191"/>
      <c r="H6" s="191"/>
      <c r="I6" s="191"/>
      <c r="J6" s="191"/>
      <c r="K6" s="191"/>
      <c r="L6" s="191"/>
      <c r="M6" s="191"/>
      <c r="N6" s="191"/>
      <c r="O6" s="191"/>
      <c r="P6" s="191"/>
      <c r="Q6" s="191"/>
      <c r="R6" s="191"/>
      <c r="S6" s="191"/>
      <c r="T6" s="191"/>
      <c r="U6" s="191"/>
      <c r="V6" s="191"/>
      <c r="W6" s="191"/>
      <c r="X6" s="191"/>
      <c r="Y6" s="191"/>
      <c r="Z6" s="192"/>
    </row>
    <row r="7" spans="1:26" ht="18" customHeight="1" x14ac:dyDescent="0.15">
      <c r="B7" s="193"/>
      <c r="C7" s="194"/>
      <c r="D7" s="194"/>
      <c r="E7" s="194"/>
      <c r="F7" s="194"/>
      <c r="G7" s="194"/>
      <c r="H7" s="194"/>
      <c r="I7" s="194"/>
      <c r="J7" s="194"/>
      <c r="K7" s="194"/>
      <c r="L7" s="194"/>
      <c r="M7" s="194"/>
      <c r="N7" s="194"/>
      <c r="O7" s="194"/>
      <c r="P7" s="194"/>
      <c r="Q7" s="194"/>
      <c r="R7" s="194"/>
      <c r="S7" s="194"/>
      <c r="T7" s="194"/>
      <c r="U7" s="194"/>
      <c r="V7" s="194"/>
      <c r="W7" s="194"/>
      <c r="X7" s="194"/>
      <c r="Y7" s="194"/>
      <c r="Z7" s="195"/>
    </row>
    <row r="8" spans="1:26" ht="18" customHeight="1" x14ac:dyDescent="0.15">
      <c r="B8" s="193"/>
      <c r="C8" s="194"/>
      <c r="D8" s="194"/>
      <c r="E8" s="194"/>
      <c r="F8" s="194"/>
      <c r="G8" s="194"/>
      <c r="H8" s="194"/>
      <c r="I8" s="194"/>
      <c r="J8" s="194"/>
      <c r="K8" s="194"/>
      <c r="L8" s="194"/>
      <c r="M8" s="194"/>
      <c r="N8" s="194"/>
      <c r="O8" s="194"/>
      <c r="P8" s="194"/>
      <c r="Q8" s="194"/>
      <c r="R8" s="194"/>
      <c r="S8" s="194"/>
      <c r="T8" s="194"/>
      <c r="U8" s="194"/>
      <c r="V8" s="194"/>
      <c r="W8" s="194"/>
      <c r="X8" s="194"/>
      <c r="Y8" s="194"/>
      <c r="Z8" s="195"/>
    </row>
    <row r="9" spans="1:26" ht="18" customHeight="1" x14ac:dyDescent="0.15">
      <c r="B9" s="193"/>
      <c r="C9" s="194"/>
      <c r="D9" s="194"/>
      <c r="E9" s="194"/>
      <c r="F9" s="194"/>
      <c r="G9" s="194"/>
      <c r="H9" s="194"/>
      <c r="I9" s="194"/>
      <c r="J9" s="194"/>
      <c r="K9" s="194"/>
      <c r="L9" s="194"/>
      <c r="M9" s="194"/>
      <c r="N9" s="194"/>
      <c r="O9" s="194"/>
      <c r="P9" s="194"/>
      <c r="Q9" s="194"/>
      <c r="R9" s="194"/>
      <c r="S9" s="194"/>
      <c r="T9" s="194"/>
      <c r="U9" s="194"/>
      <c r="V9" s="194"/>
      <c r="W9" s="194"/>
      <c r="X9" s="194"/>
      <c r="Y9" s="194"/>
      <c r="Z9" s="195"/>
    </row>
    <row r="10" spans="1:26" ht="18" customHeight="1" x14ac:dyDescent="0.15">
      <c r="B10" s="193"/>
      <c r="C10" s="194"/>
      <c r="D10" s="194"/>
      <c r="E10" s="194"/>
      <c r="F10" s="194"/>
      <c r="G10" s="194"/>
      <c r="H10" s="194"/>
      <c r="I10" s="194"/>
      <c r="J10" s="194"/>
      <c r="K10" s="194"/>
      <c r="L10" s="194"/>
      <c r="M10" s="194"/>
      <c r="N10" s="194"/>
      <c r="O10" s="194"/>
      <c r="P10" s="194"/>
      <c r="Q10" s="194"/>
      <c r="R10" s="194"/>
      <c r="S10" s="194"/>
      <c r="T10" s="194"/>
      <c r="U10" s="194"/>
      <c r="V10" s="194"/>
      <c r="W10" s="194"/>
      <c r="X10" s="194"/>
      <c r="Y10" s="194"/>
      <c r="Z10" s="195"/>
    </row>
    <row r="11" spans="1:26" ht="18" customHeight="1" x14ac:dyDescent="0.15">
      <c r="B11" s="196"/>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8"/>
    </row>
    <row r="12" spans="1:26" ht="7.5" customHeight="1" x14ac:dyDescent="0.15">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ht="18" customHeight="1" x14ac:dyDescent="0.15">
      <c r="A13" s="185" t="s">
        <v>74</v>
      </c>
      <c r="B13" s="185"/>
      <c r="C13" s="185"/>
      <c r="D13" s="185"/>
      <c r="E13" s="185"/>
      <c r="F13" s="185"/>
      <c r="G13" s="185"/>
      <c r="H13" s="185"/>
      <c r="I13" s="185"/>
      <c r="J13" s="185"/>
      <c r="K13" s="185"/>
      <c r="L13" s="185"/>
      <c r="M13" s="185"/>
      <c r="N13" s="185"/>
      <c r="O13" s="185"/>
      <c r="P13" s="185"/>
      <c r="Q13" s="185"/>
      <c r="R13" s="185"/>
      <c r="S13" s="185"/>
      <c r="T13" s="185"/>
      <c r="U13" s="185"/>
      <c r="V13" s="185"/>
      <c r="W13" s="185"/>
      <c r="X13" s="185"/>
      <c r="Y13" s="185"/>
      <c r="Z13" s="185"/>
    </row>
    <row r="14" spans="1:26" ht="18" customHeight="1" x14ac:dyDescent="0.15">
      <c r="A14" s="185"/>
      <c r="B14" s="185"/>
      <c r="C14" s="185"/>
      <c r="D14" s="185"/>
      <c r="E14" s="185"/>
      <c r="F14" s="185"/>
      <c r="G14" s="185"/>
      <c r="H14" s="185"/>
      <c r="I14" s="185"/>
      <c r="J14" s="185"/>
      <c r="K14" s="185"/>
      <c r="L14" s="185"/>
      <c r="M14" s="185"/>
      <c r="N14" s="185"/>
      <c r="O14" s="185"/>
      <c r="P14" s="185"/>
      <c r="Q14" s="185"/>
      <c r="R14" s="185"/>
      <c r="S14" s="185"/>
      <c r="T14" s="185"/>
      <c r="U14" s="185"/>
      <c r="V14" s="185"/>
      <c r="W14" s="185"/>
      <c r="X14" s="185"/>
      <c r="Y14" s="185"/>
      <c r="Z14" s="185"/>
    </row>
    <row r="15" spans="1:26" ht="18" customHeight="1" x14ac:dyDescent="0.15">
      <c r="A15" s="13"/>
      <c r="B15" s="132" t="s">
        <v>75</v>
      </c>
      <c r="C15" s="134"/>
      <c r="D15" s="134"/>
      <c r="E15" s="134"/>
      <c r="F15" s="133"/>
      <c r="G15" s="25" t="s">
        <v>76</v>
      </c>
      <c r="H15" s="96" t="s">
        <v>77</v>
      </c>
      <c r="I15" s="134" t="s">
        <v>78</v>
      </c>
      <c r="J15" s="134"/>
      <c r="K15" s="134"/>
      <c r="L15" s="66" t="s">
        <v>79</v>
      </c>
      <c r="M15" s="66" t="s">
        <v>80</v>
      </c>
      <c r="N15" s="132" t="s">
        <v>75</v>
      </c>
      <c r="O15" s="134"/>
      <c r="P15" s="134"/>
      <c r="Q15" s="134"/>
      <c r="R15" s="134"/>
      <c r="S15" s="133"/>
      <c r="T15" s="25" t="s">
        <v>76</v>
      </c>
      <c r="U15" s="96" t="s">
        <v>77</v>
      </c>
      <c r="V15" s="134" t="s">
        <v>78</v>
      </c>
      <c r="W15" s="134"/>
      <c r="X15" s="134"/>
      <c r="Y15" s="66" t="s">
        <v>79</v>
      </c>
      <c r="Z15" s="66" t="s">
        <v>80</v>
      </c>
    </row>
    <row r="16" spans="1:26" ht="18" customHeight="1" x14ac:dyDescent="0.15">
      <c r="A16" s="13"/>
      <c r="B16" s="176" t="s">
        <v>155</v>
      </c>
      <c r="C16" s="177"/>
      <c r="D16" s="177"/>
      <c r="E16" s="177"/>
      <c r="F16" s="178"/>
      <c r="G16" s="97">
        <v>2</v>
      </c>
      <c r="H16" s="97" t="s">
        <v>82</v>
      </c>
      <c r="I16" s="170" t="s">
        <v>83</v>
      </c>
      <c r="J16" s="171"/>
      <c r="K16" s="172"/>
      <c r="L16" s="97" t="s">
        <v>82</v>
      </c>
      <c r="M16" s="97" t="s">
        <v>82</v>
      </c>
      <c r="N16" s="139"/>
      <c r="O16" s="140"/>
      <c r="P16" s="140"/>
      <c r="Q16" s="140"/>
      <c r="R16" s="140"/>
      <c r="S16" s="141"/>
      <c r="T16" s="97"/>
      <c r="U16" s="97"/>
      <c r="V16" s="170"/>
      <c r="W16" s="171"/>
      <c r="X16" s="172"/>
      <c r="Y16" s="97"/>
      <c r="Z16" s="97"/>
    </row>
    <row r="17" spans="1:26" ht="18" customHeight="1" x14ac:dyDescent="0.15">
      <c r="A17" s="13"/>
      <c r="B17" s="179"/>
      <c r="C17" s="180"/>
      <c r="D17" s="180"/>
      <c r="E17" s="180"/>
      <c r="F17" s="181"/>
      <c r="G17" s="98"/>
      <c r="H17" s="98"/>
      <c r="I17" s="173"/>
      <c r="J17" s="174"/>
      <c r="K17" s="175"/>
      <c r="L17" s="98"/>
      <c r="M17" s="98"/>
      <c r="N17" s="148"/>
      <c r="O17" s="149"/>
      <c r="P17" s="149"/>
      <c r="Q17" s="149"/>
      <c r="R17" s="149"/>
      <c r="S17" s="150"/>
      <c r="T17" s="98"/>
      <c r="U17" s="98"/>
      <c r="V17" s="173"/>
      <c r="W17" s="174"/>
      <c r="X17" s="175"/>
      <c r="Y17" s="98"/>
      <c r="Z17" s="98"/>
    </row>
    <row r="18" spans="1:26" ht="18" customHeight="1" x14ac:dyDescent="0.15">
      <c r="A18" s="13"/>
      <c r="B18" s="179"/>
      <c r="C18" s="180"/>
      <c r="D18" s="180"/>
      <c r="E18" s="180"/>
      <c r="F18" s="181"/>
      <c r="G18" s="98"/>
      <c r="H18" s="98"/>
      <c r="I18" s="173"/>
      <c r="J18" s="174"/>
      <c r="K18" s="175"/>
      <c r="L18" s="98"/>
      <c r="M18" s="98"/>
      <c r="N18" s="148"/>
      <c r="O18" s="149"/>
      <c r="P18" s="149"/>
      <c r="Q18" s="149"/>
      <c r="R18" s="149"/>
      <c r="S18" s="150"/>
      <c r="T18" s="98"/>
      <c r="U18" s="98"/>
      <c r="V18" s="173"/>
      <c r="W18" s="174"/>
      <c r="X18" s="175"/>
      <c r="Y18" s="98"/>
      <c r="Z18" s="98"/>
    </row>
    <row r="19" spans="1:26" ht="18" customHeight="1" x14ac:dyDescent="0.15">
      <c r="A19" s="13"/>
      <c r="B19" s="179"/>
      <c r="C19" s="180"/>
      <c r="D19" s="180"/>
      <c r="E19" s="180"/>
      <c r="F19" s="181"/>
      <c r="G19" s="98"/>
      <c r="H19" s="98"/>
      <c r="I19" s="173"/>
      <c r="J19" s="174"/>
      <c r="K19" s="175"/>
      <c r="L19" s="98"/>
      <c r="M19" s="98"/>
      <c r="N19" s="148"/>
      <c r="O19" s="149"/>
      <c r="P19" s="149"/>
      <c r="Q19" s="149"/>
      <c r="R19" s="149"/>
      <c r="S19" s="150"/>
      <c r="T19" s="98"/>
      <c r="U19" s="98"/>
      <c r="V19" s="173"/>
      <c r="W19" s="174"/>
      <c r="X19" s="175"/>
      <c r="Y19" s="98"/>
      <c r="Z19" s="98"/>
    </row>
    <row r="20" spans="1:26" ht="18" customHeight="1" x14ac:dyDescent="0.15">
      <c r="A20" s="13"/>
      <c r="B20" s="179"/>
      <c r="C20" s="180"/>
      <c r="D20" s="180"/>
      <c r="E20" s="180"/>
      <c r="F20" s="181"/>
      <c r="G20" s="98"/>
      <c r="H20" s="98"/>
      <c r="I20" s="173"/>
      <c r="J20" s="174"/>
      <c r="K20" s="175"/>
      <c r="L20" s="98"/>
      <c r="M20" s="98"/>
      <c r="N20" s="148"/>
      <c r="O20" s="149"/>
      <c r="P20" s="149"/>
      <c r="Q20" s="149"/>
      <c r="R20" s="149"/>
      <c r="S20" s="150"/>
      <c r="T20" s="98"/>
      <c r="U20" s="98"/>
      <c r="V20" s="173"/>
      <c r="W20" s="174"/>
      <c r="X20" s="175"/>
      <c r="Y20" s="98"/>
      <c r="Z20" s="98"/>
    </row>
    <row r="21" spans="1:26" ht="18" customHeight="1" x14ac:dyDescent="0.15">
      <c r="A21" s="24"/>
      <c r="B21" s="179"/>
      <c r="C21" s="180"/>
      <c r="D21" s="180"/>
      <c r="E21" s="180"/>
      <c r="F21" s="181"/>
      <c r="G21" s="98"/>
      <c r="H21" s="98"/>
      <c r="I21" s="173"/>
      <c r="J21" s="174"/>
      <c r="K21" s="175"/>
      <c r="L21" s="98"/>
      <c r="M21" s="98"/>
      <c r="N21" s="148"/>
      <c r="O21" s="149"/>
      <c r="P21" s="149"/>
      <c r="Q21" s="149"/>
      <c r="R21" s="149"/>
      <c r="S21" s="150"/>
      <c r="T21" s="98"/>
      <c r="U21" s="98"/>
      <c r="V21" s="173"/>
      <c r="W21" s="174"/>
      <c r="X21" s="175"/>
      <c r="Y21" s="98"/>
      <c r="Z21" s="98"/>
    </row>
    <row r="22" spans="1:26" ht="18" customHeight="1" x14ac:dyDescent="0.15">
      <c r="A22" s="24"/>
      <c r="B22" s="186"/>
      <c r="C22" s="187"/>
      <c r="D22" s="187"/>
      <c r="E22" s="187"/>
      <c r="F22" s="188"/>
      <c r="G22" s="99"/>
      <c r="H22" s="99"/>
      <c r="I22" s="182"/>
      <c r="J22" s="183"/>
      <c r="K22" s="184"/>
      <c r="L22" s="104"/>
      <c r="M22" s="104"/>
      <c r="N22" s="209"/>
      <c r="O22" s="210"/>
      <c r="P22" s="210"/>
      <c r="Q22" s="210"/>
      <c r="R22" s="210"/>
      <c r="S22" s="211"/>
      <c r="T22" s="99"/>
      <c r="U22" s="99"/>
      <c r="V22" s="182"/>
      <c r="W22" s="183"/>
      <c r="X22" s="184"/>
      <c r="Y22" s="104"/>
      <c r="Z22" s="104"/>
    </row>
    <row r="23" spans="1:26" ht="7.5" customHeight="1" x14ac:dyDescent="0.15">
      <c r="A23" s="24"/>
      <c r="B23" s="30"/>
      <c r="C23" s="30"/>
      <c r="D23" s="24"/>
      <c r="E23" s="24"/>
      <c r="F23" s="24"/>
      <c r="G23" s="24"/>
      <c r="H23" s="24"/>
      <c r="I23" s="24"/>
      <c r="J23" s="24"/>
      <c r="K23" s="24"/>
      <c r="L23" s="30"/>
      <c r="M23" s="30"/>
      <c r="N23" s="30"/>
      <c r="O23" s="30"/>
      <c r="P23" s="30"/>
      <c r="Q23" s="30"/>
      <c r="R23" s="30"/>
      <c r="S23" s="30"/>
      <c r="T23" s="30"/>
      <c r="U23" s="30"/>
      <c r="V23" s="30"/>
      <c r="W23" s="30"/>
      <c r="X23" s="30"/>
      <c r="Y23" s="30"/>
      <c r="Z23" s="24"/>
    </row>
    <row r="24" spans="1:26" ht="18" customHeight="1" x14ac:dyDescent="0.15">
      <c r="A24" s="185" t="s">
        <v>84</v>
      </c>
      <c r="B24" s="185"/>
      <c r="C24" s="185"/>
      <c r="D24" s="185"/>
      <c r="E24" s="185"/>
      <c r="F24" s="185"/>
      <c r="G24" s="185"/>
      <c r="H24" s="185"/>
      <c r="I24" s="185"/>
      <c r="J24" s="185"/>
      <c r="K24" s="185"/>
      <c r="L24" s="185"/>
      <c r="M24" s="185"/>
      <c r="N24" s="185"/>
      <c r="O24" s="185"/>
      <c r="P24" s="185"/>
      <c r="Q24" s="185"/>
      <c r="R24" s="185"/>
      <c r="S24" s="185"/>
      <c r="T24" s="185"/>
      <c r="U24" s="185"/>
      <c r="V24" s="185"/>
      <c r="W24" s="185"/>
      <c r="X24" s="185"/>
      <c r="Y24" s="185"/>
      <c r="Z24" s="185"/>
    </row>
    <row r="25" spans="1:26" ht="18" customHeight="1" x14ac:dyDescent="0.15">
      <c r="A25" s="185"/>
      <c r="B25" s="185"/>
      <c r="C25" s="185"/>
      <c r="D25" s="185"/>
      <c r="E25" s="185"/>
      <c r="F25" s="185"/>
      <c r="G25" s="185"/>
      <c r="H25" s="185"/>
      <c r="I25" s="185"/>
      <c r="J25" s="185"/>
      <c r="K25" s="185"/>
      <c r="L25" s="185"/>
      <c r="M25" s="185"/>
      <c r="N25" s="185"/>
      <c r="O25" s="185"/>
      <c r="P25" s="185"/>
      <c r="Q25" s="185"/>
      <c r="R25" s="185"/>
      <c r="S25" s="185"/>
      <c r="T25" s="185"/>
      <c r="U25" s="185"/>
      <c r="V25" s="185"/>
      <c r="W25" s="185"/>
      <c r="X25" s="185"/>
      <c r="Y25" s="185"/>
      <c r="Z25" s="185"/>
    </row>
    <row r="26" spans="1:26" ht="18" customHeight="1" x14ac:dyDescent="0.15">
      <c r="A26" s="13"/>
      <c r="B26" s="132" t="s">
        <v>75</v>
      </c>
      <c r="C26" s="134"/>
      <c r="D26" s="134"/>
      <c r="E26" s="134"/>
      <c r="F26" s="133"/>
      <c r="G26" s="25" t="s">
        <v>76</v>
      </c>
      <c r="H26" s="96" t="s">
        <v>77</v>
      </c>
      <c r="I26" s="134" t="s">
        <v>78</v>
      </c>
      <c r="J26" s="134"/>
      <c r="K26" s="134"/>
      <c r="L26" s="66" t="s">
        <v>85</v>
      </c>
      <c r="M26" s="66" t="s">
        <v>86</v>
      </c>
      <c r="N26" s="132" t="s">
        <v>75</v>
      </c>
      <c r="O26" s="134"/>
      <c r="P26" s="134"/>
      <c r="Q26" s="134"/>
      <c r="R26" s="134"/>
      <c r="S26" s="133"/>
      <c r="T26" s="25" t="s">
        <v>76</v>
      </c>
      <c r="U26" s="96" t="s">
        <v>77</v>
      </c>
      <c r="V26" s="134" t="s">
        <v>78</v>
      </c>
      <c r="W26" s="134"/>
      <c r="X26" s="134"/>
      <c r="Y26" s="66" t="s">
        <v>85</v>
      </c>
      <c r="Z26" s="66" t="s">
        <v>86</v>
      </c>
    </row>
    <row r="27" spans="1:26" ht="18" customHeight="1" x14ac:dyDescent="0.15">
      <c r="A27" s="13"/>
      <c r="B27" s="179" t="s">
        <v>155</v>
      </c>
      <c r="C27" s="180"/>
      <c r="D27" s="180"/>
      <c r="E27" s="180"/>
      <c r="F27" s="181"/>
      <c r="G27" s="97">
        <v>2</v>
      </c>
      <c r="H27" s="97" t="s">
        <v>82</v>
      </c>
      <c r="I27" s="170" t="s">
        <v>83</v>
      </c>
      <c r="J27" s="171"/>
      <c r="K27" s="172"/>
      <c r="L27" s="97" t="s">
        <v>82</v>
      </c>
      <c r="M27" s="97" t="s">
        <v>82</v>
      </c>
      <c r="N27" s="139"/>
      <c r="O27" s="140"/>
      <c r="P27" s="140"/>
      <c r="Q27" s="140"/>
      <c r="R27" s="140"/>
      <c r="S27" s="141"/>
      <c r="T27" s="97"/>
      <c r="U27" s="97"/>
      <c r="V27" s="170"/>
      <c r="W27" s="171"/>
      <c r="X27" s="172"/>
      <c r="Y27" s="97"/>
      <c r="Z27" s="97"/>
    </row>
    <row r="28" spans="1:26" ht="18" customHeight="1" x14ac:dyDescent="0.15">
      <c r="A28" s="13"/>
      <c r="B28" s="179"/>
      <c r="C28" s="180"/>
      <c r="D28" s="180"/>
      <c r="E28" s="180"/>
      <c r="F28" s="181"/>
      <c r="G28" s="98"/>
      <c r="H28" s="98"/>
      <c r="I28" s="173"/>
      <c r="J28" s="174"/>
      <c r="K28" s="175"/>
      <c r="L28" s="98"/>
      <c r="M28" s="98"/>
      <c r="N28" s="148"/>
      <c r="O28" s="149"/>
      <c r="P28" s="149"/>
      <c r="Q28" s="149"/>
      <c r="R28" s="149"/>
      <c r="S28" s="150"/>
      <c r="T28" s="98"/>
      <c r="U28" s="98"/>
      <c r="V28" s="173"/>
      <c r="W28" s="174"/>
      <c r="X28" s="175"/>
      <c r="Y28" s="98"/>
      <c r="Z28" s="98"/>
    </row>
    <row r="29" spans="1:26" ht="18" customHeight="1" x14ac:dyDescent="0.15">
      <c r="A29" s="13"/>
      <c r="B29" s="179"/>
      <c r="C29" s="180"/>
      <c r="D29" s="180"/>
      <c r="E29" s="180"/>
      <c r="F29" s="181"/>
      <c r="G29" s="98"/>
      <c r="H29" s="98"/>
      <c r="I29" s="173"/>
      <c r="J29" s="174"/>
      <c r="K29" s="175"/>
      <c r="L29" s="98"/>
      <c r="M29" s="98"/>
      <c r="N29" s="148"/>
      <c r="O29" s="149"/>
      <c r="P29" s="149"/>
      <c r="Q29" s="149"/>
      <c r="R29" s="149"/>
      <c r="S29" s="150"/>
      <c r="T29" s="98"/>
      <c r="U29" s="98"/>
      <c r="V29" s="173"/>
      <c r="W29" s="174"/>
      <c r="X29" s="175"/>
      <c r="Y29" s="98"/>
      <c r="Z29" s="98"/>
    </row>
    <row r="30" spans="1:26" ht="18" customHeight="1" x14ac:dyDescent="0.15">
      <c r="A30" s="13"/>
      <c r="B30" s="179"/>
      <c r="C30" s="180"/>
      <c r="D30" s="180"/>
      <c r="E30" s="180"/>
      <c r="F30" s="181"/>
      <c r="G30" s="98"/>
      <c r="H30" s="98"/>
      <c r="I30" s="173"/>
      <c r="J30" s="174"/>
      <c r="K30" s="175"/>
      <c r="L30" s="98"/>
      <c r="M30" s="98"/>
      <c r="N30" s="148"/>
      <c r="O30" s="149"/>
      <c r="P30" s="149"/>
      <c r="Q30" s="149"/>
      <c r="R30" s="149"/>
      <c r="S30" s="150"/>
      <c r="T30" s="98"/>
      <c r="U30" s="98"/>
      <c r="V30" s="173"/>
      <c r="W30" s="174"/>
      <c r="X30" s="175"/>
      <c r="Y30" s="98"/>
      <c r="Z30" s="98"/>
    </row>
    <row r="31" spans="1:26" ht="18" customHeight="1" x14ac:dyDescent="0.15">
      <c r="A31" s="13"/>
      <c r="B31" s="179"/>
      <c r="C31" s="180"/>
      <c r="D31" s="180"/>
      <c r="E31" s="180"/>
      <c r="F31" s="181"/>
      <c r="G31" s="98"/>
      <c r="H31" s="98"/>
      <c r="I31" s="173"/>
      <c r="J31" s="174"/>
      <c r="K31" s="175"/>
      <c r="L31" s="98"/>
      <c r="M31" s="98"/>
      <c r="N31" s="148"/>
      <c r="O31" s="149"/>
      <c r="P31" s="149"/>
      <c r="Q31" s="149"/>
      <c r="R31" s="149"/>
      <c r="S31" s="150"/>
      <c r="T31" s="98"/>
      <c r="U31" s="98"/>
      <c r="V31" s="173"/>
      <c r="W31" s="174"/>
      <c r="X31" s="175"/>
      <c r="Y31" s="98"/>
      <c r="Z31" s="98"/>
    </row>
    <row r="32" spans="1:26" ht="18" customHeight="1" x14ac:dyDescent="0.15">
      <c r="A32" s="13"/>
      <c r="B32" s="179"/>
      <c r="C32" s="180"/>
      <c r="D32" s="180"/>
      <c r="E32" s="180"/>
      <c r="F32" s="181"/>
      <c r="G32" s="98"/>
      <c r="H32" s="98"/>
      <c r="I32" s="173"/>
      <c r="J32" s="174"/>
      <c r="K32" s="175"/>
      <c r="L32" s="98"/>
      <c r="M32" s="98"/>
      <c r="N32" s="148"/>
      <c r="O32" s="149"/>
      <c r="P32" s="149"/>
      <c r="Q32" s="149"/>
      <c r="R32" s="149"/>
      <c r="S32" s="150"/>
      <c r="T32" s="98"/>
      <c r="U32" s="98"/>
      <c r="V32" s="173"/>
      <c r="W32" s="174"/>
      <c r="X32" s="175"/>
      <c r="Y32" s="98"/>
      <c r="Z32" s="98"/>
    </row>
    <row r="33" spans="1:26" ht="18" customHeight="1" x14ac:dyDescent="0.15">
      <c r="A33" s="13"/>
      <c r="B33" s="186"/>
      <c r="C33" s="187"/>
      <c r="D33" s="187"/>
      <c r="E33" s="187"/>
      <c r="F33" s="188"/>
      <c r="G33" s="99"/>
      <c r="H33" s="99"/>
      <c r="I33" s="182"/>
      <c r="J33" s="183"/>
      <c r="K33" s="184"/>
      <c r="L33" s="104"/>
      <c r="M33" s="104"/>
      <c r="N33" s="209"/>
      <c r="O33" s="210"/>
      <c r="P33" s="210"/>
      <c r="Q33" s="210"/>
      <c r="R33" s="210"/>
      <c r="S33" s="211"/>
      <c r="T33" s="99"/>
      <c r="U33" s="99"/>
      <c r="V33" s="182"/>
      <c r="W33" s="183"/>
      <c r="X33" s="184"/>
      <c r="Y33" s="104"/>
      <c r="Z33" s="104"/>
    </row>
    <row r="34" spans="1:26" ht="7.5" customHeight="1" x14ac:dyDescent="0.15">
      <c r="A34" s="24"/>
      <c r="B34" s="30"/>
      <c r="C34" s="30"/>
      <c r="D34" s="24"/>
      <c r="E34" s="24"/>
      <c r="F34" s="24"/>
      <c r="G34" s="24"/>
      <c r="H34" s="24"/>
      <c r="I34" s="24"/>
      <c r="J34" s="24"/>
      <c r="K34" s="24"/>
      <c r="L34" s="30"/>
      <c r="M34" s="30"/>
      <c r="N34" s="30"/>
      <c r="O34" s="30"/>
      <c r="P34" s="30"/>
      <c r="Q34" s="30"/>
      <c r="R34" s="30"/>
      <c r="S34" s="30"/>
      <c r="T34" s="30"/>
      <c r="U34" s="30"/>
      <c r="V34" s="30"/>
      <c r="W34" s="30"/>
      <c r="X34" s="30"/>
      <c r="Y34" s="30"/>
      <c r="Z34" s="24"/>
    </row>
    <row r="35" spans="1:26" ht="18" customHeight="1" x14ac:dyDescent="0.15">
      <c r="A35" s="185" t="s">
        <v>89</v>
      </c>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row>
    <row r="36" spans="1:26" ht="18" customHeight="1" x14ac:dyDescent="0.15">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c r="Y36" s="185"/>
      <c r="Z36" s="185"/>
    </row>
    <row r="37" spans="1:26" ht="18" customHeight="1" x14ac:dyDescent="0.15">
      <c r="A37" s="13"/>
      <c r="B37" s="132" t="s">
        <v>75</v>
      </c>
      <c r="C37" s="134"/>
      <c r="D37" s="134"/>
      <c r="E37" s="134"/>
      <c r="F37" s="133"/>
      <c r="G37" s="25" t="s">
        <v>76</v>
      </c>
      <c r="H37" s="96" t="s">
        <v>77</v>
      </c>
      <c r="I37" s="132" t="s">
        <v>78</v>
      </c>
      <c r="J37" s="134"/>
      <c r="K37" s="133"/>
      <c r="L37" s="66" t="s">
        <v>90</v>
      </c>
      <c r="M37" s="66" t="s">
        <v>91</v>
      </c>
      <c r="N37" s="132" t="s">
        <v>75</v>
      </c>
      <c r="O37" s="134"/>
      <c r="P37" s="134"/>
      <c r="Q37" s="134"/>
      <c r="R37" s="134"/>
      <c r="S37" s="133"/>
      <c r="T37" s="25" t="s">
        <v>76</v>
      </c>
      <c r="U37" s="96" t="s">
        <v>77</v>
      </c>
      <c r="V37" s="132" t="s">
        <v>78</v>
      </c>
      <c r="W37" s="134"/>
      <c r="X37" s="133"/>
      <c r="Y37" s="66" t="s">
        <v>90</v>
      </c>
      <c r="Z37" s="66" t="s">
        <v>91</v>
      </c>
    </row>
    <row r="38" spans="1:26" ht="18" customHeight="1" x14ac:dyDescent="0.15">
      <c r="A38" s="24"/>
      <c r="B38" s="179" t="s">
        <v>156</v>
      </c>
      <c r="C38" s="180"/>
      <c r="D38" s="180"/>
      <c r="E38" s="180"/>
      <c r="F38" s="181"/>
      <c r="G38" s="98">
        <v>4</v>
      </c>
      <c r="H38" s="98" t="s">
        <v>82</v>
      </c>
      <c r="I38" s="173" t="s">
        <v>83</v>
      </c>
      <c r="J38" s="174"/>
      <c r="K38" s="175"/>
      <c r="L38" s="97" t="s">
        <v>82</v>
      </c>
      <c r="M38" s="97" t="s">
        <v>82</v>
      </c>
      <c r="N38" s="139"/>
      <c r="O38" s="140"/>
      <c r="P38" s="140"/>
      <c r="Q38" s="140"/>
      <c r="R38" s="140"/>
      <c r="S38" s="141"/>
      <c r="T38" s="97"/>
      <c r="U38" s="97"/>
      <c r="V38" s="170"/>
      <c r="W38" s="171"/>
      <c r="X38" s="172"/>
      <c r="Y38" s="97"/>
      <c r="Z38" s="97"/>
    </row>
    <row r="39" spans="1:26" ht="18" customHeight="1" x14ac:dyDescent="0.15">
      <c r="A39" s="24"/>
      <c r="B39" s="179"/>
      <c r="C39" s="180"/>
      <c r="D39" s="180"/>
      <c r="E39" s="180"/>
      <c r="F39" s="181"/>
      <c r="G39" s="98"/>
      <c r="H39" s="98"/>
      <c r="I39" s="173"/>
      <c r="J39" s="174"/>
      <c r="K39" s="175"/>
      <c r="L39" s="98"/>
      <c r="M39" s="98"/>
      <c r="N39" s="148"/>
      <c r="O39" s="149"/>
      <c r="P39" s="149"/>
      <c r="Q39" s="149"/>
      <c r="R39" s="149"/>
      <c r="S39" s="150"/>
      <c r="T39" s="98"/>
      <c r="U39" s="98"/>
      <c r="V39" s="173"/>
      <c r="W39" s="174"/>
      <c r="X39" s="175"/>
      <c r="Y39" s="98"/>
      <c r="Z39" s="98"/>
    </row>
    <row r="40" spans="1:26" ht="18" customHeight="1" x14ac:dyDescent="0.15">
      <c r="A40" s="24"/>
      <c r="B40" s="179"/>
      <c r="C40" s="180"/>
      <c r="D40" s="180"/>
      <c r="E40" s="180"/>
      <c r="F40" s="181"/>
      <c r="G40" s="98"/>
      <c r="H40" s="98"/>
      <c r="I40" s="173"/>
      <c r="J40" s="174"/>
      <c r="K40" s="175"/>
      <c r="L40" s="98"/>
      <c r="M40" s="98"/>
      <c r="N40" s="148"/>
      <c r="O40" s="149"/>
      <c r="P40" s="149"/>
      <c r="Q40" s="149"/>
      <c r="R40" s="149"/>
      <c r="S40" s="150"/>
      <c r="T40" s="98"/>
      <c r="U40" s="98"/>
      <c r="V40" s="173"/>
      <c r="W40" s="174"/>
      <c r="X40" s="175"/>
      <c r="Y40" s="98"/>
      <c r="Z40" s="98"/>
    </row>
    <row r="41" spans="1:26" ht="18" customHeight="1" x14ac:dyDescent="0.15">
      <c r="A41" s="24"/>
      <c r="B41" s="179"/>
      <c r="C41" s="180"/>
      <c r="D41" s="180"/>
      <c r="E41" s="180"/>
      <c r="F41" s="181"/>
      <c r="G41" s="98"/>
      <c r="H41" s="98"/>
      <c r="I41" s="173"/>
      <c r="J41" s="174"/>
      <c r="K41" s="175"/>
      <c r="L41" s="98"/>
      <c r="M41" s="98"/>
      <c r="N41" s="148"/>
      <c r="O41" s="149"/>
      <c r="P41" s="149"/>
      <c r="Q41" s="149"/>
      <c r="R41" s="149"/>
      <c r="S41" s="150"/>
      <c r="T41" s="98"/>
      <c r="U41" s="98"/>
      <c r="V41" s="173"/>
      <c r="W41" s="174"/>
      <c r="X41" s="175"/>
      <c r="Y41" s="98"/>
      <c r="Z41" s="98"/>
    </row>
    <row r="42" spans="1:26" ht="18" customHeight="1" x14ac:dyDescent="0.15">
      <c r="A42" s="24"/>
      <c r="B42" s="179"/>
      <c r="C42" s="180"/>
      <c r="D42" s="180"/>
      <c r="E42" s="180"/>
      <c r="F42" s="181"/>
      <c r="G42" s="98"/>
      <c r="H42" s="98"/>
      <c r="I42" s="173"/>
      <c r="J42" s="174"/>
      <c r="K42" s="175"/>
      <c r="L42" s="98"/>
      <c r="M42" s="98"/>
      <c r="N42" s="148"/>
      <c r="O42" s="149"/>
      <c r="P42" s="149"/>
      <c r="Q42" s="149"/>
      <c r="R42" s="149"/>
      <c r="S42" s="150"/>
      <c r="T42" s="98"/>
      <c r="U42" s="98"/>
      <c r="V42" s="173"/>
      <c r="W42" s="174"/>
      <c r="X42" s="175"/>
      <c r="Y42" s="98"/>
      <c r="Z42" s="98"/>
    </row>
    <row r="43" spans="1:26" ht="18" customHeight="1" x14ac:dyDescent="0.15">
      <c r="A43" s="24"/>
      <c r="B43" s="179"/>
      <c r="C43" s="180"/>
      <c r="D43" s="180"/>
      <c r="E43" s="180"/>
      <c r="F43" s="181"/>
      <c r="G43" s="98"/>
      <c r="H43" s="98"/>
      <c r="I43" s="173"/>
      <c r="J43" s="174"/>
      <c r="K43" s="175"/>
      <c r="L43" s="98"/>
      <c r="M43" s="98"/>
      <c r="N43" s="148"/>
      <c r="O43" s="149"/>
      <c r="P43" s="149"/>
      <c r="Q43" s="149"/>
      <c r="R43" s="149"/>
      <c r="S43" s="150"/>
      <c r="T43" s="98"/>
      <c r="U43" s="98"/>
      <c r="V43" s="173"/>
      <c r="W43" s="174"/>
      <c r="X43" s="175"/>
      <c r="Y43" s="98"/>
      <c r="Z43" s="98"/>
    </row>
    <row r="44" spans="1:26" ht="18" customHeight="1" x14ac:dyDescent="0.15">
      <c r="A44" s="24"/>
      <c r="B44" s="186"/>
      <c r="C44" s="187"/>
      <c r="D44" s="187"/>
      <c r="E44" s="187"/>
      <c r="F44" s="188"/>
      <c r="G44" s="99"/>
      <c r="H44" s="99"/>
      <c r="I44" s="182"/>
      <c r="J44" s="183"/>
      <c r="K44" s="184"/>
      <c r="L44" s="104"/>
      <c r="M44" s="104"/>
      <c r="N44" s="209"/>
      <c r="O44" s="210"/>
      <c r="P44" s="210"/>
      <c r="Q44" s="210"/>
      <c r="R44" s="210"/>
      <c r="S44" s="211"/>
      <c r="T44" s="99"/>
      <c r="U44" s="99"/>
      <c r="V44" s="182"/>
      <c r="W44" s="183"/>
      <c r="X44" s="184"/>
      <c r="Y44" s="104"/>
      <c r="Z44" s="104"/>
    </row>
    <row r="45" spans="1:26" ht="7.5" customHeight="1" x14ac:dyDescent="0.15">
      <c r="B45" s="67"/>
      <c r="C45" s="67"/>
      <c r="D45" s="67"/>
      <c r="E45" s="67"/>
      <c r="F45" s="67"/>
      <c r="G45" s="67"/>
      <c r="H45" s="67"/>
      <c r="I45" s="67"/>
      <c r="J45" s="67"/>
      <c r="K45" s="67"/>
      <c r="L45" s="67"/>
      <c r="M45" s="67"/>
      <c r="N45" s="67"/>
      <c r="O45" s="67"/>
      <c r="P45" s="67"/>
      <c r="Q45" s="67"/>
      <c r="R45" s="67"/>
      <c r="S45" s="67"/>
      <c r="T45" s="67"/>
      <c r="U45" s="67"/>
      <c r="V45" s="67"/>
      <c r="W45" s="67"/>
      <c r="X45" s="67"/>
      <c r="Y45" s="67"/>
    </row>
    <row r="46" spans="1:26" ht="18" customHeight="1" x14ac:dyDescent="0.15">
      <c r="A46" s="185" t="s">
        <v>92</v>
      </c>
      <c r="B46" s="185"/>
      <c r="C46" s="185"/>
      <c r="D46" s="185"/>
      <c r="E46" s="185"/>
      <c r="F46" s="185"/>
      <c r="G46" s="185"/>
      <c r="H46" s="185"/>
      <c r="I46" s="185"/>
      <c r="J46" s="185"/>
      <c r="K46" s="185"/>
      <c r="L46" s="185"/>
      <c r="M46" s="185"/>
      <c r="N46" s="185"/>
      <c r="O46" s="185"/>
      <c r="P46" s="185"/>
      <c r="Q46" s="185"/>
      <c r="R46" s="185"/>
      <c r="S46" s="185"/>
      <c r="T46" s="185"/>
      <c r="U46" s="185"/>
      <c r="V46" s="185"/>
      <c r="W46" s="185"/>
      <c r="X46" s="185"/>
      <c r="Y46" s="185"/>
      <c r="Z46" s="185"/>
    </row>
    <row r="47" spans="1:26" ht="18" customHeight="1" x14ac:dyDescent="0.15">
      <c r="A47" s="185"/>
      <c r="B47" s="185"/>
      <c r="C47" s="185"/>
      <c r="D47" s="185"/>
      <c r="E47" s="185"/>
      <c r="F47" s="185"/>
      <c r="G47" s="185"/>
      <c r="H47" s="185"/>
      <c r="I47" s="185"/>
      <c r="J47" s="185"/>
      <c r="K47" s="185"/>
      <c r="L47" s="185"/>
      <c r="M47" s="185"/>
      <c r="N47" s="185"/>
      <c r="O47" s="185"/>
      <c r="P47" s="185"/>
      <c r="Q47" s="185"/>
      <c r="R47" s="185"/>
      <c r="S47" s="185"/>
      <c r="T47" s="185"/>
      <c r="U47" s="185"/>
      <c r="V47" s="185"/>
      <c r="W47" s="185"/>
      <c r="X47" s="185"/>
      <c r="Y47" s="185"/>
      <c r="Z47" s="185"/>
    </row>
    <row r="48" spans="1:26" ht="18" customHeight="1" x14ac:dyDescent="0.15">
      <c r="A48" s="13"/>
      <c r="B48" s="132" t="s">
        <v>75</v>
      </c>
      <c r="C48" s="134"/>
      <c r="D48" s="134"/>
      <c r="E48" s="134"/>
      <c r="F48" s="133"/>
      <c r="G48" s="25" t="s">
        <v>76</v>
      </c>
      <c r="H48" s="96" t="s">
        <v>77</v>
      </c>
      <c r="I48" s="132" t="s">
        <v>78</v>
      </c>
      <c r="J48" s="134"/>
      <c r="K48" s="133"/>
      <c r="L48" s="66" t="s">
        <v>93</v>
      </c>
      <c r="M48" s="66" t="s">
        <v>94</v>
      </c>
      <c r="N48" s="132" t="s">
        <v>75</v>
      </c>
      <c r="O48" s="134"/>
      <c r="P48" s="134"/>
      <c r="Q48" s="134"/>
      <c r="R48" s="134"/>
      <c r="S48" s="133"/>
      <c r="T48" s="25" t="s">
        <v>76</v>
      </c>
      <c r="U48" s="96" t="s">
        <v>77</v>
      </c>
      <c r="V48" s="132" t="s">
        <v>78</v>
      </c>
      <c r="W48" s="134"/>
      <c r="X48" s="133"/>
      <c r="Y48" s="66" t="s">
        <v>93</v>
      </c>
      <c r="Z48" s="66" t="s">
        <v>94</v>
      </c>
    </row>
    <row r="49" spans="1:26" ht="18" customHeight="1" x14ac:dyDescent="0.15">
      <c r="A49" s="24"/>
      <c r="B49" s="176" t="s">
        <v>157</v>
      </c>
      <c r="C49" s="177"/>
      <c r="D49" s="177"/>
      <c r="E49" s="177"/>
      <c r="F49" s="178"/>
      <c r="G49" s="97">
        <v>2</v>
      </c>
      <c r="H49" s="97" t="s">
        <v>82</v>
      </c>
      <c r="I49" s="170" t="s">
        <v>83</v>
      </c>
      <c r="J49" s="171"/>
      <c r="K49" s="172"/>
      <c r="L49" s="97" t="s">
        <v>82</v>
      </c>
      <c r="M49" s="97" t="s">
        <v>82</v>
      </c>
      <c r="N49" s="139"/>
      <c r="O49" s="140"/>
      <c r="P49" s="140"/>
      <c r="Q49" s="140"/>
      <c r="R49" s="140"/>
      <c r="S49" s="141"/>
      <c r="T49" s="97"/>
      <c r="U49" s="97"/>
      <c r="V49" s="170"/>
      <c r="W49" s="171"/>
      <c r="X49" s="172"/>
      <c r="Y49" s="97"/>
      <c r="Z49" s="97"/>
    </row>
    <row r="50" spans="1:26" ht="18" customHeight="1" x14ac:dyDescent="0.15">
      <c r="A50" s="24"/>
      <c r="B50" s="179" t="s">
        <v>155</v>
      </c>
      <c r="C50" s="180"/>
      <c r="D50" s="180"/>
      <c r="E50" s="180"/>
      <c r="F50" s="181"/>
      <c r="G50" s="98">
        <v>2</v>
      </c>
      <c r="H50" s="98" t="s">
        <v>82</v>
      </c>
      <c r="I50" s="173" t="s">
        <v>83</v>
      </c>
      <c r="J50" s="174"/>
      <c r="K50" s="175"/>
      <c r="L50" s="98"/>
      <c r="M50" s="98" t="s">
        <v>82</v>
      </c>
      <c r="N50" s="148"/>
      <c r="O50" s="149"/>
      <c r="P50" s="149"/>
      <c r="Q50" s="149"/>
      <c r="R50" s="149"/>
      <c r="S50" s="150"/>
      <c r="T50" s="98"/>
      <c r="U50" s="98"/>
      <c r="V50" s="173"/>
      <c r="W50" s="174"/>
      <c r="X50" s="175"/>
      <c r="Y50" s="98"/>
      <c r="Z50" s="98"/>
    </row>
    <row r="51" spans="1:26" ht="18" customHeight="1" x14ac:dyDescent="0.15">
      <c r="A51" s="24"/>
      <c r="B51" s="179"/>
      <c r="C51" s="180"/>
      <c r="D51" s="180"/>
      <c r="E51" s="180"/>
      <c r="F51" s="181"/>
      <c r="G51" s="98"/>
      <c r="H51" s="98"/>
      <c r="I51" s="173"/>
      <c r="J51" s="174"/>
      <c r="K51" s="175"/>
      <c r="L51" s="98"/>
      <c r="M51" s="98"/>
      <c r="N51" s="148"/>
      <c r="O51" s="149"/>
      <c r="P51" s="149"/>
      <c r="Q51" s="149"/>
      <c r="R51" s="149"/>
      <c r="S51" s="150"/>
      <c r="T51" s="98"/>
      <c r="U51" s="98"/>
      <c r="V51" s="173"/>
      <c r="W51" s="174"/>
      <c r="X51" s="175"/>
      <c r="Y51" s="98"/>
      <c r="Z51" s="98"/>
    </row>
    <row r="52" spans="1:26" ht="18" customHeight="1" x14ac:dyDescent="0.15">
      <c r="A52" s="24"/>
      <c r="B52" s="179"/>
      <c r="C52" s="180"/>
      <c r="D52" s="180"/>
      <c r="E52" s="180"/>
      <c r="F52" s="181"/>
      <c r="G52" s="98"/>
      <c r="H52" s="98"/>
      <c r="I52" s="173"/>
      <c r="J52" s="174"/>
      <c r="K52" s="175"/>
      <c r="L52" s="98"/>
      <c r="M52" s="98"/>
      <c r="N52" s="148"/>
      <c r="O52" s="149"/>
      <c r="P52" s="149"/>
      <c r="Q52" s="149"/>
      <c r="R52" s="149"/>
      <c r="S52" s="150"/>
      <c r="T52" s="98"/>
      <c r="U52" s="98"/>
      <c r="V52" s="173"/>
      <c r="W52" s="174"/>
      <c r="X52" s="175"/>
      <c r="Y52" s="98"/>
      <c r="Z52" s="98"/>
    </row>
    <row r="53" spans="1:26" ht="18" customHeight="1" x14ac:dyDescent="0.15">
      <c r="A53" s="24"/>
      <c r="B53" s="179"/>
      <c r="C53" s="180"/>
      <c r="D53" s="180"/>
      <c r="E53" s="180"/>
      <c r="F53" s="181"/>
      <c r="G53" s="98"/>
      <c r="H53" s="98"/>
      <c r="I53" s="173"/>
      <c r="J53" s="174"/>
      <c r="K53" s="175"/>
      <c r="L53" s="98"/>
      <c r="M53" s="98"/>
      <c r="N53" s="148"/>
      <c r="O53" s="149"/>
      <c r="P53" s="149"/>
      <c r="Q53" s="149"/>
      <c r="R53" s="149"/>
      <c r="S53" s="150"/>
      <c r="T53" s="98"/>
      <c r="U53" s="98"/>
      <c r="V53" s="173"/>
      <c r="W53" s="174"/>
      <c r="X53" s="175"/>
      <c r="Y53" s="98"/>
      <c r="Z53" s="98"/>
    </row>
    <row r="54" spans="1:26" ht="18" customHeight="1" x14ac:dyDescent="0.15">
      <c r="A54" s="24"/>
      <c r="B54" s="179"/>
      <c r="C54" s="180"/>
      <c r="D54" s="180"/>
      <c r="E54" s="180"/>
      <c r="F54" s="181"/>
      <c r="G54" s="98"/>
      <c r="H54" s="98"/>
      <c r="I54" s="173"/>
      <c r="J54" s="174"/>
      <c r="K54" s="175"/>
      <c r="L54" s="98"/>
      <c r="M54" s="98"/>
      <c r="N54" s="148"/>
      <c r="O54" s="149"/>
      <c r="P54" s="149"/>
      <c r="Q54" s="149"/>
      <c r="R54" s="149"/>
      <c r="S54" s="150"/>
      <c r="T54" s="98"/>
      <c r="U54" s="98"/>
      <c r="V54" s="173"/>
      <c r="W54" s="174"/>
      <c r="X54" s="175"/>
      <c r="Y54" s="98"/>
      <c r="Z54" s="98"/>
    </row>
    <row r="55" spans="1:26" ht="18" customHeight="1" x14ac:dyDescent="0.15">
      <c r="A55" s="24"/>
      <c r="B55" s="186"/>
      <c r="C55" s="187"/>
      <c r="D55" s="187"/>
      <c r="E55" s="187"/>
      <c r="F55" s="188"/>
      <c r="G55" s="99"/>
      <c r="H55" s="99"/>
      <c r="I55" s="182"/>
      <c r="J55" s="183"/>
      <c r="K55" s="184"/>
      <c r="L55" s="104"/>
      <c r="M55" s="104"/>
      <c r="N55" s="209"/>
      <c r="O55" s="210"/>
      <c r="P55" s="210"/>
      <c r="Q55" s="210"/>
      <c r="R55" s="210"/>
      <c r="S55" s="211"/>
      <c r="T55" s="99"/>
      <c r="U55" s="99"/>
      <c r="V55" s="182"/>
      <c r="W55" s="183"/>
      <c r="X55" s="184"/>
      <c r="Y55" s="104"/>
      <c r="Z55" s="104"/>
    </row>
    <row r="56" spans="1:26" ht="7.5" customHeight="1" x14ac:dyDescent="0.15">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6" ht="18" customHeight="1" x14ac:dyDescent="0.15">
      <c r="A57" s="185" t="s">
        <v>95</v>
      </c>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row>
    <row r="58" spans="1:26" ht="18" customHeight="1" x14ac:dyDescent="0.15">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row>
    <row r="59" spans="1:26" ht="18" customHeight="1" x14ac:dyDescent="0.15">
      <c r="A59" s="13"/>
      <c r="B59" s="132" t="s">
        <v>75</v>
      </c>
      <c r="C59" s="134"/>
      <c r="D59" s="134"/>
      <c r="E59" s="133"/>
      <c r="F59" s="25" t="s">
        <v>76</v>
      </c>
      <c r="G59" s="96" t="s">
        <v>77</v>
      </c>
      <c r="H59" s="21" t="s">
        <v>78</v>
      </c>
      <c r="I59" s="93"/>
      <c r="J59" s="22"/>
      <c r="K59" s="66" t="s">
        <v>96</v>
      </c>
      <c r="L59" s="66" t="s">
        <v>97</v>
      </c>
      <c r="M59" s="66" t="s">
        <v>98</v>
      </c>
      <c r="N59" s="132" t="s">
        <v>75</v>
      </c>
      <c r="O59" s="134"/>
      <c r="P59" s="134"/>
      <c r="Q59" s="134"/>
      <c r="R59" s="133"/>
      <c r="S59" s="25" t="s">
        <v>76</v>
      </c>
      <c r="T59" s="96" t="s">
        <v>77</v>
      </c>
      <c r="U59" s="21" t="s">
        <v>78</v>
      </c>
      <c r="V59" s="93"/>
      <c r="W59" s="22"/>
      <c r="X59" s="66" t="s">
        <v>96</v>
      </c>
      <c r="Y59" s="66" t="s">
        <v>97</v>
      </c>
      <c r="Z59" s="66" t="s">
        <v>98</v>
      </c>
    </row>
    <row r="60" spans="1:26" ht="18" customHeight="1" x14ac:dyDescent="0.15">
      <c r="A60" s="24"/>
      <c r="B60" s="148" t="s">
        <v>158</v>
      </c>
      <c r="C60" s="149"/>
      <c r="D60" s="149"/>
      <c r="E60" s="150"/>
      <c r="F60" s="97">
        <v>2</v>
      </c>
      <c r="G60" s="97" t="s">
        <v>82</v>
      </c>
      <c r="H60" s="170" t="s">
        <v>83</v>
      </c>
      <c r="I60" s="171"/>
      <c r="J60" s="172"/>
      <c r="K60" s="97" t="s">
        <v>82</v>
      </c>
      <c r="L60" s="97" t="s">
        <v>82</v>
      </c>
      <c r="M60" s="97" t="s">
        <v>82</v>
      </c>
      <c r="N60" s="139"/>
      <c r="O60" s="140"/>
      <c r="P60" s="140"/>
      <c r="Q60" s="140"/>
      <c r="R60" s="141"/>
      <c r="S60" s="97"/>
      <c r="T60" s="97"/>
      <c r="U60" s="170"/>
      <c r="V60" s="171"/>
      <c r="W60" s="172"/>
      <c r="X60" s="103"/>
      <c r="Y60" s="97"/>
      <c r="Z60" s="97"/>
    </row>
    <row r="61" spans="1:26" ht="18" customHeight="1" x14ac:dyDescent="0.15">
      <c r="A61" s="24"/>
      <c r="B61" s="148" t="s">
        <v>159</v>
      </c>
      <c r="C61" s="149"/>
      <c r="D61" s="149"/>
      <c r="E61" s="150"/>
      <c r="F61" s="98">
        <v>4</v>
      </c>
      <c r="G61" s="98" t="s">
        <v>82</v>
      </c>
      <c r="H61" s="173" t="s">
        <v>83</v>
      </c>
      <c r="I61" s="174"/>
      <c r="J61" s="175"/>
      <c r="K61" s="97" t="s">
        <v>82</v>
      </c>
      <c r="L61" s="98" t="s">
        <v>82</v>
      </c>
      <c r="M61" s="98" t="s">
        <v>82</v>
      </c>
      <c r="N61" s="148"/>
      <c r="O61" s="149"/>
      <c r="P61" s="149"/>
      <c r="Q61" s="149"/>
      <c r="R61" s="150"/>
      <c r="S61" s="98"/>
      <c r="T61" s="98"/>
      <c r="U61" s="173"/>
      <c r="V61" s="174"/>
      <c r="W61" s="175"/>
      <c r="X61" s="101"/>
      <c r="Y61" s="98"/>
      <c r="Z61" s="98"/>
    </row>
    <row r="62" spans="1:26" ht="18" customHeight="1" x14ac:dyDescent="0.15">
      <c r="A62" s="24"/>
      <c r="B62" s="148"/>
      <c r="C62" s="149"/>
      <c r="D62" s="149"/>
      <c r="E62" s="150"/>
      <c r="F62" s="98"/>
      <c r="G62" s="98"/>
      <c r="H62" s="173"/>
      <c r="I62" s="174"/>
      <c r="J62" s="175"/>
      <c r="K62" s="101"/>
      <c r="L62" s="98"/>
      <c r="M62" s="98"/>
      <c r="N62" s="148"/>
      <c r="O62" s="149"/>
      <c r="P62" s="149"/>
      <c r="Q62" s="149"/>
      <c r="R62" s="150"/>
      <c r="S62" s="98"/>
      <c r="T62" s="98"/>
      <c r="U62" s="173"/>
      <c r="V62" s="174"/>
      <c r="W62" s="175"/>
      <c r="X62" s="101"/>
      <c r="Y62" s="98"/>
      <c r="Z62" s="98"/>
    </row>
    <row r="63" spans="1:26" ht="18" customHeight="1" x14ac:dyDescent="0.15">
      <c r="A63" s="24"/>
      <c r="B63" s="148"/>
      <c r="C63" s="149"/>
      <c r="D63" s="149"/>
      <c r="E63" s="150"/>
      <c r="F63" s="98"/>
      <c r="G63" s="98"/>
      <c r="H63" s="173"/>
      <c r="I63" s="174"/>
      <c r="J63" s="175"/>
      <c r="K63" s="101"/>
      <c r="L63" s="98"/>
      <c r="M63" s="98"/>
      <c r="N63" s="148"/>
      <c r="O63" s="149"/>
      <c r="P63" s="149"/>
      <c r="Q63" s="149"/>
      <c r="R63" s="150"/>
      <c r="S63" s="98"/>
      <c r="T63" s="98"/>
      <c r="U63" s="173"/>
      <c r="V63" s="174"/>
      <c r="W63" s="175"/>
      <c r="X63" s="101"/>
      <c r="Y63" s="98"/>
      <c r="Z63" s="98"/>
    </row>
    <row r="64" spans="1:26" ht="18" customHeight="1" x14ac:dyDescent="0.15">
      <c r="A64" s="24"/>
      <c r="B64" s="148"/>
      <c r="C64" s="149"/>
      <c r="D64" s="149"/>
      <c r="E64" s="150"/>
      <c r="F64" s="98"/>
      <c r="G64" s="98"/>
      <c r="H64" s="173"/>
      <c r="I64" s="174"/>
      <c r="J64" s="175"/>
      <c r="K64" s="101"/>
      <c r="L64" s="98"/>
      <c r="M64" s="98"/>
      <c r="N64" s="148"/>
      <c r="O64" s="149"/>
      <c r="P64" s="149"/>
      <c r="Q64" s="149"/>
      <c r="R64" s="150"/>
      <c r="S64" s="98"/>
      <c r="T64" s="98"/>
      <c r="U64" s="173"/>
      <c r="V64" s="174"/>
      <c r="W64" s="175"/>
      <c r="X64" s="101"/>
      <c r="Y64" s="98"/>
      <c r="Z64" s="98"/>
    </row>
    <row r="65" spans="1:26" ht="18" customHeight="1" x14ac:dyDescent="0.15">
      <c r="A65" s="24"/>
      <c r="B65" s="148"/>
      <c r="C65" s="149"/>
      <c r="D65" s="149"/>
      <c r="E65" s="150"/>
      <c r="F65" s="98"/>
      <c r="G65" s="98"/>
      <c r="H65" s="173"/>
      <c r="I65" s="174"/>
      <c r="J65" s="175"/>
      <c r="K65" s="101"/>
      <c r="L65" s="98"/>
      <c r="M65" s="98"/>
      <c r="N65" s="148"/>
      <c r="O65" s="149"/>
      <c r="P65" s="149"/>
      <c r="Q65" s="149"/>
      <c r="R65" s="150"/>
      <c r="S65" s="98"/>
      <c r="T65" s="98"/>
      <c r="U65" s="173"/>
      <c r="V65" s="174"/>
      <c r="W65" s="175"/>
      <c r="X65" s="101"/>
      <c r="Y65" s="98"/>
      <c r="Z65" s="98"/>
    </row>
    <row r="66" spans="1:26" ht="18" customHeight="1" x14ac:dyDescent="0.15">
      <c r="A66" s="24"/>
      <c r="B66" s="209"/>
      <c r="C66" s="210"/>
      <c r="D66" s="210"/>
      <c r="E66" s="211"/>
      <c r="F66" s="99"/>
      <c r="G66" s="99"/>
      <c r="H66" s="182"/>
      <c r="I66" s="183"/>
      <c r="J66" s="184"/>
      <c r="K66" s="102"/>
      <c r="L66" s="104"/>
      <c r="M66" s="104"/>
      <c r="N66" s="209"/>
      <c r="O66" s="210"/>
      <c r="P66" s="210"/>
      <c r="Q66" s="210"/>
      <c r="R66" s="211"/>
      <c r="S66" s="99"/>
      <c r="T66" s="99"/>
      <c r="U66" s="182"/>
      <c r="V66" s="183"/>
      <c r="W66" s="184"/>
      <c r="X66" s="102"/>
      <c r="Y66" s="104"/>
      <c r="Z66" s="104"/>
    </row>
    <row r="67" spans="1:26" ht="7.5" customHeight="1" x14ac:dyDescent="0.15">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6" ht="18" customHeight="1" x14ac:dyDescent="0.15">
      <c r="A68" s="13" t="s">
        <v>160</v>
      </c>
      <c r="B68" s="13"/>
      <c r="C68" s="13"/>
      <c r="D68" s="13"/>
      <c r="E68" s="13"/>
      <c r="F68" s="13"/>
      <c r="G68" s="13"/>
      <c r="H68" s="13"/>
      <c r="I68" s="13"/>
      <c r="J68" s="13"/>
      <c r="K68" s="13"/>
      <c r="L68" s="24"/>
      <c r="M68" s="24"/>
      <c r="N68" s="24"/>
      <c r="O68" s="24"/>
      <c r="P68" s="24"/>
      <c r="Q68" s="24"/>
      <c r="R68" s="24"/>
      <c r="S68" s="24"/>
      <c r="T68" s="24"/>
      <c r="U68" s="24"/>
      <c r="V68" s="24"/>
      <c r="W68" s="24"/>
      <c r="X68" s="24"/>
      <c r="Y68" s="24"/>
      <c r="Z68" s="24"/>
    </row>
    <row r="69" spans="1:26" ht="18" customHeight="1" x14ac:dyDescent="0.15">
      <c r="A69" s="13"/>
      <c r="B69" s="132" t="s">
        <v>75</v>
      </c>
      <c r="C69" s="134"/>
      <c r="D69" s="134"/>
      <c r="E69" s="134"/>
      <c r="F69" s="133"/>
      <c r="G69" s="132" t="s">
        <v>102</v>
      </c>
      <c r="H69" s="134"/>
      <c r="I69" s="134"/>
      <c r="J69" s="134"/>
      <c r="K69" s="134"/>
      <c r="L69" s="134"/>
      <c r="M69" s="133"/>
      <c r="N69" s="215" t="s">
        <v>75</v>
      </c>
      <c r="O69" s="216"/>
      <c r="P69" s="216"/>
      <c r="Q69" s="216"/>
      <c r="R69" s="216"/>
      <c r="S69" s="217"/>
      <c r="T69" s="132" t="s">
        <v>102</v>
      </c>
      <c r="U69" s="134"/>
      <c r="V69" s="134"/>
      <c r="W69" s="134"/>
      <c r="X69" s="134"/>
      <c r="Y69" s="134"/>
      <c r="Z69" s="133"/>
    </row>
    <row r="70" spans="1:26" ht="18" customHeight="1" x14ac:dyDescent="0.15">
      <c r="A70" s="24"/>
      <c r="B70" s="139" t="s">
        <v>103</v>
      </c>
      <c r="C70" s="140"/>
      <c r="D70" s="140"/>
      <c r="E70" s="140"/>
      <c r="F70" s="141"/>
      <c r="G70" s="142" t="s">
        <v>104</v>
      </c>
      <c r="H70" s="143"/>
      <c r="I70" s="143"/>
      <c r="J70" s="143"/>
      <c r="K70" s="143"/>
      <c r="L70" s="143"/>
      <c r="M70" s="144"/>
      <c r="N70" s="139"/>
      <c r="O70" s="140"/>
      <c r="P70" s="140"/>
      <c r="Q70" s="140"/>
      <c r="R70" s="140"/>
      <c r="S70" s="141"/>
      <c r="T70" s="142"/>
      <c r="U70" s="143"/>
      <c r="V70" s="143"/>
      <c r="W70" s="143"/>
      <c r="X70" s="143"/>
      <c r="Y70" s="143"/>
      <c r="Z70" s="144"/>
    </row>
    <row r="71" spans="1:26" ht="18" customHeight="1" x14ac:dyDescent="0.15">
      <c r="A71" s="24"/>
      <c r="B71" s="148" t="s">
        <v>161</v>
      </c>
      <c r="C71" s="149"/>
      <c r="D71" s="149"/>
      <c r="E71" s="149"/>
      <c r="F71" s="150"/>
      <c r="G71" s="151" t="s">
        <v>104</v>
      </c>
      <c r="H71" s="152"/>
      <c r="I71" s="152"/>
      <c r="J71" s="152"/>
      <c r="K71" s="152"/>
      <c r="L71" s="152"/>
      <c r="M71" s="153"/>
      <c r="N71" s="148"/>
      <c r="O71" s="149"/>
      <c r="P71" s="149"/>
      <c r="Q71" s="149"/>
      <c r="R71" s="149"/>
      <c r="S71" s="150"/>
      <c r="T71" s="151"/>
      <c r="U71" s="152"/>
      <c r="V71" s="152"/>
      <c r="W71" s="152"/>
      <c r="X71" s="152"/>
      <c r="Y71" s="152"/>
      <c r="Z71" s="153"/>
    </row>
    <row r="72" spans="1:26" ht="18" customHeight="1" x14ac:dyDescent="0.15">
      <c r="A72" s="24"/>
      <c r="B72" s="148" t="s">
        <v>161</v>
      </c>
      <c r="C72" s="149"/>
      <c r="D72" s="149"/>
      <c r="E72" s="149"/>
      <c r="F72" s="150"/>
      <c r="G72" s="151" t="s">
        <v>109</v>
      </c>
      <c r="H72" s="152"/>
      <c r="I72" s="152"/>
      <c r="J72" s="152"/>
      <c r="K72" s="152"/>
      <c r="L72" s="152"/>
      <c r="M72" s="153"/>
      <c r="N72" s="148"/>
      <c r="O72" s="149"/>
      <c r="P72" s="149"/>
      <c r="Q72" s="149"/>
      <c r="R72" s="149"/>
      <c r="S72" s="150"/>
      <c r="T72" s="151"/>
      <c r="U72" s="152"/>
      <c r="V72" s="152"/>
      <c r="W72" s="152"/>
      <c r="X72" s="152"/>
      <c r="Y72" s="152"/>
      <c r="Z72" s="153"/>
    </row>
    <row r="73" spans="1:26" ht="18" customHeight="1" x14ac:dyDescent="0.15">
      <c r="A73" s="24"/>
      <c r="B73" s="148" t="s">
        <v>162</v>
      </c>
      <c r="C73" s="149"/>
      <c r="D73" s="149"/>
      <c r="E73" s="149"/>
      <c r="F73" s="150"/>
      <c r="G73" s="151" t="s">
        <v>106</v>
      </c>
      <c r="H73" s="152"/>
      <c r="I73" s="152"/>
      <c r="J73" s="152"/>
      <c r="K73" s="152"/>
      <c r="L73" s="152"/>
      <c r="M73" s="153"/>
      <c r="N73" s="148"/>
      <c r="O73" s="149"/>
      <c r="P73" s="149"/>
      <c r="Q73" s="149"/>
      <c r="R73" s="149"/>
      <c r="S73" s="150"/>
      <c r="T73" s="151"/>
      <c r="U73" s="152"/>
      <c r="V73" s="152"/>
      <c r="W73" s="152"/>
      <c r="X73" s="152"/>
      <c r="Y73" s="152"/>
      <c r="Z73" s="153"/>
    </row>
    <row r="74" spans="1:26" ht="18" customHeight="1" x14ac:dyDescent="0.15">
      <c r="A74" s="24"/>
      <c r="B74" s="148"/>
      <c r="C74" s="149"/>
      <c r="D74" s="149"/>
      <c r="E74" s="149"/>
      <c r="F74" s="150"/>
      <c r="G74" s="151"/>
      <c r="H74" s="152"/>
      <c r="I74" s="152"/>
      <c r="J74" s="152"/>
      <c r="K74" s="152"/>
      <c r="L74" s="152"/>
      <c r="M74" s="153"/>
      <c r="N74" s="148"/>
      <c r="O74" s="149"/>
      <c r="P74" s="149"/>
      <c r="Q74" s="149"/>
      <c r="R74" s="149"/>
      <c r="S74" s="150"/>
      <c r="T74" s="151"/>
      <c r="U74" s="152"/>
      <c r="V74" s="152"/>
      <c r="W74" s="152"/>
      <c r="X74" s="152"/>
      <c r="Y74" s="152"/>
      <c r="Z74" s="153"/>
    </row>
    <row r="75" spans="1:26" ht="18" customHeight="1" x14ac:dyDescent="0.15">
      <c r="A75" s="24"/>
      <c r="B75" s="148"/>
      <c r="C75" s="149"/>
      <c r="D75" s="149"/>
      <c r="E75" s="149"/>
      <c r="F75" s="150"/>
      <c r="G75" s="151"/>
      <c r="H75" s="152"/>
      <c r="I75" s="152"/>
      <c r="J75" s="152"/>
      <c r="K75" s="152"/>
      <c r="L75" s="152"/>
      <c r="M75" s="153"/>
      <c r="N75" s="148"/>
      <c r="O75" s="149"/>
      <c r="P75" s="149"/>
      <c r="Q75" s="149"/>
      <c r="R75" s="149"/>
      <c r="S75" s="150"/>
      <c r="T75" s="151"/>
      <c r="U75" s="152"/>
      <c r="V75" s="152"/>
      <c r="W75" s="152"/>
      <c r="X75" s="152"/>
      <c r="Y75" s="152"/>
      <c r="Z75" s="153"/>
    </row>
    <row r="76" spans="1:26" ht="18" customHeight="1" x14ac:dyDescent="0.15">
      <c r="A76" s="24"/>
      <c r="B76" s="209"/>
      <c r="C76" s="210"/>
      <c r="D76" s="210"/>
      <c r="E76" s="210"/>
      <c r="F76" s="211"/>
      <c r="G76" s="212"/>
      <c r="H76" s="213"/>
      <c r="I76" s="213"/>
      <c r="J76" s="213"/>
      <c r="K76" s="213"/>
      <c r="L76" s="213"/>
      <c r="M76" s="214"/>
      <c r="N76" s="209"/>
      <c r="O76" s="210"/>
      <c r="P76" s="210"/>
      <c r="Q76" s="210"/>
      <c r="R76" s="210"/>
      <c r="S76" s="211"/>
      <c r="T76" s="212"/>
      <c r="U76" s="213"/>
      <c r="V76" s="213"/>
      <c r="W76" s="213"/>
      <c r="X76" s="213"/>
      <c r="Y76" s="213"/>
      <c r="Z76" s="214"/>
    </row>
    <row r="77" spans="1:26" ht="18" customHeight="1" x14ac:dyDescent="0.15">
      <c r="A77" s="24"/>
      <c r="B77" s="30"/>
      <c r="C77" s="30"/>
      <c r="D77" s="30"/>
      <c r="E77" s="30"/>
      <c r="F77" s="30"/>
      <c r="G77" s="11"/>
      <c r="H77" s="11"/>
      <c r="I77" s="11"/>
      <c r="J77" s="11"/>
      <c r="K77" s="11"/>
      <c r="L77" s="11"/>
      <c r="M77" s="11"/>
      <c r="N77" s="30"/>
      <c r="O77" s="30"/>
      <c r="P77" s="30"/>
      <c r="Q77" s="30"/>
      <c r="R77" s="30"/>
      <c r="S77" s="30"/>
      <c r="T77" s="11"/>
      <c r="U77" s="11"/>
      <c r="V77" s="11"/>
      <c r="W77" s="11"/>
      <c r="X77" s="11"/>
      <c r="Y77" s="11"/>
      <c r="Z77" s="11"/>
    </row>
    <row r="78" spans="1:26" ht="18.75" customHeight="1" x14ac:dyDescent="0.15">
      <c r="A78" s="12" t="s">
        <v>163</v>
      </c>
    </row>
    <row r="79" spans="1:26" ht="18.75" customHeight="1" x14ac:dyDescent="0.15">
      <c r="B79" s="68" t="s">
        <v>111</v>
      </c>
      <c r="C79" s="69"/>
      <c r="D79" s="168" t="s">
        <v>112</v>
      </c>
      <c r="E79" s="168"/>
      <c r="F79" s="168"/>
      <c r="G79" s="168"/>
      <c r="H79" s="168"/>
      <c r="I79" s="168"/>
      <c r="J79" s="168"/>
      <c r="K79" s="168"/>
      <c r="L79" s="168"/>
      <c r="M79" s="168"/>
      <c r="N79" s="168"/>
      <c r="O79" s="168"/>
      <c r="P79" s="168"/>
      <c r="Q79" s="168"/>
      <c r="R79" s="168"/>
      <c r="S79" s="168"/>
      <c r="T79" s="168"/>
      <c r="U79" s="168"/>
      <c r="V79" s="168"/>
      <c r="W79" s="168"/>
      <c r="X79" s="168"/>
      <c r="Y79" s="168"/>
      <c r="Z79" s="169"/>
    </row>
    <row r="80" spans="1:26" ht="78" customHeight="1" x14ac:dyDescent="0.15">
      <c r="B80" s="156" t="s">
        <v>113</v>
      </c>
      <c r="C80" s="75" t="s">
        <v>79</v>
      </c>
      <c r="D80" s="163" t="s">
        <v>164</v>
      </c>
      <c r="E80" s="163"/>
      <c r="F80" s="163"/>
      <c r="G80" s="163"/>
      <c r="H80" s="163"/>
      <c r="I80" s="163"/>
      <c r="J80" s="163"/>
      <c r="K80" s="163"/>
      <c r="L80" s="163"/>
      <c r="M80" s="163"/>
      <c r="N80" s="163"/>
      <c r="O80" s="163"/>
      <c r="P80" s="163"/>
      <c r="Q80" s="163"/>
      <c r="R80" s="163"/>
      <c r="S80" s="163"/>
      <c r="T80" s="163"/>
      <c r="U80" s="163"/>
      <c r="V80" s="163"/>
      <c r="W80" s="163"/>
      <c r="X80" s="163"/>
      <c r="Y80" s="163"/>
      <c r="Z80" s="164"/>
    </row>
    <row r="81" spans="1:26" ht="78" customHeight="1" x14ac:dyDescent="0.15">
      <c r="B81" s="157"/>
      <c r="C81" s="94" t="s">
        <v>115</v>
      </c>
      <c r="D81" s="252" t="s">
        <v>165</v>
      </c>
      <c r="E81" s="199"/>
      <c r="F81" s="199"/>
      <c r="G81" s="199"/>
      <c r="H81" s="199"/>
      <c r="I81" s="199"/>
      <c r="J81" s="199"/>
      <c r="K81" s="199"/>
      <c r="L81" s="199"/>
      <c r="M81" s="199"/>
      <c r="N81" s="199"/>
      <c r="O81" s="199"/>
      <c r="P81" s="199"/>
      <c r="Q81" s="199"/>
      <c r="R81" s="199"/>
      <c r="S81" s="199"/>
      <c r="T81" s="199"/>
      <c r="U81" s="199"/>
      <c r="V81" s="199"/>
      <c r="W81" s="199"/>
      <c r="X81" s="199"/>
      <c r="Y81" s="199"/>
      <c r="Z81" s="200"/>
    </row>
    <row r="82" spans="1:26" ht="78" customHeight="1" x14ac:dyDescent="0.15">
      <c r="B82" s="154" t="s">
        <v>117</v>
      </c>
      <c r="C82" s="70" t="s">
        <v>85</v>
      </c>
      <c r="D82" s="201" t="s">
        <v>166</v>
      </c>
      <c r="E82" s="201"/>
      <c r="F82" s="201"/>
      <c r="G82" s="201"/>
      <c r="H82" s="201"/>
      <c r="I82" s="201"/>
      <c r="J82" s="201"/>
      <c r="K82" s="201"/>
      <c r="L82" s="201"/>
      <c r="M82" s="201"/>
      <c r="N82" s="201"/>
      <c r="O82" s="201"/>
      <c r="P82" s="201"/>
      <c r="Q82" s="201"/>
      <c r="R82" s="201"/>
      <c r="S82" s="201"/>
      <c r="T82" s="201"/>
      <c r="U82" s="201"/>
      <c r="V82" s="201"/>
      <c r="W82" s="201"/>
      <c r="X82" s="201"/>
      <c r="Y82" s="201"/>
      <c r="Z82" s="202"/>
    </row>
    <row r="83" spans="1:26" ht="78" customHeight="1" x14ac:dyDescent="0.15">
      <c r="B83" s="155"/>
      <c r="C83" s="95" t="s">
        <v>86</v>
      </c>
      <c r="D83" s="205" t="s">
        <v>167</v>
      </c>
      <c r="E83" s="205"/>
      <c r="F83" s="205"/>
      <c r="G83" s="205"/>
      <c r="H83" s="205"/>
      <c r="I83" s="205"/>
      <c r="J83" s="205"/>
      <c r="K83" s="205"/>
      <c r="L83" s="205"/>
      <c r="M83" s="205"/>
      <c r="N83" s="205"/>
      <c r="O83" s="205"/>
      <c r="P83" s="205"/>
      <c r="Q83" s="205"/>
      <c r="R83" s="205"/>
      <c r="S83" s="205"/>
      <c r="T83" s="205"/>
      <c r="U83" s="205"/>
      <c r="V83" s="205"/>
      <c r="W83" s="205"/>
      <c r="X83" s="205"/>
      <c r="Y83" s="205"/>
      <c r="Z83" s="206"/>
    </row>
    <row r="84" spans="1:26" ht="66" customHeight="1" x14ac:dyDescent="0.15">
      <c r="B84" s="154" t="s">
        <v>120</v>
      </c>
      <c r="C84" s="70" t="s">
        <v>90</v>
      </c>
      <c r="D84" s="207" t="s">
        <v>168</v>
      </c>
      <c r="E84" s="201"/>
      <c r="F84" s="201"/>
      <c r="G84" s="201"/>
      <c r="H84" s="201"/>
      <c r="I84" s="201"/>
      <c r="J84" s="201"/>
      <c r="K84" s="201"/>
      <c r="L84" s="201"/>
      <c r="M84" s="201"/>
      <c r="N84" s="201"/>
      <c r="O84" s="201"/>
      <c r="P84" s="201"/>
      <c r="Q84" s="201"/>
      <c r="R84" s="201"/>
      <c r="S84" s="201"/>
      <c r="T84" s="201"/>
      <c r="U84" s="201"/>
      <c r="V84" s="201"/>
      <c r="W84" s="201"/>
      <c r="X84" s="201"/>
      <c r="Y84" s="201"/>
      <c r="Z84" s="202"/>
    </row>
    <row r="85" spans="1:26" ht="66" customHeight="1" x14ac:dyDescent="0.15">
      <c r="B85" s="155"/>
      <c r="C85" s="72" t="s">
        <v>91</v>
      </c>
      <c r="D85" s="250" t="s">
        <v>169</v>
      </c>
      <c r="E85" s="250"/>
      <c r="F85" s="250"/>
      <c r="G85" s="250"/>
      <c r="H85" s="250"/>
      <c r="I85" s="250"/>
      <c r="J85" s="250"/>
      <c r="K85" s="250"/>
      <c r="L85" s="250"/>
      <c r="M85" s="250"/>
      <c r="N85" s="250"/>
      <c r="O85" s="250"/>
      <c r="P85" s="250"/>
      <c r="Q85" s="250"/>
      <c r="R85" s="250"/>
      <c r="S85" s="250"/>
      <c r="T85" s="250"/>
      <c r="U85" s="250"/>
      <c r="V85" s="250"/>
      <c r="W85" s="250"/>
      <c r="X85" s="250"/>
      <c r="Y85" s="250"/>
      <c r="Z85" s="251"/>
    </row>
    <row r="86" spans="1:26" ht="66" customHeight="1" x14ac:dyDescent="0.15">
      <c r="B86" s="156" t="s">
        <v>123</v>
      </c>
      <c r="C86" s="75" t="s">
        <v>93</v>
      </c>
      <c r="D86" s="163" t="s">
        <v>170</v>
      </c>
      <c r="E86" s="163"/>
      <c r="F86" s="163"/>
      <c r="G86" s="163"/>
      <c r="H86" s="163"/>
      <c r="I86" s="163"/>
      <c r="J86" s="163"/>
      <c r="K86" s="163"/>
      <c r="L86" s="163"/>
      <c r="M86" s="163"/>
      <c r="N86" s="163"/>
      <c r="O86" s="163"/>
      <c r="P86" s="163"/>
      <c r="Q86" s="163"/>
      <c r="R86" s="163"/>
      <c r="S86" s="163"/>
      <c r="T86" s="163"/>
      <c r="U86" s="163"/>
      <c r="V86" s="163"/>
      <c r="W86" s="163"/>
      <c r="X86" s="163"/>
      <c r="Y86" s="163"/>
      <c r="Z86" s="164"/>
    </row>
    <row r="87" spans="1:26" ht="66" customHeight="1" x14ac:dyDescent="0.15">
      <c r="B87" s="162"/>
      <c r="C87" s="71" t="s">
        <v>94</v>
      </c>
      <c r="D87" s="165" t="s">
        <v>171</v>
      </c>
      <c r="E87" s="166"/>
      <c r="F87" s="166"/>
      <c r="G87" s="166"/>
      <c r="H87" s="166"/>
      <c r="I87" s="166"/>
      <c r="J87" s="166"/>
      <c r="K87" s="166"/>
      <c r="L87" s="166"/>
      <c r="M87" s="166"/>
      <c r="N87" s="166"/>
      <c r="O87" s="166"/>
      <c r="P87" s="166"/>
      <c r="Q87" s="166"/>
      <c r="R87" s="166"/>
      <c r="S87" s="166"/>
      <c r="T87" s="166"/>
      <c r="U87" s="166"/>
      <c r="V87" s="166"/>
      <c r="W87" s="166"/>
      <c r="X87" s="166"/>
      <c r="Y87" s="166"/>
      <c r="Z87" s="167"/>
    </row>
    <row r="88" spans="1:26" ht="66" customHeight="1" x14ac:dyDescent="0.15">
      <c r="B88" s="156" t="s">
        <v>126</v>
      </c>
      <c r="C88" s="70" t="s">
        <v>96</v>
      </c>
      <c r="D88" s="158" t="s">
        <v>172</v>
      </c>
      <c r="E88" s="253"/>
      <c r="F88" s="253"/>
      <c r="G88" s="253"/>
      <c r="H88" s="253"/>
      <c r="I88" s="253"/>
      <c r="J88" s="253"/>
      <c r="K88" s="253"/>
      <c r="L88" s="253"/>
      <c r="M88" s="253"/>
      <c r="N88" s="253"/>
      <c r="O88" s="253"/>
      <c r="P88" s="253"/>
      <c r="Q88" s="253"/>
      <c r="R88" s="253"/>
      <c r="S88" s="253"/>
      <c r="T88" s="253"/>
      <c r="U88" s="253"/>
      <c r="V88" s="253"/>
      <c r="W88" s="253"/>
      <c r="X88" s="253"/>
      <c r="Y88" s="253"/>
      <c r="Z88" s="254"/>
    </row>
    <row r="89" spans="1:26" ht="66" customHeight="1" x14ac:dyDescent="0.15">
      <c r="B89" s="157"/>
      <c r="C89" s="71" t="s">
        <v>97</v>
      </c>
      <c r="D89" s="255" t="s">
        <v>173</v>
      </c>
      <c r="E89" s="146"/>
      <c r="F89" s="146"/>
      <c r="G89" s="146"/>
      <c r="H89" s="146"/>
      <c r="I89" s="146"/>
      <c r="J89" s="146"/>
      <c r="K89" s="146"/>
      <c r="L89" s="146"/>
      <c r="M89" s="146"/>
      <c r="N89" s="146"/>
      <c r="O89" s="146"/>
      <c r="P89" s="146"/>
      <c r="Q89" s="146"/>
      <c r="R89" s="146"/>
      <c r="S89" s="146"/>
      <c r="T89" s="146"/>
      <c r="U89" s="146"/>
      <c r="V89" s="146"/>
      <c r="W89" s="146"/>
      <c r="X89" s="146"/>
      <c r="Y89" s="146"/>
      <c r="Z89" s="147"/>
    </row>
    <row r="90" spans="1:26" ht="66" customHeight="1" x14ac:dyDescent="0.15">
      <c r="B90" s="155"/>
      <c r="C90" s="72" t="s">
        <v>98</v>
      </c>
      <c r="D90" s="256" t="s">
        <v>174</v>
      </c>
      <c r="E90" s="160"/>
      <c r="F90" s="160"/>
      <c r="G90" s="160"/>
      <c r="H90" s="160"/>
      <c r="I90" s="160"/>
      <c r="J90" s="160"/>
      <c r="K90" s="160"/>
      <c r="L90" s="160"/>
      <c r="M90" s="160"/>
      <c r="N90" s="160"/>
      <c r="O90" s="160"/>
      <c r="P90" s="160"/>
      <c r="Q90" s="160"/>
      <c r="R90" s="160"/>
      <c r="S90" s="160"/>
      <c r="T90" s="160"/>
      <c r="U90" s="160"/>
      <c r="V90" s="160"/>
      <c r="W90" s="160"/>
      <c r="X90" s="160"/>
      <c r="Y90" s="160"/>
      <c r="Z90" s="161"/>
    </row>
    <row r="91" spans="1:26" ht="6" customHeight="1" x14ac:dyDescent="0.15"/>
    <row r="92" spans="1:26" ht="18.75" customHeight="1" x14ac:dyDescent="0.15">
      <c r="A92" s="12" t="s">
        <v>130</v>
      </c>
    </row>
    <row r="93" spans="1:26" ht="18.75" customHeight="1" x14ac:dyDescent="0.15">
      <c r="B93" s="218" t="s">
        <v>131</v>
      </c>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20"/>
    </row>
    <row r="94" spans="1:26" ht="18.75" customHeight="1" x14ac:dyDescent="0.15">
      <c r="B94" s="221"/>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3"/>
    </row>
    <row r="95" spans="1:26" ht="18.75" customHeight="1" x14ac:dyDescent="0.15">
      <c r="B95" s="224"/>
      <c r="C95" s="160"/>
      <c r="D95" s="160"/>
      <c r="E95" s="160"/>
      <c r="F95" s="160"/>
      <c r="G95" s="160"/>
      <c r="H95" s="160"/>
      <c r="I95" s="160"/>
      <c r="J95" s="160"/>
      <c r="K95" s="160"/>
      <c r="L95" s="160"/>
      <c r="M95" s="160"/>
      <c r="N95" s="160"/>
      <c r="O95" s="160"/>
      <c r="P95" s="160"/>
      <c r="Q95" s="160"/>
      <c r="R95" s="160"/>
      <c r="S95" s="160"/>
      <c r="T95" s="160"/>
      <c r="U95" s="160"/>
      <c r="V95" s="160"/>
      <c r="W95" s="160"/>
      <c r="X95" s="160"/>
      <c r="Y95" s="160"/>
      <c r="Z95" s="161"/>
    </row>
    <row r="96" spans="1:26" ht="6" customHeight="1" x14ac:dyDescent="0.15"/>
    <row r="97" spans="1:26" ht="15" customHeight="1" x14ac:dyDescent="0.15">
      <c r="A97" s="12" t="s">
        <v>132</v>
      </c>
    </row>
    <row r="98" spans="1:26" ht="15" customHeight="1" x14ac:dyDescent="0.15">
      <c r="B98" s="238" t="s">
        <v>133</v>
      </c>
      <c r="C98" s="226"/>
      <c r="D98" s="226"/>
      <c r="E98" s="226"/>
      <c r="F98" s="226"/>
      <c r="G98" s="226"/>
      <c r="H98" s="226"/>
      <c r="I98" s="226"/>
      <c r="J98" s="226"/>
      <c r="K98" s="226"/>
      <c r="L98" s="226"/>
      <c r="M98" s="226"/>
      <c r="N98" s="226"/>
      <c r="O98" s="226"/>
      <c r="P98" s="226"/>
      <c r="Q98" s="226"/>
      <c r="R98" s="226"/>
      <c r="S98" s="226"/>
      <c r="T98" s="226"/>
      <c r="U98" s="226"/>
      <c r="V98" s="226"/>
      <c r="W98" s="226"/>
      <c r="X98" s="226"/>
      <c r="Y98" s="226"/>
      <c r="Z98" s="227"/>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L27:M33 L38:M44 Y38:Z44 L49:M55 Y49:Z55 Y60:Z66 H16:H22 U16:U22 H27:H33 U27:U33 T60:T66 U38:U44 H49:H55 U49:U55 H38:H44 K60:K61 G60:G66 L60:M66" xr:uid="{8162ED0C-81C6-42D5-B5AB-063C196CD16B}">
      <formula1>"○"</formula1>
    </dataValidation>
    <dataValidation type="list" allowBlank="1" showInputMessage="1" showErrorMessage="1" sqref="Z23 Z34 D34:K34 D23:K23 V16:V22 I16:I22 V27:V33 I27:I33 V38:V44 I38:I44 V49:V55 I49:I55 U60:U66 H60:H66" xr:uid="{9232FA25-BABC-4DF2-AD30-47BAFC1C17D2}">
      <formula1>"全学開講,一部開講"</formula1>
    </dataValidation>
    <dataValidation type="list" allowBlank="1" showInputMessage="1" showErrorMessage="1" sqref="O4" xr:uid="{6F1B71AE-1712-4D2D-AE22-159E96718FED}">
      <formula1>"学部・学科によって、修了要件は相違する,学部・学科によって、修了要件は相違しない"</formula1>
    </dataValidation>
    <dataValidation type="list" allowBlank="1" showInputMessage="1" showErrorMessage="1" sqref="H74:M77 U74:Z77 H70:M72 T70:T77 U70:Z71 G70:G77" xr:uid="{05C5D625-411C-48DE-90AD-0415C5FFE10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Z98" r:id="rId1" display="https://www.hiroshima-cmt.ac.jp/release/ai.html" xr:uid="{6A3A651F-9C74-44DC-A33F-0B53154E7048}"/>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tabSelected="1" view="pageBreakPreview" topLeftCell="A10" zoomScale="130" zoomScaleNormal="100" zoomScaleSheetLayoutView="130" workbookViewId="0">
      <selection activeCell="G18" sqref="G18:J18"/>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7" t="s">
        <v>175</v>
      </c>
      <c r="G1" s="257"/>
      <c r="H1" s="257"/>
      <c r="I1" s="257"/>
      <c r="J1" s="257"/>
      <c r="K1" s="257"/>
      <c r="L1" s="257"/>
      <c r="M1" s="257"/>
      <c r="N1" s="257"/>
      <c r="O1" s="257"/>
      <c r="P1" s="257"/>
      <c r="Q1" s="257"/>
      <c r="R1" s="257"/>
    </row>
    <row r="2" spans="1:20" ht="18" customHeight="1" x14ac:dyDescent="0.15">
      <c r="A2" s="258" t="s">
        <v>176</v>
      </c>
      <c r="B2" s="258"/>
      <c r="C2" s="258"/>
      <c r="D2" s="258"/>
      <c r="E2" s="258"/>
      <c r="F2" s="258"/>
      <c r="G2" s="258"/>
      <c r="H2" s="258"/>
      <c r="I2" s="258"/>
      <c r="J2" s="258"/>
      <c r="K2" s="258"/>
      <c r="L2" s="258"/>
      <c r="M2" s="258"/>
      <c r="N2" s="258"/>
      <c r="O2" s="258"/>
      <c r="P2" s="258"/>
      <c r="Q2" s="258"/>
      <c r="R2" s="258"/>
      <c r="S2" s="3"/>
    </row>
    <row r="3" spans="1:20" ht="7.5" customHeight="1" x14ac:dyDescent="0.15">
      <c r="A3" s="31"/>
      <c r="B3" s="31"/>
      <c r="C3" s="31"/>
      <c r="D3" s="31"/>
      <c r="E3" s="31"/>
      <c r="F3" s="31"/>
      <c r="G3" s="31"/>
      <c r="H3" s="31"/>
      <c r="I3" s="31"/>
      <c r="J3" s="31"/>
      <c r="K3" s="31"/>
      <c r="L3" s="31"/>
      <c r="M3" s="31"/>
      <c r="N3" s="31"/>
      <c r="O3" s="31"/>
      <c r="P3" s="31"/>
      <c r="Q3" s="31"/>
      <c r="R3" s="31"/>
    </row>
    <row r="4" spans="1:20" ht="18" customHeight="1" x14ac:dyDescent="0.15">
      <c r="A4" s="3" t="s">
        <v>177</v>
      </c>
      <c r="B4" s="3"/>
      <c r="C4" s="259" t="str">
        <f>'様式１　大学等概要'!E12</f>
        <v>令和３</v>
      </c>
      <c r="D4" s="260"/>
      <c r="E4" s="31" t="s">
        <v>20</v>
      </c>
      <c r="F4" s="31"/>
      <c r="G4" s="31"/>
      <c r="H4" s="31"/>
      <c r="I4" s="31"/>
      <c r="J4" s="76"/>
      <c r="K4" s="31"/>
      <c r="L4" s="31"/>
      <c r="M4" s="40"/>
      <c r="N4" s="40"/>
      <c r="O4" s="40"/>
      <c r="P4" s="40"/>
      <c r="Q4" s="40"/>
      <c r="R4" s="40"/>
    </row>
    <row r="5" spans="1:20" ht="6" customHeight="1" x14ac:dyDescent="0.15">
      <c r="A5" s="31"/>
      <c r="B5" s="31"/>
      <c r="C5" s="31"/>
      <c r="D5" s="31"/>
      <c r="E5" s="31"/>
      <c r="F5" s="31"/>
      <c r="G5" s="31"/>
      <c r="H5" s="31"/>
      <c r="I5" s="31"/>
      <c r="J5" s="31"/>
      <c r="K5" s="31"/>
      <c r="L5" s="31"/>
      <c r="M5" s="31"/>
      <c r="N5" s="31"/>
      <c r="O5" s="31"/>
      <c r="P5" s="31"/>
      <c r="Q5" s="31"/>
      <c r="R5" s="31"/>
    </row>
    <row r="6" spans="1:20" ht="18" customHeight="1" x14ac:dyDescent="0.15">
      <c r="A6" s="3" t="s">
        <v>178</v>
      </c>
      <c r="B6" s="31"/>
      <c r="C6" s="31"/>
      <c r="D6" s="31"/>
      <c r="E6" s="31"/>
      <c r="F6" s="31"/>
      <c r="G6" s="31"/>
      <c r="H6" s="31"/>
      <c r="I6" s="31"/>
      <c r="J6" s="31"/>
      <c r="K6" s="31"/>
      <c r="L6" s="31"/>
      <c r="M6" s="31"/>
      <c r="N6" s="31"/>
      <c r="O6" s="31"/>
      <c r="P6" s="31"/>
      <c r="Q6" s="31"/>
      <c r="R6" s="31"/>
    </row>
    <row r="7" spans="1:20" ht="6" customHeight="1" x14ac:dyDescent="0.15">
      <c r="A7" s="3"/>
      <c r="B7" s="31"/>
      <c r="C7" s="31"/>
      <c r="D7" s="31"/>
      <c r="E7" s="31"/>
      <c r="F7" s="31"/>
      <c r="G7" s="31"/>
      <c r="H7" s="31"/>
      <c r="I7" s="31"/>
      <c r="J7" s="31"/>
      <c r="K7" s="31"/>
      <c r="L7" s="31"/>
      <c r="M7" s="31"/>
      <c r="N7" s="31"/>
      <c r="O7" s="31"/>
      <c r="P7" s="31"/>
      <c r="Q7" s="31"/>
      <c r="R7" s="31"/>
    </row>
    <row r="8" spans="1:20" ht="18" customHeight="1" x14ac:dyDescent="0.15">
      <c r="B8" s="261" t="s">
        <v>179</v>
      </c>
      <c r="C8" s="263" t="s">
        <v>180</v>
      </c>
      <c r="D8" s="265" t="s">
        <v>181</v>
      </c>
      <c r="E8" s="267" t="s">
        <v>182</v>
      </c>
      <c r="F8" s="267"/>
      <c r="G8" s="267" t="s">
        <v>183</v>
      </c>
      <c r="H8" s="267"/>
      <c r="I8" s="267" t="s">
        <v>184</v>
      </c>
      <c r="J8" s="267"/>
      <c r="K8" s="268" t="s">
        <v>185</v>
      </c>
      <c r="L8" s="269"/>
      <c r="M8" s="268" t="s">
        <v>186</v>
      </c>
      <c r="N8" s="269"/>
      <c r="O8" s="268" t="s">
        <v>187</v>
      </c>
      <c r="P8" s="269"/>
      <c r="Q8" s="270" t="s">
        <v>188</v>
      </c>
      <c r="R8" s="272" t="s">
        <v>189</v>
      </c>
      <c r="T8" s="29"/>
    </row>
    <row r="9" spans="1:20" ht="18" customHeight="1" x14ac:dyDescent="0.15">
      <c r="A9" s="3"/>
      <c r="B9" s="262"/>
      <c r="C9" s="264"/>
      <c r="D9" s="266"/>
      <c r="E9" s="36" t="s">
        <v>190</v>
      </c>
      <c r="F9" s="37" t="s">
        <v>191</v>
      </c>
      <c r="G9" s="38" t="s">
        <v>190</v>
      </c>
      <c r="H9" s="39" t="s">
        <v>191</v>
      </c>
      <c r="I9" s="36" t="s">
        <v>190</v>
      </c>
      <c r="J9" s="37" t="s">
        <v>191</v>
      </c>
      <c r="K9" s="38" t="s">
        <v>190</v>
      </c>
      <c r="L9" s="39" t="s">
        <v>191</v>
      </c>
      <c r="M9" s="36" t="s">
        <v>190</v>
      </c>
      <c r="N9" s="37" t="s">
        <v>191</v>
      </c>
      <c r="O9" s="38" t="s">
        <v>190</v>
      </c>
      <c r="P9" s="39" t="s">
        <v>191</v>
      </c>
      <c r="Q9" s="271"/>
      <c r="R9" s="273"/>
      <c r="T9" s="29"/>
    </row>
    <row r="10" spans="1:20" ht="18" customHeight="1" x14ac:dyDescent="0.15">
      <c r="A10" s="40"/>
      <c r="B10" s="77" t="s">
        <v>192</v>
      </c>
      <c r="C10" s="40">
        <v>40</v>
      </c>
      <c r="D10" s="41">
        <v>240</v>
      </c>
      <c r="E10" s="42">
        <v>84</v>
      </c>
      <c r="F10" s="43">
        <v>0</v>
      </c>
      <c r="G10" s="44">
        <v>0</v>
      </c>
      <c r="H10" s="45">
        <v>0</v>
      </c>
      <c r="I10" s="44">
        <v>0</v>
      </c>
      <c r="J10" s="43">
        <v>0</v>
      </c>
      <c r="K10" s="44">
        <v>0</v>
      </c>
      <c r="L10" s="45">
        <v>0</v>
      </c>
      <c r="M10" s="44">
        <v>0</v>
      </c>
      <c r="N10" s="43">
        <v>0</v>
      </c>
      <c r="O10" s="44">
        <v>0</v>
      </c>
      <c r="P10" s="45">
        <v>0</v>
      </c>
      <c r="Q10" s="46">
        <f>E10+G10+I10+K10+M10+O10</f>
        <v>84</v>
      </c>
      <c r="R10" s="47">
        <f>Q10/D10</f>
        <v>0.35</v>
      </c>
    </row>
    <row r="11" spans="1:20" ht="18" customHeight="1" x14ac:dyDescent="0.15">
      <c r="A11" s="40"/>
      <c r="B11" s="78" t="s">
        <v>193</v>
      </c>
      <c r="C11" s="56">
        <v>40</v>
      </c>
      <c r="D11" s="49">
        <v>200</v>
      </c>
      <c r="E11" s="50">
        <v>80</v>
      </c>
      <c r="F11" s="51">
        <v>0</v>
      </c>
      <c r="G11" s="52">
        <v>0</v>
      </c>
      <c r="H11" s="53">
        <v>0</v>
      </c>
      <c r="I11" s="52">
        <v>0</v>
      </c>
      <c r="J11" s="51">
        <v>0</v>
      </c>
      <c r="K11" s="52">
        <v>0</v>
      </c>
      <c r="L11" s="53">
        <v>0</v>
      </c>
      <c r="M11" s="52">
        <v>0</v>
      </c>
      <c r="N11" s="51">
        <v>0</v>
      </c>
      <c r="O11" s="52">
        <v>0</v>
      </c>
      <c r="P11" s="53">
        <v>0</v>
      </c>
      <c r="Q11" s="54">
        <f t="shared" ref="Q11:Q29" si="0">E11+G11+I11+K11+M11+O11</f>
        <v>80</v>
      </c>
      <c r="R11" s="55">
        <f t="shared" ref="R11:R29" si="1">Q11/D11</f>
        <v>0.4</v>
      </c>
    </row>
    <row r="12" spans="1:20" ht="18" customHeight="1" x14ac:dyDescent="0.15">
      <c r="A12" s="40"/>
      <c r="B12" s="78" t="s">
        <v>194</v>
      </c>
      <c r="C12" s="56">
        <v>40</v>
      </c>
      <c r="D12" s="49">
        <v>200</v>
      </c>
      <c r="E12" s="50">
        <v>82</v>
      </c>
      <c r="F12" s="51">
        <v>0</v>
      </c>
      <c r="G12" s="52">
        <v>0</v>
      </c>
      <c r="H12" s="53">
        <v>0</v>
      </c>
      <c r="I12" s="52">
        <v>0</v>
      </c>
      <c r="J12" s="51">
        <v>0</v>
      </c>
      <c r="K12" s="52">
        <v>0</v>
      </c>
      <c r="L12" s="53">
        <v>0</v>
      </c>
      <c r="M12" s="52">
        <v>0</v>
      </c>
      <c r="N12" s="51">
        <v>0</v>
      </c>
      <c r="O12" s="52">
        <v>0</v>
      </c>
      <c r="P12" s="53">
        <v>0</v>
      </c>
      <c r="Q12" s="54">
        <f t="shared" si="0"/>
        <v>82</v>
      </c>
      <c r="R12" s="55">
        <f t="shared" si="1"/>
        <v>0.41</v>
      </c>
    </row>
    <row r="13" spans="1:20" ht="18" customHeight="1" x14ac:dyDescent="0.15">
      <c r="A13" s="40"/>
      <c r="B13" s="78"/>
      <c r="C13" s="56"/>
      <c r="D13" s="49"/>
      <c r="E13" s="50"/>
      <c r="F13" s="51"/>
      <c r="G13" s="52"/>
      <c r="H13" s="53"/>
      <c r="I13" s="50"/>
      <c r="J13" s="51"/>
      <c r="K13" s="52"/>
      <c r="L13" s="53"/>
      <c r="M13" s="50"/>
      <c r="N13" s="51"/>
      <c r="O13" s="52"/>
      <c r="P13" s="53"/>
      <c r="Q13" s="54">
        <f t="shared" si="0"/>
        <v>0</v>
      </c>
      <c r="R13" s="55" t="e">
        <f t="shared" si="1"/>
        <v>#DIV/0!</v>
      </c>
    </row>
    <row r="14" spans="1:20" ht="18" customHeight="1" x14ac:dyDescent="0.15">
      <c r="A14" s="40"/>
      <c r="B14" s="78"/>
      <c r="C14" s="56"/>
      <c r="D14" s="49"/>
      <c r="E14" s="50"/>
      <c r="F14" s="51"/>
      <c r="G14" s="52"/>
      <c r="H14" s="53"/>
      <c r="I14" s="50"/>
      <c r="J14" s="51"/>
      <c r="K14" s="52"/>
      <c r="L14" s="53"/>
      <c r="M14" s="50"/>
      <c r="N14" s="51"/>
      <c r="O14" s="52"/>
      <c r="P14" s="53"/>
      <c r="Q14" s="54">
        <f t="shared" si="0"/>
        <v>0</v>
      </c>
      <c r="R14" s="55" t="e">
        <f t="shared" si="1"/>
        <v>#DIV/0!</v>
      </c>
    </row>
    <row r="15" spans="1:20" ht="18" customHeight="1" x14ac:dyDescent="0.15">
      <c r="A15" s="40"/>
      <c r="B15" s="78"/>
      <c r="C15" s="56"/>
      <c r="D15" s="49"/>
      <c r="E15" s="50"/>
      <c r="F15" s="51"/>
      <c r="G15" s="52"/>
      <c r="H15" s="53"/>
      <c r="I15" s="50"/>
      <c r="J15" s="51"/>
      <c r="K15" s="52"/>
      <c r="L15" s="53"/>
      <c r="M15" s="50"/>
      <c r="N15" s="51"/>
      <c r="O15" s="52"/>
      <c r="P15" s="53"/>
      <c r="Q15" s="54">
        <f t="shared" si="0"/>
        <v>0</v>
      </c>
      <c r="R15" s="55" t="e">
        <f t="shared" si="1"/>
        <v>#DIV/0!</v>
      </c>
    </row>
    <row r="16" spans="1:20" ht="18" customHeight="1" x14ac:dyDescent="0.15">
      <c r="A16" s="40"/>
      <c r="B16" s="78"/>
      <c r="C16" s="56"/>
      <c r="D16" s="49"/>
      <c r="E16" s="50"/>
      <c r="F16" s="51"/>
      <c r="G16" s="52"/>
      <c r="H16" s="53"/>
      <c r="I16" s="50"/>
      <c r="J16" s="51"/>
      <c r="K16" s="52"/>
      <c r="L16" s="53"/>
      <c r="M16" s="50"/>
      <c r="N16" s="51"/>
      <c r="O16" s="52"/>
      <c r="P16" s="53"/>
      <c r="Q16" s="54">
        <f t="shared" si="0"/>
        <v>0</v>
      </c>
      <c r="R16" s="55" t="e">
        <f t="shared" si="1"/>
        <v>#DIV/0!</v>
      </c>
    </row>
    <row r="17" spans="1:18" ht="18" customHeight="1" x14ac:dyDescent="0.15">
      <c r="A17" s="40"/>
      <c r="B17" s="78"/>
      <c r="C17" s="56"/>
      <c r="D17" s="49"/>
      <c r="E17" s="50"/>
      <c r="F17" s="51"/>
      <c r="G17" s="52"/>
      <c r="H17" s="53"/>
      <c r="I17" s="50"/>
      <c r="J17" s="51"/>
      <c r="K17" s="52"/>
      <c r="L17" s="53"/>
      <c r="M17" s="50"/>
      <c r="N17" s="51"/>
      <c r="O17" s="52"/>
      <c r="P17" s="53"/>
      <c r="Q17" s="54">
        <f t="shared" si="0"/>
        <v>0</v>
      </c>
      <c r="R17" s="55" t="e">
        <f t="shared" si="1"/>
        <v>#DIV/0!</v>
      </c>
    </row>
    <row r="18" spans="1:18" ht="18" customHeight="1" x14ac:dyDescent="0.15">
      <c r="A18" s="40"/>
      <c r="B18" s="78"/>
      <c r="C18" s="56"/>
      <c r="D18" s="49"/>
      <c r="E18" s="50"/>
      <c r="F18" s="51"/>
      <c r="G18" s="52"/>
      <c r="H18" s="53"/>
      <c r="I18" s="50"/>
      <c r="J18" s="51"/>
      <c r="K18" s="52"/>
      <c r="L18" s="53"/>
      <c r="M18" s="50"/>
      <c r="N18" s="51"/>
      <c r="O18" s="52"/>
      <c r="P18" s="53"/>
      <c r="Q18" s="54">
        <f>E18+G18+I18+K18+M18+O18</f>
        <v>0</v>
      </c>
      <c r="R18" s="55" t="e">
        <f t="shared" si="1"/>
        <v>#DIV/0!</v>
      </c>
    </row>
    <row r="19" spans="1:18" ht="18" customHeight="1" x14ac:dyDescent="0.15">
      <c r="A19" s="40"/>
      <c r="B19" s="78"/>
      <c r="C19" s="56"/>
      <c r="D19" s="49"/>
      <c r="E19" s="50"/>
      <c r="F19" s="51"/>
      <c r="G19" s="52"/>
      <c r="H19" s="53"/>
      <c r="I19" s="50"/>
      <c r="J19" s="51"/>
      <c r="K19" s="52"/>
      <c r="L19" s="53"/>
      <c r="M19" s="50"/>
      <c r="N19" s="51"/>
      <c r="O19" s="52"/>
      <c r="P19" s="53"/>
      <c r="Q19" s="54">
        <f t="shared" si="0"/>
        <v>0</v>
      </c>
      <c r="R19" s="55" t="e">
        <f t="shared" si="1"/>
        <v>#DIV/0!</v>
      </c>
    </row>
    <row r="20" spans="1:18" ht="18" customHeight="1" x14ac:dyDescent="0.15">
      <c r="A20" s="40"/>
      <c r="B20" s="78"/>
      <c r="C20" s="56"/>
      <c r="D20" s="49"/>
      <c r="E20" s="50"/>
      <c r="F20" s="51"/>
      <c r="G20" s="52"/>
      <c r="H20" s="53"/>
      <c r="I20" s="50"/>
      <c r="J20" s="51"/>
      <c r="K20" s="52"/>
      <c r="L20" s="53"/>
      <c r="M20" s="50"/>
      <c r="N20" s="51"/>
      <c r="O20" s="52"/>
      <c r="P20" s="53"/>
      <c r="Q20" s="54">
        <f t="shared" si="0"/>
        <v>0</v>
      </c>
      <c r="R20" s="55" t="e">
        <f t="shared" si="1"/>
        <v>#DIV/0!</v>
      </c>
    </row>
    <row r="21" spans="1:18" ht="18" customHeight="1" x14ac:dyDescent="0.15">
      <c r="A21" s="40"/>
      <c r="B21" s="78"/>
      <c r="C21" s="56"/>
      <c r="D21" s="49"/>
      <c r="E21" s="50"/>
      <c r="F21" s="51"/>
      <c r="G21" s="52"/>
      <c r="H21" s="53"/>
      <c r="I21" s="50"/>
      <c r="J21" s="51"/>
      <c r="K21" s="52"/>
      <c r="L21" s="53"/>
      <c r="M21" s="50"/>
      <c r="N21" s="51"/>
      <c r="O21" s="52"/>
      <c r="P21" s="53"/>
      <c r="Q21" s="54">
        <f t="shared" si="0"/>
        <v>0</v>
      </c>
      <c r="R21" s="55" t="e">
        <f t="shared" si="1"/>
        <v>#DIV/0!</v>
      </c>
    </row>
    <row r="22" spans="1:18" ht="18" customHeight="1" x14ac:dyDescent="0.15">
      <c r="A22" s="40"/>
      <c r="B22" s="78"/>
      <c r="C22" s="56"/>
      <c r="D22" s="49"/>
      <c r="E22" s="50"/>
      <c r="F22" s="51"/>
      <c r="G22" s="52"/>
      <c r="H22" s="53"/>
      <c r="I22" s="50"/>
      <c r="J22" s="51"/>
      <c r="K22" s="52"/>
      <c r="L22" s="53"/>
      <c r="M22" s="50"/>
      <c r="N22" s="51"/>
      <c r="O22" s="52"/>
      <c r="P22" s="53"/>
      <c r="Q22" s="54">
        <f t="shared" si="0"/>
        <v>0</v>
      </c>
      <c r="R22" s="55" t="e">
        <f t="shared" si="1"/>
        <v>#DIV/0!</v>
      </c>
    </row>
    <row r="23" spans="1:18" ht="18" customHeight="1" x14ac:dyDescent="0.15">
      <c r="A23" s="40"/>
      <c r="B23" s="78"/>
      <c r="C23" s="56"/>
      <c r="D23" s="49"/>
      <c r="E23" s="50"/>
      <c r="F23" s="51"/>
      <c r="G23" s="52"/>
      <c r="H23" s="53"/>
      <c r="I23" s="50"/>
      <c r="J23" s="51"/>
      <c r="K23" s="52"/>
      <c r="L23" s="53"/>
      <c r="M23" s="50"/>
      <c r="N23" s="51"/>
      <c r="O23" s="52"/>
      <c r="P23" s="53"/>
      <c r="Q23" s="54">
        <f t="shared" si="0"/>
        <v>0</v>
      </c>
      <c r="R23" s="55" t="e">
        <f t="shared" si="1"/>
        <v>#DIV/0!</v>
      </c>
    </row>
    <row r="24" spans="1:18" ht="18" customHeight="1" x14ac:dyDescent="0.15">
      <c r="A24" s="40"/>
      <c r="B24" s="78"/>
      <c r="C24" s="56"/>
      <c r="D24" s="49"/>
      <c r="E24" s="50"/>
      <c r="F24" s="51"/>
      <c r="G24" s="52"/>
      <c r="H24" s="53"/>
      <c r="I24" s="50"/>
      <c r="J24" s="51"/>
      <c r="K24" s="52"/>
      <c r="L24" s="53"/>
      <c r="M24" s="50"/>
      <c r="N24" s="51"/>
      <c r="O24" s="52"/>
      <c r="P24" s="53"/>
      <c r="Q24" s="54">
        <f t="shared" si="0"/>
        <v>0</v>
      </c>
      <c r="R24" s="55" t="e">
        <f t="shared" si="1"/>
        <v>#DIV/0!</v>
      </c>
    </row>
    <row r="25" spans="1:18" ht="18" customHeight="1" x14ac:dyDescent="0.15">
      <c r="A25" s="40"/>
      <c r="B25" s="78"/>
      <c r="C25" s="56"/>
      <c r="D25" s="49"/>
      <c r="E25" s="50"/>
      <c r="F25" s="51"/>
      <c r="G25" s="52"/>
      <c r="H25" s="53"/>
      <c r="I25" s="50"/>
      <c r="J25" s="51"/>
      <c r="K25" s="52"/>
      <c r="L25" s="53"/>
      <c r="M25" s="50"/>
      <c r="N25" s="51"/>
      <c r="O25" s="52"/>
      <c r="P25" s="53"/>
      <c r="Q25" s="54">
        <f t="shared" si="0"/>
        <v>0</v>
      </c>
      <c r="R25" s="55" t="e">
        <f t="shared" si="1"/>
        <v>#DIV/0!</v>
      </c>
    </row>
    <row r="26" spans="1:18" ht="18" customHeight="1" x14ac:dyDescent="0.15">
      <c r="A26" s="40"/>
      <c r="B26" s="78"/>
      <c r="C26" s="56"/>
      <c r="D26" s="49"/>
      <c r="E26" s="50"/>
      <c r="F26" s="51"/>
      <c r="G26" s="52"/>
      <c r="H26" s="53"/>
      <c r="I26" s="50"/>
      <c r="J26" s="51"/>
      <c r="K26" s="52"/>
      <c r="L26" s="53"/>
      <c r="M26" s="50"/>
      <c r="N26" s="51"/>
      <c r="O26" s="52"/>
      <c r="P26" s="53"/>
      <c r="Q26" s="54">
        <f t="shared" si="0"/>
        <v>0</v>
      </c>
      <c r="R26" s="55" t="e">
        <f t="shared" si="1"/>
        <v>#DIV/0!</v>
      </c>
    </row>
    <row r="27" spans="1:18" ht="18" customHeight="1" x14ac:dyDescent="0.15">
      <c r="A27" s="40"/>
      <c r="B27" s="78"/>
      <c r="C27" s="48"/>
      <c r="D27" s="49"/>
      <c r="E27" s="50"/>
      <c r="F27" s="51"/>
      <c r="G27" s="52"/>
      <c r="H27" s="53"/>
      <c r="I27" s="50"/>
      <c r="J27" s="51"/>
      <c r="K27" s="52"/>
      <c r="L27" s="53"/>
      <c r="M27" s="50"/>
      <c r="N27" s="51"/>
      <c r="O27" s="52"/>
      <c r="P27" s="53"/>
      <c r="Q27" s="54">
        <f t="shared" si="0"/>
        <v>0</v>
      </c>
      <c r="R27" s="55" t="e">
        <f t="shared" si="1"/>
        <v>#DIV/0!</v>
      </c>
    </row>
    <row r="28" spans="1:18" ht="18" customHeight="1" x14ac:dyDescent="0.15">
      <c r="A28" s="40"/>
      <c r="B28" s="78"/>
      <c r="C28" s="48"/>
      <c r="D28" s="49"/>
      <c r="E28" s="50"/>
      <c r="F28" s="51"/>
      <c r="G28" s="52"/>
      <c r="H28" s="53"/>
      <c r="I28" s="50"/>
      <c r="J28" s="51"/>
      <c r="K28" s="52"/>
      <c r="L28" s="53"/>
      <c r="M28" s="50"/>
      <c r="N28" s="51"/>
      <c r="O28" s="52"/>
      <c r="P28" s="53"/>
      <c r="Q28" s="54">
        <f t="shared" si="0"/>
        <v>0</v>
      </c>
      <c r="R28" s="55" t="e">
        <f t="shared" si="1"/>
        <v>#DIV/0!</v>
      </c>
    </row>
    <row r="29" spans="1:18" ht="18" customHeight="1" thickBot="1" x14ac:dyDescent="0.2">
      <c r="A29" s="40"/>
      <c r="B29" s="79"/>
      <c r="C29" s="80"/>
      <c r="D29" s="41"/>
      <c r="E29" s="42"/>
      <c r="F29" s="43"/>
      <c r="G29" s="44"/>
      <c r="H29" s="45"/>
      <c r="I29" s="42"/>
      <c r="J29" s="43"/>
      <c r="K29" s="44"/>
      <c r="L29" s="45"/>
      <c r="M29" s="42"/>
      <c r="N29" s="43"/>
      <c r="O29" s="44"/>
      <c r="P29" s="45"/>
      <c r="Q29" s="57">
        <f t="shared" si="0"/>
        <v>0</v>
      </c>
      <c r="R29" s="47" t="e">
        <f t="shared" si="1"/>
        <v>#DIV/0!</v>
      </c>
    </row>
    <row r="30" spans="1:18" ht="18" customHeight="1" thickTop="1" x14ac:dyDescent="0.15">
      <c r="B30" s="81" t="s">
        <v>195</v>
      </c>
      <c r="C30" s="82">
        <f t="shared" ref="C30:Q30" si="2">SUM(C10:C29)</f>
        <v>120</v>
      </c>
      <c r="D30" s="58">
        <f t="shared" si="2"/>
        <v>640</v>
      </c>
      <c r="E30" s="59">
        <f t="shared" si="2"/>
        <v>246</v>
      </c>
      <c r="F30" s="60">
        <f t="shared" si="2"/>
        <v>0</v>
      </c>
      <c r="G30" s="61">
        <f t="shared" si="2"/>
        <v>0</v>
      </c>
      <c r="H30" s="62">
        <f t="shared" si="2"/>
        <v>0</v>
      </c>
      <c r="I30" s="59">
        <f t="shared" si="2"/>
        <v>0</v>
      </c>
      <c r="J30" s="60">
        <f t="shared" si="2"/>
        <v>0</v>
      </c>
      <c r="K30" s="61">
        <f t="shared" si="2"/>
        <v>0</v>
      </c>
      <c r="L30" s="62">
        <f t="shared" si="2"/>
        <v>0</v>
      </c>
      <c r="M30" s="59">
        <f t="shared" si="2"/>
        <v>0</v>
      </c>
      <c r="N30" s="60">
        <f t="shared" si="2"/>
        <v>0</v>
      </c>
      <c r="O30" s="61">
        <f t="shared" si="2"/>
        <v>0</v>
      </c>
      <c r="P30" s="62">
        <f t="shared" si="2"/>
        <v>0</v>
      </c>
      <c r="Q30" s="63">
        <f t="shared" si="2"/>
        <v>246</v>
      </c>
      <c r="R30" s="64">
        <f>Q30/D30</f>
        <v>0.38437500000000002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tabSelected="1" view="pageBreakPreview" zoomScaleNormal="100" zoomScaleSheetLayoutView="100" workbookViewId="0">
      <selection activeCell="G18" sqref="G18:J18"/>
    </sheetView>
  </sheetViews>
  <sheetFormatPr defaultColWidth="11.375" defaultRowHeight="18.75" customHeight="1" x14ac:dyDescent="0.15"/>
  <cols>
    <col min="1" max="1" width="2.75" style="107" customWidth="1"/>
    <col min="2" max="2" width="16.625" style="13" customWidth="1"/>
    <col min="3" max="3" width="8.875" style="13" customWidth="1"/>
    <col min="4" max="4" width="2.25" style="13" customWidth="1"/>
    <col min="5" max="5" width="16.625" style="13" customWidth="1"/>
    <col min="6" max="6" width="8.875" style="13" customWidth="1"/>
    <col min="7" max="7" width="2.25" style="13" customWidth="1"/>
    <col min="8" max="8" width="16.625" style="13" customWidth="1"/>
    <col min="9" max="9" width="8.875" style="13" customWidth="1"/>
    <col min="10" max="10" width="2.25" style="13" customWidth="1"/>
    <col min="11" max="11" width="11.375" style="26"/>
    <col min="12" max="16384" width="11.375" style="1"/>
  </cols>
  <sheetData>
    <row r="1" spans="1:11" ht="18.75" customHeight="1" x14ac:dyDescent="0.15">
      <c r="A1" s="107" t="s">
        <v>196</v>
      </c>
      <c r="J1" s="105" t="s">
        <v>197</v>
      </c>
    </row>
    <row r="2" spans="1:11" ht="18.75" customHeight="1" x14ac:dyDescent="0.15">
      <c r="A2" s="189" t="s">
        <v>198</v>
      </c>
      <c r="B2" s="189"/>
      <c r="C2" s="189"/>
      <c r="D2" s="189"/>
      <c r="E2" s="189"/>
      <c r="F2" s="189"/>
      <c r="G2" s="189"/>
      <c r="H2" s="189"/>
      <c r="I2" s="189"/>
      <c r="J2" s="189"/>
    </row>
    <row r="3" spans="1:11" ht="7.5" customHeight="1" x14ac:dyDescent="0.15">
      <c r="B3" s="24"/>
      <c r="C3" s="24"/>
      <c r="D3" s="24"/>
      <c r="E3" s="24"/>
      <c r="F3" s="24"/>
      <c r="G3" s="24"/>
      <c r="H3" s="24"/>
      <c r="I3" s="24"/>
      <c r="J3" s="24"/>
    </row>
    <row r="4" spans="1:11" ht="18.75" customHeight="1" x14ac:dyDescent="0.15">
      <c r="A4" s="13" t="s">
        <v>2</v>
      </c>
      <c r="B4" s="13" t="s">
        <v>199</v>
      </c>
      <c r="I4" s="24"/>
      <c r="J4" s="24"/>
    </row>
    <row r="5" spans="1:11" ht="18.75" customHeight="1" x14ac:dyDescent="0.15">
      <c r="A5" s="13"/>
      <c r="B5" s="123" t="s">
        <v>200</v>
      </c>
      <c r="C5" s="124"/>
      <c r="D5" s="124"/>
      <c r="E5" s="124"/>
      <c r="F5" s="124"/>
      <c r="G5" s="124"/>
      <c r="H5" s="124"/>
      <c r="I5" s="124"/>
      <c r="J5" s="283"/>
      <c r="K5" s="26" t="str">
        <f>IF(B5="","入力してください","")</f>
        <v/>
      </c>
    </row>
    <row r="6" spans="1:11" ht="7.5" customHeight="1" x14ac:dyDescent="0.15">
      <c r="B6" s="24"/>
      <c r="C6" s="24"/>
      <c r="D6" s="24"/>
      <c r="E6" s="24"/>
      <c r="F6" s="24"/>
      <c r="G6" s="24"/>
      <c r="H6" s="24"/>
      <c r="I6" s="24"/>
      <c r="J6" s="24"/>
    </row>
    <row r="7" spans="1:11" s="3" customFormat="1" ht="18.75" customHeight="1" x14ac:dyDescent="0.15">
      <c r="A7" s="13" t="s">
        <v>5</v>
      </c>
      <c r="B7" s="13" t="s">
        <v>201</v>
      </c>
      <c r="C7" s="13"/>
      <c r="D7" s="13"/>
      <c r="E7" s="13"/>
      <c r="F7" s="13"/>
      <c r="G7" s="13"/>
      <c r="H7" s="13"/>
      <c r="I7" s="13"/>
      <c r="J7" s="13"/>
      <c r="K7" s="26"/>
    </row>
    <row r="8" spans="1:11" s="3" customFormat="1" ht="18.75" customHeight="1" x14ac:dyDescent="0.15">
      <c r="A8" s="67"/>
      <c r="B8" s="284" t="s">
        <v>202</v>
      </c>
      <c r="C8" s="285"/>
      <c r="D8" s="285"/>
      <c r="E8" s="285"/>
      <c r="F8" s="285"/>
      <c r="G8" s="285"/>
      <c r="H8" s="285"/>
      <c r="I8" s="286"/>
      <c r="J8" s="287"/>
      <c r="K8" s="26" t="str">
        <f>IF(B8="","入力してください","")</f>
        <v/>
      </c>
    </row>
    <row r="9" spans="1:11" s="3" customFormat="1" ht="18.75" customHeight="1" x14ac:dyDescent="0.15">
      <c r="A9" s="67"/>
      <c r="B9" s="288"/>
      <c r="C9" s="289"/>
      <c r="D9" s="289"/>
      <c r="E9" s="289"/>
      <c r="F9" s="289"/>
      <c r="G9" s="289"/>
      <c r="H9" s="289"/>
      <c r="I9" s="289"/>
      <c r="J9" s="290"/>
      <c r="K9" s="26"/>
    </row>
    <row r="10" spans="1:11" s="3" customFormat="1" ht="18.75" customHeight="1" x14ac:dyDescent="0.15">
      <c r="A10" s="67"/>
      <c r="B10" s="288"/>
      <c r="C10" s="289"/>
      <c r="D10" s="289"/>
      <c r="E10" s="289"/>
      <c r="F10" s="289"/>
      <c r="G10" s="289"/>
      <c r="H10" s="289"/>
      <c r="I10" s="289"/>
      <c r="J10" s="290"/>
      <c r="K10" s="26"/>
    </row>
    <row r="11" spans="1:11" s="3" customFormat="1" ht="18.75" customHeight="1" x14ac:dyDescent="0.15">
      <c r="A11" s="67"/>
      <c r="B11" s="288"/>
      <c r="C11" s="289"/>
      <c r="D11" s="289"/>
      <c r="E11" s="289"/>
      <c r="F11" s="289"/>
      <c r="G11" s="289"/>
      <c r="H11" s="289"/>
      <c r="I11" s="289"/>
      <c r="J11" s="290"/>
      <c r="K11" s="26"/>
    </row>
    <row r="12" spans="1:11" s="3" customFormat="1" ht="18.75" customHeight="1" x14ac:dyDescent="0.15">
      <c r="A12" s="67"/>
      <c r="B12" s="291"/>
      <c r="C12" s="292"/>
      <c r="D12" s="292"/>
      <c r="E12" s="292"/>
      <c r="F12" s="292"/>
      <c r="G12" s="292"/>
      <c r="H12" s="292"/>
      <c r="I12" s="292"/>
      <c r="J12" s="293"/>
      <c r="K12" s="26"/>
    </row>
    <row r="13" spans="1:11" s="3" customFormat="1" ht="7.5" customHeight="1" x14ac:dyDescent="0.15">
      <c r="A13" s="67"/>
      <c r="B13" s="67"/>
      <c r="C13" s="67"/>
      <c r="D13" s="67"/>
      <c r="E13" s="67"/>
      <c r="F13" s="67"/>
      <c r="G13" s="67"/>
      <c r="H13" s="67"/>
      <c r="I13" s="67"/>
      <c r="J13" s="67"/>
      <c r="K13" s="26"/>
    </row>
    <row r="14" spans="1:11" s="3" customFormat="1" ht="18.75" customHeight="1" x14ac:dyDescent="0.15">
      <c r="A14" s="106" t="s">
        <v>203</v>
      </c>
      <c r="B14" s="106" t="s">
        <v>204</v>
      </c>
      <c r="C14" s="106"/>
      <c r="D14" s="106"/>
      <c r="E14" s="106"/>
      <c r="F14" s="106"/>
      <c r="G14" s="106"/>
      <c r="H14" s="106"/>
      <c r="I14" s="106"/>
      <c r="J14" s="106"/>
      <c r="K14" s="26"/>
    </row>
    <row r="15" spans="1:11" s="3" customFormat="1" ht="18.75" customHeight="1" x14ac:dyDescent="0.15">
      <c r="A15" s="67"/>
      <c r="B15" s="284" t="s">
        <v>205</v>
      </c>
      <c r="C15" s="285"/>
      <c r="D15" s="285"/>
      <c r="E15" s="285"/>
      <c r="F15" s="285"/>
      <c r="G15" s="285"/>
      <c r="H15" s="285"/>
      <c r="I15" s="286"/>
      <c r="J15" s="287"/>
      <c r="K15" s="26" t="str">
        <f>IF(B15="","入力してください","")</f>
        <v/>
      </c>
    </row>
    <row r="16" spans="1:11" s="3" customFormat="1" ht="18.75" customHeight="1" x14ac:dyDescent="0.15">
      <c r="A16" s="67"/>
      <c r="B16" s="288"/>
      <c r="C16" s="289"/>
      <c r="D16" s="289"/>
      <c r="E16" s="289"/>
      <c r="F16" s="289"/>
      <c r="G16" s="289"/>
      <c r="H16" s="289"/>
      <c r="I16" s="289"/>
      <c r="J16" s="290"/>
      <c r="K16" s="26"/>
    </row>
    <row r="17" spans="1:11" s="3" customFormat="1" ht="18.75" customHeight="1" x14ac:dyDescent="0.15">
      <c r="A17" s="67"/>
      <c r="B17" s="288"/>
      <c r="C17" s="289"/>
      <c r="D17" s="289"/>
      <c r="E17" s="289"/>
      <c r="F17" s="289"/>
      <c r="G17" s="289"/>
      <c r="H17" s="289"/>
      <c r="I17" s="289"/>
      <c r="J17" s="290"/>
      <c r="K17" s="26"/>
    </row>
    <row r="18" spans="1:11" s="3" customFormat="1" ht="18.75" customHeight="1" x14ac:dyDescent="0.15">
      <c r="A18" s="67"/>
      <c r="B18" s="288"/>
      <c r="C18" s="289"/>
      <c r="D18" s="289"/>
      <c r="E18" s="289"/>
      <c r="F18" s="289"/>
      <c r="G18" s="289"/>
      <c r="H18" s="289"/>
      <c r="I18" s="289"/>
      <c r="J18" s="290"/>
      <c r="K18" s="26"/>
    </row>
    <row r="19" spans="1:11" s="3" customFormat="1" ht="18.75" customHeight="1" x14ac:dyDescent="0.15">
      <c r="A19" s="67"/>
      <c r="B19" s="288"/>
      <c r="C19" s="289"/>
      <c r="D19" s="289"/>
      <c r="E19" s="289"/>
      <c r="F19" s="289"/>
      <c r="G19" s="289"/>
      <c r="H19" s="289"/>
      <c r="I19" s="289"/>
      <c r="J19" s="290"/>
      <c r="K19" s="26"/>
    </row>
    <row r="20" spans="1:11" s="3" customFormat="1" ht="18.75" customHeight="1" x14ac:dyDescent="0.15">
      <c r="A20" s="67"/>
      <c r="B20" s="288"/>
      <c r="C20" s="289"/>
      <c r="D20" s="289"/>
      <c r="E20" s="289"/>
      <c r="F20" s="289"/>
      <c r="G20" s="289"/>
      <c r="H20" s="289"/>
      <c r="I20" s="289"/>
      <c r="J20" s="290"/>
      <c r="K20" s="26"/>
    </row>
    <row r="21" spans="1:11" s="3" customFormat="1" ht="18.75" customHeight="1" x14ac:dyDescent="0.15">
      <c r="A21" s="67"/>
      <c r="B21" s="288"/>
      <c r="C21" s="289"/>
      <c r="D21" s="289"/>
      <c r="E21" s="289"/>
      <c r="F21" s="289"/>
      <c r="G21" s="289"/>
      <c r="H21" s="289"/>
      <c r="I21" s="289"/>
      <c r="J21" s="290"/>
      <c r="K21" s="26"/>
    </row>
    <row r="22" spans="1:11" s="3" customFormat="1" ht="18.75" customHeight="1" x14ac:dyDescent="0.15">
      <c r="A22" s="67"/>
      <c r="B22" s="288"/>
      <c r="C22" s="289"/>
      <c r="D22" s="289"/>
      <c r="E22" s="289"/>
      <c r="F22" s="289"/>
      <c r="G22" s="289"/>
      <c r="H22" s="289"/>
      <c r="I22" s="289"/>
      <c r="J22" s="290"/>
      <c r="K22" s="26"/>
    </row>
    <row r="23" spans="1:11" s="3" customFormat="1" ht="18.75" customHeight="1" x14ac:dyDescent="0.15">
      <c r="A23" s="67"/>
      <c r="B23" s="288"/>
      <c r="C23" s="289"/>
      <c r="D23" s="289"/>
      <c r="E23" s="289"/>
      <c r="F23" s="289"/>
      <c r="G23" s="289"/>
      <c r="H23" s="289"/>
      <c r="I23" s="289"/>
      <c r="J23" s="290"/>
      <c r="K23" s="26"/>
    </row>
    <row r="24" spans="1:11" s="3" customFormat="1" ht="18.75" customHeight="1" x14ac:dyDescent="0.15">
      <c r="A24" s="67"/>
      <c r="B24" s="288"/>
      <c r="C24" s="289"/>
      <c r="D24" s="289"/>
      <c r="E24" s="289"/>
      <c r="F24" s="289"/>
      <c r="G24" s="289"/>
      <c r="H24" s="289"/>
      <c r="I24" s="289"/>
      <c r="J24" s="290"/>
      <c r="K24" s="26"/>
    </row>
    <row r="25" spans="1:11" s="3" customFormat="1" ht="18.75" customHeight="1" x14ac:dyDescent="0.15">
      <c r="A25" s="67"/>
      <c r="B25" s="291"/>
      <c r="C25" s="292"/>
      <c r="D25" s="292"/>
      <c r="E25" s="292"/>
      <c r="F25" s="292"/>
      <c r="G25" s="292"/>
      <c r="H25" s="292"/>
      <c r="I25" s="292"/>
      <c r="J25" s="293"/>
      <c r="K25" s="26"/>
    </row>
    <row r="26" spans="1:11" ht="7.5" customHeight="1" x14ac:dyDescent="0.15">
      <c r="A26" s="108"/>
      <c r="B26" s="108"/>
      <c r="C26" s="108"/>
      <c r="D26" s="108"/>
      <c r="E26" s="108"/>
      <c r="F26" s="108"/>
      <c r="G26" s="108"/>
      <c r="H26" s="108"/>
      <c r="I26" s="108"/>
      <c r="J26" s="108"/>
    </row>
    <row r="27" spans="1:11" s="3" customFormat="1" ht="18.75" customHeight="1" x14ac:dyDescent="0.15">
      <c r="A27" s="13" t="s">
        <v>11</v>
      </c>
      <c r="B27" s="13" t="s">
        <v>206</v>
      </c>
      <c r="C27" s="13"/>
      <c r="D27" s="13"/>
      <c r="E27" s="13"/>
      <c r="F27" s="13"/>
      <c r="G27" s="13"/>
      <c r="H27" s="13"/>
      <c r="I27" s="13"/>
      <c r="J27" s="13"/>
      <c r="K27" s="26"/>
    </row>
    <row r="28" spans="1:11" s="24" customFormat="1" ht="18.75" customHeight="1" x14ac:dyDescent="0.15">
      <c r="B28" s="84" t="s">
        <v>207</v>
      </c>
      <c r="C28" s="85">
        <f>'様式３　履修者等数の実績'!R30</f>
        <v>0.38437500000000002</v>
      </c>
      <c r="D28" s="86"/>
      <c r="E28" s="86" t="s">
        <v>208</v>
      </c>
      <c r="F28" s="85">
        <v>0.56999999999999995</v>
      </c>
      <c r="G28" s="86"/>
      <c r="H28" s="86" t="s">
        <v>209</v>
      </c>
      <c r="I28" s="87">
        <v>0.76</v>
      </c>
      <c r="J28" s="88"/>
      <c r="K28" s="26"/>
    </row>
    <row r="29" spans="1:11" s="24" customFormat="1" ht="18.75" customHeight="1" x14ac:dyDescent="0.15">
      <c r="B29" s="73" t="s">
        <v>210</v>
      </c>
      <c r="C29" s="89">
        <v>0.95</v>
      </c>
      <c r="D29" s="74"/>
      <c r="E29" s="74" t="s">
        <v>211</v>
      </c>
      <c r="F29" s="89">
        <v>1</v>
      </c>
      <c r="G29" s="74"/>
      <c r="H29" s="74" t="s">
        <v>212</v>
      </c>
      <c r="I29" s="90">
        <f>'様式３　履修者等数の実績'!D30</f>
        <v>640</v>
      </c>
      <c r="J29" s="91"/>
      <c r="K29" s="26"/>
    </row>
    <row r="30" spans="1:11" s="3" customFormat="1" ht="18.75" customHeight="1" x14ac:dyDescent="0.15">
      <c r="A30" s="13"/>
      <c r="B30" s="151" t="s">
        <v>213</v>
      </c>
      <c r="C30" s="152"/>
      <c r="D30" s="152"/>
      <c r="E30" s="152"/>
      <c r="F30" s="152"/>
      <c r="G30" s="152"/>
      <c r="H30" s="152"/>
      <c r="I30" s="152"/>
      <c r="J30" s="153"/>
      <c r="K30" s="26"/>
    </row>
    <row r="31" spans="1:11" s="3" customFormat="1" ht="18.75" customHeight="1" x14ac:dyDescent="0.15">
      <c r="A31" s="13"/>
      <c r="B31" s="274" t="s">
        <v>250</v>
      </c>
      <c r="C31" s="275"/>
      <c r="D31" s="275"/>
      <c r="E31" s="275"/>
      <c r="F31" s="275"/>
      <c r="G31" s="275"/>
      <c r="H31" s="275"/>
      <c r="I31" s="275"/>
      <c r="J31" s="276"/>
      <c r="K31" s="26" t="str">
        <f>IF(B31="","入力してください","")</f>
        <v/>
      </c>
    </row>
    <row r="32" spans="1:11" s="3" customFormat="1" ht="18.75" customHeight="1" x14ac:dyDescent="0.15">
      <c r="A32" s="13"/>
      <c r="B32" s="277"/>
      <c r="C32" s="278"/>
      <c r="D32" s="278"/>
      <c r="E32" s="278"/>
      <c r="F32" s="278"/>
      <c r="G32" s="278"/>
      <c r="H32" s="278"/>
      <c r="I32" s="278"/>
      <c r="J32" s="279"/>
      <c r="K32" s="26"/>
    </row>
    <row r="33" spans="1:11" s="3" customFormat="1" ht="18.75" customHeight="1" x14ac:dyDescent="0.15">
      <c r="A33" s="13"/>
      <c r="B33" s="277"/>
      <c r="C33" s="278"/>
      <c r="D33" s="278"/>
      <c r="E33" s="278"/>
      <c r="F33" s="278"/>
      <c r="G33" s="278"/>
      <c r="H33" s="278"/>
      <c r="I33" s="278"/>
      <c r="J33" s="279"/>
      <c r="K33" s="26"/>
    </row>
    <row r="34" spans="1:11" s="3" customFormat="1" ht="18.75" customHeight="1" x14ac:dyDescent="0.15">
      <c r="A34" s="13"/>
      <c r="B34" s="277"/>
      <c r="C34" s="278"/>
      <c r="D34" s="278"/>
      <c r="E34" s="278"/>
      <c r="F34" s="278"/>
      <c r="G34" s="278"/>
      <c r="H34" s="278"/>
      <c r="I34" s="278"/>
      <c r="J34" s="279"/>
      <c r="K34" s="26"/>
    </row>
    <row r="35" spans="1:11" s="3" customFormat="1" ht="18.75" customHeight="1" x14ac:dyDescent="0.15">
      <c r="A35" s="13"/>
      <c r="B35" s="277"/>
      <c r="C35" s="278"/>
      <c r="D35" s="278"/>
      <c r="E35" s="278"/>
      <c r="F35" s="278"/>
      <c r="G35" s="278"/>
      <c r="H35" s="278"/>
      <c r="I35" s="278"/>
      <c r="J35" s="279"/>
      <c r="K35" s="26"/>
    </row>
    <row r="36" spans="1:11" s="3" customFormat="1" ht="18.75" customHeight="1" x14ac:dyDescent="0.15">
      <c r="A36" s="13"/>
      <c r="B36" s="277"/>
      <c r="C36" s="278"/>
      <c r="D36" s="278"/>
      <c r="E36" s="278"/>
      <c r="F36" s="278"/>
      <c r="G36" s="278"/>
      <c r="H36" s="278"/>
      <c r="I36" s="278"/>
      <c r="J36" s="279"/>
      <c r="K36" s="26"/>
    </row>
    <row r="37" spans="1:11" s="3" customFormat="1" ht="18.75" customHeight="1" x14ac:dyDescent="0.15">
      <c r="A37" s="13"/>
      <c r="B37" s="277"/>
      <c r="C37" s="278"/>
      <c r="D37" s="278"/>
      <c r="E37" s="278"/>
      <c r="F37" s="278"/>
      <c r="G37" s="278"/>
      <c r="H37" s="278"/>
      <c r="I37" s="278"/>
      <c r="J37" s="279"/>
      <c r="K37" s="26"/>
    </row>
    <row r="38" spans="1:11" s="3" customFormat="1" ht="18.75" customHeight="1" x14ac:dyDescent="0.15">
      <c r="A38" s="13"/>
      <c r="B38" s="277"/>
      <c r="C38" s="278"/>
      <c r="D38" s="278"/>
      <c r="E38" s="278"/>
      <c r="F38" s="278"/>
      <c r="G38" s="278"/>
      <c r="H38" s="278"/>
      <c r="I38" s="278"/>
      <c r="J38" s="279"/>
      <c r="K38" s="26"/>
    </row>
    <row r="39" spans="1:11" s="3" customFormat="1" ht="18.75" customHeight="1" x14ac:dyDescent="0.15">
      <c r="A39" s="13"/>
      <c r="B39" s="277"/>
      <c r="C39" s="278"/>
      <c r="D39" s="278"/>
      <c r="E39" s="278"/>
      <c r="F39" s="278"/>
      <c r="G39" s="278"/>
      <c r="H39" s="278"/>
      <c r="I39" s="278"/>
      <c r="J39" s="279"/>
      <c r="K39" s="26"/>
    </row>
    <row r="40" spans="1:11" s="3" customFormat="1" ht="18.75" customHeight="1" x14ac:dyDescent="0.15">
      <c r="A40" s="13"/>
      <c r="B40" s="277"/>
      <c r="C40" s="278"/>
      <c r="D40" s="278"/>
      <c r="E40" s="278"/>
      <c r="F40" s="278"/>
      <c r="G40" s="278"/>
      <c r="H40" s="278"/>
      <c r="I40" s="278"/>
      <c r="J40" s="279"/>
      <c r="K40" s="26"/>
    </row>
    <row r="41" spans="1:11" s="3" customFormat="1" ht="18.75" customHeight="1" x14ac:dyDescent="0.15">
      <c r="A41" s="13"/>
      <c r="B41" s="277"/>
      <c r="C41" s="278"/>
      <c r="D41" s="278"/>
      <c r="E41" s="278"/>
      <c r="F41" s="278"/>
      <c r="G41" s="278"/>
      <c r="H41" s="278"/>
      <c r="I41" s="278"/>
      <c r="J41" s="279"/>
      <c r="K41" s="26"/>
    </row>
    <row r="42" spans="1:11" s="3" customFormat="1" ht="18.75" customHeight="1" x14ac:dyDescent="0.15">
      <c r="A42" s="13"/>
      <c r="B42" s="277"/>
      <c r="C42" s="278"/>
      <c r="D42" s="278"/>
      <c r="E42" s="278"/>
      <c r="F42" s="278"/>
      <c r="G42" s="278"/>
      <c r="H42" s="278"/>
      <c r="I42" s="278"/>
      <c r="J42" s="279"/>
      <c r="K42" s="26"/>
    </row>
    <row r="43" spans="1:11" ht="18.75" customHeight="1" x14ac:dyDescent="0.15">
      <c r="A43" s="108"/>
      <c r="B43" s="277"/>
      <c r="C43" s="278"/>
      <c r="D43" s="278"/>
      <c r="E43" s="278"/>
      <c r="F43" s="278"/>
      <c r="G43" s="278"/>
      <c r="H43" s="278"/>
      <c r="I43" s="278"/>
      <c r="J43" s="279"/>
    </row>
    <row r="44" spans="1:11" ht="18.75" customHeight="1" x14ac:dyDescent="0.15">
      <c r="A44" s="108"/>
      <c r="B44" s="280"/>
      <c r="C44" s="281"/>
      <c r="D44" s="281"/>
      <c r="E44" s="281"/>
      <c r="F44" s="281"/>
      <c r="G44" s="281"/>
      <c r="H44" s="281"/>
      <c r="I44" s="281"/>
      <c r="J44" s="282"/>
    </row>
    <row r="45" spans="1:11" s="3" customFormat="1" ht="18.75" customHeight="1" x14ac:dyDescent="0.15">
      <c r="A45" s="106" t="s">
        <v>14</v>
      </c>
      <c r="B45" s="13" t="s">
        <v>214</v>
      </c>
      <c r="C45" s="13"/>
      <c r="D45" s="13"/>
      <c r="E45" s="13"/>
      <c r="F45" s="13"/>
      <c r="G45" s="13"/>
      <c r="H45" s="13"/>
      <c r="I45" s="106"/>
      <c r="J45" s="106"/>
      <c r="K45" s="26"/>
    </row>
    <row r="46" spans="1:11" ht="18.75" customHeight="1" x14ac:dyDescent="0.15">
      <c r="A46" s="108"/>
      <c r="B46" s="284" t="s">
        <v>249</v>
      </c>
      <c r="C46" s="285"/>
      <c r="D46" s="285"/>
      <c r="E46" s="285"/>
      <c r="F46" s="285"/>
      <c r="G46" s="285"/>
      <c r="H46" s="285"/>
      <c r="I46" s="285"/>
      <c r="J46" s="294"/>
      <c r="K46" s="26" t="str">
        <f>IF(B46="","入力してください","")</f>
        <v/>
      </c>
    </row>
    <row r="47" spans="1:11" ht="18.75" customHeight="1" x14ac:dyDescent="0.15">
      <c r="A47" s="108"/>
      <c r="B47" s="277"/>
      <c r="C47" s="278"/>
      <c r="D47" s="278"/>
      <c r="E47" s="278"/>
      <c r="F47" s="278"/>
      <c r="G47" s="278"/>
      <c r="H47" s="278"/>
      <c r="I47" s="278"/>
      <c r="J47" s="279"/>
    </row>
    <row r="48" spans="1:11" ht="18.75" customHeight="1" x14ac:dyDescent="0.15">
      <c r="A48" s="108"/>
      <c r="B48" s="277"/>
      <c r="C48" s="278"/>
      <c r="D48" s="278"/>
      <c r="E48" s="278"/>
      <c r="F48" s="278"/>
      <c r="G48" s="278"/>
      <c r="H48" s="278"/>
      <c r="I48" s="278"/>
      <c r="J48" s="279"/>
    </row>
    <row r="49" spans="1:10" ht="18.75" customHeight="1" x14ac:dyDescent="0.15">
      <c r="A49" s="108"/>
      <c r="B49" s="277"/>
      <c r="C49" s="278"/>
      <c r="D49" s="278"/>
      <c r="E49" s="278"/>
      <c r="F49" s="278"/>
      <c r="G49" s="278"/>
      <c r="H49" s="278"/>
      <c r="I49" s="278"/>
      <c r="J49" s="279"/>
    </row>
    <row r="50" spans="1:10" ht="18.75" customHeight="1" x14ac:dyDescent="0.15">
      <c r="A50" s="108"/>
      <c r="B50" s="277"/>
      <c r="C50" s="278"/>
      <c r="D50" s="278"/>
      <c r="E50" s="278"/>
      <c r="F50" s="278"/>
      <c r="G50" s="278"/>
      <c r="H50" s="278"/>
      <c r="I50" s="278"/>
      <c r="J50" s="279"/>
    </row>
    <row r="51" spans="1:10" ht="18.75" customHeight="1" x14ac:dyDescent="0.15">
      <c r="A51" s="108"/>
      <c r="B51" s="277"/>
      <c r="C51" s="278"/>
      <c r="D51" s="278"/>
      <c r="E51" s="278"/>
      <c r="F51" s="278"/>
      <c r="G51" s="278"/>
      <c r="H51" s="278"/>
      <c r="I51" s="278"/>
      <c r="J51" s="279"/>
    </row>
    <row r="52" spans="1:10" ht="18.75" customHeight="1" x14ac:dyDescent="0.15">
      <c r="A52" s="108"/>
      <c r="B52" s="277"/>
      <c r="C52" s="278"/>
      <c r="D52" s="278"/>
      <c r="E52" s="278"/>
      <c r="F52" s="278"/>
      <c r="G52" s="278"/>
      <c r="H52" s="278"/>
      <c r="I52" s="278"/>
      <c r="J52" s="279"/>
    </row>
    <row r="53" spans="1:10" ht="18.75" customHeight="1" x14ac:dyDescent="0.15">
      <c r="A53" s="108"/>
      <c r="B53" s="277"/>
      <c r="C53" s="278"/>
      <c r="D53" s="278"/>
      <c r="E53" s="278"/>
      <c r="F53" s="278"/>
      <c r="G53" s="278"/>
      <c r="H53" s="278"/>
      <c r="I53" s="278"/>
      <c r="J53" s="279"/>
    </row>
    <row r="54" spans="1:10" ht="18.75" customHeight="1" x14ac:dyDescent="0.15">
      <c r="A54" s="108"/>
      <c r="B54" s="277"/>
      <c r="C54" s="278"/>
      <c r="D54" s="278"/>
      <c r="E54" s="278"/>
      <c r="F54" s="278"/>
      <c r="G54" s="278"/>
      <c r="H54" s="278"/>
      <c r="I54" s="278"/>
      <c r="J54" s="279"/>
    </row>
    <row r="55" spans="1:10" ht="18.75" customHeight="1" x14ac:dyDescent="0.15">
      <c r="A55" s="108"/>
      <c r="B55" s="277"/>
      <c r="C55" s="278"/>
      <c r="D55" s="278"/>
      <c r="E55" s="278"/>
      <c r="F55" s="278"/>
      <c r="G55" s="278"/>
      <c r="H55" s="278"/>
      <c r="I55" s="278"/>
      <c r="J55" s="279"/>
    </row>
    <row r="56" spans="1:10" ht="18.75" customHeight="1" x14ac:dyDescent="0.15">
      <c r="A56" s="108"/>
      <c r="B56" s="277"/>
      <c r="C56" s="278"/>
      <c r="D56" s="278"/>
      <c r="E56" s="278"/>
      <c r="F56" s="278"/>
      <c r="G56" s="278"/>
      <c r="H56" s="278"/>
      <c r="I56" s="278"/>
      <c r="J56" s="279"/>
    </row>
    <row r="57" spans="1:10" ht="18.75" customHeight="1" x14ac:dyDescent="0.15">
      <c r="A57" s="108"/>
      <c r="B57" s="277"/>
      <c r="C57" s="278"/>
      <c r="D57" s="278"/>
      <c r="E57" s="278"/>
      <c r="F57" s="278"/>
      <c r="G57" s="278"/>
      <c r="H57" s="278"/>
      <c r="I57" s="278"/>
      <c r="J57" s="279"/>
    </row>
    <row r="58" spans="1:10" ht="18.75" customHeight="1" x14ac:dyDescent="0.15">
      <c r="A58" s="108"/>
      <c r="B58" s="277"/>
      <c r="C58" s="278"/>
      <c r="D58" s="278"/>
      <c r="E58" s="278"/>
      <c r="F58" s="278"/>
      <c r="G58" s="278"/>
      <c r="H58" s="278"/>
      <c r="I58" s="278"/>
      <c r="J58" s="279"/>
    </row>
    <row r="59" spans="1:10" ht="18.75" customHeight="1" x14ac:dyDescent="0.15">
      <c r="A59" s="108"/>
      <c r="B59" s="277"/>
      <c r="C59" s="278"/>
      <c r="D59" s="278"/>
      <c r="E59" s="278"/>
      <c r="F59" s="278"/>
      <c r="G59" s="278"/>
      <c r="H59" s="278"/>
      <c r="I59" s="278"/>
      <c r="J59" s="279"/>
    </row>
    <row r="60" spans="1:10" ht="18.75" customHeight="1" x14ac:dyDescent="0.15">
      <c r="A60" s="108"/>
      <c r="B60" s="277"/>
      <c r="C60" s="278"/>
      <c r="D60" s="278"/>
      <c r="E60" s="278"/>
      <c r="F60" s="278"/>
      <c r="G60" s="278"/>
      <c r="H60" s="278"/>
      <c r="I60" s="278"/>
      <c r="J60" s="279"/>
    </row>
    <row r="61" spans="1:10" ht="18.75" customHeight="1" x14ac:dyDescent="0.15">
      <c r="A61" s="108"/>
      <c r="B61" s="277"/>
      <c r="C61" s="278"/>
      <c r="D61" s="278"/>
      <c r="E61" s="278"/>
      <c r="F61" s="278"/>
      <c r="G61" s="278"/>
      <c r="H61" s="278"/>
      <c r="I61" s="278"/>
      <c r="J61" s="279"/>
    </row>
    <row r="62" spans="1:10" ht="18.75" customHeight="1" x14ac:dyDescent="0.15">
      <c r="A62" s="108"/>
      <c r="B62" s="277"/>
      <c r="C62" s="278"/>
      <c r="D62" s="278"/>
      <c r="E62" s="278"/>
      <c r="F62" s="278"/>
      <c r="G62" s="278"/>
      <c r="H62" s="278"/>
      <c r="I62" s="278"/>
      <c r="J62" s="279"/>
    </row>
    <row r="63" spans="1:10" ht="18.75" customHeight="1" x14ac:dyDescent="0.15">
      <c r="A63" s="108"/>
      <c r="B63" s="277"/>
      <c r="C63" s="278"/>
      <c r="D63" s="278"/>
      <c r="E63" s="278"/>
      <c r="F63" s="278"/>
      <c r="G63" s="278"/>
      <c r="H63" s="278"/>
      <c r="I63" s="278"/>
      <c r="J63" s="279"/>
    </row>
    <row r="64" spans="1:10" ht="18.75" customHeight="1" x14ac:dyDescent="0.15">
      <c r="A64" s="108"/>
      <c r="B64" s="277"/>
      <c r="C64" s="278"/>
      <c r="D64" s="278"/>
      <c r="E64" s="278"/>
      <c r="F64" s="278"/>
      <c r="G64" s="278"/>
      <c r="H64" s="278"/>
      <c r="I64" s="278"/>
      <c r="J64" s="279"/>
    </row>
    <row r="65" spans="1:11" ht="18.75" customHeight="1" x14ac:dyDescent="0.15">
      <c r="A65" s="108"/>
      <c r="B65" s="277"/>
      <c r="C65" s="278"/>
      <c r="D65" s="278"/>
      <c r="E65" s="278"/>
      <c r="F65" s="278"/>
      <c r="G65" s="278"/>
      <c r="H65" s="278"/>
      <c r="I65" s="278"/>
      <c r="J65" s="279"/>
    </row>
    <row r="66" spans="1:11" ht="18.75" customHeight="1" x14ac:dyDescent="0.15">
      <c r="A66" s="108"/>
      <c r="B66" s="280"/>
      <c r="C66" s="281"/>
      <c r="D66" s="281"/>
      <c r="E66" s="281"/>
      <c r="F66" s="281"/>
      <c r="G66" s="281"/>
      <c r="H66" s="281"/>
      <c r="I66" s="281"/>
      <c r="J66" s="282"/>
    </row>
    <row r="67" spans="1:11" ht="7.5" customHeight="1" x14ac:dyDescent="0.15">
      <c r="A67" s="108"/>
      <c r="B67" s="108"/>
      <c r="C67" s="108"/>
      <c r="D67" s="108"/>
      <c r="E67" s="108"/>
      <c r="F67" s="108"/>
      <c r="G67" s="108"/>
      <c r="H67" s="108"/>
      <c r="I67" s="108"/>
      <c r="J67" s="108"/>
    </row>
    <row r="68" spans="1:11" s="3" customFormat="1" ht="18.75" customHeight="1" x14ac:dyDescent="0.15">
      <c r="A68" s="13" t="s">
        <v>17</v>
      </c>
      <c r="B68" s="13" t="s">
        <v>215</v>
      </c>
      <c r="C68" s="13"/>
      <c r="D68" s="13"/>
      <c r="E68" s="13"/>
      <c r="F68" s="13"/>
      <c r="G68" s="13"/>
      <c r="H68" s="13"/>
      <c r="I68" s="13"/>
      <c r="J68" s="13"/>
      <c r="K68" s="26"/>
    </row>
    <row r="69" spans="1:11" s="3" customFormat="1" ht="18.75" customHeight="1" x14ac:dyDescent="0.15">
      <c r="A69" s="13"/>
      <c r="B69" s="284" t="s">
        <v>248</v>
      </c>
      <c r="C69" s="285"/>
      <c r="D69" s="285"/>
      <c r="E69" s="285"/>
      <c r="F69" s="285"/>
      <c r="G69" s="285"/>
      <c r="H69" s="285"/>
      <c r="I69" s="286"/>
      <c r="J69" s="287"/>
      <c r="K69" s="26" t="str">
        <f>IF(B69="","入力してください","")</f>
        <v/>
      </c>
    </row>
    <row r="70" spans="1:11" s="3" customFormat="1" ht="18.75" customHeight="1" x14ac:dyDescent="0.15">
      <c r="A70" s="13"/>
      <c r="B70" s="288"/>
      <c r="C70" s="289"/>
      <c r="D70" s="289"/>
      <c r="E70" s="289"/>
      <c r="F70" s="289"/>
      <c r="G70" s="289"/>
      <c r="H70" s="289"/>
      <c r="I70" s="289"/>
      <c r="J70" s="290"/>
      <c r="K70" s="26"/>
    </row>
    <row r="71" spans="1:11" s="3" customFormat="1" ht="18.75" customHeight="1" x14ac:dyDescent="0.15">
      <c r="A71" s="13"/>
      <c r="B71" s="288"/>
      <c r="C71" s="289"/>
      <c r="D71" s="289"/>
      <c r="E71" s="289"/>
      <c r="F71" s="289"/>
      <c r="G71" s="289"/>
      <c r="H71" s="289"/>
      <c r="I71" s="289"/>
      <c r="J71" s="290"/>
      <c r="K71" s="26"/>
    </row>
    <row r="72" spans="1:11" s="3" customFormat="1" ht="18.75" customHeight="1" x14ac:dyDescent="0.15">
      <c r="A72" s="13"/>
      <c r="B72" s="288"/>
      <c r="C72" s="289"/>
      <c r="D72" s="289"/>
      <c r="E72" s="289"/>
      <c r="F72" s="289"/>
      <c r="G72" s="289"/>
      <c r="H72" s="289"/>
      <c r="I72" s="289"/>
      <c r="J72" s="290"/>
      <c r="K72" s="26"/>
    </row>
    <row r="73" spans="1:11" s="3" customFormat="1" ht="18.75" customHeight="1" x14ac:dyDescent="0.15">
      <c r="A73" s="13"/>
      <c r="B73" s="288"/>
      <c r="C73" s="289"/>
      <c r="D73" s="289"/>
      <c r="E73" s="289"/>
      <c r="F73" s="289"/>
      <c r="G73" s="289"/>
      <c r="H73" s="289"/>
      <c r="I73" s="289"/>
      <c r="J73" s="290"/>
      <c r="K73" s="26"/>
    </row>
    <row r="74" spans="1:11" s="3" customFormat="1" ht="18.75" customHeight="1" x14ac:dyDescent="0.15">
      <c r="A74" s="13"/>
      <c r="B74" s="288"/>
      <c r="C74" s="289"/>
      <c r="D74" s="289"/>
      <c r="E74" s="289"/>
      <c r="F74" s="289"/>
      <c r="G74" s="289"/>
      <c r="H74" s="289"/>
      <c r="I74" s="289"/>
      <c r="J74" s="290"/>
      <c r="K74" s="26"/>
    </row>
    <row r="75" spans="1:11" s="3" customFormat="1" ht="18.75" customHeight="1" x14ac:dyDescent="0.15">
      <c r="A75" s="13"/>
      <c r="B75" s="288"/>
      <c r="C75" s="289"/>
      <c r="D75" s="289"/>
      <c r="E75" s="289"/>
      <c r="F75" s="289"/>
      <c r="G75" s="289"/>
      <c r="H75" s="289"/>
      <c r="I75" s="289"/>
      <c r="J75" s="290"/>
      <c r="K75" s="26"/>
    </row>
    <row r="76" spans="1:11" s="3" customFormat="1" ht="18.75" customHeight="1" x14ac:dyDescent="0.15">
      <c r="A76" s="13"/>
      <c r="B76" s="288"/>
      <c r="C76" s="289"/>
      <c r="D76" s="289"/>
      <c r="E76" s="289"/>
      <c r="F76" s="289"/>
      <c r="G76" s="289"/>
      <c r="H76" s="289"/>
      <c r="I76" s="289"/>
      <c r="J76" s="290"/>
      <c r="K76" s="26"/>
    </row>
    <row r="77" spans="1:11" s="3" customFormat="1" ht="18.75" customHeight="1" x14ac:dyDescent="0.15">
      <c r="A77" s="13"/>
      <c r="B77" s="288"/>
      <c r="C77" s="289"/>
      <c r="D77" s="289"/>
      <c r="E77" s="289"/>
      <c r="F77" s="289"/>
      <c r="G77" s="289"/>
      <c r="H77" s="289"/>
      <c r="I77" s="289"/>
      <c r="J77" s="290"/>
      <c r="K77" s="26"/>
    </row>
    <row r="78" spans="1:11" s="3" customFormat="1" ht="18.75" customHeight="1" x14ac:dyDescent="0.15">
      <c r="A78" s="13"/>
      <c r="B78" s="288"/>
      <c r="C78" s="289"/>
      <c r="D78" s="289"/>
      <c r="E78" s="289"/>
      <c r="F78" s="289"/>
      <c r="G78" s="289"/>
      <c r="H78" s="289"/>
      <c r="I78" s="289"/>
      <c r="J78" s="290"/>
      <c r="K78" s="26"/>
    </row>
    <row r="79" spans="1:11" s="3" customFormat="1" ht="18.75" customHeight="1" x14ac:dyDescent="0.15">
      <c r="A79" s="13"/>
      <c r="B79" s="288"/>
      <c r="C79" s="289"/>
      <c r="D79" s="289"/>
      <c r="E79" s="289"/>
      <c r="F79" s="289"/>
      <c r="G79" s="289"/>
      <c r="H79" s="289"/>
      <c r="I79" s="289"/>
      <c r="J79" s="290"/>
      <c r="K79" s="26"/>
    </row>
    <row r="80" spans="1:11" s="3" customFormat="1" ht="18.75" customHeight="1" x14ac:dyDescent="0.15">
      <c r="A80" s="13"/>
      <c r="B80" s="288"/>
      <c r="C80" s="289"/>
      <c r="D80" s="289"/>
      <c r="E80" s="289"/>
      <c r="F80" s="289"/>
      <c r="G80" s="289"/>
      <c r="H80" s="289"/>
      <c r="I80" s="289"/>
      <c r="J80" s="290"/>
      <c r="K80" s="26"/>
    </row>
    <row r="81" spans="1:11" s="3" customFormat="1" ht="18.75" customHeight="1" x14ac:dyDescent="0.15">
      <c r="A81" s="13"/>
      <c r="B81" s="288"/>
      <c r="C81" s="289"/>
      <c r="D81" s="289"/>
      <c r="E81" s="289"/>
      <c r="F81" s="289"/>
      <c r="G81" s="289"/>
      <c r="H81" s="289"/>
      <c r="I81" s="289"/>
      <c r="J81" s="290"/>
      <c r="K81" s="26"/>
    </row>
    <row r="82" spans="1:11" s="3" customFormat="1" ht="18.75" customHeight="1" x14ac:dyDescent="0.15">
      <c r="A82" s="13"/>
      <c r="B82" s="288"/>
      <c r="C82" s="289"/>
      <c r="D82" s="289"/>
      <c r="E82" s="289"/>
      <c r="F82" s="289"/>
      <c r="G82" s="289"/>
      <c r="H82" s="289"/>
      <c r="I82" s="289"/>
      <c r="J82" s="290"/>
      <c r="K82" s="26"/>
    </row>
    <row r="83" spans="1:11" s="3" customFormat="1" ht="18.75" customHeight="1" x14ac:dyDescent="0.15">
      <c r="A83" s="13"/>
      <c r="B83" s="288"/>
      <c r="C83" s="289"/>
      <c r="D83" s="289"/>
      <c r="E83" s="289"/>
      <c r="F83" s="289"/>
      <c r="G83" s="289"/>
      <c r="H83" s="289"/>
      <c r="I83" s="289"/>
      <c r="J83" s="290"/>
      <c r="K83" s="26"/>
    </row>
    <row r="84" spans="1:11" s="3" customFormat="1" ht="18.75" customHeight="1" x14ac:dyDescent="0.15">
      <c r="A84" s="13"/>
      <c r="B84" s="288"/>
      <c r="C84" s="289"/>
      <c r="D84" s="289"/>
      <c r="E84" s="289"/>
      <c r="F84" s="289"/>
      <c r="G84" s="289"/>
      <c r="H84" s="289"/>
      <c r="I84" s="289"/>
      <c r="J84" s="290"/>
      <c r="K84" s="26"/>
    </row>
    <row r="85" spans="1:11" ht="18.75" customHeight="1" x14ac:dyDescent="0.15">
      <c r="A85" s="108"/>
      <c r="B85" s="288"/>
      <c r="C85" s="289"/>
      <c r="D85" s="289"/>
      <c r="E85" s="289"/>
      <c r="F85" s="289"/>
      <c r="G85" s="289"/>
      <c r="H85" s="289"/>
      <c r="I85" s="289"/>
      <c r="J85" s="290"/>
    </row>
    <row r="86" spans="1:11" ht="18.75" customHeight="1" x14ac:dyDescent="0.15">
      <c r="A86" s="108"/>
      <c r="B86" s="291"/>
      <c r="C86" s="292"/>
      <c r="D86" s="292"/>
      <c r="E86" s="292"/>
      <c r="F86" s="292"/>
      <c r="G86" s="292"/>
      <c r="H86" s="292"/>
      <c r="I86" s="292"/>
      <c r="J86" s="293"/>
    </row>
    <row r="87" spans="1:11" ht="7.5" customHeight="1" x14ac:dyDescent="0.15">
      <c r="A87" s="108"/>
      <c r="B87" s="108"/>
      <c r="C87" s="108"/>
      <c r="D87" s="108"/>
      <c r="E87" s="108"/>
      <c r="F87" s="108"/>
      <c r="G87" s="108"/>
      <c r="H87" s="108"/>
      <c r="I87" s="108"/>
      <c r="J87" s="108"/>
    </row>
    <row r="88" spans="1:11" s="3" customFormat="1" ht="18.75" customHeight="1" x14ac:dyDescent="0.15">
      <c r="A88" s="13" t="s">
        <v>216</v>
      </c>
      <c r="B88" s="13" t="s">
        <v>217</v>
      </c>
      <c r="C88" s="13"/>
      <c r="D88" s="13"/>
      <c r="E88" s="13"/>
      <c r="F88" s="13"/>
      <c r="G88" s="13"/>
      <c r="H88" s="13"/>
      <c r="I88" s="13"/>
      <c r="J88" s="13"/>
      <c r="K88" s="26"/>
    </row>
    <row r="89" spans="1:11" s="3" customFormat="1" ht="18.75" customHeight="1" x14ac:dyDescent="0.15">
      <c r="A89" s="13"/>
      <c r="B89" s="284" t="s">
        <v>247</v>
      </c>
      <c r="C89" s="285"/>
      <c r="D89" s="285"/>
      <c r="E89" s="285"/>
      <c r="F89" s="285"/>
      <c r="G89" s="285"/>
      <c r="H89" s="285"/>
      <c r="I89" s="286"/>
      <c r="J89" s="287"/>
      <c r="K89" s="26"/>
    </row>
    <row r="90" spans="1:11" s="3" customFormat="1" ht="18.75" customHeight="1" x14ac:dyDescent="0.15">
      <c r="A90" s="13"/>
      <c r="B90" s="288"/>
      <c r="C90" s="289"/>
      <c r="D90" s="289"/>
      <c r="E90" s="289"/>
      <c r="F90" s="289"/>
      <c r="G90" s="289"/>
      <c r="H90" s="289"/>
      <c r="I90" s="289"/>
      <c r="J90" s="290"/>
      <c r="K90" s="26"/>
    </row>
    <row r="91" spans="1:11" s="3" customFormat="1" ht="18.75" customHeight="1" x14ac:dyDescent="0.15">
      <c r="A91" s="13"/>
      <c r="B91" s="288"/>
      <c r="C91" s="289"/>
      <c r="D91" s="289"/>
      <c r="E91" s="289"/>
      <c r="F91" s="289"/>
      <c r="G91" s="289"/>
      <c r="H91" s="289"/>
      <c r="I91" s="289"/>
      <c r="J91" s="290"/>
      <c r="K91" s="26" t="str">
        <f>IF(B89="","入力してください","")</f>
        <v/>
      </c>
    </row>
    <row r="92" spans="1:11" s="3" customFormat="1" ht="18.75" customHeight="1" x14ac:dyDescent="0.15">
      <c r="A92" s="13"/>
      <c r="B92" s="288"/>
      <c r="C92" s="289"/>
      <c r="D92" s="289"/>
      <c r="E92" s="289"/>
      <c r="F92" s="289"/>
      <c r="G92" s="289"/>
      <c r="H92" s="289"/>
      <c r="I92" s="289"/>
      <c r="J92" s="290"/>
      <c r="K92" s="26"/>
    </row>
    <row r="93" spans="1:11" s="3" customFormat="1" ht="18.75" customHeight="1" x14ac:dyDescent="0.15">
      <c r="A93" s="13"/>
      <c r="B93" s="288"/>
      <c r="C93" s="289"/>
      <c r="D93" s="289"/>
      <c r="E93" s="289"/>
      <c r="F93" s="289"/>
      <c r="G93" s="289"/>
      <c r="H93" s="289"/>
      <c r="I93" s="289"/>
      <c r="J93" s="290"/>
      <c r="K93" s="26"/>
    </row>
    <row r="94" spans="1:11" s="3" customFormat="1" ht="18.75" customHeight="1" x14ac:dyDescent="0.15">
      <c r="A94" s="13"/>
      <c r="B94" s="288"/>
      <c r="C94" s="289"/>
      <c r="D94" s="289"/>
      <c r="E94" s="289"/>
      <c r="F94" s="289"/>
      <c r="G94" s="289"/>
      <c r="H94" s="289"/>
      <c r="I94" s="289"/>
      <c r="J94" s="290"/>
      <c r="K94" s="26"/>
    </row>
    <row r="95" spans="1:11" s="3" customFormat="1" ht="18.75" customHeight="1" x14ac:dyDescent="0.15">
      <c r="A95" s="13"/>
      <c r="B95" s="288"/>
      <c r="C95" s="289"/>
      <c r="D95" s="289"/>
      <c r="E95" s="289"/>
      <c r="F95" s="289"/>
      <c r="G95" s="289"/>
      <c r="H95" s="289"/>
      <c r="I95" s="289"/>
      <c r="J95" s="290"/>
      <c r="K95" s="26"/>
    </row>
    <row r="96" spans="1:11" s="3" customFormat="1" ht="18.75" customHeight="1" x14ac:dyDescent="0.15">
      <c r="A96" s="13"/>
      <c r="B96" s="288"/>
      <c r="C96" s="289"/>
      <c r="D96" s="289"/>
      <c r="E96" s="289"/>
      <c r="F96" s="289"/>
      <c r="G96" s="289"/>
      <c r="H96" s="289"/>
      <c r="I96" s="289"/>
      <c r="J96" s="290"/>
      <c r="K96" s="26"/>
    </row>
    <row r="97" spans="1:11" s="3" customFormat="1" ht="18.75" customHeight="1" x14ac:dyDescent="0.15">
      <c r="A97" s="13"/>
      <c r="B97" s="288"/>
      <c r="C97" s="289"/>
      <c r="D97" s="289"/>
      <c r="E97" s="289"/>
      <c r="F97" s="289"/>
      <c r="G97" s="289"/>
      <c r="H97" s="289"/>
      <c r="I97" s="289"/>
      <c r="J97" s="290"/>
      <c r="K97" s="26"/>
    </row>
    <row r="98" spans="1:11" s="3" customFormat="1" ht="18.75" customHeight="1" x14ac:dyDescent="0.15">
      <c r="A98" s="13"/>
      <c r="B98" s="288"/>
      <c r="C98" s="289"/>
      <c r="D98" s="289"/>
      <c r="E98" s="289"/>
      <c r="F98" s="289"/>
      <c r="G98" s="289"/>
      <c r="H98" s="289"/>
      <c r="I98" s="289"/>
      <c r="J98" s="290"/>
      <c r="K98" s="26"/>
    </row>
    <row r="99" spans="1:11" s="3" customFormat="1" ht="18.75" customHeight="1" x14ac:dyDescent="0.15">
      <c r="A99" s="13"/>
      <c r="B99" s="288"/>
      <c r="C99" s="289"/>
      <c r="D99" s="289"/>
      <c r="E99" s="289"/>
      <c r="F99" s="289"/>
      <c r="G99" s="289"/>
      <c r="H99" s="289"/>
      <c r="I99" s="289"/>
      <c r="J99" s="290"/>
      <c r="K99" s="26"/>
    </row>
    <row r="100" spans="1:11" s="3" customFormat="1" ht="18.75" customHeight="1" x14ac:dyDescent="0.15">
      <c r="A100" s="13"/>
      <c r="B100" s="288"/>
      <c r="C100" s="289"/>
      <c r="D100" s="289"/>
      <c r="E100" s="289"/>
      <c r="F100" s="289"/>
      <c r="G100" s="289"/>
      <c r="H100" s="289"/>
      <c r="I100" s="289"/>
      <c r="J100" s="290"/>
      <c r="K100" s="26"/>
    </row>
    <row r="101" spans="1:11" s="3" customFormat="1" ht="18.75" customHeight="1" x14ac:dyDescent="0.15">
      <c r="A101" s="13"/>
      <c r="B101" s="288"/>
      <c r="C101" s="289"/>
      <c r="D101" s="289"/>
      <c r="E101" s="289"/>
      <c r="F101" s="289"/>
      <c r="G101" s="289"/>
      <c r="H101" s="289"/>
      <c r="I101" s="289"/>
      <c r="J101" s="290"/>
      <c r="K101" s="26"/>
    </row>
    <row r="102" spans="1:11" s="3" customFormat="1" ht="18.75" customHeight="1" x14ac:dyDescent="0.15">
      <c r="A102" s="13"/>
      <c r="B102" s="288"/>
      <c r="C102" s="289"/>
      <c r="D102" s="289"/>
      <c r="E102" s="289"/>
      <c r="F102" s="289"/>
      <c r="G102" s="289"/>
      <c r="H102" s="289"/>
      <c r="I102" s="289"/>
      <c r="J102" s="290"/>
      <c r="K102" s="26"/>
    </row>
    <row r="103" spans="1:11" s="3" customFormat="1" ht="18.75" customHeight="1" x14ac:dyDescent="0.15">
      <c r="A103" s="13"/>
      <c r="B103" s="288"/>
      <c r="C103" s="289"/>
      <c r="D103" s="289"/>
      <c r="E103" s="289"/>
      <c r="F103" s="289"/>
      <c r="G103" s="289"/>
      <c r="H103" s="289"/>
      <c r="I103" s="289"/>
      <c r="J103" s="290"/>
      <c r="K103" s="26"/>
    </row>
    <row r="104" spans="1:11" s="3" customFormat="1" ht="18.75" customHeight="1" x14ac:dyDescent="0.15">
      <c r="A104" s="13"/>
      <c r="B104" s="288"/>
      <c r="C104" s="289"/>
      <c r="D104" s="289"/>
      <c r="E104" s="289"/>
      <c r="F104" s="289"/>
      <c r="G104" s="289"/>
      <c r="H104" s="289"/>
      <c r="I104" s="289"/>
      <c r="J104" s="290"/>
      <c r="K104" s="26"/>
    </row>
    <row r="105" spans="1:11" s="3" customFormat="1" ht="18.75" customHeight="1" x14ac:dyDescent="0.15">
      <c r="A105" s="13"/>
      <c r="B105" s="288"/>
      <c r="C105" s="289"/>
      <c r="D105" s="289"/>
      <c r="E105" s="289"/>
      <c r="F105" s="289"/>
      <c r="G105" s="289"/>
      <c r="H105" s="289"/>
      <c r="I105" s="289"/>
      <c r="J105" s="290"/>
      <c r="K105" s="26"/>
    </row>
    <row r="106" spans="1:11" s="3" customFormat="1" ht="18.75" customHeight="1" x14ac:dyDescent="0.15">
      <c r="A106" s="13"/>
      <c r="B106" s="288"/>
      <c r="C106" s="289"/>
      <c r="D106" s="289"/>
      <c r="E106" s="289"/>
      <c r="F106" s="289"/>
      <c r="G106" s="289"/>
      <c r="H106" s="289"/>
      <c r="I106" s="289"/>
      <c r="J106" s="290"/>
      <c r="K106" s="26"/>
    </row>
    <row r="107" spans="1:11" ht="18.75" customHeight="1" x14ac:dyDescent="0.15">
      <c r="A107" s="108"/>
      <c r="B107" s="288"/>
      <c r="C107" s="289"/>
      <c r="D107" s="289"/>
      <c r="E107" s="289"/>
      <c r="F107" s="289"/>
      <c r="G107" s="289"/>
      <c r="H107" s="289"/>
      <c r="I107" s="289"/>
      <c r="J107" s="290"/>
    </row>
    <row r="108" spans="1:11" ht="18.75" customHeight="1" x14ac:dyDescent="0.15">
      <c r="A108" s="108"/>
      <c r="B108" s="291"/>
      <c r="C108" s="292"/>
      <c r="D108" s="292"/>
      <c r="E108" s="292"/>
      <c r="F108" s="292"/>
      <c r="G108" s="292"/>
      <c r="H108" s="292"/>
      <c r="I108" s="292"/>
      <c r="J108" s="293"/>
    </row>
    <row r="109" spans="1:11" ht="7.5" customHeight="1" x14ac:dyDescent="0.15">
      <c r="A109" s="108"/>
      <c r="B109" s="108"/>
      <c r="C109" s="108"/>
      <c r="D109" s="108"/>
      <c r="E109" s="108"/>
      <c r="F109" s="108"/>
      <c r="G109" s="108"/>
      <c r="H109" s="108"/>
      <c r="I109" s="108"/>
      <c r="J109" s="108"/>
    </row>
    <row r="110" spans="1:11" s="3" customFormat="1" ht="18.75" customHeight="1" x14ac:dyDescent="0.15">
      <c r="A110" s="13" t="s">
        <v>23</v>
      </c>
      <c r="B110" s="295" t="s">
        <v>218</v>
      </c>
      <c r="C110" s="295"/>
      <c r="D110" s="295"/>
      <c r="E110" s="295"/>
      <c r="F110" s="295"/>
      <c r="G110" s="295"/>
      <c r="H110" s="295"/>
      <c r="I110" s="295"/>
      <c r="J110" s="295"/>
      <c r="K110" s="26"/>
    </row>
    <row r="111" spans="1:11" ht="18.75" customHeight="1" x14ac:dyDescent="0.15">
      <c r="A111" s="108"/>
      <c r="B111" s="284" t="s">
        <v>246</v>
      </c>
      <c r="C111" s="285"/>
      <c r="D111" s="285"/>
      <c r="E111" s="285"/>
      <c r="F111" s="285"/>
      <c r="G111" s="285"/>
      <c r="H111" s="285"/>
      <c r="I111" s="286"/>
      <c r="J111" s="287"/>
    </row>
    <row r="112" spans="1:11" ht="18.75" customHeight="1" x14ac:dyDescent="0.15">
      <c r="A112" s="108"/>
      <c r="B112" s="288"/>
      <c r="C112" s="289"/>
      <c r="D112" s="289"/>
      <c r="E112" s="289"/>
      <c r="F112" s="289"/>
      <c r="G112" s="289"/>
      <c r="H112" s="289"/>
      <c r="I112" s="289"/>
      <c r="J112" s="290"/>
    </row>
    <row r="113" spans="1:11" ht="18.75" customHeight="1" x14ac:dyDescent="0.15">
      <c r="A113" s="108"/>
      <c r="B113" s="288"/>
      <c r="C113" s="289"/>
      <c r="D113" s="289"/>
      <c r="E113" s="289"/>
      <c r="F113" s="289"/>
      <c r="G113" s="289"/>
      <c r="H113" s="289"/>
      <c r="I113" s="289"/>
      <c r="J113" s="290"/>
      <c r="K113" s="26" t="str">
        <f>IF(B111="","入力してください","")</f>
        <v/>
      </c>
    </row>
    <row r="114" spans="1:11" ht="18.75" customHeight="1" x14ac:dyDescent="0.15">
      <c r="A114" s="108"/>
      <c r="B114" s="288"/>
      <c r="C114" s="289"/>
      <c r="D114" s="289"/>
      <c r="E114" s="289"/>
      <c r="F114" s="289"/>
      <c r="G114" s="289"/>
      <c r="H114" s="289"/>
      <c r="I114" s="289"/>
      <c r="J114" s="290"/>
    </row>
    <row r="115" spans="1:11" ht="18.75" customHeight="1" x14ac:dyDescent="0.15">
      <c r="A115" s="108"/>
      <c r="B115" s="288"/>
      <c r="C115" s="289"/>
      <c r="D115" s="289"/>
      <c r="E115" s="289"/>
      <c r="F115" s="289"/>
      <c r="G115" s="289"/>
      <c r="H115" s="289"/>
      <c r="I115" s="289"/>
      <c r="J115" s="290"/>
    </row>
    <row r="116" spans="1:11" ht="18.75" customHeight="1" x14ac:dyDescent="0.15">
      <c r="A116" s="108"/>
      <c r="B116" s="288"/>
      <c r="C116" s="289"/>
      <c r="D116" s="289"/>
      <c r="E116" s="289"/>
      <c r="F116" s="289"/>
      <c r="G116" s="289"/>
      <c r="H116" s="289"/>
      <c r="I116" s="289"/>
      <c r="J116" s="290"/>
    </row>
    <row r="117" spans="1:11" ht="18.75" customHeight="1" x14ac:dyDescent="0.15">
      <c r="A117" s="108"/>
      <c r="B117" s="288"/>
      <c r="C117" s="289"/>
      <c r="D117" s="289"/>
      <c r="E117" s="289"/>
      <c r="F117" s="289"/>
      <c r="G117" s="289"/>
      <c r="H117" s="289"/>
      <c r="I117" s="289"/>
      <c r="J117" s="290"/>
    </row>
    <row r="118" spans="1:11" ht="18.75" customHeight="1" x14ac:dyDescent="0.15">
      <c r="A118" s="108"/>
      <c r="B118" s="288"/>
      <c r="C118" s="289"/>
      <c r="D118" s="289"/>
      <c r="E118" s="289"/>
      <c r="F118" s="289"/>
      <c r="G118" s="289"/>
      <c r="H118" s="289"/>
      <c r="I118" s="289"/>
      <c r="J118" s="290"/>
    </row>
    <row r="119" spans="1:11" ht="18.75" customHeight="1" x14ac:dyDescent="0.15">
      <c r="A119" s="108"/>
      <c r="B119" s="288"/>
      <c r="C119" s="289"/>
      <c r="D119" s="289"/>
      <c r="E119" s="289"/>
      <c r="F119" s="289"/>
      <c r="G119" s="289"/>
      <c r="H119" s="289"/>
      <c r="I119" s="289"/>
      <c r="J119" s="290"/>
    </row>
    <row r="120" spans="1:11" ht="18.75" customHeight="1" x14ac:dyDescent="0.15">
      <c r="A120" s="108"/>
      <c r="B120" s="288"/>
      <c r="C120" s="289"/>
      <c r="D120" s="289"/>
      <c r="E120" s="289"/>
      <c r="F120" s="289"/>
      <c r="G120" s="289"/>
      <c r="H120" s="289"/>
      <c r="I120" s="289"/>
      <c r="J120" s="290"/>
    </row>
    <row r="121" spans="1:11" ht="18.75" customHeight="1" x14ac:dyDescent="0.15">
      <c r="A121" s="108"/>
      <c r="B121" s="288"/>
      <c r="C121" s="289"/>
      <c r="D121" s="289"/>
      <c r="E121" s="289"/>
      <c r="F121" s="289"/>
      <c r="G121" s="289"/>
      <c r="H121" s="289"/>
      <c r="I121" s="289"/>
      <c r="J121" s="290"/>
    </row>
    <row r="122" spans="1:11" ht="18.75" customHeight="1" x14ac:dyDescent="0.15">
      <c r="A122" s="108"/>
      <c r="B122" s="288"/>
      <c r="C122" s="289"/>
      <c r="D122" s="289"/>
      <c r="E122" s="289"/>
      <c r="F122" s="289"/>
      <c r="G122" s="289"/>
      <c r="H122" s="289"/>
      <c r="I122" s="289"/>
      <c r="J122" s="290"/>
    </row>
    <row r="123" spans="1:11" ht="18.75" customHeight="1" x14ac:dyDescent="0.15">
      <c r="A123" s="108"/>
      <c r="B123" s="288"/>
      <c r="C123" s="289"/>
      <c r="D123" s="289"/>
      <c r="E123" s="289"/>
      <c r="F123" s="289"/>
      <c r="G123" s="289"/>
      <c r="H123" s="289"/>
      <c r="I123" s="289"/>
      <c r="J123" s="290"/>
    </row>
    <row r="124" spans="1:11" ht="18.75" customHeight="1" x14ac:dyDescent="0.15">
      <c r="A124" s="108"/>
      <c r="B124" s="288"/>
      <c r="C124" s="289"/>
      <c r="D124" s="289"/>
      <c r="E124" s="289"/>
      <c r="F124" s="289"/>
      <c r="G124" s="289"/>
      <c r="H124" s="289"/>
      <c r="I124" s="289"/>
      <c r="J124" s="290"/>
    </row>
    <row r="125" spans="1:11" ht="18.75" customHeight="1" x14ac:dyDescent="0.15">
      <c r="A125" s="108"/>
      <c r="B125" s="288"/>
      <c r="C125" s="289"/>
      <c r="D125" s="289"/>
      <c r="E125" s="289"/>
      <c r="F125" s="289"/>
      <c r="G125" s="289"/>
      <c r="H125" s="289"/>
      <c r="I125" s="289"/>
      <c r="J125" s="290"/>
    </row>
    <row r="126" spans="1:11" ht="18.75" customHeight="1" x14ac:dyDescent="0.15">
      <c r="A126" s="108"/>
      <c r="B126" s="288"/>
      <c r="C126" s="289"/>
      <c r="D126" s="289"/>
      <c r="E126" s="289"/>
      <c r="F126" s="289"/>
      <c r="G126" s="289"/>
      <c r="H126" s="289"/>
      <c r="I126" s="289"/>
      <c r="J126" s="290"/>
    </row>
    <row r="127" spans="1:11" ht="18.75" customHeight="1" x14ac:dyDescent="0.15">
      <c r="A127" s="108"/>
      <c r="B127" s="288"/>
      <c r="C127" s="289"/>
      <c r="D127" s="289"/>
      <c r="E127" s="289"/>
      <c r="F127" s="289"/>
      <c r="G127" s="289"/>
      <c r="H127" s="289"/>
      <c r="I127" s="289"/>
      <c r="J127" s="290"/>
    </row>
    <row r="128" spans="1:11" ht="18.75" customHeight="1" x14ac:dyDescent="0.15">
      <c r="A128" s="108"/>
      <c r="B128" s="288"/>
      <c r="C128" s="289"/>
      <c r="D128" s="289"/>
      <c r="E128" s="289"/>
      <c r="F128" s="289"/>
      <c r="G128" s="289"/>
      <c r="H128" s="289"/>
      <c r="I128" s="289"/>
      <c r="J128" s="290"/>
    </row>
    <row r="129" spans="1:10" ht="18.75" customHeight="1" x14ac:dyDescent="0.15">
      <c r="A129" s="108"/>
      <c r="B129" s="291"/>
      <c r="C129" s="292"/>
      <c r="D129" s="292"/>
      <c r="E129" s="292"/>
      <c r="F129" s="292"/>
      <c r="G129" s="292"/>
      <c r="H129" s="292"/>
      <c r="I129" s="292"/>
      <c r="J129" s="293"/>
    </row>
    <row r="130" spans="1:10" ht="7.5" customHeight="1" x14ac:dyDescent="0.15">
      <c r="A130" s="108"/>
      <c r="B130" s="109"/>
      <c r="C130" s="109"/>
      <c r="D130" s="109"/>
      <c r="E130" s="109"/>
      <c r="F130" s="109"/>
      <c r="G130" s="109"/>
      <c r="H130" s="109"/>
      <c r="I130" s="109"/>
      <c r="J130" s="109"/>
    </row>
    <row r="131" spans="1:10" ht="18.75" customHeight="1" x14ac:dyDescent="0.15">
      <c r="A131" s="108"/>
      <c r="B131" s="108"/>
      <c r="C131" s="108"/>
      <c r="D131" s="108"/>
      <c r="E131" s="108"/>
      <c r="F131" s="108"/>
      <c r="G131" s="108"/>
      <c r="H131" s="108"/>
      <c r="I131" s="108"/>
      <c r="J131" s="108"/>
    </row>
    <row r="132" spans="1:10" ht="18.75" customHeight="1" x14ac:dyDescent="0.15">
      <c r="A132" s="108"/>
      <c r="B132" s="108"/>
      <c r="C132" s="108"/>
      <c r="D132" s="108"/>
      <c r="E132" s="108"/>
      <c r="F132" s="108"/>
      <c r="G132" s="108"/>
      <c r="H132" s="108"/>
      <c r="I132" s="108"/>
      <c r="J132" s="108"/>
    </row>
    <row r="133" spans="1:10" ht="18.75" customHeight="1" x14ac:dyDescent="0.15">
      <c r="A133" s="108"/>
      <c r="B133" s="108"/>
      <c r="C133" s="108"/>
      <c r="D133" s="108"/>
      <c r="E133" s="108"/>
      <c r="F133" s="108"/>
      <c r="G133" s="108"/>
      <c r="H133" s="108"/>
      <c r="I133" s="108"/>
      <c r="J133" s="108"/>
    </row>
    <row r="134" spans="1:10" ht="18.75" customHeight="1" x14ac:dyDescent="0.15">
      <c r="A134" s="108"/>
      <c r="B134" s="108"/>
      <c r="C134" s="108"/>
      <c r="D134" s="108"/>
      <c r="E134" s="108"/>
      <c r="F134" s="108"/>
      <c r="G134" s="108"/>
      <c r="H134" s="108"/>
      <c r="I134" s="108"/>
      <c r="J134" s="108"/>
    </row>
    <row r="135" spans="1:10" ht="18.75" customHeight="1" x14ac:dyDescent="0.15">
      <c r="A135" s="108"/>
      <c r="B135" s="108"/>
      <c r="C135" s="108"/>
      <c r="D135" s="108"/>
      <c r="E135" s="108"/>
      <c r="F135" s="108"/>
      <c r="G135" s="108"/>
      <c r="H135" s="108"/>
      <c r="I135" s="108"/>
      <c r="J135" s="108"/>
    </row>
    <row r="136" spans="1:10" ht="18.75" customHeight="1" x14ac:dyDescent="0.15">
      <c r="A136" s="108"/>
      <c r="B136" s="108"/>
      <c r="C136" s="108"/>
      <c r="D136" s="108"/>
      <c r="E136" s="108"/>
      <c r="F136" s="108"/>
      <c r="G136" s="108"/>
      <c r="H136" s="108"/>
      <c r="I136" s="108"/>
      <c r="J136" s="108"/>
    </row>
    <row r="137" spans="1:10" ht="18.75" customHeight="1" x14ac:dyDescent="0.15">
      <c r="A137" s="108"/>
      <c r="B137" s="108"/>
      <c r="C137" s="108"/>
      <c r="D137" s="108"/>
      <c r="E137" s="108"/>
      <c r="F137" s="108"/>
      <c r="G137" s="108"/>
      <c r="H137" s="108"/>
      <c r="I137" s="108"/>
      <c r="J137" s="108"/>
    </row>
    <row r="138" spans="1:10" ht="18.75" customHeight="1" x14ac:dyDescent="0.15">
      <c r="A138" s="108"/>
      <c r="B138" s="108"/>
      <c r="C138" s="108"/>
      <c r="D138" s="108"/>
      <c r="E138" s="108"/>
      <c r="F138" s="108"/>
      <c r="G138" s="108"/>
      <c r="H138" s="108"/>
      <c r="I138" s="108"/>
      <c r="J138" s="108"/>
    </row>
    <row r="139" spans="1:10" ht="18.75" customHeight="1" x14ac:dyDescent="0.15">
      <c r="A139" s="108"/>
      <c r="B139" s="108"/>
      <c r="C139" s="108"/>
      <c r="D139" s="108"/>
      <c r="E139" s="108"/>
      <c r="F139" s="108"/>
      <c r="G139" s="108"/>
      <c r="H139" s="108"/>
      <c r="I139" s="108"/>
      <c r="J139" s="108"/>
    </row>
    <row r="140" spans="1:10" ht="18.75" customHeight="1" x14ac:dyDescent="0.15">
      <c r="A140" s="108"/>
      <c r="B140" s="108"/>
      <c r="C140" s="108"/>
      <c r="D140" s="108"/>
      <c r="E140" s="108"/>
      <c r="F140" s="108"/>
      <c r="G140" s="108"/>
      <c r="H140" s="108"/>
      <c r="I140" s="108"/>
      <c r="J140" s="108"/>
    </row>
    <row r="141" spans="1:10" ht="18.75" customHeight="1" x14ac:dyDescent="0.15">
      <c r="A141" s="108"/>
      <c r="B141" s="108"/>
      <c r="C141" s="108"/>
      <c r="D141" s="108"/>
      <c r="E141" s="108"/>
      <c r="F141" s="108"/>
      <c r="G141" s="108"/>
      <c r="H141" s="108"/>
      <c r="I141" s="108"/>
      <c r="J141" s="108"/>
    </row>
    <row r="142" spans="1:10" ht="18.75" customHeight="1" x14ac:dyDescent="0.15">
      <c r="A142" s="108"/>
      <c r="B142" s="108"/>
      <c r="C142" s="108"/>
      <c r="D142" s="108"/>
      <c r="E142" s="108"/>
      <c r="F142" s="108"/>
      <c r="G142" s="108"/>
      <c r="H142" s="108"/>
      <c r="I142" s="108"/>
      <c r="J142" s="108"/>
    </row>
    <row r="143" spans="1:10" ht="14.25" x14ac:dyDescent="0.15">
      <c r="A143" s="108"/>
      <c r="B143" s="108"/>
      <c r="C143" s="108"/>
      <c r="D143" s="108"/>
      <c r="E143" s="108"/>
      <c r="F143" s="108"/>
      <c r="G143" s="108"/>
      <c r="H143" s="108"/>
      <c r="I143" s="108"/>
      <c r="J143" s="108"/>
    </row>
    <row r="144" spans="1:10" ht="7.5" customHeight="1" x14ac:dyDescent="0.15">
      <c r="A144" s="110"/>
      <c r="B144" s="110"/>
      <c r="C144" s="110"/>
      <c r="D144" s="110"/>
      <c r="E144" s="110"/>
      <c r="F144" s="110"/>
      <c r="G144" s="110"/>
      <c r="H144" s="110"/>
      <c r="I144" s="110"/>
      <c r="J144" s="110"/>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tabSelected="1" view="pageBreakPreview" zoomScale="55" zoomScaleNormal="100" zoomScaleSheetLayoutView="55" workbookViewId="0">
      <selection activeCell="G18" sqref="G18:J1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6" customWidth="1"/>
    <col min="12" max="16384" width="11.375" style="1"/>
  </cols>
  <sheetData>
    <row r="1" spans="1:11" ht="18.75" customHeight="1" x14ac:dyDescent="0.15">
      <c r="A1" s="1" t="s">
        <v>219</v>
      </c>
      <c r="J1" s="34" t="s">
        <v>220</v>
      </c>
    </row>
    <row r="2" spans="1:11" ht="18.75" customHeight="1" x14ac:dyDescent="0.15">
      <c r="A2" s="258" t="s">
        <v>221</v>
      </c>
      <c r="B2" s="258"/>
      <c r="C2" s="258"/>
      <c r="D2" s="258"/>
      <c r="E2" s="258"/>
      <c r="F2" s="258"/>
      <c r="G2" s="258"/>
      <c r="H2" s="258"/>
      <c r="I2" s="258"/>
      <c r="J2" s="258"/>
    </row>
    <row r="3" spans="1:11" ht="7.5" customHeight="1" x14ac:dyDescent="0.15">
      <c r="A3" s="35"/>
      <c r="B3" s="35"/>
      <c r="C3" s="35"/>
      <c r="D3" s="35"/>
      <c r="E3" s="35"/>
      <c r="F3" s="35"/>
      <c r="G3" s="35"/>
      <c r="H3" s="35"/>
      <c r="I3" s="35"/>
      <c r="J3" s="35"/>
    </row>
    <row r="4" spans="1:11" ht="18.75" customHeight="1" x14ac:dyDescent="0.15">
      <c r="A4" s="1" t="s">
        <v>2</v>
      </c>
      <c r="B4" s="3" t="s">
        <v>222</v>
      </c>
      <c r="C4" s="32"/>
      <c r="D4" s="32"/>
      <c r="E4" s="33"/>
      <c r="F4" s="33"/>
      <c r="G4" s="33"/>
      <c r="H4" s="33"/>
      <c r="I4" s="33"/>
      <c r="J4" s="33"/>
    </row>
    <row r="5" spans="1:11" ht="18.75" customHeight="1" x14ac:dyDescent="0.15">
      <c r="B5" s="301" t="s">
        <v>223</v>
      </c>
      <c r="C5" s="302"/>
      <c r="D5" s="303"/>
      <c r="E5" s="304" t="s">
        <v>224</v>
      </c>
      <c r="F5" s="304"/>
      <c r="G5" s="304"/>
      <c r="H5" s="304"/>
      <c r="I5" s="304"/>
      <c r="J5" s="305"/>
    </row>
    <row r="6" spans="1:11" ht="18.75" customHeight="1" x14ac:dyDescent="0.15">
      <c r="B6" s="2" t="s">
        <v>225</v>
      </c>
      <c r="C6" s="32"/>
      <c r="D6" s="6"/>
      <c r="I6" s="33"/>
      <c r="J6" s="4"/>
    </row>
    <row r="7" spans="1:11" ht="207" customHeight="1" x14ac:dyDescent="0.15">
      <c r="B7" s="5"/>
      <c r="C7" s="306" t="s">
        <v>226</v>
      </c>
      <c r="D7" s="307"/>
      <c r="E7" s="298" t="s">
        <v>227</v>
      </c>
      <c r="F7" s="299"/>
      <c r="G7" s="299"/>
      <c r="H7" s="299"/>
      <c r="I7" s="299"/>
      <c r="J7" s="300"/>
      <c r="K7" s="26" t="str">
        <f>IF(E7="","入力してください","")</f>
        <v/>
      </c>
    </row>
    <row r="8" spans="1:11" ht="207" customHeight="1" x14ac:dyDescent="0.15">
      <c r="B8" s="5"/>
      <c r="C8" s="296" t="s">
        <v>228</v>
      </c>
      <c r="D8" s="297"/>
      <c r="E8" s="298" t="s">
        <v>229</v>
      </c>
      <c r="F8" s="299"/>
      <c r="G8" s="299"/>
      <c r="H8" s="299"/>
      <c r="I8" s="299"/>
      <c r="J8" s="300"/>
      <c r="K8" s="26" t="str">
        <f>IF(E8="","入力してください","")</f>
        <v/>
      </c>
    </row>
    <row r="9" spans="1:11" ht="172.5" customHeight="1" x14ac:dyDescent="0.15">
      <c r="B9" s="5"/>
      <c r="C9" s="306" t="s">
        <v>230</v>
      </c>
      <c r="D9" s="307"/>
      <c r="E9" s="298" t="s">
        <v>231</v>
      </c>
      <c r="F9" s="299"/>
      <c r="G9" s="299"/>
      <c r="H9" s="299"/>
      <c r="I9" s="299"/>
      <c r="J9" s="300"/>
      <c r="K9" s="26" t="str">
        <f>IF(E9="","入力してください","")</f>
        <v/>
      </c>
    </row>
    <row r="10" spans="1:11" ht="172.5" customHeight="1" x14ac:dyDescent="0.15">
      <c r="B10" s="5"/>
      <c r="C10" s="306" t="s">
        <v>232</v>
      </c>
      <c r="D10" s="307"/>
      <c r="E10" s="298" t="s">
        <v>233</v>
      </c>
      <c r="F10" s="299"/>
      <c r="G10" s="299"/>
      <c r="H10" s="299"/>
      <c r="I10" s="299"/>
      <c r="J10" s="300"/>
      <c r="K10" s="26" t="str">
        <f t="shared" ref="K10:K14" si="0">IF(E10="","入力してください","")</f>
        <v/>
      </c>
    </row>
    <row r="11" spans="1:11" ht="172.5" customHeight="1" x14ac:dyDescent="0.15">
      <c r="B11" s="5"/>
      <c r="C11" s="306" t="s">
        <v>234</v>
      </c>
      <c r="D11" s="307"/>
      <c r="E11" s="298" t="s">
        <v>235</v>
      </c>
      <c r="F11" s="299"/>
      <c r="G11" s="299"/>
      <c r="H11" s="299"/>
      <c r="I11" s="299"/>
      <c r="J11" s="300"/>
      <c r="K11" s="26" t="str">
        <f t="shared" si="0"/>
        <v/>
      </c>
    </row>
    <row r="12" spans="1:11" ht="18.75" customHeight="1" x14ac:dyDescent="0.15">
      <c r="B12" s="8" t="s">
        <v>236</v>
      </c>
      <c r="C12" s="23"/>
      <c r="D12" s="7"/>
      <c r="E12" s="27"/>
      <c r="F12" s="27"/>
      <c r="G12" s="27"/>
      <c r="H12" s="27"/>
      <c r="I12" s="27"/>
      <c r="J12" s="28"/>
    </row>
    <row r="13" spans="1:11" ht="244.15" customHeight="1" x14ac:dyDescent="0.15">
      <c r="B13" s="5"/>
      <c r="C13" s="306" t="s">
        <v>237</v>
      </c>
      <c r="D13" s="307"/>
      <c r="E13" s="299" t="s">
        <v>238</v>
      </c>
      <c r="F13" s="299"/>
      <c r="G13" s="299"/>
      <c r="H13" s="299"/>
      <c r="I13" s="299"/>
      <c r="J13" s="300"/>
      <c r="K13" s="26" t="str">
        <f t="shared" si="0"/>
        <v/>
      </c>
    </row>
    <row r="14" spans="1:11" ht="255" customHeight="1" x14ac:dyDescent="0.15">
      <c r="B14" s="5"/>
      <c r="C14" s="306" t="s">
        <v>239</v>
      </c>
      <c r="D14" s="307"/>
      <c r="E14" s="299" t="s">
        <v>240</v>
      </c>
      <c r="F14" s="299"/>
      <c r="G14" s="299"/>
      <c r="H14" s="299"/>
      <c r="I14" s="299"/>
      <c r="J14" s="300"/>
      <c r="K14" s="26" t="str">
        <f t="shared" si="0"/>
        <v/>
      </c>
    </row>
    <row r="15" spans="1:11" ht="243" customHeight="1" x14ac:dyDescent="0.15">
      <c r="B15" s="316" t="s">
        <v>241</v>
      </c>
      <c r="C15" s="317"/>
      <c r="D15" s="307"/>
      <c r="E15" s="299" t="s">
        <v>242</v>
      </c>
      <c r="F15" s="299"/>
      <c r="G15" s="299"/>
      <c r="H15" s="299"/>
      <c r="I15" s="299"/>
      <c r="J15" s="300"/>
      <c r="K15" s="26" t="str">
        <f>IF(E15="","入力してください","")</f>
        <v/>
      </c>
    </row>
    <row r="16" spans="1:11" ht="243" customHeight="1" x14ac:dyDescent="0.15">
      <c r="A16" s="26"/>
      <c r="B16" s="308" t="s">
        <v>243</v>
      </c>
      <c r="C16" s="309"/>
      <c r="D16" s="310"/>
      <c r="E16" s="311" t="s">
        <v>244</v>
      </c>
      <c r="F16" s="311"/>
      <c r="G16" s="311"/>
      <c r="H16" s="311"/>
      <c r="I16" s="311"/>
      <c r="J16" s="312"/>
      <c r="K16" s="26" t="str">
        <f>IF(E16="","入力してください","")</f>
        <v/>
      </c>
    </row>
    <row r="17" spans="1:11" ht="7.5" customHeight="1" x14ac:dyDescent="0.15">
      <c r="B17" s="32"/>
      <c r="C17" s="32"/>
      <c r="D17" s="32"/>
      <c r="E17" s="33"/>
      <c r="F17" s="33"/>
      <c r="G17" s="33"/>
      <c r="H17" s="33"/>
      <c r="I17" s="33"/>
      <c r="J17" s="33"/>
    </row>
    <row r="18" spans="1:11" ht="18.75" customHeight="1" x14ac:dyDescent="0.15">
      <c r="A18" s="1" t="s">
        <v>245</v>
      </c>
      <c r="B18" s="3"/>
      <c r="C18" s="32"/>
      <c r="D18" s="32"/>
      <c r="E18" s="33"/>
      <c r="F18" s="83"/>
      <c r="G18" s="313" t="s">
        <v>133</v>
      </c>
      <c r="H18" s="314"/>
      <c r="I18" s="314"/>
      <c r="J18" s="315"/>
      <c r="K18" s="26" t="str">
        <f>IF(G18="","入力してください","")</f>
        <v/>
      </c>
    </row>
    <row r="19" spans="1:11" ht="22.5" customHeight="1" x14ac:dyDescent="0.15">
      <c r="B19" s="32"/>
      <c r="C19" s="32"/>
      <c r="D19" s="32"/>
      <c r="E19" s="33"/>
      <c r="F19" s="33"/>
      <c r="G19" s="33"/>
      <c r="H19" s="33"/>
      <c r="I19" s="33"/>
      <c r="J19" s="33"/>
    </row>
    <row r="20" spans="1:11" ht="22.5" customHeight="1" x14ac:dyDescent="0.15">
      <c r="B20" s="32"/>
      <c r="C20" s="32"/>
      <c r="D20" s="32"/>
      <c r="E20" s="33"/>
      <c r="F20" s="33"/>
      <c r="G20" s="33"/>
      <c r="H20" s="33"/>
      <c r="I20" s="33"/>
      <c r="J20" s="33"/>
    </row>
    <row r="21" spans="1:11" ht="22.5" customHeight="1" x14ac:dyDescent="0.15">
      <c r="B21" s="32"/>
      <c r="C21" s="32"/>
      <c r="D21" s="32"/>
      <c r="E21" s="33"/>
      <c r="F21" s="33"/>
      <c r="G21" s="33"/>
      <c r="H21" s="33"/>
      <c r="I21" s="33"/>
      <c r="J21" s="33"/>
    </row>
    <row r="22" spans="1:11" ht="22.5" customHeight="1" x14ac:dyDescent="0.15">
      <c r="B22" s="32"/>
      <c r="C22" s="32"/>
      <c r="D22" s="32"/>
      <c r="E22" s="33"/>
      <c r="F22" s="33"/>
      <c r="G22" s="33"/>
      <c r="H22" s="33"/>
      <c r="I22" s="33"/>
      <c r="J22" s="33"/>
    </row>
    <row r="23" spans="1:11" ht="22.5" customHeight="1" x14ac:dyDescent="0.15">
      <c r="B23" s="32"/>
      <c r="C23" s="32"/>
      <c r="D23" s="32"/>
      <c r="E23" s="33"/>
      <c r="F23" s="33"/>
      <c r="G23" s="33"/>
      <c r="H23" s="33"/>
      <c r="I23" s="33"/>
      <c r="J23" s="33"/>
    </row>
    <row r="24" spans="1:11" ht="22.5" customHeight="1" x14ac:dyDescent="0.15">
      <c r="B24" s="92"/>
      <c r="C24" s="92"/>
      <c r="D24" s="92"/>
      <c r="E24" s="92"/>
      <c r="F24" s="92"/>
      <c r="G24" s="92"/>
      <c r="H24" s="92"/>
      <c r="I24" s="92"/>
      <c r="J24" s="92"/>
    </row>
    <row r="25" spans="1:11" ht="22.5" customHeight="1" x14ac:dyDescent="0.15">
      <c r="B25" s="92"/>
      <c r="C25" s="92"/>
      <c r="D25" s="92"/>
      <c r="E25" s="92"/>
      <c r="F25" s="92"/>
      <c r="G25" s="92"/>
      <c r="H25" s="92"/>
      <c r="I25" s="92"/>
      <c r="J25" s="92"/>
    </row>
    <row r="26" spans="1:11" ht="22.5" customHeight="1" x14ac:dyDescent="0.15">
      <c r="B26" s="92"/>
      <c r="C26" s="92"/>
      <c r="D26" s="92"/>
      <c r="E26" s="92"/>
      <c r="F26" s="92"/>
      <c r="G26" s="92"/>
      <c r="H26" s="92"/>
      <c r="I26" s="92"/>
      <c r="J26" s="92"/>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J18" r:id="rId1" display="https://www.hiroshima-cmt.ac.jp/release/ai.html" xr:uid="{5734F022-D1D1-4069-BD49-D4967C6B6E8C}"/>
  </hyperlinks>
  <printOptions horizontalCentered="1"/>
  <pageMargins left="0.78740157480314965" right="0.78740157480314965" top="0.78740157480314965" bottom="0.78740157480314965" header="0.31496062992125984" footer="0.31496062992125984"/>
  <pageSetup paperSize="9"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011b07c-0b76-420c-86ec-75cdd11cdb91" xsi:nil="true"/>
    <lcf76f155ced4ddcb4097134ff3c332f xmlns="0c561bb8-45a5-4103-9e42-1965c7c83ad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B22D8F850C6BF34EB56498C521C73EFE" ma:contentTypeVersion="9" ma:contentTypeDescription="新しいドキュメントを作成します。" ma:contentTypeScope="" ma:versionID="ac2ad9e97b795686d11e0969d155625f">
  <xsd:schema xmlns:xsd="http://www.w3.org/2001/XMLSchema" xmlns:xs="http://www.w3.org/2001/XMLSchema" xmlns:p="http://schemas.microsoft.com/office/2006/metadata/properties" xmlns:ns2="0c561bb8-45a5-4103-9e42-1965c7c83adb" xmlns:ns3="4011b07c-0b76-420c-86ec-75cdd11cdb91" targetNamespace="http://schemas.microsoft.com/office/2006/metadata/properties" ma:root="true" ma:fieldsID="23c16a62031b5aecbfe790994bacf235" ns2:_="" ns3:_="">
    <xsd:import namespace="0c561bb8-45a5-4103-9e42-1965c7c83adb"/>
    <xsd:import namespace="4011b07c-0b76-420c-86ec-75cdd11cdb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561bb8-45a5-4103-9e42-1965c7c83a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c1ec0f05-8db9-4cb4-a53b-b8806002f24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011b07c-0b76-420c-86ec-75cdd11cdb9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5f7cc9e-ab2e-40a4-a6f6-ca3f9e40ec01}" ma:internalName="TaxCatchAll" ma:showField="CatchAllData" ma:web="4011b07c-0b76-420c-86ec-75cdd11cdb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F96D73-3B82-409C-BBD5-AED3E0452BD8}">
  <ds:schemaRefs>
    <ds:schemaRef ds:uri="http://purl.org/dc/elements/1.1/"/>
    <ds:schemaRef ds:uri="http://purl.org/dc/dcmitype/"/>
    <ds:schemaRef ds:uri="http://schemas.microsoft.com/office/infopath/2007/PartnerControls"/>
    <ds:schemaRef ds:uri="http://schemas.microsoft.com/office/2006/documentManagement/types"/>
    <ds:schemaRef ds:uri="http://schemas.microsoft.com/office/2006/metadata/properties"/>
    <ds:schemaRef ds:uri="http://purl.org/dc/terms/"/>
    <ds:schemaRef ds:uri="http://www.w3.org/XML/1998/namespace"/>
    <ds:schemaRef ds:uri="http://schemas.openxmlformats.org/package/2006/metadata/core-properties"/>
    <ds:schemaRef ds:uri="4011b07c-0b76-420c-86ec-75cdd11cdb91"/>
    <ds:schemaRef ds:uri="0c561bb8-45a5-4103-9e42-1965c7c83adb"/>
  </ds:schemaRefs>
</ds:datastoreItem>
</file>

<file path=customXml/itemProps2.xml><?xml version="1.0" encoding="utf-8"?>
<ds:datastoreItem xmlns:ds="http://schemas.openxmlformats.org/officeDocument/2006/customXml" ds:itemID="{6B2F151D-FF34-4C96-94FF-8F8D071D1B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561bb8-45a5-4103-9e42-1965c7c83adb"/>
    <ds:schemaRef ds:uri="4011b07c-0b76-420c-86ec-75cdd11cdb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549A12-DC73-4C69-AE79-C55A755A77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様式２－１　プログラムを構成する授業科目</vt:lpstr>
      <vt:lpstr>様式２－２　プログラムを構成する授業科目</vt:lpstr>
      <vt:lpstr>様式２－３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'様式２－１　プログラムを構成する授業科目'!Print_Area</vt:lpstr>
      <vt:lpstr>'様式２－２　プログラムを構成する授業科目'!Print_Area</vt:lpstr>
      <vt:lpstr>'様式２－３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jimu012</cp:lastModifiedBy>
  <cp:revision/>
  <cp:lastPrinted>2022-05-29T23:36:12Z</cp:lastPrinted>
  <dcterms:created xsi:type="dcterms:W3CDTF">2011-06-14T05:32:50Z</dcterms:created>
  <dcterms:modified xsi:type="dcterms:W3CDTF">2022-05-29T23:36:34Z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0x010100B22D8F850C6BF34EB56498C521C73EFE</vt:lpwstr>
  </property>
  <property fmtid="{D5CDD505-2E9C-101B-9397-08002B2CF9AE}" pid="10" name="MediaServiceImageTags">
    <vt:lpwstr/>
  </property>
</Properties>
</file>