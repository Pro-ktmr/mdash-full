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8"/>
  <workbookPr defaultThemeVersion="124226"/>
  <mc:AlternateContent xmlns:mc="http://schemas.openxmlformats.org/markup-compatibility/2006">
    <mc:Choice Requires="x15">
      <x15ac:absPath xmlns:x15ac="http://schemas.microsoft.com/office/spreadsheetml/2010/11/ac" url="X:\教学課教務係\1-0_教務課共通業務\04_3MDASH\MDASHリテラシーレベル認定申請\R4申請様式\提出\(20220718)四日市大学\"/>
    </mc:Choice>
  </mc:AlternateContent>
  <xr:revisionPtr revIDLastSave="0" documentId="13_ncr:1_{050615A4-960A-487C-A34F-56D87C8F2FA3}" xr6:coauthVersionLast="36" xr6:coauthVersionMax="36" xr10:uidLastSave="{00000000-0000-0000-0000-000000000000}"/>
  <bookViews>
    <workbookView xWindow="0" yWindow="0" windowWidth="16830" windowHeight="10575" tabRatio="885" activeTab="1" xr2:uid="{00000000-000D-0000-FFFF-FFFF00000000}"/>
  </bookViews>
  <sheets>
    <sheet name="様式１　大学等概要" sheetId="8" r:id="rId1"/>
    <sheet name="様式２　プログラムを構成する授業科目" sheetId="44"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2" hidden="1">'様式３　履修者等数の実績'!#REF!</definedName>
    <definedName name="_xlnm.Print_Area" localSheetId="0">'様式１　大学等概要'!$A$1:$N$45</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workbook>
</file>

<file path=xl/calcChain.xml><?xml version="1.0" encoding="utf-8"?>
<calcChain xmlns="http://schemas.openxmlformats.org/spreadsheetml/2006/main">
  <c r="O4" i="8" l="1"/>
  <c r="O6" i="8"/>
  <c r="O8" i="8"/>
  <c r="O10" i="8"/>
  <c r="O12" i="8"/>
  <c r="O14" i="8"/>
  <c r="O16" i="8"/>
  <c r="O18" i="8"/>
  <c r="O20" i="8"/>
  <c r="O29" i="8"/>
  <c r="O32" i="8"/>
  <c r="O34" i="8"/>
  <c r="O37" i="8"/>
  <c r="O39" i="8"/>
  <c r="O41" i="8"/>
  <c r="O44" i="8"/>
  <c r="O45" i="8"/>
  <c r="K18" i="42" l="1"/>
  <c r="K16" i="42"/>
  <c r="K15" i="42"/>
  <c r="K9" i="42"/>
  <c r="K8" i="42"/>
  <c r="K7" i="42"/>
  <c r="K113" i="41"/>
  <c r="K91" i="41"/>
  <c r="K69" i="41"/>
  <c r="K46" i="41"/>
  <c r="K31" i="41"/>
  <c r="K15" i="41"/>
  <c r="K8" i="41"/>
  <c r="K5" i="41"/>
  <c r="C4" i="40"/>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Q30" i="40" l="1"/>
  <c r="R30" i="40" s="1"/>
  <c r="C28" i="41" s="1"/>
  <c r="R10" i="40"/>
</calcChain>
</file>

<file path=xl/sharedStrings.xml><?xml version="1.0" encoding="utf-8"?>
<sst xmlns="http://schemas.openxmlformats.org/spreadsheetml/2006/main" count="336" uniqueCount="217">
  <si>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</si>
  <si>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</si>
  <si>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</si>
  <si>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</si>
  <si>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</si>
  <si>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</si>
  <si>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</si>
  <si>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</si>
  <si>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</si>
  <si>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</si>
  <si>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</si>
  <si>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</si>
  <si>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</si>
  <si>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</si>
  <si>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</si>
  <si>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</si>
  <si>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</si>
  <si>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</si>
  <si>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</si>
  <si>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</si>
  <si>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</si>
  <si>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</si>
  <si>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</si>
  <si>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</si>
  <si>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</si>
  <si>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</si>
  <si>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</si>
  <si>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</si>
  <si>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</si>
  <si>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</si>
  <si>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</si>
  <si>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</si>
  <si>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</si>
  <si>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</si>
  <si>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</si>
  <si>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</si>
  <si>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</si>
  <si>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</si>
  <si>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</si>
  <si>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</si>
  <si>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</si>
  <si>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</si>
  <si>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</si>
  <si>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</si>
  <si>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</si>
  <si>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</si>
  <si>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</si>
  <si>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</si>
  <si>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</si>
  <si>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</si>
  <si>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</si>
  <si>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</si>
  <si>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</si>
  <si>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</si>
  <si>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</si>
  <si>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</si>
  <si>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</si>
  <si>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</si>
  <si>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</si>
  <si>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</si>
  <si>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</si>
  <si>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</si>
  <si>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</si>
  <si>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</si>
  <si>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</si>
  <si>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</si>
  <si>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</si>
  <si>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</si>
  <si>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</si>
  <si>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</si>
  <si>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</si>
  <si>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</si>
  <si>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</si>
  <si>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</si>
  <si>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</si>
  <si>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</si>
  <si>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</si>
  <si>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</si>
  <si>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</si>
  <si>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</si>
  <si>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</si>
  <si>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</si>
  <si>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</si>
  <si>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</si>
  <si>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</si>
  <si>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</si>
  <si>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</si>
  <si>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</si>
  <si>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</si>
  <si>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</si>
  <si>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</si>
  <si>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</si>
  <si>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</si>
  <si>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</si>
  <si>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</si>
  <si>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</si>
  <si>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</si>
  <si>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</si>
  <si>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</si>
  <si>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</si>
  <si>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</si>
  <si>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</si>
  <si>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</si>
  <si>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</si>
  <si>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</si>
  <si>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</si>
  <si>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</si>
  <si>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</si>
  <si>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</si>
  <si>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</si>
  <si>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</si>
  <si>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</si>
  <si>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</si>
  <si>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</si>
  <si>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</si>
  <si>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</si>
  <si>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</si>
  <si>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</si>
  <si>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</si>
  <si>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</si>
  <si>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</si>
  <si>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</si>
  <si>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</si>
  <si>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</si>
  <si>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</si>
  <si>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</si>
  <si>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</si>
  <si>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</si>
  <si>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</si>
  <si>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</si>
  <si>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</si>
  <si>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</si>
  <si>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</si>
  <si>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</si>
  <si>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</si>
  <si>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</si>
  <si>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</si>
  <si>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</si>
  <si>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</si>
  <si>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</si>
  <si>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</si>
  <si>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</si>
  <si>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</si>
  <si>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</si>
  <si>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</si>
  <si>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</si>
  <si>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</si>
  <si>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</si>
  <si>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</si>
  <si>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</si>
  <si>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</si>
  <si>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</si>
  <si>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</si>
  <si>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四日市大学</t>
    <rPh sb="0" eb="5">
      <t>ヨッカダイ</t>
    </rPh>
    <phoneticPr fontId="1"/>
  </si>
  <si>
    <t>私立大学</t>
  </si>
  <si>
    <t>三重県四日市市萱生町1200番地</t>
    <rPh sb="0" eb="3">
      <t>ミエケン</t>
    </rPh>
    <rPh sb="3" eb="7">
      <t>ヨッカイチシ</t>
    </rPh>
    <rPh sb="7" eb="10">
      <t>カヨウチョウ</t>
    </rPh>
    <rPh sb="14" eb="16">
      <t>バンチ</t>
    </rPh>
    <phoneticPr fontId="1"/>
  </si>
  <si>
    <t>学校法人暁学園</t>
    <rPh sb="0" eb="2">
      <t>ガッコウ</t>
    </rPh>
    <rPh sb="2" eb="4">
      <t>ホウジン</t>
    </rPh>
    <rPh sb="4" eb="7">
      <t>アカツキガクエン</t>
    </rPh>
    <phoneticPr fontId="1"/>
  </si>
  <si>
    <t>データサイエンス・リテラシープログラム</t>
    <phoneticPr fontId="1"/>
  </si>
  <si>
    <t>無</t>
  </si>
  <si>
    <t>令和３</t>
    <rPh sb="0" eb="2">
      <t>レイワ</t>
    </rPh>
    <phoneticPr fontId="1"/>
  </si>
  <si>
    <t>前川  督雄</t>
    <rPh sb="0" eb="6">
      <t>マエカワ</t>
    </rPh>
    <phoneticPr fontId="1"/>
  </si>
  <si>
    <t>環境情報学部教授・教務主任</t>
    <rPh sb="0" eb="4">
      <t>カンキョウ</t>
    </rPh>
    <rPh sb="4" eb="6">
      <t>ガクブ</t>
    </rPh>
    <rPh sb="6" eb="8">
      <t>キョウジュ</t>
    </rPh>
    <rPh sb="9" eb="13">
      <t>キョウムシュニン</t>
    </rPh>
    <phoneticPr fontId="1"/>
  </si>
  <si>
    <t>四日市大学教育開発推進センター</t>
    <rPh sb="0" eb="5">
      <t>ヨッカダイ</t>
    </rPh>
    <rPh sb="5" eb="7">
      <t>キョウイク</t>
    </rPh>
    <rPh sb="7" eb="9">
      <t>カイハツ</t>
    </rPh>
    <rPh sb="9" eb="11">
      <t>スイシン</t>
    </rPh>
    <phoneticPr fontId="1"/>
  </si>
  <si>
    <t>四日市大学自己点検・評価委員会</t>
    <phoneticPr fontId="1"/>
  </si>
  <si>
    <t>岩崎　恭典</t>
    <rPh sb="0" eb="5">
      <t>ガクチョウ</t>
    </rPh>
    <phoneticPr fontId="1"/>
  </si>
  <si>
    <t>学長</t>
    <rPh sb="0" eb="2">
      <t>ガクチョウチョウ</t>
    </rPh>
    <phoneticPr fontId="1"/>
  </si>
  <si>
    <t>認定教育プログラム</t>
  </si>
  <si>
    <t>教育・学生支援部</t>
    <rPh sb="0" eb="2">
      <t>キョウイク</t>
    </rPh>
    <rPh sb="3" eb="5">
      <t>ガクセイ</t>
    </rPh>
    <rPh sb="5" eb="7">
      <t>シエン</t>
    </rPh>
    <rPh sb="7" eb="8">
      <t>ブ</t>
    </rPh>
    <phoneticPr fontId="1"/>
  </si>
  <si>
    <t>059-365-6599</t>
    <phoneticPr fontId="1"/>
  </si>
  <si>
    <t>総合政策学部・総合政策学科</t>
    <rPh sb="0" eb="4">
      <t>ソウゴウ</t>
    </rPh>
    <rPh sb="4" eb="6">
      <t>ガクブ</t>
    </rPh>
    <rPh sb="7" eb="11">
      <t>ソウゴウ</t>
    </rPh>
    <rPh sb="11" eb="13">
      <t>ガッカ</t>
    </rPh>
    <phoneticPr fontId="1"/>
  </si>
  <si>
    <t>環境情報学部・環境情報学科</t>
    <rPh sb="0" eb="4">
      <t>カンキョウ</t>
    </rPh>
    <rPh sb="4" eb="6">
      <t>ガクブ</t>
    </rPh>
    <rPh sb="7" eb="11">
      <t>カンキョウジョウホウ</t>
    </rPh>
    <rPh sb="11" eb="13">
      <t>ガッカ</t>
    </rPh>
    <phoneticPr fontId="1"/>
  </si>
  <si>
    <t>教学課がプログラムの履修・単位修得状況を教学基幹システムを活用して、各学生の履修データを把握。教育開発推進センターと全学教学委員会に報告、プログラムの履修状況を把握する。
また、プログラム修得者には修了証を発行。学生が修了証発行申請用紙を提出、教学課で発行要件を満たしているかを確認後発行する。修了者・修了証発行状況については、教育開発推進センターと全学教学委員会に報告、プログラムの修了状況を把握する。</t>
    <rPh sb="75" eb="77">
      <t>リシュウ</t>
    </rPh>
    <rPh sb="94" eb="96">
      <t>シュウトク</t>
    </rPh>
    <rPh sb="96" eb="97">
      <t>シャ</t>
    </rPh>
    <rPh sb="99" eb="102">
      <t>シュウリョウショウ</t>
    </rPh>
    <rPh sb="103" eb="105">
      <t>ハッコウ</t>
    </rPh>
    <rPh sb="106" eb="108">
      <t>ガクセイ</t>
    </rPh>
    <rPh sb="109" eb="112">
      <t>シュウリョウショウ</t>
    </rPh>
    <rPh sb="112" eb="114">
      <t>ハッコウ</t>
    </rPh>
    <rPh sb="114" eb="116">
      <t>シンセイ</t>
    </rPh>
    <rPh sb="116" eb="118">
      <t>ヨウシ</t>
    </rPh>
    <rPh sb="119" eb="121">
      <t>テイシュツ</t>
    </rPh>
    <rPh sb="122" eb="125">
      <t>キョウガクカ</t>
    </rPh>
    <rPh sb="126" eb="128">
      <t>ハッコウ</t>
    </rPh>
    <rPh sb="128" eb="130">
      <t>ヨウケン</t>
    </rPh>
    <rPh sb="131" eb="132">
      <t>ミ</t>
    </rPh>
    <rPh sb="139" eb="141">
      <t>カクニン</t>
    </rPh>
    <rPh sb="141" eb="142">
      <t>ゴ</t>
    </rPh>
    <rPh sb="142" eb="144">
      <t>ハッコウ</t>
    </rPh>
    <rPh sb="147" eb="150">
      <t>シュウリョウシャ</t>
    </rPh>
    <rPh sb="151" eb="154">
      <t>シュウリョウショウ</t>
    </rPh>
    <rPh sb="154" eb="156">
      <t>ハッコウ</t>
    </rPh>
    <rPh sb="156" eb="158">
      <t>ジョウキョウ</t>
    </rPh>
    <rPh sb="192" eb="194">
      <t>シュウリョウ</t>
    </rPh>
    <phoneticPr fontId="1"/>
  </si>
  <si>
    <t>学期毎に全学生の単位修得状況を教育開発推進センター、全学教学委員会に報告する。また、クラス担任教員は、次学期の履修指導やプログラム修了に向けての相談も実施する。</t>
    <phoneticPr fontId="1"/>
  </si>
  <si>
    <t>卒業生調査を卒後３年に実施し、教育プログラムを修了した卒業生や活躍状況の把握をしていく。また、修了者を採用した企業側にも聞き取り調査を実施、情報収集を行う。</t>
    <phoneticPr fontId="1"/>
  </si>
  <si>
    <t>本学が設置する「四日市大学地域連携プラットフォーム」にて、産業界、自治体、シンクタンク、メディア関係、市民団体、高等学校から意見・評価をいただき、プログラムの改善に役立てていく。</t>
    <phoneticPr fontId="1"/>
  </si>
  <si>
    <t>コンピュータリテラシーはタイピング能力に応じてクラス分けを実施（教育の内容と評価基準はどのクラスも同じ）して、「分かりやすい」授業としている。また、その他の授業科目も少人数授業を実施するなど、「分かりやすい」授業を実践している。</t>
    <phoneticPr fontId="1"/>
  </si>
  <si>
    <t>情報化社会・ネット社会を生きていく上で必須の知識を楽しみながら受講できるよう身近な話題を多く扱う、実習では学生の習熟度に合わせて、教員が個別指導を行う形で進めていくなど、「学ぶ楽しさ」や「学ぶことの意義」を理解できるようなプログラムとしている。また、各授業科目については、チームティーチングを実施するため、複数の教員が意見交換・報告をしていくなど内容の充実を図るようにしている。</t>
    <phoneticPr fontId="1"/>
  </si>
  <si>
    <t>授業科目に関しては、毎学期「授業改善アンケート」との名称で「授業評価」を実施しており、そのなかで自由記述欄に記述される学生の意見等を把握するほか、科目担当教員が学生に提出させるミニッツペーパー等に書かれた意見についても、随時、教学課に報告がなされている。また、ゼミ担当教員は、毎年必ず担当学生と面談することになっており、こうした面談等によって、学生の内容の理解度を把握する。</t>
    <rPh sb="2" eb="4">
      <t>カモク</t>
    </rPh>
    <phoneticPr fontId="1"/>
  </si>
  <si>
    <t>○</t>
  </si>
  <si>
    <t>データ分析の基礎</t>
    <rPh sb="3" eb="5">
      <t>ブンセキ</t>
    </rPh>
    <rPh sb="6" eb="8">
      <t>キソ</t>
    </rPh>
    <phoneticPr fontId="1"/>
  </si>
  <si>
    <t>4-1統計および数理基礎</t>
  </si>
  <si>
    <t>四日市大学教育開発推進センター規程</t>
    <phoneticPr fontId="1"/>
  </si>
  <si>
    <t>教育および学生の学修の質向上に資するための方針及び実施体制に関する事項を審議し、教授法、教育課程、教育評価、ICT活用等の教育システムに係る研究、開発、実践を行うことを目的とする。</t>
    <phoneticPr fontId="1"/>
  </si>
  <si>
    <t>目標を実現するために、令和３年度より、プログラム設置運用について全学生に周知徹底するとともに、その社会的な意義と学生本人にとっての価値とを周知する施策を促進している。また、令和５年度のカリキュラム改定にともない、データサイエンス重視の科目構成とするとともに、その履修促進を推進する計画である。</t>
    <phoneticPr fontId="1"/>
  </si>
  <si>
    <t>プログラムを構成する科目は原則的に全学共通科目内に置いており、学部・学科に関係なく希望する学生全員が受講可能である。
また、プログラムを構成する科目の一部を必修科目で構成し、学部・学科に関係なく学生全員が本プログラムの一部を受講している。
さらに、プログラムの柱となる「データサイエンス序論」については、両学部でフレキシブルに開講できる「特別講義」のひとつとして開講して、学部・学科に関係なく希望する学生全員が受講可能としている。</t>
    <phoneticPr fontId="1"/>
  </si>
  <si>
    <t>入学後のガイダンスならびに各年度各学期のオリエンテーション時に、プログラム設置運用について全学生に周知徹底するとともに、その社会的な意義と学生本人にとっての価値とを全学生に周知し、全学的な履修を促進している。</t>
    <phoneticPr fontId="1"/>
  </si>
  <si>
    <t>授業で確認テストや課題を課して、学生各自の主体的な勉学を行わせるとともに、提出物へのフィードバックや模範解答の提示によって、落ちこぼれることなく学生が理解を高めて、学修意欲を向上する教育体制をとっている。</t>
    <phoneticPr fontId="1"/>
  </si>
  <si>
    <t xml:space="preserve">授業内で問いかけて質問を促すとともに、実習においては個別に対応して、個々の躓きや不明点を解決していく教育体制をとっている。
また、上記④に記載したように、確認テストや課題へのフィードバックや模範解答の提示によって、落ちこぼれることなく個々の学生が理解を高める教育体制をとっている。
オフィスアワー制度を実施。授業やプログラム修得についての質問や、個人的な相談を受け付ける。
</t>
    <rPh sb="148" eb="150">
      <t>セイド</t>
    </rPh>
    <rPh sb="151" eb="153">
      <t>ジッシ</t>
    </rPh>
    <rPh sb="162" eb="164">
      <t>シュウトク</t>
    </rPh>
    <rPh sb="182" eb="183">
      <t>ツ</t>
    </rPh>
    <phoneticPr fontId="1"/>
  </si>
  <si>
    <t>本プログラムの修了証は申請方式を取っているため、申請時にアンケートの提出を依頼。その際、プログラムについての感想、問題点、要望、後輩への推奨度等を調査。これらを掲示、プリント等をして受講に活用する計画。履修要綱冊子、WEBページ等も活用して、プログラム受講を推奨していく。</t>
    <rPh sb="98" eb="100">
      <t>ケイカク</t>
    </rPh>
    <rPh sb="129" eb="131">
      <t>スイショウ</t>
    </rPh>
    <phoneticPr fontId="1"/>
  </si>
  <si>
    <t>プログラムの必修科目のうち２科目は全学共通科目で全学生必修となっており、履修者数、履修率の向上を図っている。また、選択科目に関しても、スキル科目として開講しており、学生は受講しやすくなっている。また、履修オリエンテーション時に告知することで受講を促進する。</t>
    <rPh sb="57" eb="59">
      <t>センタク</t>
    </rPh>
    <rPh sb="59" eb="61">
      <t>カモク</t>
    </rPh>
    <phoneticPr fontId="1"/>
  </si>
  <si>
    <t>学部・学科によって、修了要件は相違しない</t>
  </si>
  <si>
    <t>データサイエンス序論</t>
    <rPh sb="8" eb="10">
      <t>ジョロン</t>
    </rPh>
    <phoneticPr fontId="1"/>
  </si>
  <si>
    <t>全学開講</t>
    <rPh sb="0" eb="4">
      <t>ゼンガクカイコウ</t>
    </rPh>
    <phoneticPr fontId="1"/>
  </si>
  <si>
    <t>情報倫理</t>
    <rPh sb="0" eb="4">
      <t>ジョウホウリンリ</t>
    </rPh>
    <phoneticPr fontId="1"/>
  </si>
  <si>
    <t>コンピュータリテラシー</t>
    <phoneticPr fontId="1"/>
  </si>
  <si>
    <t>統計的分析</t>
    <rPh sb="0" eb="5">
      <t>トウケイテキブンセキ</t>
    </rPh>
    <phoneticPr fontId="1"/>
  </si>
  <si>
    <t>社会で起きている変化
・Society5.0、ビッグデータ、IoT、データ量増加　「データサイエンス序論」（２回目）
・AI、計算機性能向上、AIの非連続的進化　「データサイエンス序論」（３回目）
・データ駆動型社会、データ量増加、ビッグデータ、IoT、AI　「データサイエンス序論」（４回目）</t>
    <rPh sb="0" eb="2">
      <t>シャカイ</t>
    </rPh>
    <rPh sb="3" eb="4">
      <t>オ</t>
    </rPh>
    <rPh sb="8" eb="10">
      <t>ヘンカ</t>
    </rPh>
    <rPh sb="37" eb="38">
      <t>リョウ</t>
    </rPh>
    <rPh sb="38" eb="40">
      <t>ゾウカ</t>
    </rPh>
    <rPh sb="50" eb="52">
      <t>ジョロン</t>
    </rPh>
    <rPh sb="55" eb="57">
      <t>カイメ</t>
    </rPh>
    <rPh sb="63" eb="66">
      <t>ケイサンキ</t>
    </rPh>
    <rPh sb="66" eb="70">
      <t>セイノウコウジョウ</t>
    </rPh>
    <rPh sb="74" eb="78">
      <t>ヒレンゾクテキ</t>
    </rPh>
    <rPh sb="78" eb="80">
      <t>シンカ</t>
    </rPh>
    <rPh sb="90" eb="92">
      <t>ジョロン</t>
    </rPh>
    <rPh sb="95" eb="96">
      <t>カイ</t>
    </rPh>
    <rPh sb="96" eb="97">
      <t>メ</t>
    </rPh>
    <rPh sb="103" eb="106">
      <t>クドウガタ</t>
    </rPh>
    <rPh sb="106" eb="108">
      <t>シャカイ</t>
    </rPh>
    <rPh sb="112" eb="113">
      <t>リョウ</t>
    </rPh>
    <rPh sb="113" eb="115">
      <t>ゾウカ</t>
    </rPh>
    <rPh sb="139" eb="141">
      <t>ジョロン</t>
    </rPh>
    <rPh sb="144" eb="146">
      <t>カイメ</t>
    </rPh>
    <phoneticPr fontId="1"/>
  </si>
  <si>
    <t>データ・AI利活用の最新動向
・データ・AI利活用のビジネスモデル、活用事例　「データサイエンス序論」（３回目、６回目）</t>
    <rPh sb="6" eb="9">
      <t>リカツヨウ</t>
    </rPh>
    <rPh sb="10" eb="12">
      <t>サイシン</t>
    </rPh>
    <rPh sb="12" eb="14">
      <t>ドウコウ</t>
    </rPh>
    <rPh sb="22" eb="25">
      <t>リカツヨウ</t>
    </rPh>
    <rPh sb="34" eb="38">
      <t>カツヨウジレイ</t>
    </rPh>
    <rPh sb="48" eb="50">
      <t>ジョロン</t>
    </rPh>
    <rPh sb="53" eb="55">
      <t>カイメ</t>
    </rPh>
    <rPh sb="57" eb="59">
      <t>カイメ</t>
    </rPh>
    <phoneticPr fontId="1"/>
  </si>
  <si>
    <t>社会で活用されているデータ
・データの種類（調査データ、実験データ、ログデータ、観測データ）　「データサイエンス序論」（５回目）
・オープンデータ　「データサイエンス序論」（５回目）
・１次データ、２次データ、メタデータ、構造化データ・非構造化データ　「データサイエンス序論」（５回目）</t>
    <rPh sb="0" eb="2">
      <t>シャカイ</t>
    </rPh>
    <rPh sb="3" eb="5">
      <t>カツヨウ</t>
    </rPh>
    <rPh sb="19" eb="21">
      <t>シュルイ</t>
    </rPh>
    <rPh sb="22" eb="24">
      <t>チョウサ</t>
    </rPh>
    <rPh sb="28" eb="30">
      <t>ジッケン</t>
    </rPh>
    <rPh sb="40" eb="42">
      <t>カンソク</t>
    </rPh>
    <rPh sb="56" eb="58">
      <t>ジョロン</t>
    </rPh>
    <rPh sb="61" eb="63">
      <t>カイメ</t>
    </rPh>
    <rPh sb="83" eb="85">
      <t>ジョロン</t>
    </rPh>
    <rPh sb="88" eb="90">
      <t>カイメ</t>
    </rPh>
    <rPh sb="94" eb="95">
      <t>ジ</t>
    </rPh>
    <rPh sb="100" eb="101">
      <t>ジ</t>
    </rPh>
    <rPh sb="111" eb="114">
      <t>コウゾウカ</t>
    </rPh>
    <rPh sb="118" eb="119">
      <t>ヒ</t>
    </rPh>
    <rPh sb="119" eb="122">
      <t>コウゾウカ</t>
    </rPh>
    <rPh sb="135" eb="137">
      <t>ジョロン</t>
    </rPh>
    <rPh sb="140" eb="142">
      <t>カイメ</t>
    </rPh>
    <phoneticPr fontId="1"/>
  </si>
  <si>
    <t>データ・AIの活用領域
・活用領域の広がり（研究開発、購買物流・調達、製造、出荷物流、マーケティング、販売、サービス）　「データサイエンス序論」（第７回）
・活用目的（知識発見、原因究明、計画策定、判断支援、活動代替、新規生成）　「データサイエンス序論」（第７回）
・エビデンスベース社会　「データサイエンス序論」（第７回）</t>
    <rPh sb="7" eb="11">
      <t>カツヨウリョウイキ</t>
    </rPh>
    <rPh sb="13" eb="17">
      <t>カツヨウリョウイキ</t>
    </rPh>
    <rPh sb="18" eb="19">
      <t>ヒロ</t>
    </rPh>
    <rPh sb="22" eb="26">
      <t>ケンキュウカイハツ</t>
    </rPh>
    <rPh sb="27" eb="31">
      <t>コウバイブツリュウ</t>
    </rPh>
    <rPh sb="32" eb="34">
      <t>チョウタツ</t>
    </rPh>
    <rPh sb="35" eb="37">
      <t>セイゾウ</t>
    </rPh>
    <rPh sb="38" eb="42">
      <t>シュッカブツリュウ</t>
    </rPh>
    <rPh sb="51" eb="53">
      <t>ハンバイ</t>
    </rPh>
    <rPh sb="69" eb="71">
      <t>ジョロン</t>
    </rPh>
    <rPh sb="73" eb="74">
      <t>ダイ</t>
    </rPh>
    <rPh sb="75" eb="76">
      <t>カイ</t>
    </rPh>
    <rPh sb="79" eb="83">
      <t>カツヨウモクテキ</t>
    </rPh>
    <rPh sb="84" eb="88">
      <t>チシキハッケン</t>
    </rPh>
    <rPh sb="89" eb="93">
      <t>ゲンインキュウメイ</t>
    </rPh>
    <rPh sb="94" eb="98">
      <t>ケイカクサクテイ</t>
    </rPh>
    <rPh sb="99" eb="103">
      <t>ハンダンシエン</t>
    </rPh>
    <rPh sb="104" eb="108">
      <t>カツドウダイタイ</t>
    </rPh>
    <rPh sb="109" eb="113">
      <t>シンキセイセイ</t>
    </rPh>
    <rPh sb="124" eb="126">
      <t>ジョロン</t>
    </rPh>
    <rPh sb="128" eb="129">
      <t>ダイ</t>
    </rPh>
    <rPh sb="130" eb="131">
      <t>カイ</t>
    </rPh>
    <rPh sb="142" eb="144">
      <t>シャカイ</t>
    </rPh>
    <rPh sb="154" eb="156">
      <t>ジョロン</t>
    </rPh>
    <rPh sb="158" eb="159">
      <t>ダイ</t>
    </rPh>
    <rPh sb="160" eb="161">
      <t>カイ</t>
    </rPh>
    <phoneticPr fontId="1"/>
  </si>
  <si>
    <t>データ・AI利活用のための技術
・データ解析の目的（予測、分類、発見）　「データサイエンス序論」（第８回）
・データの可視化、非構造化データの扱い　「データサイエンス序論」（第８回）
・AI技術　「データサイエンス序論」（第８回）</t>
    <rPh sb="20" eb="22">
      <t>カイセキ</t>
    </rPh>
    <rPh sb="23" eb="25">
      <t>モクテキ</t>
    </rPh>
    <rPh sb="26" eb="28">
      <t>ヨソク</t>
    </rPh>
    <rPh sb="29" eb="31">
      <t>ブンルイ</t>
    </rPh>
    <rPh sb="32" eb="34">
      <t>ハッケン</t>
    </rPh>
    <rPh sb="45" eb="47">
      <t>ジョロン</t>
    </rPh>
    <rPh sb="49" eb="50">
      <t>ダイ</t>
    </rPh>
    <rPh sb="51" eb="52">
      <t>カイ</t>
    </rPh>
    <rPh sb="59" eb="62">
      <t>カシカ</t>
    </rPh>
    <rPh sb="63" eb="67">
      <t>ヒコウゾウカ</t>
    </rPh>
    <rPh sb="71" eb="72">
      <t>アツカ</t>
    </rPh>
    <rPh sb="83" eb="85">
      <t>ジョロン</t>
    </rPh>
    <rPh sb="87" eb="88">
      <t>ダイ</t>
    </rPh>
    <rPh sb="89" eb="90">
      <t>カイ</t>
    </rPh>
    <rPh sb="95" eb="97">
      <t>ギジュツ</t>
    </rPh>
    <rPh sb="107" eb="109">
      <t>ジョロン</t>
    </rPh>
    <rPh sb="111" eb="112">
      <t>ダイ</t>
    </rPh>
    <rPh sb="113" eb="114">
      <t>カイ</t>
    </rPh>
    <phoneticPr fontId="1"/>
  </si>
  <si>
    <t>データ・AI利活用の現場
・意思決定におけるデータ分析（説明的、予測的、指示的）　「データサイエンス序論」（第９回）
・データ分析のサイクル、事例紹介　「データサイエンス序論」（第９回）</t>
    <rPh sb="14" eb="16">
      <t>イシ</t>
    </rPh>
    <rPh sb="16" eb="18">
      <t>ケッテイ</t>
    </rPh>
    <rPh sb="25" eb="27">
      <t>ブンセキ</t>
    </rPh>
    <rPh sb="28" eb="31">
      <t>セツメイテキ</t>
    </rPh>
    <rPh sb="32" eb="35">
      <t>ヨソクテキ</t>
    </rPh>
    <rPh sb="36" eb="39">
      <t>シジテキ</t>
    </rPh>
    <rPh sb="50" eb="52">
      <t>ジョロン</t>
    </rPh>
    <rPh sb="54" eb="55">
      <t>ダイ</t>
    </rPh>
    <rPh sb="56" eb="57">
      <t>カイ</t>
    </rPh>
    <rPh sb="63" eb="65">
      <t>ブンセキ</t>
    </rPh>
    <rPh sb="71" eb="75">
      <t>ジレイショウカイ</t>
    </rPh>
    <rPh sb="85" eb="87">
      <t>ジョロン</t>
    </rPh>
    <rPh sb="89" eb="90">
      <t>ダイ</t>
    </rPh>
    <rPh sb="91" eb="92">
      <t>カイ</t>
    </rPh>
    <phoneticPr fontId="1"/>
  </si>
  <si>
    <t>データ・AIを扱う上での留意事項
・個人情報保護、GDPR、忘れられる権利、オプトインオプトアウト　「データサイエンス序論」（第12回）、「情報倫理」（第６回、第７回）
・データ活用の負の側面、ELSI　「データサイエンス序論」（第12回）
・データの正義、バイアス（データ、アルゴリズム）、フェイク、AI社会原則　「データサイエンス序論」（第13回）</t>
    <rPh sb="18" eb="24">
      <t>コジンジョウホウホゴ</t>
    </rPh>
    <rPh sb="30" eb="31">
      <t>ワス</t>
    </rPh>
    <rPh sb="35" eb="37">
      <t>ケンリ</t>
    </rPh>
    <rPh sb="59" eb="61">
      <t>ジョロン</t>
    </rPh>
    <rPh sb="63" eb="64">
      <t>ダイ</t>
    </rPh>
    <rPh sb="66" eb="67">
      <t>カイ</t>
    </rPh>
    <rPh sb="70" eb="74">
      <t>ジョウホウリンリ</t>
    </rPh>
    <rPh sb="76" eb="77">
      <t>ダイ</t>
    </rPh>
    <rPh sb="78" eb="79">
      <t>カイ</t>
    </rPh>
    <rPh sb="80" eb="81">
      <t>ダイ</t>
    </rPh>
    <rPh sb="82" eb="83">
      <t>カイ</t>
    </rPh>
    <rPh sb="89" eb="91">
      <t>カツヨウ</t>
    </rPh>
    <rPh sb="92" eb="93">
      <t>フ</t>
    </rPh>
    <rPh sb="94" eb="96">
      <t>ソクメン</t>
    </rPh>
    <rPh sb="111" eb="113">
      <t>ジョロン</t>
    </rPh>
    <rPh sb="115" eb="116">
      <t>ダイ</t>
    </rPh>
    <rPh sb="118" eb="119">
      <t>カイ</t>
    </rPh>
    <rPh sb="126" eb="128">
      <t>セイギ</t>
    </rPh>
    <rPh sb="153" eb="157">
      <t>シャカイゲンソク</t>
    </rPh>
    <rPh sb="167" eb="169">
      <t>ジョロン</t>
    </rPh>
    <rPh sb="171" eb="172">
      <t>ダイ</t>
    </rPh>
    <rPh sb="174" eb="175">
      <t>カイ</t>
    </rPh>
    <phoneticPr fontId="1"/>
  </si>
  <si>
    <t>データを守る上での留意事項
・情報セキュリティ、CIA、暗号化、認証（パスワード、物、生体）、マルウェア・情報漏洩等の事例　「データサイエンス序論」（第14回）、「情報倫理」（第２回、第３回、第４回、第12回、第13回）</t>
    <rPh sb="15" eb="17">
      <t>ジョウホウ</t>
    </rPh>
    <rPh sb="28" eb="31">
      <t>アンゴウカ</t>
    </rPh>
    <rPh sb="32" eb="34">
      <t>ニンショウ</t>
    </rPh>
    <rPh sb="41" eb="42">
      <t>モノ</t>
    </rPh>
    <rPh sb="43" eb="45">
      <t>セイタイ</t>
    </rPh>
    <rPh sb="53" eb="57">
      <t>ジョウホウロウエイ</t>
    </rPh>
    <rPh sb="57" eb="58">
      <t>トウ</t>
    </rPh>
    <rPh sb="59" eb="61">
      <t>ジレイ</t>
    </rPh>
    <rPh sb="71" eb="73">
      <t>ジョロン</t>
    </rPh>
    <rPh sb="75" eb="76">
      <t>ダイ</t>
    </rPh>
    <rPh sb="78" eb="79">
      <t>カイ</t>
    </rPh>
    <rPh sb="82" eb="86">
      <t>ジョウホウリンリ</t>
    </rPh>
    <rPh sb="88" eb="89">
      <t>ダイ</t>
    </rPh>
    <rPh sb="90" eb="91">
      <t>カイ</t>
    </rPh>
    <rPh sb="92" eb="93">
      <t>ダイ</t>
    </rPh>
    <rPh sb="94" eb="95">
      <t>カイ</t>
    </rPh>
    <rPh sb="96" eb="97">
      <t>ダイ</t>
    </rPh>
    <rPh sb="98" eb="99">
      <t>カイ</t>
    </rPh>
    <rPh sb="100" eb="101">
      <t>ダイ</t>
    </rPh>
    <rPh sb="103" eb="104">
      <t>カイ</t>
    </rPh>
    <rPh sb="105" eb="106">
      <t>ダイ</t>
    </rPh>
    <rPh sb="108" eb="109">
      <t>カイ</t>
    </rPh>
    <phoneticPr fontId="1"/>
  </si>
  <si>
    <t>データを読む
・データの種類、尺度の種類、基本統計量、度数分布　「データサイエンス序論」（第10回、第11回）、「データ分析の基礎」（第２回～第４回）</t>
    <rPh sb="4" eb="5">
      <t>ヨ</t>
    </rPh>
    <rPh sb="12" eb="14">
      <t>シュルイ</t>
    </rPh>
    <rPh sb="15" eb="17">
      <t>シャクド</t>
    </rPh>
    <rPh sb="18" eb="20">
      <t>シュルイ</t>
    </rPh>
    <rPh sb="21" eb="26">
      <t>キホントウケイリョウ</t>
    </rPh>
    <rPh sb="27" eb="31">
      <t>ドスウブンプ</t>
    </rPh>
    <rPh sb="41" eb="43">
      <t>ジョロン</t>
    </rPh>
    <rPh sb="45" eb="46">
      <t>ダイ</t>
    </rPh>
    <rPh sb="48" eb="49">
      <t>カイ</t>
    </rPh>
    <rPh sb="50" eb="51">
      <t>ダイ</t>
    </rPh>
    <rPh sb="53" eb="54">
      <t>カイ</t>
    </rPh>
    <rPh sb="60" eb="62">
      <t>ブンセキ</t>
    </rPh>
    <rPh sb="63" eb="65">
      <t>キソ</t>
    </rPh>
    <rPh sb="67" eb="68">
      <t>ダイ</t>
    </rPh>
    <rPh sb="69" eb="70">
      <t>カイ</t>
    </rPh>
    <rPh sb="71" eb="72">
      <t>ダイ</t>
    </rPh>
    <rPh sb="73" eb="74">
      <t>カイ</t>
    </rPh>
    <phoneticPr fontId="1"/>
  </si>
  <si>
    <t>データを説明する
・データの種類、データ表現、基本統計量、度数分布、母集団と標本　「データサイエンス序論」（第10回、第11回）</t>
    <rPh sb="4" eb="6">
      <t>セツメイ</t>
    </rPh>
    <rPh sb="14" eb="16">
      <t>シュルイ</t>
    </rPh>
    <rPh sb="20" eb="22">
      <t>ヒョウゲン</t>
    </rPh>
    <rPh sb="23" eb="28">
      <t>キホントウケイリョウ</t>
    </rPh>
    <rPh sb="29" eb="33">
      <t>ドスウブンプ</t>
    </rPh>
    <rPh sb="34" eb="37">
      <t>ボシュウダン</t>
    </rPh>
    <rPh sb="38" eb="40">
      <t>ヒョウホン</t>
    </rPh>
    <rPh sb="50" eb="52">
      <t>ジョロン</t>
    </rPh>
    <rPh sb="54" eb="55">
      <t>ダイ</t>
    </rPh>
    <rPh sb="57" eb="58">
      <t>カイ</t>
    </rPh>
    <rPh sb="59" eb="60">
      <t>ダイ</t>
    </rPh>
    <rPh sb="62" eb="63">
      <t>カイ</t>
    </rPh>
    <phoneticPr fontId="1"/>
  </si>
  <si>
    <t>データを扱う
・集計、度数分布、母集団と標本　「データサイエンス序論」（第11回）
・データの入力、グラフの作成、表計算　「コンピュータリテラシー」（第９回、第11回、第12回）</t>
    <rPh sb="4" eb="5">
      <t>アツカ</t>
    </rPh>
    <rPh sb="8" eb="10">
      <t>シュウケイ</t>
    </rPh>
    <rPh sb="11" eb="15">
      <t>ドスウブンプ</t>
    </rPh>
    <rPh sb="16" eb="19">
      <t>ボシュウダン</t>
    </rPh>
    <rPh sb="20" eb="22">
      <t>ヒョウホン</t>
    </rPh>
    <rPh sb="32" eb="34">
      <t>ジョロン</t>
    </rPh>
    <rPh sb="36" eb="37">
      <t>ダイ</t>
    </rPh>
    <rPh sb="39" eb="40">
      <t>カイ</t>
    </rPh>
    <rPh sb="47" eb="49">
      <t>ニュウリョク</t>
    </rPh>
    <rPh sb="54" eb="56">
      <t>サクセイ</t>
    </rPh>
    <rPh sb="57" eb="60">
      <t>ヒョウケイサン</t>
    </rPh>
    <rPh sb="75" eb="76">
      <t>ダイ</t>
    </rPh>
    <rPh sb="77" eb="78">
      <t>カイ</t>
    </rPh>
    <rPh sb="79" eb="80">
      <t>ダイ</t>
    </rPh>
    <rPh sb="82" eb="83">
      <t>カイ</t>
    </rPh>
    <rPh sb="84" eb="85">
      <t>ダイ</t>
    </rPh>
    <rPh sb="87" eb="88">
      <t>カイ</t>
    </rPh>
    <phoneticPr fontId="1"/>
  </si>
  <si>
    <t>データサイエンスとAIについて基礎的な知識を獲得し、今生まれつつあるサイバー社会（ネット）とフィジカル社会（現実社会）とが一体化した新しい社会で生きる心構えの基本を身に着ける。　</t>
    <rPh sb="26" eb="27">
      <t>イマ</t>
    </rPh>
    <rPh sb="27" eb="28">
      <t>ウ</t>
    </rPh>
    <rPh sb="72" eb="73">
      <t>イ</t>
    </rPh>
    <phoneticPr fontId="1"/>
  </si>
  <si>
    <t>様式２</t>
    <phoneticPr fontId="1"/>
  </si>
  <si>
    <t>https://www.yokkaichi-u.ac.jp/guidance/data/data_1_19.html</t>
    <phoneticPr fontId="1"/>
  </si>
  <si>
    <t>プログラムを構成する「必修科目群（下記１～３）」から８単位、「選択科目群（下記４、５）」から２単位以上、合計１０単位以上を取得すること。
必修科目群：１．データサイエンス序論、２．情報倫理、３．コンピュータリテラシー　
選択科目群：４．データ分析の基礎、５．統計的分析
※必修科目１．データサイエンス序論は、総合政策学部では「総合政策特別講義III」、環境情報学部では「環境情報特別講義III」として、カリキュラム上は別科目名であるが、同一時限・同一教室で全学開講している。</t>
    <rPh sb="11" eb="13">
      <t>ヒッシュウ</t>
    </rPh>
    <rPh sb="31" eb="33">
      <t>センタク</t>
    </rPh>
    <rPh sb="69" eb="71">
      <t>ヒッシュウ</t>
    </rPh>
    <rPh sb="85" eb="87">
      <t>ジョロン</t>
    </rPh>
    <rPh sb="90" eb="94">
      <t>ジョウホウリンリ</t>
    </rPh>
    <rPh sb="110" eb="112">
      <t>センタク</t>
    </rPh>
    <rPh sb="129" eb="134">
      <t>トウケイテキブンセキ</t>
    </rPh>
    <rPh sb="137" eb="139">
      <t>ヒッシュウ</t>
    </rPh>
    <rPh sb="139" eb="141">
      <t>カモク</t>
    </rPh>
    <rPh sb="151" eb="153">
      <t>ジョロン</t>
    </rPh>
    <rPh sb="155" eb="161">
      <t>ソウゴウセイサクガクブ</t>
    </rPh>
    <rPh sb="164" eb="168">
      <t>ソウゴウセイサク</t>
    </rPh>
    <rPh sb="168" eb="172">
      <t>トクベツコウギ</t>
    </rPh>
    <rPh sb="177" eb="183">
      <t>カンキョウジョウホウガクブ</t>
    </rPh>
    <rPh sb="186" eb="194">
      <t>カンキョウジョウホウトクベツコウギ</t>
    </rPh>
    <rPh sb="208" eb="209">
      <t>ウエ</t>
    </rPh>
    <rPh sb="219" eb="221">
      <t>ドウイツ</t>
    </rPh>
    <rPh sb="221" eb="223">
      <t>ジゲン</t>
    </rPh>
    <rPh sb="224" eb="226">
      <t>ドウイツ</t>
    </rPh>
    <rPh sb="226" eb="228">
      <t>キョウシツ</t>
    </rPh>
    <rPh sb="229" eb="231">
      <t>ゼンガク</t>
    </rPh>
    <rPh sb="231" eb="233">
      <t>カイコウ</t>
    </rPh>
    <phoneticPr fontId="1"/>
  </si>
  <si>
    <t>小林　慶太郎</t>
    <rPh sb="0" eb="6">
      <t>コバヤシ</t>
    </rPh>
    <phoneticPr fontId="1"/>
  </si>
  <si>
    <t>副学長（教育・学生支援担当）</t>
    <rPh sb="0" eb="3">
      <t>フクガクチョウ</t>
    </rPh>
    <rPh sb="4" eb="6">
      <t>キョウイク</t>
    </rPh>
    <rPh sb="7" eb="9">
      <t>ガクセイ</t>
    </rPh>
    <rPh sb="9" eb="11">
      <t>シエン</t>
    </rPh>
    <rPh sb="11" eb="13">
      <t>タントウ</t>
    </rPh>
    <phoneticPr fontId="1"/>
  </si>
  <si>
    <t>kyomu@yokkaichi-u.ac.jp</t>
    <phoneticPr fontId="1"/>
  </si>
  <si>
    <t>上岡　定行</t>
    <rPh sb="0" eb="2">
      <t>ウエオカ</t>
    </rPh>
    <rPh sb="3" eb="5">
      <t>サダユキ</t>
    </rPh>
    <phoneticPr fontId="1"/>
  </si>
  <si>
    <t>（１） 教育開発推進センター長
（２） 各学部教務主任
（３） 教育・学生支援部次長
（４） 教学課長
（５） その他センター長が必要と認める者</t>
    <phoneticPr fontId="1"/>
  </si>
  <si>
    <t>https://www.yokkaichi-u.ac.jp/guidance/data/pdf/2022/2021DSLpTenken.pdf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</si>
</sst>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9" fontId="8" fillId="2" borderId="8" xfId="0" applyNumberFormat="1" applyFont="1" applyFill="1" applyBorder="1" applyAlignment="1">
      <alignment horizontal="center" vertical="center" wrapText="1" shrinkToFit="1"/>
    </xf>
    <xf numFmtId="0" fontId="8" fillId="0" borderId="0"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49" fontId="7" fillId="0" borderId="2" xfId="2" applyNumberFormat="1" applyBorder="1" applyAlignment="1">
      <alignment vertical="center" shrinkToFit="1"/>
    </xf>
    <xf numFmtId="49" fontId="7" fillId="0" borderId="3" xfId="2" applyNumberFormat="1" applyBorder="1" applyAlignment="1">
      <alignment vertical="center" shrinkToFit="1"/>
    </xf>
    <xf numFmtId="49" fontId="7" fillId="0" borderId="4" xfId="2" applyNumberForma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1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0"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9" fillId="0" borderId="7" xfId="0" applyFont="1" applyBorder="1" applyAlignment="1">
      <alignment vertical="center" wrapText="1"/>
    </xf>
    <xf numFmtId="0" fontId="9" fillId="0" borderId="8" xfId="0" applyFont="1" applyBorder="1" applyAlignment="1">
      <alignment vertical="center" wrapText="1"/>
    </xf>
    <xf numFmtId="0" fontId="9" fillId="0" borderId="9" xfId="0" applyFont="1" applyBorder="1" applyAlignment="1">
      <alignment vertical="center" wrapText="1"/>
    </xf>
    <xf numFmtId="0" fontId="9" fillId="0" borderId="5" xfId="0" applyFont="1" applyBorder="1" applyAlignment="1">
      <alignment vertical="center" wrapText="1"/>
    </xf>
    <xf numFmtId="0" fontId="9" fillId="0" borderId="0" xfId="0" applyFont="1" applyBorder="1" applyAlignment="1">
      <alignment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1" fillId="0" borderId="48" xfId="0" applyFont="1" applyBorder="1" applyAlignment="1">
      <alignment vertical="center" wrapTex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21" fillId="0" borderId="32" xfId="0" applyFont="1" applyBorder="1" applyAlignment="1">
      <alignment vertical="center" wrapText="1"/>
    </xf>
    <xf numFmtId="0" fontId="22" fillId="0" borderId="49"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22" fillId="0" borderId="48" xfId="0" applyFont="1" applyBorder="1" applyAlignment="1">
      <alignment vertical="center" wrapTex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9" fillId="0" borderId="0" xfId="0" applyFont="1" applyAlignment="1">
      <alignment horizontal="center" vertical="center"/>
    </xf>
    <xf numFmtId="0" fontId="19"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11" fillId="0" borderId="8"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0"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yokkaichi-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kkaichi-u.ac.jp/guidance/data/data_1_19.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yokkaichi-u.ac.jp/guidance/data/pdf/2022/2021DSLpTenken.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25" zoomScale="150" zoomScaleNormal="100" zoomScaleSheetLayoutView="150" workbookViewId="0">
      <selection activeCell="C4" sqref="C4:N4"/>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2" t="s">
        <v>26</v>
      </c>
      <c r="N1" s="142"/>
    </row>
    <row r="2" spans="1:15" ht="24" customHeight="1" x14ac:dyDescent="0.15">
      <c r="A2" s="146" t="s">
        <v>87</v>
      </c>
      <c r="B2" s="146"/>
      <c r="C2" s="146"/>
      <c r="D2" s="146"/>
      <c r="E2" s="146"/>
      <c r="F2" s="146"/>
      <c r="G2" s="146"/>
      <c r="H2" s="146"/>
      <c r="I2" s="146"/>
      <c r="J2" s="146"/>
      <c r="K2" s="146"/>
      <c r="L2" s="146"/>
      <c r="M2" s="146"/>
      <c r="N2" s="146"/>
    </row>
    <row r="3" spans="1:15" ht="24" customHeight="1" x14ac:dyDescent="0.15"/>
    <row r="4" spans="1:15" ht="24" customHeight="1" x14ac:dyDescent="0.15">
      <c r="A4" s="14" t="s">
        <v>6</v>
      </c>
      <c r="B4" s="15" t="s">
        <v>17</v>
      </c>
      <c r="C4" s="131" t="s">
        <v>153</v>
      </c>
      <c r="D4" s="132"/>
      <c r="E4" s="132"/>
      <c r="F4" s="132"/>
      <c r="G4" s="132"/>
      <c r="H4" s="132"/>
      <c r="I4" s="132"/>
      <c r="J4" s="132"/>
      <c r="K4" s="132"/>
      <c r="L4" s="132"/>
      <c r="M4" s="132"/>
      <c r="N4" s="133"/>
      <c r="O4" s="31" t="str">
        <f>IF(C4="","入力してください","")</f>
        <v/>
      </c>
    </row>
    <row r="5" spans="1:15" ht="7.5" customHeight="1" x14ac:dyDescent="0.15">
      <c r="B5" s="15"/>
      <c r="C5" s="15"/>
      <c r="D5" s="15"/>
      <c r="E5" s="16"/>
      <c r="F5" s="122"/>
      <c r="G5" s="122"/>
      <c r="H5" s="122"/>
      <c r="I5" s="122"/>
      <c r="J5" s="122"/>
      <c r="K5" s="122"/>
      <c r="L5" s="122"/>
      <c r="M5" s="122"/>
      <c r="N5" s="122"/>
    </row>
    <row r="6" spans="1:15" ht="24" customHeight="1" x14ac:dyDescent="0.15">
      <c r="A6" s="14" t="s">
        <v>50</v>
      </c>
      <c r="B6" s="15" t="s">
        <v>51</v>
      </c>
      <c r="C6" s="15"/>
      <c r="D6" s="131" t="s">
        <v>156</v>
      </c>
      <c r="E6" s="132"/>
      <c r="F6" s="132"/>
      <c r="G6" s="132"/>
      <c r="H6" s="133"/>
      <c r="I6" s="17" t="s">
        <v>90</v>
      </c>
      <c r="J6" s="122" t="s">
        <v>91</v>
      </c>
      <c r="K6" s="131" t="s">
        <v>154</v>
      </c>
      <c r="L6" s="132"/>
      <c r="M6" s="132"/>
      <c r="N6" s="133"/>
      <c r="O6" s="31" t="str">
        <f>IF(D6="","入力してください","")</f>
        <v/>
      </c>
    </row>
    <row r="7" spans="1:15" ht="7.5" customHeight="1" x14ac:dyDescent="0.15">
      <c r="B7" s="15"/>
      <c r="C7" s="15"/>
      <c r="D7" s="15"/>
      <c r="E7" s="16"/>
      <c r="F7" s="122"/>
      <c r="G7" s="122"/>
      <c r="H7" s="122"/>
      <c r="I7" s="122"/>
      <c r="J7" s="122"/>
      <c r="K7" s="122"/>
      <c r="L7" s="122"/>
      <c r="M7" s="122"/>
      <c r="N7" s="122"/>
    </row>
    <row r="8" spans="1:15" ht="24" customHeight="1" x14ac:dyDescent="0.15">
      <c r="A8" s="14" t="s">
        <v>14</v>
      </c>
      <c r="B8" s="15" t="s">
        <v>47</v>
      </c>
      <c r="C8" s="131" t="s">
        <v>155</v>
      </c>
      <c r="D8" s="132"/>
      <c r="E8" s="132"/>
      <c r="F8" s="132"/>
      <c r="G8" s="132"/>
      <c r="H8" s="132"/>
      <c r="I8" s="132"/>
      <c r="J8" s="132"/>
      <c r="K8" s="132"/>
      <c r="L8" s="132"/>
      <c r="M8" s="132"/>
      <c r="N8" s="133"/>
      <c r="O8" s="31" t="str">
        <f>IF(C8="","入力してください","")</f>
        <v/>
      </c>
    </row>
    <row r="9" spans="1:15" ht="7.5" customHeight="1" x14ac:dyDescent="0.15">
      <c r="B9" s="15"/>
      <c r="C9" s="15"/>
      <c r="D9" s="15"/>
      <c r="E9" s="16"/>
      <c r="F9" s="122"/>
      <c r="G9" s="122"/>
      <c r="H9" s="122"/>
      <c r="I9" s="122"/>
      <c r="J9" s="122"/>
      <c r="K9" s="122"/>
      <c r="L9" s="122"/>
      <c r="M9" s="122"/>
      <c r="N9" s="122"/>
    </row>
    <row r="10" spans="1:15" ht="24" customHeight="1" x14ac:dyDescent="0.15">
      <c r="A10" s="14" t="s">
        <v>12</v>
      </c>
      <c r="B10" s="15" t="s">
        <v>89</v>
      </c>
      <c r="C10" s="15"/>
      <c r="D10" s="15"/>
      <c r="E10" s="131" t="s">
        <v>157</v>
      </c>
      <c r="F10" s="132"/>
      <c r="G10" s="132"/>
      <c r="H10" s="132"/>
      <c r="I10" s="132"/>
      <c r="J10" s="132"/>
      <c r="K10" s="132"/>
      <c r="L10" s="132"/>
      <c r="M10" s="132"/>
      <c r="N10" s="133"/>
      <c r="O10" s="31" t="str">
        <f>IF(E10="","入力してください","")</f>
        <v/>
      </c>
    </row>
    <row r="11" spans="1:15" ht="7.5" customHeight="1" x14ac:dyDescent="0.15">
      <c r="B11" s="16"/>
      <c r="C11" s="16"/>
      <c r="D11" s="16"/>
      <c r="E11" s="16"/>
      <c r="F11" s="122"/>
      <c r="G11" s="122"/>
      <c r="H11" s="122"/>
      <c r="I11" s="122"/>
      <c r="J11" s="122"/>
      <c r="K11" s="122"/>
      <c r="L11" s="122"/>
      <c r="M11" s="122"/>
      <c r="N11" s="122"/>
    </row>
    <row r="12" spans="1:15" ht="24" customHeight="1" x14ac:dyDescent="0.15">
      <c r="A12" s="14" t="s">
        <v>60</v>
      </c>
      <c r="B12" s="16" t="s">
        <v>61</v>
      </c>
      <c r="C12" s="16"/>
      <c r="D12" s="16"/>
      <c r="E12" s="147" t="s">
        <v>159</v>
      </c>
      <c r="F12" s="148"/>
      <c r="G12" s="17" t="s">
        <v>100</v>
      </c>
      <c r="H12" s="14" t="s">
        <v>101</v>
      </c>
      <c r="N12" s="114" t="s">
        <v>158</v>
      </c>
      <c r="O12" s="31" t="str">
        <f>IF(E12="","入力してください","")</f>
        <v/>
      </c>
    </row>
    <row r="13" spans="1:15" ht="7.5" customHeight="1" x14ac:dyDescent="0.15">
      <c r="B13" s="16"/>
      <c r="C13" s="16"/>
      <c r="D13" s="16"/>
      <c r="E13" s="16"/>
      <c r="F13" s="122"/>
      <c r="G13" s="122"/>
      <c r="H13" s="122"/>
      <c r="I13" s="122"/>
      <c r="J13" s="122"/>
      <c r="K13" s="122"/>
      <c r="L13" s="122"/>
      <c r="M13" s="122"/>
      <c r="N13" s="122"/>
    </row>
    <row r="14" spans="1:15" ht="24" customHeight="1" x14ac:dyDescent="0.15">
      <c r="A14" s="14" t="s">
        <v>55</v>
      </c>
      <c r="B14" s="14" t="s">
        <v>0</v>
      </c>
      <c r="C14" s="143" t="s">
        <v>5</v>
      </c>
      <c r="D14" s="144"/>
      <c r="E14" s="134">
        <v>38</v>
      </c>
      <c r="F14" s="135"/>
      <c r="G14" s="18" t="s">
        <v>8</v>
      </c>
      <c r="I14" s="143" t="s">
        <v>9</v>
      </c>
      <c r="J14" s="144"/>
      <c r="K14" s="134">
        <v>36</v>
      </c>
      <c r="L14" s="145"/>
      <c r="M14" s="135"/>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49">
        <v>9</v>
      </c>
      <c r="L16" s="150"/>
      <c r="M16" s="151"/>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34">
        <v>200</v>
      </c>
      <c r="F18" s="135"/>
      <c r="G18" s="21" t="s">
        <v>22</v>
      </c>
      <c r="H18" s="20"/>
      <c r="K18" s="155"/>
      <c r="L18" s="155"/>
      <c r="M18" s="155"/>
      <c r="N18" s="155"/>
      <c r="O18" s="31" t="str">
        <f>IF(E18="","入力してください","")</f>
        <v/>
      </c>
    </row>
    <row r="19" spans="1:15" ht="7.5" customHeight="1" x14ac:dyDescent="0.15">
      <c r="E19" s="10"/>
      <c r="F19" s="20"/>
      <c r="G19" s="20"/>
      <c r="L19" s="121"/>
      <c r="M19" s="121"/>
      <c r="N19" s="22"/>
    </row>
    <row r="20" spans="1:15" ht="24" customHeight="1" x14ac:dyDescent="0.15">
      <c r="A20" s="14" t="s">
        <v>80</v>
      </c>
      <c r="B20" s="14" t="s">
        <v>82</v>
      </c>
      <c r="E20" s="10"/>
      <c r="F20" s="20"/>
      <c r="G20" s="20"/>
      <c r="H20" s="14" t="s">
        <v>54</v>
      </c>
      <c r="J20" s="152">
        <v>811</v>
      </c>
      <c r="K20" s="153"/>
      <c r="L20" s="154"/>
      <c r="M20" s="121" t="s">
        <v>53</v>
      </c>
      <c r="N20" s="22"/>
      <c r="O20" s="31" t="str">
        <f>IF(J20="","入力してください","")</f>
        <v/>
      </c>
    </row>
    <row r="21" spans="1:15" ht="7.5" customHeight="1" x14ac:dyDescent="0.15">
      <c r="E21" s="10"/>
      <c r="F21" s="20"/>
      <c r="G21" s="20"/>
      <c r="L21" s="121"/>
      <c r="M21" s="121"/>
      <c r="N21" s="22"/>
    </row>
    <row r="22" spans="1:15" ht="24" customHeight="1" x14ac:dyDescent="0.15">
      <c r="B22" s="29" t="s">
        <v>18</v>
      </c>
      <c r="C22" s="134">
        <v>193</v>
      </c>
      <c r="D22" s="135"/>
      <c r="E22" s="10" t="s">
        <v>23</v>
      </c>
      <c r="F22" s="20"/>
      <c r="G22" s="129" t="s">
        <v>19</v>
      </c>
      <c r="H22" s="130"/>
      <c r="I22" s="134">
        <v>209</v>
      </c>
      <c r="J22" s="135"/>
      <c r="K22" s="17" t="s">
        <v>23</v>
      </c>
      <c r="M22" s="121"/>
      <c r="N22" s="22"/>
    </row>
    <row r="23" spans="1:15" ht="7.5" customHeight="1" x14ac:dyDescent="0.15">
      <c r="B23" s="29"/>
      <c r="C23" s="11"/>
      <c r="D23" s="11"/>
      <c r="E23" s="10"/>
      <c r="F23" s="20"/>
      <c r="G23" s="121"/>
      <c r="H23" s="121"/>
      <c r="I23" s="11"/>
      <c r="J23" s="11"/>
      <c r="K23" s="17"/>
      <c r="M23" s="121"/>
      <c r="N23" s="22"/>
    </row>
    <row r="24" spans="1:15" ht="24" customHeight="1" x14ac:dyDescent="0.15">
      <c r="B24" s="29" t="s">
        <v>20</v>
      </c>
      <c r="C24" s="134">
        <v>182</v>
      </c>
      <c r="D24" s="135"/>
      <c r="E24" s="10" t="s">
        <v>23</v>
      </c>
      <c r="F24" s="20"/>
      <c r="G24" s="129" t="s">
        <v>21</v>
      </c>
      <c r="H24" s="130"/>
      <c r="I24" s="134">
        <v>227</v>
      </c>
      <c r="J24" s="135"/>
      <c r="K24" s="17" t="s">
        <v>23</v>
      </c>
      <c r="M24" s="121"/>
      <c r="N24" s="22"/>
    </row>
    <row r="25" spans="1:15" ht="7.5" customHeight="1" x14ac:dyDescent="0.15">
      <c r="B25" s="29"/>
      <c r="C25" s="11"/>
      <c r="D25" s="11"/>
      <c r="E25" s="10"/>
      <c r="F25" s="20"/>
      <c r="G25" s="121"/>
      <c r="H25" s="121"/>
      <c r="I25" s="11"/>
      <c r="J25" s="11"/>
      <c r="K25" s="17"/>
      <c r="M25" s="121"/>
      <c r="N25" s="22"/>
    </row>
    <row r="26" spans="1:15" ht="24" customHeight="1" x14ac:dyDescent="0.15">
      <c r="B26" s="29" t="s">
        <v>48</v>
      </c>
      <c r="C26" s="134"/>
      <c r="D26" s="135"/>
      <c r="E26" s="10" t="s">
        <v>8</v>
      </c>
      <c r="F26" s="20"/>
      <c r="G26" s="129" t="s">
        <v>49</v>
      </c>
      <c r="H26" s="130"/>
      <c r="I26" s="134"/>
      <c r="J26" s="135"/>
      <c r="K26" s="17" t="s">
        <v>8</v>
      </c>
      <c r="M26" s="121"/>
      <c r="N26" s="22"/>
    </row>
    <row r="27" spans="1:15" ht="7.5" customHeight="1" x14ac:dyDescent="0.15">
      <c r="F27" s="20"/>
      <c r="G27" s="20"/>
      <c r="M27" s="23"/>
      <c r="N27" s="23"/>
    </row>
    <row r="28" spans="1:15" ht="24" customHeight="1" x14ac:dyDescent="0.15">
      <c r="A28" s="14" t="s">
        <v>52</v>
      </c>
      <c r="B28" s="15" t="s">
        <v>79</v>
      </c>
      <c r="C28" s="15"/>
      <c r="D28" s="15"/>
      <c r="E28" s="15"/>
      <c r="F28" s="17"/>
      <c r="G28" s="122"/>
      <c r="H28" s="122"/>
      <c r="I28" s="122"/>
      <c r="J28" s="24"/>
      <c r="K28" s="24"/>
      <c r="L28" s="24"/>
      <c r="M28" s="24"/>
      <c r="N28" s="24"/>
    </row>
    <row r="29" spans="1:15" s="14" customFormat="1" ht="24" customHeight="1" x14ac:dyDescent="0.15">
      <c r="B29" s="139" t="s">
        <v>78</v>
      </c>
      <c r="C29" s="140"/>
      <c r="D29" s="131" t="s">
        <v>160</v>
      </c>
      <c r="E29" s="132"/>
      <c r="F29" s="133"/>
      <c r="G29" s="141" t="s">
        <v>24</v>
      </c>
      <c r="H29" s="139"/>
      <c r="I29" s="140"/>
      <c r="J29" s="131" t="s">
        <v>161</v>
      </c>
      <c r="K29" s="132"/>
      <c r="L29" s="132"/>
      <c r="M29" s="132"/>
      <c r="N29" s="133"/>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31" t="s">
        <v>162</v>
      </c>
      <c r="C32" s="132"/>
      <c r="D32" s="132"/>
      <c r="E32" s="132"/>
      <c r="F32" s="132"/>
      <c r="G32" s="132"/>
      <c r="H32" s="132"/>
      <c r="I32" s="132"/>
      <c r="J32" s="132"/>
      <c r="K32" s="132"/>
      <c r="L32" s="132"/>
      <c r="M32" s="132"/>
      <c r="N32" s="133"/>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9" t="s">
        <v>78</v>
      </c>
      <c r="C34" s="140"/>
      <c r="D34" s="131" t="s">
        <v>211</v>
      </c>
      <c r="E34" s="132"/>
      <c r="F34" s="133"/>
      <c r="G34" s="141" t="s">
        <v>57</v>
      </c>
      <c r="H34" s="139"/>
      <c r="I34" s="140"/>
      <c r="J34" s="131" t="s">
        <v>212</v>
      </c>
      <c r="K34" s="132"/>
      <c r="L34" s="132"/>
      <c r="M34" s="132"/>
      <c r="N34" s="133"/>
      <c r="O34" s="31" t="str">
        <f>IF(OR(D34="",J34=""),"入力してください","")</f>
        <v/>
      </c>
    </row>
    <row r="35" spans="1:15" ht="7.5" customHeight="1" x14ac:dyDescent="0.15">
      <c r="F35" s="122"/>
      <c r="G35" s="122"/>
      <c r="H35" s="122"/>
      <c r="I35" s="122"/>
      <c r="J35" s="122"/>
      <c r="K35" s="122"/>
      <c r="L35" s="122"/>
      <c r="M35" s="122"/>
      <c r="N35" s="122"/>
    </row>
    <row r="36" spans="1:15" ht="24" customHeight="1" x14ac:dyDescent="0.15">
      <c r="A36" s="14" t="s">
        <v>63</v>
      </c>
      <c r="B36" s="14" t="s">
        <v>85</v>
      </c>
      <c r="M36" s="23"/>
      <c r="N36" s="23"/>
    </row>
    <row r="37" spans="1:15" ht="24" customHeight="1" x14ac:dyDescent="0.15">
      <c r="B37" s="131" t="s">
        <v>163</v>
      </c>
      <c r="C37" s="132"/>
      <c r="D37" s="132"/>
      <c r="E37" s="132"/>
      <c r="F37" s="132"/>
      <c r="G37" s="132"/>
      <c r="H37" s="132"/>
      <c r="I37" s="132"/>
      <c r="J37" s="132"/>
      <c r="K37" s="132"/>
      <c r="L37" s="132"/>
      <c r="M37" s="132"/>
      <c r="N37" s="133"/>
      <c r="O37" s="31" t="str">
        <f>IF(B37="","入力してください","")</f>
        <v/>
      </c>
    </row>
    <row r="38" spans="1:15" ht="7.5" customHeight="1" x14ac:dyDescent="0.15">
      <c r="F38" s="122"/>
      <c r="G38" s="122"/>
      <c r="H38" s="122"/>
      <c r="I38" s="122"/>
      <c r="J38" s="122"/>
      <c r="K38" s="122"/>
      <c r="L38" s="122"/>
      <c r="M38" s="122"/>
      <c r="N38" s="122"/>
    </row>
    <row r="39" spans="1:15" s="14" customFormat="1" ht="24" customHeight="1" x14ac:dyDescent="0.15">
      <c r="B39" s="139" t="s">
        <v>78</v>
      </c>
      <c r="C39" s="140"/>
      <c r="D39" s="131" t="s">
        <v>164</v>
      </c>
      <c r="E39" s="132"/>
      <c r="F39" s="133"/>
      <c r="G39" s="141" t="s">
        <v>57</v>
      </c>
      <c r="H39" s="139"/>
      <c r="I39" s="140"/>
      <c r="J39" s="131" t="s">
        <v>165</v>
      </c>
      <c r="K39" s="132"/>
      <c r="L39" s="132"/>
      <c r="M39" s="132"/>
      <c r="N39" s="133"/>
      <c r="O39" s="31" t="str">
        <f>IF(OR(D39="",J39=""),"入力してください","")</f>
        <v/>
      </c>
    </row>
    <row r="40" spans="1:15" ht="7.5" customHeight="1" x14ac:dyDescent="0.15">
      <c r="F40" s="122"/>
      <c r="G40" s="122"/>
      <c r="H40" s="122"/>
      <c r="I40" s="122"/>
      <c r="J40" s="122"/>
      <c r="K40" s="122"/>
      <c r="L40" s="122"/>
      <c r="M40" s="122"/>
      <c r="N40" s="122"/>
    </row>
    <row r="41" spans="1:15" ht="24" customHeight="1" x14ac:dyDescent="0.15">
      <c r="A41" s="14" t="s">
        <v>92</v>
      </c>
      <c r="B41" s="70" t="s">
        <v>71</v>
      </c>
      <c r="E41" s="71"/>
      <c r="F41" s="131" t="s">
        <v>166</v>
      </c>
      <c r="G41" s="132"/>
      <c r="H41" s="132"/>
      <c r="I41" s="132"/>
      <c r="J41" s="132"/>
      <c r="K41" s="132"/>
      <c r="L41" s="132"/>
      <c r="M41" s="132"/>
      <c r="N41" s="133"/>
      <c r="O41" s="31" t="str">
        <f>IF(F41="","入力してください","")</f>
        <v/>
      </c>
    </row>
    <row r="42" spans="1:15" ht="7.5" customHeight="1" x14ac:dyDescent="0.15">
      <c r="F42" s="122"/>
      <c r="G42" s="122"/>
      <c r="H42" s="122"/>
      <c r="I42" s="122"/>
      <c r="J42" s="122"/>
      <c r="K42" s="122"/>
      <c r="L42" s="122"/>
      <c r="M42" s="122"/>
      <c r="N42" s="122"/>
    </row>
    <row r="43" spans="1:15" ht="24" customHeight="1" x14ac:dyDescent="0.15">
      <c r="A43" s="14" t="s">
        <v>102</v>
      </c>
    </row>
    <row r="44" spans="1:15" ht="24" customHeight="1" x14ac:dyDescent="0.15">
      <c r="B44" s="30" t="s">
        <v>1</v>
      </c>
      <c r="C44" s="136" t="s">
        <v>167</v>
      </c>
      <c r="D44" s="137"/>
      <c r="E44" s="137"/>
      <c r="F44" s="137"/>
      <c r="G44" s="137"/>
      <c r="H44" s="138"/>
      <c r="I44" s="26" t="s">
        <v>2</v>
      </c>
      <c r="J44" s="27"/>
      <c r="K44" s="131" t="s">
        <v>214</v>
      </c>
      <c r="L44" s="132"/>
      <c r="M44" s="132"/>
      <c r="N44" s="133"/>
      <c r="O44" s="31" t="str">
        <f>IF(OR(C44="",K44=""),"入力してください","")</f>
        <v/>
      </c>
    </row>
    <row r="45" spans="1:15" ht="24" customHeight="1" x14ac:dyDescent="0.15">
      <c r="B45" s="25" t="s">
        <v>4</v>
      </c>
      <c r="C45" s="123" t="s">
        <v>213</v>
      </c>
      <c r="D45" s="124"/>
      <c r="E45" s="124"/>
      <c r="F45" s="124"/>
      <c r="G45" s="124"/>
      <c r="H45" s="125"/>
      <c r="I45" s="26" t="s">
        <v>3</v>
      </c>
      <c r="J45" s="27"/>
      <c r="K45" s="126" t="s">
        <v>168</v>
      </c>
      <c r="L45" s="127"/>
      <c r="M45" s="127"/>
      <c r="N45" s="128"/>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D79F45AC-DD71-4B3F-8888-A57B29C7740A}">
      <formula1>"国立大学, 公立大学, 私立大学, 短期大学, 高等専門学校, その他"</formula1>
    </dataValidation>
    <dataValidation type="list" allowBlank="1" showInputMessage="1" showErrorMessage="1" sqref="N12" xr:uid="{6C20BFC3-CAF5-4AEB-A1A3-959DE539326E}">
      <formula1>"有,無"</formula1>
    </dataValidation>
    <dataValidation type="list" allowBlank="1" showInputMessage="1" showErrorMessage="1" sqref="F41:N41" xr:uid="{6AD2B91B-FC32-4FB9-A775-C9AD46E78325}">
      <formula1>"認定教育プログラム,認定教育プログラム+（プラス）,認定教育プログラムと認定教育プログラム+（プラス）"</formula1>
    </dataValidation>
  </dataValidations>
  <hyperlinks>
    <hyperlink ref="C45" r:id="rId1" xr:uid="{32EC38AB-67B2-4E94-85B7-2C7F2FEEDD9A}"/>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23D03-01FD-45BA-AD67-BAE7EE8B94D9}">
  <dimension ref="A1:Z98"/>
  <sheetViews>
    <sheetView tabSelected="1" workbookViewId="0">
      <selection activeCell="B16" sqref="B16:F16"/>
    </sheetView>
  </sheetViews>
  <sheetFormatPr defaultColWidth="9" defaultRowHeight="14.25"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36" t="s">
        <v>208</v>
      </c>
      <c r="X1" s="236"/>
      <c r="Y1" s="236"/>
      <c r="Z1" s="236"/>
    </row>
    <row r="2" spans="1:26" ht="18" customHeight="1" x14ac:dyDescent="0.15">
      <c r="A2" s="237" t="s">
        <v>69</v>
      </c>
      <c r="B2" s="237"/>
      <c r="C2" s="237"/>
      <c r="D2" s="237"/>
      <c r="E2" s="237"/>
      <c r="F2" s="237"/>
      <c r="G2" s="237"/>
      <c r="H2" s="237"/>
      <c r="I2" s="237"/>
      <c r="J2" s="237"/>
      <c r="K2" s="237"/>
      <c r="L2" s="237"/>
      <c r="M2" s="237"/>
      <c r="N2" s="237"/>
      <c r="O2" s="237"/>
      <c r="P2" s="237"/>
      <c r="Q2" s="237"/>
      <c r="R2" s="237"/>
      <c r="S2" s="237"/>
      <c r="T2" s="237"/>
      <c r="U2" s="237"/>
      <c r="V2" s="237"/>
      <c r="W2" s="237"/>
      <c r="X2" s="237"/>
      <c r="Y2" s="237"/>
      <c r="Z2" s="237"/>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49" t="s">
        <v>190</v>
      </c>
      <c r="P4" s="150"/>
      <c r="Q4" s="150"/>
      <c r="R4" s="150"/>
      <c r="S4" s="150"/>
      <c r="T4" s="150"/>
      <c r="U4" s="150"/>
      <c r="V4" s="150"/>
      <c r="W4" s="150"/>
      <c r="X4" s="150"/>
      <c r="Y4" s="150"/>
      <c r="Z4" s="15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38" t="s">
        <v>210</v>
      </c>
      <c r="C6" s="239"/>
      <c r="D6" s="239"/>
      <c r="E6" s="239"/>
      <c r="F6" s="239"/>
      <c r="G6" s="239"/>
      <c r="H6" s="239"/>
      <c r="I6" s="239"/>
      <c r="J6" s="239"/>
      <c r="K6" s="239"/>
      <c r="L6" s="239"/>
      <c r="M6" s="239"/>
      <c r="N6" s="239"/>
      <c r="O6" s="239"/>
      <c r="P6" s="239"/>
      <c r="Q6" s="239"/>
      <c r="R6" s="239"/>
      <c r="S6" s="239"/>
      <c r="T6" s="239"/>
      <c r="U6" s="239"/>
      <c r="V6" s="239"/>
      <c r="W6" s="239"/>
      <c r="X6" s="239"/>
      <c r="Y6" s="239"/>
      <c r="Z6" s="240"/>
    </row>
    <row r="7" spans="1:26" ht="18" customHeight="1" x14ac:dyDescent="0.15">
      <c r="B7" s="241"/>
      <c r="C7" s="242"/>
      <c r="D7" s="242"/>
      <c r="E7" s="242"/>
      <c r="F7" s="242"/>
      <c r="G7" s="242"/>
      <c r="H7" s="242"/>
      <c r="I7" s="242"/>
      <c r="J7" s="242"/>
      <c r="K7" s="242"/>
      <c r="L7" s="242"/>
      <c r="M7" s="242"/>
      <c r="N7" s="242"/>
      <c r="O7" s="242"/>
      <c r="P7" s="242"/>
      <c r="Q7" s="242"/>
      <c r="R7" s="242"/>
      <c r="S7" s="242"/>
      <c r="T7" s="242"/>
      <c r="U7" s="242"/>
      <c r="V7" s="242"/>
      <c r="W7" s="242"/>
      <c r="X7" s="242"/>
      <c r="Y7" s="242"/>
      <c r="Z7" s="243"/>
    </row>
    <row r="8" spans="1:26" ht="18" customHeight="1" x14ac:dyDescent="0.15">
      <c r="B8" s="241"/>
      <c r="C8" s="242"/>
      <c r="D8" s="242"/>
      <c r="E8" s="242"/>
      <c r="F8" s="242"/>
      <c r="G8" s="242"/>
      <c r="H8" s="242"/>
      <c r="I8" s="242"/>
      <c r="J8" s="242"/>
      <c r="K8" s="242"/>
      <c r="L8" s="242"/>
      <c r="M8" s="242"/>
      <c r="N8" s="242"/>
      <c r="O8" s="242"/>
      <c r="P8" s="242"/>
      <c r="Q8" s="242"/>
      <c r="R8" s="242"/>
      <c r="S8" s="242"/>
      <c r="T8" s="242"/>
      <c r="U8" s="242"/>
      <c r="V8" s="242"/>
      <c r="W8" s="242"/>
      <c r="X8" s="242"/>
      <c r="Y8" s="242"/>
      <c r="Z8" s="243"/>
    </row>
    <row r="9" spans="1:26" ht="18" customHeight="1" x14ac:dyDescent="0.15">
      <c r="B9" s="241"/>
      <c r="C9" s="242"/>
      <c r="D9" s="242"/>
      <c r="E9" s="242"/>
      <c r="F9" s="242"/>
      <c r="G9" s="242"/>
      <c r="H9" s="242"/>
      <c r="I9" s="242"/>
      <c r="J9" s="242"/>
      <c r="K9" s="242"/>
      <c r="L9" s="242"/>
      <c r="M9" s="242"/>
      <c r="N9" s="242"/>
      <c r="O9" s="242"/>
      <c r="P9" s="242"/>
      <c r="Q9" s="242"/>
      <c r="R9" s="242"/>
      <c r="S9" s="242"/>
      <c r="T9" s="242"/>
      <c r="U9" s="242"/>
      <c r="V9" s="242"/>
      <c r="W9" s="242"/>
      <c r="X9" s="242"/>
      <c r="Y9" s="242"/>
      <c r="Z9" s="243"/>
    </row>
    <row r="10" spans="1:26" ht="18" customHeight="1" x14ac:dyDescent="0.15">
      <c r="B10" s="241"/>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3"/>
    </row>
    <row r="11" spans="1:26" ht="18" customHeight="1" x14ac:dyDescent="0.15">
      <c r="B11" s="245"/>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7"/>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9" t="s">
        <v>130</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A15" s="14"/>
      <c r="B15" s="149" t="s">
        <v>104</v>
      </c>
      <c r="C15" s="150"/>
      <c r="D15" s="150"/>
      <c r="E15" s="150"/>
      <c r="F15" s="151"/>
      <c r="G15" s="30" t="s">
        <v>146</v>
      </c>
      <c r="H15" s="109" t="s">
        <v>145</v>
      </c>
      <c r="I15" s="150" t="s">
        <v>105</v>
      </c>
      <c r="J15" s="150"/>
      <c r="K15" s="150"/>
      <c r="L15" s="72" t="s">
        <v>108</v>
      </c>
      <c r="M15" s="72" t="s">
        <v>111</v>
      </c>
      <c r="N15" s="149" t="s">
        <v>104</v>
      </c>
      <c r="O15" s="150"/>
      <c r="P15" s="150"/>
      <c r="Q15" s="150"/>
      <c r="R15" s="150"/>
      <c r="S15" s="151"/>
      <c r="T15" s="30" t="s">
        <v>146</v>
      </c>
      <c r="U15" s="109" t="s">
        <v>145</v>
      </c>
      <c r="V15" s="150" t="s">
        <v>105</v>
      </c>
      <c r="W15" s="150"/>
      <c r="X15" s="150"/>
      <c r="Y15" s="72" t="s">
        <v>108</v>
      </c>
      <c r="Z15" s="72" t="s">
        <v>111</v>
      </c>
    </row>
    <row r="16" spans="1:26" ht="18" customHeight="1" x14ac:dyDescent="0.15">
      <c r="A16" s="14"/>
      <c r="B16" s="233" t="s">
        <v>191</v>
      </c>
      <c r="C16" s="234"/>
      <c r="D16" s="234"/>
      <c r="E16" s="234"/>
      <c r="F16" s="235"/>
      <c r="G16" s="110">
        <v>2</v>
      </c>
      <c r="H16" s="110" t="s">
        <v>178</v>
      </c>
      <c r="I16" s="223" t="s">
        <v>192</v>
      </c>
      <c r="J16" s="224"/>
      <c r="K16" s="225"/>
      <c r="L16" s="110" t="s">
        <v>178</v>
      </c>
      <c r="M16" s="110" t="s">
        <v>178</v>
      </c>
      <c r="N16" s="208"/>
      <c r="O16" s="209"/>
      <c r="P16" s="209"/>
      <c r="Q16" s="209"/>
      <c r="R16" s="209"/>
      <c r="S16" s="210"/>
      <c r="T16" s="110"/>
      <c r="U16" s="110"/>
      <c r="V16" s="223"/>
      <c r="W16" s="224"/>
      <c r="X16" s="225"/>
      <c r="Y16" s="110"/>
      <c r="Z16" s="110"/>
    </row>
    <row r="17" spans="1:26" ht="18" customHeight="1" x14ac:dyDescent="0.15">
      <c r="A17" s="14"/>
      <c r="B17" s="230"/>
      <c r="C17" s="231"/>
      <c r="D17" s="231"/>
      <c r="E17" s="231"/>
      <c r="F17" s="232"/>
      <c r="G17" s="111"/>
      <c r="H17" s="111"/>
      <c r="I17" s="220"/>
      <c r="J17" s="221"/>
      <c r="K17" s="222"/>
      <c r="L17" s="111"/>
      <c r="M17" s="111"/>
      <c r="N17" s="202"/>
      <c r="O17" s="203"/>
      <c r="P17" s="203"/>
      <c r="Q17" s="203"/>
      <c r="R17" s="203"/>
      <c r="S17" s="204"/>
      <c r="T17" s="111"/>
      <c r="U17" s="111"/>
      <c r="V17" s="220"/>
      <c r="W17" s="221"/>
      <c r="X17" s="222"/>
      <c r="Y17" s="111"/>
      <c r="Z17" s="111"/>
    </row>
    <row r="18" spans="1:26" ht="18" customHeight="1" x14ac:dyDescent="0.15">
      <c r="A18" s="14"/>
      <c r="B18" s="230"/>
      <c r="C18" s="231"/>
      <c r="D18" s="231"/>
      <c r="E18" s="231"/>
      <c r="F18" s="232"/>
      <c r="G18" s="111"/>
      <c r="H18" s="111"/>
      <c r="I18" s="220"/>
      <c r="J18" s="221"/>
      <c r="K18" s="222"/>
      <c r="L18" s="111"/>
      <c r="M18" s="111"/>
      <c r="N18" s="202"/>
      <c r="O18" s="203"/>
      <c r="P18" s="203"/>
      <c r="Q18" s="203"/>
      <c r="R18" s="203"/>
      <c r="S18" s="204"/>
      <c r="T18" s="111"/>
      <c r="U18" s="111"/>
      <c r="V18" s="220"/>
      <c r="W18" s="221"/>
      <c r="X18" s="222"/>
      <c r="Y18" s="111"/>
      <c r="Z18" s="111"/>
    </row>
    <row r="19" spans="1:26" ht="18" customHeight="1" x14ac:dyDescent="0.15">
      <c r="A19" s="14"/>
      <c r="B19" s="230"/>
      <c r="C19" s="231"/>
      <c r="D19" s="231"/>
      <c r="E19" s="231"/>
      <c r="F19" s="232"/>
      <c r="G19" s="111"/>
      <c r="H19" s="111"/>
      <c r="I19" s="220"/>
      <c r="J19" s="221"/>
      <c r="K19" s="222"/>
      <c r="L19" s="111"/>
      <c r="M19" s="111"/>
      <c r="N19" s="202"/>
      <c r="O19" s="203"/>
      <c r="P19" s="203"/>
      <c r="Q19" s="203"/>
      <c r="R19" s="203"/>
      <c r="S19" s="204"/>
      <c r="T19" s="111"/>
      <c r="U19" s="111"/>
      <c r="V19" s="220"/>
      <c r="W19" s="221"/>
      <c r="X19" s="222"/>
      <c r="Y19" s="111"/>
      <c r="Z19" s="111"/>
    </row>
    <row r="20" spans="1:26" ht="18" customHeight="1" x14ac:dyDescent="0.15">
      <c r="A20" s="14"/>
      <c r="B20" s="230"/>
      <c r="C20" s="231"/>
      <c r="D20" s="231"/>
      <c r="E20" s="231"/>
      <c r="F20" s="232"/>
      <c r="G20" s="111"/>
      <c r="H20" s="111"/>
      <c r="I20" s="220"/>
      <c r="J20" s="221"/>
      <c r="K20" s="222"/>
      <c r="L20" s="111"/>
      <c r="M20" s="111"/>
      <c r="N20" s="202"/>
      <c r="O20" s="203"/>
      <c r="P20" s="203"/>
      <c r="Q20" s="203"/>
      <c r="R20" s="203"/>
      <c r="S20" s="204"/>
      <c r="T20" s="111"/>
      <c r="U20" s="111"/>
      <c r="V20" s="220"/>
      <c r="W20" s="221"/>
      <c r="X20" s="222"/>
      <c r="Y20" s="111"/>
      <c r="Z20" s="111"/>
    </row>
    <row r="21" spans="1:26" ht="18" customHeight="1" x14ac:dyDescent="0.15">
      <c r="A21" s="29"/>
      <c r="B21" s="230"/>
      <c r="C21" s="231"/>
      <c r="D21" s="231"/>
      <c r="E21" s="231"/>
      <c r="F21" s="232"/>
      <c r="G21" s="111"/>
      <c r="H21" s="111"/>
      <c r="I21" s="220"/>
      <c r="J21" s="221"/>
      <c r="K21" s="222"/>
      <c r="L21" s="111"/>
      <c r="M21" s="111"/>
      <c r="N21" s="202"/>
      <c r="O21" s="203"/>
      <c r="P21" s="203"/>
      <c r="Q21" s="203"/>
      <c r="R21" s="203"/>
      <c r="S21" s="204"/>
      <c r="T21" s="111"/>
      <c r="U21" s="111"/>
      <c r="V21" s="220"/>
      <c r="W21" s="221"/>
      <c r="X21" s="222"/>
      <c r="Y21" s="111"/>
      <c r="Z21" s="111"/>
    </row>
    <row r="22" spans="1:26" ht="18" customHeight="1" x14ac:dyDescent="0.15">
      <c r="A22" s="29"/>
      <c r="B22" s="226"/>
      <c r="C22" s="227"/>
      <c r="D22" s="227"/>
      <c r="E22" s="227"/>
      <c r="F22" s="228"/>
      <c r="G22" s="112"/>
      <c r="H22" s="112"/>
      <c r="I22" s="214"/>
      <c r="J22" s="215"/>
      <c r="K22" s="216"/>
      <c r="L22" s="115"/>
      <c r="M22" s="115"/>
      <c r="N22" s="191"/>
      <c r="O22" s="192"/>
      <c r="P22" s="192"/>
      <c r="Q22" s="192"/>
      <c r="R22" s="192"/>
      <c r="S22" s="193"/>
      <c r="T22" s="112"/>
      <c r="U22" s="112"/>
      <c r="V22" s="214"/>
      <c r="W22" s="215"/>
      <c r="X22" s="216"/>
      <c r="Y22" s="115"/>
      <c r="Z22" s="115"/>
    </row>
    <row r="23" spans="1:26" ht="7.5" customHeight="1" x14ac:dyDescent="0.15">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15">
      <c r="A24" s="229" t="s">
        <v>131</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A26" s="14"/>
      <c r="B26" s="149" t="s">
        <v>104</v>
      </c>
      <c r="C26" s="150"/>
      <c r="D26" s="150"/>
      <c r="E26" s="150"/>
      <c r="F26" s="151"/>
      <c r="G26" s="30" t="s">
        <v>146</v>
      </c>
      <c r="H26" s="109" t="s">
        <v>145</v>
      </c>
      <c r="I26" s="150" t="s">
        <v>105</v>
      </c>
      <c r="J26" s="150"/>
      <c r="K26" s="150"/>
      <c r="L26" s="72" t="s">
        <v>132</v>
      </c>
      <c r="M26" s="72" t="s">
        <v>133</v>
      </c>
      <c r="N26" s="149" t="s">
        <v>104</v>
      </c>
      <c r="O26" s="150"/>
      <c r="P26" s="150"/>
      <c r="Q26" s="150"/>
      <c r="R26" s="150"/>
      <c r="S26" s="151"/>
      <c r="T26" s="30" t="s">
        <v>146</v>
      </c>
      <c r="U26" s="109" t="s">
        <v>145</v>
      </c>
      <c r="V26" s="150" t="s">
        <v>105</v>
      </c>
      <c r="W26" s="150"/>
      <c r="X26" s="150"/>
      <c r="Y26" s="72" t="s">
        <v>132</v>
      </c>
      <c r="Z26" s="72" t="s">
        <v>133</v>
      </c>
    </row>
    <row r="27" spans="1:26" ht="18" customHeight="1" x14ac:dyDescent="0.15">
      <c r="A27" s="14"/>
      <c r="B27" s="233" t="s">
        <v>191</v>
      </c>
      <c r="C27" s="234"/>
      <c r="D27" s="234"/>
      <c r="E27" s="234"/>
      <c r="F27" s="235"/>
      <c r="G27" s="110">
        <v>2</v>
      </c>
      <c r="H27" s="110" t="s">
        <v>178</v>
      </c>
      <c r="I27" s="223" t="s">
        <v>192</v>
      </c>
      <c r="J27" s="224"/>
      <c r="K27" s="225"/>
      <c r="L27" s="110" t="s">
        <v>178</v>
      </c>
      <c r="M27" s="110" t="s">
        <v>178</v>
      </c>
      <c r="N27" s="208"/>
      <c r="O27" s="209"/>
      <c r="P27" s="209"/>
      <c r="Q27" s="209"/>
      <c r="R27" s="209"/>
      <c r="S27" s="210"/>
      <c r="T27" s="110"/>
      <c r="U27" s="110"/>
      <c r="V27" s="223"/>
      <c r="W27" s="224"/>
      <c r="X27" s="225"/>
      <c r="Y27" s="110"/>
      <c r="Z27" s="110"/>
    </row>
    <row r="28" spans="1:26" ht="18" customHeight="1" x14ac:dyDescent="0.15">
      <c r="A28" s="14"/>
      <c r="B28" s="230"/>
      <c r="C28" s="231"/>
      <c r="D28" s="231"/>
      <c r="E28" s="231"/>
      <c r="F28" s="232"/>
      <c r="G28" s="111"/>
      <c r="H28" s="111"/>
      <c r="I28" s="220"/>
      <c r="J28" s="221"/>
      <c r="K28" s="222"/>
      <c r="L28" s="111"/>
      <c r="M28" s="111"/>
      <c r="N28" s="202"/>
      <c r="O28" s="203"/>
      <c r="P28" s="203"/>
      <c r="Q28" s="203"/>
      <c r="R28" s="203"/>
      <c r="S28" s="204"/>
      <c r="T28" s="111"/>
      <c r="U28" s="111"/>
      <c r="V28" s="220"/>
      <c r="W28" s="221"/>
      <c r="X28" s="222"/>
      <c r="Y28" s="111"/>
      <c r="Z28" s="111"/>
    </row>
    <row r="29" spans="1:26" ht="18" customHeight="1" x14ac:dyDescent="0.15">
      <c r="A29" s="14"/>
      <c r="B29" s="230"/>
      <c r="C29" s="231"/>
      <c r="D29" s="231"/>
      <c r="E29" s="231"/>
      <c r="F29" s="232"/>
      <c r="G29" s="111"/>
      <c r="H29" s="111"/>
      <c r="I29" s="220"/>
      <c r="J29" s="221"/>
      <c r="K29" s="222"/>
      <c r="L29" s="111"/>
      <c r="M29" s="111"/>
      <c r="N29" s="202"/>
      <c r="O29" s="203"/>
      <c r="P29" s="203"/>
      <c r="Q29" s="203"/>
      <c r="R29" s="203"/>
      <c r="S29" s="204"/>
      <c r="T29" s="111"/>
      <c r="U29" s="111"/>
      <c r="V29" s="220"/>
      <c r="W29" s="221"/>
      <c r="X29" s="222"/>
      <c r="Y29" s="111"/>
      <c r="Z29" s="111"/>
    </row>
    <row r="30" spans="1:26" ht="18" customHeight="1" x14ac:dyDescent="0.15">
      <c r="A30" s="14"/>
      <c r="B30" s="230"/>
      <c r="C30" s="231"/>
      <c r="D30" s="231"/>
      <c r="E30" s="231"/>
      <c r="F30" s="232"/>
      <c r="G30" s="111"/>
      <c r="H30" s="111"/>
      <c r="I30" s="220"/>
      <c r="J30" s="221"/>
      <c r="K30" s="222"/>
      <c r="L30" s="111"/>
      <c r="M30" s="111"/>
      <c r="N30" s="202"/>
      <c r="O30" s="203"/>
      <c r="P30" s="203"/>
      <c r="Q30" s="203"/>
      <c r="R30" s="203"/>
      <c r="S30" s="204"/>
      <c r="T30" s="111"/>
      <c r="U30" s="111"/>
      <c r="V30" s="220"/>
      <c r="W30" s="221"/>
      <c r="X30" s="222"/>
      <c r="Y30" s="111"/>
      <c r="Z30" s="111"/>
    </row>
    <row r="31" spans="1:26" ht="18" customHeight="1" x14ac:dyDescent="0.15">
      <c r="A31" s="14"/>
      <c r="B31" s="230"/>
      <c r="C31" s="231"/>
      <c r="D31" s="231"/>
      <c r="E31" s="231"/>
      <c r="F31" s="232"/>
      <c r="G31" s="111"/>
      <c r="H31" s="111"/>
      <c r="I31" s="220"/>
      <c r="J31" s="221"/>
      <c r="K31" s="222"/>
      <c r="L31" s="111"/>
      <c r="M31" s="111"/>
      <c r="N31" s="202"/>
      <c r="O31" s="203"/>
      <c r="P31" s="203"/>
      <c r="Q31" s="203"/>
      <c r="R31" s="203"/>
      <c r="S31" s="204"/>
      <c r="T31" s="111"/>
      <c r="U31" s="111"/>
      <c r="V31" s="220"/>
      <c r="W31" s="221"/>
      <c r="X31" s="222"/>
      <c r="Y31" s="111"/>
      <c r="Z31" s="111"/>
    </row>
    <row r="32" spans="1:26" ht="18" customHeight="1" x14ac:dyDescent="0.15">
      <c r="A32" s="14"/>
      <c r="B32" s="230"/>
      <c r="C32" s="231"/>
      <c r="D32" s="231"/>
      <c r="E32" s="231"/>
      <c r="F32" s="232"/>
      <c r="G32" s="111"/>
      <c r="H32" s="111"/>
      <c r="I32" s="220"/>
      <c r="J32" s="221"/>
      <c r="K32" s="222"/>
      <c r="L32" s="111"/>
      <c r="M32" s="111"/>
      <c r="N32" s="202"/>
      <c r="O32" s="203"/>
      <c r="P32" s="203"/>
      <c r="Q32" s="203"/>
      <c r="R32" s="203"/>
      <c r="S32" s="204"/>
      <c r="T32" s="111"/>
      <c r="U32" s="111"/>
      <c r="V32" s="220"/>
      <c r="W32" s="221"/>
      <c r="X32" s="222"/>
      <c r="Y32" s="111"/>
      <c r="Z32" s="111"/>
    </row>
    <row r="33" spans="1:26" ht="18" customHeight="1" x14ac:dyDescent="0.15">
      <c r="A33" s="14"/>
      <c r="B33" s="226"/>
      <c r="C33" s="227"/>
      <c r="D33" s="227"/>
      <c r="E33" s="227"/>
      <c r="F33" s="228"/>
      <c r="G33" s="112"/>
      <c r="H33" s="112"/>
      <c r="I33" s="214"/>
      <c r="J33" s="215"/>
      <c r="K33" s="216"/>
      <c r="L33" s="115"/>
      <c r="M33" s="115"/>
      <c r="N33" s="191"/>
      <c r="O33" s="192"/>
      <c r="P33" s="192"/>
      <c r="Q33" s="192"/>
      <c r="R33" s="192"/>
      <c r="S33" s="193"/>
      <c r="T33" s="112"/>
      <c r="U33" s="112"/>
      <c r="V33" s="214"/>
      <c r="W33" s="215"/>
      <c r="X33" s="216"/>
      <c r="Y33" s="115"/>
      <c r="Z33" s="115"/>
    </row>
    <row r="34" spans="1:26" ht="7.5" customHeight="1" x14ac:dyDescent="0.15">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15">
      <c r="A35" s="229" t="s">
        <v>134</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A37" s="14"/>
      <c r="B37" s="149" t="s">
        <v>104</v>
      </c>
      <c r="C37" s="150"/>
      <c r="D37" s="150"/>
      <c r="E37" s="150"/>
      <c r="F37" s="151"/>
      <c r="G37" s="30" t="s">
        <v>146</v>
      </c>
      <c r="H37" s="109" t="s">
        <v>145</v>
      </c>
      <c r="I37" s="149" t="s">
        <v>105</v>
      </c>
      <c r="J37" s="150"/>
      <c r="K37" s="151"/>
      <c r="L37" s="72" t="s">
        <v>135</v>
      </c>
      <c r="M37" s="72" t="s">
        <v>136</v>
      </c>
      <c r="N37" s="149" t="s">
        <v>104</v>
      </c>
      <c r="O37" s="150"/>
      <c r="P37" s="150"/>
      <c r="Q37" s="150"/>
      <c r="R37" s="150"/>
      <c r="S37" s="151"/>
      <c r="T37" s="30" t="s">
        <v>146</v>
      </c>
      <c r="U37" s="109" t="s">
        <v>145</v>
      </c>
      <c r="V37" s="149" t="s">
        <v>105</v>
      </c>
      <c r="W37" s="150"/>
      <c r="X37" s="151"/>
      <c r="Y37" s="72" t="s">
        <v>135</v>
      </c>
      <c r="Z37" s="72" t="s">
        <v>136</v>
      </c>
    </row>
    <row r="38" spans="1:26" ht="18" customHeight="1" x14ac:dyDescent="0.15">
      <c r="A38" s="29"/>
      <c r="B38" s="233" t="s">
        <v>191</v>
      </c>
      <c r="C38" s="234"/>
      <c r="D38" s="234"/>
      <c r="E38" s="234"/>
      <c r="F38" s="235"/>
      <c r="G38" s="110">
        <v>2</v>
      </c>
      <c r="H38" s="110" t="s">
        <v>178</v>
      </c>
      <c r="I38" s="223" t="s">
        <v>192</v>
      </c>
      <c r="J38" s="224"/>
      <c r="K38" s="225"/>
      <c r="L38" s="110" t="s">
        <v>178</v>
      </c>
      <c r="M38" s="110" t="s">
        <v>178</v>
      </c>
      <c r="N38" s="208"/>
      <c r="O38" s="209"/>
      <c r="P38" s="209"/>
      <c r="Q38" s="209"/>
      <c r="R38" s="209"/>
      <c r="S38" s="210"/>
      <c r="T38" s="110"/>
      <c r="U38" s="110"/>
      <c r="V38" s="223"/>
      <c r="W38" s="224"/>
      <c r="X38" s="225"/>
      <c r="Y38" s="110"/>
      <c r="Z38" s="110"/>
    </row>
    <row r="39" spans="1:26" ht="18" customHeight="1" x14ac:dyDescent="0.15">
      <c r="A39" s="29"/>
      <c r="B39" s="230"/>
      <c r="C39" s="231"/>
      <c r="D39" s="231"/>
      <c r="E39" s="231"/>
      <c r="F39" s="232"/>
      <c r="G39" s="111"/>
      <c r="H39" s="111"/>
      <c r="I39" s="220"/>
      <c r="J39" s="221"/>
      <c r="K39" s="222"/>
      <c r="L39" s="111"/>
      <c r="M39" s="111"/>
      <c r="N39" s="202"/>
      <c r="O39" s="203"/>
      <c r="P39" s="203"/>
      <c r="Q39" s="203"/>
      <c r="R39" s="203"/>
      <c r="S39" s="204"/>
      <c r="T39" s="111"/>
      <c r="U39" s="111"/>
      <c r="V39" s="220"/>
      <c r="W39" s="221"/>
      <c r="X39" s="222"/>
      <c r="Y39" s="111"/>
      <c r="Z39" s="111"/>
    </row>
    <row r="40" spans="1:26" ht="18" customHeight="1" x14ac:dyDescent="0.15">
      <c r="A40" s="29"/>
      <c r="B40" s="230"/>
      <c r="C40" s="231"/>
      <c r="D40" s="231"/>
      <c r="E40" s="231"/>
      <c r="F40" s="232"/>
      <c r="G40" s="111"/>
      <c r="H40" s="111"/>
      <c r="I40" s="220"/>
      <c r="J40" s="221"/>
      <c r="K40" s="222"/>
      <c r="L40" s="111"/>
      <c r="M40" s="111"/>
      <c r="N40" s="202"/>
      <c r="O40" s="203"/>
      <c r="P40" s="203"/>
      <c r="Q40" s="203"/>
      <c r="R40" s="203"/>
      <c r="S40" s="204"/>
      <c r="T40" s="111"/>
      <c r="U40" s="111"/>
      <c r="V40" s="220"/>
      <c r="W40" s="221"/>
      <c r="X40" s="222"/>
      <c r="Y40" s="111"/>
      <c r="Z40" s="111"/>
    </row>
    <row r="41" spans="1:26" ht="18" customHeight="1" x14ac:dyDescent="0.15">
      <c r="A41" s="29"/>
      <c r="B41" s="230"/>
      <c r="C41" s="231"/>
      <c r="D41" s="231"/>
      <c r="E41" s="231"/>
      <c r="F41" s="232"/>
      <c r="G41" s="111"/>
      <c r="H41" s="111"/>
      <c r="I41" s="220"/>
      <c r="J41" s="221"/>
      <c r="K41" s="222"/>
      <c r="L41" s="111"/>
      <c r="M41" s="111"/>
      <c r="N41" s="202"/>
      <c r="O41" s="203"/>
      <c r="P41" s="203"/>
      <c r="Q41" s="203"/>
      <c r="R41" s="203"/>
      <c r="S41" s="204"/>
      <c r="T41" s="111"/>
      <c r="U41" s="111"/>
      <c r="V41" s="220"/>
      <c r="W41" s="221"/>
      <c r="X41" s="222"/>
      <c r="Y41" s="111"/>
      <c r="Z41" s="111"/>
    </row>
    <row r="42" spans="1:26" ht="18" customHeight="1" x14ac:dyDescent="0.15">
      <c r="A42" s="29"/>
      <c r="B42" s="230"/>
      <c r="C42" s="231"/>
      <c r="D42" s="231"/>
      <c r="E42" s="231"/>
      <c r="F42" s="232"/>
      <c r="G42" s="111"/>
      <c r="H42" s="111"/>
      <c r="I42" s="220"/>
      <c r="J42" s="221"/>
      <c r="K42" s="222"/>
      <c r="L42" s="111"/>
      <c r="M42" s="111"/>
      <c r="N42" s="202"/>
      <c r="O42" s="203"/>
      <c r="P42" s="203"/>
      <c r="Q42" s="203"/>
      <c r="R42" s="203"/>
      <c r="S42" s="204"/>
      <c r="T42" s="111"/>
      <c r="U42" s="111"/>
      <c r="V42" s="220"/>
      <c r="W42" s="221"/>
      <c r="X42" s="222"/>
      <c r="Y42" s="111"/>
      <c r="Z42" s="111"/>
    </row>
    <row r="43" spans="1:26" ht="18" customHeight="1" x14ac:dyDescent="0.15">
      <c r="A43" s="29"/>
      <c r="B43" s="230"/>
      <c r="C43" s="231"/>
      <c r="D43" s="231"/>
      <c r="E43" s="231"/>
      <c r="F43" s="232"/>
      <c r="G43" s="111"/>
      <c r="H43" s="111"/>
      <c r="I43" s="220"/>
      <c r="J43" s="221"/>
      <c r="K43" s="222"/>
      <c r="L43" s="111"/>
      <c r="M43" s="111"/>
      <c r="N43" s="202"/>
      <c r="O43" s="203"/>
      <c r="P43" s="203"/>
      <c r="Q43" s="203"/>
      <c r="R43" s="203"/>
      <c r="S43" s="204"/>
      <c r="T43" s="111"/>
      <c r="U43" s="111"/>
      <c r="V43" s="220"/>
      <c r="W43" s="221"/>
      <c r="X43" s="222"/>
      <c r="Y43" s="111"/>
      <c r="Z43" s="111"/>
    </row>
    <row r="44" spans="1:26" ht="18" customHeight="1" x14ac:dyDescent="0.15">
      <c r="A44" s="29"/>
      <c r="B44" s="226"/>
      <c r="C44" s="227"/>
      <c r="D44" s="227"/>
      <c r="E44" s="227"/>
      <c r="F44" s="228"/>
      <c r="G44" s="112"/>
      <c r="H44" s="112"/>
      <c r="I44" s="214"/>
      <c r="J44" s="215"/>
      <c r="K44" s="216"/>
      <c r="L44" s="115"/>
      <c r="M44" s="115"/>
      <c r="N44" s="191"/>
      <c r="O44" s="192"/>
      <c r="P44" s="192"/>
      <c r="Q44" s="192"/>
      <c r="R44" s="192"/>
      <c r="S44" s="193"/>
      <c r="T44" s="112"/>
      <c r="U44" s="112"/>
      <c r="V44" s="214"/>
      <c r="W44" s="215"/>
      <c r="X44" s="216"/>
      <c r="Y44" s="115"/>
      <c r="Z44" s="115"/>
    </row>
    <row r="45" spans="1:26" ht="7.5" customHeight="1" x14ac:dyDescent="0.15">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6" ht="18" customHeight="1" x14ac:dyDescent="0.15">
      <c r="A46" s="229" t="s">
        <v>137</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A48" s="14"/>
      <c r="B48" s="149" t="s">
        <v>104</v>
      </c>
      <c r="C48" s="150"/>
      <c r="D48" s="150"/>
      <c r="E48" s="150"/>
      <c r="F48" s="151"/>
      <c r="G48" s="30" t="s">
        <v>146</v>
      </c>
      <c r="H48" s="109" t="s">
        <v>145</v>
      </c>
      <c r="I48" s="149" t="s">
        <v>105</v>
      </c>
      <c r="J48" s="150"/>
      <c r="K48" s="151"/>
      <c r="L48" s="72" t="s">
        <v>110</v>
      </c>
      <c r="M48" s="72" t="s">
        <v>112</v>
      </c>
      <c r="N48" s="149" t="s">
        <v>104</v>
      </c>
      <c r="O48" s="150"/>
      <c r="P48" s="150"/>
      <c r="Q48" s="150"/>
      <c r="R48" s="150"/>
      <c r="S48" s="151"/>
      <c r="T48" s="30" t="s">
        <v>146</v>
      </c>
      <c r="U48" s="109" t="s">
        <v>145</v>
      </c>
      <c r="V48" s="149" t="s">
        <v>105</v>
      </c>
      <c r="W48" s="150"/>
      <c r="X48" s="151"/>
      <c r="Y48" s="72" t="s">
        <v>110</v>
      </c>
      <c r="Z48" s="72" t="s">
        <v>112</v>
      </c>
    </row>
    <row r="49" spans="1:26" ht="18" customHeight="1" x14ac:dyDescent="0.15">
      <c r="A49" s="29"/>
      <c r="B49" s="233" t="s">
        <v>191</v>
      </c>
      <c r="C49" s="234"/>
      <c r="D49" s="234"/>
      <c r="E49" s="234"/>
      <c r="F49" s="235"/>
      <c r="G49" s="110">
        <v>2</v>
      </c>
      <c r="H49" s="110" t="s">
        <v>178</v>
      </c>
      <c r="I49" s="223" t="s">
        <v>192</v>
      </c>
      <c r="J49" s="224"/>
      <c r="K49" s="225"/>
      <c r="L49" s="110" t="s">
        <v>178</v>
      </c>
      <c r="M49" s="110" t="s">
        <v>178</v>
      </c>
      <c r="N49" s="208"/>
      <c r="O49" s="209"/>
      <c r="P49" s="209"/>
      <c r="Q49" s="209"/>
      <c r="R49" s="209"/>
      <c r="S49" s="210"/>
      <c r="T49" s="110"/>
      <c r="U49" s="110"/>
      <c r="V49" s="223"/>
      <c r="W49" s="224"/>
      <c r="X49" s="225"/>
      <c r="Y49" s="110"/>
      <c r="Z49" s="110"/>
    </row>
    <row r="50" spans="1:26" ht="18" customHeight="1" x14ac:dyDescent="0.15">
      <c r="A50" s="29"/>
      <c r="B50" s="230" t="s">
        <v>193</v>
      </c>
      <c r="C50" s="231"/>
      <c r="D50" s="231"/>
      <c r="E50" s="231"/>
      <c r="F50" s="232"/>
      <c r="G50" s="111">
        <v>2</v>
      </c>
      <c r="H50" s="111" t="s">
        <v>178</v>
      </c>
      <c r="I50" s="220" t="s">
        <v>192</v>
      </c>
      <c r="J50" s="221"/>
      <c r="K50" s="222"/>
      <c r="L50" s="111" t="s">
        <v>178</v>
      </c>
      <c r="M50" s="111" t="s">
        <v>178</v>
      </c>
      <c r="N50" s="202"/>
      <c r="O50" s="203"/>
      <c r="P50" s="203"/>
      <c r="Q50" s="203"/>
      <c r="R50" s="203"/>
      <c r="S50" s="204"/>
      <c r="T50" s="111"/>
      <c r="U50" s="111"/>
      <c r="V50" s="220"/>
      <c r="W50" s="221"/>
      <c r="X50" s="222"/>
      <c r="Y50" s="111"/>
      <c r="Z50" s="111"/>
    </row>
    <row r="51" spans="1:26" ht="18" customHeight="1" x14ac:dyDescent="0.15">
      <c r="A51" s="29"/>
      <c r="B51" s="230"/>
      <c r="C51" s="231"/>
      <c r="D51" s="231"/>
      <c r="E51" s="231"/>
      <c r="F51" s="232"/>
      <c r="G51" s="111"/>
      <c r="H51" s="111"/>
      <c r="I51" s="220"/>
      <c r="J51" s="221"/>
      <c r="K51" s="222"/>
      <c r="L51" s="111"/>
      <c r="M51" s="111"/>
      <c r="N51" s="202"/>
      <c r="O51" s="203"/>
      <c r="P51" s="203"/>
      <c r="Q51" s="203"/>
      <c r="R51" s="203"/>
      <c r="S51" s="204"/>
      <c r="T51" s="111"/>
      <c r="U51" s="111"/>
      <c r="V51" s="220"/>
      <c r="W51" s="221"/>
      <c r="X51" s="222"/>
      <c r="Y51" s="111"/>
      <c r="Z51" s="111"/>
    </row>
    <row r="52" spans="1:26" ht="18" customHeight="1" x14ac:dyDescent="0.15">
      <c r="A52" s="29"/>
      <c r="B52" s="230"/>
      <c r="C52" s="231"/>
      <c r="D52" s="231"/>
      <c r="E52" s="231"/>
      <c r="F52" s="232"/>
      <c r="G52" s="111"/>
      <c r="H52" s="111"/>
      <c r="I52" s="220"/>
      <c r="J52" s="221"/>
      <c r="K52" s="222"/>
      <c r="L52" s="111"/>
      <c r="M52" s="111"/>
      <c r="N52" s="202"/>
      <c r="O52" s="203"/>
      <c r="P52" s="203"/>
      <c r="Q52" s="203"/>
      <c r="R52" s="203"/>
      <c r="S52" s="204"/>
      <c r="T52" s="111"/>
      <c r="U52" s="111"/>
      <c r="V52" s="220"/>
      <c r="W52" s="221"/>
      <c r="X52" s="222"/>
      <c r="Y52" s="111"/>
      <c r="Z52" s="111"/>
    </row>
    <row r="53" spans="1:26" ht="18" customHeight="1" x14ac:dyDescent="0.15">
      <c r="A53" s="29"/>
      <c r="B53" s="230"/>
      <c r="C53" s="231"/>
      <c r="D53" s="231"/>
      <c r="E53" s="231"/>
      <c r="F53" s="232"/>
      <c r="G53" s="111"/>
      <c r="H53" s="111"/>
      <c r="I53" s="220"/>
      <c r="J53" s="221"/>
      <c r="K53" s="222"/>
      <c r="L53" s="111"/>
      <c r="M53" s="111"/>
      <c r="N53" s="202"/>
      <c r="O53" s="203"/>
      <c r="P53" s="203"/>
      <c r="Q53" s="203"/>
      <c r="R53" s="203"/>
      <c r="S53" s="204"/>
      <c r="T53" s="111"/>
      <c r="U53" s="111"/>
      <c r="V53" s="220"/>
      <c r="W53" s="221"/>
      <c r="X53" s="222"/>
      <c r="Y53" s="111"/>
      <c r="Z53" s="111"/>
    </row>
    <row r="54" spans="1:26" ht="18" customHeight="1" x14ac:dyDescent="0.15">
      <c r="A54" s="29"/>
      <c r="B54" s="230"/>
      <c r="C54" s="231"/>
      <c r="D54" s="231"/>
      <c r="E54" s="231"/>
      <c r="F54" s="232"/>
      <c r="G54" s="111"/>
      <c r="H54" s="111"/>
      <c r="I54" s="220"/>
      <c r="J54" s="221"/>
      <c r="K54" s="222"/>
      <c r="L54" s="111"/>
      <c r="M54" s="111"/>
      <c r="N54" s="202"/>
      <c r="O54" s="203"/>
      <c r="P54" s="203"/>
      <c r="Q54" s="203"/>
      <c r="R54" s="203"/>
      <c r="S54" s="204"/>
      <c r="T54" s="111"/>
      <c r="U54" s="111"/>
      <c r="V54" s="220"/>
      <c r="W54" s="221"/>
      <c r="X54" s="222"/>
      <c r="Y54" s="111"/>
      <c r="Z54" s="111"/>
    </row>
    <row r="55" spans="1:26" ht="18" customHeight="1" x14ac:dyDescent="0.15">
      <c r="A55" s="29"/>
      <c r="B55" s="226"/>
      <c r="C55" s="227"/>
      <c r="D55" s="227"/>
      <c r="E55" s="227"/>
      <c r="F55" s="228"/>
      <c r="G55" s="112"/>
      <c r="H55" s="112"/>
      <c r="I55" s="214"/>
      <c r="J55" s="215"/>
      <c r="K55" s="216"/>
      <c r="L55" s="115"/>
      <c r="M55" s="115"/>
      <c r="N55" s="191"/>
      <c r="O55" s="192"/>
      <c r="P55" s="192"/>
      <c r="Q55" s="192"/>
      <c r="R55" s="192"/>
      <c r="S55" s="193"/>
      <c r="T55" s="112"/>
      <c r="U55" s="112"/>
      <c r="V55" s="214"/>
      <c r="W55" s="215"/>
      <c r="X55" s="216"/>
      <c r="Y55" s="115"/>
      <c r="Z55" s="115"/>
    </row>
    <row r="56" spans="1:26" ht="7.5" customHeight="1" x14ac:dyDescent="0.15">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6" ht="18" customHeight="1" x14ac:dyDescent="0.15">
      <c r="A57" s="229" t="s">
        <v>138</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A59" s="14"/>
      <c r="B59" s="149" t="s">
        <v>104</v>
      </c>
      <c r="C59" s="150"/>
      <c r="D59" s="150"/>
      <c r="E59" s="151"/>
      <c r="F59" s="30" t="s">
        <v>146</v>
      </c>
      <c r="G59" s="109" t="s">
        <v>145</v>
      </c>
      <c r="H59" s="104" t="s">
        <v>105</v>
      </c>
      <c r="I59" s="105"/>
      <c r="J59" s="106"/>
      <c r="K59" s="72" t="s">
        <v>109</v>
      </c>
      <c r="L59" s="72" t="s">
        <v>139</v>
      </c>
      <c r="M59" s="72" t="s">
        <v>140</v>
      </c>
      <c r="N59" s="149" t="s">
        <v>104</v>
      </c>
      <c r="O59" s="150"/>
      <c r="P59" s="150"/>
      <c r="Q59" s="150"/>
      <c r="R59" s="151"/>
      <c r="S59" s="30" t="s">
        <v>146</v>
      </c>
      <c r="T59" s="109" t="s">
        <v>145</v>
      </c>
      <c r="U59" s="104" t="s">
        <v>105</v>
      </c>
      <c r="V59" s="105"/>
      <c r="W59" s="106"/>
      <c r="X59" s="72" t="s">
        <v>109</v>
      </c>
      <c r="Y59" s="72" t="s">
        <v>139</v>
      </c>
      <c r="Z59" s="72" t="s">
        <v>140</v>
      </c>
    </row>
    <row r="60" spans="1:26" ht="18" customHeight="1" x14ac:dyDescent="0.15">
      <c r="A60" s="29"/>
      <c r="B60" s="208" t="s">
        <v>191</v>
      </c>
      <c r="C60" s="209"/>
      <c r="D60" s="209"/>
      <c r="E60" s="210"/>
      <c r="F60" s="110">
        <v>2</v>
      </c>
      <c r="G60" s="110" t="s">
        <v>178</v>
      </c>
      <c r="H60" s="223" t="s">
        <v>192</v>
      </c>
      <c r="I60" s="224"/>
      <c r="J60" s="225"/>
      <c r="K60" s="110" t="s">
        <v>178</v>
      </c>
      <c r="L60" s="110" t="s">
        <v>178</v>
      </c>
      <c r="M60" s="110" t="s">
        <v>178</v>
      </c>
      <c r="N60" s="208"/>
      <c r="O60" s="209"/>
      <c r="P60" s="209"/>
      <c r="Q60" s="209"/>
      <c r="R60" s="210"/>
      <c r="S60" s="110"/>
      <c r="T60" s="110"/>
      <c r="U60" s="223"/>
      <c r="V60" s="224"/>
      <c r="W60" s="225"/>
      <c r="X60" s="118"/>
      <c r="Y60" s="110"/>
      <c r="Z60" s="110"/>
    </row>
    <row r="61" spans="1:26" ht="18" customHeight="1" x14ac:dyDescent="0.15">
      <c r="A61" s="29"/>
      <c r="B61" s="202" t="s">
        <v>194</v>
      </c>
      <c r="C61" s="203"/>
      <c r="D61" s="203"/>
      <c r="E61" s="204"/>
      <c r="F61" s="111">
        <v>4</v>
      </c>
      <c r="G61" s="111" t="s">
        <v>178</v>
      </c>
      <c r="H61" s="220" t="s">
        <v>192</v>
      </c>
      <c r="I61" s="221"/>
      <c r="J61" s="222"/>
      <c r="K61" s="119"/>
      <c r="L61" s="111"/>
      <c r="M61" s="111" t="s">
        <v>178</v>
      </c>
      <c r="N61" s="202"/>
      <c r="O61" s="203"/>
      <c r="P61" s="203"/>
      <c r="Q61" s="203"/>
      <c r="R61" s="204"/>
      <c r="S61" s="111"/>
      <c r="T61" s="111"/>
      <c r="U61" s="220"/>
      <c r="V61" s="221"/>
      <c r="W61" s="222"/>
      <c r="X61" s="119"/>
      <c r="Y61" s="111"/>
      <c r="Z61" s="111"/>
    </row>
    <row r="62" spans="1:26" ht="18" customHeight="1" x14ac:dyDescent="0.15">
      <c r="A62" s="29"/>
      <c r="B62" s="202"/>
      <c r="C62" s="203"/>
      <c r="D62" s="203"/>
      <c r="E62" s="204"/>
      <c r="F62" s="111"/>
      <c r="G62" s="111"/>
      <c r="H62" s="220"/>
      <c r="I62" s="221"/>
      <c r="J62" s="222"/>
      <c r="K62" s="119"/>
      <c r="L62" s="111"/>
      <c r="M62" s="111"/>
      <c r="N62" s="202"/>
      <c r="O62" s="203"/>
      <c r="P62" s="203"/>
      <c r="Q62" s="203"/>
      <c r="R62" s="204"/>
      <c r="S62" s="111"/>
      <c r="T62" s="111"/>
      <c r="U62" s="220"/>
      <c r="V62" s="221"/>
      <c r="W62" s="222"/>
      <c r="X62" s="119"/>
      <c r="Y62" s="111"/>
      <c r="Z62" s="111"/>
    </row>
    <row r="63" spans="1:26" ht="18" customHeight="1" x14ac:dyDescent="0.15">
      <c r="A63" s="29"/>
      <c r="B63" s="202"/>
      <c r="C63" s="203"/>
      <c r="D63" s="203"/>
      <c r="E63" s="204"/>
      <c r="F63" s="111"/>
      <c r="G63" s="111"/>
      <c r="H63" s="220"/>
      <c r="I63" s="221"/>
      <c r="J63" s="222"/>
      <c r="K63" s="119"/>
      <c r="L63" s="111"/>
      <c r="M63" s="111"/>
      <c r="N63" s="202"/>
      <c r="O63" s="203"/>
      <c r="P63" s="203"/>
      <c r="Q63" s="203"/>
      <c r="R63" s="204"/>
      <c r="S63" s="111"/>
      <c r="T63" s="111"/>
      <c r="U63" s="220"/>
      <c r="V63" s="221"/>
      <c r="W63" s="222"/>
      <c r="X63" s="119"/>
      <c r="Y63" s="111"/>
      <c r="Z63" s="111"/>
    </row>
    <row r="64" spans="1:26" ht="18" customHeight="1" x14ac:dyDescent="0.15">
      <c r="A64" s="29"/>
      <c r="B64" s="202"/>
      <c r="C64" s="203"/>
      <c r="D64" s="203"/>
      <c r="E64" s="204"/>
      <c r="F64" s="111"/>
      <c r="G64" s="111"/>
      <c r="H64" s="220"/>
      <c r="I64" s="221"/>
      <c r="J64" s="222"/>
      <c r="K64" s="119"/>
      <c r="L64" s="111"/>
      <c r="M64" s="111"/>
      <c r="N64" s="202"/>
      <c r="O64" s="203"/>
      <c r="P64" s="203"/>
      <c r="Q64" s="203"/>
      <c r="R64" s="204"/>
      <c r="S64" s="111"/>
      <c r="T64" s="111"/>
      <c r="U64" s="220"/>
      <c r="V64" s="221"/>
      <c r="W64" s="222"/>
      <c r="X64" s="119"/>
      <c r="Y64" s="111"/>
      <c r="Z64" s="111"/>
    </row>
    <row r="65" spans="1:26" ht="18" customHeight="1" x14ac:dyDescent="0.15">
      <c r="A65" s="29"/>
      <c r="B65" s="202"/>
      <c r="C65" s="203"/>
      <c r="D65" s="203"/>
      <c r="E65" s="204"/>
      <c r="F65" s="111"/>
      <c r="G65" s="111"/>
      <c r="H65" s="220"/>
      <c r="I65" s="221"/>
      <c r="J65" s="222"/>
      <c r="K65" s="119"/>
      <c r="L65" s="111"/>
      <c r="M65" s="111"/>
      <c r="N65" s="202"/>
      <c r="O65" s="203"/>
      <c r="P65" s="203"/>
      <c r="Q65" s="203"/>
      <c r="R65" s="204"/>
      <c r="S65" s="111"/>
      <c r="T65" s="111"/>
      <c r="U65" s="220"/>
      <c r="V65" s="221"/>
      <c r="W65" s="222"/>
      <c r="X65" s="119"/>
      <c r="Y65" s="111"/>
      <c r="Z65" s="111"/>
    </row>
    <row r="66" spans="1:26" ht="18" customHeight="1" x14ac:dyDescent="0.15">
      <c r="A66" s="29"/>
      <c r="B66" s="191"/>
      <c r="C66" s="192"/>
      <c r="D66" s="192"/>
      <c r="E66" s="193"/>
      <c r="F66" s="112"/>
      <c r="G66" s="112"/>
      <c r="H66" s="214"/>
      <c r="I66" s="215"/>
      <c r="J66" s="216"/>
      <c r="K66" s="120"/>
      <c r="L66" s="115"/>
      <c r="M66" s="115"/>
      <c r="N66" s="191"/>
      <c r="O66" s="192"/>
      <c r="P66" s="192"/>
      <c r="Q66" s="192"/>
      <c r="R66" s="193"/>
      <c r="S66" s="112"/>
      <c r="T66" s="112"/>
      <c r="U66" s="214"/>
      <c r="V66" s="215"/>
      <c r="W66" s="216"/>
      <c r="X66" s="120"/>
      <c r="Y66" s="115"/>
      <c r="Z66" s="115"/>
    </row>
    <row r="67" spans="1:26" ht="7.5" customHeight="1" x14ac:dyDescent="0.15">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6" ht="18" customHeight="1" x14ac:dyDescent="0.15">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9" t="s">
        <v>104</v>
      </c>
      <c r="C69" s="150"/>
      <c r="D69" s="150"/>
      <c r="E69" s="150"/>
      <c r="F69" s="151"/>
      <c r="G69" s="149" t="s">
        <v>151</v>
      </c>
      <c r="H69" s="150"/>
      <c r="I69" s="150"/>
      <c r="J69" s="150"/>
      <c r="K69" s="150"/>
      <c r="L69" s="150"/>
      <c r="M69" s="151"/>
      <c r="N69" s="217" t="s">
        <v>104</v>
      </c>
      <c r="O69" s="218"/>
      <c r="P69" s="218"/>
      <c r="Q69" s="218"/>
      <c r="R69" s="218"/>
      <c r="S69" s="219"/>
      <c r="T69" s="149" t="s">
        <v>151</v>
      </c>
      <c r="U69" s="150"/>
      <c r="V69" s="150"/>
      <c r="W69" s="150"/>
      <c r="X69" s="150"/>
      <c r="Y69" s="150"/>
      <c r="Z69" s="151"/>
    </row>
    <row r="70" spans="1:26" ht="18" customHeight="1" x14ac:dyDescent="0.15">
      <c r="A70" s="29"/>
      <c r="B70" s="208" t="s">
        <v>179</v>
      </c>
      <c r="C70" s="209"/>
      <c r="D70" s="209"/>
      <c r="E70" s="209"/>
      <c r="F70" s="210"/>
      <c r="G70" s="211" t="s">
        <v>180</v>
      </c>
      <c r="H70" s="212"/>
      <c r="I70" s="212"/>
      <c r="J70" s="212"/>
      <c r="K70" s="212"/>
      <c r="L70" s="212"/>
      <c r="M70" s="213"/>
      <c r="N70" s="208"/>
      <c r="O70" s="209"/>
      <c r="P70" s="209"/>
      <c r="Q70" s="209"/>
      <c r="R70" s="209"/>
      <c r="S70" s="210"/>
      <c r="T70" s="211"/>
      <c r="U70" s="212"/>
      <c r="V70" s="212"/>
      <c r="W70" s="212"/>
      <c r="X70" s="212"/>
      <c r="Y70" s="212"/>
      <c r="Z70" s="213"/>
    </row>
    <row r="71" spans="1:26" ht="18" customHeight="1" x14ac:dyDescent="0.15">
      <c r="A71" s="29"/>
      <c r="B71" s="202" t="s">
        <v>195</v>
      </c>
      <c r="C71" s="203"/>
      <c r="D71" s="203"/>
      <c r="E71" s="203"/>
      <c r="F71" s="204"/>
      <c r="G71" s="205" t="s">
        <v>180</v>
      </c>
      <c r="H71" s="206"/>
      <c r="I71" s="206"/>
      <c r="J71" s="206"/>
      <c r="K71" s="206"/>
      <c r="L71" s="206"/>
      <c r="M71" s="207"/>
      <c r="N71" s="202"/>
      <c r="O71" s="203"/>
      <c r="P71" s="203"/>
      <c r="Q71" s="203"/>
      <c r="R71" s="203"/>
      <c r="S71" s="204"/>
      <c r="T71" s="205"/>
      <c r="U71" s="206"/>
      <c r="V71" s="206"/>
      <c r="W71" s="206"/>
      <c r="X71" s="206"/>
      <c r="Y71" s="206"/>
      <c r="Z71" s="207"/>
    </row>
    <row r="72" spans="1:26" ht="18" customHeight="1" x14ac:dyDescent="0.15">
      <c r="A72" s="29"/>
      <c r="B72" s="202"/>
      <c r="C72" s="203"/>
      <c r="D72" s="203"/>
      <c r="E72" s="203"/>
      <c r="F72" s="204"/>
      <c r="G72" s="205"/>
      <c r="H72" s="206"/>
      <c r="I72" s="206"/>
      <c r="J72" s="206"/>
      <c r="K72" s="206"/>
      <c r="L72" s="206"/>
      <c r="M72" s="207"/>
      <c r="N72" s="202"/>
      <c r="O72" s="203"/>
      <c r="P72" s="203"/>
      <c r="Q72" s="203"/>
      <c r="R72" s="203"/>
      <c r="S72" s="204"/>
      <c r="T72" s="205"/>
      <c r="U72" s="206"/>
      <c r="V72" s="206"/>
      <c r="W72" s="206"/>
      <c r="X72" s="206"/>
      <c r="Y72" s="206"/>
      <c r="Z72" s="207"/>
    </row>
    <row r="73" spans="1:26" ht="18" customHeight="1" x14ac:dyDescent="0.15">
      <c r="A73" s="29"/>
      <c r="B73" s="202"/>
      <c r="C73" s="203"/>
      <c r="D73" s="203"/>
      <c r="E73" s="203"/>
      <c r="F73" s="204"/>
      <c r="G73" s="205"/>
      <c r="H73" s="206"/>
      <c r="I73" s="206"/>
      <c r="J73" s="206"/>
      <c r="K73" s="206"/>
      <c r="L73" s="206"/>
      <c r="M73" s="207"/>
      <c r="N73" s="202"/>
      <c r="O73" s="203"/>
      <c r="P73" s="203"/>
      <c r="Q73" s="203"/>
      <c r="R73" s="203"/>
      <c r="S73" s="204"/>
      <c r="T73" s="205"/>
      <c r="U73" s="206"/>
      <c r="V73" s="206"/>
      <c r="W73" s="206"/>
      <c r="X73" s="206"/>
      <c r="Y73" s="206"/>
      <c r="Z73" s="207"/>
    </row>
    <row r="74" spans="1:26" ht="18" customHeight="1" x14ac:dyDescent="0.15">
      <c r="A74" s="29"/>
      <c r="B74" s="202"/>
      <c r="C74" s="203"/>
      <c r="D74" s="203"/>
      <c r="E74" s="203"/>
      <c r="F74" s="204"/>
      <c r="G74" s="205"/>
      <c r="H74" s="206"/>
      <c r="I74" s="206"/>
      <c r="J74" s="206"/>
      <c r="K74" s="206"/>
      <c r="L74" s="206"/>
      <c r="M74" s="207"/>
      <c r="N74" s="202"/>
      <c r="O74" s="203"/>
      <c r="P74" s="203"/>
      <c r="Q74" s="203"/>
      <c r="R74" s="203"/>
      <c r="S74" s="204"/>
      <c r="T74" s="205"/>
      <c r="U74" s="206"/>
      <c r="V74" s="206"/>
      <c r="W74" s="206"/>
      <c r="X74" s="206"/>
      <c r="Y74" s="206"/>
      <c r="Z74" s="207"/>
    </row>
    <row r="75" spans="1:26" ht="18" customHeight="1" x14ac:dyDescent="0.15">
      <c r="A75" s="29"/>
      <c r="B75" s="202"/>
      <c r="C75" s="203"/>
      <c r="D75" s="203"/>
      <c r="E75" s="203"/>
      <c r="F75" s="204"/>
      <c r="G75" s="205"/>
      <c r="H75" s="206"/>
      <c r="I75" s="206"/>
      <c r="J75" s="206"/>
      <c r="K75" s="206"/>
      <c r="L75" s="206"/>
      <c r="M75" s="207"/>
      <c r="N75" s="202"/>
      <c r="O75" s="203"/>
      <c r="P75" s="203"/>
      <c r="Q75" s="203"/>
      <c r="R75" s="203"/>
      <c r="S75" s="204"/>
      <c r="T75" s="205"/>
      <c r="U75" s="206"/>
      <c r="V75" s="206"/>
      <c r="W75" s="206"/>
      <c r="X75" s="206"/>
      <c r="Y75" s="206"/>
      <c r="Z75" s="207"/>
    </row>
    <row r="76" spans="1:26" ht="18" customHeight="1" x14ac:dyDescent="0.15">
      <c r="A76" s="29"/>
      <c r="B76" s="191"/>
      <c r="C76" s="192"/>
      <c r="D76" s="192"/>
      <c r="E76" s="192"/>
      <c r="F76" s="193"/>
      <c r="G76" s="194"/>
      <c r="H76" s="195"/>
      <c r="I76" s="195"/>
      <c r="J76" s="195"/>
      <c r="K76" s="195"/>
      <c r="L76" s="195"/>
      <c r="M76" s="196"/>
      <c r="N76" s="191"/>
      <c r="O76" s="192"/>
      <c r="P76" s="192"/>
      <c r="Q76" s="192"/>
      <c r="R76" s="192"/>
      <c r="S76" s="193"/>
      <c r="T76" s="194"/>
      <c r="U76" s="195"/>
      <c r="V76" s="195"/>
      <c r="W76" s="195"/>
      <c r="X76" s="195"/>
      <c r="Y76" s="195"/>
      <c r="Z76" s="196"/>
    </row>
    <row r="77" spans="1:26" ht="18" customHeight="1" x14ac:dyDescent="0.15">
      <c r="A77" s="29"/>
      <c r="B77" s="117"/>
      <c r="C77" s="117"/>
      <c r="D77" s="117"/>
      <c r="E77" s="117"/>
      <c r="F77" s="117"/>
      <c r="G77" s="12"/>
      <c r="H77" s="12"/>
      <c r="I77" s="12"/>
      <c r="J77" s="12"/>
      <c r="K77" s="12"/>
      <c r="L77" s="12"/>
      <c r="M77" s="12"/>
      <c r="N77" s="117"/>
      <c r="O77" s="117"/>
      <c r="P77" s="117"/>
      <c r="Q77" s="117"/>
      <c r="R77" s="117"/>
      <c r="S77" s="117"/>
      <c r="T77" s="12"/>
      <c r="U77" s="12"/>
      <c r="V77" s="12"/>
      <c r="W77" s="12"/>
      <c r="X77" s="12"/>
      <c r="Y77" s="12"/>
      <c r="Z77" s="12"/>
    </row>
    <row r="78" spans="1:26" ht="18.75" customHeight="1" x14ac:dyDescent="0.15">
      <c r="A78" s="13" t="s">
        <v>147</v>
      </c>
    </row>
    <row r="79" spans="1:26" ht="18.75" customHeight="1" x14ac:dyDescent="0.15">
      <c r="B79" s="75" t="s">
        <v>106</v>
      </c>
      <c r="C79" s="76"/>
      <c r="D79" s="197" t="s">
        <v>107</v>
      </c>
      <c r="E79" s="197"/>
      <c r="F79" s="197"/>
      <c r="G79" s="197"/>
      <c r="H79" s="197"/>
      <c r="I79" s="197"/>
      <c r="J79" s="197"/>
      <c r="K79" s="197"/>
      <c r="L79" s="197"/>
      <c r="M79" s="197"/>
      <c r="N79" s="197"/>
      <c r="O79" s="197"/>
      <c r="P79" s="197"/>
      <c r="Q79" s="197"/>
      <c r="R79" s="197"/>
      <c r="S79" s="197"/>
      <c r="T79" s="197"/>
      <c r="U79" s="197"/>
      <c r="V79" s="197"/>
      <c r="W79" s="197"/>
      <c r="X79" s="197"/>
      <c r="Y79" s="197"/>
      <c r="Z79" s="198"/>
    </row>
    <row r="80" spans="1:26" ht="78" customHeight="1" x14ac:dyDescent="0.15">
      <c r="B80" s="168" t="s">
        <v>113</v>
      </c>
      <c r="C80" s="82" t="s">
        <v>108</v>
      </c>
      <c r="D80" s="170" t="s">
        <v>196</v>
      </c>
      <c r="E80" s="171"/>
      <c r="F80" s="171"/>
      <c r="G80" s="171"/>
      <c r="H80" s="171"/>
      <c r="I80" s="171"/>
      <c r="J80" s="171"/>
      <c r="K80" s="171"/>
      <c r="L80" s="171"/>
      <c r="M80" s="171"/>
      <c r="N80" s="171"/>
      <c r="O80" s="171"/>
      <c r="P80" s="171"/>
      <c r="Q80" s="171"/>
      <c r="R80" s="171"/>
      <c r="S80" s="171"/>
      <c r="T80" s="171"/>
      <c r="U80" s="171"/>
      <c r="V80" s="171"/>
      <c r="W80" s="171"/>
      <c r="X80" s="171"/>
      <c r="Y80" s="171"/>
      <c r="Z80" s="172"/>
    </row>
    <row r="81" spans="1:26" ht="78" customHeight="1" x14ac:dyDescent="0.15">
      <c r="B81" s="176"/>
      <c r="C81" s="107" t="s">
        <v>142</v>
      </c>
      <c r="D81" s="199" t="s">
        <v>197</v>
      </c>
      <c r="E81" s="200"/>
      <c r="F81" s="200"/>
      <c r="G81" s="200"/>
      <c r="H81" s="200"/>
      <c r="I81" s="200"/>
      <c r="J81" s="200"/>
      <c r="K81" s="200"/>
      <c r="L81" s="200"/>
      <c r="M81" s="200"/>
      <c r="N81" s="200"/>
      <c r="O81" s="200"/>
      <c r="P81" s="200"/>
      <c r="Q81" s="200"/>
      <c r="R81" s="200"/>
      <c r="S81" s="200"/>
      <c r="T81" s="200"/>
      <c r="U81" s="200"/>
      <c r="V81" s="200"/>
      <c r="W81" s="200"/>
      <c r="X81" s="200"/>
      <c r="Y81" s="200"/>
      <c r="Z81" s="201"/>
    </row>
    <row r="82" spans="1:26" ht="78" customHeight="1" x14ac:dyDescent="0.15">
      <c r="B82" s="181" t="s">
        <v>114</v>
      </c>
      <c r="C82" s="77" t="s">
        <v>132</v>
      </c>
      <c r="D82" s="182" t="s">
        <v>198</v>
      </c>
      <c r="E82" s="183"/>
      <c r="F82" s="183"/>
      <c r="G82" s="183"/>
      <c r="H82" s="183"/>
      <c r="I82" s="183"/>
      <c r="J82" s="183"/>
      <c r="K82" s="183"/>
      <c r="L82" s="183"/>
      <c r="M82" s="183"/>
      <c r="N82" s="183"/>
      <c r="O82" s="183"/>
      <c r="P82" s="183"/>
      <c r="Q82" s="183"/>
      <c r="R82" s="183"/>
      <c r="S82" s="183"/>
      <c r="T82" s="183"/>
      <c r="U82" s="183"/>
      <c r="V82" s="183"/>
      <c r="W82" s="183"/>
      <c r="X82" s="183"/>
      <c r="Y82" s="183"/>
      <c r="Z82" s="184"/>
    </row>
    <row r="83" spans="1:26" ht="96" customHeight="1" x14ac:dyDescent="0.15">
      <c r="B83" s="177"/>
      <c r="C83" s="108" t="s">
        <v>133</v>
      </c>
      <c r="D83" s="185" t="s">
        <v>199</v>
      </c>
      <c r="E83" s="186"/>
      <c r="F83" s="186"/>
      <c r="G83" s="186"/>
      <c r="H83" s="186"/>
      <c r="I83" s="186"/>
      <c r="J83" s="186"/>
      <c r="K83" s="186"/>
      <c r="L83" s="186"/>
      <c r="M83" s="186"/>
      <c r="N83" s="186"/>
      <c r="O83" s="186"/>
      <c r="P83" s="186"/>
      <c r="Q83" s="186"/>
      <c r="R83" s="186"/>
      <c r="S83" s="186"/>
      <c r="T83" s="186"/>
      <c r="U83" s="186"/>
      <c r="V83" s="186"/>
      <c r="W83" s="186"/>
      <c r="X83" s="186"/>
      <c r="Y83" s="186"/>
      <c r="Z83" s="187"/>
    </row>
    <row r="84" spans="1:26" ht="66" customHeight="1" x14ac:dyDescent="0.15">
      <c r="B84" s="181" t="s">
        <v>115</v>
      </c>
      <c r="C84" s="77" t="s">
        <v>135</v>
      </c>
      <c r="D84" s="182" t="s">
        <v>200</v>
      </c>
      <c r="E84" s="183"/>
      <c r="F84" s="183"/>
      <c r="G84" s="183"/>
      <c r="H84" s="183"/>
      <c r="I84" s="183"/>
      <c r="J84" s="183"/>
      <c r="K84" s="183"/>
      <c r="L84" s="183"/>
      <c r="M84" s="183"/>
      <c r="N84" s="183"/>
      <c r="O84" s="183"/>
      <c r="P84" s="183"/>
      <c r="Q84" s="183"/>
      <c r="R84" s="183"/>
      <c r="S84" s="183"/>
      <c r="T84" s="183"/>
      <c r="U84" s="183"/>
      <c r="V84" s="183"/>
      <c r="W84" s="183"/>
      <c r="X84" s="183"/>
      <c r="Y84" s="183"/>
      <c r="Z84" s="184"/>
    </row>
    <row r="85" spans="1:26" ht="66" customHeight="1" x14ac:dyDescent="0.15">
      <c r="B85" s="177"/>
      <c r="C85" s="79" t="s">
        <v>136</v>
      </c>
      <c r="D85" s="188" t="s">
        <v>201</v>
      </c>
      <c r="E85" s="189"/>
      <c r="F85" s="189"/>
      <c r="G85" s="189"/>
      <c r="H85" s="189"/>
      <c r="I85" s="189"/>
      <c r="J85" s="189"/>
      <c r="K85" s="189"/>
      <c r="L85" s="189"/>
      <c r="M85" s="189"/>
      <c r="N85" s="189"/>
      <c r="O85" s="189"/>
      <c r="P85" s="189"/>
      <c r="Q85" s="189"/>
      <c r="R85" s="189"/>
      <c r="S85" s="189"/>
      <c r="T85" s="189"/>
      <c r="U85" s="189"/>
      <c r="V85" s="189"/>
      <c r="W85" s="189"/>
      <c r="X85" s="189"/>
      <c r="Y85" s="189"/>
      <c r="Z85" s="190"/>
    </row>
    <row r="86" spans="1:26" ht="78.75" customHeight="1" x14ac:dyDescent="0.15">
      <c r="B86" s="168" t="s">
        <v>143</v>
      </c>
      <c r="C86" s="82" t="s">
        <v>110</v>
      </c>
      <c r="D86" s="170" t="s">
        <v>202</v>
      </c>
      <c r="E86" s="171"/>
      <c r="F86" s="171"/>
      <c r="G86" s="171"/>
      <c r="H86" s="171"/>
      <c r="I86" s="171"/>
      <c r="J86" s="171"/>
      <c r="K86" s="171"/>
      <c r="L86" s="171"/>
      <c r="M86" s="171"/>
      <c r="N86" s="171"/>
      <c r="O86" s="171"/>
      <c r="P86" s="171"/>
      <c r="Q86" s="171"/>
      <c r="R86" s="171"/>
      <c r="S86" s="171"/>
      <c r="T86" s="171"/>
      <c r="U86" s="171"/>
      <c r="V86" s="171"/>
      <c r="W86" s="171"/>
      <c r="X86" s="171"/>
      <c r="Y86" s="171"/>
      <c r="Z86" s="172"/>
    </row>
    <row r="87" spans="1:26" ht="66" customHeight="1" x14ac:dyDescent="0.15">
      <c r="B87" s="169"/>
      <c r="C87" s="78" t="s">
        <v>112</v>
      </c>
      <c r="D87" s="173" t="s">
        <v>203</v>
      </c>
      <c r="E87" s="174"/>
      <c r="F87" s="174"/>
      <c r="G87" s="174"/>
      <c r="H87" s="174"/>
      <c r="I87" s="174"/>
      <c r="J87" s="174"/>
      <c r="K87" s="174"/>
      <c r="L87" s="174"/>
      <c r="M87" s="174"/>
      <c r="N87" s="174"/>
      <c r="O87" s="174"/>
      <c r="P87" s="174"/>
      <c r="Q87" s="174"/>
      <c r="R87" s="174"/>
      <c r="S87" s="174"/>
      <c r="T87" s="174"/>
      <c r="U87" s="174"/>
      <c r="V87" s="174"/>
      <c r="W87" s="174"/>
      <c r="X87" s="174"/>
      <c r="Y87" s="174"/>
      <c r="Z87" s="175"/>
    </row>
    <row r="88" spans="1:26" ht="66" customHeight="1" x14ac:dyDescent="0.15">
      <c r="B88" s="168" t="s">
        <v>144</v>
      </c>
      <c r="C88" s="77" t="s">
        <v>109</v>
      </c>
      <c r="D88" s="178" t="s">
        <v>204</v>
      </c>
      <c r="E88" s="179"/>
      <c r="F88" s="179"/>
      <c r="G88" s="179"/>
      <c r="H88" s="179"/>
      <c r="I88" s="179"/>
      <c r="J88" s="179"/>
      <c r="K88" s="179"/>
      <c r="L88" s="179"/>
      <c r="M88" s="179"/>
      <c r="N88" s="179"/>
      <c r="O88" s="179"/>
      <c r="P88" s="179"/>
      <c r="Q88" s="179"/>
      <c r="R88" s="179"/>
      <c r="S88" s="179"/>
      <c r="T88" s="179"/>
      <c r="U88" s="179"/>
      <c r="V88" s="179"/>
      <c r="W88" s="179"/>
      <c r="X88" s="179"/>
      <c r="Y88" s="179"/>
      <c r="Z88" s="180"/>
    </row>
    <row r="89" spans="1:26" ht="66" customHeight="1" x14ac:dyDescent="0.15">
      <c r="B89" s="176"/>
      <c r="C89" s="78" t="s">
        <v>139</v>
      </c>
      <c r="D89" s="178" t="s">
        <v>205</v>
      </c>
      <c r="E89" s="179"/>
      <c r="F89" s="179"/>
      <c r="G89" s="179"/>
      <c r="H89" s="179"/>
      <c r="I89" s="179"/>
      <c r="J89" s="179"/>
      <c r="K89" s="179"/>
      <c r="L89" s="179"/>
      <c r="M89" s="179"/>
      <c r="N89" s="179"/>
      <c r="O89" s="179"/>
      <c r="P89" s="179"/>
      <c r="Q89" s="179"/>
      <c r="R89" s="179"/>
      <c r="S89" s="179"/>
      <c r="T89" s="179"/>
      <c r="U89" s="179"/>
      <c r="V89" s="179"/>
      <c r="W89" s="179"/>
      <c r="X89" s="179"/>
      <c r="Y89" s="179"/>
      <c r="Z89" s="180"/>
    </row>
    <row r="90" spans="1:26" ht="66" customHeight="1" x14ac:dyDescent="0.15">
      <c r="B90" s="177"/>
      <c r="C90" s="79" t="s">
        <v>140</v>
      </c>
      <c r="D90" s="178" t="s">
        <v>206</v>
      </c>
      <c r="E90" s="179"/>
      <c r="F90" s="179"/>
      <c r="G90" s="179"/>
      <c r="H90" s="179"/>
      <c r="I90" s="179"/>
      <c r="J90" s="179"/>
      <c r="K90" s="179"/>
      <c r="L90" s="179"/>
      <c r="M90" s="179"/>
      <c r="N90" s="179"/>
      <c r="O90" s="179"/>
      <c r="P90" s="179"/>
      <c r="Q90" s="179"/>
      <c r="R90" s="179"/>
      <c r="S90" s="179"/>
      <c r="T90" s="179"/>
      <c r="U90" s="179"/>
      <c r="V90" s="179"/>
      <c r="W90" s="179"/>
      <c r="X90" s="179"/>
      <c r="Y90" s="179"/>
      <c r="Z90" s="180"/>
    </row>
    <row r="91" spans="1:26" ht="6" customHeight="1" x14ac:dyDescent="0.15"/>
    <row r="92" spans="1:26" ht="18.75" customHeight="1" x14ac:dyDescent="0.15">
      <c r="A92" s="13" t="s">
        <v>148</v>
      </c>
    </row>
    <row r="93" spans="1:26" ht="18.75" customHeight="1" x14ac:dyDescent="0.15">
      <c r="B93" s="156" t="s">
        <v>207</v>
      </c>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8"/>
    </row>
    <row r="94" spans="1:26" ht="18.75" customHeight="1" x14ac:dyDescent="0.15">
      <c r="B94" s="159"/>
      <c r="C94" s="160"/>
      <c r="D94" s="160"/>
      <c r="E94" s="160"/>
      <c r="F94" s="160"/>
      <c r="G94" s="160"/>
      <c r="H94" s="160"/>
      <c r="I94" s="160"/>
      <c r="J94" s="160"/>
      <c r="K94" s="160"/>
      <c r="L94" s="160"/>
      <c r="M94" s="160"/>
      <c r="N94" s="160"/>
      <c r="O94" s="160"/>
      <c r="P94" s="160"/>
      <c r="Q94" s="160"/>
      <c r="R94" s="160"/>
      <c r="S94" s="160"/>
      <c r="T94" s="160"/>
      <c r="U94" s="160"/>
      <c r="V94" s="160"/>
      <c r="W94" s="160"/>
      <c r="X94" s="160"/>
      <c r="Y94" s="160"/>
      <c r="Z94" s="161"/>
    </row>
    <row r="95" spans="1:26" ht="18.75" customHeight="1" x14ac:dyDescent="0.15">
      <c r="B95" s="162"/>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4"/>
    </row>
    <row r="96" spans="1:26" ht="6" customHeight="1" x14ac:dyDescent="0.15"/>
    <row r="97" spans="1:26" ht="15" customHeight="1" x14ac:dyDescent="0.15">
      <c r="A97" s="13" t="s">
        <v>149</v>
      </c>
    </row>
    <row r="98" spans="1:26" ht="15" customHeight="1" x14ac:dyDescent="0.15">
      <c r="B98" s="165" t="s">
        <v>209</v>
      </c>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7"/>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H27:H33 H38:H44 Y38:Z44 H49:H55 Y49:Z55 Y60:Z66 L60:M66 H16:H22 U16:U22 T60:T66 U27:U33 L27:M33 U38:U44 L38:M44 U49:U55 K60 L49:M55 G60:G66" xr:uid="{A776DDD0-254A-4D17-B65C-3C04871F6C86}">
      <formula1>"○"</formula1>
    </dataValidation>
    <dataValidation type="list" allowBlank="1" showInputMessage="1" showErrorMessage="1" sqref="Z23 Z34 D34:K34 D23:K23 V16:V22 I16:I22 V27:V33 I49:I55 V38:V44 I27:I33 V49:V55 I38:I44 U60:U66 H60:H66" xr:uid="{4764E10E-3516-4956-AC12-5CA5775C8F8F}">
      <formula1>"全学開講,一部開講"</formula1>
    </dataValidation>
    <dataValidation type="list" allowBlank="1" showInputMessage="1" showErrorMessage="1" sqref="O4" xr:uid="{B5DF80B6-B250-4F5F-B807-83EBCAE3A9C8}">
      <formula1>"学部・学科によって、修了要件は相違する,学部・学科によって、修了要件は相違しない"</formula1>
    </dataValidation>
    <dataValidation type="list" allowBlank="1" showInputMessage="1" showErrorMessage="1" sqref="H74:M77 G70:G77 H70:M71 T70:T77 U70:Z71 U74:Z77" xr:uid="{6958B538-F83E-48C5-BE6D-FCF24E8F3F6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52B09945-D540-4DAB-A4BE-EDAB3B113213}"/>
  </hyperlinks>
  <pageMargins left="0.7" right="0.7" top="0.75" bottom="0.75" header="0.3" footer="0.3"/>
  <pageSetup paperSize="9" orientation="landscape"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view="pageBreakPreview" zoomScaleNormal="100" zoomScaleSheetLayoutView="100" workbookViewId="0">
      <selection activeCell="C4" sqref="C4:D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8" t="s">
        <v>65</v>
      </c>
      <c r="G1" s="248"/>
      <c r="H1" s="248"/>
      <c r="I1" s="248"/>
      <c r="J1" s="248"/>
      <c r="K1" s="248"/>
      <c r="L1" s="248"/>
      <c r="M1" s="248"/>
      <c r="N1" s="248"/>
      <c r="O1" s="248"/>
      <c r="P1" s="248"/>
      <c r="Q1" s="248"/>
      <c r="R1" s="248"/>
    </row>
    <row r="2" spans="1:20" ht="18" customHeight="1" x14ac:dyDescent="0.15">
      <c r="A2" s="249" t="s">
        <v>93</v>
      </c>
      <c r="B2" s="249"/>
      <c r="C2" s="249"/>
      <c r="D2" s="249"/>
      <c r="E2" s="249"/>
      <c r="F2" s="249"/>
      <c r="G2" s="249"/>
      <c r="H2" s="249"/>
      <c r="I2" s="249"/>
      <c r="J2" s="249"/>
      <c r="K2" s="249"/>
      <c r="L2" s="249"/>
      <c r="M2" s="249"/>
      <c r="N2" s="249"/>
      <c r="O2" s="249"/>
      <c r="P2" s="249"/>
      <c r="Q2" s="249"/>
      <c r="R2" s="249"/>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152</v>
      </c>
      <c r="B4" s="4"/>
      <c r="C4" s="250" t="str">
        <f>'様式１　大学等概要'!E12</f>
        <v>令和３</v>
      </c>
      <c r="D4" s="251"/>
      <c r="E4" s="36" t="s">
        <v>117</v>
      </c>
      <c r="F4" s="36"/>
      <c r="G4" s="36"/>
      <c r="H4" s="36"/>
      <c r="I4" s="36"/>
      <c r="J4" s="83"/>
      <c r="K4" s="36"/>
      <c r="L4" s="36"/>
      <c r="M4" s="113"/>
      <c r="N4" s="113"/>
      <c r="O4" s="113"/>
      <c r="P4" s="113"/>
      <c r="Q4" s="113"/>
      <c r="R4" s="113"/>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150</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52" t="s">
        <v>83</v>
      </c>
      <c r="C8" s="254" t="s">
        <v>88</v>
      </c>
      <c r="D8" s="256" t="s">
        <v>70</v>
      </c>
      <c r="E8" s="258" t="s">
        <v>94</v>
      </c>
      <c r="F8" s="258"/>
      <c r="G8" s="258" t="s">
        <v>95</v>
      </c>
      <c r="H8" s="258"/>
      <c r="I8" s="258" t="s">
        <v>96</v>
      </c>
      <c r="J8" s="258"/>
      <c r="K8" s="259" t="s">
        <v>97</v>
      </c>
      <c r="L8" s="260"/>
      <c r="M8" s="259" t="s">
        <v>98</v>
      </c>
      <c r="N8" s="260"/>
      <c r="O8" s="259" t="s">
        <v>99</v>
      </c>
      <c r="P8" s="260"/>
      <c r="Q8" s="261" t="s">
        <v>64</v>
      </c>
      <c r="R8" s="263" t="s">
        <v>58</v>
      </c>
      <c r="T8" s="34"/>
    </row>
    <row r="9" spans="1:20" ht="18" customHeight="1" x14ac:dyDescent="0.15">
      <c r="A9" s="4"/>
      <c r="B9" s="253"/>
      <c r="C9" s="255"/>
      <c r="D9" s="257"/>
      <c r="E9" s="41" t="s">
        <v>46</v>
      </c>
      <c r="F9" s="42" t="s">
        <v>45</v>
      </c>
      <c r="G9" s="43" t="s">
        <v>46</v>
      </c>
      <c r="H9" s="44" t="s">
        <v>45</v>
      </c>
      <c r="I9" s="41" t="s">
        <v>46</v>
      </c>
      <c r="J9" s="42" t="s">
        <v>45</v>
      </c>
      <c r="K9" s="43" t="s">
        <v>46</v>
      </c>
      <c r="L9" s="44" t="s">
        <v>45</v>
      </c>
      <c r="M9" s="41" t="s">
        <v>46</v>
      </c>
      <c r="N9" s="42" t="s">
        <v>45</v>
      </c>
      <c r="O9" s="43" t="s">
        <v>46</v>
      </c>
      <c r="P9" s="44" t="s">
        <v>45</v>
      </c>
      <c r="Q9" s="262"/>
      <c r="R9" s="264"/>
      <c r="T9" s="34"/>
    </row>
    <row r="10" spans="1:20" ht="18" customHeight="1" x14ac:dyDescent="0.15">
      <c r="A10" s="45"/>
      <c r="B10" s="84" t="s">
        <v>169</v>
      </c>
      <c r="C10" s="45">
        <v>130</v>
      </c>
      <c r="D10" s="46">
        <v>550</v>
      </c>
      <c r="E10" s="47">
        <v>6</v>
      </c>
      <c r="F10" s="48">
        <v>3</v>
      </c>
      <c r="G10" s="49"/>
      <c r="H10" s="50"/>
      <c r="I10" s="47"/>
      <c r="J10" s="48"/>
      <c r="K10" s="49"/>
      <c r="L10" s="50"/>
      <c r="M10" s="47"/>
      <c r="N10" s="48"/>
      <c r="O10" s="49"/>
      <c r="P10" s="50"/>
      <c r="Q10" s="51">
        <f>E10+G10+I10+K10+M10+O10</f>
        <v>6</v>
      </c>
      <c r="R10" s="52">
        <f>Q10/D10</f>
        <v>1.090909090909091E-2</v>
      </c>
    </row>
    <row r="11" spans="1:20" ht="18" customHeight="1" x14ac:dyDescent="0.15">
      <c r="A11" s="45"/>
      <c r="B11" s="85" t="s">
        <v>170</v>
      </c>
      <c r="C11" s="61">
        <v>70</v>
      </c>
      <c r="D11" s="54">
        <v>290</v>
      </c>
      <c r="E11" s="55">
        <v>30</v>
      </c>
      <c r="F11" s="56">
        <v>4</v>
      </c>
      <c r="G11" s="57"/>
      <c r="H11" s="58"/>
      <c r="I11" s="55"/>
      <c r="J11" s="56"/>
      <c r="K11" s="57"/>
      <c r="L11" s="58"/>
      <c r="M11" s="55"/>
      <c r="N11" s="56"/>
      <c r="O11" s="57"/>
      <c r="P11" s="58"/>
      <c r="Q11" s="59">
        <f t="shared" ref="Q11:Q29" si="0">E11+G11+I11+K11+M11+O11</f>
        <v>30</v>
      </c>
      <c r="R11" s="60">
        <f t="shared" ref="R11:R29" si="1">Q11/D11</f>
        <v>0.10344827586206896</v>
      </c>
    </row>
    <row r="12" spans="1:20" ht="18" customHeight="1" x14ac:dyDescent="0.15">
      <c r="A12" s="45"/>
      <c r="B12" s="85"/>
      <c r="C12" s="61"/>
      <c r="D12" s="54"/>
      <c r="E12" s="55"/>
      <c r="F12" s="56"/>
      <c r="G12" s="57"/>
      <c r="H12" s="58"/>
      <c r="I12" s="55"/>
      <c r="J12" s="56"/>
      <c r="K12" s="57"/>
      <c r="L12" s="58"/>
      <c r="M12" s="55"/>
      <c r="N12" s="56"/>
      <c r="O12" s="57"/>
      <c r="P12" s="58"/>
      <c r="Q12" s="59">
        <f t="shared" si="0"/>
        <v>0</v>
      </c>
      <c r="R12" s="60" t="e">
        <f t="shared" si="1"/>
        <v>#DIV/0!</v>
      </c>
    </row>
    <row r="13" spans="1:20" ht="18" customHeight="1" x14ac:dyDescent="0.15">
      <c r="A13" s="45"/>
      <c r="B13" s="85"/>
      <c r="C13" s="61"/>
      <c r="D13" s="54"/>
      <c r="E13" s="55"/>
      <c r="F13" s="56"/>
      <c r="G13" s="57"/>
      <c r="H13" s="58"/>
      <c r="I13" s="55"/>
      <c r="J13" s="56"/>
      <c r="K13" s="57"/>
      <c r="L13" s="58"/>
      <c r="M13" s="55"/>
      <c r="N13" s="56"/>
      <c r="O13" s="57"/>
      <c r="P13" s="58"/>
      <c r="Q13" s="59">
        <f t="shared" si="0"/>
        <v>0</v>
      </c>
      <c r="R13" s="60" t="e">
        <f t="shared" si="1"/>
        <v>#DIV/0!</v>
      </c>
    </row>
    <row r="14" spans="1:20" ht="18" customHeight="1" x14ac:dyDescent="0.15">
      <c r="A14" s="45"/>
      <c r="B14" s="85"/>
      <c r="C14" s="61"/>
      <c r="D14" s="54"/>
      <c r="E14" s="55"/>
      <c r="F14" s="56"/>
      <c r="G14" s="57"/>
      <c r="H14" s="58"/>
      <c r="I14" s="55"/>
      <c r="J14" s="56"/>
      <c r="K14" s="57"/>
      <c r="L14" s="58"/>
      <c r="M14" s="55"/>
      <c r="N14" s="56"/>
      <c r="O14" s="57"/>
      <c r="P14" s="58"/>
      <c r="Q14" s="59">
        <f t="shared" si="0"/>
        <v>0</v>
      </c>
      <c r="R14" s="60" t="e">
        <f t="shared" si="1"/>
        <v>#DIV/0!</v>
      </c>
    </row>
    <row r="15" spans="1:20" ht="18" customHeight="1" x14ac:dyDescent="0.15">
      <c r="A15" s="45"/>
      <c r="B15" s="85"/>
      <c r="C15" s="61"/>
      <c r="D15" s="54"/>
      <c r="E15" s="55"/>
      <c r="F15" s="56"/>
      <c r="G15" s="57"/>
      <c r="H15" s="58"/>
      <c r="I15" s="55"/>
      <c r="J15" s="56"/>
      <c r="K15" s="57"/>
      <c r="L15" s="58"/>
      <c r="M15" s="55"/>
      <c r="N15" s="56"/>
      <c r="O15" s="57"/>
      <c r="P15" s="58"/>
      <c r="Q15" s="59">
        <f t="shared" si="0"/>
        <v>0</v>
      </c>
      <c r="R15" s="60" t="e">
        <f t="shared" si="1"/>
        <v>#DIV/0!</v>
      </c>
    </row>
    <row r="16" spans="1:20" ht="18" customHeight="1" x14ac:dyDescent="0.15">
      <c r="A16" s="45"/>
      <c r="B16" s="85"/>
      <c r="C16" s="61"/>
      <c r="D16" s="54"/>
      <c r="E16" s="55"/>
      <c r="F16" s="56"/>
      <c r="G16" s="57"/>
      <c r="H16" s="58"/>
      <c r="I16" s="55"/>
      <c r="J16" s="56"/>
      <c r="K16" s="57"/>
      <c r="L16" s="58"/>
      <c r="M16" s="55"/>
      <c r="N16" s="56"/>
      <c r="O16" s="57"/>
      <c r="P16" s="58"/>
      <c r="Q16" s="59">
        <f t="shared" si="0"/>
        <v>0</v>
      </c>
      <c r="R16" s="60" t="e">
        <f t="shared" si="1"/>
        <v>#DIV/0!</v>
      </c>
    </row>
    <row r="17" spans="1:18" ht="18" customHeight="1" x14ac:dyDescent="0.15">
      <c r="A17" s="45"/>
      <c r="B17" s="85"/>
      <c r="C17" s="61"/>
      <c r="D17" s="54"/>
      <c r="E17" s="55"/>
      <c r="F17" s="56"/>
      <c r="G17" s="57"/>
      <c r="H17" s="58"/>
      <c r="I17" s="55"/>
      <c r="J17" s="56"/>
      <c r="K17" s="57"/>
      <c r="L17" s="58"/>
      <c r="M17" s="55"/>
      <c r="N17" s="56"/>
      <c r="O17" s="57"/>
      <c r="P17" s="58"/>
      <c r="Q17" s="59">
        <f t="shared" si="0"/>
        <v>0</v>
      </c>
      <c r="R17" s="60" t="e">
        <f t="shared" si="1"/>
        <v>#DIV/0!</v>
      </c>
    </row>
    <row r="18" spans="1:18" ht="18" customHeight="1" x14ac:dyDescent="0.15">
      <c r="A18" s="45"/>
      <c r="B18" s="85"/>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15">
      <c r="A19" s="45"/>
      <c r="B19" s="85"/>
      <c r="C19" s="61"/>
      <c r="D19" s="54"/>
      <c r="E19" s="55"/>
      <c r="F19" s="56"/>
      <c r="G19" s="57"/>
      <c r="H19" s="58"/>
      <c r="I19" s="55"/>
      <c r="J19" s="56"/>
      <c r="K19" s="57"/>
      <c r="L19" s="58"/>
      <c r="M19" s="55"/>
      <c r="N19" s="56"/>
      <c r="O19" s="57"/>
      <c r="P19" s="58"/>
      <c r="Q19" s="59">
        <f t="shared" si="0"/>
        <v>0</v>
      </c>
      <c r="R19" s="60" t="e">
        <f t="shared" si="1"/>
        <v>#DIV/0!</v>
      </c>
    </row>
    <row r="20" spans="1:18" ht="18" customHeight="1" x14ac:dyDescent="0.15">
      <c r="A20" s="45"/>
      <c r="B20" s="85"/>
      <c r="C20" s="61"/>
      <c r="D20" s="54"/>
      <c r="E20" s="55"/>
      <c r="F20" s="56"/>
      <c r="G20" s="57"/>
      <c r="H20" s="58"/>
      <c r="I20" s="55"/>
      <c r="J20" s="56"/>
      <c r="K20" s="57"/>
      <c r="L20" s="58"/>
      <c r="M20" s="55"/>
      <c r="N20" s="56"/>
      <c r="O20" s="57"/>
      <c r="P20" s="58"/>
      <c r="Q20" s="59">
        <f t="shared" si="0"/>
        <v>0</v>
      </c>
      <c r="R20" s="60" t="e">
        <f t="shared" si="1"/>
        <v>#DIV/0!</v>
      </c>
    </row>
    <row r="21" spans="1:18" ht="18" customHeight="1" x14ac:dyDescent="0.15">
      <c r="A21" s="45"/>
      <c r="B21" s="85"/>
      <c r="C21" s="61"/>
      <c r="D21" s="54"/>
      <c r="E21" s="55"/>
      <c r="F21" s="56"/>
      <c r="G21" s="57"/>
      <c r="H21" s="58"/>
      <c r="I21" s="55"/>
      <c r="J21" s="56"/>
      <c r="K21" s="57"/>
      <c r="L21" s="58"/>
      <c r="M21" s="55"/>
      <c r="N21" s="56"/>
      <c r="O21" s="57"/>
      <c r="P21" s="58"/>
      <c r="Q21" s="59">
        <f t="shared" si="0"/>
        <v>0</v>
      </c>
      <c r="R21" s="60" t="e">
        <f t="shared" si="1"/>
        <v>#DIV/0!</v>
      </c>
    </row>
    <row r="22" spans="1:18" ht="18" customHeight="1" x14ac:dyDescent="0.15">
      <c r="A22" s="45"/>
      <c r="B22" s="85"/>
      <c r="C22" s="61"/>
      <c r="D22" s="54"/>
      <c r="E22" s="55"/>
      <c r="F22" s="56"/>
      <c r="G22" s="57"/>
      <c r="H22" s="58"/>
      <c r="I22" s="55"/>
      <c r="J22" s="56"/>
      <c r="K22" s="57"/>
      <c r="L22" s="58"/>
      <c r="M22" s="55"/>
      <c r="N22" s="56"/>
      <c r="O22" s="57"/>
      <c r="P22" s="58"/>
      <c r="Q22" s="59">
        <f t="shared" si="0"/>
        <v>0</v>
      </c>
      <c r="R22" s="60" t="e">
        <f t="shared" si="1"/>
        <v>#DIV/0!</v>
      </c>
    </row>
    <row r="23" spans="1:18" ht="18" customHeight="1" x14ac:dyDescent="0.15">
      <c r="A23" s="45"/>
      <c r="B23" s="85"/>
      <c r="C23" s="61"/>
      <c r="D23" s="54"/>
      <c r="E23" s="55"/>
      <c r="F23" s="56"/>
      <c r="G23" s="57"/>
      <c r="H23" s="58"/>
      <c r="I23" s="55"/>
      <c r="J23" s="56"/>
      <c r="K23" s="57"/>
      <c r="L23" s="58"/>
      <c r="M23" s="55"/>
      <c r="N23" s="56"/>
      <c r="O23" s="57"/>
      <c r="P23" s="58"/>
      <c r="Q23" s="59">
        <f t="shared" si="0"/>
        <v>0</v>
      </c>
      <c r="R23" s="60" t="e">
        <f t="shared" si="1"/>
        <v>#DIV/0!</v>
      </c>
    </row>
    <row r="24" spans="1:18" ht="18" customHeight="1" x14ac:dyDescent="0.15">
      <c r="A24" s="45"/>
      <c r="B24" s="85"/>
      <c r="C24" s="61"/>
      <c r="D24" s="54"/>
      <c r="E24" s="55"/>
      <c r="F24" s="56"/>
      <c r="G24" s="57"/>
      <c r="H24" s="58"/>
      <c r="I24" s="55"/>
      <c r="J24" s="56"/>
      <c r="K24" s="57"/>
      <c r="L24" s="58"/>
      <c r="M24" s="55"/>
      <c r="N24" s="56"/>
      <c r="O24" s="57"/>
      <c r="P24" s="58"/>
      <c r="Q24" s="59">
        <f t="shared" si="0"/>
        <v>0</v>
      </c>
      <c r="R24" s="60" t="e">
        <f t="shared" si="1"/>
        <v>#DIV/0!</v>
      </c>
    </row>
    <row r="25" spans="1:18" ht="18" customHeight="1" x14ac:dyDescent="0.15">
      <c r="A25" s="45"/>
      <c r="B25" s="85"/>
      <c r="C25" s="61"/>
      <c r="D25" s="54"/>
      <c r="E25" s="55"/>
      <c r="F25" s="56"/>
      <c r="G25" s="57"/>
      <c r="H25" s="58"/>
      <c r="I25" s="55"/>
      <c r="J25" s="56"/>
      <c r="K25" s="57"/>
      <c r="L25" s="58"/>
      <c r="M25" s="55"/>
      <c r="N25" s="56"/>
      <c r="O25" s="57"/>
      <c r="P25" s="58"/>
      <c r="Q25" s="59">
        <f t="shared" si="0"/>
        <v>0</v>
      </c>
      <c r="R25" s="60" t="e">
        <f t="shared" si="1"/>
        <v>#DIV/0!</v>
      </c>
    </row>
    <row r="26" spans="1:18" ht="18" customHeight="1" x14ac:dyDescent="0.15">
      <c r="A26" s="45"/>
      <c r="B26" s="85"/>
      <c r="C26" s="61"/>
      <c r="D26" s="54"/>
      <c r="E26" s="55"/>
      <c r="F26" s="56"/>
      <c r="G26" s="57"/>
      <c r="H26" s="58"/>
      <c r="I26" s="55"/>
      <c r="J26" s="56"/>
      <c r="K26" s="57"/>
      <c r="L26" s="58"/>
      <c r="M26" s="55"/>
      <c r="N26" s="56"/>
      <c r="O26" s="57"/>
      <c r="P26" s="58"/>
      <c r="Q26" s="59">
        <f t="shared" si="0"/>
        <v>0</v>
      </c>
      <c r="R26" s="60" t="e">
        <f t="shared" si="1"/>
        <v>#DIV/0!</v>
      </c>
    </row>
    <row r="27" spans="1:18" ht="18" customHeight="1" x14ac:dyDescent="0.15">
      <c r="A27" s="45"/>
      <c r="B27" s="85"/>
      <c r="C27" s="53"/>
      <c r="D27" s="54"/>
      <c r="E27" s="55"/>
      <c r="F27" s="56"/>
      <c r="G27" s="57"/>
      <c r="H27" s="58"/>
      <c r="I27" s="55"/>
      <c r="J27" s="56"/>
      <c r="K27" s="57"/>
      <c r="L27" s="58"/>
      <c r="M27" s="55"/>
      <c r="N27" s="56"/>
      <c r="O27" s="57"/>
      <c r="P27" s="58"/>
      <c r="Q27" s="59">
        <f t="shared" si="0"/>
        <v>0</v>
      </c>
      <c r="R27" s="60" t="e">
        <f t="shared" si="1"/>
        <v>#DIV/0!</v>
      </c>
    </row>
    <row r="28" spans="1:18" ht="18" customHeight="1" x14ac:dyDescent="0.15">
      <c r="A28" s="45"/>
      <c r="B28" s="85"/>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
      <c r="A29" s="45"/>
      <c r="B29" s="86"/>
      <c r="C29" s="87"/>
      <c r="D29" s="46"/>
      <c r="E29" s="47"/>
      <c r="F29" s="48"/>
      <c r="G29" s="49"/>
      <c r="H29" s="50"/>
      <c r="I29" s="47"/>
      <c r="J29" s="48"/>
      <c r="K29" s="49"/>
      <c r="L29" s="50"/>
      <c r="M29" s="47"/>
      <c r="N29" s="48"/>
      <c r="O29" s="49"/>
      <c r="P29" s="50"/>
      <c r="Q29" s="62">
        <f t="shared" si="0"/>
        <v>0</v>
      </c>
      <c r="R29" s="52" t="e">
        <f t="shared" si="1"/>
        <v>#DIV/0!</v>
      </c>
    </row>
    <row r="30" spans="1:18" ht="18" customHeight="1" thickTop="1" x14ac:dyDescent="0.15">
      <c r="B30" s="88" t="s">
        <v>59</v>
      </c>
      <c r="C30" s="89">
        <f t="shared" ref="C30:Q30" si="2">SUM(C10:C29)</f>
        <v>200</v>
      </c>
      <c r="D30" s="63">
        <f t="shared" si="2"/>
        <v>840</v>
      </c>
      <c r="E30" s="64">
        <f t="shared" si="2"/>
        <v>36</v>
      </c>
      <c r="F30" s="65">
        <f t="shared" si="2"/>
        <v>7</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36</v>
      </c>
      <c r="R30" s="69">
        <f>Q30/D30</f>
        <v>4.2857142857142858E-2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B5" sqref="B5:J5"/>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118</v>
      </c>
      <c r="J1" s="39" t="s">
        <v>119</v>
      </c>
    </row>
    <row r="2" spans="1:11" ht="18.75" customHeight="1" x14ac:dyDescent="0.15">
      <c r="A2" s="249" t="s">
        <v>66</v>
      </c>
      <c r="B2" s="249"/>
      <c r="C2" s="249"/>
      <c r="D2" s="249"/>
      <c r="E2" s="249"/>
      <c r="F2" s="249"/>
      <c r="G2" s="249"/>
      <c r="H2" s="249"/>
      <c r="I2" s="249"/>
      <c r="J2" s="249"/>
    </row>
    <row r="3" spans="1:11" ht="7.5" customHeight="1" x14ac:dyDescent="0.15">
      <c r="B3" s="36"/>
      <c r="C3" s="36"/>
      <c r="D3" s="36"/>
      <c r="E3" s="36"/>
      <c r="F3" s="36"/>
      <c r="G3" s="36"/>
      <c r="H3" s="36"/>
      <c r="I3" s="36"/>
      <c r="J3" s="36"/>
    </row>
    <row r="4" spans="1:11" ht="18.75" customHeight="1" x14ac:dyDescent="0.15">
      <c r="A4" s="1" t="s">
        <v>6</v>
      </c>
      <c r="B4" s="4" t="s">
        <v>76</v>
      </c>
      <c r="C4" s="4"/>
      <c r="D4" s="4"/>
      <c r="E4" s="4"/>
      <c r="F4" s="4"/>
      <c r="G4" s="4"/>
      <c r="H4" s="4"/>
      <c r="I4" s="36"/>
      <c r="J4" s="36"/>
    </row>
    <row r="5" spans="1:11" ht="18.75" customHeight="1" x14ac:dyDescent="0.15">
      <c r="A5" s="1"/>
      <c r="B5" s="136" t="s">
        <v>181</v>
      </c>
      <c r="C5" s="137"/>
      <c r="D5" s="137"/>
      <c r="E5" s="137"/>
      <c r="F5" s="137"/>
      <c r="G5" s="137"/>
      <c r="H5" s="137"/>
      <c r="I5" s="137"/>
      <c r="J5" s="138"/>
      <c r="K5" s="31" t="str">
        <f>IF(B5="","入力してください","")</f>
        <v/>
      </c>
    </row>
    <row r="6" spans="1:11" ht="7.5" customHeight="1" x14ac:dyDescent="0.15">
      <c r="B6" s="36"/>
      <c r="C6" s="36"/>
      <c r="D6" s="36"/>
      <c r="E6" s="36"/>
      <c r="F6" s="36"/>
      <c r="G6" s="36"/>
      <c r="H6" s="36"/>
      <c r="I6" s="36"/>
      <c r="J6" s="36"/>
    </row>
    <row r="7" spans="1:11" s="4" customFormat="1" ht="18.75" customHeight="1" x14ac:dyDescent="0.15">
      <c r="A7" s="1" t="s">
        <v>10</v>
      </c>
      <c r="B7" s="1" t="s">
        <v>41</v>
      </c>
      <c r="C7" s="1"/>
      <c r="D7" s="1"/>
      <c r="E7" s="1"/>
      <c r="F7" s="1"/>
      <c r="G7" s="1"/>
      <c r="H7" s="1"/>
      <c r="I7" s="1"/>
      <c r="J7" s="1"/>
      <c r="K7" s="35"/>
    </row>
    <row r="8" spans="1:11" s="4" customFormat="1" ht="18.75" customHeight="1" x14ac:dyDescent="0.15">
      <c r="A8" s="90"/>
      <c r="B8" s="274" t="s">
        <v>182</v>
      </c>
      <c r="C8" s="275"/>
      <c r="D8" s="275"/>
      <c r="E8" s="275"/>
      <c r="F8" s="275"/>
      <c r="G8" s="275"/>
      <c r="H8" s="275"/>
      <c r="I8" s="276"/>
      <c r="J8" s="277"/>
      <c r="K8" s="31" t="str">
        <f>IF(B8="","入力してください","")</f>
        <v/>
      </c>
    </row>
    <row r="9" spans="1:11" s="4" customFormat="1" ht="18.75" customHeight="1" x14ac:dyDescent="0.15">
      <c r="A9" s="90"/>
      <c r="B9" s="278"/>
      <c r="C9" s="279"/>
      <c r="D9" s="279"/>
      <c r="E9" s="279"/>
      <c r="F9" s="279"/>
      <c r="G9" s="279"/>
      <c r="H9" s="279"/>
      <c r="I9" s="279"/>
      <c r="J9" s="280"/>
      <c r="K9" s="31"/>
    </row>
    <row r="10" spans="1:11" s="4" customFormat="1" ht="18.75" customHeight="1" x14ac:dyDescent="0.15">
      <c r="A10" s="90"/>
      <c r="B10" s="278"/>
      <c r="C10" s="279"/>
      <c r="D10" s="279"/>
      <c r="E10" s="279"/>
      <c r="F10" s="279"/>
      <c r="G10" s="279"/>
      <c r="H10" s="279"/>
      <c r="I10" s="279"/>
      <c r="J10" s="280"/>
      <c r="K10" s="31"/>
    </row>
    <row r="11" spans="1:11" s="4" customFormat="1" ht="18.75" customHeight="1" x14ac:dyDescent="0.15">
      <c r="A11" s="90"/>
      <c r="B11" s="278"/>
      <c r="C11" s="279"/>
      <c r="D11" s="279"/>
      <c r="E11" s="279"/>
      <c r="F11" s="279"/>
      <c r="G11" s="279"/>
      <c r="H11" s="279"/>
      <c r="I11" s="279"/>
      <c r="J11" s="280"/>
      <c r="K11" s="31"/>
    </row>
    <row r="12" spans="1:11" s="4" customFormat="1" ht="18.75" customHeight="1" x14ac:dyDescent="0.15">
      <c r="A12" s="90"/>
      <c r="B12" s="281"/>
      <c r="C12" s="282"/>
      <c r="D12" s="282"/>
      <c r="E12" s="282"/>
      <c r="F12" s="282"/>
      <c r="G12" s="282"/>
      <c r="H12" s="282"/>
      <c r="I12" s="282"/>
      <c r="J12" s="283"/>
      <c r="K12" s="31"/>
    </row>
    <row r="13" spans="1:11" s="4" customFormat="1" ht="7.5" customHeight="1" x14ac:dyDescent="0.15">
      <c r="A13" s="90"/>
      <c r="B13" s="90"/>
      <c r="C13" s="90"/>
      <c r="D13" s="90"/>
      <c r="E13" s="90"/>
      <c r="F13" s="90"/>
      <c r="G13" s="90"/>
      <c r="H13" s="90"/>
      <c r="I13" s="90"/>
      <c r="J13" s="90"/>
      <c r="K13" s="31"/>
    </row>
    <row r="14" spans="1:11" s="4" customFormat="1" ht="18.75" customHeight="1" x14ac:dyDescent="0.15">
      <c r="A14" s="91" t="s">
        <v>11</v>
      </c>
      <c r="B14" s="91" t="s">
        <v>16</v>
      </c>
      <c r="C14" s="91"/>
      <c r="D14" s="91"/>
      <c r="E14" s="91"/>
      <c r="F14" s="91"/>
      <c r="G14" s="91"/>
      <c r="H14" s="91"/>
      <c r="I14" s="91"/>
      <c r="J14" s="91"/>
      <c r="K14" s="31"/>
    </row>
    <row r="15" spans="1:11" s="4" customFormat="1" ht="18.75" customHeight="1" x14ac:dyDescent="0.15">
      <c r="A15" s="90"/>
      <c r="B15" s="274" t="s">
        <v>215</v>
      </c>
      <c r="C15" s="284"/>
      <c r="D15" s="284"/>
      <c r="E15" s="284"/>
      <c r="F15" s="284"/>
      <c r="G15" s="284"/>
      <c r="H15" s="284"/>
      <c r="I15" s="285"/>
      <c r="J15" s="286"/>
      <c r="K15" s="31" t="str">
        <f>IF(B15="","入力してください","")</f>
        <v/>
      </c>
    </row>
    <row r="16" spans="1:11" s="4" customFormat="1" ht="18.75" customHeight="1" x14ac:dyDescent="0.15">
      <c r="A16" s="90"/>
      <c r="B16" s="287"/>
      <c r="C16" s="288"/>
      <c r="D16" s="288"/>
      <c r="E16" s="288"/>
      <c r="F16" s="288"/>
      <c r="G16" s="288"/>
      <c r="H16" s="288"/>
      <c r="I16" s="288"/>
      <c r="J16" s="289"/>
      <c r="K16" s="31"/>
    </row>
    <row r="17" spans="1:11" s="4" customFormat="1" ht="18.75" customHeight="1" x14ac:dyDescent="0.15">
      <c r="A17" s="90"/>
      <c r="B17" s="287"/>
      <c r="C17" s="288"/>
      <c r="D17" s="288"/>
      <c r="E17" s="288"/>
      <c r="F17" s="288"/>
      <c r="G17" s="288"/>
      <c r="H17" s="288"/>
      <c r="I17" s="288"/>
      <c r="J17" s="289"/>
      <c r="K17" s="31"/>
    </row>
    <row r="18" spans="1:11" s="4" customFormat="1" ht="18.75" customHeight="1" x14ac:dyDescent="0.15">
      <c r="A18" s="90"/>
      <c r="B18" s="287"/>
      <c r="C18" s="288"/>
      <c r="D18" s="288"/>
      <c r="E18" s="288"/>
      <c r="F18" s="288"/>
      <c r="G18" s="288"/>
      <c r="H18" s="288"/>
      <c r="I18" s="288"/>
      <c r="J18" s="289"/>
      <c r="K18" s="31"/>
    </row>
    <row r="19" spans="1:11" s="4" customFormat="1" ht="18.75" customHeight="1" x14ac:dyDescent="0.15">
      <c r="A19" s="90"/>
      <c r="B19" s="287"/>
      <c r="C19" s="288"/>
      <c r="D19" s="288"/>
      <c r="E19" s="288"/>
      <c r="F19" s="288"/>
      <c r="G19" s="288"/>
      <c r="H19" s="288"/>
      <c r="I19" s="288"/>
      <c r="J19" s="289"/>
      <c r="K19" s="31"/>
    </row>
    <row r="20" spans="1:11" s="4" customFormat="1" ht="18.75" customHeight="1" x14ac:dyDescent="0.15">
      <c r="A20" s="90"/>
      <c r="B20" s="287"/>
      <c r="C20" s="288"/>
      <c r="D20" s="288"/>
      <c r="E20" s="288"/>
      <c r="F20" s="288"/>
      <c r="G20" s="288"/>
      <c r="H20" s="288"/>
      <c r="I20" s="288"/>
      <c r="J20" s="289"/>
      <c r="K20" s="31"/>
    </row>
    <row r="21" spans="1:11" s="4" customFormat="1" ht="18.75" customHeight="1" x14ac:dyDescent="0.15">
      <c r="A21" s="90"/>
      <c r="B21" s="287"/>
      <c r="C21" s="288"/>
      <c r="D21" s="288"/>
      <c r="E21" s="288"/>
      <c r="F21" s="288"/>
      <c r="G21" s="288"/>
      <c r="H21" s="288"/>
      <c r="I21" s="288"/>
      <c r="J21" s="289"/>
      <c r="K21" s="31"/>
    </row>
    <row r="22" spans="1:11" s="4" customFormat="1" ht="18.75" customHeight="1" x14ac:dyDescent="0.15">
      <c r="A22" s="90"/>
      <c r="B22" s="287"/>
      <c r="C22" s="288"/>
      <c r="D22" s="288"/>
      <c r="E22" s="288"/>
      <c r="F22" s="288"/>
      <c r="G22" s="288"/>
      <c r="H22" s="288"/>
      <c r="I22" s="288"/>
      <c r="J22" s="289"/>
      <c r="K22" s="31"/>
    </row>
    <row r="23" spans="1:11" s="4" customFormat="1" ht="18.75" customHeight="1" x14ac:dyDescent="0.15">
      <c r="A23" s="90"/>
      <c r="B23" s="287"/>
      <c r="C23" s="288"/>
      <c r="D23" s="288"/>
      <c r="E23" s="288"/>
      <c r="F23" s="288"/>
      <c r="G23" s="288"/>
      <c r="H23" s="288"/>
      <c r="I23" s="288"/>
      <c r="J23" s="289"/>
      <c r="K23" s="31"/>
    </row>
    <row r="24" spans="1:11" s="4" customFormat="1" ht="18.75" customHeight="1" x14ac:dyDescent="0.15">
      <c r="A24" s="90"/>
      <c r="B24" s="287"/>
      <c r="C24" s="288"/>
      <c r="D24" s="288"/>
      <c r="E24" s="288"/>
      <c r="F24" s="288"/>
      <c r="G24" s="288"/>
      <c r="H24" s="288"/>
      <c r="I24" s="288"/>
      <c r="J24" s="289"/>
      <c r="K24" s="31"/>
    </row>
    <row r="25" spans="1:11" s="4" customFormat="1" ht="18.75" customHeight="1" x14ac:dyDescent="0.15">
      <c r="A25" s="90"/>
      <c r="B25" s="290"/>
      <c r="C25" s="291"/>
      <c r="D25" s="291"/>
      <c r="E25" s="291"/>
      <c r="F25" s="291"/>
      <c r="G25" s="291"/>
      <c r="H25" s="291"/>
      <c r="I25" s="291"/>
      <c r="J25" s="292"/>
      <c r="K25" s="31"/>
    </row>
    <row r="26" spans="1:11" ht="7.5" customHeight="1" x14ac:dyDescent="0.15">
      <c r="A26" s="37"/>
      <c r="B26" s="37"/>
      <c r="C26" s="37"/>
      <c r="D26" s="37"/>
      <c r="E26" s="37"/>
      <c r="F26" s="37"/>
      <c r="G26" s="37"/>
      <c r="H26" s="37"/>
      <c r="I26" s="37"/>
      <c r="J26" s="37"/>
    </row>
    <row r="27" spans="1:11" s="4" customFormat="1" ht="18.75" customHeight="1" x14ac:dyDescent="0.15">
      <c r="A27" s="1" t="s">
        <v>14</v>
      </c>
      <c r="B27" s="1" t="s">
        <v>27</v>
      </c>
      <c r="C27" s="1"/>
      <c r="D27" s="1"/>
      <c r="E27" s="1"/>
      <c r="F27" s="1"/>
      <c r="G27" s="1"/>
      <c r="H27" s="1"/>
      <c r="I27" s="1"/>
      <c r="J27" s="1"/>
      <c r="K27" s="31"/>
    </row>
    <row r="28" spans="1:11" s="29" customFormat="1" ht="18.75" customHeight="1" x14ac:dyDescent="0.15">
      <c r="B28" s="92" t="s">
        <v>120</v>
      </c>
      <c r="C28" s="116">
        <f>'様式３　履修者等数の実績'!R30</f>
        <v>4.2857142857142858E-2</v>
      </c>
      <c r="D28" s="94"/>
      <c r="E28" s="94" t="s">
        <v>121</v>
      </c>
      <c r="F28" s="93">
        <v>0.1</v>
      </c>
      <c r="G28" s="94"/>
      <c r="H28" s="94" t="s">
        <v>122</v>
      </c>
      <c r="I28" s="95">
        <v>0.2</v>
      </c>
      <c r="J28" s="96"/>
      <c r="K28" s="31"/>
    </row>
    <row r="29" spans="1:11" s="29" customFormat="1" ht="18.75" customHeight="1" x14ac:dyDescent="0.15">
      <c r="B29" s="80" t="s">
        <v>123</v>
      </c>
      <c r="C29" s="97">
        <v>0.3</v>
      </c>
      <c r="D29" s="81"/>
      <c r="E29" s="81" t="s">
        <v>124</v>
      </c>
      <c r="F29" s="97">
        <v>0.5</v>
      </c>
      <c r="G29" s="81"/>
      <c r="H29" s="81" t="s">
        <v>125</v>
      </c>
      <c r="I29" s="98">
        <f>'様式３　履修者等数の実績'!D30</f>
        <v>840</v>
      </c>
      <c r="J29" s="99"/>
      <c r="K29" s="35"/>
    </row>
    <row r="30" spans="1:11" s="4" customFormat="1" ht="18.75" customHeight="1" x14ac:dyDescent="0.15">
      <c r="A30" s="1"/>
      <c r="B30" s="205" t="s">
        <v>126</v>
      </c>
      <c r="C30" s="206"/>
      <c r="D30" s="206"/>
      <c r="E30" s="206"/>
      <c r="F30" s="206"/>
      <c r="G30" s="206"/>
      <c r="H30" s="206"/>
      <c r="I30" s="206"/>
      <c r="J30" s="207"/>
      <c r="K30" s="35"/>
    </row>
    <row r="31" spans="1:11" s="4" customFormat="1" ht="18.75" customHeight="1" x14ac:dyDescent="0.15">
      <c r="A31" s="1"/>
      <c r="B31" s="265" t="s">
        <v>183</v>
      </c>
      <c r="C31" s="266"/>
      <c r="D31" s="266"/>
      <c r="E31" s="266"/>
      <c r="F31" s="266"/>
      <c r="G31" s="266"/>
      <c r="H31" s="266"/>
      <c r="I31" s="266"/>
      <c r="J31" s="267"/>
      <c r="K31" s="35" t="str">
        <f>IF(B31="","入力してください","")</f>
        <v/>
      </c>
    </row>
    <row r="32" spans="1:11" s="4" customFormat="1" ht="18.75" customHeight="1" x14ac:dyDescent="0.15">
      <c r="A32" s="1"/>
      <c r="B32" s="268"/>
      <c r="C32" s="269"/>
      <c r="D32" s="269"/>
      <c r="E32" s="269"/>
      <c r="F32" s="269"/>
      <c r="G32" s="269"/>
      <c r="H32" s="269"/>
      <c r="I32" s="269"/>
      <c r="J32" s="270"/>
      <c r="K32" s="35"/>
    </row>
    <row r="33" spans="1:11" s="4" customFormat="1" ht="18.75" customHeight="1" x14ac:dyDescent="0.15">
      <c r="A33" s="1"/>
      <c r="B33" s="268"/>
      <c r="C33" s="269"/>
      <c r="D33" s="269"/>
      <c r="E33" s="269"/>
      <c r="F33" s="269"/>
      <c r="G33" s="269"/>
      <c r="H33" s="269"/>
      <c r="I33" s="269"/>
      <c r="J33" s="270"/>
      <c r="K33" s="35"/>
    </row>
    <row r="34" spans="1:11" s="4" customFormat="1" ht="18.75" customHeight="1" x14ac:dyDescent="0.15">
      <c r="A34" s="1"/>
      <c r="B34" s="268"/>
      <c r="C34" s="269"/>
      <c r="D34" s="269"/>
      <c r="E34" s="269"/>
      <c r="F34" s="269"/>
      <c r="G34" s="269"/>
      <c r="H34" s="269"/>
      <c r="I34" s="269"/>
      <c r="J34" s="270"/>
      <c r="K34" s="35"/>
    </row>
    <row r="35" spans="1:11" s="4" customFormat="1" ht="18.75" customHeight="1" x14ac:dyDescent="0.15">
      <c r="A35" s="1"/>
      <c r="B35" s="268"/>
      <c r="C35" s="269"/>
      <c r="D35" s="269"/>
      <c r="E35" s="269"/>
      <c r="F35" s="269"/>
      <c r="G35" s="269"/>
      <c r="H35" s="269"/>
      <c r="I35" s="269"/>
      <c r="J35" s="270"/>
      <c r="K35" s="35"/>
    </row>
    <row r="36" spans="1:11" s="4" customFormat="1" ht="18.75" customHeight="1" x14ac:dyDescent="0.15">
      <c r="A36" s="1"/>
      <c r="B36" s="268"/>
      <c r="C36" s="269"/>
      <c r="D36" s="269"/>
      <c r="E36" s="269"/>
      <c r="F36" s="269"/>
      <c r="G36" s="269"/>
      <c r="H36" s="269"/>
      <c r="I36" s="269"/>
      <c r="J36" s="270"/>
      <c r="K36" s="35"/>
    </row>
    <row r="37" spans="1:11" s="4" customFormat="1" ht="18.75" customHeight="1" x14ac:dyDescent="0.15">
      <c r="A37" s="1"/>
      <c r="B37" s="268"/>
      <c r="C37" s="269"/>
      <c r="D37" s="269"/>
      <c r="E37" s="269"/>
      <c r="F37" s="269"/>
      <c r="G37" s="269"/>
      <c r="H37" s="269"/>
      <c r="I37" s="269"/>
      <c r="J37" s="270"/>
      <c r="K37" s="35"/>
    </row>
    <row r="38" spans="1:11" s="4" customFormat="1" ht="18.75" customHeight="1" x14ac:dyDescent="0.15">
      <c r="A38" s="1"/>
      <c r="B38" s="268"/>
      <c r="C38" s="269"/>
      <c r="D38" s="269"/>
      <c r="E38" s="269"/>
      <c r="F38" s="269"/>
      <c r="G38" s="269"/>
      <c r="H38" s="269"/>
      <c r="I38" s="269"/>
      <c r="J38" s="270"/>
      <c r="K38" s="35"/>
    </row>
    <row r="39" spans="1:11" s="4" customFormat="1" ht="18.75" customHeight="1" x14ac:dyDescent="0.15">
      <c r="A39" s="1"/>
      <c r="B39" s="268"/>
      <c r="C39" s="269"/>
      <c r="D39" s="269"/>
      <c r="E39" s="269"/>
      <c r="F39" s="269"/>
      <c r="G39" s="269"/>
      <c r="H39" s="269"/>
      <c r="I39" s="269"/>
      <c r="J39" s="270"/>
      <c r="K39" s="35"/>
    </row>
    <row r="40" spans="1:11" s="4" customFormat="1" ht="18.75" customHeight="1" x14ac:dyDescent="0.15">
      <c r="A40" s="1"/>
      <c r="B40" s="268"/>
      <c r="C40" s="269"/>
      <c r="D40" s="269"/>
      <c r="E40" s="269"/>
      <c r="F40" s="269"/>
      <c r="G40" s="269"/>
      <c r="H40" s="269"/>
      <c r="I40" s="269"/>
      <c r="J40" s="270"/>
      <c r="K40" s="35"/>
    </row>
    <row r="41" spans="1:11" s="4" customFormat="1" ht="18.75" customHeight="1" x14ac:dyDescent="0.15">
      <c r="A41" s="1"/>
      <c r="B41" s="268"/>
      <c r="C41" s="269"/>
      <c r="D41" s="269"/>
      <c r="E41" s="269"/>
      <c r="F41" s="269"/>
      <c r="G41" s="269"/>
      <c r="H41" s="269"/>
      <c r="I41" s="269"/>
      <c r="J41" s="270"/>
      <c r="K41" s="35"/>
    </row>
    <row r="42" spans="1:11" s="4" customFormat="1" ht="18.75" customHeight="1" x14ac:dyDescent="0.15">
      <c r="A42" s="1"/>
      <c r="B42" s="268"/>
      <c r="C42" s="269"/>
      <c r="D42" s="269"/>
      <c r="E42" s="269"/>
      <c r="F42" s="269"/>
      <c r="G42" s="269"/>
      <c r="H42" s="269"/>
      <c r="I42" s="269"/>
      <c r="J42" s="270"/>
      <c r="K42" s="35"/>
    </row>
    <row r="43" spans="1:11" ht="18.75" customHeight="1" x14ac:dyDescent="0.15">
      <c r="A43" s="37"/>
      <c r="B43" s="268"/>
      <c r="C43" s="269"/>
      <c r="D43" s="269"/>
      <c r="E43" s="269"/>
      <c r="F43" s="269"/>
      <c r="G43" s="269"/>
      <c r="H43" s="269"/>
      <c r="I43" s="269"/>
      <c r="J43" s="270"/>
      <c r="K43" s="35"/>
    </row>
    <row r="44" spans="1:11" ht="18.75" customHeight="1" x14ac:dyDescent="0.15">
      <c r="A44" s="37"/>
      <c r="B44" s="271"/>
      <c r="C44" s="272"/>
      <c r="D44" s="272"/>
      <c r="E44" s="272"/>
      <c r="F44" s="272"/>
      <c r="G44" s="272"/>
      <c r="H44" s="272"/>
      <c r="I44" s="272"/>
      <c r="J44" s="273"/>
    </row>
    <row r="45" spans="1:11" s="4" customFormat="1" ht="18.75" customHeight="1" x14ac:dyDescent="0.15">
      <c r="A45" s="100" t="s">
        <v>12</v>
      </c>
      <c r="B45" s="1" t="s">
        <v>67</v>
      </c>
      <c r="C45" s="1"/>
      <c r="D45" s="1"/>
      <c r="E45" s="1"/>
      <c r="F45" s="1"/>
      <c r="G45" s="1"/>
      <c r="H45" s="1"/>
      <c r="I45" s="100"/>
      <c r="J45" s="100"/>
      <c r="K45" s="31"/>
    </row>
    <row r="46" spans="1:11" ht="18.75" customHeight="1" x14ac:dyDescent="0.15">
      <c r="A46" s="37"/>
      <c r="B46" s="274" t="s">
        <v>184</v>
      </c>
      <c r="C46" s="293"/>
      <c r="D46" s="293"/>
      <c r="E46" s="293"/>
      <c r="F46" s="293"/>
      <c r="G46" s="293"/>
      <c r="H46" s="293"/>
      <c r="I46" s="284"/>
      <c r="J46" s="294"/>
      <c r="K46" s="31" t="str">
        <f>IF(B46="","入力してください","")</f>
        <v/>
      </c>
    </row>
    <row r="47" spans="1:11" ht="18.75" customHeight="1" x14ac:dyDescent="0.15">
      <c r="A47" s="37"/>
      <c r="B47" s="295"/>
      <c r="C47" s="296"/>
      <c r="D47" s="296"/>
      <c r="E47" s="296"/>
      <c r="F47" s="296"/>
      <c r="G47" s="296"/>
      <c r="H47" s="296"/>
      <c r="I47" s="296"/>
      <c r="J47" s="297"/>
    </row>
    <row r="48" spans="1:11" ht="18.75" customHeight="1" x14ac:dyDescent="0.15">
      <c r="A48" s="37"/>
      <c r="B48" s="295"/>
      <c r="C48" s="296"/>
      <c r="D48" s="296"/>
      <c r="E48" s="296"/>
      <c r="F48" s="296"/>
      <c r="G48" s="296"/>
      <c r="H48" s="296"/>
      <c r="I48" s="296"/>
      <c r="J48" s="297"/>
    </row>
    <row r="49" spans="1:10" ht="18.75" customHeight="1" x14ac:dyDescent="0.15">
      <c r="A49" s="37"/>
      <c r="B49" s="295"/>
      <c r="C49" s="296"/>
      <c r="D49" s="296"/>
      <c r="E49" s="296"/>
      <c r="F49" s="296"/>
      <c r="G49" s="296"/>
      <c r="H49" s="296"/>
      <c r="I49" s="296"/>
      <c r="J49" s="297"/>
    </row>
    <row r="50" spans="1:10" ht="18.75" customHeight="1" x14ac:dyDescent="0.15">
      <c r="A50" s="37"/>
      <c r="B50" s="295"/>
      <c r="C50" s="296"/>
      <c r="D50" s="296"/>
      <c r="E50" s="296"/>
      <c r="F50" s="296"/>
      <c r="G50" s="296"/>
      <c r="H50" s="296"/>
      <c r="I50" s="296"/>
      <c r="J50" s="297"/>
    </row>
    <row r="51" spans="1:10" ht="18.75" customHeight="1" x14ac:dyDescent="0.15">
      <c r="A51" s="37"/>
      <c r="B51" s="295"/>
      <c r="C51" s="296"/>
      <c r="D51" s="296"/>
      <c r="E51" s="296"/>
      <c r="F51" s="296"/>
      <c r="G51" s="296"/>
      <c r="H51" s="296"/>
      <c r="I51" s="296"/>
      <c r="J51" s="297"/>
    </row>
    <row r="52" spans="1:10" ht="18.75" customHeight="1" x14ac:dyDescent="0.15">
      <c r="A52" s="37"/>
      <c r="B52" s="295"/>
      <c r="C52" s="296"/>
      <c r="D52" s="296"/>
      <c r="E52" s="296"/>
      <c r="F52" s="296"/>
      <c r="G52" s="296"/>
      <c r="H52" s="296"/>
      <c r="I52" s="296"/>
      <c r="J52" s="297"/>
    </row>
    <row r="53" spans="1:10" ht="18.75" customHeight="1" x14ac:dyDescent="0.15">
      <c r="A53" s="37"/>
      <c r="B53" s="295"/>
      <c r="C53" s="296"/>
      <c r="D53" s="296"/>
      <c r="E53" s="296"/>
      <c r="F53" s="296"/>
      <c r="G53" s="296"/>
      <c r="H53" s="296"/>
      <c r="I53" s="296"/>
      <c r="J53" s="297"/>
    </row>
    <row r="54" spans="1:10" ht="18.75" customHeight="1" x14ac:dyDescent="0.15">
      <c r="A54" s="37"/>
      <c r="B54" s="295"/>
      <c r="C54" s="296"/>
      <c r="D54" s="296"/>
      <c r="E54" s="296"/>
      <c r="F54" s="296"/>
      <c r="G54" s="296"/>
      <c r="H54" s="296"/>
      <c r="I54" s="296"/>
      <c r="J54" s="297"/>
    </row>
    <row r="55" spans="1:10" ht="18.75" customHeight="1" x14ac:dyDescent="0.15">
      <c r="A55" s="37"/>
      <c r="B55" s="295"/>
      <c r="C55" s="296"/>
      <c r="D55" s="296"/>
      <c r="E55" s="296"/>
      <c r="F55" s="296"/>
      <c r="G55" s="296"/>
      <c r="H55" s="296"/>
      <c r="I55" s="296"/>
      <c r="J55" s="297"/>
    </row>
    <row r="56" spans="1:10" ht="18.75" customHeight="1" x14ac:dyDescent="0.15">
      <c r="A56" s="37"/>
      <c r="B56" s="295"/>
      <c r="C56" s="296"/>
      <c r="D56" s="296"/>
      <c r="E56" s="296"/>
      <c r="F56" s="296"/>
      <c r="G56" s="296"/>
      <c r="H56" s="296"/>
      <c r="I56" s="296"/>
      <c r="J56" s="297"/>
    </row>
    <row r="57" spans="1:10" ht="18.75" customHeight="1" x14ac:dyDescent="0.15">
      <c r="A57" s="37"/>
      <c r="B57" s="295"/>
      <c r="C57" s="296"/>
      <c r="D57" s="296"/>
      <c r="E57" s="296"/>
      <c r="F57" s="296"/>
      <c r="G57" s="296"/>
      <c r="H57" s="296"/>
      <c r="I57" s="296"/>
      <c r="J57" s="297"/>
    </row>
    <row r="58" spans="1:10" ht="18.75" customHeight="1" x14ac:dyDescent="0.15">
      <c r="A58" s="37"/>
      <c r="B58" s="295"/>
      <c r="C58" s="296"/>
      <c r="D58" s="296"/>
      <c r="E58" s="296"/>
      <c r="F58" s="296"/>
      <c r="G58" s="296"/>
      <c r="H58" s="296"/>
      <c r="I58" s="296"/>
      <c r="J58" s="297"/>
    </row>
    <row r="59" spans="1:10" ht="18.75" customHeight="1" x14ac:dyDescent="0.15">
      <c r="A59" s="37"/>
      <c r="B59" s="295"/>
      <c r="C59" s="296"/>
      <c r="D59" s="296"/>
      <c r="E59" s="296"/>
      <c r="F59" s="296"/>
      <c r="G59" s="296"/>
      <c r="H59" s="296"/>
      <c r="I59" s="296"/>
      <c r="J59" s="297"/>
    </row>
    <row r="60" spans="1:10" ht="18.75" customHeight="1" x14ac:dyDescent="0.15">
      <c r="A60" s="37"/>
      <c r="B60" s="295"/>
      <c r="C60" s="296"/>
      <c r="D60" s="296"/>
      <c r="E60" s="296"/>
      <c r="F60" s="296"/>
      <c r="G60" s="296"/>
      <c r="H60" s="296"/>
      <c r="I60" s="296"/>
      <c r="J60" s="297"/>
    </row>
    <row r="61" spans="1:10" ht="18.75" customHeight="1" x14ac:dyDescent="0.15">
      <c r="A61" s="37"/>
      <c r="B61" s="295"/>
      <c r="C61" s="296"/>
      <c r="D61" s="296"/>
      <c r="E61" s="296"/>
      <c r="F61" s="296"/>
      <c r="G61" s="296"/>
      <c r="H61" s="296"/>
      <c r="I61" s="296"/>
      <c r="J61" s="297"/>
    </row>
    <row r="62" spans="1:10" ht="18.75" customHeight="1" x14ac:dyDescent="0.15">
      <c r="A62" s="37"/>
      <c r="B62" s="295"/>
      <c r="C62" s="296"/>
      <c r="D62" s="296"/>
      <c r="E62" s="296"/>
      <c r="F62" s="296"/>
      <c r="G62" s="296"/>
      <c r="H62" s="296"/>
      <c r="I62" s="296"/>
      <c r="J62" s="297"/>
    </row>
    <row r="63" spans="1:10" ht="18.75" customHeight="1" x14ac:dyDescent="0.15">
      <c r="A63" s="37"/>
      <c r="B63" s="295"/>
      <c r="C63" s="296"/>
      <c r="D63" s="296"/>
      <c r="E63" s="296"/>
      <c r="F63" s="296"/>
      <c r="G63" s="296"/>
      <c r="H63" s="296"/>
      <c r="I63" s="296"/>
      <c r="J63" s="297"/>
    </row>
    <row r="64" spans="1:10" ht="18.75" customHeight="1" x14ac:dyDescent="0.15">
      <c r="A64" s="37"/>
      <c r="B64" s="295"/>
      <c r="C64" s="296"/>
      <c r="D64" s="296"/>
      <c r="E64" s="296"/>
      <c r="F64" s="296"/>
      <c r="G64" s="296"/>
      <c r="H64" s="296"/>
      <c r="I64" s="296"/>
      <c r="J64" s="297"/>
    </row>
    <row r="65" spans="1:11" ht="18.75" customHeight="1" x14ac:dyDescent="0.15">
      <c r="A65" s="37"/>
      <c r="B65" s="295"/>
      <c r="C65" s="296"/>
      <c r="D65" s="296"/>
      <c r="E65" s="296"/>
      <c r="F65" s="296"/>
      <c r="G65" s="296"/>
      <c r="H65" s="296"/>
      <c r="I65" s="296"/>
      <c r="J65" s="297"/>
    </row>
    <row r="66" spans="1:11" ht="18.75" customHeight="1" x14ac:dyDescent="0.15">
      <c r="A66" s="37"/>
      <c r="B66" s="298"/>
      <c r="C66" s="299"/>
      <c r="D66" s="299"/>
      <c r="E66" s="299"/>
      <c r="F66" s="299"/>
      <c r="G66" s="299"/>
      <c r="H66" s="299"/>
      <c r="I66" s="299"/>
      <c r="J66" s="300"/>
    </row>
    <row r="67" spans="1:11" ht="7.5" customHeight="1" x14ac:dyDescent="0.15">
      <c r="A67" s="37"/>
      <c r="B67" s="37"/>
      <c r="C67" s="37"/>
      <c r="D67" s="37"/>
      <c r="E67" s="37"/>
      <c r="F67" s="37"/>
      <c r="G67" s="37"/>
      <c r="H67" s="37"/>
      <c r="I67" s="37"/>
      <c r="J67" s="37"/>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74" t="s">
        <v>185</v>
      </c>
      <c r="C69" s="275"/>
      <c r="D69" s="275"/>
      <c r="E69" s="275"/>
      <c r="F69" s="275"/>
      <c r="G69" s="275"/>
      <c r="H69" s="275"/>
      <c r="I69" s="276"/>
      <c r="J69" s="277"/>
      <c r="K69" s="35" t="str">
        <f>IF(B69="","入力してください","")</f>
        <v/>
      </c>
    </row>
    <row r="70" spans="1:11" s="4" customFormat="1" ht="18.75" customHeight="1" x14ac:dyDescent="0.15">
      <c r="A70" s="1"/>
      <c r="B70" s="278"/>
      <c r="C70" s="279"/>
      <c r="D70" s="279"/>
      <c r="E70" s="279"/>
      <c r="F70" s="279"/>
      <c r="G70" s="279"/>
      <c r="H70" s="279"/>
      <c r="I70" s="279"/>
      <c r="J70" s="280"/>
      <c r="K70" s="35"/>
    </row>
    <row r="71" spans="1:11" s="4" customFormat="1" ht="18.75" customHeight="1" x14ac:dyDescent="0.15">
      <c r="A71" s="1"/>
      <c r="B71" s="278"/>
      <c r="C71" s="279"/>
      <c r="D71" s="279"/>
      <c r="E71" s="279"/>
      <c r="F71" s="279"/>
      <c r="G71" s="279"/>
      <c r="H71" s="279"/>
      <c r="I71" s="279"/>
      <c r="J71" s="280"/>
      <c r="K71" s="35"/>
    </row>
    <row r="72" spans="1:11" s="4" customFormat="1" ht="18.75" customHeight="1" x14ac:dyDescent="0.15">
      <c r="A72" s="1"/>
      <c r="B72" s="278"/>
      <c r="C72" s="279"/>
      <c r="D72" s="279"/>
      <c r="E72" s="279"/>
      <c r="F72" s="279"/>
      <c r="G72" s="279"/>
      <c r="H72" s="279"/>
      <c r="I72" s="279"/>
      <c r="J72" s="280"/>
      <c r="K72" s="35"/>
    </row>
    <row r="73" spans="1:11" s="4" customFormat="1" ht="18.75" customHeight="1" x14ac:dyDescent="0.15">
      <c r="A73" s="1"/>
      <c r="B73" s="278"/>
      <c r="C73" s="279"/>
      <c r="D73" s="279"/>
      <c r="E73" s="279"/>
      <c r="F73" s="279"/>
      <c r="G73" s="279"/>
      <c r="H73" s="279"/>
      <c r="I73" s="279"/>
      <c r="J73" s="280"/>
      <c r="K73" s="35"/>
    </row>
    <row r="74" spans="1:11" s="4" customFormat="1" ht="18.75" customHeight="1" x14ac:dyDescent="0.15">
      <c r="A74" s="1"/>
      <c r="B74" s="278"/>
      <c r="C74" s="279"/>
      <c r="D74" s="279"/>
      <c r="E74" s="279"/>
      <c r="F74" s="279"/>
      <c r="G74" s="279"/>
      <c r="H74" s="279"/>
      <c r="I74" s="279"/>
      <c r="J74" s="280"/>
      <c r="K74" s="35"/>
    </row>
    <row r="75" spans="1:11" s="4" customFormat="1" ht="18.75" customHeight="1" x14ac:dyDescent="0.15">
      <c r="A75" s="1"/>
      <c r="B75" s="278"/>
      <c r="C75" s="279"/>
      <c r="D75" s="279"/>
      <c r="E75" s="279"/>
      <c r="F75" s="279"/>
      <c r="G75" s="279"/>
      <c r="H75" s="279"/>
      <c r="I75" s="279"/>
      <c r="J75" s="280"/>
      <c r="K75" s="35"/>
    </row>
    <row r="76" spans="1:11" s="4" customFormat="1" ht="18.75" customHeight="1" x14ac:dyDescent="0.15">
      <c r="A76" s="1"/>
      <c r="B76" s="278"/>
      <c r="C76" s="279"/>
      <c r="D76" s="279"/>
      <c r="E76" s="279"/>
      <c r="F76" s="279"/>
      <c r="G76" s="279"/>
      <c r="H76" s="279"/>
      <c r="I76" s="279"/>
      <c r="J76" s="280"/>
      <c r="K76" s="35"/>
    </row>
    <row r="77" spans="1:11" s="4" customFormat="1" ht="18.75" customHeight="1" x14ac:dyDescent="0.15">
      <c r="A77" s="1"/>
      <c r="B77" s="278"/>
      <c r="C77" s="279"/>
      <c r="D77" s="279"/>
      <c r="E77" s="279"/>
      <c r="F77" s="279"/>
      <c r="G77" s="279"/>
      <c r="H77" s="279"/>
      <c r="I77" s="279"/>
      <c r="J77" s="280"/>
      <c r="K77" s="35"/>
    </row>
    <row r="78" spans="1:11" s="4" customFormat="1" ht="18.75" customHeight="1" x14ac:dyDescent="0.15">
      <c r="A78" s="1"/>
      <c r="B78" s="278"/>
      <c r="C78" s="279"/>
      <c r="D78" s="279"/>
      <c r="E78" s="279"/>
      <c r="F78" s="279"/>
      <c r="G78" s="279"/>
      <c r="H78" s="279"/>
      <c r="I78" s="279"/>
      <c r="J78" s="280"/>
      <c r="K78" s="35"/>
    </row>
    <row r="79" spans="1:11" s="4" customFormat="1" ht="18.75" customHeight="1" x14ac:dyDescent="0.15">
      <c r="A79" s="1"/>
      <c r="B79" s="278"/>
      <c r="C79" s="279"/>
      <c r="D79" s="279"/>
      <c r="E79" s="279"/>
      <c r="F79" s="279"/>
      <c r="G79" s="279"/>
      <c r="H79" s="279"/>
      <c r="I79" s="279"/>
      <c r="J79" s="280"/>
      <c r="K79" s="35"/>
    </row>
    <row r="80" spans="1:11" s="4" customFormat="1" ht="18.75" customHeight="1" x14ac:dyDescent="0.15">
      <c r="A80" s="1"/>
      <c r="B80" s="278"/>
      <c r="C80" s="279"/>
      <c r="D80" s="279"/>
      <c r="E80" s="279"/>
      <c r="F80" s="279"/>
      <c r="G80" s="279"/>
      <c r="H80" s="279"/>
      <c r="I80" s="279"/>
      <c r="J80" s="280"/>
      <c r="K80" s="35"/>
    </row>
    <row r="81" spans="1:11" s="4" customFormat="1" ht="18.75" customHeight="1" x14ac:dyDescent="0.15">
      <c r="A81" s="1"/>
      <c r="B81" s="278"/>
      <c r="C81" s="279"/>
      <c r="D81" s="279"/>
      <c r="E81" s="279"/>
      <c r="F81" s="279"/>
      <c r="G81" s="279"/>
      <c r="H81" s="279"/>
      <c r="I81" s="279"/>
      <c r="J81" s="280"/>
      <c r="K81" s="35"/>
    </row>
    <row r="82" spans="1:11" s="4" customFormat="1" ht="18.75" customHeight="1" x14ac:dyDescent="0.15">
      <c r="A82" s="1"/>
      <c r="B82" s="278"/>
      <c r="C82" s="279"/>
      <c r="D82" s="279"/>
      <c r="E82" s="279"/>
      <c r="F82" s="279"/>
      <c r="G82" s="279"/>
      <c r="H82" s="279"/>
      <c r="I82" s="279"/>
      <c r="J82" s="280"/>
      <c r="K82" s="35"/>
    </row>
    <row r="83" spans="1:11" s="4" customFormat="1" ht="18.75" customHeight="1" x14ac:dyDescent="0.15">
      <c r="A83" s="1"/>
      <c r="B83" s="278"/>
      <c r="C83" s="279"/>
      <c r="D83" s="279"/>
      <c r="E83" s="279"/>
      <c r="F83" s="279"/>
      <c r="G83" s="279"/>
      <c r="H83" s="279"/>
      <c r="I83" s="279"/>
      <c r="J83" s="280"/>
      <c r="K83" s="35"/>
    </row>
    <row r="84" spans="1:11" s="4" customFormat="1" ht="18.75" customHeight="1" x14ac:dyDescent="0.15">
      <c r="A84" s="1"/>
      <c r="B84" s="278"/>
      <c r="C84" s="279"/>
      <c r="D84" s="279"/>
      <c r="E84" s="279"/>
      <c r="F84" s="279"/>
      <c r="G84" s="279"/>
      <c r="H84" s="279"/>
      <c r="I84" s="279"/>
      <c r="J84" s="280"/>
      <c r="K84" s="35"/>
    </row>
    <row r="85" spans="1:11" ht="18.75" customHeight="1" x14ac:dyDescent="0.15">
      <c r="A85" s="37"/>
      <c r="B85" s="278"/>
      <c r="C85" s="279"/>
      <c r="D85" s="279"/>
      <c r="E85" s="279"/>
      <c r="F85" s="279"/>
      <c r="G85" s="279"/>
      <c r="H85" s="279"/>
      <c r="I85" s="279"/>
      <c r="J85" s="280"/>
      <c r="K85" s="35"/>
    </row>
    <row r="86" spans="1:11" ht="18.75" customHeight="1" x14ac:dyDescent="0.15">
      <c r="A86" s="37"/>
      <c r="B86" s="281"/>
      <c r="C86" s="282"/>
      <c r="D86" s="282"/>
      <c r="E86" s="282"/>
      <c r="F86" s="282"/>
      <c r="G86" s="282"/>
      <c r="H86" s="282"/>
      <c r="I86" s="282"/>
      <c r="J86" s="283"/>
      <c r="K86" s="35"/>
    </row>
    <row r="87" spans="1:11" ht="7.5" customHeight="1" x14ac:dyDescent="0.15">
      <c r="A87" s="37"/>
      <c r="B87" s="37"/>
      <c r="C87" s="37"/>
      <c r="D87" s="37"/>
      <c r="E87" s="37"/>
      <c r="F87" s="37"/>
      <c r="G87" s="37"/>
      <c r="H87" s="37"/>
      <c r="I87" s="37"/>
      <c r="J87" s="37"/>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74" t="s">
        <v>186</v>
      </c>
      <c r="C89" s="275"/>
      <c r="D89" s="275"/>
      <c r="E89" s="275"/>
      <c r="F89" s="275"/>
      <c r="G89" s="275"/>
      <c r="H89" s="275"/>
      <c r="I89" s="276"/>
      <c r="J89" s="277"/>
      <c r="K89" s="31"/>
    </row>
    <row r="90" spans="1:11" s="4" customFormat="1" ht="18.75" customHeight="1" x14ac:dyDescent="0.15">
      <c r="A90" s="1"/>
      <c r="B90" s="278"/>
      <c r="C90" s="279"/>
      <c r="D90" s="279"/>
      <c r="E90" s="279"/>
      <c r="F90" s="279"/>
      <c r="G90" s="279"/>
      <c r="H90" s="279"/>
      <c r="I90" s="279"/>
      <c r="J90" s="280"/>
      <c r="K90" s="35"/>
    </row>
    <row r="91" spans="1:11" s="4" customFormat="1" ht="18.75" customHeight="1" x14ac:dyDescent="0.15">
      <c r="A91" s="1"/>
      <c r="B91" s="278"/>
      <c r="C91" s="279"/>
      <c r="D91" s="279"/>
      <c r="E91" s="279"/>
      <c r="F91" s="279"/>
      <c r="G91" s="279"/>
      <c r="H91" s="279"/>
      <c r="I91" s="279"/>
      <c r="J91" s="280"/>
      <c r="K91" s="35" t="str">
        <f>IF(B89="","入力してください","")</f>
        <v/>
      </c>
    </row>
    <row r="92" spans="1:11" s="4" customFormat="1" ht="18.75" customHeight="1" x14ac:dyDescent="0.15">
      <c r="A92" s="1"/>
      <c r="B92" s="278"/>
      <c r="C92" s="279"/>
      <c r="D92" s="279"/>
      <c r="E92" s="279"/>
      <c r="F92" s="279"/>
      <c r="G92" s="279"/>
      <c r="H92" s="279"/>
      <c r="I92" s="279"/>
      <c r="J92" s="280"/>
      <c r="K92" s="35"/>
    </row>
    <row r="93" spans="1:11" s="4" customFormat="1" ht="18.75" customHeight="1" x14ac:dyDescent="0.15">
      <c r="A93" s="1"/>
      <c r="B93" s="278"/>
      <c r="C93" s="279"/>
      <c r="D93" s="279"/>
      <c r="E93" s="279"/>
      <c r="F93" s="279"/>
      <c r="G93" s="279"/>
      <c r="H93" s="279"/>
      <c r="I93" s="279"/>
      <c r="J93" s="280"/>
      <c r="K93" s="35"/>
    </row>
    <row r="94" spans="1:11" s="4" customFormat="1" ht="18.75" customHeight="1" x14ac:dyDescent="0.15">
      <c r="A94" s="1"/>
      <c r="B94" s="278"/>
      <c r="C94" s="279"/>
      <c r="D94" s="279"/>
      <c r="E94" s="279"/>
      <c r="F94" s="279"/>
      <c r="G94" s="279"/>
      <c r="H94" s="279"/>
      <c r="I94" s="279"/>
      <c r="J94" s="280"/>
      <c r="K94" s="35"/>
    </row>
    <row r="95" spans="1:11" s="4" customFormat="1" ht="18.75" customHeight="1" x14ac:dyDescent="0.15">
      <c r="A95" s="1"/>
      <c r="B95" s="278"/>
      <c r="C95" s="279"/>
      <c r="D95" s="279"/>
      <c r="E95" s="279"/>
      <c r="F95" s="279"/>
      <c r="G95" s="279"/>
      <c r="H95" s="279"/>
      <c r="I95" s="279"/>
      <c r="J95" s="280"/>
      <c r="K95" s="35"/>
    </row>
    <row r="96" spans="1:11" s="4" customFormat="1" ht="18.75" customHeight="1" x14ac:dyDescent="0.15">
      <c r="A96" s="1"/>
      <c r="B96" s="278"/>
      <c r="C96" s="279"/>
      <c r="D96" s="279"/>
      <c r="E96" s="279"/>
      <c r="F96" s="279"/>
      <c r="G96" s="279"/>
      <c r="H96" s="279"/>
      <c r="I96" s="279"/>
      <c r="J96" s="280"/>
      <c r="K96" s="35"/>
    </row>
    <row r="97" spans="1:11" s="4" customFormat="1" ht="18.75" customHeight="1" x14ac:dyDescent="0.15">
      <c r="A97" s="1"/>
      <c r="B97" s="278"/>
      <c r="C97" s="279"/>
      <c r="D97" s="279"/>
      <c r="E97" s="279"/>
      <c r="F97" s="279"/>
      <c r="G97" s="279"/>
      <c r="H97" s="279"/>
      <c r="I97" s="279"/>
      <c r="J97" s="280"/>
      <c r="K97" s="35"/>
    </row>
    <row r="98" spans="1:11" s="4" customFormat="1" ht="18.75" customHeight="1" x14ac:dyDescent="0.15">
      <c r="A98" s="1"/>
      <c r="B98" s="278"/>
      <c r="C98" s="279"/>
      <c r="D98" s="279"/>
      <c r="E98" s="279"/>
      <c r="F98" s="279"/>
      <c r="G98" s="279"/>
      <c r="H98" s="279"/>
      <c r="I98" s="279"/>
      <c r="J98" s="280"/>
      <c r="K98" s="35"/>
    </row>
    <row r="99" spans="1:11" s="4" customFormat="1" ht="18.75" customHeight="1" x14ac:dyDescent="0.15">
      <c r="A99" s="1"/>
      <c r="B99" s="278"/>
      <c r="C99" s="279"/>
      <c r="D99" s="279"/>
      <c r="E99" s="279"/>
      <c r="F99" s="279"/>
      <c r="G99" s="279"/>
      <c r="H99" s="279"/>
      <c r="I99" s="279"/>
      <c r="J99" s="280"/>
      <c r="K99" s="35"/>
    </row>
    <row r="100" spans="1:11" s="4" customFormat="1" ht="18.75" customHeight="1" x14ac:dyDescent="0.15">
      <c r="A100" s="1"/>
      <c r="B100" s="278"/>
      <c r="C100" s="279"/>
      <c r="D100" s="279"/>
      <c r="E100" s="279"/>
      <c r="F100" s="279"/>
      <c r="G100" s="279"/>
      <c r="H100" s="279"/>
      <c r="I100" s="279"/>
      <c r="J100" s="280"/>
      <c r="K100" s="35"/>
    </row>
    <row r="101" spans="1:11" s="4" customFormat="1" ht="18.75" customHeight="1" x14ac:dyDescent="0.15">
      <c r="A101" s="1"/>
      <c r="B101" s="278"/>
      <c r="C101" s="279"/>
      <c r="D101" s="279"/>
      <c r="E101" s="279"/>
      <c r="F101" s="279"/>
      <c r="G101" s="279"/>
      <c r="H101" s="279"/>
      <c r="I101" s="279"/>
      <c r="J101" s="280"/>
      <c r="K101" s="35"/>
    </row>
    <row r="102" spans="1:11" s="4" customFormat="1" ht="18.75" customHeight="1" x14ac:dyDescent="0.15">
      <c r="A102" s="1"/>
      <c r="B102" s="278"/>
      <c r="C102" s="279"/>
      <c r="D102" s="279"/>
      <c r="E102" s="279"/>
      <c r="F102" s="279"/>
      <c r="G102" s="279"/>
      <c r="H102" s="279"/>
      <c r="I102" s="279"/>
      <c r="J102" s="280"/>
      <c r="K102" s="35"/>
    </row>
    <row r="103" spans="1:11" s="4" customFormat="1" ht="18.75" customHeight="1" x14ac:dyDescent="0.15">
      <c r="A103" s="1"/>
      <c r="B103" s="278"/>
      <c r="C103" s="279"/>
      <c r="D103" s="279"/>
      <c r="E103" s="279"/>
      <c r="F103" s="279"/>
      <c r="G103" s="279"/>
      <c r="H103" s="279"/>
      <c r="I103" s="279"/>
      <c r="J103" s="280"/>
      <c r="K103" s="35"/>
    </row>
    <row r="104" spans="1:11" s="4" customFormat="1" ht="18.75" customHeight="1" x14ac:dyDescent="0.15">
      <c r="A104" s="1"/>
      <c r="B104" s="278"/>
      <c r="C104" s="279"/>
      <c r="D104" s="279"/>
      <c r="E104" s="279"/>
      <c r="F104" s="279"/>
      <c r="G104" s="279"/>
      <c r="H104" s="279"/>
      <c r="I104" s="279"/>
      <c r="J104" s="280"/>
      <c r="K104" s="35"/>
    </row>
    <row r="105" spans="1:11" s="4" customFormat="1" ht="18.75" customHeight="1" x14ac:dyDescent="0.15">
      <c r="A105" s="1"/>
      <c r="B105" s="278"/>
      <c r="C105" s="279"/>
      <c r="D105" s="279"/>
      <c r="E105" s="279"/>
      <c r="F105" s="279"/>
      <c r="G105" s="279"/>
      <c r="H105" s="279"/>
      <c r="I105" s="279"/>
      <c r="J105" s="280"/>
      <c r="K105" s="35"/>
    </row>
    <row r="106" spans="1:11" s="4" customFormat="1" ht="18.75" customHeight="1" x14ac:dyDescent="0.15">
      <c r="A106" s="1"/>
      <c r="B106" s="278"/>
      <c r="C106" s="279"/>
      <c r="D106" s="279"/>
      <c r="E106" s="279"/>
      <c r="F106" s="279"/>
      <c r="G106" s="279"/>
      <c r="H106" s="279"/>
      <c r="I106" s="279"/>
      <c r="J106" s="280"/>
      <c r="K106" s="35"/>
    </row>
    <row r="107" spans="1:11" ht="18.75" customHeight="1" x14ac:dyDescent="0.15">
      <c r="A107" s="37"/>
      <c r="B107" s="278"/>
      <c r="C107" s="279"/>
      <c r="D107" s="279"/>
      <c r="E107" s="279"/>
      <c r="F107" s="279"/>
      <c r="G107" s="279"/>
      <c r="H107" s="279"/>
      <c r="I107" s="279"/>
      <c r="J107" s="280"/>
      <c r="K107" s="35"/>
    </row>
    <row r="108" spans="1:11" ht="18.75" customHeight="1" x14ac:dyDescent="0.15">
      <c r="A108" s="37"/>
      <c r="B108" s="281"/>
      <c r="C108" s="282"/>
      <c r="D108" s="282"/>
      <c r="E108" s="282"/>
      <c r="F108" s="282"/>
      <c r="G108" s="282"/>
      <c r="H108" s="282"/>
      <c r="I108" s="282"/>
      <c r="J108" s="283"/>
      <c r="K108" s="35"/>
    </row>
    <row r="109" spans="1:11" ht="7.5" customHeight="1" x14ac:dyDescent="0.15">
      <c r="A109" s="37"/>
      <c r="B109" s="37"/>
      <c r="C109" s="37"/>
      <c r="D109" s="37"/>
      <c r="E109" s="37"/>
      <c r="F109" s="37"/>
      <c r="G109" s="37"/>
      <c r="H109" s="37"/>
      <c r="I109" s="37"/>
      <c r="J109" s="37"/>
    </row>
    <row r="110" spans="1:11" s="4" customFormat="1" ht="18.75" customHeight="1" x14ac:dyDescent="0.15">
      <c r="A110" s="1" t="s">
        <v>55</v>
      </c>
      <c r="B110" s="301" t="s">
        <v>86</v>
      </c>
      <c r="C110" s="301"/>
      <c r="D110" s="301"/>
      <c r="E110" s="301"/>
      <c r="F110" s="301"/>
      <c r="G110" s="301"/>
      <c r="H110" s="301"/>
      <c r="I110" s="301"/>
      <c r="J110" s="301"/>
      <c r="K110" s="31"/>
    </row>
    <row r="111" spans="1:11" ht="18.75" customHeight="1" x14ac:dyDescent="0.15">
      <c r="A111" s="37"/>
      <c r="B111" s="274" t="s">
        <v>187</v>
      </c>
      <c r="C111" s="275"/>
      <c r="D111" s="275"/>
      <c r="E111" s="275"/>
      <c r="F111" s="275"/>
      <c r="G111" s="275"/>
      <c r="H111" s="275"/>
      <c r="I111" s="276"/>
      <c r="J111" s="277"/>
    </row>
    <row r="112" spans="1:11" ht="18.75" customHeight="1" x14ac:dyDescent="0.15">
      <c r="A112" s="37"/>
      <c r="B112" s="278"/>
      <c r="C112" s="279"/>
      <c r="D112" s="279"/>
      <c r="E112" s="279"/>
      <c r="F112" s="279"/>
      <c r="G112" s="279"/>
      <c r="H112" s="279"/>
      <c r="I112" s="279"/>
      <c r="J112" s="280"/>
      <c r="K112" s="35"/>
    </row>
    <row r="113" spans="1:11" ht="18.75" customHeight="1" x14ac:dyDescent="0.15">
      <c r="A113" s="37"/>
      <c r="B113" s="278"/>
      <c r="C113" s="279"/>
      <c r="D113" s="279"/>
      <c r="E113" s="279"/>
      <c r="F113" s="279"/>
      <c r="G113" s="279"/>
      <c r="H113" s="279"/>
      <c r="I113" s="279"/>
      <c r="J113" s="280"/>
      <c r="K113" s="31" t="str">
        <f>IF(B111="","入力してください","")</f>
        <v/>
      </c>
    </row>
    <row r="114" spans="1:11" ht="18.75" customHeight="1" x14ac:dyDescent="0.15">
      <c r="A114" s="37"/>
      <c r="B114" s="278"/>
      <c r="C114" s="279"/>
      <c r="D114" s="279"/>
      <c r="E114" s="279"/>
      <c r="F114" s="279"/>
      <c r="G114" s="279"/>
      <c r="H114" s="279"/>
      <c r="I114" s="279"/>
      <c r="J114" s="280"/>
    </row>
    <row r="115" spans="1:11" ht="18.75" customHeight="1" x14ac:dyDescent="0.15">
      <c r="A115" s="37"/>
      <c r="B115" s="278"/>
      <c r="C115" s="279"/>
      <c r="D115" s="279"/>
      <c r="E115" s="279"/>
      <c r="F115" s="279"/>
      <c r="G115" s="279"/>
      <c r="H115" s="279"/>
      <c r="I115" s="279"/>
      <c r="J115" s="280"/>
    </row>
    <row r="116" spans="1:11" ht="18.75" customHeight="1" x14ac:dyDescent="0.15">
      <c r="A116" s="37"/>
      <c r="B116" s="278"/>
      <c r="C116" s="279"/>
      <c r="D116" s="279"/>
      <c r="E116" s="279"/>
      <c r="F116" s="279"/>
      <c r="G116" s="279"/>
      <c r="H116" s="279"/>
      <c r="I116" s="279"/>
      <c r="J116" s="280"/>
    </row>
    <row r="117" spans="1:11" ht="18.75" customHeight="1" x14ac:dyDescent="0.15">
      <c r="A117" s="37"/>
      <c r="B117" s="278"/>
      <c r="C117" s="279"/>
      <c r="D117" s="279"/>
      <c r="E117" s="279"/>
      <c r="F117" s="279"/>
      <c r="G117" s="279"/>
      <c r="H117" s="279"/>
      <c r="I117" s="279"/>
      <c r="J117" s="280"/>
    </row>
    <row r="118" spans="1:11" ht="18.75" customHeight="1" x14ac:dyDescent="0.15">
      <c r="A118" s="37"/>
      <c r="B118" s="278"/>
      <c r="C118" s="279"/>
      <c r="D118" s="279"/>
      <c r="E118" s="279"/>
      <c r="F118" s="279"/>
      <c r="G118" s="279"/>
      <c r="H118" s="279"/>
      <c r="I118" s="279"/>
      <c r="J118" s="280"/>
    </row>
    <row r="119" spans="1:11" ht="18.75" customHeight="1" x14ac:dyDescent="0.15">
      <c r="A119" s="37"/>
      <c r="B119" s="278"/>
      <c r="C119" s="279"/>
      <c r="D119" s="279"/>
      <c r="E119" s="279"/>
      <c r="F119" s="279"/>
      <c r="G119" s="279"/>
      <c r="H119" s="279"/>
      <c r="I119" s="279"/>
      <c r="J119" s="280"/>
    </row>
    <row r="120" spans="1:11" ht="18.75" customHeight="1" x14ac:dyDescent="0.15">
      <c r="A120" s="37"/>
      <c r="B120" s="278"/>
      <c r="C120" s="279"/>
      <c r="D120" s="279"/>
      <c r="E120" s="279"/>
      <c r="F120" s="279"/>
      <c r="G120" s="279"/>
      <c r="H120" s="279"/>
      <c r="I120" s="279"/>
      <c r="J120" s="280"/>
    </row>
    <row r="121" spans="1:11" ht="18.75" customHeight="1" x14ac:dyDescent="0.15">
      <c r="A121" s="37"/>
      <c r="B121" s="278"/>
      <c r="C121" s="279"/>
      <c r="D121" s="279"/>
      <c r="E121" s="279"/>
      <c r="F121" s="279"/>
      <c r="G121" s="279"/>
      <c r="H121" s="279"/>
      <c r="I121" s="279"/>
      <c r="J121" s="280"/>
    </row>
    <row r="122" spans="1:11" ht="18.75" customHeight="1" x14ac:dyDescent="0.15">
      <c r="A122" s="37"/>
      <c r="B122" s="278"/>
      <c r="C122" s="279"/>
      <c r="D122" s="279"/>
      <c r="E122" s="279"/>
      <c r="F122" s="279"/>
      <c r="G122" s="279"/>
      <c r="H122" s="279"/>
      <c r="I122" s="279"/>
      <c r="J122" s="280"/>
    </row>
    <row r="123" spans="1:11" ht="18.75" customHeight="1" x14ac:dyDescent="0.15">
      <c r="A123" s="37"/>
      <c r="B123" s="278"/>
      <c r="C123" s="279"/>
      <c r="D123" s="279"/>
      <c r="E123" s="279"/>
      <c r="F123" s="279"/>
      <c r="G123" s="279"/>
      <c r="H123" s="279"/>
      <c r="I123" s="279"/>
      <c r="J123" s="280"/>
    </row>
    <row r="124" spans="1:11" ht="18.75" customHeight="1" x14ac:dyDescent="0.15">
      <c r="A124" s="37"/>
      <c r="B124" s="278"/>
      <c r="C124" s="279"/>
      <c r="D124" s="279"/>
      <c r="E124" s="279"/>
      <c r="F124" s="279"/>
      <c r="G124" s="279"/>
      <c r="H124" s="279"/>
      <c r="I124" s="279"/>
      <c r="J124" s="280"/>
    </row>
    <row r="125" spans="1:11" ht="18.75" customHeight="1" x14ac:dyDescent="0.15">
      <c r="A125" s="37"/>
      <c r="B125" s="278"/>
      <c r="C125" s="279"/>
      <c r="D125" s="279"/>
      <c r="E125" s="279"/>
      <c r="F125" s="279"/>
      <c r="G125" s="279"/>
      <c r="H125" s="279"/>
      <c r="I125" s="279"/>
      <c r="J125" s="280"/>
    </row>
    <row r="126" spans="1:11" ht="18.75" customHeight="1" x14ac:dyDescent="0.15">
      <c r="A126" s="37"/>
      <c r="B126" s="278"/>
      <c r="C126" s="279"/>
      <c r="D126" s="279"/>
      <c r="E126" s="279"/>
      <c r="F126" s="279"/>
      <c r="G126" s="279"/>
      <c r="H126" s="279"/>
      <c r="I126" s="279"/>
      <c r="J126" s="280"/>
    </row>
    <row r="127" spans="1:11" ht="18.75" customHeight="1" x14ac:dyDescent="0.15">
      <c r="A127" s="37"/>
      <c r="B127" s="278"/>
      <c r="C127" s="279"/>
      <c r="D127" s="279"/>
      <c r="E127" s="279"/>
      <c r="F127" s="279"/>
      <c r="G127" s="279"/>
      <c r="H127" s="279"/>
      <c r="I127" s="279"/>
      <c r="J127" s="280"/>
    </row>
    <row r="128" spans="1:11" ht="18.75" customHeight="1" x14ac:dyDescent="0.15">
      <c r="A128" s="37"/>
      <c r="B128" s="278"/>
      <c r="C128" s="279"/>
      <c r="D128" s="279"/>
      <c r="E128" s="279"/>
      <c r="F128" s="279"/>
      <c r="G128" s="279"/>
      <c r="H128" s="279"/>
      <c r="I128" s="279"/>
      <c r="J128" s="280"/>
    </row>
    <row r="129" spans="1:10" ht="18.75" customHeight="1" x14ac:dyDescent="0.15">
      <c r="A129" s="37"/>
      <c r="B129" s="281"/>
      <c r="C129" s="282"/>
      <c r="D129" s="282"/>
      <c r="E129" s="282"/>
      <c r="F129" s="282"/>
      <c r="G129" s="282"/>
      <c r="H129" s="282"/>
      <c r="I129" s="282"/>
      <c r="J129" s="283"/>
    </row>
    <row r="130" spans="1:10" ht="7.5" customHeight="1" x14ac:dyDescent="0.15">
      <c r="A130" s="37"/>
      <c r="B130" s="101"/>
      <c r="C130" s="101"/>
      <c r="D130" s="101"/>
      <c r="E130" s="101"/>
      <c r="F130" s="101"/>
      <c r="G130" s="101"/>
      <c r="H130" s="101"/>
      <c r="I130" s="101"/>
      <c r="J130" s="101"/>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102"/>
      <c r="B144" s="102"/>
      <c r="C144" s="102"/>
      <c r="D144" s="102"/>
      <c r="E144" s="102"/>
      <c r="F144" s="102"/>
      <c r="G144" s="102"/>
      <c r="H144" s="102"/>
      <c r="I144" s="102"/>
      <c r="J144" s="102"/>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127</v>
      </c>
      <c r="J1" s="39" t="s">
        <v>77</v>
      </c>
    </row>
    <row r="2" spans="1:11" ht="18.75" customHeight="1" x14ac:dyDescent="0.15">
      <c r="A2" s="249" t="s">
        <v>44</v>
      </c>
      <c r="B2" s="249"/>
      <c r="C2" s="249"/>
      <c r="D2" s="249"/>
      <c r="E2" s="249"/>
      <c r="F2" s="249"/>
      <c r="G2" s="249"/>
      <c r="H2" s="249"/>
      <c r="I2" s="249"/>
      <c r="J2" s="249"/>
    </row>
    <row r="3" spans="1:11" ht="7.5" customHeight="1" x14ac:dyDescent="0.15">
      <c r="A3" s="40"/>
      <c r="B3" s="40"/>
      <c r="C3" s="40"/>
      <c r="D3" s="40"/>
      <c r="E3" s="40"/>
      <c r="F3" s="40"/>
      <c r="G3" s="40"/>
      <c r="H3" s="40"/>
      <c r="I3" s="40"/>
      <c r="J3" s="40"/>
    </row>
    <row r="4" spans="1:11" ht="18.75" customHeight="1" x14ac:dyDescent="0.15">
      <c r="A4" s="1" t="s">
        <v>6</v>
      </c>
      <c r="B4" s="4" t="s">
        <v>43</v>
      </c>
      <c r="C4" s="37"/>
      <c r="D4" s="37"/>
      <c r="E4" s="38"/>
      <c r="F4" s="38"/>
      <c r="G4" s="38"/>
      <c r="H4" s="38"/>
      <c r="I4" s="38"/>
      <c r="J4" s="38"/>
    </row>
    <row r="5" spans="1:11" ht="18.75" customHeight="1" x14ac:dyDescent="0.15">
      <c r="B5" s="307" t="s">
        <v>40</v>
      </c>
      <c r="C5" s="308"/>
      <c r="D5" s="309"/>
      <c r="E5" s="310" t="s">
        <v>42</v>
      </c>
      <c r="F5" s="310"/>
      <c r="G5" s="310"/>
      <c r="H5" s="310"/>
      <c r="I5" s="310"/>
      <c r="J5" s="311"/>
    </row>
    <row r="6" spans="1:11" ht="18.75" customHeight="1" x14ac:dyDescent="0.15">
      <c r="B6" s="3" t="s">
        <v>30</v>
      </c>
      <c r="C6" s="37"/>
      <c r="D6" s="7"/>
      <c r="I6" s="38"/>
      <c r="J6" s="5"/>
    </row>
    <row r="7" spans="1:11" ht="207" customHeight="1" x14ac:dyDescent="0.15">
      <c r="B7" s="6"/>
      <c r="C7" s="312" t="s">
        <v>31</v>
      </c>
      <c r="D7" s="313"/>
      <c r="E7" s="304" t="s">
        <v>171</v>
      </c>
      <c r="F7" s="314"/>
      <c r="G7" s="314"/>
      <c r="H7" s="314"/>
      <c r="I7" s="314"/>
      <c r="J7" s="315"/>
      <c r="K7" s="31" t="str">
        <f>IF(E7="","入力してください","")</f>
        <v/>
      </c>
    </row>
    <row r="8" spans="1:11" ht="207" customHeight="1" x14ac:dyDescent="0.15">
      <c r="B8" s="6"/>
      <c r="C8" s="302" t="s">
        <v>32</v>
      </c>
      <c r="D8" s="303"/>
      <c r="E8" s="304" t="s">
        <v>172</v>
      </c>
      <c r="F8" s="305"/>
      <c r="G8" s="305"/>
      <c r="H8" s="305"/>
      <c r="I8" s="305"/>
      <c r="J8" s="306"/>
      <c r="K8" s="31" t="str">
        <f>IF(E8="","入力してください","")</f>
        <v/>
      </c>
    </row>
    <row r="9" spans="1:11" ht="172.5" customHeight="1" x14ac:dyDescent="0.15">
      <c r="B9" s="6"/>
      <c r="C9" s="312" t="s">
        <v>33</v>
      </c>
      <c r="D9" s="313"/>
      <c r="E9" s="304" t="s">
        <v>177</v>
      </c>
      <c r="F9" s="314"/>
      <c r="G9" s="314"/>
      <c r="H9" s="314"/>
      <c r="I9" s="314"/>
      <c r="J9" s="315"/>
      <c r="K9" s="31" t="str">
        <f>IF(E9="","入力してください","")</f>
        <v/>
      </c>
    </row>
    <row r="10" spans="1:11" ht="172.5" customHeight="1" x14ac:dyDescent="0.15">
      <c r="B10" s="6"/>
      <c r="C10" s="312" t="s">
        <v>34</v>
      </c>
      <c r="D10" s="313"/>
      <c r="E10" s="304" t="s">
        <v>188</v>
      </c>
      <c r="F10" s="314"/>
      <c r="G10" s="314"/>
      <c r="H10" s="314"/>
      <c r="I10" s="314"/>
      <c r="J10" s="315"/>
      <c r="K10" s="31" t="str">
        <f t="shared" ref="K10:K14" si="0">IF(E10="","入力してください","")</f>
        <v/>
      </c>
    </row>
    <row r="11" spans="1:11" ht="172.5" customHeight="1" x14ac:dyDescent="0.15">
      <c r="B11" s="6"/>
      <c r="C11" s="312" t="s">
        <v>35</v>
      </c>
      <c r="D11" s="313"/>
      <c r="E11" s="304" t="s">
        <v>189</v>
      </c>
      <c r="F11" s="314"/>
      <c r="G11" s="314"/>
      <c r="H11" s="314"/>
      <c r="I11" s="314"/>
      <c r="J11" s="315"/>
      <c r="K11" s="31" t="str">
        <f t="shared" si="0"/>
        <v/>
      </c>
    </row>
    <row r="12" spans="1:11" ht="18.75" customHeight="1" x14ac:dyDescent="0.15">
      <c r="B12" s="9" t="s">
        <v>36</v>
      </c>
      <c r="C12" s="28"/>
      <c r="D12" s="8"/>
      <c r="E12" s="32"/>
      <c r="F12" s="32"/>
      <c r="G12" s="32"/>
      <c r="H12" s="32"/>
      <c r="I12" s="32"/>
      <c r="J12" s="33"/>
    </row>
    <row r="13" spans="1:11" ht="244.15" customHeight="1" x14ac:dyDescent="0.15">
      <c r="B13" s="6"/>
      <c r="C13" s="312" t="s">
        <v>37</v>
      </c>
      <c r="D13" s="313"/>
      <c r="E13" s="314" t="s">
        <v>173</v>
      </c>
      <c r="F13" s="314"/>
      <c r="G13" s="314"/>
      <c r="H13" s="314"/>
      <c r="I13" s="314"/>
      <c r="J13" s="315"/>
      <c r="K13" s="31" t="str">
        <f t="shared" si="0"/>
        <v/>
      </c>
    </row>
    <row r="14" spans="1:11" ht="255" customHeight="1" x14ac:dyDescent="0.15">
      <c r="B14" s="6"/>
      <c r="C14" s="312" t="s">
        <v>38</v>
      </c>
      <c r="D14" s="313"/>
      <c r="E14" s="314" t="s">
        <v>174</v>
      </c>
      <c r="F14" s="314"/>
      <c r="G14" s="314"/>
      <c r="H14" s="314"/>
      <c r="I14" s="314"/>
      <c r="J14" s="315"/>
      <c r="K14" s="31" t="str">
        <f t="shared" si="0"/>
        <v/>
      </c>
    </row>
    <row r="15" spans="1:11" ht="243" customHeight="1" x14ac:dyDescent="0.15">
      <c r="B15" s="322" t="s">
        <v>39</v>
      </c>
      <c r="C15" s="323"/>
      <c r="D15" s="313"/>
      <c r="E15" s="314" t="s">
        <v>176</v>
      </c>
      <c r="F15" s="314"/>
      <c r="G15" s="314"/>
      <c r="H15" s="314"/>
      <c r="I15" s="314"/>
      <c r="J15" s="315"/>
      <c r="K15" s="31" t="str">
        <f>IF(E15="","入力してください","")</f>
        <v/>
      </c>
    </row>
    <row r="16" spans="1:11" ht="243" customHeight="1" x14ac:dyDescent="0.15">
      <c r="A16" s="31"/>
      <c r="B16" s="316" t="s">
        <v>68</v>
      </c>
      <c r="C16" s="317"/>
      <c r="D16" s="318"/>
      <c r="E16" s="272" t="s">
        <v>175</v>
      </c>
      <c r="F16" s="272"/>
      <c r="G16" s="272"/>
      <c r="H16" s="272"/>
      <c r="I16" s="272"/>
      <c r="J16" s="273"/>
      <c r="K16" s="31" t="str">
        <f>IF(E16="","入力してください","")</f>
        <v/>
      </c>
    </row>
    <row r="17" spans="1:11" ht="7.5" customHeight="1" x14ac:dyDescent="0.15">
      <c r="B17" s="37"/>
      <c r="C17" s="37"/>
      <c r="D17" s="37"/>
      <c r="E17" s="38"/>
      <c r="F17" s="38"/>
      <c r="G17" s="38"/>
      <c r="H17" s="38"/>
      <c r="I17" s="38"/>
      <c r="J17" s="38"/>
    </row>
    <row r="18" spans="1:11" ht="18.75" customHeight="1" x14ac:dyDescent="0.15">
      <c r="A18" s="1" t="s">
        <v>128</v>
      </c>
      <c r="B18" s="4"/>
      <c r="C18" s="37"/>
      <c r="D18" s="37"/>
      <c r="E18" s="38"/>
      <c r="F18" s="91"/>
      <c r="G18" s="319" t="s">
        <v>216</v>
      </c>
      <c r="H18" s="320"/>
      <c r="I18" s="320"/>
      <c r="J18" s="321"/>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3"/>
      <c r="C24" s="103"/>
      <c r="D24" s="103"/>
      <c r="E24" s="103"/>
      <c r="F24" s="103"/>
      <c r="G24" s="103"/>
      <c r="H24" s="103"/>
      <c r="I24" s="103"/>
      <c r="J24" s="103"/>
    </row>
    <row r="25" spans="1:11" ht="22.5" customHeight="1" x14ac:dyDescent="0.15">
      <c r="B25" s="103"/>
      <c r="C25" s="103"/>
      <c r="D25" s="103"/>
      <c r="E25" s="103"/>
      <c r="F25" s="103"/>
      <c r="G25" s="103"/>
      <c r="H25" s="103"/>
      <c r="I25" s="103"/>
      <c r="J25" s="103"/>
    </row>
    <row r="26" spans="1:11" ht="22.5" customHeight="1" x14ac:dyDescent="0.15">
      <c r="B26" s="103"/>
      <c r="C26" s="103"/>
      <c r="D26" s="103"/>
      <c r="E26" s="103"/>
      <c r="F26" s="103"/>
      <c r="G26" s="103"/>
      <c r="H26" s="103"/>
      <c r="I26" s="103"/>
      <c r="J26" s="103"/>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59997D28-CF78-4D01-803C-C5700C92A0B4}"/>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zoomScaleNormal="100" zoomScaleSheetLayoutView="100" workbookViewId="0">
      <selection activeCell="B5" sqref="B5:F42"/>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48" t="s">
        <v>7</v>
      </c>
      <c r="F1" s="248"/>
    </row>
    <row r="2" spans="1:6" ht="18.75" customHeight="1" x14ac:dyDescent="0.15">
      <c r="A2" s="324" t="s">
        <v>129</v>
      </c>
      <c r="B2" s="324"/>
      <c r="C2" s="324"/>
      <c r="D2" s="324"/>
      <c r="E2" s="324"/>
      <c r="F2" s="324"/>
    </row>
    <row r="3" spans="1:6" ht="7.5" customHeight="1" x14ac:dyDescent="0.15">
      <c r="A3" s="36"/>
      <c r="B3" s="36"/>
      <c r="C3" s="36"/>
      <c r="D3" s="36"/>
      <c r="E3" s="36"/>
      <c r="F3" s="36"/>
    </row>
    <row r="4" spans="1:6" ht="18.75" customHeight="1" x14ac:dyDescent="0.15">
      <c r="A4" s="36" t="s">
        <v>6</v>
      </c>
      <c r="B4" s="4" t="s">
        <v>28</v>
      </c>
      <c r="C4" s="36"/>
      <c r="D4" s="36"/>
      <c r="E4" s="36"/>
      <c r="F4" s="36"/>
    </row>
    <row r="5" spans="1:6" ht="18.75" customHeight="1" x14ac:dyDescent="0.15">
      <c r="A5" s="36"/>
      <c r="B5" s="325"/>
      <c r="C5" s="285"/>
      <c r="D5" s="285"/>
      <c r="E5" s="285"/>
      <c r="F5" s="286"/>
    </row>
    <row r="6" spans="1:6" ht="18.75" customHeight="1" x14ac:dyDescent="0.15">
      <c r="A6" s="36"/>
      <c r="B6" s="287"/>
      <c r="C6" s="288"/>
      <c r="D6" s="288"/>
      <c r="E6" s="288"/>
      <c r="F6" s="289"/>
    </row>
    <row r="7" spans="1:6" ht="18.75" customHeight="1" x14ac:dyDescent="0.15">
      <c r="A7" s="36"/>
      <c r="B7" s="287"/>
      <c r="C7" s="288"/>
      <c r="D7" s="288"/>
      <c r="E7" s="288"/>
      <c r="F7" s="289"/>
    </row>
    <row r="8" spans="1:6" ht="18.75" customHeight="1" x14ac:dyDescent="0.15">
      <c r="A8" s="36"/>
      <c r="B8" s="287"/>
      <c r="C8" s="288"/>
      <c r="D8" s="288"/>
      <c r="E8" s="288"/>
      <c r="F8" s="289"/>
    </row>
    <row r="9" spans="1:6" ht="18.75" customHeight="1" x14ac:dyDescent="0.15">
      <c r="A9" s="36"/>
      <c r="B9" s="287"/>
      <c r="C9" s="288"/>
      <c r="D9" s="288"/>
      <c r="E9" s="288"/>
      <c r="F9" s="289"/>
    </row>
    <row r="10" spans="1:6" ht="18.75" customHeight="1" x14ac:dyDescent="0.15">
      <c r="A10" s="36"/>
      <c r="B10" s="287"/>
      <c r="C10" s="288"/>
      <c r="D10" s="288"/>
      <c r="E10" s="288"/>
      <c r="F10" s="289"/>
    </row>
    <row r="11" spans="1:6" ht="18.75" customHeight="1" x14ac:dyDescent="0.15">
      <c r="A11" s="36"/>
      <c r="B11" s="287"/>
      <c r="C11" s="288"/>
      <c r="D11" s="288"/>
      <c r="E11" s="288"/>
      <c r="F11" s="289"/>
    </row>
    <row r="12" spans="1:6" ht="18.75" customHeight="1" x14ac:dyDescent="0.15">
      <c r="A12" s="36"/>
      <c r="B12" s="287"/>
      <c r="C12" s="288"/>
      <c r="D12" s="288"/>
      <c r="E12" s="288"/>
      <c r="F12" s="289"/>
    </row>
    <row r="13" spans="1:6" ht="18.75" customHeight="1" x14ac:dyDescent="0.15">
      <c r="A13" s="36"/>
      <c r="B13" s="287"/>
      <c r="C13" s="288"/>
      <c r="D13" s="288"/>
      <c r="E13" s="288"/>
      <c r="F13" s="289"/>
    </row>
    <row r="14" spans="1:6" ht="18.75" customHeight="1" x14ac:dyDescent="0.15">
      <c r="A14" s="36"/>
      <c r="B14" s="287"/>
      <c r="C14" s="288"/>
      <c r="D14" s="288"/>
      <c r="E14" s="288"/>
      <c r="F14" s="289"/>
    </row>
    <row r="15" spans="1:6" ht="18.75" customHeight="1" x14ac:dyDescent="0.15">
      <c r="A15" s="36"/>
      <c r="B15" s="287"/>
      <c r="C15" s="288"/>
      <c r="D15" s="288"/>
      <c r="E15" s="288"/>
      <c r="F15" s="289"/>
    </row>
    <row r="16" spans="1:6" ht="18.75" customHeight="1" x14ac:dyDescent="0.15">
      <c r="A16" s="36"/>
      <c r="B16" s="287"/>
      <c r="C16" s="288"/>
      <c r="D16" s="288"/>
      <c r="E16" s="288"/>
      <c r="F16" s="289"/>
    </row>
    <row r="17" spans="1:6" ht="18.75" customHeight="1" x14ac:dyDescent="0.15">
      <c r="A17" s="36"/>
      <c r="B17" s="287"/>
      <c r="C17" s="288"/>
      <c r="D17" s="288"/>
      <c r="E17" s="288"/>
      <c r="F17" s="289"/>
    </row>
    <row r="18" spans="1:6" ht="18.75" customHeight="1" x14ac:dyDescent="0.15">
      <c r="A18" s="36"/>
      <c r="B18" s="287"/>
      <c r="C18" s="288"/>
      <c r="D18" s="288"/>
      <c r="E18" s="288"/>
      <c r="F18" s="289"/>
    </row>
    <row r="19" spans="1:6" ht="18.75" customHeight="1" x14ac:dyDescent="0.15">
      <c r="A19" s="36"/>
      <c r="B19" s="287"/>
      <c r="C19" s="288"/>
      <c r="D19" s="288"/>
      <c r="E19" s="288"/>
      <c r="F19" s="289"/>
    </row>
    <row r="20" spans="1:6" ht="18.75" customHeight="1" x14ac:dyDescent="0.15">
      <c r="A20" s="36"/>
      <c r="B20" s="287"/>
      <c r="C20" s="288"/>
      <c r="D20" s="288"/>
      <c r="E20" s="288"/>
      <c r="F20" s="289"/>
    </row>
    <row r="21" spans="1:6" ht="18.75" customHeight="1" x14ac:dyDescent="0.15">
      <c r="A21" s="36"/>
      <c r="B21" s="287"/>
      <c r="C21" s="288"/>
      <c r="D21" s="288"/>
      <c r="E21" s="288"/>
      <c r="F21" s="289"/>
    </row>
    <row r="22" spans="1:6" ht="18.75" customHeight="1" x14ac:dyDescent="0.15">
      <c r="A22" s="36"/>
      <c r="B22" s="287"/>
      <c r="C22" s="288"/>
      <c r="D22" s="288"/>
      <c r="E22" s="288"/>
      <c r="F22" s="289"/>
    </row>
    <row r="23" spans="1:6" ht="18.75" customHeight="1" x14ac:dyDescent="0.15">
      <c r="A23" s="36"/>
      <c r="B23" s="287"/>
      <c r="C23" s="288"/>
      <c r="D23" s="288"/>
      <c r="E23" s="288"/>
      <c r="F23" s="289"/>
    </row>
    <row r="24" spans="1:6" ht="18.75" customHeight="1" x14ac:dyDescent="0.15">
      <c r="A24" s="36"/>
      <c r="B24" s="287"/>
      <c r="C24" s="288"/>
      <c r="D24" s="288"/>
      <c r="E24" s="288"/>
      <c r="F24" s="289"/>
    </row>
    <row r="25" spans="1:6" ht="18.75" customHeight="1" x14ac:dyDescent="0.15">
      <c r="A25" s="36"/>
      <c r="B25" s="287"/>
      <c r="C25" s="288"/>
      <c r="D25" s="288"/>
      <c r="E25" s="288"/>
      <c r="F25" s="289"/>
    </row>
    <row r="26" spans="1:6" ht="18.75" customHeight="1" x14ac:dyDescent="0.15">
      <c r="A26" s="36"/>
      <c r="B26" s="287"/>
      <c r="C26" s="288"/>
      <c r="D26" s="288"/>
      <c r="E26" s="288"/>
      <c r="F26" s="289"/>
    </row>
    <row r="27" spans="1:6" ht="18.75" customHeight="1" x14ac:dyDescent="0.15">
      <c r="A27" s="36"/>
      <c r="B27" s="287"/>
      <c r="C27" s="288"/>
      <c r="D27" s="288"/>
      <c r="E27" s="288"/>
      <c r="F27" s="289"/>
    </row>
    <row r="28" spans="1:6" ht="18.75" customHeight="1" x14ac:dyDescent="0.15">
      <c r="A28" s="36"/>
      <c r="B28" s="287"/>
      <c r="C28" s="288"/>
      <c r="D28" s="288"/>
      <c r="E28" s="288"/>
      <c r="F28" s="289"/>
    </row>
    <row r="29" spans="1:6" ht="18.75" customHeight="1" x14ac:dyDescent="0.15">
      <c r="A29" s="36"/>
      <c r="B29" s="287"/>
      <c r="C29" s="288"/>
      <c r="D29" s="288"/>
      <c r="E29" s="288"/>
      <c r="F29" s="289"/>
    </row>
    <row r="30" spans="1:6" ht="18.75" customHeight="1" x14ac:dyDescent="0.15">
      <c r="A30" s="36"/>
      <c r="B30" s="287"/>
      <c r="C30" s="288"/>
      <c r="D30" s="288"/>
      <c r="E30" s="288"/>
      <c r="F30" s="289"/>
    </row>
    <row r="31" spans="1:6" ht="18.75" customHeight="1" x14ac:dyDescent="0.15">
      <c r="A31" s="36"/>
      <c r="B31" s="287"/>
      <c r="C31" s="288"/>
      <c r="D31" s="288"/>
      <c r="E31" s="288"/>
      <c r="F31" s="289"/>
    </row>
    <row r="32" spans="1:6" ht="18.75" customHeight="1" x14ac:dyDescent="0.15">
      <c r="A32" s="36"/>
      <c r="B32" s="287"/>
      <c r="C32" s="288"/>
      <c r="D32" s="288"/>
      <c r="E32" s="288"/>
      <c r="F32" s="289"/>
    </row>
    <row r="33" spans="1:6" ht="18.75" customHeight="1" x14ac:dyDescent="0.15">
      <c r="A33" s="36"/>
      <c r="B33" s="287"/>
      <c r="C33" s="288"/>
      <c r="D33" s="288"/>
      <c r="E33" s="288"/>
      <c r="F33" s="289"/>
    </row>
    <row r="34" spans="1:6" ht="18.75" customHeight="1" x14ac:dyDescent="0.15">
      <c r="A34" s="36"/>
      <c r="B34" s="287"/>
      <c r="C34" s="288"/>
      <c r="D34" s="288"/>
      <c r="E34" s="288"/>
      <c r="F34" s="289"/>
    </row>
    <row r="35" spans="1:6" ht="18.75" customHeight="1" x14ac:dyDescent="0.15">
      <c r="A35" s="36"/>
      <c r="B35" s="287"/>
      <c r="C35" s="288"/>
      <c r="D35" s="288"/>
      <c r="E35" s="288"/>
      <c r="F35" s="289"/>
    </row>
    <row r="36" spans="1:6" ht="18.75" customHeight="1" x14ac:dyDescent="0.15">
      <c r="A36" s="36"/>
      <c r="B36" s="287"/>
      <c r="C36" s="288"/>
      <c r="D36" s="288"/>
      <c r="E36" s="288"/>
      <c r="F36" s="289"/>
    </row>
    <row r="37" spans="1:6" ht="18.75" customHeight="1" x14ac:dyDescent="0.15">
      <c r="A37" s="36"/>
      <c r="B37" s="287"/>
      <c r="C37" s="288"/>
      <c r="D37" s="288"/>
      <c r="E37" s="288"/>
      <c r="F37" s="289"/>
    </row>
    <row r="38" spans="1:6" ht="18.75" customHeight="1" x14ac:dyDescent="0.15">
      <c r="A38" s="36"/>
      <c r="B38" s="287"/>
      <c r="C38" s="288"/>
      <c r="D38" s="288"/>
      <c r="E38" s="288"/>
      <c r="F38" s="289"/>
    </row>
    <row r="39" spans="1:6" ht="18.75" customHeight="1" x14ac:dyDescent="0.15">
      <c r="A39" s="36"/>
      <c r="B39" s="287"/>
      <c r="C39" s="288"/>
      <c r="D39" s="288"/>
      <c r="E39" s="288"/>
      <c r="F39" s="289"/>
    </row>
    <row r="40" spans="1:6" ht="18.75" customHeight="1" x14ac:dyDescent="0.15">
      <c r="A40" s="36"/>
      <c r="B40" s="287"/>
      <c r="C40" s="288"/>
      <c r="D40" s="288"/>
      <c r="E40" s="288"/>
      <c r="F40" s="289"/>
    </row>
    <row r="41" spans="1:6" ht="18.75" customHeight="1" x14ac:dyDescent="0.15">
      <c r="A41" s="36"/>
      <c r="B41" s="287"/>
      <c r="C41" s="288"/>
      <c r="D41" s="288"/>
      <c r="E41" s="288"/>
      <c r="F41" s="289"/>
    </row>
    <row r="42" spans="1:6" ht="18.75" customHeight="1" x14ac:dyDescent="0.15">
      <c r="A42" s="36"/>
      <c r="B42" s="290"/>
      <c r="C42" s="291"/>
      <c r="D42" s="291"/>
      <c r="E42" s="291"/>
      <c r="F42" s="292"/>
    </row>
    <row r="43" spans="1:6" ht="18.75" customHeight="1" x14ac:dyDescent="0.15">
      <c r="A43" s="36" t="s">
        <v>10</v>
      </c>
      <c r="B43" s="4" t="s">
        <v>73</v>
      </c>
      <c r="C43" s="36"/>
      <c r="D43" s="36"/>
      <c r="E43" s="36"/>
      <c r="F43" s="36"/>
    </row>
    <row r="44" spans="1:6" ht="18.75" customHeight="1" x14ac:dyDescent="0.15">
      <c r="A44" s="36"/>
      <c r="B44" s="325"/>
      <c r="C44" s="285"/>
      <c r="D44" s="285"/>
      <c r="E44" s="285"/>
      <c r="F44" s="286"/>
    </row>
    <row r="45" spans="1:6" ht="18.75" customHeight="1" x14ac:dyDescent="0.15">
      <c r="A45" s="36"/>
      <c r="B45" s="287"/>
      <c r="C45" s="288"/>
      <c r="D45" s="288"/>
      <c r="E45" s="288"/>
      <c r="F45" s="289"/>
    </row>
    <row r="46" spans="1:6" ht="18.75" customHeight="1" x14ac:dyDescent="0.15">
      <c r="A46" s="36"/>
      <c r="B46" s="287"/>
      <c r="C46" s="288"/>
      <c r="D46" s="288"/>
      <c r="E46" s="288"/>
      <c r="F46" s="289"/>
    </row>
    <row r="47" spans="1:6" ht="18.75" customHeight="1" x14ac:dyDescent="0.15">
      <c r="A47" s="36"/>
      <c r="B47" s="287"/>
      <c r="C47" s="288"/>
      <c r="D47" s="288"/>
      <c r="E47" s="288"/>
      <c r="F47" s="289"/>
    </row>
    <row r="48" spans="1:6" ht="18.75" customHeight="1" x14ac:dyDescent="0.15">
      <c r="A48" s="36"/>
      <c r="B48" s="287"/>
      <c r="C48" s="288"/>
      <c r="D48" s="288"/>
      <c r="E48" s="288"/>
      <c r="F48" s="289"/>
    </row>
    <row r="49" spans="1:6" ht="18.75" customHeight="1" x14ac:dyDescent="0.15">
      <c r="A49" s="36"/>
      <c r="B49" s="287"/>
      <c r="C49" s="288"/>
      <c r="D49" s="288"/>
      <c r="E49" s="288"/>
      <c r="F49" s="289"/>
    </row>
    <row r="50" spans="1:6" ht="18.75" customHeight="1" x14ac:dyDescent="0.15">
      <c r="A50" s="36"/>
      <c r="B50" s="287"/>
      <c r="C50" s="288"/>
      <c r="D50" s="288"/>
      <c r="E50" s="288"/>
      <c r="F50" s="289"/>
    </row>
    <row r="51" spans="1:6" ht="18.75" customHeight="1" x14ac:dyDescent="0.15">
      <c r="A51" s="36"/>
      <c r="B51" s="287"/>
      <c r="C51" s="288"/>
      <c r="D51" s="288"/>
      <c r="E51" s="288"/>
      <c r="F51" s="289"/>
    </row>
    <row r="52" spans="1:6" ht="18.75" customHeight="1" x14ac:dyDescent="0.15">
      <c r="A52" s="36"/>
      <c r="B52" s="287"/>
      <c r="C52" s="288"/>
      <c r="D52" s="288"/>
      <c r="E52" s="288"/>
      <c r="F52" s="289"/>
    </row>
    <row r="53" spans="1:6" ht="18.75" customHeight="1" x14ac:dyDescent="0.15">
      <c r="A53" s="36"/>
      <c r="B53" s="287"/>
      <c r="C53" s="288"/>
      <c r="D53" s="288"/>
      <c r="E53" s="288"/>
      <c r="F53" s="289"/>
    </row>
    <row r="54" spans="1:6" ht="18.75" customHeight="1" x14ac:dyDescent="0.15">
      <c r="A54" s="36"/>
      <c r="B54" s="287"/>
      <c r="C54" s="288"/>
      <c r="D54" s="288"/>
      <c r="E54" s="288"/>
      <c r="F54" s="289"/>
    </row>
    <row r="55" spans="1:6" ht="18.75" customHeight="1" x14ac:dyDescent="0.15">
      <c r="A55" s="36"/>
      <c r="B55" s="287"/>
      <c r="C55" s="288"/>
      <c r="D55" s="288"/>
      <c r="E55" s="288"/>
      <c r="F55" s="289"/>
    </row>
    <row r="56" spans="1:6" ht="18.75" customHeight="1" x14ac:dyDescent="0.15">
      <c r="A56" s="36"/>
      <c r="B56" s="287"/>
      <c r="C56" s="288"/>
      <c r="D56" s="288"/>
      <c r="E56" s="288"/>
      <c r="F56" s="289"/>
    </row>
    <row r="57" spans="1:6" ht="18.75" customHeight="1" x14ac:dyDescent="0.15">
      <c r="A57" s="36"/>
      <c r="B57" s="287"/>
      <c r="C57" s="288"/>
      <c r="D57" s="288"/>
      <c r="E57" s="288"/>
      <c r="F57" s="289"/>
    </row>
    <row r="58" spans="1:6" ht="18.75" customHeight="1" x14ac:dyDescent="0.15">
      <c r="A58" s="36"/>
      <c r="B58" s="287"/>
      <c r="C58" s="288"/>
      <c r="D58" s="288"/>
      <c r="E58" s="288"/>
      <c r="F58" s="289"/>
    </row>
    <row r="59" spans="1:6" ht="18.75" customHeight="1" x14ac:dyDescent="0.15">
      <c r="A59" s="36"/>
      <c r="B59" s="287"/>
      <c r="C59" s="288"/>
      <c r="D59" s="288"/>
      <c r="E59" s="288"/>
      <c r="F59" s="289"/>
    </row>
    <row r="60" spans="1:6" ht="18.75" customHeight="1" x14ac:dyDescent="0.15">
      <c r="A60" s="36"/>
      <c r="B60" s="287"/>
      <c r="C60" s="288"/>
      <c r="D60" s="288"/>
      <c r="E60" s="288"/>
      <c r="F60" s="289"/>
    </row>
    <row r="61" spans="1:6" ht="18.75" customHeight="1" x14ac:dyDescent="0.15">
      <c r="A61" s="36"/>
      <c r="B61" s="287"/>
      <c r="C61" s="288"/>
      <c r="D61" s="288"/>
      <c r="E61" s="288"/>
      <c r="F61" s="289"/>
    </row>
    <row r="62" spans="1:6" ht="18.75" customHeight="1" x14ac:dyDescent="0.15">
      <c r="A62" s="36"/>
      <c r="B62" s="287"/>
      <c r="C62" s="288"/>
      <c r="D62" s="288"/>
      <c r="E62" s="288"/>
      <c r="F62" s="289"/>
    </row>
    <row r="63" spans="1:6" ht="18.75" customHeight="1" x14ac:dyDescent="0.15">
      <c r="A63" s="36"/>
      <c r="B63" s="287"/>
      <c r="C63" s="288"/>
      <c r="D63" s="288"/>
      <c r="E63" s="288"/>
      <c r="F63" s="289"/>
    </row>
    <row r="64" spans="1:6" ht="18.75" customHeight="1" x14ac:dyDescent="0.15">
      <c r="A64" s="36"/>
      <c r="B64" s="287"/>
      <c r="C64" s="288"/>
      <c r="D64" s="288"/>
      <c r="E64" s="288"/>
      <c r="F64" s="289"/>
    </row>
    <row r="65" spans="1:6" ht="18.75" customHeight="1" x14ac:dyDescent="0.15">
      <c r="A65" s="36"/>
      <c r="B65" s="287"/>
      <c r="C65" s="288"/>
      <c r="D65" s="288"/>
      <c r="E65" s="288"/>
      <c r="F65" s="289"/>
    </row>
    <row r="66" spans="1:6" ht="18.75" customHeight="1" x14ac:dyDescent="0.15">
      <c r="A66" s="36"/>
      <c r="B66" s="287"/>
      <c r="C66" s="288"/>
      <c r="D66" s="288"/>
      <c r="E66" s="288"/>
      <c r="F66" s="289"/>
    </row>
    <row r="67" spans="1:6" ht="18.75" customHeight="1" x14ac:dyDescent="0.15">
      <c r="A67" s="36"/>
      <c r="B67" s="287"/>
      <c r="C67" s="288"/>
      <c r="D67" s="288"/>
      <c r="E67" s="288"/>
      <c r="F67" s="289"/>
    </row>
    <row r="68" spans="1:6" ht="18.75" customHeight="1" x14ac:dyDescent="0.15">
      <c r="A68" s="36"/>
      <c r="B68" s="287"/>
      <c r="C68" s="288"/>
      <c r="D68" s="288"/>
      <c r="E68" s="288"/>
      <c r="F68" s="289"/>
    </row>
    <row r="69" spans="1:6" ht="18.75" customHeight="1" x14ac:dyDescent="0.15">
      <c r="A69" s="36"/>
      <c r="B69" s="287"/>
      <c r="C69" s="288"/>
      <c r="D69" s="288"/>
      <c r="E69" s="288"/>
      <c r="F69" s="289"/>
    </row>
    <row r="70" spans="1:6" ht="18.75" customHeight="1" x14ac:dyDescent="0.15">
      <c r="A70" s="36"/>
      <c r="B70" s="287"/>
      <c r="C70" s="288"/>
      <c r="D70" s="288"/>
      <c r="E70" s="288"/>
      <c r="F70" s="289"/>
    </row>
    <row r="71" spans="1:6" ht="18.75" customHeight="1" x14ac:dyDescent="0.15">
      <c r="A71" s="36"/>
      <c r="B71" s="287"/>
      <c r="C71" s="288"/>
      <c r="D71" s="288"/>
      <c r="E71" s="288"/>
      <c r="F71" s="289"/>
    </row>
    <row r="72" spans="1:6" ht="18.75" customHeight="1" x14ac:dyDescent="0.15">
      <c r="A72" s="36"/>
      <c r="B72" s="287"/>
      <c r="C72" s="288"/>
      <c r="D72" s="288"/>
      <c r="E72" s="288"/>
      <c r="F72" s="289"/>
    </row>
    <row r="73" spans="1:6" ht="18.75" customHeight="1" x14ac:dyDescent="0.15">
      <c r="A73" s="36"/>
      <c r="B73" s="287"/>
      <c r="C73" s="288"/>
      <c r="D73" s="288"/>
      <c r="E73" s="288"/>
      <c r="F73" s="289"/>
    </row>
    <row r="74" spans="1:6" ht="18.75" customHeight="1" x14ac:dyDescent="0.15">
      <c r="A74" s="36"/>
      <c r="B74" s="287"/>
      <c r="C74" s="288"/>
      <c r="D74" s="288"/>
      <c r="E74" s="288"/>
      <c r="F74" s="289"/>
    </row>
    <row r="75" spans="1:6" ht="18.75" customHeight="1" x14ac:dyDescent="0.15">
      <c r="A75" s="36"/>
      <c r="B75" s="287"/>
      <c r="C75" s="288"/>
      <c r="D75" s="288"/>
      <c r="E75" s="288"/>
      <c r="F75" s="289"/>
    </row>
    <row r="76" spans="1:6" ht="18.75" customHeight="1" x14ac:dyDescent="0.15">
      <c r="A76" s="36"/>
      <c r="B76" s="287"/>
      <c r="C76" s="288"/>
      <c r="D76" s="288"/>
      <c r="E76" s="288"/>
      <c r="F76" s="289"/>
    </row>
    <row r="77" spans="1:6" ht="18.75" customHeight="1" x14ac:dyDescent="0.15">
      <c r="A77" s="36"/>
      <c r="B77" s="287"/>
      <c r="C77" s="288"/>
      <c r="D77" s="288"/>
      <c r="E77" s="288"/>
      <c r="F77" s="289"/>
    </row>
    <row r="78" spans="1:6" ht="18.75" customHeight="1" x14ac:dyDescent="0.15">
      <c r="A78" s="36"/>
      <c r="B78" s="287"/>
      <c r="C78" s="288"/>
      <c r="D78" s="288"/>
      <c r="E78" s="288"/>
      <c r="F78" s="289"/>
    </row>
    <row r="79" spans="1:6" ht="18.75" customHeight="1" x14ac:dyDescent="0.15">
      <c r="A79" s="36"/>
      <c r="B79" s="287"/>
      <c r="C79" s="288"/>
      <c r="D79" s="288"/>
      <c r="E79" s="288"/>
      <c r="F79" s="289"/>
    </row>
    <row r="80" spans="1:6" ht="18.75" customHeight="1" x14ac:dyDescent="0.15">
      <c r="A80" s="36"/>
      <c r="B80" s="287"/>
      <c r="C80" s="288"/>
      <c r="D80" s="288"/>
      <c r="E80" s="288"/>
      <c r="F80" s="289"/>
    </row>
    <row r="81" spans="1:6" ht="18.75" customHeight="1" x14ac:dyDescent="0.15">
      <c r="A81" s="36"/>
      <c r="B81" s="287"/>
      <c r="C81" s="288"/>
      <c r="D81" s="288"/>
      <c r="E81" s="288"/>
      <c r="F81" s="289"/>
    </row>
    <row r="82" spans="1:6" ht="18.75" customHeight="1" x14ac:dyDescent="0.15">
      <c r="A82" s="36"/>
      <c r="B82" s="287"/>
      <c r="C82" s="288"/>
      <c r="D82" s="288"/>
      <c r="E82" s="288"/>
      <c r="F82" s="289"/>
    </row>
    <row r="83" spans="1:6" ht="18.75" customHeight="1" x14ac:dyDescent="0.15">
      <c r="A83" s="36"/>
      <c r="B83" s="290"/>
      <c r="C83" s="291"/>
      <c r="D83" s="291"/>
      <c r="E83" s="291"/>
      <c r="F83" s="292"/>
    </row>
    <row r="84" spans="1:6" ht="18.75" customHeight="1" x14ac:dyDescent="0.15">
      <c r="A84" s="4" t="s">
        <v>11</v>
      </c>
      <c r="B84" s="4" t="s">
        <v>74</v>
      </c>
      <c r="C84" s="4"/>
      <c r="D84" s="4"/>
      <c r="E84" s="4"/>
      <c r="F84" s="4"/>
    </row>
    <row r="85" spans="1:6" ht="18.75" customHeight="1" x14ac:dyDescent="0.15">
      <c r="A85" s="36"/>
      <c r="B85" s="325"/>
      <c r="C85" s="285"/>
      <c r="D85" s="285"/>
      <c r="E85" s="285"/>
      <c r="F85" s="286"/>
    </row>
    <row r="86" spans="1:6" ht="18.75" customHeight="1" x14ac:dyDescent="0.15">
      <c r="A86" s="36"/>
      <c r="B86" s="287"/>
      <c r="C86" s="288"/>
      <c r="D86" s="288"/>
      <c r="E86" s="288"/>
      <c r="F86" s="289"/>
    </row>
    <row r="87" spans="1:6" ht="18.75" customHeight="1" x14ac:dyDescent="0.15">
      <c r="A87" s="36"/>
      <c r="B87" s="287"/>
      <c r="C87" s="288"/>
      <c r="D87" s="288"/>
      <c r="E87" s="288"/>
      <c r="F87" s="289"/>
    </row>
    <row r="88" spans="1:6" ht="18.75" customHeight="1" x14ac:dyDescent="0.15">
      <c r="A88" s="36"/>
      <c r="B88" s="287"/>
      <c r="C88" s="288"/>
      <c r="D88" s="288"/>
      <c r="E88" s="288"/>
      <c r="F88" s="289"/>
    </row>
    <row r="89" spans="1:6" ht="18.75" customHeight="1" x14ac:dyDescent="0.15">
      <c r="A89" s="36"/>
      <c r="B89" s="287"/>
      <c r="C89" s="288"/>
      <c r="D89" s="288"/>
      <c r="E89" s="288"/>
      <c r="F89" s="289"/>
    </row>
    <row r="90" spans="1:6" ht="18.75" customHeight="1" x14ac:dyDescent="0.15">
      <c r="A90" s="36"/>
      <c r="B90" s="287"/>
      <c r="C90" s="288"/>
      <c r="D90" s="288"/>
      <c r="E90" s="288"/>
      <c r="F90" s="289"/>
    </row>
    <row r="91" spans="1:6" ht="18.75" customHeight="1" x14ac:dyDescent="0.15">
      <c r="A91" s="36"/>
      <c r="B91" s="287"/>
      <c r="C91" s="288"/>
      <c r="D91" s="288"/>
      <c r="E91" s="288"/>
      <c r="F91" s="289"/>
    </row>
    <row r="92" spans="1:6" ht="18.75" customHeight="1" x14ac:dyDescent="0.15">
      <c r="A92" s="36"/>
      <c r="B92" s="287"/>
      <c r="C92" s="288"/>
      <c r="D92" s="288"/>
      <c r="E92" s="288"/>
      <c r="F92" s="289"/>
    </row>
    <row r="93" spans="1:6" ht="18.75" customHeight="1" x14ac:dyDescent="0.15">
      <c r="A93" s="36"/>
      <c r="B93" s="287"/>
      <c r="C93" s="288"/>
      <c r="D93" s="288"/>
      <c r="E93" s="288"/>
      <c r="F93" s="289"/>
    </row>
    <row r="94" spans="1:6" ht="18.75" customHeight="1" x14ac:dyDescent="0.15">
      <c r="A94" s="36"/>
      <c r="B94" s="287"/>
      <c r="C94" s="288"/>
      <c r="D94" s="288"/>
      <c r="E94" s="288"/>
      <c r="F94" s="289"/>
    </row>
    <row r="95" spans="1:6" ht="18.75" customHeight="1" x14ac:dyDescent="0.15">
      <c r="A95" s="36"/>
      <c r="B95" s="287"/>
      <c r="C95" s="288"/>
      <c r="D95" s="288"/>
      <c r="E95" s="288"/>
      <c r="F95" s="289"/>
    </row>
    <row r="96" spans="1:6" ht="18.75" customHeight="1" x14ac:dyDescent="0.15">
      <c r="A96" s="36"/>
      <c r="B96" s="287"/>
      <c r="C96" s="288"/>
      <c r="D96" s="288"/>
      <c r="E96" s="288"/>
      <c r="F96" s="289"/>
    </row>
    <row r="97" spans="1:6" ht="18.75" customHeight="1" x14ac:dyDescent="0.15">
      <c r="A97" s="36"/>
      <c r="B97" s="287"/>
      <c r="C97" s="288"/>
      <c r="D97" s="288"/>
      <c r="E97" s="288"/>
      <c r="F97" s="289"/>
    </row>
    <row r="98" spans="1:6" ht="18.75" customHeight="1" x14ac:dyDescent="0.15">
      <c r="A98" s="36"/>
      <c r="B98" s="287"/>
      <c r="C98" s="288"/>
      <c r="D98" s="288"/>
      <c r="E98" s="288"/>
      <c r="F98" s="289"/>
    </row>
    <row r="99" spans="1:6" ht="18.75" customHeight="1" x14ac:dyDescent="0.15">
      <c r="A99" s="36"/>
      <c r="B99" s="287"/>
      <c r="C99" s="288"/>
      <c r="D99" s="288"/>
      <c r="E99" s="288"/>
      <c r="F99" s="289"/>
    </row>
    <row r="100" spans="1:6" ht="18.75" customHeight="1" x14ac:dyDescent="0.15">
      <c r="A100" s="36"/>
      <c r="B100" s="287"/>
      <c r="C100" s="288"/>
      <c r="D100" s="288"/>
      <c r="E100" s="288"/>
      <c r="F100" s="289"/>
    </row>
    <row r="101" spans="1:6" ht="18.75" customHeight="1" x14ac:dyDescent="0.15">
      <c r="A101" s="36"/>
      <c r="B101" s="287"/>
      <c r="C101" s="288"/>
      <c r="D101" s="288"/>
      <c r="E101" s="288"/>
      <c r="F101" s="289"/>
    </row>
    <row r="102" spans="1:6" ht="18.75" customHeight="1" x14ac:dyDescent="0.15">
      <c r="A102" s="36"/>
      <c r="B102" s="287"/>
      <c r="C102" s="288"/>
      <c r="D102" s="288"/>
      <c r="E102" s="288"/>
      <c r="F102" s="289"/>
    </row>
    <row r="103" spans="1:6" ht="18.75" customHeight="1" x14ac:dyDescent="0.15">
      <c r="A103" s="36"/>
      <c r="B103" s="287"/>
      <c r="C103" s="288"/>
      <c r="D103" s="288"/>
      <c r="E103" s="288"/>
      <c r="F103" s="289"/>
    </row>
    <row r="104" spans="1:6" ht="18.75" customHeight="1" x14ac:dyDescent="0.15">
      <c r="A104" s="36"/>
      <c r="B104" s="287"/>
      <c r="C104" s="288"/>
      <c r="D104" s="288"/>
      <c r="E104" s="288"/>
      <c r="F104" s="289"/>
    </row>
    <row r="105" spans="1:6" ht="18.75" customHeight="1" x14ac:dyDescent="0.15">
      <c r="A105" s="36"/>
      <c r="B105" s="287"/>
      <c r="C105" s="288"/>
      <c r="D105" s="288"/>
      <c r="E105" s="288"/>
      <c r="F105" s="289"/>
    </row>
    <row r="106" spans="1:6" ht="18.75" customHeight="1" x14ac:dyDescent="0.15">
      <c r="A106" s="36"/>
      <c r="B106" s="287"/>
      <c r="C106" s="288"/>
      <c r="D106" s="288"/>
      <c r="E106" s="288"/>
      <c r="F106" s="289"/>
    </row>
    <row r="107" spans="1:6" ht="18.75" customHeight="1" x14ac:dyDescent="0.15">
      <c r="A107" s="36"/>
      <c r="B107" s="287"/>
      <c r="C107" s="288"/>
      <c r="D107" s="288"/>
      <c r="E107" s="288"/>
      <c r="F107" s="289"/>
    </row>
    <row r="108" spans="1:6" ht="18.75" customHeight="1" x14ac:dyDescent="0.15">
      <c r="A108" s="36"/>
      <c r="B108" s="287"/>
      <c r="C108" s="288"/>
      <c r="D108" s="288"/>
      <c r="E108" s="288"/>
      <c r="F108" s="289"/>
    </row>
    <row r="109" spans="1:6" ht="18.75" customHeight="1" x14ac:dyDescent="0.15">
      <c r="A109" s="36"/>
      <c r="B109" s="287"/>
      <c r="C109" s="288"/>
      <c r="D109" s="288"/>
      <c r="E109" s="288"/>
      <c r="F109" s="289"/>
    </row>
    <row r="110" spans="1:6" ht="18.75" customHeight="1" x14ac:dyDescent="0.15">
      <c r="A110" s="36"/>
      <c r="B110" s="287"/>
      <c r="C110" s="288"/>
      <c r="D110" s="288"/>
      <c r="E110" s="288"/>
      <c r="F110" s="289"/>
    </row>
    <row r="111" spans="1:6" ht="18.75" customHeight="1" x14ac:dyDescent="0.15">
      <c r="A111" s="36"/>
      <c r="B111" s="287"/>
      <c r="C111" s="288"/>
      <c r="D111" s="288"/>
      <c r="E111" s="288"/>
      <c r="F111" s="289"/>
    </row>
    <row r="112" spans="1:6" ht="18.75" customHeight="1" x14ac:dyDescent="0.15">
      <c r="A112" s="36"/>
      <c r="B112" s="287"/>
      <c r="C112" s="288"/>
      <c r="D112" s="288"/>
      <c r="E112" s="288"/>
      <c r="F112" s="289"/>
    </row>
    <row r="113" spans="1:6" ht="18.75" customHeight="1" x14ac:dyDescent="0.15">
      <c r="A113" s="36"/>
      <c r="B113" s="287"/>
      <c r="C113" s="288"/>
      <c r="D113" s="288"/>
      <c r="E113" s="288"/>
      <c r="F113" s="289"/>
    </row>
    <row r="114" spans="1:6" ht="18.75" customHeight="1" x14ac:dyDescent="0.15">
      <c r="A114" s="36"/>
      <c r="B114" s="287"/>
      <c r="C114" s="288"/>
      <c r="D114" s="288"/>
      <c r="E114" s="288"/>
      <c r="F114" s="289"/>
    </row>
    <row r="115" spans="1:6" ht="18.75" customHeight="1" x14ac:dyDescent="0.15">
      <c r="A115" s="36"/>
      <c r="B115" s="287"/>
      <c r="C115" s="288"/>
      <c r="D115" s="288"/>
      <c r="E115" s="288"/>
      <c r="F115" s="289"/>
    </row>
    <row r="116" spans="1:6" ht="18.75" customHeight="1" x14ac:dyDescent="0.15">
      <c r="A116" s="36"/>
      <c r="B116" s="287"/>
      <c r="C116" s="288"/>
      <c r="D116" s="288"/>
      <c r="E116" s="288"/>
      <c r="F116" s="289"/>
    </row>
    <row r="117" spans="1:6" ht="18.75" customHeight="1" x14ac:dyDescent="0.15">
      <c r="A117" s="36"/>
      <c r="B117" s="287"/>
      <c r="C117" s="288"/>
      <c r="D117" s="288"/>
      <c r="E117" s="288"/>
      <c r="F117" s="289"/>
    </row>
    <row r="118" spans="1:6" ht="18.75" customHeight="1" x14ac:dyDescent="0.15">
      <c r="A118" s="36"/>
      <c r="B118" s="287"/>
      <c r="C118" s="288"/>
      <c r="D118" s="288"/>
      <c r="E118" s="288"/>
      <c r="F118" s="289"/>
    </row>
    <row r="119" spans="1:6" ht="18.75" customHeight="1" x14ac:dyDescent="0.15">
      <c r="A119" s="36"/>
      <c r="B119" s="287"/>
      <c r="C119" s="288"/>
      <c r="D119" s="288"/>
      <c r="E119" s="288"/>
      <c r="F119" s="289"/>
    </row>
    <row r="120" spans="1:6" ht="18.75" customHeight="1" x14ac:dyDescent="0.15">
      <c r="A120" s="36"/>
      <c r="B120" s="287"/>
      <c r="C120" s="288"/>
      <c r="D120" s="288"/>
      <c r="E120" s="288"/>
      <c r="F120" s="289"/>
    </row>
    <row r="121" spans="1:6" ht="18.75" customHeight="1" x14ac:dyDescent="0.15">
      <c r="A121" s="36"/>
      <c r="B121" s="287"/>
      <c r="C121" s="288"/>
      <c r="D121" s="288"/>
      <c r="E121" s="288"/>
      <c r="F121" s="289"/>
    </row>
    <row r="122" spans="1:6" ht="18.75" customHeight="1" x14ac:dyDescent="0.15">
      <c r="A122" s="36"/>
      <c r="B122" s="287"/>
      <c r="C122" s="288"/>
      <c r="D122" s="288"/>
      <c r="E122" s="288"/>
      <c r="F122" s="289"/>
    </row>
    <row r="123" spans="1:6" ht="18.75" customHeight="1" x14ac:dyDescent="0.15">
      <c r="A123" s="36"/>
      <c r="B123" s="287"/>
      <c r="C123" s="288"/>
      <c r="D123" s="288"/>
      <c r="E123" s="288"/>
      <c r="F123" s="289"/>
    </row>
    <row r="124" spans="1:6" ht="18.75" customHeight="1" x14ac:dyDescent="0.15">
      <c r="A124" s="36"/>
      <c r="B124" s="290"/>
      <c r="C124" s="291"/>
      <c r="D124" s="291"/>
      <c r="E124" s="291"/>
      <c r="F124" s="292"/>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上岡 定行</cp:lastModifiedBy>
  <cp:lastPrinted>2022-07-17T23:43:03Z</cp:lastPrinted>
  <dcterms:created xsi:type="dcterms:W3CDTF">2011-06-14T05:32:50Z</dcterms:created>
  <dcterms:modified xsi:type="dcterms:W3CDTF">2022-07-17T23:43:48Z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