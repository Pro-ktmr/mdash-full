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GCUSER\Desktop\Ubuntsu連携作業\学内業務\数理データサイエンス教育プログラム認定制度\申請関係\2022年申請書類一式\202205-申請書類\短大-提出書類-修正依頼-20220530\"/>
    </mc:Choice>
  </mc:AlternateContent>
  <bookViews>
    <workbookView xWindow="0" yWindow="0" windowWidth="23040" windowHeight="9096" tabRatio="885"/>
  </bookViews>
  <sheets>
    <sheet name="様式１　大学等概要" sheetId="8" r:id="rId1"/>
    <sheet name="様式２　プログラムを構成する授業科目" sheetId="39" r:id="rId2"/>
    <sheet name="様式３　履修者等数の実績" sheetId="43" r:id="rId3"/>
    <sheet name="様式４　教育の質・履修者数を向上させるための体制・計画" sheetId="41" r:id="rId4"/>
    <sheet name="様式５　自己点検・評価" sheetId="44"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4" l="1"/>
  <c r="K16" i="44"/>
  <c r="K15" i="44"/>
  <c r="K14" i="44"/>
  <c r="K13" i="44"/>
  <c r="K11" i="44"/>
  <c r="K10" i="44"/>
  <c r="K9" i="44"/>
  <c r="K8" i="44"/>
  <c r="K7" i="44"/>
  <c r="I29" i="41" l="1"/>
  <c r="C28" i="41"/>
  <c r="C4" i="43"/>
  <c r="Q10" i="43"/>
  <c r="R10" i="43" s="1"/>
  <c r="Q11" i="43"/>
  <c r="R11" i="43" s="1"/>
  <c r="Q12" i="43"/>
  <c r="R12" i="43"/>
  <c r="Q13" i="43"/>
  <c r="R13" i="43"/>
  <c r="Q14" i="43"/>
  <c r="R14" i="43" s="1"/>
  <c r="Q15" i="43"/>
  <c r="R15" i="43" s="1"/>
  <c r="Q16" i="43"/>
  <c r="R16" i="43"/>
  <c r="Q17" i="43"/>
  <c r="R17" i="43"/>
  <c r="Q18" i="43"/>
  <c r="R18" i="43" s="1"/>
  <c r="Q19" i="43"/>
  <c r="R19" i="43" s="1"/>
  <c r="Q20" i="43"/>
  <c r="R20" i="43"/>
  <c r="Q21" i="43"/>
  <c r="R21" i="43"/>
  <c r="Q22" i="43"/>
  <c r="R22" i="43" s="1"/>
  <c r="Q23" i="43"/>
  <c r="R23" i="43" s="1"/>
  <c r="Q24" i="43"/>
  <c r="R24" i="43"/>
  <c r="Q25" i="43"/>
  <c r="R25" i="43"/>
  <c r="Q26" i="43"/>
  <c r="R26" i="43" s="1"/>
  <c r="Q27" i="43"/>
  <c r="R27" i="43" s="1"/>
  <c r="Q28" i="43"/>
  <c r="R28" i="43"/>
  <c r="Q29" i="43"/>
  <c r="R29" i="43"/>
  <c r="C30" i="43"/>
  <c r="D30" i="43"/>
  <c r="E30" i="43"/>
  <c r="F30" i="43"/>
  <c r="G30" i="43"/>
  <c r="H30" i="43"/>
  <c r="I30" i="43"/>
  <c r="J30" i="43"/>
  <c r="K30" i="43"/>
  <c r="L30" i="43"/>
  <c r="M30" i="43"/>
  <c r="N30" i="43"/>
  <c r="O30" i="43"/>
  <c r="P30" i="43"/>
  <c r="Q30" i="43" l="1"/>
  <c r="R30" i="43" s="1"/>
  <c r="F29" i="41"/>
  <c r="C29" i="41"/>
  <c r="I28" i="41"/>
  <c r="K113" i="41" l="1"/>
  <c r="K91" i="41"/>
  <c r="K69" i="41"/>
  <c r="K46" i="41"/>
  <c r="K31" i="41"/>
  <c r="K15" i="41"/>
  <c r="K8" i="41"/>
  <c r="K5" i="41"/>
  <c r="O45" i="8"/>
  <c r="O44" i="8"/>
  <c r="O41" i="8"/>
  <c r="O39" i="8"/>
  <c r="O37" i="8"/>
  <c r="O34" i="8"/>
  <c r="O32" i="8"/>
  <c r="O29" i="8"/>
  <c r="O20" i="8"/>
  <c r="O18" i="8"/>
  <c r="O16" i="8"/>
  <c r="O14" i="8"/>
  <c r="O12" i="8"/>
  <c r="O10" i="8"/>
  <c r="O6" i="8"/>
  <c r="O8" i="8"/>
  <c r="O4" i="8"/>
</calcChain>
</file>

<file path=xl/sharedStrings.xml><?xml version="1.0" encoding="utf-8"?>
<sst xmlns="http://schemas.openxmlformats.org/spreadsheetml/2006/main" count="325" uniqueCount="209">
  <si>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</si>
  <si>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</si>
  <si>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</si>
  <si>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</si>
  <si>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</si>
  <si>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</si>
  <si>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</si>
  <si>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</si>
  <si>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</si>
  <si>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</si>
  <si>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</si>
  <si>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</si>
  <si>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</si>
  <si>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</si>
  <si>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</si>
  <si>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</si>
  <si>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</si>
  <si>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</si>
  <si>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</si>
  <si>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</si>
  <si>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</si>
  <si>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</si>
  <si>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</si>
  <si>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</si>
  <si>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</si>
  <si>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</si>
  <si>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</si>
  <si>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</si>
  <si>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</si>
  <si>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</si>
  <si>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</si>
  <si>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</si>
  <si>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</si>
  <si>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</si>
  <si>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</si>
  <si>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</si>
  <si>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</si>
  <si>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</si>
  <si>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</si>
  <si>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</si>
  <si>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</si>
  <si>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</si>
  <si>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</si>
  <si>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</si>
  <si>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</si>
  <si>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</si>
  <si>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</si>
  <si>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</si>
  <si>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</si>
  <si>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</si>
  <si>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</si>
  <si>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</si>
  <si>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</si>
  <si>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</si>
  <si>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</si>
  <si>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</si>
  <si>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</si>
  <si>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</si>
  <si>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</si>
  <si>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</si>
  <si>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</si>
  <si>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</si>
  <si>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</si>
  <si>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</si>
  <si>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</si>
  <si>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</si>
  <si>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</si>
  <si>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</si>
  <si>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</si>
  <si>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</si>
  <si>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</si>
  <si>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</si>
  <si>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</si>
  <si>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</si>
  <si>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</si>
  <si>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</si>
  <si>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</si>
  <si>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</si>
  <si>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</si>
  <si>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</si>
  <si>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</si>
  <si>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</si>
  <si>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</si>
  <si>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</si>
  <si>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</si>
  <si>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</si>
  <si>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</si>
  <si>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</si>
  <si>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</si>
  <si>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</si>
  <si>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</si>
  <si>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</si>
  <si>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</si>
  <si>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</si>
  <si>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</si>
  <si>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</si>
  <si>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</si>
  <si>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</si>
  <si>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</si>
  <si>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</si>
  <si>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</si>
  <si>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</si>
  <si>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</si>
  <si>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</si>
  <si>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</si>
  <si>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</si>
  <si>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</si>
  <si>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</si>
  <si>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</si>
  <si>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</si>
  <si>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</si>
  <si>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</si>
  <si>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</si>
  <si>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</si>
  <si>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</si>
  <si>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</si>
  <si>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</si>
  <si>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</si>
  <si>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</si>
  <si>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</si>
  <si>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</si>
  <si>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</si>
  <si>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</si>
  <si>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</si>
  <si>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</si>
  <si>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</si>
  <si>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</si>
  <si>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</si>
  <si>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</si>
  <si>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</si>
  <si>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</si>
  <si>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</si>
  <si>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</si>
  <si>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</si>
  <si>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</si>
  <si>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</si>
  <si>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</si>
  <si>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</si>
  <si>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</si>
  <si>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</si>
  <si>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</si>
  <si>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</si>
  <si>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</si>
  <si>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</si>
  <si>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</si>
  <si>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</si>
  <si>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</si>
  <si>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学校法人開成学園</t>
    <rPh sb="0" eb="2">
      <t>ガッコウ</t>
    </rPh>
    <rPh sb="2" eb="4">
      <t>ホウジン</t>
    </rPh>
    <rPh sb="4" eb="6">
      <t>カイセイ</t>
    </rPh>
    <rPh sb="6" eb="8">
      <t>ガクエン</t>
    </rPh>
    <phoneticPr fontId="1"/>
  </si>
  <si>
    <t>福島県郡山市開成3丁目25番2号</t>
    <rPh sb="0" eb="2">
      <t>フクシマ</t>
    </rPh>
    <phoneticPr fontId="1"/>
  </si>
  <si>
    <t>数理・データサイエンス・AI教育プログラム</t>
    <phoneticPr fontId="1"/>
  </si>
  <si>
    <t>無</t>
  </si>
  <si>
    <t>石原　正道 / 伊藤 央奈</t>
    <phoneticPr fontId="1"/>
  </si>
  <si>
    <t>数理・データサイエンス・AI推進委員会委員長/副委員長</t>
    <rPh sb="0" eb="2">
      <t>スウリ</t>
    </rPh>
    <rPh sb="14" eb="19">
      <t>スイシンイインカイ</t>
    </rPh>
    <rPh sb="19" eb="22">
      <t>イインチョウ</t>
    </rPh>
    <rPh sb="23" eb="27">
      <t>フクイインチョウ</t>
    </rPh>
    <phoneticPr fontId="1"/>
  </si>
  <si>
    <t>石原正道</t>
    <rPh sb="0" eb="2">
      <t>イシハラ</t>
    </rPh>
    <rPh sb="2" eb="4">
      <t>マサミチ</t>
    </rPh>
    <phoneticPr fontId="1"/>
  </si>
  <si>
    <t>委員長</t>
    <rPh sb="0" eb="3">
      <t>イインチョウ</t>
    </rPh>
    <phoneticPr fontId="1"/>
  </si>
  <si>
    <t>認定教育プログラム</t>
  </si>
  <si>
    <t>教務部</t>
    <rPh sb="0" eb="3">
      <t>キョウムブ</t>
    </rPh>
    <phoneticPr fontId="1"/>
  </si>
  <si>
    <t>皆川 智彦</t>
    <phoneticPr fontId="1"/>
  </si>
  <si>
    <t>024-932-4848 (内線215)</t>
    <phoneticPr fontId="1"/>
  </si>
  <si>
    <t>学部・学科によって、修了要件は相違しない</t>
  </si>
  <si>
    <t>数理・データサイエンス基礎</t>
    <phoneticPr fontId="1"/>
  </si>
  <si>
    <t>○</t>
  </si>
  <si>
    <t>全学開講</t>
  </si>
  <si>
    <t>4-1統計および数理基礎</t>
  </si>
  <si>
    <t>郡山女子大学・郡山女子大学短期大学部 数理・データサイエンス・AI教育プログラム推進委員会規程</t>
    <phoneticPr fontId="1"/>
  </si>
  <si>
    <t>　本学では週2コマの研究室滞在時間帯（オフィスタイム）を設けることとしており、受講生はこの時間に直接教員の研究室を訪ね、学習指導を受けることができる。また本学では授業の履修システムを用いて授業の履修が行われる。このシステムで開講科目が設定されると同時にeLearningのシステムにも同科目が自動設定され、eLearning上にも履修者が登録されることとなっている。このため、履修者はeLearningのシステムを用いて時間外質問をすることができる。このシステムでは質問は担当者のメールに転送されることから、比較的短い時間での応答できるようになっている。以上の通り、本学では授業時間外での質問をし回答を受けることのできる仕組みが整っており、時間外に学習指導を受けることが可能となっている。</t>
    <phoneticPr fontId="1"/>
  </si>
  <si>
    <t>https://www.koriyama-kgc.ac.jp/departments/datascience</t>
    <phoneticPr fontId="1"/>
  </si>
  <si>
    <r>
      <rPr>
        <sz val="12"/>
        <rFont val="ＭＳ Ｐゴシック"/>
        <family val="3"/>
        <charset val="128"/>
        <scheme val="minor"/>
      </rPr>
      <t>・ビッグデータ、IoT 、 AI 、 ロボット「数理・データサイエンス基礎」（１回目）</t>
    </r>
    <r>
      <rPr>
        <sz val="12"/>
        <color rgb="FFFF0000"/>
        <rFont val="ＭＳ Ｐゴシック"/>
        <family val="3"/>
        <charset val="128"/>
        <scheme val="minor"/>
      </rPr>
      <t xml:space="preserve">
</t>
    </r>
    <r>
      <rPr>
        <sz val="12"/>
        <rFont val="ＭＳ Ｐゴシック"/>
        <family val="3"/>
        <charset val="128"/>
        <scheme val="minor"/>
      </rPr>
      <t>・第4 次産業革命、 Society 5.0 、 データ駆動型社会「数理・データサイエンス基礎」（１回目）</t>
    </r>
    <rPh sb="78" eb="80">
      <t>スウリ</t>
    </rPh>
    <rPh sb="89" eb="91">
      <t>キソ</t>
    </rPh>
    <phoneticPr fontId="1"/>
  </si>
  <si>
    <t>利活用事例（財・サービスの生産・提供、シェアリング・エコノミー、AI やロボットの活用、フィンテック・NFT）
「数理・データサイエンス基礎」（２回目）</t>
    <phoneticPr fontId="1"/>
  </si>
  <si>
    <t>概略: https://www.koriyama-kgc.ac.jp/departments/datascience  授業計画（シラバス）: https://www.koriyama-kgc.ac.jp/aboutus/kyoiku</t>
    <rPh sb="0" eb="2">
      <t>ガイリャク</t>
    </rPh>
    <rPh sb="60" eb="62">
      <t>ジュギョウ</t>
    </rPh>
    <rPh sb="62" eb="64">
      <t>ケイカク</t>
    </rPh>
    <phoneticPr fontId="1"/>
  </si>
  <si>
    <t>社会におけるデータ活用の基本的な知識を習得し、データを扱い情報を抽出する基本的な方法を理解できる。具体的な修得事項は
１. 社会におけるデータやAI利活用およびその留意事項等について説明できること、2. データを扱うために必要な数な扱いができるようになること、3. データの記述とデータからの情報抽出ができるようになること、である。</t>
    <phoneticPr fontId="1"/>
  </si>
  <si>
    <t>山本 裕詞</t>
    <phoneticPr fontId="1"/>
  </si>
  <si>
    <t>評価チーム・主</t>
    <rPh sb="0" eb="2">
      <t>ヒョウカ</t>
    </rPh>
    <rPh sb="6" eb="7">
      <t>シュ</t>
    </rPh>
    <phoneticPr fontId="1"/>
  </si>
  <si>
    <t>本運営委員会は、数理・データサイエンス・AI教育プログラムの維持・管理に必要
な業務を行うことを目的とする。また委員会内に設置した評価チームは、運営委員会からの独立性を高めて数理・データサイエンス・AI教育プログラムの評価を行うことを目的とする。</t>
    <rPh sb="0" eb="1">
      <t>ホン</t>
    </rPh>
    <rPh sb="48" eb="50">
      <t>モクテキ</t>
    </rPh>
    <rPh sb="56" eb="59">
      <t>イインカイ</t>
    </rPh>
    <rPh sb="59" eb="60">
      <t>ナイ</t>
    </rPh>
    <rPh sb="61" eb="63">
      <t>セッチ</t>
    </rPh>
    <rPh sb="82" eb="83">
      <t>セイ</t>
    </rPh>
    <rPh sb="84" eb="85">
      <t>タカ</t>
    </rPh>
    <rPh sb="117" eb="119">
      <t>モクテキ</t>
    </rPh>
    <phoneticPr fontId="1"/>
  </si>
  <si>
    <t>　履修者数・履修率の向上のために、本学で実施している集会において学生に情報提供を行う。
　授業における履修者数・履修率を上げる取り組みとして、eLearningのシステムによる学習指導・質問の受付体制を整備する。eLearningシステムを用いた質問が可能であることを学生に周知することにより、理数系を苦手とする学生が本プログラムを履修するための心理的な敷居を下げるよう試みる。
　本プログラムを履修するための動機づけとして、本プログラムの履修修了書の発行を行う。既に1回の発行を行ったが、認定後はMDASHの認証を有する修了証とすることで履修率の向上を試みる。さらに社会との関係の観点から、履歴書への記載によって就職活動に影響しうることを伝達することによって更なる履修者数・履修率の向上を試みる。
　以上の事項により履修者数・履修率を向上させる。</t>
    <rPh sb="148" eb="149">
      <t>スウ</t>
    </rPh>
    <rPh sb="229" eb="230">
      <t>オコナ</t>
    </rPh>
    <rPh sb="232" eb="233">
      <t>スデ</t>
    </rPh>
    <rPh sb="235" eb="236">
      <t>カイ</t>
    </rPh>
    <rPh sb="237" eb="239">
      <t>ハッコウ</t>
    </rPh>
    <rPh sb="240" eb="241">
      <t>オコナ</t>
    </rPh>
    <rPh sb="245" eb="248">
      <t>ニンテイゴ</t>
    </rPh>
    <rPh sb="255" eb="257">
      <t>ニンショウ</t>
    </rPh>
    <phoneticPr fontId="1"/>
  </si>
  <si>
    <t>　本学では各学科の学年毎に複数名のアドバイザーと呼ばれる教員が配置され、該当学年への対応を行っている。また学科学年単位で全学生が集まる集会が実施されている。この集会において、様々な履修課程の周知や履修計画への助言を行っている。以上の現状を踏まえ、前期・後期開始時の集会において本プログラムを紹介し、履修漏れを防ぐこととしている。さらに本プログラムの受講に関わらず、ほぼ全学生が履修する情報処理演習において本プログラムを紹介することで、履修漏れとなることを防いでいる。
　また大学のウェブ上に本プログラムに関する情報を掲載することし、本プログラムに関する情報を適宜発信していく。本学では科目履修用に専用のシステムを用いており、全学生に対する連絡機能を有している。そこで本システムを用い、本プログラムについて周知することとする。具体的には先のウェブページのリンクを配信するなどし、本プログラムに関する情報提供を行うこととする。</t>
    <rPh sb="149" eb="152">
      <t>リシュウモ</t>
    </rPh>
    <rPh sb="154" eb="155">
      <t>フセ</t>
    </rPh>
    <rPh sb="167" eb="168">
      <t>ホン</t>
    </rPh>
    <rPh sb="174" eb="176">
      <t>ジュコウ</t>
    </rPh>
    <rPh sb="177" eb="178">
      <t>カカ</t>
    </rPh>
    <rPh sb="184" eb="185">
      <t>ゼン</t>
    </rPh>
    <rPh sb="185" eb="187">
      <t>ガクセイ</t>
    </rPh>
    <rPh sb="188" eb="190">
      <t>リシュウ</t>
    </rPh>
    <rPh sb="192" eb="196">
      <t>ジョウホウショリ</t>
    </rPh>
    <rPh sb="196" eb="198">
      <t>エンシュウ</t>
    </rPh>
    <rPh sb="202" eb="203">
      <t>ホン</t>
    </rPh>
    <rPh sb="209" eb="211">
      <t>ショウカイ</t>
    </rPh>
    <rPh sb="217" eb="219">
      <t>リシュウ</t>
    </rPh>
    <rPh sb="219" eb="220">
      <t>モ</t>
    </rPh>
    <rPh sb="227" eb="228">
      <t>フセ</t>
    </rPh>
    <phoneticPr fontId="1"/>
  </si>
  <si>
    <t>本学では一部の例外を除き、全授業において学生による授業評価アンケートが行われる。授業評価の結果を参照することにより、授業内容や授業環境の評価を数的に把握している。また記述欄を設け、数的な把握だけでは得られない情報を得ている。本アンケート結果は授業担当者だけでなく、授業担当者の所属する学科主任にも伝達される。このことにより組織的な対応・改善を可能にしている。また本学では前期もしくは後期の一定期間内において教職員へ授業を公開をしている。本プログラムに含まれる科目も該当し、教職員からの意見を授業改善への一助としている。これらに加え、数理・データサイエンス・AI教育推進委員会内の評価チームに本アンケート結果を開示しており、この評価に伴い必要に応じて改善のための意見等が提出されることとなっている。以上のことから学修成果をあげるための改善の仕組みを構築しているといえる。</t>
    <rPh sb="168" eb="170">
      <t>カイゼン</t>
    </rPh>
    <rPh sb="263" eb="264">
      <t>クワ</t>
    </rPh>
    <rPh sb="266" eb="268">
      <t>スウリ</t>
    </rPh>
    <rPh sb="280" eb="282">
      <t>キョウイク</t>
    </rPh>
    <rPh sb="282" eb="284">
      <t>スイシン</t>
    </rPh>
    <rPh sb="284" eb="287">
      <t>イインカイ</t>
    </rPh>
    <rPh sb="287" eb="288">
      <t>ナイ</t>
    </rPh>
    <rPh sb="289" eb="291">
      <t>ヒョウカ</t>
    </rPh>
    <rPh sb="295" eb="296">
      <t>ホン</t>
    </rPh>
    <rPh sb="301" eb="303">
      <t>ケッカ</t>
    </rPh>
    <rPh sb="304" eb="306">
      <t>カイジ</t>
    </rPh>
    <rPh sb="313" eb="315">
      <t>ヒョウカ</t>
    </rPh>
    <rPh sb="316" eb="317">
      <t>トモナ</t>
    </rPh>
    <rPh sb="318" eb="320">
      <t>ヒツヨウ</t>
    </rPh>
    <rPh sb="321" eb="322">
      <t>オウ</t>
    </rPh>
    <rPh sb="324" eb="326">
      <t>カイゼン</t>
    </rPh>
    <rPh sb="330" eb="332">
      <t>イケン</t>
    </rPh>
    <rPh sb="332" eb="333">
      <t>トウ</t>
    </rPh>
    <rPh sb="334" eb="336">
      <t>テイシュツ</t>
    </rPh>
    <rPh sb="348" eb="350">
      <t>イジョウ</t>
    </rPh>
    <phoneticPr fontId="1"/>
  </si>
  <si>
    <t>令和3</t>
    <rPh sb="0" eb="2">
      <t>レイワ</t>
    </rPh>
    <phoneticPr fontId="1"/>
  </si>
  <si>
    <t>・データの種類（尺度）、要約統計量、・データのばらつき（分散、標準偏差）
  「数理・データサイエンス基礎」（9回目）
・相関（相関係数）「数理・データサイエンス基礎」（10回目）
・仮説と検定（平均値の検定、適合度の検定、独立性の検定）「数理・データサイエンス基礎」（１1-13回目）
・実データを用いた解析「数理・データサイエンス基礎」（14回目）</t>
    <rPh sb="8" eb="10">
      <t>シャクド</t>
    </rPh>
    <rPh sb="12" eb="14">
      <t>ヨウヤク</t>
    </rPh>
    <rPh sb="14" eb="17">
      <t>トウケイリョウ</t>
    </rPh>
    <rPh sb="92" eb="94">
      <t>カセツ</t>
    </rPh>
    <rPh sb="95" eb="97">
      <t>ケンテイ</t>
    </rPh>
    <rPh sb="98" eb="101">
      <t>ヘイキンチ</t>
    </rPh>
    <rPh sb="102" eb="104">
      <t>ケンテイ</t>
    </rPh>
    <rPh sb="105" eb="107">
      <t>テキゴウ</t>
    </rPh>
    <rPh sb="107" eb="108">
      <t>ド</t>
    </rPh>
    <rPh sb="109" eb="111">
      <t>ケンテイ</t>
    </rPh>
    <rPh sb="112" eb="114">
      <t>ドクリツ</t>
    </rPh>
    <rPh sb="114" eb="115">
      <t>セイ</t>
    </rPh>
    <rPh sb="116" eb="118">
      <t>ケンテイ</t>
    </rPh>
    <phoneticPr fontId="1"/>
  </si>
  <si>
    <t>本学では全授業において授業評価アンケートを実施している。令和3年度において本プログラムの中心となる「数理・データサイエンス基礎」の授業評価アンケートが実施されている。本学の学科構成・入試科目・学科での学修内容を鑑みたとき、数理中心の授業内容であることや、令和3年度に多くの内容が追加されたことを鑑みると、本科目の評価は及第点であったといえる。各履修者の成績は各学科学年のアドバイザ（担任相当）も把握するところであり、教員間の情報共有を通じて後輩等他の学生に推奨しうるか教員も判断している。2021年度から、卒業生のうち本プログラムを履修し修得した学生に大学独自のプログラム修了証を発行しており、授業評価アンケートの結果を考慮した授業改善や本プログラム修了証などにより、後輩等により推奨しうるものになると考えられる。</t>
    <rPh sb="37" eb="38">
      <t>ホン</t>
    </rPh>
    <rPh sb="44" eb="46">
      <t>チュウシン</t>
    </rPh>
    <rPh sb="127" eb="129">
      <t>レイワ</t>
    </rPh>
    <rPh sb="133" eb="134">
      <t>オオ</t>
    </rPh>
    <rPh sb="147" eb="148">
      <t>カンガ</t>
    </rPh>
    <rPh sb="159" eb="162">
      <t>キュウダイテン</t>
    </rPh>
    <rPh sb="171" eb="175">
      <t>カクリシュウシャ</t>
    </rPh>
    <rPh sb="179" eb="180">
      <t>カク</t>
    </rPh>
    <rPh sb="180" eb="182">
      <t>ガッカ</t>
    </rPh>
    <rPh sb="182" eb="184">
      <t>ガクネン</t>
    </rPh>
    <rPh sb="191" eb="193">
      <t>タンニン</t>
    </rPh>
    <rPh sb="193" eb="195">
      <t>ソウトウ</t>
    </rPh>
    <rPh sb="197" eb="199">
      <t>ハアク</t>
    </rPh>
    <rPh sb="208" eb="210">
      <t>キョウイン</t>
    </rPh>
    <rPh sb="210" eb="211">
      <t>カン</t>
    </rPh>
    <rPh sb="212" eb="214">
      <t>ジョウホウ</t>
    </rPh>
    <rPh sb="214" eb="216">
      <t>キョウユウ</t>
    </rPh>
    <rPh sb="217" eb="218">
      <t>ツウ</t>
    </rPh>
    <rPh sb="220" eb="222">
      <t>コウハイ</t>
    </rPh>
    <rPh sb="222" eb="223">
      <t>トウ</t>
    </rPh>
    <rPh sb="223" eb="224">
      <t>タ</t>
    </rPh>
    <rPh sb="225" eb="227">
      <t>ガクセイ</t>
    </rPh>
    <rPh sb="228" eb="230">
      <t>スイショウ</t>
    </rPh>
    <rPh sb="234" eb="236">
      <t>キョウイン</t>
    </rPh>
    <rPh sb="237" eb="239">
      <t>ハンダン</t>
    </rPh>
    <rPh sb="248" eb="250">
      <t>ネンド</t>
    </rPh>
    <rPh sb="253" eb="255">
      <t>ソツギョウ</t>
    </rPh>
    <rPh sb="255" eb="256">
      <t>セイ</t>
    </rPh>
    <rPh sb="259" eb="260">
      <t>ホン</t>
    </rPh>
    <rPh sb="266" eb="268">
      <t>リシュウ</t>
    </rPh>
    <rPh sb="269" eb="271">
      <t>シュウトク</t>
    </rPh>
    <rPh sb="273" eb="275">
      <t>ガクセイ</t>
    </rPh>
    <rPh sb="276" eb="280">
      <t>ダイガクドクジ</t>
    </rPh>
    <rPh sb="286" eb="289">
      <t>シュウリョウショウ</t>
    </rPh>
    <rPh sb="290" eb="292">
      <t>ハッコウ</t>
    </rPh>
    <rPh sb="297" eb="299">
      <t>ジュギョウ</t>
    </rPh>
    <rPh sb="299" eb="301">
      <t>ヒョウカ</t>
    </rPh>
    <rPh sb="307" eb="309">
      <t>ケッカ</t>
    </rPh>
    <rPh sb="310" eb="312">
      <t>コウリョ</t>
    </rPh>
    <rPh sb="325" eb="328">
      <t>シュウリョウショウ</t>
    </rPh>
    <phoneticPr fontId="1"/>
  </si>
  <si>
    <t>令和2年度までは数理・データサイエンス・AIの基礎であるデータの数的表現や統計学等に重きをおいていた。そこで令和3年度は本プログラムを改善し、モデルカリキュラムを参照して中核科目である科目「数理・データサイエンス基礎」に「学ぶ楽しさ」や「学ぶことの意義」にかかわる「導入」の内容を追加した。理解状況の把握は授業評価アンケートにより行っている。中核科目である科目「数理・データサイエンス基礎」では多くの授業回で確認ペーパーと称する用紙（リフレクションシート相当）を用意し、感想・理解できたこと・理解できなかったことを学生に記述していただき、理解の状況を把握をするようにしている。</t>
    <rPh sb="227" eb="229">
      <t>ソウトウ</t>
    </rPh>
    <phoneticPr fontId="1"/>
  </si>
  <si>
    <t>郡山女子大学短期大学部</t>
    <rPh sb="0" eb="6">
      <t>コオリヤマジョシダイガク</t>
    </rPh>
    <rPh sb="6" eb="11">
      <t>タンキダイガクブ</t>
    </rPh>
    <phoneticPr fontId="1"/>
  </si>
  <si>
    <t>健康栄養学科</t>
    <rPh sb="0" eb="6">
      <t>ケンコウエイヨウガッカ</t>
    </rPh>
    <phoneticPr fontId="1"/>
  </si>
  <si>
    <t>幼児教育学科</t>
    <rPh sb="0" eb="6">
      <t>ヨウジキョウイクガッカ</t>
    </rPh>
    <phoneticPr fontId="1"/>
  </si>
  <si>
    <t>地域創成学科</t>
    <rPh sb="0" eb="6">
      <t>チイキソウセイガッカ</t>
    </rPh>
    <phoneticPr fontId="1"/>
  </si>
  <si>
    <t>　令和3年度において、本プログラムの主たる科目「数理・データサイエンス基礎」の履修者は一人の教員で十分対応可能な受講生数であった。しかし今後履修者が多くなった場合には、一人の担当教員では授業の開講を含め十分な対応をすることが困難であると予想される。そこで全学生が履修可能である、科目「数理・データサイエンス基礎」に対しては、複数名の教員を配置し、履修希望者が多くなった場合にも複数教室での対応や複数回の開設により学生が履修できるよう準備をしている。令和3年度の授業では2名の教員により科目「数理・データサイエンス基礎」を実施している。令和4年度より本学短期大学部に本授業を担当可能な教員１名を増員した。これにより学園（大学・短大）として4名の教員が授業を担当できる体制となった。これによりより多くの受講希望者がいる場合であっても、担当授業の調整により全受講希望者が受講できるよう対応可能である。
　</t>
    <rPh sb="1" eb="3">
      <t>レイワ</t>
    </rPh>
    <rPh sb="4" eb="6">
      <t>ネンド</t>
    </rPh>
    <rPh sb="11" eb="12">
      <t>ホン</t>
    </rPh>
    <rPh sb="179" eb="180">
      <t>オオ</t>
    </rPh>
    <rPh sb="216" eb="218">
      <t>ジュンビ</t>
    </rPh>
    <rPh sb="224" eb="226">
      <t>レイワ</t>
    </rPh>
    <rPh sb="227" eb="229">
      <t>ネンド</t>
    </rPh>
    <rPh sb="230" eb="232">
      <t>ジュギョウ</t>
    </rPh>
    <rPh sb="235" eb="236">
      <t>メイ</t>
    </rPh>
    <rPh sb="237" eb="239">
      <t>キョウイン</t>
    </rPh>
    <rPh sb="242" eb="244">
      <t>カモク</t>
    </rPh>
    <rPh sb="245" eb="247">
      <t>スウリ</t>
    </rPh>
    <rPh sb="256" eb="258">
      <t>キソ</t>
    </rPh>
    <rPh sb="260" eb="262">
      <t>ジッシ</t>
    </rPh>
    <rPh sb="267" eb="269">
      <t>レイワ</t>
    </rPh>
    <rPh sb="270" eb="272">
      <t>ネンド</t>
    </rPh>
    <rPh sb="274" eb="276">
      <t>ホンガク</t>
    </rPh>
    <rPh sb="276" eb="281">
      <t>タンキダイガクブ</t>
    </rPh>
    <rPh sb="282" eb="283">
      <t>ホン</t>
    </rPh>
    <rPh sb="283" eb="285">
      <t>ジュギョウ</t>
    </rPh>
    <rPh sb="286" eb="288">
      <t>タントウ</t>
    </rPh>
    <rPh sb="288" eb="290">
      <t>カノウ</t>
    </rPh>
    <rPh sb="291" eb="293">
      <t>キョウイン</t>
    </rPh>
    <rPh sb="294" eb="295">
      <t>メイ</t>
    </rPh>
    <rPh sb="296" eb="298">
      <t>ゾウイン</t>
    </rPh>
    <rPh sb="306" eb="308">
      <t>ガクエン</t>
    </rPh>
    <rPh sb="309" eb="311">
      <t>ダイガク</t>
    </rPh>
    <rPh sb="312" eb="314">
      <t>タンダイ</t>
    </rPh>
    <rPh sb="319" eb="320">
      <t>メイ</t>
    </rPh>
    <rPh sb="321" eb="323">
      <t>キョウイン</t>
    </rPh>
    <rPh sb="324" eb="326">
      <t>ジュギョウ</t>
    </rPh>
    <rPh sb="327" eb="329">
      <t>タントウ</t>
    </rPh>
    <rPh sb="332" eb="334">
      <t>タイセイ</t>
    </rPh>
    <rPh sb="351" eb="354">
      <t>キボウシャ</t>
    </rPh>
    <rPh sb="365" eb="367">
      <t>タントウ</t>
    </rPh>
    <rPh sb="367" eb="369">
      <t>ジュギョウ</t>
    </rPh>
    <rPh sb="370" eb="372">
      <t>チョウセイ</t>
    </rPh>
    <rPh sb="375" eb="376">
      <t>ゼン</t>
    </rPh>
    <rPh sb="376" eb="378">
      <t>ジュコウ</t>
    </rPh>
    <rPh sb="378" eb="381">
      <t>キボウシャ</t>
    </rPh>
    <rPh sb="382" eb="384">
      <t>ジュコウ</t>
    </rPh>
    <rPh sb="389" eb="391">
      <t>タイオウ</t>
    </rPh>
    <rPh sb="391" eb="393">
      <t>カノウ</t>
    </rPh>
    <phoneticPr fontId="1"/>
  </si>
  <si>
    <t xml:space="preserve">これまでは、就職部が企業に対して行っているアンケート結果から、一般的な情報処理に関するニーズを抽出していた。この抽出結果の内容はオフィス系ソフトウェアの情報処理技術へ言及が主となっていた。そこで本プログラムの導入を受け令和3年度の企業アンケートより数理・データサイエンス・AIに係るアンケート項目を追加し、その回答から本プログラムの見直し等を行うこととした。この結果は本プログラムを所管する数理・データサイエンス・ＡＩ教育推進委員会に報告されており、産業界の視点踏まえたプログラムの見直しの一助となっている。またアンケート結果は理事長にも報告されており、必要に応じ教授会においてもアンケート結果について就職部が言及している。このことにより学内において産業界の視点が共有されている。抽出内容によっては本プログラムの授業担当者に伝達され、授業内容の改善に用いられている（令和4年度の情報処理Iではこの情報から改善がなされた）。
</t>
    <rPh sb="31" eb="34">
      <t>イッパンテキ</t>
    </rPh>
    <rPh sb="35" eb="39">
      <t>ジョウホウショリ</t>
    </rPh>
    <rPh sb="40" eb="41">
      <t>カン</t>
    </rPh>
    <rPh sb="47" eb="49">
      <t>チュウシュツ</t>
    </rPh>
    <rPh sb="56" eb="58">
      <t>チュウシュツ</t>
    </rPh>
    <rPh sb="58" eb="60">
      <t>ケッカ</t>
    </rPh>
    <rPh sb="61" eb="63">
      <t>ナイヨウ</t>
    </rPh>
    <rPh sb="68" eb="69">
      <t>ケイ</t>
    </rPh>
    <rPh sb="76" eb="78">
      <t>ジョウホウ</t>
    </rPh>
    <rPh sb="78" eb="80">
      <t>ショリ</t>
    </rPh>
    <rPh sb="80" eb="82">
      <t>ギジュツ</t>
    </rPh>
    <rPh sb="83" eb="85">
      <t>ゲンキュウ</t>
    </rPh>
    <rPh sb="86" eb="87">
      <t>シュ</t>
    </rPh>
    <rPh sb="97" eb="98">
      <t>ホン</t>
    </rPh>
    <rPh sb="104" eb="106">
      <t>ドウニュウ</t>
    </rPh>
    <rPh sb="107" eb="108">
      <t>ウ</t>
    </rPh>
    <rPh sb="109" eb="111">
      <t>レイワ</t>
    </rPh>
    <rPh sb="112" eb="114">
      <t>ネンド</t>
    </rPh>
    <rPh sb="115" eb="117">
      <t>キギョウ</t>
    </rPh>
    <rPh sb="139" eb="140">
      <t>カカワ</t>
    </rPh>
    <rPh sb="146" eb="148">
      <t>コウモク</t>
    </rPh>
    <rPh sb="149" eb="151">
      <t>ツイカ</t>
    </rPh>
    <rPh sb="155" eb="157">
      <t>カイトウ</t>
    </rPh>
    <rPh sb="159" eb="160">
      <t>ホン</t>
    </rPh>
    <rPh sb="181" eb="183">
      <t>ケッカ</t>
    </rPh>
    <rPh sb="184" eb="185">
      <t>ホン</t>
    </rPh>
    <rPh sb="191" eb="193">
      <t>ショカン</t>
    </rPh>
    <rPh sb="195" eb="197">
      <t>スウリ</t>
    </rPh>
    <rPh sb="209" eb="211">
      <t>キョウイク</t>
    </rPh>
    <rPh sb="211" eb="213">
      <t>スイシン</t>
    </rPh>
    <rPh sb="213" eb="216">
      <t>イインカイ</t>
    </rPh>
    <rPh sb="217" eb="219">
      <t>ホウコク</t>
    </rPh>
    <rPh sb="225" eb="228">
      <t>サンギョウカイ</t>
    </rPh>
    <rPh sb="229" eb="231">
      <t>シテン</t>
    </rPh>
    <rPh sb="231" eb="232">
      <t>フ</t>
    </rPh>
    <rPh sb="241" eb="243">
      <t>ミナオ</t>
    </rPh>
    <rPh sb="245" eb="247">
      <t>イチジョ</t>
    </rPh>
    <rPh sb="261" eb="263">
      <t>ケッカ</t>
    </rPh>
    <rPh sb="264" eb="267">
      <t>リジチョウ</t>
    </rPh>
    <rPh sb="269" eb="271">
      <t>ホウコク</t>
    </rPh>
    <rPh sb="277" eb="279">
      <t>ヒツヨウ</t>
    </rPh>
    <rPh sb="280" eb="281">
      <t>オウ</t>
    </rPh>
    <rPh sb="282" eb="285">
      <t>キョウジュカイ</t>
    </rPh>
    <rPh sb="295" eb="297">
      <t>ケッカ</t>
    </rPh>
    <rPh sb="301" eb="304">
      <t>シュウショクブ</t>
    </rPh>
    <rPh sb="305" eb="307">
      <t>ゲンキュウ</t>
    </rPh>
    <rPh sb="319" eb="321">
      <t>ガクナイ</t>
    </rPh>
    <rPh sb="325" eb="328">
      <t>サンギョウカイ</t>
    </rPh>
    <rPh sb="329" eb="331">
      <t>シテン</t>
    </rPh>
    <rPh sb="332" eb="334">
      <t>キョウユウ</t>
    </rPh>
    <rPh sb="372" eb="374">
      <t>カイゼン</t>
    </rPh>
    <rPh sb="375" eb="376">
      <t>モチ</t>
    </rPh>
    <rPh sb="383" eb="385">
      <t>レイワ</t>
    </rPh>
    <rPh sb="386" eb="388">
      <t>ネンド</t>
    </rPh>
    <rPh sb="398" eb="400">
      <t>ジョウホウ</t>
    </rPh>
    <rPh sb="402" eb="404">
      <t>カイゼン</t>
    </rPh>
    <phoneticPr fontId="1"/>
  </si>
  <si>
    <t>本学では全授業において授業評価アンケートを実施している。令和3年度は本プログラムを構成する科目「数理・データサイエンス基礎」「情報処理I」の授業評価が実施されている。アンケート結果は学園教育充実研究会による処理がなされたのち、授業担当者および授業担当者の所属する学科主任にアンケート結果が伝達され、学生の理解度や満足度が把握されている。本アンケートでは記述欄も設けられており、記述内容を確認することで、数値だけでは分からない理解の状況など把握をしている。また本プログラムを扱う委員会では評価チームを構成しており、評価チームから要請があった場合にはアンケート結果を提供し、必要に応じて意見等が所轄委員会に提出される。この過程を通して所轄委員会から改善意見が提案されうる。以上により学生の理解度を把握し、かつ理解度を増すための改善方法を整えている。</t>
    <rPh sb="28" eb="30">
      <t>レイワ</t>
    </rPh>
    <rPh sb="31" eb="33">
      <t>ネンド</t>
    </rPh>
    <rPh sb="41" eb="43">
      <t>コウセイ</t>
    </rPh>
    <rPh sb="229" eb="230">
      <t>ホン</t>
    </rPh>
    <rPh sb="236" eb="237">
      <t>アツカ</t>
    </rPh>
    <phoneticPr fontId="1"/>
  </si>
  <si>
    <t>大学の取り組みとして本プログラム(現在と講義内容が異なる)は開始年度（令和2年度）に設定された。本学の学科構成等を鑑み、収容人数の学生数を基準として2％程度を見込んでいた。履修者数をみると5名であり想定よりは低い数値であった。令和3年度はモデルカリキュラムを参照し、認定要件を満たすよう授業内容を整えた。令和3年度は目標とする数値を達成するよう、入学直後から各学科の1年生アドバイザ（担任相当）を通して本プログラムの紹介をした。この結果、前年度から32名の履修者の増加となった。令和4年度においても、各学科の1年生アドバイザ（担任相当）を通して本プログラムの紹介していただいていること、昨年度の修了者に本学独自の修了証が初めて発行されたこと、科目「情報処理I」をほとんどの学生が履修することから、今後も順調に履修率が向上すると考えられる。</t>
    <rPh sb="0" eb="2">
      <t>ダイガク</t>
    </rPh>
    <rPh sb="3" eb="4">
      <t>ト</t>
    </rPh>
    <rPh sb="5" eb="6">
      <t>ク</t>
    </rPh>
    <rPh sb="17" eb="19">
      <t>ゲンザイ</t>
    </rPh>
    <rPh sb="20" eb="22">
      <t>コウギ</t>
    </rPh>
    <rPh sb="22" eb="24">
      <t>ナイヨウ</t>
    </rPh>
    <rPh sb="25" eb="26">
      <t>コト</t>
    </rPh>
    <rPh sb="42" eb="44">
      <t>セッテイ</t>
    </rPh>
    <rPh sb="60" eb="62">
      <t>シュウヨウ</t>
    </rPh>
    <rPh sb="62" eb="64">
      <t>ニンズウ</t>
    </rPh>
    <rPh sb="95" eb="96">
      <t>メイ</t>
    </rPh>
    <rPh sb="99" eb="101">
      <t>ソウテイ</t>
    </rPh>
    <rPh sb="104" eb="105">
      <t>ヒク</t>
    </rPh>
    <rPh sb="106" eb="108">
      <t>スウチ</t>
    </rPh>
    <rPh sb="133" eb="135">
      <t>ニンテイ</t>
    </rPh>
    <rPh sb="135" eb="137">
      <t>ヨウケン</t>
    </rPh>
    <rPh sb="138" eb="139">
      <t>ミ</t>
    </rPh>
    <rPh sb="143" eb="145">
      <t>ジュギョウ</t>
    </rPh>
    <rPh sb="145" eb="147">
      <t>ナイヨウ</t>
    </rPh>
    <rPh sb="148" eb="149">
      <t>トトノ</t>
    </rPh>
    <rPh sb="194" eb="196">
      <t>ソウトウ</t>
    </rPh>
    <rPh sb="216" eb="218">
      <t>ケッカ</t>
    </rPh>
    <rPh sb="219" eb="222">
      <t>ゼンネンド</t>
    </rPh>
    <rPh sb="226" eb="227">
      <t>メイ</t>
    </rPh>
    <rPh sb="228" eb="231">
      <t>リシュウシャ</t>
    </rPh>
    <rPh sb="232" eb="234">
      <t>ゾウカ</t>
    </rPh>
    <rPh sb="239" eb="241">
      <t>レイワ</t>
    </rPh>
    <rPh sb="242" eb="243">
      <t>ネン</t>
    </rPh>
    <rPh sb="243" eb="244">
      <t>ド</t>
    </rPh>
    <rPh sb="250" eb="253">
      <t>カクガッカ</t>
    </rPh>
    <rPh sb="265" eb="267">
      <t>ソウトウ</t>
    </rPh>
    <rPh sb="293" eb="296">
      <t>サクネンド</t>
    </rPh>
    <rPh sb="297" eb="300">
      <t>シュウリョウシャ</t>
    </rPh>
    <rPh sb="301" eb="303">
      <t>ホンガク</t>
    </rPh>
    <rPh sb="303" eb="305">
      <t>ドクジ</t>
    </rPh>
    <rPh sb="306" eb="309">
      <t>シュウリョウショウ</t>
    </rPh>
    <rPh sb="310" eb="311">
      <t>ハジ</t>
    </rPh>
    <rPh sb="313" eb="315">
      <t>ハッコウ</t>
    </rPh>
    <rPh sb="336" eb="338">
      <t>ガクセイ</t>
    </rPh>
    <rPh sb="339" eb="341">
      <t>リシュウ</t>
    </rPh>
    <rPh sb="348" eb="350">
      <t>コンゴ</t>
    </rPh>
    <rPh sb="351" eb="353">
      <t>ジュンチョウ</t>
    </rPh>
    <rPh sb="354" eb="357">
      <t>リシュウリツ</t>
    </rPh>
    <rPh sb="358" eb="360">
      <t>コウジョウ</t>
    </rPh>
    <rPh sb="363" eb="364">
      <t>カンガ</t>
    </rPh>
    <phoneticPr fontId="1"/>
  </si>
  <si>
    <t>本学では卒業後に企業に対してアンケートを実施しており、このアンケートを通して企業等における本プログラムを修了した卒業生の活躍状況を把握することが可能である。また本学では卒業生が就職した一部の企業に教員等が訪問（アフターケア）を行っており、訪問した企業において就職した卒業生が本プログラムを修了した学生であった場合には、企業への聞き取りにより状況を把握することが可能である。これらの調査により、本プログラム修了者の評価を確認することが可能である。令和3年生の卒業生のプログラム修了者がモデル評価未対応の本プログラムの初の修了者であり、モデルプログラム対応の本プログラム修了者は令和4年度卒業生が初となることから、本教育プログラムの評価については今後のアンケート結果を待つこととなる。なお、本プログラム履修者に限らないが、これまでの情報処理教育（本プログラムに該当科目が含まれる）に関する事項としては、十分な能力を有するという回答がある一方、不足しているという回答もいただいている。</t>
    <rPh sb="222" eb="224">
      <t>レイワ</t>
    </rPh>
    <rPh sb="225" eb="227">
      <t>ネンセイ</t>
    </rPh>
    <rPh sb="228" eb="230">
      <t>ソツギョウ</t>
    </rPh>
    <rPh sb="230" eb="231">
      <t>セイ</t>
    </rPh>
    <rPh sb="237" eb="240">
      <t>シュウリョウシャ</t>
    </rPh>
    <rPh sb="244" eb="246">
      <t>ヒョウカ</t>
    </rPh>
    <rPh sb="246" eb="249">
      <t>ミタイオウ</t>
    </rPh>
    <rPh sb="250" eb="251">
      <t>ホン</t>
    </rPh>
    <rPh sb="257" eb="258">
      <t>ハツ</t>
    </rPh>
    <rPh sb="274" eb="276">
      <t>タイオウ</t>
    </rPh>
    <rPh sb="277" eb="278">
      <t>ホン</t>
    </rPh>
    <rPh sb="283" eb="286">
      <t>シュウリョウシャ</t>
    </rPh>
    <rPh sb="287" eb="289">
      <t>レイワ</t>
    </rPh>
    <rPh sb="290" eb="292">
      <t>ネンド</t>
    </rPh>
    <rPh sb="292" eb="295">
      <t>ソツギョウセイ</t>
    </rPh>
    <rPh sb="296" eb="297">
      <t>ハツ</t>
    </rPh>
    <rPh sb="305" eb="306">
      <t>ホン</t>
    </rPh>
    <rPh sb="306" eb="308">
      <t>キョウイク</t>
    </rPh>
    <rPh sb="314" eb="316">
      <t>ヒョウカ</t>
    </rPh>
    <rPh sb="321" eb="323">
      <t>コンゴ</t>
    </rPh>
    <rPh sb="329" eb="331">
      <t>ケッカ</t>
    </rPh>
    <rPh sb="332" eb="333">
      <t>マ</t>
    </rPh>
    <rPh sb="343" eb="344">
      <t>ホン</t>
    </rPh>
    <rPh sb="349" eb="352">
      <t>リシュウシャ</t>
    </rPh>
    <rPh sb="353" eb="354">
      <t>カギ</t>
    </rPh>
    <rPh sb="364" eb="368">
      <t>ジョウホウショリ</t>
    </rPh>
    <rPh sb="368" eb="370">
      <t>キョウイク</t>
    </rPh>
    <rPh sb="371" eb="372">
      <t>ホン</t>
    </rPh>
    <rPh sb="378" eb="380">
      <t>ガイトウ</t>
    </rPh>
    <rPh sb="380" eb="382">
      <t>カモク</t>
    </rPh>
    <rPh sb="383" eb="384">
      <t>フク</t>
    </rPh>
    <rPh sb="389" eb="390">
      <t>カン</t>
    </rPh>
    <rPh sb="392" eb="394">
      <t>ジコウ</t>
    </rPh>
    <rPh sb="399" eb="401">
      <t>ジュウブン</t>
    </rPh>
    <rPh sb="402" eb="404">
      <t>ノウリョク</t>
    </rPh>
    <rPh sb="405" eb="406">
      <t>ユウ</t>
    </rPh>
    <rPh sb="411" eb="413">
      <t>カイトウ</t>
    </rPh>
    <rPh sb="416" eb="418">
      <t>イッポウ</t>
    </rPh>
    <rPh sb="419" eb="421">
      <t>フソク</t>
    </rPh>
    <rPh sb="428" eb="430">
      <t>カイトウ</t>
    </rPh>
    <phoneticPr fontId="1"/>
  </si>
  <si>
    <t>学生による授業評価アンケート結果を参照し、学生は授業内容のどの部分が不十分であると考えているか担当教員が把握することにより、理解しやすくなるよう授業内容を見直している。また課題等の実施結果から理解状況を把握するようにしている。中核となる科目「数理・データサイエンス基礎」では多くの授業回において感想・理解できたこと・理解できなかったことを学生に記述していただくことにより理解の状況を把握している。理解が不足している場合には資料等を追加し理解が不十分と考えられる内容を改善している。改善の際には学修内容や学修水準が安易に低下しないよう留意している。以上に加え、本プログラムを管轄する数理・データサイエンス・AI教育推進委員会内における評価チームには授業評価アンケート結果が開示され、必要に応じて評価チームから改善意見等が委員会に提出される。この意見等は委員会における検討ののちに授業担当者に伝達される。このことにより組織として授業内容や水準の維持・向上をはかっている。</t>
    <rPh sb="47" eb="49">
      <t>タントウ</t>
    </rPh>
    <rPh sb="49" eb="51">
      <t>キョウイン</t>
    </rPh>
    <rPh sb="273" eb="275">
      <t>イジョウ</t>
    </rPh>
    <rPh sb="276" eb="277">
      <t>クワ</t>
    </rPh>
    <rPh sb="279" eb="280">
      <t>ホン</t>
    </rPh>
    <rPh sb="286" eb="288">
      <t>カンカツ</t>
    </rPh>
    <rPh sb="290" eb="292">
      <t>スウリ</t>
    </rPh>
    <rPh sb="304" eb="306">
      <t>キョウイク</t>
    </rPh>
    <rPh sb="306" eb="311">
      <t>スイシンイインカイ</t>
    </rPh>
    <rPh sb="371" eb="373">
      <t>イケン</t>
    </rPh>
    <rPh sb="373" eb="374">
      <t>トウ</t>
    </rPh>
    <phoneticPr fontId="1"/>
  </si>
  <si>
    <t>数理・データサイエンス・AI教育推進委員会</t>
    <rPh sb="14" eb="16">
      <t>キョウイク</t>
    </rPh>
    <phoneticPr fontId="1"/>
  </si>
  <si>
    <t>数理・データサイエンス・AI教育推進委員会（評価チーム）</t>
    <rPh sb="14" eb="16">
      <t>キョウイク</t>
    </rPh>
    <rPh sb="22" eb="24">
      <t>ヒョウカ</t>
    </rPh>
    <phoneticPr fontId="1"/>
  </si>
  <si>
    <r>
      <t>家政学部 教授　石原 正道</t>
    </r>
    <r>
      <rPr>
        <b/>
        <sz val="10"/>
        <rFont val="ＭＳ Ｐゴシック"/>
        <family val="3"/>
        <charset val="128"/>
        <scheme val="minor"/>
      </rPr>
      <t>（数理・データサイエンス・AI教育推進委員会委員長）</t>
    </r>
    <r>
      <rPr>
        <sz val="11"/>
        <rFont val="ＭＳ Ｐゴシック"/>
        <family val="3"/>
        <charset val="128"/>
        <scheme val="minor"/>
      </rPr>
      <t xml:space="preserve">
家政学部 准教授　伊藤 央奈</t>
    </r>
    <r>
      <rPr>
        <b/>
        <sz val="10"/>
        <rFont val="ＭＳ Ｐゴシック"/>
        <family val="3"/>
        <charset val="128"/>
        <scheme val="minor"/>
      </rPr>
      <t>（数理・データサイエンス・AI教育推進委員会副委員長）</t>
    </r>
    <r>
      <rPr>
        <sz val="11"/>
        <rFont val="ＭＳ Ｐゴシック"/>
        <family val="3"/>
        <charset val="128"/>
        <scheme val="minor"/>
      </rPr>
      <t xml:space="preserve">
地域創成学科 准教授　山口 猛
地域創成学科 講師　佐々木 達矢　</t>
    </r>
    <r>
      <rPr>
        <b/>
        <sz val="10"/>
        <rFont val="ＭＳ Ｐゴシック"/>
        <family val="3"/>
        <charset val="128"/>
        <scheme val="minor"/>
      </rPr>
      <t>（令和4年度より構成員）</t>
    </r>
    <r>
      <rPr>
        <sz val="11"/>
        <rFont val="ＭＳ Ｐゴシック"/>
        <family val="3"/>
        <charset val="128"/>
        <scheme val="minor"/>
      </rPr>
      <t xml:space="preserve">
教務部　教務課長　皆川 智彦
入学事務・広報部　係  岸本 圭生
[評価チーム]
家政学部 教授　山本 裕詞</t>
    </r>
    <r>
      <rPr>
        <b/>
        <sz val="10"/>
        <rFont val="ＭＳ Ｐゴシック"/>
        <family val="3"/>
        <charset val="128"/>
        <scheme val="minor"/>
      </rPr>
      <t>（数理・データサイエンス・AI教育推進委員会 評価チーム リーダー）</t>
    </r>
    <r>
      <rPr>
        <sz val="11"/>
        <rFont val="ＭＳ Ｐゴシック"/>
        <family val="3"/>
        <charset val="128"/>
        <scheme val="minor"/>
      </rPr>
      <t xml:space="preserve">
健康栄養学科 教授　皆川 博久
家政学部 准教授　阿部 恵利子 
幼児教育学科 講師　安部 高太朗
就職部  係 根本 千佳</t>
    </r>
    <rPh sb="0" eb="4">
      <t>カセイガクブ</t>
    </rPh>
    <rPh sb="5" eb="7">
      <t>キョウジュ</t>
    </rPh>
    <rPh sb="8" eb="10">
      <t>イシハラ</t>
    </rPh>
    <rPh sb="11" eb="13">
      <t>マサミチ</t>
    </rPh>
    <rPh sb="35" eb="38">
      <t>イインチョウ</t>
    </rPh>
    <rPh sb="40" eb="44">
      <t>カセイガクブ</t>
    </rPh>
    <rPh sb="45" eb="48">
      <t>ジュンキョウジュ</t>
    </rPh>
    <rPh sb="49" eb="51">
      <t>イトウ</t>
    </rPh>
    <rPh sb="76" eb="77">
      <t>フク</t>
    </rPh>
    <rPh sb="82" eb="84">
      <t>チイキ</t>
    </rPh>
    <rPh sb="84" eb="86">
      <t>ソウセイ</t>
    </rPh>
    <rPh sb="86" eb="88">
      <t>ガッカ</t>
    </rPh>
    <rPh sb="89" eb="92">
      <t>ジュンキョウジュ</t>
    </rPh>
    <rPh sb="93" eb="95">
      <t>ヤマグチ</t>
    </rPh>
    <rPh sb="98" eb="100">
      <t>チイキ</t>
    </rPh>
    <rPh sb="100" eb="104">
      <t>ソウセイガッカ</t>
    </rPh>
    <rPh sb="105" eb="107">
      <t>コウシ</t>
    </rPh>
    <rPh sb="116" eb="118">
      <t>レイワ</t>
    </rPh>
    <rPh sb="119" eb="121">
      <t>ネンド</t>
    </rPh>
    <rPh sb="123" eb="126">
      <t>コウセイイン</t>
    </rPh>
    <rPh sb="128" eb="131">
      <t>キョウムブ</t>
    </rPh>
    <rPh sb="137" eb="139">
      <t>ミナカワ</t>
    </rPh>
    <rPh sb="143" eb="145">
      <t>ニュウガク</t>
    </rPh>
    <rPh sb="145" eb="147">
      <t>ジム</t>
    </rPh>
    <rPh sb="148" eb="151">
      <t>コウホウブ</t>
    </rPh>
    <rPh sb="152" eb="153">
      <t>カカリ</t>
    </rPh>
    <rPh sb="164" eb="166">
      <t>ヒョウカ</t>
    </rPh>
    <rPh sb="171" eb="175">
      <t>カセイガクブ</t>
    </rPh>
    <rPh sb="176" eb="178">
      <t>キョウジュ</t>
    </rPh>
    <rPh sb="179" eb="181">
      <t>ヤマモト</t>
    </rPh>
    <rPh sb="201" eb="203">
      <t>スイシン</t>
    </rPh>
    <rPh sb="203" eb="206">
      <t>イインカイ</t>
    </rPh>
    <rPh sb="207" eb="209">
      <t>ヒョウカ</t>
    </rPh>
    <rPh sb="219" eb="221">
      <t>ケンコウ</t>
    </rPh>
    <rPh sb="221" eb="223">
      <t>エイヨウ</t>
    </rPh>
    <rPh sb="223" eb="225">
      <t>ガッカ</t>
    </rPh>
    <rPh sb="226" eb="228">
      <t>キョウジュ</t>
    </rPh>
    <rPh sb="229" eb="231">
      <t>ミナカワ</t>
    </rPh>
    <rPh sb="235" eb="239">
      <t>カセイガクブ</t>
    </rPh>
    <rPh sb="240" eb="243">
      <t>ジュンキョウジュ</t>
    </rPh>
    <rPh sb="244" eb="246">
      <t>アベ</t>
    </rPh>
    <rPh sb="252" eb="256">
      <t>ヨウジキョウイク</t>
    </rPh>
    <rPh sb="256" eb="258">
      <t>ガッカ</t>
    </rPh>
    <rPh sb="259" eb="261">
      <t>コウシ</t>
    </rPh>
    <rPh sb="262" eb="264">
      <t>アベ</t>
    </rPh>
    <rPh sb="269" eb="272">
      <t>シュウショクブ</t>
    </rPh>
    <rPh sb="274" eb="275">
      <t>カカリ</t>
    </rPh>
    <rPh sb="276" eb="278">
      <t>ネモト</t>
    </rPh>
    <phoneticPr fontId="1"/>
  </si>
  <si>
    <t>本申請プログラムは数理・データサイエンス・AI教育推進委員会により管理される。プログラム改善のために評価が必要となるが、授業担当者も本委員会の委員長等を担っている。そこで授業担当者によるプログラムの履修・修得状況等の評価となることを避けるため、2021年度からプログラムの自己点検・評価は数理データサイエンスAI教育推進委員会内に設置した評価チームにより実施することとした。評価チームには、評価に必要な資料が提供される。プログラムの履修・修得状況としては履修者数や単位修得者数の提供が可能となっている。評価チームの評価結果は数理・データサイエンス・AI教育推進委員会に提供され、評価チームからの指摘事項等を委員会にて判断し、更新等が必要な案件が生じた場合にカリキュラムを扱う教務委員会や教養キャリア委員会などの委員会に要請し、カリキュラムを含めた検討を行う。以上の過程を通して、プログラムの履修・修得状況を確認し、改善していく。</t>
    <rPh sb="0" eb="1">
      <t>ホン</t>
    </rPh>
    <rPh sb="1" eb="3">
      <t>シンセイ</t>
    </rPh>
    <rPh sb="33" eb="35">
      <t>カンリ</t>
    </rPh>
    <rPh sb="44" eb="46">
      <t>カイゼン</t>
    </rPh>
    <rPh sb="50" eb="52">
      <t>ヒョウカ</t>
    </rPh>
    <rPh sb="53" eb="55">
      <t>ヒツヨウ</t>
    </rPh>
    <rPh sb="60" eb="62">
      <t>ジュギョウ</t>
    </rPh>
    <rPh sb="62" eb="65">
      <t>タントウシャ</t>
    </rPh>
    <rPh sb="66" eb="70">
      <t>ホンイインカイ</t>
    </rPh>
    <rPh sb="71" eb="74">
      <t>イインチョウ</t>
    </rPh>
    <rPh sb="74" eb="75">
      <t>トウ</t>
    </rPh>
    <rPh sb="76" eb="77">
      <t>ニナ</t>
    </rPh>
    <rPh sb="85" eb="87">
      <t>ジュギョウ</t>
    </rPh>
    <rPh sb="87" eb="90">
      <t>タントウシャ</t>
    </rPh>
    <rPh sb="99" eb="101">
      <t>リシュウ</t>
    </rPh>
    <rPh sb="102" eb="106">
      <t>シュウトクジョウキョウ</t>
    </rPh>
    <rPh sb="106" eb="107">
      <t>トウ</t>
    </rPh>
    <rPh sb="108" eb="110">
      <t>ヒョウカ</t>
    </rPh>
    <rPh sb="116" eb="117">
      <t>サ</t>
    </rPh>
    <rPh sb="126" eb="128">
      <t>ネンド</t>
    </rPh>
    <rPh sb="144" eb="146">
      <t>スウリ</t>
    </rPh>
    <rPh sb="156" eb="158">
      <t>キョウイク</t>
    </rPh>
    <rPh sb="158" eb="160">
      <t>スイシン</t>
    </rPh>
    <rPh sb="160" eb="163">
      <t>イインカイ</t>
    </rPh>
    <rPh sb="163" eb="164">
      <t>ナイ</t>
    </rPh>
    <rPh sb="165" eb="167">
      <t>セッチ</t>
    </rPh>
    <rPh sb="169" eb="171">
      <t>ヒョウカ</t>
    </rPh>
    <rPh sb="187" eb="189">
      <t>ヒョウカ</t>
    </rPh>
    <rPh sb="195" eb="197">
      <t>ヒョウカ</t>
    </rPh>
    <rPh sb="198" eb="200">
      <t>ヒツヨウ</t>
    </rPh>
    <rPh sb="201" eb="203">
      <t>シリョウ</t>
    </rPh>
    <rPh sb="204" eb="206">
      <t>テイキョウ</t>
    </rPh>
    <rPh sb="216" eb="218">
      <t>リシュウ</t>
    </rPh>
    <rPh sb="219" eb="223">
      <t>シュウトクジョウキョウ</t>
    </rPh>
    <rPh sb="227" eb="230">
      <t>リシュウシャ</t>
    </rPh>
    <rPh sb="230" eb="231">
      <t>スウ</t>
    </rPh>
    <rPh sb="232" eb="237">
      <t>タンイシュウトクシャ</t>
    </rPh>
    <rPh sb="237" eb="238">
      <t>スウ</t>
    </rPh>
    <rPh sb="239" eb="241">
      <t>テイキョウ</t>
    </rPh>
    <rPh sb="242" eb="244">
      <t>カノウ</t>
    </rPh>
    <rPh sb="251" eb="253">
      <t>ヒョウカ</t>
    </rPh>
    <rPh sb="257" eb="259">
      <t>ヒョウカ</t>
    </rPh>
    <rPh sb="259" eb="261">
      <t>ケッカ</t>
    </rPh>
    <rPh sb="262" eb="264">
      <t>スウリ</t>
    </rPh>
    <rPh sb="276" eb="278">
      <t>キョウイク</t>
    </rPh>
    <rPh sb="278" eb="280">
      <t>スイシン</t>
    </rPh>
    <rPh sb="280" eb="283">
      <t>イインカイ</t>
    </rPh>
    <rPh sb="284" eb="286">
      <t>テイキョウ</t>
    </rPh>
    <rPh sb="289" eb="291">
      <t>ヒョウカ</t>
    </rPh>
    <rPh sb="297" eb="301">
      <t>シテキジコウ</t>
    </rPh>
    <rPh sb="301" eb="302">
      <t>トウ</t>
    </rPh>
    <rPh sb="303" eb="306">
      <t>イインカイ</t>
    </rPh>
    <rPh sb="308" eb="310">
      <t>ハンダン</t>
    </rPh>
    <rPh sb="312" eb="314">
      <t>コウシン</t>
    </rPh>
    <rPh sb="314" eb="315">
      <t>トウ</t>
    </rPh>
    <rPh sb="316" eb="318">
      <t>ヒツヨウ</t>
    </rPh>
    <rPh sb="319" eb="321">
      <t>アンケン</t>
    </rPh>
    <rPh sb="322" eb="323">
      <t>ショウ</t>
    </rPh>
    <rPh sb="325" eb="327">
      <t>バアイ</t>
    </rPh>
    <rPh sb="335" eb="336">
      <t>アツカ</t>
    </rPh>
    <rPh sb="337" eb="339">
      <t>キョウム</t>
    </rPh>
    <rPh sb="339" eb="342">
      <t>イインカイ</t>
    </rPh>
    <rPh sb="343" eb="345">
      <t>キョウヨウ</t>
    </rPh>
    <rPh sb="349" eb="352">
      <t>イインカイ</t>
    </rPh>
    <rPh sb="355" eb="358">
      <t>イインカイ</t>
    </rPh>
    <rPh sb="359" eb="361">
      <t>ヨウセイ</t>
    </rPh>
    <rPh sb="370" eb="371">
      <t>フク</t>
    </rPh>
    <rPh sb="373" eb="375">
      <t>ケントウ</t>
    </rPh>
    <rPh sb="376" eb="377">
      <t>オコナ</t>
    </rPh>
    <rPh sb="379" eb="381">
      <t>イジョウ</t>
    </rPh>
    <rPh sb="382" eb="384">
      <t>カテイ</t>
    </rPh>
    <rPh sb="385" eb="386">
      <t>トオ</t>
    </rPh>
    <phoneticPr fontId="1"/>
  </si>
  <si>
    <t>様式２－１</t>
    <phoneticPr fontId="1"/>
  </si>
  <si>
    <t>data-sci@koriyama-kgc.ac.jp</t>
    <phoneticPr fontId="1"/>
  </si>
  <si>
    <t>　本プログラムは数理・データサイエンス・AI教育推進委員会（以下、主管委員会）により管理される。学生の受講するための体制に不備があると本委員会が判断した場合には改善方策を理事長に上申することができるよう、規定を整備した。
　本プログラムの科目は全学科で履修可能な共通基礎科目（健康栄養学科・幼児教育学科）もしくは生活基礎科目（地域創成学科）として設置されている。共通基礎科目の見直し等を行う組織として教養・キャリア委員会が設置されている。また履修課程全般を扱う教務委員会も設置されている。このため両委員会により全希望学生が履修できるよう適宜見直しを行うことが可能である。これまでに本申請に含まれる科目「数理・データサイエンス基礎」は両委員会にて必要性が議論され、既存科目との調整が図られたのち令和2年度より開設された。現在、主管委員会は、必要に応じ学内の様々な責任者や担当者に意見を聴くことができるほか、理事長に上申することができるとしている。このため、主管委員会は学生全員が受講可能となる措置を講じることができる。　
　人員面では、新たに設置した科目「数理・データサイエンス基礎」の担当教員を複数名とし、全希望学生が履修可能であるよう準備をした。
　設備面では、コンピュータを入学者全員に貸与している。このことにより、学修を希望する学生が機材がないことにより履修できないということがないようにしている。</t>
    <rPh sb="30" eb="32">
      <t>イカ</t>
    </rPh>
    <rPh sb="33" eb="35">
      <t>シュカン</t>
    </rPh>
    <rPh sb="35" eb="38">
      <t>イインカイ</t>
    </rPh>
    <rPh sb="48" eb="50">
      <t>ガクセイ</t>
    </rPh>
    <rPh sb="51" eb="53">
      <t>ジュコウ</t>
    </rPh>
    <rPh sb="102" eb="104">
      <t>キテイ</t>
    </rPh>
    <rPh sb="105" eb="107">
      <t>セイビ</t>
    </rPh>
    <rPh sb="135" eb="137">
      <t>カモク</t>
    </rPh>
    <rPh sb="138" eb="140">
      <t>ケンコウ</t>
    </rPh>
    <rPh sb="140" eb="142">
      <t>エイヨウ</t>
    </rPh>
    <rPh sb="142" eb="144">
      <t>ガッカ</t>
    </rPh>
    <rPh sb="145" eb="151">
      <t>ヨウジキョウイクガッカ</t>
    </rPh>
    <rPh sb="163" eb="169">
      <t>チイキソウセイガッカ</t>
    </rPh>
    <rPh sb="290" eb="293">
      <t>ホンシンセイ</t>
    </rPh>
    <rPh sb="294" eb="295">
      <t>フク</t>
    </rPh>
    <rPh sb="359" eb="361">
      <t>ゲンザイ</t>
    </rPh>
    <rPh sb="362" eb="364">
      <t>シュカン</t>
    </rPh>
    <rPh sb="364" eb="367">
      <t>イインカイ</t>
    </rPh>
    <rPh sb="369" eb="371">
      <t>ヒツヨウ</t>
    </rPh>
    <rPh sb="372" eb="373">
      <t>オウ</t>
    </rPh>
    <rPh sb="374" eb="376">
      <t>ガクナイ</t>
    </rPh>
    <rPh sb="377" eb="379">
      <t>サマザマ</t>
    </rPh>
    <rPh sb="380" eb="383">
      <t>セキニンシャ</t>
    </rPh>
    <rPh sb="384" eb="387">
      <t>タントウシャ</t>
    </rPh>
    <rPh sb="388" eb="390">
      <t>イケン</t>
    </rPh>
    <rPh sb="391" eb="392">
      <t>キ</t>
    </rPh>
    <rPh sb="402" eb="405">
      <t>リジチョウ</t>
    </rPh>
    <rPh sb="406" eb="408">
      <t>ジョウシン</t>
    </rPh>
    <rPh sb="427" eb="429">
      <t>シュカン</t>
    </rPh>
    <rPh sb="429" eb="432">
      <t>イインカイ</t>
    </rPh>
    <rPh sb="433" eb="435">
      <t>ガクセイ</t>
    </rPh>
    <rPh sb="435" eb="437">
      <t>ゼンイン</t>
    </rPh>
    <rPh sb="438" eb="440">
      <t>ジュコウ</t>
    </rPh>
    <rPh sb="440" eb="442">
      <t>カノウ</t>
    </rPh>
    <rPh sb="445" eb="447">
      <t>ソチ</t>
    </rPh>
    <rPh sb="448" eb="449">
      <t>コウ</t>
    </rPh>
    <rPh sb="477" eb="479">
      <t>スウリ</t>
    </rPh>
    <phoneticPr fontId="1"/>
  </si>
  <si>
    <t>情報処理Ⅰ</t>
    <phoneticPr fontId="1"/>
  </si>
  <si>
    <t>・データの可視化 「情報処理Ⅰ」（１３回目）、「数理データサイエンス基礎」（14回目/回帰直線）
・特化型AIと汎用型AI 、機械学習「数理・データサイエンス基礎」（２回目）
・データ解析（統計処理） 「数理・データサイエンス基礎」（9回目-14回目）</t>
    <rPh sb="5" eb="8">
      <t>カシカ</t>
    </rPh>
    <rPh sb="19" eb="21">
      <t>カイメ</t>
    </rPh>
    <rPh sb="24" eb="26">
      <t>スウリ</t>
    </rPh>
    <rPh sb="34" eb="36">
      <t>キソ</t>
    </rPh>
    <rPh sb="40" eb="42">
      <t>カイメ</t>
    </rPh>
    <rPh sb="43" eb="45">
      <t>カイキ</t>
    </rPh>
    <rPh sb="45" eb="47">
      <t>チョクセン</t>
    </rPh>
    <rPh sb="50" eb="53">
      <t>トッカガタ</t>
    </rPh>
    <rPh sb="56" eb="58">
      <t>ハンヨウ</t>
    </rPh>
    <rPh sb="58" eb="59">
      <t>ガタ</t>
    </rPh>
    <rPh sb="63" eb="67">
      <t>キカイガクシュウ</t>
    </rPh>
    <rPh sb="68" eb="70">
      <t>スウリ</t>
    </rPh>
    <rPh sb="79" eb="81">
      <t>キソ</t>
    </rPh>
    <rPh sb="84" eb="86">
      <t>カイメ</t>
    </rPh>
    <rPh sb="118" eb="119">
      <t>カイ</t>
    </rPh>
    <rPh sb="119" eb="120">
      <t>メ</t>
    </rPh>
    <phoneticPr fontId="1"/>
  </si>
  <si>
    <t>・データの表現（グラフの種類）「情報処理Ⅰ」（１３回目）
・情報の抽出「情報処理Ⅰ」（2回目/検索）(12回目/論理）
・集合「数理・データサイエンス基礎」（7回目）
・実データを用いた解析「数理・データサイエンス基礎」（14回目）</t>
    <rPh sb="5" eb="7">
      <t>ヒョウゲン</t>
    </rPh>
    <rPh sb="12" eb="14">
      <t>シュルイ</t>
    </rPh>
    <rPh sb="25" eb="26">
      <t>カイ</t>
    </rPh>
    <rPh sb="26" eb="27">
      <t>メ</t>
    </rPh>
    <rPh sb="30" eb="32">
      <t>ジョウホウ</t>
    </rPh>
    <rPh sb="33" eb="35">
      <t>チュウシュツ</t>
    </rPh>
    <rPh sb="45" eb="46">
      <t>メ</t>
    </rPh>
    <rPh sb="47" eb="49">
      <t>ケンサク</t>
    </rPh>
    <rPh sb="53" eb="54">
      <t>カイ</t>
    </rPh>
    <rPh sb="54" eb="55">
      <t>メ</t>
    </rPh>
    <rPh sb="56" eb="58">
      <t>ロンリ</t>
    </rPh>
    <rPh sb="61" eb="63">
      <t>シュウゴウ</t>
    </rPh>
    <rPh sb="64" eb="66">
      <t>スウリ</t>
    </rPh>
    <rPh sb="75" eb="77">
      <t>キソ</t>
    </rPh>
    <rPh sb="80" eb="81">
      <t>カイ</t>
    </rPh>
    <rPh sb="81" eb="82">
      <t>メ</t>
    </rPh>
    <phoneticPr fontId="1"/>
  </si>
  <si>
    <t>・データの集計（和、平均）と並び替え「情報処理Ⅰ」（10・11回目）/
・データ解析（表計算、統計処理ソフト）「情報処理Ⅰ」（9-14回目）/「数理・データサイエンス基礎」（9-14回目）
・要約統計量、分散、標準偏差、相関係数の算出/「数理・データサイエンス基礎」（9・10回目）
・仮説と検定（平均値の検定、適合度の検定、独立性の検定）「数理・データサイエンス基礎」（１1-13回目）
・実データを用いた解析「数理・データサイエンス基礎」（14回目）</t>
    <rPh sb="5" eb="7">
      <t>シュウケイ</t>
    </rPh>
    <rPh sb="8" eb="9">
      <t>ワ</t>
    </rPh>
    <rPh sb="10" eb="12">
      <t>ヘイキン</t>
    </rPh>
    <rPh sb="14" eb="15">
      <t>ナラ</t>
    </rPh>
    <rPh sb="16" eb="17">
      <t>カ</t>
    </rPh>
    <rPh sb="32" eb="33">
      <t>メ</t>
    </rPh>
    <rPh sb="40" eb="42">
      <t>カイセキ</t>
    </rPh>
    <rPh sb="43" eb="46">
      <t>ヒョウケイサン</t>
    </rPh>
    <rPh sb="47" eb="49">
      <t>トウケイ</t>
    </rPh>
    <rPh sb="49" eb="51">
      <t>ショリ</t>
    </rPh>
    <rPh sb="68" eb="69">
      <t>メ</t>
    </rPh>
    <rPh sb="92" eb="93">
      <t>メ</t>
    </rPh>
    <rPh sb="112" eb="114">
      <t>ケイスウ</t>
    </rPh>
    <rPh sb="115" eb="117">
      <t>サンシュツ</t>
    </rPh>
    <rPh sb="139" eb="140">
      <t>メ</t>
    </rPh>
    <rPh sb="192" eb="193">
      <t>メ</t>
    </rPh>
    <rPh sb="196" eb="197">
      <t>ジツ</t>
    </rPh>
    <rPh sb="201" eb="202">
      <t>モチ</t>
    </rPh>
    <rPh sb="204" eb="206">
      <t>カイセキ</t>
    </rPh>
    <rPh sb="207" eb="209">
      <t>スウリ</t>
    </rPh>
    <rPh sb="218" eb="220">
      <t>キソ</t>
    </rPh>
    <rPh sb="224" eb="225">
      <t>カイ</t>
    </rPh>
    <rPh sb="225" eb="226">
      <t>メ</t>
    </rPh>
    <phoneticPr fontId="1"/>
  </si>
  <si>
    <t xml:space="preserve">・データ・AI の活用領域の拡がり(医療、小売、交通、サービス産業、エンターテイメント）「数理・データサイエンス基礎」（２回目）
</t>
    <phoneticPr fontId="1"/>
  </si>
  <si>
    <t>・構造化データと非構造化データ 「数理・データサイエンス基礎」（２回目）
・オープンデータ 「数理・データサイエンス基礎 」（２回目）</t>
    <phoneticPr fontId="1"/>
  </si>
  <si>
    <t>・データ処理の処理過程（サイクル）「数理・データサイエンス基礎」（２回目）</t>
    <phoneticPr fontId="1"/>
  </si>
  <si>
    <t>・Ethical, Legal and Social Issues (ELSI)「数理・データサイエンス基礎」（３回目）
・データ倫理「数理・データサイエンス基礎 」（３回目）
・AI社会原則「数理・データサイエンス基礎 」（３回目）</t>
    <rPh sb="41" eb="43">
      <t>スウリ</t>
    </rPh>
    <rPh sb="52" eb="54">
      <t>キソ</t>
    </rPh>
    <phoneticPr fontId="1"/>
  </si>
  <si>
    <t>・個人情報と個人情報の保護に関する法律「数理・データサイエンス基礎」（３回目）
・情報セキュリティ（ソーシャルエンジニアリング、ネットワークを介した漏洩）「数理・データサイエンス基礎」（３回目）</t>
    <rPh sb="71" eb="72">
      <t>カイ</t>
    </rPh>
    <rPh sb="74" eb="76">
      <t>ロウエイ</t>
    </rPh>
    <phoneticPr fontId="1"/>
  </si>
  <si>
    <t>科目「数理・データサイエンス基礎」の2単位の取得を必須とする。この2単位に加え、本プログラムの科目として設定されている科目（「情報処理Ⅰ」）から2単位以上を取得し、総計4単位以上を取得すること。</t>
    <rPh sb="63" eb="67">
      <t>ジョウホウショリ</t>
    </rPh>
    <phoneticPr fontId="1"/>
  </si>
  <si>
    <t>短期大学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</si>
</sst>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b/>
      <sz val="10"/>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1" fillId="0" borderId="2" xfId="2" applyNumberFormat="1" applyFont="1" applyBorder="1" applyAlignment="1">
      <alignment vertical="center" shrinkToFit="1"/>
    </xf>
    <xf numFmtId="49" fontId="21" fillId="0" borderId="3" xfId="2" applyNumberFormat="1" applyFont="1" applyBorder="1" applyAlignment="1">
      <alignment vertical="center" shrinkToFit="1"/>
    </xf>
    <xf numFmtId="49" fontId="21" fillId="0" borderId="4" xfId="2"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2" fillId="0" borderId="32" xfId="0" applyFont="1" applyBorder="1" applyAlignment="1">
      <alignment vertical="center" wrapText="1"/>
    </xf>
    <xf numFmtId="0" fontId="22" fillId="0" borderId="39" xfId="0" applyFont="1" applyBorder="1" applyAlignment="1">
      <alignment vertical="center" wrapText="1"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5" fillId="0" borderId="6" xfId="0" applyFont="1" applyBorder="1" applyAlignment="1">
      <alignment vertical="center" wrapText="1"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1" fillId="0" borderId="8" xfId="0" applyFont="1" applyBorder="1" applyAlignment="1">
      <alignment horizontal="left" vertical="center" wrapText="1" shrinkToFit="1"/>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2"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lignment vertical="center"/>
    </xf>
    <xf numFmtId="0" fontId="3" fillId="0" borderId="16" xfId="0" applyFont="1" applyBorder="1" applyAlignment="1">
      <alignment vertical="top" wrapText="1" shrinkToFit="1"/>
    </xf>
    <xf numFmtId="0" fontId="3" fillId="0" borderId="22" xfId="0" applyFont="1" applyBorder="1" applyAlignment="1">
      <alignment vertical="top" shrinkToFit="1"/>
    </xf>
    <xf numFmtId="0" fontId="3"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2"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8" xfId="0" applyFont="1" applyBorder="1" applyAlignment="1">
      <alignment vertical="top" shrinkToFit="1"/>
    </xf>
    <xf numFmtId="0" fontId="22" fillId="0" borderId="9"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4" fillId="0" borderId="2" xfId="2" applyFont="1"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nkyoumu@koriyama-kgc.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topLeftCell="A3" zoomScale="145" zoomScaleNormal="100" zoomScaleSheetLayoutView="145" workbookViewId="0">
      <selection activeCell="K6" sqref="K6:N6"/>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0" t="s">
        <v>25</v>
      </c>
      <c r="N1" s="140"/>
    </row>
    <row r="2" spans="1:15" ht="24" customHeight="1" x14ac:dyDescent="0.2">
      <c r="A2" s="144" t="s">
        <v>83</v>
      </c>
      <c r="B2" s="144"/>
      <c r="C2" s="144"/>
      <c r="D2" s="144"/>
      <c r="E2" s="144"/>
      <c r="F2" s="144"/>
      <c r="G2" s="144"/>
      <c r="H2" s="144"/>
      <c r="I2" s="144"/>
      <c r="J2" s="144"/>
      <c r="K2" s="144"/>
      <c r="L2" s="144"/>
      <c r="M2" s="144"/>
      <c r="N2" s="144"/>
    </row>
    <row r="3" spans="1:15" ht="24" customHeight="1" x14ac:dyDescent="0.2"/>
    <row r="4" spans="1:15" ht="24" customHeight="1" x14ac:dyDescent="0.2">
      <c r="A4" s="14" t="s">
        <v>6</v>
      </c>
      <c r="B4" s="15" t="s">
        <v>16</v>
      </c>
      <c r="C4" s="132" t="s">
        <v>181</v>
      </c>
      <c r="D4" s="133"/>
      <c r="E4" s="133"/>
      <c r="F4" s="133"/>
      <c r="G4" s="133"/>
      <c r="H4" s="133"/>
      <c r="I4" s="133"/>
      <c r="J4" s="133"/>
      <c r="K4" s="133"/>
      <c r="L4" s="133"/>
      <c r="M4" s="133"/>
      <c r="N4" s="139"/>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48</v>
      </c>
      <c r="B6" s="15" t="s">
        <v>49</v>
      </c>
      <c r="C6" s="15"/>
      <c r="D6" s="132" t="s">
        <v>147</v>
      </c>
      <c r="E6" s="133"/>
      <c r="F6" s="133"/>
      <c r="G6" s="133"/>
      <c r="H6" s="139"/>
      <c r="I6" s="17" t="s">
        <v>86</v>
      </c>
      <c r="J6" s="37" t="s">
        <v>87</v>
      </c>
      <c r="K6" s="132" t="s">
        <v>208</v>
      </c>
      <c r="L6" s="133"/>
      <c r="M6" s="133"/>
      <c r="N6" s="139"/>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13</v>
      </c>
      <c r="B8" s="15" t="s">
        <v>45</v>
      </c>
      <c r="C8" s="132" t="s">
        <v>148</v>
      </c>
      <c r="D8" s="133"/>
      <c r="E8" s="133"/>
      <c r="F8" s="133"/>
      <c r="G8" s="133"/>
      <c r="H8" s="133"/>
      <c r="I8" s="133"/>
      <c r="J8" s="133"/>
      <c r="K8" s="133"/>
      <c r="L8" s="133"/>
      <c r="M8" s="133"/>
      <c r="N8" s="139"/>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11</v>
      </c>
      <c r="B10" s="15" t="s">
        <v>85</v>
      </c>
      <c r="C10" s="15"/>
      <c r="D10" s="15"/>
      <c r="E10" s="132" t="s">
        <v>149</v>
      </c>
      <c r="F10" s="133"/>
      <c r="G10" s="133"/>
      <c r="H10" s="133"/>
      <c r="I10" s="133"/>
      <c r="J10" s="133"/>
      <c r="K10" s="133"/>
      <c r="L10" s="133"/>
      <c r="M10" s="133"/>
      <c r="N10" s="139"/>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58</v>
      </c>
      <c r="B12" s="16" t="s">
        <v>59</v>
      </c>
      <c r="C12" s="16"/>
      <c r="D12" s="16"/>
      <c r="E12" s="145" t="s">
        <v>177</v>
      </c>
      <c r="F12" s="146"/>
      <c r="G12" s="17" t="s">
        <v>96</v>
      </c>
      <c r="H12" s="14" t="s">
        <v>97</v>
      </c>
      <c r="N12" s="116" t="s">
        <v>150</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53</v>
      </c>
      <c r="B14" s="14" t="s">
        <v>0</v>
      </c>
      <c r="C14" s="141" t="s">
        <v>5</v>
      </c>
      <c r="D14" s="142"/>
      <c r="E14" s="136">
        <v>37</v>
      </c>
      <c r="F14" s="137"/>
      <c r="G14" s="18" t="s">
        <v>7</v>
      </c>
      <c r="I14" s="141" t="s">
        <v>8</v>
      </c>
      <c r="J14" s="142"/>
      <c r="K14" s="136">
        <v>34</v>
      </c>
      <c r="L14" s="143"/>
      <c r="M14" s="137"/>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24">
        <v>3</v>
      </c>
      <c r="L16" s="125"/>
      <c r="M16" s="126"/>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6">
        <v>290</v>
      </c>
      <c r="F18" s="137"/>
      <c r="G18" s="21" t="s">
        <v>21</v>
      </c>
      <c r="H18" s="20"/>
      <c r="K18" s="138"/>
      <c r="L18" s="138"/>
      <c r="M18" s="138"/>
      <c r="N18" s="138"/>
      <c r="O18" s="31" t="str">
        <f>IF(E18="","入力してください","")</f>
        <v/>
      </c>
    </row>
    <row r="19" spans="1:15" ht="7.5" customHeight="1" x14ac:dyDescent="0.2">
      <c r="E19" s="10"/>
      <c r="F19" s="20"/>
      <c r="G19" s="20"/>
      <c r="L19" s="36"/>
      <c r="M19" s="36"/>
      <c r="N19" s="22"/>
    </row>
    <row r="20" spans="1:15" ht="24" customHeight="1" x14ac:dyDescent="0.2">
      <c r="A20" s="14" t="s">
        <v>76</v>
      </c>
      <c r="B20" s="14" t="s">
        <v>78</v>
      </c>
      <c r="E20" s="10"/>
      <c r="F20" s="20"/>
      <c r="G20" s="20"/>
      <c r="H20" s="14" t="s">
        <v>52</v>
      </c>
      <c r="J20" s="127">
        <v>509</v>
      </c>
      <c r="K20" s="128"/>
      <c r="L20" s="129"/>
      <c r="M20" s="36" t="s">
        <v>51</v>
      </c>
      <c r="N20" s="22"/>
      <c r="O20" s="31" t="str">
        <f>IF(J20="","入力してください","")</f>
        <v/>
      </c>
    </row>
    <row r="21" spans="1:15" ht="7.5" customHeight="1" x14ac:dyDescent="0.2">
      <c r="E21" s="10"/>
      <c r="F21" s="20"/>
      <c r="G21" s="20"/>
      <c r="L21" s="36"/>
      <c r="M21" s="36"/>
      <c r="N21" s="22"/>
    </row>
    <row r="22" spans="1:15" ht="24" customHeight="1" x14ac:dyDescent="0.2">
      <c r="B22" s="29" t="s">
        <v>17</v>
      </c>
      <c r="C22" s="136">
        <v>255</v>
      </c>
      <c r="D22" s="137"/>
      <c r="E22" s="10" t="s">
        <v>22</v>
      </c>
      <c r="F22" s="20"/>
      <c r="G22" s="130" t="s">
        <v>18</v>
      </c>
      <c r="H22" s="130"/>
      <c r="I22" s="136">
        <v>254</v>
      </c>
      <c r="J22" s="137"/>
      <c r="K22" s="17" t="s">
        <v>22</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19</v>
      </c>
      <c r="C24" s="136"/>
      <c r="D24" s="137"/>
      <c r="E24" s="10" t="s">
        <v>22</v>
      </c>
      <c r="F24" s="20"/>
      <c r="G24" s="130" t="s">
        <v>20</v>
      </c>
      <c r="H24" s="130"/>
      <c r="I24" s="136"/>
      <c r="J24" s="137"/>
      <c r="K24" s="17" t="s">
        <v>22</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46</v>
      </c>
      <c r="C26" s="136"/>
      <c r="D26" s="137"/>
      <c r="E26" s="10" t="s">
        <v>7</v>
      </c>
      <c r="F26" s="20"/>
      <c r="G26" s="130" t="s">
        <v>47</v>
      </c>
      <c r="H26" s="130"/>
      <c r="I26" s="136"/>
      <c r="J26" s="137"/>
      <c r="K26" s="17" t="s">
        <v>7</v>
      </c>
      <c r="M26" s="36"/>
      <c r="N26" s="22"/>
    </row>
    <row r="27" spans="1:15" ht="7.5" customHeight="1" x14ac:dyDescent="0.2">
      <c r="F27" s="20"/>
      <c r="G27" s="20"/>
      <c r="M27" s="23"/>
      <c r="N27" s="23"/>
    </row>
    <row r="28" spans="1:15" ht="24" customHeight="1" x14ac:dyDescent="0.2">
      <c r="A28" s="14" t="s">
        <v>50</v>
      </c>
      <c r="B28" s="15" t="s">
        <v>75</v>
      </c>
      <c r="C28" s="15"/>
      <c r="D28" s="15"/>
      <c r="E28" s="15"/>
      <c r="F28" s="17"/>
      <c r="G28" s="37"/>
      <c r="H28" s="37"/>
      <c r="I28" s="37"/>
      <c r="J28" s="24"/>
      <c r="K28" s="24"/>
      <c r="L28" s="24"/>
      <c r="M28" s="24"/>
      <c r="N28" s="24"/>
    </row>
    <row r="29" spans="1:15" s="14" customFormat="1" ht="24" customHeight="1" x14ac:dyDescent="0.2">
      <c r="B29" s="131" t="s">
        <v>74</v>
      </c>
      <c r="C29" s="131"/>
      <c r="D29" s="132" t="s">
        <v>151</v>
      </c>
      <c r="E29" s="133"/>
      <c r="F29" s="133"/>
      <c r="G29" s="134" t="s">
        <v>23</v>
      </c>
      <c r="H29" s="131"/>
      <c r="I29" s="135"/>
      <c r="J29" s="132" t="s">
        <v>152</v>
      </c>
      <c r="K29" s="133"/>
      <c r="L29" s="133"/>
      <c r="M29" s="133"/>
      <c r="N29" s="139"/>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2" t="s">
        <v>191</v>
      </c>
      <c r="C32" s="133"/>
      <c r="D32" s="133"/>
      <c r="E32" s="133"/>
      <c r="F32" s="133"/>
      <c r="G32" s="133"/>
      <c r="H32" s="133"/>
      <c r="I32" s="133"/>
      <c r="J32" s="133"/>
      <c r="K32" s="133"/>
      <c r="L32" s="133"/>
      <c r="M32" s="133"/>
      <c r="N32" s="139"/>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1" t="s">
        <v>74</v>
      </c>
      <c r="C34" s="131"/>
      <c r="D34" s="132" t="s">
        <v>153</v>
      </c>
      <c r="E34" s="133"/>
      <c r="F34" s="133"/>
      <c r="G34" s="134" t="s">
        <v>55</v>
      </c>
      <c r="H34" s="131"/>
      <c r="I34" s="135"/>
      <c r="J34" s="132" t="s">
        <v>154</v>
      </c>
      <c r="K34" s="133"/>
      <c r="L34" s="133"/>
      <c r="M34" s="133"/>
      <c r="N34" s="139"/>
      <c r="O34" s="31" t="str">
        <f>IF(OR(D34="",J34=""),"入力してください","")</f>
        <v/>
      </c>
    </row>
    <row r="35" spans="1:15" ht="7.5" customHeight="1" x14ac:dyDescent="0.2">
      <c r="F35" s="121"/>
      <c r="G35" s="121"/>
      <c r="H35" s="121"/>
      <c r="I35" s="121"/>
      <c r="J35" s="121"/>
      <c r="K35" s="121"/>
      <c r="L35" s="121"/>
      <c r="M35" s="121"/>
      <c r="N35" s="121"/>
    </row>
    <row r="36" spans="1:15" ht="24" customHeight="1" x14ac:dyDescent="0.2">
      <c r="A36" s="14" t="s">
        <v>61</v>
      </c>
      <c r="B36" s="14" t="s">
        <v>81</v>
      </c>
      <c r="M36" s="23"/>
      <c r="N36" s="23"/>
    </row>
    <row r="37" spans="1:15" ht="24" customHeight="1" x14ac:dyDescent="0.2">
      <c r="B37" s="132" t="s">
        <v>192</v>
      </c>
      <c r="C37" s="133"/>
      <c r="D37" s="133"/>
      <c r="E37" s="133"/>
      <c r="F37" s="133"/>
      <c r="G37" s="133"/>
      <c r="H37" s="133"/>
      <c r="I37" s="133"/>
      <c r="J37" s="133"/>
      <c r="K37" s="133"/>
      <c r="L37" s="133"/>
      <c r="M37" s="133"/>
      <c r="N37" s="139"/>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1" t="s">
        <v>74</v>
      </c>
      <c r="C39" s="131"/>
      <c r="D39" s="132" t="s">
        <v>171</v>
      </c>
      <c r="E39" s="133"/>
      <c r="F39" s="133"/>
      <c r="G39" s="134" t="s">
        <v>55</v>
      </c>
      <c r="H39" s="131"/>
      <c r="I39" s="135"/>
      <c r="J39" s="132" t="s">
        <v>172</v>
      </c>
      <c r="K39" s="133"/>
      <c r="L39" s="133"/>
      <c r="M39" s="133"/>
      <c r="N39" s="139"/>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88</v>
      </c>
      <c r="B41" s="72" t="s">
        <v>69</v>
      </c>
      <c r="E41" s="73"/>
      <c r="F41" s="132" t="s">
        <v>155</v>
      </c>
      <c r="G41" s="133"/>
      <c r="H41" s="133"/>
      <c r="I41" s="133"/>
      <c r="J41" s="133"/>
      <c r="K41" s="133"/>
      <c r="L41" s="133"/>
      <c r="M41" s="133"/>
      <c r="N41" s="139"/>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98</v>
      </c>
    </row>
    <row r="44" spans="1:15" ht="24" customHeight="1" x14ac:dyDescent="0.2">
      <c r="B44" s="30" t="s">
        <v>1</v>
      </c>
      <c r="C44" s="153" t="s">
        <v>156</v>
      </c>
      <c r="D44" s="154"/>
      <c r="E44" s="154"/>
      <c r="F44" s="154"/>
      <c r="G44" s="154"/>
      <c r="H44" s="154"/>
      <c r="I44" s="26" t="s">
        <v>2</v>
      </c>
      <c r="J44" s="27"/>
      <c r="K44" s="132" t="s">
        <v>157</v>
      </c>
      <c r="L44" s="133"/>
      <c r="M44" s="133"/>
      <c r="N44" s="139"/>
      <c r="O44" s="31" t="str">
        <f>IF(OR(C44="",K44=""),"入力してください","")</f>
        <v/>
      </c>
    </row>
    <row r="45" spans="1:15" ht="24" customHeight="1" x14ac:dyDescent="0.2">
      <c r="B45" s="25" t="s">
        <v>4</v>
      </c>
      <c r="C45" s="147" t="s">
        <v>196</v>
      </c>
      <c r="D45" s="148"/>
      <c r="E45" s="148"/>
      <c r="F45" s="148"/>
      <c r="G45" s="148"/>
      <c r="H45" s="149"/>
      <c r="I45" s="26" t="s">
        <v>3</v>
      </c>
      <c r="J45" s="27"/>
      <c r="K45" s="150" t="s">
        <v>158</v>
      </c>
      <c r="L45" s="151"/>
      <c r="M45" s="151"/>
      <c r="N45" s="152"/>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display="cnkyoumu@koriyama-kgc.ac.jp "/>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130" zoomScaleNormal="100" zoomScaleSheetLayoutView="130" workbookViewId="0">
      <selection activeCell="M3" sqref="M3"/>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176" t="s">
        <v>195</v>
      </c>
      <c r="X1" s="176"/>
      <c r="Y1" s="176"/>
      <c r="Z1" s="176"/>
    </row>
    <row r="2" spans="1:26" ht="18" customHeight="1" x14ac:dyDescent="0.2">
      <c r="A2" s="219" t="s">
        <v>67</v>
      </c>
      <c r="B2" s="219"/>
      <c r="C2" s="219"/>
      <c r="D2" s="219"/>
      <c r="E2" s="219"/>
      <c r="F2" s="219"/>
      <c r="G2" s="219"/>
      <c r="H2" s="219"/>
      <c r="I2" s="219"/>
      <c r="J2" s="219"/>
      <c r="K2" s="219"/>
      <c r="L2" s="219"/>
      <c r="M2" s="219"/>
      <c r="N2" s="219"/>
      <c r="O2" s="219"/>
      <c r="P2" s="219"/>
      <c r="Q2" s="219"/>
      <c r="R2" s="219"/>
      <c r="S2" s="219"/>
      <c r="T2" s="219"/>
      <c r="U2" s="219"/>
      <c r="V2" s="219"/>
      <c r="W2" s="219"/>
      <c r="X2" s="219"/>
      <c r="Y2" s="219"/>
      <c r="Z2" s="219"/>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24" t="s">
        <v>159</v>
      </c>
      <c r="P4" s="125"/>
      <c r="Q4" s="125"/>
      <c r="R4" s="125"/>
      <c r="S4" s="125"/>
      <c r="T4" s="125"/>
      <c r="U4" s="125"/>
      <c r="V4" s="125"/>
      <c r="W4" s="125"/>
      <c r="X4" s="125"/>
      <c r="Y4" s="125"/>
      <c r="Z4" s="126"/>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20" t="s">
        <v>207</v>
      </c>
      <c r="C6" s="221"/>
      <c r="D6" s="221"/>
      <c r="E6" s="221"/>
      <c r="F6" s="221"/>
      <c r="G6" s="221"/>
      <c r="H6" s="221"/>
      <c r="I6" s="221"/>
      <c r="J6" s="221"/>
      <c r="K6" s="221"/>
      <c r="L6" s="221"/>
      <c r="M6" s="221"/>
      <c r="N6" s="221"/>
      <c r="O6" s="221"/>
      <c r="P6" s="221"/>
      <c r="Q6" s="221"/>
      <c r="R6" s="221"/>
      <c r="S6" s="221"/>
      <c r="T6" s="221"/>
      <c r="U6" s="221"/>
      <c r="V6" s="221"/>
      <c r="W6" s="221"/>
      <c r="X6" s="221"/>
      <c r="Y6" s="221"/>
      <c r="Z6" s="222"/>
    </row>
    <row r="7" spans="1:26" ht="18" customHeight="1" x14ac:dyDescent="0.2">
      <c r="B7" s="223"/>
      <c r="C7" s="224"/>
      <c r="D7" s="224"/>
      <c r="E7" s="224"/>
      <c r="F7" s="224"/>
      <c r="G7" s="224"/>
      <c r="H7" s="224"/>
      <c r="I7" s="224"/>
      <c r="J7" s="224"/>
      <c r="K7" s="224"/>
      <c r="L7" s="224"/>
      <c r="M7" s="224"/>
      <c r="N7" s="224"/>
      <c r="O7" s="224"/>
      <c r="P7" s="224"/>
      <c r="Q7" s="224"/>
      <c r="R7" s="224"/>
      <c r="S7" s="224"/>
      <c r="T7" s="224"/>
      <c r="U7" s="224"/>
      <c r="V7" s="224"/>
      <c r="W7" s="224"/>
      <c r="X7" s="224"/>
      <c r="Y7" s="224"/>
      <c r="Z7" s="225"/>
    </row>
    <row r="8" spans="1:26" ht="18" customHeight="1" x14ac:dyDescent="0.2">
      <c r="B8" s="223"/>
      <c r="C8" s="224"/>
      <c r="D8" s="224"/>
      <c r="E8" s="224"/>
      <c r="F8" s="224"/>
      <c r="G8" s="224"/>
      <c r="H8" s="224"/>
      <c r="I8" s="224"/>
      <c r="J8" s="224"/>
      <c r="K8" s="224"/>
      <c r="L8" s="224"/>
      <c r="M8" s="224"/>
      <c r="N8" s="224"/>
      <c r="O8" s="224"/>
      <c r="P8" s="224"/>
      <c r="Q8" s="224"/>
      <c r="R8" s="224"/>
      <c r="S8" s="224"/>
      <c r="T8" s="224"/>
      <c r="U8" s="224"/>
      <c r="V8" s="224"/>
      <c r="W8" s="224"/>
      <c r="X8" s="224"/>
      <c r="Y8" s="224"/>
      <c r="Z8" s="225"/>
    </row>
    <row r="9" spans="1:26" ht="18" customHeight="1" x14ac:dyDescent="0.2">
      <c r="B9" s="223"/>
      <c r="C9" s="224"/>
      <c r="D9" s="224"/>
      <c r="E9" s="224"/>
      <c r="F9" s="224"/>
      <c r="G9" s="224"/>
      <c r="H9" s="224"/>
      <c r="I9" s="224"/>
      <c r="J9" s="224"/>
      <c r="K9" s="224"/>
      <c r="L9" s="224"/>
      <c r="M9" s="224"/>
      <c r="N9" s="224"/>
      <c r="O9" s="224"/>
      <c r="P9" s="224"/>
      <c r="Q9" s="224"/>
      <c r="R9" s="224"/>
      <c r="S9" s="224"/>
      <c r="T9" s="224"/>
      <c r="U9" s="224"/>
      <c r="V9" s="224"/>
      <c r="W9" s="224"/>
      <c r="X9" s="224"/>
      <c r="Y9" s="224"/>
      <c r="Z9" s="225"/>
    </row>
    <row r="10" spans="1:26" ht="18" customHeight="1" x14ac:dyDescent="0.2">
      <c r="B10" s="223"/>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5"/>
    </row>
    <row r="11" spans="1:26" ht="18" customHeight="1" x14ac:dyDescent="0.2">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18" t="s">
        <v>124</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2">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2">
      <c r="A15" s="14"/>
      <c r="B15" s="124" t="s">
        <v>100</v>
      </c>
      <c r="C15" s="125"/>
      <c r="D15" s="125"/>
      <c r="E15" s="125"/>
      <c r="F15" s="126"/>
      <c r="G15" s="30" t="s">
        <v>140</v>
      </c>
      <c r="H15" s="111" t="s">
        <v>139</v>
      </c>
      <c r="I15" s="125" t="s">
        <v>101</v>
      </c>
      <c r="J15" s="125"/>
      <c r="K15" s="125"/>
      <c r="L15" s="74" t="s">
        <v>104</v>
      </c>
      <c r="M15" s="74" t="s">
        <v>107</v>
      </c>
      <c r="N15" s="124" t="s">
        <v>100</v>
      </c>
      <c r="O15" s="125"/>
      <c r="P15" s="125"/>
      <c r="Q15" s="125"/>
      <c r="R15" s="125"/>
      <c r="S15" s="126"/>
      <c r="T15" s="30" t="s">
        <v>140</v>
      </c>
      <c r="U15" s="111" t="s">
        <v>139</v>
      </c>
      <c r="V15" s="125" t="s">
        <v>101</v>
      </c>
      <c r="W15" s="125"/>
      <c r="X15" s="125"/>
      <c r="Y15" s="74" t="s">
        <v>104</v>
      </c>
      <c r="Z15" s="74" t="s">
        <v>107</v>
      </c>
    </row>
    <row r="16" spans="1:26" ht="18" customHeight="1" x14ac:dyDescent="0.2">
      <c r="A16" s="14"/>
      <c r="B16" s="177" t="s">
        <v>160</v>
      </c>
      <c r="C16" s="178"/>
      <c r="D16" s="178"/>
      <c r="E16" s="178"/>
      <c r="F16" s="179"/>
      <c r="G16" s="112">
        <v>2</v>
      </c>
      <c r="H16" s="113" t="s">
        <v>161</v>
      </c>
      <c r="I16" s="183" t="s">
        <v>162</v>
      </c>
      <c r="J16" s="184"/>
      <c r="K16" s="185"/>
      <c r="L16" s="112" t="s">
        <v>161</v>
      </c>
      <c r="M16" s="112" t="s">
        <v>161</v>
      </c>
      <c r="N16" s="155"/>
      <c r="O16" s="156"/>
      <c r="P16" s="156"/>
      <c r="Q16" s="156"/>
      <c r="R16" s="156"/>
      <c r="S16" s="157"/>
      <c r="T16" s="112"/>
      <c r="U16" s="112"/>
      <c r="V16" s="183"/>
      <c r="W16" s="184"/>
      <c r="X16" s="185"/>
      <c r="Y16" s="112"/>
      <c r="Z16" s="112"/>
    </row>
    <row r="17" spans="1:26" ht="18" customHeight="1" x14ac:dyDescent="0.2">
      <c r="A17" s="14"/>
      <c r="B17" s="170"/>
      <c r="C17" s="171"/>
      <c r="D17" s="171"/>
      <c r="E17" s="171"/>
      <c r="F17" s="172"/>
      <c r="G17" s="113"/>
      <c r="H17" s="113"/>
      <c r="I17" s="164"/>
      <c r="J17" s="165"/>
      <c r="K17" s="166"/>
      <c r="L17" s="113"/>
      <c r="M17" s="113"/>
      <c r="N17" s="158"/>
      <c r="O17" s="159"/>
      <c r="P17" s="159"/>
      <c r="Q17" s="159"/>
      <c r="R17" s="159"/>
      <c r="S17" s="160"/>
      <c r="T17" s="113"/>
      <c r="U17" s="113"/>
      <c r="V17" s="164"/>
      <c r="W17" s="165"/>
      <c r="X17" s="166"/>
      <c r="Y17" s="113"/>
      <c r="Z17" s="113"/>
    </row>
    <row r="18" spans="1:26" ht="18" customHeight="1" x14ac:dyDescent="0.2">
      <c r="A18" s="14"/>
      <c r="B18" s="170"/>
      <c r="C18" s="171"/>
      <c r="D18" s="171"/>
      <c r="E18" s="171"/>
      <c r="F18" s="172"/>
      <c r="G18" s="113"/>
      <c r="H18" s="113"/>
      <c r="I18" s="164"/>
      <c r="J18" s="165"/>
      <c r="K18" s="166"/>
      <c r="L18" s="113"/>
      <c r="M18" s="113"/>
      <c r="N18" s="158"/>
      <c r="O18" s="159"/>
      <c r="P18" s="159"/>
      <c r="Q18" s="159"/>
      <c r="R18" s="159"/>
      <c r="S18" s="160"/>
      <c r="T18" s="113"/>
      <c r="U18" s="113"/>
      <c r="V18" s="164"/>
      <c r="W18" s="165"/>
      <c r="X18" s="166"/>
      <c r="Y18" s="113"/>
      <c r="Z18" s="113"/>
    </row>
    <row r="19" spans="1:26" ht="18" customHeight="1" x14ac:dyDescent="0.2">
      <c r="A19" s="14"/>
      <c r="B19" s="170"/>
      <c r="C19" s="171"/>
      <c r="D19" s="171"/>
      <c r="E19" s="171"/>
      <c r="F19" s="172"/>
      <c r="G19" s="113"/>
      <c r="H19" s="113"/>
      <c r="I19" s="164"/>
      <c r="J19" s="165"/>
      <c r="K19" s="166"/>
      <c r="L19" s="113"/>
      <c r="M19" s="113"/>
      <c r="N19" s="158"/>
      <c r="O19" s="159"/>
      <c r="P19" s="159"/>
      <c r="Q19" s="159"/>
      <c r="R19" s="159"/>
      <c r="S19" s="160"/>
      <c r="T19" s="113"/>
      <c r="U19" s="113"/>
      <c r="V19" s="164"/>
      <c r="W19" s="165"/>
      <c r="X19" s="166"/>
      <c r="Y19" s="113"/>
      <c r="Z19" s="113"/>
    </row>
    <row r="20" spans="1:26" ht="18" customHeight="1" x14ac:dyDescent="0.2">
      <c r="A20" s="14"/>
      <c r="B20" s="170"/>
      <c r="C20" s="171"/>
      <c r="D20" s="171"/>
      <c r="E20" s="171"/>
      <c r="F20" s="172"/>
      <c r="G20" s="113"/>
      <c r="H20" s="113"/>
      <c r="I20" s="164"/>
      <c r="J20" s="165"/>
      <c r="K20" s="166"/>
      <c r="L20" s="113"/>
      <c r="M20" s="113"/>
      <c r="N20" s="158"/>
      <c r="O20" s="159"/>
      <c r="P20" s="159"/>
      <c r="Q20" s="159"/>
      <c r="R20" s="159"/>
      <c r="S20" s="160"/>
      <c r="T20" s="113"/>
      <c r="U20" s="113"/>
      <c r="V20" s="164"/>
      <c r="W20" s="165"/>
      <c r="X20" s="166"/>
      <c r="Y20" s="113"/>
      <c r="Z20" s="113"/>
    </row>
    <row r="21" spans="1:26" ht="18" customHeight="1" x14ac:dyDescent="0.2">
      <c r="A21" s="29"/>
      <c r="B21" s="170"/>
      <c r="C21" s="171"/>
      <c r="D21" s="171"/>
      <c r="E21" s="171"/>
      <c r="F21" s="172"/>
      <c r="G21" s="113"/>
      <c r="H21" s="113"/>
      <c r="I21" s="164"/>
      <c r="J21" s="165"/>
      <c r="K21" s="166"/>
      <c r="L21" s="113"/>
      <c r="M21" s="113"/>
      <c r="N21" s="158"/>
      <c r="O21" s="159"/>
      <c r="P21" s="159"/>
      <c r="Q21" s="159"/>
      <c r="R21" s="159"/>
      <c r="S21" s="160"/>
      <c r="T21" s="113"/>
      <c r="U21" s="113"/>
      <c r="V21" s="164"/>
      <c r="W21" s="165"/>
      <c r="X21" s="166"/>
      <c r="Y21" s="113"/>
      <c r="Z21" s="113"/>
    </row>
    <row r="22" spans="1:26" ht="18" customHeight="1" x14ac:dyDescent="0.2">
      <c r="A22" s="29"/>
      <c r="B22" s="173"/>
      <c r="C22" s="174"/>
      <c r="D22" s="174"/>
      <c r="E22" s="174"/>
      <c r="F22" s="175"/>
      <c r="G22" s="114"/>
      <c r="H22" s="114"/>
      <c r="I22" s="167"/>
      <c r="J22" s="168"/>
      <c r="K22" s="169"/>
      <c r="L22" s="120"/>
      <c r="M22" s="120"/>
      <c r="N22" s="161"/>
      <c r="O22" s="162"/>
      <c r="P22" s="162"/>
      <c r="Q22" s="162"/>
      <c r="R22" s="162"/>
      <c r="S22" s="163"/>
      <c r="T22" s="114"/>
      <c r="U22" s="114"/>
      <c r="V22" s="167"/>
      <c r="W22" s="168"/>
      <c r="X22" s="169"/>
      <c r="Y22" s="120"/>
      <c r="Z22" s="120"/>
    </row>
    <row r="23" spans="1:26" ht="7.5" customHeight="1" x14ac:dyDescent="0.2">
      <c r="A23" s="29"/>
      <c r="B23" s="75"/>
      <c r="C23" s="75"/>
      <c r="D23" s="29"/>
      <c r="E23" s="29"/>
      <c r="F23" s="29"/>
      <c r="G23" s="29"/>
      <c r="H23" s="29"/>
      <c r="I23" s="29"/>
      <c r="J23" s="29"/>
      <c r="K23" s="29"/>
      <c r="L23" s="75"/>
      <c r="M23" s="75"/>
      <c r="N23" s="75"/>
      <c r="O23" s="75"/>
      <c r="P23" s="75"/>
      <c r="Q23" s="75"/>
      <c r="R23" s="75"/>
      <c r="S23" s="75"/>
      <c r="T23" s="75"/>
      <c r="U23" s="75"/>
      <c r="V23" s="75"/>
      <c r="W23" s="75"/>
      <c r="X23" s="75"/>
      <c r="Y23" s="75"/>
      <c r="Z23" s="29"/>
    </row>
    <row r="24" spans="1:26" ht="18" customHeight="1" x14ac:dyDescent="0.2">
      <c r="A24" s="218" t="s">
        <v>125</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2">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2">
      <c r="A26" s="14"/>
      <c r="B26" s="124" t="s">
        <v>100</v>
      </c>
      <c r="C26" s="125"/>
      <c r="D26" s="125"/>
      <c r="E26" s="125"/>
      <c r="F26" s="126"/>
      <c r="G26" s="30" t="s">
        <v>140</v>
      </c>
      <c r="H26" s="111" t="s">
        <v>139</v>
      </c>
      <c r="I26" s="125" t="s">
        <v>101</v>
      </c>
      <c r="J26" s="125"/>
      <c r="K26" s="125"/>
      <c r="L26" s="74" t="s">
        <v>126</v>
      </c>
      <c r="M26" s="74" t="s">
        <v>127</v>
      </c>
      <c r="N26" s="124" t="s">
        <v>100</v>
      </c>
      <c r="O26" s="125"/>
      <c r="P26" s="125"/>
      <c r="Q26" s="125"/>
      <c r="R26" s="125"/>
      <c r="S26" s="126"/>
      <c r="T26" s="30" t="s">
        <v>140</v>
      </c>
      <c r="U26" s="111" t="s">
        <v>139</v>
      </c>
      <c r="V26" s="125" t="s">
        <v>101</v>
      </c>
      <c r="W26" s="125"/>
      <c r="X26" s="125"/>
      <c r="Y26" s="74" t="s">
        <v>126</v>
      </c>
      <c r="Z26" s="74" t="s">
        <v>127</v>
      </c>
    </row>
    <row r="27" spans="1:26" ht="18" customHeight="1" x14ac:dyDescent="0.2">
      <c r="A27" s="14"/>
      <c r="B27" s="177" t="s">
        <v>160</v>
      </c>
      <c r="C27" s="178"/>
      <c r="D27" s="178"/>
      <c r="E27" s="178"/>
      <c r="F27" s="179"/>
      <c r="G27" s="112">
        <v>2</v>
      </c>
      <c r="H27" s="113" t="s">
        <v>161</v>
      </c>
      <c r="I27" s="183" t="s">
        <v>162</v>
      </c>
      <c r="J27" s="184"/>
      <c r="K27" s="185"/>
      <c r="L27" s="112" t="s">
        <v>161</v>
      </c>
      <c r="M27" s="112" t="s">
        <v>161</v>
      </c>
      <c r="N27" s="155"/>
      <c r="O27" s="156"/>
      <c r="P27" s="156"/>
      <c r="Q27" s="156"/>
      <c r="R27" s="156"/>
      <c r="S27" s="157"/>
      <c r="T27" s="112"/>
      <c r="U27" s="112"/>
      <c r="V27" s="183"/>
      <c r="W27" s="184"/>
      <c r="X27" s="185"/>
      <c r="Y27" s="112"/>
      <c r="Z27" s="112"/>
    </row>
    <row r="28" spans="1:26" ht="18" customHeight="1" x14ac:dyDescent="0.2">
      <c r="A28" s="14"/>
      <c r="B28" s="170"/>
      <c r="C28" s="171"/>
      <c r="D28" s="171"/>
      <c r="E28" s="171"/>
      <c r="F28" s="172"/>
      <c r="G28" s="113"/>
      <c r="H28" s="113"/>
      <c r="I28" s="164"/>
      <c r="J28" s="165"/>
      <c r="K28" s="166"/>
      <c r="L28" s="113"/>
      <c r="M28" s="113"/>
      <c r="N28" s="158"/>
      <c r="O28" s="159"/>
      <c r="P28" s="159"/>
      <c r="Q28" s="159"/>
      <c r="R28" s="159"/>
      <c r="S28" s="160"/>
      <c r="T28" s="113"/>
      <c r="U28" s="113"/>
      <c r="V28" s="164"/>
      <c r="W28" s="165"/>
      <c r="X28" s="166"/>
      <c r="Y28" s="113"/>
      <c r="Z28" s="113"/>
    </row>
    <row r="29" spans="1:26" ht="18" customHeight="1" x14ac:dyDescent="0.2">
      <c r="A29" s="14"/>
      <c r="B29" s="170"/>
      <c r="C29" s="171"/>
      <c r="D29" s="171"/>
      <c r="E29" s="171"/>
      <c r="F29" s="172"/>
      <c r="G29" s="113"/>
      <c r="H29" s="113"/>
      <c r="I29" s="164"/>
      <c r="J29" s="165"/>
      <c r="K29" s="166"/>
      <c r="L29" s="113"/>
      <c r="M29" s="113"/>
      <c r="N29" s="158"/>
      <c r="O29" s="159"/>
      <c r="P29" s="159"/>
      <c r="Q29" s="159"/>
      <c r="R29" s="159"/>
      <c r="S29" s="160"/>
      <c r="T29" s="113"/>
      <c r="U29" s="113"/>
      <c r="V29" s="164"/>
      <c r="W29" s="165"/>
      <c r="X29" s="166"/>
      <c r="Y29" s="113"/>
      <c r="Z29" s="113"/>
    </row>
    <row r="30" spans="1:26" ht="18" customHeight="1" x14ac:dyDescent="0.2">
      <c r="A30" s="14"/>
      <c r="B30" s="170"/>
      <c r="C30" s="171"/>
      <c r="D30" s="171"/>
      <c r="E30" s="171"/>
      <c r="F30" s="172"/>
      <c r="G30" s="113"/>
      <c r="H30" s="113"/>
      <c r="I30" s="164"/>
      <c r="J30" s="165"/>
      <c r="K30" s="166"/>
      <c r="L30" s="113"/>
      <c r="M30" s="113"/>
      <c r="N30" s="158"/>
      <c r="O30" s="159"/>
      <c r="P30" s="159"/>
      <c r="Q30" s="159"/>
      <c r="R30" s="159"/>
      <c r="S30" s="160"/>
      <c r="T30" s="113"/>
      <c r="U30" s="113"/>
      <c r="V30" s="164"/>
      <c r="W30" s="165"/>
      <c r="X30" s="166"/>
      <c r="Y30" s="113"/>
      <c r="Z30" s="113"/>
    </row>
    <row r="31" spans="1:26" ht="18" customHeight="1" x14ac:dyDescent="0.2">
      <c r="A31" s="14"/>
      <c r="B31" s="170"/>
      <c r="C31" s="171"/>
      <c r="D31" s="171"/>
      <c r="E31" s="171"/>
      <c r="F31" s="172"/>
      <c r="G31" s="113"/>
      <c r="H31" s="113"/>
      <c r="I31" s="164"/>
      <c r="J31" s="165"/>
      <c r="K31" s="166"/>
      <c r="L31" s="113"/>
      <c r="M31" s="113"/>
      <c r="N31" s="158"/>
      <c r="O31" s="159"/>
      <c r="P31" s="159"/>
      <c r="Q31" s="159"/>
      <c r="R31" s="159"/>
      <c r="S31" s="160"/>
      <c r="T31" s="113"/>
      <c r="U31" s="113"/>
      <c r="V31" s="164"/>
      <c r="W31" s="165"/>
      <c r="X31" s="166"/>
      <c r="Y31" s="113"/>
      <c r="Z31" s="113"/>
    </row>
    <row r="32" spans="1:26" ht="18" customHeight="1" x14ac:dyDescent="0.2">
      <c r="A32" s="14"/>
      <c r="B32" s="170"/>
      <c r="C32" s="171"/>
      <c r="D32" s="171"/>
      <c r="E32" s="171"/>
      <c r="F32" s="172"/>
      <c r="G32" s="113"/>
      <c r="H32" s="113"/>
      <c r="I32" s="164"/>
      <c r="J32" s="165"/>
      <c r="K32" s="166"/>
      <c r="L32" s="113"/>
      <c r="M32" s="113"/>
      <c r="N32" s="158"/>
      <c r="O32" s="159"/>
      <c r="P32" s="159"/>
      <c r="Q32" s="159"/>
      <c r="R32" s="159"/>
      <c r="S32" s="160"/>
      <c r="T32" s="113"/>
      <c r="U32" s="113"/>
      <c r="V32" s="164"/>
      <c r="W32" s="165"/>
      <c r="X32" s="166"/>
      <c r="Y32" s="113"/>
      <c r="Z32" s="113"/>
    </row>
    <row r="33" spans="1:26" ht="18" customHeight="1" x14ac:dyDescent="0.2">
      <c r="A33" s="14"/>
      <c r="B33" s="173"/>
      <c r="C33" s="174"/>
      <c r="D33" s="174"/>
      <c r="E33" s="174"/>
      <c r="F33" s="175"/>
      <c r="G33" s="114"/>
      <c r="H33" s="114"/>
      <c r="I33" s="167"/>
      <c r="J33" s="168"/>
      <c r="K33" s="169"/>
      <c r="L33" s="120"/>
      <c r="M33" s="120"/>
      <c r="N33" s="161"/>
      <c r="O33" s="162"/>
      <c r="P33" s="162"/>
      <c r="Q33" s="162"/>
      <c r="R33" s="162"/>
      <c r="S33" s="163"/>
      <c r="T33" s="114"/>
      <c r="U33" s="114"/>
      <c r="V33" s="167"/>
      <c r="W33" s="168"/>
      <c r="X33" s="169"/>
      <c r="Y33" s="120"/>
      <c r="Z33" s="120"/>
    </row>
    <row r="34" spans="1:26" ht="7.5" customHeight="1" x14ac:dyDescent="0.2">
      <c r="A34" s="29"/>
      <c r="B34" s="75"/>
      <c r="C34" s="75"/>
      <c r="D34" s="29"/>
      <c r="E34" s="29"/>
      <c r="F34" s="29"/>
      <c r="G34" s="29"/>
      <c r="H34" s="29"/>
      <c r="I34" s="29"/>
      <c r="J34" s="29"/>
      <c r="K34" s="29"/>
      <c r="L34" s="75"/>
      <c r="M34" s="75"/>
      <c r="N34" s="75"/>
      <c r="O34" s="75"/>
      <c r="P34" s="75"/>
      <c r="Q34" s="75"/>
      <c r="R34" s="75"/>
      <c r="S34" s="75"/>
      <c r="T34" s="75"/>
      <c r="U34" s="75"/>
      <c r="V34" s="75"/>
      <c r="W34" s="75"/>
      <c r="X34" s="75"/>
      <c r="Y34" s="75"/>
      <c r="Z34" s="29"/>
    </row>
    <row r="35" spans="1:26" ht="18" customHeight="1" x14ac:dyDescent="0.2">
      <c r="A35" s="218" t="s">
        <v>128</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2">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2">
      <c r="A37" s="14"/>
      <c r="B37" s="124" t="s">
        <v>100</v>
      </c>
      <c r="C37" s="125"/>
      <c r="D37" s="125"/>
      <c r="E37" s="125"/>
      <c r="F37" s="126"/>
      <c r="G37" s="30" t="s">
        <v>140</v>
      </c>
      <c r="H37" s="111" t="s">
        <v>139</v>
      </c>
      <c r="I37" s="124" t="s">
        <v>101</v>
      </c>
      <c r="J37" s="125"/>
      <c r="K37" s="126"/>
      <c r="L37" s="74" t="s">
        <v>129</v>
      </c>
      <c r="M37" s="74" t="s">
        <v>130</v>
      </c>
      <c r="N37" s="124" t="s">
        <v>100</v>
      </c>
      <c r="O37" s="125"/>
      <c r="P37" s="125"/>
      <c r="Q37" s="125"/>
      <c r="R37" s="125"/>
      <c r="S37" s="126"/>
      <c r="T37" s="30" t="s">
        <v>140</v>
      </c>
      <c r="U37" s="111" t="s">
        <v>139</v>
      </c>
      <c r="V37" s="124" t="s">
        <v>101</v>
      </c>
      <c r="W37" s="125"/>
      <c r="X37" s="126"/>
      <c r="Y37" s="74" t="s">
        <v>129</v>
      </c>
      <c r="Z37" s="74" t="s">
        <v>130</v>
      </c>
    </row>
    <row r="38" spans="1:26" ht="18" customHeight="1" x14ac:dyDescent="0.2">
      <c r="A38" s="29"/>
      <c r="B38" s="177" t="s">
        <v>160</v>
      </c>
      <c r="C38" s="178"/>
      <c r="D38" s="178"/>
      <c r="E38" s="178"/>
      <c r="F38" s="179"/>
      <c r="G38" s="112">
        <v>2</v>
      </c>
      <c r="H38" s="113" t="s">
        <v>161</v>
      </c>
      <c r="I38" s="183" t="s">
        <v>162</v>
      </c>
      <c r="J38" s="184"/>
      <c r="K38" s="185"/>
      <c r="L38" s="112" t="s">
        <v>161</v>
      </c>
      <c r="M38" s="112" t="s">
        <v>161</v>
      </c>
      <c r="N38" s="155"/>
      <c r="O38" s="156"/>
      <c r="P38" s="156"/>
      <c r="Q38" s="156"/>
      <c r="R38" s="156"/>
      <c r="S38" s="157"/>
      <c r="T38" s="112"/>
      <c r="U38" s="112"/>
      <c r="V38" s="183"/>
      <c r="W38" s="184"/>
      <c r="X38" s="185"/>
      <c r="Y38" s="112"/>
      <c r="Z38" s="112"/>
    </row>
    <row r="39" spans="1:26" ht="18" customHeight="1" x14ac:dyDescent="0.2">
      <c r="A39" s="29"/>
      <c r="B39" s="170" t="s">
        <v>198</v>
      </c>
      <c r="C39" s="171"/>
      <c r="D39" s="171"/>
      <c r="E39" s="171"/>
      <c r="F39" s="172"/>
      <c r="G39" s="113">
        <v>2</v>
      </c>
      <c r="H39" s="113"/>
      <c r="I39" s="164" t="s">
        <v>162</v>
      </c>
      <c r="J39" s="165"/>
      <c r="K39" s="166"/>
      <c r="L39" s="113" t="s">
        <v>161</v>
      </c>
      <c r="M39" s="113"/>
      <c r="N39" s="158"/>
      <c r="O39" s="159"/>
      <c r="P39" s="159"/>
      <c r="Q39" s="159"/>
      <c r="R39" s="159"/>
      <c r="S39" s="160"/>
      <c r="T39" s="113"/>
      <c r="U39" s="113"/>
      <c r="V39" s="164"/>
      <c r="W39" s="165"/>
      <c r="X39" s="166"/>
      <c r="Y39" s="113"/>
      <c r="Z39" s="113"/>
    </row>
    <row r="40" spans="1:26" ht="18" customHeight="1" x14ac:dyDescent="0.2">
      <c r="A40" s="29"/>
      <c r="B40" s="170"/>
      <c r="C40" s="171"/>
      <c r="D40" s="171"/>
      <c r="E40" s="171"/>
      <c r="F40" s="172"/>
      <c r="G40" s="113"/>
      <c r="H40" s="113"/>
      <c r="I40" s="164"/>
      <c r="J40" s="165"/>
      <c r="K40" s="166"/>
      <c r="L40" s="113"/>
      <c r="M40" s="113"/>
      <c r="N40" s="158"/>
      <c r="O40" s="159"/>
      <c r="P40" s="159"/>
      <c r="Q40" s="159"/>
      <c r="R40" s="159"/>
      <c r="S40" s="160"/>
      <c r="T40" s="113"/>
      <c r="U40" s="113"/>
      <c r="V40" s="164"/>
      <c r="W40" s="165"/>
      <c r="X40" s="166"/>
      <c r="Y40" s="113"/>
      <c r="Z40" s="113"/>
    </row>
    <row r="41" spans="1:26" ht="18" customHeight="1" x14ac:dyDescent="0.2">
      <c r="A41" s="29"/>
      <c r="B41" s="170"/>
      <c r="C41" s="171"/>
      <c r="D41" s="171"/>
      <c r="E41" s="171"/>
      <c r="F41" s="172"/>
      <c r="G41" s="113"/>
      <c r="H41" s="113"/>
      <c r="I41" s="164"/>
      <c r="J41" s="165"/>
      <c r="K41" s="166"/>
      <c r="L41" s="113"/>
      <c r="M41" s="113"/>
      <c r="N41" s="158"/>
      <c r="O41" s="159"/>
      <c r="P41" s="159"/>
      <c r="Q41" s="159"/>
      <c r="R41" s="159"/>
      <c r="S41" s="160"/>
      <c r="T41" s="113"/>
      <c r="U41" s="113"/>
      <c r="V41" s="164"/>
      <c r="W41" s="165"/>
      <c r="X41" s="166"/>
      <c r="Y41" s="113"/>
      <c r="Z41" s="113"/>
    </row>
    <row r="42" spans="1:26" ht="18" customHeight="1" x14ac:dyDescent="0.2">
      <c r="A42" s="29"/>
      <c r="B42" s="170"/>
      <c r="C42" s="171"/>
      <c r="D42" s="171"/>
      <c r="E42" s="171"/>
      <c r="F42" s="172"/>
      <c r="G42" s="113"/>
      <c r="H42" s="113"/>
      <c r="I42" s="164"/>
      <c r="J42" s="165"/>
      <c r="K42" s="166"/>
      <c r="L42" s="113"/>
      <c r="M42" s="113"/>
      <c r="N42" s="158"/>
      <c r="O42" s="159"/>
      <c r="P42" s="159"/>
      <c r="Q42" s="159"/>
      <c r="R42" s="159"/>
      <c r="S42" s="160"/>
      <c r="T42" s="113"/>
      <c r="U42" s="113"/>
      <c r="V42" s="164"/>
      <c r="W42" s="165"/>
      <c r="X42" s="166"/>
      <c r="Y42" s="113"/>
      <c r="Z42" s="113"/>
    </row>
    <row r="43" spans="1:26" ht="18" customHeight="1" x14ac:dyDescent="0.2">
      <c r="A43" s="29"/>
      <c r="B43" s="170"/>
      <c r="C43" s="171"/>
      <c r="D43" s="171"/>
      <c r="E43" s="171"/>
      <c r="F43" s="172"/>
      <c r="G43" s="113"/>
      <c r="H43" s="113"/>
      <c r="I43" s="164"/>
      <c r="J43" s="165"/>
      <c r="K43" s="166"/>
      <c r="L43" s="113"/>
      <c r="M43" s="113"/>
      <c r="N43" s="158"/>
      <c r="O43" s="159"/>
      <c r="P43" s="159"/>
      <c r="Q43" s="159"/>
      <c r="R43" s="159"/>
      <c r="S43" s="160"/>
      <c r="T43" s="113"/>
      <c r="U43" s="113"/>
      <c r="V43" s="164"/>
      <c r="W43" s="165"/>
      <c r="X43" s="166"/>
      <c r="Y43" s="113"/>
      <c r="Z43" s="113"/>
    </row>
    <row r="44" spans="1:26" ht="18" customHeight="1" x14ac:dyDescent="0.2">
      <c r="A44" s="29"/>
      <c r="B44" s="173"/>
      <c r="C44" s="174"/>
      <c r="D44" s="174"/>
      <c r="E44" s="174"/>
      <c r="F44" s="175"/>
      <c r="G44" s="114"/>
      <c r="H44" s="114"/>
      <c r="I44" s="167"/>
      <c r="J44" s="168"/>
      <c r="K44" s="169"/>
      <c r="L44" s="120"/>
      <c r="M44" s="120"/>
      <c r="N44" s="161"/>
      <c r="O44" s="162"/>
      <c r="P44" s="162"/>
      <c r="Q44" s="162"/>
      <c r="R44" s="162"/>
      <c r="S44" s="163"/>
      <c r="T44" s="114"/>
      <c r="U44" s="114"/>
      <c r="V44" s="167"/>
      <c r="W44" s="168"/>
      <c r="X44" s="169"/>
      <c r="Y44" s="120"/>
      <c r="Z44" s="120"/>
    </row>
    <row r="45" spans="1:26" ht="7.5" customHeight="1" x14ac:dyDescent="0.2">
      <c r="B45" s="76"/>
      <c r="C45" s="76"/>
      <c r="D45" s="76"/>
      <c r="E45" s="76"/>
      <c r="F45" s="76"/>
      <c r="G45" s="76"/>
      <c r="H45" s="76"/>
      <c r="I45" s="76"/>
      <c r="J45" s="76"/>
      <c r="K45" s="76"/>
      <c r="L45" s="76"/>
      <c r="M45" s="76"/>
      <c r="N45" s="76"/>
      <c r="O45" s="76"/>
      <c r="P45" s="76"/>
      <c r="Q45" s="76"/>
      <c r="R45" s="76"/>
      <c r="S45" s="76"/>
      <c r="T45" s="76"/>
      <c r="U45" s="76"/>
      <c r="V45" s="76"/>
      <c r="W45" s="76"/>
      <c r="X45" s="76"/>
      <c r="Y45" s="76"/>
    </row>
    <row r="46" spans="1:26" ht="18" customHeight="1" x14ac:dyDescent="0.2">
      <c r="A46" s="218" t="s">
        <v>131</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2">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2">
      <c r="A48" s="14"/>
      <c r="B48" s="124" t="s">
        <v>100</v>
      </c>
      <c r="C48" s="125"/>
      <c r="D48" s="125"/>
      <c r="E48" s="125"/>
      <c r="F48" s="126"/>
      <c r="G48" s="30" t="s">
        <v>140</v>
      </c>
      <c r="H48" s="111" t="s">
        <v>139</v>
      </c>
      <c r="I48" s="124" t="s">
        <v>101</v>
      </c>
      <c r="J48" s="125"/>
      <c r="K48" s="126"/>
      <c r="L48" s="74" t="s">
        <v>106</v>
      </c>
      <c r="M48" s="74" t="s">
        <v>108</v>
      </c>
      <c r="N48" s="124" t="s">
        <v>100</v>
      </c>
      <c r="O48" s="125"/>
      <c r="P48" s="125"/>
      <c r="Q48" s="125"/>
      <c r="R48" s="125"/>
      <c r="S48" s="126"/>
      <c r="T48" s="30" t="s">
        <v>140</v>
      </c>
      <c r="U48" s="111" t="s">
        <v>139</v>
      </c>
      <c r="V48" s="124" t="s">
        <v>101</v>
      </c>
      <c r="W48" s="125"/>
      <c r="X48" s="126"/>
      <c r="Y48" s="74" t="s">
        <v>106</v>
      </c>
      <c r="Z48" s="74" t="s">
        <v>108</v>
      </c>
    </row>
    <row r="49" spans="1:26" ht="18" customHeight="1" x14ac:dyDescent="0.2">
      <c r="A49" s="29"/>
      <c r="B49" s="177" t="s">
        <v>160</v>
      </c>
      <c r="C49" s="178"/>
      <c r="D49" s="178"/>
      <c r="E49" s="178"/>
      <c r="F49" s="179"/>
      <c r="G49" s="112">
        <v>2</v>
      </c>
      <c r="H49" s="112" t="s">
        <v>161</v>
      </c>
      <c r="I49" s="183" t="s">
        <v>162</v>
      </c>
      <c r="J49" s="184"/>
      <c r="K49" s="185"/>
      <c r="L49" s="112" t="s">
        <v>161</v>
      </c>
      <c r="M49" s="112" t="s">
        <v>161</v>
      </c>
      <c r="N49" s="155"/>
      <c r="O49" s="156"/>
      <c r="P49" s="156"/>
      <c r="Q49" s="156"/>
      <c r="R49" s="156"/>
      <c r="S49" s="157"/>
      <c r="T49" s="112"/>
      <c r="U49" s="112"/>
      <c r="V49" s="183"/>
      <c r="W49" s="184"/>
      <c r="X49" s="185"/>
      <c r="Y49" s="112"/>
      <c r="Z49" s="112"/>
    </row>
    <row r="50" spans="1:26" ht="18" customHeight="1" x14ac:dyDescent="0.2">
      <c r="A50" s="29"/>
      <c r="B50" s="170"/>
      <c r="C50" s="171"/>
      <c r="D50" s="171"/>
      <c r="E50" s="171"/>
      <c r="F50" s="172"/>
      <c r="G50" s="113"/>
      <c r="H50" s="113"/>
      <c r="I50" s="164"/>
      <c r="J50" s="165"/>
      <c r="K50" s="166"/>
      <c r="L50" s="113"/>
      <c r="M50" s="113"/>
      <c r="N50" s="158"/>
      <c r="O50" s="159"/>
      <c r="P50" s="159"/>
      <c r="Q50" s="159"/>
      <c r="R50" s="159"/>
      <c r="S50" s="160"/>
      <c r="T50" s="113"/>
      <c r="U50" s="113"/>
      <c r="V50" s="164"/>
      <c r="W50" s="165"/>
      <c r="X50" s="166"/>
      <c r="Y50" s="113"/>
      <c r="Z50" s="113"/>
    </row>
    <row r="51" spans="1:26" ht="18" customHeight="1" x14ac:dyDescent="0.2">
      <c r="A51" s="29"/>
      <c r="B51" s="170"/>
      <c r="C51" s="171"/>
      <c r="D51" s="171"/>
      <c r="E51" s="171"/>
      <c r="F51" s="172"/>
      <c r="G51" s="113"/>
      <c r="H51" s="113"/>
      <c r="I51" s="164"/>
      <c r="J51" s="165"/>
      <c r="K51" s="166"/>
      <c r="L51" s="113"/>
      <c r="M51" s="113"/>
      <c r="N51" s="158"/>
      <c r="O51" s="159"/>
      <c r="P51" s="159"/>
      <c r="Q51" s="159"/>
      <c r="R51" s="159"/>
      <c r="S51" s="160"/>
      <c r="T51" s="113"/>
      <c r="U51" s="113"/>
      <c r="V51" s="164"/>
      <c r="W51" s="165"/>
      <c r="X51" s="166"/>
      <c r="Y51" s="113"/>
      <c r="Z51" s="113"/>
    </row>
    <row r="52" spans="1:26" ht="18" customHeight="1" x14ac:dyDescent="0.2">
      <c r="A52" s="29"/>
      <c r="B52" s="170"/>
      <c r="C52" s="171"/>
      <c r="D52" s="171"/>
      <c r="E52" s="171"/>
      <c r="F52" s="172"/>
      <c r="G52" s="113"/>
      <c r="H52" s="113"/>
      <c r="I52" s="164"/>
      <c r="J52" s="165"/>
      <c r="K52" s="166"/>
      <c r="L52" s="113"/>
      <c r="M52" s="113"/>
      <c r="N52" s="158"/>
      <c r="O52" s="159"/>
      <c r="P52" s="159"/>
      <c r="Q52" s="159"/>
      <c r="R52" s="159"/>
      <c r="S52" s="160"/>
      <c r="T52" s="113"/>
      <c r="U52" s="113"/>
      <c r="V52" s="164"/>
      <c r="W52" s="165"/>
      <c r="X52" s="166"/>
      <c r="Y52" s="113"/>
      <c r="Z52" s="113"/>
    </row>
    <row r="53" spans="1:26" ht="18" customHeight="1" x14ac:dyDescent="0.2">
      <c r="A53" s="29"/>
      <c r="B53" s="170"/>
      <c r="C53" s="171"/>
      <c r="D53" s="171"/>
      <c r="E53" s="171"/>
      <c r="F53" s="172"/>
      <c r="G53" s="113"/>
      <c r="H53" s="113"/>
      <c r="I53" s="164"/>
      <c r="J53" s="165"/>
      <c r="K53" s="166"/>
      <c r="L53" s="113"/>
      <c r="M53" s="113"/>
      <c r="N53" s="158"/>
      <c r="O53" s="159"/>
      <c r="P53" s="159"/>
      <c r="Q53" s="159"/>
      <c r="R53" s="159"/>
      <c r="S53" s="160"/>
      <c r="T53" s="113"/>
      <c r="U53" s="113"/>
      <c r="V53" s="164"/>
      <c r="W53" s="165"/>
      <c r="X53" s="166"/>
      <c r="Y53" s="113"/>
      <c r="Z53" s="113"/>
    </row>
    <row r="54" spans="1:26" ht="18" customHeight="1" x14ac:dyDescent="0.2">
      <c r="A54" s="29"/>
      <c r="B54" s="170"/>
      <c r="C54" s="171"/>
      <c r="D54" s="171"/>
      <c r="E54" s="171"/>
      <c r="F54" s="172"/>
      <c r="G54" s="113"/>
      <c r="H54" s="113"/>
      <c r="I54" s="164"/>
      <c r="J54" s="165"/>
      <c r="K54" s="166"/>
      <c r="L54" s="113"/>
      <c r="M54" s="113"/>
      <c r="N54" s="158"/>
      <c r="O54" s="159"/>
      <c r="P54" s="159"/>
      <c r="Q54" s="159"/>
      <c r="R54" s="159"/>
      <c r="S54" s="160"/>
      <c r="T54" s="113"/>
      <c r="U54" s="113"/>
      <c r="V54" s="164"/>
      <c r="W54" s="165"/>
      <c r="X54" s="166"/>
      <c r="Y54" s="113"/>
      <c r="Z54" s="113"/>
    </row>
    <row r="55" spans="1:26" ht="18" customHeight="1" x14ac:dyDescent="0.2">
      <c r="A55" s="29"/>
      <c r="B55" s="173"/>
      <c r="C55" s="174"/>
      <c r="D55" s="174"/>
      <c r="E55" s="174"/>
      <c r="F55" s="175"/>
      <c r="G55" s="114"/>
      <c r="H55" s="114"/>
      <c r="I55" s="167"/>
      <c r="J55" s="168"/>
      <c r="K55" s="169"/>
      <c r="L55" s="120"/>
      <c r="M55" s="120"/>
      <c r="N55" s="161"/>
      <c r="O55" s="162"/>
      <c r="P55" s="162"/>
      <c r="Q55" s="162"/>
      <c r="R55" s="162"/>
      <c r="S55" s="163"/>
      <c r="T55" s="114"/>
      <c r="U55" s="114"/>
      <c r="V55" s="167"/>
      <c r="W55" s="168"/>
      <c r="X55" s="169"/>
      <c r="Y55" s="120"/>
      <c r="Z55" s="120"/>
    </row>
    <row r="56" spans="1:26" ht="7.5" customHeight="1" x14ac:dyDescent="0.2">
      <c r="B56" s="76"/>
      <c r="C56" s="76"/>
      <c r="D56" s="76"/>
      <c r="E56" s="76"/>
      <c r="F56" s="76"/>
      <c r="G56" s="76"/>
      <c r="H56" s="76"/>
      <c r="I56" s="76"/>
      <c r="J56" s="76"/>
      <c r="K56" s="76"/>
      <c r="L56" s="76"/>
      <c r="M56" s="76"/>
      <c r="N56" s="76"/>
      <c r="O56" s="76"/>
      <c r="P56" s="76"/>
      <c r="Q56" s="76"/>
      <c r="R56" s="76"/>
      <c r="S56" s="76"/>
      <c r="T56" s="76"/>
      <c r="U56" s="76"/>
      <c r="V56" s="76"/>
      <c r="W56" s="76"/>
      <c r="X56" s="76"/>
      <c r="Y56" s="76"/>
    </row>
    <row r="57" spans="1:26" ht="18" customHeight="1" x14ac:dyDescent="0.2">
      <c r="A57" s="218" t="s">
        <v>132</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2">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2">
      <c r="A59" s="14"/>
      <c r="B59" s="124" t="s">
        <v>100</v>
      </c>
      <c r="C59" s="125"/>
      <c r="D59" s="125"/>
      <c r="E59" s="126"/>
      <c r="F59" s="30" t="s">
        <v>140</v>
      </c>
      <c r="G59" s="111" t="s">
        <v>139</v>
      </c>
      <c r="H59" s="106" t="s">
        <v>101</v>
      </c>
      <c r="I59" s="107"/>
      <c r="J59" s="108"/>
      <c r="K59" s="74" t="s">
        <v>105</v>
      </c>
      <c r="L59" s="74" t="s">
        <v>133</v>
      </c>
      <c r="M59" s="74" t="s">
        <v>134</v>
      </c>
      <c r="N59" s="124" t="s">
        <v>100</v>
      </c>
      <c r="O59" s="125"/>
      <c r="P59" s="125"/>
      <c r="Q59" s="125"/>
      <c r="R59" s="126"/>
      <c r="S59" s="30" t="s">
        <v>140</v>
      </c>
      <c r="T59" s="111" t="s">
        <v>139</v>
      </c>
      <c r="U59" s="106" t="s">
        <v>101</v>
      </c>
      <c r="V59" s="107"/>
      <c r="W59" s="108"/>
      <c r="X59" s="74" t="s">
        <v>105</v>
      </c>
      <c r="Y59" s="74" t="s">
        <v>133</v>
      </c>
      <c r="Z59" s="74" t="s">
        <v>134</v>
      </c>
    </row>
    <row r="60" spans="1:26" ht="18" customHeight="1" x14ac:dyDescent="0.2">
      <c r="A60" s="29"/>
      <c r="B60" s="155" t="s">
        <v>160</v>
      </c>
      <c r="C60" s="156"/>
      <c r="D60" s="156"/>
      <c r="E60" s="157"/>
      <c r="F60" s="112">
        <v>2</v>
      </c>
      <c r="G60" s="113" t="s">
        <v>161</v>
      </c>
      <c r="H60" s="183" t="s">
        <v>162</v>
      </c>
      <c r="I60" s="184"/>
      <c r="J60" s="185"/>
      <c r="K60" s="112" t="s">
        <v>161</v>
      </c>
      <c r="L60" s="112" t="s">
        <v>161</v>
      </c>
      <c r="M60" s="112" t="s">
        <v>161</v>
      </c>
      <c r="N60" s="155"/>
      <c r="O60" s="156"/>
      <c r="P60" s="156"/>
      <c r="Q60" s="156"/>
      <c r="R60" s="157"/>
      <c r="S60" s="112"/>
      <c r="T60" s="112"/>
      <c r="U60" s="183"/>
      <c r="V60" s="184"/>
      <c r="W60" s="185"/>
      <c r="X60" s="119"/>
      <c r="Y60" s="112"/>
      <c r="Z60" s="112"/>
    </row>
    <row r="61" spans="1:26" ht="18" customHeight="1" x14ac:dyDescent="0.2">
      <c r="A61" s="29"/>
      <c r="B61" s="158" t="s">
        <v>198</v>
      </c>
      <c r="C61" s="159"/>
      <c r="D61" s="159"/>
      <c r="E61" s="160"/>
      <c r="F61" s="113">
        <v>2</v>
      </c>
      <c r="G61" s="113"/>
      <c r="H61" s="164" t="s">
        <v>162</v>
      </c>
      <c r="I61" s="165"/>
      <c r="J61" s="166"/>
      <c r="K61" s="117"/>
      <c r="L61" s="113" t="s">
        <v>161</v>
      </c>
      <c r="M61" s="113" t="s">
        <v>161</v>
      </c>
      <c r="N61" s="158"/>
      <c r="O61" s="159"/>
      <c r="P61" s="159"/>
      <c r="Q61" s="159"/>
      <c r="R61" s="160"/>
      <c r="S61" s="113"/>
      <c r="T61" s="113"/>
      <c r="U61" s="164"/>
      <c r="V61" s="165"/>
      <c r="W61" s="166"/>
      <c r="X61" s="117"/>
      <c r="Y61" s="113"/>
      <c r="Z61" s="113"/>
    </row>
    <row r="62" spans="1:26" ht="18" customHeight="1" x14ac:dyDescent="0.2">
      <c r="A62" s="29"/>
      <c r="B62" s="158"/>
      <c r="C62" s="159"/>
      <c r="D62" s="159"/>
      <c r="E62" s="160"/>
      <c r="F62" s="113"/>
      <c r="G62" s="113"/>
      <c r="H62" s="164"/>
      <c r="I62" s="165"/>
      <c r="J62" s="166"/>
      <c r="K62" s="117"/>
      <c r="L62" s="113"/>
      <c r="M62" s="113"/>
      <c r="N62" s="158"/>
      <c r="O62" s="159"/>
      <c r="P62" s="159"/>
      <c r="Q62" s="159"/>
      <c r="R62" s="160"/>
      <c r="S62" s="113"/>
      <c r="T62" s="113"/>
      <c r="U62" s="164"/>
      <c r="V62" s="165"/>
      <c r="W62" s="166"/>
      <c r="X62" s="117"/>
      <c r="Y62" s="113"/>
      <c r="Z62" s="113"/>
    </row>
    <row r="63" spans="1:26" ht="18" customHeight="1" x14ac:dyDescent="0.2">
      <c r="A63" s="29"/>
      <c r="B63" s="158"/>
      <c r="C63" s="159"/>
      <c r="D63" s="159"/>
      <c r="E63" s="160"/>
      <c r="F63" s="113"/>
      <c r="G63" s="113"/>
      <c r="H63" s="164"/>
      <c r="I63" s="165"/>
      <c r="J63" s="166"/>
      <c r="K63" s="117"/>
      <c r="L63" s="113"/>
      <c r="M63" s="113"/>
      <c r="N63" s="158"/>
      <c r="O63" s="159"/>
      <c r="P63" s="159"/>
      <c r="Q63" s="159"/>
      <c r="R63" s="160"/>
      <c r="S63" s="113"/>
      <c r="T63" s="113"/>
      <c r="U63" s="164"/>
      <c r="V63" s="165"/>
      <c r="W63" s="166"/>
      <c r="X63" s="117"/>
      <c r="Y63" s="113"/>
      <c r="Z63" s="113"/>
    </row>
    <row r="64" spans="1:26" ht="18" customHeight="1" x14ac:dyDescent="0.2">
      <c r="A64" s="29"/>
      <c r="B64" s="158"/>
      <c r="C64" s="159"/>
      <c r="D64" s="159"/>
      <c r="E64" s="160"/>
      <c r="F64" s="113"/>
      <c r="G64" s="113"/>
      <c r="H64" s="164"/>
      <c r="I64" s="165"/>
      <c r="J64" s="166"/>
      <c r="K64" s="117"/>
      <c r="L64" s="113"/>
      <c r="M64" s="113"/>
      <c r="N64" s="158"/>
      <c r="O64" s="159"/>
      <c r="P64" s="159"/>
      <c r="Q64" s="159"/>
      <c r="R64" s="160"/>
      <c r="S64" s="113"/>
      <c r="T64" s="113"/>
      <c r="U64" s="164"/>
      <c r="V64" s="165"/>
      <c r="W64" s="166"/>
      <c r="X64" s="117"/>
      <c r="Y64" s="113"/>
      <c r="Z64" s="113"/>
    </row>
    <row r="65" spans="1:26" ht="18" customHeight="1" x14ac:dyDescent="0.2">
      <c r="A65" s="29"/>
      <c r="B65" s="158"/>
      <c r="C65" s="159"/>
      <c r="D65" s="159"/>
      <c r="E65" s="160"/>
      <c r="F65" s="113"/>
      <c r="G65" s="113"/>
      <c r="H65" s="164"/>
      <c r="I65" s="165"/>
      <c r="J65" s="166"/>
      <c r="K65" s="117"/>
      <c r="L65" s="113"/>
      <c r="M65" s="113"/>
      <c r="N65" s="158"/>
      <c r="O65" s="159"/>
      <c r="P65" s="159"/>
      <c r="Q65" s="159"/>
      <c r="R65" s="160"/>
      <c r="S65" s="113"/>
      <c r="T65" s="113"/>
      <c r="U65" s="164"/>
      <c r="V65" s="165"/>
      <c r="W65" s="166"/>
      <c r="X65" s="117"/>
      <c r="Y65" s="113"/>
      <c r="Z65" s="113"/>
    </row>
    <row r="66" spans="1:26" ht="18" customHeight="1" x14ac:dyDescent="0.2">
      <c r="A66" s="29"/>
      <c r="B66" s="161"/>
      <c r="C66" s="162"/>
      <c r="D66" s="162"/>
      <c r="E66" s="163"/>
      <c r="F66" s="114"/>
      <c r="G66" s="114"/>
      <c r="H66" s="167"/>
      <c r="I66" s="168"/>
      <c r="J66" s="169"/>
      <c r="K66" s="118"/>
      <c r="L66" s="120"/>
      <c r="M66" s="120"/>
      <c r="N66" s="161"/>
      <c r="O66" s="162"/>
      <c r="P66" s="162"/>
      <c r="Q66" s="162"/>
      <c r="R66" s="163"/>
      <c r="S66" s="114"/>
      <c r="T66" s="114"/>
      <c r="U66" s="167"/>
      <c r="V66" s="168"/>
      <c r="W66" s="169"/>
      <c r="X66" s="118"/>
      <c r="Y66" s="120"/>
      <c r="Z66" s="120"/>
    </row>
    <row r="67" spans="1:26" ht="7.5" customHeight="1" x14ac:dyDescent="0.2">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6" ht="18" customHeight="1" x14ac:dyDescent="0.2">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24" t="s">
        <v>100</v>
      </c>
      <c r="C69" s="125"/>
      <c r="D69" s="125"/>
      <c r="E69" s="125"/>
      <c r="F69" s="126"/>
      <c r="G69" s="124" t="s">
        <v>145</v>
      </c>
      <c r="H69" s="125"/>
      <c r="I69" s="125"/>
      <c r="J69" s="125"/>
      <c r="K69" s="125"/>
      <c r="L69" s="125"/>
      <c r="M69" s="126"/>
      <c r="N69" s="180" t="s">
        <v>100</v>
      </c>
      <c r="O69" s="181"/>
      <c r="P69" s="181"/>
      <c r="Q69" s="181"/>
      <c r="R69" s="181"/>
      <c r="S69" s="182"/>
      <c r="T69" s="124" t="s">
        <v>145</v>
      </c>
      <c r="U69" s="125"/>
      <c r="V69" s="125"/>
      <c r="W69" s="125"/>
      <c r="X69" s="125"/>
      <c r="Y69" s="125"/>
      <c r="Z69" s="126"/>
    </row>
    <row r="70" spans="1:26" ht="18" customHeight="1" x14ac:dyDescent="0.2">
      <c r="A70" s="29"/>
      <c r="B70" s="155" t="s">
        <v>160</v>
      </c>
      <c r="C70" s="156"/>
      <c r="D70" s="156"/>
      <c r="E70" s="156"/>
      <c r="F70" s="157"/>
      <c r="G70" s="230" t="s">
        <v>163</v>
      </c>
      <c r="H70" s="231"/>
      <c r="I70" s="231"/>
      <c r="J70" s="231"/>
      <c r="K70" s="231"/>
      <c r="L70" s="231"/>
      <c r="M70" s="232"/>
      <c r="N70" s="155"/>
      <c r="O70" s="156"/>
      <c r="P70" s="156"/>
      <c r="Q70" s="156"/>
      <c r="R70" s="156"/>
      <c r="S70" s="157"/>
      <c r="T70" s="230"/>
      <c r="U70" s="231"/>
      <c r="V70" s="231"/>
      <c r="W70" s="231"/>
      <c r="X70" s="231"/>
      <c r="Y70" s="231"/>
      <c r="Z70" s="232"/>
    </row>
    <row r="71" spans="1:26" ht="18" customHeight="1" x14ac:dyDescent="0.2">
      <c r="A71" s="29"/>
      <c r="B71" s="200"/>
      <c r="C71" s="201"/>
      <c r="D71" s="201"/>
      <c r="E71" s="201"/>
      <c r="F71" s="202"/>
      <c r="G71" s="203"/>
      <c r="H71" s="204"/>
      <c r="I71" s="204"/>
      <c r="J71" s="204"/>
      <c r="K71" s="204"/>
      <c r="L71" s="204"/>
      <c r="M71" s="205"/>
      <c r="N71" s="158"/>
      <c r="O71" s="159"/>
      <c r="P71" s="159"/>
      <c r="Q71" s="159"/>
      <c r="R71" s="159"/>
      <c r="S71" s="160"/>
      <c r="T71" s="203"/>
      <c r="U71" s="204"/>
      <c r="V71" s="204"/>
      <c r="W71" s="204"/>
      <c r="X71" s="204"/>
      <c r="Y71" s="204"/>
      <c r="Z71" s="205"/>
    </row>
    <row r="72" spans="1:26" ht="18" customHeight="1" x14ac:dyDescent="0.2">
      <c r="A72" s="29"/>
      <c r="B72" s="158"/>
      <c r="C72" s="159"/>
      <c r="D72" s="159"/>
      <c r="E72" s="159"/>
      <c r="F72" s="160"/>
      <c r="G72" s="203"/>
      <c r="H72" s="204"/>
      <c r="I72" s="204"/>
      <c r="J72" s="204"/>
      <c r="K72" s="204"/>
      <c r="L72" s="204"/>
      <c r="M72" s="205"/>
      <c r="N72" s="158"/>
      <c r="O72" s="159"/>
      <c r="P72" s="159"/>
      <c r="Q72" s="159"/>
      <c r="R72" s="159"/>
      <c r="S72" s="160"/>
      <c r="T72" s="203"/>
      <c r="U72" s="204"/>
      <c r="V72" s="204"/>
      <c r="W72" s="204"/>
      <c r="X72" s="204"/>
      <c r="Y72" s="204"/>
      <c r="Z72" s="205"/>
    </row>
    <row r="73" spans="1:26" ht="18" customHeight="1" x14ac:dyDescent="0.2">
      <c r="A73" s="29"/>
      <c r="B73" s="158"/>
      <c r="C73" s="159"/>
      <c r="D73" s="159"/>
      <c r="E73" s="159"/>
      <c r="F73" s="160"/>
      <c r="G73" s="203"/>
      <c r="H73" s="204"/>
      <c r="I73" s="204"/>
      <c r="J73" s="204"/>
      <c r="K73" s="204"/>
      <c r="L73" s="204"/>
      <c r="M73" s="205"/>
      <c r="N73" s="158"/>
      <c r="O73" s="159"/>
      <c r="P73" s="159"/>
      <c r="Q73" s="159"/>
      <c r="R73" s="159"/>
      <c r="S73" s="160"/>
      <c r="T73" s="203"/>
      <c r="U73" s="204"/>
      <c r="V73" s="204"/>
      <c r="W73" s="204"/>
      <c r="X73" s="204"/>
      <c r="Y73" s="204"/>
      <c r="Z73" s="205"/>
    </row>
    <row r="74" spans="1:26" ht="18" customHeight="1" x14ac:dyDescent="0.2">
      <c r="A74" s="29"/>
      <c r="B74" s="158"/>
      <c r="C74" s="159"/>
      <c r="D74" s="159"/>
      <c r="E74" s="159"/>
      <c r="F74" s="160"/>
      <c r="G74" s="203"/>
      <c r="H74" s="204"/>
      <c r="I74" s="204"/>
      <c r="J74" s="204"/>
      <c r="K74" s="204"/>
      <c r="L74" s="204"/>
      <c r="M74" s="205"/>
      <c r="N74" s="158"/>
      <c r="O74" s="159"/>
      <c r="P74" s="159"/>
      <c r="Q74" s="159"/>
      <c r="R74" s="159"/>
      <c r="S74" s="160"/>
      <c r="T74" s="203"/>
      <c r="U74" s="204"/>
      <c r="V74" s="204"/>
      <c r="W74" s="204"/>
      <c r="X74" s="204"/>
      <c r="Y74" s="204"/>
      <c r="Z74" s="205"/>
    </row>
    <row r="75" spans="1:26" ht="18" customHeight="1" x14ac:dyDescent="0.2">
      <c r="A75" s="29"/>
      <c r="B75" s="158"/>
      <c r="C75" s="159"/>
      <c r="D75" s="159"/>
      <c r="E75" s="159"/>
      <c r="F75" s="160"/>
      <c r="G75" s="203"/>
      <c r="H75" s="204"/>
      <c r="I75" s="204"/>
      <c r="J75" s="204"/>
      <c r="K75" s="204"/>
      <c r="L75" s="204"/>
      <c r="M75" s="205"/>
      <c r="N75" s="158"/>
      <c r="O75" s="159"/>
      <c r="P75" s="159"/>
      <c r="Q75" s="159"/>
      <c r="R75" s="159"/>
      <c r="S75" s="160"/>
      <c r="T75" s="203"/>
      <c r="U75" s="204"/>
      <c r="V75" s="204"/>
      <c r="W75" s="204"/>
      <c r="X75" s="204"/>
      <c r="Y75" s="204"/>
      <c r="Z75" s="205"/>
    </row>
    <row r="76" spans="1:26" ht="18" customHeight="1" x14ac:dyDescent="0.2">
      <c r="A76" s="29"/>
      <c r="B76" s="161"/>
      <c r="C76" s="162"/>
      <c r="D76" s="162"/>
      <c r="E76" s="162"/>
      <c r="F76" s="163"/>
      <c r="G76" s="197"/>
      <c r="H76" s="198"/>
      <c r="I76" s="198"/>
      <c r="J76" s="198"/>
      <c r="K76" s="198"/>
      <c r="L76" s="198"/>
      <c r="M76" s="199"/>
      <c r="N76" s="161"/>
      <c r="O76" s="162"/>
      <c r="P76" s="162"/>
      <c r="Q76" s="162"/>
      <c r="R76" s="162"/>
      <c r="S76" s="163"/>
      <c r="T76" s="197"/>
      <c r="U76" s="198"/>
      <c r="V76" s="198"/>
      <c r="W76" s="198"/>
      <c r="X76" s="198"/>
      <c r="Y76" s="198"/>
      <c r="Z76" s="199"/>
    </row>
    <row r="77" spans="1:26" ht="18" customHeight="1" x14ac:dyDescent="0.2">
      <c r="A77" s="29"/>
      <c r="B77" s="71"/>
      <c r="C77" s="71"/>
      <c r="D77" s="71"/>
      <c r="E77" s="71"/>
      <c r="F77" s="71"/>
      <c r="G77" s="12"/>
      <c r="H77" s="12"/>
      <c r="I77" s="12"/>
      <c r="J77" s="12"/>
      <c r="K77" s="12"/>
      <c r="L77" s="12"/>
      <c r="M77" s="12"/>
      <c r="N77" s="71"/>
      <c r="O77" s="71"/>
      <c r="P77" s="71"/>
      <c r="Q77" s="71"/>
      <c r="R77" s="71"/>
      <c r="S77" s="71"/>
      <c r="T77" s="12"/>
      <c r="U77" s="12"/>
      <c r="V77" s="12"/>
      <c r="W77" s="12"/>
      <c r="X77" s="12"/>
      <c r="Y77" s="12"/>
      <c r="Z77" s="12"/>
    </row>
    <row r="78" spans="1:26" ht="18.75" customHeight="1" x14ac:dyDescent="0.2">
      <c r="A78" s="13" t="s">
        <v>141</v>
      </c>
    </row>
    <row r="79" spans="1:26" ht="18.75" customHeight="1" x14ac:dyDescent="0.2">
      <c r="B79" s="77" t="s">
        <v>102</v>
      </c>
      <c r="C79" s="78"/>
      <c r="D79" s="249" t="s">
        <v>103</v>
      </c>
      <c r="E79" s="249"/>
      <c r="F79" s="249"/>
      <c r="G79" s="249"/>
      <c r="H79" s="249"/>
      <c r="I79" s="249"/>
      <c r="J79" s="249"/>
      <c r="K79" s="249"/>
      <c r="L79" s="249"/>
      <c r="M79" s="249"/>
      <c r="N79" s="249"/>
      <c r="O79" s="249"/>
      <c r="P79" s="249"/>
      <c r="Q79" s="249"/>
      <c r="R79" s="249"/>
      <c r="S79" s="249"/>
      <c r="T79" s="249"/>
      <c r="U79" s="249"/>
      <c r="V79" s="249"/>
      <c r="W79" s="249"/>
      <c r="X79" s="249"/>
      <c r="Y79" s="249"/>
      <c r="Z79" s="250"/>
    </row>
    <row r="80" spans="1:26" ht="78" customHeight="1" x14ac:dyDescent="0.2">
      <c r="B80" s="236" t="s">
        <v>109</v>
      </c>
      <c r="C80" s="84" t="s">
        <v>104</v>
      </c>
      <c r="D80" s="251" t="s">
        <v>167</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78" customHeight="1" x14ac:dyDescent="0.2">
      <c r="B81" s="237"/>
      <c r="C81" s="109" t="s">
        <v>136</v>
      </c>
      <c r="D81" s="206" t="s">
        <v>168</v>
      </c>
      <c r="E81" s="207"/>
      <c r="F81" s="207"/>
      <c r="G81" s="207"/>
      <c r="H81" s="207"/>
      <c r="I81" s="207"/>
      <c r="J81" s="207"/>
      <c r="K81" s="207"/>
      <c r="L81" s="207"/>
      <c r="M81" s="207"/>
      <c r="N81" s="207"/>
      <c r="O81" s="207"/>
      <c r="P81" s="207"/>
      <c r="Q81" s="207"/>
      <c r="R81" s="207"/>
      <c r="S81" s="207"/>
      <c r="T81" s="207"/>
      <c r="U81" s="207"/>
      <c r="V81" s="207"/>
      <c r="W81" s="207"/>
      <c r="X81" s="207"/>
      <c r="Y81" s="207"/>
      <c r="Z81" s="208"/>
    </row>
    <row r="82" spans="1:26" ht="78" customHeight="1" x14ac:dyDescent="0.2">
      <c r="B82" s="234" t="s">
        <v>110</v>
      </c>
      <c r="C82" s="79" t="s">
        <v>126</v>
      </c>
      <c r="D82" s="209" t="s">
        <v>203</v>
      </c>
      <c r="E82" s="210"/>
      <c r="F82" s="210"/>
      <c r="G82" s="210"/>
      <c r="H82" s="210"/>
      <c r="I82" s="210"/>
      <c r="J82" s="210"/>
      <c r="K82" s="210"/>
      <c r="L82" s="210"/>
      <c r="M82" s="210"/>
      <c r="N82" s="210"/>
      <c r="O82" s="210"/>
      <c r="P82" s="210"/>
      <c r="Q82" s="210"/>
      <c r="R82" s="210"/>
      <c r="S82" s="210"/>
      <c r="T82" s="210"/>
      <c r="U82" s="210"/>
      <c r="V82" s="210"/>
      <c r="W82" s="210"/>
      <c r="X82" s="210"/>
      <c r="Y82" s="210"/>
      <c r="Z82" s="211"/>
    </row>
    <row r="83" spans="1:26" ht="78" customHeight="1" x14ac:dyDescent="0.2">
      <c r="B83" s="235"/>
      <c r="C83" s="110" t="s">
        <v>127</v>
      </c>
      <c r="D83" s="215" t="s">
        <v>202</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2">
      <c r="B84" s="234" t="s">
        <v>111</v>
      </c>
      <c r="C84" s="79" t="s">
        <v>129</v>
      </c>
      <c r="D84" s="209" t="s">
        <v>199</v>
      </c>
      <c r="E84" s="210"/>
      <c r="F84" s="210"/>
      <c r="G84" s="210"/>
      <c r="H84" s="210"/>
      <c r="I84" s="210"/>
      <c r="J84" s="210"/>
      <c r="K84" s="210"/>
      <c r="L84" s="210"/>
      <c r="M84" s="210"/>
      <c r="N84" s="210"/>
      <c r="O84" s="210"/>
      <c r="P84" s="210"/>
      <c r="Q84" s="210"/>
      <c r="R84" s="210"/>
      <c r="S84" s="210"/>
      <c r="T84" s="210"/>
      <c r="U84" s="210"/>
      <c r="V84" s="210"/>
      <c r="W84" s="210"/>
      <c r="X84" s="210"/>
      <c r="Y84" s="210"/>
      <c r="Z84" s="211"/>
    </row>
    <row r="85" spans="1:26" ht="66" customHeight="1" x14ac:dyDescent="0.2">
      <c r="B85" s="235"/>
      <c r="C85" s="81" t="s">
        <v>130</v>
      </c>
      <c r="D85" s="212" t="s">
        <v>204</v>
      </c>
      <c r="E85" s="213"/>
      <c r="F85" s="213"/>
      <c r="G85" s="213"/>
      <c r="H85" s="213"/>
      <c r="I85" s="213"/>
      <c r="J85" s="213"/>
      <c r="K85" s="213"/>
      <c r="L85" s="213"/>
      <c r="M85" s="213"/>
      <c r="N85" s="213"/>
      <c r="O85" s="213"/>
      <c r="P85" s="213"/>
      <c r="Q85" s="213"/>
      <c r="R85" s="213"/>
      <c r="S85" s="213"/>
      <c r="T85" s="213"/>
      <c r="U85" s="213"/>
      <c r="V85" s="213"/>
      <c r="W85" s="213"/>
      <c r="X85" s="213"/>
      <c r="Y85" s="213"/>
      <c r="Z85" s="214"/>
    </row>
    <row r="86" spans="1:26" ht="66" customHeight="1" x14ac:dyDescent="0.2">
      <c r="B86" s="236" t="s">
        <v>137</v>
      </c>
      <c r="C86" s="84" t="s">
        <v>106</v>
      </c>
      <c r="D86" s="243" t="s">
        <v>205</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66" customHeight="1" x14ac:dyDescent="0.2">
      <c r="B87" s="238"/>
      <c r="C87" s="80" t="s">
        <v>108</v>
      </c>
      <c r="D87" s="246" t="s">
        <v>206</v>
      </c>
      <c r="E87" s="247"/>
      <c r="F87" s="247"/>
      <c r="G87" s="247"/>
      <c r="H87" s="247"/>
      <c r="I87" s="247"/>
      <c r="J87" s="247"/>
      <c r="K87" s="247"/>
      <c r="L87" s="247"/>
      <c r="M87" s="247"/>
      <c r="N87" s="247"/>
      <c r="O87" s="247"/>
      <c r="P87" s="247"/>
      <c r="Q87" s="247"/>
      <c r="R87" s="247"/>
      <c r="S87" s="247"/>
      <c r="T87" s="247"/>
      <c r="U87" s="247"/>
      <c r="V87" s="247"/>
      <c r="W87" s="247"/>
      <c r="X87" s="247"/>
      <c r="Y87" s="247"/>
      <c r="Z87" s="248"/>
    </row>
    <row r="88" spans="1:26" ht="66" customHeight="1" x14ac:dyDescent="0.2">
      <c r="B88" s="236" t="s">
        <v>138</v>
      </c>
      <c r="C88" s="79" t="s">
        <v>105</v>
      </c>
      <c r="D88" s="239" t="s">
        <v>178</v>
      </c>
      <c r="E88" s="240"/>
      <c r="F88" s="240"/>
      <c r="G88" s="240"/>
      <c r="H88" s="240"/>
      <c r="I88" s="240"/>
      <c r="J88" s="240"/>
      <c r="K88" s="240"/>
      <c r="L88" s="240"/>
      <c r="M88" s="240"/>
      <c r="N88" s="240"/>
      <c r="O88" s="240"/>
      <c r="P88" s="240"/>
      <c r="Q88" s="240"/>
      <c r="R88" s="240"/>
      <c r="S88" s="240"/>
      <c r="T88" s="240"/>
      <c r="U88" s="240"/>
      <c r="V88" s="240"/>
      <c r="W88" s="240"/>
      <c r="X88" s="240"/>
      <c r="Y88" s="240"/>
      <c r="Z88" s="241"/>
    </row>
    <row r="89" spans="1:26" ht="66" customHeight="1" x14ac:dyDescent="0.2">
      <c r="B89" s="238"/>
      <c r="C89" s="80" t="s">
        <v>133</v>
      </c>
      <c r="D89" s="233" t="s">
        <v>200</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66" customHeight="1" x14ac:dyDescent="0.2">
      <c r="B90" s="235"/>
      <c r="C90" s="81" t="s">
        <v>134</v>
      </c>
      <c r="D90" s="242" t="s">
        <v>201</v>
      </c>
      <c r="E90" s="192"/>
      <c r="F90" s="192"/>
      <c r="G90" s="192"/>
      <c r="H90" s="192"/>
      <c r="I90" s="192"/>
      <c r="J90" s="192"/>
      <c r="K90" s="192"/>
      <c r="L90" s="192"/>
      <c r="M90" s="192"/>
      <c r="N90" s="192"/>
      <c r="O90" s="192"/>
      <c r="P90" s="192"/>
      <c r="Q90" s="192"/>
      <c r="R90" s="192"/>
      <c r="S90" s="192"/>
      <c r="T90" s="192"/>
      <c r="U90" s="192"/>
      <c r="V90" s="192"/>
      <c r="W90" s="192"/>
      <c r="X90" s="192"/>
      <c r="Y90" s="192"/>
      <c r="Z90" s="193"/>
    </row>
    <row r="91" spans="1:26" ht="6" customHeight="1" x14ac:dyDescent="0.2"/>
    <row r="92" spans="1:26" ht="18.75" customHeight="1" x14ac:dyDescent="0.2">
      <c r="A92" s="13" t="s">
        <v>142</v>
      </c>
    </row>
    <row r="93" spans="1:26" ht="18.75" customHeight="1" x14ac:dyDescent="0.2">
      <c r="B93" s="186" t="s">
        <v>170</v>
      </c>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8"/>
    </row>
    <row r="94" spans="1:26" ht="18.75" customHeight="1" x14ac:dyDescent="0.2">
      <c r="B94" s="189"/>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90"/>
    </row>
    <row r="95" spans="1:26" ht="18.75" customHeight="1" x14ac:dyDescent="0.2">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x14ac:dyDescent="0.2"/>
    <row r="97" spans="1:26" ht="15" customHeight="1" x14ac:dyDescent="0.2">
      <c r="A97" s="13" t="s">
        <v>143</v>
      </c>
    </row>
    <row r="98" spans="1:26" ht="15" customHeight="1" x14ac:dyDescent="0.2">
      <c r="B98" s="194" t="s">
        <v>169</v>
      </c>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38:H44 K60:L60 Y38:Z44 H49:H55 Y49:Z55 Y60:Z66 G60:G66 H27:H33 U16:U22 T60:T66 U27:U33 L27:M33 U38:U44 L38:M44 U49:U55 L49:M55 M60:M66 L61:L66 H16:H22">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D30" sqref="D30"/>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8" t="s">
        <v>63</v>
      </c>
      <c r="G1" s="258"/>
      <c r="H1" s="258"/>
      <c r="I1" s="258"/>
      <c r="J1" s="258"/>
      <c r="K1" s="258"/>
      <c r="L1" s="258"/>
      <c r="M1" s="258"/>
      <c r="N1" s="258"/>
      <c r="O1" s="258"/>
      <c r="P1" s="258"/>
      <c r="Q1" s="258"/>
      <c r="R1" s="258"/>
    </row>
    <row r="2" spans="1:20" ht="18" customHeight="1" x14ac:dyDescent="0.2">
      <c r="A2" s="259" t="s">
        <v>89</v>
      </c>
      <c r="B2" s="259"/>
      <c r="C2" s="259"/>
      <c r="D2" s="259"/>
      <c r="E2" s="259"/>
      <c r="F2" s="259"/>
      <c r="G2" s="259"/>
      <c r="H2" s="259"/>
      <c r="I2" s="259"/>
      <c r="J2" s="259"/>
      <c r="K2" s="259"/>
      <c r="L2" s="259"/>
      <c r="M2" s="259"/>
      <c r="N2" s="259"/>
      <c r="O2" s="259"/>
      <c r="P2" s="259"/>
      <c r="Q2" s="259"/>
      <c r="R2" s="259"/>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146</v>
      </c>
      <c r="B4" s="4"/>
      <c r="C4" s="260" t="str">
        <f>'様式１　大学等概要'!E12</f>
        <v>令和3</v>
      </c>
      <c r="D4" s="261"/>
      <c r="E4" s="38" t="s">
        <v>96</v>
      </c>
      <c r="F4" s="38"/>
      <c r="G4" s="38"/>
      <c r="H4" s="38"/>
      <c r="I4" s="38"/>
      <c r="J4" s="85"/>
      <c r="K4" s="38"/>
      <c r="L4" s="38"/>
      <c r="M4" s="115"/>
      <c r="N4" s="115"/>
      <c r="O4" s="115"/>
      <c r="P4" s="115"/>
      <c r="Q4" s="115"/>
      <c r="R4" s="115"/>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144</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62" t="s">
        <v>79</v>
      </c>
      <c r="C8" s="264" t="s">
        <v>84</v>
      </c>
      <c r="D8" s="266" t="s">
        <v>68</v>
      </c>
      <c r="E8" s="268" t="s">
        <v>90</v>
      </c>
      <c r="F8" s="268"/>
      <c r="G8" s="268" t="s">
        <v>91</v>
      </c>
      <c r="H8" s="268"/>
      <c r="I8" s="268" t="s">
        <v>92</v>
      </c>
      <c r="J8" s="268"/>
      <c r="K8" s="252" t="s">
        <v>93</v>
      </c>
      <c r="L8" s="253"/>
      <c r="M8" s="252" t="s">
        <v>94</v>
      </c>
      <c r="N8" s="253"/>
      <c r="O8" s="252" t="s">
        <v>95</v>
      </c>
      <c r="P8" s="253"/>
      <c r="Q8" s="254" t="s">
        <v>62</v>
      </c>
      <c r="R8" s="256" t="s">
        <v>56</v>
      </c>
      <c r="T8" s="34"/>
    </row>
    <row r="9" spans="1:20" ht="18" customHeight="1" x14ac:dyDescent="0.2">
      <c r="A9" s="4"/>
      <c r="B9" s="263"/>
      <c r="C9" s="265"/>
      <c r="D9" s="267"/>
      <c r="E9" s="42" t="s">
        <v>44</v>
      </c>
      <c r="F9" s="43" t="s">
        <v>43</v>
      </c>
      <c r="G9" s="44" t="s">
        <v>44</v>
      </c>
      <c r="H9" s="45" t="s">
        <v>43</v>
      </c>
      <c r="I9" s="42" t="s">
        <v>44</v>
      </c>
      <c r="J9" s="43" t="s">
        <v>43</v>
      </c>
      <c r="K9" s="44" t="s">
        <v>44</v>
      </c>
      <c r="L9" s="45" t="s">
        <v>43</v>
      </c>
      <c r="M9" s="42" t="s">
        <v>44</v>
      </c>
      <c r="N9" s="43" t="s">
        <v>43</v>
      </c>
      <c r="O9" s="44" t="s">
        <v>44</v>
      </c>
      <c r="P9" s="45" t="s">
        <v>43</v>
      </c>
      <c r="Q9" s="255"/>
      <c r="R9" s="257"/>
      <c r="T9" s="34"/>
    </row>
    <row r="10" spans="1:20" ht="18" customHeight="1" x14ac:dyDescent="0.2">
      <c r="A10" s="46"/>
      <c r="B10" s="86" t="s">
        <v>182</v>
      </c>
      <c r="C10" s="46">
        <v>70</v>
      </c>
      <c r="D10" s="47">
        <v>140</v>
      </c>
      <c r="E10" s="48">
        <v>10</v>
      </c>
      <c r="F10" s="49">
        <v>0</v>
      </c>
      <c r="G10" s="50"/>
      <c r="H10" s="51"/>
      <c r="I10" s="48"/>
      <c r="J10" s="49"/>
      <c r="K10" s="50"/>
      <c r="L10" s="51"/>
      <c r="M10" s="48"/>
      <c r="N10" s="49"/>
      <c r="O10" s="50"/>
      <c r="P10" s="51"/>
      <c r="Q10" s="52">
        <f t="shared" ref="Q10:Q29" si="0">E10+G10+I10+K10+M10+O10</f>
        <v>10</v>
      </c>
      <c r="R10" s="53">
        <f t="shared" ref="R10:R30" si="1">Q10/D10</f>
        <v>7.1428571428571425E-2</v>
      </c>
    </row>
    <row r="11" spans="1:20" ht="18" customHeight="1" x14ac:dyDescent="0.2">
      <c r="A11" s="46"/>
      <c r="B11" s="87" t="s">
        <v>183</v>
      </c>
      <c r="C11" s="62">
        <v>140</v>
      </c>
      <c r="D11" s="55">
        <v>280</v>
      </c>
      <c r="E11" s="56">
        <v>4</v>
      </c>
      <c r="F11" s="57">
        <v>0</v>
      </c>
      <c r="G11" s="58"/>
      <c r="H11" s="59"/>
      <c r="I11" s="56"/>
      <c r="J11" s="57"/>
      <c r="K11" s="58"/>
      <c r="L11" s="59"/>
      <c r="M11" s="56"/>
      <c r="N11" s="57"/>
      <c r="O11" s="58"/>
      <c r="P11" s="59"/>
      <c r="Q11" s="60">
        <f t="shared" si="0"/>
        <v>4</v>
      </c>
      <c r="R11" s="61">
        <f t="shared" si="1"/>
        <v>1.4285714285714285E-2</v>
      </c>
    </row>
    <row r="12" spans="1:20" ht="18" customHeight="1" x14ac:dyDescent="0.2">
      <c r="A12" s="46"/>
      <c r="B12" s="87" t="s">
        <v>184</v>
      </c>
      <c r="C12" s="62">
        <v>80</v>
      </c>
      <c r="D12" s="55">
        <v>160</v>
      </c>
      <c r="E12" s="56">
        <v>23</v>
      </c>
      <c r="F12" s="57">
        <v>0</v>
      </c>
      <c r="G12" s="58"/>
      <c r="H12" s="59"/>
      <c r="I12" s="56"/>
      <c r="J12" s="57"/>
      <c r="K12" s="58"/>
      <c r="L12" s="59"/>
      <c r="M12" s="56"/>
      <c r="N12" s="57"/>
      <c r="O12" s="58"/>
      <c r="P12" s="59"/>
      <c r="Q12" s="60">
        <f t="shared" si="0"/>
        <v>23</v>
      </c>
      <c r="R12" s="61">
        <f t="shared" si="1"/>
        <v>0.14374999999999999</v>
      </c>
    </row>
    <row r="13" spans="1:20" ht="18" customHeight="1" x14ac:dyDescent="0.2">
      <c r="A13" s="46"/>
      <c r="B13" s="87"/>
      <c r="C13" s="62"/>
      <c r="D13" s="55"/>
      <c r="E13" s="56"/>
      <c r="F13" s="57"/>
      <c r="G13" s="58"/>
      <c r="H13" s="59"/>
      <c r="I13" s="56"/>
      <c r="J13" s="57"/>
      <c r="K13" s="58"/>
      <c r="L13" s="59"/>
      <c r="M13" s="56"/>
      <c r="N13" s="57"/>
      <c r="O13" s="58"/>
      <c r="P13" s="59"/>
      <c r="Q13" s="60">
        <f t="shared" si="0"/>
        <v>0</v>
      </c>
      <c r="R13" s="61" t="e">
        <f t="shared" si="1"/>
        <v>#DIV/0!</v>
      </c>
    </row>
    <row r="14" spans="1:20" ht="18" customHeight="1" x14ac:dyDescent="0.2">
      <c r="A14" s="46"/>
      <c r="B14" s="87"/>
      <c r="C14" s="62"/>
      <c r="D14" s="55"/>
      <c r="E14" s="56"/>
      <c r="F14" s="57"/>
      <c r="G14" s="58"/>
      <c r="H14" s="59"/>
      <c r="I14" s="56"/>
      <c r="J14" s="57"/>
      <c r="K14" s="58"/>
      <c r="L14" s="59"/>
      <c r="M14" s="56"/>
      <c r="N14" s="57"/>
      <c r="O14" s="58"/>
      <c r="P14" s="59"/>
      <c r="Q14" s="60">
        <f t="shared" si="0"/>
        <v>0</v>
      </c>
      <c r="R14" s="61" t="e">
        <f t="shared" si="1"/>
        <v>#DIV/0!</v>
      </c>
    </row>
    <row r="15" spans="1:20" ht="18" customHeight="1" x14ac:dyDescent="0.2">
      <c r="A15" s="46"/>
      <c r="B15" s="87"/>
      <c r="C15" s="62"/>
      <c r="D15" s="55"/>
      <c r="E15" s="56"/>
      <c r="F15" s="57"/>
      <c r="G15" s="58"/>
      <c r="H15" s="59"/>
      <c r="I15" s="56"/>
      <c r="J15" s="57"/>
      <c r="K15" s="58"/>
      <c r="L15" s="59"/>
      <c r="M15" s="56"/>
      <c r="N15" s="57"/>
      <c r="O15" s="58"/>
      <c r="P15" s="59"/>
      <c r="Q15" s="60">
        <f t="shared" si="0"/>
        <v>0</v>
      </c>
      <c r="R15" s="61" t="e">
        <f t="shared" si="1"/>
        <v>#DIV/0!</v>
      </c>
    </row>
    <row r="16" spans="1:20" ht="18" customHeight="1" x14ac:dyDescent="0.2">
      <c r="A16" s="46"/>
      <c r="B16" s="87"/>
      <c r="C16" s="62"/>
      <c r="D16" s="55"/>
      <c r="E16" s="56"/>
      <c r="F16" s="57"/>
      <c r="G16" s="58"/>
      <c r="H16" s="59"/>
      <c r="I16" s="56"/>
      <c r="J16" s="57"/>
      <c r="K16" s="58"/>
      <c r="L16" s="59"/>
      <c r="M16" s="56"/>
      <c r="N16" s="57"/>
      <c r="O16" s="58"/>
      <c r="P16" s="59"/>
      <c r="Q16" s="60">
        <f t="shared" si="0"/>
        <v>0</v>
      </c>
      <c r="R16" s="61" t="e">
        <f t="shared" si="1"/>
        <v>#DIV/0!</v>
      </c>
    </row>
    <row r="17" spans="1:18" ht="18" customHeight="1" x14ac:dyDescent="0.2">
      <c r="A17" s="46"/>
      <c r="B17" s="87"/>
      <c r="C17" s="62"/>
      <c r="D17" s="55"/>
      <c r="E17" s="56"/>
      <c r="F17" s="57"/>
      <c r="G17" s="58"/>
      <c r="H17" s="59"/>
      <c r="I17" s="56"/>
      <c r="J17" s="57"/>
      <c r="K17" s="58"/>
      <c r="L17" s="59"/>
      <c r="M17" s="56"/>
      <c r="N17" s="57"/>
      <c r="O17" s="58"/>
      <c r="P17" s="59"/>
      <c r="Q17" s="60">
        <f t="shared" si="0"/>
        <v>0</v>
      </c>
      <c r="R17" s="61" t="e">
        <f t="shared" si="1"/>
        <v>#DIV/0!</v>
      </c>
    </row>
    <row r="18" spans="1:18" ht="18" customHeight="1" x14ac:dyDescent="0.2">
      <c r="A18" s="46"/>
      <c r="B18" s="87"/>
      <c r="C18" s="62"/>
      <c r="D18" s="55"/>
      <c r="E18" s="56"/>
      <c r="F18" s="57"/>
      <c r="G18" s="58"/>
      <c r="H18" s="59"/>
      <c r="I18" s="56"/>
      <c r="J18" s="57"/>
      <c r="K18" s="58"/>
      <c r="L18" s="59"/>
      <c r="M18" s="56"/>
      <c r="N18" s="57"/>
      <c r="O18" s="58"/>
      <c r="P18" s="59"/>
      <c r="Q18" s="60">
        <f t="shared" si="0"/>
        <v>0</v>
      </c>
      <c r="R18" s="61" t="e">
        <f t="shared" si="1"/>
        <v>#DIV/0!</v>
      </c>
    </row>
    <row r="19" spans="1:18" ht="18" customHeight="1" x14ac:dyDescent="0.2">
      <c r="A19" s="46"/>
      <c r="B19" s="87"/>
      <c r="C19" s="62"/>
      <c r="D19" s="55"/>
      <c r="E19" s="56"/>
      <c r="F19" s="57"/>
      <c r="G19" s="58"/>
      <c r="H19" s="59"/>
      <c r="I19" s="56"/>
      <c r="J19" s="57"/>
      <c r="K19" s="58"/>
      <c r="L19" s="59"/>
      <c r="M19" s="56"/>
      <c r="N19" s="57"/>
      <c r="O19" s="58"/>
      <c r="P19" s="59"/>
      <c r="Q19" s="60">
        <f t="shared" si="0"/>
        <v>0</v>
      </c>
      <c r="R19" s="61" t="e">
        <f t="shared" si="1"/>
        <v>#DIV/0!</v>
      </c>
    </row>
    <row r="20" spans="1:18" ht="18" customHeight="1" x14ac:dyDescent="0.2">
      <c r="A20" s="46"/>
      <c r="B20" s="87"/>
      <c r="C20" s="62"/>
      <c r="D20" s="55"/>
      <c r="E20" s="56"/>
      <c r="F20" s="57"/>
      <c r="G20" s="58"/>
      <c r="H20" s="59"/>
      <c r="I20" s="56"/>
      <c r="J20" s="57"/>
      <c r="K20" s="58"/>
      <c r="L20" s="59"/>
      <c r="M20" s="56"/>
      <c r="N20" s="57"/>
      <c r="O20" s="58"/>
      <c r="P20" s="59"/>
      <c r="Q20" s="60">
        <f t="shared" si="0"/>
        <v>0</v>
      </c>
      <c r="R20" s="61" t="e">
        <f t="shared" si="1"/>
        <v>#DIV/0!</v>
      </c>
    </row>
    <row r="21" spans="1:18" ht="18" customHeight="1" x14ac:dyDescent="0.2">
      <c r="A21" s="46"/>
      <c r="B21" s="87"/>
      <c r="C21" s="62"/>
      <c r="D21" s="55"/>
      <c r="E21" s="56"/>
      <c r="F21" s="57"/>
      <c r="G21" s="58"/>
      <c r="H21" s="59"/>
      <c r="I21" s="56"/>
      <c r="J21" s="57"/>
      <c r="K21" s="58"/>
      <c r="L21" s="59"/>
      <c r="M21" s="56"/>
      <c r="N21" s="57"/>
      <c r="O21" s="58"/>
      <c r="P21" s="59"/>
      <c r="Q21" s="60">
        <f t="shared" si="0"/>
        <v>0</v>
      </c>
      <c r="R21" s="61" t="e">
        <f t="shared" si="1"/>
        <v>#DIV/0!</v>
      </c>
    </row>
    <row r="22" spans="1:18" ht="18" customHeight="1" x14ac:dyDescent="0.2">
      <c r="A22" s="46"/>
      <c r="B22" s="87"/>
      <c r="C22" s="62"/>
      <c r="D22" s="55"/>
      <c r="E22" s="56"/>
      <c r="F22" s="57"/>
      <c r="G22" s="58"/>
      <c r="H22" s="59"/>
      <c r="I22" s="56"/>
      <c r="J22" s="57"/>
      <c r="K22" s="58"/>
      <c r="L22" s="59"/>
      <c r="M22" s="56"/>
      <c r="N22" s="57"/>
      <c r="O22" s="58"/>
      <c r="P22" s="59"/>
      <c r="Q22" s="60">
        <f t="shared" si="0"/>
        <v>0</v>
      </c>
      <c r="R22" s="61" t="e">
        <f t="shared" si="1"/>
        <v>#DIV/0!</v>
      </c>
    </row>
    <row r="23" spans="1:18" ht="18" customHeight="1" x14ac:dyDescent="0.2">
      <c r="A23" s="46"/>
      <c r="B23" s="87"/>
      <c r="C23" s="62"/>
      <c r="D23" s="55"/>
      <c r="E23" s="56"/>
      <c r="F23" s="57"/>
      <c r="G23" s="58"/>
      <c r="H23" s="59"/>
      <c r="I23" s="56"/>
      <c r="J23" s="57"/>
      <c r="K23" s="58"/>
      <c r="L23" s="59"/>
      <c r="M23" s="56"/>
      <c r="N23" s="57"/>
      <c r="O23" s="58"/>
      <c r="P23" s="59"/>
      <c r="Q23" s="60">
        <f t="shared" si="0"/>
        <v>0</v>
      </c>
      <c r="R23" s="61" t="e">
        <f t="shared" si="1"/>
        <v>#DIV/0!</v>
      </c>
    </row>
    <row r="24" spans="1:18" ht="18" customHeight="1" x14ac:dyDescent="0.2">
      <c r="A24" s="46"/>
      <c r="B24" s="87"/>
      <c r="C24" s="62"/>
      <c r="D24" s="55"/>
      <c r="E24" s="56"/>
      <c r="F24" s="57"/>
      <c r="G24" s="58"/>
      <c r="H24" s="59"/>
      <c r="I24" s="56"/>
      <c r="J24" s="57"/>
      <c r="K24" s="58"/>
      <c r="L24" s="59"/>
      <c r="M24" s="56"/>
      <c r="N24" s="57"/>
      <c r="O24" s="58"/>
      <c r="P24" s="59"/>
      <c r="Q24" s="60">
        <f t="shared" si="0"/>
        <v>0</v>
      </c>
      <c r="R24" s="61" t="e">
        <f t="shared" si="1"/>
        <v>#DIV/0!</v>
      </c>
    </row>
    <row r="25" spans="1:18" ht="18" customHeight="1" x14ac:dyDescent="0.2">
      <c r="A25" s="46"/>
      <c r="B25" s="87"/>
      <c r="C25" s="62"/>
      <c r="D25" s="55"/>
      <c r="E25" s="56"/>
      <c r="F25" s="57"/>
      <c r="G25" s="58"/>
      <c r="H25" s="59"/>
      <c r="I25" s="56"/>
      <c r="J25" s="57"/>
      <c r="K25" s="58"/>
      <c r="L25" s="59"/>
      <c r="M25" s="56"/>
      <c r="N25" s="57"/>
      <c r="O25" s="58"/>
      <c r="P25" s="59"/>
      <c r="Q25" s="60">
        <f t="shared" si="0"/>
        <v>0</v>
      </c>
      <c r="R25" s="61" t="e">
        <f t="shared" si="1"/>
        <v>#DIV/0!</v>
      </c>
    </row>
    <row r="26" spans="1:18" ht="18" customHeight="1" x14ac:dyDescent="0.2">
      <c r="A26" s="46"/>
      <c r="B26" s="87"/>
      <c r="C26" s="62"/>
      <c r="D26" s="55"/>
      <c r="E26" s="56"/>
      <c r="F26" s="57"/>
      <c r="G26" s="58"/>
      <c r="H26" s="59"/>
      <c r="I26" s="56"/>
      <c r="J26" s="57"/>
      <c r="K26" s="58"/>
      <c r="L26" s="59"/>
      <c r="M26" s="56"/>
      <c r="N26" s="57"/>
      <c r="O26" s="58"/>
      <c r="P26" s="59"/>
      <c r="Q26" s="60">
        <f t="shared" si="0"/>
        <v>0</v>
      </c>
      <c r="R26" s="61" t="e">
        <f t="shared" si="1"/>
        <v>#DIV/0!</v>
      </c>
    </row>
    <row r="27" spans="1:18" ht="18" customHeight="1" x14ac:dyDescent="0.2">
      <c r="A27" s="46"/>
      <c r="B27" s="87"/>
      <c r="C27" s="54"/>
      <c r="D27" s="55"/>
      <c r="E27" s="56"/>
      <c r="F27" s="57"/>
      <c r="G27" s="58"/>
      <c r="H27" s="59"/>
      <c r="I27" s="56"/>
      <c r="J27" s="57"/>
      <c r="K27" s="58"/>
      <c r="L27" s="59"/>
      <c r="M27" s="56"/>
      <c r="N27" s="57"/>
      <c r="O27" s="58"/>
      <c r="P27" s="59"/>
      <c r="Q27" s="60">
        <f t="shared" si="0"/>
        <v>0</v>
      </c>
      <c r="R27" s="61" t="e">
        <f t="shared" si="1"/>
        <v>#DIV/0!</v>
      </c>
    </row>
    <row r="28" spans="1:18" ht="18" customHeight="1" x14ac:dyDescent="0.2">
      <c r="A28" s="46"/>
      <c r="B28" s="87"/>
      <c r="C28" s="54"/>
      <c r="D28" s="55"/>
      <c r="E28" s="56"/>
      <c r="F28" s="57"/>
      <c r="G28" s="58"/>
      <c r="H28" s="59"/>
      <c r="I28" s="56"/>
      <c r="J28" s="57"/>
      <c r="K28" s="58"/>
      <c r="L28" s="59"/>
      <c r="M28" s="56"/>
      <c r="N28" s="57"/>
      <c r="O28" s="58"/>
      <c r="P28" s="59"/>
      <c r="Q28" s="60">
        <f t="shared" si="0"/>
        <v>0</v>
      </c>
      <c r="R28" s="61" t="e">
        <f t="shared" si="1"/>
        <v>#DIV/0!</v>
      </c>
    </row>
    <row r="29" spans="1:18" ht="18" customHeight="1" thickBot="1" x14ac:dyDescent="0.25">
      <c r="A29" s="46"/>
      <c r="B29" s="88"/>
      <c r="C29" s="89"/>
      <c r="D29" s="47"/>
      <c r="E29" s="48"/>
      <c r="F29" s="49"/>
      <c r="G29" s="50"/>
      <c r="H29" s="51"/>
      <c r="I29" s="48"/>
      <c r="J29" s="49"/>
      <c r="K29" s="50"/>
      <c r="L29" s="51"/>
      <c r="M29" s="48"/>
      <c r="N29" s="49"/>
      <c r="O29" s="50"/>
      <c r="P29" s="51"/>
      <c r="Q29" s="63">
        <f t="shared" si="0"/>
        <v>0</v>
      </c>
      <c r="R29" s="53" t="e">
        <f t="shared" si="1"/>
        <v>#DIV/0!</v>
      </c>
    </row>
    <row r="30" spans="1:18" ht="18" customHeight="1" thickTop="1" x14ac:dyDescent="0.2">
      <c r="B30" s="90" t="s">
        <v>57</v>
      </c>
      <c r="C30" s="91">
        <f t="shared" ref="C30:Q30" si="2">SUM(C10:C29)</f>
        <v>290</v>
      </c>
      <c r="D30" s="64">
        <f t="shared" si="2"/>
        <v>580</v>
      </c>
      <c r="E30" s="65">
        <f t="shared" si="2"/>
        <v>37</v>
      </c>
      <c r="F30" s="66">
        <f t="shared" si="2"/>
        <v>0</v>
      </c>
      <c r="G30" s="67">
        <f t="shared" si="2"/>
        <v>0</v>
      </c>
      <c r="H30" s="68">
        <f t="shared" si="2"/>
        <v>0</v>
      </c>
      <c r="I30" s="65">
        <f t="shared" si="2"/>
        <v>0</v>
      </c>
      <c r="J30" s="66">
        <f t="shared" si="2"/>
        <v>0</v>
      </c>
      <c r="K30" s="67">
        <f t="shared" si="2"/>
        <v>0</v>
      </c>
      <c r="L30" s="68">
        <f t="shared" si="2"/>
        <v>0</v>
      </c>
      <c r="M30" s="65">
        <f t="shared" si="2"/>
        <v>0</v>
      </c>
      <c r="N30" s="66">
        <f t="shared" si="2"/>
        <v>0</v>
      </c>
      <c r="O30" s="67">
        <f t="shared" si="2"/>
        <v>0</v>
      </c>
      <c r="P30" s="68">
        <f t="shared" si="2"/>
        <v>0</v>
      </c>
      <c r="Q30" s="69">
        <f t="shared" si="2"/>
        <v>37</v>
      </c>
      <c r="R30" s="70">
        <f t="shared" si="1"/>
        <v>6.3793103448275865E-2</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46" zoomScale="145" zoomScaleNormal="100" zoomScaleSheetLayoutView="145" workbookViewId="0">
      <selection activeCell="B46" sqref="B46:J66"/>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113</v>
      </c>
      <c r="J1" s="41" t="s">
        <v>114</v>
      </c>
    </row>
    <row r="2" spans="1:11" ht="18.75" customHeight="1" x14ac:dyDescent="0.2">
      <c r="A2" s="259" t="s">
        <v>64</v>
      </c>
      <c r="B2" s="259"/>
      <c r="C2" s="259"/>
      <c r="D2" s="259"/>
      <c r="E2" s="259"/>
      <c r="F2" s="259"/>
      <c r="G2" s="259"/>
      <c r="H2" s="259"/>
      <c r="I2" s="259"/>
      <c r="J2" s="259"/>
    </row>
    <row r="3" spans="1:11" ht="7.5" customHeight="1" x14ac:dyDescent="0.2">
      <c r="B3" s="38"/>
      <c r="C3" s="38"/>
      <c r="D3" s="38"/>
      <c r="E3" s="38"/>
      <c r="F3" s="38"/>
      <c r="G3" s="38"/>
      <c r="H3" s="38"/>
      <c r="I3" s="38"/>
      <c r="J3" s="38"/>
    </row>
    <row r="4" spans="1:11" ht="18.75" customHeight="1" x14ac:dyDescent="0.2">
      <c r="A4" s="1" t="s">
        <v>6</v>
      </c>
      <c r="B4" s="4" t="s">
        <v>72</v>
      </c>
      <c r="C4" s="4"/>
      <c r="D4" s="4"/>
      <c r="E4" s="4"/>
      <c r="F4" s="4"/>
      <c r="G4" s="4"/>
      <c r="H4" s="4"/>
      <c r="I4" s="38"/>
      <c r="J4" s="38"/>
    </row>
    <row r="5" spans="1:11" ht="18.75" customHeight="1" x14ac:dyDescent="0.2">
      <c r="A5" s="1"/>
      <c r="B5" s="153" t="s">
        <v>164</v>
      </c>
      <c r="C5" s="154"/>
      <c r="D5" s="154"/>
      <c r="E5" s="154"/>
      <c r="F5" s="154"/>
      <c r="G5" s="154"/>
      <c r="H5" s="154"/>
      <c r="I5" s="154"/>
      <c r="J5" s="290"/>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9</v>
      </c>
      <c r="B7" s="1" t="s">
        <v>39</v>
      </c>
      <c r="C7" s="1"/>
      <c r="D7" s="1"/>
      <c r="E7" s="1"/>
      <c r="F7" s="1"/>
      <c r="G7" s="1"/>
      <c r="H7" s="1"/>
      <c r="I7" s="1"/>
      <c r="J7" s="1"/>
      <c r="K7" s="35"/>
    </row>
    <row r="8" spans="1:11" s="4" customFormat="1" ht="18.75" customHeight="1" x14ac:dyDescent="0.2">
      <c r="A8" s="92"/>
      <c r="B8" s="291" t="s">
        <v>173</v>
      </c>
      <c r="C8" s="292"/>
      <c r="D8" s="292"/>
      <c r="E8" s="292"/>
      <c r="F8" s="292"/>
      <c r="G8" s="292"/>
      <c r="H8" s="292"/>
      <c r="I8" s="293"/>
      <c r="J8" s="294"/>
      <c r="K8" s="31" t="str">
        <f>IF(B8="","入力してください","")</f>
        <v/>
      </c>
    </row>
    <row r="9" spans="1:11" s="4" customFormat="1" ht="18.75" customHeight="1" x14ac:dyDescent="0.2">
      <c r="A9" s="92"/>
      <c r="B9" s="295"/>
      <c r="C9" s="296"/>
      <c r="D9" s="296"/>
      <c r="E9" s="296"/>
      <c r="F9" s="296"/>
      <c r="G9" s="296"/>
      <c r="H9" s="296"/>
      <c r="I9" s="296"/>
      <c r="J9" s="297"/>
      <c r="K9" s="31"/>
    </row>
    <row r="10" spans="1:11" s="4" customFormat="1" ht="18.75" customHeight="1" x14ac:dyDescent="0.2">
      <c r="A10" s="92"/>
      <c r="B10" s="295"/>
      <c r="C10" s="296"/>
      <c r="D10" s="296"/>
      <c r="E10" s="296"/>
      <c r="F10" s="296"/>
      <c r="G10" s="296"/>
      <c r="H10" s="296"/>
      <c r="I10" s="296"/>
      <c r="J10" s="297"/>
      <c r="K10" s="31"/>
    </row>
    <row r="11" spans="1:11" s="4" customFormat="1" ht="18.75" customHeight="1" x14ac:dyDescent="0.2">
      <c r="A11" s="92"/>
      <c r="B11" s="295"/>
      <c r="C11" s="296"/>
      <c r="D11" s="296"/>
      <c r="E11" s="296"/>
      <c r="F11" s="296"/>
      <c r="G11" s="296"/>
      <c r="H11" s="296"/>
      <c r="I11" s="296"/>
      <c r="J11" s="297"/>
      <c r="K11" s="31"/>
    </row>
    <row r="12" spans="1:11" s="4" customFormat="1" ht="18.75" customHeight="1" x14ac:dyDescent="0.2">
      <c r="A12" s="92"/>
      <c r="B12" s="298"/>
      <c r="C12" s="299"/>
      <c r="D12" s="299"/>
      <c r="E12" s="299"/>
      <c r="F12" s="299"/>
      <c r="G12" s="299"/>
      <c r="H12" s="299"/>
      <c r="I12" s="299"/>
      <c r="J12" s="300"/>
      <c r="K12" s="31"/>
    </row>
    <row r="13" spans="1:11" s="4" customFormat="1" ht="7.5" customHeight="1" x14ac:dyDescent="0.2">
      <c r="A13" s="92"/>
      <c r="B13" s="92"/>
      <c r="C13" s="92"/>
      <c r="D13" s="92"/>
      <c r="E13" s="92"/>
      <c r="F13" s="92"/>
      <c r="G13" s="92"/>
      <c r="H13" s="92"/>
      <c r="I13" s="92"/>
      <c r="J13" s="92"/>
      <c r="K13" s="31"/>
    </row>
    <row r="14" spans="1:11" s="4" customFormat="1" ht="18.75" customHeight="1" x14ac:dyDescent="0.2">
      <c r="A14" s="93" t="s">
        <v>10</v>
      </c>
      <c r="B14" s="93" t="s">
        <v>15</v>
      </c>
      <c r="C14" s="93"/>
      <c r="D14" s="93"/>
      <c r="E14" s="93"/>
      <c r="F14" s="93"/>
      <c r="G14" s="93"/>
      <c r="H14" s="93"/>
      <c r="I14" s="93"/>
      <c r="J14" s="93"/>
      <c r="K14" s="31"/>
    </row>
    <row r="15" spans="1:11" s="4" customFormat="1" ht="18.75" customHeight="1" x14ac:dyDescent="0.2">
      <c r="A15" s="92"/>
      <c r="B15" s="301" t="s">
        <v>193</v>
      </c>
      <c r="C15" s="302"/>
      <c r="D15" s="302"/>
      <c r="E15" s="302"/>
      <c r="F15" s="302"/>
      <c r="G15" s="302"/>
      <c r="H15" s="302"/>
      <c r="I15" s="303"/>
      <c r="J15" s="304"/>
      <c r="K15" s="31" t="str">
        <f>IF(B15="","入力してください","")</f>
        <v/>
      </c>
    </row>
    <row r="16" spans="1:11" s="4" customFormat="1" ht="18.75" customHeight="1" x14ac:dyDescent="0.2">
      <c r="A16" s="92"/>
      <c r="B16" s="305"/>
      <c r="C16" s="306"/>
      <c r="D16" s="306"/>
      <c r="E16" s="306"/>
      <c r="F16" s="306"/>
      <c r="G16" s="306"/>
      <c r="H16" s="306"/>
      <c r="I16" s="306"/>
      <c r="J16" s="307"/>
      <c r="K16" s="31"/>
    </row>
    <row r="17" spans="1:11" s="4" customFormat="1" ht="18.75" customHeight="1" x14ac:dyDescent="0.2">
      <c r="A17" s="92"/>
      <c r="B17" s="305"/>
      <c r="C17" s="306"/>
      <c r="D17" s="306"/>
      <c r="E17" s="306"/>
      <c r="F17" s="306"/>
      <c r="G17" s="306"/>
      <c r="H17" s="306"/>
      <c r="I17" s="306"/>
      <c r="J17" s="307"/>
      <c r="K17" s="31"/>
    </row>
    <row r="18" spans="1:11" s="4" customFormat="1" ht="18.75" customHeight="1" x14ac:dyDescent="0.2">
      <c r="A18" s="92"/>
      <c r="B18" s="305"/>
      <c r="C18" s="306"/>
      <c r="D18" s="306"/>
      <c r="E18" s="306"/>
      <c r="F18" s="306"/>
      <c r="G18" s="306"/>
      <c r="H18" s="306"/>
      <c r="I18" s="306"/>
      <c r="J18" s="307"/>
      <c r="K18" s="31"/>
    </row>
    <row r="19" spans="1:11" s="4" customFormat="1" ht="18.75" customHeight="1" x14ac:dyDescent="0.2">
      <c r="A19" s="92"/>
      <c r="B19" s="305"/>
      <c r="C19" s="306"/>
      <c r="D19" s="306"/>
      <c r="E19" s="306"/>
      <c r="F19" s="306"/>
      <c r="G19" s="306"/>
      <c r="H19" s="306"/>
      <c r="I19" s="306"/>
      <c r="J19" s="307"/>
      <c r="K19" s="31"/>
    </row>
    <row r="20" spans="1:11" s="4" customFormat="1" ht="18.75" customHeight="1" x14ac:dyDescent="0.2">
      <c r="A20" s="92"/>
      <c r="B20" s="305"/>
      <c r="C20" s="306"/>
      <c r="D20" s="306"/>
      <c r="E20" s="306"/>
      <c r="F20" s="306"/>
      <c r="G20" s="306"/>
      <c r="H20" s="306"/>
      <c r="I20" s="306"/>
      <c r="J20" s="307"/>
      <c r="K20" s="31"/>
    </row>
    <row r="21" spans="1:11" s="4" customFormat="1" ht="18.75" customHeight="1" x14ac:dyDescent="0.2">
      <c r="A21" s="92"/>
      <c r="B21" s="305"/>
      <c r="C21" s="306"/>
      <c r="D21" s="306"/>
      <c r="E21" s="306"/>
      <c r="F21" s="306"/>
      <c r="G21" s="306"/>
      <c r="H21" s="306"/>
      <c r="I21" s="306"/>
      <c r="J21" s="307"/>
      <c r="K21" s="31"/>
    </row>
    <row r="22" spans="1:11" s="4" customFormat="1" ht="18.75" customHeight="1" x14ac:dyDescent="0.2">
      <c r="A22" s="92"/>
      <c r="B22" s="305"/>
      <c r="C22" s="306"/>
      <c r="D22" s="306"/>
      <c r="E22" s="306"/>
      <c r="F22" s="306"/>
      <c r="G22" s="306"/>
      <c r="H22" s="306"/>
      <c r="I22" s="306"/>
      <c r="J22" s="307"/>
      <c r="K22" s="31"/>
    </row>
    <row r="23" spans="1:11" s="4" customFormat="1" ht="18.75" customHeight="1" x14ac:dyDescent="0.2">
      <c r="A23" s="92"/>
      <c r="B23" s="305"/>
      <c r="C23" s="306"/>
      <c r="D23" s="306"/>
      <c r="E23" s="306"/>
      <c r="F23" s="306"/>
      <c r="G23" s="306"/>
      <c r="H23" s="306"/>
      <c r="I23" s="306"/>
      <c r="J23" s="307"/>
      <c r="K23" s="31"/>
    </row>
    <row r="24" spans="1:11" s="4" customFormat="1" ht="18.75" customHeight="1" x14ac:dyDescent="0.2">
      <c r="A24" s="92"/>
      <c r="B24" s="305"/>
      <c r="C24" s="306"/>
      <c r="D24" s="306"/>
      <c r="E24" s="306"/>
      <c r="F24" s="306"/>
      <c r="G24" s="306"/>
      <c r="H24" s="306"/>
      <c r="I24" s="306"/>
      <c r="J24" s="307"/>
      <c r="K24" s="31"/>
    </row>
    <row r="25" spans="1:11" s="4" customFormat="1" ht="18.75" customHeight="1" x14ac:dyDescent="0.2">
      <c r="A25" s="92"/>
      <c r="B25" s="308"/>
      <c r="C25" s="309"/>
      <c r="D25" s="309"/>
      <c r="E25" s="309"/>
      <c r="F25" s="309"/>
      <c r="G25" s="309"/>
      <c r="H25" s="309"/>
      <c r="I25" s="309"/>
      <c r="J25" s="310"/>
      <c r="K25" s="31"/>
    </row>
    <row r="26" spans="1:11" ht="7.5" customHeight="1" x14ac:dyDescent="0.2">
      <c r="A26" s="39"/>
      <c r="B26" s="39"/>
      <c r="C26" s="39"/>
      <c r="D26" s="39"/>
      <c r="E26" s="39"/>
      <c r="F26" s="39"/>
      <c r="G26" s="39"/>
      <c r="H26" s="39"/>
      <c r="I26" s="39"/>
      <c r="J26" s="39"/>
    </row>
    <row r="27" spans="1:11" s="4" customFormat="1" ht="18.75" customHeight="1" x14ac:dyDescent="0.2">
      <c r="A27" s="1" t="s">
        <v>13</v>
      </c>
      <c r="B27" s="1" t="s">
        <v>26</v>
      </c>
      <c r="C27" s="1"/>
      <c r="D27" s="1"/>
      <c r="E27" s="1"/>
      <c r="F27" s="1"/>
      <c r="G27" s="1"/>
      <c r="H27" s="1"/>
      <c r="I27" s="1"/>
      <c r="J27" s="1"/>
      <c r="K27" s="31"/>
    </row>
    <row r="28" spans="1:11" s="29" customFormat="1" ht="18.75" customHeight="1" x14ac:dyDescent="0.2">
      <c r="B28" s="94" t="s">
        <v>115</v>
      </c>
      <c r="C28" s="95">
        <f>'様式３　履修者等数の実績'!$R$30</f>
        <v>6.3793103448275865E-2</v>
      </c>
      <c r="D28" s="96"/>
      <c r="E28" s="96" t="s">
        <v>116</v>
      </c>
      <c r="F28" s="95">
        <v>0.12</v>
      </c>
      <c r="G28" s="96"/>
      <c r="H28" s="96" t="s">
        <v>117</v>
      </c>
      <c r="I28" s="97">
        <f>(37*2+10)/580</f>
        <v>0.14482758620689656</v>
      </c>
      <c r="J28" s="98"/>
      <c r="K28" s="31"/>
    </row>
    <row r="29" spans="1:11" s="29" customFormat="1" ht="18.75" customHeight="1" x14ac:dyDescent="0.2">
      <c r="B29" s="82" t="s">
        <v>118</v>
      </c>
      <c r="C29" s="99">
        <f>(37*2+20)/580</f>
        <v>0.16206896551724137</v>
      </c>
      <c r="D29" s="83"/>
      <c r="E29" s="83" t="s">
        <v>119</v>
      </c>
      <c r="F29" s="99">
        <f>(37*2+25)/580</f>
        <v>0.1706896551724138</v>
      </c>
      <c r="G29" s="83"/>
      <c r="H29" s="83" t="s">
        <v>120</v>
      </c>
      <c r="I29" s="100">
        <f>'様式３　履修者等数の実績'!$D$30</f>
        <v>580</v>
      </c>
      <c r="J29" s="101"/>
      <c r="K29" s="35"/>
    </row>
    <row r="30" spans="1:11" s="4" customFormat="1" ht="18.75" customHeight="1" x14ac:dyDescent="0.2">
      <c r="A30" s="1"/>
      <c r="B30" s="203" t="s">
        <v>121</v>
      </c>
      <c r="C30" s="204"/>
      <c r="D30" s="204"/>
      <c r="E30" s="204"/>
      <c r="F30" s="204"/>
      <c r="G30" s="204"/>
      <c r="H30" s="204"/>
      <c r="I30" s="204"/>
      <c r="J30" s="205"/>
      <c r="K30" s="35"/>
    </row>
    <row r="31" spans="1:11" s="4" customFormat="1" ht="18.75" customHeight="1" x14ac:dyDescent="0.2">
      <c r="A31" s="1"/>
      <c r="B31" s="287" t="s">
        <v>174</v>
      </c>
      <c r="C31" s="288"/>
      <c r="D31" s="288"/>
      <c r="E31" s="288"/>
      <c r="F31" s="288"/>
      <c r="G31" s="288"/>
      <c r="H31" s="288"/>
      <c r="I31" s="288"/>
      <c r="J31" s="289"/>
      <c r="K31" s="35" t="str">
        <f>IF(B31="","入力してください","")</f>
        <v/>
      </c>
    </row>
    <row r="32" spans="1:11" s="4" customFormat="1" ht="18.75" customHeight="1" x14ac:dyDescent="0.2">
      <c r="A32" s="1"/>
      <c r="B32" s="280"/>
      <c r="C32" s="281"/>
      <c r="D32" s="281"/>
      <c r="E32" s="281"/>
      <c r="F32" s="281"/>
      <c r="G32" s="281"/>
      <c r="H32" s="281"/>
      <c r="I32" s="281"/>
      <c r="J32" s="282"/>
      <c r="K32" s="35"/>
    </row>
    <row r="33" spans="1:11" s="4" customFormat="1" ht="18.75" customHeight="1" x14ac:dyDescent="0.2">
      <c r="A33" s="1"/>
      <c r="B33" s="280"/>
      <c r="C33" s="281"/>
      <c r="D33" s="281"/>
      <c r="E33" s="281"/>
      <c r="F33" s="281"/>
      <c r="G33" s="281"/>
      <c r="H33" s="281"/>
      <c r="I33" s="281"/>
      <c r="J33" s="282"/>
      <c r="K33" s="35"/>
    </row>
    <row r="34" spans="1:11" s="4" customFormat="1" ht="18.75" customHeight="1" x14ac:dyDescent="0.2">
      <c r="A34" s="1"/>
      <c r="B34" s="280"/>
      <c r="C34" s="281"/>
      <c r="D34" s="281"/>
      <c r="E34" s="281"/>
      <c r="F34" s="281"/>
      <c r="G34" s="281"/>
      <c r="H34" s="281"/>
      <c r="I34" s="281"/>
      <c r="J34" s="282"/>
      <c r="K34" s="35"/>
    </row>
    <row r="35" spans="1:11" s="4" customFormat="1" ht="18.75" customHeight="1" x14ac:dyDescent="0.2">
      <c r="A35" s="1"/>
      <c r="B35" s="280"/>
      <c r="C35" s="281"/>
      <c r="D35" s="281"/>
      <c r="E35" s="281"/>
      <c r="F35" s="281"/>
      <c r="G35" s="281"/>
      <c r="H35" s="281"/>
      <c r="I35" s="281"/>
      <c r="J35" s="282"/>
      <c r="K35" s="35"/>
    </row>
    <row r="36" spans="1:11" s="4" customFormat="1" ht="18.75" customHeight="1" x14ac:dyDescent="0.2">
      <c r="A36" s="1"/>
      <c r="B36" s="280"/>
      <c r="C36" s="281"/>
      <c r="D36" s="281"/>
      <c r="E36" s="281"/>
      <c r="F36" s="281"/>
      <c r="G36" s="281"/>
      <c r="H36" s="281"/>
      <c r="I36" s="281"/>
      <c r="J36" s="282"/>
      <c r="K36" s="35"/>
    </row>
    <row r="37" spans="1:11" s="4" customFormat="1" ht="18.75" customHeight="1" x14ac:dyDescent="0.2">
      <c r="A37" s="1"/>
      <c r="B37" s="280"/>
      <c r="C37" s="281"/>
      <c r="D37" s="281"/>
      <c r="E37" s="281"/>
      <c r="F37" s="281"/>
      <c r="G37" s="281"/>
      <c r="H37" s="281"/>
      <c r="I37" s="281"/>
      <c r="J37" s="282"/>
      <c r="K37" s="35"/>
    </row>
    <row r="38" spans="1:11" s="4" customFormat="1" ht="18.75" customHeight="1" x14ac:dyDescent="0.2">
      <c r="A38" s="1"/>
      <c r="B38" s="280"/>
      <c r="C38" s="281"/>
      <c r="D38" s="281"/>
      <c r="E38" s="281"/>
      <c r="F38" s="281"/>
      <c r="G38" s="281"/>
      <c r="H38" s="281"/>
      <c r="I38" s="281"/>
      <c r="J38" s="282"/>
      <c r="K38" s="35"/>
    </row>
    <row r="39" spans="1:11" s="4" customFormat="1" ht="18.75" customHeight="1" x14ac:dyDescent="0.2">
      <c r="A39" s="1"/>
      <c r="B39" s="280"/>
      <c r="C39" s="281"/>
      <c r="D39" s="281"/>
      <c r="E39" s="281"/>
      <c r="F39" s="281"/>
      <c r="G39" s="281"/>
      <c r="H39" s="281"/>
      <c r="I39" s="281"/>
      <c r="J39" s="282"/>
      <c r="K39" s="35"/>
    </row>
    <row r="40" spans="1:11" s="4" customFormat="1" ht="18.75" customHeight="1" x14ac:dyDescent="0.2">
      <c r="A40" s="1"/>
      <c r="B40" s="280"/>
      <c r="C40" s="281"/>
      <c r="D40" s="281"/>
      <c r="E40" s="281"/>
      <c r="F40" s="281"/>
      <c r="G40" s="281"/>
      <c r="H40" s="281"/>
      <c r="I40" s="281"/>
      <c r="J40" s="282"/>
      <c r="K40" s="35"/>
    </row>
    <row r="41" spans="1:11" s="4" customFormat="1" ht="18.75" customHeight="1" x14ac:dyDescent="0.2">
      <c r="A41" s="1"/>
      <c r="B41" s="280"/>
      <c r="C41" s="281"/>
      <c r="D41" s="281"/>
      <c r="E41" s="281"/>
      <c r="F41" s="281"/>
      <c r="G41" s="281"/>
      <c r="H41" s="281"/>
      <c r="I41" s="281"/>
      <c r="J41" s="282"/>
      <c r="K41" s="35"/>
    </row>
    <row r="42" spans="1:11" s="4" customFormat="1" ht="18.75" customHeight="1" x14ac:dyDescent="0.2">
      <c r="A42" s="1"/>
      <c r="B42" s="280"/>
      <c r="C42" s="281"/>
      <c r="D42" s="281"/>
      <c r="E42" s="281"/>
      <c r="F42" s="281"/>
      <c r="G42" s="281"/>
      <c r="H42" s="281"/>
      <c r="I42" s="281"/>
      <c r="J42" s="282"/>
      <c r="K42" s="35"/>
    </row>
    <row r="43" spans="1:11" ht="18.75" customHeight="1" x14ac:dyDescent="0.2">
      <c r="A43" s="39"/>
      <c r="B43" s="280"/>
      <c r="C43" s="281"/>
      <c r="D43" s="281"/>
      <c r="E43" s="281"/>
      <c r="F43" s="281"/>
      <c r="G43" s="281"/>
      <c r="H43" s="281"/>
      <c r="I43" s="281"/>
      <c r="J43" s="282"/>
      <c r="K43" s="35"/>
    </row>
    <row r="44" spans="1:11" ht="18.75" customHeight="1" x14ac:dyDescent="0.2">
      <c r="A44" s="39"/>
      <c r="B44" s="283"/>
      <c r="C44" s="284"/>
      <c r="D44" s="284"/>
      <c r="E44" s="284"/>
      <c r="F44" s="284"/>
      <c r="G44" s="284"/>
      <c r="H44" s="284"/>
      <c r="I44" s="284"/>
      <c r="J44" s="285"/>
    </row>
    <row r="45" spans="1:11" s="4" customFormat="1" ht="18.75" customHeight="1" x14ac:dyDescent="0.2">
      <c r="A45" s="102" t="s">
        <v>11</v>
      </c>
      <c r="B45" s="1" t="s">
        <v>65</v>
      </c>
      <c r="C45" s="1"/>
      <c r="D45" s="1"/>
      <c r="E45" s="1"/>
      <c r="F45" s="1"/>
      <c r="G45" s="1"/>
      <c r="H45" s="1"/>
      <c r="I45" s="102"/>
      <c r="J45" s="102"/>
      <c r="K45" s="31"/>
    </row>
    <row r="46" spans="1:11" ht="18.75" customHeight="1" x14ac:dyDescent="0.2">
      <c r="A46" s="39"/>
      <c r="B46" s="269" t="s">
        <v>197</v>
      </c>
      <c r="C46" s="270"/>
      <c r="D46" s="270"/>
      <c r="E46" s="270"/>
      <c r="F46" s="270"/>
      <c r="G46" s="270"/>
      <c r="H46" s="270"/>
      <c r="I46" s="270"/>
      <c r="J46" s="271"/>
      <c r="K46" s="31" t="str">
        <f>IF(B46="","入力してください","")</f>
        <v/>
      </c>
    </row>
    <row r="47" spans="1:11" ht="18.75" customHeight="1" x14ac:dyDescent="0.2">
      <c r="A47" s="39"/>
      <c r="B47" s="272"/>
      <c r="C47" s="273"/>
      <c r="D47" s="273"/>
      <c r="E47" s="273"/>
      <c r="F47" s="273"/>
      <c r="G47" s="273"/>
      <c r="H47" s="273"/>
      <c r="I47" s="273"/>
      <c r="J47" s="274"/>
    </row>
    <row r="48" spans="1:11" ht="18.75" customHeight="1" x14ac:dyDescent="0.2">
      <c r="A48" s="39"/>
      <c r="B48" s="272"/>
      <c r="C48" s="273"/>
      <c r="D48" s="273"/>
      <c r="E48" s="273"/>
      <c r="F48" s="273"/>
      <c r="G48" s="273"/>
      <c r="H48" s="273"/>
      <c r="I48" s="273"/>
      <c r="J48" s="274"/>
    </row>
    <row r="49" spans="1:10" ht="18.75" customHeight="1" x14ac:dyDescent="0.2">
      <c r="A49" s="39"/>
      <c r="B49" s="272"/>
      <c r="C49" s="273"/>
      <c r="D49" s="273"/>
      <c r="E49" s="273"/>
      <c r="F49" s="273"/>
      <c r="G49" s="273"/>
      <c r="H49" s="273"/>
      <c r="I49" s="273"/>
      <c r="J49" s="274"/>
    </row>
    <row r="50" spans="1:10" ht="18.75" customHeight="1" x14ac:dyDescent="0.2">
      <c r="A50" s="39"/>
      <c r="B50" s="272"/>
      <c r="C50" s="273"/>
      <c r="D50" s="273"/>
      <c r="E50" s="273"/>
      <c r="F50" s="273"/>
      <c r="G50" s="273"/>
      <c r="H50" s="273"/>
      <c r="I50" s="273"/>
      <c r="J50" s="274"/>
    </row>
    <row r="51" spans="1:10" ht="18.75" customHeight="1" x14ac:dyDescent="0.2">
      <c r="A51" s="39"/>
      <c r="B51" s="272"/>
      <c r="C51" s="273"/>
      <c r="D51" s="273"/>
      <c r="E51" s="273"/>
      <c r="F51" s="273"/>
      <c r="G51" s="273"/>
      <c r="H51" s="273"/>
      <c r="I51" s="273"/>
      <c r="J51" s="274"/>
    </row>
    <row r="52" spans="1:10" ht="18.75" customHeight="1" x14ac:dyDescent="0.2">
      <c r="A52" s="39"/>
      <c r="B52" s="272"/>
      <c r="C52" s="273"/>
      <c r="D52" s="273"/>
      <c r="E52" s="273"/>
      <c r="F52" s="273"/>
      <c r="G52" s="273"/>
      <c r="H52" s="273"/>
      <c r="I52" s="273"/>
      <c r="J52" s="274"/>
    </row>
    <row r="53" spans="1:10" ht="18.75" customHeight="1" x14ac:dyDescent="0.2">
      <c r="A53" s="39"/>
      <c r="B53" s="272"/>
      <c r="C53" s="273"/>
      <c r="D53" s="273"/>
      <c r="E53" s="273"/>
      <c r="F53" s="273"/>
      <c r="G53" s="273"/>
      <c r="H53" s="273"/>
      <c r="I53" s="273"/>
      <c r="J53" s="274"/>
    </row>
    <row r="54" spans="1:10" ht="18.75" customHeight="1" x14ac:dyDescent="0.2">
      <c r="A54" s="39"/>
      <c r="B54" s="272"/>
      <c r="C54" s="273"/>
      <c r="D54" s="273"/>
      <c r="E54" s="273"/>
      <c r="F54" s="273"/>
      <c r="G54" s="273"/>
      <c r="H54" s="273"/>
      <c r="I54" s="273"/>
      <c r="J54" s="274"/>
    </row>
    <row r="55" spans="1:10" ht="18.75" customHeight="1" x14ac:dyDescent="0.2">
      <c r="A55" s="39"/>
      <c r="B55" s="272"/>
      <c r="C55" s="273"/>
      <c r="D55" s="273"/>
      <c r="E55" s="273"/>
      <c r="F55" s="273"/>
      <c r="G55" s="273"/>
      <c r="H55" s="273"/>
      <c r="I55" s="273"/>
      <c r="J55" s="274"/>
    </row>
    <row r="56" spans="1:10" ht="18.75" customHeight="1" x14ac:dyDescent="0.2">
      <c r="A56" s="39"/>
      <c r="B56" s="272"/>
      <c r="C56" s="273"/>
      <c r="D56" s="273"/>
      <c r="E56" s="273"/>
      <c r="F56" s="273"/>
      <c r="G56" s="273"/>
      <c r="H56" s="273"/>
      <c r="I56" s="273"/>
      <c r="J56" s="274"/>
    </row>
    <row r="57" spans="1:10" ht="18.75" customHeight="1" x14ac:dyDescent="0.2">
      <c r="A57" s="39"/>
      <c r="B57" s="272"/>
      <c r="C57" s="273"/>
      <c r="D57" s="273"/>
      <c r="E57" s="273"/>
      <c r="F57" s="273"/>
      <c r="G57" s="273"/>
      <c r="H57" s="273"/>
      <c r="I57" s="273"/>
      <c r="J57" s="274"/>
    </row>
    <row r="58" spans="1:10" ht="18.75" customHeight="1" x14ac:dyDescent="0.2">
      <c r="A58" s="39"/>
      <c r="B58" s="272"/>
      <c r="C58" s="273"/>
      <c r="D58" s="273"/>
      <c r="E58" s="273"/>
      <c r="F58" s="273"/>
      <c r="G58" s="273"/>
      <c r="H58" s="273"/>
      <c r="I58" s="273"/>
      <c r="J58" s="274"/>
    </row>
    <row r="59" spans="1:10" ht="18.75" customHeight="1" x14ac:dyDescent="0.2">
      <c r="A59" s="39"/>
      <c r="B59" s="272"/>
      <c r="C59" s="273"/>
      <c r="D59" s="273"/>
      <c r="E59" s="273"/>
      <c r="F59" s="273"/>
      <c r="G59" s="273"/>
      <c r="H59" s="273"/>
      <c r="I59" s="273"/>
      <c r="J59" s="274"/>
    </row>
    <row r="60" spans="1:10" ht="18.75" customHeight="1" x14ac:dyDescent="0.2">
      <c r="A60" s="39"/>
      <c r="B60" s="272"/>
      <c r="C60" s="273"/>
      <c r="D60" s="273"/>
      <c r="E60" s="273"/>
      <c r="F60" s="273"/>
      <c r="G60" s="273"/>
      <c r="H60" s="273"/>
      <c r="I60" s="273"/>
      <c r="J60" s="274"/>
    </row>
    <row r="61" spans="1:10" ht="18.75" customHeight="1" x14ac:dyDescent="0.2">
      <c r="A61" s="39"/>
      <c r="B61" s="272"/>
      <c r="C61" s="273"/>
      <c r="D61" s="273"/>
      <c r="E61" s="273"/>
      <c r="F61" s="273"/>
      <c r="G61" s="273"/>
      <c r="H61" s="273"/>
      <c r="I61" s="273"/>
      <c r="J61" s="274"/>
    </row>
    <row r="62" spans="1:10" ht="18.75" customHeight="1" x14ac:dyDescent="0.2">
      <c r="A62" s="39"/>
      <c r="B62" s="272"/>
      <c r="C62" s="273"/>
      <c r="D62" s="273"/>
      <c r="E62" s="273"/>
      <c r="F62" s="273"/>
      <c r="G62" s="273"/>
      <c r="H62" s="273"/>
      <c r="I62" s="273"/>
      <c r="J62" s="274"/>
    </row>
    <row r="63" spans="1:10" ht="18.75" customHeight="1" x14ac:dyDescent="0.2">
      <c r="A63" s="39"/>
      <c r="B63" s="272"/>
      <c r="C63" s="273"/>
      <c r="D63" s="273"/>
      <c r="E63" s="273"/>
      <c r="F63" s="273"/>
      <c r="G63" s="273"/>
      <c r="H63" s="273"/>
      <c r="I63" s="273"/>
      <c r="J63" s="274"/>
    </row>
    <row r="64" spans="1:10" ht="18.75" customHeight="1" x14ac:dyDescent="0.2">
      <c r="A64" s="39"/>
      <c r="B64" s="272"/>
      <c r="C64" s="273"/>
      <c r="D64" s="273"/>
      <c r="E64" s="273"/>
      <c r="F64" s="273"/>
      <c r="G64" s="273"/>
      <c r="H64" s="273"/>
      <c r="I64" s="273"/>
      <c r="J64" s="274"/>
    </row>
    <row r="65" spans="1:11" ht="18.75" customHeight="1" x14ac:dyDescent="0.2">
      <c r="A65" s="39"/>
      <c r="B65" s="272"/>
      <c r="C65" s="273"/>
      <c r="D65" s="273"/>
      <c r="E65" s="273"/>
      <c r="F65" s="273"/>
      <c r="G65" s="273"/>
      <c r="H65" s="273"/>
      <c r="I65" s="273"/>
      <c r="J65" s="274"/>
    </row>
    <row r="66" spans="1:11" ht="18.75" customHeight="1" x14ac:dyDescent="0.2">
      <c r="A66" s="39"/>
      <c r="B66" s="275"/>
      <c r="C66" s="276"/>
      <c r="D66" s="276"/>
      <c r="E66" s="276"/>
      <c r="F66" s="276"/>
      <c r="G66" s="276"/>
      <c r="H66" s="276"/>
      <c r="I66" s="276"/>
      <c r="J66" s="277"/>
    </row>
    <row r="67" spans="1:11" ht="7.5" customHeight="1" x14ac:dyDescent="0.2">
      <c r="A67" s="39"/>
      <c r="B67" s="39"/>
      <c r="C67" s="39"/>
      <c r="D67" s="39"/>
      <c r="E67" s="39"/>
      <c r="F67" s="39"/>
      <c r="G67" s="39"/>
      <c r="H67" s="39"/>
      <c r="I67" s="39"/>
      <c r="J67" s="39"/>
    </row>
    <row r="68" spans="1:11" s="4" customFormat="1" ht="18.75" customHeight="1" x14ac:dyDescent="0.2">
      <c r="A68" s="1" t="s">
        <v>14</v>
      </c>
      <c r="B68" s="1" t="s">
        <v>71</v>
      </c>
      <c r="C68" s="1"/>
      <c r="D68" s="1"/>
      <c r="E68" s="1"/>
      <c r="F68" s="1"/>
      <c r="G68" s="1"/>
      <c r="H68" s="1"/>
      <c r="I68" s="1"/>
      <c r="J68" s="1"/>
      <c r="K68" s="31"/>
    </row>
    <row r="69" spans="1:11" s="4" customFormat="1" ht="18.75" customHeight="1" x14ac:dyDescent="0.2">
      <c r="A69" s="1"/>
      <c r="B69" s="269" t="s">
        <v>175</v>
      </c>
      <c r="C69" s="270"/>
      <c r="D69" s="270"/>
      <c r="E69" s="270"/>
      <c r="F69" s="270"/>
      <c r="G69" s="270"/>
      <c r="H69" s="270"/>
      <c r="I69" s="278"/>
      <c r="J69" s="279"/>
      <c r="K69" s="35" t="str">
        <f>IF(B69="","入力してください","")</f>
        <v/>
      </c>
    </row>
    <row r="70" spans="1:11" s="4" customFormat="1" ht="18.75" customHeight="1" x14ac:dyDescent="0.2">
      <c r="A70" s="1"/>
      <c r="B70" s="280"/>
      <c r="C70" s="281"/>
      <c r="D70" s="281"/>
      <c r="E70" s="281"/>
      <c r="F70" s="281"/>
      <c r="G70" s="281"/>
      <c r="H70" s="281"/>
      <c r="I70" s="281"/>
      <c r="J70" s="282"/>
      <c r="K70" s="35"/>
    </row>
    <row r="71" spans="1:11" s="4" customFormat="1" ht="18.75" customHeight="1" x14ac:dyDescent="0.2">
      <c r="A71" s="1"/>
      <c r="B71" s="280"/>
      <c r="C71" s="281"/>
      <c r="D71" s="281"/>
      <c r="E71" s="281"/>
      <c r="F71" s="281"/>
      <c r="G71" s="281"/>
      <c r="H71" s="281"/>
      <c r="I71" s="281"/>
      <c r="J71" s="282"/>
      <c r="K71" s="35"/>
    </row>
    <row r="72" spans="1:11" s="4" customFormat="1" ht="18.75" customHeight="1" x14ac:dyDescent="0.2">
      <c r="A72" s="1"/>
      <c r="B72" s="280"/>
      <c r="C72" s="281"/>
      <c r="D72" s="281"/>
      <c r="E72" s="281"/>
      <c r="F72" s="281"/>
      <c r="G72" s="281"/>
      <c r="H72" s="281"/>
      <c r="I72" s="281"/>
      <c r="J72" s="282"/>
      <c r="K72" s="35"/>
    </row>
    <row r="73" spans="1:11" s="4" customFormat="1" ht="18.75" customHeight="1" x14ac:dyDescent="0.2">
      <c r="A73" s="1"/>
      <c r="B73" s="280"/>
      <c r="C73" s="281"/>
      <c r="D73" s="281"/>
      <c r="E73" s="281"/>
      <c r="F73" s="281"/>
      <c r="G73" s="281"/>
      <c r="H73" s="281"/>
      <c r="I73" s="281"/>
      <c r="J73" s="282"/>
      <c r="K73" s="35"/>
    </row>
    <row r="74" spans="1:11" s="4" customFormat="1" ht="18.75" customHeight="1" x14ac:dyDescent="0.2">
      <c r="A74" s="1"/>
      <c r="B74" s="280"/>
      <c r="C74" s="281"/>
      <c r="D74" s="281"/>
      <c r="E74" s="281"/>
      <c r="F74" s="281"/>
      <c r="G74" s="281"/>
      <c r="H74" s="281"/>
      <c r="I74" s="281"/>
      <c r="J74" s="282"/>
      <c r="K74" s="35"/>
    </row>
    <row r="75" spans="1:11" s="4" customFormat="1" ht="18.75" customHeight="1" x14ac:dyDescent="0.2">
      <c r="A75" s="1"/>
      <c r="B75" s="280"/>
      <c r="C75" s="281"/>
      <c r="D75" s="281"/>
      <c r="E75" s="281"/>
      <c r="F75" s="281"/>
      <c r="G75" s="281"/>
      <c r="H75" s="281"/>
      <c r="I75" s="281"/>
      <c r="J75" s="282"/>
      <c r="K75" s="35"/>
    </row>
    <row r="76" spans="1:11" s="4" customFormat="1" ht="18.75" customHeight="1" x14ac:dyDescent="0.2">
      <c r="A76" s="1"/>
      <c r="B76" s="280"/>
      <c r="C76" s="281"/>
      <c r="D76" s="281"/>
      <c r="E76" s="281"/>
      <c r="F76" s="281"/>
      <c r="G76" s="281"/>
      <c r="H76" s="281"/>
      <c r="I76" s="281"/>
      <c r="J76" s="282"/>
      <c r="K76" s="35"/>
    </row>
    <row r="77" spans="1:11" s="4" customFormat="1" ht="18.75" customHeight="1" x14ac:dyDescent="0.2">
      <c r="A77" s="1"/>
      <c r="B77" s="280"/>
      <c r="C77" s="281"/>
      <c r="D77" s="281"/>
      <c r="E77" s="281"/>
      <c r="F77" s="281"/>
      <c r="G77" s="281"/>
      <c r="H77" s="281"/>
      <c r="I77" s="281"/>
      <c r="J77" s="282"/>
      <c r="K77" s="35"/>
    </row>
    <row r="78" spans="1:11" s="4" customFormat="1" ht="18.75" customHeight="1" x14ac:dyDescent="0.2">
      <c r="A78" s="1"/>
      <c r="B78" s="280"/>
      <c r="C78" s="281"/>
      <c r="D78" s="281"/>
      <c r="E78" s="281"/>
      <c r="F78" s="281"/>
      <c r="G78" s="281"/>
      <c r="H78" s="281"/>
      <c r="I78" s="281"/>
      <c r="J78" s="282"/>
      <c r="K78" s="35"/>
    </row>
    <row r="79" spans="1:11" s="4" customFormat="1" ht="18.75" customHeight="1" x14ac:dyDescent="0.2">
      <c r="A79" s="1"/>
      <c r="B79" s="280"/>
      <c r="C79" s="281"/>
      <c r="D79" s="281"/>
      <c r="E79" s="281"/>
      <c r="F79" s="281"/>
      <c r="G79" s="281"/>
      <c r="H79" s="281"/>
      <c r="I79" s="281"/>
      <c r="J79" s="282"/>
      <c r="K79" s="35"/>
    </row>
    <row r="80" spans="1:11" s="4" customFormat="1" ht="18.75" customHeight="1" x14ac:dyDescent="0.2">
      <c r="A80" s="1"/>
      <c r="B80" s="280"/>
      <c r="C80" s="281"/>
      <c r="D80" s="281"/>
      <c r="E80" s="281"/>
      <c r="F80" s="281"/>
      <c r="G80" s="281"/>
      <c r="H80" s="281"/>
      <c r="I80" s="281"/>
      <c r="J80" s="282"/>
      <c r="K80" s="35"/>
    </row>
    <row r="81" spans="1:11" s="4" customFormat="1" ht="18.75" customHeight="1" x14ac:dyDescent="0.2">
      <c r="A81" s="1"/>
      <c r="B81" s="280"/>
      <c r="C81" s="281"/>
      <c r="D81" s="281"/>
      <c r="E81" s="281"/>
      <c r="F81" s="281"/>
      <c r="G81" s="281"/>
      <c r="H81" s="281"/>
      <c r="I81" s="281"/>
      <c r="J81" s="282"/>
      <c r="K81" s="35"/>
    </row>
    <row r="82" spans="1:11" s="4" customFormat="1" ht="18.75" customHeight="1" x14ac:dyDescent="0.2">
      <c r="A82" s="1"/>
      <c r="B82" s="280"/>
      <c r="C82" s="281"/>
      <c r="D82" s="281"/>
      <c r="E82" s="281"/>
      <c r="F82" s="281"/>
      <c r="G82" s="281"/>
      <c r="H82" s="281"/>
      <c r="I82" s="281"/>
      <c r="J82" s="282"/>
      <c r="K82" s="35"/>
    </row>
    <row r="83" spans="1:11" s="4" customFormat="1" ht="18.75" customHeight="1" x14ac:dyDescent="0.2">
      <c r="A83" s="1"/>
      <c r="B83" s="280"/>
      <c r="C83" s="281"/>
      <c r="D83" s="281"/>
      <c r="E83" s="281"/>
      <c r="F83" s="281"/>
      <c r="G83" s="281"/>
      <c r="H83" s="281"/>
      <c r="I83" s="281"/>
      <c r="J83" s="282"/>
      <c r="K83" s="35"/>
    </row>
    <row r="84" spans="1:11" s="4" customFormat="1" ht="18.75" customHeight="1" x14ac:dyDescent="0.2">
      <c r="A84" s="1"/>
      <c r="B84" s="280"/>
      <c r="C84" s="281"/>
      <c r="D84" s="281"/>
      <c r="E84" s="281"/>
      <c r="F84" s="281"/>
      <c r="G84" s="281"/>
      <c r="H84" s="281"/>
      <c r="I84" s="281"/>
      <c r="J84" s="282"/>
      <c r="K84" s="35"/>
    </row>
    <row r="85" spans="1:11" ht="18.75" customHeight="1" x14ac:dyDescent="0.2">
      <c r="A85" s="39"/>
      <c r="B85" s="280"/>
      <c r="C85" s="281"/>
      <c r="D85" s="281"/>
      <c r="E85" s="281"/>
      <c r="F85" s="281"/>
      <c r="G85" s="281"/>
      <c r="H85" s="281"/>
      <c r="I85" s="281"/>
      <c r="J85" s="282"/>
      <c r="K85" s="35"/>
    </row>
    <row r="86" spans="1:11" ht="18.75" customHeight="1" x14ac:dyDescent="0.2">
      <c r="A86" s="39"/>
      <c r="B86" s="283"/>
      <c r="C86" s="284"/>
      <c r="D86" s="284"/>
      <c r="E86" s="284"/>
      <c r="F86" s="284"/>
      <c r="G86" s="284"/>
      <c r="H86" s="284"/>
      <c r="I86" s="284"/>
      <c r="J86" s="285"/>
      <c r="K86" s="35"/>
    </row>
    <row r="87" spans="1:11" ht="7.5" customHeight="1" x14ac:dyDescent="0.2">
      <c r="A87" s="39"/>
      <c r="B87" s="39"/>
      <c r="C87" s="39"/>
      <c r="D87" s="39"/>
      <c r="E87" s="39"/>
      <c r="F87" s="39"/>
      <c r="G87" s="39"/>
      <c r="H87" s="39"/>
      <c r="I87" s="39"/>
      <c r="J87" s="39"/>
    </row>
    <row r="88" spans="1:11" s="4" customFormat="1" ht="18.75" customHeight="1" x14ac:dyDescent="0.2">
      <c r="A88" s="1" t="s">
        <v>12</v>
      </c>
      <c r="B88" s="1" t="s">
        <v>27</v>
      </c>
      <c r="C88" s="1"/>
      <c r="D88" s="1"/>
      <c r="E88" s="1"/>
      <c r="F88" s="1"/>
      <c r="G88" s="1"/>
      <c r="H88" s="1"/>
      <c r="I88" s="1"/>
      <c r="J88" s="1"/>
      <c r="K88" s="31"/>
    </row>
    <row r="89" spans="1:11" s="4" customFormat="1" ht="18.75" customHeight="1" x14ac:dyDescent="0.2">
      <c r="A89" s="1"/>
      <c r="B89" s="269" t="s">
        <v>185</v>
      </c>
      <c r="C89" s="270"/>
      <c r="D89" s="270"/>
      <c r="E89" s="270"/>
      <c r="F89" s="270"/>
      <c r="G89" s="270"/>
      <c r="H89" s="270"/>
      <c r="I89" s="278"/>
      <c r="J89" s="279"/>
      <c r="K89" s="31"/>
    </row>
    <row r="90" spans="1:11" s="4" customFormat="1" ht="18.75" customHeight="1" x14ac:dyDescent="0.2">
      <c r="A90" s="1"/>
      <c r="B90" s="280"/>
      <c r="C90" s="281"/>
      <c r="D90" s="281"/>
      <c r="E90" s="281"/>
      <c r="F90" s="281"/>
      <c r="G90" s="281"/>
      <c r="H90" s="281"/>
      <c r="I90" s="281"/>
      <c r="J90" s="282"/>
      <c r="K90" s="35"/>
    </row>
    <row r="91" spans="1:11" s="4" customFormat="1" ht="18.75" customHeight="1" x14ac:dyDescent="0.2">
      <c r="A91" s="1"/>
      <c r="B91" s="280"/>
      <c r="C91" s="281"/>
      <c r="D91" s="281"/>
      <c r="E91" s="281"/>
      <c r="F91" s="281"/>
      <c r="G91" s="281"/>
      <c r="H91" s="281"/>
      <c r="I91" s="281"/>
      <c r="J91" s="282"/>
      <c r="K91" s="35" t="str">
        <f>IF(B89="","入力してください","")</f>
        <v/>
      </c>
    </row>
    <row r="92" spans="1:11" s="4" customFormat="1" ht="18.75" customHeight="1" x14ac:dyDescent="0.2">
      <c r="A92" s="1"/>
      <c r="B92" s="280"/>
      <c r="C92" s="281"/>
      <c r="D92" s="281"/>
      <c r="E92" s="281"/>
      <c r="F92" s="281"/>
      <c r="G92" s="281"/>
      <c r="H92" s="281"/>
      <c r="I92" s="281"/>
      <c r="J92" s="282"/>
      <c r="K92" s="35"/>
    </row>
    <row r="93" spans="1:11" s="4" customFormat="1" ht="18.75" customHeight="1" x14ac:dyDescent="0.2">
      <c r="A93" s="1"/>
      <c r="B93" s="280"/>
      <c r="C93" s="281"/>
      <c r="D93" s="281"/>
      <c r="E93" s="281"/>
      <c r="F93" s="281"/>
      <c r="G93" s="281"/>
      <c r="H93" s="281"/>
      <c r="I93" s="281"/>
      <c r="J93" s="282"/>
      <c r="K93" s="35"/>
    </row>
    <row r="94" spans="1:11" s="4" customFormat="1" ht="18.75" customHeight="1" x14ac:dyDescent="0.2">
      <c r="A94" s="1"/>
      <c r="B94" s="280"/>
      <c r="C94" s="281"/>
      <c r="D94" s="281"/>
      <c r="E94" s="281"/>
      <c r="F94" s="281"/>
      <c r="G94" s="281"/>
      <c r="H94" s="281"/>
      <c r="I94" s="281"/>
      <c r="J94" s="282"/>
      <c r="K94" s="35"/>
    </row>
    <row r="95" spans="1:11" s="4" customFormat="1" ht="18.75" customHeight="1" x14ac:dyDescent="0.2">
      <c r="A95" s="1"/>
      <c r="B95" s="280"/>
      <c r="C95" s="281"/>
      <c r="D95" s="281"/>
      <c r="E95" s="281"/>
      <c r="F95" s="281"/>
      <c r="G95" s="281"/>
      <c r="H95" s="281"/>
      <c r="I95" s="281"/>
      <c r="J95" s="282"/>
      <c r="K95" s="35"/>
    </row>
    <row r="96" spans="1:11" s="4" customFormat="1" ht="18.75" customHeight="1" x14ac:dyDescent="0.2">
      <c r="A96" s="1"/>
      <c r="B96" s="280"/>
      <c r="C96" s="281"/>
      <c r="D96" s="281"/>
      <c r="E96" s="281"/>
      <c r="F96" s="281"/>
      <c r="G96" s="281"/>
      <c r="H96" s="281"/>
      <c r="I96" s="281"/>
      <c r="J96" s="282"/>
      <c r="K96" s="35"/>
    </row>
    <row r="97" spans="1:11" s="4" customFormat="1" ht="18.75" customHeight="1" x14ac:dyDescent="0.2">
      <c r="A97" s="1"/>
      <c r="B97" s="280"/>
      <c r="C97" s="281"/>
      <c r="D97" s="281"/>
      <c r="E97" s="281"/>
      <c r="F97" s="281"/>
      <c r="G97" s="281"/>
      <c r="H97" s="281"/>
      <c r="I97" s="281"/>
      <c r="J97" s="282"/>
      <c r="K97" s="35"/>
    </row>
    <row r="98" spans="1:11" s="4" customFormat="1" ht="18.75" customHeight="1" x14ac:dyDescent="0.2">
      <c r="A98" s="1"/>
      <c r="B98" s="280"/>
      <c r="C98" s="281"/>
      <c r="D98" s="281"/>
      <c r="E98" s="281"/>
      <c r="F98" s="281"/>
      <c r="G98" s="281"/>
      <c r="H98" s="281"/>
      <c r="I98" s="281"/>
      <c r="J98" s="282"/>
      <c r="K98" s="35"/>
    </row>
    <row r="99" spans="1:11" s="4" customFormat="1" ht="18.75" customHeight="1" x14ac:dyDescent="0.2">
      <c r="A99" s="1"/>
      <c r="B99" s="280"/>
      <c r="C99" s="281"/>
      <c r="D99" s="281"/>
      <c r="E99" s="281"/>
      <c r="F99" s="281"/>
      <c r="G99" s="281"/>
      <c r="H99" s="281"/>
      <c r="I99" s="281"/>
      <c r="J99" s="282"/>
      <c r="K99" s="35"/>
    </row>
    <row r="100" spans="1:11" s="4" customFormat="1" ht="18.75" customHeight="1" x14ac:dyDescent="0.2">
      <c r="A100" s="1"/>
      <c r="B100" s="280"/>
      <c r="C100" s="281"/>
      <c r="D100" s="281"/>
      <c r="E100" s="281"/>
      <c r="F100" s="281"/>
      <c r="G100" s="281"/>
      <c r="H100" s="281"/>
      <c r="I100" s="281"/>
      <c r="J100" s="282"/>
      <c r="K100" s="35"/>
    </row>
    <row r="101" spans="1:11" s="4" customFormat="1" ht="18.75" customHeight="1" x14ac:dyDescent="0.2">
      <c r="A101" s="1"/>
      <c r="B101" s="280"/>
      <c r="C101" s="281"/>
      <c r="D101" s="281"/>
      <c r="E101" s="281"/>
      <c r="F101" s="281"/>
      <c r="G101" s="281"/>
      <c r="H101" s="281"/>
      <c r="I101" s="281"/>
      <c r="J101" s="282"/>
      <c r="K101" s="35"/>
    </row>
    <row r="102" spans="1:11" s="4" customFormat="1" ht="18.75" customHeight="1" x14ac:dyDescent="0.2">
      <c r="A102" s="1"/>
      <c r="B102" s="280"/>
      <c r="C102" s="281"/>
      <c r="D102" s="281"/>
      <c r="E102" s="281"/>
      <c r="F102" s="281"/>
      <c r="G102" s="281"/>
      <c r="H102" s="281"/>
      <c r="I102" s="281"/>
      <c r="J102" s="282"/>
      <c r="K102" s="35"/>
    </row>
    <row r="103" spans="1:11" s="4" customFormat="1" ht="18.75" customHeight="1" x14ac:dyDescent="0.2">
      <c r="A103" s="1"/>
      <c r="B103" s="280"/>
      <c r="C103" s="281"/>
      <c r="D103" s="281"/>
      <c r="E103" s="281"/>
      <c r="F103" s="281"/>
      <c r="G103" s="281"/>
      <c r="H103" s="281"/>
      <c r="I103" s="281"/>
      <c r="J103" s="282"/>
      <c r="K103" s="35"/>
    </row>
    <row r="104" spans="1:11" s="4" customFormat="1" ht="18.75" customHeight="1" x14ac:dyDescent="0.2">
      <c r="A104" s="1"/>
      <c r="B104" s="280"/>
      <c r="C104" s="281"/>
      <c r="D104" s="281"/>
      <c r="E104" s="281"/>
      <c r="F104" s="281"/>
      <c r="G104" s="281"/>
      <c r="H104" s="281"/>
      <c r="I104" s="281"/>
      <c r="J104" s="282"/>
      <c r="K104" s="35"/>
    </row>
    <row r="105" spans="1:11" s="4" customFormat="1" ht="18.75" customHeight="1" x14ac:dyDescent="0.2">
      <c r="A105" s="1"/>
      <c r="B105" s="280"/>
      <c r="C105" s="281"/>
      <c r="D105" s="281"/>
      <c r="E105" s="281"/>
      <c r="F105" s="281"/>
      <c r="G105" s="281"/>
      <c r="H105" s="281"/>
      <c r="I105" s="281"/>
      <c r="J105" s="282"/>
      <c r="K105" s="35"/>
    </row>
    <row r="106" spans="1:11" s="4" customFormat="1" ht="18.75" customHeight="1" x14ac:dyDescent="0.2">
      <c r="A106" s="1"/>
      <c r="B106" s="280"/>
      <c r="C106" s="281"/>
      <c r="D106" s="281"/>
      <c r="E106" s="281"/>
      <c r="F106" s="281"/>
      <c r="G106" s="281"/>
      <c r="H106" s="281"/>
      <c r="I106" s="281"/>
      <c r="J106" s="282"/>
      <c r="K106" s="35"/>
    </row>
    <row r="107" spans="1:11" ht="18.75" customHeight="1" x14ac:dyDescent="0.2">
      <c r="A107" s="39"/>
      <c r="B107" s="280"/>
      <c r="C107" s="281"/>
      <c r="D107" s="281"/>
      <c r="E107" s="281"/>
      <c r="F107" s="281"/>
      <c r="G107" s="281"/>
      <c r="H107" s="281"/>
      <c r="I107" s="281"/>
      <c r="J107" s="282"/>
      <c r="K107" s="35"/>
    </row>
    <row r="108" spans="1:11" ht="18.75" customHeight="1" x14ac:dyDescent="0.2">
      <c r="A108" s="39"/>
      <c r="B108" s="283"/>
      <c r="C108" s="284"/>
      <c r="D108" s="284"/>
      <c r="E108" s="284"/>
      <c r="F108" s="284"/>
      <c r="G108" s="284"/>
      <c r="H108" s="284"/>
      <c r="I108" s="284"/>
      <c r="J108" s="285"/>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53</v>
      </c>
      <c r="B110" s="286" t="s">
        <v>82</v>
      </c>
      <c r="C110" s="286"/>
      <c r="D110" s="286"/>
      <c r="E110" s="286"/>
      <c r="F110" s="286"/>
      <c r="G110" s="286"/>
      <c r="H110" s="286"/>
      <c r="I110" s="286"/>
      <c r="J110" s="286"/>
      <c r="K110" s="31"/>
    </row>
    <row r="111" spans="1:11" ht="18.75" customHeight="1" x14ac:dyDescent="0.2">
      <c r="A111" s="39"/>
      <c r="B111" s="269" t="s">
        <v>165</v>
      </c>
      <c r="C111" s="270"/>
      <c r="D111" s="270"/>
      <c r="E111" s="270"/>
      <c r="F111" s="270"/>
      <c r="G111" s="270"/>
      <c r="H111" s="270"/>
      <c r="I111" s="278"/>
      <c r="J111" s="279"/>
    </row>
    <row r="112" spans="1:11" ht="18.75" customHeight="1" x14ac:dyDescent="0.2">
      <c r="A112" s="39"/>
      <c r="B112" s="280"/>
      <c r="C112" s="281"/>
      <c r="D112" s="281"/>
      <c r="E112" s="281"/>
      <c r="F112" s="281"/>
      <c r="G112" s="281"/>
      <c r="H112" s="281"/>
      <c r="I112" s="281"/>
      <c r="J112" s="282"/>
      <c r="K112" s="35"/>
    </row>
    <row r="113" spans="1:11" ht="18.75" customHeight="1" x14ac:dyDescent="0.2">
      <c r="A113" s="39"/>
      <c r="B113" s="280"/>
      <c r="C113" s="281"/>
      <c r="D113" s="281"/>
      <c r="E113" s="281"/>
      <c r="F113" s="281"/>
      <c r="G113" s="281"/>
      <c r="H113" s="281"/>
      <c r="I113" s="281"/>
      <c r="J113" s="282"/>
      <c r="K113" s="31" t="str">
        <f>IF(B111="","入力してください","")</f>
        <v/>
      </c>
    </row>
    <row r="114" spans="1:11" ht="18.75" customHeight="1" x14ac:dyDescent="0.2">
      <c r="A114" s="39"/>
      <c r="B114" s="280"/>
      <c r="C114" s="281"/>
      <c r="D114" s="281"/>
      <c r="E114" s="281"/>
      <c r="F114" s="281"/>
      <c r="G114" s="281"/>
      <c r="H114" s="281"/>
      <c r="I114" s="281"/>
      <c r="J114" s="282"/>
    </row>
    <row r="115" spans="1:11" ht="18.75" customHeight="1" x14ac:dyDescent="0.2">
      <c r="A115" s="39"/>
      <c r="B115" s="280"/>
      <c r="C115" s="281"/>
      <c r="D115" s="281"/>
      <c r="E115" s="281"/>
      <c r="F115" s="281"/>
      <c r="G115" s="281"/>
      <c r="H115" s="281"/>
      <c r="I115" s="281"/>
      <c r="J115" s="282"/>
    </row>
    <row r="116" spans="1:11" ht="18.75" customHeight="1" x14ac:dyDescent="0.2">
      <c r="A116" s="39"/>
      <c r="B116" s="280"/>
      <c r="C116" s="281"/>
      <c r="D116" s="281"/>
      <c r="E116" s="281"/>
      <c r="F116" s="281"/>
      <c r="G116" s="281"/>
      <c r="H116" s="281"/>
      <c r="I116" s="281"/>
      <c r="J116" s="282"/>
    </row>
    <row r="117" spans="1:11" ht="18.75" customHeight="1" x14ac:dyDescent="0.2">
      <c r="A117" s="39"/>
      <c r="B117" s="280"/>
      <c r="C117" s="281"/>
      <c r="D117" s="281"/>
      <c r="E117" s="281"/>
      <c r="F117" s="281"/>
      <c r="G117" s="281"/>
      <c r="H117" s="281"/>
      <c r="I117" s="281"/>
      <c r="J117" s="282"/>
    </row>
    <row r="118" spans="1:11" ht="18.75" customHeight="1" x14ac:dyDescent="0.2">
      <c r="A118" s="39"/>
      <c r="B118" s="280"/>
      <c r="C118" s="281"/>
      <c r="D118" s="281"/>
      <c r="E118" s="281"/>
      <c r="F118" s="281"/>
      <c r="G118" s="281"/>
      <c r="H118" s="281"/>
      <c r="I118" s="281"/>
      <c r="J118" s="282"/>
    </row>
    <row r="119" spans="1:11" ht="18.75" customHeight="1" x14ac:dyDescent="0.2">
      <c r="A119" s="39"/>
      <c r="B119" s="280"/>
      <c r="C119" s="281"/>
      <c r="D119" s="281"/>
      <c r="E119" s="281"/>
      <c r="F119" s="281"/>
      <c r="G119" s="281"/>
      <c r="H119" s="281"/>
      <c r="I119" s="281"/>
      <c r="J119" s="282"/>
    </row>
    <row r="120" spans="1:11" ht="18.75" customHeight="1" x14ac:dyDescent="0.2">
      <c r="A120" s="39"/>
      <c r="B120" s="280"/>
      <c r="C120" s="281"/>
      <c r="D120" s="281"/>
      <c r="E120" s="281"/>
      <c r="F120" s="281"/>
      <c r="G120" s="281"/>
      <c r="H120" s="281"/>
      <c r="I120" s="281"/>
      <c r="J120" s="282"/>
    </row>
    <row r="121" spans="1:11" ht="18.75" customHeight="1" x14ac:dyDescent="0.2">
      <c r="A121" s="39"/>
      <c r="B121" s="280"/>
      <c r="C121" s="281"/>
      <c r="D121" s="281"/>
      <c r="E121" s="281"/>
      <c r="F121" s="281"/>
      <c r="G121" s="281"/>
      <c r="H121" s="281"/>
      <c r="I121" s="281"/>
      <c r="J121" s="282"/>
    </row>
    <row r="122" spans="1:11" ht="18.75" customHeight="1" x14ac:dyDescent="0.2">
      <c r="A122" s="39"/>
      <c r="B122" s="280"/>
      <c r="C122" s="281"/>
      <c r="D122" s="281"/>
      <c r="E122" s="281"/>
      <c r="F122" s="281"/>
      <c r="G122" s="281"/>
      <c r="H122" s="281"/>
      <c r="I122" s="281"/>
      <c r="J122" s="282"/>
    </row>
    <row r="123" spans="1:11" ht="18.75" customHeight="1" x14ac:dyDescent="0.2">
      <c r="A123" s="39"/>
      <c r="B123" s="280"/>
      <c r="C123" s="281"/>
      <c r="D123" s="281"/>
      <c r="E123" s="281"/>
      <c r="F123" s="281"/>
      <c r="G123" s="281"/>
      <c r="H123" s="281"/>
      <c r="I123" s="281"/>
      <c r="J123" s="282"/>
    </row>
    <row r="124" spans="1:11" ht="18.75" customHeight="1" x14ac:dyDescent="0.2">
      <c r="A124" s="39"/>
      <c r="B124" s="280"/>
      <c r="C124" s="281"/>
      <c r="D124" s="281"/>
      <c r="E124" s="281"/>
      <c r="F124" s="281"/>
      <c r="G124" s="281"/>
      <c r="H124" s="281"/>
      <c r="I124" s="281"/>
      <c r="J124" s="282"/>
    </row>
    <row r="125" spans="1:11" ht="18.75" customHeight="1" x14ac:dyDescent="0.2">
      <c r="A125" s="39"/>
      <c r="B125" s="280"/>
      <c r="C125" s="281"/>
      <c r="D125" s="281"/>
      <c r="E125" s="281"/>
      <c r="F125" s="281"/>
      <c r="G125" s="281"/>
      <c r="H125" s="281"/>
      <c r="I125" s="281"/>
      <c r="J125" s="282"/>
    </row>
    <row r="126" spans="1:11" ht="18.75" customHeight="1" x14ac:dyDescent="0.2">
      <c r="A126" s="39"/>
      <c r="B126" s="280"/>
      <c r="C126" s="281"/>
      <c r="D126" s="281"/>
      <c r="E126" s="281"/>
      <c r="F126" s="281"/>
      <c r="G126" s="281"/>
      <c r="H126" s="281"/>
      <c r="I126" s="281"/>
      <c r="J126" s="282"/>
    </row>
    <row r="127" spans="1:11" ht="18.75" customHeight="1" x14ac:dyDescent="0.2">
      <c r="A127" s="39"/>
      <c r="B127" s="280"/>
      <c r="C127" s="281"/>
      <c r="D127" s="281"/>
      <c r="E127" s="281"/>
      <c r="F127" s="281"/>
      <c r="G127" s="281"/>
      <c r="H127" s="281"/>
      <c r="I127" s="281"/>
      <c r="J127" s="282"/>
    </row>
    <row r="128" spans="1:11" ht="18.75" customHeight="1" x14ac:dyDescent="0.2">
      <c r="A128" s="39"/>
      <c r="B128" s="280"/>
      <c r="C128" s="281"/>
      <c r="D128" s="281"/>
      <c r="E128" s="281"/>
      <c r="F128" s="281"/>
      <c r="G128" s="281"/>
      <c r="H128" s="281"/>
      <c r="I128" s="281"/>
      <c r="J128" s="282"/>
    </row>
    <row r="129" spans="1:10" ht="18.75" customHeight="1" x14ac:dyDescent="0.2">
      <c r="A129" s="39"/>
      <c r="B129" s="283"/>
      <c r="C129" s="284"/>
      <c r="D129" s="284"/>
      <c r="E129" s="284"/>
      <c r="F129" s="284"/>
      <c r="G129" s="284"/>
      <c r="H129" s="284"/>
      <c r="I129" s="284"/>
      <c r="J129" s="285"/>
    </row>
    <row r="130" spans="1:10" ht="7.5" customHeight="1" x14ac:dyDescent="0.2">
      <c r="A130" s="39"/>
      <c r="B130" s="103"/>
      <c r="C130" s="103"/>
      <c r="D130" s="103"/>
      <c r="E130" s="103"/>
      <c r="F130" s="103"/>
      <c r="G130" s="103"/>
      <c r="H130" s="103"/>
      <c r="I130" s="103"/>
      <c r="J130" s="103"/>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4" x14ac:dyDescent="0.2">
      <c r="A143" s="39"/>
      <c r="B143" s="39"/>
      <c r="C143" s="39"/>
      <c r="D143" s="39"/>
      <c r="E143" s="39"/>
      <c r="F143" s="39"/>
      <c r="G143" s="39"/>
      <c r="H143" s="39"/>
      <c r="I143" s="39"/>
      <c r="J143" s="39"/>
    </row>
    <row r="144" spans="1:10" ht="7.5" customHeight="1" x14ac:dyDescent="0.2">
      <c r="A144" s="104"/>
      <c r="B144" s="104"/>
      <c r="C144" s="104"/>
      <c r="D144" s="104"/>
      <c r="E144" s="104"/>
      <c r="F144" s="104"/>
      <c r="G144" s="104"/>
      <c r="H144" s="104"/>
      <c r="I144" s="104"/>
      <c r="J144" s="10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2" zoomScale="115" zoomScaleNormal="100" zoomScaleSheetLayoutView="115" workbookViewId="0">
      <selection activeCell="E17" sqref="E17"/>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122</v>
      </c>
      <c r="J1" s="122" t="s">
        <v>73</v>
      </c>
    </row>
    <row r="2" spans="1:11" ht="18.75" customHeight="1" x14ac:dyDescent="0.2">
      <c r="A2" s="259" t="s">
        <v>42</v>
      </c>
      <c r="B2" s="259"/>
      <c r="C2" s="259"/>
      <c r="D2" s="259"/>
      <c r="E2" s="259"/>
      <c r="F2" s="259"/>
      <c r="G2" s="259"/>
      <c r="H2" s="259"/>
      <c r="I2" s="259"/>
      <c r="J2" s="259"/>
    </row>
    <row r="3" spans="1:11" ht="7.5" customHeight="1" x14ac:dyDescent="0.2">
      <c r="A3" s="123"/>
      <c r="B3" s="123"/>
      <c r="C3" s="123"/>
      <c r="D3" s="123"/>
      <c r="E3" s="123"/>
      <c r="F3" s="123"/>
      <c r="G3" s="123"/>
      <c r="H3" s="123"/>
      <c r="I3" s="123"/>
      <c r="J3" s="123"/>
    </row>
    <row r="4" spans="1:11" ht="18.75" customHeight="1" x14ac:dyDescent="0.2">
      <c r="A4" s="1" t="s">
        <v>6</v>
      </c>
      <c r="B4" s="4" t="s">
        <v>41</v>
      </c>
      <c r="C4" s="39"/>
      <c r="D4" s="39"/>
      <c r="E4" s="40"/>
      <c r="F4" s="40"/>
      <c r="G4" s="40"/>
      <c r="H4" s="40"/>
      <c r="I4" s="40"/>
      <c r="J4" s="40"/>
    </row>
    <row r="5" spans="1:11" ht="18.75" customHeight="1" x14ac:dyDescent="0.2">
      <c r="B5" s="328" t="s">
        <v>38</v>
      </c>
      <c r="C5" s="329"/>
      <c r="D5" s="330"/>
      <c r="E5" s="331" t="s">
        <v>40</v>
      </c>
      <c r="F5" s="331"/>
      <c r="G5" s="331"/>
      <c r="H5" s="331"/>
      <c r="I5" s="331"/>
      <c r="J5" s="332"/>
    </row>
    <row r="6" spans="1:11" ht="18.75" customHeight="1" x14ac:dyDescent="0.2">
      <c r="B6" s="3" t="s">
        <v>28</v>
      </c>
      <c r="C6" s="39"/>
      <c r="D6" s="7"/>
      <c r="I6" s="40"/>
      <c r="J6" s="5"/>
    </row>
    <row r="7" spans="1:11" ht="207" customHeight="1" x14ac:dyDescent="0.2">
      <c r="B7" s="6"/>
      <c r="C7" s="319" t="s">
        <v>29</v>
      </c>
      <c r="D7" s="320"/>
      <c r="E7" s="325" t="s">
        <v>194</v>
      </c>
      <c r="F7" s="321"/>
      <c r="G7" s="321"/>
      <c r="H7" s="321"/>
      <c r="I7" s="321"/>
      <c r="J7" s="322"/>
      <c r="K7" s="31" t="str">
        <f>IF(E7="","入力してください","")</f>
        <v/>
      </c>
    </row>
    <row r="8" spans="1:11" ht="207" customHeight="1" x14ac:dyDescent="0.2">
      <c r="B8" s="6"/>
      <c r="C8" s="326" t="s">
        <v>30</v>
      </c>
      <c r="D8" s="327"/>
      <c r="E8" s="325" t="s">
        <v>176</v>
      </c>
      <c r="F8" s="321"/>
      <c r="G8" s="321"/>
      <c r="H8" s="321"/>
      <c r="I8" s="321"/>
      <c r="J8" s="322"/>
      <c r="K8" s="31" t="str">
        <f>IF(E8="","入力してください","")</f>
        <v/>
      </c>
    </row>
    <row r="9" spans="1:11" ht="172.5" customHeight="1" x14ac:dyDescent="0.2">
      <c r="B9" s="6"/>
      <c r="C9" s="319" t="s">
        <v>31</v>
      </c>
      <c r="D9" s="320"/>
      <c r="E9" s="325" t="s">
        <v>187</v>
      </c>
      <c r="F9" s="321"/>
      <c r="G9" s="321"/>
      <c r="H9" s="321"/>
      <c r="I9" s="321"/>
      <c r="J9" s="322"/>
      <c r="K9" s="31" t="str">
        <f>IF(E9="","入力してください","")</f>
        <v/>
      </c>
    </row>
    <row r="10" spans="1:11" ht="172.5" customHeight="1" x14ac:dyDescent="0.2">
      <c r="B10" s="6"/>
      <c r="C10" s="319" t="s">
        <v>32</v>
      </c>
      <c r="D10" s="320"/>
      <c r="E10" s="325" t="s">
        <v>179</v>
      </c>
      <c r="F10" s="321"/>
      <c r="G10" s="321"/>
      <c r="H10" s="321"/>
      <c r="I10" s="321"/>
      <c r="J10" s="322"/>
      <c r="K10" s="31" t="str">
        <f t="shared" ref="K10:K14" si="0">IF(E10="","入力してください","")</f>
        <v/>
      </c>
    </row>
    <row r="11" spans="1:11" ht="172.5" customHeight="1" x14ac:dyDescent="0.2">
      <c r="B11" s="6"/>
      <c r="C11" s="319" t="s">
        <v>33</v>
      </c>
      <c r="D11" s="320"/>
      <c r="E11" s="325" t="s">
        <v>188</v>
      </c>
      <c r="F11" s="321"/>
      <c r="G11" s="321"/>
      <c r="H11" s="321"/>
      <c r="I11" s="321"/>
      <c r="J11" s="322"/>
      <c r="K11" s="31" t="str">
        <f t="shared" si="0"/>
        <v/>
      </c>
    </row>
    <row r="12" spans="1:11" ht="18.75" customHeight="1" x14ac:dyDescent="0.2">
      <c r="B12" s="9" t="s">
        <v>34</v>
      </c>
      <c r="C12" s="28"/>
      <c r="D12" s="8"/>
      <c r="E12" s="32"/>
      <c r="F12" s="32"/>
      <c r="G12" s="32"/>
      <c r="H12" s="32"/>
      <c r="I12" s="32"/>
      <c r="J12" s="33"/>
    </row>
    <row r="13" spans="1:11" ht="244.2" customHeight="1" x14ac:dyDescent="0.2">
      <c r="B13" s="6"/>
      <c r="C13" s="319" t="s">
        <v>35</v>
      </c>
      <c r="D13" s="320"/>
      <c r="E13" s="321" t="s">
        <v>189</v>
      </c>
      <c r="F13" s="321"/>
      <c r="G13" s="321"/>
      <c r="H13" s="321"/>
      <c r="I13" s="321"/>
      <c r="J13" s="322"/>
      <c r="K13" s="31" t="str">
        <f t="shared" si="0"/>
        <v/>
      </c>
    </row>
    <row r="14" spans="1:11" ht="255" customHeight="1" x14ac:dyDescent="0.2">
      <c r="B14" s="6"/>
      <c r="C14" s="319" t="s">
        <v>36</v>
      </c>
      <c r="D14" s="320"/>
      <c r="E14" s="321" t="s">
        <v>186</v>
      </c>
      <c r="F14" s="321"/>
      <c r="G14" s="321"/>
      <c r="H14" s="321"/>
      <c r="I14" s="321"/>
      <c r="J14" s="322"/>
      <c r="K14" s="31" t="str">
        <f t="shared" si="0"/>
        <v/>
      </c>
    </row>
    <row r="15" spans="1:11" ht="243" customHeight="1" x14ac:dyDescent="0.2">
      <c r="B15" s="323" t="s">
        <v>37</v>
      </c>
      <c r="C15" s="324"/>
      <c r="D15" s="320"/>
      <c r="E15" s="321" t="s">
        <v>180</v>
      </c>
      <c r="F15" s="321"/>
      <c r="G15" s="321"/>
      <c r="H15" s="321"/>
      <c r="I15" s="321"/>
      <c r="J15" s="322"/>
      <c r="K15" s="31" t="str">
        <f>IF(E15="","入力してください","")</f>
        <v/>
      </c>
    </row>
    <row r="16" spans="1:11" ht="243" customHeight="1" x14ac:dyDescent="0.2">
      <c r="A16" s="31"/>
      <c r="B16" s="311" t="s">
        <v>66</v>
      </c>
      <c r="C16" s="312"/>
      <c r="D16" s="313"/>
      <c r="E16" s="314" t="s">
        <v>190</v>
      </c>
      <c r="F16" s="314"/>
      <c r="G16" s="314"/>
      <c r="H16" s="314"/>
      <c r="I16" s="314"/>
      <c r="J16" s="315"/>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123</v>
      </c>
      <c r="B18" s="4"/>
      <c r="C18" s="39"/>
      <c r="D18" s="39"/>
      <c r="E18" s="40"/>
      <c r="F18" s="93"/>
      <c r="G18" s="316" t="s">
        <v>166</v>
      </c>
      <c r="H18" s="317"/>
      <c r="I18" s="317"/>
      <c r="J18" s="318"/>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5"/>
      <c r="C24" s="105"/>
      <c r="D24" s="105"/>
      <c r="E24" s="105"/>
      <c r="F24" s="105"/>
      <c r="G24" s="105"/>
      <c r="H24" s="105"/>
      <c r="I24" s="105"/>
      <c r="J24" s="105"/>
    </row>
    <row r="25" spans="1:11" ht="22.5" customHeight="1" x14ac:dyDescent="0.2">
      <c r="B25" s="105"/>
      <c r="C25" s="105"/>
      <c r="D25" s="105"/>
      <c r="E25" s="105"/>
      <c r="F25" s="105"/>
      <c r="G25" s="105"/>
      <c r="H25" s="105"/>
      <c r="I25" s="105"/>
      <c r="J25" s="105"/>
    </row>
    <row r="26" spans="1:11" ht="22.5" customHeight="1" x14ac:dyDescent="0.2">
      <c r="B26" s="105"/>
      <c r="C26" s="105"/>
      <c r="D26" s="105"/>
      <c r="E26" s="105"/>
      <c r="F26" s="105"/>
      <c r="G26" s="105"/>
      <c r="H26" s="105"/>
      <c r="I26" s="105"/>
      <c r="J26" s="10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KGCUSER</cp:lastModifiedBy>
  <cp:lastPrinted>2022-04-15T06:52:58Z</cp:lastPrinted>
  <dcterms:created xsi:type="dcterms:W3CDTF">2011-06-14T05:32:50Z</dcterms:created>
  <dcterms:modified xsi:type="dcterms:W3CDTF">2022-05-31T07:29:24Z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