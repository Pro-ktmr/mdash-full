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csv-share01\FileShare\学生支援部\基礎教育・教育企画室\数理データサイエンス関係R4\認定制度申請書\申請書最新版(アップロード用)\(宮崎大学)\01(宮崎大学)_リテラシー\"/>
    </mc:Choice>
  </mc:AlternateContent>
  <xr:revisionPtr revIDLastSave="0" documentId="13_ncr:1_{B5CDCA16-BAF5-4C93-886C-062EE1911C2B}" xr6:coauthVersionLast="36" xr6:coauthVersionMax="47" xr10:uidLastSave="{00000000-0000-0000-0000-000000000000}"/>
  <bookViews>
    <workbookView xWindow="28680" yWindow="-120" windowWidth="29040" windowHeight="18240" tabRatio="756"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workbook>
</file>

<file path=xl/calcChain.xml><?xml version="1.0" encoding="utf-8"?>
<calcChain xmlns="http://schemas.openxmlformats.org/spreadsheetml/2006/main">
  <c r="C30" i="40" l="1"/>
  <c r="D30" i="40"/>
  <c r="F30" i="40"/>
  <c r="E30" i="40"/>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I29" i="41" l="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<sst xmlns="http://schemas.openxmlformats.org/spreadsheetml/2006/main" count="357" uniqueCount="225">
  <si>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</si>
  <si>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</si>
  <si>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</si>
  <si>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</si>
  <si>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</si>
  <si>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</si>
  <si>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</si>
  <si>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</si>
  <si>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</si>
  <si>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</si>
  <si>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</si>
  <si>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</si>
  <si>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</si>
  <si>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</si>
  <si>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</si>
  <si>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</si>
  <si>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</si>
  <si>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</si>
  <si>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</si>
  <si>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</si>
  <si>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</si>
  <si>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</si>
  <si>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</si>
  <si>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</si>
  <si>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</si>
  <si>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</si>
  <si>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</si>
  <si>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</si>
  <si>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</si>
  <si>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</si>
  <si>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</si>
  <si>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</si>
  <si>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</si>
  <si>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</si>
  <si>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</si>
  <si>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</si>
  <si>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</si>
  <si>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</si>
  <si>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</si>
  <si>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</si>
  <si>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</si>
  <si>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</si>
  <si>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</si>
  <si>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</si>
  <si>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</si>
  <si>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</si>
  <si>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</si>
  <si>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</si>
  <si>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</si>
  <si>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</si>
  <si>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</si>
  <si>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</si>
  <si>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</si>
  <si>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</si>
  <si>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</si>
  <si>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</si>
  <si>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</si>
  <si>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</si>
  <si>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</si>
  <si>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</si>
  <si>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</si>
  <si>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</si>
  <si>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</si>
  <si>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</si>
  <si>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</si>
  <si>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</si>
  <si>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</si>
  <si>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</si>
  <si>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</si>
  <si>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</si>
  <si>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</si>
  <si>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</si>
  <si>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</si>
  <si>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</si>
  <si>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</si>
  <si>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</si>
  <si>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</si>
  <si>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</si>
  <si>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</si>
  <si>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</si>
  <si>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</si>
  <si>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</si>
  <si>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</si>
  <si>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</si>
  <si>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</si>
  <si>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</si>
  <si>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</si>
  <si>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</si>
  <si>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</si>
  <si>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</si>
  <si>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</si>
  <si>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</si>
  <si>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</si>
  <si>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</si>
  <si>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</si>
  <si>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</si>
  <si>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</si>
  <si>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</si>
  <si>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</si>
  <si>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</si>
  <si>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</si>
  <si>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</si>
  <si>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</si>
  <si>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</si>
  <si>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</si>
  <si>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</si>
  <si>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</si>
  <si>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</si>
  <si>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</si>
  <si>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</si>
  <si>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</si>
  <si>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</si>
  <si>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</si>
  <si>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</si>
  <si>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</si>
  <si>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</si>
  <si>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</si>
  <si>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</si>
  <si>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</si>
  <si>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</si>
  <si>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</si>
  <si>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</si>
  <si>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</si>
  <si>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</si>
  <si>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</si>
  <si>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</si>
  <si>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</si>
  <si>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</si>
  <si>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</si>
  <si>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</si>
  <si>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</si>
  <si>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</si>
  <si>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</si>
  <si>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</si>
  <si>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</si>
  <si>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</si>
  <si>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</si>
  <si>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</si>
  <si>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</si>
  <si>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</si>
  <si>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</si>
  <si>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</si>
  <si>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</si>
  <si>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</si>
  <si>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</si>
  <si>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</si>
  <si>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</si>
  <si>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</si>
  <si>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</si>
  <si>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</si>
  <si>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</si>
  <si>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</si>
  <si>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</si>
  <si>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宮崎大学</t>
    <phoneticPr fontId="1"/>
  </si>
  <si>
    <t>国立大学法人宮崎大学</t>
    <phoneticPr fontId="1"/>
  </si>
  <si>
    <t>国立大学</t>
  </si>
  <si>
    <t>宮崎県宮崎市学園木花台西1丁目1</t>
    <phoneticPr fontId="1"/>
  </si>
  <si>
    <t>宮崎大学データサイエンス・AI教育プログラム(リテラシー)</t>
    <phoneticPr fontId="1"/>
  </si>
  <si>
    <t>有</t>
  </si>
  <si>
    <t>令和３</t>
    <phoneticPr fontId="1"/>
  </si>
  <si>
    <t>新地　辰朗</t>
    <phoneticPr fontId="1"/>
  </si>
  <si>
    <t>理事（教育・学生担当　副学長）</t>
    <phoneticPr fontId="1"/>
  </si>
  <si>
    <t>宮崎大学数理・データサイエンス部会</t>
    <phoneticPr fontId="1"/>
  </si>
  <si>
    <t>秋山　博臣</t>
    <phoneticPr fontId="1"/>
  </si>
  <si>
    <t>部会長（教育学部　教授）</t>
    <phoneticPr fontId="1"/>
  </si>
  <si>
    <t>宮崎大学教育質保証・向上委員会</t>
    <phoneticPr fontId="1"/>
  </si>
  <si>
    <t>認定教育プログラムと認定教育プログラム+（プラス）</t>
  </si>
  <si>
    <t>学生支援部　基礎教育支援課</t>
    <phoneticPr fontId="1"/>
  </si>
  <si>
    <t>大場　由利</t>
    <phoneticPr fontId="1"/>
  </si>
  <si>
    <t>0985-58-7132</t>
    <phoneticPr fontId="1"/>
  </si>
  <si>
    <t>miya-mds@of.miyazaki-u.ac.jp</t>
    <phoneticPr fontId="1"/>
  </si>
  <si>
    <t>学部・学科によって、修了要件は相違しない</t>
  </si>
  <si>
    <t>データサイエンス入門</t>
    <phoneticPr fontId="1"/>
  </si>
  <si>
    <t>全学開講</t>
  </si>
  <si>
    <t>○</t>
  </si>
  <si>
    <t>情報・数量スキル</t>
    <phoneticPr fontId="1"/>
  </si>
  <si>
    <t>4-1統計および数理基礎</t>
  </si>
  <si>
    <t>4‐2アルゴリズム基礎</t>
  </si>
  <si>
    <t>4‐6画像解析</t>
  </si>
  <si>
    <t>4‐7データハンドリング</t>
  </si>
  <si>
    <t>4‐8データ活用実践（教師あり学習）</t>
  </si>
  <si>
    <t>https://www.miyazaki-u.ac.jp/miyazaki-mds/educationprogram/</t>
    <phoneticPr fontId="1"/>
  </si>
  <si>
    <t>教育学部</t>
    <rPh sb="0" eb="2">
      <t>キョウイク</t>
    </rPh>
    <rPh sb="2" eb="4">
      <t>ガクブ</t>
    </rPh>
    <phoneticPr fontId="3"/>
  </si>
  <si>
    <t>医学部</t>
    <rPh sb="0" eb="3">
      <t>イガクブ</t>
    </rPh>
    <phoneticPr fontId="3"/>
  </si>
  <si>
    <t>工学部</t>
    <rPh sb="0" eb="3">
      <t>コウガクブ</t>
    </rPh>
    <phoneticPr fontId="3"/>
  </si>
  <si>
    <t>農学部</t>
    <rPh sb="0" eb="3">
      <t>ノウガクブ</t>
    </rPh>
    <phoneticPr fontId="3"/>
  </si>
  <si>
    <t>地域資源創成学部</t>
    <rPh sb="0" eb="2">
      <t>チイキ</t>
    </rPh>
    <rPh sb="2" eb="4">
      <t>シゲン</t>
    </rPh>
    <rPh sb="4" eb="6">
      <t>ソウセイ</t>
    </rPh>
    <rPh sb="6" eb="8">
      <t>ガクブ</t>
    </rPh>
    <phoneticPr fontId="3"/>
  </si>
  <si>
    <t>（内訳）</t>
    <rPh sb="1" eb="3">
      <t>ウチワケ</t>
    </rPh>
    <phoneticPr fontId="3"/>
  </si>
  <si>
    <t>「情報・数量スキル」</t>
    <rPh sb="1" eb="3">
      <t>ジョウホウ</t>
    </rPh>
    <rPh sb="4" eb="6">
      <t>スウリョウ</t>
    </rPh>
    <phoneticPr fontId="3"/>
  </si>
  <si>
    <t>「データサイエンス入門」</t>
    <rPh sb="9" eb="11">
      <t>ニュウモン</t>
    </rPh>
    <phoneticPr fontId="3"/>
  </si>
  <si>
    <t>宮崎大学数理・データサイエンス部会細則</t>
    <phoneticPr fontId="1"/>
  </si>
  <si>
    <t>統括　教育・学生担当副学長　新地　辰朗（理事）
部会長　秋山 博臣（教育学部）
副部会長　藤井 良宜（教育学部）
副部会長　槐島 芳徳（農学部、基礎教育WG長）
工学部　田村　宏樹（専門教育WG長）
医学部　澤口　　朗（基礎教育WG、専門教育WG）
工学部　山森 一人（基礎教育WG）
地域資源創成学部　西 和盛（基礎教育WG、専門教育WG）
教育学部　盛満 弥生（基礎教育WG）
工学部　髙橋 伸弥（専門教育WG）
農学部　山本 昭洋（専門教育WG）
情報基盤センター　青木 謙二（基礎教育WG、専門教育WG）
基礎教育部　野見山 将太（基礎教育WG、専門教育WG）</t>
    <phoneticPr fontId="1"/>
  </si>
  <si>
    <t>　この細則は、宮崎大学教育委員会規程第９条第２項に基づき、宮崎大学の「数理・データサイエンスを活かした地域産業人材の育成に向けたカリキュラム・教材の開発」事業（以下「数理・データサイエンス事業」という。）の円滑な運営を図るために設置する、宮崎大学数理・データサイエンス部会（以下「部会」という。）の組織及び運営に関し必要な事項を定める。</t>
    <phoneticPr fontId="1"/>
  </si>
  <si>
    <t>　令和3年度は、全学必修科目の「情報・数量スキル」と選択科目の「データサイエンス入門」を受講することで、すべての審査項目を充足できる教育プログラムを実施した。しかし、選択科目との組み合わせのため、履修者数・率ともに低いものとなった。
　そこで、令和4年度からは、上記2科目の内容を見直し、すべての審査項目の内容を含む全学必修科目「情報・データリテラシー（1年前学期、2単位）」として再編・開講した。　この見直しにより、基礎教育科目の必修科目として１年前期にすべての学部学生が受講するため、令和5年度には履修率が50％、令和7年度には4年制の教育課程については100％（6年制の医学科・獣医学科は、令和9年度）となる計画である。</t>
    <phoneticPr fontId="1"/>
  </si>
  <si>
    <t>　本教育プログラムの修了者はまだいないが、今後，定期的に実施している「就職先等調査」や「卒業生・修了生調査」において、当該科目を修了した卒業生の進路先や活躍状況を把握することが可能である。また、コンテンツ作成に協力してもらった企業・自治体からの評価を教育プログラムの改善に活用する予定である。</t>
    <phoneticPr fontId="1"/>
  </si>
  <si>
    <t>　本教育プログラム受講者全員に対して授業アンケートを実施しており、数理・データサイエンス部会において学生の理解度を分析している。身についた知識・能力に関する質問に対して、モデルカリキュラム（リテラシーレベル）の導入・基礎・心得の各内容について、肯定的な回答であった。
　数理・データサイエンス部会と授業担当者が教育プログラムの履修・修得状況、学生アンケートを確認・分析し、全学対象のFD研修会において報告を行い、授業改善に向けた取り組みを行っている。</t>
    <phoneticPr fontId="1"/>
  </si>
  <si>
    <t>　「情報・数量スキル」は必修科目であるため、全学部の1年生全員が履修することとなっている。しかし、「データサイエンス入門」については、新設の選択科目であったことから、令和3年度の修了者数42名にとどまった。そこで、令和4年度から、「データサイエンス入門」で取り扱ってきたリテラシーレベルの導入部分を「情報・数量スキル」に組み入れて、新しく「情報・データリテラシー」として再編・開講することで、全学部の1年生がリテラシーレベルの内容を履修することができる形に変更した。このことにより、年次進行で履修者数が増加し、令和7年度には、6年制の医学科・獣医学科の5、6年生を除き、全学部生が履修することとなる。</t>
    <phoneticPr fontId="1"/>
  </si>
  <si>
    <t>　コンテンツ作成前に県域内における産業界の意見を教育に反映させる目的で地域へのニーズ調査を行い、現在では必要としていないが将来的に必要と感じるという回答やより実践的な教育を望むという回答があり、コンテンツ作成の参考とした。また、コンテンツの作成に協力してもらった企業・自治体及び本学が毎年実施しているシンポジウムに参加している企業に対してアンケートを実施し、教育プログラムの講義内容及び実データを活用した演習等の手法について意見を収集するとともに、数理・データサイエンス部会においてプログラムの改善に活用する。</t>
    <phoneticPr fontId="1"/>
  </si>
  <si>
    <r>
      <rPr>
        <b/>
        <sz val="12"/>
        <rFont val="ＭＳ Ｐゴシック"/>
        <family val="3"/>
        <charset val="128"/>
        <scheme val="minor"/>
      </rPr>
      <t>「データサイエンス入門」</t>
    </r>
    <r>
      <rPr>
        <sz val="12"/>
        <rFont val="ＭＳ Ｐゴシック"/>
        <family val="2"/>
        <charset val="128"/>
        <scheme val="minor"/>
      </rPr>
      <t xml:space="preserve">
ビッグデータ(1,9,14,15回目)、IoT（9,13回目）、AI（1,9,10回目）、Society5.0(1回目)、データ駆動型社会（9,10回目）、データを起点としたものの見方（2-8回目）、人間の知的活動とAIの関係（7回目）、技術革新（12回目）</t>
    </r>
    <phoneticPr fontId="1"/>
  </si>
  <si>
    <r>
      <rPr>
        <b/>
        <sz val="12"/>
        <rFont val="ＭＳ Ｐゴシック"/>
        <family val="3"/>
        <charset val="128"/>
        <scheme val="minor"/>
      </rPr>
      <t>「データサイエンス入門」</t>
    </r>
    <r>
      <rPr>
        <sz val="12"/>
        <rFont val="ＭＳ Ｐゴシック"/>
        <family val="2"/>
        <charset val="128"/>
        <scheme val="minor"/>
      </rPr>
      <t xml:space="preserve">
深層学習（1回目）、AI最新技術の活用例(1,8,10回目)、シェアリングエコノミー（10回目）</t>
    </r>
    <phoneticPr fontId="1"/>
  </si>
  <si>
    <r>
      <rPr>
        <b/>
        <sz val="12"/>
        <rFont val="ＭＳ Ｐゴシック"/>
        <family val="3"/>
        <charset val="128"/>
        <scheme val="minor"/>
      </rPr>
      <t>「データサイエンス入門」</t>
    </r>
    <r>
      <rPr>
        <sz val="12"/>
        <rFont val="ＭＳ Ｐゴシック"/>
        <family val="2"/>
        <charset val="128"/>
        <scheme val="minor"/>
      </rPr>
      <t xml:space="preserve">
調査データ（2,4,7,8,11,13‐15回目）、実験データ（3,6,12回目）、人の行動ログデータ（7‐9,13回目）、1次データ（8回目）、機械稼働ログデータ（8回目）、データの作成（10回目）、非構造化データ（13回目）、半構造化データ（14回目）</t>
    </r>
    <phoneticPr fontId="1"/>
  </si>
  <si>
    <r>
      <rPr>
        <b/>
        <sz val="12"/>
        <rFont val="ＭＳ Ｐゴシック"/>
        <family val="3"/>
        <charset val="128"/>
        <scheme val="minor"/>
      </rPr>
      <t>「データサイエンス入門」</t>
    </r>
    <r>
      <rPr>
        <sz val="12"/>
        <rFont val="ＭＳ Ｐゴシック"/>
        <family val="2"/>
        <charset val="128"/>
        <scheme val="minor"/>
      </rPr>
      <t xml:space="preserve">
マーケティング（1,7回目）、製造（１,13回目）、土木（1回目）、交通・物流（1回目）、生物・医療（1,14,15回目）、画像（6回目）、福祉（11回目）、研究・開発（12回目）、情報サービス（13回目）、原因究明（7,8回目）、計画策定（7,11回目）、仮説検証（7,15回目）、データ活用領域の広がり（9,10回目）</t>
    </r>
    <phoneticPr fontId="1"/>
  </si>
  <si>
    <r>
      <rPr>
        <b/>
        <sz val="12"/>
        <rFont val="ＭＳ Ｐゴシック"/>
        <family val="3"/>
        <charset val="128"/>
        <scheme val="minor"/>
      </rPr>
      <t>「データサイエンス入門」</t>
    </r>
    <r>
      <rPr>
        <sz val="12"/>
        <rFont val="ＭＳ Ｐゴシック"/>
        <family val="2"/>
        <charset val="128"/>
        <scheme val="minor"/>
      </rPr>
      <t xml:space="preserve">
データ解析（1,3,6,8,10,11-15回目）、映像処理（1回目）、強いAIと弱いAI（1回目）、データの可視化（2,3,7,9,11-13回目）、特化型AI（5回目）、今のAIにできることできないこと（5回目）、シミュレーション（7回目）、AIとビッグデータ（9回目）、データ利活用のための準備（14回目）</t>
    </r>
    <phoneticPr fontId="1"/>
  </si>
  <si>
    <r>
      <rPr>
        <b/>
        <sz val="12"/>
        <rFont val="ＭＳ Ｐゴシック"/>
        <family val="3"/>
        <charset val="128"/>
        <scheme val="minor"/>
      </rPr>
      <t>「データサイエンス入門」</t>
    </r>
    <r>
      <rPr>
        <sz val="12"/>
        <rFont val="ＭＳ Ｐゴシック"/>
        <family val="2"/>
        <charset val="128"/>
        <scheme val="minor"/>
      </rPr>
      <t xml:space="preserve">
データサイエンスのサイクル（2-4,6,7回目）、データ解析と推論（8,10回目）、データ・AI利活用の事例(1,4,5,9-15回目）</t>
    </r>
    <phoneticPr fontId="1"/>
  </si>
  <si>
    <r>
      <rPr>
        <b/>
        <sz val="9"/>
        <rFont val="ＭＳ Ｐゴシック"/>
        <family val="3"/>
        <charset val="128"/>
        <scheme val="minor"/>
      </rPr>
      <t>「情報・数量スキル」　</t>
    </r>
    <r>
      <rPr>
        <sz val="9"/>
        <rFont val="ＭＳ Ｐゴシック"/>
        <family val="3"/>
        <charset val="128"/>
        <scheme val="minor"/>
      </rPr>
      <t xml:space="preserve">※本科目については、各学部のクラスごとに示す
データ倫理     （教育学部1、2、3：4回目）（医学部医学科：11回目）（医学部看護学科：15回目）（工学部1：4回目）（工学部2：3回目）（工学部3：5回目）（工学部4：3回目）（工学部5：3回目）（工学部6：7回目）（農学部1：6回目）（農学部2：5回目）（農学部3：5回目）（農学部4：3回目）（農学部5：5回目）（農学部6：3回目）（地域資源創成学部：6回目）
</t>
    </r>
    <r>
      <rPr>
        <b/>
        <sz val="9"/>
        <rFont val="ＭＳ Ｐゴシック"/>
        <family val="3"/>
        <charset val="128"/>
        <scheme val="minor"/>
      </rPr>
      <t>「データサイエンス入門」　</t>
    </r>
    <r>
      <rPr>
        <sz val="9"/>
        <rFont val="ＭＳ Ｐゴシック"/>
        <family val="3"/>
        <charset val="128"/>
        <scheme val="minor"/>
      </rPr>
      <t>個人情報保護、オプトアウト（5回目）、データ倫理（5回目）、AIサービスの責任論（5回目）、データバイアス（15回目）</t>
    </r>
    <phoneticPr fontId="1"/>
  </si>
  <si>
    <r>
      <rPr>
        <b/>
        <sz val="9"/>
        <rFont val="ＭＳ Ｐゴシック"/>
        <family val="3"/>
        <charset val="128"/>
        <scheme val="minor"/>
      </rPr>
      <t xml:space="preserve">「情報・数量スキル」 
</t>
    </r>
    <r>
      <rPr>
        <sz val="9"/>
        <rFont val="ＭＳ Ｐゴシック"/>
        <family val="3"/>
        <charset val="128"/>
        <scheme val="minor"/>
      </rPr>
      <t xml:space="preserve">情報セキュリティ   （教育学部1、2、3：3回目）（医学科、看護学科：2回目）（工学部1：4回目）（工学部2：2回目）（工学部3：4回目）（工学部4：4回目）（工学部5：5回目）（工学部6：6回目）（農学部1：5回目）（農学部2：4回目）（農学部3：4回目）（農学部4：4回目）（農学部5：4回目）（農学部6：3回目）（地域資源創成学部：5回目）
</t>
    </r>
    <r>
      <rPr>
        <b/>
        <sz val="9"/>
        <rFont val="ＭＳ Ｐゴシック"/>
        <family val="3"/>
        <charset val="128"/>
        <scheme val="minor"/>
      </rPr>
      <t>「データサイエンス入門」</t>
    </r>
    <r>
      <rPr>
        <sz val="9"/>
        <rFont val="ＭＳ Ｐゴシック"/>
        <family val="3"/>
        <charset val="128"/>
        <scheme val="minor"/>
      </rPr>
      <t>　　匿名加工情報、暗号化、パスワード、悪意ある情報搾取（5回目）、情報漏洩等によるセキュリティ事故の事例紹介（5回目）</t>
    </r>
    <phoneticPr fontId="1"/>
  </si>
  <si>
    <r>
      <rPr>
        <b/>
        <sz val="10"/>
        <rFont val="ＭＳ Ｐゴシック"/>
        <family val="3"/>
        <charset val="128"/>
        <scheme val="minor"/>
      </rPr>
      <t>「情報・数量スキル」</t>
    </r>
    <r>
      <rPr>
        <sz val="10"/>
        <rFont val="ＭＳ Ｐゴシック"/>
        <family val="3"/>
        <charset val="128"/>
        <scheme val="minor"/>
      </rPr>
      <t xml:space="preserve">
データの分布(ヒストグラム)と代表値（平均値、中央値、最頻値）   （教育学部1,3：7回目）（教育学部2：10回目）（医学科、看護学科：10回目）（工学部1：5,6回目）（工学部2：7,8,9回目）（工学部3：8回目）（工学部4：9回目）（工学部5：9回目）（工学部6：13回目）（農学部1：11回目）（農学部2：11回目）（農学部3：10回目）（農学部4：8回目）（農学部5：9回目）（農学部6：9回目）（地域資源創成学部：7,8回目）</t>
    </r>
    <phoneticPr fontId="1"/>
  </si>
  <si>
    <r>
      <rPr>
        <b/>
        <sz val="10"/>
        <rFont val="ＭＳ Ｐゴシック"/>
        <family val="3"/>
        <charset val="128"/>
        <scheme val="minor"/>
      </rPr>
      <t>「情報・数量スキル」</t>
    </r>
    <r>
      <rPr>
        <sz val="10"/>
        <rFont val="ＭＳ Ｐゴシック"/>
        <family val="3"/>
        <charset val="128"/>
        <scheme val="minor"/>
      </rPr>
      <t xml:space="preserve">
データ表現  （教育学部1,3：7回目）（教育学部2：12回目）（医学科、看護学科：10回目）（工学部1：5,6回目）（工学部2：10,11,12回目）（工学部3：13回目）（工学部4：10回目）（工学部5：10回目）（工学部6：12回目）（農学部1：12回目）（農学部2：12回目）（農学部3：11回目）（農学部4：9,10回目）（農学部5：7,8回目）（農学部6：9回目）（地域資源創成学部：9回目）</t>
    </r>
    <phoneticPr fontId="1"/>
  </si>
  <si>
    <r>
      <rPr>
        <b/>
        <sz val="10"/>
        <rFont val="ＭＳ Ｐゴシック"/>
        <family val="3"/>
        <charset val="128"/>
        <scheme val="minor"/>
      </rPr>
      <t>「情報・数量スキル」</t>
    </r>
    <r>
      <rPr>
        <sz val="10"/>
        <rFont val="ＭＳ Ｐゴシック"/>
        <family val="3"/>
        <charset val="128"/>
        <scheme val="minor"/>
      </rPr>
      <t xml:space="preserve">
データの集計  （教育学部1,3：8回目）（教育学部2：11回目）（医学科、看護学科：10回目）（工学部1：14、15回目）（工学部2：15回目）（工学部3：11回目）（工学部4：14回目）（工学部5：14回目）（工学部6：14回目）（農学部1：13回目）（農学部2：13回目）(農学部3：12回目）（農学部4：11回目）（農学部5：10回目）（農学部6：10回目）（地域資源創成学部：11回目）</t>
    </r>
    <phoneticPr fontId="1"/>
  </si>
  <si>
    <t>https://www.miyazaki-u.ac.jp/miyazaki-mds/wp_2021/wp-content/themes/miyazaki_mds_theme/dist/pdf/AI-education-program.pdf</t>
    <phoneticPr fontId="1"/>
  </si>
  <si>
    <t>様式２</t>
    <phoneticPr fontId="1"/>
  </si>
  <si>
    <t>　令和3年度の段階で、全学必修科目の「情報・数量スキル」と選択科目の「データサイエンス入門」の2科目を受講すれば、希望する学生は全員受講ができる体制となっていた。しかし、選択科目については、学生の所属する教育課程の時間割や科目との関係で、受講可能であるが学生自身の受講の工夫（時間割の組み合わせ）が必要な場合もあった。
　そこで、上記④に記載したとおり、令和4年度からは、「情報・数量スキル」のすべての審査項目の内容を必修科目「情報・データリテラシー」で受講できる体制を整えた。令和4年度からの体制により、学部・学科に関係なく学生全員が受講可能となっている。</t>
    <rPh sb="5" eb="6">
      <t>ド</t>
    </rPh>
    <phoneticPr fontId="1"/>
  </si>
  <si>
    <t>　令和3年度は、必修科目「情報・数量スキル」と選択科目「データサイエンス入門」の2つを受講する必要があった。そのため、これら2科目の単位取得が本プログラムの修了要件であることを、専用のホームページに掲載し、学生に周知を行った。また、必修科目の講義の中で、発展的な学習を促し、選択科目「データサイエンス入門」の案内を積極的に行った。
　令和4年度の入学生からは、必修科目「情報・データリテラシー」の１科目の単位取得が本プログラムの修了要件になる変更を、専用ホームページに明記・周知している。</t>
    <rPh sb="66" eb="70">
      <t>タンイシュトク</t>
    </rPh>
    <rPh sb="71" eb="72">
      <t>ホン</t>
    </rPh>
    <rPh sb="78" eb="82">
      <t>シュウリョウヨウケン</t>
    </rPh>
    <rPh sb="199" eb="201">
      <t>カモク</t>
    </rPh>
    <rPh sb="202" eb="206">
      <t>タンイシュトク</t>
    </rPh>
    <rPh sb="214" eb="216">
      <t>シュウリョウ</t>
    </rPh>
    <rPh sb="216" eb="218">
      <t>ヨウケン</t>
    </rPh>
    <rPh sb="221" eb="223">
      <t>ヘンコウ</t>
    </rPh>
    <rPh sb="225" eb="227">
      <t>センヨウ</t>
    </rPh>
    <phoneticPr fontId="1"/>
  </si>
  <si>
    <r>
      <t xml:space="preserve">　本学では、「学習環境の提供と支援」ならびに「LMSを活用した学習支援」による体制で学生の履修をサポートしている。　
</t>
    </r>
    <r>
      <rPr>
        <b/>
        <sz val="12"/>
        <rFont val="ＭＳ Ｐゴシック"/>
        <family val="3"/>
        <charset val="128"/>
        <scheme val="minor"/>
      </rPr>
      <t>学習環境の提供と支援</t>
    </r>
    <r>
      <rPr>
        <sz val="12"/>
        <rFont val="ＭＳ Ｐゴシック"/>
        <family val="3"/>
        <charset val="128"/>
        <scheme val="minor"/>
      </rPr>
      <t xml:space="preserve">
全学生にノートPCを必携化し、学習に必要なオフィスソフト（マイクロソフト社）とウィルス対策ソフト（ESET社）を大学が包括契約し、学生が経済的負担無く利用できる環境を提供している。
</t>
    </r>
    <r>
      <rPr>
        <b/>
        <sz val="12"/>
        <rFont val="ＭＳ Ｐゴシック"/>
        <family val="3"/>
        <charset val="128"/>
        <scheme val="minor"/>
      </rPr>
      <t>LMSを活用した学習支援</t>
    </r>
    <r>
      <rPr>
        <sz val="12"/>
        <rFont val="ＭＳ Ｐゴシック"/>
        <family val="3"/>
        <charset val="128"/>
        <scheme val="minor"/>
      </rPr>
      <t xml:space="preserve">
LMSとしてWebClassを導入し、出席管理、教材配布、課題の提出、メッセージの送受信、テスト／アンケートの実施等の管理を行っている。必修科目「情報・数量スキル」では、40～50人のクラスサイズで、各クラスに教員1～複数名とTA（ティーチング・アシスタント）2名を配置し、主に対面での授業の中で個別サポートを行った。選択科目「データサイエンス入門」では、学生が理解度に応じて繰り返し学習できるよう、15回の講義をオンデマンドで提供した。</t>
    </r>
    <phoneticPr fontId="1"/>
  </si>
  <si>
    <t>　オンデマンド授業であるデータサイエンス入門では、授業配信システムを活用し、各受講生のコンテンツ視聴履歴や視聴後のレポートへの回答状況を確認し、学習が遅れている学生に対して指導を行うとともに、LMSのメッセージ機能により学生からの質問に対応している。対面授業が中心の「情報・数量スキル」では、各担当教員とTAで授業時間内での質問に対応するほか、時間外の質問等にはLMSのメッセージ機能を利用して対応している。</t>
    <phoneticPr fontId="1"/>
  </si>
  <si>
    <t>　オンデマンド授業である「データサイエンス入門」では、授業配信システムを活用し、各受講生のコンテンツ視聴履歴や視聴後の小テスト・レポートへの回答状況を把握するとともに、LMSにより学生からの質問に対応している。「情報・数量スキル」においては、対面の授業の中で、担当教員が履修状況とLMS等をとおして課題の提出状況を確認している。TAが各学生の状況に応じた個別の支援を行っている。
　これらの情報を数理・データサイエンス部会で共有し、本教育プログラムの実施状況や学修成果について自己点検を行うとともに、これらの自己点検活動を全学教育質保証・向上委員会が統括する体制を整えている。</t>
    <phoneticPr fontId="1"/>
  </si>
  <si>
    <t>　「データサイエンス入門」の授業の前後に実施したアンケートから、データサイエンスに関する知識について、授業前の知識があるという回答19％に対して、授業後は知識が得られたという回答が94％となった。データサイエンスに対する興味については、興味があるという回答が、授業前の69％から授業後は94％に上昇した。データサイエンスが自身の専門分野と関係するかについては，授業前の78％から授業後の94％というように、多くの学生がデータサイエンスに興味・関心を持っている様子がうかがえる。これらのアンケート結果を分析することによって、学生の理解度を把握し、本教育プログラムの評価・改善に活用する。</t>
    <phoneticPr fontId="1"/>
  </si>
  <si>
    <t>　受講生に対する授業アンケートにおいて、「データサイエンス入門」を受講した学生の88％が、「自分と関わりのある分野、関わりのない分野、さまざまな場面でデータサイエンスが利用されていると学び、重要性を感じることができた。」等と、満足・やや満足と回答しており、受講生の56％が、実データを利用した分析やプログラミングの実習等の、より発展的な内容の授業を希望する結果であった。これらのアンケート結果を、本教育プログラムの専用のホームページにおいて公開し、講義受講の推奨に活用している。</t>
    <phoneticPr fontId="1"/>
  </si>
  <si>
    <t>　「データサイエンス入門」では、モデルカリキュラム（リテラシーレベル）の導入と心得の部分に準じた内容を主に展開し、時事やトレンドなど社会での実例をもとに、データサイエンス・AI等が大学の研究や企業・自治体の現場でどのような活用をされているかを中心に、学生に興味・関心持たせ，学ぶことの意義を理解させる講義内容としている。「情報・数量スキル」では、モデルカリキュラム（リテラシーレベル）の基礎の内容について、各自のPCで表計算ソフトを利用して、データのグラフによる可視化、基礎統計量の計算を行うほか、地域のデータを利用して分析を行うなど、実際に手を動かして学ぶことに重点を置いている。</t>
    <phoneticPr fontId="1"/>
  </si>
  <si>
    <t>　「データサイエンス入門」では、大学・企業・自治体の事例を紹介し、関連するデータサイエンス・AI教育の内容を解説する構成で統計の専門家が全体を統括し、内容・水準を確認した上で授業コンテンツ化している。これらを授業配信システムによりオンデマンド教材として学生に配信し、学生の理解度に応じて繰り返し視聴が可能な環境を提供している。
　数理・データサイエンス部会において、学生アンケート及び関連企業からの意見を参考に、学生の「分かりやすさ」の観点からコンテンツの内容・実施方法の見直しを検討している。</t>
    <phoneticPr fontId="1"/>
  </si>
  <si>
    <t>　基礎教育科目の全学必修科目である「情報・数量スキル（1年前学期，2単位）」、および選択科目の「データサイエンス入門（1年後学期、2単位）」を修得すること。（「情報・数量スキル」は、教育学部3クラス、工学部6クラス、農学部6クラス、医学部2クラス、地域資源創成学部1クラスの計18クラスで開講している。）
　なお、令和4年度から、「情報・数量スキル」をすべての審査項目の内容を含む形で拡充させた「情報・データリテラシー（1年前学期、2単位）」として再編し、「データサイエンス入門」についても応用基礎レベルに繋がる内容に発展させる。</t>
    <phoneticPr fontId="1"/>
  </si>
  <si>
    <t>本教育プログラムを通して、「データを正しく読む能力」、「データを正確に説明できる能力」や「データを扱う上で留意すべき項目を理解する能力」を身に付けるとともに、地域の問題、課題をデータから理解でき、どのように数理・データサイエンス・AIが活用可能か理解できるようになる。</t>
    <rPh sb="1" eb="3">
      <t>キョウイク</t>
    </rPh>
    <rPh sb="18" eb="19">
      <t>タダ</t>
    </rPh>
    <rPh sb="21" eb="22">
      <t>ヨ</t>
    </rPh>
    <rPh sb="23" eb="25">
      <t>ノウリョク</t>
    </rPh>
    <rPh sb="32" eb="34">
      <t>セイカク</t>
    </rPh>
    <rPh sb="35" eb="37">
      <t>セツメイ</t>
    </rPh>
    <rPh sb="40" eb="42">
      <t>ノウリョク</t>
    </rPh>
    <rPh sb="49" eb="50">
      <t>アツカ</t>
    </rPh>
    <rPh sb="51" eb="52">
      <t>ウエ</t>
    </rPh>
    <rPh sb="53" eb="55">
      <t>リュウイ</t>
    </rPh>
    <rPh sb="58" eb="60">
      <t>コウモク</t>
    </rPh>
    <rPh sb="61" eb="63">
      <t>リカイ</t>
    </rPh>
    <rPh sb="65" eb="67">
      <t>ノウリョク</t>
    </rPh>
    <rPh sb="69" eb="70">
      <t>ミ</t>
    </rPh>
    <rPh sb="71" eb="72">
      <t>ツ</t>
    </rPh>
    <phoneticPr fontId="1"/>
  </si>
  <si>
    <r>
      <t xml:space="preserve">　令和3年度は、「情報・数量スキル」と「データサイエンス入門」でリテラシーレベルの内容を網羅する形を取っていたが、令和4年度からは、心得や基礎の部分が中心であった「情報・数量スキル」の内容に、「データサイエンス入門」の導入の内容を組み込んで、リテラシーレベルのすべての審査項目の内容を含む「情報・データリテラシー」として再編して開講している。「情報・データリテラシー」は、基礎教育の必修科目として１年前期にすべての学部学生が受講するため、履修率は、令和5年度に50％、令和7年度には100%となる計画である（6年制の医学科・獣医学科を除く）。
これまでの取組みと実績（令和3年度分含む）は以下の通りである。
</t>
    </r>
    <r>
      <rPr>
        <b/>
        <sz val="12"/>
        <rFont val="ＭＳ Ｐゴシック"/>
        <family val="3"/>
        <charset val="128"/>
        <scheme val="minor"/>
      </rPr>
      <t>○分かりやすさの重視
学生の専門性を網羅した講義内容の提供：</t>
    </r>
    <r>
      <rPr>
        <sz val="12"/>
        <rFont val="ＭＳ Ｐゴシック"/>
        <family val="3"/>
        <charset val="128"/>
        <scheme val="minor"/>
      </rPr>
      <t xml:space="preserve">学生がデータサイエンスに対する興味を持ち、また内容が分かりやすくなるよう、本学の各学部をはじめ学外の研究機関の研究や企業・自治体において用いられた具体的な実例を取り上げ、その中で関係するデータサイエンス・AIの内容について統計の専門家が解説する動画コンテンツを提供した。「情報・データリテラシー」では、「情報・数量スキル」で取り扱っていた基礎や心得の部分に加えて、これらのコンテンツを学生の興味関心に合わせて活用することで、リテラシーレベルのすべての内容を網羅するように授業が構成されている。
</t>
    </r>
    <r>
      <rPr>
        <b/>
        <sz val="12"/>
        <rFont val="ＭＳ Ｐゴシック"/>
        <family val="3"/>
        <charset val="128"/>
        <scheme val="minor"/>
      </rPr>
      <t>学生の自己学習の支援：</t>
    </r>
    <r>
      <rPr>
        <sz val="12"/>
        <rFont val="ＭＳ Ｐゴシック"/>
        <family val="3"/>
        <charset val="128"/>
        <scheme val="minor"/>
      </rPr>
      <t xml:space="preserve">学生が理解度に応じて、繰り返し学習できる講義のオンデマンド配信も行った。必携化PCを活用し、学習内容の自己確認が行えるようにし、実習や演習の機会を充実させるとともに、TAを配置し学生の習熟度に応じた指導を行った。
</t>
    </r>
    <r>
      <rPr>
        <b/>
        <sz val="12"/>
        <rFont val="ＭＳ Ｐゴシック"/>
        <family val="3"/>
        <charset val="128"/>
        <scheme val="minor"/>
      </rPr>
      <t>○学習意欲が高まる内容
身近な地域のデータの活用：</t>
    </r>
    <r>
      <rPr>
        <sz val="12"/>
        <rFont val="ＭＳ Ｐゴシック"/>
        <family val="3"/>
        <charset val="128"/>
        <scheme val="minor"/>
      </rPr>
      <t xml:space="preserve">「情報・数量スキル（令和3年度まで）」、「情報・データリテラシー（令和4年度より）」では、地域のデータを利用した演習を取り入れている。例えば、行政の公開データ（みやざき統計BOX等）を通して、学生が分析によって見いだした地域の課題をプレゼンテーションする等の機会を提供し、学生自身が地域に関心を持ち、地域の課題に挑戦している。なお、「情報・データリテラシー」においては、データサイエンス・AIの全体像を把握できるコンテンツを拡充している。
</t>
    </r>
    <r>
      <rPr>
        <b/>
        <sz val="12"/>
        <rFont val="ＭＳ Ｐゴシック"/>
        <family val="3"/>
        <charset val="128"/>
        <scheme val="minor"/>
      </rPr>
      <t xml:space="preserve">
○学生の習熟度や専門性を踏まえた内容や授業選択
発展・連携科目の開講：</t>
    </r>
    <r>
      <rPr>
        <sz val="12"/>
        <rFont val="ＭＳ Ｐゴシック"/>
        <family val="3"/>
        <charset val="128"/>
        <scheme val="minor"/>
      </rPr>
      <t xml:space="preserve">「情報・数量スキル（令和3年度まで）」、「情報・データリテラシー（令和4年度より）」の履修後に発展的な学習ができるよう、「データサイエンス入門」に加えて、令和4年度より「データサイエンス応用」、「データサイエンス分析実践」、「機械と生活の中のトライポリー(1)－数理－」を開講した。また、各学部の専門と連携し、統計学（医学・農学・地域資源創成学部）、線形代数学（工学部）を開講している。
</t>
    </r>
    <r>
      <rPr>
        <b/>
        <sz val="12"/>
        <rFont val="ＭＳ Ｐゴシック"/>
        <family val="3"/>
        <charset val="128"/>
        <scheme val="minor"/>
      </rPr>
      <t>学修スキルの実践：</t>
    </r>
    <r>
      <rPr>
        <sz val="12"/>
        <rFont val="ＭＳ Ｐゴシック"/>
        <family val="3"/>
        <charset val="128"/>
        <scheme val="minor"/>
      </rPr>
      <t xml:space="preserve">学生が学んだ知識やスキルを応用・実践する場として、アンケートデータを学生たちが自ら分析し、その結果をプレゼンするデータサイエンスコンペティションを実施している（令和3年度は、宮崎県の選挙管理委員会と連携して、アンケートで得られたデータを分析し投票率の向上に繋がる課題とその解決策を提言した。令和4年度は、宮崎市と連携したコンペティションを予定している）。
</t>
    </r>
    <r>
      <rPr>
        <b/>
        <sz val="12"/>
        <rFont val="ＭＳ Ｐゴシック"/>
        <family val="3"/>
        <charset val="128"/>
        <scheme val="minor"/>
      </rPr>
      <t xml:space="preserve">
○教材・技術等の公開・展開
コンテンツの公開と提供</t>
    </r>
    <r>
      <rPr>
        <sz val="12"/>
        <rFont val="ＭＳ Ｐゴシック"/>
        <family val="3"/>
        <charset val="128"/>
        <scheme val="minor"/>
      </rPr>
      <t>：令和4年度より、「データサイエンス入門」を連携大学（「高等教育コンソーシアムみやざき」の加盟機関）との単位互換科目とし、また「データサイエンス入門」用に制作した動画コンテンツを県内の希望する大学に提供している。さらに、文部科学省の「WWL(ワールド・ワイド・ラーニング)コンソーシアム構築支援事業」の拠点校である高等学校（宮崎大宮高校）へも、教材としてコンテンツを提供予定である。</t>
    </r>
    <phoneticPr fontId="1"/>
  </si>
  <si>
    <r>
      <t xml:space="preserve">本プログラムでは、以下の独自の学習支援を実施している。
</t>
    </r>
    <r>
      <rPr>
        <b/>
        <sz val="12"/>
        <rFont val="ＭＳ Ｐゴシック"/>
        <family val="3"/>
        <charset val="128"/>
        <scheme val="minor"/>
      </rPr>
      <t>○学習環境の整備</t>
    </r>
    <r>
      <rPr>
        <sz val="12"/>
        <rFont val="ＭＳ Ｐゴシック"/>
        <family val="3"/>
        <charset val="128"/>
        <scheme val="minor"/>
      </rPr>
      <t xml:space="preserve">
 本学はICTを用いた学習環境を整えている。全学生にノートPCを必携化し、必要なオフィスソフト（マイクロソフト社）とウィルス対策ソフト（ESET社）を大学で包括契約することにより、学生は経済的負担無く利用できる。また、VPNを含む学内のネットワーク環境（有線・無線）を整備し、安全にネットワーク利用できる環境も整備済みである。学生への対応は、ネットワーク関連を情報基盤センターが、学習支援システム（LMS）関連を教育・学生支援センターが担当し、チャットボットによる支援も行っている。また、生協において、新入生に対するPCのセットアップ講習会の実施、パソコン教室の開講等の支援を行っている。
</t>
    </r>
    <r>
      <rPr>
        <b/>
        <sz val="12"/>
        <rFont val="ＭＳ Ｐゴシック"/>
        <family val="3"/>
        <charset val="128"/>
        <scheme val="minor"/>
      </rPr>
      <t>○学習支援システムの構築</t>
    </r>
    <r>
      <rPr>
        <sz val="12"/>
        <rFont val="ＭＳ Ｐゴシック"/>
        <family val="3"/>
        <charset val="128"/>
        <scheme val="minor"/>
      </rPr>
      <t xml:space="preserve">
 LMSとして、WebClassを導入し、シラバス作成、出席管理、教材配布、課題の提出、メッセージの送受信、テストやアンケートの実施等の管理を行っている。オンデマンド授業である「データサイエンス入門」では、授業配信システムを活用し、各受講生のコンテンツ視聴履歴や視聴後のレポートへの回答状況を確認し、学習が遅れている学生に対して指導を行うとともに、LMSにより学生からの質問に対応している。
</t>
    </r>
    <r>
      <rPr>
        <b/>
        <sz val="12"/>
        <rFont val="ＭＳ Ｐゴシック"/>
        <family val="3"/>
        <charset val="128"/>
        <scheme val="minor"/>
      </rPr>
      <t>○TAとしての指導</t>
    </r>
    <r>
      <rPr>
        <sz val="12"/>
        <rFont val="ＭＳ Ｐゴシック"/>
        <family val="3"/>
        <charset val="128"/>
        <scheme val="minor"/>
      </rPr>
      <t xml:space="preserve">
 必修科目である「情報・数量スキル」、「情報・データリテラシー」では、1クラス40～50人につき、教員1～複数名に加えてTA2名を配置して、学生の学習支援にあたっている。これは、学生によってPCの習熟度に違いがあるため、演習課題の進捗状況に応じて、TAが教員の補助として個別対応を行うものである。このようなTAの活用は、学生への学習支援を充実させるだけでなく、TA自身にとっても、自らの知識を再認識し理解を深め、コミュニケーション能力・リーダーシップ・責任感・倫理観の涵養を図るなど、さまざまな教育効果が期待できる。
</t>
    </r>
    <r>
      <rPr>
        <b/>
        <sz val="12"/>
        <rFont val="ＭＳ Ｐゴシック"/>
        <family val="3"/>
        <charset val="128"/>
        <scheme val="minor"/>
      </rPr>
      <t>〇補完的な教育の実施
正課における実施</t>
    </r>
    <r>
      <rPr>
        <sz val="12"/>
        <rFont val="ＭＳ Ｐゴシック"/>
        <family val="3"/>
        <charset val="128"/>
        <scheme val="minor"/>
      </rPr>
      <t xml:space="preserve">：授業の中でアンケートをとり、そのデータを用いて分析を行い、分析結果をプレゼンする「データサイエンスコンペティション（地元自治体と連携したコンテスト）」を実施している。令和3年度は、宮崎県の選挙管理委員会と連携して、学生を対象に「選挙に関する意識調査アンケート」を実施、アンケートで得られたデータを分析し投票率の向上に繋がる課題とその解決策を提言した。
</t>
    </r>
    <r>
      <rPr>
        <b/>
        <sz val="12"/>
        <rFont val="ＭＳ Ｐゴシック"/>
        <family val="3"/>
        <charset val="128"/>
        <scheme val="minor"/>
      </rPr>
      <t>正課外の連携活動：</t>
    </r>
    <r>
      <rPr>
        <sz val="12"/>
        <rFont val="ＭＳ Ｐゴシック"/>
        <family val="3"/>
        <charset val="128"/>
        <scheme val="minor"/>
      </rPr>
      <t xml:space="preserve">本学には、学生の企画力、表現力、実践力向上を目的として、独自に実施してきた教育事業「とっても元気！宮大チャレンジ・プログラム」（2005年から）や「宮崎大学ビジネスプ ランコンテスト」（2017年から）がある。これまでも、学部を超えて編成された多くの学生チームが参加し、学生のICTを活用した企画が、キャンパスベンチャーグランプリ全国大会で文部科学大臣賞を受賞するなどの実績がある。令和3年度からは、これらの事業を、数理・データサイエンス・AIに関係する授業で学んだ知識や技術を活用し、問題解決を企画・提案する機会として連携づけを行った。
</t>
    </r>
    <r>
      <rPr>
        <b/>
        <sz val="12"/>
        <rFont val="ＭＳ Ｐゴシック"/>
        <family val="3"/>
        <charset val="128"/>
        <scheme val="minor"/>
      </rPr>
      <t xml:space="preserve">
○学習成果の可視化等の導入
学習カルテの活用：</t>
    </r>
    <r>
      <rPr>
        <sz val="12"/>
        <rFont val="ＭＳ Ｐゴシック"/>
        <family val="3"/>
        <charset val="128"/>
        <scheme val="minor"/>
      </rPr>
      <t>本学学生・教員は、履修システムを利用し、受講生の単位、GPA、成績の推移等の履修状況や学習成果を視覚的に確認することができる。教員は、当該システムにより、不断に各自の授業の成果と問題点を整理し、その改善を進める。また、本学学生には、ディプロマサプリメントを発行し、学生の学習成果を証明し、就職活動などのサポートを行う。</t>
    </r>
    <phoneticPr fontId="1"/>
  </si>
  <si>
    <r>
      <t xml:space="preserve">本プログラムでは、以下のような外部連携を実施している。
</t>
    </r>
    <r>
      <rPr>
        <b/>
        <sz val="12"/>
        <rFont val="ＭＳ Ｐゴシック"/>
        <family val="3"/>
        <charset val="128"/>
        <scheme val="minor"/>
      </rPr>
      <t>○地域との連携</t>
    </r>
    <r>
      <rPr>
        <sz val="12"/>
        <rFont val="ＭＳ Ｐゴシック"/>
        <family val="3"/>
        <charset val="128"/>
        <scheme val="minor"/>
      </rPr>
      <t xml:space="preserve">
</t>
    </r>
    <r>
      <rPr>
        <b/>
        <sz val="12"/>
        <rFont val="ＭＳ Ｐゴシック"/>
        <family val="3"/>
        <charset val="128"/>
        <scheme val="minor"/>
      </rPr>
      <t>高等教育機関との連携：</t>
    </r>
    <r>
      <rPr>
        <sz val="12"/>
        <rFont val="ＭＳ Ｐゴシック"/>
        <family val="3"/>
        <charset val="128"/>
        <scheme val="minor"/>
      </rPr>
      <t xml:space="preserve">令和4年度から、「データサイエンス入門」のコンテンツを県内の連携大学（高等教育コンソーシアムみやざき）の単位互換科目に取り入れ、県域内の高等教育機関に所属する学生の受講が可能となるとともに県内の大学へのコンテンツ教材の提供や講師派遣といった教育連携・サポートを実施する。
</t>
    </r>
    <r>
      <rPr>
        <b/>
        <sz val="12"/>
        <rFont val="ＭＳ Ｐゴシック"/>
        <family val="3"/>
        <charset val="128"/>
        <scheme val="minor"/>
      </rPr>
      <t>高大の連携：</t>
    </r>
    <r>
      <rPr>
        <sz val="12"/>
        <rFont val="ＭＳ Ｐゴシック"/>
        <family val="3"/>
        <charset val="128"/>
        <scheme val="minor"/>
      </rPr>
      <t xml:space="preserve">文部科学省の「WWL(ワールド・ワイド・ラーニング)コンソーシアム構築支援事業」の拠点校である高等学校（宮崎大宮高校）への本学のコンテンツ教材を提供予定である。また、本学教員（工学部）が高校生を対象とした「総合的な探究の時間」の研究指導を実施する中で、アプリ開発など数理・データサイエンス技術の指導を行っている。
</t>
    </r>
    <r>
      <rPr>
        <b/>
        <sz val="12"/>
        <rFont val="ＭＳ Ｐゴシック"/>
        <family val="3"/>
        <charset val="128"/>
        <scheme val="minor"/>
      </rPr>
      <t>自治体連携：</t>
    </r>
    <r>
      <rPr>
        <sz val="12"/>
        <rFont val="ＭＳ Ｐゴシック"/>
        <family val="3"/>
        <charset val="128"/>
        <scheme val="minor"/>
      </rPr>
      <t xml:space="preserve">令和3年度に、宮崎県選挙管理委員会と連携し「若者の選挙への関心」 をテーマに、本学学生を対象に実施した「選挙に関する意識調査アンケート」のデータを分析し、投票率の向上に繋がる課題とその解決策を検討するコンペティションを実施した。令和4年度は、宮崎市と連携したコンペティションを計画している。
</t>
    </r>
    <r>
      <rPr>
        <b/>
        <sz val="12"/>
        <rFont val="ＭＳ Ｐゴシック"/>
        <family val="3"/>
        <charset val="128"/>
        <scheme val="minor"/>
      </rPr>
      <t>○産業界との連携</t>
    </r>
    <r>
      <rPr>
        <sz val="12"/>
        <rFont val="ＭＳ Ｐゴシック"/>
        <family val="3"/>
        <charset val="128"/>
        <scheme val="minor"/>
      </rPr>
      <t xml:space="preserve">
 定期的に企業フォーラムを開催し、学生に「数理・データサイエンス、AI、DXが企業でどう生かされているか、企業はこれらに何を求めているのか」を紹介する場を設けている。令和3年度は年2回の開催であったが、令和4年度はイベント開催回数（共催を含む）を10回に増やす計画である。また、数理・データサイエンス・AI教育に対する県内の産業界の意見やニーズについて調査を実施し、その結果をコンテンツ作成に反映させ、学生の進路選択やキャリア形成との連携を図っている。
</t>
    </r>
    <r>
      <rPr>
        <b/>
        <sz val="12"/>
        <rFont val="ＭＳ Ｐゴシック"/>
        <family val="3"/>
        <charset val="128"/>
        <scheme val="minor"/>
      </rPr>
      <t>○海外の大学との連携
ICT技術者養成支援：</t>
    </r>
    <r>
      <rPr>
        <sz val="12"/>
        <rFont val="ＭＳ Ｐゴシック"/>
        <family val="3"/>
        <charset val="128"/>
        <scheme val="minor"/>
      </rPr>
      <t xml:space="preserve">本学では、バングラデシュの協定校と連携して現地で日本語指導を行う履修証明プログラム「外国人ICT技術者人材育成プログラム（B-JET） Basic Course」を令和3年10月より開講している。講義は、コロナ禍のため完全オンライン学習（ZOOM、Googleクラウド、遠隔教材）であった。そのため、協定校がある首都ダッカだけでなくバングラデシュ全土から受講可能となり学習提供の機会が増加した。令和3年度末に29名がプログラムを修了し、コロナ禍ながら日本企業への就職内定率は52%（15名うち宮崎が8名）と高い水準を維持することができている。
</t>
    </r>
    <r>
      <rPr>
        <b/>
        <sz val="12"/>
        <rFont val="ＭＳ Ｐゴシック"/>
        <family val="3"/>
        <charset val="128"/>
        <scheme val="minor"/>
      </rPr>
      <t>○その他の取組
正課外の連携活動：</t>
    </r>
    <r>
      <rPr>
        <sz val="12"/>
        <rFont val="ＭＳ Ｐゴシック"/>
        <family val="3"/>
        <charset val="128"/>
        <scheme val="minor"/>
      </rPr>
      <t xml:space="preserve">本学には、学生の企画力、表現力、実践力向上を目的として、独自に実施してきた教育事業「とっても元気！宮大チャレンジ・プログラム」（2005年から）や「宮崎大学ビジネスプランコンテスト」（2017年から）がある。これまでも、学部を超えて編成された多くの学生チームが参加し、学生がICTを活用した企画が、キャンパスベンチャーグランプリ全国大会で文部科学大臣賞を受賞するなどの実績がある。令和3年度からは、これらの事業を、数理・データサイエンス・AIに関係する授業で学んだ知識や技術を活用し、問題解決を企画・提案する機会として連携づけを行った。
</t>
    </r>
    <r>
      <rPr>
        <b/>
        <sz val="12"/>
        <rFont val="ＭＳ Ｐゴシック"/>
        <family val="3"/>
        <charset val="128"/>
        <scheme val="minor"/>
      </rPr>
      <t>数理データサイエンスセンターの設置：</t>
    </r>
    <r>
      <rPr>
        <sz val="12"/>
        <rFont val="ＭＳ Ｐゴシック"/>
        <family val="3"/>
        <charset val="128"/>
        <scheme val="minor"/>
      </rPr>
      <t>本学では、データサイエンス教育を体系的に整理し強化・実践していくため、専任の教授を配置した数理データサイエンスセンターを設置予定である。</t>
    </r>
    <rPh sb="491" eb="493">
      <t>ケイカク</t>
    </rPh>
    <rPh sb="625" eb="627">
      <t>キョウサイ</t>
    </rPh>
    <rPh sb="628" eb="629">
      <t>フク</t>
    </rPh>
    <rPh sb="634" eb="635">
      <t>カイ</t>
    </rPh>
    <rPh sb="1371" eb="1373">
      <t>センニン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</si>
</sst>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theme="0" tint="-0.249977111117893"/>
      <name val="ＭＳ Ｐゴシック"/>
      <family val="3"/>
      <charset val="128"/>
      <scheme val="minor"/>
    </font>
    <font>
      <sz val="10"/>
      <name val="ＭＳ Ｐゴシック"/>
      <family val="3"/>
      <charset val="128"/>
      <scheme val="minor"/>
    </font>
    <font>
      <b/>
      <sz val="12"/>
      <name val="ＭＳ Ｐゴシック"/>
      <family val="3"/>
      <charset val="128"/>
      <scheme val="minor"/>
    </font>
    <font>
      <b/>
      <sz val="9"/>
      <name val="ＭＳ Ｐゴシック"/>
      <family val="3"/>
      <charset val="128"/>
      <scheme val="minor"/>
    </font>
    <font>
      <b/>
      <sz val="10"/>
      <name val="ＭＳ Ｐゴシック"/>
      <family val="3"/>
      <charset val="128"/>
      <scheme val="minor"/>
    </font>
    <font>
      <sz val="12"/>
      <name val="ＭＳ Ｐゴシック"/>
      <family val="3"/>
      <charset val="128"/>
    </font>
    <font>
      <u/>
      <sz val="1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2">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7"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7"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20"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176" fontId="21" fillId="0" borderId="34" xfId="0" applyNumberFormat="1" applyFont="1" applyBorder="1" applyAlignment="1">
      <alignment vertical="center" shrinkToFit="1"/>
    </xf>
    <xf numFmtId="176" fontId="21" fillId="0" borderId="18" xfId="0" applyNumberFormat="1" applyFont="1" applyBorder="1" applyAlignment="1">
      <alignment vertical="center" shrinkToFit="1"/>
    </xf>
    <xf numFmtId="176" fontId="21" fillId="0" borderId="19" xfId="0" applyNumberFormat="1" applyFont="1" applyBorder="1" applyAlignment="1">
      <alignment vertical="center" shrinkToFit="1"/>
    </xf>
    <xf numFmtId="176" fontId="21" fillId="0" borderId="33" xfId="0" applyNumberFormat="1" applyFont="1" applyBorder="1" applyAlignment="1">
      <alignment vertical="center" shrinkToFit="1"/>
    </xf>
    <xf numFmtId="0" fontId="8" fillId="0" borderId="0" xfId="0" applyFont="1" applyAlignment="1">
      <alignment vertical="center" wrapText="1"/>
    </xf>
    <xf numFmtId="0" fontId="16" fillId="0" borderId="0" xfId="0" applyFont="1" applyAlignment="1">
      <alignment horizontal="center" vertical="center"/>
    </xf>
    <xf numFmtId="0" fontId="17" fillId="0" borderId="0" xfId="0" applyFont="1" applyAlignment="1">
      <alignment vertical="top" wrapText="1"/>
    </xf>
    <xf numFmtId="0" fontId="17" fillId="0" borderId="0" xfId="0" applyFont="1" applyAlignment="1">
      <alignment vertical="top" shrinkToFit="1"/>
    </xf>
    <xf numFmtId="0" fontId="17" fillId="0" borderId="10" xfId="0" applyFont="1" applyBorder="1" applyAlignment="1">
      <alignment vertical="top" wrapText="1"/>
    </xf>
    <xf numFmtId="0" fontId="17" fillId="0" borderId="5" xfId="0" applyFont="1" applyBorder="1" applyAlignment="1">
      <alignment vertical="top" wrapText="1"/>
    </xf>
    <xf numFmtId="0" fontId="8" fillId="0" borderId="16" xfId="0" applyFont="1" applyBorder="1">
      <alignment vertical="center"/>
    </xf>
    <xf numFmtId="0" fontId="17" fillId="0" borderId="20" xfId="0" applyFont="1" applyBorder="1" applyAlignment="1">
      <alignment vertical="top" wrapText="1"/>
    </xf>
    <xf numFmtId="0" fontId="17" fillId="0" borderId="18" xfId="0" applyFont="1" applyBorder="1" applyAlignment="1">
      <alignment vertical="top" wrapText="1"/>
    </xf>
    <xf numFmtId="0" fontId="17" fillId="0" borderId="20" xfId="0" applyFont="1" applyBorder="1" applyAlignment="1">
      <alignment vertical="top" shrinkToFit="1"/>
    </xf>
    <xf numFmtId="0" fontId="17"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2"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26" fillId="0" borderId="7" xfId="0" applyFont="1" applyBorder="1" applyAlignment="1">
      <alignment vertical="center" wrapText="1" shrinkToFit="1"/>
    </xf>
    <xf numFmtId="0" fontId="26" fillId="0" borderId="8" xfId="0" applyFont="1" applyBorder="1" applyAlignment="1">
      <alignment vertical="center" wrapText="1" shrinkToFit="1"/>
    </xf>
    <xf numFmtId="0" fontId="26" fillId="0" borderId="9" xfId="0" applyFont="1" applyBorder="1" applyAlignment="1">
      <alignment vertical="center" wrapText="1" shrinkToFit="1"/>
    </xf>
    <xf numFmtId="0" fontId="26" fillId="0" borderId="5" xfId="0" applyFont="1" applyBorder="1" applyAlignment="1">
      <alignment vertical="center" wrapText="1" shrinkToFit="1"/>
    </xf>
    <xf numFmtId="0" fontId="26" fillId="0" borderId="0" xfId="0" applyFont="1" applyBorder="1" applyAlignment="1">
      <alignment vertical="center" wrapText="1" shrinkToFit="1"/>
    </xf>
    <xf numFmtId="0" fontId="26" fillId="0" borderId="10" xfId="0" applyFont="1" applyBorder="1" applyAlignment="1">
      <alignment vertical="center" wrapText="1" shrinkToFit="1"/>
    </xf>
    <xf numFmtId="0" fontId="26" fillId="0" borderId="11" xfId="0" applyFont="1" applyBorder="1" applyAlignment="1">
      <alignment vertical="center" wrapText="1" shrinkToFit="1"/>
    </xf>
    <xf numFmtId="0" fontId="26" fillId="0" borderId="6" xfId="0" applyFont="1" applyBorder="1" applyAlignment="1">
      <alignment vertical="center" wrapText="1" shrinkToFit="1"/>
    </xf>
    <xf numFmtId="0" fontId="26"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8"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8"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8"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0" xfId="0" applyFont="1" applyAlignment="1">
      <alignment vertical="center" wrapText="1"/>
    </xf>
    <xf numFmtId="0" fontId="16"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2" fillId="0" borderId="19" xfId="0" applyFont="1" applyBorder="1" applyAlignment="1">
      <alignment vertical="center" wrapText="1" shrinkToFit="1"/>
    </xf>
    <xf numFmtId="0" fontId="22" fillId="0" borderId="20" xfId="0" applyFont="1" applyBorder="1" applyAlignment="1">
      <alignment vertical="center" shrinkToFit="1"/>
    </xf>
    <xf numFmtId="0" fontId="22" fillId="0" borderId="18" xfId="0" applyFont="1" applyBorder="1" applyAlignment="1">
      <alignment vertical="center" shrinkToFit="1"/>
    </xf>
    <xf numFmtId="0" fontId="19" fillId="0" borderId="48" xfId="0" applyFont="1" applyBorder="1" applyAlignment="1">
      <alignment vertical="center" wrapText="1"/>
    </xf>
    <xf numFmtId="0" fontId="19" fillId="0" borderId="49" xfId="0" applyFont="1" applyBorder="1" applyAlignment="1">
      <alignment vertical="center" wrapText="1"/>
    </xf>
    <xf numFmtId="0" fontId="18" fillId="0" borderId="48" xfId="0" applyFont="1" applyBorder="1" applyAlignment="1">
      <alignment vertical="center" wrapText="1"/>
    </xf>
    <xf numFmtId="0" fontId="18" fillId="0" borderId="32" xfId="0" applyFont="1" applyBorder="1" applyAlignment="1">
      <alignment vertical="center" wrapText="1"/>
    </xf>
    <xf numFmtId="0" fontId="22" fillId="0" borderId="39" xfId="0" applyFont="1" applyBorder="1" applyAlignment="1">
      <alignment vertical="center" wrapText="1" shrinkToFit="1"/>
    </xf>
    <xf numFmtId="0" fontId="22" fillId="0" borderId="39" xfId="0" applyFont="1" applyBorder="1" applyAlignment="1">
      <alignment vertical="center" shrinkToFit="1"/>
    </xf>
    <xf numFmtId="0" fontId="22" fillId="0" borderId="38" xfId="0" applyFont="1" applyBorder="1" applyAlignment="1">
      <alignment vertical="center" shrinkToFit="1"/>
    </xf>
    <xf numFmtId="0" fontId="22" fillId="0" borderId="6" xfId="0" applyFont="1" applyBorder="1" applyAlignment="1">
      <alignment vertical="center" wrapText="1" shrinkToFit="1"/>
    </xf>
    <xf numFmtId="0" fontId="22" fillId="0" borderId="6" xfId="0" applyFont="1" applyBorder="1" applyAlignment="1">
      <alignment vertical="center" shrinkToFit="1"/>
    </xf>
    <xf numFmtId="0" fontId="22" fillId="0" borderId="12" xfId="0" applyFont="1" applyBorder="1" applyAlignment="1">
      <alignment vertical="center" shrinkToFit="1"/>
    </xf>
    <xf numFmtId="0" fontId="19" fillId="0" borderId="32" xfId="0" applyFont="1" applyBorder="1" applyAlignment="1">
      <alignment vertical="center" wrapText="1"/>
    </xf>
    <xf numFmtId="0" fontId="17" fillId="0" borderId="8" xfId="0" applyFont="1" applyBorder="1" applyAlignment="1">
      <alignment horizontal="left" vertical="center" wrapText="1" shrinkToFit="1"/>
    </xf>
    <xf numFmtId="0" fontId="17" fillId="0" borderId="8" xfId="0" applyFont="1" applyBorder="1" applyAlignment="1">
      <alignment horizontal="left" vertical="center" shrinkToFit="1"/>
    </xf>
    <xf numFmtId="0" fontId="17" fillId="0" borderId="9" xfId="0" applyFont="1" applyBorder="1" applyAlignment="1">
      <alignment horizontal="left" vertical="center" shrinkToFit="1"/>
    </xf>
    <xf numFmtId="0" fontId="17" fillId="0" borderId="20" xfId="0" applyFont="1" applyBorder="1" applyAlignment="1">
      <alignment horizontal="left" vertical="center" wrapText="1" shrinkToFit="1"/>
    </xf>
    <xf numFmtId="0" fontId="17" fillId="0" borderId="20" xfId="0" applyFont="1" applyBorder="1" applyAlignment="1">
      <alignment horizontal="left" vertical="center" shrinkToFit="1"/>
    </xf>
    <xf numFmtId="0" fontId="17" fillId="0" borderId="18" xfId="0" applyFont="1" applyBorder="1" applyAlignment="1">
      <alignment horizontal="left"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8"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27" fillId="0" borderId="2" xfId="2" applyFont="1" applyBorder="1" applyAlignment="1">
      <alignment horizontal="center" vertical="center" shrinkToFit="1"/>
    </xf>
    <xf numFmtId="0" fontId="27" fillId="0" borderId="3" xfId="2" applyFont="1" applyBorder="1" applyAlignment="1">
      <alignment horizontal="center" vertical="center" shrinkToFit="1"/>
    </xf>
    <xf numFmtId="0" fontId="27" fillId="0" borderId="4" xfId="2" applyFont="1" applyBorder="1" applyAlignment="1">
      <alignment horizontal="center" vertical="center" shrinkToFit="1"/>
    </xf>
    <xf numFmtId="0" fontId="8" fillId="0" borderId="17" xfId="0" applyFont="1" applyBorder="1" applyAlignment="1">
      <alignment vertical="center" wrapText="1"/>
    </xf>
    <xf numFmtId="0" fontId="8"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19" xfId="0" applyFont="1" applyBorder="1" applyAlignment="1">
      <alignment vertical="top" wrapText="1" shrinkToFit="1"/>
    </xf>
    <xf numFmtId="0" fontId="8" fillId="0" borderId="17" xfId="0" applyFont="1" applyBorder="1">
      <alignment vertical="center"/>
    </xf>
    <xf numFmtId="0" fontId="19" fillId="0" borderId="18" xfId="0" applyFont="1" applyBorder="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28577</xdr:colOff>
      <xdr:row>22</xdr:row>
      <xdr:rowOff>38099</xdr:rowOff>
    </xdr:from>
    <xdr:to>
      <xdr:col>16</xdr:col>
      <xdr:colOff>323851</xdr:colOff>
      <xdr:row>24</xdr:row>
      <xdr:rowOff>66674</xdr:rowOff>
    </xdr:to>
    <xdr:sp macro="" textlink="">
      <xdr:nvSpPr>
        <xdr:cNvPr id="2" name="テキスト ボックス 1">
          <a:extLst>
            <a:ext uri="{FF2B5EF4-FFF2-40B4-BE49-F238E27FC236}">
              <a16:creationId xmlns:a16="http://schemas.microsoft.com/office/drawing/2014/main" id="{D8195154-580A-4634-AD3B-765A48F92556}"/>
            </a:ext>
          </a:extLst>
        </xdr:cNvPr>
        <xdr:cNvSpPr txBox="1"/>
      </xdr:nvSpPr>
      <xdr:spPr>
        <a:xfrm>
          <a:off x="4391027" y="4629149"/>
          <a:ext cx="4962524"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50">
              <a:solidFill>
                <a:sysClr val="windowText" lastClr="000000"/>
              </a:solidFill>
            </a:rPr>
            <a:t>※</a:t>
          </a:r>
          <a:r>
            <a:rPr kumimoji="1" lang="ja-JP" altLang="en-US" sz="1050">
              <a:solidFill>
                <a:sysClr val="windowText" lastClr="000000"/>
              </a:solidFill>
            </a:rPr>
            <a:t>「情報・数量スキル」の令和</a:t>
          </a:r>
          <a:r>
            <a:rPr kumimoji="1" lang="en-US" altLang="ja-JP" sz="1050">
              <a:solidFill>
                <a:sysClr val="windowText" lastClr="000000"/>
              </a:solidFill>
            </a:rPr>
            <a:t>2</a:t>
          </a:r>
          <a:r>
            <a:rPr kumimoji="1" lang="ja-JP" altLang="en-US" sz="1050">
              <a:solidFill>
                <a:sysClr val="windowText" lastClr="000000"/>
              </a:solidFill>
            </a:rPr>
            <a:t>年度以前の人数は本教育プログラム実施以前の数字で、参考までに記載しています。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iya-mds@of.miyazaki-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iyazaki-u.ac.jp/miyazaki-mds/educationprogra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miyazaki-u.ac.jp/miyazaki-mds/wp_2021/wp-content/themes/miyazaki_mds_theme/dist/pdf/AI-education-program.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heetViews>
  <sheetFormatPr defaultColWidth="9" defaultRowHeight="18.75" customHeight="1" x14ac:dyDescent="0.15"/>
  <cols>
    <col min="1" max="1" width="3.375" style="8" customWidth="1"/>
    <col min="2" max="2" width="11.125" style="8" customWidth="1"/>
    <col min="3" max="8" width="6.625" style="8" customWidth="1"/>
    <col min="9" max="9" width="3.375" style="8" customWidth="1"/>
    <col min="10" max="10" width="10" style="8" customWidth="1"/>
    <col min="11" max="11" width="3.375" style="8" customWidth="1"/>
    <col min="12" max="12" width="7.75" style="8" customWidth="1"/>
    <col min="13" max="13" width="3.375" style="8" customWidth="1"/>
    <col min="14" max="14" width="4.5" style="8" customWidth="1"/>
    <col min="15" max="15" width="9" style="24"/>
    <col min="16" max="16384" width="9" style="7"/>
  </cols>
  <sheetData>
    <row r="1" spans="1:15" ht="24" customHeight="1" x14ac:dyDescent="0.15">
      <c r="M1" s="142" t="s">
        <v>26</v>
      </c>
      <c r="N1" s="142"/>
    </row>
    <row r="2" spans="1:15" ht="24" customHeight="1" x14ac:dyDescent="0.15">
      <c r="A2" s="146" t="s">
        <v>87</v>
      </c>
      <c r="B2" s="146"/>
      <c r="C2" s="146"/>
      <c r="D2" s="146"/>
      <c r="E2" s="146"/>
      <c r="F2" s="146"/>
      <c r="G2" s="146"/>
      <c r="H2" s="146"/>
      <c r="I2" s="146"/>
      <c r="J2" s="146"/>
      <c r="K2" s="146"/>
      <c r="L2" s="146"/>
      <c r="M2" s="146"/>
      <c r="N2" s="146"/>
    </row>
    <row r="3" spans="1:15" ht="24" customHeight="1" x14ac:dyDescent="0.15"/>
    <row r="4" spans="1:15" ht="24" customHeight="1" x14ac:dyDescent="0.15">
      <c r="A4" s="8" t="s">
        <v>6</v>
      </c>
      <c r="B4" s="9" t="s">
        <v>17</v>
      </c>
      <c r="C4" s="134" t="s">
        <v>153</v>
      </c>
      <c r="D4" s="135"/>
      <c r="E4" s="135"/>
      <c r="F4" s="135"/>
      <c r="G4" s="135"/>
      <c r="H4" s="135"/>
      <c r="I4" s="135"/>
      <c r="J4" s="135"/>
      <c r="K4" s="135"/>
      <c r="L4" s="135"/>
      <c r="M4" s="135"/>
      <c r="N4" s="141"/>
      <c r="O4" s="24" t="str">
        <f>IF(C4="","入力してください","")</f>
        <v/>
      </c>
    </row>
    <row r="5" spans="1:15" ht="7.5" customHeight="1" x14ac:dyDescent="0.15">
      <c r="B5" s="9"/>
      <c r="C5" s="9"/>
      <c r="D5" s="9"/>
      <c r="E5" s="10"/>
      <c r="F5" s="28"/>
      <c r="G5" s="28"/>
      <c r="H5" s="28"/>
      <c r="I5" s="28"/>
      <c r="J5" s="28"/>
      <c r="K5" s="28"/>
      <c r="L5" s="28"/>
      <c r="M5" s="28"/>
      <c r="N5" s="28"/>
    </row>
    <row r="6" spans="1:15" ht="24" customHeight="1" x14ac:dyDescent="0.15">
      <c r="A6" s="8" t="s">
        <v>50</v>
      </c>
      <c r="B6" s="9" t="s">
        <v>51</v>
      </c>
      <c r="C6" s="9"/>
      <c r="D6" s="134" t="s">
        <v>154</v>
      </c>
      <c r="E6" s="135"/>
      <c r="F6" s="135"/>
      <c r="G6" s="135"/>
      <c r="H6" s="141"/>
      <c r="I6" s="11" t="s">
        <v>90</v>
      </c>
      <c r="J6" s="28" t="s">
        <v>91</v>
      </c>
      <c r="K6" s="134" t="s">
        <v>155</v>
      </c>
      <c r="L6" s="135"/>
      <c r="M6" s="135"/>
      <c r="N6" s="141"/>
      <c r="O6" s="24" t="str">
        <f>IF(D6="","入力してください","")</f>
        <v/>
      </c>
    </row>
    <row r="7" spans="1:15" ht="7.5" customHeight="1" x14ac:dyDescent="0.15">
      <c r="B7" s="9"/>
      <c r="C7" s="9"/>
      <c r="D7" s="9"/>
      <c r="E7" s="10"/>
      <c r="F7" s="28"/>
      <c r="G7" s="28"/>
      <c r="H7" s="28"/>
      <c r="I7" s="28"/>
      <c r="J7" s="28"/>
      <c r="K7" s="28"/>
      <c r="L7" s="28"/>
      <c r="M7" s="28"/>
      <c r="N7" s="28"/>
    </row>
    <row r="8" spans="1:15" ht="24" customHeight="1" x14ac:dyDescent="0.15">
      <c r="A8" s="8" t="s">
        <v>14</v>
      </c>
      <c r="B8" s="9" t="s">
        <v>47</v>
      </c>
      <c r="C8" s="134" t="s">
        <v>156</v>
      </c>
      <c r="D8" s="135"/>
      <c r="E8" s="135"/>
      <c r="F8" s="135"/>
      <c r="G8" s="135"/>
      <c r="H8" s="135"/>
      <c r="I8" s="135"/>
      <c r="J8" s="135"/>
      <c r="K8" s="135"/>
      <c r="L8" s="135"/>
      <c r="M8" s="135"/>
      <c r="N8" s="141"/>
      <c r="O8" s="24" t="str">
        <f>IF(C8="","入力してください","")</f>
        <v/>
      </c>
    </row>
    <row r="9" spans="1:15" ht="7.5" customHeight="1" x14ac:dyDescent="0.15">
      <c r="B9" s="9"/>
      <c r="C9" s="9"/>
      <c r="D9" s="9"/>
      <c r="E9" s="10"/>
      <c r="F9" s="28"/>
      <c r="G9" s="28"/>
      <c r="H9" s="28"/>
      <c r="I9" s="28"/>
      <c r="J9" s="28"/>
      <c r="K9" s="28"/>
      <c r="L9" s="28"/>
      <c r="M9" s="28"/>
      <c r="N9" s="28"/>
    </row>
    <row r="10" spans="1:15" ht="24" customHeight="1" x14ac:dyDescent="0.15">
      <c r="A10" s="8" t="s">
        <v>12</v>
      </c>
      <c r="B10" s="9" t="s">
        <v>89</v>
      </c>
      <c r="C10" s="9"/>
      <c r="D10" s="9"/>
      <c r="E10" s="134" t="s">
        <v>157</v>
      </c>
      <c r="F10" s="135"/>
      <c r="G10" s="135"/>
      <c r="H10" s="135"/>
      <c r="I10" s="135"/>
      <c r="J10" s="135"/>
      <c r="K10" s="135"/>
      <c r="L10" s="135"/>
      <c r="M10" s="135"/>
      <c r="N10" s="141"/>
      <c r="O10" s="24" t="str">
        <f>IF(E10="","入力してください","")</f>
        <v/>
      </c>
    </row>
    <row r="11" spans="1:15" ht="7.5" customHeight="1" x14ac:dyDescent="0.15">
      <c r="B11" s="10"/>
      <c r="C11" s="10"/>
      <c r="D11" s="10"/>
      <c r="E11" s="10"/>
      <c r="F11" s="28"/>
      <c r="G11" s="28"/>
      <c r="H11" s="28"/>
      <c r="I11" s="28"/>
      <c r="J11" s="28"/>
      <c r="K11" s="28"/>
      <c r="L11" s="28"/>
      <c r="M11" s="28"/>
      <c r="N11" s="28"/>
    </row>
    <row r="12" spans="1:15" ht="24" customHeight="1" x14ac:dyDescent="0.15">
      <c r="A12" s="8" t="s">
        <v>60</v>
      </c>
      <c r="B12" s="10" t="s">
        <v>61</v>
      </c>
      <c r="C12" s="10"/>
      <c r="D12" s="10"/>
      <c r="E12" s="147" t="s">
        <v>159</v>
      </c>
      <c r="F12" s="148"/>
      <c r="G12" s="11" t="s">
        <v>100</v>
      </c>
      <c r="H12" s="8" t="s">
        <v>101</v>
      </c>
      <c r="N12" s="106" t="s">
        <v>158</v>
      </c>
      <c r="O12" s="24" t="str">
        <f>IF(E12="","入力してください","")</f>
        <v/>
      </c>
    </row>
    <row r="13" spans="1:15" ht="7.5" customHeight="1" x14ac:dyDescent="0.15">
      <c r="B13" s="10"/>
      <c r="C13" s="10"/>
      <c r="D13" s="10"/>
      <c r="E13" s="10"/>
      <c r="F13" s="28"/>
      <c r="G13" s="28"/>
      <c r="H13" s="28"/>
      <c r="I13" s="28"/>
      <c r="J13" s="28"/>
      <c r="K13" s="28"/>
      <c r="L13" s="28"/>
      <c r="M13" s="28"/>
      <c r="N13" s="28"/>
    </row>
    <row r="14" spans="1:15" ht="24" customHeight="1" x14ac:dyDescent="0.15">
      <c r="A14" s="8" t="s">
        <v>55</v>
      </c>
      <c r="B14" s="8" t="s">
        <v>0</v>
      </c>
      <c r="C14" s="143" t="s">
        <v>5</v>
      </c>
      <c r="D14" s="144"/>
      <c r="E14" s="138">
        <v>729</v>
      </c>
      <c r="F14" s="139"/>
      <c r="G14" s="12" t="s">
        <v>8</v>
      </c>
      <c r="I14" s="143" t="s">
        <v>9</v>
      </c>
      <c r="J14" s="144"/>
      <c r="K14" s="138">
        <v>221</v>
      </c>
      <c r="L14" s="145"/>
      <c r="M14" s="139"/>
      <c r="N14" s="13" t="s">
        <v>8</v>
      </c>
      <c r="O14" s="24" t="str">
        <f>IF(OR(E14="",K14=""),"入力してください","")</f>
        <v/>
      </c>
    </row>
    <row r="15" spans="1:15" ht="7.5" customHeight="1" x14ac:dyDescent="0.15">
      <c r="F15" s="14"/>
      <c r="G15" s="14"/>
      <c r="H15" s="14"/>
      <c r="I15" s="14"/>
      <c r="J15" s="14"/>
      <c r="K15" s="14"/>
      <c r="L15" s="14"/>
      <c r="M15" s="13"/>
      <c r="N15" s="13"/>
    </row>
    <row r="16" spans="1:15" ht="24" customHeight="1" x14ac:dyDescent="0.15">
      <c r="A16" s="8" t="s">
        <v>62</v>
      </c>
      <c r="B16" s="8" t="s">
        <v>72</v>
      </c>
      <c r="F16" s="14"/>
      <c r="G16" s="14"/>
      <c r="H16" s="14"/>
      <c r="I16" s="14"/>
      <c r="J16" s="14"/>
      <c r="K16" s="126">
        <v>57</v>
      </c>
      <c r="L16" s="127"/>
      <c r="M16" s="128"/>
      <c r="N16" s="13" t="s">
        <v>53</v>
      </c>
      <c r="O16" s="24" t="str">
        <f>IF(K16="","入力してください","")</f>
        <v/>
      </c>
    </row>
    <row r="17" spans="1:15" ht="7.5" customHeight="1" x14ac:dyDescent="0.15">
      <c r="F17" s="14"/>
      <c r="G17" s="14"/>
      <c r="H17" s="14"/>
      <c r="I17" s="14"/>
      <c r="J17" s="14"/>
      <c r="K17" s="14"/>
      <c r="L17" s="14"/>
      <c r="M17" s="13"/>
      <c r="N17" s="13"/>
    </row>
    <row r="18" spans="1:15" ht="24" customHeight="1" x14ac:dyDescent="0.15">
      <c r="A18" s="8" t="s">
        <v>25</v>
      </c>
      <c r="B18" s="8" t="s">
        <v>81</v>
      </c>
      <c r="E18" s="138">
        <v>1035</v>
      </c>
      <c r="F18" s="139"/>
      <c r="G18" s="15" t="s">
        <v>22</v>
      </c>
      <c r="H18" s="14"/>
      <c r="K18" s="140"/>
      <c r="L18" s="140"/>
      <c r="M18" s="140"/>
      <c r="N18" s="140"/>
      <c r="O18" s="24" t="str">
        <f>IF(E18="","入力してください","")</f>
        <v/>
      </c>
    </row>
    <row r="19" spans="1:15" ht="7.5" customHeight="1" x14ac:dyDescent="0.15">
      <c r="E19" s="4"/>
      <c r="F19" s="14"/>
      <c r="G19" s="14"/>
      <c r="L19" s="27"/>
      <c r="M19" s="27"/>
      <c r="N19" s="16"/>
    </row>
    <row r="20" spans="1:15" ht="24" customHeight="1" x14ac:dyDescent="0.15">
      <c r="A20" s="8" t="s">
        <v>80</v>
      </c>
      <c r="B20" s="8" t="s">
        <v>82</v>
      </c>
      <c r="E20" s="4"/>
      <c r="F20" s="14"/>
      <c r="G20" s="14"/>
      <c r="H20" s="8" t="s">
        <v>54</v>
      </c>
      <c r="J20" s="129">
        <v>4644</v>
      </c>
      <c r="K20" s="130"/>
      <c r="L20" s="131"/>
      <c r="M20" s="27" t="s">
        <v>53</v>
      </c>
      <c r="N20" s="16"/>
      <c r="O20" s="24" t="str">
        <f>IF(J20="","入力してください","")</f>
        <v/>
      </c>
    </row>
    <row r="21" spans="1:15" ht="7.5" customHeight="1" x14ac:dyDescent="0.15">
      <c r="E21" s="4"/>
      <c r="F21" s="14"/>
      <c r="G21" s="14"/>
      <c r="L21" s="27"/>
      <c r="M21" s="27"/>
      <c r="N21" s="16"/>
    </row>
    <row r="22" spans="1:15" ht="24" customHeight="1" x14ac:dyDescent="0.15">
      <c r="B22" s="22" t="s">
        <v>18</v>
      </c>
      <c r="C22" s="138">
        <v>1073</v>
      </c>
      <c r="D22" s="139"/>
      <c r="E22" s="4" t="s">
        <v>23</v>
      </c>
      <c r="F22" s="14"/>
      <c r="G22" s="132" t="s">
        <v>19</v>
      </c>
      <c r="H22" s="132"/>
      <c r="I22" s="138">
        <v>1067</v>
      </c>
      <c r="J22" s="139"/>
      <c r="K22" s="11" t="s">
        <v>23</v>
      </c>
      <c r="M22" s="27"/>
      <c r="N22" s="16"/>
    </row>
    <row r="23" spans="1:15" ht="7.5" customHeight="1" x14ac:dyDescent="0.15">
      <c r="B23" s="22"/>
      <c r="C23" s="5"/>
      <c r="D23" s="5"/>
      <c r="E23" s="4"/>
      <c r="F23" s="14"/>
      <c r="G23" s="27"/>
      <c r="H23" s="27"/>
      <c r="I23" s="5"/>
      <c r="J23" s="5"/>
      <c r="K23" s="11"/>
      <c r="M23" s="27"/>
      <c r="N23" s="16"/>
    </row>
    <row r="24" spans="1:15" ht="24" customHeight="1" x14ac:dyDescent="0.15">
      <c r="B24" s="22" t="s">
        <v>20</v>
      </c>
      <c r="C24" s="138">
        <v>1099</v>
      </c>
      <c r="D24" s="139"/>
      <c r="E24" s="4" t="s">
        <v>23</v>
      </c>
      <c r="F24" s="14"/>
      <c r="G24" s="132" t="s">
        <v>21</v>
      </c>
      <c r="H24" s="132"/>
      <c r="I24" s="138">
        <v>1143</v>
      </c>
      <c r="J24" s="139"/>
      <c r="K24" s="11" t="s">
        <v>23</v>
      </c>
      <c r="M24" s="27"/>
      <c r="N24" s="16"/>
    </row>
    <row r="25" spans="1:15" ht="7.5" customHeight="1" x14ac:dyDescent="0.15">
      <c r="B25" s="22"/>
      <c r="C25" s="5"/>
      <c r="D25" s="5"/>
      <c r="E25" s="4"/>
      <c r="F25" s="14"/>
      <c r="G25" s="27"/>
      <c r="H25" s="27"/>
      <c r="I25" s="5"/>
      <c r="J25" s="5"/>
      <c r="K25" s="11"/>
      <c r="M25" s="27"/>
      <c r="N25" s="16"/>
    </row>
    <row r="26" spans="1:15" ht="24" customHeight="1" x14ac:dyDescent="0.15">
      <c r="B26" s="22" t="s">
        <v>48</v>
      </c>
      <c r="C26" s="138">
        <v>126</v>
      </c>
      <c r="D26" s="139"/>
      <c r="E26" s="4" t="s">
        <v>8</v>
      </c>
      <c r="F26" s="14"/>
      <c r="G26" s="132" t="s">
        <v>49</v>
      </c>
      <c r="H26" s="132"/>
      <c r="I26" s="138">
        <v>136</v>
      </c>
      <c r="J26" s="139"/>
      <c r="K26" s="11" t="s">
        <v>8</v>
      </c>
      <c r="M26" s="27"/>
      <c r="N26" s="16"/>
    </row>
    <row r="27" spans="1:15" ht="7.5" customHeight="1" x14ac:dyDescent="0.15">
      <c r="F27" s="14"/>
      <c r="G27" s="14"/>
      <c r="M27" s="17"/>
      <c r="N27" s="17"/>
    </row>
    <row r="28" spans="1:15" ht="24" customHeight="1" x14ac:dyDescent="0.15">
      <c r="A28" s="8" t="s">
        <v>52</v>
      </c>
      <c r="B28" s="9" t="s">
        <v>79</v>
      </c>
      <c r="C28" s="9"/>
      <c r="D28" s="9"/>
      <c r="E28" s="9"/>
      <c r="F28" s="11"/>
      <c r="G28" s="28"/>
      <c r="H28" s="28"/>
      <c r="I28" s="28"/>
      <c r="J28" s="18"/>
      <c r="K28" s="18"/>
      <c r="L28" s="18"/>
      <c r="M28" s="18"/>
      <c r="N28" s="18"/>
    </row>
    <row r="29" spans="1:15" s="8" customFormat="1" ht="24" customHeight="1" x14ac:dyDescent="0.15">
      <c r="B29" s="133" t="s">
        <v>78</v>
      </c>
      <c r="C29" s="133"/>
      <c r="D29" s="134" t="s">
        <v>160</v>
      </c>
      <c r="E29" s="135"/>
      <c r="F29" s="135"/>
      <c r="G29" s="136" t="s">
        <v>24</v>
      </c>
      <c r="H29" s="133"/>
      <c r="I29" s="137"/>
      <c r="J29" s="134" t="s">
        <v>161</v>
      </c>
      <c r="K29" s="135"/>
      <c r="L29" s="135"/>
      <c r="M29" s="135"/>
      <c r="N29" s="141"/>
      <c r="O29" s="24" t="str">
        <f>IF(OR(D29="",J29=""),"入力してください","")</f>
        <v/>
      </c>
    </row>
    <row r="30" spans="1:15" ht="7.5" customHeight="1" x14ac:dyDescent="0.15">
      <c r="F30" s="14"/>
      <c r="G30" s="14"/>
      <c r="M30" s="17"/>
      <c r="N30" s="17"/>
    </row>
    <row r="31" spans="1:15" ht="24" customHeight="1" x14ac:dyDescent="0.15">
      <c r="A31" s="8" t="s">
        <v>56</v>
      </c>
      <c r="B31" s="9" t="s">
        <v>84</v>
      </c>
      <c r="C31" s="9"/>
      <c r="D31" s="9"/>
      <c r="E31" s="9"/>
      <c r="F31" s="11"/>
      <c r="G31" s="18"/>
      <c r="H31" s="18"/>
      <c r="I31" s="18"/>
      <c r="J31" s="18"/>
      <c r="K31" s="18"/>
      <c r="L31" s="18"/>
      <c r="M31" s="18"/>
      <c r="N31" s="18"/>
    </row>
    <row r="32" spans="1:15" ht="24" customHeight="1" x14ac:dyDescent="0.15">
      <c r="B32" s="134" t="s">
        <v>162</v>
      </c>
      <c r="C32" s="135"/>
      <c r="D32" s="135"/>
      <c r="E32" s="135"/>
      <c r="F32" s="135"/>
      <c r="G32" s="135"/>
      <c r="H32" s="135"/>
      <c r="I32" s="135"/>
      <c r="J32" s="135"/>
      <c r="K32" s="135"/>
      <c r="L32" s="135"/>
      <c r="M32" s="135"/>
      <c r="N32" s="141"/>
      <c r="O32" s="24" t="str">
        <f>IF(B32="","入力してください","")</f>
        <v/>
      </c>
    </row>
    <row r="33" spans="1:15" ht="7.5" customHeight="1" x14ac:dyDescent="0.15">
      <c r="B33" s="6"/>
      <c r="C33" s="6"/>
      <c r="D33" s="6"/>
      <c r="E33" s="6"/>
      <c r="F33" s="6"/>
      <c r="G33" s="6"/>
      <c r="H33" s="6"/>
      <c r="I33" s="6"/>
      <c r="J33" s="6"/>
      <c r="K33" s="6"/>
      <c r="L33" s="6"/>
      <c r="M33" s="6"/>
      <c r="N33" s="6"/>
    </row>
    <row r="34" spans="1:15" s="8" customFormat="1" ht="24" customHeight="1" x14ac:dyDescent="0.15">
      <c r="B34" s="133" t="s">
        <v>78</v>
      </c>
      <c r="C34" s="133"/>
      <c r="D34" s="134" t="s">
        <v>163</v>
      </c>
      <c r="E34" s="135"/>
      <c r="F34" s="135"/>
      <c r="G34" s="136" t="s">
        <v>57</v>
      </c>
      <c r="H34" s="133"/>
      <c r="I34" s="137"/>
      <c r="J34" s="134" t="s">
        <v>164</v>
      </c>
      <c r="K34" s="135"/>
      <c r="L34" s="135"/>
      <c r="M34" s="135"/>
      <c r="N34" s="141"/>
      <c r="O34" s="24" t="str">
        <f>IF(OR(D34="",J34=""),"入力してください","")</f>
        <v/>
      </c>
    </row>
    <row r="35" spans="1:15" ht="7.5" customHeight="1" x14ac:dyDescent="0.15">
      <c r="F35" s="28"/>
      <c r="G35" s="28"/>
      <c r="H35" s="28"/>
      <c r="I35" s="28"/>
      <c r="J35" s="28"/>
      <c r="K35" s="28"/>
      <c r="L35" s="28"/>
      <c r="M35" s="28"/>
      <c r="N35" s="28"/>
    </row>
    <row r="36" spans="1:15" ht="24" customHeight="1" x14ac:dyDescent="0.15">
      <c r="A36" s="8" t="s">
        <v>63</v>
      </c>
      <c r="B36" s="8" t="s">
        <v>85</v>
      </c>
      <c r="M36" s="17"/>
      <c r="N36" s="17"/>
    </row>
    <row r="37" spans="1:15" ht="24" customHeight="1" x14ac:dyDescent="0.15">
      <c r="B37" s="134" t="s">
        <v>165</v>
      </c>
      <c r="C37" s="135"/>
      <c r="D37" s="135"/>
      <c r="E37" s="135"/>
      <c r="F37" s="135"/>
      <c r="G37" s="135"/>
      <c r="H37" s="135"/>
      <c r="I37" s="135"/>
      <c r="J37" s="135"/>
      <c r="K37" s="135"/>
      <c r="L37" s="135"/>
      <c r="M37" s="135"/>
      <c r="N37" s="141"/>
      <c r="O37" s="24" t="str">
        <f>IF(B37="","入力してください","")</f>
        <v/>
      </c>
    </row>
    <row r="38" spans="1:15" ht="7.5" customHeight="1" x14ac:dyDescent="0.15">
      <c r="F38" s="28"/>
      <c r="G38" s="28"/>
      <c r="H38" s="28"/>
      <c r="I38" s="28"/>
      <c r="J38" s="28"/>
      <c r="K38" s="28"/>
      <c r="L38" s="28"/>
      <c r="M38" s="28"/>
      <c r="N38" s="28"/>
    </row>
    <row r="39" spans="1:15" s="8" customFormat="1" ht="24" customHeight="1" x14ac:dyDescent="0.15">
      <c r="B39" s="133" t="s">
        <v>78</v>
      </c>
      <c r="C39" s="133"/>
      <c r="D39" s="134" t="s">
        <v>160</v>
      </c>
      <c r="E39" s="135"/>
      <c r="F39" s="135"/>
      <c r="G39" s="136" t="s">
        <v>57</v>
      </c>
      <c r="H39" s="133"/>
      <c r="I39" s="137"/>
      <c r="J39" s="134" t="s">
        <v>161</v>
      </c>
      <c r="K39" s="135"/>
      <c r="L39" s="135"/>
      <c r="M39" s="135"/>
      <c r="N39" s="141"/>
      <c r="O39" s="24" t="str">
        <f>IF(OR(D39="",J39=""),"入力してください","")</f>
        <v/>
      </c>
    </row>
    <row r="40" spans="1:15" ht="7.5" customHeight="1" x14ac:dyDescent="0.15">
      <c r="F40" s="28"/>
      <c r="G40" s="28"/>
      <c r="H40" s="28"/>
      <c r="I40" s="28"/>
      <c r="J40" s="28"/>
      <c r="K40" s="28"/>
      <c r="L40" s="28"/>
      <c r="M40" s="28"/>
      <c r="N40" s="28"/>
    </row>
    <row r="41" spans="1:15" ht="24" customHeight="1" x14ac:dyDescent="0.15">
      <c r="A41" s="8" t="s">
        <v>92</v>
      </c>
      <c r="B41" s="63" t="s">
        <v>71</v>
      </c>
      <c r="E41" s="64"/>
      <c r="F41" s="134" t="s">
        <v>166</v>
      </c>
      <c r="G41" s="135"/>
      <c r="H41" s="135"/>
      <c r="I41" s="135"/>
      <c r="J41" s="135"/>
      <c r="K41" s="135"/>
      <c r="L41" s="135"/>
      <c r="M41" s="135"/>
      <c r="N41" s="141"/>
      <c r="O41" s="24" t="str">
        <f>IF(F41="","入力してください","")</f>
        <v/>
      </c>
    </row>
    <row r="42" spans="1:15" ht="7.5" customHeight="1" x14ac:dyDescent="0.15">
      <c r="F42" s="28"/>
      <c r="G42" s="28"/>
      <c r="H42" s="28"/>
      <c r="I42" s="28"/>
      <c r="J42" s="28"/>
      <c r="K42" s="28"/>
      <c r="L42" s="28"/>
      <c r="M42" s="28"/>
      <c r="N42" s="28"/>
    </row>
    <row r="43" spans="1:15" ht="24" customHeight="1" x14ac:dyDescent="0.15">
      <c r="A43" s="8" t="s">
        <v>102</v>
      </c>
    </row>
    <row r="44" spans="1:15" ht="24" customHeight="1" x14ac:dyDescent="0.15">
      <c r="B44" s="23" t="s">
        <v>1</v>
      </c>
      <c r="C44" s="155" t="s">
        <v>167</v>
      </c>
      <c r="D44" s="156"/>
      <c r="E44" s="156"/>
      <c r="F44" s="156"/>
      <c r="G44" s="156"/>
      <c r="H44" s="156"/>
      <c r="I44" s="20" t="s">
        <v>2</v>
      </c>
      <c r="J44" s="21"/>
      <c r="K44" s="134" t="s">
        <v>168</v>
      </c>
      <c r="L44" s="135"/>
      <c r="M44" s="135"/>
      <c r="N44" s="141"/>
      <c r="O44" s="24" t="str">
        <f>IF(OR(C44="",K44=""),"入力してください","")</f>
        <v/>
      </c>
    </row>
    <row r="45" spans="1:15" ht="24" customHeight="1" x14ac:dyDescent="0.15">
      <c r="B45" s="19" t="s">
        <v>4</v>
      </c>
      <c r="C45" s="149" t="s">
        <v>170</v>
      </c>
      <c r="D45" s="150"/>
      <c r="E45" s="150"/>
      <c r="F45" s="150"/>
      <c r="G45" s="150"/>
      <c r="H45" s="151"/>
      <c r="I45" s="20" t="s">
        <v>3</v>
      </c>
      <c r="J45" s="21"/>
      <c r="K45" s="152" t="s">
        <v>169</v>
      </c>
      <c r="L45" s="153"/>
      <c r="M45" s="153"/>
      <c r="N45" s="154"/>
      <c r="O45" s="24"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DCED2797-455A-461D-90AA-C79BBEF60EC5}"/>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tabSelected="1" view="pageBreakPreview" zoomScaleNormal="100" zoomScaleSheetLayoutView="100" workbookViewId="0">
      <selection activeCell="B1" sqref="B1"/>
    </sheetView>
  </sheetViews>
  <sheetFormatPr defaultColWidth="9" defaultRowHeight="18.75" customHeight="1" x14ac:dyDescent="0.15"/>
  <cols>
    <col min="1" max="1" width="2.5" style="7" customWidth="1"/>
    <col min="2" max="2" width="27.75" style="7" customWidth="1"/>
    <col min="3" max="13" width="3.375" style="7" customWidth="1"/>
    <col min="14" max="14" width="8.875" style="7" customWidth="1"/>
    <col min="15" max="15" width="18.875" style="7" customWidth="1"/>
    <col min="16" max="19" width="3.375" style="7" customWidth="1"/>
    <col min="20" max="20" width="3.5" style="7" customWidth="1"/>
    <col min="21" max="26" width="3.375" style="7" customWidth="1"/>
    <col min="27" max="16384" width="9" style="7"/>
  </cols>
  <sheetData>
    <row r="1" spans="1:26" ht="15" customHeight="1" x14ac:dyDescent="0.15">
      <c r="W1" s="178" t="s">
        <v>210</v>
      </c>
      <c r="X1" s="178"/>
      <c r="Y1" s="178"/>
      <c r="Z1" s="178"/>
    </row>
    <row r="2" spans="1:26" ht="18" customHeight="1" x14ac:dyDescent="0.15">
      <c r="A2" s="219" t="s">
        <v>69</v>
      </c>
      <c r="B2" s="219"/>
      <c r="C2" s="219"/>
      <c r="D2" s="219"/>
      <c r="E2" s="219"/>
      <c r="F2" s="219"/>
      <c r="G2" s="219"/>
      <c r="H2" s="219"/>
      <c r="I2" s="219"/>
      <c r="J2" s="219"/>
      <c r="K2" s="219"/>
      <c r="L2" s="219"/>
      <c r="M2" s="219"/>
      <c r="N2" s="219"/>
      <c r="O2" s="219"/>
      <c r="P2" s="219"/>
      <c r="Q2" s="219"/>
      <c r="R2" s="219"/>
      <c r="S2" s="219"/>
      <c r="T2" s="219"/>
      <c r="U2" s="219"/>
      <c r="V2" s="219"/>
      <c r="W2" s="219"/>
      <c r="X2" s="219"/>
      <c r="Y2" s="219"/>
      <c r="Z2" s="219"/>
    </row>
    <row r="3" spans="1:26" ht="15" customHeight="1" x14ac:dyDescent="0.15">
      <c r="B3" s="22"/>
      <c r="C3" s="22"/>
      <c r="D3" s="22"/>
      <c r="E3" s="22"/>
      <c r="F3" s="22"/>
      <c r="G3" s="22"/>
      <c r="H3" s="22"/>
      <c r="I3" s="22"/>
      <c r="J3" s="22"/>
      <c r="K3" s="22"/>
      <c r="L3" s="22"/>
      <c r="M3" s="22"/>
      <c r="N3" s="22"/>
      <c r="O3" s="22"/>
      <c r="P3" s="22"/>
      <c r="Q3" s="22"/>
      <c r="R3" s="22"/>
      <c r="S3" s="22"/>
      <c r="T3" s="22"/>
      <c r="U3" s="22"/>
      <c r="V3" s="22"/>
      <c r="W3" s="22"/>
      <c r="X3" s="22"/>
      <c r="Y3" s="22"/>
      <c r="Z3" s="22"/>
    </row>
    <row r="4" spans="1:26" ht="18" customHeight="1" x14ac:dyDescent="0.15">
      <c r="A4" s="7" t="s">
        <v>103</v>
      </c>
      <c r="B4" s="22"/>
      <c r="C4" s="22"/>
      <c r="D4" s="22"/>
      <c r="E4" s="22"/>
      <c r="F4" s="22"/>
      <c r="G4" s="22"/>
      <c r="H4" s="9" t="s">
        <v>116</v>
      </c>
      <c r="I4" s="22"/>
      <c r="J4" s="22"/>
      <c r="K4" s="22"/>
      <c r="L4" s="22"/>
      <c r="M4" s="22"/>
      <c r="N4" s="22"/>
      <c r="O4" s="126" t="s">
        <v>171</v>
      </c>
      <c r="P4" s="127"/>
      <c r="Q4" s="127"/>
      <c r="R4" s="127"/>
      <c r="S4" s="127"/>
      <c r="T4" s="127"/>
      <c r="U4" s="127"/>
      <c r="V4" s="127"/>
      <c r="W4" s="127"/>
      <c r="X4" s="127"/>
      <c r="Y4" s="127"/>
      <c r="Z4" s="128"/>
    </row>
    <row r="5" spans="1:26" ht="6" customHeight="1" x14ac:dyDescent="0.15">
      <c r="B5" s="22"/>
      <c r="C5" s="22"/>
      <c r="D5" s="22"/>
      <c r="E5" s="22"/>
      <c r="F5" s="22"/>
      <c r="G5" s="22"/>
      <c r="H5" s="22"/>
      <c r="I5" s="22"/>
      <c r="J5" s="22"/>
      <c r="K5" s="22"/>
      <c r="L5" s="22"/>
      <c r="M5" s="22"/>
      <c r="N5" s="22"/>
      <c r="O5" s="10"/>
      <c r="P5" s="22"/>
      <c r="Q5" s="22"/>
      <c r="R5" s="22"/>
      <c r="S5" s="22"/>
      <c r="T5" s="22"/>
      <c r="U5" s="22"/>
      <c r="V5" s="22"/>
      <c r="W5" s="22"/>
      <c r="X5" s="22"/>
      <c r="Y5" s="22"/>
      <c r="Z5" s="22"/>
    </row>
    <row r="6" spans="1:26" ht="18" customHeight="1" x14ac:dyDescent="0.15">
      <c r="B6" s="220" t="s">
        <v>220</v>
      </c>
      <c r="C6" s="221"/>
      <c r="D6" s="221"/>
      <c r="E6" s="221"/>
      <c r="F6" s="221"/>
      <c r="G6" s="221"/>
      <c r="H6" s="221"/>
      <c r="I6" s="221"/>
      <c r="J6" s="221"/>
      <c r="K6" s="221"/>
      <c r="L6" s="221"/>
      <c r="M6" s="221"/>
      <c r="N6" s="221"/>
      <c r="O6" s="221"/>
      <c r="P6" s="221"/>
      <c r="Q6" s="221"/>
      <c r="R6" s="221"/>
      <c r="S6" s="221"/>
      <c r="T6" s="221"/>
      <c r="U6" s="221"/>
      <c r="V6" s="221"/>
      <c r="W6" s="221"/>
      <c r="X6" s="221"/>
      <c r="Y6" s="221"/>
      <c r="Z6" s="222"/>
    </row>
    <row r="7" spans="1:26" ht="18" customHeight="1" x14ac:dyDescent="0.15">
      <c r="B7" s="223"/>
      <c r="C7" s="224"/>
      <c r="D7" s="224"/>
      <c r="E7" s="224"/>
      <c r="F7" s="224"/>
      <c r="G7" s="224"/>
      <c r="H7" s="224"/>
      <c r="I7" s="224"/>
      <c r="J7" s="224"/>
      <c r="K7" s="224"/>
      <c r="L7" s="224"/>
      <c r="M7" s="224"/>
      <c r="N7" s="224"/>
      <c r="O7" s="224"/>
      <c r="P7" s="224"/>
      <c r="Q7" s="224"/>
      <c r="R7" s="224"/>
      <c r="S7" s="224"/>
      <c r="T7" s="224"/>
      <c r="U7" s="224"/>
      <c r="V7" s="224"/>
      <c r="W7" s="224"/>
      <c r="X7" s="224"/>
      <c r="Y7" s="224"/>
      <c r="Z7" s="225"/>
    </row>
    <row r="8" spans="1:26" ht="18" customHeight="1" x14ac:dyDescent="0.15">
      <c r="B8" s="223"/>
      <c r="C8" s="224"/>
      <c r="D8" s="224"/>
      <c r="E8" s="224"/>
      <c r="F8" s="224"/>
      <c r="G8" s="224"/>
      <c r="H8" s="224"/>
      <c r="I8" s="224"/>
      <c r="J8" s="224"/>
      <c r="K8" s="224"/>
      <c r="L8" s="224"/>
      <c r="M8" s="224"/>
      <c r="N8" s="224"/>
      <c r="O8" s="224"/>
      <c r="P8" s="224"/>
      <c r="Q8" s="224"/>
      <c r="R8" s="224"/>
      <c r="S8" s="224"/>
      <c r="T8" s="224"/>
      <c r="U8" s="224"/>
      <c r="V8" s="224"/>
      <c r="W8" s="224"/>
      <c r="X8" s="224"/>
      <c r="Y8" s="224"/>
      <c r="Z8" s="225"/>
    </row>
    <row r="9" spans="1:26" ht="18" customHeight="1" x14ac:dyDescent="0.15">
      <c r="B9" s="223"/>
      <c r="C9" s="224"/>
      <c r="D9" s="224"/>
      <c r="E9" s="224"/>
      <c r="F9" s="224"/>
      <c r="G9" s="224"/>
      <c r="H9" s="224"/>
      <c r="I9" s="224"/>
      <c r="J9" s="224"/>
      <c r="K9" s="224"/>
      <c r="L9" s="224"/>
      <c r="M9" s="224"/>
      <c r="N9" s="224"/>
      <c r="O9" s="224"/>
      <c r="P9" s="224"/>
      <c r="Q9" s="224"/>
      <c r="R9" s="224"/>
      <c r="S9" s="224"/>
      <c r="T9" s="224"/>
      <c r="U9" s="224"/>
      <c r="V9" s="224"/>
      <c r="W9" s="224"/>
      <c r="X9" s="224"/>
      <c r="Y9" s="224"/>
      <c r="Z9" s="225"/>
    </row>
    <row r="10" spans="1:26" ht="18" customHeight="1" x14ac:dyDescent="0.15">
      <c r="B10" s="223"/>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5"/>
    </row>
    <row r="11" spans="1:26" ht="18" customHeight="1" x14ac:dyDescent="0.15">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x14ac:dyDescent="0.15">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ht="18" customHeight="1" x14ac:dyDescent="0.15">
      <c r="A13" s="218" t="s">
        <v>129</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row>
    <row r="14" spans="1:26" ht="18" customHeight="1" x14ac:dyDescent="0.15">
      <c r="A14" s="218"/>
      <c r="B14" s="218"/>
      <c r="C14" s="218"/>
      <c r="D14" s="218"/>
      <c r="E14" s="218"/>
      <c r="F14" s="218"/>
      <c r="G14" s="218"/>
      <c r="H14" s="218"/>
      <c r="I14" s="218"/>
      <c r="J14" s="218"/>
      <c r="K14" s="218"/>
      <c r="L14" s="218"/>
      <c r="M14" s="218"/>
      <c r="N14" s="218"/>
      <c r="O14" s="218"/>
      <c r="P14" s="218"/>
      <c r="Q14" s="218"/>
      <c r="R14" s="218"/>
      <c r="S14" s="218"/>
      <c r="T14" s="218"/>
      <c r="U14" s="218"/>
      <c r="V14" s="218"/>
      <c r="W14" s="218"/>
      <c r="X14" s="218"/>
      <c r="Y14" s="218"/>
      <c r="Z14" s="218"/>
    </row>
    <row r="15" spans="1:26" ht="18" customHeight="1" x14ac:dyDescent="0.15">
      <c r="A15" s="8"/>
      <c r="B15" s="126" t="s">
        <v>104</v>
      </c>
      <c r="C15" s="127"/>
      <c r="D15" s="127"/>
      <c r="E15" s="127"/>
      <c r="F15" s="128"/>
      <c r="G15" s="23" t="s">
        <v>145</v>
      </c>
      <c r="H15" s="101" t="s">
        <v>144</v>
      </c>
      <c r="I15" s="127" t="s">
        <v>105</v>
      </c>
      <c r="J15" s="127"/>
      <c r="K15" s="127"/>
      <c r="L15" s="65" t="s">
        <v>108</v>
      </c>
      <c r="M15" s="65" t="s">
        <v>111</v>
      </c>
      <c r="N15" s="126" t="s">
        <v>104</v>
      </c>
      <c r="O15" s="127"/>
      <c r="P15" s="127"/>
      <c r="Q15" s="127"/>
      <c r="R15" s="127"/>
      <c r="S15" s="128"/>
      <c r="T15" s="23" t="s">
        <v>145</v>
      </c>
      <c r="U15" s="101" t="s">
        <v>144</v>
      </c>
      <c r="V15" s="127" t="s">
        <v>105</v>
      </c>
      <c r="W15" s="127"/>
      <c r="X15" s="127"/>
      <c r="Y15" s="65" t="s">
        <v>108</v>
      </c>
      <c r="Z15" s="65" t="s">
        <v>111</v>
      </c>
    </row>
    <row r="16" spans="1:26" ht="18" customHeight="1" x14ac:dyDescent="0.15">
      <c r="A16" s="8"/>
      <c r="B16" s="179" t="s">
        <v>172</v>
      </c>
      <c r="C16" s="180"/>
      <c r="D16" s="180"/>
      <c r="E16" s="180"/>
      <c r="F16" s="181"/>
      <c r="G16" s="102">
        <v>2</v>
      </c>
      <c r="H16" s="102" t="s">
        <v>174</v>
      </c>
      <c r="I16" s="185" t="s">
        <v>173</v>
      </c>
      <c r="J16" s="186"/>
      <c r="K16" s="187"/>
      <c r="L16" s="102" t="s">
        <v>174</v>
      </c>
      <c r="M16" s="102" t="s">
        <v>174</v>
      </c>
      <c r="N16" s="157"/>
      <c r="O16" s="158"/>
      <c r="P16" s="158"/>
      <c r="Q16" s="158"/>
      <c r="R16" s="158"/>
      <c r="S16" s="159"/>
      <c r="T16" s="102"/>
      <c r="U16" s="102"/>
      <c r="V16" s="185"/>
      <c r="W16" s="186"/>
      <c r="X16" s="187"/>
      <c r="Y16" s="102"/>
      <c r="Z16" s="102"/>
    </row>
    <row r="17" spans="1:26" ht="18" customHeight="1" x14ac:dyDescent="0.15">
      <c r="A17" s="8"/>
      <c r="B17" s="172"/>
      <c r="C17" s="173"/>
      <c r="D17" s="173"/>
      <c r="E17" s="173"/>
      <c r="F17" s="174"/>
      <c r="G17" s="103"/>
      <c r="H17" s="103"/>
      <c r="I17" s="166"/>
      <c r="J17" s="167"/>
      <c r="K17" s="168"/>
      <c r="L17" s="103"/>
      <c r="M17" s="103"/>
      <c r="N17" s="160"/>
      <c r="O17" s="161"/>
      <c r="P17" s="161"/>
      <c r="Q17" s="161"/>
      <c r="R17" s="161"/>
      <c r="S17" s="162"/>
      <c r="T17" s="103"/>
      <c r="U17" s="103"/>
      <c r="V17" s="166"/>
      <c r="W17" s="167"/>
      <c r="X17" s="168"/>
      <c r="Y17" s="103"/>
      <c r="Z17" s="103"/>
    </row>
    <row r="18" spans="1:26" ht="18" customHeight="1" x14ac:dyDescent="0.15">
      <c r="A18" s="8"/>
      <c r="B18" s="172"/>
      <c r="C18" s="173"/>
      <c r="D18" s="173"/>
      <c r="E18" s="173"/>
      <c r="F18" s="174"/>
      <c r="G18" s="103"/>
      <c r="H18" s="103"/>
      <c r="I18" s="166"/>
      <c r="J18" s="167"/>
      <c r="K18" s="168"/>
      <c r="L18" s="103"/>
      <c r="M18" s="103"/>
      <c r="N18" s="160"/>
      <c r="O18" s="161"/>
      <c r="P18" s="161"/>
      <c r="Q18" s="161"/>
      <c r="R18" s="161"/>
      <c r="S18" s="162"/>
      <c r="T18" s="103"/>
      <c r="U18" s="103"/>
      <c r="V18" s="166"/>
      <c r="W18" s="167"/>
      <c r="X18" s="168"/>
      <c r="Y18" s="103"/>
      <c r="Z18" s="103"/>
    </row>
    <row r="19" spans="1:26" ht="18" customHeight="1" x14ac:dyDescent="0.15">
      <c r="A19" s="8"/>
      <c r="B19" s="172"/>
      <c r="C19" s="173"/>
      <c r="D19" s="173"/>
      <c r="E19" s="173"/>
      <c r="F19" s="174"/>
      <c r="G19" s="103"/>
      <c r="H19" s="103"/>
      <c r="I19" s="166"/>
      <c r="J19" s="167"/>
      <c r="K19" s="168"/>
      <c r="L19" s="103"/>
      <c r="M19" s="103"/>
      <c r="N19" s="160"/>
      <c r="O19" s="161"/>
      <c r="P19" s="161"/>
      <c r="Q19" s="161"/>
      <c r="R19" s="161"/>
      <c r="S19" s="162"/>
      <c r="T19" s="103"/>
      <c r="U19" s="103"/>
      <c r="V19" s="166"/>
      <c r="W19" s="167"/>
      <c r="X19" s="168"/>
      <c r="Y19" s="103"/>
      <c r="Z19" s="103"/>
    </row>
    <row r="20" spans="1:26" ht="18" customHeight="1" x14ac:dyDescent="0.15">
      <c r="A20" s="8"/>
      <c r="B20" s="172"/>
      <c r="C20" s="173"/>
      <c r="D20" s="173"/>
      <c r="E20" s="173"/>
      <c r="F20" s="174"/>
      <c r="G20" s="103"/>
      <c r="H20" s="103"/>
      <c r="I20" s="166"/>
      <c r="J20" s="167"/>
      <c r="K20" s="168"/>
      <c r="L20" s="103"/>
      <c r="M20" s="103"/>
      <c r="N20" s="160"/>
      <c r="O20" s="161"/>
      <c r="P20" s="161"/>
      <c r="Q20" s="161"/>
      <c r="R20" s="161"/>
      <c r="S20" s="162"/>
      <c r="T20" s="103"/>
      <c r="U20" s="103"/>
      <c r="V20" s="166"/>
      <c r="W20" s="167"/>
      <c r="X20" s="168"/>
      <c r="Y20" s="103"/>
      <c r="Z20" s="103"/>
    </row>
    <row r="21" spans="1:26" ht="18" customHeight="1" x14ac:dyDescent="0.15">
      <c r="A21" s="22"/>
      <c r="B21" s="172"/>
      <c r="C21" s="173"/>
      <c r="D21" s="173"/>
      <c r="E21" s="173"/>
      <c r="F21" s="174"/>
      <c r="G21" s="103"/>
      <c r="H21" s="103"/>
      <c r="I21" s="166"/>
      <c r="J21" s="167"/>
      <c r="K21" s="168"/>
      <c r="L21" s="103"/>
      <c r="M21" s="103"/>
      <c r="N21" s="160"/>
      <c r="O21" s="161"/>
      <c r="P21" s="161"/>
      <c r="Q21" s="161"/>
      <c r="R21" s="161"/>
      <c r="S21" s="162"/>
      <c r="T21" s="103"/>
      <c r="U21" s="103"/>
      <c r="V21" s="166"/>
      <c r="W21" s="167"/>
      <c r="X21" s="168"/>
      <c r="Y21" s="103"/>
      <c r="Z21" s="103"/>
    </row>
    <row r="22" spans="1:26" ht="18" customHeight="1" x14ac:dyDescent="0.15">
      <c r="A22" s="22"/>
      <c r="B22" s="175"/>
      <c r="C22" s="176"/>
      <c r="D22" s="176"/>
      <c r="E22" s="176"/>
      <c r="F22" s="177"/>
      <c r="G22" s="104"/>
      <c r="H22" s="104"/>
      <c r="I22" s="169"/>
      <c r="J22" s="170"/>
      <c r="K22" s="171"/>
      <c r="L22" s="110"/>
      <c r="M22" s="110"/>
      <c r="N22" s="163"/>
      <c r="O22" s="164"/>
      <c r="P22" s="164"/>
      <c r="Q22" s="164"/>
      <c r="R22" s="164"/>
      <c r="S22" s="165"/>
      <c r="T22" s="104"/>
      <c r="U22" s="104"/>
      <c r="V22" s="169"/>
      <c r="W22" s="170"/>
      <c r="X22" s="171"/>
      <c r="Y22" s="110"/>
      <c r="Z22" s="110"/>
    </row>
    <row r="23" spans="1:26" ht="7.5" customHeight="1" x14ac:dyDescent="0.15">
      <c r="A23" s="22"/>
      <c r="B23" s="66"/>
      <c r="C23" s="66"/>
      <c r="D23" s="22"/>
      <c r="E23" s="22"/>
      <c r="F23" s="22"/>
      <c r="G23" s="22"/>
      <c r="H23" s="22"/>
      <c r="I23" s="22"/>
      <c r="J23" s="22"/>
      <c r="K23" s="22"/>
      <c r="L23" s="66"/>
      <c r="M23" s="66"/>
      <c r="N23" s="66"/>
      <c r="O23" s="66"/>
      <c r="P23" s="66"/>
      <c r="Q23" s="66"/>
      <c r="R23" s="66"/>
      <c r="S23" s="66"/>
      <c r="T23" s="66"/>
      <c r="U23" s="66"/>
      <c r="V23" s="66"/>
      <c r="W23" s="66"/>
      <c r="X23" s="66"/>
      <c r="Y23" s="66"/>
      <c r="Z23" s="22"/>
    </row>
    <row r="24" spans="1:26" ht="18" customHeight="1" x14ac:dyDescent="0.15">
      <c r="A24" s="218" t="s">
        <v>130</v>
      </c>
      <c r="B24" s="218"/>
      <c r="C24" s="218"/>
      <c r="D24" s="218"/>
      <c r="E24" s="218"/>
      <c r="F24" s="218"/>
      <c r="G24" s="218"/>
      <c r="H24" s="218"/>
      <c r="I24" s="218"/>
      <c r="J24" s="218"/>
      <c r="K24" s="218"/>
      <c r="L24" s="218"/>
      <c r="M24" s="218"/>
      <c r="N24" s="218"/>
      <c r="O24" s="218"/>
      <c r="P24" s="218"/>
      <c r="Q24" s="218"/>
      <c r="R24" s="218"/>
      <c r="S24" s="218"/>
      <c r="T24" s="218"/>
      <c r="U24" s="218"/>
      <c r="V24" s="218"/>
      <c r="W24" s="218"/>
      <c r="X24" s="218"/>
      <c r="Y24" s="218"/>
      <c r="Z24" s="218"/>
    </row>
    <row r="25" spans="1:26" ht="18" customHeight="1" x14ac:dyDescent="0.15">
      <c r="A25" s="218"/>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row>
    <row r="26" spans="1:26" ht="18" customHeight="1" x14ac:dyDescent="0.15">
      <c r="A26" s="8"/>
      <c r="B26" s="126" t="s">
        <v>104</v>
      </c>
      <c r="C26" s="127"/>
      <c r="D26" s="127"/>
      <c r="E26" s="127"/>
      <c r="F26" s="128"/>
      <c r="G26" s="23" t="s">
        <v>145</v>
      </c>
      <c r="H26" s="101" t="s">
        <v>144</v>
      </c>
      <c r="I26" s="127" t="s">
        <v>105</v>
      </c>
      <c r="J26" s="127"/>
      <c r="K26" s="127"/>
      <c r="L26" s="65" t="s">
        <v>131</v>
      </c>
      <c r="M26" s="65" t="s">
        <v>132</v>
      </c>
      <c r="N26" s="126" t="s">
        <v>104</v>
      </c>
      <c r="O26" s="127"/>
      <c r="P26" s="127"/>
      <c r="Q26" s="127"/>
      <c r="R26" s="127"/>
      <c r="S26" s="128"/>
      <c r="T26" s="23" t="s">
        <v>145</v>
      </c>
      <c r="U26" s="101" t="s">
        <v>144</v>
      </c>
      <c r="V26" s="127" t="s">
        <v>105</v>
      </c>
      <c r="W26" s="127"/>
      <c r="X26" s="127"/>
      <c r="Y26" s="65" t="s">
        <v>131</v>
      </c>
      <c r="Z26" s="65" t="s">
        <v>132</v>
      </c>
    </row>
    <row r="27" spans="1:26" ht="18" customHeight="1" x14ac:dyDescent="0.15">
      <c r="A27" s="8"/>
      <c r="B27" s="179" t="s">
        <v>172</v>
      </c>
      <c r="C27" s="180"/>
      <c r="D27" s="180"/>
      <c r="E27" s="180"/>
      <c r="F27" s="181"/>
      <c r="G27" s="102">
        <v>2</v>
      </c>
      <c r="H27" s="102" t="s">
        <v>174</v>
      </c>
      <c r="I27" s="185" t="s">
        <v>173</v>
      </c>
      <c r="J27" s="186"/>
      <c r="K27" s="187"/>
      <c r="L27" s="102" t="s">
        <v>174</v>
      </c>
      <c r="M27" s="102" t="s">
        <v>174</v>
      </c>
      <c r="N27" s="157"/>
      <c r="O27" s="158"/>
      <c r="P27" s="158"/>
      <c r="Q27" s="158"/>
      <c r="R27" s="158"/>
      <c r="S27" s="159"/>
      <c r="T27" s="102"/>
      <c r="U27" s="102"/>
      <c r="V27" s="185"/>
      <c r="W27" s="186"/>
      <c r="X27" s="187"/>
      <c r="Y27" s="102"/>
      <c r="Z27" s="102"/>
    </row>
    <row r="28" spans="1:26" ht="18" customHeight="1" x14ac:dyDescent="0.15">
      <c r="A28" s="8"/>
      <c r="B28" s="172"/>
      <c r="C28" s="173"/>
      <c r="D28" s="173"/>
      <c r="E28" s="173"/>
      <c r="F28" s="174"/>
      <c r="G28" s="103"/>
      <c r="H28" s="103"/>
      <c r="I28" s="166"/>
      <c r="J28" s="167"/>
      <c r="K28" s="168"/>
      <c r="L28" s="103"/>
      <c r="M28" s="103"/>
      <c r="N28" s="160"/>
      <c r="O28" s="161"/>
      <c r="P28" s="161"/>
      <c r="Q28" s="161"/>
      <c r="R28" s="161"/>
      <c r="S28" s="162"/>
      <c r="T28" s="103"/>
      <c r="U28" s="103"/>
      <c r="V28" s="166"/>
      <c r="W28" s="167"/>
      <c r="X28" s="168"/>
      <c r="Y28" s="103"/>
      <c r="Z28" s="103"/>
    </row>
    <row r="29" spans="1:26" ht="18" customHeight="1" x14ac:dyDescent="0.15">
      <c r="A29" s="8"/>
      <c r="B29" s="172"/>
      <c r="C29" s="173"/>
      <c r="D29" s="173"/>
      <c r="E29" s="173"/>
      <c r="F29" s="174"/>
      <c r="G29" s="103"/>
      <c r="H29" s="103"/>
      <c r="I29" s="166"/>
      <c r="J29" s="167"/>
      <c r="K29" s="168"/>
      <c r="L29" s="103"/>
      <c r="M29" s="103"/>
      <c r="N29" s="160"/>
      <c r="O29" s="161"/>
      <c r="P29" s="161"/>
      <c r="Q29" s="161"/>
      <c r="R29" s="161"/>
      <c r="S29" s="162"/>
      <c r="T29" s="103"/>
      <c r="U29" s="103"/>
      <c r="V29" s="166"/>
      <c r="W29" s="167"/>
      <c r="X29" s="168"/>
      <c r="Y29" s="103"/>
      <c r="Z29" s="103"/>
    </row>
    <row r="30" spans="1:26" ht="18" customHeight="1" x14ac:dyDescent="0.15">
      <c r="A30" s="8"/>
      <c r="B30" s="172"/>
      <c r="C30" s="173"/>
      <c r="D30" s="173"/>
      <c r="E30" s="173"/>
      <c r="F30" s="174"/>
      <c r="G30" s="103"/>
      <c r="H30" s="103"/>
      <c r="I30" s="166"/>
      <c r="J30" s="167"/>
      <c r="K30" s="168"/>
      <c r="L30" s="103"/>
      <c r="M30" s="103"/>
      <c r="N30" s="160"/>
      <c r="O30" s="161"/>
      <c r="P30" s="161"/>
      <c r="Q30" s="161"/>
      <c r="R30" s="161"/>
      <c r="S30" s="162"/>
      <c r="T30" s="103"/>
      <c r="U30" s="103"/>
      <c r="V30" s="166"/>
      <c r="W30" s="167"/>
      <c r="X30" s="168"/>
      <c r="Y30" s="103"/>
      <c r="Z30" s="103"/>
    </row>
    <row r="31" spans="1:26" ht="18" customHeight="1" x14ac:dyDescent="0.15">
      <c r="A31" s="8"/>
      <c r="B31" s="172"/>
      <c r="C31" s="173"/>
      <c r="D31" s="173"/>
      <c r="E31" s="173"/>
      <c r="F31" s="174"/>
      <c r="G31" s="103"/>
      <c r="H31" s="103"/>
      <c r="I31" s="166"/>
      <c r="J31" s="167"/>
      <c r="K31" s="168"/>
      <c r="L31" s="103"/>
      <c r="M31" s="103"/>
      <c r="N31" s="160"/>
      <c r="O31" s="161"/>
      <c r="P31" s="161"/>
      <c r="Q31" s="161"/>
      <c r="R31" s="161"/>
      <c r="S31" s="162"/>
      <c r="T31" s="103"/>
      <c r="U31" s="103"/>
      <c r="V31" s="166"/>
      <c r="W31" s="167"/>
      <c r="X31" s="168"/>
      <c r="Y31" s="103"/>
      <c r="Z31" s="103"/>
    </row>
    <row r="32" spans="1:26" ht="18" customHeight="1" x14ac:dyDescent="0.15">
      <c r="A32" s="8"/>
      <c r="B32" s="172"/>
      <c r="C32" s="173"/>
      <c r="D32" s="173"/>
      <c r="E32" s="173"/>
      <c r="F32" s="174"/>
      <c r="G32" s="103"/>
      <c r="H32" s="103"/>
      <c r="I32" s="166"/>
      <c r="J32" s="167"/>
      <c r="K32" s="168"/>
      <c r="L32" s="103"/>
      <c r="M32" s="103"/>
      <c r="N32" s="160"/>
      <c r="O32" s="161"/>
      <c r="P32" s="161"/>
      <c r="Q32" s="161"/>
      <c r="R32" s="161"/>
      <c r="S32" s="162"/>
      <c r="T32" s="103"/>
      <c r="U32" s="103"/>
      <c r="V32" s="166"/>
      <c r="W32" s="167"/>
      <c r="X32" s="168"/>
      <c r="Y32" s="103"/>
      <c r="Z32" s="103"/>
    </row>
    <row r="33" spans="1:26" ht="18" customHeight="1" x14ac:dyDescent="0.15">
      <c r="A33" s="8"/>
      <c r="B33" s="175"/>
      <c r="C33" s="176"/>
      <c r="D33" s="176"/>
      <c r="E33" s="176"/>
      <c r="F33" s="177"/>
      <c r="G33" s="104"/>
      <c r="H33" s="104"/>
      <c r="I33" s="169"/>
      <c r="J33" s="170"/>
      <c r="K33" s="171"/>
      <c r="L33" s="110"/>
      <c r="M33" s="110"/>
      <c r="N33" s="163"/>
      <c r="O33" s="164"/>
      <c r="P33" s="164"/>
      <c r="Q33" s="164"/>
      <c r="R33" s="164"/>
      <c r="S33" s="165"/>
      <c r="T33" s="104"/>
      <c r="U33" s="104"/>
      <c r="V33" s="169"/>
      <c r="W33" s="170"/>
      <c r="X33" s="171"/>
      <c r="Y33" s="110"/>
      <c r="Z33" s="110"/>
    </row>
    <row r="34" spans="1:26" ht="7.5" customHeight="1" x14ac:dyDescent="0.15">
      <c r="A34" s="22"/>
      <c r="B34" s="66"/>
      <c r="C34" s="66"/>
      <c r="D34" s="22"/>
      <c r="E34" s="22"/>
      <c r="F34" s="22"/>
      <c r="G34" s="22"/>
      <c r="H34" s="22"/>
      <c r="I34" s="22"/>
      <c r="J34" s="22"/>
      <c r="K34" s="22"/>
      <c r="L34" s="66"/>
      <c r="M34" s="66"/>
      <c r="N34" s="66"/>
      <c r="O34" s="66"/>
      <c r="P34" s="66"/>
      <c r="Q34" s="66"/>
      <c r="R34" s="66"/>
      <c r="S34" s="66"/>
      <c r="T34" s="66"/>
      <c r="U34" s="66"/>
      <c r="V34" s="66"/>
      <c r="W34" s="66"/>
      <c r="X34" s="66"/>
      <c r="Y34" s="66"/>
      <c r="Z34" s="22"/>
    </row>
    <row r="35" spans="1:26" ht="18" customHeight="1" x14ac:dyDescent="0.15">
      <c r="A35" s="218" t="s">
        <v>133</v>
      </c>
      <c r="B35" s="218"/>
      <c r="C35" s="218"/>
      <c r="D35" s="218"/>
      <c r="E35" s="218"/>
      <c r="F35" s="218"/>
      <c r="G35" s="218"/>
      <c r="H35" s="218"/>
      <c r="I35" s="218"/>
      <c r="J35" s="218"/>
      <c r="K35" s="218"/>
      <c r="L35" s="218"/>
      <c r="M35" s="218"/>
      <c r="N35" s="218"/>
      <c r="O35" s="218"/>
      <c r="P35" s="218"/>
      <c r="Q35" s="218"/>
      <c r="R35" s="218"/>
      <c r="S35" s="218"/>
      <c r="T35" s="218"/>
      <c r="U35" s="218"/>
      <c r="V35" s="218"/>
      <c r="W35" s="218"/>
      <c r="X35" s="218"/>
      <c r="Y35" s="218"/>
      <c r="Z35" s="218"/>
    </row>
    <row r="36" spans="1:26" ht="18" customHeight="1" x14ac:dyDescent="0.15">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row>
    <row r="37" spans="1:26" ht="18" customHeight="1" x14ac:dyDescent="0.15">
      <c r="A37" s="8"/>
      <c r="B37" s="126" t="s">
        <v>104</v>
      </c>
      <c r="C37" s="127"/>
      <c r="D37" s="127"/>
      <c r="E37" s="127"/>
      <c r="F37" s="128"/>
      <c r="G37" s="23" t="s">
        <v>145</v>
      </c>
      <c r="H37" s="101" t="s">
        <v>144</v>
      </c>
      <c r="I37" s="126" t="s">
        <v>105</v>
      </c>
      <c r="J37" s="127"/>
      <c r="K37" s="128"/>
      <c r="L37" s="65" t="s">
        <v>134</v>
      </c>
      <c r="M37" s="65" t="s">
        <v>135</v>
      </c>
      <c r="N37" s="126" t="s">
        <v>104</v>
      </c>
      <c r="O37" s="127"/>
      <c r="P37" s="127"/>
      <c r="Q37" s="127"/>
      <c r="R37" s="127"/>
      <c r="S37" s="128"/>
      <c r="T37" s="23" t="s">
        <v>145</v>
      </c>
      <c r="U37" s="101" t="s">
        <v>144</v>
      </c>
      <c r="V37" s="126" t="s">
        <v>105</v>
      </c>
      <c r="W37" s="127"/>
      <c r="X37" s="128"/>
      <c r="Y37" s="65" t="s">
        <v>134</v>
      </c>
      <c r="Z37" s="65" t="s">
        <v>135</v>
      </c>
    </row>
    <row r="38" spans="1:26" ht="18" customHeight="1" x14ac:dyDescent="0.15">
      <c r="A38" s="22"/>
      <c r="B38" s="179" t="s">
        <v>172</v>
      </c>
      <c r="C38" s="180"/>
      <c r="D38" s="180"/>
      <c r="E38" s="180"/>
      <c r="F38" s="181"/>
      <c r="G38" s="102">
        <v>2</v>
      </c>
      <c r="H38" s="102" t="s">
        <v>174</v>
      </c>
      <c r="I38" s="185" t="s">
        <v>173</v>
      </c>
      <c r="J38" s="186"/>
      <c r="K38" s="187"/>
      <c r="L38" s="102" t="s">
        <v>174</v>
      </c>
      <c r="M38" s="102" t="s">
        <v>174</v>
      </c>
      <c r="N38" s="157"/>
      <c r="O38" s="158"/>
      <c r="P38" s="158"/>
      <c r="Q38" s="158"/>
      <c r="R38" s="158"/>
      <c r="S38" s="159"/>
      <c r="T38" s="102"/>
      <c r="U38" s="102"/>
      <c r="V38" s="185"/>
      <c r="W38" s="186"/>
      <c r="X38" s="187"/>
      <c r="Y38" s="102"/>
      <c r="Z38" s="102"/>
    </row>
    <row r="39" spans="1:26" ht="18" customHeight="1" x14ac:dyDescent="0.15">
      <c r="A39" s="22"/>
      <c r="B39" s="172"/>
      <c r="C39" s="173"/>
      <c r="D39" s="173"/>
      <c r="E39" s="173"/>
      <c r="F39" s="174"/>
      <c r="G39" s="103"/>
      <c r="H39" s="103"/>
      <c r="I39" s="166"/>
      <c r="J39" s="167"/>
      <c r="K39" s="168"/>
      <c r="L39" s="103"/>
      <c r="M39" s="103"/>
      <c r="N39" s="160"/>
      <c r="O39" s="161"/>
      <c r="P39" s="161"/>
      <c r="Q39" s="161"/>
      <c r="R39" s="161"/>
      <c r="S39" s="162"/>
      <c r="T39" s="103"/>
      <c r="U39" s="103"/>
      <c r="V39" s="166"/>
      <c r="W39" s="167"/>
      <c r="X39" s="168"/>
      <c r="Y39" s="103"/>
      <c r="Z39" s="103"/>
    </row>
    <row r="40" spans="1:26" ht="18" customHeight="1" x14ac:dyDescent="0.15">
      <c r="A40" s="22"/>
      <c r="B40" s="172"/>
      <c r="C40" s="173"/>
      <c r="D40" s="173"/>
      <c r="E40" s="173"/>
      <c r="F40" s="174"/>
      <c r="G40" s="103"/>
      <c r="H40" s="103"/>
      <c r="I40" s="166"/>
      <c r="J40" s="167"/>
      <c r="K40" s="168"/>
      <c r="L40" s="103"/>
      <c r="M40" s="103"/>
      <c r="N40" s="160"/>
      <c r="O40" s="161"/>
      <c r="P40" s="161"/>
      <c r="Q40" s="161"/>
      <c r="R40" s="161"/>
      <c r="S40" s="162"/>
      <c r="T40" s="103"/>
      <c r="U40" s="103"/>
      <c r="V40" s="166"/>
      <c r="W40" s="167"/>
      <c r="X40" s="168"/>
      <c r="Y40" s="103"/>
      <c r="Z40" s="103"/>
    </row>
    <row r="41" spans="1:26" ht="18" customHeight="1" x14ac:dyDescent="0.15">
      <c r="A41" s="22"/>
      <c r="B41" s="172"/>
      <c r="C41" s="173"/>
      <c r="D41" s="173"/>
      <c r="E41" s="173"/>
      <c r="F41" s="174"/>
      <c r="G41" s="103"/>
      <c r="H41" s="103"/>
      <c r="I41" s="166"/>
      <c r="J41" s="167"/>
      <c r="K41" s="168"/>
      <c r="L41" s="103"/>
      <c r="M41" s="103"/>
      <c r="N41" s="160"/>
      <c r="O41" s="161"/>
      <c r="P41" s="161"/>
      <c r="Q41" s="161"/>
      <c r="R41" s="161"/>
      <c r="S41" s="162"/>
      <c r="T41" s="103"/>
      <c r="U41" s="103"/>
      <c r="V41" s="166"/>
      <c r="W41" s="167"/>
      <c r="X41" s="168"/>
      <c r="Y41" s="103"/>
      <c r="Z41" s="103"/>
    </row>
    <row r="42" spans="1:26" ht="18" customHeight="1" x14ac:dyDescent="0.15">
      <c r="A42" s="22"/>
      <c r="B42" s="172"/>
      <c r="C42" s="173"/>
      <c r="D42" s="173"/>
      <c r="E42" s="173"/>
      <c r="F42" s="174"/>
      <c r="G42" s="103"/>
      <c r="H42" s="103"/>
      <c r="I42" s="166"/>
      <c r="J42" s="167"/>
      <c r="K42" s="168"/>
      <c r="L42" s="103"/>
      <c r="M42" s="103"/>
      <c r="N42" s="160"/>
      <c r="O42" s="161"/>
      <c r="P42" s="161"/>
      <c r="Q42" s="161"/>
      <c r="R42" s="161"/>
      <c r="S42" s="162"/>
      <c r="T42" s="103"/>
      <c r="U42" s="103"/>
      <c r="V42" s="166"/>
      <c r="W42" s="167"/>
      <c r="X42" s="168"/>
      <c r="Y42" s="103"/>
      <c r="Z42" s="103"/>
    </row>
    <row r="43" spans="1:26" ht="18" customHeight="1" x14ac:dyDescent="0.15">
      <c r="A43" s="22"/>
      <c r="B43" s="172"/>
      <c r="C43" s="173"/>
      <c r="D43" s="173"/>
      <c r="E43" s="173"/>
      <c r="F43" s="174"/>
      <c r="G43" s="103"/>
      <c r="H43" s="103"/>
      <c r="I43" s="166"/>
      <c r="J43" s="167"/>
      <c r="K43" s="168"/>
      <c r="L43" s="103"/>
      <c r="M43" s="103"/>
      <c r="N43" s="160"/>
      <c r="O43" s="161"/>
      <c r="P43" s="161"/>
      <c r="Q43" s="161"/>
      <c r="R43" s="161"/>
      <c r="S43" s="162"/>
      <c r="T43" s="103"/>
      <c r="U43" s="103"/>
      <c r="V43" s="166"/>
      <c r="W43" s="167"/>
      <c r="X43" s="168"/>
      <c r="Y43" s="103"/>
      <c r="Z43" s="103"/>
    </row>
    <row r="44" spans="1:26" ht="18" customHeight="1" x14ac:dyDescent="0.15">
      <c r="A44" s="22"/>
      <c r="B44" s="175"/>
      <c r="C44" s="176"/>
      <c r="D44" s="176"/>
      <c r="E44" s="176"/>
      <c r="F44" s="177"/>
      <c r="G44" s="104"/>
      <c r="H44" s="104"/>
      <c r="I44" s="169"/>
      <c r="J44" s="170"/>
      <c r="K44" s="171"/>
      <c r="L44" s="110"/>
      <c r="M44" s="110"/>
      <c r="N44" s="163"/>
      <c r="O44" s="164"/>
      <c r="P44" s="164"/>
      <c r="Q44" s="164"/>
      <c r="R44" s="164"/>
      <c r="S44" s="165"/>
      <c r="T44" s="104"/>
      <c r="U44" s="104"/>
      <c r="V44" s="169"/>
      <c r="W44" s="170"/>
      <c r="X44" s="171"/>
      <c r="Y44" s="110"/>
      <c r="Z44" s="110"/>
    </row>
    <row r="45" spans="1:26" ht="7.5" customHeight="1" x14ac:dyDescent="0.15">
      <c r="B45" s="67"/>
      <c r="C45" s="67"/>
      <c r="D45" s="67"/>
      <c r="E45" s="67"/>
      <c r="F45" s="67"/>
      <c r="G45" s="67"/>
      <c r="H45" s="67"/>
      <c r="I45" s="67"/>
      <c r="J45" s="67"/>
      <c r="K45" s="67"/>
      <c r="L45" s="67"/>
      <c r="M45" s="67"/>
      <c r="N45" s="67"/>
      <c r="O45" s="67"/>
      <c r="P45" s="67"/>
      <c r="Q45" s="67"/>
      <c r="R45" s="67"/>
      <c r="S45" s="67"/>
      <c r="T45" s="67"/>
      <c r="U45" s="67"/>
      <c r="V45" s="67"/>
      <c r="W45" s="67"/>
      <c r="X45" s="67"/>
      <c r="Y45" s="67"/>
    </row>
    <row r="46" spans="1:26" ht="18" customHeight="1" x14ac:dyDescent="0.15">
      <c r="A46" s="218" t="s">
        <v>136</v>
      </c>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row>
    <row r="47" spans="1:26" ht="18" customHeight="1" x14ac:dyDescent="0.15">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row>
    <row r="48" spans="1:26" ht="18" customHeight="1" x14ac:dyDescent="0.15">
      <c r="A48" s="8"/>
      <c r="B48" s="126" t="s">
        <v>104</v>
      </c>
      <c r="C48" s="127"/>
      <c r="D48" s="127"/>
      <c r="E48" s="127"/>
      <c r="F48" s="128"/>
      <c r="G48" s="23" t="s">
        <v>145</v>
      </c>
      <c r="H48" s="101" t="s">
        <v>144</v>
      </c>
      <c r="I48" s="126" t="s">
        <v>105</v>
      </c>
      <c r="J48" s="127"/>
      <c r="K48" s="128"/>
      <c r="L48" s="65" t="s">
        <v>110</v>
      </c>
      <c r="M48" s="65" t="s">
        <v>112</v>
      </c>
      <c r="N48" s="126" t="s">
        <v>104</v>
      </c>
      <c r="O48" s="127"/>
      <c r="P48" s="127"/>
      <c r="Q48" s="127"/>
      <c r="R48" s="127"/>
      <c r="S48" s="128"/>
      <c r="T48" s="23" t="s">
        <v>145</v>
      </c>
      <c r="U48" s="101" t="s">
        <v>144</v>
      </c>
      <c r="V48" s="126" t="s">
        <v>105</v>
      </c>
      <c r="W48" s="127"/>
      <c r="X48" s="128"/>
      <c r="Y48" s="65" t="s">
        <v>110</v>
      </c>
      <c r="Z48" s="65" t="s">
        <v>112</v>
      </c>
    </row>
    <row r="49" spans="1:26" ht="18" customHeight="1" x14ac:dyDescent="0.15">
      <c r="A49" s="22"/>
      <c r="B49" s="179" t="s">
        <v>175</v>
      </c>
      <c r="C49" s="180"/>
      <c r="D49" s="180"/>
      <c r="E49" s="180"/>
      <c r="F49" s="181"/>
      <c r="G49" s="102">
        <v>2</v>
      </c>
      <c r="H49" s="102" t="s">
        <v>174</v>
      </c>
      <c r="I49" s="185" t="s">
        <v>173</v>
      </c>
      <c r="J49" s="186"/>
      <c r="K49" s="187"/>
      <c r="L49" s="102" t="s">
        <v>174</v>
      </c>
      <c r="M49" s="102" t="s">
        <v>174</v>
      </c>
      <c r="N49" s="157"/>
      <c r="O49" s="158"/>
      <c r="P49" s="158"/>
      <c r="Q49" s="158"/>
      <c r="R49" s="158"/>
      <c r="S49" s="159"/>
      <c r="T49" s="102"/>
      <c r="U49" s="102"/>
      <c r="V49" s="185"/>
      <c r="W49" s="186"/>
      <c r="X49" s="187"/>
      <c r="Y49" s="102"/>
      <c r="Z49" s="102"/>
    </row>
    <row r="50" spans="1:26" ht="18" customHeight="1" x14ac:dyDescent="0.15">
      <c r="A50" s="22"/>
      <c r="B50" s="172" t="s">
        <v>172</v>
      </c>
      <c r="C50" s="173"/>
      <c r="D50" s="173"/>
      <c r="E50" s="173"/>
      <c r="F50" s="174"/>
      <c r="G50" s="103">
        <v>2</v>
      </c>
      <c r="H50" s="103" t="s">
        <v>174</v>
      </c>
      <c r="I50" s="166" t="s">
        <v>173</v>
      </c>
      <c r="J50" s="167"/>
      <c r="K50" s="168"/>
      <c r="L50" s="103" t="s">
        <v>174</v>
      </c>
      <c r="M50" s="103" t="s">
        <v>174</v>
      </c>
      <c r="N50" s="160"/>
      <c r="O50" s="161"/>
      <c r="P50" s="161"/>
      <c r="Q50" s="161"/>
      <c r="R50" s="161"/>
      <c r="S50" s="162"/>
      <c r="T50" s="103"/>
      <c r="U50" s="103"/>
      <c r="V50" s="166"/>
      <c r="W50" s="167"/>
      <c r="X50" s="168"/>
      <c r="Y50" s="103"/>
      <c r="Z50" s="103"/>
    </row>
    <row r="51" spans="1:26" ht="18" customHeight="1" x14ac:dyDescent="0.15">
      <c r="A51" s="22"/>
      <c r="B51" s="172"/>
      <c r="C51" s="173"/>
      <c r="D51" s="173"/>
      <c r="E51" s="173"/>
      <c r="F51" s="174"/>
      <c r="G51" s="103"/>
      <c r="H51" s="103"/>
      <c r="I51" s="166"/>
      <c r="J51" s="167"/>
      <c r="K51" s="168"/>
      <c r="L51" s="103"/>
      <c r="M51" s="103"/>
      <c r="N51" s="160"/>
      <c r="O51" s="161"/>
      <c r="P51" s="161"/>
      <c r="Q51" s="161"/>
      <c r="R51" s="161"/>
      <c r="S51" s="162"/>
      <c r="T51" s="103"/>
      <c r="U51" s="103"/>
      <c r="V51" s="166"/>
      <c r="W51" s="167"/>
      <c r="X51" s="168"/>
      <c r="Y51" s="103"/>
      <c r="Z51" s="103"/>
    </row>
    <row r="52" spans="1:26" ht="18" customHeight="1" x14ac:dyDescent="0.15">
      <c r="A52" s="22"/>
      <c r="B52" s="172"/>
      <c r="C52" s="173"/>
      <c r="D52" s="173"/>
      <c r="E52" s="173"/>
      <c r="F52" s="174"/>
      <c r="G52" s="103"/>
      <c r="H52" s="103"/>
      <c r="I52" s="166"/>
      <c r="J52" s="167"/>
      <c r="K52" s="168"/>
      <c r="L52" s="103"/>
      <c r="M52" s="103"/>
      <c r="N52" s="160"/>
      <c r="O52" s="161"/>
      <c r="P52" s="161"/>
      <c r="Q52" s="161"/>
      <c r="R52" s="161"/>
      <c r="S52" s="162"/>
      <c r="T52" s="103"/>
      <c r="U52" s="103"/>
      <c r="V52" s="166"/>
      <c r="W52" s="167"/>
      <c r="X52" s="168"/>
      <c r="Y52" s="103"/>
      <c r="Z52" s="103"/>
    </row>
    <row r="53" spans="1:26" ht="18" customHeight="1" x14ac:dyDescent="0.15">
      <c r="A53" s="22"/>
      <c r="B53" s="172"/>
      <c r="C53" s="173"/>
      <c r="D53" s="173"/>
      <c r="E53" s="173"/>
      <c r="F53" s="174"/>
      <c r="G53" s="103"/>
      <c r="H53" s="103"/>
      <c r="I53" s="166"/>
      <c r="J53" s="167"/>
      <c r="K53" s="168"/>
      <c r="L53" s="103"/>
      <c r="M53" s="103"/>
      <c r="N53" s="160"/>
      <c r="O53" s="161"/>
      <c r="P53" s="161"/>
      <c r="Q53" s="161"/>
      <c r="R53" s="161"/>
      <c r="S53" s="162"/>
      <c r="T53" s="103"/>
      <c r="U53" s="103"/>
      <c r="V53" s="166"/>
      <c r="W53" s="167"/>
      <c r="X53" s="168"/>
      <c r="Y53" s="103"/>
      <c r="Z53" s="103"/>
    </row>
    <row r="54" spans="1:26" ht="18" customHeight="1" x14ac:dyDescent="0.15">
      <c r="A54" s="22"/>
      <c r="B54" s="172"/>
      <c r="C54" s="173"/>
      <c r="D54" s="173"/>
      <c r="E54" s="173"/>
      <c r="F54" s="174"/>
      <c r="G54" s="103"/>
      <c r="H54" s="103"/>
      <c r="I54" s="166"/>
      <c r="J54" s="167"/>
      <c r="K54" s="168"/>
      <c r="L54" s="103"/>
      <c r="M54" s="103"/>
      <c r="N54" s="160"/>
      <c r="O54" s="161"/>
      <c r="P54" s="161"/>
      <c r="Q54" s="161"/>
      <c r="R54" s="161"/>
      <c r="S54" s="162"/>
      <c r="T54" s="103"/>
      <c r="U54" s="103"/>
      <c r="V54" s="166"/>
      <c r="W54" s="167"/>
      <c r="X54" s="168"/>
      <c r="Y54" s="103"/>
      <c r="Z54" s="103"/>
    </row>
    <row r="55" spans="1:26" ht="18" customHeight="1" x14ac:dyDescent="0.15">
      <c r="A55" s="22"/>
      <c r="B55" s="175"/>
      <c r="C55" s="176"/>
      <c r="D55" s="176"/>
      <c r="E55" s="176"/>
      <c r="F55" s="177"/>
      <c r="G55" s="104"/>
      <c r="H55" s="104"/>
      <c r="I55" s="169"/>
      <c r="J55" s="170"/>
      <c r="K55" s="171"/>
      <c r="L55" s="110"/>
      <c r="M55" s="110"/>
      <c r="N55" s="163"/>
      <c r="O55" s="164"/>
      <c r="P55" s="164"/>
      <c r="Q55" s="164"/>
      <c r="R55" s="164"/>
      <c r="S55" s="165"/>
      <c r="T55" s="104"/>
      <c r="U55" s="104"/>
      <c r="V55" s="169"/>
      <c r="W55" s="170"/>
      <c r="X55" s="171"/>
      <c r="Y55" s="110"/>
      <c r="Z55" s="110"/>
    </row>
    <row r="56" spans="1:26" ht="7.5" customHeight="1" x14ac:dyDescent="0.15">
      <c r="B56" s="67"/>
      <c r="C56" s="67"/>
      <c r="D56" s="67"/>
      <c r="E56" s="67"/>
      <c r="F56" s="67"/>
      <c r="G56" s="67"/>
      <c r="H56" s="67"/>
      <c r="I56" s="67"/>
      <c r="J56" s="67"/>
      <c r="K56" s="67"/>
      <c r="L56" s="67"/>
      <c r="M56" s="67"/>
      <c r="N56" s="67"/>
      <c r="O56" s="67"/>
      <c r="P56" s="67"/>
      <c r="Q56" s="67"/>
      <c r="R56" s="67"/>
      <c r="S56" s="67"/>
      <c r="T56" s="67"/>
      <c r="U56" s="67"/>
      <c r="V56" s="67"/>
      <c r="W56" s="67"/>
      <c r="X56" s="67"/>
      <c r="Y56" s="67"/>
    </row>
    <row r="57" spans="1:26" ht="18" customHeight="1" x14ac:dyDescent="0.15">
      <c r="A57" s="218" t="s">
        <v>137</v>
      </c>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row>
    <row r="58" spans="1:26" ht="18" customHeight="1" x14ac:dyDescent="0.15">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row>
    <row r="59" spans="1:26" ht="18" customHeight="1" x14ac:dyDescent="0.15">
      <c r="A59" s="8"/>
      <c r="B59" s="126" t="s">
        <v>104</v>
      </c>
      <c r="C59" s="127"/>
      <c r="D59" s="127"/>
      <c r="E59" s="128"/>
      <c r="F59" s="23" t="s">
        <v>145</v>
      </c>
      <c r="G59" s="101" t="s">
        <v>144</v>
      </c>
      <c r="H59" s="96" t="s">
        <v>105</v>
      </c>
      <c r="I59" s="97"/>
      <c r="J59" s="98"/>
      <c r="K59" s="65" t="s">
        <v>109</v>
      </c>
      <c r="L59" s="65" t="s">
        <v>138</v>
      </c>
      <c r="M59" s="65" t="s">
        <v>139</v>
      </c>
      <c r="N59" s="126" t="s">
        <v>104</v>
      </c>
      <c r="O59" s="127"/>
      <c r="P59" s="127"/>
      <c r="Q59" s="127"/>
      <c r="R59" s="128"/>
      <c r="S59" s="23" t="s">
        <v>145</v>
      </c>
      <c r="T59" s="101" t="s">
        <v>144</v>
      </c>
      <c r="U59" s="96" t="s">
        <v>105</v>
      </c>
      <c r="V59" s="97"/>
      <c r="W59" s="98"/>
      <c r="X59" s="65" t="s">
        <v>109</v>
      </c>
      <c r="Y59" s="65" t="s">
        <v>138</v>
      </c>
      <c r="Z59" s="65" t="s">
        <v>139</v>
      </c>
    </row>
    <row r="60" spans="1:26" ht="18" customHeight="1" x14ac:dyDescent="0.15">
      <c r="A60" s="22"/>
      <c r="B60" s="157" t="s">
        <v>175</v>
      </c>
      <c r="C60" s="158"/>
      <c r="D60" s="158"/>
      <c r="E60" s="159"/>
      <c r="F60" s="102">
        <v>2</v>
      </c>
      <c r="G60" s="102" t="s">
        <v>174</v>
      </c>
      <c r="H60" s="185" t="s">
        <v>173</v>
      </c>
      <c r="I60" s="186"/>
      <c r="J60" s="187"/>
      <c r="K60" s="102" t="s">
        <v>174</v>
      </c>
      <c r="L60" s="102" t="s">
        <v>174</v>
      </c>
      <c r="M60" s="102" t="s">
        <v>174</v>
      </c>
      <c r="N60" s="157"/>
      <c r="O60" s="158"/>
      <c r="P60" s="158"/>
      <c r="Q60" s="158"/>
      <c r="R60" s="159"/>
      <c r="S60" s="102"/>
      <c r="T60" s="102"/>
      <c r="U60" s="185"/>
      <c r="V60" s="186"/>
      <c r="W60" s="187"/>
      <c r="X60" s="109"/>
      <c r="Y60" s="102"/>
      <c r="Z60" s="102"/>
    </row>
    <row r="61" spans="1:26" ht="18" customHeight="1" x14ac:dyDescent="0.15">
      <c r="A61" s="22"/>
      <c r="B61" s="160"/>
      <c r="C61" s="161"/>
      <c r="D61" s="161"/>
      <c r="E61" s="162"/>
      <c r="F61" s="103"/>
      <c r="G61" s="103"/>
      <c r="H61" s="166"/>
      <c r="I61" s="167"/>
      <c r="J61" s="168"/>
      <c r="K61" s="107"/>
      <c r="L61" s="103"/>
      <c r="M61" s="103"/>
      <c r="N61" s="160"/>
      <c r="O61" s="161"/>
      <c r="P61" s="161"/>
      <c r="Q61" s="161"/>
      <c r="R61" s="162"/>
      <c r="S61" s="103"/>
      <c r="T61" s="103"/>
      <c r="U61" s="166"/>
      <c r="V61" s="167"/>
      <c r="W61" s="168"/>
      <c r="X61" s="107"/>
      <c r="Y61" s="103"/>
      <c r="Z61" s="103"/>
    </row>
    <row r="62" spans="1:26" ht="18" customHeight="1" x14ac:dyDescent="0.15">
      <c r="A62" s="22"/>
      <c r="B62" s="160"/>
      <c r="C62" s="161"/>
      <c r="D62" s="161"/>
      <c r="E62" s="162"/>
      <c r="F62" s="103"/>
      <c r="G62" s="103"/>
      <c r="H62" s="166"/>
      <c r="I62" s="167"/>
      <c r="J62" s="168"/>
      <c r="K62" s="107"/>
      <c r="L62" s="103"/>
      <c r="M62" s="103"/>
      <c r="N62" s="160"/>
      <c r="O62" s="161"/>
      <c r="P62" s="161"/>
      <c r="Q62" s="161"/>
      <c r="R62" s="162"/>
      <c r="S62" s="103"/>
      <c r="T62" s="103"/>
      <c r="U62" s="166"/>
      <c r="V62" s="167"/>
      <c r="W62" s="168"/>
      <c r="X62" s="107"/>
      <c r="Y62" s="103"/>
      <c r="Z62" s="103"/>
    </row>
    <row r="63" spans="1:26" ht="18" customHeight="1" x14ac:dyDescent="0.15">
      <c r="A63" s="22"/>
      <c r="B63" s="160"/>
      <c r="C63" s="161"/>
      <c r="D63" s="161"/>
      <c r="E63" s="162"/>
      <c r="F63" s="103"/>
      <c r="G63" s="103"/>
      <c r="H63" s="166"/>
      <c r="I63" s="167"/>
      <c r="J63" s="168"/>
      <c r="K63" s="107"/>
      <c r="L63" s="103"/>
      <c r="M63" s="103"/>
      <c r="N63" s="160"/>
      <c r="O63" s="161"/>
      <c r="P63" s="161"/>
      <c r="Q63" s="161"/>
      <c r="R63" s="162"/>
      <c r="S63" s="103"/>
      <c r="T63" s="103"/>
      <c r="U63" s="166"/>
      <c r="V63" s="167"/>
      <c r="W63" s="168"/>
      <c r="X63" s="107"/>
      <c r="Y63" s="103"/>
      <c r="Z63" s="103"/>
    </row>
    <row r="64" spans="1:26" ht="18" customHeight="1" x14ac:dyDescent="0.15">
      <c r="A64" s="22"/>
      <c r="B64" s="160"/>
      <c r="C64" s="161"/>
      <c r="D64" s="161"/>
      <c r="E64" s="162"/>
      <c r="F64" s="103"/>
      <c r="G64" s="103"/>
      <c r="H64" s="166"/>
      <c r="I64" s="167"/>
      <c r="J64" s="168"/>
      <c r="K64" s="107"/>
      <c r="L64" s="103"/>
      <c r="M64" s="103"/>
      <c r="N64" s="160"/>
      <c r="O64" s="161"/>
      <c r="P64" s="161"/>
      <c r="Q64" s="161"/>
      <c r="R64" s="162"/>
      <c r="S64" s="103"/>
      <c r="T64" s="103"/>
      <c r="U64" s="166"/>
      <c r="V64" s="167"/>
      <c r="W64" s="168"/>
      <c r="X64" s="107"/>
      <c r="Y64" s="103"/>
      <c r="Z64" s="103"/>
    </row>
    <row r="65" spans="1:26" ht="18" customHeight="1" x14ac:dyDescent="0.15">
      <c r="A65" s="22"/>
      <c r="B65" s="160"/>
      <c r="C65" s="161"/>
      <c r="D65" s="161"/>
      <c r="E65" s="162"/>
      <c r="F65" s="103"/>
      <c r="G65" s="103"/>
      <c r="H65" s="166"/>
      <c r="I65" s="167"/>
      <c r="J65" s="168"/>
      <c r="K65" s="107"/>
      <c r="L65" s="103"/>
      <c r="M65" s="103"/>
      <c r="N65" s="160"/>
      <c r="O65" s="161"/>
      <c r="P65" s="161"/>
      <c r="Q65" s="161"/>
      <c r="R65" s="162"/>
      <c r="S65" s="103"/>
      <c r="T65" s="103"/>
      <c r="U65" s="166"/>
      <c r="V65" s="167"/>
      <c r="W65" s="168"/>
      <c r="X65" s="107"/>
      <c r="Y65" s="103"/>
      <c r="Z65" s="103"/>
    </row>
    <row r="66" spans="1:26" ht="18" customHeight="1" x14ac:dyDescent="0.15">
      <c r="A66" s="22"/>
      <c r="B66" s="163"/>
      <c r="C66" s="164"/>
      <c r="D66" s="164"/>
      <c r="E66" s="165"/>
      <c r="F66" s="104"/>
      <c r="G66" s="104"/>
      <c r="H66" s="169"/>
      <c r="I66" s="170"/>
      <c r="J66" s="171"/>
      <c r="K66" s="108"/>
      <c r="L66" s="110"/>
      <c r="M66" s="110"/>
      <c r="N66" s="163"/>
      <c r="O66" s="164"/>
      <c r="P66" s="164"/>
      <c r="Q66" s="164"/>
      <c r="R66" s="165"/>
      <c r="S66" s="104"/>
      <c r="T66" s="104"/>
      <c r="U66" s="169"/>
      <c r="V66" s="170"/>
      <c r="W66" s="171"/>
      <c r="X66" s="108"/>
      <c r="Y66" s="110"/>
      <c r="Z66" s="110"/>
    </row>
    <row r="67" spans="1:26" ht="7.5" customHeight="1" x14ac:dyDescent="0.15">
      <c r="B67" s="67"/>
      <c r="C67" s="67"/>
      <c r="D67" s="67"/>
      <c r="E67" s="67"/>
      <c r="F67" s="67"/>
      <c r="G67" s="67"/>
      <c r="H67" s="67"/>
      <c r="I67" s="67"/>
      <c r="J67" s="67"/>
      <c r="K67" s="67"/>
      <c r="L67" s="67"/>
      <c r="M67" s="67"/>
      <c r="N67" s="67"/>
      <c r="O67" s="67"/>
      <c r="P67" s="67"/>
      <c r="Q67" s="67"/>
      <c r="R67" s="67"/>
      <c r="S67" s="67"/>
      <c r="T67" s="67"/>
      <c r="U67" s="67"/>
      <c r="V67" s="67"/>
      <c r="W67" s="67"/>
      <c r="X67" s="67"/>
      <c r="Y67" s="67"/>
    </row>
    <row r="68" spans="1:26" ht="18" customHeight="1" x14ac:dyDescent="0.15">
      <c r="A68" s="8" t="s">
        <v>140</v>
      </c>
      <c r="B68" s="8"/>
      <c r="C68" s="8"/>
      <c r="D68" s="8"/>
      <c r="E68" s="8"/>
      <c r="F68" s="8"/>
      <c r="G68" s="8"/>
      <c r="H68" s="8"/>
      <c r="I68" s="8"/>
      <c r="J68" s="8"/>
      <c r="K68" s="8"/>
      <c r="L68" s="22"/>
      <c r="M68" s="22"/>
      <c r="N68" s="22"/>
      <c r="O68" s="22"/>
      <c r="P68" s="22"/>
      <c r="Q68" s="22"/>
      <c r="R68" s="22"/>
      <c r="S68" s="22"/>
      <c r="T68" s="22"/>
      <c r="U68" s="22"/>
      <c r="V68" s="22"/>
      <c r="W68" s="22"/>
      <c r="X68" s="22"/>
      <c r="Y68" s="22"/>
      <c r="Z68" s="22"/>
    </row>
    <row r="69" spans="1:26" ht="18" customHeight="1" x14ac:dyDescent="0.15">
      <c r="A69" s="8"/>
      <c r="B69" s="126" t="s">
        <v>104</v>
      </c>
      <c r="C69" s="127"/>
      <c r="D69" s="127"/>
      <c r="E69" s="127"/>
      <c r="F69" s="128"/>
      <c r="G69" s="126" t="s">
        <v>150</v>
      </c>
      <c r="H69" s="127"/>
      <c r="I69" s="127"/>
      <c r="J69" s="127"/>
      <c r="K69" s="127"/>
      <c r="L69" s="127"/>
      <c r="M69" s="128"/>
      <c r="N69" s="182" t="s">
        <v>104</v>
      </c>
      <c r="O69" s="183"/>
      <c r="P69" s="183"/>
      <c r="Q69" s="183"/>
      <c r="R69" s="183"/>
      <c r="S69" s="184"/>
      <c r="T69" s="126" t="s">
        <v>150</v>
      </c>
      <c r="U69" s="127"/>
      <c r="V69" s="127"/>
      <c r="W69" s="127"/>
      <c r="X69" s="127"/>
      <c r="Y69" s="127"/>
      <c r="Z69" s="128"/>
    </row>
    <row r="70" spans="1:26" ht="18" customHeight="1" x14ac:dyDescent="0.15">
      <c r="A70" s="22"/>
      <c r="B70" s="157" t="s">
        <v>172</v>
      </c>
      <c r="C70" s="158"/>
      <c r="D70" s="158"/>
      <c r="E70" s="158"/>
      <c r="F70" s="159"/>
      <c r="G70" s="179" t="s">
        <v>176</v>
      </c>
      <c r="H70" s="180"/>
      <c r="I70" s="180"/>
      <c r="J70" s="180"/>
      <c r="K70" s="180"/>
      <c r="L70" s="180"/>
      <c r="M70" s="181"/>
      <c r="N70" s="157"/>
      <c r="O70" s="158"/>
      <c r="P70" s="158"/>
      <c r="Q70" s="158"/>
      <c r="R70" s="158"/>
      <c r="S70" s="159"/>
      <c r="T70" s="230"/>
      <c r="U70" s="231"/>
      <c r="V70" s="231"/>
      <c r="W70" s="231"/>
      <c r="X70" s="231"/>
      <c r="Y70" s="231"/>
      <c r="Z70" s="232"/>
    </row>
    <row r="71" spans="1:26" ht="18" customHeight="1" x14ac:dyDescent="0.15">
      <c r="A71" s="22"/>
      <c r="B71" s="160" t="s">
        <v>172</v>
      </c>
      <c r="C71" s="161"/>
      <c r="D71" s="161"/>
      <c r="E71" s="161"/>
      <c r="F71" s="162"/>
      <c r="G71" s="172" t="s">
        <v>177</v>
      </c>
      <c r="H71" s="173"/>
      <c r="I71" s="173"/>
      <c r="J71" s="173"/>
      <c r="K71" s="173"/>
      <c r="L71" s="173"/>
      <c r="M71" s="174"/>
      <c r="N71" s="160"/>
      <c r="O71" s="161"/>
      <c r="P71" s="161"/>
      <c r="Q71" s="161"/>
      <c r="R71" s="161"/>
      <c r="S71" s="162"/>
      <c r="T71" s="203"/>
      <c r="U71" s="204"/>
      <c r="V71" s="204"/>
      <c r="W71" s="204"/>
      <c r="X71" s="204"/>
      <c r="Y71" s="204"/>
      <c r="Z71" s="205"/>
    </row>
    <row r="72" spans="1:26" ht="18" customHeight="1" x14ac:dyDescent="0.15">
      <c r="A72" s="22"/>
      <c r="B72" s="160" t="s">
        <v>172</v>
      </c>
      <c r="C72" s="161"/>
      <c r="D72" s="161"/>
      <c r="E72" s="161"/>
      <c r="F72" s="162"/>
      <c r="G72" s="172" t="s">
        <v>178</v>
      </c>
      <c r="H72" s="173"/>
      <c r="I72" s="173"/>
      <c r="J72" s="173"/>
      <c r="K72" s="173"/>
      <c r="L72" s="173"/>
      <c r="M72" s="174"/>
      <c r="N72" s="160"/>
      <c r="O72" s="161"/>
      <c r="P72" s="161"/>
      <c r="Q72" s="161"/>
      <c r="R72" s="161"/>
      <c r="S72" s="162"/>
      <c r="T72" s="203"/>
      <c r="U72" s="204"/>
      <c r="V72" s="204"/>
      <c r="W72" s="204"/>
      <c r="X72" s="204"/>
      <c r="Y72" s="204"/>
      <c r="Z72" s="205"/>
    </row>
    <row r="73" spans="1:26" ht="18" customHeight="1" x14ac:dyDescent="0.15">
      <c r="A73" s="22"/>
      <c r="B73" s="160" t="s">
        <v>172</v>
      </c>
      <c r="C73" s="161"/>
      <c r="D73" s="161"/>
      <c r="E73" s="161"/>
      <c r="F73" s="162"/>
      <c r="G73" s="172" t="s">
        <v>179</v>
      </c>
      <c r="H73" s="173"/>
      <c r="I73" s="173"/>
      <c r="J73" s="173"/>
      <c r="K73" s="173"/>
      <c r="L73" s="173"/>
      <c r="M73" s="174"/>
      <c r="N73" s="160"/>
      <c r="O73" s="161"/>
      <c r="P73" s="161"/>
      <c r="Q73" s="161"/>
      <c r="R73" s="161"/>
      <c r="S73" s="162"/>
      <c r="T73" s="203"/>
      <c r="U73" s="204"/>
      <c r="V73" s="204"/>
      <c r="W73" s="204"/>
      <c r="X73" s="204"/>
      <c r="Y73" s="204"/>
      <c r="Z73" s="205"/>
    </row>
    <row r="74" spans="1:26" ht="18" customHeight="1" x14ac:dyDescent="0.15">
      <c r="A74" s="22"/>
      <c r="B74" s="160" t="s">
        <v>172</v>
      </c>
      <c r="C74" s="161"/>
      <c r="D74" s="161"/>
      <c r="E74" s="161"/>
      <c r="F74" s="162"/>
      <c r="G74" s="172" t="s">
        <v>180</v>
      </c>
      <c r="H74" s="173"/>
      <c r="I74" s="173"/>
      <c r="J74" s="173"/>
      <c r="K74" s="173"/>
      <c r="L74" s="173"/>
      <c r="M74" s="174"/>
      <c r="N74" s="160"/>
      <c r="O74" s="161"/>
      <c r="P74" s="161"/>
      <c r="Q74" s="161"/>
      <c r="R74" s="161"/>
      <c r="S74" s="162"/>
      <c r="T74" s="203"/>
      <c r="U74" s="204"/>
      <c r="V74" s="204"/>
      <c r="W74" s="204"/>
      <c r="X74" s="204"/>
      <c r="Y74" s="204"/>
      <c r="Z74" s="205"/>
    </row>
    <row r="75" spans="1:26" ht="18" customHeight="1" x14ac:dyDescent="0.15">
      <c r="A75" s="22"/>
      <c r="B75" s="160"/>
      <c r="C75" s="161"/>
      <c r="D75" s="161"/>
      <c r="E75" s="161"/>
      <c r="F75" s="162"/>
      <c r="G75" s="203"/>
      <c r="H75" s="204"/>
      <c r="I75" s="204"/>
      <c r="J75" s="204"/>
      <c r="K75" s="204"/>
      <c r="L75" s="204"/>
      <c r="M75" s="205"/>
      <c r="N75" s="160"/>
      <c r="O75" s="161"/>
      <c r="P75" s="161"/>
      <c r="Q75" s="161"/>
      <c r="R75" s="161"/>
      <c r="S75" s="162"/>
      <c r="T75" s="203"/>
      <c r="U75" s="204"/>
      <c r="V75" s="204"/>
      <c r="W75" s="204"/>
      <c r="X75" s="204"/>
      <c r="Y75" s="204"/>
      <c r="Z75" s="205"/>
    </row>
    <row r="76" spans="1:26" ht="18" customHeight="1" x14ac:dyDescent="0.15">
      <c r="A76" s="22"/>
      <c r="B76" s="163"/>
      <c r="C76" s="164"/>
      <c r="D76" s="164"/>
      <c r="E76" s="164"/>
      <c r="F76" s="165"/>
      <c r="G76" s="200"/>
      <c r="H76" s="201"/>
      <c r="I76" s="201"/>
      <c r="J76" s="201"/>
      <c r="K76" s="201"/>
      <c r="L76" s="201"/>
      <c r="M76" s="202"/>
      <c r="N76" s="163"/>
      <c r="O76" s="164"/>
      <c r="P76" s="164"/>
      <c r="Q76" s="164"/>
      <c r="R76" s="164"/>
      <c r="S76" s="165"/>
      <c r="T76" s="200"/>
      <c r="U76" s="201"/>
      <c r="V76" s="201"/>
      <c r="W76" s="201"/>
      <c r="X76" s="201"/>
      <c r="Y76" s="201"/>
      <c r="Z76" s="202"/>
    </row>
    <row r="77" spans="1:26" ht="18" customHeight="1" x14ac:dyDescent="0.15">
      <c r="A77" s="22"/>
      <c r="B77" s="62"/>
      <c r="C77" s="62"/>
      <c r="D77" s="62"/>
      <c r="E77" s="62"/>
      <c r="F77" s="62"/>
      <c r="G77" s="6"/>
      <c r="H77" s="6"/>
      <c r="I77" s="6"/>
      <c r="J77" s="6"/>
      <c r="K77" s="6"/>
      <c r="L77" s="6"/>
      <c r="M77" s="6"/>
      <c r="N77" s="62"/>
      <c r="O77" s="62"/>
      <c r="P77" s="62"/>
      <c r="Q77" s="62"/>
      <c r="R77" s="62"/>
      <c r="S77" s="62"/>
      <c r="T77" s="6"/>
      <c r="U77" s="6"/>
      <c r="V77" s="6"/>
      <c r="W77" s="6"/>
      <c r="X77" s="6"/>
      <c r="Y77" s="6"/>
      <c r="Z77" s="6"/>
    </row>
    <row r="78" spans="1:26" ht="18.75" customHeight="1" x14ac:dyDescent="0.15">
      <c r="A78" s="7" t="s">
        <v>146</v>
      </c>
    </row>
    <row r="79" spans="1:26" ht="18.75" customHeight="1" x14ac:dyDescent="0.15">
      <c r="B79" s="68" t="s">
        <v>106</v>
      </c>
      <c r="C79" s="69"/>
      <c r="D79" s="253" t="s">
        <v>107</v>
      </c>
      <c r="E79" s="253"/>
      <c r="F79" s="253"/>
      <c r="G79" s="253"/>
      <c r="H79" s="253"/>
      <c r="I79" s="253"/>
      <c r="J79" s="253"/>
      <c r="K79" s="253"/>
      <c r="L79" s="253"/>
      <c r="M79" s="253"/>
      <c r="N79" s="253"/>
      <c r="O79" s="253"/>
      <c r="P79" s="253"/>
      <c r="Q79" s="253"/>
      <c r="R79" s="253"/>
      <c r="S79" s="253"/>
      <c r="T79" s="253"/>
      <c r="U79" s="253"/>
      <c r="V79" s="253"/>
      <c r="W79" s="253"/>
      <c r="X79" s="253"/>
      <c r="Y79" s="253"/>
      <c r="Z79" s="254"/>
    </row>
    <row r="80" spans="1:26" ht="78" customHeight="1" x14ac:dyDescent="0.15">
      <c r="B80" s="238" t="s">
        <v>113</v>
      </c>
      <c r="C80" s="75" t="s">
        <v>108</v>
      </c>
      <c r="D80" s="255" t="s">
        <v>198</v>
      </c>
      <c r="E80" s="256"/>
      <c r="F80" s="256"/>
      <c r="G80" s="256"/>
      <c r="H80" s="256"/>
      <c r="I80" s="256"/>
      <c r="J80" s="256"/>
      <c r="K80" s="256"/>
      <c r="L80" s="256"/>
      <c r="M80" s="256"/>
      <c r="N80" s="256"/>
      <c r="O80" s="256"/>
      <c r="P80" s="256"/>
      <c r="Q80" s="256"/>
      <c r="R80" s="256"/>
      <c r="S80" s="256"/>
      <c r="T80" s="256"/>
      <c r="U80" s="256"/>
      <c r="V80" s="256"/>
      <c r="W80" s="256"/>
      <c r="X80" s="256"/>
      <c r="Y80" s="256"/>
      <c r="Z80" s="257"/>
    </row>
    <row r="81" spans="1:26" ht="78" customHeight="1" x14ac:dyDescent="0.15">
      <c r="B81" s="239"/>
      <c r="C81" s="99" t="s">
        <v>141</v>
      </c>
      <c r="D81" s="206" t="s">
        <v>199</v>
      </c>
      <c r="E81" s="207"/>
      <c r="F81" s="207"/>
      <c r="G81" s="207"/>
      <c r="H81" s="207"/>
      <c r="I81" s="207"/>
      <c r="J81" s="207"/>
      <c r="K81" s="207"/>
      <c r="L81" s="207"/>
      <c r="M81" s="207"/>
      <c r="N81" s="207"/>
      <c r="O81" s="207"/>
      <c r="P81" s="207"/>
      <c r="Q81" s="207"/>
      <c r="R81" s="207"/>
      <c r="S81" s="207"/>
      <c r="T81" s="207"/>
      <c r="U81" s="207"/>
      <c r="V81" s="207"/>
      <c r="W81" s="207"/>
      <c r="X81" s="207"/>
      <c r="Y81" s="207"/>
      <c r="Z81" s="208"/>
    </row>
    <row r="82" spans="1:26" ht="78" customHeight="1" x14ac:dyDescent="0.15">
      <c r="B82" s="236" t="s">
        <v>114</v>
      </c>
      <c r="C82" s="70" t="s">
        <v>131</v>
      </c>
      <c r="D82" s="209" t="s">
        <v>200</v>
      </c>
      <c r="E82" s="210"/>
      <c r="F82" s="210"/>
      <c r="G82" s="210"/>
      <c r="H82" s="210"/>
      <c r="I82" s="210"/>
      <c r="J82" s="210"/>
      <c r="K82" s="210"/>
      <c r="L82" s="210"/>
      <c r="M82" s="210"/>
      <c r="N82" s="210"/>
      <c r="O82" s="210"/>
      <c r="P82" s="210"/>
      <c r="Q82" s="210"/>
      <c r="R82" s="210"/>
      <c r="S82" s="210"/>
      <c r="T82" s="210"/>
      <c r="U82" s="210"/>
      <c r="V82" s="210"/>
      <c r="W82" s="210"/>
      <c r="X82" s="210"/>
      <c r="Y82" s="210"/>
      <c r="Z82" s="211"/>
    </row>
    <row r="83" spans="1:26" ht="78" customHeight="1" x14ac:dyDescent="0.15">
      <c r="B83" s="237"/>
      <c r="C83" s="100" t="s">
        <v>132</v>
      </c>
      <c r="D83" s="215" t="s">
        <v>201</v>
      </c>
      <c r="E83" s="216"/>
      <c r="F83" s="216"/>
      <c r="G83" s="216"/>
      <c r="H83" s="216"/>
      <c r="I83" s="216"/>
      <c r="J83" s="216"/>
      <c r="K83" s="216"/>
      <c r="L83" s="216"/>
      <c r="M83" s="216"/>
      <c r="N83" s="216"/>
      <c r="O83" s="216"/>
      <c r="P83" s="216"/>
      <c r="Q83" s="216"/>
      <c r="R83" s="216"/>
      <c r="S83" s="216"/>
      <c r="T83" s="216"/>
      <c r="U83" s="216"/>
      <c r="V83" s="216"/>
      <c r="W83" s="216"/>
      <c r="X83" s="216"/>
      <c r="Y83" s="216"/>
      <c r="Z83" s="217"/>
    </row>
    <row r="84" spans="1:26" ht="66" customHeight="1" x14ac:dyDescent="0.15">
      <c r="B84" s="236" t="s">
        <v>115</v>
      </c>
      <c r="C84" s="70" t="s">
        <v>134</v>
      </c>
      <c r="D84" s="209" t="s">
        <v>202</v>
      </c>
      <c r="E84" s="210"/>
      <c r="F84" s="210"/>
      <c r="G84" s="210"/>
      <c r="H84" s="210"/>
      <c r="I84" s="210"/>
      <c r="J84" s="210"/>
      <c r="K84" s="210"/>
      <c r="L84" s="210"/>
      <c r="M84" s="210"/>
      <c r="N84" s="210"/>
      <c r="O84" s="210"/>
      <c r="P84" s="210"/>
      <c r="Q84" s="210"/>
      <c r="R84" s="210"/>
      <c r="S84" s="210"/>
      <c r="T84" s="210"/>
      <c r="U84" s="210"/>
      <c r="V84" s="210"/>
      <c r="W84" s="210"/>
      <c r="X84" s="210"/>
      <c r="Y84" s="210"/>
      <c r="Z84" s="211"/>
    </row>
    <row r="85" spans="1:26" ht="66" customHeight="1" x14ac:dyDescent="0.15">
      <c r="B85" s="237"/>
      <c r="C85" s="72" t="s">
        <v>135</v>
      </c>
      <c r="D85" s="212" t="s">
        <v>203</v>
      </c>
      <c r="E85" s="213"/>
      <c r="F85" s="213"/>
      <c r="G85" s="213"/>
      <c r="H85" s="213"/>
      <c r="I85" s="213"/>
      <c r="J85" s="213"/>
      <c r="K85" s="213"/>
      <c r="L85" s="213"/>
      <c r="M85" s="213"/>
      <c r="N85" s="213"/>
      <c r="O85" s="213"/>
      <c r="P85" s="213"/>
      <c r="Q85" s="213"/>
      <c r="R85" s="213"/>
      <c r="S85" s="213"/>
      <c r="T85" s="213"/>
      <c r="U85" s="213"/>
      <c r="V85" s="213"/>
      <c r="W85" s="213"/>
      <c r="X85" s="213"/>
      <c r="Y85" s="213"/>
      <c r="Z85" s="214"/>
    </row>
    <row r="86" spans="1:26" ht="66" customHeight="1" x14ac:dyDescent="0.15">
      <c r="B86" s="238" t="s">
        <v>142</v>
      </c>
      <c r="C86" s="75" t="s">
        <v>110</v>
      </c>
      <c r="D86" s="247" t="s">
        <v>204</v>
      </c>
      <c r="E86" s="248"/>
      <c r="F86" s="248"/>
      <c r="G86" s="248"/>
      <c r="H86" s="248"/>
      <c r="I86" s="248"/>
      <c r="J86" s="248"/>
      <c r="K86" s="248"/>
      <c r="L86" s="248"/>
      <c r="M86" s="248"/>
      <c r="N86" s="248"/>
      <c r="O86" s="248"/>
      <c r="P86" s="248"/>
      <c r="Q86" s="248"/>
      <c r="R86" s="248"/>
      <c r="S86" s="248"/>
      <c r="T86" s="248"/>
      <c r="U86" s="248"/>
      <c r="V86" s="248"/>
      <c r="W86" s="248"/>
      <c r="X86" s="248"/>
      <c r="Y86" s="248"/>
      <c r="Z86" s="249"/>
    </row>
    <row r="87" spans="1:26" ht="66" customHeight="1" x14ac:dyDescent="0.15">
      <c r="B87" s="246"/>
      <c r="C87" s="71" t="s">
        <v>112</v>
      </c>
      <c r="D87" s="250" t="s">
        <v>205</v>
      </c>
      <c r="E87" s="251"/>
      <c r="F87" s="251"/>
      <c r="G87" s="251"/>
      <c r="H87" s="251"/>
      <c r="I87" s="251"/>
      <c r="J87" s="251"/>
      <c r="K87" s="251"/>
      <c r="L87" s="251"/>
      <c r="M87" s="251"/>
      <c r="N87" s="251"/>
      <c r="O87" s="251"/>
      <c r="P87" s="251"/>
      <c r="Q87" s="251"/>
      <c r="R87" s="251"/>
      <c r="S87" s="251"/>
      <c r="T87" s="251"/>
      <c r="U87" s="251"/>
      <c r="V87" s="251"/>
      <c r="W87" s="251"/>
      <c r="X87" s="251"/>
      <c r="Y87" s="251"/>
      <c r="Z87" s="252"/>
    </row>
    <row r="88" spans="1:26" ht="66" customHeight="1" x14ac:dyDescent="0.15">
      <c r="B88" s="238" t="s">
        <v>143</v>
      </c>
      <c r="C88" s="70" t="s">
        <v>109</v>
      </c>
      <c r="D88" s="240" t="s">
        <v>206</v>
      </c>
      <c r="E88" s="241"/>
      <c r="F88" s="241"/>
      <c r="G88" s="241"/>
      <c r="H88" s="241"/>
      <c r="I88" s="241"/>
      <c r="J88" s="241"/>
      <c r="K88" s="241"/>
      <c r="L88" s="241"/>
      <c r="M88" s="241"/>
      <c r="N88" s="241"/>
      <c r="O88" s="241"/>
      <c r="P88" s="241"/>
      <c r="Q88" s="241"/>
      <c r="R88" s="241"/>
      <c r="S88" s="241"/>
      <c r="T88" s="241"/>
      <c r="U88" s="241"/>
      <c r="V88" s="241"/>
      <c r="W88" s="241"/>
      <c r="X88" s="241"/>
      <c r="Y88" s="241"/>
      <c r="Z88" s="242"/>
    </row>
    <row r="89" spans="1:26" ht="66" customHeight="1" x14ac:dyDescent="0.15">
      <c r="B89" s="239"/>
      <c r="C89" s="71" t="s">
        <v>138</v>
      </c>
      <c r="D89" s="233" t="s">
        <v>207</v>
      </c>
      <c r="E89" s="234"/>
      <c r="F89" s="234"/>
      <c r="G89" s="234"/>
      <c r="H89" s="234"/>
      <c r="I89" s="234"/>
      <c r="J89" s="234"/>
      <c r="K89" s="234"/>
      <c r="L89" s="234"/>
      <c r="M89" s="234"/>
      <c r="N89" s="234"/>
      <c r="O89" s="234"/>
      <c r="P89" s="234"/>
      <c r="Q89" s="234"/>
      <c r="R89" s="234"/>
      <c r="S89" s="234"/>
      <c r="T89" s="234"/>
      <c r="U89" s="234"/>
      <c r="V89" s="234"/>
      <c r="W89" s="234"/>
      <c r="X89" s="234"/>
      <c r="Y89" s="234"/>
      <c r="Z89" s="235"/>
    </row>
    <row r="90" spans="1:26" ht="66" customHeight="1" x14ac:dyDescent="0.15">
      <c r="B90" s="237"/>
      <c r="C90" s="72" t="s">
        <v>139</v>
      </c>
      <c r="D90" s="243" t="s">
        <v>208</v>
      </c>
      <c r="E90" s="244"/>
      <c r="F90" s="244"/>
      <c r="G90" s="244"/>
      <c r="H90" s="244"/>
      <c r="I90" s="244"/>
      <c r="J90" s="244"/>
      <c r="K90" s="244"/>
      <c r="L90" s="244"/>
      <c r="M90" s="244"/>
      <c r="N90" s="244"/>
      <c r="O90" s="244"/>
      <c r="P90" s="244"/>
      <c r="Q90" s="244"/>
      <c r="R90" s="244"/>
      <c r="S90" s="244"/>
      <c r="T90" s="244"/>
      <c r="U90" s="244"/>
      <c r="V90" s="244"/>
      <c r="W90" s="244"/>
      <c r="X90" s="244"/>
      <c r="Y90" s="244"/>
      <c r="Z90" s="245"/>
    </row>
    <row r="91" spans="1:26" ht="6" customHeight="1" x14ac:dyDescent="0.15"/>
    <row r="92" spans="1:26" ht="18.75" customHeight="1" x14ac:dyDescent="0.15">
      <c r="A92" s="7" t="s">
        <v>147</v>
      </c>
    </row>
    <row r="93" spans="1:26" ht="18.75" customHeight="1" x14ac:dyDescent="0.15">
      <c r="B93" s="188" t="s">
        <v>221</v>
      </c>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90"/>
    </row>
    <row r="94" spans="1:26" ht="18.75" customHeight="1" x14ac:dyDescent="0.15">
      <c r="B94" s="191"/>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3"/>
    </row>
    <row r="95" spans="1:26" ht="18.75" customHeight="1" x14ac:dyDescent="0.15">
      <c r="B95" s="194"/>
      <c r="C95" s="195"/>
      <c r="D95" s="195"/>
      <c r="E95" s="195"/>
      <c r="F95" s="195"/>
      <c r="G95" s="195"/>
      <c r="H95" s="195"/>
      <c r="I95" s="195"/>
      <c r="J95" s="195"/>
      <c r="K95" s="195"/>
      <c r="L95" s="195"/>
      <c r="M95" s="195"/>
      <c r="N95" s="195"/>
      <c r="O95" s="195"/>
      <c r="P95" s="195"/>
      <c r="Q95" s="195"/>
      <c r="R95" s="195"/>
      <c r="S95" s="195"/>
      <c r="T95" s="195"/>
      <c r="U95" s="195"/>
      <c r="V95" s="195"/>
      <c r="W95" s="195"/>
      <c r="X95" s="195"/>
      <c r="Y95" s="195"/>
      <c r="Z95" s="196"/>
    </row>
    <row r="96" spans="1:26" ht="6" customHeight="1" x14ac:dyDescent="0.15"/>
    <row r="97" spans="1:26" ht="15" customHeight="1" x14ac:dyDescent="0.15">
      <c r="A97" s="7" t="s">
        <v>148</v>
      </c>
    </row>
    <row r="98" spans="1:26" ht="15" customHeight="1" x14ac:dyDescent="0.15">
      <c r="B98" s="197" t="s">
        <v>181</v>
      </c>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9"/>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L60:M66 H16:H22 U16:U22 H27:H33 U27:U33 H38:H44 U38:U44 H49:H55 U49:U55 G60:G66 T60:T66 K60"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A4586E56-8E72-4204-AF53-4778C621DAE2}"/>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zoomScaleNormal="100" zoomScaleSheetLayoutView="100" workbookViewId="0">
      <selection activeCell="L35" sqref="L35"/>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8" t="s">
        <v>65</v>
      </c>
      <c r="G1" s="258"/>
      <c r="H1" s="258"/>
      <c r="I1" s="258"/>
      <c r="J1" s="258"/>
      <c r="K1" s="258"/>
      <c r="L1" s="258"/>
      <c r="M1" s="258"/>
      <c r="N1" s="258"/>
      <c r="O1" s="258"/>
      <c r="P1" s="258"/>
      <c r="Q1" s="258"/>
      <c r="R1" s="258"/>
    </row>
    <row r="2" spans="1:20" ht="18" customHeight="1" x14ac:dyDescent="0.15">
      <c r="A2" s="259" t="s">
        <v>93</v>
      </c>
      <c r="B2" s="259"/>
      <c r="C2" s="259"/>
      <c r="D2" s="259"/>
      <c r="E2" s="259"/>
      <c r="F2" s="259"/>
      <c r="G2" s="259"/>
      <c r="H2" s="259"/>
      <c r="I2" s="259"/>
      <c r="J2" s="259"/>
      <c r="K2" s="259"/>
      <c r="L2" s="259"/>
      <c r="M2" s="259"/>
      <c r="N2" s="259"/>
      <c r="O2" s="259"/>
      <c r="P2" s="259"/>
      <c r="Q2" s="259"/>
      <c r="R2" s="259"/>
      <c r="S2" s="3"/>
    </row>
    <row r="3" spans="1:20" ht="7.5" customHeight="1" x14ac:dyDescent="0.15">
      <c r="A3" s="29"/>
      <c r="B3" s="29"/>
      <c r="C3" s="29"/>
      <c r="D3" s="29"/>
      <c r="E3" s="29"/>
      <c r="F3" s="29"/>
      <c r="G3" s="29"/>
      <c r="H3" s="29"/>
      <c r="I3" s="29"/>
      <c r="J3" s="29"/>
      <c r="K3" s="29"/>
      <c r="L3" s="29"/>
      <c r="M3" s="29"/>
      <c r="N3" s="29"/>
      <c r="O3" s="29"/>
      <c r="P3" s="29"/>
      <c r="Q3" s="29"/>
      <c r="R3" s="29"/>
    </row>
    <row r="4" spans="1:20" ht="18" customHeight="1" x14ac:dyDescent="0.15">
      <c r="A4" s="3" t="s">
        <v>151</v>
      </c>
      <c r="B4" s="3"/>
      <c r="C4" s="260" t="str">
        <f>'様式１　大学等概要'!E12</f>
        <v>令和３</v>
      </c>
      <c r="D4" s="261"/>
      <c r="E4" s="29" t="s">
        <v>117</v>
      </c>
      <c r="F4" s="29"/>
      <c r="G4" s="29"/>
      <c r="H4" s="29"/>
      <c r="I4" s="29"/>
      <c r="J4" s="76"/>
      <c r="K4" s="29"/>
      <c r="L4" s="29"/>
      <c r="M4" s="105"/>
      <c r="N4" s="105"/>
      <c r="O4" s="105"/>
      <c r="P4" s="105"/>
      <c r="Q4" s="105"/>
      <c r="R4" s="105"/>
    </row>
    <row r="5" spans="1:20" ht="6" customHeight="1" x14ac:dyDescent="0.15">
      <c r="A5" s="29"/>
      <c r="B5" s="29"/>
      <c r="C5" s="29"/>
      <c r="D5" s="29"/>
      <c r="E5" s="29"/>
      <c r="F5" s="29"/>
      <c r="G5" s="29"/>
      <c r="H5" s="29"/>
      <c r="I5" s="29"/>
      <c r="J5" s="29"/>
      <c r="K5" s="29"/>
      <c r="L5" s="29"/>
      <c r="M5" s="29"/>
      <c r="N5" s="29"/>
      <c r="O5" s="29"/>
      <c r="P5" s="29"/>
      <c r="Q5" s="29"/>
      <c r="R5" s="29"/>
    </row>
    <row r="6" spans="1:20" ht="18" customHeight="1" x14ac:dyDescent="0.15">
      <c r="A6" s="3" t="s">
        <v>149</v>
      </c>
      <c r="B6" s="29"/>
      <c r="C6" s="29"/>
      <c r="D6" s="29"/>
      <c r="E6" s="29"/>
      <c r="F6" s="29"/>
      <c r="G6" s="29"/>
      <c r="H6" s="29"/>
      <c r="I6" s="29"/>
      <c r="J6" s="29"/>
      <c r="K6" s="29"/>
      <c r="L6" s="29"/>
      <c r="M6" s="29"/>
      <c r="N6" s="29"/>
      <c r="O6" s="29"/>
      <c r="P6" s="29"/>
      <c r="Q6" s="29"/>
      <c r="R6" s="29"/>
    </row>
    <row r="7" spans="1:20" ht="6" customHeight="1" x14ac:dyDescent="0.15">
      <c r="A7" s="3"/>
      <c r="B7" s="29"/>
      <c r="C7" s="29"/>
      <c r="D7" s="29"/>
      <c r="E7" s="29"/>
      <c r="F7" s="29"/>
      <c r="G7" s="29"/>
      <c r="H7" s="29"/>
      <c r="I7" s="29"/>
      <c r="J7" s="29"/>
      <c r="K7" s="29"/>
      <c r="L7" s="29"/>
      <c r="M7" s="29"/>
      <c r="N7" s="29"/>
      <c r="O7" s="29"/>
      <c r="P7" s="29"/>
      <c r="Q7" s="29"/>
      <c r="R7" s="29"/>
    </row>
    <row r="8" spans="1:20" ht="18" customHeight="1" x14ac:dyDescent="0.15">
      <c r="B8" s="262" t="s">
        <v>83</v>
      </c>
      <c r="C8" s="264" t="s">
        <v>88</v>
      </c>
      <c r="D8" s="266" t="s">
        <v>70</v>
      </c>
      <c r="E8" s="268" t="s">
        <v>94</v>
      </c>
      <c r="F8" s="268"/>
      <c r="G8" s="268" t="s">
        <v>95</v>
      </c>
      <c r="H8" s="268"/>
      <c r="I8" s="268" t="s">
        <v>96</v>
      </c>
      <c r="J8" s="268"/>
      <c r="K8" s="269" t="s">
        <v>97</v>
      </c>
      <c r="L8" s="270"/>
      <c r="M8" s="269" t="s">
        <v>98</v>
      </c>
      <c r="N8" s="270"/>
      <c r="O8" s="269" t="s">
        <v>99</v>
      </c>
      <c r="P8" s="270"/>
      <c r="Q8" s="271" t="s">
        <v>64</v>
      </c>
      <c r="R8" s="273" t="s">
        <v>58</v>
      </c>
      <c r="T8" s="25"/>
    </row>
    <row r="9" spans="1:20" ht="18" customHeight="1" x14ac:dyDescent="0.15">
      <c r="A9" s="3"/>
      <c r="B9" s="263"/>
      <c r="C9" s="265"/>
      <c r="D9" s="267"/>
      <c r="E9" s="33" t="s">
        <v>46</v>
      </c>
      <c r="F9" s="34" t="s">
        <v>45</v>
      </c>
      <c r="G9" s="35" t="s">
        <v>46</v>
      </c>
      <c r="H9" s="36" t="s">
        <v>45</v>
      </c>
      <c r="I9" s="33" t="s">
        <v>46</v>
      </c>
      <c r="J9" s="34" t="s">
        <v>45</v>
      </c>
      <c r="K9" s="35" t="s">
        <v>46</v>
      </c>
      <c r="L9" s="36" t="s">
        <v>45</v>
      </c>
      <c r="M9" s="33" t="s">
        <v>46</v>
      </c>
      <c r="N9" s="34" t="s">
        <v>45</v>
      </c>
      <c r="O9" s="35" t="s">
        <v>46</v>
      </c>
      <c r="P9" s="36" t="s">
        <v>45</v>
      </c>
      <c r="Q9" s="272"/>
      <c r="R9" s="274"/>
      <c r="T9" s="25"/>
    </row>
    <row r="10" spans="1:20" ht="18" customHeight="1" x14ac:dyDescent="0.15">
      <c r="A10" s="37"/>
      <c r="B10" s="77" t="s">
        <v>182</v>
      </c>
      <c r="C10" s="37">
        <v>120</v>
      </c>
      <c r="D10" s="38">
        <v>480</v>
      </c>
      <c r="E10" s="39">
        <v>0</v>
      </c>
      <c r="F10" s="40">
        <v>0</v>
      </c>
      <c r="G10" s="41"/>
      <c r="H10" s="42"/>
      <c r="I10" s="39"/>
      <c r="J10" s="40"/>
      <c r="K10" s="41"/>
      <c r="L10" s="42"/>
      <c r="M10" s="39"/>
      <c r="N10" s="40"/>
      <c r="O10" s="41"/>
      <c r="P10" s="42"/>
      <c r="Q10" s="43">
        <f>E10+G10+I10+K10+M10+O10</f>
        <v>0</v>
      </c>
      <c r="R10" s="44">
        <f>Q10/D10</f>
        <v>0</v>
      </c>
    </row>
    <row r="11" spans="1:20" ht="18" customHeight="1" x14ac:dyDescent="0.15">
      <c r="A11" s="37"/>
      <c r="B11" s="78" t="s">
        <v>183</v>
      </c>
      <c r="C11" s="53">
        <v>170</v>
      </c>
      <c r="D11" s="46">
        <v>900</v>
      </c>
      <c r="E11" s="47">
        <v>0</v>
      </c>
      <c r="F11" s="48">
        <v>0</v>
      </c>
      <c r="G11" s="49"/>
      <c r="H11" s="50"/>
      <c r="I11" s="47"/>
      <c r="J11" s="48"/>
      <c r="K11" s="49"/>
      <c r="L11" s="50"/>
      <c r="M11" s="47"/>
      <c r="N11" s="48"/>
      <c r="O11" s="49"/>
      <c r="P11" s="50"/>
      <c r="Q11" s="51">
        <f t="shared" ref="Q11:Q14" si="0">E11+G11+I11+K11+M11+O11</f>
        <v>0</v>
      </c>
      <c r="R11" s="52">
        <f t="shared" ref="R11:R14" si="1">Q11/D11</f>
        <v>0</v>
      </c>
    </row>
    <row r="12" spans="1:20" ht="18" customHeight="1" x14ac:dyDescent="0.15">
      <c r="A12" s="37"/>
      <c r="B12" s="78" t="s">
        <v>184</v>
      </c>
      <c r="C12" s="53">
        <v>370</v>
      </c>
      <c r="D12" s="46">
        <v>1480</v>
      </c>
      <c r="E12" s="47">
        <v>33</v>
      </c>
      <c r="F12" s="48">
        <v>19</v>
      </c>
      <c r="G12" s="49"/>
      <c r="H12" s="50"/>
      <c r="I12" s="47"/>
      <c r="J12" s="48"/>
      <c r="K12" s="49"/>
      <c r="L12" s="50"/>
      <c r="M12" s="47"/>
      <c r="N12" s="48"/>
      <c r="O12" s="49"/>
      <c r="P12" s="50"/>
      <c r="Q12" s="51">
        <f t="shared" si="0"/>
        <v>33</v>
      </c>
      <c r="R12" s="52">
        <f t="shared" si="1"/>
        <v>2.2297297297297299E-2</v>
      </c>
    </row>
    <row r="13" spans="1:20" ht="18" customHeight="1" x14ac:dyDescent="0.15">
      <c r="A13" s="37"/>
      <c r="B13" s="78" t="s">
        <v>185</v>
      </c>
      <c r="C13" s="53">
        <v>285</v>
      </c>
      <c r="D13" s="46">
        <v>1200</v>
      </c>
      <c r="E13" s="47">
        <v>27</v>
      </c>
      <c r="F13" s="48">
        <v>19</v>
      </c>
      <c r="G13" s="49"/>
      <c r="H13" s="50"/>
      <c r="I13" s="47"/>
      <c r="J13" s="48"/>
      <c r="K13" s="49"/>
      <c r="L13" s="50"/>
      <c r="M13" s="47"/>
      <c r="N13" s="48"/>
      <c r="O13" s="49"/>
      <c r="P13" s="50"/>
      <c r="Q13" s="51">
        <f t="shared" si="0"/>
        <v>27</v>
      </c>
      <c r="R13" s="52">
        <f t="shared" si="1"/>
        <v>2.2499999999999999E-2</v>
      </c>
    </row>
    <row r="14" spans="1:20" ht="18" customHeight="1" x14ac:dyDescent="0.15">
      <c r="A14" s="37"/>
      <c r="B14" s="78" t="s">
        <v>186</v>
      </c>
      <c r="C14" s="53">
        <v>90</v>
      </c>
      <c r="D14" s="46">
        <v>360</v>
      </c>
      <c r="E14" s="47">
        <v>5</v>
      </c>
      <c r="F14" s="48">
        <v>4</v>
      </c>
      <c r="G14" s="49"/>
      <c r="H14" s="50"/>
      <c r="I14" s="47"/>
      <c r="J14" s="48"/>
      <c r="K14" s="49"/>
      <c r="L14" s="50"/>
      <c r="M14" s="47"/>
      <c r="N14" s="48"/>
      <c r="O14" s="49"/>
      <c r="P14" s="50"/>
      <c r="Q14" s="51">
        <f t="shared" si="0"/>
        <v>5</v>
      </c>
      <c r="R14" s="52">
        <f t="shared" si="1"/>
        <v>1.3888888888888888E-2</v>
      </c>
    </row>
    <row r="15" spans="1:20" ht="18" customHeight="1" x14ac:dyDescent="0.15">
      <c r="A15" s="37"/>
      <c r="B15" s="78"/>
      <c r="C15" s="53"/>
      <c r="D15" s="46"/>
      <c r="E15" s="47"/>
      <c r="F15" s="48"/>
      <c r="G15" s="49"/>
      <c r="H15" s="50"/>
      <c r="I15" s="47"/>
      <c r="J15" s="48"/>
      <c r="K15" s="49"/>
      <c r="L15" s="50"/>
      <c r="M15" s="47"/>
      <c r="N15" s="48"/>
      <c r="O15" s="49"/>
      <c r="P15" s="50"/>
      <c r="Q15" s="51"/>
      <c r="R15" s="52"/>
    </row>
    <row r="16" spans="1:20" ht="18" customHeight="1" x14ac:dyDescent="0.15">
      <c r="A16" s="37"/>
      <c r="B16" s="78" t="s">
        <v>187</v>
      </c>
      <c r="C16" s="53"/>
      <c r="D16" s="46"/>
      <c r="E16" s="47"/>
      <c r="F16" s="48"/>
      <c r="G16" s="49"/>
      <c r="H16" s="50"/>
      <c r="I16" s="47"/>
      <c r="J16" s="48"/>
      <c r="K16" s="49"/>
      <c r="L16" s="50"/>
      <c r="M16" s="47"/>
      <c r="N16" s="48"/>
      <c r="O16" s="49"/>
      <c r="P16" s="50"/>
      <c r="Q16" s="51"/>
      <c r="R16" s="52"/>
    </row>
    <row r="17" spans="1:18" ht="18" customHeight="1" x14ac:dyDescent="0.15">
      <c r="A17" s="37"/>
      <c r="B17" s="78" t="s">
        <v>188</v>
      </c>
      <c r="C17" s="53"/>
      <c r="D17" s="46"/>
      <c r="E17" s="47"/>
      <c r="F17" s="48"/>
      <c r="G17" s="49"/>
      <c r="H17" s="50"/>
      <c r="I17" s="47"/>
      <c r="J17" s="48"/>
      <c r="K17" s="49"/>
      <c r="L17" s="50"/>
      <c r="M17" s="47"/>
      <c r="N17" s="48"/>
      <c r="O17" s="49"/>
      <c r="P17" s="50"/>
      <c r="Q17" s="51"/>
      <c r="R17" s="52"/>
    </row>
    <row r="18" spans="1:18" ht="18" customHeight="1" x14ac:dyDescent="0.15">
      <c r="A18" s="37"/>
      <c r="B18" s="78" t="s">
        <v>182</v>
      </c>
      <c r="C18" s="53">
        <v>120</v>
      </c>
      <c r="D18" s="46">
        <v>480</v>
      </c>
      <c r="E18" s="47">
        <v>130</v>
      </c>
      <c r="F18" s="48">
        <v>128</v>
      </c>
      <c r="G18" s="111">
        <v>127</v>
      </c>
      <c r="H18" s="112">
        <v>125</v>
      </c>
      <c r="I18" s="113">
        <v>125</v>
      </c>
      <c r="J18" s="114">
        <v>122</v>
      </c>
      <c r="K18" s="111">
        <v>128</v>
      </c>
      <c r="L18" s="112">
        <v>127</v>
      </c>
      <c r="M18" s="113">
        <v>126</v>
      </c>
      <c r="N18" s="114">
        <v>125</v>
      </c>
      <c r="O18" s="111">
        <v>128</v>
      </c>
      <c r="P18" s="112">
        <v>127</v>
      </c>
      <c r="Q18" s="51"/>
      <c r="R18" s="52"/>
    </row>
    <row r="19" spans="1:18" ht="18" customHeight="1" x14ac:dyDescent="0.15">
      <c r="A19" s="37"/>
      <c r="B19" s="78" t="s">
        <v>183</v>
      </c>
      <c r="C19" s="53">
        <v>170</v>
      </c>
      <c r="D19" s="46">
        <v>900</v>
      </c>
      <c r="E19" s="47">
        <v>171</v>
      </c>
      <c r="F19" s="48">
        <v>170</v>
      </c>
      <c r="G19" s="111">
        <v>172</v>
      </c>
      <c r="H19" s="112">
        <v>172</v>
      </c>
      <c r="I19" s="113">
        <v>173</v>
      </c>
      <c r="J19" s="114">
        <v>173</v>
      </c>
      <c r="K19" s="111">
        <v>169</v>
      </c>
      <c r="L19" s="112">
        <v>169</v>
      </c>
      <c r="M19" s="113">
        <v>168</v>
      </c>
      <c r="N19" s="114">
        <v>168</v>
      </c>
      <c r="O19" s="111">
        <v>168</v>
      </c>
      <c r="P19" s="112">
        <v>168</v>
      </c>
      <c r="Q19" s="51"/>
      <c r="R19" s="52"/>
    </row>
    <row r="20" spans="1:18" ht="18" customHeight="1" x14ac:dyDescent="0.15">
      <c r="A20" s="37"/>
      <c r="B20" s="78" t="s">
        <v>184</v>
      </c>
      <c r="C20" s="53">
        <v>370</v>
      </c>
      <c r="D20" s="46">
        <v>1480</v>
      </c>
      <c r="E20" s="47">
        <v>381</v>
      </c>
      <c r="F20" s="48">
        <v>367</v>
      </c>
      <c r="G20" s="111">
        <v>385</v>
      </c>
      <c r="H20" s="112">
        <v>368</v>
      </c>
      <c r="I20" s="113">
        <v>387</v>
      </c>
      <c r="J20" s="114">
        <v>372</v>
      </c>
      <c r="K20" s="111">
        <v>381</v>
      </c>
      <c r="L20" s="112">
        <v>370</v>
      </c>
      <c r="M20" s="113">
        <v>390</v>
      </c>
      <c r="N20" s="114">
        <v>380</v>
      </c>
      <c r="O20" s="111">
        <v>393</v>
      </c>
      <c r="P20" s="112">
        <v>371</v>
      </c>
      <c r="Q20" s="51"/>
      <c r="R20" s="52"/>
    </row>
    <row r="21" spans="1:18" ht="18" customHeight="1" x14ac:dyDescent="0.15">
      <c r="A21" s="37"/>
      <c r="B21" s="78" t="s">
        <v>185</v>
      </c>
      <c r="C21" s="53">
        <v>285</v>
      </c>
      <c r="D21" s="46">
        <v>1200</v>
      </c>
      <c r="E21" s="47">
        <v>294</v>
      </c>
      <c r="F21" s="48">
        <v>291</v>
      </c>
      <c r="G21" s="111">
        <v>296</v>
      </c>
      <c r="H21" s="112">
        <v>290</v>
      </c>
      <c r="I21" s="113">
        <v>289</v>
      </c>
      <c r="J21" s="114">
        <v>289</v>
      </c>
      <c r="K21" s="111">
        <v>286</v>
      </c>
      <c r="L21" s="112">
        <v>282</v>
      </c>
      <c r="M21" s="113">
        <v>286</v>
      </c>
      <c r="N21" s="114">
        <v>282</v>
      </c>
      <c r="O21" s="111">
        <v>281</v>
      </c>
      <c r="P21" s="112">
        <v>280</v>
      </c>
      <c r="Q21" s="51"/>
      <c r="R21" s="52"/>
    </row>
    <row r="22" spans="1:18" ht="18" customHeight="1" x14ac:dyDescent="0.15">
      <c r="A22" s="37"/>
      <c r="B22" s="78" t="s">
        <v>186</v>
      </c>
      <c r="C22" s="53">
        <v>90</v>
      </c>
      <c r="D22" s="46">
        <v>360</v>
      </c>
      <c r="E22" s="47">
        <v>95</v>
      </c>
      <c r="F22" s="48">
        <v>94</v>
      </c>
      <c r="G22" s="111">
        <v>93</v>
      </c>
      <c r="H22" s="112">
        <v>89</v>
      </c>
      <c r="I22" s="113">
        <v>94</v>
      </c>
      <c r="J22" s="114">
        <v>92</v>
      </c>
      <c r="K22" s="111">
        <v>95</v>
      </c>
      <c r="L22" s="112">
        <v>95</v>
      </c>
      <c r="M22" s="113">
        <v>98</v>
      </c>
      <c r="N22" s="114">
        <v>98</v>
      </c>
      <c r="O22" s="111">
        <v>96</v>
      </c>
      <c r="P22" s="112">
        <v>96</v>
      </c>
      <c r="Q22" s="51"/>
      <c r="R22" s="52"/>
    </row>
    <row r="23" spans="1:18" ht="18" customHeight="1" x14ac:dyDescent="0.15">
      <c r="A23" s="37"/>
      <c r="B23" s="78" t="s">
        <v>189</v>
      </c>
      <c r="C23" s="53"/>
      <c r="D23" s="46"/>
      <c r="E23" s="47"/>
      <c r="F23" s="48"/>
      <c r="G23" s="49"/>
      <c r="H23" s="50"/>
      <c r="I23" s="47"/>
      <c r="J23" s="48"/>
      <c r="K23" s="49"/>
      <c r="L23" s="50"/>
      <c r="M23" s="47"/>
      <c r="N23" s="48"/>
      <c r="O23" s="49"/>
      <c r="P23" s="50"/>
      <c r="Q23" s="51"/>
      <c r="R23" s="52"/>
    </row>
    <row r="24" spans="1:18" ht="18" customHeight="1" x14ac:dyDescent="0.15">
      <c r="A24" s="37"/>
      <c r="B24" s="78" t="s">
        <v>182</v>
      </c>
      <c r="C24" s="53">
        <v>120</v>
      </c>
      <c r="D24" s="46">
        <v>480</v>
      </c>
      <c r="E24" s="47">
        <v>0</v>
      </c>
      <c r="F24" s="48">
        <v>0</v>
      </c>
      <c r="G24" s="49"/>
      <c r="H24" s="50"/>
      <c r="I24" s="47"/>
      <c r="J24" s="48"/>
      <c r="K24" s="49"/>
      <c r="L24" s="50"/>
      <c r="M24" s="47"/>
      <c r="N24" s="48"/>
      <c r="O24" s="49"/>
      <c r="P24" s="50"/>
      <c r="Q24" s="51"/>
      <c r="R24" s="52"/>
    </row>
    <row r="25" spans="1:18" ht="18" customHeight="1" x14ac:dyDescent="0.15">
      <c r="A25" s="37"/>
      <c r="B25" s="78" t="s">
        <v>183</v>
      </c>
      <c r="C25" s="53">
        <v>170</v>
      </c>
      <c r="D25" s="46">
        <v>900</v>
      </c>
      <c r="E25" s="47">
        <v>0</v>
      </c>
      <c r="F25" s="48">
        <v>0</v>
      </c>
      <c r="G25" s="49"/>
      <c r="H25" s="50"/>
      <c r="I25" s="47"/>
      <c r="J25" s="48"/>
      <c r="K25" s="49"/>
      <c r="L25" s="50"/>
      <c r="M25" s="47"/>
      <c r="N25" s="48"/>
      <c r="O25" s="49"/>
      <c r="P25" s="50"/>
      <c r="Q25" s="51"/>
      <c r="R25" s="52"/>
    </row>
    <row r="26" spans="1:18" ht="18" customHeight="1" x14ac:dyDescent="0.15">
      <c r="A26" s="37"/>
      <c r="B26" s="78" t="s">
        <v>184</v>
      </c>
      <c r="C26" s="53">
        <v>370</v>
      </c>
      <c r="D26" s="46">
        <v>1480</v>
      </c>
      <c r="E26" s="47">
        <v>33</v>
      </c>
      <c r="F26" s="48">
        <v>19</v>
      </c>
      <c r="G26" s="49"/>
      <c r="H26" s="50"/>
      <c r="I26" s="47"/>
      <c r="J26" s="48"/>
      <c r="K26" s="49"/>
      <c r="L26" s="50"/>
      <c r="M26" s="47"/>
      <c r="N26" s="48"/>
      <c r="O26" s="49"/>
      <c r="P26" s="50"/>
      <c r="Q26" s="51"/>
      <c r="R26" s="52"/>
    </row>
    <row r="27" spans="1:18" ht="18" customHeight="1" x14ac:dyDescent="0.15">
      <c r="A27" s="37"/>
      <c r="B27" s="78" t="s">
        <v>185</v>
      </c>
      <c r="C27" s="45">
        <v>285</v>
      </c>
      <c r="D27" s="46">
        <v>1200</v>
      </c>
      <c r="E27" s="47">
        <v>27</v>
      </c>
      <c r="F27" s="48">
        <v>19</v>
      </c>
      <c r="G27" s="49"/>
      <c r="H27" s="50"/>
      <c r="I27" s="47"/>
      <c r="J27" s="48"/>
      <c r="K27" s="49"/>
      <c r="L27" s="50"/>
      <c r="M27" s="47"/>
      <c r="N27" s="48"/>
      <c r="O27" s="49"/>
      <c r="P27" s="50"/>
      <c r="Q27" s="51"/>
      <c r="R27" s="52"/>
    </row>
    <row r="28" spans="1:18" ht="18" customHeight="1" x14ac:dyDescent="0.15">
      <c r="A28" s="37"/>
      <c r="B28" s="78" t="s">
        <v>186</v>
      </c>
      <c r="C28" s="45">
        <v>90</v>
      </c>
      <c r="D28" s="46">
        <v>360</v>
      </c>
      <c r="E28" s="47">
        <v>5</v>
      </c>
      <c r="F28" s="48">
        <v>4</v>
      </c>
      <c r="G28" s="49"/>
      <c r="H28" s="50"/>
      <c r="I28" s="47"/>
      <c r="J28" s="48"/>
      <c r="K28" s="49"/>
      <c r="L28" s="50"/>
      <c r="M28" s="47"/>
      <c r="N28" s="48"/>
      <c r="O28" s="49"/>
      <c r="P28" s="50"/>
      <c r="Q28" s="51"/>
      <c r="R28" s="52"/>
    </row>
    <row r="29" spans="1:18" ht="18" customHeight="1" thickBot="1" x14ac:dyDescent="0.2">
      <c r="A29" s="37"/>
      <c r="B29" s="79"/>
      <c r="C29" s="80"/>
      <c r="D29" s="38"/>
      <c r="E29" s="39"/>
      <c r="F29" s="40"/>
      <c r="G29" s="41"/>
      <c r="H29" s="42"/>
      <c r="I29" s="39"/>
      <c r="J29" s="40"/>
      <c r="K29" s="41"/>
      <c r="L29" s="42"/>
      <c r="M29" s="39"/>
      <c r="N29" s="40"/>
      <c r="O29" s="41"/>
      <c r="P29" s="42"/>
      <c r="Q29" s="54"/>
      <c r="R29" s="44"/>
    </row>
    <row r="30" spans="1:18" ht="18" customHeight="1" thickTop="1" x14ac:dyDescent="0.15">
      <c r="B30" s="81" t="s">
        <v>59</v>
      </c>
      <c r="C30" s="82">
        <f>SUM(C10:C14)</f>
        <v>1035</v>
      </c>
      <c r="D30" s="55">
        <f>SUM(D10:D14)</f>
        <v>4420</v>
      </c>
      <c r="E30" s="56">
        <f>SUM(E10:E14)</f>
        <v>65</v>
      </c>
      <c r="F30" s="57">
        <f>SUM(F10:F14)</f>
        <v>42</v>
      </c>
      <c r="G30" s="58"/>
      <c r="H30" s="59"/>
      <c r="I30" s="56"/>
      <c r="J30" s="57"/>
      <c r="K30" s="58"/>
      <c r="L30" s="59"/>
      <c r="M30" s="56"/>
      <c r="N30" s="57"/>
      <c r="O30" s="58"/>
      <c r="P30" s="59"/>
      <c r="Q30" s="60">
        <f>SUM(Q10:Q14)</f>
        <v>65</v>
      </c>
      <c r="R30" s="61">
        <f>Q30/D30</f>
        <v>1.4705882352941176E-2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K11" sqref="K11"/>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4"/>
    <col min="12" max="16384" width="11.375" style="1"/>
  </cols>
  <sheetData>
    <row r="1" spans="1:11" ht="18.75" customHeight="1" x14ac:dyDescent="0.15">
      <c r="A1" s="2" t="s">
        <v>118</v>
      </c>
      <c r="J1" s="32" t="s">
        <v>119</v>
      </c>
    </row>
    <row r="2" spans="1:11" ht="18.75" customHeight="1" x14ac:dyDescent="0.15">
      <c r="A2" s="259" t="s">
        <v>66</v>
      </c>
      <c r="B2" s="259"/>
      <c r="C2" s="259"/>
      <c r="D2" s="259"/>
      <c r="E2" s="259"/>
      <c r="F2" s="259"/>
      <c r="G2" s="259"/>
      <c r="H2" s="259"/>
      <c r="I2" s="259"/>
      <c r="J2" s="259"/>
    </row>
    <row r="3" spans="1:11" ht="7.5" customHeight="1" x14ac:dyDescent="0.15">
      <c r="B3" s="29"/>
      <c r="C3" s="29"/>
      <c r="D3" s="29"/>
      <c r="E3" s="29"/>
      <c r="F3" s="29"/>
      <c r="G3" s="29"/>
      <c r="H3" s="29"/>
      <c r="I3" s="29"/>
      <c r="J3" s="29"/>
    </row>
    <row r="4" spans="1:11" ht="18.75" customHeight="1" x14ac:dyDescent="0.15">
      <c r="A4" s="1" t="s">
        <v>6</v>
      </c>
      <c r="B4" s="3" t="s">
        <v>76</v>
      </c>
      <c r="C4" s="3"/>
      <c r="D4" s="3"/>
      <c r="E4" s="3"/>
      <c r="F4" s="3"/>
      <c r="G4" s="3"/>
      <c r="H4" s="3"/>
      <c r="I4" s="29"/>
      <c r="J4" s="29"/>
    </row>
    <row r="5" spans="1:11" ht="18.75" customHeight="1" x14ac:dyDescent="0.15">
      <c r="A5" s="1"/>
      <c r="B5" s="155" t="s">
        <v>190</v>
      </c>
      <c r="C5" s="156"/>
      <c r="D5" s="156"/>
      <c r="E5" s="156"/>
      <c r="F5" s="156"/>
      <c r="G5" s="156"/>
      <c r="H5" s="156"/>
      <c r="I5" s="156"/>
      <c r="J5" s="296"/>
      <c r="K5" s="24" t="str">
        <f>IF(B5="","入力してください","")</f>
        <v/>
      </c>
    </row>
    <row r="6" spans="1:11" ht="7.5" customHeight="1" x14ac:dyDescent="0.15">
      <c r="B6" s="29"/>
      <c r="C6" s="29"/>
      <c r="D6" s="29"/>
      <c r="E6" s="29"/>
      <c r="F6" s="29"/>
      <c r="G6" s="29"/>
      <c r="H6" s="29"/>
      <c r="I6" s="29"/>
      <c r="J6" s="29"/>
    </row>
    <row r="7" spans="1:11" s="3" customFormat="1" ht="18.75" customHeight="1" x14ac:dyDescent="0.15">
      <c r="A7" s="1" t="s">
        <v>10</v>
      </c>
      <c r="B7" s="1" t="s">
        <v>41</v>
      </c>
      <c r="C7" s="1"/>
      <c r="D7" s="1"/>
      <c r="E7" s="1"/>
      <c r="F7" s="1"/>
      <c r="G7" s="1"/>
      <c r="H7" s="1"/>
      <c r="I7" s="1"/>
      <c r="J7" s="1"/>
      <c r="K7" s="26"/>
    </row>
    <row r="8" spans="1:11" s="3" customFormat="1" ht="18.75" customHeight="1" x14ac:dyDescent="0.15">
      <c r="A8" s="83"/>
      <c r="B8" s="275" t="s">
        <v>192</v>
      </c>
      <c r="C8" s="276"/>
      <c r="D8" s="276"/>
      <c r="E8" s="276"/>
      <c r="F8" s="276"/>
      <c r="G8" s="276"/>
      <c r="H8" s="276"/>
      <c r="I8" s="284"/>
      <c r="J8" s="285"/>
      <c r="K8" s="24" t="str">
        <f>IF(B8="","入力してください","")</f>
        <v/>
      </c>
    </row>
    <row r="9" spans="1:11" s="3" customFormat="1" ht="18.75" customHeight="1" x14ac:dyDescent="0.15">
      <c r="A9" s="83"/>
      <c r="B9" s="286"/>
      <c r="C9" s="287"/>
      <c r="D9" s="287"/>
      <c r="E9" s="287"/>
      <c r="F9" s="287"/>
      <c r="G9" s="287"/>
      <c r="H9" s="287"/>
      <c r="I9" s="287"/>
      <c r="J9" s="288"/>
      <c r="K9" s="24"/>
    </row>
    <row r="10" spans="1:11" s="3" customFormat="1" ht="18.75" customHeight="1" x14ac:dyDescent="0.15">
      <c r="A10" s="83"/>
      <c r="B10" s="286"/>
      <c r="C10" s="287"/>
      <c r="D10" s="287"/>
      <c r="E10" s="287"/>
      <c r="F10" s="287"/>
      <c r="G10" s="287"/>
      <c r="H10" s="287"/>
      <c r="I10" s="287"/>
      <c r="J10" s="288"/>
      <c r="K10" s="24"/>
    </row>
    <row r="11" spans="1:11" s="3" customFormat="1" ht="18.75" customHeight="1" x14ac:dyDescent="0.15">
      <c r="A11" s="83"/>
      <c r="B11" s="286"/>
      <c r="C11" s="287"/>
      <c r="D11" s="287"/>
      <c r="E11" s="287"/>
      <c r="F11" s="287"/>
      <c r="G11" s="287"/>
      <c r="H11" s="287"/>
      <c r="I11" s="287"/>
      <c r="J11" s="288"/>
      <c r="K11" s="24"/>
    </row>
    <row r="12" spans="1:11" s="3" customFormat="1" ht="18.75" customHeight="1" x14ac:dyDescent="0.15">
      <c r="A12" s="83"/>
      <c r="B12" s="289"/>
      <c r="C12" s="290"/>
      <c r="D12" s="290"/>
      <c r="E12" s="290"/>
      <c r="F12" s="290"/>
      <c r="G12" s="290"/>
      <c r="H12" s="290"/>
      <c r="I12" s="290"/>
      <c r="J12" s="291"/>
      <c r="K12" s="24"/>
    </row>
    <row r="13" spans="1:11" s="3" customFormat="1" ht="7.5" customHeight="1" x14ac:dyDescent="0.15">
      <c r="A13" s="83"/>
      <c r="B13" s="67"/>
      <c r="C13" s="67"/>
      <c r="D13" s="67"/>
      <c r="E13" s="67"/>
      <c r="F13" s="67"/>
      <c r="G13" s="67"/>
      <c r="H13" s="67"/>
      <c r="I13" s="67"/>
      <c r="J13" s="67"/>
      <c r="K13" s="24"/>
    </row>
    <row r="14" spans="1:11" s="3" customFormat="1" ht="18.75" customHeight="1" x14ac:dyDescent="0.15">
      <c r="A14" s="84" t="s">
        <v>11</v>
      </c>
      <c r="B14" s="115" t="s">
        <v>16</v>
      </c>
      <c r="C14" s="115"/>
      <c r="D14" s="115"/>
      <c r="E14" s="115"/>
      <c r="F14" s="115"/>
      <c r="G14" s="115"/>
      <c r="H14" s="115"/>
      <c r="I14" s="115"/>
      <c r="J14" s="115"/>
      <c r="K14" s="24"/>
    </row>
    <row r="15" spans="1:11" s="3" customFormat="1" ht="18.75" customHeight="1" x14ac:dyDescent="0.15">
      <c r="A15" s="83"/>
      <c r="B15" s="275" t="s">
        <v>191</v>
      </c>
      <c r="C15" s="276"/>
      <c r="D15" s="276"/>
      <c r="E15" s="276"/>
      <c r="F15" s="276"/>
      <c r="G15" s="276"/>
      <c r="H15" s="276"/>
      <c r="I15" s="284"/>
      <c r="J15" s="285"/>
      <c r="K15" s="24" t="str">
        <f>IF(B15="","入力してください","")</f>
        <v/>
      </c>
    </row>
    <row r="16" spans="1:11" s="3" customFormat="1" ht="18.75" customHeight="1" x14ac:dyDescent="0.15">
      <c r="A16" s="83"/>
      <c r="B16" s="286"/>
      <c r="C16" s="287"/>
      <c r="D16" s="287"/>
      <c r="E16" s="287"/>
      <c r="F16" s="287"/>
      <c r="G16" s="287"/>
      <c r="H16" s="287"/>
      <c r="I16" s="287"/>
      <c r="J16" s="288"/>
      <c r="K16" s="24"/>
    </row>
    <row r="17" spans="1:11" s="3" customFormat="1" ht="18.75" customHeight="1" x14ac:dyDescent="0.15">
      <c r="A17" s="83"/>
      <c r="B17" s="286"/>
      <c r="C17" s="287"/>
      <c r="D17" s="287"/>
      <c r="E17" s="287"/>
      <c r="F17" s="287"/>
      <c r="G17" s="287"/>
      <c r="H17" s="287"/>
      <c r="I17" s="287"/>
      <c r="J17" s="288"/>
      <c r="K17" s="24"/>
    </row>
    <row r="18" spans="1:11" s="3" customFormat="1" ht="18.75" customHeight="1" x14ac:dyDescent="0.15">
      <c r="A18" s="83"/>
      <c r="B18" s="286"/>
      <c r="C18" s="287"/>
      <c r="D18" s="287"/>
      <c r="E18" s="287"/>
      <c r="F18" s="287"/>
      <c r="G18" s="287"/>
      <c r="H18" s="287"/>
      <c r="I18" s="287"/>
      <c r="J18" s="288"/>
      <c r="K18" s="24"/>
    </row>
    <row r="19" spans="1:11" s="3" customFormat="1" ht="18.75" customHeight="1" x14ac:dyDescent="0.15">
      <c r="A19" s="83"/>
      <c r="B19" s="286"/>
      <c r="C19" s="287"/>
      <c r="D19" s="287"/>
      <c r="E19" s="287"/>
      <c r="F19" s="287"/>
      <c r="G19" s="287"/>
      <c r="H19" s="287"/>
      <c r="I19" s="287"/>
      <c r="J19" s="288"/>
      <c r="K19" s="24"/>
    </row>
    <row r="20" spans="1:11" s="3" customFormat="1" ht="18.75" customHeight="1" x14ac:dyDescent="0.15">
      <c r="A20" s="83"/>
      <c r="B20" s="286"/>
      <c r="C20" s="287"/>
      <c r="D20" s="287"/>
      <c r="E20" s="287"/>
      <c r="F20" s="287"/>
      <c r="G20" s="287"/>
      <c r="H20" s="287"/>
      <c r="I20" s="287"/>
      <c r="J20" s="288"/>
      <c r="K20" s="24"/>
    </row>
    <row r="21" spans="1:11" s="3" customFormat="1" ht="18.75" customHeight="1" x14ac:dyDescent="0.15">
      <c r="A21" s="83"/>
      <c r="B21" s="286"/>
      <c r="C21" s="287"/>
      <c r="D21" s="287"/>
      <c r="E21" s="287"/>
      <c r="F21" s="287"/>
      <c r="G21" s="287"/>
      <c r="H21" s="287"/>
      <c r="I21" s="287"/>
      <c r="J21" s="288"/>
      <c r="K21" s="24"/>
    </row>
    <row r="22" spans="1:11" s="3" customFormat="1" ht="18.75" customHeight="1" x14ac:dyDescent="0.15">
      <c r="A22" s="83"/>
      <c r="B22" s="286"/>
      <c r="C22" s="287"/>
      <c r="D22" s="287"/>
      <c r="E22" s="287"/>
      <c r="F22" s="287"/>
      <c r="G22" s="287"/>
      <c r="H22" s="287"/>
      <c r="I22" s="287"/>
      <c r="J22" s="288"/>
      <c r="K22" s="24"/>
    </row>
    <row r="23" spans="1:11" s="3" customFormat="1" ht="18.75" customHeight="1" x14ac:dyDescent="0.15">
      <c r="A23" s="83"/>
      <c r="B23" s="286"/>
      <c r="C23" s="287"/>
      <c r="D23" s="287"/>
      <c r="E23" s="287"/>
      <c r="F23" s="287"/>
      <c r="G23" s="287"/>
      <c r="H23" s="287"/>
      <c r="I23" s="287"/>
      <c r="J23" s="288"/>
      <c r="K23" s="24"/>
    </row>
    <row r="24" spans="1:11" s="3" customFormat="1" ht="18.75" customHeight="1" x14ac:dyDescent="0.15">
      <c r="A24" s="83"/>
      <c r="B24" s="286"/>
      <c r="C24" s="287"/>
      <c r="D24" s="287"/>
      <c r="E24" s="287"/>
      <c r="F24" s="287"/>
      <c r="G24" s="287"/>
      <c r="H24" s="287"/>
      <c r="I24" s="287"/>
      <c r="J24" s="288"/>
      <c r="K24" s="24"/>
    </row>
    <row r="25" spans="1:11" s="3" customFormat="1" ht="18.75" customHeight="1" x14ac:dyDescent="0.15">
      <c r="A25" s="83"/>
      <c r="B25" s="289"/>
      <c r="C25" s="290"/>
      <c r="D25" s="290"/>
      <c r="E25" s="290"/>
      <c r="F25" s="290"/>
      <c r="G25" s="290"/>
      <c r="H25" s="290"/>
      <c r="I25" s="290"/>
      <c r="J25" s="291"/>
      <c r="K25" s="24"/>
    </row>
    <row r="26" spans="1:11" ht="7.5" customHeight="1" x14ac:dyDescent="0.15">
      <c r="A26" s="30"/>
      <c r="B26" s="117"/>
      <c r="C26" s="117"/>
      <c r="D26" s="117"/>
      <c r="E26" s="117"/>
      <c r="F26" s="117"/>
      <c r="G26" s="117"/>
      <c r="H26" s="117"/>
      <c r="I26" s="117"/>
      <c r="J26" s="117"/>
    </row>
    <row r="27" spans="1:11" s="3" customFormat="1" ht="18.75" customHeight="1" x14ac:dyDescent="0.15">
      <c r="A27" s="1" t="s">
        <v>14</v>
      </c>
      <c r="B27" s="8" t="s">
        <v>27</v>
      </c>
      <c r="C27" s="8"/>
      <c r="D27" s="8"/>
      <c r="E27" s="8"/>
      <c r="F27" s="8"/>
      <c r="G27" s="8"/>
      <c r="H27" s="8"/>
      <c r="I27" s="8"/>
      <c r="J27" s="8"/>
      <c r="K27" s="24"/>
    </row>
    <row r="28" spans="1:11" s="22" customFormat="1" ht="18.75" customHeight="1" x14ac:dyDescent="0.15">
      <c r="B28" s="85" t="s">
        <v>120</v>
      </c>
      <c r="C28" s="86">
        <f>'様式３　履修者等数の実績'!R30</f>
        <v>1.4705882352941176E-2</v>
      </c>
      <c r="D28" s="87"/>
      <c r="E28" s="87" t="s">
        <v>121</v>
      </c>
      <c r="F28" s="86">
        <v>0.25</v>
      </c>
      <c r="G28" s="87"/>
      <c r="H28" s="87" t="s">
        <v>122</v>
      </c>
      <c r="I28" s="88">
        <v>0.5</v>
      </c>
      <c r="J28" s="89"/>
      <c r="K28" s="24"/>
    </row>
    <row r="29" spans="1:11" s="22" customFormat="1" ht="18.75" customHeight="1" x14ac:dyDescent="0.15">
      <c r="B29" s="73" t="s">
        <v>123</v>
      </c>
      <c r="C29" s="90">
        <v>0.75</v>
      </c>
      <c r="D29" s="74"/>
      <c r="E29" s="74" t="s">
        <v>124</v>
      </c>
      <c r="F29" s="90">
        <v>1</v>
      </c>
      <c r="G29" s="74"/>
      <c r="H29" s="74" t="s">
        <v>125</v>
      </c>
      <c r="I29" s="91">
        <f>'様式３　履修者等数の実績'!D30</f>
        <v>4420</v>
      </c>
      <c r="J29" s="92"/>
      <c r="K29" s="26"/>
    </row>
    <row r="30" spans="1:11" s="3" customFormat="1" ht="18.75" customHeight="1" x14ac:dyDescent="0.15">
      <c r="A30" s="1"/>
      <c r="B30" s="203" t="s">
        <v>126</v>
      </c>
      <c r="C30" s="204"/>
      <c r="D30" s="204"/>
      <c r="E30" s="204"/>
      <c r="F30" s="204"/>
      <c r="G30" s="204"/>
      <c r="H30" s="204"/>
      <c r="I30" s="204"/>
      <c r="J30" s="205"/>
      <c r="K30" s="26"/>
    </row>
    <row r="31" spans="1:11" s="3" customFormat="1" ht="18.75" customHeight="1" x14ac:dyDescent="0.15">
      <c r="A31" s="1"/>
      <c r="B31" s="293" t="s">
        <v>193</v>
      </c>
      <c r="C31" s="294"/>
      <c r="D31" s="294"/>
      <c r="E31" s="294"/>
      <c r="F31" s="294"/>
      <c r="G31" s="294"/>
      <c r="H31" s="294"/>
      <c r="I31" s="294"/>
      <c r="J31" s="295"/>
      <c r="K31" s="26" t="str">
        <f>IF(B31="","入力してください","")</f>
        <v/>
      </c>
    </row>
    <row r="32" spans="1:11" s="3" customFormat="1" ht="18.75" customHeight="1" x14ac:dyDescent="0.15">
      <c r="A32" s="1"/>
      <c r="B32" s="286"/>
      <c r="C32" s="287"/>
      <c r="D32" s="287"/>
      <c r="E32" s="287"/>
      <c r="F32" s="287"/>
      <c r="G32" s="287"/>
      <c r="H32" s="287"/>
      <c r="I32" s="287"/>
      <c r="J32" s="288"/>
      <c r="K32" s="26"/>
    </row>
    <row r="33" spans="1:11" s="3" customFormat="1" ht="18.75" customHeight="1" x14ac:dyDescent="0.15">
      <c r="A33" s="1"/>
      <c r="B33" s="286"/>
      <c r="C33" s="287"/>
      <c r="D33" s="287"/>
      <c r="E33" s="287"/>
      <c r="F33" s="287"/>
      <c r="G33" s="287"/>
      <c r="H33" s="287"/>
      <c r="I33" s="287"/>
      <c r="J33" s="288"/>
      <c r="K33" s="26"/>
    </row>
    <row r="34" spans="1:11" s="3" customFormat="1" ht="18.75" customHeight="1" x14ac:dyDescent="0.15">
      <c r="A34" s="1"/>
      <c r="B34" s="286"/>
      <c r="C34" s="287"/>
      <c r="D34" s="287"/>
      <c r="E34" s="287"/>
      <c r="F34" s="287"/>
      <c r="G34" s="287"/>
      <c r="H34" s="287"/>
      <c r="I34" s="287"/>
      <c r="J34" s="288"/>
      <c r="K34" s="26"/>
    </row>
    <row r="35" spans="1:11" s="3" customFormat="1" ht="18.75" customHeight="1" x14ac:dyDescent="0.15">
      <c r="A35" s="1"/>
      <c r="B35" s="286"/>
      <c r="C35" s="287"/>
      <c r="D35" s="287"/>
      <c r="E35" s="287"/>
      <c r="F35" s="287"/>
      <c r="G35" s="287"/>
      <c r="H35" s="287"/>
      <c r="I35" s="287"/>
      <c r="J35" s="288"/>
      <c r="K35" s="26"/>
    </row>
    <row r="36" spans="1:11" s="3" customFormat="1" ht="18.75" customHeight="1" x14ac:dyDescent="0.15">
      <c r="A36" s="1"/>
      <c r="B36" s="286"/>
      <c r="C36" s="287"/>
      <c r="D36" s="287"/>
      <c r="E36" s="287"/>
      <c r="F36" s="287"/>
      <c r="G36" s="287"/>
      <c r="H36" s="287"/>
      <c r="I36" s="287"/>
      <c r="J36" s="288"/>
      <c r="K36" s="26"/>
    </row>
    <row r="37" spans="1:11" s="3" customFormat="1" ht="18.75" customHeight="1" x14ac:dyDescent="0.15">
      <c r="A37" s="1"/>
      <c r="B37" s="286"/>
      <c r="C37" s="287"/>
      <c r="D37" s="287"/>
      <c r="E37" s="287"/>
      <c r="F37" s="287"/>
      <c r="G37" s="287"/>
      <c r="H37" s="287"/>
      <c r="I37" s="287"/>
      <c r="J37" s="288"/>
      <c r="K37" s="26"/>
    </row>
    <row r="38" spans="1:11" s="3" customFormat="1" ht="18.75" customHeight="1" x14ac:dyDescent="0.15">
      <c r="A38" s="1"/>
      <c r="B38" s="286"/>
      <c r="C38" s="287"/>
      <c r="D38" s="287"/>
      <c r="E38" s="287"/>
      <c r="F38" s="287"/>
      <c r="G38" s="287"/>
      <c r="H38" s="287"/>
      <c r="I38" s="287"/>
      <c r="J38" s="288"/>
      <c r="K38" s="26"/>
    </row>
    <row r="39" spans="1:11" s="3" customFormat="1" ht="18.75" customHeight="1" x14ac:dyDescent="0.15">
      <c r="A39" s="1"/>
      <c r="B39" s="286"/>
      <c r="C39" s="287"/>
      <c r="D39" s="287"/>
      <c r="E39" s="287"/>
      <c r="F39" s="287"/>
      <c r="G39" s="287"/>
      <c r="H39" s="287"/>
      <c r="I39" s="287"/>
      <c r="J39" s="288"/>
      <c r="K39" s="26"/>
    </row>
    <row r="40" spans="1:11" s="3" customFormat="1" ht="18.75" customHeight="1" x14ac:dyDescent="0.15">
      <c r="A40" s="1"/>
      <c r="B40" s="286"/>
      <c r="C40" s="287"/>
      <c r="D40" s="287"/>
      <c r="E40" s="287"/>
      <c r="F40" s="287"/>
      <c r="G40" s="287"/>
      <c r="H40" s="287"/>
      <c r="I40" s="287"/>
      <c r="J40" s="288"/>
      <c r="K40" s="26"/>
    </row>
    <row r="41" spans="1:11" s="3" customFormat="1" ht="18.75" customHeight="1" x14ac:dyDescent="0.15">
      <c r="A41" s="1"/>
      <c r="B41" s="286"/>
      <c r="C41" s="287"/>
      <c r="D41" s="287"/>
      <c r="E41" s="287"/>
      <c r="F41" s="287"/>
      <c r="G41" s="287"/>
      <c r="H41" s="287"/>
      <c r="I41" s="287"/>
      <c r="J41" s="288"/>
      <c r="K41" s="26"/>
    </row>
    <row r="42" spans="1:11" s="3" customFormat="1" ht="18.75" customHeight="1" x14ac:dyDescent="0.15">
      <c r="A42" s="1"/>
      <c r="B42" s="286"/>
      <c r="C42" s="287"/>
      <c r="D42" s="287"/>
      <c r="E42" s="287"/>
      <c r="F42" s="287"/>
      <c r="G42" s="287"/>
      <c r="H42" s="287"/>
      <c r="I42" s="287"/>
      <c r="J42" s="288"/>
      <c r="K42" s="26"/>
    </row>
    <row r="43" spans="1:11" ht="18.75" customHeight="1" x14ac:dyDescent="0.15">
      <c r="A43" s="30"/>
      <c r="B43" s="286"/>
      <c r="C43" s="287"/>
      <c r="D43" s="287"/>
      <c r="E43" s="287"/>
      <c r="F43" s="287"/>
      <c r="G43" s="287"/>
      <c r="H43" s="287"/>
      <c r="I43" s="287"/>
      <c r="J43" s="288"/>
      <c r="K43" s="26"/>
    </row>
    <row r="44" spans="1:11" ht="18.75" customHeight="1" x14ac:dyDescent="0.15">
      <c r="A44" s="30"/>
      <c r="B44" s="289"/>
      <c r="C44" s="290"/>
      <c r="D44" s="290"/>
      <c r="E44" s="290"/>
      <c r="F44" s="290"/>
      <c r="G44" s="290"/>
      <c r="H44" s="290"/>
      <c r="I44" s="290"/>
      <c r="J44" s="291"/>
    </row>
    <row r="45" spans="1:11" s="3" customFormat="1" ht="18.75" customHeight="1" x14ac:dyDescent="0.15">
      <c r="A45" s="93" t="s">
        <v>12</v>
      </c>
      <c r="B45" s="8" t="s">
        <v>67</v>
      </c>
      <c r="C45" s="8"/>
      <c r="D45" s="8"/>
      <c r="E45" s="8"/>
      <c r="F45" s="8"/>
      <c r="G45" s="8"/>
      <c r="H45" s="8"/>
      <c r="I45" s="115"/>
      <c r="J45" s="115"/>
      <c r="K45" s="24"/>
    </row>
    <row r="46" spans="1:11" ht="18.75" customHeight="1" x14ac:dyDescent="0.15">
      <c r="A46" s="30"/>
      <c r="B46" s="275" t="s">
        <v>211</v>
      </c>
      <c r="C46" s="276"/>
      <c r="D46" s="276"/>
      <c r="E46" s="276"/>
      <c r="F46" s="276"/>
      <c r="G46" s="276"/>
      <c r="H46" s="276"/>
      <c r="I46" s="276"/>
      <c r="J46" s="277"/>
      <c r="K46" s="24" t="str">
        <f>IF(B46="","入力してください","")</f>
        <v/>
      </c>
    </row>
    <row r="47" spans="1:11" ht="18.75" customHeight="1" x14ac:dyDescent="0.15">
      <c r="A47" s="30"/>
      <c r="B47" s="278"/>
      <c r="C47" s="279"/>
      <c r="D47" s="279"/>
      <c r="E47" s="279"/>
      <c r="F47" s="279"/>
      <c r="G47" s="279"/>
      <c r="H47" s="279"/>
      <c r="I47" s="279"/>
      <c r="J47" s="280"/>
    </row>
    <row r="48" spans="1:11" ht="18.75" customHeight="1" x14ac:dyDescent="0.15">
      <c r="A48" s="30"/>
      <c r="B48" s="278"/>
      <c r="C48" s="279"/>
      <c r="D48" s="279"/>
      <c r="E48" s="279"/>
      <c r="F48" s="279"/>
      <c r="G48" s="279"/>
      <c r="H48" s="279"/>
      <c r="I48" s="279"/>
      <c r="J48" s="280"/>
    </row>
    <row r="49" spans="1:10" ht="18.75" customHeight="1" x14ac:dyDescent="0.15">
      <c r="A49" s="30"/>
      <c r="B49" s="278"/>
      <c r="C49" s="279"/>
      <c r="D49" s="279"/>
      <c r="E49" s="279"/>
      <c r="F49" s="279"/>
      <c r="G49" s="279"/>
      <c r="H49" s="279"/>
      <c r="I49" s="279"/>
      <c r="J49" s="280"/>
    </row>
    <row r="50" spans="1:10" ht="18.75" customHeight="1" x14ac:dyDescent="0.15">
      <c r="A50" s="30"/>
      <c r="B50" s="278"/>
      <c r="C50" s="279"/>
      <c r="D50" s="279"/>
      <c r="E50" s="279"/>
      <c r="F50" s="279"/>
      <c r="G50" s="279"/>
      <c r="H50" s="279"/>
      <c r="I50" s="279"/>
      <c r="J50" s="280"/>
    </row>
    <row r="51" spans="1:10" ht="18.75" customHeight="1" x14ac:dyDescent="0.15">
      <c r="A51" s="30"/>
      <c r="B51" s="278"/>
      <c r="C51" s="279"/>
      <c r="D51" s="279"/>
      <c r="E51" s="279"/>
      <c r="F51" s="279"/>
      <c r="G51" s="279"/>
      <c r="H51" s="279"/>
      <c r="I51" s="279"/>
      <c r="J51" s="280"/>
    </row>
    <row r="52" spans="1:10" ht="18.75" customHeight="1" x14ac:dyDescent="0.15">
      <c r="A52" s="30"/>
      <c r="B52" s="278"/>
      <c r="C52" s="279"/>
      <c r="D52" s="279"/>
      <c r="E52" s="279"/>
      <c r="F52" s="279"/>
      <c r="G52" s="279"/>
      <c r="H52" s="279"/>
      <c r="I52" s="279"/>
      <c r="J52" s="280"/>
    </row>
    <row r="53" spans="1:10" ht="18.75" customHeight="1" x14ac:dyDescent="0.15">
      <c r="A53" s="30"/>
      <c r="B53" s="278"/>
      <c r="C53" s="279"/>
      <c r="D53" s="279"/>
      <c r="E53" s="279"/>
      <c r="F53" s="279"/>
      <c r="G53" s="279"/>
      <c r="H53" s="279"/>
      <c r="I53" s="279"/>
      <c r="J53" s="280"/>
    </row>
    <row r="54" spans="1:10" ht="18.75" customHeight="1" x14ac:dyDescent="0.15">
      <c r="A54" s="30"/>
      <c r="B54" s="278"/>
      <c r="C54" s="279"/>
      <c r="D54" s="279"/>
      <c r="E54" s="279"/>
      <c r="F54" s="279"/>
      <c r="G54" s="279"/>
      <c r="H54" s="279"/>
      <c r="I54" s="279"/>
      <c r="J54" s="280"/>
    </row>
    <row r="55" spans="1:10" ht="18.75" customHeight="1" x14ac:dyDescent="0.15">
      <c r="A55" s="30"/>
      <c r="B55" s="278"/>
      <c r="C55" s="279"/>
      <c r="D55" s="279"/>
      <c r="E55" s="279"/>
      <c r="F55" s="279"/>
      <c r="G55" s="279"/>
      <c r="H55" s="279"/>
      <c r="I55" s="279"/>
      <c r="J55" s="280"/>
    </row>
    <row r="56" spans="1:10" ht="18.75" customHeight="1" x14ac:dyDescent="0.15">
      <c r="A56" s="30"/>
      <c r="B56" s="278"/>
      <c r="C56" s="279"/>
      <c r="D56" s="279"/>
      <c r="E56" s="279"/>
      <c r="F56" s="279"/>
      <c r="G56" s="279"/>
      <c r="H56" s="279"/>
      <c r="I56" s="279"/>
      <c r="J56" s="280"/>
    </row>
    <row r="57" spans="1:10" ht="18.75" customHeight="1" x14ac:dyDescent="0.15">
      <c r="A57" s="30"/>
      <c r="B57" s="278"/>
      <c r="C57" s="279"/>
      <c r="D57" s="279"/>
      <c r="E57" s="279"/>
      <c r="F57" s="279"/>
      <c r="G57" s="279"/>
      <c r="H57" s="279"/>
      <c r="I57" s="279"/>
      <c r="J57" s="280"/>
    </row>
    <row r="58" spans="1:10" ht="18.75" customHeight="1" x14ac:dyDescent="0.15">
      <c r="A58" s="30"/>
      <c r="B58" s="278"/>
      <c r="C58" s="279"/>
      <c r="D58" s="279"/>
      <c r="E58" s="279"/>
      <c r="F58" s="279"/>
      <c r="G58" s="279"/>
      <c r="H58" s="279"/>
      <c r="I58" s="279"/>
      <c r="J58" s="280"/>
    </row>
    <row r="59" spans="1:10" ht="18.75" customHeight="1" x14ac:dyDescent="0.15">
      <c r="A59" s="30"/>
      <c r="B59" s="278"/>
      <c r="C59" s="279"/>
      <c r="D59" s="279"/>
      <c r="E59" s="279"/>
      <c r="F59" s="279"/>
      <c r="G59" s="279"/>
      <c r="H59" s="279"/>
      <c r="I59" s="279"/>
      <c r="J59" s="280"/>
    </row>
    <row r="60" spans="1:10" ht="18.75" customHeight="1" x14ac:dyDescent="0.15">
      <c r="A60" s="30"/>
      <c r="B60" s="278"/>
      <c r="C60" s="279"/>
      <c r="D60" s="279"/>
      <c r="E60" s="279"/>
      <c r="F60" s="279"/>
      <c r="G60" s="279"/>
      <c r="H60" s="279"/>
      <c r="I60" s="279"/>
      <c r="J60" s="280"/>
    </row>
    <row r="61" spans="1:10" ht="18.75" customHeight="1" x14ac:dyDescent="0.15">
      <c r="A61" s="30"/>
      <c r="B61" s="278"/>
      <c r="C61" s="279"/>
      <c r="D61" s="279"/>
      <c r="E61" s="279"/>
      <c r="F61" s="279"/>
      <c r="G61" s="279"/>
      <c r="H61" s="279"/>
      <c r="I61" s="279"/>
      <c r="J61" s="280"/>
    </row>
    <row r="62" spans="1:10" ht="18.75" customHeight="1" x14ac:dyDescent="0.15">
      <c r="A62" s="30"/>
      <c r="B62" s="278"/>
      <c r="C62" s="279"/>
      <c r="D62" s="279"/>
      <c r="E62" s="279"/>
      <c r="F62" s="279"/>
      <c r="G62" s="279"/>
      <c r="H62" s="279"/>
      <c r="I62" s="279"/>
      <c r="J62" s="280"/>
    </row>
    <row r="63" spans="1:10" ht="18.75" customHeight="1" x14ac:dyDescent="0.15">
      <c r="A63" s="30"/>
      <c r="B63" s="278"/>
      <c r="C63" s="279"/>
      <c r="D63" s="279"/>
      <c r="E63" s="279"/>
      <c r="F63" s="279"/>
      <c r="G63" s="279"/>
      <c r="H63" s="279"/>
      <c r="I63" s="279"/>
      <c r="J63" s="280"/>
    </row>
    <row r="64" spans="1:10" ht="18.75" customHeight="1" x14ac:dyDescent="0.15">
      <c r="A64" s="30"/>
      <c r="B64" s="278"/>
      <c r="C64" s="279"/>
      <c r="D64" s="279"/>
      <c r="E64" s="279"/>
      <c r="F64" s="279"/>
      <c r="G64" s="279"/>
      <c r="H64" s="279"/>
      <c r="I64" s="279"/>
      <c r="J64" s="280"/>
    </row>
    <row r="65" spans="1:11" ht="18.75" customHeight="1" x14ac:dyDescent="0.15">
      <c r="A65" s="30"/>
      <c r="B65" s="278"/>
      <c r="C65" s="279"/>
      <c r="D65" s="279"/>
      <c r="E65" s="279"/>
      <c r="F65" s="279"/>
      <c r="G65" s="279"/>
      <c r="H65" s="279"/>
      <c r="I65" s="279"/>
      <c r="J65" s="280"/>
    </row>
    <row r="66" spans="1:11" ht="18.75" customHeight="1" x14ac:dyDescent="0.15">
      <c r="A66" s="30"/>
      <c r="B66" s="281"/>
      <c r="C66" s="282"/>
      <c r="D66" s="282"/>
      <c r="E66" s="282"/>
      <c r="F66" s="282"/>
      <c r="G66" s="282"/>
      <c r="H66" s="282"/>
      <c r="I66" s="282"/>
      <c r="J66" s="283"/>
    </row>
    <row r="67" spans="1:11" ht="7.5" customHeight="1" x14ac:dyDescent="0.15">
      <c r="A67" s="30"/>
      <c r="B67" s="117"/>
      <c r="C67" s="117"/>
      <c r="D67" s="117"/>
      <c r="E67" s="117"/>
      <c r="F67" s="117"/>
      <c r="G67" s="117"/>
      <c r="H67" s="117"/>
      <c r="I67" s="117"/>
      <c r="J67" s="117"/>
    </row>
    <row r="68" spans="1:11" s="3" customFormat="1" ht="18.75" customHeight="1" x14ac:dyDescent="0.15">
      <c r="A68" s="1" t="s">
        <v>15</v>
      </c>
      <c r="B68" s="8" t="s">
        <v>75</v>
      </c>
      <c r="C68" s="8"/>
      <c r="D68" s="8"/>
      <c r="E68" s="8"/>
      <c r="F68" s="8"/>
      <c r="G68" s="8"/>
      <c r="H68" s="8"/>
      <c r="I68" s="8"/>
      <c r="J68" s="8"/>
      <c r="K68" s="24"/>
    </row>
    <row r="69" spans="1:11" s="3" customFormat="1" ht="18.75" customHeight="1" x14ac:dyDescent="0.15">
      <c r="A69" s="1"/>
      <c r="B69" s="275" t="s">
        <v>212</v>
      </c>
      <c r="C69" s="276"/>
      <c r="D69" s="276"/>
      <c r="E69" s="276"/>
      <c r="F69" s="276"/>
      <c r="G69" s="276"/>
      <c r="H69" s="276"/>
      <c r="I69" s="284"/>
      <c r="J69" s="285"/>
      <c r="K69" s="26" t="str">
        <f>IF(B69="","入力してください","")</f>
        <v/>
      </c>
    </row>
    <row r="70" spans="1:11" s="3" customFormat="1" ht="18.75" customHeight="1" x14ac:dyDescent="0.15">
      <c r="A70" s="1"/>
      <c r="B70" s="286"/>
      <c r="C70" s="287"/>
      <c r="D70" s="287"/>
      <c r="E70" s="287"/>
      <c r="F70" s="287"/>
      <c r="G70" s="287"/>
      <c r="H70" s="287"/>
      <c r="I70" s="287"/>
      <c r="J70" s="288"/>
      <c r="K70" s="26"/>
    </row>
    <row r="71" spans="1:11" s="3" customFormat="1" ht="18.75" customHeight="1" x14ac:dyDescent="0.15">
      <c r="A71" s="1"/>
      <c r="B71" s="286"/>
      <c r="C71" s="287"/>
      <c r="D71" s="287"/>
      <c r="E71" s="287"/>
      <c r="F71" s="287"/>
      <c r="G71" s="287"/>
      <c r="H71" s="287"/>
      <c r="I71" s="287"/>
      <c r="J71" s="288"/>
      <c r="K71" s="26"/>
    </row>
    <row r="72" spans="1:11" s="3" customFormat="1" ht="18.75" customHeight="1" x14ac:dyDescent="0.15">
      <c r="A72" s="1"/>
      <c r="B72" s="286"/>
      <c r="C72" s="287"/>
      <c r="D72" s="287"/>
      <c r="E72" s="287"/>
      <c r="F72" s="287"/>
      <c r="G72" s="287"/>
      <c r="H72" s="287"/>
      <c r="I72" s="287"/>
      <c r="J72" s="288"/>
      <c r="K72" s="26"/>
    </row>
    <row r="73" spans="1:11" s="3" customFormat="1" ht="18.75" customHeight="1" x14ac:dyDescent="0.15">
      <c r="A73" s="1"/>
      <c r="B73" s="286"/>
      <c r="C73" s="287"/>
      <c r="D73" s="287"/>
      <c r="E73" s="287"/>
      <c r="F73" s="287"/>
      <c r="G73" s="287"/>
      <c r="H73" s="287"/>
      <c r="I73" s="287"/>
      <c r="J73" s="288"/>
      <c r="K73" s="26"/>
    </row>
    <row r="74" spans="1:11" s="3" customFormat="1" ht="18.75" customHeight="1" x14ac:dyDescent="0.15">
      <c r="A74" s="1"/>
      <c r="B74" s="286"/>
      <c r="C74" s="287"/>
      <c r="D74" s="287"/>
      <c r="E74" s="287"/>
      <c r="F74" s="287"/>
      <c r="G74" s="287"/>
      <c r="H74" s="287"/>
      <c r="I74" s="287"/>
      <c r="J74" s="288"/>
      <c r="K74" s="26"/>
    </row>
    <row r="75" spans="1:11" s="3" customFormat="1" ht="18.75" customHeight="1" x14ac:dyDescent="0.15">
      <c r="A75" s="1"/>
      <c r="B75" s="286"/>
      <c r="C75" s="287"/>
      <c r="D75" s="287"/>
      <c r="E75" s="287"/>
      <c r="F75" s="287"/>
      <c r="G75" s="287"/>
      <c r="H75" s="287"/>
      <c r="I75" s="287"/>
      <c r="J75" s="288"/>
      <c r="K75" s="26"/>
    </row>
    <row r="76" spans="1:11" s="3" customFormat="1" ht="18.75" customHeight="1" x14ac:dyDescent="0.15">
      <c r="A76" s="1"/>
      <c r="B76" s="286"/>
      <c r="C76" s="287"/>
      <c r="D76" s="287"/>
      <c r="E76" s="287"/>
      <c r="F76" s="287"/>
      <c r="G76" s="287"/>
      <c r="H76" s="287"/>
      <c r="I76" s="287"/>
      <c r="J76" s="288"/>
      <c r="K76" s="26"/>
    </row>
    <row r="77" spans="1:11" s="3" customFormat="1" ht="18.75" customHeight="1" x14ac:dyDescent="0.15">
      <c r="A77" s="1"/>
      <c r="B77" s="286"/>
      <c r="C77" s="287"/>
      <c r="D77" s="287"/>
      <c r="E77" s="287"/>
      <c r="F77" s="287"/>
      <c r="G77" s="287"/>
      <c r="H77" s="287"/>
      <c r="I77" s="287"/>
      <c r="J77" s="288"/>
      <c r="K77" s="26"/>
    </row>
    <row r="78" spans="1:11" s="3" customFormat="1" ht="18.75" customHeight="1" x14ac:dyDescent="0.15">
      <c r="A78" s="1"/>
      <c r="B78" s="286"/>
      <c r="C78" s="287"/>
      <c r="D78" s="287"/>
      <c r="E78" s="287"/>
      <c r="F78" s="287"/>
      <c r="G78" s="287"/>
      <c r="H78" s="287"/>
      <c r="I78" s="287"/>
      <c r="J78" s="288"/>
      <c r="K78" s="26"/>
    </row>
    <row r="79" spans="1:11" s="3" customFormat="1" ht="18.75" customHeight="1" x14ac:dyDescent="0.15">
      <c r="A79" s="1"/>
      <c r="B79" s="286"/>
      <c r="C79" s="287"/>
      <c r="D79" s="287"/>
      <c r="E79" s="287"/>
      <c r="F79" s="287"/>
      <c r="G79" s="287"/>
      <c r="H79" s="287"/>
      <c r="I79" s="287"/>
      <c r="J79" s="288"/>
      <c r="K79" s="26"/>
    </row>
    <row r="80" spans="1:11" s="3" customFormat="1" ht="18.75" customHeight="1" x14ac:dyDescent="0.15">
      <c r="A80" s="1"/>
      <c r="B80" s="286"/>
      <c r="C80" s="287"/>
      <c r="D80" s="287"/>
      <c r="E80" s="287"/>
      <c r="F80" s="287"/>
      <c r="G80" s="287"/>
      <c r="H80" s="287"/>
      <c r="I80" s="287"/>
      <c r="J80" s="288"/>
      <c r="K80" s="26"/>
    </row>
    <row r="81" spans="1:11" s="3" customFormat="1" ht="18.75" customHeight="1" x14ac:dyDescent="0.15">
      <c r="A81" s="1"/>
      <c r="B81" s="286"/>
      <c r="C81" s="287"/>
      <c r="D81" s="287"/>
      <c r="E81" s="287"/>
      <c r="F81" s="287"/>
      <c r="G81" s="287"/>
      <c r="H81" s="287"/>
      <c r="I81" s="287"/>
      <c r="J81" s="288"/>
      <c r="K81" s="26"/>
    </row>
    <row r="82" spans="1:11" s="3" customFormat="1" ht="18.75" customHeight="1" x14ac:dyDescent="0.15">
      <c r="A82" s="1"/>
      <c r="B82" s="286"/>
      <c r="C82" s="287"/>
      <c r="D82" s="287"/>
      <c r="E82" s="287"/>
      <c r="F82" s="287"/>
      <c r="G82" s="287"/>
      <c r="H82" s="287"/>
      <c r="I82" s="287"/>
      <c r="J82" s="288"/>
      <c r="K82" s="26"/>
    </row>
    <row r="83" spans="1:11" s="3" customFormat="1" ht="18.75" customHeight="1" x14ac:dyDescent="0.15">
      <c r="A83" s="1"/>
      <c r="B83" s="286"/>
      <c r="C83" s="287"/>
      <c r="D83" s="287"/>
      <c r="E83" s="287"/>
      <c r="F83" s="287"/>
      <c r="G83" s="287"/>
      <c r="H83" s="287"/>
      <c r="I83" s="287"/>
      <c r="J83" s="288"/>
      <c r="K83" s="26"/>
    </row>
    <row r="84" spans="1:11" s="3" customFormat="1" ht="18.75" customHeight="1" x14ac:dyDescent="0.15">
      <c r="A84" s="1"/>
      <c r="B84" s="286"/>
      <c r="C84" s="287"/>
      <c r="D84" s="287"/>
      <c r="E84" s="287"/>
      <c r="F84" s="287"/>
      <c r="G84" s="287"/>
      <c r="H84" s="287"/>
      <c r="I84" s="287"/>
      <c r="J84" s="288"/>
      <c r="K84" s="26"/>
    </row>
    <row r="85" spans="1:11" ht="18.75" customHeight="1" x14ac:dyDescent="0.15">
      <c r="A85" s="30"/>
      <c r="B85" s="286"/>
      <c r="C85" s="287"/>
      <c r="D85" s="287"/>
      <c r="E85" s="287"/>
      <c r="F85" s="287"/>
      <c r="G85" s="287"/>
      <c r="H85" s="287"/>
      <c r="I85" s="287"/>
      <c r="J85" s="288"/>
      <c r="K85" s="26"/>
    </row>
    <row r="86" spans="1:11" ht="18.75" customHeight="1" x14ac:dyDescent="0.15">
      <c r="A86" s="30"/>
      <c r="B86" s="289"/>
      <c r="C86" s="290"/>
      <c r="D86" s="290"/>
      <c r="E86" s="290"/>
      <c r="F86" s="290"/>
      <c r="G86" s="290"/>
      <c r="H86" s="290"/>
      <c r="I86" s="290"/>
      <c r="J86" s="291"/>
      <c r="K86" s="26"/>
    </row>
    <row r="87" spans="1:11" ht="7.5" customHeight="1" x14ac:dyDescent="0.15">
      <c r="A87" s="30"/>
      <c r="B87" s="117"/>
      <c r="C87" s="117"/>
      <c r="D87" s="117"/>
      <c r="E87" s="117"/>
      <c r="F87" s="117"/>
      <c r="G87" s="117"/>
      <c r="H87" s="117"/>
      <c r="I87" s="117"/>
      <c r="J87" s="117"/>
    </row>
    <row r="88" spans="1:11" s="3" customFormat="1" ht="18.75" customHeight="1" x14ac:dyDescent="0.15">
      <c r="A88" s="1" t="s">
        <v>13</v>
      </c>
      <c r="B88" s="8" t="s">
        <v>29</v>
      </c>
      <c r="C88" s="8"/>
      <c r="D88" s="8"/>
      <c r="E88" s="8"/>
      <c r="F88" s="8"/>
      <c r="G88" s="8"/>
      <c r="H88" s="8"/>
      <c r="I88" s="8"/>
      <c r="J88" s="8"/>
      <c r="K88" s="24"/>
    </row>
    <row r="89" spans="1:11" s="3" customFormat="1" ht="18.75" customHeight="1" x14ac:dyDescent="0.15">
      <c r="A89" s="1"/>
      <c r="B89" s="275" t="s">
        <v>213</v>
      </c>
      <c r="C89" s="276"/>
      <c r="D89" s="276"/>
      <c r="E89" s="276"/>
      <c r="F89" s="276"/>
      <c r="G89" s="276"/>
      <c r="H89" s="276"/>
      <c r="I89" s="284"/>
      <c r="J89" s="285"/>
      <c r="K89" s="24"/>
    </row>
    <row r="90" spans="1:11" s="3" customFormat="1" ht="18.75" customHeight="1" x14ac:dyDescent="0.15">
      <c r="A90" s="1"/>
      <c r="B90" s="286"/>
      <c r="C90" s="287"/>
      <c r="D90" s="287"/>
      <c r="E90" s="287"/>
      <c r="F90" s="287"/>
      <c r="G90" s="287"/>
      <c r="H90" s="287"/>
      <c r="I90" s="287"/>
      <c r="J90" s="288"/>
      <c r="K90" s="26"/>
    </row>
    <row r="91" spans="1:11" s="3" customFormat="1" ht="18.75" customHeight="1" x14ac:dyDescent="0.15">
      <c r="A91" s="1"/>
      <c r="B91" s="286"/>
      <c r="C91" s="287"/>
      <c r="D91" s="287"/>
      <c r="E91" s="287"/>
      <c r="F91" s="287"/>
      <c r="G91" s="287"/>
      <c r="H91" s="287"/>
      <c r="I91" s="287"/>
      <c r="J91" s="288"/>
      <c r="K91" s="26" t="str">
        <f>IF(B89="","入力してください","")</f>
        <v/>
      </c>
    </row>
    <row r="92" spans="1:11" s="3" customFormat="1" ht="18.75" customHeight="1" x14ac:dyDescent="0.15">
      <c r="A92" s="1"/>
      <c r="B92" s="286"/>
      <c r="C92" s="287"/>
      <c r="D92" s="287"/>
      <c r="E92" s="287"/>
      <c r="F92" s="287"/>
      <c r="G92" s="287"/>
      <c r="H92" s="287"/>
      <c r="I92" s="287"/>
      <c r="J92" s="288"/>
      <c r="K92" s="26"/>
    </row>
    <row r="93" spans="1:11" s="3" customFormat="1" ht="18.75" customHeight="1" x14ac:dyDescent="0.15">
      <c r="A93" s="1"/>
      <c r="B93" s="286"/>
      <c r="C93" s="287"/>
      <c r="D93" s="287"/>
      <c r="E93" s="287"/>
      <c r="F93" s="287"/>
      <c r="G93" s="287"/>
      <c r="H93" s="287"/>
      <c r="I93" s="287"/>
      <c r="J93" s="288"/>
      <c r="K93" s="26"/>
    </row>
    <row r="94" spans="1:11" s="3" customFormat="1" ht="18.75" customHeight="1" x14ac:dyDescent="0.15">
      <c r="A94" s="1"/>
      <c r="B94" s="286"/>
      <c r="C94" s="287"/>
      <c r="D94" s="287"/>
      <c r="E94" s="287"/>
      <c r="F94" s="287"/>
      <c r="G94" s="287"/>
      <c r="H94" s="287"/>
      <c r="I94" s="287"/>
      <c r="J94" s="288"/>
      <c r="K94" s="26"/>
    </row>
    <row r="95" spans="1:11" s="3" customFormat="1" ht="18.75" customHeight="1" x14ac:dyDescent="0.15">
      <c r="A95" s="1"/>
      <c r="B95" s="286"/>
      <c r="C95" s="287"/>
      <c r="D95" s="287"/>
      <c r="E95" s="287"/>
      <c r="F95" s="287"/>
      <c r="G95" s="287"/>
      <c r="H95" s="287"/>
      <c r="I95" s="287"/>
      <c r="J95" s="288"/>
      <c r="K95" s="26"/>
    </row>
    <row r="96" spans="1:11" s="3" customFormat="1" ht="18.75" customHeight="1" x14ac:dyDescent="0.15">
      <c r="A96" s="1"/>
      <c r="B96" s="286"/>
      <c r="C96" s="287"/>
      <c r="D96" s="287"/>
      <c r="E96" s="287"/>
      <c r="F96" s="287"/>
      <c r="G96" s="287"/>
      <c r="H96" s="287"/>
      <c r="I96" s="287"/>
      <c r="J96" s="288"/>
      <c r="K96" s="26"/>
    </row>
    <row r="97" spans="1:11" s="3" customFormat="1" ht="18.75" customHeight="1" x14ac:dyDescent="0.15">
      <c r="A97" s="1"/>
      <c r="B97" s="286"/>
      <c r="C97" s="287"/>
      <c r="D97" s="287"/>
      <c r="E97" s="287"/>
      <c r="F97" s="287"/>
      <c r="G97" s="287"/>
      <c r="H97" s="287"/>
      <c r="I97" s="287"/>
      <c r="J97" s="288"/>
      <c r="K97" s="26"/>
    </row>
    <row r="98" spans="1:11" s="3" customFormat="1" ht="18.75" customHeight="1" x14ac:dyDescent="0.15">
      <c r="A98" s="1"/>
      <c r="B98" s="286"/>
      <c r="C98" s="287"/>
      <c r="D98" s="287"/>
      <c r="E98" s="287"/>
      <c r="F98" s="287"/>
      <c r="G98" s="287"/>
      <c r="H98" s="287"/>
      <c r="I98" s="287"/>
      <c r="J98" s="288"/>
      <c r="K98" s="26"/>
    </row>
    <row r="99" spans="1:11" s="3" customFormat="1" ht="18.75" customHeight="1" x14ac:dyDescent="0.15">
      <c r="A99" s="1"/>
      <c r="B99" s="286"/>
      <c r="C99" s="287"/>
      <c r="D99" s="287"/>
      <c r="E99" s="287"/>
      <c r="F99" s="287"/>
      <c r="G99" s="287"/>
      <c r="H99" s="287"/>
      <c r="I99" s="287"/>
      <c r="J99" s="288"/>
      <c r="K99" s="26"/>
    </row>
    <row r="100" spans="1:11" s="3" customFormat="1" ht="18.75" customHeight="1" x14ac:dyDescent="0.15">
      <c r="A100" s="1"/>
      <c r="B100" s="286"/>
      <c r="C100" s="287"/>
      <c r="D100" s="287"/>
      <c r="E100" s="287"/>
      <c r="F100" s="287"/>
      <c r="G100" s="287"/>
      <c r="H100" s="287"/>
      <c r="I100" s="287"/>
      <c r="J100" s="288"/>
      <c r="K100" s="26"/>
    </row>
    <row r="101" spans="1:11" s="3" customFormat="1" ht="18.75" customHeight="1" x14ac:dyDescent="0.15">
      <c r="A101" s="1"/>
      <c r="B101" s="286"/>
      <c r="C101" s="287"/>
      <c r="D101" s="287"/>
      <c r="E101" s="287"/>
      <c r="F101" s="287"/>
      <c r="G101" s="287"/>
      <c r="H101" s="287"/>
      <c r="I101" s="287"/>
      <c r="J101" s="288"/>
      <c r="K101" s="26"/>
    </row>
    <row r="102" spans="1:11" s="3" customFormat="1" ht="18.75" customHeight="1" x14ac:dyDescent="0.15">
      <c r="A102" s="1"/>
      <c r="B102" s="286"/>
      <c r="C102" s="287"/>
      <c r="D102" s="287"/>
      <c r="E102" s="287"/>
      <c r="F102" s="287"/>
      <c r="G102" s="287"/>
      <c r="H102" s="287"/>
      <c r="I102" s="287"/>
      <c r="J102" s="288"/>
      <c r="K102" s="26"/>
    </row>
    <row r="103" spans="1:11" s="3" customFormat="1" ht="18.75" customHeight="1" x14ac:dyDescent="0.15">
      <c r="A103" s="1"/>
      <c r="B103" s="286"/>
      <c r="C103" s="287"/>
      <c r="D103" s="287"/>
      <c r="E103" s="287"/>
      <c r="F103" s="287"/>
      <c r="G103" s="287"/>
      <c r="H103" s="287"/>
      <c r="I103" s="287"/>
      <c r="J103" s="288"/>
      <c r="K103" s="26"/>
    </row>
    <row r="104" spans="1:11" s="3" customFormat="1" ht="18.75" customHeight="1" x14ac:dyDescent="0.15">
      <c r="A104" s="1"/>
      <c r="B104" s="286"/>
      <c r="C104" s="287"/>
      <c r="D104" s="287"/>
      <c r="E104" s="287"/>
      <c r="F104" s="287"/>
      <c r="G104" s="287"/>
      <c r="H104" s="287"/>
      <c r="I104" s="287"/>
      <c r="J104" s="288"/>
      <c r="K104" s="26"/>
    </row>
    <row r="105" spans="1:11" s="3" customFormat="1" ht="18.75" customHeight="1" x14ac:dyDescent="0.15">
      <c r="A105" s="1"/>
      <c r="B105" s="286"/>
      <c r="C105" s="287"/>
      <c r="D105" s="287"/>
      <c r="E105" s="287"/>
      <c r="F105" s="287"/>
      <c r="G105" s="287"/>
      <c r="H105" s="287"/>
      <c r="I105" s="287"/>
      <c r="J105" s="288"/>
      <c r="K105" s="26"/>
    </row>
    <row r="106" spans="1:11" s="3" customFormat="1" ht="18.75" customHeight="1" x14ac:dyDescent="0.15">
      <c r="A106" s="1"/>
      <c r="B106" s="286"/>
      <c r="C106" s="287"/>
      <c r="D106" s="287"/>
      <c r="E106" s="287"/>
      <c r="F106" s="287"/>
      <c r="G106" s="287"/>
      <c r="H106" s="287"/>
      <c r="I106" s="287"/>
      <c r="J106" s="288"/>
      <c r="K106" s="26"/>
    </row>
    <row r="107" spans="1:11" ht="18.75" customHeight="1" x14ac:dyDescent="0.15">
      <c r="A107" s="30"/>
      <c r="B107" s="286"/>
      <c r="C107" s="287"/>
      <c r="D107" s="287"/>
      <c r="E107" s="287"/>
      <c r="F107" s="287"/>
      <c r="G107" s="287"/>
      <c r="H107" s="287"/>
      <c r="I107" s="287"/>
      <c r="J107" s="288"/>
      <c r="K107" s="26"/>
    </row>
    <row r="108" spans="1:11" ht="18.75" customHeight="1" x14ac:dyDescent="0.15">
      <c r="A108" s="30"/>
      <c r="B108" s="289"/>
      <c r="C108" s="290"/>
      <c r="D108" s="290"/>
      <c r="E108" s="290"/>
      <c r="F108" s="290"/>
      <c r="G108" s="290"/>
      <c r="H108" s="290"/>
      <c r="I108" s="290"/>
      <c r="J108" s="291"/>
      <c r="K108" s="26"/>
    </row>
    <row r="109" spans="1:11" ht="7.5" customHeight="1" x14ac:dyDescent="0.15">
      <c r="A109" s="30"/>
      <c r="B109" s="117"/>
      <c r="C109" s="117"/>
      <c r="D109" s="117"/>
      <c r="E109" s="117"/>
      <c r="F109" s="117"/>
      <c r="G109" s="117"/>
      <c r="H109" s="117"/>
      <c r="I109" s="117"/>
      <c r="J109" s="117"/>
    </row>
    <row r="110" spans="1:11" s="3" customFormat="1" ht="18.75" customHeight="1" x14ac:dyDescent="0.15">
      <c r="A110" s="1" t="s">
        <v>55</v>
      </c>
      <c r="B110" s="292" t="s">
        <v>86</v>
      </c>
      <c r="C110" s="292"/>
      <c r="D110" s="292"/>
      <c r="E110" s="292"/>
      <c r="F110" s="292"/>
      <c r="G110" s="292"/>
      <c r="H110" s="292"/>
      <c r="I110" s="292"/>
      <c r="J110" s="292"/>
      <c r="K110" s="24"/>
    </row>
    <row r="111" spans="1:11" ht="18.75" customHeight="1" x14ac:dyDescent="0.15">
      <c r="A111" s="30"/>
      <c r="B111" s="275" t="s">
        <v>214</v>
      </c>
      <c r="C111" s="276"/>
      <c r="D111" s="276"/>
      <c r="E111" s="276"/>
      <c r="F111" s="276"/>
      <c r="G111" s="276"/>
      <c r="H111" s="276"/>
      <c r="I111" s="284"/>
      <c r="J111" s="285"/>
    </row>
    <row r="112" spans="1:11" ht="18.75" customHeight="1" x14ac:dyDescent="0.15">
      <c r="A112" s="30"/>
      <c r="B112" s="286"/>
      <c r="C112" s="287"/>
      <c r="D112" s="287"/>
      <c r="E112" s="287"/>
      <c r="F112" s="287"/>
      <c r="G112" s="287"/>
      <c r="H112" s="287"/>
      <c r="I112" s="287"/>
      <c r="J112" s="288"/>
      <c r="K112" s="26"/>
    </row>
    <row r="113" spans="1:11" ht="18.75" customHeight="1" x14ac:dyDescent="0.15">
      <c r="A113" s="30"/>
      <c r="B113" s="286"/>
      <c r="C113" s="287"/>
      <c r="D113" s="287"/>
      <c r="E113" s="287"/>
      <c r="F113" s="287"/>
      <c r="G113" s="287"/>
      <c r="H113" s="287"/>
      <c r="I113" s="287"/>
      <c r="J113" s="288"/>
      <c r="K113" s="24" t="str">
        <f>IF(B111="","入力してください","")</f>
        <v/>
      </c>
    </row>
    <row r="114" spans="1:11" ht="18.75" customHeight="1" x14ac:dyDescent="0.15">
      <c r="A114" s="30"/>
      <c r="B114" s="286"/>
      <c r="C114" s="287"/>
      <c r="D114" s="287"/>
      <c r="E114" s="287"/>
      <c r="F114" s="287"/>
      <c r="G114" s="287"/>
      <c r="H114" s="287"/>
      <c r="I114" s="287"/>
      <c r="J114" s="288"/>
    </row>
    <row r="115" spans="1:11" ht="18.75" customHeight="1" x14ac:dyDescent="0.15">
      <c r="A115" s="30"/>
      <c r="B115" s="286"/>
      <c r="C115" s="287"/>
      <c r="D115" s="287"/>
      <c r="E115" s="287"/>
      <c r="F115" s="287"/>
      <c r="G115" s="287"/>
      <c r="H115" s="287"/>
      <c r="I115" s="287"/>
      <c r="J115" s="288"/>
    </row>
    <row r="116" spans="1:11" ht="18.75" customHeight="1" x14ac:dyDescent="0.15">
      <c r="A116" s="30"/>
      <c r="B116" s="286"/>
      <c r="C116" s="287"/>
      <c r="D116" s="287"/>
      <c r="E116" s="287"/>
      <c r="F116" s="287"/>
      <c r="G116" s="287"/>
      <c r="H116" s="287"/>
      <c r="I116" s="287"/>
      <c r="J116" s="288"/>
    </row>
    <row r="117" spans="1:11" ht="18.75" customHeight="1" x14ac:dyDescent="0.15">
      <c r="A117" s="30"/>
      <c r="B117" s="286"/>
      <c r="C117" s="287"/>
      <c r="D117" s="287"/>
      <c r="E117" s="287"/>
      <c r="F117" s="287"/>
      <c r="G117" s="287"/>
      <c r="H117" s="287"/>
      <c r="I117" s="287"/>
      <c r="J117" s="288"/>
    </row>
    <row r="118" spans="1:11" ht="18.75" customHeight="1" x14ac:dyDescent="0.15">
      <c r="A118" s="30"/>
      <c r="B118" s="286"/>
      <c r="C118" s="287"/>
      <c r="D118" s="287"/>
      <c r="E118" s="287"/>
      <c r="F118" s="287"/>
      <c r="G118" s="287"/>
      <c r="H118" s="287"/>
      <c r="I118" s="287"/>
      <c r="J118" s="288"/>
    </row>
    <row r="119" spans="1:11" ht="18.75" customHeight="1" x14ac:dyDescent="0.15">
      <c r="A119" s="30"/>
      <c r="B119" s="286"/>
      <c r="C119" s="287"/>
      <c r="D119" s="287"/>
      <c r="E119" s="287"/>
      <c r="F119" s="287"/>
      <c r="G119" s="287"/>
      <c r="H119" s="287"/>
      <c r="I119" s="287"/>
      <c r="J119" s="288"/>
    </row>
    <row r="120" spans="1:11" ht="18.75" customHeight="1" x14ac:dyDescent="0.15">
      <c r="A120" s="30"/>
      <c r="B120" s="286"/>
      <c r="C120" s="287"/>
      <c r="D120" s="287"/>
      <c r="E120" s="287"/>
      <c r="F120" s="287"/>
      <c r="G120" s="287"/>
      <c r="H120" s="287"/>
      <c r="I120" s="287"/>
      <c r="J120" s="288"/>
    </row>
    <row r="121" spans="1:11" ht="18.75" customHeight="1" x14ac:dyDescent="0.15">
      <c r="A121" s="30"/>
      <c r="B121" s="286"/>
      <c r="C121" s="287"/>
      <c r="D121" s="287"/>
      <c r="E121" s="287"/>
      <c r="F121" s="287"/>
      <c r="G121" s="287"/>
      <c r="H121" s="287"/>
      <c r="I121" s="287"/>
      <c r="J121" s="288"/>
    </row>
    <row r="122" spans="1:11" ht="18.75" customHeight="1" x14ac:dyDescent="0.15">
      <c r="A122" s="30"/>
      <c r="B122" s="286"/>
      <c r="C122" s="287"/>
      <c r="D122" s="287"/>
      <c r="E122" s="287"/>
      <c r="F122" s="287"/>
      <c r="G122" s="287"/>
      <c r="H122" s="287"/>
      <c r="I122" s="287"/>
      <c r="J122" s="288"/>
    </row>
    <row r="123" spans="1:11" ht="18.75" customHeight="1" x14ac:dyDescent="0.15">
      <c r="A123" s="30"/>
      <c r="B123" s="286"/>
      <c r="C123" s="287"/>
      <c r="D123" s="287"/>
      <c r="E123" s="287"/>
      <c r="F123" s="287"/>
      <c r="G123" s="287"/>
      <c r="H123" s="287"/>
      <c r="I123" s="287"/>
      <c r="J123" s="288"/>
    </row>
    <row r="124" spans="1:11" ht="18.75" customHeight="1" x14ac:dyDescent="0.15">
      <c r="A124" s="30"/>
      <c r="B124" s="286"/>
      <c r="C124" s="287"/>
      <c r="D124" s="287"/>
      <c r="E124" s="287"/>
      <c r="F124" s="287"/>
      <c r="G124" s="287"/>
      <c r="H124" s="287"/>
      <c r="I124" s="287"/>
      <c r="J124" s="288"/>
    </row>
    <row r="125" spans="1:11" ht="18.75" customHeight="1" x14ac:dyDescent="0.15">
      <c r="A125" s="30"/>
      <c r="B125" s="286"/>
      <c r="C125" s="287"/>
      <c r="D125" s="287"/>
      <c r="E125" s="287"/>
      <c r="F125" s="287"/>
      <c r="G125" s="287"/>
      <c r="H125" s="287"/>
      <c r="I125" s="287"/>
      <c r="J125" s="288"/>
    </row>
    <row r="126" spans="1:11" ht="18.75" customHeight="1" x14ac:dyDescent="0.15">
      <c r="A126" s="30"/>
      <c r="B126" s="286"/>
      <c r="C126" s="287"/>
      <c r="D126" s="287"/>
      <c r="E126" s="287"/>
      <c r="F126" s="287"/>
      <c r="G126" s="287"/>
      <c r="H126" s="287"/>
      <c r="I126" s="287"/>
      <c r="J126" s="288"/>
    </row>
    <row r="127" spans="1:11" ht="18.75" customHeight="1" x14ac:dyDescent="0.15">
      <c r="A127" s="30"/>
      <c r="B127" s="286"/>
      <c r="C127" s="287"/>
      <c r="D127" s="287"/>
      <c r="E127" s="287"/>
      <c r="F127" s="287"/>
      <c r="G127" s="287"/>
      <c r="H127" s="287"/>
      <c r="I127" s="287"/>
      <c r="J127" s="288"/>
    </row>
    <row r="128" spans="1:11" ht="18.75" customHeight="1" x14ac:dyDescent="0.15">
      <c r="A128" s="30"/>
      <c r="B128" s="286"/>
      <c r="C128" s="287"/>
      <c r="D128" s="287"/>
      <c r="E128" s="287"/>
      <c r="F128" s="287"/>
      <c r="G128" s="287"/>
      <c r="H128" s="287"/>
      <c r="I128" s="287"/>
      <c r="J128" s="288"/>
    </row>
    <row r="129" spans="1:10" ht="18.75" customHeight="1" x14ac:dyDescent="0.15">
      <c r="A129" s="30"/>
      <c r="B129" s="289"/>
      <c r="C129" s="290"/>
      <c r="D129" s="290"/>
      <c r="E129" s="290"/>
      <c r="F129" s="290"/>
      <c r="G129" s="290"/>
      <c r="H129" s="290"/>
      <c r="I129" s="290"/>
      <c r="J129" s="291"/>
    </row>
    <row r="130" spans="1:10" ht="7.5" customHeight="1" x14ac:dyDescent="0.15">
      <c r="A130" s="30"/>
      <c r="B130" s="118"/>
      <c r="C130" s="118"/>
      <c r="D130" s="118"/>
      <c r="E130" s="118"/>
      <c r="F130" s="118"/>
      <c r="G130" s="118"/>
      <c r="H130" s="118"/>
      <c r="I130" s="118"/>
      <c r="J130" s="118"/>
    </row>
    <row r="131" spans="1:10" ht="18.75" customHeight="1" x14ac:dyDescent="0.15">
      <c r="A131" s="30"/>
      <c r="B131" s="117"/>
      <c r="C131" s="117"/>
      <c r="D131" s="117"/>
      <c r="E131" s="117"/>
      <c r="F131" s="117"/>
      <c r="G131" s="117"/>
      <c r="H131" s="117"/>
      <c r="I131" s="117"/>
      <c r="J131" s="117"/>
    </row>
    <row r="132" spans="1:10" ht="18.75" customHeight="1" x14ac:dyDescent="0.15">
      <c r="A132" s="30"/>
      <c r="B132" s="117"/>
      <c r="C132" s="117"/>
      <c r="D132" s="117"/>
      <c r="E132" s="117"/>
      <c r="F132" s="117"/>
      <c r="G132" s="117"/>
      <c r="H132" s="117"/>
      <c r="I132" s="117"/>
      <c r="J132" s="117"/>
    </row>
    <row r="133" spans="1:10" ht="18.75" customHeight="1" x14ac:dyDescent="0.15">
      <c r="A133" s="30"/>
      <c r="B133" s="117"/>
      <c r="C133" s="117"/>
      <c r="D133" s="117"/>
      <c r="E133" s="117"/>
      <c r="F133" s="117"/>
      <c r="G133" s="117"/>
      <c r="H133" s="117"/>
      <c r="I133" s="117"/>
      <c r="J133" s="117"/>
    </row>
    <row r="134" spans="1:10" ht="18.75" customHeight="1" x14ac:dyDescent="0.15">
      <c r="A134" s="30"/>
      <c r="B134" s="117"/>
      <c r="C134" s="117"/>
      <c r="D134" s="117"/>
      <c r="E134" s="117"/>
      <c r="F134" s="117"/>
      <c r="G134" s="117"/>
      <c r="H134" s="117"/>
      <c r="I134" s="117"/>
      <c r="J134" s="117"/>
    </row>
    <row r="135" spans="1:10" ht="18.75" customHeight="1" x14ac:dyDescent="0.15">
      <c r="A135" s="30"/>
      <c r="B135" s="117"/>
      <c r="C135" s="117"/>
      <c r="D135" s="117"/>
      <c r="E135" s="117"/>
      <c r="F135" s="117"/>
      <c r="G135" s="117"/>
      <c r="H135" s="117"/>
      <c r="I135" s="117"/>
      <c r="J135" s="117"/>
    </row>
    <row r="136" spans="1:10" ht="18.75" customHeight="1" x14ac:dyDescent="0.15">
      <c r="A136" s="30"/>
      <c r="B136" s="117"/>
      <c r="C136" s="117"/>
      <c r="D136" s="117"/>
      <c r="E136" s="117"/>
      <c r="F136" s="117"/>
      <c r="G136" s="117"/>
      <c r="H136" s="117"/>
      <c r="I136" s="117"/>
      <c r="J136" s="117"/>
    </row>
    <row r="137" spans="1:10" ht="18.75" customHeight="1" x14ac:dyDescent="0.15">
      <c r="A137" s="30"/>
      <c r="B137" s="117"/>
      <c r="C137" s="117"/>
      <c r="D137" s="117"/>
      <c r="E137" s="117"/>
      <c r="F137" s="117"/>
      <c r="G137" s="117"/>
      <c r="H137" s="117"/>
      <c r="I137" s="117"/>
      <c r="J137" s="117"/>
    </row>
    <row r="138" spans="1:10" ht="18.75" customHeight="1" x14ac:dyDescent="0.15">
      <c r="A138" s="30"/>
      <c r="B138" s="117"/>
      <c r="C138" s="117"/>
      <c r="D138" s="117"/>
      <c r="E138" s="117"/>
      <c r="F138" s="117"/>
      <c r="G138" s="117"/>
      <c r="H138" s="117"/>
      <c r="I138" s="117"/>
      <c r="J138" s="117"/>
    </row>
    <row r="139" spans="1:10" ht="18.75" customHeight="1" x14ac:dyDescent="0.15">
      <c r="A139" s="30"/>
      <c r="B139" s="117"/>
      <c r="C139" s="117"/>
      <c r="D139" s="117"/>
      <c r="E139" s="117"/>
      <c r="F139" s="117"/>
      <c r="G139" s="117"/>
      <c r="H139" s="117"/>
      <c r="I139" s="117"/>
      <c r="J139" s="117"/>
    </row>
    <row r="140" spans="1:10" ht="18.75" customHeight="1" x14ac:dyDescent="0.15">
      <c r="A140" s="30"/>
      <c r="B140" s="117"/>
      <c r="C140" s="117"/>
      <c r="D140" s="117"/>
      <c r="E140" s="117"/>
      <c r="F140" s="117"/>
      <c r="G140" s="117"/>
      <c r="H140" s="117"/>
      <c r="I140" s="117"/>
      <c r="J140" s="117"/>
    </row>
    <row r="141" spans="1:10" ht="18.75" customHeight="1" x14ac:dyDescent="0.15">
      <c r="A141" s="30"/>
      <c r="B141" s="117"/>
      <c r="C141" s="117"/>
      <c r="D141" s="117"/>
      <c r="E141" s="117"/>
      <c r="F141" s="117"/>
      <c r="G141" s="117"/>
      <c r="H141" s="117"/>
      <c r="I141" s="117"/>
      <c r="J141" s="117"/>
    </row>
    <row r="142" spans="1:10" ht="18.75" customHeight="1" x14ac:dyDescent="0.15">
      <c r="A142" s="30"/>
      <c r="B142" s="117"/>
      <c r="C142" s="117"/>
      <c r="D142" s="117"/>
      <c r="E142" s="117"/>
      <c r="F142" s="117"/>
      <c r="G142" s="117"/>
      <c r="H142" s="117"/>
      <c r="I142" s="117"/>
      <c r="J142" s="117"/>
    </row>
    <row r="143" spans="1:10" ht="14.25" x14ac:dyDescent="0.15">
      <c r="A143" s="30"/>
      <c r="B143" s="117"/>
      <c r="C143" s="117"/>
      <c r="D143" s="117"/>
      <c r="E143" s="117"/>
      <c r="F143" s="117"/>
      <c r="G143" s="117"/>
      <c r="H143" s="117"/>
      <c r="I143" s="117"/>
      <c r="J143" s="117"/>
    </row>
    <row r="144" spans="1:10" ht="7.5" customHeight="1" x14ac:dyDescent="0.15">
      <c r="A144" s="94"/>
      <c r="B144" s="94"/>
      <c r="C144" s="94"/>
      <c r="D144" s="94"/>
      <c r="E144" s="94"/>
      <c r="F144" s="94"/>
      <c r="G144" s="94"/>
      <c r="H144" s="94"/>
      <c r="I144" s="94"/>
      <c r="J144" s="94"/>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E7" sqref="E7:J7"/>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4" customWidth="1"/>
    <col min="12" max="16384" width="11.375" style="1"/>
  </cols>
  <sheetData>
    <row r="1" spans="1:11" ht="18.75" customHeight="1" x14ac:dyDescent="0.15">
      <c r="A1" s="1" t="s">
        <v>127</v>
      </c>
      <c r="J1" s="32" t="s">
        <v>77</v>
      </c>
    </row>
    <row r="2" spans="1:11" ht="18.75" customHeight="1" x14ac:dyDescent="0.15">
      <c r="A2" s="219" t="s">
        <v>44</v>
      </c>
      <c r="B2" s="219"/>
      <c r="C2" s="219"/>
      <c r="D2" s="219"/>
      <c r="E2" s="219"/>
      <c r="F2" s="219"/>
      <c r="G2" s="219"/>
      <c r="H2" s="219"/>
      <c r="I2" s="219"/>
      <c r="J2" s="219"/>
    </row>
    <row r="3" spans="1:11" ht="7.5" customHeight="1" x14ac:dyDescent="0.15">
      <c r="A3" s="116"/>
      <c r="B3" s="116"/>
      <c r="C3" s="116"/>
      <c r="D3" s="116"/>
      <c r="E3" s="116"/>
      <c r="F3" s="116"/>
      <c r="G3" s="116"/>
      <c r="H3" s="116"/>
      <c r="I3" s="116"/>
      <c r="J3" s="116"/>
    </row>
    <row r="4" spans="1:11" ht="18.75" customHeight="1" x14ac:dyDescent="0.15">
      <c r="A4" s="8" t="s">
        <v>6</v>
      </c>
      <c r="B4" s="8" t="s">
        <v>43</v>
      </c>
      <c r="C4" s="117"/>
      <c r="D4" s="117"/>
      <c r="E4" s="117"/>
      <c r="F4" s="117"/>
      <c r="G4" s="117"/>
      <c r="H4" s="117"/>
      <c r="I4" s="117"/>
      <c r="J4" s="117"/>
    </row>
    <row r="5" spans="1:11" ht="18.75" customHeight="1" x14ac:dyDescent="0.15">
      <c r="A5" s="8"/>
      <c r="B5" s="126" t="s">
        <v>40</v>
      </c>
      <c r="C5" s="127"/>
      <c r="D5" s="128"/>
      <c r="E5" s="127" t="s">
        <v>42</v>
      </c>
      <c r="F5" s="127"/>
      <c r="G5" s="127"/>
      <c r="H5" s="127"/>
      <c r="I5" s="127"/>
      <c r="J5" s="128"/>
    </row>
    <row r="6" spans="1:11" ht="18.75" customHeight="1" x14ac:dyDescent="0.15">
      <c r="A6" s="8"/>
      <c r="B6" s="12" t="s">
        <v>30</v>
      </c>
      <c r="C6" s="117"/>
      <c r="D6" s="119"/>
      <c r="E6" s="8"/>
      <c r="F6" s="8"/>
      <c r="G6" s="8"/>
      <c r="H6" s="8"/>
      <c r="I6" s="117"/>
      <c r="J6" s="119"/>
    </row>
    <row r="7" spans="1:11" ht="207" customHeight="1" x14ac:dyDescent="0.15">
      <c r="A7" s="8"/>
      <c r="B7" s="120"/>
      <c r="C7" s="303" t="s">
        <v>31</v>
      </c>
      <c r="D7" s="304"/>
      <c r="E7" s="309" t="s">
        <v>215</v>
      </c>
      <c r="F7" s="305"/>
      <c r="G7" s="305"/>
      <c r="H7" s="305"/>
      <c r="I7" s="305"/>
      <c r="J7" s="306"/>
      <c r="K7" s="24" t="str">
        <f>IF(E7="","入力してください","")</f>
        <v/>
      </c>
    </row>
    <row r="8" spans="1:11" ht="207" customHeight="1" x14ac:dyDescent="0.15">
      <c r="A8" s="8"/>
      <c r="B8" s="120"/>
      <c r="C8" s="310" t="s">
        <v>32</v>
      </c>
      <c r="D8" s="311"/>
      <c r="E8" s="309" t="s">
        <v>216</v>
      </c>
      <c r="F8" s="305"/>
      <c r="G8" s="305"/>
      <c r="H8" s="305"/>
      <c r="I8" s="305"/>
      <c r="J8" s="306"/>
      <c r="K8" s="24" t="str">
        <f>IF(E8="","入力してください","")</f>
        <v/>
      </c>
    </row>
    <row r="9" spans="1:11" ht="172.5" customHeight="1" x14ac:dyDescent="0.15">
      <c r="A9" s="8"/>
      <c r="B9" s="120"/>
      <c r="C9" s="303" t="s">
        <v>33</v>
      </c>
      <c r="D9" s="304"/>
      <c r="E9" s="309" t="s">
        <v>195</v>
      </c>
      <c r="F9" s="305"/>
      <c r="G9" s="305"/>
      <c r="H9" s="305"/>
      <c r="I9" s="305"/>
      <c r="J9" s="306"/>
      <c r="K9" s="24" t="str">
        <f>IF(E9="","入力してください","")</f>
        <v/>
      </c>
    </row>
    <row r="10" spans="1:11" ht="172.5" customHeight="1" x14ac:dyDescent="0.15">
      <c r="A10" s="8"/>
      <c r="B10" s="120"/>
      <c r="C10" s="303" t="s">
        <v>34</v>
      </c>
      <c r="D10" s="304"/>
      <c r="E10" s="309" t="s">
        <v>217</v>
      </c>
      <c r="F10" s="305"/>
      <c r="G10" s="305"/>
      <c r="H10" s="305"/>
      <c r="I10" s="305"/>
      <c r="J10" s="306"/>
      <c r="K10" s="24" t="str">
        <f t="shared" ref="K10:K14" si="0">IF(E10="","入力してください","")</f>
        <v/>
      </c>
    </row>
    <row r="11" spans="1:11" ht="172.5" customHeight="1" x14ac:dyDescent="0.15">
      <c r="A11" s="8"/>
      <c r="B11" s="120"/>
      <c r="C11" s="303" t="s">
        <v>35</v>
      </c>
      <c r="D11" s="304"/>
      <c r="E11" s="309" t="s">
        <v>196</v>
      </c>
      <c r="F11" s="305"/>
      <c r="G11" s="305"/>
      <c r="H11" s="305"/>
      <c r="I11" s="305"/>
      <c r="J11" s="306"/>
      <c r="K11" s="24" t="str">
        <f t="shared" si="0"/>
        <v/>
      </c>
    </row>
    <row r="12" spans="1:11" ht="18.75" customHeight="1" x14ac:dyDescent="0.15">
      <c r="A12" s="8"/>
      <c r="B12" s="121" t="s">
        <v>36</v>
      </c>
      <c r="C12" s="122"/>
      <c r="D12" s="123"/>
      <c r="E12" s="124"/>
      <c r="F12" s="124"/>
      <c r="G12" s="124"/>
      <c r="H12" s="124"/>
      <c r="I12" s="124"/>
      <c r="J12" s="125"/>
    </row>
    <row r="13" spans="1:11" ht="244.15" customHeight="1" x14ac:dyDescent="0.15">
      <c r="A13" s="8"/>
      <c r="B13" s="120"/>
      <c r="C13" s="303" t="s">
        <v>37</v>
      </c>
      <c r="D13" s="304"/>
      <c r="E13" s="305" t="s">
        <v>194</v>
      </c>
      <c r="F13" s="305"/>
      <c r="G13" s="305"/>
      <c r="H13" s="305"/>
      <c r="I13" s="305"/>
      <c r="J13" s="306"/>
      <c r="K13" s="24" t="str">
        <f t="shared" si="0"/>
        <v/>
      </c>
    </row>
    <row r="14" spans="1:11" ht="255" customHeight="1" x14ac:dyDescent="0.15">
      <c r="A14" s="8"/>
      <c r="B14" s="120"/>
      <c r="C14" s="303" t="s">
        <v>38</v>
      </c>
      <c r="D14" s="304"/>
      <c r="E14" s="305" t="s">
        <v>197</v>
      </c>
      <c r="F14" s="305"/>
      <c r="G14" s="305"/>
      <c r="H14" s="305"/>
      <c r="I14" s="305"/>
      <c r="J14" s="306"/>
      <c r="K14" s="24" t="str">
        <f t="shared" si="0"/>
        <v/>
      </c>
    </row>
    <row r="15" spans="1:11" ht="243" customHeight="1" x14ac:dyDescent="0.15">
      <c r="A15" s="8"/>
      <c r="B15" s="307" t="s">
        <v>39</v>
      </c>
      <c r="C15" s="308"/>
      <c r="D15" s="304"/>
      <c r="E15" s="305" t="s">
        <v>218</v>
      </c>
      <c r="F15" s="305"/>
      <c r="G15" s="305"/>
      <c r="H15" s="305"/>
      <c r="I15" s="305"/>
      <c r="J15" s="306"/>
      <c r="K15" s="24" t="str">
        <f>IF(E15="","入力してください","")</f>
        <v/>
      </c>
    </row>
    <row r="16" spans="1:11" ht="243" customHeight="1" x14ac:dyDescent="0.15">
      <c r="A16" s="8"/>
      <c r="B16" s="297" t="s">
        <v>68</v>
      </c>
      <c r="C16" s="298"/>
      <c r="D16" s="299"/>
      <c r="E16" s="282" t="s">
        <v>219</v>
      </c>
      <c r="F16" s="282"/>
      <c r="G16" s="282"/>
      <c r="H16" s="282"/>
      <c r="I16" s="282"/>
      <c r="J16" s="283"/>
      <c r="K16" s="24" t="str">
        <f>IF(E16="","入力してください","")</f>
        <v/>
      </c>
    </row>
    <row r="17" spans="1:11" ht="7.5" customHeight="1" x14ac:dyDescent="0.15">
      <c r="A17" s="8"/>
      <c r="B17" s="117"/>
      <c r="C17" s="117"/>
      <c r="D17" s="117"/>
      <c r="E17" s="117"/>
      <c r="F17" s="117"/>
      <c r="G17" s="117"/>
      <c r="H17" s="117"/>
      <c r="I17" s="117"/>
      <c r="J17" s="117"/>
    </row>
    <row r="18" spans="1:11" ht="18.75" customHeight="1" x14ac:dyDescent="0.15">
      <c r="A18" s="8" t="s">
        <v>128</v>
      </c>
      <c r="B18" s="8"/>
      <c r="C18" s="117"/>
      <c r="D18" s="117"/>
      <c r="E18" s="117"/>
      <c r="F18" s="115"/>
      <c r="G18" s="300" t="s">
        <v>209</v>
      </c>
      <c r="H18" s="301"/>
      <c r="I18" s="301"/>
      <c r="J18" s="302"/>
      <c r="K18" s="24" t="str">
        <f>IF(G18="","入力してください","")</f>
        <v/>
      </c>
    </row>
    <row r="19" spans="1:11" ht="22.5" customHeight="1" x14ac:dyDescent="0.15">
      <c r="A19" s="8"/>
      <c r="B19" s="117"/>
      <c r="C19" s="117"/>
      <c r="D19" s="117"/>
      <c r="E19" s="117"/>
      <c r="F19" s="117"/>
      <c r="G19" s="117"/>
      <c r="H19" s="117"/>
      <c r="I19" s="117"/>
      <c r="J19" s="117"/>
    </row>
    <row r="20" spans="1:11" ht="22.5" customHeight="1" x14ac:dyDescent="0.15">
      <c r="A20" s="8"/>
      <c r="B20" s="117"/>
      <c r="C20" s="117"/>
      <c r="D20" s="117"/>
      <c r="E20" s="117"/>
      <c r="F20" s="117"/>
      <c r="G20" s="117"/>
      <c r="H20" s="117"/>
      <c r="I20" s="117"/>
      <c r="J20" s="117"/>
    </row>
    <row r="21" spans="1:11" ht="22.5" customHeight="1" x14ac:dyDescent="0.15">
      <c r="A21" s="8"/>
      <c r="B21" s="117"/>
      <c r="C21" s="117"/>
      <c r="D21" s="117"/>
      <c r="E21" s="117"/>
      <c r="F21" s="117"/>
      <c r="G21" s="117"/>
      <c r="H21" s="117"/>
      <c r="I21" s="117"/>
      <c r="J21" s="117"/>
    </row>
    <row r="22" spans="1:11" ht="22.5" customHeight="1" x14ac:dyDescent="0.15">
      <c r="A22" s="8"/>
      <c r="B22" s="117"/>
      <c r="C22" s="117"/>
      <c r="D22" s="117"/>
      <c r="E22" s="117"/>
      <c r="F22" s="117"/>
      <c r="G22" s="117"/>
      <c r="H22" s="117"/>
      <c r="I22" s="117"/>
      <c r="J22" s="117"/>
    </row>
    <row r="23" spans="1:11" ht="22.5" customHeight="1" x14ac:dyDescent="0.15">
      <c r="B23" s="30"/>
      <c r="C23" s="30"/>
      <c r="D23" s="30"/>
      <c r="E23" s="31"/>
      <c r="F23" s="31"/>
      <c r="G23" s="31"/>
      <c r="H23" s="31"/>
      <c r="I23" s="31"/>
      <c r="J23" s="31"/>
    </row>
    <row r="24" spans="1:11" ht="22.5" customHeight="1" x14ac:dyDescent="0.15">
      <c r="B24" s="95"/>
      <c r="C24" s="95"/>
      <c r="D24" s="95"/>
      <c r="E24" s="95"/>
      <c r="F24" s="95"/>
      <c r="G24" s="95"/>
      <c r="H24" s="95"/>
      <c r="I24" s="95"/>
      <c r="J24" s="95"/>
    </row>
    <row r="25" spans="1:11" ht="22.5" customHeight="1" x14ac:dyDescent="0.15">
      <c r="B25" s="95"/>
      <c r="C25" s="95"/>
      <c r="D25" s="95"/>
      <c r="E25" s="95"/>
      <c r="F25" s="95"/>
      <c r="G25" s="95"/>
      <c r="H25" s="95"/>
      <c r="I25" s="95"/>
      <c r="J25" s="95"/>
    </row>
    <row r="26" spans="1:11" ht="22.5" customHeight="1" x14ac:dyDescent="0.15">
      <c r="B26" s="95"/>
      <c r="C26" s="95"/>
      <c r="D26" s="95"/>
      <c r="E26" s="95"/>
      <c r="F26" s="95"/>
      <c r="G26" s="95"/>
      <c r="H26" s="95"/>
      <c r="I26" s="95"/>
      <c r="J26" s="95"/>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941577D7-9140-4DCA-A78D-9D4C52B889BF}"/>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45"/>
  <sheetViews>
    <sheetView showZeros="0" view="pageBreakPreview" zoomScaleNormal="100" zoomScaleSheetLayoutView="100" workbookViewId="0">
      <selection activeCell="I113" sqref="I113"/>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A1" s="8"/>
      <c r="B1" s="8"/>
      <c r="C1" s="8"/>
      <c r="D1" s="8"/>
      <c r="E1" s="142" t="s">
        <v>7</v>
      </c>
      <c r="F1" s="142"/>
    </row>
    <row r="2" spans="1:6" ht="18.75" customHeight="1" x14ac:dyDescent="0.15">
      <c r="A2" s="178" t="s">
        <v>152</v>
      </c>
      <c r="B2" s="178"/>
      <c r="C2" s="178"/>
      <c r="D2" s="178"/>
      <c r="E2" s="178"/>
      <c r="F2" s="178"/>
    </row>
    <row r="3" spans="1:6" ht="7.5" customHeight="1" x14ac:dyDescent="0.15">
      <c r="A3" s="22"/>
      <c r="B3" s="22"/>
      <c r="C3" s="22"/>
      <c r="D3" s="22"/>
      <c r="E3" s="22"/>
      <c r="F3" s="22"/>
    </row>
    <row r="4" spans="1:6" ht="18.75" customHeight="1" x14ac:dyDescent="0.15">
      <c r="A4" s="22" t="s">
        <v>6</v>
      </c>
      <c r="B4" s="8" t="s">
        <v>28</v>
      </c>
      <c r="C4" s="22"/>
      <c r="D4" s="22"/>
      <c r="E4" s="22"/>
      <c r="F4" s="22"/>
    </row>
    <row r="5" spans="1:6" ht="18.75" customHeight="1" x14ac:dyDescent="0.15">
      <c r="A5" s="22"/>
      <c r="B5" s="275" t="s">
        <v>222</v>
      </c>
      <c r="C5" s="284"/>
      <c r="D5" s="284"/>
      <c r="E5" s="284"/>
      <c r="F5" s="285"/>
    </row>
    <row r="6" spans="1:6" ht="18.75" customHeight="1" x14ac:dyDescent="0.15">
      <c r="A6" s="22"/>
      <c r="B6" s="286"/>
      <c r="C6" s="287"/>
      <c r="D6" s="287"/>
      <c r="E6" s="287"/>
      <c r="F6" s="288"/>
    </row>
    <row r="7" spans="1:6" ht="18.75" customHeight="1" x14ac:dyDescent="0.15">
      <c r="A7" s="22"/>
      <c r="B7" s="286"/>
      <c r="C7" s="287"/>
      <c r="D7" s="287"/>
      <c r="E7" s="287"/>
      <c r="F7" s="288"/>
    </row>
    <row r="8" spans="1:6" ht="18.75" customHeight="1" x14ac:dyDescent="0.15">
      <c r="A8" s="22"/>
      <c r="B8" s="286"/>
      <c r="C8" s="287"/>
      <c r="D8" s="287"/>
      <c r="E8" s="287"/>
      <c r="F8" s="288"/>
    </row>
    <row r="9" spans="1:6" ht="18.75" customHeight="1" x14ac:dyDescent="0.15">
      <c r="A9" s="22"/>
      <c r="B9" s="286"/>
      <c r="C9" s="287"/>
      <c r="D9" s="287"/>
      <c r="E9" s="287"/>
      <c r="F9" s="288"/>
    </row>
    <row r="10" spans="1:6" ht="18.75" customHeight="1" x14ac:dyDescent="0.15">
      <c r="A10" s="22"/>
      <c r="B10" s="286"/>
      <c r="C10" s="287"/>
      <c r="D10" s="287"/>
      <c r="E10" s="287"/>
      <c r="F10" s="288"/>
    </row>
    <row r="11" spans="1:6" ht="18.75" customHeight="1" x14ac:dyDescent="0.15">
      <c r="A11" s="22"/>
      <c r="B11" s="286"/>
      <c r="C11" s="287"/>
      <c r="D11" s="287"/>
      <c r="E11" s="287"/>
      <c r="F11" s="288"/>
    </row>
    <row r="12" spans="1:6" ht="18.75" customHeight="1" x14ac:dyDescent="0.15">
      <c r="A12" s="22"/>
      <c r="B12" s="286"/>
      <c r="C12" s="287"/>
      <c r="D12" s="287"/>
      <c r="E12" s="287"/>
      <c r="F12" s="288"/>
    </row>
    <row r="13" spans="1:6" ht="18.75" customHeight="1" x14ac:dyDescent="0.15">
      <c r="A13" s="22"/>
      <c r="B13" s="286"/>
      <c r="C13" s="287"/>
      <c r="D13" s="287"/>
      <c r="E13" s="287"/>
      <c r="F13" s="288"/>
    </row>
    <row r="14" spans="1:6" ht="18.75" customHeight="1" x14ac:dyDescent="0.15">
      <c r="A14" s="22"/>
      <c r="B14" s="286"/>
      <c r="C14" s="287"/>
      <c r="D14" s="287"/>
      <c r="E14" s="287"/>
      <c r="F14" s="288"/>
    </row>
    <row r="15" spans="1:6" ht="18.75" customHeight="1" x14ac:dyDescent="0.15">
      <c r="A15" s="22"/>
      <c r="B15" s="286"/>
      <c r="C15" s="287"/>
      <c r="D15" s="287"/>
      <c r="E15" s="287"/>
      <c r="F15" s="288"/>
    </row>
    <row r="16" spans="1:6" ht="18.75" customHeight="1" x14ac:dyDescent="0.15">
      <c r="A16" s="22"/>
      <c r="B16" s="286"/>
      <c r="C16" s="287"/>
      <c r="D16" s="287"/>
      <c r="E16" s="287"/>
      <c r="F16" s="288"/>
    </row>
    <row r="17" spans="1:6" ht="18.75" customHeight="1" x14ac:dyDescent="0.15">
      <c r="A17" s="22"/>
      <c r="B17" s="286"/>
      <c r="C17" s="287"/>
      <c r="D17" s="287"/>
      <c r="E17" s="287"/>
      <c r="F17" s="288"/>
    </row>
    <row r="18" spans="1:6" ht="18.75" customHeight="1" x14ac:dyDescent="0.15">
      <c r="A18" s="22"/>
      <c r="B18" s="286"/>
      <c r="C18" s="287"/>
      <c r="D18" s="287"/>
      <c r="E18" s="287"/>
      <c r="F18" s="288"/>
    </row>
    <row r="19" spans="1:6" ht="18.75" customHeight="1" x14ac:dyDescent="0.15">
      <c r="A19" s="22"/>
      <c r="B19" s="286"/>
      <c r="C19" s="287"/>
      <c r="D19" s="287"/>
      <c r="E19" s="287"/>
      <c r="F19" s="288"/>
    </row>
    <row r="20" spans="1:6" ht="18.75" customHeight="1" x14ac:dyDescent="0.15">
      <c r="A20" s="22"/>
      <c r="B20" s="286"/>
      <c r="C20" s="287"/>
      <c r="D20" s="287"/>
      <c r="E20" s="287"/>
      <c r="F20" s="288"/>
    </row>
    <row r="21" spans="1:6" ht="18.75" customHeight="1" x14ac:dyDescent="0.15">
      <c r="A21" s="22"/>
      <c r="B21" s="286"/>
      <c r="C21" s="287"/>
      <c r="D21" s="287"/>
      <c r="E21" s="287"/>
      <c r="F21" s="288"/>
    </row>
    <row r="22" spans="1:6" ht="18.75" customHeight="1" x14ac:dyDescent="0.15">
      <c r="A22" s="22"/>
      <c r="B22" s="286"/>
      <c r="C22" s="287"/>
      <c r="D22" s="287"/>
      <c r="E22" s="287"/>
      <c r="F22" s="288"/>
    </row>
    <row r="23" spans="1:6" ht="18.75" customHeight="1" x14ac:dyDescent="0.15">
      <c r="A23" s="22"/>
      <c r="B23" s="286"/>
      <c r="C23" s="287"/>
      <c r="D23" s="287"/>
      <c r="E23" s="287"/>
      <c r="F23" s="288"/>
    </row>
    <row r="24" spans="1:6" ht="18.75" customHeight="1" x14ac:dyDescent="0.15">
      <c r="A24" s="22"/>
      <c r="B24" s="286"/>
      <c r="C24" s="287"/>
      <c r="D24" s="287"/>
      <c r="E24" s="287"/>
      <c r="F24" s="288"/>
    </row>
    <row r="25" spans="1:6" ht="18.75" customHeight="1" x14ac:dyDescent="0.15">
      <c r="A25" s="22"/>
      <c r="B25" s="286"/>
      <c r="C25" s="287"/>
      <c r="D25" s="287"/>
      <c r="E25" s="287"/>
      <c r="F25" s="288"/>
    </row>
    <row r="26" spans="1:6" ht="18.75" customHeight="1" x14ac:dyDescent="0.15">
      <c r="A26" s="22"/>
      <c r="B26" s="286"/>
      <c r="C26" s="287"/>
      <c r="D26" s="287"/>
      <c r="E26" s="287"/>
      <c r="F26" s="288"/>
    </row>
    <row r="27" spans="1:6" ht="18.75" customHeight="1" x14ac:dyDescent="0.15">
      <c r="A27" s="22"/>
      <c r="B27" s="286"/>
      <c r="C27" s="287"/>
      <c r="D27" s="287"/>
      <c r="E27" s="287"/>
      <c r="F27" s="288"/>
    </row>
    <row r="28" spans="1:6" ht="18.75" customHeight="1" x14ac:dyDescent="0.15">
      <c r="A28" s="22"/>
      <c r="B28" s="286"/>
      <c r="C28" s="287"/>
      <c r="D28" s="287"/>
      <c r="E28" s="287"/>
      <c r="F28" s="288"/>
    </row>
    <row r="29" spans="1:6" ht="18.75" customHeight="1" x14ac:dyDescent="0.15">
      <c r="A29" s="22"/>
      <c r="B29" s="286"/>
      <c r="C29" s="287"/>
      <c r="D29" s="287"/>
      <c r="E29" s="287"/>
      <c r="F29" s="288"/>
    </row>
    <row r="30" spans="1:6" ht="18.75" customHeight="1" x14ac:dyDescent="0.15">
      <c r="A30" s="22"/>
      <c r="B30" s="286"/>
      <c r="C30" s="287"/>
      <c r="D30" s="287"/>
      <c r="E30" s="287"/>
      <c r="F30" s="288"/>
    </row>
    <row r="31" spans="1:6" ht="18.75" customHeight="1" x14ac:dyDescent="0.15">
      <c r="A31" s="22"/>
      <c r="B31" s="286"/>
      <c r="C31" s="287"/>
      <c r="D31" s="287"/>
      <c r="E31" s="287"/>
      <c r="F31" s="288"/>
    </row>
    <row r="32" spans="1:6" ht="18.75" customHeight="1" x14ac:dyDescent="0.15">
      <c r="A32" s="22"/>
      <c r="B32" s="286"/>
      <c r="C32" s="287"/>
      <c r="D32" s="287"/>
      <c r="E32" s="287"/>
      <c r="F32" s="288"/>
    </row>
    <row r="33" spans="1:6" ht="18.75" customHeight="1" x14ac:dyDescent="0.15">
      <c r="A33" s="22"/>
      <c r="B33" s="286"/>
      <c r="C33" s="287"/>
      <c r="D33" s="287"/>
      <c r="E33" s="287"/>
      <c r="F33" s="288"/>
    </row>
    <row r="34" spans="1:6" ht="18.75" customHeight="1" x14ac:dyDescent="0.15">
      <c r="A34" s="22"/>
      <c r="B34" s="286"/>
      <c r="C34" s="287"/>
      <c r="D34" s="287"/>
      <c r="E34" s="287"/>
      <c r="F34" s="288"/>
    </row>
    <row r="35" spans="1:6" ht="18.75" customHeight="1" x14ac:dyDescent="0.15">
      <c r="A35" s="22"/>
      <c r="B35" s="286"/>
      <c r="C35" s="287"/>
      <c r="D35" s="287"/>
      <c r="E35" s="287"/>
      <c r="F35" s="288"/>
    </row>
    <row r="36" spans="1:6" ht="18.75" customHeight="1" x14ac:dyDescent="0.15">
      <c r="A36" s="22"/>
      <c r="B36" s="286"/>
      <c r="C36" s="287"/>
      <c r="D36" s="287"/>
      <c r="E36" s="287"/>
      <c r="F36" s="288"/>
    </row>
    <row r="37" spans="1:6" ht="18.75" customHeight="1" x14ac:dyDescent="0.15">
      <c r="A37" s="22"/>
      <c r="B37" s="286"/>
      <c r="C37" s="287"/>
      <c r="D37" s="287"/>
      <c r="E37" s="287"/>
      <c r="F37" s="288"/>
    </row>
    <row r="38" spans="1:6" ht="18.75" customHeight="1" x14ac:dyDescent="0.15">
      <c r="A38" s="22"/>
      <c r="B38" s="286"/>
      <c r="C38" s="287"/>
      <c r="D38" s="287"/>
      <c r="E38" s="287"/>
      <c r="F38" s="288"/>
    </row>
    <row r="39" spans="1:6" ht="18.75" customHeight="1" x14ac:dyDescent="0.15">
      <c r="A39" s="22"/>
      <c r="B39" s="286"/>
      <c r="C39" s="287"/>
      <c r="D39" s="287"/>
      <c r="E39" s="287"/>
      <c r="F39" s="288"/>
    </row>
    <row r="40" spans="1:6" ht="18.75" customHeight="1" x14ac:dyDescent="0.15">
      <c r="A40" s="22"/>
      <c r="B40" s="286"/>
      <c r="C40" s="287"/>
      <c r="D40" s="287"/>
      <c r="E40" s="287"/>
      <c r="F40" s="288"/>
    </row>
    <row r="41" spans="1:6" ht="18.75" customHeight="1" x14ac:dyDescent="0.15">
      <c r="A41" s="22"/>
      <c r="B41" s="286"/>
      <c r="C41" s="287"/>
      <c r="D41" s="287"/>
      <c r="E41" s="287"/>
      <c r="F41" s="288"/>
    </row>
    <row r="42" spans="1:6" ht="18.75" customHeight="1" x14ac:dyDescent="0.15">
      <c r="A42" s="22"/>
      <c r="B42" s="289"/>
      <c r="C42" s="290"/>
      <c r="D42" s="290"/>
      <c r="E42" s="290"/>
      <c r="F42" s="291"/>
    </row>
    <row r="43" spans="1:6" ht="18.75" customHeight="1" x14ac:dyDescent="0.15">
      <c r="A43" s="22" t="s">
        <v>10</v>
      </c>
      <c r="B43" s="8" t="s">
        <v>73</v>
      </c>
      <c r="C43" s="22"/>
      <c r="D43" s="22"/>
      <c r="E43" s="22"/>
      <c r="F43" s="22"/>
    </row>
    <row r="44" spans="1:6" ht="18.75" customHeight="1" x14ac:dyDescent="0.15">
      <c r="A44" s="22"/>
      <c r="B44" s="275" t="s">
        <v>223</v>
      </c>
      <c r="C44" s="284"/>
      <c r="D44" s="284"/>
      <c r="E44" s="284"/>
      <c r="F44" s="285"/>
    </row>
    <row r="45" spans="1:6" ht="18.75" customHeight="1" x14ac:dyDescent="0.15">
      <c r="A45" s="22"/>
      <c r="B45" s="286"/>
      <c r="C45" s="287"/>
      <c r="D45" s="287"/>
      <c r="E45" s="287"/>
      <c r="F45" s="288"/>
    </row>
    <row r="46" spans="1:6" ht="18.75" customHeight="1" x14ac:dyDescent="0.15">
      <c r="A46" s="22"/>
      <c r="B46" s="286"/>
      <c r="C46" s="287"/>
      <c r="D46" s="287"/>
      <c r="E46" s="287"/>
      <c r="F46" s="288"/>
    </row>
    <row r="47" spans="1:6" ht="18.75" customHeight="1" x14ac:dyDescent="0.15">
      <c r="A47" s="22"/>
      <c r="B47" s="286"/>
      <c r="C47" s="287"/>
      <c r="D47" s="287"/>
      <c r="E47" s="287"/>
      <c r="F47" s="288"/>
    </row>
    <row r="48" spans="1:6" ht="18.75" customHeight="1" x14ac:dyDescent="0.15">
      <c r="A48" s="22"/>
      <c r="B48" s="286"/>
      <c r="C48" s="287"/>
      <c r="D48" s="287"/>
      <c r="E48" s="287"/>
      <c r="F48" s="288"/>
    </row>
    <row r="49" spans="1:6" ht="18.75" customHeight="1" x14ac:dyDescent="0.15">
      <c r="A49" s="22"/>
      <c r="B49" s="286"/>
      <c r="C49" s="287"/>
      <c r="D49" s="287"/>
      <c r="E49" s="287"/>
      <c r="F49" s="288"/>
    </row>
    <row r="50" spans="1:6" ht="18.75" customHeight="1" x14ac:dyDescent="0.15">
      <c r="A50" s="22"/>
      <c r="B50" s="286"/>
      <c r="C50" s="287"/>
      <c r="D50" s="287"/>
      <c r="E50" s="287"/>
      <c r="F50" s="288"/>
    </row>
    <row r="51" spans="1:6" ht="18.75" customHeight="1" x14ac:dyDescent="0.15">
      <c r="A51" s="22"/>
      <c r="B51" s="286"/>
      <c r="C51" s="287"/>
      <c r="D51" s="287"/>
      <c r="E51" s="287"/>
      <c r="F51" s="288"/>
    </row>
    <row r="52" spans="1:6" ht="18.75" customHeight="1" x14ac:dyDescent="0.15">
      <c r="A52" s="22"/>
      <c r="B52" s="286"/>
      <c r="C52" s="287"/>
      <c r="D52" s="287"/>
      <c r="E52" s="287"/>
      <c r="F52" s="288"/>
    </row>
    <row r="53" spans="1:6" ht="18.75" customHeight="1" x14ac:dyDescent="0.15">
      <c r="A53" s="22"/>
      <c r="B53" s="286"/>
      <c r="C53" s="287"/>
      <c r="D53" s="287"/>
      <c r="E53" s="287"/>
      <c r="F53" s="288"/>
    </row>
    <row r="54" spans="1:6" ht="18.75" customHeight="1" x14ac:dyDescent="0.15">
      <c r="A54" s="22"/>
      <c r="B54" s="286"/>
      <c r="C54" s="287"/>
      <c r="D54" s="287"/>
      <c r="E54" s="287"/>
      <c r="F54" s="288"/>
    </row>
    <row r="55" spans="1:6" ht="18.75" customHeight="1" x14ac:dyDescent="0.15">
      <c r="A55" s="22"/>
      <c r="B55" s="286"/>
      <c r="C55" s="287"/>
      <c r="D55" s="287"/>
      <c r="E55" s="287"/>
      <c r="F55" s="288"/>
    </row>
    <row r="56" spans="1:6" ht="18.75" customHeight="1" x14ac:dyDescent="0.15">
      <c r="A56" s="22"/>
      <c r="B56" s="286"/>
      <c r="C56" s="287"/>
      <c r="D56" s="287"/>
      <c r="E56" s="287"/>
      <c r="F56" s="288"/>
    </row>
    <row r="57" spans="1:6" ht="18.75" customHeight="1" x14ac:dyDescent="0.15">
      <c r="A57" s="22"/>
      <c r="B57" s="286"/>
      <c r="C57" s="287"/>
      <c r="D57" s="287"/>
      <c r="E57" s="287"/>
      <c r="F57" s="288"/>
    </row>
    <row r="58" spans="1:6" ht="18.75" customHeight="1" x14ac:dyDescent="0.15">
      <c r="A58" s="22"/>
      <c r="B58" s="286"/>
      <c r="C58" s="287"/>
      <c r="D58" s="287"/>
      <c r="E58" s="287"/>
      <c r="F58" s="288"/>
    </row>
    <row r="59" spans="1:6" ht="18.75" customHeight="1" x14ac:dyDescent="0.15">
      <c r="A59" s="22"/>
      <c r="B59" s="286"/>
      <c r="C59" s="287"/>
      <c r="D59" s="287"/>
      <c r="E59" s="287"/>
      <c r="F59" s="288"/>
    </row>
    <row r="60" spans="1:6" ht="18.75" customHeight="1" x14ac:dyDescent="0.15">
      <c r="A60" s="22"/>
      <c r="B60" s="286"/>
      <c r="C60" s="287"/>
      <c r="D60" s="287"/>
      <c r="E60" s="287"/>
      <c r="F60" s="288"/>
    </row>
    <row r="61" spans="1:6" ht="18.75" customHeight="1" x14ac:dyDescent="0.15">
      <c r="A61" s="22"/>
      <c r="B61" s="286"/>
      <c r="C61" s="287"/>
      <c r="D61" s="287"/>
      <c r="E61" s="287"/>
      <c r="F61" s="288"/>
    </row>
    <row r="62" spans="1:6" ht="18.75" customHeight="1" x14ac:dyDescent="0.15">
      <c r="A62" s="22"/>
      <c r="B62" s="286"/>
      <c r="C62" s="287"/>
      <c r="D62" s="287"/>
      <c r="E62" s="287"/>
      <c r="F62" s="288"/>
    </row>
    <row r="63" spans="1:6" ht="18.75" customHeight="1" x14ac:dyDescent="0.15">
      <c r="A63" s="22"/>
      <c r="B63" s="286"/>
      <c r="C63" s="287"/>
      <c r="D63" s="287"/>
      <c r="E63" s="287"/>
      <c r="F63" s="288"/>
    </row>
    <row r="64" spans="1:6" ht="18.75" customHeight="1" x14ac:dyDescent="0.15">
      <c r="A64" s="22"/>
      <c r="B64" s="286"/>
      <c r="C64" s="287"/>
      <c r="D64" s="287"/>
      <c r="E64" s="287"/>
      <c r="F64" s="288"/>
    </row>
    <row r="65" spans="1:6" ht="18.75" customHeight="1" x14ac:dyDescent="0.15">
      <c r="A65" s="22"/>
      <c r="B65" s="286"/>
      <c r="C65" s="287"/>
      <c r="D65" s="287"/>
      <c r="E65" s="287"/>
      <c r="F65" s="288"/>
    </row>
    <row r="66" spans="1:6" ht="18.75" customHeight="1" x14ac:dyDescent="0.15">
      <c r="A66" s="22"/>
      <c r="B66" s="286"/>
      <c r="C66" s="287"/>
      <c r="D66" s="287"/>
      <c r="E66" s="287"/>
      <c r="F66" s="288"/>
    </row>
    <row r="67" spans="1:6" ht="18.75" customHeight="1" x14ac:dyDescent="0.15">
      <c r="A67" s="22"/>
      <c r="B67" s="286"/>
      <c r="C67" s="287"/>
      <c r="D67" s="287"/>
      <c r="E67" s="287"/>
      <c r="F67" s="288"/>
    </row>
    <row r="68" spans="1:6" ht="18.75" customHeight="1" x14ac:dyDescent="0.15">
      <c r="A68" s="22"/>
      <c r="B68" s="286"/>
      <c r="C68" s="287"/>
      <c r="D68" s="287"/>
      <c r="E68" s="287"/>
      <c r="F68" s="288"/>
    </row>
    <row r="69" spans="1:6" ht="18.75" customHeight="1" x14ac:dyDescent="0.15">
      <c r="A69" s="22"/>
      <c r="B69" s="286"/>
      <c r="C69" s="287"/>
      <c r="D69" s="287"/>
      <c r="E69" s="287"/>
      <c r="F69" s="288"/>
    </row>
    <row r="70" spans="1:6" ht="18.75" customHeight="1" x14ac:dyDescent="0.15">
      <c r="A70" s="22"/>
      <c r="B70" s="286"/>
      <c r="C70" s="287"/>
      <c r="D70" s="287"/>
      <c r="E70" s="287"/>
      <c r="F70" s="288"/>
    </row>
    <row r="71" spans="1:6" ht="18.75" customHeight="1" x14ac:dyDescent="0.15">
      <c r="A71" s="22"/>
      <c r="B71" s="286"/>
      <c r="C71" s="287"/>
      <c r="D71" s="287"/>
      <c r="E71" s="287"/>
      <c r="F71" s="288"/>
    </row>
    <row r="72" spans="1:6" ht="18.75" customHeight="1" x14ac:dyDescent="0.15">
      <c r="A72" s="22"/>
      <c r="B72" s="286"/>
      <c r="C72" s="287"/>
      <c r="D72" s="287"/>
      <c r="E72" s="287"/>
      <c r="F72" s="288"/>
    </row>
    <row r="73" spans="1:6" ht="18.75" customHeight="1" x14ac:dyDescent="0.15">
      <c r="A73" s="22"/>
      <c r="B73" s="286"/>
      <c r="C73" s="287"/>
      <c r="D73" s="287"/>
      <c r="E73" s="287"/>
      <c r="F73" s="288"/>
    </row>
    <row r="74" spans="1:6" ht="18.75" customHeight="1" x14ac:dyDescent="0.15">
      <c r="A74" s="22"/>
      <c r="B74" s="286"/>
      <c r="C74" s="287"/>
      <c r="D74" s="287"/>
      <c r="E74" s="287"/>
      <c r="F74" s="288"/>
    </row>
    <row r="75" spans="1:6" ht="18.75" customHeight="1" x14ac:dyDescent="0.15">
      <c r="A75" s="22"/>
      <c r="B75" s="286"/>
      <c r="C75" s="287"/>
      <c r="D75" s="287"/>
      <c r="E75" s="287"/>
      <c r="F75" s="288"/>
    </row>
    <row r="76" spans="1:6" ht="18.75" customHeight="1" x14ac:dyDescent="0.15">
      <c r="A76" s="22"/>
      <c r="B76" s="286"/>
      <c r="C76" s="287"/>
      <c r="D76" s="287"/>
      <c r="E76" s="287"/>
      <c r="F76" s="288"/>
    </row>
    <row r="77" spans="1:6" ht="18.75" customHeight="1" x14ac:dyDescent="0.15">
      <c r="A77" s="22"/>
      <c r="B77" s="286"/>
      <c r="C77" s="287"/>
      <c r="D77" s="287"/>
      <c r="E77" s="287"/>
      <c r="F77" s="288"/>
    </row>
    <row r="78" spans="1:6" ht="18.75" customHeight="1" x14ac:dyDescent="0.15">
      <c r="A78" s="22"/>
      <c r="B78" s="286"/>
      <c r="C78" s="287"/>
      <c r="D78" s="287"/>
      <c r="E78" s="287"/>
      <c r="F78" s="288"/>
    </row>
    <row r="79" spans="1:6" ht="18.75" customHeight="1" x14ac:dyDescent="0.15">
      <c r="A79" s="22"/>
      <c r="B79" s="286"/>
      <c r="C79" s="287"/>
      <c r="D79" s="287"/>
      <c r="E79" s="287"/>
      <c r="F79" s="288"/>
    </row>
    <row r="80" spans="1:6" ht="18.75" customHeight="1" x14ac:dyDescent="0.15">
      <c r="A80" s="22"/>
      <c r="B80" s="286"/>
      <c r="C80" s="287"/>
      <c r="D80" s="287"/>
      <c r="E80" s="287"/>
      <c r="F80" s="288"/>
    </row>
    <row r="81" spans="1:6" ht="18.75" customHeight="1" x14ac:dyDescent="0.15">
      <c r="A81" s="22"/>
      <c r="B81" s="286"/>
      <c r="C81" s="287"/>
      <c r="D81" s="287"/>
      <c r="E81" s="287"/>
      <c r="F81" s="288"/>
    </row>
    <row r="82" spans="1:6" ht="18.75" customHeight="1" x14ac:dyDescent="0.15">
      <c r="A82" s="22"/>
      <c r="B82" s="286"/>
      <c r="C82" s="287"/>
      <c r="D82" s="287"/>
      <c r="E82" s="287"/>
      <c r="F82" s="288"/>
    </row>
    <row r="83" spans="1:6" ht="18.75" customHeight="1" x14ac:dyDescent="0.15">
      <c r="A83" s="22"/>
      <c r="B83" s="289"/>
      <c r="C83" s="290"/>
      <c r="D83" s="290"/>
      <c r="E83" s="290"/>
      <c r="F83" s="291"/>
    </row>
    <row r="84" spans="1:6" ht="18.75" customHeight="1" x14ac:dyDescent="0.15">
      <c r="A84" s="8" t="s">
        <v>11</v>
      </c>
      <c r="B84" s="8" t="s">
        <v>74</v>
      </c>
      <c r="C84" s="8"/>
      <c r="D84" s="8"/>
      <c r="E84" s="8"/>
      <c r="F84" s="8"/>
    </row>
    <row r="85" spans="1:6" ht="18.75" customHeight="1" x14ac:dyDescent="0.15">
      <c r="A85" s="22"/>
      <c r="B85" s="275" t="s">
        <v>224</v>
      </c>
      <c r="C85" s="284"/>
      <c r="D85" s="284"/>
      <c r="E85" s="284"/>
      <c r="F85" s="285"/>
    </row>
    <row r="86" spans="1:6" ht="18.75" customHeight="1" x14ac:dyDescent="0.15">
      <c r="A86" s="22"/>
      <c r="B86" s="286"/>
      <c r="C86" s="287"/>
      <c r="D86" s="287"/>
      <c r="E86" s="287"/>
      <c r="F86" s="288"/>
    </row>
    <row r="87" spans="1:6" ht="18.75" customHeight="1" x14ac:dyDescent="0.15">
      <c r="A87" s="22"/>
      <c r="B87" s="286"/>
      <c r="C87" s="287"/>
      <c r="D87" s="287"/>
      <c r="E87" s="287"/>
      <c r="F87" s="288"/>
    </row>
    <row r="88" spans="1:6" ht="18.75" customHeight="1" x14ac:dyDescent="0.15">
      <c r="A88" s="22"/>
      <c r="B88" s="286"/>
      <c r="C88" s="287"/>
      <c r="D88" s="287"/>
      <c r="E88" s="287"/>
      <c r="F88" s="288"/>
    </row>
    <row r="89" spans="1:6" ht="18.75" customHeight="1" x14ac:dyDescent="0.15">
      <c r="A89" s="22"/>
      <c r="B89" s="286"/>
      <c r="C89" s="287"/>
      <c r="D89" s="287"/>
      <c r="E89" s="287"/>
      <c r="F89" s="288"/>
    </row>
    <row r="90" spans="1:6" ht="18.75" customHeight="1" x14ac:dyDescent="0.15">
      <c r="A90" s="22"/>
      <c r="B90" s="286"/>
      <c r="C90" s="287"/>
      <c r="D90" s="287"/>
      <c r="E90" s="287"/>
      <c r="F90" s="288"/>
    </row>
    <row r="91" spans="1:6" ht="18.75" customHeight="1" x14ac:dyDescent="0.15">
      <c r="A91" s="22"/>
      <c r="B91" s="286"/>
      <c r="C91" s="287"/>
      <c r="D91" s="287"/>
      <c r="E91" s="287"/>
      <c r="F91" s="288"/>
    </row>
    <row r="92" spans="1:6" ht="18.75" customHeight="1" x14ac:dyDescent="0.15">
      <c r="A92" s="22"/>
      <c r="B92" s="286"/>
      <c r="C92" s="287"/>
      <c r="D92" s="287"/>
      <c r="E92" s="287"/>
      <c r="F92" s="288"/>
    </row>
    <row r="93" spans="1:6" ht="18.75" customHeight="1" x14ac:dyDescent="0.15">
      <c r="A93" s="22"/>
      <c r="B93" s="286"/>
      <c r="C93" s="287"/>
      <c r="D93" s="287"/>
      <c r="E93" s="287"/>
      <c r="F93" s="288"/>
    </row>
    <row r="94" spans="1:6" ht="18.75" customHeight="1" x14ac:dyDescent="0.15">
      <c r="A94" s="22"/>
      <c r="B94" s="286"/>
      <c r="C94" s="287"/>
      <c r="D94" s="287"/>
      <c r="E94" s="287"/>
      <c r="F94" s="288"/>
    </row>
    <row r="95" spans="1:6" ht="18.75" customHeight="1" x14ac:dyDescent="0.15">
      <c r="A95" s="22"/>
      <c r="B95" s="286"/>
      <c r="C95" s="287"/>
      <c r="D95" s="287"/>
      <c r="E95" s="287"/>
      <c r="F95" s="288"/>
    </row>
    <row r="96" spans="1:6" ht="18.75" customHeight="1" x14ac:dyDescent="0.15">
      <c r="A96" s="22"/>
      <c r="B96" s="286"/>
      <c r="C96" s="287"/>
      <c r="D96" s="287"/>
      <c r="E96" s="287"/>
      <c r="F96" s="288"/>
    </row>
    <row r="97" spans="1:6" ht="18.75" customHeight="1" x14ac:dyDescent="0.15">
      <c r="A97" s="22"/>
      <c r="B97" s="286"/>
      <c r="C97" s="287"/>
      <c r="D97" s="287"/>
      <c r="E97" s="287"/>
      <c r="F97" s="288"/>
    </row>
    <row r="98" spans="1:6" ht="18.75" customHeight="1" x14ac:dyDescent="0.15">
      <c r="A98" s="22"/>
      <c r="B98" s="286"/>
      <c r="C98" s="287"/>
      <c r="D98" s="287"/>
      <c r="E98" s="287"/>
      <c r="F98" s="288"/>
    </row>
    <row r="99" spans="1:6" ht="18.75" customHeight="1" x14ac:dyDescent="0.15">
      <c r="A99" s="22"/>
      <c r="B99" s="286"/>
      <c r="C99" s="287"/>
      <c r="D99" s="287"/>
      <c r="E99" s="287"/>
      <c r="F99" s="288"/>
    </row>
    <row r="100" spans="1:6" ht="18.75" customHeight="1" x14ac:dyDescent="0.15">
      <c r="A100" s="22"/>
      <c r="B100" s="286"/>
      <c r="C100" s="287"/>
      <c r="D100" s="287"/>
      <c r="E100" s="287"/>
      <c r="F100" s="288"/>
    </row>
    <row r="101" spans="1:6" ht="18.75" customHeight="1" x14ac:dyDescent="0.15">
      <c r="A101" s="22"/>
      <c r="B101" s="286"/>
      <c r="C101" s="287"/>
      <c r="D101" s="287"/>
      <c r="E101" s="287"/>
      <c r="F101" s="288"/>
    </row>
    <row r="102" spans="1:6" ht="18.75" customHeight="1" x14ac:dyDescent="0.15">
      <c r="A102" s="22"/>
      <c r="B102" s="286"/>
      <c r="C102" s="287"/>
      <c r="D102" s="287"/>
      <c r="E102" s="287"/>
      <c r="F102" s="288"/>
    </row>
    <row r="103" spans="1:6" ht="18.75" customHeight="1" x14ac:dyDescent="0.15">
      <c r="A103" s="22"/>
      <c r="B103" s="286"/>
      <c r="C103" s="287"/>
      <c r="D103" s="287"/>
      <c r="E103" s="287"/>
      <c r="F103" s="288"/>
    </row>
    <row r="104" spans="1:6" ht="18.75" customHeight="1" x14ac:dyDescent="0.15">
      <c r="A104" s="22"/>
      <c r="B104" s="286"/>
      <c r="C104" s="287"/>
      <c r="D104" s="287"/>
      <c r="E104" s="287"/>
      <c r="F104" s="288"/>
    </row>
    <row r="105" spans="1:6" ht="18.75" customHeight="1" x14ac:dyDescent="0.15">
      <c r="A105" s="22"/>
      <c r="B105" s="286"/>
      <c r="C105" s="287"/>
      <c r="D105" s="287"/>
      <c r="E105" s="287"/>
      <c r="F105" s="288"/>
    </row>
    <row r="106" spans="1:6" ht="18.75" customHeight="1" x14ac:dyDescent="0.15">
      <c r="A106" s="22"/>
      <c r="B106" s="286"/>
      <c r="C106" s="287"/>
      <c r="D106" s="287"/>
      <c r="E106" s="287"/>
      <c r="F106" s="288"/>
    </row>
    <row r="107" spans="1:6" ht="18.75" customHeight="1" x14ac:dyDescent="0.15">
      <c r="A107" s="22"/>
      <c r="B107" s="286"/>
      <c r="C107" s="287"/>
      <c r="D107" s="287"/>
      <c r="E107" s="287"/>
      <c r="F107" s="288"/>
    </row>
    <row r="108" spans="1:6" ht="18.75" customHeight="1" x14ac:dyDescent="0.15">
      <c r="A108" s="22"/>
      <c r="B108" s="286"/>
      <c r="C108" s="287"/>
      <c r="D108" s="287"/>
      <c r="E108" s="287"/>
      <c r="F108" s="288"/>
    </row>
    <row r="109" spans="1:6" ht="18.75" customHeight="1" x14ac:dyDescent="0.15">
      <c r="A109" s="22"/>
      <c r="B109" s="286"/>
      <c r="C109" s="287"/>
      <c r="D109" s="287"/>
      <c r="E109" s="287"/>
      <c r="F109" s="288"/>
    </row>
    <row r="110" spans="1:6" ht="18.75" customHeight="1" x14ac:dyDescent="0.15">
      <c r="A110" s="22"/>
      <c r="B110" s="286"/>
      <c r="C110" s="287"/>
      <c r="D110" s="287"/>
      <c r="E110" s="287"/>
      <c r="F110" s="288"/>
    </row>
    <row r="111" spans="1:6" ht="18.75" customHeight="1" x14ac:dyDescent="0.15">
      <c r="A111" s="22"/>
      <c r="B111" s="286"/>
      <c r="C111" s="287"/>
      <c r="D111" s="287"/>
      <c r="E111" s="287"/>
      <c r="F111" s="288"/>
    </row>
    <row r="112" spans="1:6" ht="18.75" customHeight="1" x14ac:dyDescent="0.15">
      <c r="A112" s="22"/>
      <c r="B112" s="286"/>
      <c r="C112" s="287"/>
      <c r="D112" s="287"/>
      <c r="E112" s="287"/>
      <c r="F112" s="288"/>
    </row>
    <row r="113" spans="1:6" ht="18.75" customHeight="1" x14ac:dyDescent="0.15">
      <c r="A113" s="22"/>
      <c r="B113" s="286"/>
      <c r="C113" s="287"/>
      <c r="D113" s="287"/>
      <c r="E113" s="287"/>
      <c r="F113" s="288"/>
    </row>
    <row r="114" spans="1:6" ht="18.75" customHeight="1" x14ac:dyDescent="0.15">
      <c r="A114" s="22"/>
      <c r="B114" s="286"/>
      <c r="C114" s="287"/>
      <c r="D114" s="287"/>
      <c r="E114" s="287"/>
      <c r="F114" s="288"/>
    </row>
    <row r="115" spans="1:6" ht="18.75" customHeight="1" x14ac:dyDescent="0.15">
      <c r="A115" s="22"/>
      <c r="B115" s="286"/>
      <c r="C115" s="287"/>
      <c r="D115" s="287"/>
      <c r="E115" s="287"/>
      <c r="F115" s="288"/>
    </row>
    <row r="116" spans="1:6" ht="18.75" customHeight="1" x14ac:dyDescent="0.15">
      <c r="A116" s="22"/>
      <c r="B116" s="286"/>
      <c r="C116" s="287"/>
      <c r="D116" s="287"/>
      <c r="E116" s="287"/>
      <c r="F116" s="288"/>
    </row>
    <row r="117" spans="1:6" ht="18.75" customHeight="1" x14ac:dyDescent="0.15">
      <c r="A117" s="22"/>
      <c r="B117" s="286"/>
      <c r="C117" s="287"/>
      <c r="D117" s="287"/>
      <c r="E117" s="287"/>
      <c r="F117" s="288"/>
    </row>
    <row r="118" spans="1:6" ht="18.75" customHeight="1" x14ac:dyDescent="0.15">
      <c r="A118" s="22"/>
      <c r="B118" s="286"/>
      <c r="C118" s="287"/>
      <c r="D118" s="287"/>
      <c r="E118" s="287"/>
      <c r="F118" s="288"/>
    </row>
    <row r="119" spans="1:6" ht="18.75" customHeight="1" x14ac:dyDescent="0.15">
      <c r="A119" s="22"/>
      <c r="B119" s="286"/>
      <c r="C119" s="287"/>
      <c r="D119" s="287"/>
      <c r="E119" s="287"/>
      <c r="F119" s="288"/>
    </row>
    <row r="120" spans="1:6" ht="18.75" customHeight="1" x14ac:dyDescent="0.15">
      <c r="A120" s="22"/>
      <c r="B120" s="286"/>
      <c r="C120" s="287"/>
      <c r="D120" s="287"/>
      <c r="E120" s="287"/>
      <c r="F120" s="288"/>
    </row>
    <row r="121" spans="1:6" ht="18.75" customHeight="1" x14ac:dyDescent="0.15">
      <c r="A121" s="22"/>
      <c r="B121" s="286"/>
      <c r="C121" s="287"/>
      <c r="D121" s="287"/>
      <c r="E121" s="287"/>
      <c r="F121" s="288"/>
    </row>
    <row r="122" spans="1:6" ht="18.75" customHeight="1" x14ac:dyDescent="0.15">
      <c r="A122" s="22"/>
      <c r="B122" s="286"/>
      <c r="C122" s="287"/>
      <c r="D122" s="287"/>
      <c r="E122" s="287"/>
      <c r="F122" s="288"/>
    </row>
    <row r="123" spans="1:6" ht="18.75" customHeight="1" x14ac:dyDescent="0.15">
      <c r="A123" s="22"/>
      <c r="B123" s="286"/>
      <c r="C123" s="287"/>
      <c r="D123" s="287"/>
      <c r="E123" s="287"/>
      <c r="F123" s="288"/>
    </row>
    <row r="124" spans="1:6" ht="18.75" customHeight="1" x14ac:dyDescent="0.15">
      <c r="A124" s="22"/>
      <c r="B124" s="289"/>
      <c r="C124" s="290"/>
      <c r="D124" s="290"/>
      <c r="E124" s="290"/>
      <c r="F124" s="291"/>
    </row>
    <row r="125" spans="1:6" ht="18.75" customHeight="1" x14ac:dyDescent="0.15">
      <c r="A125" s="8"/>
      <c r="B125" s="8"/>
      <c r="C125" s="8"/>
      <c r="D125" s="8"/>
      <c r="E125" s="8"/>
      <c r="F125" s="8"/>
    </row>
    <row r="126" spans="1:6" ht="18.75" customHeight="1" x14ac:dyDescent="0.15">
      <c r="A126" s="8"/>
      <c r="B126" s="8"/>
      <c r="C126" s="8"/>
      <c r="D126" s="8"/>
      <c r="E126" s="8"/>
      <c r="F126" s="8"/>
    </row>
    <row r="127" spans="1:6" ht="18.75" customHeight="1" x14ac:dyDescent="0.15">
      <c r="A127" s="8"/>
      <c r="B127" s="8"/>
      <c r="C127" s="8"/>
      <c r="D127" s="8"/>
      <c r="E127" s="8"/>
      <c r="F127" s="8"/>
    </row>
    <row r="128" spans="1:6" ht="18.75" customHeight="1" x14ac:dyDescent="0.15">
      <c r="A128" s="8"/>
      <c r="B128" s="8"/>
      <c r="C128" s="8"/>
      <c r="D128" s="8"/>
      <c r="E128" s="8"/>
      <c r="F128" s="8"/>
    </row>
    <row r="129" spans="1:6" ht="18.75" customHeight="1" x14ac:dyDescent="0.15">
      <c r="A129" s="8"/>
      <c r="B129" s="8"/>
      <c r="C129" s="8"/>
      <c r="D129" s="8"/>
      <c r="E129" s="8"/>
      <c r="F129" s="8"/>
    </row>
    <row r="130" spans="1:6" ht="18.75" customHeight="1" x14ac:dyDescent="0.15">
      <c r="A130" s="8"/>
      <c r="B130" s="8"/>
      <c r="C130" s="8"/>
      <c r="D130" s="8"/>
      <c r="E130" s="8"/>
      <c r="F130" s="8"/>
    </row>
    <row r="131" spans="1:6" ht="18.75" customHeight="1" x14ac:dyDescent="0.15">
      <c r="A131" s="8"/>
      <c r="B131" s="8"/>
      <c r="C131" s="8"/>
      <c r="D131" s="8"/>
      <c r="E131" s="8"/>
      <c r="F131" s="8"/>
    </row>
    <row r="132" spans="1:6" ht="18.75" customHeight="1" x14ac:dyDescent="0.15">
      <c r="A132" s="8"/>
      <c r="B132" s="8"/>
      <c r="C132" s="8"/>
      <c r="D132" s="8"/>
      <c r="E132" s="8"/>
      <c r="F132" s="8"/>
    </row>
    <row r="133" spans="1:6" ht="18.75" customHeight="1" x14ac:dyDescent="0.15">
      <c r="A133" s="8"/>
      <c r="B133" s="8"/>
      <c r="C133" s="8"/>
      <c r="D133" s="8"/>
      <c r="E133" s="8"/>
      <c r="F133" s="8"/>
    </row>
    <row r="134" spans="1:6" ht="18.75" customHeight="1" x14ac:dyDescent="0.15">
      <c r="A134" s="8"/>
      <c r="B134" s="8"/>
      <c r="C134" s="8"/>
      <c r="D134" s="8"/>
      <c r="E134" s="8"/>
      <c r="F134" s="8"/>
    </row>
    <row r="135" spans="1:6" ht="18.75" customHeight="1" x14ac:dyDescent="0.15">
      <c r="A135" s="8"/>
      <c r="B135" s="8"/>
      <c r="C135" s="8"/>
      <c r="D135" s="8"/>
      <c r="E135" s="8"/>
      <c r="F135" s="8"/>
    </row>
    <row r="136" spans="1:6" ht="18.75" customHeight="1" x14ac:dyDescent="0.15">
      <c r="A136" s="8"/>
      <c r="B136" s="8"/>
      <c r="C136" s="8"/>
      <c r="D136" s="8"/>
      <c r="E136" s="8"/>
      <c r="F136" s="8"/>
    </row>
    <row r="137" spans="1:6" ht="18.75" customHeight="1" x14ac:dyDescent="0.15">
      <c r="A137" s="8"/>
      <c r="B137" s="8"/>
      <c r="C137" s="8"/>
      <c r="D137" s="8"/>
      <c r="E137" s="8"/>
      <c r="F137" s="8"/>
    </row>
    <row r="138" spans="1:6" ht="18.75" customHeight="1" x14ac:dyDescent="0.15">
      <c r="A138" s="8"/>
      <c r="B138" s="8"/>
      <c r="C138" s="8"/>
      <c r="D138" s="8"/>
      <c r="E138" s="8"/>
      <c r="F138" s="8"/>
    </row>
    <row r="139" spans="1:6" ht="18.75" customHeight="1" x14ac:dyDescent="0.15">
      <c r="A139" s="8"/>
      <c r="B139" s="8"/>
      <c r="C139" s="8"/>
      <c r="D139" s="8"/>
      <c r="E139" s="8"/>
      <c r="F139" s="8"/>
    </row>
    <row r="140" spans="1:6" ht="18.75" customHeight="1" x14ac:dyDescent="0.15">
      <c r="A140" s="8"/>
      <c r="B140" s="8"/>
      <c r="C140" s="8"/>
      <c r="D140" s="8"/>
      <c r="E140" s="8"/>
      <c r="F140" s="8"/>
    </row>
    <row r="141" spans="1:6" ht="18.75" customHeight="1" x14ac:dyDescent="0.15">
      <c r="A141" s="8"/>
      <c r="B141" s="8"/>
      <c r="C141" s="8"/>
      <c r="D141" s="8"/>
      <c r="E141" s="8"/>
      <c r="F141" s="8"/>
    </row>
    <row r="142" spans="1:6" ht="18.75" customHeight="1" x14ac:dyDescent="0.15">
      <c r="A142" s="8"/>
      <c r="B142" s="8"/>
      <c r="C142" s="8"/>
      <c r="D142" s="8"/>
      <c r="E142" s="8"/>
      <c r="F142" s="8"/>
    </row>
    <row r="143" spans="1:6" ht="18.75" customHeight="1" x14ac:dyDescent="0.15">
      <c r="A143" s="8"/>
      <c r="B143" s="8"/>
      <c r="C143" s="8"/>
      <c r="D143" s="8"/>
      <c r="E143" s="8"/>
      <c r="F143" s="8"/>
    </row>
    <row r="144" spans="1:6" ht="18.75" customHeight="1" x14ac:dyDescent="0.15">
      <c r="A144" s="8"/>
      <c r="B144" s="8"/>
      <c r="C144" s="8"/>
      <c r="D144" s="8"/>
      <c r="E144" s="8"/>
      <c r="F144" s="8"/>
    </row>
    <row r="145" spans="1:6" ht="18.75" customHeight="1" x14ac:dyDescent="0.15">
      <c r="A145" s="8"/>
      <c r="B145" s="8"/>
      <c r="C145" s="8"/>
      <c r="D145" s="8"/>
      <c r="E145" s="8"/>
      <c r="F145" s="8"/>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大場　由利</cp:lastModifiedBy>
  <cp:lastPrinted>2022-05-12T09:01:26Z</cp:lastPrinted>
  <dcterms:created xsi:type="dcterms:W3CDTF">2011-06-14T05:32:50Z</dcterms:created>
  <dcterms:modified xsi:type="dcterms:W3CDTF">2022-05-18T00:08:40Z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