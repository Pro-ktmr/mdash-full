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Shin-Ichiro Kumamoto\Dropbox\宇都宮大学\MDASH認定制度\2022年度\提出資料\01宇都宮大学_リテラシー\"/>
    </mc:Choice>
  </mc:AlternateContent>
  <xr:revisionPtr revIDLastSave="0" documentId="13_ncr:1_{758567D4-95CF-4998-B702-A5835839D4B6}" xr6:coauthVersionLast="47" xr6:coauthVersionMax="47" xr10:uidLastSave="{00000000-0000-0000-0000-000000000000}"/>
  <bookViews>
    <workbookView xWindow="28680" yWindow="-120" windowWidth="29040" windowHeight="1572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s="1"/>
  <c r="R30" i="40" l="1"/>
  <c r="C28" i="41" s="1"/>
  <c r="R10" i="40"/>
</calcChain>
</file>

<file path=xl/sharedStrings.xml><?xml version="1.0" encoding="utf-8"?>
<sst xmlns="http://schemas.openxmlformats.org/spreadsheetml/2006/main" count="362" uniqueCount="213">
  <si>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</si>
  <si>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</si>
  <si>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</si>
  <si>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</si>
  <si>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</si>
  <si>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</si>
  <si>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</si>
  <si>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</si>
  <si>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</si>
  <si>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</si>
  <si>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</si>
  <si>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</si>
  <si>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</si>
  <si>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</si>
  <si>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</si>
  <si>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</si>
  <si>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</si>
  <si>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</si>
  <si>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</si>
  <si>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</si>
  <si>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</si>
  <si>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</si>
  <si>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</si>
  <si>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</si>
  <si>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</si>
  <si>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</si>
  <si>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</si>
  <si>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</si>
  <si>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</si>
  <si>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</si>
  <si>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</si>
  <si>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</si>
  <si>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</si>
  <si>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</si>
  <si>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</si>
  <si>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</si>
  <si>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</si>
  <si>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</si>
  <si>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</si>
  <si>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</si>
  <si>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</si>
  <si>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</si>
  <si>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</si>
  <si>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</si>
  <si>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</si>
  <si>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</si>
  <si>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</si>
  <si>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</si>
  <si>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</si>
  <si>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</si>
  <si>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様式２－○</t>
  </si>
  <si>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</si>
  <si>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</si>
  <si>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</si>
  <si>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</si>
  <si>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</si>
  <si>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</si>
  <si>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</si>
  <si>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</si>
  <si>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</si>
  <si>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</si>
  <si>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</si>
  <si>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データサイエンス入門</t>
    <rPh sb="8" eb="10">
      <t>ニュウモン</t>
    </rPh>
    <phoneticPr fontId="1"/>
  </si>
  <si>
    <t>○</t>
  </si>
  <si>
    <t>全学開講</t>
  </si>
  <si>
    <t>実践データサイエンス</t>
    <rPh sb="0" eb="2">
      <t>ジッセン</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</si>
  <si>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</si>
  <si>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</si>
  <si>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</si>
  <si>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データサイエンス基礎</t>
    <rPh sb="8" eb="10">
      <t>キソ</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</si>
  <si>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</si>
  <si>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</si>
  <si>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</si>
  <si>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</si>
  <si>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</si>
  <si>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</si>
  <si>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</si>
  <si>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</si>
  <si>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</si>
  <si>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</si>
  <si>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データサイエンス入門</t>
    <phoneticPr fontId="1"/>
  </si>
  <si>
    <t>実践データサイエンス</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</si>
  <si>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</si>
  <si>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</si>
  <si>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データサイエンス基礎</t>
    <phoneticPr fontId="1"/>
  </si>
  <si>
    <t>4-1統計および数理基礎</t>
  </si>
  <si>
    <t>4‐3データ構造とプログラミング基礎</t>
  </si>
  <si>
    <t>4‐4時系列データ解析</t>
  </si>
  <si>
    <t>実践データサイエンス</t>
  </si>
  <si>
    <t>4‐6画像解析</t>
  </si>
  <si>
    <t>4‐8データ活用実践（教師あり学習）</t>
  </si>
  <si>
    <t>⑨プログラムを構成する授業の内容</t>
  </si>
  <si>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</si>
  <si>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</si>
  <si>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</si>
  <si>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</si>
  <si>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・AI等を活用した新しいビジネスモデル(シェアリングエコノミー、商品のレコメンデーションなど)：「DS入門」（9,10回目）、「実践DS」（2回目）
・AI最新技術の活用例（深層生成モデル、敵対的生成ネットワーク、強化学習、転移学習など）：「DS入門」（10回目）、「実践DS」（2回目）</t>
  </si>
  <si>
    <t>（２）「社会で活用されているデータ」や「データの活用領域」は非常に広範囲であって、日常生活や社会の課題を解決する有用なツールになり得るもの</t>
    <phoneticPr fontId="1"/>
  </si>
  <si>
    <t>・データ・AI活用領域の広がり(生産、消費、文化活動など)：「DS入門」（9,10回目）、「実践DS」（1,2回目）
・研究開発、調達、製造、物流、販売、マーケティング、サービスなど：「DS入門」（9,10回目）、「実践DS」（2回目）
・仮説検証、知識発見、原因究明、計画策定、判断支援、活動代替、新規生成など：「実践DS」（2,10回目）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</si>
  <si>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</si>
  <si>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</si>
  <si>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・情報セキュリティ：機密性、完全性、可用性：「DS入門」（8回目）
・匿名加工情報、暗号化、パスワード、悪意ある情報搾取：「DS入門」（8回目）
・情報漏洩等によるセキュリティ事故の事例紹介：「DS入門」（8回目）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</si>
  <si>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</si>
  <si>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・データの集計（和、平均）：「DS入門」（12回目）、「DS基礎」（1回目）、「実践DS」（3,4回目）
・データの並び替え、ランキング：「DS入門」（7回目）、「DS基礎」（4回目）、「実践DS」（3,4回目）
・データ解析ツール（スプレッドシート）：「DS入門」（5,6,7回目）、「DS基礎」（1回目）、「実践DS」（6,7回目）
・表形式のデータ（csv）：「DS入門」（10回目）、「DS基礎」（4回目）、「実践DS」（6回目）</t>
  </si>
  <si>
    <t>⑩プログラムの学修成果（学生等が身に付けられる能力等）</t>
    <phoneticPr fontId="1"/>
  </si>
  <si>
    <t>⑪プログラムの授業内容等を公表しているアドレス</t>
    <phoneticPr fontId="1"/>
  </si>
  <si>
    <t>http://hae.utsunomiya-u.ac.jp/kiban/ds/index.html</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</si>
  <si>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</si>
  <si>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</si>
  <si>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</si>
  <si>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</si>
  <si>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</si>
  <si>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</si>
  <si>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</si>
  <si>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</si>
  <si>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</si>
  <si>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</si>
  <si>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</si>
  <si>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</si>
  <si>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</si>
  <si>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</si>
  <si>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</si>
  <si>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</si>
  <si>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</si>
  <si>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地域デザイン科学部</t>
  </si>
  <si>
    <t>国際学部</t>
  </si>
  <si>
    <t>共同教育学部</t>
  </si>
  <si>
    <t>工学部</t>
  </si>
  <si>
    <t>農学部</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</si>
  <si>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</si>
  <si>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</si>
  <si>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</si>
  <si>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</si>
  <si>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</si>
  <si>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 xml:space="preserve">宇都宮大学基盤教育センター数理・データサイエンス・ＡＩ教育プログラム検討委員会要項 </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</si>
  <si>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</si>
  <si>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</si>
  <si>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</si>
  <si>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</si>
  <si>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</si>
  <si>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</si>
  <si>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</si>
  <si>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</si>
  <si>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</si>
  <si>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</si>
  <si>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</si>
  <si>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</si>
  <si>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</si>
  <si>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</si>
  <si>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</si>
  <si>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</si>
  <si>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</si>
  <si>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</si>
  <si>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</si>
  <si>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</si>
  <si>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</si>
  <si>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</si>
  <si>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</si>
  <si>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</si>
  <si>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</si>
  <si>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</si>
  <si>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</si>
  <si>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</si>
  <si>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</si>
  <si>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</si>
  <si>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</si>
  <si>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</si>
  <si>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</si>
  <si>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データサイエンス入門で使用する共通教材に関して、毎年実施の「学生による授業評価」の結果や、各クラスの担当教員からの意見等を踏まえた内容の見直しと改良を行っている。
データサイエンス基礎では、ブレンディッドラーニングを実施し事前配布した教材について授業内で理解を深めるような取り組みを行った。
実践データサイエンスでは、授業実施時の動画をYoutubeで限定公開することで、受講者が復習に利用可能な教材を提供している。</t>
    <phoneticPr fontId="1"/>
  </si>
  <si>
    <t>②自己点検・評価体制における意見等を公表しているアドレス</t>
    <phoneticPr fontId="1"/>
  </si>
  <si>
    <t>宇都宮大学</t>
    <phoneticPr fontId="1"/>
  </si>
  <si>
    <t>国立大学法人宇都宮大学</t>
    <phoneticPr fontId="1"/>
  </si>
  <si>
    <t>国立大学</t>
  </si>
  <si>
    <t>栃木県宇都宮市峰町350</t>
    <phoneticPr fontId="1"/>
  </si>
  <si>
    <t>文理融合型数理・データサイエンス教育プログラム（基礎コース）</t>
    <phoneticPr fontId="1"/>
  </si>
  <si>
    <t>令和３</t>
    <rPh sb="0" eb="2">
      <t>レイワ</t>
    </rPh>
    <phoneticPr fontId="1"/>
  </si>
  <si>
    <t>無</t>
  </si>
  <si>
    <t>長谷川　光司</t>
    <phoneticPr fontId="1"/>
  </si>
  <si>
    <t>数理・データサイエンス・ＡＩ教育に関する点検・評価委員会</t>
    <phoneticPr fontId="1"/>
  </si>
  <si>
    <t>数理・データサイエンス・ＡＩ教育プログラム検討委員会</t>
    <phoneticPr fontId="1"/>
  </si>
  <si>
    <t>認定教育プログラム</t>
  </si>
  <si>
    <t>宗玄　力也</t>
    <phoneticPr fontId="1"/>
  </si>
  <si>
    <t>kibankyou@miya.jm.utsunomiya-u.ac.jp</t>
    <phoneticPr fontId="1"/>
  </si>
  <si>
    <t>大学教育推進機構基盤教育センター</t>
    <phoneticPr fontId="1"/>
  </si>
  <si>
    <t>028-649-8188</t>
    <phoneticPr fontId="1"/>
  </si>
  <si>
    <t>情報リテラシーやデータリテラシー（データを処理し分析する基礎的な能力）を学び、文理の枠組みにとらわれることなく、数理・データサイエンス・AIを日常生活や仕事場で使いこなすことができる基礎的素養を身に付けることができる。</t>
    <phoneticPr fontId="1"/>
  </si>
  <si>
    <t xml:space="preserve">基盤教育センター　助教　熊本真一郎
基盤教育センター（工学部兼任）　准教授　小池正史
基盤教育センター（国際学部兼任）　教授　松金公正
大学教育推進機構　助教　吉田聡太
地域デザイン科学部　准教授　近藤伸也
国際学部　准教授　松尾昌樹
共同教育学部　特任助教　大竹洋平
工学部　教授　大津金光
工学部　教授　長谷川光司
農学部　准教授　加藤弘二
</t>
    <rPh sb="52" eb="56">
      <t>コクサイガクブ</t>
    </rPh>
    <rPh sb="56" eb="58">
      <t>ケンニン</t>
    </rPh>
    <rPh sb="95" eb="98">
      <t>ジュンキョウジュ</t>
    </rPh>
    <rPh sb="125" eb="129">
      <t>トクニンジョキョウ</t>
    </rPh>
    <rPh sb="151" eb="153">
      <t>キョウジュ</t>
    </rPh>
    <phoneticPr fontId="1"/>
  </si>
  <si>
    <t>全学1年次必修科目「データサイエンス入門」の講義内で本プログラムの説明を実施するとともに、全学生が利用する教務ポータルや広報誌（UUnow）、基盤教育のWEBサイト等にも本教育プログラムの情報を掲載している。さらにキャンパス内にも本教育プログラムのポスターを掲示することによって学生への周知を徹底している。</t>
    <rPh sb="26" eb="27">
      <t>ホン</t>
    </rPh>
    <rPh sb="36" eb="38">
      <t>ジッシ</t>
    </rPh>
    <rPh sb="82" eb="83">
      <t>トウ</t>
    </rPh>
    <rPh sb="85" eb="86">
      <t>ホン</t>
    </rPh>
    <rPh sb="86" eb="88">
      <t>キョウイク</t>
    </rPh>
    <rPh sb="115" eb="118">
      <t>ホンキョウイク</t>
    </rPh>
    <phoneticPr fontId="1"/>
  </si>
  <si>
    <t>本教育プログラムを構成する3科目は全て基盤教育科目（教養科目）であり、全学部の学生が受講可能となっている。
全学必修科目である「データサイエンス入門」は各学部所属の教員が担当教員となっているが、数理・データサイエンス・AIに関する講義の教材（講義動画、講義資料、分析用データ等）は基盤教育センター所属教員（データサイエンス教育担当）によって一括して作成され全学部に提供されるため、全学で共通した内容を学修できる教育環境が構築されている。
また、「データサイエンス基礎」及び「実践データサイエンス」は上記の基盤教育センター所属教員が担当しており、本教育プログラムを構成する3科目は全ての講義内容・教材が、全ての学部の学生が理解できるように数学、情報処理、プログラミング等の内容において基礎的な部分に重点を置くように配慮されている。</t>
    <rPh sb="356" eb="358">
      <t>ハイリョ</t>
    </rPh>
    <phoneticPr fontId="1"/>
  </si>
  <si>
    <t>教育プログラムの修了要件は、全学必修科目である「データサイエンス入門」に加えて、「データサイエンス基礎」「実践データサイエンス」のいずれか、計4単位以上を取得することとしている。
令和３年度における本教育プログラムの履修者は126名、プログラム修了者(合格者のうちR2年度以降入学者)は96名であった。
データサイエンス入門については必修科目という性質上、毎年約900名程度の履修が見込まれるため、プログラムの履修者増のためには、上記の選択科目の履修者増にむけた取り組みが必要となる。R3年度末から各種掲示やR4年度のデータサイエンス入門内において教育プログラムの周知を行いプログラムの履修者増を図るとともに、ティーチングアシスタントの拡充などにより学生の受講サポート体制の拡充・修得率向上を図っている。</t>
    <phoneticPr fontId="1"/>
  </si>
  <si>
    <t>本教育プログラムでは、モデルカリキュラムのリテラシーレベル相当の内容をひろくカバーし、数理・データサイエンス・AI関連分野の基礎的な素養を修得するとともに、発展的な学習意欲の啓発や、学修内容の各専門領域への応用を促し「全ての学生が文理の枠組みにとらわれることなく、数理・データサイエンスを日常生活や仕事場で使いこなすことができる基礎的素養を身に付ける」ことを目標としている。
本学で現在進めているルーブリック等を活用した宇大スタンダード・学修成果可視化体制などの取り組みと合わせて、学生が自身の成長実感を持ち，次の学びに意欲的に取り組むことが可能となるような仕組みづくりを進めている。</t>
    <phoneticPr fontId="1"/>
  </si>
  <si>
    <t>大学で実施している「学生による授業評価」を参考に、学生の理解度・満足度の把握を行うとともに、自由記述欄である授業改善に対する案・コメントなどを収集することで、学生の内容の理解度・満足度の向上を図っている。
プログラムを構成する3科目について、R4年度における学生による授業満足度については5段階評価で平均4.5近くになるなど高い満足度が伺える。
今後は各担当教員間の連携強化や、内容の検討を重ねながらより一層高い満足度と学習効果が達成できるよう努める。</t>
    <phoneticPr fontId="1"/>
  </si>
  <si>
    <t>大学で実施している「学生による授業評価」では、後輩等他の学生への推奨度に関する実態の把握は不十分である。
「学生による授業評価」に加えて、教育プログラム独自の履修者に対する調査を実施する。</t>
    <phoneticPr fontId="1"/>
  </si>
  <si>
    <t>全学必修科目「データサイエンス入門」の授業内で実施する「データサイエンスを学ぶ意義」のコマにおいて、令和４年度より新たに本教育プログラムおよび関連講義の紹介と、データサイエンスを構成する諸要素と各授業との対応付けについての説明を加えプログラムの周知を図っている。
並行して、学内の教務ポータル等の掲示を活用した周知も進めている。
修得率の向上については、授業内容の復習が可能となるオンデマンド資料を受講者に提供したり、ティーチングアシスタントの人員を拡充することで、学生の理解度・修得率の向上を図っている。</t>
    <phoneticPr fontId="1"/>
  </si>
  <si>
    <t>本学が有するキャリアセンターと連携しつつ教育プログラム修了者の進路・就職状況・企業等の評価などを併せて検証できるような仕組みづくりを進める。</t>
    <phoneticPr fontId="1"/>
  </si>
  <si>
    <t>データサイエンス入門のうちの２コマを株式会社TKCの外部講師によるAI・セキュリティをテーマとした特別講座とすることで、教育内容に、企業が学生に求める素養などの学外からの視点を取り入れている。また、栃木県の高等教育機関・企業・県庁等との意見交換・情報共有を随時行っている。２０２１年度には、大学教育推進機構基盤教育センターと大学コンソーシアムとちぎ共催のワークショップ「栃木県における数理・データサイエンス・AI教育ワークショップ」(2021/11/26,http://www.consortium-tochigi.jp/)や、宇都宮大学第6回オンラインサロン(https://www.utsunomiya-u.ac.jp/topics/education/009496.php)などで本学におけるデータサイエンス教育の取り組みを県内にひろく公開するとともに、産学官からの意見収集を行い、教育内容に反映させる取り組みを行っている。</t>
    <phoneticPr fontId="1"/>
  </si>
  <si>
    <t>データサイエンス入門の授業では、「データサイエンスを学ぶ意義」と題して、各専門分野と数理・データサイエンス・AIに関連する内容とがどのような親和性を持つのかについて毎年題材を時代の要請や社会の動向を踏まえた上で講義を行い、数理・データサイエンス・AIに関する学習意欲の啓発を目指している。
 データサイエンス基礎では、数学やプログラミング等の内容に苦手意識のある学生に向け、基礎的な内容から丁寧に指導するなどの工夫を行っている。
また実践データサイエンスでは最終課題にPBL的側面を取り入れることで、データ分析や独自のソフトウェア/アプリケーション開発などを通して、関連分野への継続的な学習意欲を啓発するような取り組みを行っている。</t>
    <phoneticPr fontId="1"/>
  </si>
  <si>
    <t>本教育プログラムを構成する3科目ではC-learning（LMS）の連絡・相談機能によって、授業時間外で受講者からの質問受け付けや教員からの学習指導が実施されている。また、各科目では授業時間外にオフィスアワーが設定されており、各科目担当教員による対面での学習指導も受けることができる。さらに、1クラス当たりの受講者が多い「データサイエンス入門」及び「実践データサイエンス」のクラスにおいては、ティーチングアシスタントが配置されており、授業時間内外での学修サポート体制が構築されている。</t>
    <rPh sb="225" eb="227">
      <t>ガクシュウ</t>
    </rPh>
    <phoneticPr fontId="1"/>
  </si>
  <si>
    <t>本学は、Society 5.0が実現された未来社会において、文理の枠組みにとらわれることなく地域創生に中心的に携わることのできる教養と専門性を持った人材の育成を進めており、数理・データサイエンス・ＡＩ教育においてもこの育成方針に従って、文理融合の体系的教育を推進している。本委員会は、文理融合の数理・データサイエンス・ＡＩ教育の発展と拡充を目的とし、教育プログラムの策定・検討、及び数理・データサイエンス・ＡＩ教育に関する取り組みの企画・立案を行う。</t>
    <rPh sb="186" eb="188">
      <t>ケントウ</t>
    </rPh>
    <rPh sb="189" eb="190">
      <t>オヨ</t>
    </rPh>
    <phoneticPr fontId="1"/>
  </si>
  <si>
    <t>本教育プログラムを構成する3科目全てで教材（講義動画、講義資料、分析用データ等）をC-learning（LMS）で受講者に提供しており、講義内容をいつでも復習できる環境を構築している。また、C-learningの学生管理機能によって、受講者の課題提出状況等を教員が常に把握し、学修が進んでいない学生を見落とすことなくサポートできる体制が整っている。さらにC-learningのアンケート機能によって、各回で講義の進度や課題の難易度等の適切さについて受講者からの意見を聞くことができるため、各科目・クラスごとに講義内容等を常に改善することが可能となっている。</t>
    <rPh sb="200" eb="202">
      <t>カクカイ</t>
    </rPh>
    <rPh sb="254" eb="258">
      <t>コウギナイヨウ</t>
    </rPh>
    <rPh sb="258" eb="259">
      <t>トウ</t>
    </rPh>
    <rPh sb="260" eb="261">
      <t>ツネ</t>
    </rPh>
    <rPh sb="262" eb="264">
      <t>カイゼン</t>
    </rPh>
    <phoneticPr fontId="1"/>
  </si>
  <si>
    <t>・ビッグデータ、IoT、AI、ロボット：「DS入門」（9,10回目）、「実践DS」（1回目）
・データ量の増加、計算機の処理性能の向上：「DS入門」（9,10回目）、「実践DS」（2回目）
・人間の知的活動とAIの関係性：「DS入門」（9回目）、「実践DS」（2回目）
・データや人間の知的活動を起点としたものの見方：「DS入門」（10回目）、「実践DS」（1回目）</t>
    <phoneticPr fontId="1"/>
  </si>
  <si>
    <t>・調査データ、実験データ、人の行動ログデータ、機械の稼働ログデータ：「DS入門」（10回目）、「実践DS」（11回目）
・構造化データ、非構造化データ（文章、画像/動画、音声/音楽）：「DS入門」（10回目）、「実践DS」（2回目）
・データ作成（ビッグデータとアノテーション）：「実践DS」（2回目）
・オープンデータ：「DS入門」（10回目）、「DS基礎」（1回目）、「実践DS」（11回目）</t>
    <phoneticPr fontId="1"/>
  </si>
  <si>
    <t>・予測、グルーピング、パターン発見、最適化、シミュレーション：「DS入門」（9,10回目）、「実践DS」（5,7,8,9回目）
・データ可視化（多次元・関係性の可視化）：「DS入門」（10回目）、「DS基礎」（1回目）、「実践DS」（5,11回目）
・画像/動画処理、音声/音楽処理、認識技術、自動化技術：「DS入門」（9,10回目）、「実践DS」（2回目）</t>
    <phoneticPr fontId="1"/>
  </si>
  <si>
    <t>・データサイエンスのサイクル：「DS入門」（10回目）、「DS基礎」（1回目）、「実践DS」（1回目）
・流通、製造、金融、サービス、インフラ、公共、ヘルスケア等におけるデータ・AI利活用事例紹介：「DS入門」（9,10回目）、「実践DS」（2回目）</t>
    <phoneticPr fontId="1"/>
  </si>
  <si>
    <t>・個人情報保護、EU一般データ保護規則(GDPR)、忘れられる権利、オプトアウト、データ倫理：データのねつ造、改ざん、盗用、プライバシー保護：「DS入門」（2回目）
・データバイアス、アルゴリズムバイアス：「DS入門」（9,10回目）
・AI社会原則、データ・AI活用における負の事例紹介：「DS入門」（10回目）、「実践DS」（2回目）</t>
    <phoneticPr fontId="1"/>
  </si>
  <si>
    <t>・データの種類（量的変数、質的変数）：「DS入門」（10回目）、「DS基礎」（1回目）
・データの分布と代表値：「DS入門」（12回目）、「DS基礎」（1回目）、「実践DS」（5回目）
・相関と因果（相関係数、擬似相関、交絡）：「DS入門」（13回目）、「DS基礎」（2回目）、「実践DS」（7回目）
・クロス集計表、分割表、相関係数行列、散布図行列：「DS入門」（11回目）、「DS基礎」（1回目）</t>
    <phoneticPr fontId="1"/>
  </si>
  <si>
    <t>・棒グラフ、折線グラフ、散布図、ヒートマップ：「DS入門」（10回目）、「DS基礎」（1回目）、「実践DS」（5回目）
・データの図表表現（チャート化）：「DS入門」（10回目）、「実践DS」（5回目）
・データの比較（条件をそろえた比較、処理の前後での比較)：「DS基礎」（2回目）、「実践DS」（5,7回目）
・不適切なグラフ表現：「DS入門」（10回目）、「DS基礎」（1回目）、「実践DS」（5回目）</t>
    <phoneticPr fontId="1"/>
  </si>
  <si>
    <t>松金　公正</t>
    <phoneticPr fontId="1"/>
  </si>
  <si>
    <t>令和4年度の履修者数の目標値を200名（履修率9%）とし、全学1年次必修科目「データサイエンス入門」の講義と本学WEBサイト等で本プログラムを周知し、学生のプログラム履修を促進する。
令和5年度の履修者数の目標値を300名（履修率17%）とし、本教育プログラムを発展させた「文理融合型数理・データサイエンス教育プログラム（応用コース）」（仮称）を新設し、応用基礎レベルの体系的数理・データサイエンス・ＡＩ教育の一部として本教育プログラムを学生が履修することを促進する。
令和6年度の履修者数の目標値を400名（履修率28%）とし、新学位プログラム「データサイエンス経営学部」（仮称）を新設し、新入生ガイダンス等で当該学部所属学生に本教育プログラムを周知し履修を促進する。
令和7年度の履修者数の目標値を500名（履修率38%）とし、2つの教育プログラム（基礎コース、応用コース）、及びデータサイエンス経営学部（仮称）による全学的かつ体系的数理・データサイエンス・ＡＩ教育内容を本学WEBサイト等で学内外に発信するとともに、これらの教育の基礎としての本教育プログラムの周知を徹底し、さらなる履修率の向上を目指す。</t>
    <rPh sb="177" eb="179">
      <t>オウヨウ</t>
    </rPh>
    <rPh sb="179" eb="181">
      <t>キソ</t>
    </rPh>
    <rPh sb="284" eb="286">
      <t>ガクブ</t>
    </rPh>
    <rPh sb="308" eb="310">
      <t>ガクブ</t>
    </rPh>
    <rPh sb="402" eb="404">
      <t>ガクブ</t>
    </rPh>
    <phoneticPr fontId="1"/>
  </si>
  <si>
    <t>副学長・基盤教育センター長</t>
    <phoneticPr fontId="1"/>
  </si>
  <si>
    <t>副学長・DX担当</t>
    <phoneticPr fontId="1"/>
  </si>
  <si>
    <t>点検委員会委員長</t>
    <rPh sb="0" eb="2">
      <t>テンケン</t>
    </rPh>
    <rPh sb="2" eb="5">
      <t>イインカイ</t>
    </rPh>
    <rPh sb="5" eb="8">
      <t>イインチョウ</t>
    </rPh>
    <phoneticPr fontId="1"/>
  </si>
  <si>
    <r>
      <t>本プログラムの必修科目として「データサイエンス入門（DS入門）</t>
    </r>
    <r>
      <rPr>
        <vertAlign val="superscript"/>
        <sz val="12"/>
        <color theme="1"/>
        <rFont val="ＭＳ Ｐゴシック"/>
        <family val="3"/>
        <charset val="128"/>
        <scheme val="minor"/>
      </rPr>
      <t>※</t>
    </r>
    <r>
      <rPr>
        <sz val="12"/>
        <color theme="1"/>
        <rFont val="ＭＳ Ｐゴシック"/>
        <family val="3"/>
        <charset val="128"/>
        <scheme val="minor"/>
      </rPr>
      <t>」（２単位）の修得と、選択科目として「データサイエンス基礎（DS基礎）」（２単位）及び「実践データサイエンス（実践DS）」（２単位）から２単位以上、合計４単位以上を修得すること。
※「データサイエンス入門」において各クラス（全18クラス）のシラバスは、５つの審査項目を全て満たすように基盤教育センターによって作成された「シラバスの標準例」に、各学部・学科の専門性を加味してそれぞれ作成されている。また、各クラスで使用する数理・データサイエンス・AIに関する教材（講義動画、講義資料、分析用データ等）は、基盤教育センター所属教員によって一括して作成されており、全学で共通した内容を学修している。下記の「⑨プログラムを構成する授業の内容」では、シラバスの標準例をもとに講義回を記載する。</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</si>
</sst>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vertAlign val="superscript"/>
      <sz val="12"/>
      <color theme="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2" fillId="0" borderId="6" xfId="0" applyFont="1" applyBorder="1" applyAlignment="1">
      <alignment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Alignment="1">
      <alignment horizontal="left" vertical="top" shrinkToFit="1"/>
    </xf>
    <xf numFmtId="0" fontId="3" fillId="0" borderId="10" xfId="0" applyFont="1" applyBorder="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16" xfId="0" applyFont="1" applyBorder="1" applyAlignment="1">
      <alignment vertical="top" wrapText="1" shrinkToFit="1"/>
    </xf>
    <xf numFmtId="0" fontId="3" fillId="0" borderId="22" xfId="0" applyFont="1" applyBorder="1" applyAlignment="1">
      <alignment vertical="top" shrinkToFit="1"/>
    </xf>
    <xf numFmtId="0" fontId="3" fillId="0" borderId="21" xfId="0" applyFont="1" applyBorder="1" applyAlignment="1">
      <alignment vertical="top"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5" fillId="0" borderId="20" xfId="0" applyFont="1" applyBorder="1" applyAlignment="1">
      <alignment vertical="top" shrinkToFit="1"/>
    </xf>
    <xf numFmtId="0" fontId="5" fillId="0" borderId="18" xfId="0" applyFont="1" applyBorder="1" applyAlignment="1">
      <alignment vertical="top" shrinkToFit="1"/>
    </xf>
    <xf numFmtId="0" fontId="3" fillId="0" borderId="40" xfId="0" applyFont="1" applyBorder="1" applyAlignment="1">
      <alignment vertical="top" wrapText="1" shrinkToFit="1"/>
    </xf>
    <xf numFmtId="0" fontId="3" fillId="0" borderId="41" xfId="0" applyFont="1" applyBorder="1" applyAlignment="1">
      <alignment vertical="top" wrapText="1" shrinkToFit="1"/>
    </xf>
    <xf numFmtId="0" fontId="3" fillId="0" borderId="42"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ibankyou@miya.jm.utsunomiya-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hae.utsunomiya-u.ac.jp/kiban/ds/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hae.utsunomiya-u.ac.jp/kiban/d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J40" sqref="J40"/>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375" style="14" customWidth="1"/>
    <col min="15" max="15" width="9" style="27"/>
    <col min="16" max="16384" width="9" style="13"/>
  </cols>
  <sheetData>
    <row r="1" spans="1:15" ht="24" customHeight="1" x14ac:dyDescent="0.15">
      <c r="M1" s="124" t="s">
        <v>0</v>
      </c>
      <c r="N1" s="124"/>
    </row>
    <row r="2" spans="1:15" ht="24" customHeight="1" x14ac:dyDescent="0.15">
      <c r="A2" s="127" t="s">
        <v>1</v>
      </c>
      <c r="B2" s="127"/>
      <c r="C2" s="127"/>
      <c r="D2" s="127"/>
      <c r="E2" s="127"/>
      <c r="F2" s="127"/>
      <c r="G2" s="127"/>
      <c r="H2" s="127"/>
      <c r="I2" s="127"/>
      <c r="J2" s="127"/>
      <c r="K2" s="127"/>
      <c r="L2" s="127"/>
      <c r="M2" s="127"/>
      <c r="N2" s="127"/>
    </row>
    <row r="3" spans="1:15" ht="24" customHeight="1" x14ac:dyDescent="0.15"/>
    <row r="4" spans="1:15" ht="24" customHeight="1" x14ac:dyDescent="0.15">
      <c r="A4" s="14" t="s">
        <v>2</v>
      </c>
      <c r="B4" s="14" t="s">
        <v>3</v>
      </c>
      <c r="C4" s="116" t="s">
        <v>170</v>
      </c>
      <c r="D4" s="117"/>
      <c r="E4" s="117"/>
      <c r="F4" s="117"/>
      <c r="G4" s="117"/>
      <c r="H4" s="117"/>
      <c r="I4" s="117"/>
      <c r="J4" s="117"/>
      <c r="K4" s="117"/>
      <c r="L4" s="117"/>
      <c r="M4" s="117"/>
      <c r="N4" s="123"/>
      <c r="O4" s="27" t="str">
        <f>IF(C4="","入力してください","")</f>
        <v/>
      </c>
    </row>
    <row r="5" spans="1:15" ht="7.5" customHeight="1" x14ac:dyDescent="0.15">
      <c r="E5" s="15"/>
      <c r="F5" s="29"/>
      <c r="G5" s="29"/>
      <c r="H5" s="29"/>
      <c r="I5" s="29"/>
      <c r="J5" s="29"/>
      <c r="K5" s="29"/>
      <c r="L5" s="29"/>
      <c r="M5" s="29"/>
      <c r="N5" s="29"/>
    </row>
    <row r="6" spans="1:15" ht="24" customHeight="1" x14ac:dyDescent="0.15">
      <c r="A6" s="14" t="s">
        <v>4</v>
      </c>
      <c r="B6" s="14" t="s">
        <v>5</v>
      </c>
      <c r="D6" s="116" t="s">
        <v>171</v>
      </c>
      <c r="E6" s="117"/>
      <c r="F6" s="117"/>
      <c r="G6" s="117"/>
      <c r="H6" s="123"/>
      <c r="I6" s="14" t="s">
        <v>6</v>
      </c>
      <c r="J6" s="29" t="s">
        <v>7</v>
      </c>
      <c r="K6" s="116" t="s">
        <v>172</v>
      </c>
      <c r="L6" s="117"/>
      <c r="M6" s="117"/>
      <c r="N6" s="123"/>
      <c r="O6" s="27" t="str">
        <f>IF(D6="","入力してください","")</f>
        <v/>
      </c>
    </row>
    <row r="7" spans="1:15" ht="7.5" customHeight="1" x14ac:dyDescent="0.15">
      <c r="E7" s="15"/>
      <c r="F7" s="29"/>
      <c r="G7" s="29"/>
      <c r="H7" s="29"/>
      <c r="I7" s="29"/>
      <c r="J7" s="29"/>
      <c r="K7" s="29"/>
      <c r="L7" s="29"/>
      <c r="M7" s="29"/>
      <c r="N7" s="29"/>
    </row>
    <row r="8" spans="1:15" ht="24" customHeight="1" x14ac:dyDescent="0.15">
      <c r="A8" s="14" t="s">
        <v>8</v>
      </c>
      <c r="B8" s="14" t="s">
        <v>9</v>
      </c>
      <c r="C8" s="116" t="s">
        <v>173</v>
      </c>
      <c r="D8" s="117"/>
      <c r="E8" s="117"/>
      <c r="F8" s="117"/>
      <c r="G8" s="117"/>
      <c r="H8" s="117"/>
      <c r="I8" s="117"/>
      <c r="J8" s="117"/>
      <c r="K8" s="117"/>
      <c r="L8" s="117"/>
      <c r="M8" s="117"/>
      <c r="N8" s="123"/>
      <c r="O8" s="27" t="str">
        <f>IF(C8="","入力してください","")</f>
        <v/>
      </c>
    </row>
    <row r="9" spans="1:15" ht="7.5" customHeight="1" x14ac:dyDescent="0.15">
      <c r="E9" s="15"/>
      <c r="F9" s="29"/>
      <c r="G9" s="29"/>
      <c r="H9" s="29"/>
      <c r="I9" s="29"/>
      <c r="J9" s="29"/>
      <c r="K9" s="29"/>
      <c r="L9" s="29"/>
      <c r="M9" s="29"/>
      <c r="N9" s="29"/>
    </row>
    <row r="10" spans="1:15" ht="24" customHeight="1" x14ac:dyDescent="0.15">
      <c r="A10" s="14" t="s">
        <v>10</v>
      </c>
      <c r="B10" s="14" t="s">
        <v>11</v>
      </c>
      <c r="E10" s="116" t="s">
        <v>174</v>
      </c>
      <c r="F10" s="117"/>
      <c r="G10" s="117"/>
      <c r="H10" s="117"/>
      <c r="I10" s="117"/>
      <c r="J10" s="117"/>
      <c r="K10" s="117"/>
      <c r="L10" s="117"/>
      <c r="M10" s="117"/>
      <c r="N10" s="123"/>
      <c r="O10" s="27" t="str">
        <f>IF(E10="","入力してください","")</f>
        <v/>
      </c>
    </row>
    <row r="11" spans="1:15" ht="7.5" customHeight="1" x14ac:dyDescent="0.15">
      <c r="B11" s="15"/>
      <c r="C11" s="15"/>
      <c r="D11" s="15"/>
      <c r="E11" s="15"/>
      <c r="F11" s="29"/>
      <c r="G11" s="29"/>
      <c r="H11" s="29"/>
      <c r="I11" s="29"/>
      <c r="J11" s="29"/>
      <c r="K11" s="29"/>
      <c r="L11" s="29"/>
      <c r="M11" s="29"/>
      <c r="N11" s="29"/>
    </row>
    <row r="12" spans="1:15" ht="24" customHeight="1" x14ac:dyDescent="0.15">
      <c r="A12" s="14" t="s">
        <v>12</v>
      </c>
      <c r="B12" s="15" t="s">
        <v>13</v>
      </c>
      <c r="C12" s="15"/>
      <c r="D12" s="15"/>
      <c r="E12" s="108" t="s">
        <v>175</v>
      </c>
      <c r="F12" s="110"/>
      <c r="G12" s="14" t="s">
        <v>14</v>
      </c>
      <c r="H12" s="14" t="s">
        <v>15</v>
      </c>
      <c r="N12" s="103" t="s">
        <v>176</v>
      </c>
      <c r="O12" s="27" t="str">
        <f>IF(E12="","入力してください","")</f>
        <v/>
      </c>
    </row>
    <row r="13" spans="1:15" ht="7.5" customHeight="1" x14ac:dyDescent="0.15">
      <c r="B13" s="15"/>
      <c r="C13" s="15"/>
      <c r="D13" s="15"/>
      <c r="E13" s="15"/>
      <c r="F13" s="29"/>
      <c r="G13" s="29"/>
      <c r="H13" s="29"/>
      <c r="I13" s="29"/>
      <c r="J13" s="29"/>
      <c r="K13" s="29"/>
      <c r="L13" s="29"/>
      <c r="M13" s="29"/>
      <c r="N13" s="29"/>
    </row>
    <row r="14" spans="1:15" ht="24" customHeight="1" x14ac:dyDescent="0.15">
      <c r="A14" s="14" t="s">
        <v>16</v>
      </c>
      <c r="B14" s="14" t="s">
        <v>17</v>
      </c>
      <c r="C14" s="124" t="s">
        <v>18</v>
      </c>
      <c r="D14" s="125"/>
      <c r="E14" s="120">
        <v>331</v>
      </c>
      <c r="F14" s="121"/>
      <c r="G14" s="16" t="s">
        <v>19</v>
      </c>
      <c r="I14" s="124" t="s">
        <v>20</v>
      </c>
      <c r="J14" s="125"/>
      <c r="K14" s="120">
        <v>155</v>
      </c>
      <c r="L14" s="126"/>
      <c r="M14" s="121"/>
      <c r="N14" s="17" t="s">
        <v>19</v>
      </c>
      <c r="O14" s="27" t="str">
        <f>IF(OR(E14="",K14=""),"入力してください","")</f>
        <v/>
      </c>
    </row>
    <row r="15" spans="1:15" ht="7.5" customHeight="1" x14ac:dyDescent="0.15">
      <c r="M15" s="17"/>
      <c r="N15" s="17"/>
    </row>
    <row r="16" spans="1:15" ht="24" customHeight="1" x14ac:dyDescent="0.15">
      <c r="A16" s="14" t="s">
        <v>21</v>
      </c>
      <c r="B16" s="14" t="s">
        <v>22</v>
      </c>
      <c r="K16" s="108">
        <v>37</v>
      </c>
      <c r="L16" s="109"/>
      <c r="M16" s="110"/>
      <c r="N16" s="17" t="s">
        <v>19</v>
      </c>
      <c r="O16" s="27" t="str">
        <f>IF(K16="","入力してください","")</f>
        <v/>
      </c>
    </row>
    <row r="17" spans="1:15" ht="7.5" customHeight="1" x14ac:dyDescent="0.15">
      <c r="M17" s="17"/>
      <c r="N17" s="17"/>
    </row>
    <row r="18" spans="1:15" ht="24" customHeight="1" x14ac:dyDescent="0.15">
      <c r="A18" s="14" t="s">
        <v>23</v>
      </c>
      <c r="B18" s="14" t="s">
        <v>24</v>
      </c>
      <c r="E18" s="120">
        <v>910</v>
      </c>
      <c r="F18" s="121"/>
      <c r="G18" s="18" t="s">
        <v>25</v>
      </c>
      <c r="K18" s="122"/>
      <c r="L18" s="122"/>
      <c r="M18" s="122"/>
      <c r="N18" s="122"/>
      <c r="O18" s="27" t="str">
        <f>IF(E18="","入力してください","")</f>
        <v/>
      </c>
    </row>
    <row r="19" spans="1:15" ht="7.5" customHeight="1" x14ac:dyDescent="0.15">
      <c r="E19" s="10"/>
      <c r="L19" s="25"/>
      <c r="M19" s="25"/>
      <c r="N19" s="17"/>
    </row>
    <row r="20" spans="1:15" ht="24" customHeight="1" x14ac:dyDescent="0.15">
      <c r="A20" s="14" t="s">
        <v>26</v>
      </c>
      <c r="B20" s="14" t="s">
        <v>27</v>
      </c>
      <c r="E20" s="10"/>
      <c r="H20" s="14" t="s">
        <v>28</v>
      </c>
      <c r="J20" s="111">
        <v>4017</v>
      </c>
      <c r="K20" s="112"/>
      <c r="L20" s="113"/>
      <c r="M20" s="25" t="s">
        <v>19</v>
      </c>
      <c r="N20" s="17"/>
      <c r="O20" s="27" t="str">
        <f>IF(J20="","入力してください","")</f>
        <v/>
      </c>
    </row>
    <row r="21" spans="1:15" ht="7.5" customHeight="1" x14ac:dyDescent="0.15">
      <c r="E21" s="10"/>
      <c r="L21" s="25"/>
      <c r="M21" s="25"/>
      <c r="N21" s="17"/>
    </row>
    <row r="22" spans="1:15" ht="24" customHeight="1" x14ac:dyDescent="0.15">
      <c r="B22" s="25" t="s">
        <v>29</v>
      </c>
      <c r="C22" s="120">
        <v>929</v>
      </c>
      <c r="D22" s="121"/>
      <c r="E22" s="10" t="s">
        <v>19</v>
      </c>
      <c r="G22" s="114" t="s">
        <v>30</v>
      </c>
      <c r="H22" s="114"/>
      <c r="I22" s="120">
        <v>945</v>
      </c>
      <c r="J22" s="121"/>
      <c r="K22" s="14" t="s">
        <v>19</v>
      </c>
      <c r="M22" s="25"/>
      <c r="N22" s="17"/>
    </row>
    <row r="23" spans="1:15" ht="7.5" customHeight="1" x14ac:dyDescent="0.15">
      <c r="B23" s="25"/>
      <c r="C23" s="11"/>
      <c r="D23" s="11"/>
      <c r="E23" s="10"/>
      <c r="G23" s="25"/>
      <c r="H23" s="25"/>
      <c r="I23" s="11"/>
      <c r="J23" s="11"/>
      <c r="M23" s="25"/>
      <c r="N23" s="17"/>
    </row>
    <row r="24" spans="1:15" ht="24" customHeight="1" x14ac:dyDescent="0.15">
      <c r="B24" s="25" t="s">
        <v>31</v>
      </c>
      <c r="C24" s="120">
        <v>991</v>
      </c>
      <c r="D24" s="121"/>
      <c r="E24" s="10" t="s">
        <v>19</v>
      </c>
      <c r="G24" s="114" t="s">
        <v>32</v>
      </c>
      <c r="H24" s="114"/>
      <c r="I24" s="120">
        <v>1152</v>
      </c>
      <c r="J24" s="121"/>
      <c r="K24" s="14" t="s">
        <v>19</v>
      </c>
      <c r="M24" s="25"/>
      <c r="N24" s="17"/>
    </row>
    <row r="25" spans="1:15" ht="7.5" customHeight="1" x14ac:dyDescent="0.15">
      <c r="B25" s="25"/>
      <c r="C25" s="11"/>
      <c r="D25" s="11"/>
      <c r="E25" s="10"/>
      <c r="G25" s="25"/>
      <c r="H25" s="25"/>
      <c r="I25" s="11"/>
      <c r="J25" s="11"/>
      <c r="M25" s="25"/>
      <c r="N25" s="17"/>
    </row>
    <row r="26" spans="1:15" ht="24" customHeight="1" x14ac:dyDescent="0.15">
      <c r="B26" s="25" t="s">
        <v>33</v>
      </c>
      <c r="C26" s="120"/>
      <c r="D26" s="121"/>
      <c r="E26" s="10" t="s">
        <v>19</v>
      </c>
      <c r="G26" s="114" t="s">
        <v>34</v>
      </c>
      <c r="H26" s="114"/>
      <c r="I26" s="120"/>
      <c r="J26" s="121"/>
      <c r="K26" s="14" t="s">
        <v>19</v>
      </c>
      <c r="M26" s="25"/>
      <c r="N26" s="17"/>
    </row>
    <row r="27" spans="1:15" ht="7.5" customHeight="1" x14ac:dyDescent="0.15">
      <c r="M27" s="19"/>
      <c r="N27" s="19"/>
    </row>
    <row r="28" spans="1:15" ht="24" customHeight="1" x14ac:dyDescent="0.15">
      <c r="A28" s="14" t="s">
        <v>35</v>
      </c>
      <c r="B28" s="14" t="s">
        <v>36</v>
      </c>
      <c r="G28" s="29"/>
      <c r="H28" s="29"/>
      <c r="I28" s="29"/>
      <c r="J28" s="20"/>
      <c r="K28" s="20"/>
      <c r="L28" s="20"/>
      <c r="M28" s="20"/>
      <c r="N28" s="20"/>
    </row>
    <row r="29" spans="1:15" s="14" customFormat="1" ht="24" customHeight="1" x14ac:dyDescent="0.15">
      <c r="B29" s="115" t="s">
        <v>37</v>
      </c>
      <c r="C29" s="115"/>
      <c r="D29" s="116" t="s">
        <v>207</v>
      </c>
      <c r="E29" s="117"/>
      <c r="F29" s="117"/>
      <c r="G29" s="118" t="s">
        <v>38</v>
      </c>
      <c r="H29" s="115"/>
      <c r="I29" s="119"/>
      <c r="J29" s="116" t="s">
        <v>209</v>
      </c>
      <c r="K29" s="117"/>
      <c r="L29" s="117"/>
      <c r="M29" s="117"/>
      <c r="N29" s="123"/>
      <c r="O29" s="27" t="str">
        <f>IF(OR(D29="",J29=""),"入力してください","")</f>
        <v/>
      </c>
    </row>
    <row r="30" spans="1:15" ht="7.5" customHeight="1" x14ac:dyDescent="0.15">
      <c r="M30" s="19"/>
      <c r="N30" s="19"/>
    </row>
    <row r="31" spans="1:15" ht="24" customHeight="1" x14ac:dyDescent="0.15">
      <c r="A31" s="14" t="s">
        <v>39</v>
      </c>
      <c r="B31" s="14" t="s">
        <v>40</v>
      </c>
      <c r="G31" s="20"/>
      <c r="H31" s="20"/>
      <c r="I31" s="20"/>
      <c r="J31" s="20"/>
      <c r="K31" s="20"/>
      <c r="L31" s="20"/>
      <c r="M31" s="20"/>
      <c r="N31" s="20"/>
    </row>
    <row r="32" spans="1:15" ht="24" customHeight="1" x14ac:dyDescent="0.15">
      <c r="B32" s="116" t="s">
        <v>179</v>
      </c>
      <c r="C32" s="117"/>
      <c r="D32" s="117"/>
      <c r="E32" s="117"/>
      <c r="F32" s="117"/>
      <c r="G32" s="117"/>
      <c r="H32" s="117"/>
      <c r="I32" s="117"/>
      <c r="J32" s="117"/>
      <c r="K32" s="117"/>
      <c r="L32" s="117"/>
      <c r="M32" s="117"/>
      <c r="N32" s="123"/>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15" t="s">
        <v>37</v>
      </c>
      <c r="C34" s="115"/>
      <c r="D34" s="116" t="s">
        <v>177</v>
      </c>
      <c r="E34" s="117"/>
      <c r="F34" s="117"/>
      <c r="G34" s="118" t="s">
        <v>38</v>
      </c>
      <c r="H34" s="115"/>
      <c r="I34" s="119"/>
      <c r="J34" s="116" t="s">
        <v>210</v>
      </c>
      <c r="K34" s="117"/>
      <c r="L34" s="117"/>
      <c r="M34" s="117"/>
      <c r="N34" s="123"/>
      <c r="O34" s="27" t="str">
        <f>IF(OR(D34="",J34=""),"入力してください","")</f>
        <v/>
      </c>
    </row>
    <row r="35" spans="1:15" ht="7.5" customHeight="1" x14ac:dyDescent="0.15">
      <c r="F35" s="29"/>
      <c r="G35" s="29"/>
      <c r="H35" s="29"/>
      <c r="I35" s="29"/>
      <c r="J35" s="29"/>
      <c r="K35" s="29"/>
      <c r="L35" s="29"/>
      <c r="M35" s="29"/>
      <c r="N35" s="29"/>
    </row>
    <row r="36" spans="1:15" ht="24" customHeight="1" x14ac:dyDescent="0.15">
      <c r="A36" s="14" t="s">
        <v>41</v>
      </c>
      <c r="B36" s="14" t="s">
        <v>42</v>
      </c>
      <c r="M36" s="19"/>
      <c r="N36" s="19"/>
    </row>
    <row r="37" spans="1:15" ht="24" customHeight="1" x14ac:dyDescent="0.15">
      <c r="B37" s="116" t="s">
        <v>178</v>
      </c>
      <c r="C37" s="117"/>
      <c r="D37" s="117"/>
      <c r="E37" s="117"/>
      <c r="F37" s="117"/>
      <c r="G37" s="117"/>
      <c r="H37" s="117"/>
      <c r="I37" s="117"/>
      <c r="J37" s="117"/>
      <c r="K37" s="117"/>
      <c r="L37" s="117"/>
      <c r="M37" s="117"/>
      <c r="N37" s="123"/>
      <c r="O37" s="27" t="str">
        <f>IF(B37="","入力してください","")</f>
        <v/>
      </c>
    </row>
    <row r="38" spans="1:15" ht="7.5" customHeight="1" x14ac:dyDescent="0.15">
      <c r="F38" s="29"/>
      <c r="G38" s="29"/>
      <c r="H38" s="29"/>
      <c r="I38" s="29"/>
      <c r="J38" s="29"/>
      <c r="K38" s="29"/>
      <c r="L38" s="29"/>
      <c r="M38" s="29"/>
      <c r="N38" s="29"/>
    </row>
    <row r="39" spans="1:15" s="14" customFormat="1" ht="24" customHeight="1" x14ac:dyDescent="0.15">
      <c r="B39" s="115" t="s">
        <v>37</v>
      </c>
      <c r="C39" s="115"/>
      <c r="D39" s="116" t="s">
        <v>177</v>
      </c>
      <c r="E39" s="117"/>
      <c r="F39" s="117"/>
      <c r="G39" s="118" t="s">
        <v>38</v>
      </c>
      <c r="H39" s="115"/>
      <c r="I39" s="119"/>
      <c r="J39" s="116" t="s">
        <v>211</v>
      </c>
      <c r="K39" s="117"/>
      <c r="L39" s="117"/>
      <c r="M39" s="117"/>
      <c r="N39" s="123"/>
      <c r="O39" s="27" t="str">
        <f>IF(OR(D39="",J39=""),"入力してください","")</f>
        <v/>
      </c>
    </row>
    <row r="40" spans="1:15" ht="7.5" customHeight="1" x14ac:dyDescent="0.15">
      <c r="F40" s="29"/>
      <c r="G40" s="29"/>
      <c r="H40" s="29"/>
      <c r="I40" s="29"/>
      <c r="J40" s="29"/>
      <c r="K40" s="29"/>
      <c r="L40" s="29"/>
      <c r="M40" s="29"/>
      <c r="N40" s="29"/>
    </row>
    <row r="41" spans="1:15" ht="24" customHeight="1" x14ac:dyDescent="0.15">
      <c r="A41" s="14" t="s">
        <v>43</v>
      </c>
      <c r="B41" s="14" t="s">
        <v>44</v>
      </c>
      <c r="E41" s="64"/>
      <c r="F41" s="116" t="s">
        <v>180</v>
      </c>
      <c r="G41" s="117"/>
      <c r="H41" s="117"/>
      <c r="I41" s="117"/>
      <c r="J41" s="117"/>
      <c r="K41" s="117"/>
      <c r="L41" s="117"/>
      <c r="M41" s="117"/>
      <c r="N41" s="123"/>
      <c r="O41" s="27" t="str">
        <f>IF(F41="","入力してください","")</f>
        <v/>
      </c>
    </row>
    <row r="42" spans="1:15" ht="7.5" customHeight="1" x14ac:dyDescent="0.15">
      <c r="F42" s="29"/>
      <c r="G42" s="29"/>
      <c r="H42" s="29"/>
      <c r="I42" s="29"/>
      <c r="J42" s="29"/>
      <c r="K42" s="29"/>
      <c r="L42" s="29"/>
      <c r="M42" s="29"/>
      <c r="N42" s="29"/>
    </row>
    <row r="43" spans="1:15" ht="24" customHeight="1" x14ac:dyDescent="0.15">
      <c r="A43" s="14" t="s">
        <v>45</v>
      </c>
    </row>
    <row r="44" spans="1:15" ht="24" customHeight="1" x14ac:dyDescent="0.15">
      <c r="B44" s="26" t="s">
        <v>46</v>
      </c>
      <c r="C44" s="134" t="s">
        <v>183</v>
      </c>
      <c r="D44" s="135"/>
      <c r="E44" s="135"/>
      <c r="F44" s="135"/>
      <c r="G44" s="135"/>
      <c r="H44" s="135"/>
      <c r="I44" s="22" t="s">
        <v>47</v>
      </c>
      <c r="J44" s="23"/>
      <c r="K44" s="116" t="s">
        <v>181</v>
      </c>
      <c r="L44" s="117"/>
      <c r="M44" s="117"/>
      <c r="N44" s="123"/>
      <c r="O44" s="27" t="str">
        <f>IF(OR(C44="",K44=""),"入力してください","")</f>
        <v/>
      </c>
    </row>
    <row r="45" spans="1:15" ht="24" customHeight="1" x14ac:dyDescent="0.15">
      <c r="B45" s="21" t="s">
        <v>48</v>
      </c>
      <c r="C45" s="128" t="s">
        <v>182</v>
      </c>
      <c r="D45" s="129"/>
      <c r="E45" s="129"/>
      <c r="F45" s="129"/>
      <c r="G45" s="129"/>
      <c r="H45" s="130"/>
      <c r="I45" s="22" t="s">
        <v>49</v>
      </c>
      <c r="J45" s="23"/>
      <c r="K45" s="131" t="s">
        <v>184</v>
      </c>
      <c r="L45" s="132"/>
      <c r="M45" s="132"/>
      <c r="N45" s="133"/>
      <c r="O45" s="27"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1738794F-102D-4544-8AE6-E73F7FE14A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88" zoomScale="115" zoomScaleNormal="100" zoomScaleSheetLayoutView="115" workbookViewId="0">
      <selection activeCell="B6" sqref="B6:Z11"/>
    </sheetView>
  </sheetViews>
  <sheetFormatPr defaultColWidth="9" defaultRowHeight="18.75" customHeight="1" x14ac:dyDescent="0.15"/>
  <cols>
    <col min="1" max="1" width="2.375" style="13" customWidth="1"/>
    <col min="2" max="2" width="27.75" style="13" customWidth="1"/>
    <col min="3" max="13" width="3.375" style="13" customWidth="1"/>
    <col min="14" max="14" width="8.875" style="13" customWidth="1"/>
    <col min="15" max="15" width="18.875" style="13" customWidth="1"/>
    <col min="16" max="26" width="3.375" style="13" customWidth="1"/>
    <col min="27" max="16384" width="9" style="13"/>
  </cols>
  <sheetData>
    <row r="1" spans="1:26" ht="15" customHeight="1" x14ac:dyDescent="0.15">
      <c r="W1" s="157" t="s">
        <v>50</v>
      </c>
      <c r="X1" s="157"/>
      <c r="Y1" s="157"/>
      <c r="Z1" s="157"/>
    </row>
    <row r="2" spans="1:26" ht="18" customHeight="1" x14ac:dyDescent="0.15">
      <c r="A2" s="198" t="s">
        <v>51</v>
      </c>
      <c r="B2" s="198"/>
      <c r="C2" s="198"/>
      <c r="D2" s="198"/>
      <c r="E2" s="198"/>
      <c r="F2" s="198"/>
      <c r="G2" s="198"/>
      <c r="H2" s="198"/>
      <c r="I2" s="198"/>
      <c r="J2" s="198"/>
      <c r="K2" s="198"/>
      <c r="L2" s="198"/>
      <c r="M2" s="198"/>
      <c r="N2" s="198"/>
      <c r="O2" s="198"/>
      <c r="P2" s="198"/>
      <c r="Q2" s="198"/>
      <c r="R2" s="198"/>
      <c r="S2" s="198"/>
      <c r="T2" s="198"/>
      <c r="U2" s="198"/>
      <c r="V2" s="198"/>
      <c r="W2" s="198"/>
      <c r="X2" s="198"/>
      <c r="Y2" s="198"/>
      <c r="Z2" s="198"/>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52</v>
      </c>
      <c r="B4" s="25"/>
      <c r="C4" s="25"/>
      <c r="D4" s="25"/>
      <c r="E4" s="25"/>
      <c r="F4" s="25"/>
      <c r="G4" s="25"/>
      <c r="H4" s="14" t="s">
        <v>53</v>
      </c>
      <c r="I4" s="25"/>
      <c r="J4" s="25"/>
      <c r="K4" s="25"/>
      <c r="L4" s="25"/>
      <c r="M4" s="25"/>
      <c r="N4" s="25"/>
      <c r="O4" s="108" t="s">
        <v>54</v>
      </c>
      <c r="P4" s="109"/>
      <c r="Q4" s="109"/>
      <c r="R4" s="109"/>
      <c r="S4" s="109"/>
      <c r="T4" s="109"/>
      <c r="U4" s="109"/>
      <c r="V4" s="109"/>
      <c r="W4" s="109"/>
      <c r="X4" s="109"/>
      <c r="Y4" s="109"/>
      <c r="Z4" s="110"/>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57" t="s">
        <v>212</v>
      </c>
      <c r="C6" s="258"/>
      <c r="D6" s="258"/>
      <c r="E6" s="258"/>
      <c r="F6" s="258"/>
      <c r="G6" s="258"/>
      <c r="H6" s="258"/>
      <c r="I6" s="258"/>
      <c r="J6" s="258"/>
      <c r="K6" s="258"/>
      <c r="L6" s="258"/>
      <c r="M6" s="258"/>
      <c r="N6" s="258"/>
      <c r="O6" s="258"/>
      <c r="P6" s="258"/>
      <c r="Q6" s="258"/>
      <c r="R6" s="258"/>
      <c r="S6" s="258"/>
      <c r="T6" s="258"/>
      <c r="U6" s="258"/>
      <c r="V6" s="258"/>
      <c r="W6" s="258"/>
      <c r="X6" s="258"/>
      <c r="Y6" s="258"/>
      <c r="Z6" s="259"/>
    </row>
    <row r="7" spans="1:26" ht="18" customHeight="1" x14ac:dyDescent="0.15">
      <c r="B7" s="260"/>
      <c r="C7" s="261"/>
      <c r="D7" s="261"/>
      <c r="E7" s="261"/>
      <c r="F7" s="261"/>
      <c r="G7" s="261"/>
      <c r="H7" s="261"/>
      <c r="I7" s="261"/>
      <c r="J7" s="261"/>
      <c r="K7" s="261"/>
      <c r="L7" s="261"/>
      <c r="M7" s="261"/>
      <c r="N7" s="261"/>
      <c r="O7" s="261"/>
      <c r="P7" s="261"/>
      <c r="Q7" s="261"/>
      <c r="R7" s="261"/>
      <c r="S7" s="261"/>
      <c r="T7" s="261"/>
      <c r="U7" s="261"/>
      <c r="V7" s="261"/>
      <c r="W7" s="261"/>
      <c r="X7" s="261"/>
      <c r="Y7" s="261"/>
      <c r="Z7" s="262"/>
    </row>
    <row r="8" spans="1:26" ht="18" customHeight="1" x14ac:dyDescent="0.15">
      <c r="B8" s="260"/>
      <c r="C8" s="261"/>
      <c r="D8" s="261"/>
      <c r="E8" s="261"/>
      <c r="F8" s="261"/>
      <c r="G8" s="261"/>
      <c r="H8" s="261"/>
      <c r="I8" s="261"/>
      <c r="J8" s="261"/>
      <c r="K8" s="261"/>
      <c r="L8" s="261"/>
      <c r="M8" s="261"/>
      <c r="N8" s="261"/>
      <c r="O8" s="261"/>
      <c r="P8" s="261"/>
      <c r="Q8" s="261"/>
      <c r="R8" s="261"/>
      <c r="S8" s="261"/>
      <c r="T8" s="261"/>
      <c r="U8" s="261"/>
      <c r="V8" s="261"/>
      <c r="W8" s="261"/>
      <c r="X8" s="261"/>
      <c r="Y8" s="261"/>
      <c r="Z8" s="262"/>
    </row>
    <row r="9" spans="1:26" ht="18" customHeight="1" x14ac:dyDescent="0.15">
      <c r="B9" s="260"/>
      <c r="C9" s="261"/>
      <c r="D9" s="261"/>
      <c r="E9" s="261"/>
      <c r="F9" s="261"/>
      <c r="G9" s="261"/>
      <c r="H9" s="261"/>
      <c r="I9" s="261"/>
      <c r="J9" s="261"/>
      <c r="K9" s="261"/>
      <c r="L9" s="261"/>
      <c r="M9" s="261"/>
      <c r="N9" s="261"/>
      <c r="O9" s="261"/>
      <c r="P9" s="261"/>
      <c r="Q9" s="261"/>
      <c r="R9" s="261"/>
      <c r="S9" s="261"/>
      <c r="T9" s="261"/>
      <c r="U9" s="261"/>
      <c r="V9" s="261"/>
      <c r="W9" s="261"/>
      <c r="X9" s="261"/>
      <c r="Y9" s="261"/>
      <c r="Z9" s="262"/>
    </row>
    <row r="10" spans="1:26" ht="18" customHeight="1" x14ac:dyDescent="0.15">
      <c r="B10" s="260"/>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2"/>
    </row>
    <row r="11" spans="1:26" ht="18" customHeight="1" x14ac:dyDescent="0.15">
      <c r="B11" s="263"/>
      <c r="C11" s="264"/>
      <c r="D11" s="264"/>
      <c r="E11" s="264"/>
      <c r="F11" s="264"/>
      <c r="G11" s="264"/>
      <c r="H11" s="264"/>
      <c r="I11" s="264"/>
      <c r="J11" s="264"/>
      <c r="K11" s="264"/>
      <c r="L11" s="264"/>
      <c r="M11" s="264"/>
      <c r="N11" s="264"/>
      <c r="O11" s="264"/>
      <c r="P11" s="264"/>
      <c r="Q11" s="264"/>
      <c r="R11" s="264"/>
      <c r="S11" s="264"/>
      <c r="T11" s="264"/>
      <c r="U11" s="264"/>
      <c r="V11" s="264"/>
      <c r="W11" s="264"/>
      <c r="X11" s="264"/>
      <c r="Y11" s="264"/>
      <c r="Z11" s="265"/>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7" t="s">
        <v>55</v>
      </c>
      <c r="B13" s="197"/>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spans="1:26" ht="18" customHeight="1" x14ac:dyDescent="0.15">
      <c r="A14" s="197"/>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spans="1:26" ht="18" customHeight="1" x14ac:dyDescent="0.15">
      <c r="A15" s="14"/>
      <c r="B15" s="108" t="s">
        <v>56</v>
      </c>
      <c r="C15" s="109"/>
      <c r="D15" s="109"/>
      <c r="E15" s="109"/>
      <c r="F15" s="110"/>
      <c r="G15" s="26" t="s">
        <v>57</v>
      </c>
      <c r="H15" s="99" t="s">
        <v>58</v>
      </c>
      <c r="I15" s="109" t="s">
        <v>59</v>
      </c>
      <c r="J15" s="109"/>
      <c r="K15" s="109"/>
      <c r="L15" s="65" t="s">
        <v>60</v>
      </c>
      <c r="M15" s="65" t="s">
        <v>61</v>
      </c>
      <c r="N15" s="108" t="s">
        <v>56</v>
      </c>
      <c r="O15" s="109"/>
      <c r="P15" s="109"/>
      <c r="Q15" s="109"/>
      <c r="R15" s="109"/>
      <c r="S15" s="110"/>
      <c r="T15" s="26" t="s">
        <v>57</v>
      </c>
      <c r="U15" s="99" t="s">
        <v>58</v>
      </c>
      <c r="V15" s="109" t="s">
        <v>59</v>
      </c>
      <c r="W15" s="109"/>
      <c r="X15" s="109"/>
      <c r="Y15" s="65" t="s">
        <v>60</v>
      </c>
      <c r="Z15" s="65" t="s">
        <v>61</v>
      </c>
    </row>
    <row r="16" spans="1:26" ht="18" customHeight="1" x14ac:dyDescent="0.15">
      <c r="A16" s="14"/>
      <c r="B16" s="158" t="s">
        <v>62</v>
      </c>
      <c r="C16" s="159"/>
      <c r="D16" s="159"/>
      <c r="E16" s="159"/>
      <c r="F16" s="160"/>
      <c r="G16" s="100">
        <v>2</v>
      </c>
      <c r="H16" s="100" t="s">
        <v>63</v>
      </c>
      <c r="I16" s="164" t="s">
        <v>64</v>
      </c>
      <c r="J16" s="165"/>
      <c r="K16" s="166"/>
      <c r="L16" s="100" t="s">
        <v>63</v>
      </c>
      <c r="M16" s="100" t="s">
        <v>63</v>
      </c>
      <c r="N16" s="136"/>
      <c r="O16" s="137"/>
      <c r="P16" s="137"/>
      <c r="Q16" s="137"/>
      <c r="R16" s="137"/>
      <c r="S16" s="138"/>
      <c r="T16" s="100"/>
      <c r="U16" s="100"/>
      <c r="V16" s="164"/>
      <c r="W16" s="165"/>
      <c r="X16" s="166"/>
      <c r="Y16" s="100"/>
      <c r="Z16" s="100"/>
    </row>
    <row r="17" spans="1:26" ht="18" customHeight="1" x14ac:dyDescent="0.15">
      <c r="A17" s="14"/>
      <c r="B17" s="151" t="s">
        <v>65</v>
      </c>
      <c r="C17" s="152"/>
      <c r="D17" s="152"/>
      <c r="E17" s="152"/>
      <c r="F17" s="153"/>
      <c r="G17" s="101">
        <v>2</v>
      </c>
      <c r="H17" s="101"/>
      <c r="I17" s="145" t="s">
        <v>64</v>
      </c>
      <c r="J17" s="146"/>
      <c r="K17" s="147"/>
      <c r="L17" s="101" t="s">
        <v>63</v>
      </c>
      <c r="M17" s="101" t="s">
        <v>63</v>
      </c>
      <c r="N17" s="139"/>
      <c r="O17" s="140"/>
      <c r="P17" s="140"/>
      <c r="Q17" s="140"/>
      <c r="R17" s="140"/>
      <c r="S17" s="141"/>
      <c r="T17" s="101"/>
      <c r="U17" s="101"/>
      <c r="V17" s="145"/>
      <c r="W17" s="146"/>
      <c r="X17" s="147"/>
      <c r="Y17" s="101"/>
      <c r="Z17" s="101"/>
    </row>
    <row r="18" spans="1:26" ht="18" customHeight="1" x14ac:dyDescent="0.15">
      <c r="A18" s="14"/>
      <c r="B18" s="151"/>
      <c r="C18" s="152"/>
      <c r="D18" s="152"/>
      <c r="E18" s="152"/>
      <c r="F18" s="153"/>
      <c r="G18" s="101"/>
      <c r="H18" s="101"/>
      <c r="I18" s="145"/>
      <c r="J18" s="146"/>
      <c r="K18" s="147"/>
      <c r="L18" s="101"/>
      <c r="M18" s="101"/>
      <c r="N18" s="139"/>
      <c r="O18" s="140"/>
      <c r="P18" s="140"/>
      <c r="Q18" s="140"/>
      <c r="R18" s="140"/>
      <c r="S18" s="141"/>
      <c r="T18" s="101"/>
      <c r="U18" s="101"/>
      <c r="V18" s="145"/>
      <c r="W18" s="146"/>
      <c r="X18" s="147"/>
      <c r="Y18" s="101"/>
      <c r="Z18" s="101"/>
    </row>
    <row r="19" spans="1:26" ht="18" customHeight="1" x14ac:dyDescent="0.15">
      <c r="A19" s="14"/>
      <c r="B19" s="151"/>
      <c r="C19" s="152"/>
      <c r="D19" s="152"/>
      <c r="E19" s="152"/>
      <c r="F19" s="153"/>
      <c r="G19" s="101"/>
      <c r="H19" s="101"/>
      <c r="I19" s="145"/>
      <c r="J19" s="146"/>
      <c r="K19" s="147"/>
      <c r="L19" s="101"/>
      <c r="M19" s="101"/>
      <c r="N19" s="139"/>
      <c r="O19" s="140"/>
      <c r="P19" s="140"/>
      <c r="Q19" s="140"/>
      <c r="R19" s="140"/>
      <c r="S19" s="141"/>
      <c r="T19" s="101"/>
      <c r="U19" s="101"/>
      <c r="V19" s="145"/>
      <c r="W19" s="146"/>
      <c r="X19" s="147"/>
      <c r="Y19" s="101"/>
      <c r="Z19" s="101"/>
    </row>
    <row r="20" spans="1:26" ht="18" customHeight="1" x14ac:dyDescent="0.15">
      <c r="A20" s="14"/>
      <c r="B20" s="151"/>
      <c r="C20" s="152"/>
      <c r="D20" s="152"/>
      <c r="E20" s="152"/>
      <c r="F20" s="153"/>
      <c r="G20" s="101"/>
      <c r="H20" s="101"/>
      <c r="I20" s="145"/>
      <c r="J20" s="146"/>
      <c r="K20" s="147"/>
      <c r="L20" s="101"/>
      <c r="M20" s="101"/>
      <c r="N20" s="139"/>
      <c r="O20" s="140"/>
      <c r="P20" s="140"/>
      <c r="Q20" s="140"/>
      <c r="R20" s="140"/>
      <c r="S20" s="141"/>
      <c r="T20" s="101"/>
      <c r="U20" s="101"/>
      <c r="V20" s="145"/>
      <c r="W20" s="146"/>
      <c r="X20" s="147"/>
      <c r="Y20" s="101"/>
      <c r="Z20" s="101"/>
    </row>
    <row r="21" spans="1:26" ht="18" customHeight="1" x14ac:dyDescent="0.15">
      <c r="A21" s="25"/>
      <c r="B21" s="151"/>
      <c r="C21" s="152"/>
      <c r="D21" s="152"/>
      <c r="E21" s="152"/>
      <c r="F21" s="153"/>
      <c r="G21" s="101"/>
      <c r="H21" s="101"/>
      <c r="I21" s="145"/>
      <c r="J21" s="146"/>
      <c r="K21" s="147"/>
      <c r="L21" s="101"/>
      <c r="M21" s="101"/>
      <c r="N21" s="139"/>
      <c r="O21" s="140"/>
      <c r="P21" s="140"/>
      <c r="Q21" s="140"/>
      <c r="R21" s="140"/>
      <c r="S21" s="141"/>
      <c r="T21" s="101"/>
      <c r="U21" s="101"/>
      <c r="V21" s="145"/>
      <c r="W21" s="146"/>
      <c r="X21" s="147"/>
      <c r="Y21" s="101"/>
      <c r="Z21" s="101"/>
    </row>
    <row r="22" spans="1:26" ht="18" customHeight="1" x14ac:dyDescent="0.15">
      <c r="A22" s="25"/>
      <c r="B22" s="154"/>
      <c r="C22" s="155"/>
      <c r="D22" s="155"/>
      <c r="E22" s="155"/>
      <c r="F22" s="156"/>
      <c r="G22" s="102"/>
      <c r="H22" s="102"/>
      <c r="I22" s="148"/>
      <c r="J22" s="149"/>
      <c r="K22" s="150"/>
      <c r="L22" s="107"/>
      <c r="M22" s="107"/>
      <c r="N22" s="142"/>
      <c r="O22" s="143"/>
      <c r="P22" s="143"/>
      <c r="Q22" s="143"/>
      <c r="R22" s="143"/>
      <c r="S22" s="144"/>
      <c r="T22" s="102"/>
      <c r="U22" s="102"/>
      <c r="V22" s="148"/>
      <c r="W22" s="149"/>
      <c r="X22" s="150"/>
      <c r="Y22" s="107"/>
      <c r="Z22" s="107"/>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7" t="s">
        <v>66</v>
      </c>
      <c r="B24" s="197"/>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spans="1:26" ht="18" customHeight="1" x14ac:dyDescent="0.15">
      <c r="A25" s="197"/>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spans="1:26" ht="18" customHeight="1" x14ac:dyDescent="0.15">
      <c r="A26" s="14"/>
      <c r="B26" s="108" t="s">
        <v>56</v>
      </c>
      <c r="C26" s="109"/>
      <c r="D26" s="109"/>
      <c r="E26" s="109"/>
      <c r="F26" s="110"/>
      <c r="G26" s="26" t="s">
        <v>57</v>
      </c>
      <c r="H26" s="99" t="s">
        <v>58</v>
      </c>
      <c r="I26" s="109" t="s">
        <v>59</v>
      </c>
      <c r="J26" s="109"/>
      <c r="K26" s="109"/>
      <c r="L26" s="65" t="s">
        <v>67</v>
      </c>
      <c r="M26" s="65" t="s">
        <v>68</v>
      </c>
      <c r="N26" s="108" t="s">
        <v>56</v>
      </c>
      <c r="O26" s="109"/>
      <c r="P26" s="109"/>
      <c r="Q26" s="109"/>
      <c r="R26" s="109"/>
      <c r="S26" s="110"/>
      <c r="T26" s="26" t="s">
        <v>57</v>
      </c>
      <c r="U26" s="99" t="s">
        <v>58</v>
      </c>
      <c r="V26" s="109" t="s">
        <v>59</v>
      </c>
      <c r="W26" s="109"/>
      <c r="X26" s="109"/>
      <c r="Y26" s="65" t="s">
        <v>67</v>
      </c>
      <c r="Z26" s="65" t="s">
        <v>68</v>
      </c>
    </row>
    <row r="27" spans="1:26" ht="18" customHeight="1" x14ac:dyDescent="0.15">
      <c r="A27" s="14"/>
      <c r="B27" s="158" t="s">
        <v>62</v>
      </c>
      <c r="C27" s="159"/>
      <c r="D27" s="159"/>
      <c r="E27" s="159"/>
      <c r="F27" s="160"/>
      <c r="G27" s="100">
        <v>2</v>
      </c>
      <c r="H27" s="100" t="s">
        <v>63</v>
      </c>
      <c r="I27" s="164" t="s">
        <v>64</v>
      </c>
      <c r="J27" s="165"/>
      <c r="K27" s="166"/>
      <c r="L27" s="100" t="s">
        <v>63</v>
      </c>
      <c r="M27" s="100" t="s">
        <v>63</v>
      </c>
      <c r="N27" s="136"/>
      <c r="O27" s="137"/>
      <c r="P27" s="137"/>
      <c r="Q27" s="137"/>
      <c r="R27" s="137"/>
      <c r="S27" s="138"/>
      <c r="T27" s="100"/>
      <c r="U27" s="100"/>
      <c r="V27" s="164"/>
      <c r="W27" s="165"/>
      <c r="X27" s="166"/>
      <c r="Y27" s="100"/>
      <c r="Z27" s="100"/>
    </row>
    <row r="28" spans="1:26" ht="18" customHeight="1" x14ac:dyDescent="0.15">
      <c r="A28" s="14"/>
      <c r="B28" s="151" t="s">
        <v>69</v>
      </c>
      <c r="C28" s="152"/>
      <c r="D28" s="152"/>
      <c r="E28" s="152"/>
      <c r="F28" s="153"/>
      <c r="G28" s="101">
        <v>2</v>
      </c>
      <c r="H28" s="101"/>
      <c r="I28" s="145" t="s">
        <v>64</v>
      </c>
      <c r="J28" s="146"/>
      <c r="K28" s="147"/>
      <c r="L28" s="101" t="s">
        <v>63</v>
      </c>
      <c r="M28" s="101"/>
      <c r="N28" s="139"/>
      <c r="O28" s="140"/>
      <c r="P28" s="140"/>
      <c r="Q28" s="140"/>
      <c r="R28" s="140"/>
      <c r="S28" s="141"/>
      <c r="T28" s="101"/>
      <c r="U28" s="101"/>
      <c r="V28" s="145"/>
      <c r="W28" s="146"/>
      <c r="X28" s="147"/>
      <c r="Y28" s="101"/>
      <c r="Z28" s="101"/>
    </row>
    <row r="29" spans="1:26" ht="18" customHeight="1" x14ac:dyDescent="0.15">
      <c r="A29" s="14"/>
      <c r="B29" s="151" t="s">
        <v>65</v>
      </c>
      <c r="C29" s="152"/>
      <c r="D29" s="152"/>
      <c r="E29" s="152"/>
      <c r="F29" s="153"/>
      <c r="G29" s="101">
        <v>2</v>
      </c>
      <c r="H29" s="101"/>
      <c r="I29" s="145" t="s">
        <v>64</v>
      </c>
      <c r="J29" s="146"/>
      <c r="K29" s="147"/>
      <c r="L29" s="101" t="s">
        <v>63</v>
      </c>
      <c r="M29" s="101" t="s">
        <v>63</v>
      </c>
      <c r="N29" s="139"/>
      <c r="O29" s="140"/>
      <c r="P29" s="140"/>
      <c r="Q29" s="140"/>
      <c r="R29" s="140"/>
      <c r="S29" s="141"/>
      <c r="T29" s="101"/>
      <c r="U29" s="101"/>
      <c r="V29" s="145"/>
      <c r="W29" s="146"/>
      <c r="X29" s="147"/>
      <c r="Y29" s="101"/>
      <c r="Z29" s="101"/>
    </row>
    <row r="30" spans="1:26" ht="18" customHeight="1" x14ac:dyDescent="0.15">
      <c r="A30" s="14"/>
      <c r="B30" s="151"/>
      <c r="C30" s="152"/>
      <c r="D30" s="152"/>
      <c r="E30" s="152"/>
      <c r="F30" s="153"/>
      <c r="G30" s="101"/>
      <c r="H30" s="101"/>
      <c r="I30" s="145"/>
      <c r="J30" s="146"/>
      <c r="K30" s="147"/>
      <c r="L30" s="101"/>
      <c r="M30" s="101"/>
      <c r="N30" s="139"/>
      <c r="O30" s="140"/>
      <c r="P30" s="140"/>
      <c r="Q30" s="140"/>
      <c r="R30" s="140"/>
      <c r="S30" s="141"/>
      <c r="T30" s="101"/>
      <c r="U30" s="101"/>
      <c r="V30" s="145"/>
      <c r="W30" s="146"/>
      <c r="X30" s="147"/>
      <c r="Y30" s="101"/>
      <c r="Z30" s="101"/>
    </row>
    <row r="31" spans="1:26" ht="18" customHeight="1" x14ac:dyDescent="0.15">
      <c r="A31" s="14"/>
      <c r="B31" s="151"/>
      <c r="C31" s="152"/>
      <c r="D31" s="152"/>
      <c r="E31" s="152"/>
      <c r="F31" s="153"/>
      <c r="G31" s="101"/>
      <c r="H31" s="101"/>
      <c r="I31" s="145"/>
      <c r="J31" s="146"/>
      <c r="K31" s="147"/>
      <c r="L31" s="101"/>
      <c r="M31" s="101"/>
      <c r="N31" s="139"/>
      <c r="O31" s="140"/>
      <c r="P31" s="140"/>
      <c r="Q31" s="140"/>
      <c r="R31" s="140"/>
      <c r="S31" s="141"/>
      <c r="T31" s="101"/>
      <c r="U31" s="101"/>
      <c r="V31" s="145"/>
      <c r="W31" s="146"/>
      <c r="X31" s="147"/>
      <c r="Y31" s="101"/>
      <c r="Z31" s="101"/>
    </row>
    <row r="32" spans="1:26" ht="18" customHeight="1" x14ac:dyDescent="0.15">
      <c r="A32" s="14"/>
      <c r="B32" s="151"/>
      <c r="C32" s="152"/>
      <c r="D32" s="152"/>
      <c r="E32" s="152"/>
      <c r="F32" s="153"/>
      <c r="G32" s="101"/>
      <c r="H32" s="101"/>
      <c r="I32" s="145"/>
      <c r="J32" s="146"/>
      <c r="K32" s="147"/>
      <c r="L32" s="101"/>
      <c r="M32" s="101"/>
      <c r="N32" s="139"/>
      <c r="O32" s="140"/>
      <c r="P32" s="140"/>
      <c r="Q32" s="140"/>
      <c r="R32" s="140"/>
      <c r="S32" s="141"/>
      <c r="T32" s="101"/>
      <c r="U32" s="101"/>
      <c r="V32" s="145"/>
      <c r="W32" s="146"/>
      <c r="X32" s="147"/>
      <c r="Y32" s="101"/>
      <c r="Z32" s="101"/>
    </row>
    <row r="33" spans="1:26" ht="18" customHeight="1" x14ac:dyDescent="0.15">
      <c r="A33" s="14"/>
      <c r="B33" s="154"/>
      <c r="C33" s="155"/>
      <c r="D33" s="155"/>
      <c r="E33" s="155"/>
      <c r="F33" s="156"/>
      <c r="G33" s="102"/>
      <c r="H33" s="102"/>
      <c r="I33" s="148"/>
      <c r="J33" s="149"/>
      <c r="K33" s="150"/>
      <c r="L33" s="107"/>
      <c r="M33" s="107"/>
      <c r="N33" s="142"/>
      <c r="O33" s="143"/>
      <c r="P33" s="143"/>
      <c r="Q33" s="143"/>
      <c r="R33" s="143"/>
      <c r="S33" s="144"/>
      <c r="T33" s="102"/>
      <c r="U33" s="102"/>
      <c r="V33" s="148"/>
      <c r="W33" s="149"/>
      <c r="X33" s="150"/>
      <c r="Y33" s="107"/>
      <c r="Z33" s="107"/>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7" t="s">
        <v>70</v>
      </c>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spans="1:26" ht="18" customHeight="1" x14ac:dyDescent="0.15">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spans="1:26" ht="18" customHeight="1" x14ac:dyDescent="0.15">
      <c r="A37" s="14"/>
      <c r="B37" s="108" t="s">
        <v>56</v>
      </c>
      <c r="C37" s="109"/>
      <c r="D37" s="109"/>
      <c r="E37" s="109"/>
      <c r="F37" s="110"/>
      <c r="G37" s="26" t="s">
        <v>57</v>
      </c>
      <c r="H37" s="99" t="s">
        <v>58</v>
      </c>
      <c r="I37" s="108" t="s">
        <v>59</v>
      </c>
      <c r="J37" s="109"/>
      <c r="K37" s="110"/>
      <c r="L37" s="65" t="s">
        <v>71</v>
      </c>
      <c r="M37" s="65" t="s">
        <v>72</v>
      </c>
      <c r="N37" s="108" t="s">
        <v>56</v>
      </c>
      <c r="O37" s="109"/>
      <c r="P37" s="109"/>
      <c r="Q37" s="109"/>
      <c r="R37" s="109"/>
      <c r="S37" s="110"/>
      <c r="T37" s="26" t="s">
        <v>57</v>
      </c>
      <c r="U37" s="99" t="s">
        <v>58</v>
      </c>
      <c r="V37" s="108" t="s">
        <v>59</v>
      </c>
      <c r="W37" s="109"/>
      <c r="X37" s="110"/>
      <c r="Y37" s="65" t="s">
        <v>71</v>
      </c>
      <c r="Z37" s="65" t="s">
        <v>72</v>
      </c>
    </row>
    <row r="38" spans="1:26" ht="18" customHeight="1" x14ac:dyDescent="0.15">
      <c r="A38" s="25"/>
      <c r="B38" s="158" t="s">
        <v>62</v>
      </c>
      <c r="C38" s="159"/>
      <c r="D38" s="159"/>
      <c r="E38" s="159"/>
      <c r="F38" s="160"/>
      <c r="G38" s="100">
        <v>2</v>
      </c>
      <c r="H38" s="100" t="s">
        <v>63</v>
      </c>
      <c r="I38" s="164" t="s">
        <v>64</v>
      </c>
      <c r="J38" s="165"/>
      <c r="K38" s="166"/>
      <c r="L38" s="100" t="s">
        <v>63</v>
      </c>
      <c r="M38" s="100" t="s">
        <v>63</v>
      </c>
      <c r="N38" s="136"/>
      <c r="O38" s="137"/>
      <c r="P38" s="137"/>
      <c r="Q38" s="137"/>
      <c r="R38" s="137"/>
      <c r="S38" s="138"/>
      <c r="T38" s="100"/>
      <c r="U38" s="100"/>
      <c r="V38" s="164"/>
      <c r="W38" s="165"/>
      <c r="X38" s="166"/>
      <c r="Y38" s="100"/>
      <c r="Z38" s="100"/>
    </row>
    <row r="39" spans="1:26" ht="18" customHeight="1" x14ac:dyDescent="0.15">
      <c r="A39" s="25"/>
      <c r="B39" s="151" t="s">
        <v>69</v>
      </c>
      <c r="C39" s="152"/>
      <c r="D39" s="152"/>
      <c r="E39" s="152"/>
      <c r="F39" s="153"/>
      <c r="G39" s="101">
        <v>2</v>
      </c>
      <c r="H39" s="101"/>
      <c r="I39" s="145" t="s">
        <v>64</v>
      </c>
      <c r="J39" s="146"/>
      <c r="K39" s="147"/>
      <c r="L39" s="101" t="s">
        <v>63</v>
      </c>
      <c r="M39" s="101" t="s">
        <v>63</v>
      </c>
      <c r="N39" s="139"/>
      <c r="O39" s="140"/>
      <c r="P39" s="140"/>
      <c r="Q39" s="140"/>
      <c r="R39" s="140"/>
      <c r="S39" s="141"/>
      <c r="T39" s="101"/>
      <c r="U39" s="101"/>
      <c r="V39" s="145"/>
      <c r="W39" s="146"/>
      <c r="X39" s="147"/>
      <c r="Y39" s="101"/>
      <c r="Z39" s="101"/>
    </row>
    <row r="40" spans="1:26" ht="18" customHeight="1" x14ac:dyDescent="0.15">
      <c r="A40" s="25"/>
      <c r="B40" s="151" t="s">
        <v>65</v>
      </c>
      <c r="C40" s="152"/>
      <c r="D40" s="152"/>
      <c r="E40" s="152"/>
      <c r="F40" s="153"/>
      <c r="G40" s="101">
        <v>2</v>
      </c>
      <c r="H40" s="101"/>
      <c r="I40" s="145" t="s">
        <v>64</v>
      </c>
      <c r="J40" s="146"/>
      <c r="K40" s="147"/>
      <c r="L40" s="101" t="s">
        <v>63</v>
      </c>
      <c r="M40" s="101" t="s">
        <v>63</v>
      </c>
      <c r="N40" s="139"/>
      <c r="O40" s="140"/>
      <c r="P40" s="140"/>
      <c r="Q40" s="140"/>
      <c r="R40" s="140"/>
      <c r="S40" s="141"/>
      <c r="T40" s="101"/>
      <c r="U40" s="101"/>
      <c r="V40" s="145"/>
      <c r="W40" s="146"/>
      <c r="X40" s="147"/>
      <c r="Y40" s="101"/>
      <c r="Z40" s="101"/>
    </row>
    <row r="41" spans="1:26" ht="18" customHeight="1" x14ac:dyDescent="0.15">
      <c r="A41" s="25"/>
      <c r="B41" s="151"/>
      <c r="C41" s="152"/>
      <c r="D41" s="152"/>
      <c r="E41" s="152"/>
      <c r="F41" s="153"/>
      <c r="G41" s="101"/>
      <c r="H41" s="101"/>
      <c r="I41" s="145"/>
      <c r="J41" s="146"/>
      <c r="K41" s="147"/>
      <c r="L41" s="101"/>
      <c r="M41" s="101"/>
      <c r="N41" s="139"/>
      <c r="O41" s="140"/>
      <c r="P41" s="140"/>
      <c r="Q41" s="140"/>
      <c r="R41" s="140"/>
      <c r="S41" s="141"/>
      <c r="T41" s="101"/>
      <c r="U41" s="101"/>
      <c r="V41" s="145"/>
      <c r="W41" s="146"/>
      <c r="X41" s="147"/>
      <c r="Y41" s="101"/>
      <c r="Z41" s="101"/>
    </row>
    <row r="42" spans="1:26" ht="18" customHeight="1" x14ac:dyDescent="0.15">
      <c r="A42" s="25"/>
      <c r="B42" s="151"/>
      <c r="C42" s="152"/>
      <c r="D42" s="152"/>
      <c r="E42" s="152"/>
      <c r="F42" s="153"/>
      <c r="G42" s="101"/>
      <c r="H42" s="101"/>
      <c r="I42" s="145"/>
      <c r="J42" s="146"/>
      <c r="K42" s="147"/>
      <c r="L42" s="101"/>
      <c r="M42" s="101"/>
      <c r="N42" s="139"/>
      <c r="O42" s="140"/>
      <c r="P42" s="140"/>
      <c r="Q42" s="140"/>
      <c r="R42" s="140"/>
      <c r="S42" s="141"/>
      <c r="T42" s="101"/>
      <c r="U42" s="101"/>
      <c r="V42" s="145"/>
      <c r="W42" s="146"/>
      <c r="X42" s="147"/>
      <c r="Y42" s="101"/>
      <c r="Z42" s="101"/>
    </row>
    <row r="43" spans="1:26" ht="18" customHeight="1" x14ac:dyDescent="0.15">
      <c r="A43" s="25"/>
      <c r="B43" s="151"/>
      <c r="C43" s="152"/>
      <c r="D43" s="152"/>
      <c r="E43" s="152"/>
      <c r="F43" s="153"/>
      <c r="G43" s="101"/>
      <c r="H43" s="101"/>
      <c r="I43" s="145"/>
      <c r="J43" s="146"/>
      <c r="K43" s="147"/>
      <c r="L43" s="101"/>
      <c r="M43" s="101"/>
      <c r="N43" s="139"/>
      <c r="O43" s="140"/>
      <c r="P43" s="140"/>
      <c r="Q43" s="140"/>
      <c r="R43" s="140"/>
      <c r="S43" s="141"/>
      <c r="T43" s="101"/>
      <c r="U43" s="101"/>
      <c r="V43" s="145"/>
      <c r="W43" s="146"/>
      <c r="X43" s="147"/>
      <c r="Y43" s="101"/>
      <c r="Z43" s="101"/>
    </row>
    <row r="44" spans="1:26" ht="18" customHeight="1" x14ac:dyDescent="0.15">
      <c r="A44" s="25"/>
      <c r="B44" s="154"/>
      <c r="C44" s="155"/>
      <c r="D44" s="155"/>
      <c r="E44" s="155"/>
      <c r="F44" s="156"/>
      <c r="G44" s="102"/>
      <c r="H44" s="102"/>
      <c r="I44" s="148"/>
      <c r="J44" s="149"/>
      <c r="K44" s="150"/>
      <c r="L44" s="107"/>
      <c r="M44" s="107"/>
      <c r="N44" s="142"/>
      <c r="O44" s="143"/>
      <c r="P44" s="143"/>
      <c r="Q44" s="143"/>
      <c r="R44" s="143"/>
      <c r="S44" s="144"/>
      <c r="T44" s="102"/>
      <c r="U44" s="102"/>
      <c r="V44" s="148"/>
      <c r="W44" s="149"/>
      <c r="X44" s="150"/>
      <c r="Y44" s="107"/>
      <c r="Z44" s="107"/>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7" t="s">
        <v>73</v>
      </c>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spans="1:26" ht="18" customHeight="1" x14ac:dyDescent="0.15">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spans="1:26" ht="18" customHeight="1" x14ac:dyDescent="0.15">
      <c r="A48" s="14"/>
      <c r="B48" s="108" t="s">
        <v>56</v>
      </c>
      <c r="C48" s="109"/>
      <c r="D48" s="109"/>
      <c r="E48" s="109"/>
      <c r="F48" s="110"/>
      <c r="G48" s="26" t="s">
        <v>57</v>
      </c>
      <c r="H48" s="99" t="s">
        <v>58</v>
      </c>
      <c r="I48" s="108" t="s">
        <v>59</v>
      </c>
      <c r="J48" s="109"/>
      <c r="K48" s="110"/>
      <c r="L48" s="65" t="s">
        <v>74</v>
      </c>
      <c r="M48" s="65" t="s">
        <v>75</v>
      </c>
      <c r="N48" s="108" t="s">
        <v>56</v>
      </c>
      <c r="O48" s="109"/>
      <c r="P48" s="109"/>
      <c r="Q48" s="109"/>
      <c r="R48" s="109"/>
      <c r="S48" s="110"/>
      <c r="T48" s="26" t="s">
        <v>57</v>
      </c>
      <c r="U48" s="99" t="s">
        <v>58</v>
      </c>
      <c r="V48" s="108" t="s">
        <v>59</v>
      </c>
      <c r="W48" s="109"/>
      <c r="X48" s="110"/>
      <c r="Y48" s="65" t="s">
        <v>74</v>
      </c>
      <c r="Z48" s="65" t="s">
        <v>75</v>
      </c>
    </row>
    <row r="49" spans="1:26" ht="18" customHeight="1" x14ac:dyDescent="0.15">
      <c r="A49" s="25"/>
      <c r="B49" s="158" t="s">
        <v>62</v>
      </c>
      <c r="C49" s="159"/>
      <c r="D49" s="159"/>
      <c r="E49" s="159"/>
      <c r="F49" s="160"/>
      <c r="G49" s="100">
        <v>2</v>
      </c>
      <c r="H49" s="100" t="s">
        <v>63</v>
      </c>
      <c r="I49" s="164" t="s">
        <v>64</v>
      </c>
      <c r="J49" s="165"/>
      <c r="K49" s="166"/>
      <c r="L49" s="100" t="s">
        <v>63</v>
      </c>
      <c r="M49" s="100" t="s">
        <v>63</v>
      </c>
      <c r="N49" s="136"/>
      <c r="O49" s="137"/>
      <c r="P49" s="137"/>
      <c r="Q49" s="137"/>
      <c r="R49" s="137"/>
      <c r="S49" s="138"/>
      <c r="T49" s="100"/>
      <c r="U49" s="100"/>
      <c r="V49" s="164"/>
      <c r="W49" s="165"/>
      <c r="X49" s="166"/>
      <c r="Y49" s="100"/>
      <c r="Z49" s="100"/>
    </row>
    <row r="50" spans="1:26" ht="18" customHeight="1" x14ac:dyDescent="0.15">
      <c r="A50" s="25"/>
      <c r="B50" s="151" t="s">
        <v>65</v>
      </c>
      <c r="C50" s="152"/>
      <c r="D50" s="152"/>
      <c r="E50" s="152"/>
      <c r="F50" s="153"/>
      <c r="G50" s="101">
        <v>2</v>
      </c>
      <c r="H50" s="101"/>
      <c r="I50" s="145" t="s">
        <v>64</v>
      </c>
      <c r="J50" s="146"/>
      <c r="K50" s="147"/>
      <c r="L50" s="101" t="s">
        <v>63</v>
      </c>
      <c r="M50" s="101"/>
      <c r="N50" s="139"/>
      <c r="O50" s="140"/>
      <c r="P50" s="140"/>
      <c r="Q50" s="140"/>
      <c r="R50" s="140"/>
      <c r="S50" s="141"/>
      <c r="T50" s="101"/>
      <c r="U50" s="101"/>
      <c r="V50" s="145"/>
      <c r="W50" s="146"/>
      <c r="X50" s="147"/>
      <c r="Y50" s="101"/>
      <c r="Z50" s="101"/>
    </row>
    <row r="51" spans="1:26" ht="18" customHeight="1" x14ac:dyDescent="0.15">
      <c r="A51" s="25"/>
      <c r="B51" s="151"/>
      <c r="C51" s="152"/>
      <c r="D51" s="152"/>
      <c r="E51" s="152"/>
      <c r="F51" s="153"/>
      <c r="G51" s="101"/>
      <c r="H51" s="101"/>
      <c r="I51" s="145"/>
      <c r="J51" s="146"/>
      <c r="K51" s="147"/>
      <c r="L51" s="101"/>
      <c r="M51" s="101"/>
      <c r="N51" s="139"/>
      <c r="O51" s="140"/>
      <c r="P51" s="140"/>
      <c r="Q51" s="140"/>
      <c r="R51" s="140"/>
      <c r="S51" s="141"/>
      <c r="T51" s="101"/>
      <c r="U51" s="101"/>
      <c r="V51" s="145"/>
      <c r="W51" s="146"/>
      <c r="X51" s="147"/>
      <c r="Y51" s="101"/>
      <c r="Z51" s="101"/>
    </row>
    <row r="52" spans="1:26" ht="18" customHeight="1" x14ac:dyDescent="0.15">
      <c r="A52" s="25"/>
      <c r="B52" s="151"/>
      <c r="C52" s="152"/>
      <c r="D52" s="152"/>
      <c r="E52" s="152"/>
      <c r="F52" s="153"/>
      <c r="G52" s="101"/>
      <c r="H52" s="101"/>
      <c r="I52" s="145"/>
      <c r="J52" s="146"/>
      <c r="K52" s="147"/>
      <c r="L52" s="101"/>
      <c r="M52" s="101"/>
      <c r="N52" s="139"/>
      <c r="O52" s="140"/>
      <c r="P52" s="140"/>
      <c r="Q52" s="140"/>
      <c r="R52" s="140"/>
      <c r="S52" s="141"/>
      <c r="T52" s="101"/>
      <c r="U52" s="101"/>
      <c r="V52" s="145"/>
      <c r="W52" s="146"/>
      <c r="X52" s="147"/>
      <c r="Y52" s="101"/>
      <c r="Z52" s="101"/>
    </row>
    <row r="53" spans="1:26" ht="18" customHeight="1" x14ac:dyDescent="0.15">
      <c r="A53" s="25"/>
      <c r="B53" s="151"/>
      <c r="C53" s="152"/>
      <c r="D53" s="152"/>
      <c r="E53" s="152"/>
      <c r="F53" s="153"/>
      <c r="G53" s="101"/>
      <c r="H53" s="101"/>
      <c r="I53" s="145"/>
      <c r="J53" s="146"/>
      <c r="K53" s="147"/>
      <c r="L53" s="101"/>
      <c r="M53" s="101"/>
      <c r="N53" s="139"/>
      <c r="O53" s="140"/>
      <c r="P53" s="140"/>
      <c r="Q53" s="140"/>
      <c r="R53" s="140"/>
      <c r="S53" s="141"/>
      <c r="T53" s="101"/>
      <c r="U53" s="101"/>
      <c r="V53" s="145"/>
      <c r="W53" s="146"/>
      <c r="X53" s="147"/>
      <c r="Y53" s="101"/>
      <c r="Z53" s="101"/>
    </row>
    <row r="54" spans="1:26" ht="18" customHeight="1" x14ac:dyDescent="0.15">
      <c r="A54" s="25"/>
      <c r="B54" s="151"/>
      <c r="C54" s="152"/>
      <c r="D54" s="152"/>
      <c r="E54" s="152"/>
      <c r="F54" s="153"/>
      <c r="G54" s="101"/>
      <c r="H54" s="101"/>
      <c r="I54" s="145"/>
      <c r="J54" s="146"/>
      <c r="K54" s="147"/>
      <c r="L54" s="101"/>
      <c r="M54" s="101"/>
      <c r="N54" s="139"/>
      <c r="O54" s="140"/>
      <c r="P54" s="140"/>
      <c r="Q54" s="140"/>
      <c r="R54" s="140"/>
      <c r="S54" s="141"/>
      <c r="T54" s="101"/>
      <c r="U54" s="101"/>
      <c r="V54" s="145"/>
      <c r="W54" s="146"/>
      <c r="X54" s="147"/>
      <c r="Y54" s="101"/>
      <c r="Z54" s="101"/>
    </row>
    <row r="55" spans="1:26" ht="18" customHeight="1" x14ac:dyDescent="0.15">
      <c r="A55" s="25"/>
      <c r="B55" s="154"/>
      <c r="C55" s="155"/>
      <c r="D55" s="155"/>
      <c r="E55" s="155"/>
      <c r="F55" s="156"/>
      <c r="G55" s="102"/>
      <c r="H55" s="102"/>
      <c r="I55" s="148"/>
      <c r="J55" s="149"/>
      <c r="K55" s="150"/>
      <c r="L55" s="107"/>
      <c r="M55" s="107"/>
      <c r="N55" s="142"/>
      <c r="O55" s="143"/>
      <c r="P55" s="143"/>
      <c r="Q55" s="143"/>
      <c r="R55" s="143"/>
      <c r="S55" s="144"/>
      <c r="T55" s="102"/>
      <c r="U55" s="102"/>
      <c r="V55" s="148"/>
      <c r="W55" s="149"/>
      <c r="X55" s="150"/>
      <c r="Y55" s="107"/>
      <c r="Z55" s="107"/>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7" t="s">
        <v>76</v>
      </c>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spans="1:26" ht="18" customHeight="1" x14ac:dyDescent="0.15">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spans="1:26" ht="18" customHeight="1" x14ac:dyDescent="0.15">
      <c r="A59" s="14"/>
      <c r="B59" s="108" t="s">
        <v>56</v>
      </c>
      <c r="C59" s="109"/>
      <c r="D59" s="109"/>
      <c r="E59" s="110"/>
      <c r="F59" s="26" t="s">
        <v>57</v>
      </c>
      <c r="G59" s="99" t="s">
        <v>58</v>
      </c>
      <c r="H59" s="22" t="s">
        <v>59</v>
      </c>
      <c r="I59" s="96"/>
      <c r="J59" s="23"/>
      <c r="K59" s="65" t="s">
        <v>77</v>
      </c>
      <c r="L59" s="65" t="s">
        <v>78</v>
      </c>
      <c r="M59" s="65" t="s">
        <v>79</v>
      </c>
      <c r="N59" s="108" t="s">
        <v>56</v>
      </c>
      <c r="O59" s="109"/>
      <c r="P59" s="109"/>
      <c r="Q59" s="109"/>
      <c r="R59" s="110"/>
      <c r="S59" s="26" t="s">
        <v>57</v>
      </c>
      <c r="T59" s="99" t="s">
        <v>58</v>
      </c>
      <c r="U59" s="22" t="s">
        <v>59</v>
      </c>
      <c r="V59" s="96"/>
      <c r="W59" s="23"/>
      <c r="X59" s="65" t="s">
        <v>77</v>
      </c>
      <c r="Y59" s="65" t="s">
        <v>78</v>
      </c>
      <c r="Z59" s="65" t="s">
        <v>79</v>
      </c>
    </row>
    <row r="60" spans="1:26" ht="18" customHeight="1" x14ac:dyDescent="0.15">
      <c r="A60" s="25"/>
      <c r="B60" s="136" t="s">
        <v>80</v>
      </c>
      <c r="C60" s="137"/>
      <c r="D60" s="137"/>
      <c r="E60" s="138"/>
      <c r="F60" s="100">
        <v>2</v>
      </c>
      <c r="G60" s="100" t="s">
        <v>63</v>
      </c>
      <c r="H60" s="164" t="s">
        <v>64</v>
      </c>
      <c r="I60" s="165"/>
      <c r="J60" s="166"/>
      <c r="K60" s="100" t="s">
        <v>63</v>
      </c>
      <c r="L60" s="100" t="s">
        <v>63</v>
      </c>
      <c r="M60" s="100" t="s">
        <v>63</v>
      </c>
      <c r="N60" s="136"/>
      <c r="O60" s="137"/>
      <c r="P60" s="137"/>
      <c r="Q60" s="137"/>
      <c r="R60" s="138"/>
      <c r="S60" s="100"/>
      <c r="T60" s="100"/>
      <c r="U60" s="164"/>
      <c r="V60" s="165"/>
      <c r="W60" s="166"/>
      <c r="X60" s="106"/>
      <c r="Y60" s="100"/>
      <c r="Z60" s="100"/>
    </row>
    <row r="61" spans="1:26" ht="18" customHeight="1" x14ac:dyDescent="0.15">
      <c r="A61" s="25"/>
      <c r="B61" s="139" t="s">
        <v>69</v>
      </c>
      <c r="C61" s="140"/>
      <c r="D61" s="140"/>
      <c r="E61" s="141"/>
      <c r="F61" s="101">
        <v>2</v>
      </c>
      <c r="G61" s="101"/>
      <c r="H61" s="145" t="s">
        <v>64</v>
      </c>
      <c r="I61" s="146"/>
      <c r="J61" s="147"/>
      <c r="K61" s="101" t="s">
        <v>63</v>
      </c>
      <c r="L61" s="101" t="s">
        <v>63</v>
      </c>
      <c r="M61" s="101" t="s">
        <v>63</v>
      </c>
      <c r="N61" s="139"/>
      <c r="O61" s="140"/>
      <c r="P61" s="140"/>
      <c r="Q61" s="140"/>
      <c r="R61" s="141"/>
      <c r="S61" s="101"/>
      <c r="T61" s="101"/>
      <c r="U61" s="145"/>
      <c r="V61" s="146"/>
      <c r="W61" s="147"/>
      <c r="X61" s="104"/>
      <c r="Y61" s="101"/>
      <c r="Z61" s="101"/>
    </row>
    <row r="62" spans="1:26" ht="18" customHeight="1" x14ac:dyDescent="0.15">
      <c r="A62" s="25"/>
      <c r="B62" s="139" t="s">
        <v>81</v>
      </c>
      <c r="C62" s="140"/>
      <c r="D62" s="140"/>
      <c r="E62" s="141"/>
      <c r="F62" s="101">
        <v>2</v>
      </c>
      <c r="G62" s="101"/>
      <c r="H62" s="145" t="s">
        <v>64</v>
      </c>
      <c r="I62" s="146"/>
      <c r="J62" s="147"/>
      <c r="K62" s="101" t="s">
        <v>63</v>
      </c>
      <c r="L62" s="101" t="s">
        <v>63</v>
      </c>
      <c r="M62" s="101" t="s">
        <v>63</v>
      </c>
      <c r="N62" s="139"/>
      <c r="O62" s="140"/>
      <c r="P62" s="140"/>
      <c r="Q62" s="140"/>
      <c r="R62" s="141"/>
      <c r="S62" s="101"/>
      <c r="T62" s="101"/>
      <c r="U62" s="145"/>
      <c r="V62" s="146"/>
      <c r="W62" s="147"/>
      <c r="X62" s="104"/>
      <c r="Y62" s="101"/>
      <c r="Z62" s="101"/>
    </row>
    <row r="63" spans="1:26" ht="18" customHeight="1" x14ac:dyDescent="0.15">
      <c r="A63" s="25"/>
      <c r="B63" s="139"/>
      <c r="C63" s="140"/>
      <c r="D63" s="140"/>
      <c r="E63" s="141"/>
      <c r="F63" s="101"/>
      <c r="G63" s="101"/>
      <c r="H63" s="145"/>
      <c r="I63" s="146"/>
      <c r="J63" s="147"/>
      <c r="K63" s="101"/>
      <c r="L63" s="101"/>
      <c r="M63" s="101"/>
      <c r="N63" s="139"/>
      <c r="O63" s="140"/>
      <c r="P63" s="140"/>
      <c r="Q63" s="140"/>
      <c r="R63" s="141"/>
      <c r="S63" s="101"/>
      <c r="T63" s="101"/>
      <c r="U63" s="145"/>
      <c r="V63" s="146"/>
      <c r="W63" s="147"/>
      <c r="X63" s="104"/>
      <c r="Y63" s="101"/>
      <c r="Z63" s="101"/>
    </row>
    <row r="64" spans="1:26" ht="18" customHeight="1" x14ac:dyDescent="0.15">
      <c r="A64" s="25"/>
      <c r="B64" s="139"/>
      <c r="C64" s="140"/>
      <c r="D64" s="140"/>
      <c r="E64" s="141"/>
      <c r="F64" s="101"/>
      <c r="G64" s="101"/>
      <c r="H64" s="145"/>
      <c r="I64" s="146"/>
      <c r="J64" s="147"/>
      <c r="K64" s="104"/>
      <c r="L64" s="101"/>
      <c r="M64" s="101"/>
      <c r="N64" s="139"/>
      <c r="O64" s="140"/>
      <c r="P64" s="140"/>
      <c r="Q64" s="140"/>
      <c r="R64" s="141"/>
      <c r="S64" s="101"/>
      <c r="T64" s="101"/>
      <c r="U64" s="145"/>
      <c r="V64" s="146"/>
      <c r="W64" s="147"/>
      <c r="X64" s="104"/>
      <c r="Y64" s="101"/>
      <c r="Z64" s="101"/>
    </row>
    <row r="65" spans="1:26" ht="18" customHeight="1" x14ac:dyDescent="0.15">
      <c r="A65" s="25"/>
      <c r="B65" s="139"/>
      <c r="C65" s="140"/>
      <c r="D65" s="140"/>
      <c r="E65" s="141"/>
      <c r="F65" s="101"/>
      <c r="G65" s="101"/>
      <c r="H65" s="145"/>
      <c r="I65" s="146"/>
      <c r="J65" s="147"/>
      <c r="K65" s="104"/>
      <c r="L65" s="101"/>
      <c r="M65" s="101"/>
      <c r="N65" s="139"/>
      <c r="O65" s="140"/>
      <c r="P65" s="140"/>
      <c r="Q65" s="140"/>
      <c r="R65" s="141"/>
      <c r="S65" s="101"/>
      <c r="T65" s="101"/>
      <c r="U65" s="145"/>
      <c r="V65" s="146"/>
      <c r="W65" s="147"/>
      <c r="X65" s="104"/>
      <c r="Y65" s="101"/>
      <c r="Z65" s="101"/>
    </row>
    <row r="66" spans="1:26" ht="18" customHeight="1" x14ac:dyDescent="0.15">
      <c r="A66" s="25"/>
      <c r="B66" s="142"/>
      <c r="C66" s="143"/>
      <c r="D66" s="143"/>
      <c r="E66" s="144"/>
      <c r="F66" s="102"/>
      <c r="G66" s="102"/>
      <c r="H66" s="148"/>
      <c r="I66" s="149"/>
      <c r="J66" s="150"/>
      <c r="K66" s="105"/>
      <c r="L66" s="107"/>
      <c r="M66" s="107"/>
      <c r="N66" s="142"/>
      <c r="O66" s="143"/>
      <c r="P66" s="143"/>
      <c r="Q66" s="143"/>
      <c r="R66" s="144"/>
      <c r="S66" s="102"/>
      <c r="T66" s="102"/>
      <c r="U66" s="148"/>
      <c r="V66" s="149"/>
      <c r="W66" s="150"/>
      <c r="X66" s="105"/>
      <c r="Y66" s="107"/>
      <c r="Z66" s="107"/>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82</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08" t="s">
        <v>56</v>
      </c>
      <c r="C69" s="109"/>
      <c r="D69" s="109"/>
      <c r="E69" s="109"/>
      <c r="F69" s="110"/>
      <c r="G69" s="108" t="s">
        <v>83</v>
      </c>
      <c r="H69" s="109"/>
      <c r="I69" s="109"/>
      <c r="J69" s="109"/>
      <c r="K69" s="109"/>
      <c r="L69" s="109"/>
      <c r="M69" s="110"/>
      <c r="N69" s="161" t="s">
        <v>56</v>
      </c>
      <c r="O69" s="162"/>
      <c r="P69" s="162"/>
      <c r="Q69" s="162"/>
      <c r="R69" s="162"/>
      <c r="S69" s="163"/>
      <c r="T69" s="108" t="s">
        <v>83</v>
      </c>
      <c r="U69" s="109"/>
      <c r="V69" s="109"/>
      <c r="W69" s="109"/>
      <c r="X69" s="109"/>
      <c r="Y69" s="109"/>
      <c r="Z69" s="110"/>
    </row>
    <row r="70" spans="1:26" ht="18" customHeight="1" x14ac:dyDescent="0.15">
      <c r="A70" s="25"/>
      <c r="B70" s="136" t="s">
        <v>84</v>
      </c>
      <c r="C70" s="137"/>
      <c r="D70" s="137"/>
      <c r="E70" s="137"/>
      <c r="F70" s="138"/>
      <c r="G70" s="199" t="s">
        <v>85</v>
      </c>
      <c r="H70" s="200"/>
      <c r="I70" s="200"/>
      <c r="J70" s="200"/>
      <c r="K70" s="200"/>
      <c r="L70" s="200"/>
      <c r="M70" s="201"/>
      <c r="N70" s="136"/>
      <c r="O70" s="137"/>
      <c r="P70" s="137"/>
      <c r="Q70" s="137"/>
      <c r="R70" s="137"/>
      <c r="S70" s="138"/>
      <c r="T70" s="199"/>
      <c r="U70" s="200"/>
      <c r="V70" s="200"/>
      <c r="W70" s="200"/>
      <c r="X70" s="200"/>
      <c r="Y70" s="200"/>
      <c r="Z70" s="201"/>
    </row>
    <row r="71" spans="1:26" ht="18" customHeight="1" x14ac:dyDescent="0.15">
      <c r="A71" s="25"/>
      <c r="B71" s="139" t="s">
        <v>69</v>
      </c>
      <c r="C71" s="140"/>
      <c r="D71" s="140"/>
      <c r="E71" s="140"/>
      <c r="F71" s="141"/>
      <c r="G71" s="182" t="s">
        <v>86</v>
      </c>
      <c r="H71" s="183"/>
      <c r="I71" s="183"/>
      <c r="J71" s="183"/>
      <c r="K71" s="183"/>
      <c r="L71" s="183"/>
      <c r="M71" s="184"/>
      <c r="N71" s="139"/>
      <c r="O71" s="140"/>
      <c r="P71" s="140"/>
      <c r="Q71" s="140"/>
      <c r="R71" s="140"/>
      <c r="S71" s="141"/>
      <c r="T71" s="182"/>
      <c r="U71" s="183"/>
      <c r="V71" s="183"/>
      <c r="W71" s="183"/>
      <c r="X71" s="183"/>
      <c r="Y71" s="183"/>
      <c r="Z71" s="184"/>
    </row>
    <row r="72" spans="1:26" ht="18" customHeight="1" x14ac:dyDescent="0.15">
      <c r="A72" s="25"/>
      <c r="B72" s="139" t="s">
        <v>69</v>
      </c>
      <c r="C72" s="140"/>
      <c r="D72" s="140"/>
      <c r="E72" s="140"/>
      <c r="F72" s="141"/>
      <c r="G72" s="182" t="s">
        <v>87</v>
      </c>
      <c r="H72" s="183"/>
      <c r="I72" s="183"/>
      <c r="J72" s="183"/>
      <c r="K72" s="183"/>
      <c r="L72" s="183"/>
      <c r="M72" s="184"/>
      <c r="N72" s="139"/>
      <c r="O72" s="140"/>
      <c r="P72" s="140"/>
      <c r="Q72" s="140"/>
      <c r="R72" s="140"/>
      <c r="S72" s="141"/>
      <c r="T72" s="182"/>
      <c r="U72" s="183"/>
      <c r="V72" s="183"/>
      <c r="W72" s="183"/>
      <c r="X72" s="183"/>
      <c r="Y72" s="183"/>
      <c r="Z72" s="184"/>
    </row>
    <row r="73" spans="1:26" ht="18" customHeight="1" x14ac:dyDescent="0.15">
      <c r="A73" s="25"/>
      <c r="B73" s="139" t="s">
        <v>88</v>
      </c>
      <c r="C73" s="140"/>
      <c r="D73" s="140"/>
      <c r="E73" s="140"/>
      <c r="F73" s="141"/>
      <c r="G73" s="182" t="s">
        <v>86</v>
      </c>
      <c r="H73" s="183"/>
      <c r="I73" s="183"/>
      <c r="J73" s="183"/>
      <c r="K73" s="183"/>
      <c r="L73" s="183"/>
      <c r="M73" s="184"/>
      <c r="N73" s="139"/>
      <c r="O73" s="140"/>
      <c r="P73" s="140"/>
      <c r="Q73" s="140"/>
      <c r="R73" s="140"/>
      <c r="S73" s="141"/>
      <c r="T73" s="182"/>
      <c r="U73" s="183"/>
      <c r="V73" s="183"/>
      <c r="W73" s="183"/>
      <c r="X73" s="183"/>
      <c r="Y73" s="183"/>
      <c r="Z73" s="184"/>
    </row>
    <row r="74" spans="1:26" ht="18" customHeight="1" x14ac:dyDescent="0.15">
      <c r="A74" s="25"/>
      <c r="B74" s="139" t="s">
        <v>88</v>
      </c>
      <c r="C74" s="140"/>
      <c r="D74" s="140"/>
      <c r="E74" s="140"/>
      <c r="F74" s="141"/>
      <c r="G74" s="182" t="s">
        <v>89</v>
      </c>
      <c r="H74" s="183"/>
      <c r="I74" s="183"/>
      <c r="J74" s="183"/>
      <c r="K74" s="183"/>
      <c r="L74" s="183"/>
      <c r="M74" s="184"/>
      <c r="N74" s="139"/>
      <c r="O74" s="140"/>
      <c r="P74" s="140"/>
      <c r="Q74" s="140"/>
      <c r="R74" s="140"/>
      <c r="S74" s="141"/>
      <c r="T74" s="182"/>
      <c r="U74" s="183"/>
      <c r="V74" s="183"/>
      <c r="W74" s="183"/>
      <c r="X74" s="183"/>
      <c r="Y74" s="183"/>
      <c r="Z74" s="184"/>
    </row>
    <row r="75" spans="1:26" ht="18" customHeight="1" x14ac:dyDescent="0.15">
      <c r="A75" s="25"/>
      <c r="B75" s="139" t="s">
        <v>88</v>
      </c>
      <c r="C75" s="140"/>
      <c r="D75" s="140"/>
      <c r="E75" s="140"/>
      <c r="F75" s="141"/>
      <c r="G75" s="182" t="s">
        <v>90</v>
      </c>
      <c r="H75" s="183"/>
      <c r="I75" s="183"/>
      <c r="J75" s="183"/>
      <c r="K75" s="183"/>
      <c r="L75" s="183"/>
      <c r="M75" s="184"/>
      <c r="N75" s="139"/>
      <c r="O75" s="140"/>
      <c r="P75" s="140"/>
      <c r="Q75" s="140"/>
      <c r="R75" s="140"/>
      <c r="S75" s="141"/>
      <c r="T75" s="182"/>
      <c r="U75" s="183"/>
      <c r="V75" s="183"/>
      <c r="W75" s="183"/>
      <c r="X75" s="183"/>
      <c r="Y75" s="183"/>
      <c r="Z75" s="184"/>
    </row>
    <row r="76" spans="1:26" ht="18" customHeight="1" x14ac:dyDescent="0.15">
      <c r="A76" s="25"/>
      <c r="B76" s="142"/>
      <c r="C76" s="143"/>
      <c r="D76" s="143"/>
      <c r="E76" s="143"/>
      <c r="F76" s="144"/>
      <c r="G76" s="179"/>
      <c r="H76" s="180"/>
      <c r="I76" s="180"/>
      <c r="J76" s="180"/>
      <c r="K76" s="180"/>
      <c r="L76" s="180"/>
      <c r="M76" s="181"/>
      <c r="N76" s="142"/>
      <c r="O76" s="143"/>
      <c r="P76" s="143"/>
      <c r="Q76" s="143"/>
      <c r="R76" s="143"/>
      <c r="S76" s="144"/>
      <c r="T76" s="179"/>
      <c r="U76" s="180"/>
      <c r="V76" s="180"/>
      <c r="W76" s="180"/>
      <c r="X76" s="180"/>
      <c r="Y76" s="180"/>
      <c r="Z76" s="181"/>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91</v>
      </c>
    </row>
    <row r="79" spans="1:26" ht="18.75" customHeight="1" x14ac:dyDescent="0.15">
      <c r="B79" s="67" t="s">
        <v>92</v>
      </c>
      <c r="C79" s="68"/>
      <c r="D79" s="220" t="s">
        <v>93</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78" customHeight="1" x14ac:dyDescent="0.15">
      <c r="B80" s="207" t="s">
        <v>94</v>
      </c>
      <c r="C80" s="74" t="s">
        <v>60</v>
      </c>
      <c r="D80" s="214" t="s">
        <v>200</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 customHeight="1" x14ac:dyDescent="0.15">
      <c r="B81" s="208"/>
      <c r="C81" s="97" t="s">
        <v>95</v>
      </c>
      <c r="D81" s="185" t="s">
        <v>96</v>
      </c>
      <c r="E81" s="186"/>
      <c r="F81" s="186"/>
      <c r="G81" s="186"/>
      <c r="H81" s="186"/>
      <c r="I81" s="186"/>
      <c r="J81" s="186"/>
      <c r="K81" s="186"/>
      <c r="L81" s="186"/>
      <c r="M81" s="186"/>
      <c r="N81" s="186"/>
      <c r="O81" s="186"/>
      <c r="P81" s="186"/>
      <c r="Q81" s="186"/>
      <c r="R81" s="186"/>
      <c r="S81" s="186"/>
      <c r="T81" s="186"/>
      <c r="U81" s="186"/>
      <c r="V81" s="186"/>
      <c r="W81" s="186"/>
      <c r="X81" s="186"/>
      <c r="Y81" s="186"/>
      <c r="Z81" s="187"/>
    </row>
    <row r="82" spans="1:26" ht="78" customHeight="1" x14ac:dyDescent="0.15">
      <c r="B82" s="205" t="s">
        <v>97</v>
      </c>
      <c r="C82" s="69" t="s">
        <v>67</v>
      </c>
      <c r="D82" s="188" t="s">
        <v>201</v>
      </c>
      <c r="E82" s="189"/>
      <c r="F82" s="189"/>
      <c r="G82" s="189"/>
      <c r="H82" s="189"/>
      <c r="I82" s="189"/>
      <c r="J82" s="189"/>
      <c r="K82" s="189"/>
      <c r="L82" s="189"/>
      <c r="M82" s="189"/>
      <c r="N82" s="189"/>
      <c r="O82" s="189"/>
      <c r="P82" s="189"/>
      <c r="Q82" s="189"/>
      <c r="R82" s="189"/>
      <c r="S82" s="189"/>
      <c r="T82" s="189"/>
      <c r="U82" s="189"/>
      <c r="V82" s="189"/>
      <c r="W82" s="189"/>
      <c r="X82" s="189"/>
      <c r="Y82" s="189"/>
      <c r="Z82" s="190"/>
    </row>
    <row r="83" spans="1:26" ht="78" customHeight="1" x14ac:dyDescent="0.15">
      <c r="B83" s="206"/>
      <c r="C83" s="98" t="s">
        <v>68</v>
      </c>
      <c r="D83" s="194" t="s">
        <v>98</v>
      </c>
      <c r="E83" s="195"/>
      <c r="F83" s="195"/>
      <c r="G83" s="195"/>
      <c r="H83" s="195"/>
      <c r="I83" s="195"/>
      <c r="J83" s="195"/>
      <c r="K83" s="195"/>
      <c r="L83" s="195"/>
      <c r="M83" s="195"/>
      <c r="N83" s="195"/>
      <c r="O83" s="195"/>
      <c r="P83" s="195"/>
      <c r="Q83" s="195"/>
      <c r="R83" s="195"/>
      <c r="S83" s="195"/>
      <c r="T83" s="195"/>
      <c r="U83" s="195"/>
      <c r="V83" s="195"/>
      <c r="W83" s="195"/>
      <c r="X83" s="195"/>
      <c r="Y83" s="195"/>
      <c r="Z83" s="196"/>
    </row>
    <row r="84" spans="1:26" ht="66" customHeight="1" x14ac:dyDescent="0.15">
      <c r="B84" s="205" t="s">
        <v>99</v>
      </c>
      <c r="C84" s="69" t="s">
        <v>71</v>
      </c>
      <c r="D84" s="188" t="s">
        <v>202</v>
      </c>
      <c r="E84" s="189"/>
      <c r="F84" s="189"/>
      <c r="G84" s="189"/>
      <c r="H84" s="189"/>
      <c r="I84" s="189"/>
      <c r="J84" s="189"/>
      <c r="K84" s="189"/>
      <c r="L84" s="189"/>
      <c r="M84" s="189"/>
      <c r="N84" s="189"/>
      <c r="O84" s="189"/>
      <c r="P84" s="189"/>
      <c r="Q84" s="189"/>
      <c r="R84" s="189"/>
      <c r="S84" s="189"/>
      <c r="T84" s="189"/>
      <c r="U84" s="189"/>
      <c r="V84" s="189"/>
      <c r="W84" s="189"/>
      <c r="X84" s="189"/>
      <c r="Y84" s="189"/>
      <c r="Z84" s="190"/>
    </row>
    <row r="85" spans="1:26" ht="66" customHeight="1" x14ac:dyDescent="0.15">
      <c r="B85" s="206"/>
      <c r="C85" s="71" t="s">
        <v>72</v>
      </c>
      <c r="D85" s="191" t="s">
        <v>203</v>
      </c>
      <c r="E85" s="192"/>
      <c r="F85" s="192"/>
      <c r="G85" s="192"/>
      <c r="H85" s="192"/>
      <c r="I85" s="192"/>
      <c r="J85" s="192"/>
      <c r="K85" s="192"/>
      <c r="L85" s="192"/>
      <c r="M85" s="192"/>
      <c r="N85" s="192"/>
      <c r="O85" s="192"/>
      <c r="P85" s="192"/>
      <c r="Q85" s="192"/>
      <c r="R85" s="192"/>
      <c r="S85" s="192"/>
      <c r="T85" s="192"/>
      <c r="U85" s="192"/>
      <c r="V85" s="192"/>
      <c r="W85" s="192"/>
      <c r="X85" s="192"/>
      <c r="Y85" s="192"/>
      <c r="Z85" s="193"/>
    </row>
    <row r="86" spans="1:26" ht="66" customHeight="1" x14ac:dyDescent="0.15">
      <c r="B86" s="207" t="s">
        <v>100</v>
      </c>
      <c r="C86" s="74" t="s">
        <v>74</v>
      </c>
      <c r="D86" s="214" t="s">
        <v>204</v>
      </c>
      <c r="E86" s="215"/>
      <c r="F86" s="215"/>
      <c r="G86" s="215"/>
      <c r="H86" s="215"/>
      <c r="I86" s="215"/>
      <c r="J86" s="215"/>
      <c r="K86" s="215"/>
      <c r="L86" s="215"/>
      <c r="M86" s="215"/>
      <c r="N86" s="215"/>
      <c r="O86" s="215"/>
      <c r="P86" s="215"/>
      <c r="Q86" s="215"/>
      <c r="R86" s="215"/>
      <c r="S86" s="215"/>
      <c r="T86" s="215"/>
      <c r="U86" s="215"/>
      <c r="V86" s="215"/>
      <c r="W86" s="215"/>
      <c r="X86" s="215"/>
      <c r="Y86" s="215"/>
      <c r="Z86" s="216"/>
    </row>
    <row r="87" spans="1:26" ht="66" customHeight="1" x14ac:dyDescent="0.15">
      <c r="B87" s="213"/>
      <c r="C87" s="70" t="s">
        <v>75</v>
      </c>
      <c r="D87" s="217" t="s">
        <v>101</v>
      </c>
      <c r="E87" s="218"/>
      <c r="F87" s="218"/>
      <c r="G87" s="218"/>
      <c r="H87" s="218"/>
      <c r="I87" s="218"/>
      <c r="J87" s="218"/>
      <c r="K87" s="218"/>
      <c r="L87" s="218"/>
      <c r="M87" s="218"/>
      <c r="N87" s="218"/>
      <c r="O87" s="218"/>
      <c r="P87" s="218"/>
      <c r="Q87" s="218"/>
      <c r="R87" s="218"/>
      <c r="S87" s="218"/>
      <c r="T87" s="218"/>
      <c r="U87" s="218"/>
      <c r="V87" s="218"/>
      <c r="W87" s="218"/>
      <c r="X87" s="218"/>
      <c r="Y87" s="218"/>
      <c r="Z87" s="219"/>
    </row>
    <row r="88" spans="1:26" ht="66" customHeight="1" x14ac:dyDescent="0.15">
      <c r="B88" s="207" t="s">
        <v>102</v>
      </c>
      <c r="C88" s="69" t="s">
        <v>77</v>
      </c>
      <c r="D88" s="209" t="s">
        <v>205</v>
      </c>
      <c r="E88" s="210"/>
      <c r="F88" s="210"/>
      <c r="G88" s="210"/>
      <c r="H88" s="210"/>
      <c r="I88" s="210"/>
      <c r="J88" s="210"/>
      <c r="K88" s="210"/>
      <c r="L88" s="210"/>
      <c r="M88" s="210"/>
      <c r="N88" s="210"/>
      <c r="O88" s="210"/>
      <c r="P88" s="210"/>
      <c r="Q88" s="210"/>
      <c r="R88" s="210"/>
      <c r="S88" s="210"/>
      <c r="T88" s="210"/>
      <c r="U88" s="210"/>
      <c r="V88" s="210"/>
      <c r="W88" s="210"/>
      <c r="X88" s="210"/>
      <c r="Y88" s="210"/>
      <c r="Z88" s="211"/>
    </row>
    <row r="89" spans="1:26" ht="66" customHeight="1" x14ac:dyDescent="0.15">
      <c r="B89" s="208"/>
      <c r="C89" s="70" t="s">
        <v>78</v>
      </c>
      <c r="D89" s="202" t="s">
        <v>206</v>
      </c>
      <c r="E89" s="203"/>
      <c r="F89" s="203"/>
      <c r="G89" s="203"/>
      <c r="H89" s="203"/>
      <c r="I89" s="203"/>
      <c r="J89" s="203"/>
      <c r="K89" s="203"/>
      <c r="L89" s="203"/>
      <c r="M89" s="203"/>
      <c r="N89" s="203"/>
      <c r="O89" s="203"/>
      <c r="P89" s="203"/>
      <c r="Q89" s="203"/>
      <c r="R89" s="203"/>
      <c r="S89" s="203"/>
      <c r="T89" s="203"/>
      <c r="U89" s="203"/>
      <c r="V89" s="203"/>
      <c r="W89" s="203"/>
      <c r="X89" s="203"/>
      <c r="Y89" s="203"/>
      <c r="Z89" s="204"/>
    </row>
    <row r="90" spans="1:26" ht="66" customHeight="1" x14ac:dyDescent="0.15">
      <c r="B90" s="206"/>
      <c r="C90" s="71" t="s">
        <v>79</v>
      </c>
      <c r="D90" s="212" t="s">
        <v>103</v>
      </c>
      <c r="E90" s="174"/>
      <c r="F90" s="174"/>
      <c r="G90" s="174"/>
      <c r="H90" s="174"/>
      <c r="I90" s="174"/>
      <c r="J90" s="174"/>
      <c r="K90" s="174"/>
      <c r="L90" s="174"/>
      <c r="M90" s="174"/>
      <c r="N90" s="174"/>
      <c r="O90" s="174"/>
      <c r="P90" s="174"/>
      <c r="Q90" s="174"/>
      <c r="R90" s="174"/>
      <c r="S90" s="174"/>
      <c r="T90" s="174"/>
      <c r="U90" s="174"/>
      <c r="V90" s="174"/>
      <c r="W90" s="174"/>
      <c r="X90" s="174"/>
      <c r="Y90" s="174"/>
      <c r="Z90" s="175"/>
    </row>
    <row r="91" spans="1:26" ht="6" customHeight="1" x14ac:dyDescent="0.15"/>
    <row r="92" spans="1:26" ht="18.75" customHeight="1" x14ac:dyDescent="0.15">
      <c r="A92" s="13" t="s">
        <v>104</v>
      </c>
    </row>
    <row r="93" spans="1:26" ht="18.75" customHeight="1" x14ac:dyDescent="0.15">
      <c r="B93" s="167" t="s">
        <v>185</v>
      </c>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9"/>
    </row>
    <row r="94" spans="1:26" ht="18.75" customHeight="1" x14ac:dyDescent="0.15">
      <c r="B94" s="170"/>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2"/>
    </row>
    <row r="95" spans="1:26" ht="18.75" customHeight="1" x14ac:dyDescent="0.15">
      <c r="B95" s="173"/>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5"/>
    </row>
    <row r="96" spans="1:26" ht="6" customHeight="1" x14ac:dyDescent="0.15"/>
    <row r="97" spans="1:26" ht="15" customHeight="1" x14ac:dyDescent="0.15">
      <c r="A97" s="13" t="s">
        <v>105</v>
      </c>
    </row>
    <row r="98" spans="1:26" ht="15" customHeight="1" x14ac:dyDescent="0.15">
      <c r="B98" s="176" t="s">
        <v>106</v>
      </c>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G60:G66 Y38:Z44 L49:M55 Y49:Z55 Y60:Z66 K60:K63 H16:H22 U16:U22 T60:T66 U27:U33 H27:H33 U38:U44 H38:H44 U49:U55 H49:H55 L38:M44 L60:M66" xr:uid="{4C0986EB-3601-4249-85F7-B678A400A117}">
      <formula1>"○"</formula1>
    </dataValidation>
    <dataValidation type="list" allowBlank="1" showInputMessage="1" showErrorMessage="1" sqref="Z23 Z34 D34:K34 D23:K23 V16:V22 I16:I22 V27:V33 H60:H66 V38:V44 I38:I44 V49:V55 I49:I55 U60:U66 I27:I33"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661D66A-7698-4071-99A5-77874220484B}"/>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A7" zoomScaleNormal="100" zoomScaleSheetLayoutView="100" workbookViewId="0">
      <selection activeCell="S10" sqref="S1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22" t="s">
        <v>107</v>
      </c>
      <c r="G1" s="222"/>
      <c r="H1" s="222"/>
      <c r="I1" s="222"/>
      <c r="J1" s="222"/>
      <c r="K1" s="222"/>
      <c r="L1" s="222"/>
      <c r="M1" s="222"/>
      <c r="N1" s="222"/>
      <c r="O1" s="222"/>
      <c r="P1" s="222"/>
      <c r="Q1" s="222"/>
      <c r="R1" s="222"/>
    </row>
    <row r="2" spans="1:20" ht="18" customHeight="1" x14ac:dyDescent="0.15">
      <c r="A2" s="223" t="s">
        <v>108</v>
      </c>
      <c r="B2" s="223"/>
      <c r="C2" s="223"/>
      <c r="D2" s="223"/>
      <c r="E2" s="223"/>
      <c r="F2" s="223"/>
      <c r="G2" s="223"/>
      <c r="H2" s="223"/>
      <c r="I2" s="223"/>
      <c r="J2" s="223"/>
      <c r="K2" s="223"/>
      <c r="L2" s="223"/>
      <c r="M2" s="223"/>
      <c r="N2" s="223"/>
      <c r="O2" s="223"/>
      <c r="P2" s="223"/>
      <c r="Q2" s="223"/>
      <c r="R2" s="223"/>
      <c r="S2" s="4"/>
    </row>
    <row r="3" spans="1:20" ht="7.5" customHeight="1" x14ac:dyDescent="0.15">
      <c r="A3" s="30"/>
      <c r="B3" s="30"/>
      <c r="C3" s="30"/>
      <c r="D3" s="30"/>
      <c r="E3" s="30"/>
      <c r="F3" s="30"/>
      <c r="G3" s="30"/>
      <c r="H3" s="30"/>
      <c r="I3" s="30"/>
      <c r="J3" s="30"/>
      <c r="K3" s="30"/>
      <c r="L3" s="30"/>
      <c r="M3" s="30"/>
      <c r="N3" s="30"/>
      <c r="O3" s="30"/>
      <c r="P3" s="30"/>
      <c r="Q3" s="30"/>
      <c r="R3" s="30"/>
    </row>
    <row r="4" spans="1:20" ht="18" customHeight="1" x14ac:dyDescent="0.15">
      <c r="A4" s="4" t="s">
        <v>109</v>
      </c>
      <c r="B4" s="4"/>
      <c r="C4" s="224" t="str">
        <f>'様式１　大学等概要'!E12</f>
        <v>令和３</v>
      </c>
      <c r="D4" s="225"/>
      <c r="E4" s="30" t="s">
        <v>14</v>
      </c>
      <c r="F4" s="30"/>
      <c r="G4" s="30"/>
      <c r="H4" s="30"/>
      <c r="I4" s="30"/>
      <c r="J4" s="75"/>
      <c r="K4" s="30"/>
      <c r="L4" s="30"/>
      <c r="M4" s="39"/>
      <c r="N4" s="39"/>
      <c r="O4" s="39"/>
      <c r="P4" s="39"/>
      <c r="Q4" s="39"/>
      <c r="R4" s="39"/>
    </row>
    <row r="5" spans="1:20" ht="6" customHeight="1" x14ac:dyDescent="0.15">
      <c r="A5" s="30"/>
      <c r="B5" s="30"/>
      <c r="C5" s="30"/>
      <c r="D5" s="30"/>
      <c r="E5" s="30"/>
      <c r="F5" s="30"/>
      <c r="G5" s="30"/>
      <c r="H5" s="30"/>
      <c r="I5" s="30"/>
      <c r="J5" s="30"/>
      <c r="K5" s="30"/>
      <c r="L5" s="30"/>
      <c r="M5" s="30"/>
      <c r="N5" s="30"/>
      <c r="O5" s="30"/>
      <c r="P5" s="30"/>
      <c r="Q5" s="30"/>
      <c r="R5" s="30"/>
    </row>
    <row r="6" spans="1:20" ht="18" customHeight="1" x14ac:dyDescent="0.15">
      <c r="A6" s="4" t="s">
        <v>110</v>
      </c>
      <c r="B6" s="30"/>
      <c r="C6" s="30"/>
      <c r="D6" s="30"/>
      <c r="E6" s="30"/>
      <c r="F6" s="30"/>
      <c r="G6" s="30"/>
      <c r="H6" s="30"/>
      <c r="I6" s="30"/>
      <c r="J6" s="30"/>
      <c r="K6" s="30"/>
      <c r="L6" s="30"/>
      <c r="M6" s="30"/>
      <c r="N6" s="30"/>
      <c r="O6" s="30"/>
      <c r="P6" s="30"/>
      <c r="Q6" s="30"/>
      <c r="R6" s="30"/>
    </row>
    <row r="7" spans="1:20" ht="6" customHeight="1" x14ac:dyDescent="0.15">
      <c r="A7" s="4"/>
      <c r="B7" s="30"/>
      <c r="C7" s="30"/>
      <c r="D7" s="30"/>
      <c r="E7" s="30"/>
      <c r="F7" s="30"/>
      <c r="G7" s="30"/>
      <c r="H7" s="30"/>
      <c r="I7" s="30"/>
      <c r="J7" s="30"/>
      <c r="K7" s="30"/>
      <c r="L7" s="30"/>
      <c r="M7" s="30"/>
      <c r="N7" s="30"/>
      <c r="O7" s="30"/>
      <c r="P7" s="30"/>
      <c r="Q7" s="30"/>
      <c r="R7" s="30"/>
    </row>
    <row r="8" spans="1:20" ht="18" customHeight="1" x14ac:dyDescent="0.15">
      <c r="B8" s="226" t="s">
        <v>111</v>
      </c>
      <c r="C8" s="228" t="s">
        <v>112</v>
      </c>
      <c r="D8" s="230" t="s">
        <v>113</v>
      </c>
      <c r="E8" s="232" t="s">
        <v>114</v>
      </c>
      <c r="F8" s="232"/>
      <c r="G8" s="232" t="s">
        <v>115</v>
      </c>
      <c r="H8" s="232"/>
      <c r="I8" s="232" t="s">
        <v>116</v>
      </c>
      <c r="J8" s="232"/>
      <c r="K8" s="233" t="s">
        <v>117</v>
      </c>
      <c r="L8" s="234"/>
      <c r="M8" s="233" t="s">
        <v>118</v>
      </c>
      <c r="N8" s="234"/>
      <c r="O8" s="233" t="s">
        <v>119</v>
      </c>
      <c r="P8" s="234"/>
      <c r="Q8" s="235" t="s">
        <v>120</v>
      </c>
      <c r="R8" s="237" t="s">
        <v>121</v>
      </c>
      <c r="T8" s="28"/>
    </row>
    <row r="9" spans="1:20" ht="18" customHeight="1" x14ac:dyDescent="0.15">
      <c r="A9" s="4"/>
      <c r="B9" s="227"/>
      <c r="C9" s="229"/>
      <c r="D9" s="231"/>
      <c r="E9" s="35" t="s">
        <v>122</v>
      </c>
      <c r="F9" s="36" t="s">
        <v>123</v>
      </c>
      <c r="G9" s="37" t="s">
        <v>122</v>
      </c>
      <c r="H9" s="38" t="s">
        <v>123</v>
      </c>
      <c r="I9" s="35" t="s">
        <v>122</v>
      </c>
      <c r="J9" s="36" t="s">
        <v>123</v>
      </c>
      <c r="K9" s="37" t="s">
        <v>122</v>
      </c>
      <c r="L9" s="38" t="s">
        <v>123</v>
      </c>
      <c r="M9" s="35" t="s">
        <v>122</v>
      </c>
      <c r="N9" s="36" t="s">
        <v>123</v>
      </c>
      <c r="O9" s="37" t="s">
        <v>122</v>
      </c>
      <c r="P9" s="38" t="s">
        <v>123</v>
      </c>
      <c r="Q9" s="236"/>
      <c r="R9" s="238"/>
      <c r="T9" s="28"/>
    </row>
    <row r="10" spans="1:20" ht="18" customHeight="1" x14ac:dyDescent="0.15">
      <c r="A10" s="39"/>
      <c r="B10" s="76" t="s">
        <v>124</v>
      </c>
      <c r="C10" s="39">
        <v>140</v>
      </c>
      <c r="D10" s="40">
        <v>560</v>
      </c>
      <c r="E10" s="41">
        <v>9</v>
      </c>
      <c r="F10" s="42">
        <v>7</v>
      </c>
      <c r="G10" s="43"/>
      <c r="H10" s="44"/>
      <c r="I10" s="41"/>
      <c r="J10" s="42"/>
      <c r="K10" s="43"/>
      <c r="L10" s="44"/>
      <c r="M10" s="41"/>
      <c r="N10" s="42"/>
      <c r="O10" s="43"/>
      <c r="P10" s="44"/>
      <c r="Q10" s="45">
        <f>E10+G10+I10+K10+M10+O10</f>
        <v>9</v>
      </c>
      <c r="R10" s="46">
        <f>Q10/D10</f>
        <v>1.607142857142857E-2</v>
      </c>
    </row>
    <row r="11" spans="1:20" ht="18" customHeight="1" x14ac:dyDescent="0.15">
      <c r="A11" s="39"/>
      <c r="B11" s="77" t="s">
        <v>125</v>
      </c>
      <c r="C11" s="55">
        <v>90</v>
      </c>
      <c r="D11" s="48">
        <v>360</v>
      </c>
      <c r="E11" s="49">
        <v>2</v>
      </c>
      <c r="F11" s="50">
        <v>2</v>
      </c>
      <c r="G11" s="51"/>
      <c r="H11" s="52"/>
      <c r="I11" s="49"/>
      <c r="J11" s="50"/>
      <c r="K11" s="51"/>
      <c r="L11" s="52"/>
      <c r="M11" s="49"/>
      <c r="N11" s="50"/>
      <c r="O11" s="51"/>
      <c r="P11" s="52"/>
      <c r="Q11" s="53">
        <f t="shared" ref="Q11:Q29" si="0">E11+G11+I11+K11+M11+O11</f>
        <v>2</v>
      </c>
      <c r="R11" s="54">
        <f t="shared" ref="R11:R29" si="1">Q11/D11</f>
        <v>5.5555555555555558E-3</v>
      </c>
    </row>
    <row r="12" spans="1:20" ht="18" customHeight="1" x14ac:dyDescent="0.15">
      <c r="A12" s="39"/>
      <c r="B12" s="77" t="s">
        <v>126</v>
      </c>
      <c r="C12" s="55">
        <v>170</v>
      </c>
      <c r="D12" s="48">
        <v>680</v>
      </c>
      <c r="E12" s="49">
        <v>1</v>
      </c>
      <c r="F12" s="50">
        <v>0</v>
      </c>
      <c r="G12" s="51"/>
      <c r="H12" s="52"/>
      <c r="I12" s="49"/>
      <c r="J12" s="50"/>
      <c r="K12" s="51"/>
      <c r="L12" s="52"/>
      <c r="M12" s="49"/>
      <c r="N12" s="50"/>
      <c r="O12" s="51"/>
      <c r="P12" s="52"/>
      <c r="Q12" s="53">
        <f t="shared" si="0"/>
        <v>1</v>
      </c>
      <c r="R12" s="54">
        <f t="shared" si="1"/>
        <v>1.4705882352941176E-3</v>
      </c>
    </row>
    <row r="13" spans="1:20" ht="18" customHeight="1" x14ac:dyDescent="0.15">
      <c r="A13" s="39"/>
      <c r="B13" s="77" t="s">
        <v>127</v>
      </c>
      <c r="C13" s="55">
        <v>315</v>
      </c>
      <c r="D13" s="48">
        <v>1260</v>
      </c>
      <c r="E13" s="49">
        <v>80</v>
      </c>
      <c r="F13" s="50">
        <v>64</v>
      </c>
      <c r="G13" s="51"/>
      <c r="H13" s="52"/>
      <c r="I13" s="49"/>
      <c r="J13" s="50"/>
      <c r="K13" s="51"/>
      <c r="L13" s="52"/>
      <c r="M13" s="49"/>
      <c r="N13" s="50"/>
      <c r="O13" s="51"/>
      <c r="P13" s="52"/>
      <c r="Q13" s="53">
        <f t="shared" si="0"/>
        <v>80</v>
      </c>
      <c r="R13" s="54">
        <f t="shared" si="1"/>
        <v>6.3492063492063489E-2</v>
      </c>
    </row>
    <row r="14" spans="1:20" ht="18" customHeight="1" x14ac:dyDescent="0.15">
      <c r="A14" s="39"/>
      <c r="B14" s="77" t="s">
        <v>128</v>
      </c>
      <c r="C14" s="55">
        <v>195</v>
      </c>
      <c r="D14" s="48">
        <v>780</v>
      </c>
      <c r="E14" s="49">
        <v>34</v>
      </c>
      <c r="F14" s="50">
        <v>23</v>
      </c>
      <c r="G14" s="51"/>
      <c r="H14" s="52"/>
      <c r="I14" s="49"/>
      <c r="J14" s="50"/>
      <c r="K14" s="51"/>
      <c r="L14" s="52"/>
      <c r="M14" s="49"/>
      <c r="N14" s="50"/>
      <c r="O14" s="51"/>
      <c r="P14" s="52"/>
      <c r="Q14" s="53">
        <f t="shared" si="0"/>
        <v>34</v>
      </c>
      <c r="R14" s="54">
        <f t="shared" si="1"/>
        <v>4.3589743589743588E-2</v>
      </c>
    </row>
    <row r="15" spans="1:20" ht="18" customHeight="1" x14ac:dyDescent="0.15">
      <c r="A15" s="39"/>
      <c r="B15" s="77"/>
      <c r="C15" s="55"/>
      <c r="D15" s="48"/>
      <c r="E15" s="49"/>
      <c r="F15" s="50"/>
      <c r="G15" s="51"/>
      <c r="H15" s="52"/>
      <c r="I15" s="49"/>
      <c r="J15" s="50"/>
      <c r="K15" s="51"/>
      <c r="L15" s="52"/>
      <c r="M15" s="49"/>
      <c r="N15" s="50"/>
      <c r="O15" s="51"/>
      <c r="P15" s="52"/>
      <c r="Q15" s="53">
        <f t="shared" si="0"/>
        <v>0</v>
      </c>
      <c r="R15" s="54" t="e">
        <f t="shared" si="1"/>
        <v>#DIV/0!</v>
      </c>
    </row>
    <row r="16" spans="1:20" ht="18" customHeight="1" x14ac:dyDescent="0.15">
      <c r="A16" s="39"/>
      <c r="B16" s="77"/>
      <c r="C16" s="55"/>
      <c r="D16" s="48"/>
      <c r="E16" s="49"/>
      <c r="F16" s="50"/>
      <c r="G16" s="51"/>
      <c r="H16" s="52"/>
      <c r="I16" s="49"/>
      <c r="J16" s="50"/>
      <c r="K16" s="51"/>
      <c r="L16" s="52"/>
      <c r="M16" s="49"/>
      <c r="N16" s="50"/>
      <c r="O16" s="51"/>
      <c r="P16" s="52"/>
      <c r="Q16" s="53">
        <f t="shared" si="0"/>
        <v>0</v>
      </c>
      <c r="R16" s="54" t="e">
        <f t="shared" si="1"/>
        <v>#DIV/0!</v>
      </c>
    </row>
    <row r="17" spans="1:18" ht="18" customHeight="1" x14ac:dyDescent="0.15">
      <c r="A17" s="39"/>
      <c r="B17" s="77"/>
      <c r="C17" s="55"/>
      <c r="D17" s="48"/>
      <c r="E17" s="49"/>
      <c r="F17" s="50"/>
      <c r="G17" s="51"/>
      <c r="H17" s="52"/>
      <c r="I17" s="49"/>
      <c r="J17" s="50"/>
      <c r="K17" s="51"/>
      <c r="L17" s="52"/>
      <c r="M17" s="49"/>
      <c r="N17" s="50"/>
      <c r="O17" s="51"/>
      <c r="P17" s="52"/>
      <c r="Q17" s="53">
        <f t="shared" si="0"/>
        <v>0</v>
      </c>
      <c r="R17" s="54" t="e">
        <f t="shared" si="1"/>
        <v>#DIV/0!</v>
      </c>
    </row>
    <row r="18" spans="1:18" ht="18" customHeight="1" x14ac:dyDescent="0.15">
      <c r="A18" s="39"/>
      <c r="B18" s="77"/>
      <c r="C18" s="55"/>
      <c r="D18" s="48"/>
      <c r="E18" s="49"/>
      <c r="F18" s="50"/>
      <c r="G18" s="51"/>
      <c r="H18" s="52"/>
      <c r="I18" s="49"/>
      <c r="J18" s="50"/>
      <c r="K18" s="51"/>
      <c r="L18" s="52"/>
      <c r="M18" s="49"/>
      <c r="N18" s="50"/>
      <c r="O18" s="51"/>
      <c r="P18" s="52"/>
      <c r="Q18" s="53">
        <f>E18+G18+I18+K18+M18+O18</f>
        <v>0</v>
      </c>
      <c r="R18" s="54" t="e">
        <f t="shared" si="1"/>
        <v>#DIV/0!</v>
      </c>
    </row>
    <row r="19" spans="1:18" ht="18" customHeight="1" x14ac:dyDescent="0.15">
      <c r="A19" s="39"/>
      <c r="B19" s="77"/>
      <c r="C19" s="55"/>
      <c r="D19" s="48"/>
      <c r="E19" s="49"/>
      <c r="F19" s="50"/>
      <c r="G19" s="51"/>
      <c r="H19" s="52"/>
      <c r="I19" s="49"/>
      <c r="J19" s="50"/>
      <c r="K19" s="51"/>
      <c r="L19" s="52"/>
      <c r="M19" s="49"/>
      <c r="N19" s="50"/>
      <c r="O19" s="51"/>
      <c r="P19" s="52"/>
      <c r="Q19" s="53">
        <f t="shared" si="0"/>
        <v>0</v>
      </c>
      <c r="R19" s="54" t="e">
        <f t="shared" si="1"/>
        <v>#DIV/0!</v>
      </c>
    </row>
    <row r="20" spans="1:18" ht="18" customHeight="1" x14ac:dyDescent="0.15">
      <c r="A20" s="39"/>
      <c r="B20" s="77"/>
      <c r="C20" s="55"/>
      <c r="D20" s="48"/>
      <c r="E20" s="49"/>
      <c r="F20" s="50"/>
      <c r="G20" s="51"/>
      <c r="H20" s="52"/>
      <c r="I20" s="49"/>
      <c r="J20" s="50"/>
      <c r="K20" s="51"/>
      <c r="L20" s="52"/>
      <c r="M20" s="49"/>
      <c r="N20" s="50"/>
      <c r="O20" s="51"/>
      <c r="P20" s="52"/>
      <c r="Q20" s="53">
        <f t="shared" si="0"/>
        <v>0</v>
      </c>
      <c r="R20" s="54" t="e">
        <f t="shared" si="1"/>
        <v>#DIV/0!</v>
      </c>
    </row>
    <row r="21" spans="1:18" ht="18" customHeight="1" x14ac:dyDescent="0.15">
      <c r="A21" s="39"/>
      <c r="B21" s="77"/>
      <c r="C21" s="55"/>
      <c r="D21" s="48"/>
      <c r="E21" s="49"/>
      <c r="F21" s="50"/>
      <c r="G21" s="51"/>
      <c r="H21" s="52"/>
      <c r="I21" s="49"/>
      <c r="J21" s="50"/>
      <c r="K21" s="51"/>
      <c r="L21" s="52"/>
      <c r="M21" s="49"/>
      <c r="N21" s="50"/>
      <c r="O21" s="51"/>
      <c r="P21" s="52"/>
      <c r="Q21" s="53">
        <f t="shared" si="0"/>
        <v>0</v>
      </c>
      <c r="R21" s="54" t="e">
        <f t="shared" si="1"/>
        <v>#DIV/0!</v>
      </c>
    </row>
    <row r="22" spans="1:18" ht="18" customHeight="1" x14ac:dyDescent="0.15">
      <c r="A22" s="39"/>
      <c r="B22" s="77"/>
      <c r="C22" s="55"/>
      <c r="D22" s="48"/>
      <c r="E22" s="49"/>
      <c r="F22" s="50"/>
      <c r="G22" s="51"/>
      <c r="H22" s="52"/>
      <c r="I22" s="49"/>
      <c r="J22" s="50"/>
      <c r="K22" s="51"/>
      <c r="L22" s="52"/>
      <c r="M22" s="49"/>
      <c r="N22" s="50"/>
      <c r="O22" s="51"/>
      <c r="P22" s="52"/>
      <c r="Q22" s="53">
        <f t="shared" si="0"/>
        <v>0</v>
      </c>
      <c r="R22" s="54" t="e">
        <f t="shared" si="1"/>
        <v>#DIV/0!</v>
      </c>
    </row>
    <row r="23" spans="1:18" ht="18" customHeight="1" x14ac:dyDescent="0.15">
      <c r="A23" s="39"/>
      <c r="B23" s="77"/>
      <c r="C23" s="55"/>
      <c r="D23" s="48"/>
      <c r="E23" s="49"/>
      <c r="F23" s="50"/>
      <c r="G23" s="51"/>
      <c r="H23" s="52"/>
      <c r="I23" s="49"/>
      <c r="J23" s="50"/>
      <c r="K23" s="51"/>
      <c r="L23" s="52"/>
      <c r="M23" s="49"/>
      <c r="N23" s="50"/>
      <c r="O23" s="51"/>
      <c r="P23" s="52"/>
      <c r="Q23" s="53">
        <f t="shared" si="0"/>
        <v>0</v>
      </c>
      <c r="R23" s="54" t="e">
        <f t="shared" si="1"/>
        <v>#DIV/0!</v>
      </c>
    </row>
    <row r="24" spans="1:18" ht="18" customHeight="1" x14ac:dyDescent="0.15">
      <c r="A24" s="39"/>
      <c r="B24" s="77"/>
      <c r="C24" s="55"/>
      <c r="D24" s="48"/>
      <c r="E24" s="49"/>
      <c r="F24" s="50"/>
      <c r="G24" s="51"/>
      <c r="H24" s="52"/>
      <c r="I24" s="49"/>
      <c r="J24" s="50"/>
      <c r="K24" s="51"/>
      <c r="L24" s="52"/>
      <c r="M24" s="49"/>
      <c r="N24" s="50"/>
      <c r="O24" s="51"/>
      <c r="P24" s="52"/>
      <c r="Q24" s="53">
        <f t="shared" si="0"/>
        <v>0</v>
      </c>
      <c r="R24" s="54" t="e">
        <f t="shared" si="1"/>
        <v>#DIV/0!</v>
      </c>
    </row>
    <row r="25" spans="1:18" ht="18" customHeight="1" x14ac:dyDescent="0.15">
      <c r="A25" s="39"/>
      <c r="B25" s="77"/>
      <c r="C25" s="55"/>
      <c r="D25" s="48"/>
      <c r="E25" s="49"/>
      <c r="F25" s="50"/>
      <c r="G25" s="51"/>
      <c r="H25" s="52"/>
      <c r="I25" s="49"/>
      <c r="J25" s="50"/>
      <c r="K25" s="51"/>
      <c r="L25" s="52"/>
      <c r="M25" s="49"/>
      <c r="N25" s="50"/>
      <c r="O25" s="51"/>
      <c r="P25" s="52"/>
      <c r="Q25" s="53">
        <f t="shared" si="0"/>
        <v>0</v>
      </c>
      <c r="R25" s="54" t="e">
        <f t="shared" si="1"/>
        <v>#DIV/0!</v>
      </c>
    </row>
    <row r="26" spans="1:18" ht="18" customHeight="1" x14ac:dyDescent="0.15">
      <c r="A26" s="39"/>
      <c r="B26" s="77"/>
      <c r="C26" s="55"/>
      <c r="D26" s="48"/>
      <c r="E26" s="49"/>
      <c r="F26" s="50"/>
      <c r="G26" s="51"/>
      <c r="H26" s="52"/>
      <c r="I26" s="49"/>
      <c r="J26" s="50"/>
      <c r="K26" s="51"/>
      <c r="L26" s="52"/>
      <c r="M26" s="49"/>
      <c r="N26" s="50"/>
      <c r="O26" s="51"/>
      <c r="P26" s="52"/>
      <c r="Q26" s="53">
        <f t="shared" si="0"/>
        <v>0</v>
      </c>
      <c r="R26" s="54" t="e">
        <f t="shared" si="1"/>
        <v>#DIV/0!</v>
      </c>
    </row>
    <row r="27" spans="1:18" ht="18" customHeight="1" x14ac:dyDescent="0.15">
      <c r="A27" s="39"/>
      <c r="B27" s="77"/>
      <c r="C27" s="47"/>
      <c r="D27" s="48"/>
      <c r="E27" s="49"/>
      <c r="F27" s="50"/>
      <c r="G27" s="51"/>
      <c r="H27" s="52"/>
      <c r="I27" s="49"/>
      <c r="J27" s="50"/>
      <c r="K27" s="51"/>
      <c r="L27" s="52"/>
      <c r="M27" s="49"/>
      <c r="N27" s="50"/>
      <c r="O27" s="51"/>
      <c r="P27" s="52"/>
      <c r="Q27" s="53">
        <f t="shared" si="0"/>
        <v>0</v>
      </c>
      <c r="R27" s="54" t="e">
        <f t="shared" si="1"/>
        <v>#DIV/0!</v>
      </c>
    </row>
    <row r="28" spans="1:18" ht="18" customHeight="1" x14ac:dyDescent="0.15">
      <c r="A28" s="39"/>
      <c r="B28" s="77"/>
      <c r="C28" s="47"/>
      <c r="D28" s="48"/>
      <c r="E28" s="49"/>
      <c r="F28" s="50"/>
      <c r="G28" s="51"/>
      <c r="H28" s="52"/>
      <c r="I28" s="49"/>
      <c r="J28" s="50"/>
      <c r="K28" s="51"/>
      <c r="L28" s="52"/>
      <c r="M28" s="49"/>
      <c r="N28" s="50"/>
      <c r="O28" s="51"/>
      <c r="P28" s="52"/>
      <c r="Q28" s="53">
        <f t="shared" si="0"/>
        <v>0</v>
      </c>
      <c r="R28" s="54" t="e">
        <f t="shared" si="1"/>
        <v>#DIV/0!</v>
      </c>
    </row>
    <row r="29" spans="1:18" ht="18" customHeight="1" thickBot="1" x14ac:dyDescent="0.2">
      <c r="A29" s="39"/>
      <c r="B29" s="78"/>
      <c r="C29" s="79"/>
      <c r="D29" s="40"/>
      <c r="E29" s="41"/>
      <c r="F29" s="42"/>
      <c r="G29" s="43"/>
      <c r="H29" s="44"/>
      <c r="I29" s="41"/>
      <c r="J29" s="42"/>
      <c r="K29" s="43"/>
      <c r="L29" s="44"/>
      <c r="M29" s="41"/>
      <c r="N29" s="42"/>
      <c r="O29" s="43"/>
      <c r="P29" s="44"/>
      <c r="Q29" s="56">
        <f t="shared" si="0"/>
        <v>0</v>
      </c>
      <c r="R29" s="46" t="e">
        <f t="shared" si="1"/>
        <v>#DIV/0!</v>
      </c>
    </row>
    <row r="30" spans="1:18" ht="18" customHeight="1" thickTop="1" x14ac:dyDescent="0.15">
      <c r="B30" s="80" t="s">
        <v>129</v>
      </c>
      <c r="C30" s="81">
        <f t="shared" ref="C30:Q30" si="2">SUM(C10:C29)</f>
        <v>910</v>
      </c>
      <c r="D30" s="57">
        <f t="shared" si="2"/>
        <v>3640</v>
      </c>
      <c r="E30" s="58">
        <f t="shared" si="2"/>
        <v>126</v>
      </c>
      <c r="F30" s="59">
        <f t="shared" si="2"/>
        <v>96</v>
      </c>
      <c r="G30" s="60">
        <f t="shared" si="2"/>
        <v>0</v>
      </c>
      <c r="H30" s="61">
        <f t="shared" si="2"/>
        <v>0</v>
      </c>
      <c r="I30" s="58">
        <f t="shared" si="2"/>
        <v>0</v>
      </c>
      <c r="J30" s="59">
        <f t="shared" si="2"/>
        <v>0</v>
      </c>
      <c r="K30" s="60">
        <f t="shared" si="2"/>
        <v>0</v>
      </c>
      <c r="L30" s="61">
        <f t="shared" si="2"/>
        <v>0</v>
      </c>
      <c r="M30" s="58">
        <f t="shared" si="2"/>
        <v>0</v>
      </c>
      <c r="N30" s="59">
        <f t="shared" si="2"/>
        <v>0</v>
      </c>
      <c r="O30" s="60">
        <f t="shared" si="2"/>
        <v>0</v>
      </c>
      <c r="P30" s="61">
        <f t="shared" si="2"/>
        <v>0</v>
      </c>
      <c r="Q30" s="62">
        <f t="shared" si="2"/>
        <v>126</v>
      </c>
      <c r="R30" s="63">
        <f>Q30/D30</f>
        <v>3.4615384615384617E-2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L12" sqref="L1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130</v>
      </c>
      <c r="J1" s="33" t="s">
        <v>131</v>
      </c>
    </row>
    <row r="2" spans="1:11" ht="18.75" customHeight="1" x14ac:dyDescent="0.15">
      <c r="A2" s="223" t="s">
        <v>132</v>
      </c>
      <c r="B2" s="223"/>
      <c r="C2" s="223"/>
      <c r="D2" s="223"/>
      <c r="E2" s="223"/>
      <c r="F2" s="223"/>
      <c r="G2" s="223"/>
      <c r="H2" s="223"/>
      <c r="I2" s="223"/>
      <c r="J2" s="223"/>
    </row>
    <row r="3" spans="1:11" ht="7.5" customHeight="1" x14ac:dyDescent="0.15">
      <c r="B3" s="30"/>
      <c r="C3" s="30"/>
      <c r="D3" s="30"/>
      <c r="E3" s="30"/>
      <c r="F3" s="30"/>
      <c r="G3" s="30"/>
      <c r="H3" s="30"/>
      <c r="I3" s="30"/>
      <c r="J3" s="30"/>
    </row>
    <row r="4" spans="1:11" ht="18.75" customHeight="1" x14ac:dyDescent="0.15">
      <c r="A4" s="1" t="s">
        <v>2</v>
      </c>
      <c r="B4" s="4" t="s">
        <v>133</v>
      </c>
      <c r="C4" s="4"/>
      <c r="D4" s="4"/>
      <c r="E4" s="4"/>
      <c r="F4" s="4"/>
      <c r="G4" s="4"/>
      <c r="H4" s="4"/>
      <c r="I4" s="30"/>
      <c r="J4" s="30"/>
    </row>
    <row r="5" spans="1:11" ht="18.75" customHeight="1" x14ac:dyDescent="0.15">
      <c r="A5" s="1"/>
      <c r="B5" s="266" t="s">
        <v>134</v>
      </c>
      <c r="C5" s="267"/>
      <c r="D5" s="267"/>
      <c r="E5" s="267"/>
      <c r="F5" s="267"/>
      <c r="G5" s="267"/>
      <c r="H5" s="267"/>
      <c r="I5" s="267"/>
      <c r="J5" s="268"/>
      <c r="K5" s="27" t="str">
        <f>IF(B5="","入力してください","")</f>
        <v/>
      </c>
    </row>
    <row r="6" spans="1:11" ht="7.5" customHeight="1" x14ac:dyDescent="0.15">
      <c r="B6" s="30"/>
      <c r="C6" s="30"/>
      <c r="D6" s="30"/>
      <c r="E6" s="30"/>
      <c r="F6" s="30"/>
      <c r="G6" s="30"/>
      <c r="H6" s="30"/>
      <c r="I6" s="30"/>
      <c r="J6" s="30"/>
    </row>
    <row r="7" spans="1:11" s="4" customFormat="1" ht="18.75" customHeight="1" x14ac:dyDescent="0.15">
      <c r="A7" s="1" t="s">
        <v>4</v>
      </c>
      <c r="B7" s="1" t="s">
        <v>135</v>
      </c>
      <c r="C7" s="1"/>
      <c r="D7" s="1"/>
      <c r="E7" s="1"/>
      <c r="F7" s="1"/>
      <c r="G7" s="1"/>
      <c r="H7" s="1"/>
      <c r="I7" s="1"/>
      <c r="J7" s="1"/>
      <c r="K7" s="27"/>
    </row>
    <row r="8" spans="1:11" s="4" customFormat="1" ht="18.75" customHeight="1" x14ac:dyDescent="0.15">
      <c r="A8" s="82"/>
      <c r="B8" s="269" t="s">
        <v>198</v>
      </c>
      <c r="C8" s="270"/>
      <c r="D8" s="270"/>
      <c r="E8" s="270"/>
      <c r="F8" s="270"/>
      <c r="G8" s="270"/>
      <c r="H8" s="270"/>
      <c r="I8" s="271"/>
      <c r="J8" s="272"/>
      <c r="K8" s="27" t="str">
        <f>IF(B8="","入力してください","")</f>
        <v/>
      </c>
    </row>
    <row r="9" spans="1:11" s="4" customFormat="1" ht="18.75" customHeight="1" x14ac:dyDescent="0.15">
      <c r="A9" s="82"/>
      <c r="B9" s="273"/>
      <c r="C9" s="274"/>
      <c r="D9" s="274"/>
      <c r="E9" s="274"/>
      <c r="F9" s="274"/>
      <c r="G9" s="274"/>
      <c r="H9" s="274"/>
      <c r="I9" s="274"/>
      <c r="J9" s="275"/>
      <c r="K9" s="27"/>
    </row>
    <row r="10" spans="1:11" s="4" customFormat="1" ht="18.75" customHeight="1" x14ac:dyDescent="0.15">
      <c r="A10" s="82"/>
      <c r="B10" s="273"/>
      <c r="C10" s="274"/>
      <c r="D10" s="274"/>
      <c r="E10" s="274"/>
      <c r="F10" s="274"/>
      <c r="G10" s="274"/>
      <c r="H10" s="274"/>
      <c r="I10" s="274"/>
      <c r="J10" s="275"/>
      <c r="K10" s="27"/>
    </row>
    <row r="11" spans="1:11" s="4" customFormat="1" ht="18.75" customHeight="1" x14ac:dyDescent="0.15">
      <c r="A11" s="82"/>
      <c r="B11" s="273"/>
      <c r="C11" s="274"/>
      <c r="D11" s="274"/>
      <c r="E11" s="274"/>
      <c r="F11" s="274"/>
      <c r="G11" s="274"/>
      <c r="H11" s="274"/>
      <c r="I11" s="274"/>
      <c r="J11" s="275"/>
      <c r="K11" s="27"/>
    </row>
    <row r="12" spans="1:11" s="4" customFormat="1" ht="18.75" customHeight="1" x14ac:dyDescent="0.15">
      <c r="A12" s="82"/>
      <c r="B12" s="276"/>
      <c r="C12" s="277"/>
      <c r="D12" s="277"/>
      <c r="E12" s="277"/>
      <c r="F12" s="277"/>
      <c r="G12" s="277"/>
      <c r="H12" s="277"/>
      <c r="I12" s="277"/>
      <c r="J12" s="278"/>
      <c r="K12" s="27"/>
    </row>
    <row r="13" spans="1:11" s="4" customFormat="1" ht="7.5" customHeight="1" x14ac:dyDescent="0.15">
      <c r="A13" s="82"/>
      <c r="B13" s="82"/>
      <c r="C13" s="82"/>
      <c r="D13" s="82"/>
      <c r="E13" s="82"/>
      <c r="F13" s="82"/>
      <c r="G13" s="82"/>
      <c r="H13" s="82"/>
      <c r="I13" s="82"/>
      <c r="J13" s="82"/>
      <c r="K13" s="27"/>
    </row>
    <row r="14" spans="1:11" s="4" customFormat="1" ht="18.75" customHeight="1" x14ac:dyDescent="0.15">
      <c r="A14" s="83" t="s">
        <v>136</v>
      </c>
      <c r="B14" s="83" t="s">
        <v>137</v>
      </c>
      <c r="C14" s="83"/>
      <c r="D14" s="83"/>
      <c r="E14" s="83"/>
      <c r="F14" s="83"/>
      <c r="G14" s="83"/>
      <c r="H14" s="83"/>
      <c r="I14" s="83"/>
      <c r="J14" s="83"/>
      <c r="K14" s="27"/>
    </row>
    <row r="15" spans="1:11" s="4" customFormat="1" ht="18.75" customHeight="1" x14ac:dyDescent="0.15">
      <c r="A15" s="82"/>
      <c r="B15" s="269" t="s">
        <v>186</v>
      </c>
      <c r="C15" s="270"/>
      <c r="D15" s="270"/>
      <c r="E15" s="270"/>
      <c r="F15" s="270"/>
      <c r="G15" s="270"/>
      <c r="H15" s="270"/>
      <c r="I15" s="271"/>
      <c r="J15" s="272"/>
      <c r="K15" s="27" t="str">
        <f>IF(B15="","入力してください","")</f>
        <v/>
      </c>
    </row>
    <row r="16" spans="1:11" s="4" customFormat="1" ht="18.75" customHeight="1" x14ac:dyDescent="0.15">
      <c r="A16" s="82"/>
      <c r="B16" s="273"/>
      <c r="C16" s="274"/>
      <c r="D16" s="274"/>
      <c r="E16" s="274"/>
      <c r="F16" s="274"/>
      <c r="G16" s="274"/>
      <c r="H16" s="274"/>
      <c r="I16" s="274"/>
      <c r="J16" s="275"/>
      <c r="K16" s="27"/>
    </row>
    <row r="17" spans="1:11" s="4" customFormat="1" ht="18.75" customHeight="1" x14ac:dyDescent="0.15">
      <c r="A17" s="82"/>
      <c r="B17" s="273"/>
      <c r="C17" s="274"/>
      <c r="D17" s="274"/>
      <c r="E17" s="274"/>
      <c r="F17" s="274"/>
      <c r="G17" s="274"/>
      <c r="H17" s="274"/>
      <c r="I17" s="274"/>
      <c r="J17" s="275"/>
      <c r="K17" s="27"/>
    </row>
    <row r="18" spans="1:11" s="4" customFormat="1" ht="18.75" customHeight="1" x14ac:dyDescent="0.15">
      <c r="A18" s="82"/>
      <c r="B18" s="273"/>
      <c r="C18" s="274"/>
      <c r="D18" s="274"/>
      <c r="E18" s="274"/>
      <c r="F18" s="274"/>
      <c r="G18" s="274"/>
      <c r="H18" s="274"/>
      <c r="I18" s="274"/>
      <c r="J18" s="275"/>
      <c r="K18" s="27"/>
    </row>
    <row r="19" spans="1:11" s="4" customFormat="1" ht="18.75" customHeight="1" x14ac:dyDescent="0.15">
      <c r="A19" s="82"/>
      <c r="B19" s="273"/>
      <c r="C19" s="274"/>
      <c r="D19" s="274"/>
      <c r="E19" s="274"/>
      <c r="F19" s="274"/>
      <c r="G19" s="274"/>
      <c r="H19" s="274"/>
      <c r="I19" s="274"/>
      <c r="J19" s="275"/>
      <c r="K19" s="27"/>
    </row>
    <row r="20" spans="1:11" s="4" customFormat="1" ht="18.75" customHeight="1" x14ac:dyDescent="0.15">
      <c r="A20" s="82"/>
      <c r="B20" s="273"/>
      <c r="C20" s="274"/>
      <c r="D20" s="274"/>
      <c r="E20" s="274"/>
      <c r="F20" s="274"/>
      <c r="G20" s="274"/>
      <c r="H20" s="274"/>
      <c r="I20" s="274"/>
      <c r="J20" s="275"/>
      <c r="K20" s="27"/>
    </row>
    <row r="21" spans="1:11" s="4" customFormat="1" ht="18.75" customHeight="1" x14ac:dyDescent="0.15">
      <c r="A21" s="82"/>
      <c r="B21" s="273"/>
      <c r="C21" s="274"/>
      <c r="D21" s="274"/>
      <c r="E21" s="274"/>
      <c r="F21" s="274"/>
      <c r="G21" s="274"/>
      <c r="H21" s="274"/>
      <c r="I21" s="274"/>
      <c r="J21" s="275"/>
      <c r="K21" s="27"/>
    </row>
    <row r="22" spans="1:11" s="4" customFormat="1" ht="18.75" customHeight="1" x14ac:dyDescent="0.15">
      <c r="A22" s="82"/>
      <c r="B22" s="273"/>
      <c r="C22" s="274"/>
      <c r="D22" s="274"/>
      <c r="E22" s="274"/>
      <c r="F22" s="274"/>
      <c r="G22" s="274"/>
      <c r="H22" s="274"/>
      <c r="I22" s="274"/>
      <c r="J22" s="275"/>
      <c r="K22" s="27"/>
    </row>
    <row r="23" spans="1:11" s="4" customFormat="1" ht="18.75" customHeight="1" x14ac:dyDescent="0.15">
      <c r="A23" s="82"/>
      <c r="B23" s="273"/>
      <c r="C23" s="274"/>
      <c r="D23" s="274"/>
      <c r="E23" s="274"/>
      <c r="F23" s="274"/>
      <c r="G23" s="274"/>
      <c r="H23" s="274"/>
      <c r="I23" s="274"/>
      <c r="J23" s="275"/>
      <c r="K23" s="27"/>
    </row>
    <row r="24" spans="1:11" s="4" customFormat="1" ht="18.75" customHeight="1" x14ac:dyDescent="0.15">
      <c r="A24" s="82"/>
      <c r="B24" s="273"/>
      <c r="C24" s="274"/>
      <c r="D24" s="274"/>
      <c r="E24" s="274"/>
      <c r="F24" s="274"/>
      <c r="G24" s="274"/>
      <c r="H24" s="274"/>
      <c r="I24" s="274"/>
      <c r="J24" s="275"/>
      <c r="K24" s="27"/>
    </row>
    <row r="25" spans="1:11" s="4" customFormat="1" ht="18.75" customHeight="1" x14ac:dyDescent="0.15">
      <c r="A25" s="82"/>
      <c r="B25" s="276"/>
      <c r="C25" s="277"/>
      <c r="D25" s="277"/>
      <c r="E25" s="277"/>
      <c r="F25" s="277"/>
      <c r="G25" s="277"/>
      <c r="H25" s="277"/>
      <c r="I25" s="277"/>
      <c r="J25" s="278"/>
      <c r="K25" s="27"/>
    </row>
    <row r="26" spans="1:11" ht="7.5" customHeight="1" x14ac:dyDescent="0.15">
      <c r="A26" s="31"/>
      <c r="B26" s="31"/>
      <c r="C26" s="31"/>
      <c r="D26" s="31"/>
      <c r="E26" s="31"/>
      <c r="F26" s="31"/>
      <c r="G26" s="31"/>
      <c r="H26" s="31"/>
      <c r="I26" s="31"/>
      <c r="J26" s="31"/>
    </row>
    <row r="27" spans="1:11" s="4" customFormat="1" ht="18.75" customHeight="1" x14ac:dyDescent="0.15">
      <c r="A27" s="1" t="s">
        <v>8</v>
      </c>
      <c r="B27" s="1" t="s">
        <v>138</v>
      </c>
      <c r="C27" s="1"/>
      <c r="D27" s="1"/>
      <c r="E27" s="1"/>
      <c r="F27" s="1"/>
      <c r="G27" s="1"/>
      <c r="H27" s="1"/>
      <c r="I27" s="1"/>
      <c r="J27" s="1"/>
      <c r="K27" s="27"/>
    </row>
    <row r="28" spans="1:11" s="25" customFormat="1" ht="18.75" customHeight="1" x14ac:dyDescent="0.15">
      <c r="B28" s="84" t="s">
        <v>139</v>
      </c>
      <c r="C28" s="85">
        <f>'様式３　履修者等数の実績'!R30</f>
        <v>3.4615384615384617E-2</v>
      </c>
      <c r="D28" s="86"/>
      <c r="E28" s="86" t="s">
        <v>140</v>
      </c>
      <c r="F28" s="85">
        <v>0.09</v>
      </c>
      <c r="G28" s="86"/>
      <c r="H28" s="86" t="s">
        <v>141</v>
      </c>
      <c r="I28" s="87">
        <v>0.17</v>
      </c>
      <c r="J28" s="88"/>
      <c r="K28" s="27"/>
    </row>
    <row r="29" spans="1:11" s="25" customFormat="1" ht="18.75" customHeight="1" x14ac:dyDescent="0.15">
      <c r="B29" s="72" t="s">
        <v>142</v>
      </c>
      <c r="C29" s="89">
        <v>0.28000000000000003</v>
      </c>
      <c r="D29" s="73"/>
      <c r="E29" s="73" t="s">
        <v>143</v>
      </c>
      <c r="F29" s="89">
        <v>0.38</v>
      </c>
      <c r="G29" s="73"/>
      <c r="H29" s="73" t="s">
        <v>144</v>
      </c>
      <c r="I29" s="90">
        <f>'様式３　履修者等数の実績'!D30</f>
        <v>3640</v>
      </c>
      <c r="J29" s="91"/>
      <c r="K29" s="27"/>
    </row>
    <row r="30" spans="1:11" s="4" customFormat="1" ht="18.75" customHeight="1" x14ac:dyDescent="0.15">
      <c r="A30" s="1"/>
      <c r="B30" s="182" t="s">
        <v>145</v>
      </c>
      <c r="C30" s="183"/>
      <c r="D30" s="183"/>
      <c r="E30" s="183"/>
      <c r="F30" s="183"/>
      <c r="G30" s="183"/>
      <c r="H30" s="183"/>
      <c r="I30" s="183"/>
      <c r="J30" s="184"/>
      <c r="K30" s="27"/>
    </row>
    <row r="31" spans="1:11" s="4" customFormat="1" ht="18.75" customHeight="1" x14ac:dyDescent="0.15">
      <c r="A31" s="1"/>
      <c r="B31" s="279" t="s">
        <v>208</v>
      </c>
      <c r="C31" s="280"/>
      <c r="D31" s="280"/>
      <c r="E31" s="280"/>
      <c r="F31" s="280"/>
      <c r="G31" s="280"/>
      <c r="H31" s="280"/>
      <c r="I31" s="280"/>
      <c r="J31" s="281"/>
      <c r="K31" s="27" t="str">
        <f>IF(B31="","入力してください","")</f>
        <v/>
      </c>
    </row>
    <row r="32" spans="1:11" s="4" customFormat="1" ht="18.75" customHeight="1" x14ac:dyDescent="0.15">
      <c r="A32" s="1"/>
      <c r="B32" s="273"/>
      <c r="C32" s="274"/>
      <c r="D32" s="274"/>
      <c r="E32" s="274"/>
      <c r="F32" s="274"/>
      <c r="G32" s="274"/>
      <c r="H32" s="274"/>
      <c r="I32" s="274"/>
      <c r="J32" s="275"/>
      <c r="K32" s="27"/>
    </row>
    <row r="33" spans="1:11" s="4" customFormat="1" ht="18.75" customHeight="1" x14ac:dyDescent="0.15">
      <c r="A33" s="1"/>
      <c r="B33" s="273"/>
      <c r="C33" s="274"/>
      <c r="D33" s="274"/>
      <c r="E33" s="274"/>
      <c r="F33" s="274"/>
      <c r="G33" s="274"/>
      <c r="H33" s="274"/>
      <c r="I33" s="274"/>
      <c r="J33" s="275"/>
      <c r="K33" s="27"/>
    </row>
    <row r="34" spans="1:11" s="4" customFormat="1" ht="18.75" customHeight="1" x14ac:dyDescent="0.15">
      <c r="A34" s="1"/>
      <c r="B34" s="273"/>
      <c r="C34" s="274"/>
      <c r="D34" s="274"/>
      <c r="E34" s="274"/>
      <c r="F34" s="274"/>
      <c r="G34" s="274"/>
      <c r="H34" s="274"/>
      <c r="I34" s="274"/>
      <c r="J34" s="275"/>
      <c r="K34" s="27"/>
    </row>
    <row r="35" spans="1:11" s="4" customFormat="1" ht="18.75" customHeight="1" x14ac:dyDescent="0.15">
      <c r="A35" s="1"/>
      <c r="B35" s="273"/>
      <c r="C35" s="274"/>
      <c r="D35" s="274"/>
      <c r="E35" s="274"/>
      <c r="F35" s="274"/>
      <c r="G35" s="274"/>
      <c r="H35" s="274"/>
      <c r="I35" s="274"/>
      <c r="J35" s="275"/>
      <c r="K35" s="27"/>
    </row>
    <row r="36" spans="1:11" s="4" customFormat="1" ht="18.75" customHeight="1" x14ac:dyDescent="0.15">
      <c r="A36" s="1"/>
      <c r="B36" s="273"/>
      <c r="C36" s="274"/>
      <c r="D36" s="274"/>
      <c r="E36" s="274"/>
      <c r="F36" s="274"/>
      <c r="G36" s="274"/>
      <c r="H36" s="274"/>
      <c r="I36" s="274"/>
      <c r="J36" s="275"/>
      <c r="K36" s="27"/>
    </row>
    <row r="37" spans="1:11" s="4" customFormat="1" ht="18.75" customHeight="1" x14ac:dyDescent="0.15">
      <c r="A37" s="1"/>
      <c r="B37" s="273"/>
      <c r="C37" s="274"/>
      <c r="D37" s="274"/>
      <c r="E37" s="274"/>
      <c r="F37" s="274"/>
      <c r="G37" s="274"/>
      <c r="H37" s="274"/>
      <c r="I37" s="274"/>
      <c r="J37" s="275"/>
      <c r="K37" s="27"/>
    </row>
    <row r="38" spans="1:11" s="4" customFormat="1" ht="18.75" customHeight="1" x14ac:dyDescent="0.15">
      <c r="A38" s="1"/>
      <c r="B38" s="273"/>
      <c r="C38" s="274"/>
      <c r="D38" s="274"/>
      <c r="E38" s="274"/>
      <c r="F38" s="274"/>
      <c r="G38" s="274"/>
      <c r="H38" s="274"/>
      <c r="I38" s="274"/>
      <c r="J38" s="275"/>
      <c r="K38" s="27"/>
    </row>
    <row r="39" spans="1:11" s="4" customFormat="1" ht="18.75" customHeight="1" x14ac:dyDescent="0.15">
      <c r="A39" s="1"/>
      <c r="B39" s="273"/>
      <c r="C39" s="274"/>
      <c r="D39" s="274"/>
      <c r="E39" s="274"/>
      <c r="F39" s="274"/>
      <c r="G39" s="274"/>
      <c r="H39" s="274"/>
      <c r="I39" s="274"/>
      <c r="J39" s="275"/>
      <c r="K39" s="27"/>
    </row>
    <row r="40" spans="1:11" s="4" customFormat="1" ht="18.75" customHeight="1" x14ac:dyDescent="0.15">
      <c r="A40" s="1"/>
      <c r="B40" s="273"/>
      <c r="C40" s="274"/>
      <c r="D40" s="274"/>
      <c r="E40" s="274"/>
      <c r="F40" s="274"/>
      <c r="G40" s="274"/>
      <c r="H40" s="274"/>
      <c r="I40" s="274"/>
      <c r="J40" s="275"/>
      <c r="K40" s="27"/>
    </row>
    <row r="41" spans="1:11" s="4" customFormat="1" ht="18.75" customHeight="1" x14ac:dyDescent="0.15">
      <c r="A41" s="1"/>
      <c r="B41" s="273"/>
      <c r="C41" s="274"/>
      <c r="D41" s="274"/>
      <c r="E41" s="274"/>
      <c r="F41" s="274"/>
      <c r="G41" s="274"/>
      <c r="H41" s="274"/>
      <c r="I41" s="274"/>
      <c r="J41" s="275"/>
      <c r="K41" s="27"/>
    </row>
    <row r="42" spans="1:11" s="4" customFormat="1" ht="18.75" customHeight="1" x14ac:dyDescent="0.15">
      <c r="A42" s="1"/>
      <c r="B42" s="273"/>
      <c r="C42" s="274"/>
      <c r="D42" s="274"/>
      <c r="E42" s="274"/>
      <c r="F42" s="274"/>
      <c r="G42" s="274"/>
      <c r="H42" s="274"/>
      <c r="I42" s="274"/>
      <c r="J42" s="275"/>
      <c r="K42" s="27"/>
    </row>
    <row r="43" spans="1:11" ht="18.75" customHeight="1" x14ac:dyDescent="0.15">
      <c r="A43" s="31"/>
      <c r="B43" s="273"/>
      <c r="C43" s="274"/>
      <c r="D43" s="274"/>
      <c r="E43" s="274"/>
      <c r="F43" s="274"/>
      <c r="G43" s="274"/>
      <c r="H43" s="274"/>
      <c r="I43" s="274"/>
      <c r="J43" s="275"/>
    </row>
    <row r="44" spans="1:11" ht="18.75" customHeight="1" x14ac:dyDescent="0.15">
      <c r="A44" s="31"/>
      <c r="B44" s="276"/>
      <c r="C44" s="277"/>
      <c r="D44" s="277"/>
      <c r="E44" s="277"/>
      <c r="F44" s="277"/>
      <c r="G44" s="277"/>
      <c r="H44" s="277"/>
      <c r="I44" s="277"/>
      <c r="J44" s="278"/>
    </row>
    <row r="45" spans="1:11" s="4" customFormat="1" ht="18.75" customHeight="1" x14ac:dyDescent="0.15">
      <c r="A45" s="92" t="s">
        <v>10</v>
      </c>
      <c r="B45" s="1" t="s">
        <v>146</v>
      </c>
      <c r="C45" s="1"/>
      <c r="D45" s="1"/>
      <c r="E45" s="1"/>
      <c r="F45" s="1"/>
      <c r="G45" s="1"/>
      <c r="H45" s="1"/>
      <c r="I45" s="92"/>
      <c r="J45" s="92"/>
      <c r="K45" s="27"/>
    </row>
    <row r="46" spans="1:11" ht="18.75" customHeight="1" x14ac:dyDescent="0.15">
      <c r="A46" s="31"/>
      <c r="B46" s="269" t="s">
        <v>188</v>
      </c>
      <c r="C46" s="270"/>
      <c r="D46" s="270"/>
      <c r="E46" s="270"/>
      <c r="F46" s="270"/>
      <c r="G46" s="270"/>
      <c r="H46" s="270"/>
      <c r="I46" s="270"/>
      <c r="J46" s="282"/>
      <c r="K46" s="27" t="str">
        <f>IF(B46="","入力してください","")</f>
        <v/>
      </c>
    </row>
    <row r="47" spans="1:11" ht="18.75" customHeight="1" x14ac:dyDescent="0.15">
      <c r="A47" s="31"/>
      <c r="B47" s="283"/>
      <c r="C47" s="284"/>
      <c r="D47" s="284"/>
      <c r="E47" s="284"/>
      <c r="F47" s="284"/>
      <c r="G47" s="284"/>
      <c r="H47" s="284"/>
      <c r="I47" s="284"/>
      <c r="J47" s="285"/>
    </row>
    <row r="48" spans="1:11" ht="18.75" customHeight="1" x14ac:dyDescent="0.15">
      <c r="A48" s="31"/>
      <c r="B48" s="283"/>
      <c r="C48" s="284"/>
      <c r="D48" s="284"/>
      <c r="E48" s="284"/>
      <c r="F48" s="284"/>
      <c r="G48" s="284"/>
      <c r="H48" s="284"/>
      <c r="I48" s="284"/>
      <c r="J48" s="285"/>
    </row>
    <row r="49" spans="1:10" ht="18.75" customHeight="1" x14ac:dyDescent="0.15">
      <c r="A49" s="31"/>
      <c r="B49" s="283"/>
      <c r="C49" s="284"/>
      <c r="D49" s="284"/>
      <c r="E49" s="284"/>
      <c r="F49" s="284"/>
      <c r="G49" s="284"/>
      <c r="H49" s="284"/>
      <c r="I49" s="284"/>
      <c r="J49" s="285"/>
    </row>
    <row r="50" spans="1:10" ht="18.75" customHeight="1" x14ac:dyDescent="0.15">
      <c r="A50" s="31"/>
      <c r="B50" s="283"/>
      <c r="C50" s="284"/>
      <c r="D50" s="284"/>
      <c r="E50" s="284"/>
      <c r="F50" s="284"/>
      <c r="G50" s="284"/>
      <c r="H50" s="284"/>
      <c r="I50" s="284"/>
      <c r="J50" s="285"/>
    </row>
    <row r="51" spans="1:10" ht="18.75" customHeight="1" x14ac:dyDescent="0.15">
      <c r="A51" s="31"/>
      <c r="B51" s="283"/>
      <c r="C51" s="284"/>
      <c r="D51" s="284"/>
      <c r="E51" s="284"/>
      <c r="F51" s="284"/>
      <c r="G51" s="284"/>
      <c r="H51" s="284"/>
      <c r="I51" s="284"/>
      <c r="J51" s="285"/>
    </row>
    <row r="52" spans="1:10" ht="18.75" customHeight="1" x14ac:dyDescent="0.15">
      <c r="A52" s="31"/>
      <c r="B52" s="283"/>
      <c r="C52" s="284"/>
      <c r="D52" s="284"/>
      <c r="E52" s="284"/>
      <c r="F52" s="284"/>
      <c r="G52" s="284"/>
      <c r="H52" s="284"/>
      <c r="I52" s="284"/>
      <c r="J52" s="285"/>
    </row>
    <row r="53" spans="1:10" ht="18.75" customHeight="1" x14ac:dyDescent="0.15">
      <c r="A53" s="31"/>
      <c r="B53" s="283"/>
      <c r="C53" s="284"/>
      <c r="D53" s="284"/>
      <c r="E53" s="284"/>
      <c r="F53" s="284"/>
      <c r="G53" s="284"/>
      <c r="H53" s="284"/>
      <c r="I53" s="284"/>
      <c r="J53" s="285"/>
    </row>
    <row r="54" spans="1:10" ht="18.75" customHeight="1" x14ac:dyDescent="0.15">
      <c r="A54" s="31"/>
      <c r="B54" s="283"/>
      <c r="C54" s="284"/>
      <c r="D54" s="284"/>
      <c r="E54" s="284"/>
      <c r="F54" s="284"/>
      <c r="G54" s="284"/>
      <c r="H54" s="284"/>
      <c r="I54" s="284"/>
      <c r="J54" s="285"/>
    </row>
    <row r="55" spans="1:10" ht="18.75" customHeight="1" x14ac:dyDescent="0.15">
      <c r="A55" s="31"/>
      <c r="B55" s="283"/>
      <c r="C55" s="284"/>
      <c r="D55" s="284"/>
      <c r="E55" s="284"/>
      <c r="F55" s="284"/>
      <c r="G55" s="284"/>
      <c r="H55" s="284"/>
      <c r="I55" s="284"/>
      <c r="J55" s="285"/>
    </row>
    <row r="56" spans="1:10" ht="18.75" customHeight="1" x14ac:dyDescent="0.15">
      <c r="A56" s="31"/>
      <c r="B56" s="283"/>
      <c r="C56" s="284"/>
      <c r="D56" s="284"/>
      <c r="E56" s="284"/>
      <c r="F56" s="284"/>
      <c r="G56" s="284"/>
      <c r="H56" s="284"/>
      <c r="I56" s="284"/>
      <c r="J56" s="285"/>
    </row>
    <row r="57" spans="1:10" ht="18.75" customHeight="1" x14ac:dyDescent="0.15">
      <c r="A57" s="31"/>
      <c r="B57" s="283"/>
      <c r="C57" s="284"/>
      <c r="D57" s="284"/>
      <c r="E57" s="284"/>
      <c r="F57" s="284"/>
      <c r="G57" s="284"/>
      <c r="H57" s="284"/>
      <c r="I57" s="284"/>
      <c r="J57" s="285"/>
    </row>
    <row r="58" spans="1:10" ht="18.75" customHeight="1" x14ac:dyDescent="0.15">
      <c r="A58" s="31"/>
      <c r="B58" s="283"/>
      <c r="C58" s="284"/>
      <c r="D58" s="284"/>
      <c r="E58" s="284"/>
      <c r="F58" s="284"/>
      <c r="G58" s="284"/>
      <c r="H58" s="284"/>
      <c r="I58" s="284"/>
      <c r="J58" s="285"/>
    </row>
    <row r="59" spans="1:10" ht="18.75" customHeight="1" x14ac:dyDescent="0.15">
      <c r="A59" s="31"/>
      <c r="B59" s="283"/>
      <c r="C59" s="284"/>
      <c r="D59" s="284"/>
      <c r="E59" s="284"/>
      <c r="F59" s="284"/>
      <c r="G59" s="284"/>
      <c r="H59" s="284"/>
      <c r="I59" s="284"/>
      <c r="J59" s="285"/>
    </row>
    <row r="60" spans="1:10" ht="18.75" customHeight="1" x14ac:dyDescent="0.15">
      <c r="A60" s="31"/>
      <c r="B60" s="283"/>
      <c r="C60" s="284"/>
      <c r="D60" s="284"/>
      <c r="E60" s="284"/>
      <c r="F60" s="284"/>
      <c r="G60" s="284"/>
      <c r="H60" s="284"/>
      <c r="I60" s="284"/>
      <c r="J60" s="285"/>
    </row>
    <row r="61" spans="1:10" ht="18.75" customHeight="1" x14ac:dyDescent="0.15">
      <c r="A61" s="31"/>
      <c r="B61" s="283"/>
      <c r="C61" s="284"/>
      <c r="D61" s="284"/>
      <c r="E61" s="284"/>
      <c r="F61" s="284"/>
      <c r="G61" s="284"/>
      <c r="H61" s="284"/>
      <c r="I61" s="284"/>
      <c r="J61" s="285"/>
    </row>
    <row r="62" spans="1:10" ht="18.75" customHeight="1" x14ac:dyDescent="0.15">
      <c r="A62" s="31"/>
      <c r="B62" s="283"/>
      <c r="C62" s="284"/>
      <c r="D62" s="284"/>
      <c r="E62" s="284"/>
      <c r="F62" s="284"/>
      <c r="G62" s="284"/>
      <c r="H62" s="284"/>
      <c r="I62" s="284"/>
      <c r="J62" s="285"/>
    </row>
    <row r="63" spans="1:10" ht="18.75" customHeight="1" x14ac:dyDescent="0.15">
      <c r="A63" s="31"/>
      <c r="B63" s="283"/>
      <c r="C63" s="284"/>
      <c r="D63" s="284"/>
      <c r="E63" s="284"/>
      <c r="F63" s="284"/>
      <c r="G63" s="284"/>
      <c r="H63" s="284"/>
      <c r="I63" s="284"/>
      <c r="J63" s="285"/>
    </row>
    <row r="64" spans="1:10" ht="18.75" customHeight="1" x14ac:dyDescent="0.15">
      <c r="A64" s="31"/>
      <c r="B64" s="283"/>
      <c r="C64" s="284"/>
      <c r="D64" s="284"/>
      <c r="E64" s="284"/>
      <c r="F64" s="284"/>
      <c r="G64" s="284"/>
      <c r="H64" s="284"/>
      <c r="I64" s="284"/>
      <c r="J64" s="285"/>
    </row>
    <row r="65" spans="1:11" ht="18.75" customHeight="1" x14ac:dyDescent="0.15">
      <c r="A65" s="31"/>
      <c r="B65" s="283"/>
      <c r="C65" s="284"/>
      <c r="D65" s="284"/>
      <c r="E65" s="284"/>
      <c r="F65" s="284"/>
      <c r="G65" s="284"/>
      <c r="H65" s="284"/>
      <c r="I65" s="284"/>
      <c r="J65" s="285"/>
    </row>
    <row r="66" spans="1:11" ht="18.75" customHeight="1" x14ac:dyDescent="0.15">
      <c r="A66" s="31"/>
      <c r="B66" s="286"/>
      <c r="C66" s="287"/>
      <c r="D66" s="287"/>
      <c r="E66" s="287"/>
      <c r="F66" s="287"/>
      <c r="G66" s="287"/>
      <c r="H66" s="287"/>
      <c r="I66" s="287"/>
      <c r="J66" s="288"/>
    </row>
    <row r="67" spans="1:11" ht="7.5" customHeight="1" x14ac:dyDescent="0.15">
      <c r="A67" s="31"/>
      <c r="B67" s="31"/>
      <c r="C67" s="31"/>
      <c r="D67" s="31"/>
      <c r="E67" s="31"/>
      <c r="F67" s="31"/>
      <c r="G67" s="31"/>
      <c r="H67" s="31"/>
      <c r="I67" s="31"/>
      <c r="J67" s="31"/>
    </row>
    <row r="68" spans="1:11" s="4" customFormat="1" ht="18.75" customHeight="1" x14ac:dyDescent="0.15">
      <c r="A68" s="1" t="s">
        <v>12</v>
      </c>
      <c r="B68" s="1" t="s">
        <v>147</v>
      </c>
      <c r="C68" s="1"/>
      <c r="D68" s="1"/>
      <c r="E68" s="1"/>
      <c r="F68" s="1"/>
      <c r="G68" s="1"/>
      <c r="H68" s="1"/>
      <c r="I68" s="1"/>
      <c r="J68" s="1"/>
      <c r="K68" s="27"/>
    </row>
    <row r="69" spans="1:11" s="4" customFormat="1" ht="18.75" customHeight="1" x14ac:dyDescent="0.15">
      <c r="A69" s="1"/>
      <c r="B69" s="269" t="s">
        <v>187</v>
      </c>
      <c r="C69" s="270"/>
      <c r="D69" s="270"/>
      <c r="E69" s="270"/>
      <c r="F69" s="270"/>
      <c r="G69" s="270"/>
      <c r="H69" s="270"/>
      <c r="I69" s="271"/>
      <c r="J69" s="272"/>
      <c r="K69" s="27" t="str">
        <f>IF(B69="","入力してください","")</f>
        <v/>
      </c>
    </row>
    <row r="70" spans="1:11" s="4" customFormat="1" ht="18.75" customHeight="1" x14ac:dyDescent="0.15">
      <c r="A70" s="1"/>
      <c r="B70" s="273"/>
      <c r="C70" s="274"/>
      <c r="D70" s="274"/>
      <c r="E70" s="274"/>
      <c r="F70" s="274"/>
      <c r="G70" s="274"/>
      <c r="H70" s="274"/>
      <c r="I70" s="274"/>
      <c r="J70" s="275"/>
      <c r="K70" s="27"/>
    </row>
    <row r="71" spans="1:11" s="4" customFormat="1" ht="18.75" customHeight="1" x14ac:dyDescent="0.15">
      <c r="A71" s="1"/>
      <c r="B71" s="273"/>
      <c r="C71" s="274"/>
      <c r="D71" s="274"/>
      <c r="E71" s="274"/>
      <c r="F71" s="274"/>
      <c r="G71" s="274"/>
      <c r="H71" s="274"/>
      <c r="I71" s="274"/>
      <c r="J71" s="275"/>
      <c r="K71" s="27"/>
    </row>
    <row r="72" spans="1:11" s="4" customFormat="1" ht="18.75" customHeight="1" x14ac:dyDescent="0.15">
      <c r="A72" s="1"/>
      <c r="B72" s="273"/>
      <c r="C72" s="274"/>
      <c r="D72" s="274"/>
      <c r="E72" s="274"/>
      <c r="F72" s="274"/>
      <c r="G72" s="274"/>
      <c r="H72" s="274"/>
      <c r="I72" s="274"/>
      <c r="J72" s="275"/>
      <c r="K72" s="27"/>
    </row>
    <row r="73" spans="1:11" s="4" customFormat="1" ht="18.75" customHeight="1" x14ac:dyDescent="0.15">
      <c r="A73" s="1"/>
      <c r="B73" s="273"/>
      <c r="C73" s="274"/>
      <c r="D73" s="274"/>
      <c r="E73" s="274"/>
      <c r="F73" s="274"/>
      <c r="G73" s="274"/>
      <c r="H73" s="274"/>
      <c r="I73" s="274"/>
      <c r="J73" s="275"/>
      <c r="K73" s="27"/>
    </row>
    <row r="74" spans="1:11" s="4" customFormat="1" ht="18.75" customHeight="1" x14ac:dyDescent="0.15">
      <c r="A74" s="1"/>
      <c r="B74" s="273"/>
      <c r="C74" s="274"/>
      <c r="D74" s="274"/>
      <c r="E74" s="274"/>
      <c r="F74" s="274"/>
      <c r="G74" s="274"/>
      <c r="H74" s="274"/>
      <c r="I74" s="274"/>
      <c r="J74" s="275"/>
      <c r="K74" s="27"/>
    </row>
    <row r="75" spans="1:11" s="4" customFormat="1" ht="18.75" customHeight="1" x14ac:dyDescent="0.15">
      <c r="A75" s="1"/>
      <c r="B75" s="273"/>
      <c r="C75" s="274"/>
      <c r="D75" s="274"/>
      <c r="E75" s="274"/>
      <c r="F75" s="274"/>
      <c r="G75" s="274"/>
      <c r="H75" s="274"/>
      <c r="I75" s="274"/>
      <c r="J75" s="275"/>
      <c r="K75" s="27"/>
    </row>
    <row r="76" spans="1:11" s="4" customFormat="1" ht="18.75" customHeight="1" x14ac:dyDescent="0.15">
      <c r="A76" s="1"/>
      <c r="B76" s="273"/>
      <c r="C76" s="274"/>
      <c r="D76" s="274"/>
      <c r="E76" s="274"/>
      <c r="F76" s="274"/>
      <c r="G76" s="274"/>
      <c r="H76" s="274"/>
      <c r="I76" s="274"/>
      <c r="J76" s="275"/>
      <c r="K76" s="27"/>
    </row>
    <row r="77" spans="1:11" s="4" customFormat="1" ht="18.75" customHeight="1" x14ac:dyDescent="0.15">
      <c r="A77" s="1"/>
      <c r="B77" s="273"/>
      <c r="C77" s="274"/>
      <c r="D77" s="274"/>
      <c r="E77" s="274"/>
      <c r="F77" s="274"/>
      <c r="G77" s="274"/>
      <c r="H77" s="274"/>
      <c r="I77" s="274"/>
      <c r="J77" s="275"/>
      <c r="K77" s="27"/>
    </row>
    <row r="78" spans="1:11" s="4" customFormat="1" ht="18.75" customHeight="1" x14ac:dyDescent="0.15">
      <c r="A78" s="1"/>
      <c r="B78" s="273"/>
      <c r="C78" s="274"/>
      <c r="D78" s="274"/>
      <c r="E78" s="274"/>
      <c r="F78" s="274"/>
      <c r="G78" s="274"/>
      <c r="H78" s="274"/>
      <c r="I78" s="274"/>
      <c r="J78" s="275"/>
      <c r="K78" s="27"/>
    </row>
    <row r="79" spans="1:11" s="4" customFormat="1" ht="18.75" customHeight="1" x14ac:dyDescent="0.15">
      <c r="A79" s="1"/>
      <c r="B79" s="273"/>
      <c r="C79" s="274"/>
      <c r="D79" s="274"/>
      <c r="E79" s="274"/>
      <c r="F79" s="274"/>
      <c r="G79" s="274"/>
      <c r="H79" s="274"/>
      <c r="I79" s="274"/>
      <c r="J79" s="275"/>
      <c r="K79" s="27"/>
    </row>
    <row r="80" spans="1:11" s="4" customFormat="1" ht="18.75" customHeight="1" x14ac:dyDescent="0.15">
      <c r="A80" s="1"/>
      <c r="B80" s="273"/>
      <c r="C80" s="274"/>
      <c r="D80" s="274"/>
      <c r="E80" s="274"/>
      <c r="F80" s="274"/>
      <c r="G80" s="274"/>
      <c r="H80" s="274"/>
      <c r="I80" s="274"/>
      <c r="J80" s="275"/>
      <c r="K80" s="27"/>
    </row>
    <row r="81" spans="1:11" s="4" customFormat="1" ht="18.75" customHeight="1" x14ac:dyDescent="0.15">
      <c r="A81" s="1"/>
      <c r="B81" s="273"/>
      <c r="C81" s="274"/>
      <c r="D81" s="274"/>
      <c r="E81" s="274"/>
      <c r="F81" s="274"/>
      <c r="G81" s="274"/>
      <c r="H81" s="274"/>
      <c r="I81" s="274"/>
      <c r="J81" s="275"/>
      <c r="K81" s="27"/>
    </row>
    <row r="82" spans="1:11" s="4" customFormat="1" ht="18.75" customHeight="1" x14ac:dyDescent="0.15">
      <c r="A82" s="1"/>
      <c r="B82" s="273"/>
      <c r="C82" s="274"/>
      <c r="D82" s="274"/>
      <c r="E82" s="274"/>
      <c r="F82" s="274"/>
      <c r="G82" s="274"/>
      <c r="H82" s="274"/>
      <c r="I82" s="274"/>
      <c r="J82" s="275"/>
      <c r="K82" s="27"/>
    </row>
    <row r="83" spans="1:11" s="4" customFormat="1" ht="18.75" customHeight="1" x14ac:dyDescent="0.15">
      <c r="A83" s="1"/>
      <c r="B83" s="273"/>
      <c r="C83" s="274"/>
      <c r="D83" s="274"/>
      <c r="E83" s="274"/>
      <c r="F83" s="274"/>
      <c r="G83" s="274"/>
      <c r="H83" s="274"/>
      <c r="I83" s="274"/>
      <c r="J83" s="275"/>
      <c r="K83" s="27"/>
    </row>
    <row r="84" spans="1:11" s="4" customFormat="1" ht="18.75" customHeight="1" x14ac:dyDescent="0.15">
      <c r="A84" s="1"/>
      <c r="B84" s="273"/>
      <c r="C84" s="274"/>
      <c r="D84" s="274"/>
      <c r="E84" s="274"/>
      <c r="F84" s="274"/>
      <c r="G84" s="274"/>
      <c r="H84" s="274"/>
      <c r="I84" s="274"/>
      <c r="J84" s="275"/>
      <c r="K84" s="27"/>
    </row>
    <row r="85" spans="1:11" ht="18.75" customHeight="1" x14ac:dyDescent="0.15">
      <c r="A85" s="31"/>
      <c r="B85" s="273"/>
      <c r="C85" s="274"/>
      <c r="D85" s="274"/>
      <c r="E85" s="274"/>
      <c r="F85" s="274"/>
      <c r="G85" s="274"/>
      <c r="H85" s="274"/>
      <c r="I85" s="274"/>
      <c r="J85" s="275"/>
    </row>
    <row r="86" spans="1:11" ht="18.75" customHeight="1" x14ac:dyDescent="0.15">
      <c r="A86" s="31"/>
      <c r="B86" s="276"/>
      <c r="C86" s="277"/>
      <c r="D86" s="277"/>
      <c r="E86" s="277"/>
      <c r="F86" s="277"/>
      <c r="G86" s="277"/>
      <c r="H86" s="277"/>
      <c r="I86" s="277"/>
      <c r="J86" s="278"/>
    </row>
    <row r="87" spans="1:11" ht="7.5" customHeight="1" x14ac:dyDescent="0.15">
      <c r="A87" s="31"/>
      <c r="B87" s="31"/>
      <c r="C87" s="31"/>
      <c r="D87" s="31"/>
      <c r="E87" s="31"/>
      <c r="F87" s="31"/>
      <c r="G87" s="31"/>
      <c r="H87" s="31"/>
      <c r="I87" s="31"/>
      <c r="J87" s="31"/>
    </row>
    <row r="88" spans="1:11" s="4" customFormat="1" ht="18.75" customHeight="1" x14ac:dyDescent="0.15">
      <c r="A88" s="1" t="s">
        <v>148</v>
      </c>
      <c r="B88" s="1" t="s">
        <v>149</v>
      </c>
      <c r="C88" s="1"/>
      <c r="D88" s="1"/>
      <c r="E88" s="1"/>
      <c r="F88" s="1"/>
      <c r="G88" s="1"/>
      <c r="H88" s="1"/>
      <c r="I88" s="1"/>
      <c r="J88" s="1"/>
      <c r="K88" s="27"/>
    </row>
    <row r="89" spans="1:11" s="4" customFormat="1" ht="18.75" customHeight="1" x14ac:dyDescent="0.15">
      <c r="A89" s="1"/>
      <c r="B89" s="269" t="s">
        <v>199</v>
      </c>
      <c r="C89" s="270"/>
      <c r="D89" s="270"/>
      <c r="E89" s="270"/>
      <c r="F89" s="270"/>
      <c r="G89" s="270"/>
      <c r="H89" s="270"/>
      <c r="I89" s="271"/>
      <c r="J89" s="272"/>
      <c r="K89" s="27"/>
    </row>
    <row r="90" spans="1:11" s="4" customFormat="1" ht="18.75" customHeight="1" x14ac:dyDescent="0.15">
      <c r="A90" s="1"/>
      <c r="B90" s="273"/>
      <c r="C90" s="274"/>
      <c r="D90" s="274"/>
      <c r="E90" s="274"/>
      <c r="F90" s="274"/>
      <c r="G90" s="274"/>
      <c r="H90" s="274"/>
      <c r="I90" s="274"/>
      <c r="J90" s="275"/>
      <c r="K90" s="27"/>
    </row>
    <row r="91" spans="1:11" s="4" customFormat="1" ht="18.75" customHeight="1" x14ac:dyDescent="0.15">
      <c r="A91" s="1"/>
      <c r="B91" s="273"/>
      <c r="C91" s="274"/>
      <c r="D91" s="274"/>
      <c r="E91" s="274"/>
      <c r="F91" s="274"/>
      <c r="G91" s="274"/>
      <c r="H91" s="274"/>
      <c r="I91" s="274"/>
      <c r="J91" s="275"/>
      <c r="K91" s="27" t="str">
        <f>IF(B89="","入力してください","")</f>
        <v/>
      </c>
    </row>
    <row r="92" spans="1:11" s="4" customFormat="1" ht="18.75" customHeight="1" x14ac:dyDescent="0.15">
      <c r="A92" s="1"/>
      <c r="B92" s="273"/>
      <c r="C92" s="274"/>
      <c r="D92" s="274"/>
      <c r="E92" s="274"/>
      <c r="F92" s="274"/>
      <c r="G92" s="274"/>
      <c r="H92" s="274"/>
      <c r="I92" s="274"/>
      <c r="J92" s="275"/>
      <c r="K92" s="27"/>
    </row>
    <row r="93" spans="1:11" s="4" customFormat="1" ht="18.75" customHeight="1" x14ac:dyDescent="0.15">
      <c r="A93" s="1"/>
      <c r="B93" s="273"/>
      <c r="C93" s="274"/>
      <c r="D93" s="274"/>
      <c r="E93" s="274"/>
      <c r="F93" s="274"/>
      <c r="G93" s="274"/>
      <c r="H93" s="274"/>
      <c r="I93" s="274"/>
      <c r="J93" s="275"/>
      <c r="K93" s="27"/>
    </row>
    <row r="94" spans="1:11" s="4" customFormat="1" ht="18.75" customHeight="1" x14ac:dyDescent="0.15">
      <c r="A94" s="1"/>
      <c r="B94" s="273"/>
      <c r="C94" s="274"/>
      <c r="D94" s="274"/>
      <c r="E94" s="274"/>
      <c r="F94" s="274"/>
      <c r="G94" s="274"/>
      <c r="H94" s="274"/>
      <c r="I94" s="274"/>
      <c r="J94" s="275"/>
      <c r="K94" s="27"/>
    </row>
    <row r="95" spans="1:11" s="4" customFormat="1" ht="18.75" customHeight="1" x14ac:dyDescent="0.15">
      <c r="A95" s="1"/>
      <c r="B95" s="273"/>
      <c r="C95" s="274"/>
      <c r="D95" s="274"/>
      <c r="E95" s="274"/>
      <c r="F95" s="274"/>
      <c r="G95" s="274"/>
      <c r="H95" s="274"/>
      <c r="I95" s="274"/>
      <c r="J95" s="275"/>
      <c r="K95" s="27"/>
    </row>
    <row r="96" spans="1:11" s="4" customFormat="1" ht="18.75" customHeight="1" x14ac:dyDescent="0.15">
      <c r="A96" s="1"/>
      <c r="B96" s="273"/>
      <c r="C96" s="274"/>
      <c r="D96" s="274"/>
      <c r="E96" s="274"/>
      <c r="F96" s="274"/>
      <c r="G96" s="274"/>
      <c r="H96" s="274"/>
      <c r="I96" s="274"/>
      <c r="J96" s="275"/>
      <c r="K96" s="27"/>
    </row>
    <row r="97" spans="1:11" s="4" customFormat="1" ht="18.75" customHeight="1" x14ac:dyDescent="0.15">
      <c r="A97" s="1"/>
      <c r="B97" s="273"/>
      <c r="C97" s="274"/>
      <c r="D97" s="274"/>
      <c r="E97" s="274"/>
      <c r="F97" s="274"/>
      <c r="G97" s="274"/>
      <c r="H97" s="274"/>
      <c r="I97" s="274"/>
      <c r="J97" s="275"/>
      <c r="K97" s="27"/>
    </row>
    <row r="98" spans="1:11" s="4" customFormat="1" ht="18.75" customHeight="1" x14ac:dyDescent="0.15">
      <c r="A98" s="1"/>
      <c r="B98" s="273"/>
      <c r="C98" s="274"/>
      <c r="D98" s="274"/>
      <c r="E98" s="274"/>
      <c r="F98" s="274"/>
      <c r="G98" s="274"/>
      <c r="H98" s="274"/>
      <c r="I98" s="274"/>
      <c r="J98" s="275"/>
      <c r="K98" s="27"/>
    </row>
    <row r="99" spans="1:11" s="4" customFormat="1" ht="18.75" customHeight="1" x14ac:dyDescent="0.15">
      <c r="A99" s="1"/>
      <c r="B99" s="273"/>
      <c r="C99" s="274"/>
      <c r="D99" s="274"/>
      <c r="E99" s="274"/>
      <c r="F99" s="274"/>
      <c r="G99" s="274"/>
      <c r="H99" s="274"/>
      <c r="I99" s="274"/>
      <c r="J99" s="275"/>
      <c r="K99" s="27"/>
    </row>
    <row r="100" spans="1:11" s="4" customFormat="1" ht="18.75" customHeight="1" x14ac:dyDescent="0.15">
      <c r="A100" s="1"/>
      <c r="B100" s="273"/>
      <c r="C100" s="274"/>
      <c r="D100" s="274"/>
      <c r="E100" s="274"/>
      <c r="F100" s="274"/>
      <c r="G100" s="274"/>
      <c r="H100" s="274"/>
      <c r="I100" s="274"/>
      <c r="J100" s="275"/>
      <c r="K100" s="27"/>
    </row>
    <row r="101" spans="1:11" s="4" customFormat="1" ht="18.75" customHeight="1" x14ac:dyDescent="0.15">
      <c r="A101" s="1"/>
      <c r="B101" s="273"/>
      <c r="C101" s="274"/>
      <c r="D101" s="274"/>
      <c r="E101" s="274"/>
      <c r="F101" s="274"/>
      <c r="G101" s="274"/>
      <c r="H101" s="274"/>
      <c r="I101" s="274"/>
      <c r="J101" s="275"/>
      <c r="K101" s="27"/>
    </row>
    <row r="102" spans="1:11" s="4" customFormat="1" ht="18.75" customHeight="1" x14ac:dyDescent="0.15">
      <c r="A102" s="1"/>
      <c r="B102" s="273"/>
      <c r="C102" s="274"/>
      <c r="D102" s="274"/>
      <c r="E102" s="274"/>
      <c r="F102" s="274"/>
      <c r="G102" s="274"/>
      <c r="H102" s="274"/>
      <c r="I102" s="274"/>
      <c r="J102" s="275"/>
      <c r="K102" s="27"/>
    </row>
    <row r="103" spans="1:11" s="4" customFormat="1" ht="18.75" customHeight="1" x14ac:dyDescent="0.15">
      <c r="A103" s="1"/>
      <c r="B103" s="273"/>
      <c r="C103" s="274"/>
      <c r="D103" s="274"/>
      <c r="E103" s="274"/>
      <c r="F103" s="274"/>
      <c r="G103" s="274"/>
      <c r="H103" s="274"/>
      <c r="I103" s="274"/>
      <c r="J103" s="275"/>
      <c r="K103" s="27"/>
    </row>
    <row r="104" spans="1:11" s="4" customFormat="1" ht="18.75" customHeight="1" x14ac:dyDescent="0.15">
      <c r="A104" s="1"/>
      <c r="B104" s="273"/>
      <c r="C104" s="274"/>
      <c r="D104" s="274"/>
      <c r="E104" s="274"/>
      <c r="F104" s="274"/>
      <c r="G104" s="274"/>
      <c r="H104" s="274"/>
      <c r="I104" s="274"/>
      <c r="J104" s="275"/>
      <c r="K104" s="27"/>
    </row>
    <row r="105" spans="1:11" s="4" customFormat="1" ht="18.75" customHeight="1" x14ac:dyDescent="0.15">
      <c r="A105" s="1"/>
      <c r="B105" s="273"/>
      <c r="C105" s="274"/>
      <c r="D105" s="274"/>
      <c r="E105" s="274"/>
      <c r="F105" s="274"/>
      <c r="G105" s="274"/>
      <c r="H105" s="274"/>
      <c r="I105" s="274"/>
      <c r="J105" s="275"/>
      <c r="K105" s="27"/>
    </row>
    <row r="106" spans="1:11" s="4" customFormat="1" ht="18.75" customHeight="1" x14ac:dyDescent="0.15">
      <c r="A106" s="1"/>
      <c r="B106" s="273"/>
      <c r="C106" s="274"/>
      <c r="D106" s="274"/>
      <c r="E106" s="274"/>
      <c r="F106" s="274"/>
      <c r="G106" s="274"/>
      <c r="H106" s="274"/>
      <c r="I106" s="274"/>
      <c r="J106" s="275"/>
      <c r="K106" s="27"/>
    </row>
    <row r="107" spans="1:11" ht="18.75" customHeight="1" x14ac:dyDescent="0.15">
      <c r="A107" s="31"/>
      <c r="B107" s="273"/>
      <c r="C107" s="274"/>
      <c r="D107" s="274"/>
      <c r="E107" s="274"/>
      <c r="F107" s="274"/>
      <c r="G107" s="274"/>
      <c r="H107" s="274"/>
      <c r="I107" s="274"/>
      <c r="J107" s="275"/>
    </row>
    <row r="108" spans="1:11" ht="18.75" customHeight="1" x14ac:dyDescent="0.15">
      <c r="A108" s="31"/>
      <c r="B108" s="276"/>
      <c r="C108" s="277"/>
      <c r="D108" s="277"/>
      <c r="E108" s="277"/>
      <c r="F108" s="277"/>
      <c r="G108" s="277"/>
      <c r="H108" s="277"/>
      <c r="I108" s="277"/>
      <c r="J108" s="278"/>
    </row>
    <row r="109" spans="1:11" ht="7.5" customHeight="1" x14ac:dyDescent="0.15">
      <c r="A109" s="31"/>
      <c r="B109" s="31"/>
      <c r="C109" s="31"/>
      <c r="D109" s="31"/>
      <c r="E109" s="31"/>
      <c r="F109" s="31"/>
      <c r="G109" s="31"/>
      <c r="H109" s="31"/>
      <c r="I109" s="31"/>
      <c r="J109" s="31"/>
    </row>
    <row r="110" spans="1:11" s="4" customFormat="1" ht="18.75" customHeight="1" x14ac:dyDescent="0.15">
      <c r="A110" s="1" t="s">
        <v>16</v>
      </c>
      <c r="B110" s="239" t="s">
        <v>150</v>
      </c>
      <c r="C110" s="239"/>
      <c r="D110" s="239"/>
      <c r="E110" s="239"/>
      <c r="F110" s="239"/>
      <c r="G110" s="239"/>
      <c r="H110" s="239"/>
      <c r="I110" s="239"/>
      <c r="J110" s="239"/>
      <c r="K110" s="27"/>
    </row>
    <row r="111" spans="1:11" ht="18.75" customHeight="1" x14ac:dyDescent="0.15">
      <c r="A111" s="31"/>
      <c r="B111" s="269" t="s">
        <v>197</v>
      </c>
      <c r="C111" s="270"/>
      <c r="D111" s="270"/>
      <c r="E111" s="270"/>
      <c r="F111" s="270"/>
      <c r="G111" s="270"/>
      <c r="H111" s="270"/>
      <c r="I111" s="271"/>
      <c r="J111" s="272"/>
    </row>
    <row r="112" spans="1:11" ht="18.75" customHeight="1" x14ac:dyDescent="0.15">
      <c r="A112" s="31"/>
      <c r="B112" s="273"/>
      <c r="C112" s="274"/>
      <c r="D112" s="274"/>
      <c r="E112" s="274"/>
      <c r="F112" s="274"/>
      <c r="G112" s="274"/>
      <c r="H112" s="274"/>
      <c r="I112" s="274"/>
      <c r="J112" s="275"/>
    </row>
    <row r="113" spans="1:11" ht="18.75" customHeight="1" x14ac:dyDescent="0.15">
      <c r="A113" s="31"/>
      <c r="B113" s="273"/>
      <c r="C113" s="274"/>
      <c r="D113" s="274"/>
      <c r="E113" s="274"/>
      <c r="F113" s="274"/>
      <c r="G113" s="274"/>
      <c r="H113" s="274"/>
      <c r="I113" s="274"/>
      <c r="J113" s="275"/>
      <c r="K113" s="27" t="str">
        <f>IF(B111="","入力してください","")</f>
        <v/>
      </c>
    </row>
    <row r="114" spans="1:11" ht="18.75" customHeight="1" x14ac:dyDescent="0.15">
      <c r="A114" s="31"/>
      <c r="B114" s="273"/>
      <c r="C114" s="274"/>
      <c r="D114" s="274"/>
      <c r="E114" s="274"/>
      <c r="F114" s="274"/>
      <c r="G114" s="274"/>
      <c r="H114" s="274"/>
      <c r="I114" s="274"/>
      <c r="J114" s="275"/>
    </row>
    <row r="115" spans="1:11" ht="18.75" customHeight="1" x14ac:dyDescent="0.15">
      <c r="A115" s="31"/>
      <c r="B115" s="273"/>
      <c r="C115" s="274"/>
      <c r="D115" s="274"/>
      <c r="E115" s="274"/>
      <c r="F115" s="274"/>
      <c r="G115" s="274"/>
      <c r="H115" s="274"/>
      <c r="I115" s="274"/>
      <c r="J115" s="275"/>
    </row>
    <row r="116" spans="1:11" ht="18.75" customHeight="1" x14ac:dyDescent="0.15">
      <c r="A116" s="31"/>
      <c r="B116" s="273"/>
      <c r="C116" s="274"/>
      <c r="D116" s="274"/>
      <c r="E116" s="274"/>
      <c r="F116" s="274"/>
      <c r="G116" s="274"/>
      <c r="H116" s="274"/>
      <c r="I116" s="274"/>
      <c r="J116" s="275"/>
    </row>
    <row r="117" spans="1:11" ht="18.75" customHeight="1" x14ac:dyDescent="0.15">
      <c r="A117" s="31"/>
      <c r="B117" s="273"/>
      <c r="C117" s="274"/>
      <c r="D117" s="274"/>
      <c r="E117" s="274"/>
      <c r="F117" s="274"/>
      <c r="G117" s="274"/>
      <c r="H117" s="274"/>
      <c r="I117" s="274"/>
      <c r="J117" s="275"/>
    </row>
    <row r="118" spans="1:11" ht="18.75" customHeight="1" x14ac:dyDescent="0.15">
      <c r="A118" s="31"/>
      <c r="B118" s="273"/>
      <c r="C118" s="274"/>
      <c r="D118" s="274"/>
      <c r="E118" s="274"/>
      <c r="F118" s="274"/>
      <c r="G118" s="274"/>
      <c r="H118" s="274"/>
      <c r="I118" s="274"/>
      <c r="J118" s="275"/>
    </row>
    <row r="119" spans="1:11" ht="18.75" customHeight="1" x14ac:dyDescent="0.15">
      <c r="A119" s="31"/>
      <c r="B119" s="273"/>
      <c r="C119" s="274"/>
      <c r="D119" s="274"/>
      <c r="E119" s="274"/>
      <c r="F119" s="274"/>
      <c r="G119" s="274"/>
      <c r="H119" s="274"/>
      <c r="I119" s="274"/>
      <c r="J119" s="275"/>
    </row>
    <row r="120" spans="1:11" ht="18.75" customHeight="1" x14ac:dyDescent="0.15">
      <c r="A120" s="31"/>
      <c r="B120" s="273"/>
      <c r="C120" s="274"/>
      <c r="D120" s="274"/>
      <c r="E120" s="274"/>
      <c r="F120" s="274"/>
      <c r="G120" s="274"/>
      <c r="H120" s="274"/>
      <c r="I120" s="274"/>
      <c r="J120" s="275"/>
    </row>
    <row r="121" spans="1:11" ht="18.75" customHeight="1" x14ac:dyDescent="0.15">
      <c r="A121" s="31"/>
      <c r="B121" s="273"/>
      <c r="C121" s="274"/>
      <c r="D121" s="274"/>
      <c r="E121" s="274"/>
      <c r="F121" s="274"/>
      <c r="G121" s="274"/>
      <c r="H121" s="274"/>
      <c r="I121" s="274"/>
      <c r="J121" s="275"/>
    </row>
    <row r="122" spans="1:11" ht="18.75" customHeight="1" x14ac:dyDescent="0.15">
      <c r="A122" s="31"/>
      <c r="B122" s="273"/>
      <c r="C122" s="274"/>
      <c r="D122" s="274"/>
      <c r="E122" s="274"/>
      <c r="F122" s="274"/>
      <c r="G122" s="274"/>
      <c r="H122" s="274"/>
      <c r="I122" s="274"/>
      <c r="J122" s="275"/>
    </row>
    <row r="123" spans="1:11" ht="18.75" customHeight="1" x14ac:dyDescent="0.15">
      <c r="A123" s="31"/>
      <c r="B123" s="273"/>
      <c r="C123" s="274"/>
      <c r="D123" s="274"/>
      <c r="E123" s="274"/>
      <c r="F123" s="274"/>
      <c r="G123" s="274"/>
      <c r="H123" s="274"/>
      <c r="I123" s="274"/>
      <c r="J123" s="275"/>
    </row>
    <row r="124" spans="1:11" ht="18.75" customHeight="1" x14ac:dyDescent="0.15">
      <c r="A124" s="31"/>
      <c r="B124" s="273"/>
      <c r="C124" s="274"/>
      <c r="D124" s="274"/>
      <c r="E124" s="274"/>
      <c r="F124" s="274"/>
      <c r="G124" s="274"/>
      <c r="H124" s="274"/>
      <c r="I124" s="274"/>
      <c r="J124" s="275"/>
    </row>
    <row r="125" spans="1:11" ht="18.75" customHeight="1" x14ac:dyDescent="0.15">
      <c r="A125" s="31"/>
      <c r="B125" s="273"/>
      <c r="C125" s="274"/>
      <c r="D125" s="274"/>
      <c r="E125" s="274"/>
      <c r="F125" s="274"/>
      <c r="G125" s="274"/>
      <c r="H125" s="274"/>
      <c r="I125" s="274"/>
      <c r="J125" s="275"/>
    </row>
    <row r="126" spans="1:11" ht="18.75" customHeight="1" x14ac:dyDescent="0.15">
      <c r="A126" s="31"/>
      <c r="B126" s="273"/>
      <c r="C126" s="274"/>
      <c r="D126" s="274"/>
      <c r="E126" s="274"/>
      <c r="F126" s="274"/>
      <c r="G126" s="274"/>
      <c r="H126" s="274"/>
      <c r="I126" s="274"/>
      <c r="J126" s="275"/>
    </row>
    <row r="127" spans="1:11" ht="18.75" customHeight="1" x14ac:dyDescent="0.15">
      <c r="A127" s="31"/>
      <c r="B127" s="273"/>
      <c r="C127" s="274"/>
      <c r="D127" s="274"/>
      <c r="E127" s="274"/>
      <c r="F127" s="274"/>
      <c r="G127" s="274"/>
      <c r="H127" s="274"/>
      <c r="I127" s="274"/>
      <c r="J127" s="275"/>
    </row>
    <row r="128" spans="1:11" ht="18.75" customHeight="1" x14ac:dyDescent="0.15">
      <c r="A128" s="31"/>
      <c r="B128" s="273"/>
      <c r="C128" s="274"/>
      <c r="D128" s="274"/>
      <c r="E128" s="274"/>
      <c r="F128" s="274"/>
      <c r="G128" s="274"/>
      <c r="H128" s="274"/>
      <c r="I128" s="274"/>
      <c r="J128" s="275"/>
    </row>
    <row r="129" spans="1:10" ht="18.75" customHeight="1" x14ac:dyDescent="0.15">
      <c r="A129" s="31"/>
      <c r="B129" s="276"/>
      <c r="C129" s="277"/>
      <c r="D129" s="277"/>
      <c r="E129" s="277"/>
      <c r="F129" s="277"/>
      <c r="G129" s="277"/>
      <c r="H129" s="277"/>
      <c r="I129" s="277"/>
      <c r="J129" s="278"/>
    </row>
    <row r="130" spans="1:10" ht="7.5" customHeight="1" x14ac:dyDescent="0.15">
      <c r="A130" s="31"/>
      <c r="B130" s="93"/>
      <c r="C130" s="93"/>
      <c r="D130" s="93"/>
      <c r="E130" s="93"/>
      <c r="F130" s="93"/>
      <c r="G130" s="93"/>
      <c r="H130" s="93"/>
      <c r="I130" s="93"/>
      <c r="J130" s="93"/>
    </row>
    <row r="131" spans="1:10" ht="18.75" customHeight="1" x14ac:dyDescent="0.15">
      <c r="A131" s="31"/>
      <c r="B131" s="31"/>
      <c r="C131" s="31"/>
      <c r="D131" s="31"/>
      <c r="E131" s="31"/>
      <c r="F131" s="31"/>
      <c r="G131" s="31"/>
      <c r="H131" s="31"/>
      <c r="I131" s="31"/>
      <c r="J131" s="31"/>
    </row>
    <row r="132" spans="1:10" ht="18.75" customHeight="1" x14ac:dyDescent="0.15">
      <c r="A132" s="31"/>
      <c r="B132" s="31"/>
      <c r="C132" s="31"/>
      <c r="D132" s="31"/>
      <c r="E132" s="31"/>
      <c r="F132" s="31"/>
      <c r="G132" s="31"/>
      <c r="H132" s="31"/>
      <c r="I132" s="31"/>
      <c r="J132" s="31"/>
    </row>
    <row r="133" spans="1:10" ht="18.75" customHeight="1" x14ac:dyDescent="0.15">
      <c r="A133" s="31"/>
      <c r="B133" s="31"/>
      <c r="C133" s="31"/>
      <c r="D133" s="31"/>
      <c r="E133" s="31"/>
      <c r="F133" s="31"/>
      <c r="G133" s="31"/>
      <c r="H133" s="31"/>
      <c r="I133" s="31"/>
      <c r="J133" s="31"/>
    </row>
    <row r="134" spans="1:10" ht="18.75" customHeight="1" x14ac:dyDescent="0.15">
      <c r="A134" s="31"/>
      <c r="B134" s="31"/>
      <c r="C134" s="31"/>
      <c r="D134" s="31"/>
      <c r="E134" s="31"/>
      <c r="F134" s="31"/>
      <c r="G134" s="31"/>
      <c r="H134" s="31"/>
      <c r="I134" s="31"/>
      <c r="J134" s="31"/>
    </row>
    <row r="135" spans="1:10" ht="18.75" customHeight="1" x14ac:dyDescent="0.15">
      <c r="A135" s="31"/>
      <c r="B135" s="31"/>
      <c r="C135" s="31"/>
      <c r="D135" s="31"/>
      <c r="E135" s="31"/>
      <c r="F135" s="31"/>
      <c r="G135" s="31"/>
      <c r="H135" s="31"/>
      <c r="I135" s="31"/>
      <c r="J135" s="31"/>
    </row>
    <row r="136" spans="1:10" ht="18.75" customHeight="1" x14ac:dyDescent="0.15">
      <c r="A136" s="31"/>
      <c r="B136" s="31"/>
      <c r="C136" s="31"/>
      <c r="D136" s="31"/>
      <c r="E136" s="31"/>
      <c r="F136" s="31"/>
      <c r="G136" s="31"/>
      <c r="H136" s="31"/>
      <c r="I136" s="31"/>
      <c r="J136" s="31"/>
    </row>
    <row r="137" spans="1:10" ht="18.75" customHeight="1" x14ac:dyDescent="0.15">
      <c r="A137" s="31"/>
      <c r="B137" s="31"/>
      <c r="C137" s="31"/>
      <c r="D137" s="31"/>
      <c r="E137" s="31"/>
      <c r="F137" s="31"/>
      <c r="G137" s="31"/>
      <c r="H137" s="31"/>
      <c r="I137" s="31"/>
      <c r="J137" s="31"/>
    </row>
    <row r="138" spans="1:10" ht="18.75" customHeight="1" x14ac:dyDescent="0.15">
      <c r="A138" s="31"/>
      <c r="B138" s="31"/>
      <c r="C138" s="31"/>
      <c r="D138" s="31"/>
      <c r="E138" s="31"/>
      <c r="F138" s="31"/>
      <c r="G138" s="31"/>
      <c r="H138" s="31"/>
      <c r="I138" s="31"/>
      <c r="J138" s="31"/>
    </row>
    <row r="139" spans="1:10" ht="18.75" customHeight="1" x14ac:dyDescent="0.15">
      <c r="A139" s="31"/>
      <c r="B139" s="31"/>
      <c r="C139" s="31"/>
      <c r="D139" s="31"/>
      <c r="E139" s="31"/>
      <c r="F139" s="31"/>
      <c r="G139" s="31"/>
      <c r="H139" s="31"/>
      <c r="I139" s="31"/>
      <c r="J139" s="31"/>
    </row>
    <row r="140" spans="1:10" ht="18.75" customHeight="1" x14ac:dyDescent="0.15">
      <c r="A140" s="31"/>
      <c r="B140" s="31"/>
      <c r="C140" s="31"/>
      <c r="D140" s="31"/>
      <c r="E140" s="31"/>
      <c r="F140" s="31"/>
      <c r="G140" s="31"/>
      <c r="H140" s="31"/>
      <c r="I140" s="31"/>
      <c r="J140" s="31"/>
    </row>
    <row r="141" spans="1:10" ht="18.75" customHeight="1" x14ac:dyDescent="0.15">
      <c r="A141" s="31"/>
      <c r="B141" s="31"/>
      <c r="C141" s="31"/>
      <c r="D141" s="31"/>
      <c r="E141" s="31"/>
      <c r="F141" s="31"/>
      <c r="G141" s="31"/>
      <c r="H141" s="31"/>
      <c r="I141" s="31"/>
      <c r="J141" s="31"/>
    </row>
    <row r="142" spans="1:10" ht="18.75" customHeight="1" x14ac:dyDescent="0.15">
      <c r="A142" s="31"/>
      <c r="B142" s="31"/>
      <c r="C142" s="31"/>
      <c r="D142" s="31"/>
      <c r="E142" s="31"/>
      <c r="F142" s="31"/>
      <c r="G142" s="31"/>
      <c r="H142" s="31"/>
      <c r="I142" s="31"/>
      <c r="J142" s="31"/>
    </row>
    <row r="143" spans="1:10" ht="14.25" x14ac:dyDescent="0.15">
      <c r="A143" s="31"/>
      <c r="B143" s="31"/>
      <c r="C143" s="31"/>
      <c r="D143" s="31"/>
      <c r="E143" s="31"/>
      <c r="F143" s="31"/>
      <c r="G143" s="31"/>
      <c r="H143" s="31"/>
      <c r="I143" s="31"/>
      <c r="J143" s="31"/>
    </row>
    <row r="144" spans="1:10" ht="7.5" customHeight="1" x14ac:dyDescent="0.15">
      <c r="A144" s="94"/>
      <c r="B144" s="94"/>
      <c r="C144" s="94"/>
      <c r="D144" s="94"/>
      <c r="E144" s="94"/>
      <c r="F144" s="94"/>
      <c r="G144" s="94"/>
      <c r="H144" s="94"/>
      <c r="I144" s="94"/>
      <c r="J144" s="9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L9" sqref="L9"/>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375" style="1" customWidth="1"/>
    <col min="10" max="10" width="5.375" style="1" customWidth="1"/>
    <col min="11" max="11" width="4.125" style="27" customWidth="1"/>
    <col min="12" max="16384" width="11.375" style="1"/>
  </cols>
  <sheetData>
    <row r="1" spans="1:11" ht="18.75" customHeight="1" x14ac:dyDescent="0.15">
      <c r="A1" s="1" t="s">
        <v>151</v>
      </c>
      <c r="J1" s="33" t="s">
        <v>152</v>
      </c>
    </row>
    <row r="2" spans="1:11" ht="18.75" customHeight="1" x14ac:dyDescent="0.15">
      <c r="A2" s="223" t="s">
        <v>153</v>
      </c>
      <c r="B2" s="223"/>
      <c r="C2" s="223"/>
      <c r="D2" s="223"/>
      <c r="E2" s="223"/>
      <c r="F2" s="223"/>
      <c r="G2" s="223"/>
      <c r="H2" s="223"/>
      <c r="I2" s="223"/>
      <c r="J2" s="223"/>
    </row>
    <row r="3" spans="1:11" ht="7.5" customHeight="1" x14ac:dyDescent="0.15">
      <c r="A3" s="34"/>
      <c r="B3" s="34"/>
      <c r="C3" s="34"/>
      <c r="D3" s="34"/>
      <c r="E3" s="34"/>
      <c r="F3" s="34"/>
      <c r="G3" s="34"/>
      <c r="H3" s="34"/>
      <c r="I3" s="34"/>
      <c r="J3" s="34"/>
    </row>
    <row r="4" spans="1:11" ht="18.75" customHeight="1" x14ac:dyDescent="0.15">
      <c r="A4" s="1" t="s">
        <v>2</v>
      </c>
      <c r="B4" s="4" t="s">
        <v>154</v>
      </c>
      <c r="C4" s="31"/>
      <c r="D4" s="31"/>
      <c r="E4" s="32"/>
      <c r="F4" s="32"/>
      <c r="G4" s="32"/>
      <c r="H4" s="32"/>
      <c r="I4" s="32"/>
      <c r="J4" s="32"/>
    </row>
    <row r="5" spans="1:11" ht="18.75" customHeight="1" x14ac:dyDescent="0.15">
      <c r="B5" s="252" t="s">
        <v>155</v>
      </c>
      <c r="C5" s="253"/>
      <c r="D5" s="254"/>
      <c r="E5" s="255" t="s">
        <v>156</v>
      </c>
      <c r="F5" s="255"/>
      <c r="G5" s="255"/>
      <c r="H5" s="255"/>
      <c r="I5" s="255"/>
      <c r="J5" s="256"/>
    </row>
    <row r="6" spans="1:11" ht="18.75" customHeight="1" x14ac:dyDescent="0.15">
      <c r="B6" s="3" t="s">
        <v>157</v>
      </c>
      <c r="C6" s="31"/>
      <c r="D6" s="7"/>
      <c r="I6" s="32"/>
      <c r="J6" s="5"/>
    </row>
    <row r="7" spans="1:11" ht="207" customHeight="1" x14ac:dyDescent="0.15">
      <c r="B7" s="6"/>
      <c r="C7" s="246" t="s">
        <v>158</v>
      </c>
      <c r="D7" s="247"/>
      <c r="E7" s="289" t="s">
        <v>189</v>
      </c>
      <c r="F7" s="290"/>
      <c r="G7" s="290"/>
      <c r="H7" s="290"/>
      <c r="I7" s="290"/>
      <c r="J7" s="291"/>
      <c r="K7" s="27" t="str">
        <f>IF(E7="","入力してください","")</f>
        <v/>
      </c>
    </row>
    <row r="8" spans="1:11" ht="207" customHeight="1" x14ac:dyDescent="0.15">
      <c r="B8" s="6"/>
      <c r="C8" s="250" t="s">
        <v>159</v>
      </c>
      <c r="D8" s="251"/>
      <c r="E8" s="289" t="s">
        <v>190</v>
      </c>
      <c r="F8" s="290"/>
      <c r="G8" s="290"/>
      <c r="H8" s="290"/>
      <c r="I8" s="290"/>
      <c r="J8" s="291"/>
      <c r="K8" s="27" t="str">
        <f>IF(E8="","入力してください","")</f>
        <v/>
      </c>
    </row>
    <row r="9" spans="1:11" ht="172.5" customHeight="1" x14ac:dyDescent="0.15">
      <c r="B9" s="6"/>
      <c r="C9" s="246" t="s">
        <v>160</v>
      </c>
      <c r="D9" s="247"/>
      <c r="E9" s="289" t="s">
        <v>191</v>
      </c>
      <c r="F9" s="290"/>
      <c r="G9" s="290"/>
      <c r="H9" s="290"/>
      <c r="I9" s="290"/>
      <c r="J9" s="291"/>
      <c r="K9" s="27" t="str">
        <f>IF(E9="","入力してください","")</f>
        <v/>
      </c>
    </row>
    <row r="10" spans="1:11" ht="172.5" customHeight="1" x14ac:dyDescent="0.15">
      <c r="B10" s="6"/>
      <c r="C10" s="246" t="s">
        <v>161</v>
      </c>
      <c r="D10" s="247"/>
      <c r="E10" s="289" t="s">
        <v>192</v>
      </c>
      <c r="F10" s="290"/>
      <c r="G10" s="290"/>
      <c r="H10" s="290"/>
      <c r="I10" s="290"/>
      <c r="J10" s="291"/>
      <c r="K10" s="27" t="str">
        <f t="shared" ref="K10:K14" si="0">IF(E10="","入力してください","")</f>
        <v/>
      </c>
    </row>
    <row r="11" spans="1:11" ht="172.5" customHeight="1" x14ac:dyDescent="0.15">
      <c r="B11" s="6"/>
      <c r="C11" s="246" t="s">
        <v>162</v>
      </c>
      <c r="D11" s="247"/>
      <c r="E11" s="289" t="s">
        <v>193</v>
      </c>
      <c r="F11" s="290"/>
      <c r="G11" s="290"/>
      <c r="H11" s="290"/>
      <c r="I11" s="290"/>
      <c r="J11" s="291"/>
      <c r="K11" s="27" t="str">
        <f t="shared" si="0"/>
        <v/>
      </c>
    </row>
    <row r="12" spans="1:11" ht="18.75" customHeight="1" x14ac:dyDescent="0.15">
      <c r="B12" s="9" t="s">
        <v>163</v>
      </c>
      <c r="C12" s="24"/>
      <c r="D12" s="8"/>
      <c r="E12" s="292"/>
      <c r="F12" s="292"/>
      <c r="G12" s="292"/>
      <c r="H12" s="292"/>
      <c r="I12" s="292"/>
      <c r="J12" s="293"/>
    </row>
    <row r="13" spans="1:11" ht="244.15" customHeight="1" x14ac:dyDescent="0.15">
      <c r="B13" s="6"/>
      <c r="C13" s="246" t="s">
        <v>164</v>
      </c>
      <c r="D13" s="247"/>
      <c r="E13" s="289" t="s">
        <v>194</v>
      </c>
      <c r="F13" s="290"/>
      <c r="G13" s="290"/>
      <c r="H13" s="290"/>
      <c r="I13" s="290"/>
      <c r="J13" s="291"/>
      <c r="K13" s="27" t="str">
        <f t="shared" si="0"/>
        <v/>
      </c>
    </row>
    <row r="14" spans="1:11" ht="255" customHeight="1" x14ac:dyDescent="0.15">
      <c r="B14" s="6"/>
      <c r="C14" s="246" t="s">
        <v>165</v>
      </c>
      <c r="D14" s="247"/>
      <c r="E14" s="289" t="s">
        <v>195</v>
      </c>
      <c r="F14" s="290"/>
      <c r="G14" s="290"/>
      <c r="H14" s="290"/>
      <c r="I14" s="290"/>
      <c r="J14" s="291"/>
      <c r="K14" s="27" t="str">
        <f t="shared" si="0"/>
        <v/>
      </c>
    </row>
    <row r="15" spans="1:11" ht="243" customHeight="1" x14ac:dyDescent="0.15">
      <c r="B15" s="248" t="s">
        <v>166</v>
      </c>
      <c r="C15" s="249"/>
      <c r="D15" s="247"/>
      <c r="E15" s="289" t="s">
        <v>196</v>
      </c>
      <c r="F15" s="290"/>
      <c r="G15" s="290"/>
      <c r="H15" s="290"/>
      <c r="I15" s="290"/>
      <c r="J15" s="291"/>
      <c r="K15" s="27" t="str">
        <f>IF(E15="","入力してください","")</f>
        <v/>
      </c>
    </row>
    <row r="16" spans="1:11" ht="243" customHeight="1" x14ac:dyDescent="0.15">
      <c r="A16" s="27"/>
      <c r="B16" s="240" t="s">
        <v>167</v>
      </c>
      <c r="C16" s="241"/>
      <c r="D16" s="242"/>
      <c r="E16" s="294" t="s">
        <v>168</v>
      </c>
      <c r="F16" s="295"/>
      <c r="G16" s="295"/>
      <c r="H16" s="295"/>
      <c r="I16" s="295"/>
      <c r="J16" s="296"/>
      <c r="K16" s="27" t="str">
        <f>IF(E16="","入力してください","")</f>
        <v/>
      </c>
    </row>
    <row r="17" spans="1:11" ht="7.5" customHeight="1" x14ac:dyDescent="0.15">
      <c r="B17" s="31"/>
      <c r="C17" s="31"/>
      <c r="D17" s="31"/>
      <c r="E17" s="32"/>
      <c r="F17" s="32"/>
      <c r="G17" s="32"/>
      <c r="H17" s="32"/>
      <c r="I17" s="32"/>
      <c r="J17" s="32"/>
    </row>
    <row r="18" spans="1:11" ht="18.75" customHeight="1" x14ac:dyDescent="0.15">
      <c r="A18" s="1" t="s">
        <v>169</v>
      </c>
      <c r="B18" s="4"/>
      <c r="C18" s="31"/>
      <c r="D18" s="31"/>
      <c r="E18" s="32"/>
      <c r="F18" s="83"/>
      <c r="G18" s="243" t="s">
        <v>106</v>
      </c>
      <c r="H18" s="244"/>
      <c r="I18" s="244"/>
      <c r="J18" s="245"/>
      <c r="K18" s="27" t="str">
        <f>IF(G18="","入力してください","")</f>
        <v/>
      </c>
    </row>
    <row r="19" spans="1:11" ht="22.5" customHeight="1" x14ac:dyDescent="0.15">
      <c r="B19" s="31"/>
      <c r="C19" s="31"/>
      <c r="D19" s="31"/>
      <c r="E19" s="32"/>
      <c r="F19" s="32"/>
      <c r="G19" s="32"/>
      <c r="H19" s="32"/>
      <c r="I19" s="32"/>
      <c r="J19" s="32"/>
    </row>
    <row r="20" spans="1:11" ht="22.5" customHeight="1" x14ac:dyDescent="0.15">
      <c r="B20" s="31"/>
      <c r="C20" s="31"/>
      <c r="D20" s="31"/>
      <c r="E20" s="32"/>
      <c r="F20" s="32"/>
      <c r="G20" s="32"/>
      <c r="H20" s="32"/>
      <c r="I20" s="32"/>
      <c r="J20" s="32"/>
    </row>
    <row r="21" spans="1:11" ht="22.5" customHeight="1" x14ac:dyDescent="0.15">
      <c r="B21" s="31"/>
      <c r="C21" s="31"/>
      <c r="D21" s="31"/>
      <c r="E21" s="32"/>
      <c r="F21" s="32"/>
      <c r="G21" s="32"/>
      <c r="H21" s="32"/>
      <c r="I21" s="32"/>
      <c r="J21" s="32"/>
    </row>
    <row r="22" spans="1:11" ht="22.5" customHeight="1" x14ac:dyDescent="0.15">
      <c r="B22" s="31"/>
      <c r="C22" s="31"/>
      <c r="D22" s="31"/>
      <c r="E22" s="32"/>
      <c r="F22" s="32"/>
      <c r="G22" s="32"/>
      <c r="H22" s="32"/>
      <c r="I22" s="32"/>
      <c r="J22" s="32"/>
    </row>
    <row r="23" spans="1:11" ht="22.5" customHeight="1" x14ac:dyDescent="0.15">
      <c r="B23" s="31"/>
      <c r="C23" s="31"/>
      <c r="D23" s="31"/>
      <c r="E23" s="32"/>
      <c r="F23" s="32"/>
      <c r="G23" s="32"/>
      <c r="H23" s="32"/>
      <c r="I23" s="32"/>
      <c r="J23" s="32"/>
    </row>
    <row r="24" spans="1:11" ht="22.5" customHeight="1" x14ac:dyDescent="0.15">
      <c r="B24" s="95"/>
      <c r="C24" s="95"/>
      <c r="D24" s="95"/>
      <c r="E24" s="95"/>
      <c r="F24" s="95"/>
      <c r="G24" s="95"/>
      <c r="H24" s="95"/>
      <c r="I24" s="95"/>
      <c r="J24" s="95"/>
    </row>
    <row r="25" spans="1:11" ht="22.5" customHeight="1" x14ac:dyDescent="0.15">
      <c r="B25" s="95"/>
      <c r="C25" s="95"/>
      <c r="D25" s="95"/>
      <c r="E25" s="95"/>
      <c r="F25" s="95"/>
      <c r="G25" s="95"/>
      <c r="H25" s="95"/>
      <c r="I25" s="95"/>
      <c r="J25" s="95"/>
    </row>
    <row r="26" spans="1:11" ht="22.5" customHeight="1" x14ac:dyDescent="0.15">
      <c r="B26" s="95"/>
      <c r="C26" s="95"/>
      <c r="D26" s="95"/>
      <c r="E26" s="95"/>
      <c r="F26" s="95"/>
      <c r="G26" s="95"/>
      <c r="H26" s="95"/>
      <c r="I26" s="95"/>
      <c r="J26" s="9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B4E411EB-D736-4BF5-B5DA-459B969F0856}"/>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708EB22690FF6429EC95027A1F4B1AC" ma:contentTypeVersion="2" ma:contentTypeDescription="新しいドキュメントを作成します。" ma:contentTypeScope="" ma:versionID="aeb74cc903bbd26adccd06ab73aae4ab">
  <xsd:schema xmlns:xsd="http://www.w3.org/2001/XMLSchema" xmlns:xs="http://www.w3.org/2001/XMLSchema" xmlns:p="http://schemas.microsoft.com/office/2006/metadata/properties" xmlns:ns2="f165e3ae-9d49-4ed5-9f22-59e7eec0ae13" targetNamespace="http://schemas.microsoft.com/office/2006/metadata/properties" ma:root="true" ma:fieldsID="9538f61e30691cc080301d15b78bb601" ns2:_="">
    <xsd:import namespace="f165e3ae-9d49-4ed5-9f22-59e7eec0ae1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65e3ae-9d49-4ed5-9f22-59e7eec0ae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A75D83-6C73-40D3-9799-43F902CB18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65e3ae-9d49-4ed5-9f22-59e7eec0ae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724CC5-5AA3-4781-9C64-C5580BE86DDA}">
  <ds:schemaRefs>
    <ds:schemaRef ds:uri="http://schemas.microsoft.com/sharepoint/v3/contenttype/forms"/>
  </ds:schemaRefs>
</ds:datastoreItem>
</file>

<file path=customXml/itemProps3.xml><?xml version="1.0" encoding="utf-8"?>
<ds:datastoreItem xmlns:ds="http://schemas.openxmlformats.org/officeDocument/2006/customXml" ds:itemID="{2B5ECF1F-E470-467A-B204-C1443F87B446}">
  <ds:schemaRefs>
    <ds:schemaRef ds:uri="http://schemas.microsoft.com/office/2006/metadata/properties"/>
    <ds:schemaRef ds:uri="http://schemas.microsoft.com/office/infopath/2007/PartnerControls"/>
    <ds:schemaRef ds:uri="f165e3ae-9d49-4ed5-9f22-59e7eec0ae13"/>
    <ds:schemaRef ds:uri="http://www.w3.org/XML/1998/namespace"/>
    <ds:schemaRef ds:uri="http://purl.org/dc/terms/"/>
    <ds:schemaRef ds:uri="http://purl.org/dc/elements/1.1/"/>
    <ds:schemaRef ds:uri="http://schemas.microsoft.com/office/2006/documentManagement/typ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Shin-Ichiro Kumamoto</cp:lastModifiedBy>
  <cp:revision/>
  <cp:lastPrinted>2022-04-28T05:21:38Z</cp:lastPrinted>
  <dcterms:created xsi:type="dcterms:W3CDTF">2011-06-14T05:32:50Z</dcterms:created>
  <dcterms:modified xsi:type="dcterms:W3CDTF">2022-05-17T06:40:13Z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0x0101005708EB22690FF6429EC95027A1F4B1AC</vt:lpwstr>
  </property>
</Properties>
</file>