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事務長\Desktop\庶務課\データサイエンス申請資料\修正提出用\"/>
    </mc:Choice>
  </mc:AlternateContent>
  <bookViews>
    <workbookView xWindow="0" yWindow="0" windowWidth="28800" windowHeight="10710" tabRatio="885"/>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<sst xmlns="http://schemas.openxmlformats.org/spreadsheetml/2006/main" count="315" uniqueCount="207">
  <si>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</si>
  <si>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</si>
  <si>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</si>
  <si>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</si>
  <si>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</si>
  <si>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</si>
  <si>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</si>
  <si>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</si>
  <si>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</si>
  <si>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</si>
  <si>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</si>
  <si>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</si>
  <si>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</si>
  <si>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</si>
  <si>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</si>
  <si>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</si>
  <si>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</si>
  <si>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</si>
  <si>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</si>
  <si>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</si>
  <si>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</si>
  <si>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</si>
  <si>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</si>
  <si>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</si>
  <si>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</si>
  <si>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</si>
  <si>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</si>
  <si>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</si>
  <si>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</si>
  <si>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</si>
  <si>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</si>
  <si>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</si>
  <si>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</si>
  <si>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</si>
  <si>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</si>
  <si>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</si>
  <si>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</si>
  <si>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</si>
  <si>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</si>
  <si>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</si>
  <si>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</si>
  <si>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</si>
  <si>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</si>
  <si>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</si>
  <si>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</si>
  <si>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</si>
  <si>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</si>
  <si>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</si>
  <si>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</si>
  <si>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</si>
  <si>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</si>
  <si>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</si>
  <si>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</si>
  <si>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</si>
  <si>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</si>
  <si>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</si>
  <si>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</si>
  <si>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</si>
  <si>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</si>
  <si>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</si>
  <si>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</si>
  <si>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</si>
  <si>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</si>
  <si>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</si>
  <si>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</si>
  <si>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</si>
  <si>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</si>
  <si>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</si>
  <si>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</si>
  <si>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</si>
  <si>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</si>
  <si>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</si>
  <si>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</si>
  <si>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</si>
  <si>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</si>
  <si>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</si>
  <si>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</si>
  <si>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</si>
  <si>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</si>
  <si>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</si>
  <si>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</si>
  <si>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</si>
  <si>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</si>
  <si>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</si>
  <si>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</si>
  <si>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</si>
  <si>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</si>
  <si>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</si>
  <si>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</si>
  <si>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</si>
  <si>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</si>
  <si>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</si>
  <si>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</si>
  <si>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</si>
  <si>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</si>
  <si>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</si>
  <si>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</si>
  <si>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</si>
  <si>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</si>
  <si>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</si>
  <si>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</si>
  <si>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</si>
  <si>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</si>
  <si>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</si>
  <si>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</si>
  <si>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</si>
  <si>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</si>
  <si>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</si>
  <si>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</si>
  <si>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</si>
  <si>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</si>
  <si>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</si>
  <si>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</si>
  <si>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</si>
  <si>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</si>
  <si>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</si>
  <si>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</si>
  <si>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</si>
  <si>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</si>
  <si>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</si>
  <si>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</si>
  <si>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</si>
  <si>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</si>
  <si>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</si>
  <si>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</si>
  <si>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</si>
  <si>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</si>
  <si>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</si>
  <si>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</si>
  <si>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</si>
  <si>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</si>
  <si>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</si>
  <si>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</si>
  <si>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</si>
  <si>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</si>
  <si>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</si>
  <si>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</si>
  <si>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</si>
  <si>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</si>
  <si>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</si>
  <si>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</si>
  <si>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</si>
  <si>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</si>
  <si>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</si>
  <si>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</si>
  <si>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</si>
  <si>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</si>
  <si>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</si>
  <si>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山口短期大学</t>
    <rPh sb="0" eb="2">
      <t>ヤマグチ</t>
    </rPh>
    <rPh sb="2" eb="6">
      <t>タンキダイガク</t>
    </rPh>
    <phoneticPr fontId="1"/>
  </si>
  <si>
    <t>学校法人　第二麻生学園</t>
    <rPh sb="0" eb="4">
      <t>ガッコウホウジン</t>
    </rPh>
    <rPh sb="5" eb="7">
      <t>ダイニ</t>
    </rPh>
    <rPh sb="7" eb="11">
      <t>アソウガクエン</t>
    </rPh>
    <phoneticPr fontId="1"/>
  </si>
  <si>
    <t>短期大学</t>
  </si>
  <si>
    <t>数理・データサイエンス・AI教育プログラム</t>
    <rPh sb="0" eb="2">
      <t>スウリ</t>
    </rPh>
    <rPh sb="14" eb="16">
      <t>キョウイク</t>
    </rPh>
    <phoneticPr fontId="1"/>
  </si>
  <si>
    <t>令和３</t>
    <rPh sb="0" eb="2">
      <t>レイワ</t>
    </rPh>
    <phoneticPr fontId="1"/>
  </si>
  <si>
    <t>学長</t>
    <rPh sb="0" eb="2">
      <t>ガクチョウ</t>
    </rPh>
    <phoneticPr fontId="1"/>
  </si>
  <si>
    <t>数理・データサイエンス・AI教育プログラム推進センター</t>
    <rPh sb="0" eb="2">
      <t>スウリ</t>
    </rPh>
    <rPh sb="14" eb="16">
      <t>キョウイク</t>
    </rPh>
    <rPh sb="21" eb="23">
      <t>スイシン</t>
    </rPh>
    <phoneticPr fontId="1"/>
  </si>
  <si>
    <t>寺本　公思</t>
    <rPh sb="0" eb="2">
      <t>テラモト</t>
    </rPh>
    <rPh sb="3" eb="4">
      <t>コウ</t>
    </rPh>
    <rPh sb="4" eb="5">
      <t>シ</t>
    </rPh>
    <phoneticPr fontId="1"/>
  </si>
  <si>
    <t>認定教育プログラム</t>
    <rPh sb="0" eb="4">
      <t>ニンテイキョウイク</t>
    </rPh>
    <phoneticPr fontId="1"/>
  </si>
  <si>
    <t>学部・学科によって、修了要件は相違しない</t>
  </si>
  <si>
    <t>データサイエンス入門</t>
    <rPh sb="8" eb="10">
      <t>ニュウモン</t>
    </rPh>
    <phoneticPr fontId="1"/>
  </si>
  <si>
    <t>全学開講</t>
  </si>
  <si>
    <t>○</t>
  </si>
  <si>
    <t>〇</t>
    <phoneticPr fontId="1"/>
  </si>
  <si>
    <t xml:space="preserve">・ 数理・データサイエンス・AIが社会にもたらした変化およびデータ・AIの利活用の最新動向について説明できる。 
・社会で利活用されているデータやその活用法およびデータ・AIの活用領域について説明することができる。 
・データ・AIの利活用により現場においてどのような価値が生み出されているか、また、その際に利用されている技術について事例を挙げて説明できる。 
・数理・データサイエンス・AIの利活用に当たり留意すべき事項（ELSI、データ倫理、情報セキュリティ等）を説明できる。 
・データを適切に処理・分析し、データが持つ意味を説明できる。 
</t>
    <phoneticPr fontId="1"/>
  </si>
  <si>
    <t>児童教育学科</t>
    <rPh sb="0" eb="6">
      <t>ジドウキョウイクガッカ</t>
    </rPh>
    <phoneticPr fontId="1"/>
  </si>
  <si>
    <t>情報メディア学科</t>
    <rPh sb="0" eb="2">
      <t>ジョウホウ</t>
    </rPh>
    <rPh sb="6" eb="8">
      <t>ガッカ</t>
    </rPh>
    <phoneticPr fontId="1"/>
  </si>
  <si>
    <t>教育プログラムは令和3年度からの実施であり、企業等に就職しているものがいないため、現段階では企業等からの評価はできないが、将来は本プログラム修了者の企業等での状況を把握する予定である。</t>
    <rPh sb="0" eb="2">
      <t>キョウイク</t>
    </rPh>
    <rPh sb="8" eb="10">
      <t>レイワ</t>
    </rPh>
    <rPh sb="11" eb="13">
      <t>ネンド</t>
    </rPh>
    <rPh sb="16" eb="18">
      <t>ジッシ</t>
    </rPh>
    <rPh sb="22" eb="25">
      <t>キギョウトウ</t>
    </rPh>
    <rPh sb="26" eb="28">
      <t>シュウショク</t>
    </rPh>
    <rPh sb="41" eb="44">
      <t>ゲンダンカイ</t>
    </rPh>
    <rPh sb="46" eb="49">
      <t>キギョウトウ</t>
    </rPh>
    <rPh sb="52" eb="54">
      <t>ヒョウカ</t>
    </rPh>
    <rPh sb="61" eb="63">
      <t>ショウライ</t>
    </rPh>
    <rPh sb="64" eb="65">
      <t>ホン</t>
    </rPh>
    <rPh sb="70" eb="73">
      <t>シュウリョウシャ</t>
    </rPh>
    <rPh sb="74" eb="77">
      <t>キギョウトウ</t>
    </rPh>
    <rPh sb="79" eb="81">
      <t>ジョウキョウ</t>
    </rPh>
    <rPh sb="82" eb="84">
      <t>ハアク</t>
    </rPh>
    <rPh sb="86" eb="88">
      <t>ヨテイ</t>
    </rPh>
    <phoneticPr fontId="1"/>
  </si>
  <si>
    <t>このプログラムは令和3年度からの実施であるが、年度当初の履修オリエンテーションにおいて、児童教育学科においては教員免許取得者は必修とし、情報メディア学科においては卒業必修であることの説明をしており、リカレント学生以外の学生においてはほぼ１００％の学生が履修している。授業においては文系学生へも配慮し、具体例などを示し興味・関心をもって学習できるようにしており、修得状況は8割以上である。</t>
    <rPh sb="8" eb="10">
      <t>レイワ</t>
    </rPh>
    <rPh sb="11" eb="13">
      <t>ネンド</t>
    </rPh>
    <rPh sb="16" eb="18">
      <t>ジッシ</t>
    </rPh>
    <rPh sb="23" eb="27">
      <t>ネンドトウショ</t>
    </rPh>
    <rPh sb="28" eb="30">
      <t>リシュウ</t>
    </rPh>
    <rPh sb="44" eb="50">
      <t>ジドウキョウイクガッカ</t>
    </rPh>
    <rPh sb="55" eb="59">
      <t>キョウインメンキョ</t>
    </rPh>
    <rPh sb="59" eb="62">
      <t>シュトクシャ</t>
    </rPh>
    <rPh sb="63" eb="65">
      <t>ヒッシュウ</t>
    </rPh>
    <rPh sb="68" eb="70">
      <t>ジョウホウ</t>
    </rPh>
    <rPh sb="74" eb="76">
      <t>ガッカ</t>
    </rPh>
    <rPh sb="81" eb="85">
      <t>ソツギョウヒッシュウ</t>
    </rPh>
    <rPh sb="91" eb="93">
      <t>セツメイ</t>
    </rPh>
    <rPh sb="104" eb="108">
      <t>ガクセイイガイ</t>
    </rPh>
    <rPh sb="109" eb="111">
      <t>ガクセイ</t>
    </rPh>
    <rPh sb="123" eb="125">
      <t>ガクセイ</t>
    </rPh>
    <rPh sb="126" eb="128">
      <t>リシュウ</t>
    </rPh>
    <rPh sb="133" eb="135">
      <t>ジュギョウ</t>
    </rPh>
    <rPh sb="140" eb="144">
      <t>ブンケイガクセイ</t>
    </rPh>
    <rPh sb="146" eb="148">
      <t>ハイリョ</t>
    </rPh>
    <rPh sb="150" eb="153">
      <t>グタイレイ</t>
    </rPh>
    <rPh sb="156" eb="157">
      <t>シメ</t>
    </rPh>
    <rPh sb="158" eb="160">
      <t>キョウミ</t>
    </rPh>
    <rPh sb="161" eb="163">
      <t>カンシン</t>
    </rPh>
    <rPh sb="167" eb="169">
      <t>ガクシュウ</t>
    </rPh>
    <rPh sb="180" eb="184">
      <t>シュウトクジョウキョウ</t>
    </rPh>
    <rPh sb="186" eb="189">
      <t>ワリイジョウ</t>
    </rPh>
    <phoneticPr fontId="1"/>
  </si>
  <si>
    <t>「データサイエンス入門」受講者に対し、FD委員会が実施している授業アンケートを行った結果、そのアンケート結果をもとに次年度の授業改善に生かしている。</t>
    <rPh sb="9" eb="11">
      <t>ニュウモン</t>
    </rPh>
    <rPh sb="12" eb="15">
      <t>ジュコウシャ</t>
    </rPh>
    <rPh sb="16" eb="17">
      <t>タイ</t>
    </rPh>
    <rPh sb="21" eb="24">
      <t>イインカイ</t>
    </rPh>
    <rPh sb="25" eb="27">
      <t>ジッシ</t>
    </rPh>
    <rPh sb="31" eb="33">
      <t>ジュギョウ</t>
    </rPh>
    <rPh sb="39" eb="40">
      <t>オコナ</t>
    </rPh>
    <rPh sb="42" eb="44">
      <t>ケッカ</t>
    </rPh>
    <rPh sb="52" eb="54">
      <t>ケッカ</t>
    </rPh>
    <rPh sb="58" eb="61">
      <t>ジネンド</t>
    </rPh>
    <rPh sb="62" eb="64">
      <t>ジュギョウ</t>
    </rPh>
    <rPh sb="64" eb="66">
      <t>カイゼン</t>
    </rPh>
    <rPh sb="67" eb="68">
      <t>イ</t>
    </rPh>
    <phoneticPr fontId="1"/>
  </si>
  <si>
    <t>児童教育学科では教員免許取得希望者は全員受講し、情報メディア学科では卒業必修としているため受講率は高いが、感染症の影響で入国できない留学生にもリモート授業を実施し、希望者全員が受講できる環境を整えている。</t>
    <rPh sb="0" eb="6">
      <t>ジドウキョウイクガッカ</t>
    </rPh>
    <rPh sb="8" eb="17">
      <t>キョウインメンキョシュトクキボウシャ</t>
    </rPh>
    <rPh sb="18" eb="22">
      <t>ゼンインジュコウ</t>
    </rPh>
    <rPh sb="24" eb="26">
      <t>ジョウホウ</t>
    </rPh>
    <rPh sb="30" eb="32">
      <t>ガッカ</t>
    </rPh>
    <rPh sb="34" eb="36">
      <t>ソツギョウ</t>
    </rPh>
    <rPh sb="36" eb="38">
      <t>ヒッシュウ</t>
    </rPh>
    <rPh sb="45" eb="48">
      <t>ジュコウリツ</t>
    </rPh>
    <rPh sb="49" eb="50">
      <t>タカ</t>
    </rPh>
    <rPh sb="53" eb="56">
      <t>カンセンショウ</t>
    </rPh>
    <rPh sb="57" eb="59">
      <t>エイキョウ</t>
    </rPh>
    <rPh sb="60" eb="62">
      <t>ニュウコク</t>
    </rPh>
    <rPh sb="66" eb="69">
      <t>リュウガクセイ</t>
    </rPh>
    <rPh sb="75" eb="77">
      <t>ジュギョウ</t>
    </rPh>
    <rPh sb="78" eb="80">
      <t>ジッシ</t>
    </rPh>
    <rPh sb="82" eb="85">
      <t>キボウシャ</t>
    </rPh>
    <rPh sb="85" eb="87">
      <t>ゼンイン</t>
    </rPh>
    <rPh sb="88" eb="90">
      <t>ジュコウ</t>
    </rPh>
    <rPh sb="93" eb="95">
      <t>カンキョウ</t>
    </rPh>
    <rPh sb="96" eb="97">
      <t>トトノ</t>
    </rPh>
    <phoneticPr fontId="1"/>
  </si>
  <si>
    <t>履修オリエンテーションにおいて、データサイエンス入門の講義についての説明を行い、学生への周知を図っている。</t>
    <rPh sb="0" eb="2">
      <t>リシュウ</t>
    </rPh>
    <rPh sb="24" eb="26">
      <t>ニュウモン</t>
    </rPh>
    <rPh sb="27" eb="29">
      <t>コウギ</t>
    </rPh>
    <rPh sb="34" eb="36">
      <t>セツメイ</t>
    </rPh>
    <rPh sb="37" eb="38">
      <t>オコナ</t>
    </rPh>
    <rPh sb="40" eb="42">
      <t>ガクセイ</t>
    </rPh>
    <rPh sb="44" eb="46">
      <t>シュウチ</t>
    </rPh>
    <rPh sb="47" eb="48">
      <t>ハカ</t>
    </rPh>
    <phoneticPr fontId="1"/>
  </si>
  <si>
    <t xml:space="preserve">「データサイエンス入門」の科目の単位（2単位）を修得すること。
「データサイエンス入門」には次の５つの到達目標が設置されており、各到達目標に対しルーブリック評価に基づいた結果で60点以上の評価で単位を認定する。
(1) 数理・データサイエンス・AIが社会にもたらした変化およびデータ・AIの利活用の最新動向について説明できる。 
(2) 社会で利活用されているデータやその活用法およびデータ・AIの活用領域について説明することができる。 
(3) データ・AIの利活用により現場においてどのような価値が生み出されているか、また、その際に利用されている技術について事例を挙げて説明できる。 
(4) 数理・データサイエンス・AIの利活用に当たり留意すべき事項（ELSI、データ倫理、情報セキュリティ等）を説明できる。 
(5) データを適切に処理・分析し、データが持つ意味を説明できる。 
</t>
    <rPh sb="9" eb="11">
      <t>ニュウモン</t>
    </rPh>
    <rPh sb="13" eb="15">
      <t>カモク</t>
    </rPh>
    <rPh sb="16" eb="18">
      <t>タンイ</t>
    </rPh>
    <rPh sb="20" eb="22">
      <t>タンイ</t>
    </rPh>
    <rPh sb="24" eb="26">
      <t>シュウトク</t>
    </rPh>
    <rPh sb="41" eb="43">
      <t>ニュウモン</t>
    </rPh>
    <rPh sb="46" eb="47">
      <t>ツギ</t>
    </rPh>
    <rPh sb="51" eb="55">
      <t>トウタツモクヒョウ</t>
    </rPh>
    <rPh sb="56" eb="58">
      <t>セッチ</t>
    </rPh>
    <rPh sb="64" eb="69">
      <t>カクトウタツモクヒョウ</t>
    </rPh>
    <rPh sb="70" eb="71">
      <t>タイ</t>
    </rPh>
    <rPh sb="78" eb="80">
      <t>ヒョウカ</t>
    </rPh>
    <rPh sb="81" eb="82">
      <t>モト</t>
    </rPh>
    <rPh sb="85" eb="87">
      <t>ケッカ</t>
    </rPh>
    <rPh sb="90" eb="93">
      <t>テンイジョウ</t>
    </rPh>
    <rPh sb="94" eb="96">
      <t>ヒョウカ</t>
    </rPh>
    <rPh sb="97" eb="99">
      <t>タンイ</t>
    </rPh>
    <rPh sb="100" eb="102">
      <t>ニンテイ</t>
    </rPh>
    <phoneticPr fontId="1"/>
  </si>
  <si>
    <t>新しいビジネスモデル（シェアリングエコノミー、商品の推薦、監視、DX）、最新技術の活用例（深層ニューラルネットワーク、敵対的生成ネットワーク、強化学習、転移学習）、AIによるデータ生成に関する社会問題
（第5回）</t>
    <rPh sb="0" eb="1">
      <t>アタラ</t>
    </rPh>
    <rPh sb="23" eb="25">
      <t>ショウヒン</t>
    </rPh>
    <rPh sb="26" eb="28">
      <t>スイセン</t>
    </rPh>
    <rPh sb="29" eb="31">
      <t>カンシ</t>
    </rPh>
    <rPh sb="36" eb="40">
      <t>サイシンギジュツ</t>
    </rPh>
    <rPh sb="41" eb="44">
      <t>カツヨウレイ</t>
    </rPh>
    <rPh sb="45" eb="47">
      <t>シンソウ</t>
    </rPh>
    <rPh sb="59" eb="62">
      <t>テキタイテキ</t>
    </rPh>
    <rPh sb="62" eb="64">
      <t>セイセイ</t>
    </rPh>
    <rPh sb="71" eb="75">
      <t>キョウカガクシュウ</t>
    </rPh>
    <rPh sb="76" eb="80">
      <t>テンイガクシュウ</t>
    </rPh>
    <rPh sb="90" eb="92">
      <t>セイセイ</t>
    </rPh>
    <rPh sb="93" eb="94">
      <t>カン</t>
    </rPh>
    <rPh sb="96" eb="100">
      <t>シャカイモンダイ</t>
    </rPh>
    <phoneticPr fontId="1"/>
  </si>
  <si>
    <t>ビッグデータ、計算機の処理性能の向上、AIの非連続的進化、第四次産業革命、Society5.0、複数技術を組み合わせたAIサービス、人間の知的活動とAIの関係性
（第1回）</t>
    <rPh sb="6" eb="9">
      <t>ケイサンキ</t>
    </rPh>
    <rPh sb="10" eb="14">
      <t>ショリセイノウ</t>
    </rPh>
    <rPh sb="15" eb="17">
      <t>コウジョウ</t>
    </rPh>
    <rPh sb="21" eb="27">
      <t>ヒレンゾクテキシンカ</t>
    </rPh>
    <rPh sb="29" eb="30">
      <t>ダイ</t>
    </rPh>
    <rPh sb="30" eb="31">
      <t>ヨン</t>
    </rPh>
    <rPh sb="31" eb="35">
      <t>サンギョウカクメイ</t>
    </rPh>
    <rPh sb="48" eb="50">
      <t>フクスウ</t>
    </rPh>
    <rPh sb="49" eb="51">
      <t>ギジュツ</t>
    </rPh>
    <rPh sb="51" eb="52">
      <t>ク</t>
    </rPh>
    <rPh sb="53" eb="54">
      <t>ア</t>
    </rPh>
    <rPh sb="66" eb="68">
      <t>ニンゲン</t>
    </rPh>
    <rPh sb="67" eb="71">
      <t>チテキカツドウ</t>
    </rPh>
    <rPh sb="75" eb="78">
      <t>カンケイセイ</t>
    </rPh>
    <phoneticPr fontId="1"/>
  </si>
  <si>
    <t>データの種類について（調査データ、ログデータ、実験データ、観測データ）、データの所有者について（1次データ、2次データ、メタデータ、オープンデータ）、構造化データと非構造化データ、セグメンテーションとアノテーション
（第2回）</t>
    <rPh sb="4" eb="6">
      <t>シュルイ</t>
    </rPh>
    <rPh sb="11" eb="13">
      <t>チョウサ</t>
    </rPh>
    <rPh sb="23" eb="25">
      <t>ジッケン</t>
    </rPh>
    <rPh sb="29" eb="31">
      <t>カンソク</t>
    </rPh>
    <rPh sb="40" eb="43">
      <t>ショユウシャ</t>
    </rPh>
    <rPh sb="49" eb="50">
      <t>ジ</t>
    </rPh>
    <rPh sb="55" eb="56">
      <t>ジ</t>
    </rPh>
    <rPh sb="75" eb="78">
      <t>コウゾウカ</t>
    </rPh>
    <rPh sb="82" eb="86">
      <t>ヒコウゾウカ</t>
    </rPh>
    <rPh sb="109" eb="110">
      <t>ダイ</t>
    </rPh>
    <rPh sb="111" eb="112">
      <t>カイ</t>
    </rPh>
    <phoneticPr fontId="1"/>
  </si>
  <si>
    <t>データとAIの活用領域について（研究開発、購買物流・調達、製造、出荷物流、マーケティング、販売、サービス）、データ・AIの活用目的に着目して考える（仮説検証、知識発見、原因究明、判断支援、活動代替、新規作成）
（第2回）</t>
    <rPh sb="7" eb="11">
      <t>カツヨウリョウイキ</t>
    </rPh>
    <rPh sb="16" eb="20">
      <t>ケンキュウカイハツ</t>
    </rPh>
    <rPh sb="21" eb="25">
      <t>コウバイブツリュウ</t>
    </rPh>
    <rPh sb="26" eb="28">
      <t>チョウタツ</t>
    </rPh>
    <rPh sb="29" eb="31">
      <t>セイゾウ</t>
    </rPh>
    <rPh sb="32" eb="36">
      <t>シュッカブツリュウ</t>
    </rPh>
    <rPh sb="45" eb="47">
      <t>ハンバイ</t>
    </rPh>
    <rPh sb="61" eb="65">
      <t>カツヨウモクテキ</t>
    </rPh>
    <rPh sb="66" eb="68">
      <t>チャクモク</t>
    </rPh>
    <rPh sb="70" eb="71">
      <t>カンガ</t>
    </rPh>
    <rPh sb="74" eb="78">
      <t>カセツケンショウ</t>
    </rPh>
    <rPh sb="79" eb="83">
      <t>チシキハッケン</t>
    </rPh>
    <rPh sb="84" eb="88">
      <t>ゲンインキュウメイ</t>
    </rPh>
    <rPh sb="89" eb="93">
      <t>ハンダンシエン</t>
    </rPh>
    <rPh sb="94" eb="98">
      <t>カツドウダイタイ</t>
    </rPh>
    <rPh sb="99" eb="103">
      <t>シンキサクセイ</t>
    </rPh>
    <phoneticPr fontId="1"/>
  </si>
  <si>
    <t>現場におけるデータ・AI利活用の事例紹介、データに基づく意思決定、意思決定に役立つデータ分析と分析に使われる手法、データサイエンスのサイクル
（第4回）</t>
    <rPh sb="0" eb="2">
      <t>ゲンバ</t>
    </rPh>
    <rPh sb="12" eb="15">
      <t>リカツヨウ</t>
    </rPh>
    <rPh sb="16" eb="20">
      <t>ジレイショウカイ</t>
    </rPh>
    <rPh sb="25" eb="26">
      <t>モト</t>
    </rPh>
    <rPh sb="28" eb="32">
      <t>イシケッテイ</t>
    </rPh>
    <rPh sb="33" eb="37">
      <t>イシケッテイ</t>
    </rPh>
    <rPh sb="38" eb="40">
      <t>ヤクダ</t>
    </rPh>
    <rPh sb="44" eb="46">
      <t>ブンセキ</t>
    </rPh>
    <rPh sb="47" eb="49">
      <t>ブンセキ</t>
    </rPh>
    <rPh sb="50" eb="51">
      <t>ツカ</t>
    </rPh>
    <rPh sb="54" eb="56">
      <t>シュホウ</t>
    </rPh>
    <rPh sb="72" eb="73">
      <t>ダイ</t>
    </rPh>
    <rPh sb="74" eb="75">
      <t>カイ</t>
    </rPh>
    <phoneticPr fontId="1"/>
  </si>
  <si>
    <t>データ活用の負の側面、個人データの保護、GDPR、ELSI、オプトアウト、忘れられる権利、AI社会原則、データバイアス、捏造、改ざん、データ・AI活用における負の事例紹介
（第6回）</t>
    <rPh sb="3" eb="5">
      <t>カツヨウ</t>
    </rPh>
    <rPh sb="6" eb="7">
      <t>フ</t>
    </rPh>
    <rPh sb="8" eb="10">
      <t>ソクメン</t>
    </rPh>
    <rPh sb="11" eb="13">
      <t>コジン</t>
    </rPh>
    <rPh sb="17" eb="19">
      <t>ホゴ</t>
    </rPh>
    <rPh sb="37" eb="38">
      <t>ワス</t>
    </rPh>
    <rPh sb="42" eb="44">
      <t>ケンリ</t>
    </rPh>
    <rPh sb="47" eb="51">
      <t>シャカイゲンソク</t>
    </rPh>
    <rPh sb="60" eb="62">
      <t>ネツゾウ</t>
    </rPh>
    <rPh sb="63" eb="64">
      <t>カイ</t>
    </rPh>
    <rPh sb="73" eb="75">
      <t>カツヨウ</t>
    </rPh>
    <rPh sb="79" eb="80">
      <t>フ</t>
    </rPh>
    <rPh sb="81" eb="85">
      <t>ジレイショウカイ</t>
    </rPh>
    <rPh sb="87" eb="88">
      <t>ダイ</t>
    </rPh>
    <rPh sb="89" eb="90">
      <t>カイ</t>
    </rPh>
    <phoneticPr fontId="1"/>
  </si>
  <si>
    <t xml:space="preserve">情報セキュリティ（機密性、完全性、可用性）、暗号化、個人情報、仮名加工情報、匿名加工情報、データの漏洩・プライバシー侵害の事例
（第6回）
</t>
    <rPh sb="0" eb="2">
      <t>ジョウホウ</t>
    </rPh>
    <rPh sb="9" eb="12">
      <t>キミツセイ</t>
    </rPh>
    <rPh sb="13" eb="16">
      <t>カンゼンセイ</t>
    </rPh>
    <rPh sb="17" eb="20">
      <t>カヨウセイ</t>
    </rPh>
    <rPh sb="22" eb="25">
      <t>アンゴウカ</t>
    </rPh>
    <rPh sb="26" eb="30">
      <t>コジンジョウホウ</t>
    </rPh>
    <rPh sb="31" eb="33">
      <t>カメイ</t>
    </rPh>
    <rPh sb="33" eb="37">
      <t>カコウジョウホウ</t>
    </rPh>
    <rPh sb="38" eb="44">
      <t>トクメイカコウジョウホウ</t>
    </rPh>
    <rPh sb="49" eb="51">
      <t>ロウエイ</t>
    </rPh>
    <rPh sb="58" eb="60">
      <t>シンガイ</t>
    </rPh>
    <rPh sb="61" eb="63">
      <t>ジレイ</t>
    </rPh>
    <rPh sb="65" eb="66">
      <t>ダイ</t>
    </rPh>
    <rPh sb="67" eb="68">
      <t>カイ</t>
    </rPh>
    <phoneticPr fontId="1"/>
  </si>
  <si>
    <t>データの種類（量的データ、質的データ）、データの分布（度数分布表、ヒストグラム）、代表値（平均値、中央値、最頻値）、代表値の性質の違い
（第7回）
データのばらつき（分散、標準偏差、偏差値）
（第8回）
誤差、打ち切り、脱落を含むデータの取り扱い、層別の必要なデータ
（第9回）
データの相関、相関係数、疑似相関、相関関係と因果関係
（第10回）
クロス集計
（第11回）
全数調査、標本調査、標本抽出、標本誤差
（第12回）</t>
    <rPh sb="4" eb="6">
      <t>シュルイ</t>
    </rPh>
    <rPh sb="7" eb="9">
      <t>リョウテキ</t>
    </rPh>
    <rPh sb="13" eb="15">
      <t>シツテキ</t>
    </rPh>
    <rPh sb="24" eb="26">
      <t>ブンプ</t>
    </rPh>
    <rPh sb="27" eb="32">
      <t>ドスウブンプヒョウ</t>
    </rPh>
    <rPh sb="41" eb="44">
      <t>ダイヒョウチ</t>
    </rPh>
    <rPh sb="45" eb="48">
      <t>ヘイキンチ</t>
    </rPh>
    <rPh sb="49" eb="52">
      <t>チュウオウチ</t>
    </rPh>
    <rPh sb="53" eb="56">
      <t>サイヒンチ</t>
    </rPh>
    <rPh sb="58" eb="61">
      <t>ダイヒョウチ</t>
    </rPh>
    <rPh sb="62" eb="64">
      <t>セイシツ</t>
    </rPh>
    <rPh sb="65" eb="66">
      <t>チガ</t>
    </rPh>
    <rPh sb="69" eb="70">
      <t>ダイ</t>
    </rPh>
    <rPh sb="71" eb="72">
      <t>カイ</t>
    </rPh>
    <rPh sb="83" eb="85">
      <t>ブンサン</t>
    </rPh>
    <rPh sb="86" eb="90">
      <t>ヒョウジュンヘンサ</t>
    </rPh>
    <rPh sb="91" eb="94">
      <t>ヘンサチ</t>
    </rPh>
    <rPh sb="97" eb="98">
      <t>ダイ</t>
    </rPh>
    <rPh sb="99" eb="100">
      <t>カイ</t>
    </rPh>
    <rPh sb="102" eb="104">
      <t>ゴサ</t>
    </rPh>
    <rPh sb="105" eb="106">
      <t>ウ</t>
    </rPh>
    <rPh sb="107" eb="108">
      <t>キ</t>
    </rPh>
    <rPh sb="110" eb="112">
      <t>ダツラク</t>
    </rPh>
    <rPh sb="113" eb="114">
      <t>フク</t>
    </rPh>
    <rPh sb="119" eb="120">
      <t>ト</t>
    </rPh>
    <rPh sb="121" eb="122">
      <t>アツカ</t>
    </rPh>
    <rPh sb="124" eb="126">
      <t>ソウベツ</t>
    </rPh>
    <rPh sb="127" eb="129">
      <t>ヒツヨウ</t>
    </rPh>
    <rPh sb="135" eb="136">
      <t>ダイ</t>
    </rPh>
    <rPh sb="137" eb="138">
      <t>カイ</t>
    </rPh>
    <rPh sb="144" eb="146">
      <t>ソウカン</t>
    </rPh>
    <rPh sb="147" eb="151">
      <t>ソウカンケイスウ</t>
    </rPh>
    <rPh sb="152" eb="154">
      <t>ギジ</t>
    </rPh>
    <rPh sb="154" eb="156">
      <t>ソウカン</t>
    </rPh>
    <rPh sb="157" eb="161">
      <t>ソウカンカンケイ</t>
    </rPh>
    <rPh sb="162" eb="166">
      <t>インガカンケイ</t>
    </rPh>
    <rPh sb="168" eb="169">
      <t>ダイ</t>
    </rPh>
    <rPh sb="171" eb="172">
      <t>カイ</t>
    </rPh>
    <rPh sb="177" eb="179">
      <t>シュウケイ</t>
    </rPh>
    <rPh sb="181" eb="182">
      <t>ダイ</t>
    </rPh>
    <rPh sb="184" eb="185">
      <t>カイ</t>
    </rPh>
    <rPh sb="187" eb="191">
      <t>ゼンスウチョウサ</t>
    </rPh>
    <phoneticPr fontId="1"/>
  </si>
  <si>
    <t>データのグラフ・チャート化（棒グラフ、円グラフ、折れ線グラフ、箱ひげ図）
（第13回）</t>
    <rPh sb="12" eb="13">
      <t>カ</t>
    </rPh>
    <rPh sb="14" eb="15">
      <t>ボウ</t>
    </rPh>
    <rPh sb="19" eb="20">
      <t>エン</t>
    </rPh>
    <rPh sb="24" eb="25">
      <t>オ</t>
    </rPh>
    <rPh sb="26" eb="27">
      <t>セン</t>
    </rPh>
    <rPh sb="31" eb="32">
      <t>ハコ</t>
    </rPh>
    <rPh sb="34" eb="35">
      <t>ズ</t>
    </rPh>
    <rPh sb="38" eb="39">
      <t>ダイ</t>
    </rPh>
    <rPh sb="41" eb="42">
      <t>カイ</t>
    </rPh>
    <phoneticPr fontId="1"/>
  </si>
  <si>
    <t>データ解析ツールの操作方法（平均値、分散、相関係数等を計算する）
（第14回）
データ解析ツールの操作方法（データの並べ替え、集計等を行う）
（第15回）</t>
    <rPh sb="3" eb="5">
      <t>カイセキ</t>
    </rPh>
    <rPh sb="9" eb="13">
      <t>ソウサホウホウ</t>
    </rPh>
    <rPh sb="14" eb="16">
      <t>ヘイキン</t>
    </rPh>
    <rPh sb="16" eb="17">
      <t>チ</t>
    </rPh>
    <rPh sb="18" eb="20">
      <t>ブンサン</t>
    </rPh>
    <rPh sb="21" eb="25">
      <t>ソウカンケイスウ</t>
    </rPh>
    <rPh sb="25" eb="26">
      <t>トウ</t>
    </rPh>
    <rPh sb="27" eb="29">
      <t>ケイサン</t>
    </rPh>
    <rPh sb="34" eb="35">
      <t>ダイ</t>
    </rPh>
    <rPh sb="37" eb="38">
      <t>カイ</t>
    </rPh>
    <rPh sb="43" eb="45">
      <t>カイセキ</t>
    </rPh>
    <rPh sb="49" eb="53">
      <t>ソウサホウホウ</t>
    </rPh>
    <rPh sb="58" eb="59">
      <t>ナラ</t>
    </rPh>
    <rPh sb="60" eb="61">
      <t>カ</t>
    </rPh>
    <rPh sb="63" eb="65">
      <t>シュウケイ</t>
    </rPh>
    <rPh sb="65" eb="66">
      <t>トウ</t>
    </rPh>
    <rPh sb="67" eb="68">
      <t>オコナ</t>
    </rPh>
    <rPh sb="72" eb="73">
      <t>ダイ</t>
    </rPh>
    <rPh sb="75" eb="76">
      <t>カイ</t>
    </rPh>
    <phoneticPr fontId="1"/>
  </si>
  <si>
    <t>対面授業の際には、授業中や授業後に随時口頭での質問を受け付けている。オンライン授業の際には、GoogleClassroomのコメント欄を利用して学生にメッセージを送ったり、質問を受け付けたりすることで、授業時間外での個別対応を可能としている。</t>
    <rPh sb="0" eb="2">
      <t>タイメン</t>
    </rPh>
    <rPh sb="2" eb="4">
      <t>ジュギョウ</t>
    </rPh>
    <rPh sb="5" eb="6">
      <t>サイ</t>
    </rPh>
    <rPh sb="9" eb="11">
      <t>ジュギョウ</t>
    </rPh>
    <rPh sb="11" eb="12">
      <t>チュウ</t>
    </rPh>
    <rPh sb="13" eb="16">
      <t>ジュギョウゴ</t>
    </rPh>
    <rPh sb="17" eb="19">
      <t>ズイジ</t>
    </rPh>
    <rPh sb="19" eb="21">
      <t>コウトウ</t>
    </rPh>
    <rPh sb="23" eb="25">
      <t>シツモン</t>
    </rPh>
    <rPh sb="26" eb="27">
      <t>ウ</t>
    </rPh>
    <rPh sb="28" eb="29">
      <t>ツ</t>
    </rPh>
    <rPh sb="39" eb="41">
      <t>ジュギョウ</t>
    </rPh>
    <rPh sb="42" eb="43">
      <t>サイ</t>
    </rPh>
    <rPh sb="66" eb="67">
      <t>ラン</t>
    </rPh>
    <rPh sb="68" eb="70">
      <t>リヨウ</t>
    </rPh>
    <rPh sb="72" eb="74">
      <t>ガクセイ</t>
    </rPh>
    <rPh sb="81" eb="82">
      <t>オク</t>
    </rPh>
    <rPh sb="86" eb="88">
      <t>シツモン</t>
    </rPh>
    <rPh sb="89" eb="90">
      <t>ウ</t>
    </rPh>
    <rPh sb="91" eb="92">
      <t>ツ</t>
    </rPh>
    <rPh sb="101" eb="106">
      <t>ジュギョウジカンガイ</t>
    </rPh>
    <rPh sb="108" eb="112">
      <t>コベツタイオウ</t>
    </rPh>
    <rPh sb="113" eb="115">
      <t>カノウ</t>
    </rPh>
    <phoneticPr fontId="1"/>
  </si>
  <si>
    <t>本学では、FD委員会が全科目に対して授業評価アンケートを実施している。このアンケート結果から
学生の授業内容の理解度を把握することにより、内容・水準を維持・向上しつつ、より「分かりやすい」授業とするよう、授業内容・実施方法の改善を行うこととしている。</t>
    <rPh sb="7" eb="10">
      <t>イインカイ</t>
    </rPh>
    <rPh sb="42" eb="44">
      <t>ケッカ</t>
    </rPh>
    <rPh sb="50" eb="52">
      <t>ジュギョウ</t>
    </rPh>
    <rPh sb="102" eb="104">
      <t>ジュギョウ</t>
    </rPh>
    <rPh sb="112" eb="114">
      <t>カイゼン</t>
    </rPh>
    <rPh sb="115" eb="116">
      <t>オコナ</t>
    </rPh>
    <phoneticPr fontId="1"/>
  </si>
  <si>
    <t>数理・データサイエンス・AIの実社会での応用例を数多く紹介することで、学生の数理・データサイエンス・AIに対する関心を高め、学ぶ楽しさと学ぶ意義を理解させるような内容を取り入れている。特に、本学学生の各専攻の分野（教育、保育、情報）に関わる事例を紹介したり、各分野において将来どのように数理・データサイエンス・AIが利活用されるようになるかを予想させたりする取り組みを通じて、卒業後の進路においても数理・データサイエンス・AIが身近で活用されうることを実感させ、学習意欲を高めるよう授業内容を工夫している。</t>
    <rPh sb="0" eb="2">
      <t>スウリ</t>
    </rPh>
    <rPh sb="15" eb="18">
      <t>ジツシャカイ</t>
    </rPh>
    <rPh sb="20" eb="23">
      <t>オウヨウレイ</t>
    </rPh>
    <rPh sb="24" eb="26">
      <t>カズオオ</t>
    </rPh>
    <rPh sb="27" eb="29">
      <t>ショウカイ</t>
    </rPh>
    <rPh sb="35" eb="37">
      <t>ガクセイ</t>
    </rPh>
    <rPh sb="38" eb="40">
      <t>スウリ</t>
    </rPh>
    <rPh sb="53" eb="54">
      <t>タイ</t>
    </rPh>
    <rPh sb="56" eb="58">
      <t>カンシン</t>
    </rPh>
    <rPh sb="59" eb="60">
      <t>タカ</t>
    </rPh>
    <rPh sb="62" eb="63">
      <t>マナ</t>
    </rPh>
    <rPh sb="64" eb="65">
      <t>タノ</t>
    </rPh>
    <rPh sb="68" eb="69">
      <t>マナ</t>
    </rPh>
    <rPh sb="70" eb="72">
      <t>イギ</t>
    </rPh>
    <rPh sb="73" eb="75">
      <t>リカイ</t>
    </rPh>
    <rPh sb="81" eb="83">
      <t>ナイヨウ</t>
    </rPh>
    <rPh sb="84" eb="85">
      <t>ト</t>
    </rPh>
    <rPh sb="86" eb="87">
      <t>イ</t>
    </rPh>
    <rPh sb="92" eb="93">
      <t>トク</t>
    </rPh>
    <rPh sb="95" eb="97">
      <t>ホンガク</t>
    </rPh>
    <rPh sb="97" eb="99">
      <t>ガクセイ</t>
    </rPh>
    <rPh sb="100" eb="101">
      <t>カク</t>
    </rPh>
    <rPh sb="101" eb="103">
      <t>センコウ</t>
    </rPh>
    <rPh sb="104" eb="106">
      <t>ブンヤ</t>
    </rPh>
    <rPh sb="107" eb="109">
      <t>キョウイク</t>
    </rPh>
    <rPh sb="110" eb="112">
      <t>ホイク</t>
    </rPh>
    <rPh sb="113" eb="115">
      <t>ジョウホウ</t>
    </rPh>
    <rPh sb="117" eb="118">
      <t>カカ</t>
    </rPh>
    <rPh sb="120" eb="122">
      <t>ジレイ</t>
    </rPh>
    <rPh sb="123" eb="125">
      <t>ショウカイ</t>
    </rPh>
    <rPh sb="129" eb="132">
      <t>カクブンヤ</t>
    </rPh>
    <rPh sb="136" eb="138">
      <t>ショウライ</t>
    </rPh>
    <rPh sb="158" eb="161">
      <t>リカツヨウ</t>
    </rPh>
    <rPh sb="171" eb="173">
      <t>ヨソウ</t>
    </rPh>
    <rPh sb="179" eb="180">
      <t>ト</t>
    </rPh>
    <rPh sb="181" eb="182">
      <t>ク</t>
    </rPh>
    <rPh sb="184" eb="185">
      <t>ツウ</t>
    </rPh>
    <rPh sb="188" eb="191">
      <t>ソツギョウゴ</t>
    </rPh>
    <rPh sb="192" eb="194">
      <t>シンロ</t>
    </rPh>
    <rPh sb="199" eb="201">
      <t>スウリ</t>
    </rPh>
    <rPh sb="214" eb="216">
      <t>ミヂカ</t>
    </rPh>
    <rPh sb="217" eb="219">
      <t>カツヨウ</t>
    </rPh>
    <rPh sb="226" eb="228">
      <t>ジッカン</t>
    </rPh>
    <rPh sb="231" eb="235">
      <t>ガクシュウイヨク</t>
    </rPh>
    <rPh sb="236" eb="237">
      <t>タカ</t>
    </rPh>
    <rPh sb="241" eb="245">
      <t>ジュギョウナイヨウ</t>
    </rPh>
    <rPh sb="246" eb="248">
      <t>クフウ</t>
    </rPh>
    <phoneticPr fontId="1"/>
  </si>
  <si>
    <t>本学は教員一人が少人数の学生を担当するチューター制度を設けており、担当する学生の履修状況を把握し、相談にのる体制が整っている。また、OA情報室と情報処理演習室には合わせて60台以上のコンピュータが設置されており、学生は授業時間外に授業の予習や復習等のためにいつでも利用することができる。</t>
    <rPh sb="5" eb="7">
      <t>ヒトリ</t>
    </rPh>
    <rPh sb="33" eb="35">
      <t>タントウ</t>
    </rPh>
    <rPh sb="37" eb="39">
      <t>ガクセイ</t>
    </rPh>
    <rPh sb="40" eb="44">
      <t>リシュウジョウキョウ</t>
    </rPh>
    <rPh sb="45" eb="47">
      <t>ハアク</t>
    </rPh>
    <rPh sb="49" eb="51">
      <t>ソウダン</t>
    </rPh>
    <rPh sb="54" eb="56">
      <t>タイセイ</t>
    </rPh>
    <rPh sb="57" eb="58">
      <t>トトノ</t>
    </rPh>
    <rPh sb="68" eb="71">
      <t>ジョウホウシツ</t>
    </rPh>
    <rPh sb="72" eb="76">
      <t>ジョウホウショリ</t>
    </rPh>
    <rPh sb="76" eb="79">
      <t>エンシュウシツ</t>
    </rPh>
    <rPh sb="81" eb="82">
      <t>ア</t>
    </rPh>
    <rPh sb="87" eb="88">
      <t>ダイ</t>
    </rPh>
    <rPh sb="88" eb="90">
      <t>イジョウ</t>
    </rPh>
    <rPh sb="98" eb="100">
      <t>セッチ</t>
    </rPh>
    <rPh sb="106" eb="108">
      <t>ガクセイ</t>
    </rPh>
    <rPh sb="109" eb="113">
      <t>ジュギョウジカン</t>
    </rPh>
    <rPh sb="113" eb="114">
      <t>ガイ</t>
    </rPh>
    <rPh sb="115" eb="117">
      <t>ジュギョウ</t>
    </rPh>
    <rPh sb="118" eb="120">
      <t>ヨシュウ</t>
    </rPh>
    <rPh sb="121" eb="123">
      <t>フクシュウ</t>
    </rPh>
    <rPh sb="123" eb="124">
      <t>トウ</t>
    </rPh>
    <rPh sb="132" eb="134">
      <t>リヨウ</t>
    </rPh>
    <phoneticPr fontId="1"/>
  </si>
  <si>
    <t xml:space="preserve">データ解析（予測、グルーピング、発見、最適化、シミュレーション・データ同化）、非構造化データ処理（言語データ、画像データ、音声・音楽データの処理、解析）
データの可視化（グラフ、関係性の可視化、地図上の可視化、挙動・軌跡の可視化）、特化型AIと汎用AI、今のAIでできることとできないこと(第3回)
</t>
    <rPh sb="3" eb="5">
      <t>カイセキ</t>
    </rPh>
    <rPh sb="6" eb="8">
      <t>ヨソク</t>
    </rPh>
    <rPh sb="16" eb="18">
      <t>ハッケン</t>
    </rPh>
    <rPh sb="19" eb="22">
      <t>サイテキカ</t>
    </rPh>
    <rPh sb="35" eb="37">
      <t>ドウカ</t>
    </rPh>
    <rPh sb="39" eb="40">
      <t>ヒ</t>
    </rPh>
    <rPh sb="40" eb="43">
      <t>コウゾウカ</t>
    </rPh>
    <rPh sb="46" eb="48">
      <t>ショリ</t>
    </rPh>
    <rPh sb="49" eb="51">
      <t>ゲンゴ</t>
    </rPh>
    <rPh sb="55" eb="57">
      <t>ガゾウ</t>
    </rPh>
    <rPh sb="61" eb="63">
      <t>オンセイ</t>
    </rPh>
    <rPh sb="64" eb="66">
      <t>オンガク</t>
    </rPh>
    <rPh sb="70" eb="72">
      <t>ショリ</t>
    </rPh>
    <rPh sb="73" eb="75">
      <t>カイセキ</t>
    </rPh>
    <rPh sb="146" eb="147">
      <t>ダイ</t>
    </rPh>
    <rPh sb="148" eb="149">
      <t>カイ</t>
    </rPh>
    <phoneticPr fontId="1"/>
  </si>
  <si>
    <t>本プログラムは令和3年度からの実施である。
年度初めの履修オリエンテーションにおいて、児童教育学科では教員免許取得者は必修、情報メディア学科では卒業必修である旨の説明を行っており、履修率は高いが、次年度については履修オリエンテーション等で、データサイエンスの重要性について説明し、リカレント学生も積極的に受講できる体制を整えたいと考えている。</t>
    <rPh sb="0" eb="1">
      <t>ホン</t>
    </rPh>
    <rPh sb="7" eb="9">
      <t>レイワ</t>
    </rPh>
    <rPh sb="10" eb="12">
      <t>ネンド</t>
    </rPh>
    <rPh sb="15" eb="17">
      <t>ジッシ</t>
    </rPh>
    <rPh sb="98" eb="101">
      <t>ジネンド</t>
    </rPh>
    <rPh sb="165" eb="166">
      <t>カンガ</t>
    </rPh>
    <phoneticPr fontId="1"/>
  </si>
  <si>
    <t>様式２－1</t>
    <phoneticPr fontId="1"/>
  </si>
  <si>
    <t>このプログラムの授業アンケートでは9割以上の学生が、教材・板書・ICT機器が効果的に活用されていると感じており、わかりやすい授業が工夫されていることがうかがえる。また、上述したように満足度も高い。社会人学生やリカレント学生なども受講した際に理解できる授業であると期待されるため、今後履修オリエンテーション等でもこのプログラムの受講を推奨できると考えられる。</t>
    <rPh sb="8" eb="10">
      <t>ジュギョウ</t>
    </rPh>
    <rPh sb="84" eb="86">
      <t>ジョウジュツ</t>
    </rPh>
    <rPh sb="98" eb="101">
      <t>シャカイジン</t>
    </rPh>
    <rPh sb="101" eb="103">
      <t>ガクセイ</t>
    </rPh>
    <rPh sb="109" eb="111">
      <t>ガクセイ</t>
    </rPh>
    <rPh sb="114" eb="116">
      <t>ジュコウ</t>
    </rPh>
    <rPh sb="118" eb="119">
      <t>サイ</t>
    </rPh>
    <rPh sb="120" eb="122">
      <t>リカイ</t>
    </rPh>
    <rPh sb="125" eb="127">
      <t>ジュギョウ</t>
    </rPh>
    <rPh sb="131" eb="133">
      <t>キタイ</t>
    </rPh>
    <rPh sb="139" eb="141">
      <t>コンゴ</t>
    </rPh>
    <rPh sb="141" eb="143">
      <t>リシュウ</t>
    </rPh>
    <rPh sb="152" eb="153">
      <t>トウ</t>
    </rPh>
    <rPh sb="163" eb="165">
      <t>ジュコウ</t>
    </rPh>
    <rPh sb="166" eb="168">
      <t>スイショウ</t>
    </rPh>
    <rPh sb="172" eb="173">
      <t>カンガ</t>
    </rPh>
    <phoneticPr fontId="1"/>
  </si>
  <si>
    <t>無</t>
  </si>
  <si>
    <t>麻生隆史</t>
    <rPh sb="0" eb="4">
      <t>アソウタカシ</t>
    </rPh>
    <phoneticPr fontId="1"/>
  </si>
  <si>
    <t>センター長（情報メディア学科長）</t>
    <rPh sb="4" eb="5">
      <t>チョウ</t>
    </rPh>
    <rPh sb="6" eb="8">
      <t>ジョウホウ</t>
    </rPh>
    <rPh sb="12" eb="15">
      <t>ガッカチョウ</t>
    </rPh>
    <phoneticPr fontId="1"/>
  </si>
  <si>
    <t>山口短期大学自己点検・評価委員会</t>
    <rPh sb="0" eb="6">
      <t>ヤマグチタンキダイガク</t>
    </rPh>
    <rPh sb="6" eb="10">
      <t>ジコテンケン</t>
    </rPh>
    <rPh sb="11" eb="13">
      <t>ヒョウカ</t>
    </rPh>
    <rPh sb="13" eb="16">
      <t>イインカイ</t>
    </rPh>
    <phoneticPr fontId="1"/>
  </si>
  <si>
    <t>佐藤嘉倫</t>
    <rPh sb="0" eb="2">
      <t>サトウ</t>
    </rPh>
    <rPh sb="2" eb="4">
      <t>ヨシノリ</t>
    </rPh>
    <phoneticPr fontId="1"/>
  </si>
  <si>
    <t>委員長（副学長）</t>
    <rPh sb="0" eb="3">
      <t>イインチョウ</t>
    </rPh>
    <rPh sb="4" eb="7">
      <t>フクガクチョウ</t>
    </rPh>
    <phoneticPr fontId="1"/>
  </si>
  <si>
    <t>山口短期大学庶務課</t>
    <rPh sb="0" eb="6">
      <t>ヤマグチタンキダイガク</t>
    </rPh>
    <rPh sb="6" eb="9">
      <t>ショムカ</t>
    </rPh>
    <phoneticPr fontId="1"/>
  </si>
  <si>
    <t>古谷和明</t>
    <rPh sb="0" eb="2">
      <t>フルヤ</t>
    </rPh>
    <rPh sb="2" eb="4">
      <t>カズアキ</t>
    </rPh>
    <phoneticPr fontId="1"/>
  </si>
  <si>
    <t>dai2aso@yamaguchi-jc.ac.jp</t>
    <phoneticPr fontId="1"/>
  </si>
  <si>
    <t>0835-32-0138</t>
    <phoneticPr fontId="1"/>
  </si>
  <si>
    <t>数理・データサイエンス・ＡＩ教育プログラムセンター規程</t>
    <rPh sb="0" eb="2">
      <t>スウリ</t>
    </rPh>
    <rPh sb="14" eb="16">
      <t>キョウイク</t>
    </rPh>
    <rPh sb="25" eb="27">
      <t>キテイ</t>
    </rPh>
    <phoneticPr fontId="1"/>
  </si>
  <si>
    <t xml:space="preserve">　学生の数理・データサイエンス・ＡＩへの関心を高め、かつ、数理・データサイエンス・ＡＩを適切に理解し、それを活用する基礎的な能力を育成すること及び数理・データサイエンス・ＡＩを活用して課題を解決するための実践的な能力を育成する教育プログラムを体系的に実施することを推進する。
　山口短期大学に数理・データサイエンス・ＡＩ教育プログラム推進センターを設置し、全学的に取り組むことを目的とする。
</t>
    <phoneticPr fontId="1"/>
  </si>
  <si>
    <t>数理・データサイエンス・AI教育推進センター
センター長　情報メディア学科長　　寺本　公思
センター員　専任教員　情報メディア学科准教授　日置　智子
センター員　専任教員　児童教育学科　講師　福屋　いずみ</t>
    <rPh sb="0" eb="2">
      <t>スウリ</t>
    </rPh>
    <rPh sb="14" eb="16">
      <t>キョウイク</t>
    </rPh>
    <rPh sb="16" eb="18">
      <t>スイシン</t>
    </rPh>
    <rPh sb="27" eb="28">
      <t>チョウ</t>
    </rPh>
    <rPh sb="29" eb="31">
      <t>ジョウホウ</t>
    </rPh>
    <rPh sb="35" eb="37">
      <t>ガッカ</t>
    </rPh>
    <rPh sb="37" eb="38">
      <t>チョウ</t>
    </rPh>
    <rPh sb="40" eb="42">
      <t>テラモト</t>
    </rPh>
    <rPh sb="43" eb="44">
      <t>コウ</t>
    </rPh>
    <rPh sb="44" eb="45">
      <t>シ</t>
    </rPh>
    <rPh sb="50" eb="51">
      <t>イン</t>
    </rPh>
    <rPh sb="52" eb="56">
      <t>センニンキョウイン</t>
    </rPh>
    <rPh sb="57" eb="59">
      <t>ジョウホウ</t>
    </rPh>
    <rPh sb="63" eb="65">
      <t>ガッカ</t>
    </rPh>
    <rPh sb="65" eb="68">
      <t>ジュンキョウジュ</t>
    </rPh>
    <rPh sb="69" eb="71">
      <t>ヒオキ</t>
    </rPh>
    <rPh sb="72" eb="74">
      <t>トモコ</t>
    </rPh>
    <rPh sb="79" eb="80">
      <t>イン</t>
    </rPh>
    <rPh sb="81" eb="85">
      <t>センニンキョウイン</t>
    </rPh>
    <rPh sb="86" eb="92">
      <t>ジドウキョウイクガッカ</t>
    </rPh>
    <rPh sb="93" eb="95">
      <t>コウシ</t>
    </rPh>
    <rPh sb="96" eb="98">
      <t>フクヤ</t>
    </rPh>
    <phoneticPr fontId="1"/>
  </si>
  <si>
    <t>本プログラム修了者は令和4年度に就職活動等を行うため、企業訪問や、企業担当者の方が来校された際、カリキュラム等の説明の中で、本プログラムについて説明を行い、意見等を聴取する予定であり、意見等をまとめたいと考えている。</t>
    <rPh sb="0" eb="1">
      <t>ホン</t>
    </rPh>
    <rPh sb="6" eb="9">
      <t>シュウリョウシャ</t>
    </rPh>
    <rPh sb="10" eb="12">
      <t>レイワ</t>
    </rPh>
    <rPh sb="13" eb="15">
      <t>ネンド</t>
    </rPh>
    <rPh sb="16" eb="21">
      <t>シュウショクカツドウトウ</t>
    </rPh>
    <rPh sb="22" eb="23">
      <t>オコナ</t>
    </rPh>
    <rPh sb="27" eb="31">
      <t>キギョウホウモン</t>
    </rPh>
    <rPh sb="33" eb="38">
      <t>キギョウタントウシャ</t>
    </rPh>
    <rPh sb="39" eb="40">
      <t>カタ</t>
    </rPh>
    <rPh sb="41" eb="43">
      <t>ライコウ</t>
    </rPh>
    <rPh sb="46" eb="47">
      <t>サイ</t>
    </rPh>
    <rPh sb="54" eb="55">
      <t>トウ</t>
    </rPh>
    <rPh sb="56" eb="58">
      <t>セツメイ</t>
    </rPh>
    <rPh sb="59" eb="60">
      <t>ナカ</t>
    </rPh>
    <rPh sb="62" eb="63">
      <t>ホン</t>
    </rPh>
    <rPh sb="72" eb="74">
      <t>セツメイ</t>
    </rPh>
    <rPh sb="75" eb="76">
      <t>オコナ</t>
    </rPh>
    <rPh sb="78" eb="81">
      <t>イケントウ</t>
    </rPh>
    <rPh sb="82" eb="84">
      <t>チョウシュ</t>
    </rPh>
    <rPh sb="86" eb="88">
      <t>ヨテイ</t>
    </rPh>
    <rPh sb="92" eb="95">
      <t>イケントウ</t>
    </rPh>
    <rPh sb="102" eb="103">
      <t>カンガ</t>
    </rPh>
    <phoneticPr fontId="1"/>
  </si>
  <si>
    <t>山口県防府市大字台道字大繫枝11346番地の2</t>
    <rPh sb="0" eb="3">
      <t>ヤマグチケン</t>
    </rPh>
    <rPh sb="3" eb="6">
      <t>ホウフシ</t>
    </rPh>
    <rPh sb="6" eb="8">
      <t>オオアザ</t>
    </rPh>
    <rPh sb="8" eb="10">
      <t>ダイドウ</t>
    </rPh>
    <rPh sb="10" eb="11">
      <t>アザ</t>
    </rPh>
    <rPh sb="11" eb="12">
      <t>ダイ</t>
    </rPh>
    <rPh sb="12" eb="13">
      <t>ケイ</t>
    </rPh>
    <rPh sb="13" eb="14">
      <t>エダ</t>
    </rPh>
    <rPh sb="19" eb="21">
      <t>バンチ</t>
    </rPh>
    <phoneticPr fontId="1"/>
  </si>
  <si>
    <t>現在、年度初めの履修オリエンテーションにおいて、児童教育学科では教員免許取得者は必修、情報メディア学科では卒業必修である旨の説明を行っており、リカレント学生以外の履修率は高い、今後は履修オリエンテーション等で、データサイエンスの重要性について説明し、リカレント学生も積極的に受講できる体制を整えたい。</t>
    <rPh sb="0" eb="2">
      <t>ゲンザイ</t>
    </rPh>
    <rPh sb="3" eb="6">
      <t>ネンドハジ</t>
    </rPh>
    <rPh sb="8" eb="10">
      <t>リシュウ</t>
    </rPh>
    <rPh sb="24" eb="30">
      <t>ジドウキョウイクガッカ</t>
    </rPh>
    <rPh sb="32" eb="36">
      <t>キョウインメンキョ</t>
    </rPh>
    <rPh sb="36" eb="39">
      <t>シュトクシャ</t>
    </rPh>
    <rPh sb="40" eb="42">
      <t>ヒッシュウ</t>
    </rPh>
    <rPh sb="43" eb="45">
      <t>ジョウホウ</t>
    </rPh>
    <rPh sb="49" eb="51">
      <t>ガッカ</t>
    </rPh>
    <rPh sb="53" eb="57">
      <t>ソツギョウヒッシュウ</t>
    </rPh>
    <rPh sb="60" eb="61">
      <t>ムネ</t>
    </rPh>
    <rPh sb="62" eb="64">
      <t>セツメイ</t>
    </rPh>
    <rPh sb="65" eb="66">
      <t>オコナ</t>
    </rPh>
    <rPh sb="76" eb="80">
      <t>ガクセイイガイ</t>
    </rPh>
    <rPh sb="81" eb="84">
      <t>リシュウリツ</t>
    </rPh>
    <rPh sb="85" eb="86">
      <t>タカ</t>
    </rPh>
    <rPh sb="88" eb="90">
      <t>コンゴ</t>
    </rPh>
    <rPh sb="91" eb="93">
      <t>リシュウ</t>
    </rPh>
    <rPh sb="102" eb="103">
      <t>トウ</t>
    </rPh>
    <rPh sb="114" eb="117">
      <t>ジュウヨウセイ</t>
    </rPh>
    <rPh sb="121" eb="123">
      <t>セツメイ</t>
    </rPh>
    <rPh sb="130" eb="132">
      <t>ガクセイ</t>
    </rPh>
    <rPh sb="133" eb="136">
      <t>セッキョクテキ</t>
    </rPh>
    <rPh sb="137" eb="139">
      <t>ジュコウ</t>
    </rPh>
    <rPh sb="142" eb="144">
      <t>タイセイ</t>
    </rPh>
    <rPh sb="145" eb="146">
      <t>トトノ</t>
    </rPh>
    <phoneticPr fontId="1"/>
  </si>
  <si>
    <t>プログラムの理解度を確認するため、ほぼ毎授業ごとに受講生に対しレポートを提出させ、理解度の向上を図った。
授業アンケートの結果では、学生の理解度を示す、理論や考え方、専門用語がわかりやすかったという回答は7割以上であった。また、このプログラムに対する総合的な満足度も7割以上である。
授業アンケートの回答では「AIや人工知能、ICTが活躍するこれからの時代に必要な能力が身についた」などの感想も見られた。
　</t>
    <rPh sb="6" eb="9">
      <t>リカイド</t>
    </rPh>
    <rPh sb="10" eb="12">
      <t>カクニン</t>
    </rPh>
    <rPh sb="19" eb="20">
      <t>マイ</t>
    </rPh>
    <rPh sb="20" eb="22">
      <t>ジュギョウ</t>
    </rPh>
    <rPh sb="25" eb="28">
      <t>ジュコウセイ</t>
    </rPh>
    <rPh sb="29" eb="30">
      <t>タイ</t>
    </rPh>
    <rPh sb="36" eb="38">
      <t>テイシュツ</t>
    </rPh>
    <rPh sb="41" eb="44">
      <t>リカイド</t>
    </rPh>
    <rPh sb="45" eb="47">
      <t>コウジョウ</t>
    </rPh>
    <rPh sb="48" eb="49">
      <t>ハカ</t>
    </rPh>
    <rPh sb="53" eb="55">
      <t>ジュギョウ</t>
    </rPh>
    <rPh sb="61" eb="63">
      <t>ケッカ</t>
    </rPh>
    <rPh sb="66" eb="68">
      <t>ガクセイ</t>
    </rPh>
    <rPh sb="69" eb="72">
      <t>リカイド</t>
    </rPh>
    <rPh sb="73" eb="74">
      <t>シメ</t>
    </rPh>
    <rPh sb="76" eb="78">
      <t>リロン</t>
    </rPh>
    <rPh sb="79" eb="80">
      <t>カンガ</t>
    </rPh>
    <rPh sb="81" eb="82">
      <t>カタ</t>
    </rPh>
    <rPh sb="83" eb="87">
      <t>センモンヨウゴ</t>
    </rPh>
    <rPh sb="99" eb="101">
      <t>カイトウ</t>
    </rPh>
    <rPh sb="103" eb="106">
      <t>ワリイジョウ</t>
    </rPh>
    <rPh sb="122" eb="123">
      <t>タイ</t>
    </rPh>
    <rPh sb="125" eb="128">
      <t>ソウゴウテキ</t>
    </rPh>
    <rPh sb="129" eb="131">
      <t>マンゾク</t>
    </rPh>
    <rPh sb="131" eb="132">
      <t>ド</t>
    </rPh>
    <rPh sb="134" eb="137">
      <t>ワリイジョウ</t>
    </rPh>
    <rPh sb="142" eb="144">
      <t>ジュギョウ</t>
    </rPh>
    <rPh sb="150" eb="152">
      <t>カイトウ</t>
    </rPh>
    <rPh sb="158" eb="162">
      <t>ジンコウチノウ</t>
    </rPh>
    <rPh sb="167" eb="169">
      <t>カツヤク</t>
    </rPh>
    <rPh sb="176" eb="178">
      <t>ジダイ</t>
    </rPh>
    <rPh sb="179" eb="181">
      <t>ヒツヨウ</t>
    </rPh>
    <rPh sb="182" eb="184">
      <t>ノウリョク</t>
    </rPh>
    <rPh sb="185" eb="186">
      <t>ミ</t>
    </rPh>
    <rPh sb="194" eb="196">
      <t>カンソウ</t>
    </rPh>
    <rPh sb="197" eb="198">
      <t>ミ</t>
    </rPh>
    <phoneticPr fontId="1"/>
  </si>
  <si>
    <t>https://www.yamaguchi-jc.ac.jp/annai/data_science/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</si>
</sst>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9">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11"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2"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9" fillId="0" borderId="0" xfId="0" applyFont="1" applyAlignment="1">
      <alignment horizontal="center" vertical="center"/>
    </xf>
    <xf numFmtId="0" fontId="3" fillId="0" borderId="7" xfId="0" applyFont="1" applyBorder="1" applyAlignment="1">
      <alignment horizontal="left" vertical="top" wrapText="1"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0" xfId="0" applyFont="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11" fillId="0" borderId="16" xfId="0" applyFont="1" applyBorder="1" applyAlignment="1">
      <alignment vertical="top" wrapText="1" shrinkToFit="1"/>
    </xf>
    <xf numFmtId="0" fontId="11" fillId="0" borderId="22" xfId="0" applyFont="1" applyBorder="1" applyAlignment="1">
      <alignment vertical="top" shrinkToFit="1"/>
    </xf>
    <xf numFmtId="0" fontId="11" fillId="0" borderId="21"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0" fillId="0" borderId="7" xfId="0" applyFont="1" applyBorder="1" applyAlignment="1">
      <alignment vertical="top" wrapText="1" shrinkToFit="1"/>
    </xf>
    <xf numFmtId="0" fontId="10"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ai2aso@yamaguchi-jc.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amaguchi-jc.ac.jp/annai/data_scienc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yamaguchi-jc.ac.jp/annai/data_sci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election activeCell="R39" sqref="R39"/>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39" t="s">
        <v>25</v>
      </c>
      <c r="N1" s="139"/>
    </row>
    <row r="2" spans="1:15" ht="24" customHeight="1" x14ac:dyDescent="0.15">
      <c r="A2" s="143" t="s">
        <v>83</v>
      </c>
      <c r="B2" s="143"/>
      <c r="C2" s="143"/>
      <c r="D2" s="143"/>
      <c r="E2" s="143"/>
      <c r="F2" s="143"/>
      <c r="G2" s="143"/>
      <c r="H2" s="143"/>
      <c r="I2" s="143"/>
      <c r="J2" s="143"/>
      <c r="K2" s="143"/>
      <c r="L2" s="143"/>
      <c r="M2" s="143"/>
      <c r="N2" s="143"/>
    </row>
    <row r="3" spans="1:15" ht="24" customHeight="1" x14ac:dyDescent="0.15"/>
    <row r="4" spans="1:15" ht="24" customHeight="1" x14ac:dyDescent="0.15">
      <c r="A4" s="14" t="s">
        <v>6</v>
      </c>
      <c r="B4" s="15" t="s">
        <v>16</v>
      </c>
      <c r="C4" s="129" t="s">
        <v>148</v>
      </c>
      <c r="D4" s="130"/>
      <c r="E4" s="130"/>
      <c r="F4" s="130"/>
      <c r="G4" s="130"/>
      <c r="H4" s="130"/>
      <c r="I4" s="130"/>
      <c r="J4" s="130"/>
      <c r="K4" s="130"/>
      <c r="L4" s="130"/>
      <c r="M4" s="130"/>
      <c r="N4" s="131"/>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29" t="s">
        <v>149</v>
      </c>
      <c r="E6" s="130"/>
      <c r="F6" s="130"/>
      <c r="G6" s="130"/>
      <c r="H6" s="131"/>
      <c r="I6" s="17" t="s">
        <v>86</v>
      </c>
      <c r="J6" s="37" t="s">
        <v>87</v>
      </c>
      <c r="K6" s="129" t="s">
        <v>150</v>
      </c>
      <c r="L6" s="130"/>
      <c r="M6" s="130"/>
      <c r="N6" s="131"/>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29" t="s">
        <v>203</v>
      </c>
      <c r="D8" s="130"/>
      <c r="E8" s="130"/>
      <c r="F8" s="130"/>
      <c r="G8" s="130"/>
      <c r="H8" s="130"/>
      <c r="I8" s="130"/>
      <c r="J8" s="130"/>
      <c r="K8" s="130"/>
      <c r="L8" s="130"/>
      <c r="M8" s="130"/>
      <c r="N8" s="131"/>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29" t="s">
        <v>151</v>
      </c>
      <c r="F10" s="130"/>
      <c r="G10" s="130"/>
      <c r="H10" s="130"/>
      <c r="I10" s="130"/>
      <c r="J10" s="130"/>
      <c r="K10" s="130"/>
      <c r="L10" s="130"/>
      <c r="M10" s="130"/>
      <c r="N10" s="131"/>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44" t="s">
        <v>152</v>
      </c>
      <c r="F12" s="145"/>
      <c r="G12" s="17" t="s">
        <v>96</v>
      </c>
      <c r="H12" s="14" t="s">
        <v>97</v>
      </c>
      <c r="N12" s="117" t="s">
        <v>189</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40" t="s">
        <v>5</v>
      </c>
      <c r="D14" s="141"/>
      <c r="E14" s="132">
        <v>22</v>
      </c>
      <c r="F14" s="133"/>
      <c r="G14" s="18" t="s">
        <v>7</v>
      </c>
      <c r="I14" s="140" t="s">
        <v>8</v>
      </c>
      <c r="J14" s="141"/>
      <c r="K14" s="132">
        <v>43</v>
      </c>
      <c r="L14" s="142"/>
      <c r="M14" s="133"/>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46">
        <v>1</v>
      </c>
      <c r="L16" s="147"/>
      <c r="M16" s="148"/>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2">
        <v>120</v>
      </c>
      <c r="F18" s="133"/>
      <c r="G18" s="21" t="s">
        <v>21</v>
      </c>
      <c r="H18" s="20"/>
      <c r="K18" s="152"/>
      <c r="L18" s="152"/>
      <c r="M18" s="152"/>
      <c r="N18" s="152"/>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49">
        <v>126</v>
      </c>
      <c r="K20" s="150"/>
      <c r="L20" s="151"/>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32">
        <v>56</v>
      </c>
      <c r="D22" s="133"/>
      <c r="E22" s="10" t="s">
        <v>22</v>
      </c>
      <c r="F22" s="20"/>
      <c r="G22" s="128" t="s">
        <v>18</v>
      </c>
      <c r="H22" s="128"/>
      <c r="I22" s="132">
        <v>70</v>
      </c>
      <c r="J22" s="133"/>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32"/>
      <c r="D24" s="133"/>
      <c r="E24" s="10" t="s">
        <v>22</v>
      </c>
      <c r="F24" s="20"/>
      <c r="G24" s="128" t="s">
        <v>20</v>
      </c>
      <c r="H24" s="128"/>
      <c r="I24" s="132"/>
      <c r="J24" s="133"/>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32"/>
      <c r="D26" s="133"/>
      <c r="E26" s="10" t="s">
        <v>7</v>
      </c>
      <c r="F26" s="20"/>
      <c r="G26" s="128" t="s">
        <v>47</v>
      </c>
      <c r="H26" s="128"/>
      <c r="I26" s="132"/>
      <c r="J26" s="133"/>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36" t="s">
        <v>74</v>
      </c>
      <c r="C29" s="136"/>
      <c r="D29" s="129" t="s">
        <v>190</v>
      </c>
      <c r="E29" s="130"/>
      <c r="F29" s="130"/>
      <c r="G29" s="137" t="s">
        <v>23</v>
      </c>
      <c r="H29" s="136"/>
      <c r="I29" s="138"/>
      <c r="J29" s="129" t="s">
        <v>153</v>
      </c>
      <c r="K29" s="130"/>
      <c r="L29" s="130"/>
      <c r="M29" s="130"/>
      <c r="N29" s="131"/>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29" t="s">
        <v>154</v>
      </c>
      <c r="C32" s="130"/>
      <c r="D32" s="130"/>
      <c r="E32" s="130"/>
      <c r="F32" s="130"/>
      <c r="G32" s="130"/>
      <c r="H32" s="130"/>
      <c r="I32" s="130"/>
      <c r="J32" s="130"/>
      <c r="K32" s="130"/>
      <c r="L32" s="130"/>
      <c r="M32" s="130"/>
      <c r="N32" s="131"/>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6" t="s">
        <v>74</v>
      </c>
      <c r="C34" s="136"/>
      <c r="D34" s="129" t="s">
        <v>155</v>
      </c>
      <c r="E34" s="130"/>
      <c r="F34" s="130"/>
      <c r="G34" s="137" t="s">
        <v>55</v>
      </c>
      <c r="H34" s="136"/>
      <c r="I34" s="138"/>
      <c r="J34" s="129" t="s">
        <v>191</v>
      </c>
      <c r="K34" s="130"/>
      <c r="L34" s="130"/>
      <c r="M34" s="130"/>
      <c r="N34" s="131"/>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29" t="s">
        <v>192</v>
      </c>
      <c r="C37" s="130"/>
      <c r="D37" s="130"/>
      <c r="E37" s="130"/>
      <c r="F37" s="130"/>
      <c r="G37" s="130"/>
      <c r="H37" s="130"/>
      <c r="I37" s="130"/>
      <c r="J37" s="130"/>
      <c r="K37" s="130"/>
      <c r="L37" s="130"/>
      <c r="M37" s="130"/>
      <c r="N37" s="131"/>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36" t="s">
        <v>74</v>
      </c>
      <c r="C39" s="136"/>
      <c r="D39" s="129" t="s">
        <v>193</v>
      </c>
      <c r="E39" s="130"/>
      <c r="F39" s="130"/>
      <c r="G39" s="137" t="s">
        <v>55</v>
      </c>
      <c r="H39" s="136"/>
      <c r="I39" s="138"/>
      <c r="J39" s="129" t="s">
        <v>194</v>
      </c>
      <c r="K39" s="130"/>
      <c r="L39" s="130"/>
      <c r="M39" s="130"/>
      <c r="N39" s="131"/>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3" t="s">
        <v>69</v>
      </c>
      <c r="E41" s="74"/>
      <c r="F41" s="129" t="s">
        <v>156</v>
      </c>
      <c r="G41" s="130"/>
      <c r="H41" s="130"/>
      <c r="I41" s="130"/>
      <c r="J41" s="130"/>
      <c r="K41" s="130"/>
      <c r="L41" s="130"/>
      <c r="M41" s="130"/>
      <c r="N41" s="131"/>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34" t="s">
        <v>195</v>
      </c>
      <c r="D44" s="135"/>
      <c r="E44" s="135"/>
      <c r="F44" s="135"/>
      <c r="G44" s="135"/>
      <c r="H44" s="135"/>
      <c r="I44" s="26" t="s">
        <v>2</v>
      </c>
      <c r="J44" s="27"/>
      <c r="K44" s="129" t="s">
        <v>196</v>
      </c>
      <c r="L44" s="130"/>
      <c r="M44" s="130"/>
      <c r="N44" s="131"/>
      <c r="O44" s="31" t="str">
        <f>IF(OR(C44="",K44=""),"入力してください","")</f>
        <v/>
      </c>
    </row>
    <row r="45" spans="1:15" ht="24" customHeight="1" x14ac:dyDescent="0.15">
      <c r="B45" s="25" t="s">
        <v>4</v>
      </c>
      <c r="C45" s="122" t="s">
        <v>197</v>
      </c>
      <c r="D45" s="123"/>
      <c r="E45" s="123"/>
      <c r="F45" s="123"/>
      <c r="G45" s="123"/>
      <c r="H45" s="124"/>
      <c r="I45" s="26" t="s">
        <v>3</v>
      </c>
      <c r="J45" s="27"/>
      <c r="K45" s="125" t="s">
        <v>198</v>
      </c>
      <c r="L45" s="126"/>
      <c r="M45" s="126"/>
      <c r="N45" s="127"/>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scale="98"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91" zoomScaleNormal="100" zoomScaleSheetLayoutView="100" workbookViewId="0">
      <selection activeCell="B98" sqref="B98:Z98"/>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48" t="s">
        <v>187</v>
      </c>
      <c r="X1" s="248"/>
      <c r="Y1" s="248"/>
      <c r="Z1" s="248"/>
    </row>
    <row r="2" spans="1:26" ht="18" customHeight="1" x14ac:dyDescent="0.15">
      <c r="A2" s="206" t="s">
        <v>67</v>
      </c>
      <c r="B2" s="206"/>
      <c r="C2" s="206"/>
      <c r="D2" s="206"/>
      <c r="E2" s="206"/>
      <c r="F2" s="206"/>
      <c r="G2" s="206"/>
      <c r="H2" s="206"/>
      <c r="I2" s="206"/>
      <c r="J2" s="206"/>
      <c r="K2" s="206"/>
      <c r="L2" s="206"/>
      <c r="M2" s="206"/>
      <c r="N2" s="206"/>
      <c r="O2" s="206"/>
      <c r="P2" s="206"/>
      <c r="Q2" s="206"/>
      <c r="R2" s="206"/>
      <c r="S2" s="206"/>
      <c r="T2" s="206"/>
      <c r="U2" s="206"/>
      <c r="V2" s="206"/>
      <c r="W2" s="206"/>
      <c r="X2" s="206"/>
      <c r="Y2" s="206"/>
      <c r="Z2" s="206"/>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46" t="s">
        <v>157</v>
      </c>
      <c r="P4" s="147"/>
      <c r="Q4" s="147"/>
      <c r="R4" s="147"/>
      <c r="S4" s="147"/>
      <c r="T4" s="147"/>
      <c r="U4" s="147"/>
      <c r="V4" s="147"/>
      <c r="W4" s="147"/>
      <c r="X4" s="147"/>
      <c r="Y4" s="147"/>
      <c r="Z4" s="148"/>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07" t="s">
        <v>170</v>
      </c>
      <c r="C6" s="208"/>
      <c r="D6" s="208"/>
      <c r="E6" s="208"/>
      <c r="F6" s="208"/>
      <c r="G6" s="208"/>
      <c r="H6" s="208"/>
      <c r="I6" s="208"/>
      <c r="J6" s="208"/>
      <c r="K6" s="208"/>
      <c r="L6" s="208"/>
      <c r="M6" s="208"/>
      <c r="N6" s="208"/>
      <c r="O6" s="208"/>
      <c r="P6" s="208"/>
      <c r="Q6" s="208"/>
      <c r="R6" s="208"/>
      <c r="S6" s="208"/>
      <c r="T6" s="208"/>
      <c r="U6" s="208"/>
      <c r="V6" s="208"/>
      <c r="W6" s="208"/>
      <c r="X6" s="208"/>
      <c r="Y6" s="208"/>
      <c r="Z6" s="209"/>
    </row>
    <row r="7" spans="1:26" ht="18" customHeight="1" x14ac:dyDescent="0.15">
      <c r="B7" s="210"/>
      <c r="C7" s="211"/>
      <c r="D7" s="211"/>
      <c r="E7" s="211"/>
      <c r="F7" s="211"/>
      <c r="G7" s="211"/>
      <c r="H7" s="211"/>
      <c r="I7" s="211"/>
      <c r="J7" s="211"/>
      <c r="K7" s="211"/>
      <c r="L7" s="211"/>
      <c r="M7" s="211"/>
      <c r="N7" s="211"/>
      <c r="O7" s="211"/>
      <c r="P7" s="211"/>
      <c r="Q7" s="211"/>
      <c r="R7" s="211"/>
      <c r="S7" s="211"/>
      <c r="T7" s="211"/>
      <c r="U7" s="211"/>
      <c r="V7" s="211"/>
      <c r="W7" s="211"/>
      <c r="X7" s="211"/>
      <c r="Y7" s="211"/>
      <c r="Z7" s="212"/>
    </row>
    <row r="8" spans="1:26" ht="18" customHeight="1" x14ac:dyDescent="0.15">
      <c r="B8" s="210"/>
      <c r="C8" s="211"/>
      <c r="D8" s="211"/>
      <c r="E8" s="211"/>
      <c r="F8" s="211"/>
      <c r="G8" s="211"/>
      <c r="H8" s="211"/>
      <c r="I8" s="211"/>
      <c r="J8" s="211"/>
      <c r="K8" s="211"/>
      <c r="L8" s="211"/>
      <c r="M8" s="211"/>
      <c r="N8" s="211"/>
      <c r="O8" s="211"/>
      <c r="P8" s="211"/>
      <c r="Q8" s="211"/>
      <c r="R8" s="211"/>
      <c r="S8" s="211"/>
      <c r="T8" s="211"/>
      <c r="U8" s="211"/>
      <c r="V8" s="211"/>
      <c r="W8" s="211"/>
      <c r="X8" s="211"/>
      <c r="Y8" s="211"/>
      <c r="Z8" s="212"/>
    </row>
    <row r="9" spans="1:26" ht="18" customHeight="1" x14ac:dyDescent="0.15">
      <c r="B9" s="210"/>
      <c r="C9" s="211"/>
      <c r="D9" s="211"/>
      <c r="E9" s="211"/>
      <c r="F9" s="211"/>
      <c r="G9" s="211"/>
      <c r="H9" s="211"/>
      <c r="I9" s="211"/>
      <c r="J9" s="211"/>
      <c r="K9" s="211"/>
      <c r="L9" s="211"/>
      <c r="M9" s="211"/>
      <c r="N9" s="211"/>
      <c r="O9" s="211"/>
      <c r="P9" s="211"/>
      <c r="Q9" s="211"/>
      <c r="R9" s="211"/>
      <c r="S9" s="211"/>
      <c r="T9" s="211"/>
      <c r="U9" s="211"/>
      <c r="V9" s="211"/>
      <c r="W9" s="211"/>
      <c r="X9" s="211"/>
      <c r="Y9" s="211"/>
      <c r="Z9" s="212"/>
    </row>
    <row r="10" spans="1:26" ht="18" customHeight="1" x14ac:dyDescent="0.15">
      <c r="B10" s="210"/>
      <c r="C10" s="213"/>
      <c r="D10" s="213"/>
      <c r="E10" s="213"/>
      <c r="F10" s="213"/>
      <c r="G10" s="213"/>
      <c r="H10" s="213"/>
      <c r="I10" s="213"/>
      <c r="J10" s="213"/>
      <c r="K10" s="213"/>
      <c r="L10" s="213"/>
      <c r="M10" s="213"/>
      <c r="N10" s="213"/>
      <c r="O10" s="213"/>
      <c r="P10" s="213"/>
      <c r="Q10" s="213"/>
      <c r="R10" s="213"/>
      <c r="S10" s="213"/>
      <c r="T10" s="213"/>
      <c r="U10" s="213"/>
      <c r="V10" s="213"/>
      <c r="W10" s="213"/>
      <c r="X10" s="213"/>
      <c r="Y10" s="213"/>
      <c r="Z10" s="212"/>
    </row>
    <row r="11" spans="1:26" ht="30.75" customHeight="1" x14ac:dyDescent="0.15">
      <c r="B11" s="214"/>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6"/>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02" t="s">
        <v>125</v>
      </c>
      <c r="B13" s="202"/>
      <c r="C13" s="202"/>
      <c r="D13" s="202"/>
      <c r="E13" s="202"/>
      <c r="F13" s="202"/>
      <c r="G13" s="202"/>
      <c r="H13" s="202"/>
      <c r="I13" s="202"/>
      <c r="J13" s="202"/>
      <c r="K13" s="202"/>
      <c r="L13" s="202"/>
      <c r="M13" s="202"/>
      <c r="N13" s="202"/>
      <c r="O13" s="202"/>
      <c r="P13" s="202"/>
      <c r="Q13" s="202"/>
      <c r="R13" s="202"/>
      <c r="S13" s="202"/>
      <c r="T13" s="202"/>
      <c r="U13" s="202"/>
      <c r="V13" s="202"/>
      <c r="W13" s="202"/>
      <c r="X13" s="202"/>
      <c r="Y13" s="202"/>
      <c r="Z13" s="202"/>
    </row>
    <row r="14" spans="1:26" ht="18" customHeight="1" x14ac:dyDescent="0.15">
      <c r="A14" s="202"/>
      <c r="B14" s="202"/>
      <c r="C14" s="202"/>
      <c r="D14" s="202"/>
      <c r="E14" s="202"/>
      <c r="F14" s="202"/>
      <c r="G14" s="202"/>
      <c r="H14" s="202"/>
      <c r="I14" s="202"/>
      <c r="J14" s="202"/>
      <c r="K14" s="202"/>
      <c r="L14" s="202"/>
      <c r="M14" s="202"/>
      <c r="N14" s="202"/>
      <c r="O14" s="202"/>
      <c r="P14" s="202"/>
      <c r="Q14" s="202"/>
      <c r="R14" s="202"/>
      <c r="S14" s="202"/>
      <c r="T14" s="202"/>
      <c r="U14" s="202"/>
      <c r="V14" s="202"/>
      <c r="W14" s="202"/>
      <c r="X14" s="202"/>
      <c r="Y14" s="202"/>
      <c r="Z14" s="202"/>
    </row>
    <row r="15" spans="1:26" ht="18" customHeight="1" x14ac:dyDescent="0.15">
      <c r="A15" s="14"/>
      <c r="B15" s="146" t="s">
        <v>100</v>
      </c>
      <c r="C15" s="147"/>
      <c r="D15" s="147"/>
      <c r="E15" s="147"/>
      <c r="F15" s="148"/>
      <c r="G15" s="30" t="s">
        <v>141</v>
      </c>
      <c r="H15" s="112" t="s">
        <v>140</v>
      </c>
      <c r="I15" s="147" t="s">
        <v>101</v>
      </c>
      <c r="J15" s="147"/>
      <c r="K15" s="147"/>
      <c r="L15" s="75" t="s">
        <v>104</v>
      </c>
      <c r="M15" s="75" t="s">
        <v>107</v>
      </c>
      <c r="N15" s="146" t="s">
        <v>100</v>
      </c>
      <c r="O15" s="147"/>
      <c r="P15" s="147"/>
      <c r="Q15" s="147"/>
      <c r="R15" s="147"/>
      <c r="S15" s="148"/>
      <c r="T15" s="30" t="s">
        <v>141</v>
      </c>
      <c r="U15" s="112" t="s">
        <v>140</v>
      </c>
      <c r="V15" s="147" t="s">
        <v>101</v>
      </c>
      <c r="W15" s="147"/>
      <c r="X15" s="147"/>
      <c r="Y15" s="75" t="s">
        <v>104</v>
      </c>
      <c r="Z15" s="75" t="s">
        <v>107</v>
      </c>
    </row>
    <row r="16" spans="1:26" ht="18" customHeight="1" x14ac:dyDescent="0.15">
      <c r="A16" s="14"/>
      <c r="B16" s="193" t="s">
        <v>158</v>
      </c>
      <c r="C16" s="194"/>
      <c r="D16" s="194"/>
      <c r="E16" s="194"/>
      <c r="F16" s="195"/>
      <c r="G16" s="113">
        <v>2</v>
      </c>
      <c r="H16" s="113" t="s">
        <v>160</v>
      </c>
      <c r="I16" s="187" t="s">
        <v>159</v>
      </c>
      <c r="J16" s="188"/>
      <c r="K16" s="189"/>
      <c r="L16" s="113" t="s">
        <v>160</v>
      </c>
      <c r="M16" s="113" t="s">
        <v>160</v>
      </c>
      <c r="N16" s="153"/>
      <c r="O16" s="154"/>
      <c r="P16" s="154"/>
      <c r="Q16" s="154"/>
      <c r="R16" s="154"/>
      <c r="S16" s="155"/>
      <c r="T16" s="113"/>
      <c r="U16" s="113"/>
      <c r="V16" s="187"/>
      <c r="W16" s="188"/>
      <c r="X16" s="189"/>
      <c r="Y16" s="113"/>
      <c r="Z16" s="113"/>
    </row>
    <row r="17" spans="1:26" ht="18" customHeight="1" x14ac:dyDescent="0.15">
      <c r="A17" s="14"/>
      <c r="B17" s="196"/>
      <c r="C17" s="197"/>
      <c r="D17" s="197"/>
      <c r="E17" s="197"/>
      <c r="F17" s="198"/>
      <c r="G17" s="114"/>
      <c r="H17" s="114"/>
      <c r="I17" s="190"/>
      <c r="J17" s="191"/>
      <c r="K17" s="192"/>
      <c r="L17" s="114"/>
      <c r="M17" s="114"/>
      <c r="N17" s="162"/>
      <c r="O17" s="163"/>
      <c r="P17" s="163"/>
      <c r="Q17" s="163"/>
      <c r="R17" s="163"/>
      <c r="S17" s="164"/>
      <c r="T17" s="114"/>
      <c r="U17" s="114"/>
      <c r="V17" s="190"/>
      <c r="W17" s="191"/>
      <c r="X17" s="192"/>
      <c r="Y17" s="114"/>
      <c r="Z17" s="114"/>
    </row>
    <row r="18" spans="1:26" ht="18" customHeight="1" x14ac:dyDescent="0.15">
      <c r="A18" s="14"/>
      <c r="B18" s="196"/>
      <c r="C18" s="197"/>
      <c r="D18" s="197"/>
      <c r="E18" s="197"/>
      <c r="F18" s="198"/>
      <c r="G18" s="114"/>
      <c r="H18" s="114"/>
      <c r="I18" s="190"/>
      <c r="J18" s="191"/>
      <c r="K18" s="192"/>
      <c r="L18" s="114"/>
      <c r="M18" s="114"/>
      <c r="N18" s="162"/>
      <c r="O18" s="163"/>
      <c r="P18" s="163"/>
      <c r="Q18" s="163"/>
      <c r="R18" s="163"/>
      <c r="S18" s="164"/>
      <c r="T18" s="114"/>
      <c r="U18" s="114"/>
      <c r="V18" s="190"/>
      <c r="W18" s="191"/>
      <c r="X18" s="192"/>
      <c r="Y18" s="114"/>
      <c r="Z18" s="114"/>
    </row>
    <row r="19" spans="1:26" ht="18" customHeight="1" x14ac:dyDescent="0.15">
      <c r="A19" s="14"/>
      <c r="B19" s="196"/>
      <c r="C19" s="197"/>
      <c r="D19" s="197"/>
      <c r="E19" s="197"/>
      <c r="F19" s="198"/>
      <c r="G19" s="114"/>
      <c r="H19" s="114"/>
      <c r="I19" s="190"/>
      <c r="J19" s="191"/>
      <c r="K19" s="192"/>
      <c r="L19" s="114"/>
      <c r="M19" s="114"/>
      <c r="N19" s="162"/>
      <c r="O19" s="163"/>
      <c r="P19" s="163"/>
      <c r="Q19" s="163"/>
      <c r="R19" s="163"/>
      <c r="S19" s="164"/>
      <c r="T19" s="114"/>
      <c r="U19" s="114"/>
      <c r="V19" s="190"/>
      <c r="W19" s="191"/>
      <c r="X19" s="192"/>
      <c r="Y19" s="114"/>
      <c r="Z19" s="114"/>
    </row>
    <row r="20" spans="1:26" ht="18" customHeight="1" x14ac:dyDescent="0.15">
      <c r="A20" s="14"/>
      <c r="B20" s="196"/>
      <c r="C20" s="197"/>
      <c r="D20" s="197"/>
      <c r="E20" s="197"/>
      <c r="F20" s="198"/>
      <c r="G20" s="114"/>
      <c r="H20" s="114"/>
      <c r="I20" s="190"/>
      <c r="J20" s="191"/>
      <c r="K20" s="192"/>
      <c r="L20" s="114"/>
      <c r="M20" s="114"/>
      <c r="N20" s="162"/>
      <c r="O20" s="163"/>
      <c r="P20" s="163"/>
      <c r="Q20" s="163"/>
      <c r="R20" s="163"/>
      <c r="S20" s="164"/>
      <c r="T20" s="114"/>
      <c r="U20" s="114"/>
      <c r="V20" s="190"/>
      <c r="W20" s="191"/>
      <c r="X20" s="192"/>
      <c r="Y20" s="114"/>
      <c r="Z20" s="114"/>
    </row>
    <row r="21" spans="1:26" ht="18" customHeight="1" x14ac:dyDescent="0.15">
      <c r="A21" s="29"/>
      <c r="B21" s="196"/>
      <c r="C21" s="197"/>
      <c r="D21" s="197"/>
      <c r="E21" s="197"/>
      <c r="F21" s="198"/>
      <c r="G21" s="114"/>
      <c r="H21" s="114"/>
      <c r="I21" s="190"/>
      <c r="J21" s="191"/>
      <c r="K21" s="192"/>
      <c r="L21" s="114"/>
      <c r="M21" s="114"/>
      <c r="N21" s="162"/>
      <c r="O21" s="163"/>
      <c r="P21" s="163"/>
      <c r="Q21" s="163"/>
      <c r="R21" s="163"/>
      <c r="S21" s="164"/>
      <c r="T21" s="114"/>
      <c r="U21" s="114"/>
      <c r="V21" s="190"/>
      <c r="W21" s="191"/>
      <c r="X21" s="192"/>
      <c r="Y21" s="114"/>
      <c r="Z21" s="114"/>
    </row>
    <row r="22" spans="1:26" ht="18" customHeight="1" x14ac:dyDescent="0.15">
      <c r="A22" s="29"/>
      <c r="B22" s="203"/>
      <c r="C22" s="204"/>
      <c r="D22" s="204"/>
      <c r="E22" s="204"/>
      <c r="F22" s="205"/>
      <c r="G22" s="115"/>
      <c r="H22" s="115"/>
      <c r="I22" s="199"/>
      <c r="J22" s="200"/>
      <c r="K22" s="201"/>
      <c r="L22" s="121"/>
      <c r="M22" s="121"/>
      <c r="N22" s="229"/>
      <c r="O22" s="230"/>
      <c r="P22" s="230"/>
      <c r="Q22" s="230"/>
      <c r="R22" s="230"/>
      <c r="S22" s="231"/>
      <c r="T22" s="115"/>
      <c r="U22" s="115"/>
      <c r="V22" s="199"/>
      <c r="W22" s="200"/>
      <c r="X22" s="201"/>
      <c r="Y22" s="121"/>
      <c r="Z22" s="121"/>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02" t="s">
        <v>126</v>
      </c>
      <c r="B24" s="202"/>
      <c r="C24" s="202"/>
      <c r="D24" s="202"/>
      <c r="E24" s="202"/>
      <c r="F24" s="202"/>
      <c r="G24" s="202"/>
      <c r="H24" s="202"/>
      <c r="I24" s="202"/>
      <c r="J24" s="202"/>
      <c r="K24" s="202"/>
      <c r="L24" s="202"/>
      <c r="M24" s="202"/>
      <c r="N24" s="202"/>
      <c r="O24" s="202"/>
      <c r="P24" s="202"/>
      <c r="Q24" s="202"/>
      <c r="R24" s="202"/>
      <c r="S24" s="202"/>
      <c r="T24" s="202"/>
      <c r="U24" s="202"/>
      <c r="V24" s="202"/>
      <c r="W24" s="202"/>
      <c r="X24" s="202"/>
      <c r="Y24" s="202"/>
      <c r="Z24" s="202"/>
    </row>
    <row r="25" spans="1:26" ht="18" customHeight="1" x14ac:dyDescent="0.15">
      <c r="A25" s="202"/>
      <c r="B25" s="202"/>
      <c r="C25" s="202"/>
      <c r="D25" s="202"/>
      <c r="E25" s="202"/>
      <c r="F25" s="202"/>
      <c r="G25" s="202"/>
      <c r="H25" s="202"/>
      <c r="I25" s="202"/>
      <c r="J25" s="202"/>
      <c r="K25" s="202"/>
      <c r="L25" s="202"/>
      <c r="M25" s="202"/>
      <c r="N25" s="202"/>
      <c r="O25" s="202"/>
      <c r="P25" s="202"/>
      <c r="Q25" s="202"/>
      <c r="R25" s="202"/>
      <c r="S25" s="202"/>
      <c r="T25" s="202"/>
      <c r="U25" s="202"/>
      <c r="V25" s="202"/>
      <c r="W25" s="202"/>
      <c r="X25" s="202"/>
      <c r="Y25" s="202"/>
      <c r="Z25" s="202"/>
    </row>
    <row r="26" spans="1:26" ht="18" customHeight="1" x14ac:dyDescent="0.15">
      <c r="A26" s="14"/>
      <c r="B26" s="146" t="s">
        <v>100</v>
      </c>
      <c r="C26" s="147"/>
      <c r="D26" s="147"/>
      <c r="E26" s="147"/>
      <c r="F26" s="148"/>
      <c r="G26" s="30" t="s">
        <v>141</v>
      </c>
      <c r="H26" s="112" t="s">
        <v>140</v>
      </c>
      <c r="I26" s="147" t="s">
        <v>101</v>
      </c>
      <c r="J26" s="147"/>
      <c r="K26" s="147"/>
      <c r="L26" s="75" t="s">
        <v>127</v>
      </c>
      <c r="M26" s="75" t="s">
        <v>128</v>
      </c>
      <c r="N26" s="146" t="s">
        <v>100</v>
      </c>
      <c r="O26" s="147"/>
      <c r="P26" s="147"/>
      <c r="Q26" s="147"/>
      <c r="R26" s="147"/>
      <c r="S26" s="148"/>
      <c r="T26" s="30" t="s">
        <v>141</v>
      </c>
      <c r="U26" s="112" t="s">
        <v>140</v>
      </c>
      <c r="V26" s="147" t="s">
        <v>101</v>
      </c>
      <c r="W26" s="147"/>
      <c r="X26" s="147"/>
      <c r="Y26" s="75" t="s">
        <v>127</v>
      </c>
      <c r="Z26" s="75" t="s">
        <v>128</v>
      </c>
    </row>
    <row r="27" spans="1:26" ht="18" customHeight="1" x14ac:dyDescent="0.15">
      <c r="A27" s="14"/>
      <c r="B27" s="193" t="s">
        <v>158</v>
      </c>
      <c r="C27" s="194"/>
      <c r="D27" s="194"/>
      <c r="E27" s="194"/>
      <c r="F27" s="195"/>
      <c r="G27" s="113">
        <v>2</v>
      </c>
      <c r="H27" s="113" t="s">
        <v>160</v>
      </c>
      <c r="I27" s="187" t="s">
        <v>159</v>
      </c>
      <c r="J27" s="188"/>
      <c r="K27" s="189"/>
      <c r="L27" s="113" t="s">
        <v>160</v>
      </c>
      <c r="M27" s="113" t="s">
        <v>160</v>
      </c>
      <c r="N27" s="153"/>
      <c r="O27" s="154"/>
      <c r="P27" s="154"/>
      <c r="Q27" s="154"/>
      <c r="R27" s="154"/>
      <c r="S27" s="155"/>
      <c r="T27" s="113"/>
      <c r="U27" s="113"/>
      <c r="V27" s="187"/>
      <c r="W27" s="188"/>
      <c r="X27" s="189"/>
      <c r="Y27" s="113"/>
      <c r="Z27" s="113"/>
    </row>
    <row r="28" spans="1:26" ht="18" customHeight="1" x14ac:dyDescent="0.15">
      <c r="A28" s="14"/>
      <c r="B28" s="196"/>
      <c r="C28" s="197"/>
      <c r="D28" s="197"/>
      <c r="E28" s="197"/>
      <c r="F28" s="198"/>
      <c r="G28" s="114"/>
      <c r="H28" s="114"/>
      <c r="I28" s="190"/>
      <c r="J28" s="191"/>
      <c r="K28" s="192"/>
      <c r="L28" s="114"/>
      <c r="M28" s="114"/>
      <c r="N28" s="162"/>
      <c r="O28" s="163"/>
      <c r="P28" s="163"/>
      <c r="Q28" s="163"/>
      <c r="R28" s="163"/>
      <c r="S28" s="164"/>
      <c r="T28" s="114"/>
      <c r="U28" s="114"/>
      <c r="V28" s="190"/>
      <c r="W28" s="191"/>
      <c r="X28" s="192"/>
      <c r="Y28" s="114"/>
      <c r="Z28" s="114"/>
    </row>
    <row r="29" spans="1:26" ht="18" customHeight="1" x14ac:dyDescent="0.15">
      <c r="A29" s="14"/>
      <c r="B29" s="196"/>
      <c r="C29" s="197"/>
      <c r="D29" s="197"/>
      <c r="E29" s="197"/>
      <c r="F29" s="198"/>
      <c r="G29" s="114"/>
      <c r="H29" s="114"/>
      <c r="I29" s="190"/>
      <c r="J29" s="191"/>
      <c r="K29" s="192"/>
      <c r="L29" s="114"/>
      <c r="M29" s="114"/>
      <c r="N29" s="162"/>
      <c r="O29" s="163"/>
      <c r="P29" s="163"/>
      <c r="Q29" s="163"/>
      <c r="R29" s="163"/>
      <c r="S29" s="164"/>
      <c r="T29" s="114"/>
      <c r="U29" s="114"/>
      <c r="V29" s="190"/>
      <c r="W29" s="191"/>
      <c r="X29" s="192"/>
      <c r="Y29" s="114"/>
      <c r="Z29" s="114"/>
    </row>
    <row r="30" spans="1:26" ht="18" customHeight="1" x14ac:dyDescent="0.15">
      <c r="A30" s="14"/>
      <c r="B30" s="196"/>
      <c r="C30" s="197"/>
      <c r="D30" s="197"/>
      <c r="E30" s="197"/>
      <c r="F30" s="198"/>
      <c r="G30" s="114"/>
      <c r="H30" s="114"/>
      <c r="I30" s="190"/>
      <c r="J30" s="191"/>
      <c r="K30" s="192"/>
      <c r="L30" s="114"/>
      <c r="M30" s="114"/>
      <c r="N30" s="162"/>
      <c r="O30" s="163"/>
      <c r="P30" s="163"/>
      <c r="Q30" s="163"/>
      <c r="R30" s="163"/>
      <c r="S30" s="164"/>
      <c r="T30" s="114"/>
      <c r="U30" s="114"/>
      <c r="V30" s="190"/>
      <c r="W30" s="191"/>
      <c r="X30" s="192"/>
      <c r="Y30" s="114"/>
      <c r="Z30" s="114"/>
    </row>
    <row r="31" spans="1:26" ht="18" customHeight="1" x14ac:dyDescent="0.15">
      <c r="A31" s="14"/>
      <c r="B31" s="196"/>
      <c r="C31" s="197"/>
      <c r="D31" s="197"/>
      <c r="E31" s="197"/>
      <c r="F31" s="198"/>
      <c r="G31" s="114"/>
      <c r="H31" s="114"/>
      <c r="I31" s="190"/>
      <c r="J31" s="191"/>
      <c r="K31" s="192"/>
      <c r="L31" s="114"/>
      <c r="M31" s="114"/>
      <c r="N31" s="162"/>
      <c r="O31" s="163"/>
      <c r="P31" s="163"/>
      <c r="Q31" s="163"/>
      <c r="R31" s="163"/>
      <c r="S31" s="164"/>
      <c r="T31" s="114"/>
      <c r="U31" s="114"/>
      <c r="V31" s="190"/>
      <c r="W31" s="191"/>
      <c r="X31" s="192"/>
      <c r="Y31" s="114"/>
      <c r="Z31" s="114"/>
    </row>
    <row r="32" spans="1:26" ht="18" customHeight="1" x14ac:dyDescent="0.15">
      <c r="A32" s="14"/>
      <c r="B32" s="196"/>
      <c r="C32" s="197"/>
      <c r="D32" s="197"/>
      <c r="E32" s="197"/>
      <c r="F32" s="198"/>
      <c r="G32" s="114"/>
      <c r="H32" s="114"/>
      <c r="I32" s="190"/>
      <c r="J32" s="191"/>
      <c r="K32" s="192"/>
      <c r="L32" s="114"/>
      <c r="M32" s="114"/>
      <c r="N32" s="162"/>
      <c r="O32" s="163"/>
      <c r="P32" s="163"/>
      <c r="Q32" s="163"/>
      <c r="R32" s="163"/>
      <c r="S32" s="164"/>
      <c r="T32" s="114"/>
      <c r="U32" s="114"/>
      <c r="V32" s="190"/>
      <c r="W32" s="191"/>
      <c r="X32" s="192"/>
      <c r="Y32" s="114"/>
      <c r="Z32" s="114"/>
    </row>
    <row r="33" spans="1:26" ht="18" customHeight="1" x14ac:dyDescent="0.15">
      <c r="A33" s="14"/>
      <c r="B33" s="203"/>
      <c r="C33" s="204"/>
      <c r="D33" s="204"/>
      <c r="E33" s="204"/>
      <c r="F33" s="205"/>
      <c r="G33" s="115"/>
      <c r="H33" s="115"/>
      <c r="I33" s="199"/>
      <c r="J33" s="200"/>
      <c r="K33" s="201"/>
      <c r="L33" s="121"/>
      <c r="M33" s="121"/>
      <c r="N33" s="229"/>
      <c r="O33" s="230"/>
      <c r="P33" s="230"/>
      <c r="Q33" s="230"/>
      <c r="R33" s="230"/>
      <c r="S33" s="231"/>
      <c r="T33" s="115"/>
      <c r="U33" s="115"/>
      <c r="V33" s="199"/>
      <c r="W33" s="200"/>
      <c r="X33" s="201"/>
      <c r="Y33" s="121"/>
      <c r="Z33" s="121"/>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02" t="s">
        <v>129</v>
      </c>
      <c r="B35" s="202"/>
      <c r="C35" s="202"/>
      <c r="D35" s="202"/>
      <c r="E35" s="202"/>
      <c r="F35" s="202"/>
      <c r="G35" s="202"/>
      <c r="H35" s="202"/>
      <c r="I35" s="202"/>
      <c r="J35" s="202"/>
      <c r="K35" s="202"/>
      <c r="L35" s="202"/>
      <c r="M35" s="202"/>
      <c r="N35" s="202"/>
      <c r="O35" s="202"/>
      <c r="P35" s="202"/>
      <c r="Q35" s="202"/>
      <c r="R35" s="202"/>
      <c r="S35" s="202"/>
      <c r="T35" s="202"/>
      <c r="U35" s="202"/>
      <c r="V35" s="202"/>
      <c r="W35" s="202"/>
      <c r="X35" s="202"/>
      <c r="Y35" s="202"/>
      <c r="Z35" s="202"/>
    </row>
    <row r="36" spans="1:26" ht="18" customHeight="1" x14ac:dyDescent="0.15">
      <c r="A36" s="202"/>
      <c r="B36" s="202"/>
      <c r="C36" s="202"/>
      <c r="D36" s="202"/>
      <c r="E36" s="202"/>
      <c r="F36" s="202"/>
      <c r="G36" s="202"/>
      <c r="H36" s="202"/>
      <c r="I36" s="202"/>
      <c r="J36" s="202"/>
      <c r="K36" s="202"/>
      <c r="L36" s="202"/>
      <c r="M36" s="202"/>
      <c r="N36" s="202"/>
      <c r="O36" s="202"/>
      <c r="P36" s="202"/>
      <c r="Q36" s="202"/>
      <c r="R36" s="202"/>
      <c r="S36" s="202"/>
      <c r="T36" s="202"/>
      <c r="U36" s="202"/>
      <c r="V36" s="202"/>
      <c r="W36" s="202"/>
      <c r="X36" s="202"/>
      <c r="Y36" s="202"/>
      <c r="Z36" s="202"/>
    </row>
    <row r="37" spans="1:26" ht="18" customHeight="1" x14ac:dyDescent="0.15">
      <c r="A37" s="14"/>
      <c r="B37" s="146" t="s">
        <v>100</v>
      </c>
      <c r="C37" s="147"/>
      <c r="D37" s="147"/>
      <c r="E37" s="147"/>
      <c r="F37" s="148"/>
      <c r="G37" s="30" t="s">
        <v>141</v>
      </c>
      <c r="H37" s="112" t="s">
        <v>140</v>
      </c>
      <c r="I37" s="146" t="s">
        <v>101</v>
      </c>
      <c r="J37" s="147"/>
      <c r="K37" s="148"/>
      <c r="L37" s="75" t="s">
        <v>130</v>
      </c>
      <c r="M37" s="75" t="s">
        <v>131</v>
      </c>
      <c r="N37" s="146" t="s">
        <v>100</v>
      </c>
      <c r="O37" s="147"/>
      <c r="P37" s="147"/>
      <c r="Q37" s="147"/>
      <c r="R37" s="147"/>
      <c r="S37" s="148"/>
      <c r="T37" s="30" t="s">
        <v>141</v>
      </c>
      <c r="U37" s="112" t="s">
        <v>140</v>
      </c>
      <c r="V37" s="146" t="s">
        <v>101</v>
      </c>
      <c r="W37" s="147"/>
      <c r="X37" s="148"/>
      <c r="Y37" s="75" t="s">
        <v>130</v>
      </c>
      <c r="Z37" s="75" t="s">
        <v>131</v>
      </c>
    </row>
    <row r="38" spans="1:26" ht="18" customHeight="1" x14ac:dyDescent="0.15">
      <c r="A38" s="29"/>
      <c r="B38" s="193" t="s">
        <v>158</v>
      </c>
      <c r="C38" s="194"/>
      <c r="D38" s="194"/>
      <c r="E38" s="194"/>
      <c r="F38" s="195"/>
      <c r="G38" s="113">
        <v>2</v>
      </c>
      <c r="H38" s="113" t="s">
        <v>160</v>
      </c>
      <c r="I38" s="187" t="s">
        <v>159</v>
      </c>
      <c r="J38" s="188"/>
      <c r="K38" s="189"/>
      <c r="L38" s="113" t="s">
        <v>160</v>
      </c>
      <c r="M38" s="113" t="s">
        <v>160</v>
      </c>
      <c r="N38" s="153"/>
      <c r="O38" s="154"/>
      <c r="P38" s="154"/>
      <c r="Q38" s="154"/>
      <c r="R38" s="154"/>
      <c r="S38" s="155"/>
      <c r="T38" s="113"/>
      <c r="U38" s="113"/>
      <c r="V38" s="187"/>
      <c r="W38" s="188"/>
      <c r="X38" s="189"/>
      <c r="Y38" s="113"/>
      <c r="Z38" s="113"/>
    </row>
    <row r="39" spans="1:26" ht="18" customHeight="1" x14ac:dyDescent="0.15">
      <c r="A39" s="29"/>
      <c r="B39" s="196"/>
      <c r="C39" s="197"/>
      <c r="D39" s="197"/>
      <c r="E39" s="197"/>
      <c r="F39" s="198"/>
      <c r="G39" s="114"/>
      <c r="H39" s="114"/>
      <c r="I39" s="190"/>
      <c r="J39" s="191"/>
      <c r="K39" s="192"/>
      <c r="L39" s="114"/>
      <c r="M39" s="114"/>
      <c r="N39" s="162"/>
      <c r="O39" s="163"/>
      <c r="P39" s="163"/>
      <c r="Q39" s="163"/>
      <c r="R39" s="163"/>
      <c r="S39" s="164"/>
      <c r="T39" s="114"/>
      <c r="U39" s="114"/>
      <c r="V39" s="190"/>
      <c r="W39" s="191"/>
      <c r="X39" s="192"/>
      <c r="Y39" s="114"/>
      <c r="Z39" s="114"/>
    </row>
    <row r="40" spans="1:26" ht="18" customHeight="1" x14ac:dyDescent="0.15">
      <c r="A40" s="29"/>
      <c r="B40" s="196"/>
      <c r="C40" s="197"/>
      <c r="D40" s="197"/>
      <c r="E40" s="197"/>
      <c r="F40" s="198"/>
      <c r="G40" s="114"/>
      <c r="H40" s="114"/>
      <c r="I40" s="190"/>
      <c r="J40" s="191"/>
      <c r="K40" s="192"/>
      <c r="L40" s="114"/>
      <c r="M40" s="114"/>
      <c r="N40" s="162"/>
      <c r="O40" s="163"/>
      <c r="P40" s="163"/>
      <c r="Q40" s="163"/>
      <c r="R40" s="163"/>
      <c r="S40" s="164"/>
      <c r="T40" s="114"/>
      <c r="U40" s="114"/>
      <c r="V40" s="190"/>
      <c r="W40" s="191"/>
      <c r="X40" s="192"/>
      <c r="Y40" s="114"/>
      <c r="Z40" s="114"/>
    </row>
    <row r="41" spans="1:26" ht="18" customHeight="1" x14ac:dyDescent="0.15">
      <c r="A41" s="29"/>
      <c r="B41" s="196"/>
      <c r="C41" s="197"/>
      <c r="D41" s="197"/>
      <c r="E41" s="197"/>
      <c r="F41" s="198"/>
      <c r="G41" s="114"/>
      <c r="H41" s="114"/>
      <c r="I41" s="190"/>
      <c r="J41" s="191"/>
      <c r="K41" s="192"/>
      <c r="L41" s="114"/>
      <c r="M41" s="114"/>
      <c r="N41" s="162"/>
      <c r="O41" s="163"/>
      <c r="P41" s="163"/>
      <c r="Q41" s="163"/>
      <c r="R41" s="163"/>
      <c r="S41" s="164"/>
      <c r="T41" s="114"/>
      <c r="U41" s="114"/>
      <c r="V41" s="190"/>
      <c r="W41" s="191"/>
      <c r="X41" s="192"/>
      <c r="Y41" s="114"/>
      <c r="Z41" s="114"/>
    </row>
    <row r="42" spans="1:26" ht="18" customHeight="1" x14ac:dyDescent="0.15">
      <c r="A42" s="29"/>
      <c r="B42" s="196"/>
      <c r="C42" s="197"/>
      <c r="D42" s="197"/>
      <c r="E42" s="197"/>
      <c r="F42" s="198"/>
      <c r="G42" s="114"/>
      <c r="H42" s="114"/>
      <c r="I42" s="190"/>
      <c r="J42" s="191"/>
      <c r="K42" s="192"/>
      <c r="L42" s="114"/>
      <c r="M42" s="114"/>
      <c r="N42" s="162"/>
      <c r="O42" s="163"/>
      <c r="P42" s="163"/>
      <c r="Q42" s="163"/>
      <c r="R42" s="163"/>
      <c r="S42" s="164"/>
      <c r="T42" s="114"/>
      <c r="U42" s="114"/>
      <c r="V42" s="190"/>
      <c r="W42" s="191"/>
      <c r="X42" s="192"/>
      <c r="Y42" s="114"/>
      <c r="Z42" s="114"/>
    </row>
    <row r="43" spans="1:26" ht="18" customHeight="1" x14ac:dyDescent="0.15">
      <c r="A43" s="29"/>
      <c r="B43" s="196"/>
      <c r="C43" s="197"/>
      <c r="D43" s="197"/>
      <c r="E43" s="197"/>
      <c r="F43" s="198"/>
      <c r="G43" s="114"/>
      <c r="H43" s="114"/>
      <c r="I43" s="190"/>
      <c r="J43" s="191"/>
      <c r="K43" s="192"/>
      <c r="L43" s="114"/>
      <c r="M43" s="114"/>
      <c r="N43" s="162"/>
      <c r="O43" s="163"/>
      <c r="P43" s="163"/>
      <c r="Q43" s="163"/>
      <c r="R43" s="163"/>
      <c r="S43" s="164"/>
      <c r="T43" s="114"/>
      <c r="U43" s="114"/>
      <c r="V43" s="190"/>
      <c r="W43" s="191"/>
      <c r="X43" s="192"/>
      <c r="Y43" s="114"/>
      <c r="Z43" s="114"/>
    </row>
    <row r="44" spans="1:26" ht="18" customHeight="1" x14ac:dyDescent="0.15">
      <c r="A44" s="29"/>
      <c r="B44" s="203"/>
      <c r="C44" s="204"/>
      <c r="D44" s="204"/>
      <c r="E44" s="204"/>
      <c r="F44" s="205"/>
      <c r="G44" s="115"/>
      <c r="H44" s="115"/>
      <c r="I44" s="199"/>
      <c r="J44" s="200"/>
      <c r="K44" s="201"/>
      <c r="L44" s="121"/>
      <c r="M44" s="121"/>
      <c r="N44" s="229"/>
      <c r="O44" s="230"/>
      <c r="P44" s="230"/>
      <c r="Q44" s="230"/>
      <c r="R44" s="230"/>
      <c r="S44" s="231"/>
      <c r="T44" s="115"/>
      <c r="U44" s="115"/>
      <c r="V44" s="199"/>
      <c r="W44" s="200"/>
      <c r="X44" s="201"/>
      <c r="Y44" s="121"/>
      <c r="Z44" s="121"/>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02" t="s">
        <v>132</v>
      </c>
      <c r="B46" s="202"/>
      <c r="C46" s="202"/>
      <c r="D46" s="202"/>
      <c r="E46" s="202"/>
      <c r="F46" s="202"/>
      <c r="G46" s="202"/>
      <c r="H46" s="202"/>
      <c r="I46" s="202"/>
      <c r="J46" s="202"/>
      <c r="K46" s="202"/>
      <c r="L46" s="202"/>
      <c r="M46" s="202"/>
      <c r="N46" s="202"/>
      <c r="O46" s="202"/>
      <c r="P46" s="202"/>
      <c r="Q46" s="202"/>
      <c r="R46" s="202"/>
      <c r="S46" s="202"/>
      <c r="T46" s="202"/>
      <c r="U46" s="202"/>
      <c r="V46" s="202"/>
      <c r="W46" s="202"/>
      <c r="X46" s="202"/>
      <c r="Y46" s="202"/>
      <c r="Z46" s="202"/>
    </row>
    <row r="47" spans="1:26" ht="18" customHeight="1" x14ac:dyDescent="0.15">
      <c r="A47" s="202"/>
      <c r="B47" s="202"/>
      <c r="C47" s="202"/>
      <c r="D47" s="202"/>
      <c r="E47" s="202"/>
      <c r="F47" s="202"/>
      <c r="G47" s="202"/>
      <c r="H47" s="202"/>
      <c r="I47" s="202"/>
      <c r="J47" s="202"/>
      <c r="K47" s="202"/>
      <c r="L47" s="202"/>
      <c r="M47" s="202"/>
      <c r="N47" s="202"/>
      <c r="O47" s="202"/>
      <c r="P47" s="202"/>
      <c r="Q47" s="202"/>
      <c r="R47" s="202"/>
      <c r="S47" s="202"/>
      <c r="T47" s="202"/>
      <c r="U47" s="202"/>
      <c r="V47" s="202"/>
      <c r="W47" s="202"/>
      <c r="X47" s="202"/>
      <c r="Y47" s="202"/>
      <c r="Z47" s="202"/>
    </row>
    <row r="48" spans="1:26" ht="18" customHeight="1" x14ac:dyDescent="0.15">
      <c r="A48" s="14"/>
      <c r="B48" s="146" t="s">
        <v>100</v>
      </c>
      <c r="C48" s="147"/>
      <c r="D48" s="147"/>
      <c r="E48" s="147"/>
      <c r="F48" s="148"/>
      <c r="G48" s="30" t="s">
        <v>141</v>
      </c>
      <c r="H48" s="112" t="s">
        <v>140</v>
      </c>
      <c r="I48" s="146" t="s">
        <v>101</v>
      </c>
      <c r="J48" s="147"/>
      <c r="K48" s="148"/>
      <c r="L48" s="75" t="s">
        <v>106</v>
      </c>
      <c r="M48" s="75" t="s">
        <v>108</v>
      </c>
      <c r="N48" s="146" t="s">
        <v>100</v>
      </c>
      <c r="O48" s="147"/>
      <c r="P48" s="147"/>
      <c r="Q48" s="147"/>
      <c r="R48" s="147"/>
      <c r="S48" s="148"/>
      <c r="T48" s="30" t="s">
        <v>141</v>
      </c>
      <c r="U48" s="112" t="s">
        <v>140</v>
      </c>
      <c r="V48" s="146" t="s">
        <v>101</v>
      </c>
      <c r="W48" s="147"/>
      <c r="X48" s="148"/>
      <c r="Y48" s="75" t="s">
        <v>106</v>
      </c>
      <c r="Z48" s="75" t="s">
        <v>108</v>
      </c>
    </row>
    <row r="49" spans="1:26" ht="18" customHeight="1" x14ac:dyDescent="0.15">
      <c r="A49" s="29"/>
      <c r="B49" s="193" t="s">
        <v>158</v>
      </c>
      <c r="C49" s="194"/>
      <c r="D49" s="194"/>
      <c r="E49" s="194"/>
      <c r="F49" s="195"/>
      <c r="G49" s="113">
        <v>2</v>
      </c>
      <c r="H49" s="113" t="s">
        <v>160</v>
      </c>
      <c r="I49" s="187" t="s">
        <v>159</v>
      </c>
      <c r="J49" s="188"/>
      <c r="K49" s="189"/>
      <c r="L49" s="113" t="s">
        <v>160</v>
      </c>
      <c r="M49" s="113" t="s">
        <v>160</v>
      </c>
      <c r="N49" s="153"/>
      <c r="O49" s="154"/>
      <c r="P49" s="154"/>
      <c r="Q49" s="154"/>
      <c r="R49" s="154"/>
      <c r="S49" s="155"/>
      <c r="T49" s="113"/>
      <c r="U49" s="113"/>
      <c r="V49" s="187"/>
      <c r="W49" s="188"/>
      <c r="X49" s="189"/>
      <c r="Y49" s="113"/>
      <c r="Z49" s="113"/>
    </row>
    <row r="50" spans="1:26" ht="18" customHeight="1" x14ac:dyDescent="0.15">
      <c r="A50" s="29"/>
      <c r="B50" s="196"/>
      <c r="C50" s="197"/>
      <c r="D50" s="197"/>
      <c r="E50" s="197"/>
      <c r="F50" s="198"/>
      <c r="G50" s="114"/>
      <c r="H50" s="114"/>
      <c r="I50" s="190"/>
      <c r="J50" s="191"/>
      <c r="K50" s="192"/>
      <c r="L50" s="114"/>
      <c r="M50" s="114"/>
      <c r="N50" s="162"/>
      <c r="O50" s="163"/>
      <c r="P50" s="163"/>
      <c r="Q50" s="163"/>
      <c r="R50" s="163"/>
      <c r="S50" s="164"/>
      <c r="T50" s="114"/>
      <c r="U50" s="114"/>
      <c r="V50" s="190"/>
      <c r="W50" s="191"/>
      <c r="X50" s="192"/>
      <c r="Y50" s="114"/>
      <c r="Z50" s="114"/>
    </row>
    <row r="51" spans="1:26" ht="18" customHeight="1" x14ac:dyDescent="0.15">
      <c r="A51" s="29"/>
      <c r="B51" s="196"/>
      <c r="C51" s="197"/>
      <c r="D51" s="197"/>
      <c r="E51" s="197"/>
      <c r="F51" s="198"/>
      <c r="G51" s="114"/>
      <c r="H51" s="114"/>
      <c r="I51" s="190"/>
      <c r="J51" s="191"/>
      <c r="K51" s="192"/>
      <c r="L51" s="114"/>
      <c r="M51" s="114"/>
      <c r="N51" s="162"/>
      <c r="O51" s="163"/>
      <c r="P51" s="163"/>
      <c r="Q51" s="163"/>
      <c r="R51" s="163"/>
      <c r="S51" s="164"/>
      <c r="T51" s="114"/>
      <c r="U51" s="114"/>
      <c r="V51" s="190"/>
      <c r="W51" s="191"/>
      <c r="X51" s="192"/>
      <c r="Y51" s="114"/>
      <c r="Z51" s="114"/>
    </row>
    <row r="52" spans="1:26" ht="18" customHeight="1" x14ac:dyDescent="0.15">
      <c r="A52" s="29"/>
      <c r="B52" s="196"/>
      <c r="C52" s="197"/>
      <c r="D52" s="197"/>
      <c r="E52" s="197"/>
      <c r="F52" s="198"/>
      <c r="G52" s="114"/>
      <c r="H52" s="114"/>
      <c r="I52" s="190"/>
      <c r="J52" s="191"/>
      <c r="K52" s="192"/>
      <c r="L52" s="114"/>
      <c r="M52" s="114"/>
      <c r="N52" s="162"/>
      <c r="O52" s="163"/>
      <c r="P52" s="163"/>
      <c r="Q52" s="163"/>
      <c r="R52" s="163"/>
      <c r="S52" s="164"/>
      <c r="T52" s="114"/>
      <c r="U52" s="114"/>
      <c r="V52" s="190"/>
      <c r="W52" s="191"/>
      <c r="X52" s="192"/>
      <c r="Y52" s="114"/>
      <c r="Z52" s="114"/>
    </row>
    <row r="53" spans="1:26" ht="18" customHeight="1" x14ac:dyDescent="0.15">
      <c r="A53" s="29"/>
      <c r="B53" s="196"/>
      <c r="C53" s="197"/>
      <c r="D53" s="197"/>
      <c r="E53" s="197"/>
      <c r="F53" s="198"/>
      <c r="G53" s="114"/>
      <c r="H53" s="114"/>
      <c r="I53" s="190"/>
      <c r="J53" s="191"/>
      <c r="K53" s="192"/>
      <c r="L53" s="114"/>
      <c r="M53" s="114"/>
      <c r="N53" s="162"/>
      <c r="O53" s="163"/>
      <c r="P53" s="163"/>
      <c r="Q53" s="163"/>
      <c r="R53" s="163"/>
      <c r="S53" s="164"/>
      <c r="T53" s="114"/>
      <c r="U53" s="114"/>
      <c r="V53" s="190"/>
      <c r="W53" s="191"/>
      <c r="X53" s="192"/>
      <c r="Y53" s="114"/>
      <c r="Z53" s="114"/>
    </row>
    <row r="54" spans="1:26" ht="18" customHeight="1" x14ac:dyDescent="0.15">
      <c r="A54" s="29"/>
      <c r="B54" s="196"/>
      <c r="C54" s="197"/>
      <c r="D54" s="197"/>
      <c r="E54" s="197"/>
      <c r="F54" s="198"/>
      <c r="G54" s="114"/>
      <c r="H54" s="114"/>
      <c r="I54" s="190"/>
      <c r="J54" s="191"/>
      <c r="K54" s="192"/>
      <c r="L54" s="114"/>
      <c r="M54" s="114"/>
      <c r="N54" s="162"/>
      <c r="O54" s="163"/>
      <c r="P54" s="163"/>
      <c r="Q54" s="163"/>
      <c r="R54" s="163"/>
      <c r="S54" s="164"/>
      <c r="T54" s="114"/>
      <c r="U54" s="114"/>
      <c r="V54" s="190"/>
      <c r="W54" s="191"/>
      <c r="X54" s="192"/>
      <c r="Y54" s="114"/>
      <c r="Z54" s="114"/>
    </row>
    <row r="55" spans="1:26" ht="18" customHeight="1" x14ac:dyDescent="0.15">
      <c r="A55" s="29"/>
      <c r="B55" s="203"/>
      <c r="C55" s="204"/>
      <c r="D55" s="204"/>
      <c r="E55" s="204"/>
      <c r="F55" s="205"/>
      <c r="G55" s="115"/>
      <c r="H55" s="115"/>
      <c r="I55" s="199"/>
      <c r="J55" s="200"/>
      <c r="K55" s="201"/>
      <c r="L55" s="121"/>
      <c r="M55" s="121"/>
      <c r="N55" s="229"/>
      <c r="O55" s="230"/>
      <c r="P55" s="230"/>
      <c r="Q55" s="230"/>
      <c r="R55" s="230"/>
      <c r="S55" s="231"/>
      <c r="T55" s="115"/>
      <c r="U55" s="115"/>
      <c r="V55" s="199"/>
      <c r="W55" s="200"/>
      <c r="X55" s="201"/>
      <c r="Y55" s="121"/>
      <c r="Z55" s="121"/>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02" t="s">
        <v>133</v>
      </c>
      <c r="B57" s="202"/>
      <c r="C57" s="202"/>
      <c r="D57" s="202"/>
      <c r="E57" s="202"/>
      <c r="F57" s="202"/>
      <c r="G57" s="202"/>
      <c r="H57" s="202"/>
      <c r="I57" s="202"/>
      <c r="J57" s="202"/>
      <c r="K57" s="202"/>
      <c r="L57" s="202"/>
      <c r="M57" s="202"/>
      <c r="N57" s="202"/>
      <c r="O57" s="202"/>
      <c r="P57" s="202"/>
      <c r="Q57" s="202"/>
      <c r="R57" s="202"/>
      <c r="S57" s="202"/>
      <c r="T57" s="202"/>
      <c r="U57" s="202"/>
      <c r="V57" s="202"/>
      <c r="W57" s="202"/>
      <c r="X57" s="202"/>
      <c r="Y57" s="202"/>
      <c r="Z57" s="202"/>
    </row>
    <row r="58" spans="1:26" ht="18" customHeight="1" x14ac:dyDescent="0.15">
      <c r="A58" s="202"/>
      <c r="B58" s="202"/>
      <c r="C58" s="202"/>
      <c r="D58" s="202"/>
      <c r="E58" s="202"/>
      <c r="F58" s="202"/>
      <c r="G58" s="202"/>
      <c r="H58" s="202"/>
      <c r="I58" s="202"/>
      <c r="J58" s="202"/>
      <c r="K58" s="202"/>
      <c r="L58" s="202"/>
      <c r="M58" s="202"/>
      <c r="N58" s="202"/>
      <c r="O58" s="202"/>
      <c r="P58" s="202"/>
      <c r="Q58" s="202"/>
      <c r="R58" s="202"/>
      <c r="S58" s="202"/>
      <c r="T58" s="202"/>
      <c r="U58" s="202"/>
      <c r="V58" s="202"/>
      <c r="W58" s="202"/>
      <c r="X58" s="202"/>
      <c r="Y58" s="202"/>
      <c r="Z58" s="202"/>
    </row>
    <row r="59" spans="1:26" ht="18" customHeight="1" x14ac:dyDescent="0.15">
      <c r="A59" s="14"/>
      <c r="B59" s="146" t="s">
        <v>100</v>
      </c>
      <c r="C59" s="147"/>
      <c r="D59" s="147"/>
      <c r="E59" s="148"/>
      <c r="F59" s="30" t="s">
        <v>141</v>
      </c>
      <c r="G59" s="112" t="s">
        <v>140</v>
      </c>
      <c r="H59" s="107" t="s">
        <v>101</v>
      </c>
      <c r="I59" s="108"/>
      <c r="J59" s="109"/>
      <c r="K59" s="75" t="s">
        <v>105</v>
      </c>
      <c r="L59" s="75" t="s">
        <v>134</v>
      </c>
      <c r="M59" s="75" t="s">
        <v>135</v>
      </c>
      <c r="N59" s="146" t="s">
        <v>100</v>
      </c>
      <c r="O59" s="147"/>
      <c r="P59" s="147"/>
      <c r="Q59" s="147"/>
      <c r="R59" s="148"/>
      <c r="S59" s="30" t="s">
        <v>141</v>
      </c>
      <c r="T59" s="112" t="s">
        <v>140</v>
      </c>
      <c r="U59" s="107" t="s">
        <v>101</v>
      </c>
      <c r="V59" s="108"/>
      <c r="W59" s="109"/>
      <c r="X59" s="75" t="s">
        <v>105</v>
      </c>
      <c r="Y59" s="75" t="s">
        <v>134</v>
      </c>
      <c r="Z59" s="75" t="s">
        <v>135</v>
      </c>
    </row>
    <row r="60" spans="1:26" ht="18" customHeight="1" x14ac:dyDescent="0.15">
      <c r="A60" s="29"/>
      <c r="B60" s="153" t="s">
        <v>158</v>
      </c>
      <c r="C60" s="154"/>
      <c r="D60" s="154"/>
      <c r="E60" s="155"/>
      <c r="F60" s="113">
        <v>2</v>
      </c>
      <c r="G60" s="113" t="s">
        <v>160</v>
      </c>
      <c r="H60" s="187" t="s">
        <v>159</v>
      </c>
      <c r="I60" s="188"/>
      <c r="J60" s="189"/>
      <c r="K60" s="120" t="s">
        <v>161</v>
      </c>
      <c r="L60" s="113" t="s">
        <v>160</v>
      </c>
      <c r="M60" s="113" t="s">
        <v>160</v>
      </c>
      <c r="N60" s="153"/>
      <c r="O60" s="154"/>
      <c r="P60" s="154"/>
      <c r="Q60" s="154"/>
      <c r="R60" s="155"/>
      <c r="S60" s="113"/>
      <c r="T60" s="113"/>
      <c r="U60" s="187"/>
      <c r="V60" s="188"/>
      <c r="W60" s="189"/>
      <c r="X60" s="120"/>
      <c r="Y60" s="113"/>
      <c r="Z60" s="113"/>
    </row>
    <row r="61" spans="1:26" ht="18" customHeight="1" x14ac:dyDescent="0.15">
      <c r="A61" s="29"/>
      <c r="B61" s="162"/>
      <c r="C61" s="163"/>
      <c r="D61" s="163"/>
      <c r="E61" s="164"/>
      <c r="F61" s="114"/>
      <c r="G61" s="114"/>
      <c r="H61" s="190"/>
      <c r="I61" s="191"/>
      <c r="J61" s="192"/>
      <c r="K61" s="118"/>
      <c r="L61" s="114"/>
      <c r="M61" s="114"/>
      <c r="N61" s="162"/>
      <c r="O61" s="163"/>
      <c r="P61" s="163"/>
      <c r="Q61" s="163"/>
      <c r="R61" s="164"/>
      <c r="S61" s="114"/>
      <c r="T61" s="114"/>
      <c r="U61" s="190"/>
      <c r="V61" s="191"/>
      <c r="W61" s="192"/>
      <c r="X61" s="118"/>
      <c r="Y61" s="114"/>
      <c r="Z61" s="114"/>
    </row>
    <row r="62" spans="1:26" ht="18" customHeight="1" x14ac:dyDescent="0.15">
      <c r="A62" s="29"/>
      <c r="B62" s="162"/>
      <c r="C62" s="163"/>
      <c r="D62" s="163"/>
      <c r="E62" s="164"/>
      <c r="F62" s="114"/>
      <c r="G62" s="114"/>
      <c r="H62" s="190"/>
      <c r="I62" s="191"/>
      <c r="J62" s="192"/>
      <c r="K62" s="118"/>
      <c r="L62" s="114"/>
      <c r="M62" s="114"/>
      <c r="N62" s="162"/>
      <c r="O62" s="163"/>
      <c r="P62" s="163"/>
      <c r="Q62" s="163"/>
      <c r="R62" s="164"/>
      <c r="S62" s="114"/>
      <c r="T62" s="114"/>
      <c r="U62" s="190"/>
      <c r="V62" s="191"/>
      <c r="W62" s="192"/>
      <c r="X62" s="118"/>
      <c r="Y62" s="114"/>
      <c r="Z62" s="114"/>
    </row>
    <row r="63" spans="1:26" ht="18" customHeight="1" x14ac:dyDescent="0.15">
      <c r="A63" s="29"/>
      <c r="B63" s="162"/>
      <c r="C63" s="163"/>
      <c r="D63" s="163"/>
      <c r="E63" s="164"/>
      <c r="F63" s="114"/>
      <c r="G63" s="114"/>
      <c r="H63" s="190"/>
      <c r="I63" s="191"/>
      <c r="J63" s="192"/>
      <c r="K63" s="118"/>
      <c r="L63" s="114"/>
      <c r="M63" s="114"/>
      <c r="N63" s="162"/>
      <c r="O63" s="163"/>
      <c r="P63" s="163"/>
      <c r="Q63" s="163"/>
      <c r="R63" s="164"/>
      <c r="S63" s="114"/>
      <c r="T63" s="114"/>
      <c r="U63" s="190"/>
      <c r="V63" s="191"/>
      <c r="W63" s="192"/>
      <c r="X63" s="118"/>
      <c r="Y63" s="114"/>
      <c r="Z63" s="114"/>
    </row>
    <row r="64" spans="1:26" ht="18" customHeight="1" x14ac:dyDescent="0.15">
      <c r="A64" s="29"/>
      <c r="B64" s="162"/>
      <c r="C64" s="163"/>
      <c r="D64" s="163"/>
      <c r="E64" s="164"/>
      <c r="F64" s="114"/>
      <c r="G64" s="114"/>
      <c r="H64" s="190"/>
      <c r="I64" s="191"/>
      <c r="J64" s="192"/>
      <c r="K64" s="118"/>
      <c r="L64" s="114"/>
      <c r="M64" s="114"/>
      <c r="N64" s="162"/>
      <c r="O64" s="163"/>
      <c r="P64" s="163"/>
      <c r="Q64" s="163"/>
      <c r="R64" s="164"/>
      <c r="S64" s="114"/>
      <c r="T64" s="114"/>
      <c r="U64" s="190"/>
      <c r="V64" s="191"/>
      <c r="W64" s="192"/>
      <c r="X64" s="118"/>
      <c r="Y64" s="114"/>
      <c r="Z64" s="114"/>
    </row>
    <row r="65" spans="1:26" ht="18" customHeight="1" x14ac:dyDescent="0.15">
      <c r="A65" s="29"/>
      <c r="B65" s="162"/>
      <c r="C65" s="163"/>
      <c r="D65" s="163"/>
      <c r="E65" s="164"/>
      <c r="F65" s="114"/>
      <c r="G65" s="114"/>
      <c r="H65" s="190"/>
      <c r="I65" s="191"/>
      <c r="J65" s="192"/>
      <c r="K65" s="118"/>
      <c r="L65" s="114"/>
      <c r="M65" s="114"/>
      <c r="N65" s="162"/>
      <c r="O65" s="163"/>
      <c r="P65" s="163"/>
      <c r="Q65" s="163"/>
      <c r="R65" s="164"/>
      <c r="S65" s="114"/>
      <c r="T65" s="114"/>
      <c r="U65" s="190"/>
      <c r="V65" s="191"/>
      <c r="W65" s="192"/>
      <c r="X65" s="118"/>
      <c r="Y65" s="114"/>
      <c r="Z65" s="114"/>
    </row>
    <row r="66" spans="1:26" ht="18" customHeight="1" x14ac:dyDescent="0.15">
      <c r="A66" s="29"/>
      <c r="B66" s="229"/>
      <c r="C66" s="230"/>
      <c r="D66" s="230"/>
      <c r="E66" s="231"/>
      <c r="F66" s="115"/>
      <c r="G66" s="115"/>
      <c r="H66" s="199"/>
      <c r="I66" s="200"/>
      <c r="J66" s="201"/>
      <c r="K66" s="119"/>
      <c r="L66" s="121"/>
      <c r="M66" s="121"/>
      <c r="N66" s="229"/>
      <c r="O66" s="230"/>
      <c r="P66" s="230"/>
      <c r="Q66" s="230"/>
      <c r="R66" s="231"/>
      <c r="S66" s="115"/>
      <c r="T66" s="115"/>
      <c r="U66" s="199"/>
      <c r="V66" s="200"/>
      <c r="W66" s="201"/>
      <c r="X66" s="119"/>
      <c r="Y66" s="121"/>
      <c r="Z66" s="121"/>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46" t="s">
        <v>100</v>
      </c>
      <c r="C69" s="147"/>
      <c r="D69" s="147"/>
      <c r="E69" s="147"/>
      <c r="F69" s="148"/>
      <c r="G69" s="146" t="s">
        <v>146</v>
      </c>
      <c r="H69" s="147"/>
      <c r="I69" s="147"/>
      <c r="J69" s="147"/>
      <c r="K69" s="147"/>
      <c r="L69" s="147"/>
      <c r="M69" s="148"/>
      <c r="N69" s="235" t="s">
        <v>100</v>
      </c>
      <c r="O69" s="236"/>
      <c r="P69" s="236"/>
      <c r="Q69" s="236"/>
      <c r="R69" s="236"/>
      <c r="S69" s="237"/>
      <c r="T69" s="146" t="s">
        <v>146</v>
      </c>
      <c r="U69" s="147"/>
      <c r="V69" s="147"/>
      <c r="W69" s="147"/>
      <c r="X69" s="147"/>
      <c r="Y69" s="147"/>
      <c r="Z69" s="148"/>
    </row>
    <row r="70" spans="1:26" ht="18" customHeight="1" x14ac:dyDescent="0.15">
      <c r="A70" s="29"/>
      <c r="B70" s="153"/>
      <c r="C70" s="154"/>
      <c r="D70" s="154"/>
      <c r="E70" s="154"/>
      <c r="F70" s="155"/>
      <c r="G70" s="156"/>
      <c r="H70" s="157"/>
      <c r="I70" s="157"/>
      <c r="J70" s="157"/>
      <c r="K70" s="157"/>
      <c r="L70" s="157"/>
      <c r="M70" s="158"/>
      <c r="N70" s="153"/>
      <c r="O70" s="154"/>
      <c r="P70" s="154"/>
      <c r="Q70" s="154"/>
      <c r="R70" s="154"/>
      <c r="S70" s="155"/>
      <c r="T70" s="156"/>
      <c r="U70" s="157"/>
      <c r="V70" s="157"/>
      <c r="W70" s="157"/>
      <c r="X70" s="157"/>
      <c r="Y70" s="157"/>
      <c r="Z70" s="158"/>
    </row>
    <row r="71" spans="1:26" ht="18" customHeight="1" x14ac:dyDescent="0.15">
      <c r="A71" s="29"/>
      <c r="B71" s="162"/>
      <c r="C71" s="163"/>
      <c r="D71" s="163"/>
      <c r="E71" s="163"/>
      <c r="F71" s="164"/>
      <c r="G71" s="165"/>
      <c r="H71" s="166"/>
      <c r="I71" s="166"/>
      <c r="J71" s="166"/>
      <c r="K71" s="166"/>
      <c r="L71" s="166"/>
      <c r="M71" s="167"/>
      <c r="N71" s="162"/>
      <c r="O71" s="163"/>
      <c r="P71" s="163"/>
      <c r="Q71" s="163"/>
      <c r="R71" s="163"/>
      <c r="S71" s="164"/>
      <c r="T71" s="165"/>
      <c r="U71" s="166"/>
      <c r="V71" s="166"/>
      <c r="W71" s="166"/>
      <c r="X71" s="166"/>
      <c r="Y71" s="166"/>
      <c r="Z71" s="167"/>
    </row>
    <row r="72" spans="1:26" ht="18" customHeight="1" x14ac:dyDescent="0.15">
      <c r="A72" s="29"/>
      <c r="B72" s="162"/>
      <c r="C72" s="163"/>
      <c r="D72" s="163"/>
      <c r="E72" s="163"/>
      <c r="F72" s="164"/>
      <c r="G72" s="165"/>
      <c r="H72" s="166"/>
      <c r="I72" s="166"/>
      <c r="J72" s="166"/>
      <c r="K72" s="166"/>
      <c r="L72" s="166"/>
      <c r="M72" s="167"/>
      <c r="N72" s="162"/>
      <c r="O72" s="163"/>
      <c r="P72" s="163"/>
      <c r="Q72" s="163"/>
      <c r="R72" s="163"/>
      <c r="S72" s="164"/>
      <c r="T72" s="165"/>
      <c r="U72" s="166"/>
      <c r="V72" s="166"/>
      <c r="W72" s="166"/>
      <c r="X72" s="166"/>
      <c r="Y72" s="166"/>
      <c r="Z72" s="167"/>
    </row>
    <row r="73" spans="1:26" ht="18" customHeight="1" x14ac:dyDescent="0.15">
      <c r="A73" s="29"/>
      <c r="B73" s="162"/>
      <c r="C73" s="163"/>
      <c r="D73" s="163"/>
      <c r="E73" s="163"/>
      <c r="F73" s="164"/>
      <c r="G73" s="165"/>
      <c r="H73" s="166"/>
      <c r="I73" s="166"/>
      <c r="J73" s="166"/>
      <c r="K73" s="166"/>
      <c r="L73" s="166"/>
      <c r="M73" s="167"/>
      <c r="N73" s="162"/>
      <c r="O73" s="163"/>
      <c r="P73" s="163"/>
      <c r="Q73" s="163"/>
      <c r="R73" s="163"/>
      <c r="S73" s="164"/>
      <c r="T73" s="165"/>
      <c r="U73" s="166"/>
      <c r="V73" s="166"/>
      <c r="W73" s="166"/>
      <c r="X73" s="166"/>
      <c r="Y73" s="166"/>
      <c r="Z73" s="167"/>
    </row>
    <row r="74" spans="1:26" ht="18" customHeight="1" x14ac:dyDescent="0.15">
      <c r="A74" s="29"/>
      <c r="B74" s="162"/>
      <c r="C74" s="163"/>
      <c r="D74" s="163"/>
      <c r="E74" s="163"/>
      <c r="F74" s="164"/>
      <c r="G74" s="165"/>
      <c r="H74" s="166"/>
      <c r="I74" s="166"/>
      <c r="J74" s="166"/>
      <c r="K74" s="166"/>
      <c r="L74" s="166"/>
      <c r="M74" s="167"/>
      <c r="N74" s="162"/>
      <c r="O74" s="163"/>
      <c r="P74" s="163"/>
      <c r="Q74" s="163"/>
      <c r="R74" s="163"/>
      <c r="S74" s="164"/>
      <c r="T74" s="165"/>
      <c r="U74" s="166"/>
      <c r="V74" s="166"/>
      <c r="W74" s="166"/>
      <c r="X74" s="166"/>
      <c r="Y74" s="166"/>
      <c r="Z74" s="167"/>
    </row>
    <row r="75" spans="1:26" ht="18" customHeight="1" x14ac:dyDescent="0.15">
      <c r="A75" s="29"/>
      <c r="B75" s="162"/>
      <c r="C75" s="163"/>
      <c r="D75" s="163"/>
      <c r="E75" s="163"/>
      <c r="F75" s="164"/>
      <c r="G75" s="165"/>
      <c r="H75" s="166"/>
      <c r="I75" s="166"/>
      <c r="J75" s="166"/>
      <c r="K75" s="166"/>
      <c r="L75" s="166"/>
      <c r="M75" s="167"/>
      <c r="N75" s="162"/>
      <c r="O75" s="163"/>
      <c r="P75" s="163"/>
      <c r="Q75" s="163"/>
      <c r="R75" s="163"/>
      <c r="S75" s="164"/>
      <c r="T75" s="165"/>
      <c r="U75" s="166"/>
      <c r="V75" s="166"/>
      <c r="W75" s="166"/>
      <c r="X75" s="166"/>
      <c r="Y75" s="166"/>
      <c r="Z75" s="167"/>
    </row>
    <row r="76" spans="1:26" ht="18" customHeight="1" x14ac:dyDescent="0.15">
      <c r="A76" s="29"/>
      <c r="B76" s="229"/>
      <c r="C76" s="230"/>
      <c r="D76" s="230"/>
      <c r="E76" s="230"/>
      <c r="F76" s="231"/>
      <c r="G76" s="232"/>
      <c r="H76" s="233"/>
      <c r="I76" s="233"/>
      <c r="J76" s="233"/>
      <c r="K76" s="233"/>
      <c r="L76" s="233"/>
      <c r="M76" s="234"/>
      <c r="N76" s="229"/>
      <c r="O76" s="230"/>
      <c r="P76" s="230"/>
      <c r="Q76" s="230"/>
      <c r="R76" s="230"/>
      <c r="S76" s="231"/>
      <c r="T76" s="232"/>
      <c r="U76" s="233"/>
      <c r="V76" s="233"/>
      <c r="W76" s="233"/>
      <c r="X76" s="233"/>
      <c r="Y76" s="233"/>
      <c r="Z76" s="234"/>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142</v>
      </c>
    </row>
    <row r="79" spans="1:26" ht="18.75" customHeight="1" x14ac:dyDescent="0.15">
      <c r="B79" s="78" t="s">
        <v>102</v>
      </c>
      <c r="C79" s="79"/>
      <c r="D79" s="185" t="s">
        <v>103</v>
      </c>
      <c r="E79" s="185"/>
      <c r="F79" s="185"/>
      <c r="G79" s="185"/>
      <c r="H79" s="185"/>
      <c r="I79" s="185"/>
      <c r="J79" s="185"/>
      <c r="K79" s="185"/>
      <c r="L79" s="185"/>
      <c r="M79" s="185"/>
      <c r="N79" s="185"/>
      <c r="O79" s="185"/>
      <c r="P79" s="185"/>
      <c r="Q79" s="185"/>
      <c r="R79" s="185"/>
      <c r="S79" s="185"/>
      <c r="T79" s="185"/>
      <c r="U79" s="185"/>
      <c r="V79" s="185"/>
      <c r="W79" s="185"/>
      <c r="X79" s="185"/>
      <c r="Y79" s="185"/>
      <c r="Z79" s="186"/>
    </row>
    <row r="80" spans="1:26" ht="78" customHeight="1" x14ac:dyDescent="0.15">
      <c r="B80" s="170" t="s">
        <v>109</v>
      </c>
      <c r="C80" s="85" t="s">
        <v>104</v>
      </c>
      <c r="D80" s="179" t="s">
        <v>172</v>
      </c>
      <c r="E80" s="180"/>
      <c r="F80" s="180"/>
      <c r="G80" s="180"/>
      <c r="H80" s="180"/>
      <c r="I80" s="180"/>
      <c r="J80" s="180"/>
      <c r="K80" s="180"/>
      <c r="L80" s="180"/>
      <c r="M80" s="180"/>
      <c r="N80" s="180"/>
      <c r="O80" s="180"/>
      <c r="P80" s="180"/>
      <c r="Q80" s="180"/>
      <c r="R80" s="180"/>
      <c r="S80" s="180"/>
      <c r="T80" s="180"/>
      <c r="U80" s="180"/>
      <c r="V80" s="180"/>
      <c r="W80" s="180"/>
      <c r="X80" s="180"/>
      <c r="Y80" s="180"/>
      <c r="Z80" s="181"/>
    </row>
    <row r="81" spans="1:26" ht="78" customHeight="1" x14ac:dyDescent="0.15">
      <c r="B81" s="171"/>
      <c r="C81" s="110" t="s">
        <v>137</v>
      </c>
      <c r="D81" s="217" t="s">
        <v>171</v>
      </c>
      <c r="E81" s="218"/>
      <c r="F81" s="218"/>
      <c r="G81" s="218"/>
      <c r="H81" s="218"/>
      <c r="I81" s="218"/>
      <c r="J81" s="218"/>
      <c r="K81" s="218"/>
      <c r="L81" s="218"/>
      <c r="M81" s="218"/>
      <c r="N81" s="218"/>
      <c r="O81" s="218"/>
      <c r="P81" s="218"/>
      <c r="Q81" s="218"/>
      <c r="R81" s="218"/>
      <c r="S81" s="218"/>
      <c r="T81" s="218"/>
      <c r="U81" s="218"/>
      <c r="V81" s="218"/>
      <c r="W81" s="218"/>
      <c r="X81" s="218"/>
      <c r="Y81" s="218"/>
      <c r="Z81" s="219"/>
    </row>
    <row r="82" spans="1:26" ht="78" customHeight="1" x14ac:dyDescent="0.15">
      <c r="B82" s="168" t="s">
        <v>110</v>
      </c>
      <c r="C82" s="80" t="s">
        <v>127</v>
      </c>
      <c r="D82" s="220" t="s">
        <v>173</v>
      </c>
      <c r="E82" s="221"/>
      <c r="F82" s="221"/>
      <c r="G82" s="221"/>
      <c r="H82" s="221"/>
      <c r="I82" s="221"/>
      <c r="J82" s="221"/>
      <c r="K82" s="221"/>
      <c r="L82" s="221"/>
      <c r="M82" s="221"/>
      <c r="N82" s="221"/>
      <c r="O82" s="221"/>
      <c r="P82" s="221"/>
      <c r="Q82" s="221"/>
      <c r="R82" s="221"/>
      <c r="S82" s="221"/>
      <c r="T82" s="221"/>
      <c r="U82" s="221"/>
      <c r="V82" s="221"/>
      <c r="W82" s="221"/>
      <c r="X82" s="221"/>
      <c r="Y82" s="221"/>
      <c r="Z82" s="222"/>
    </row>
    <row r="83" spans="1:26" ht="78" customHeight="1" x14ac:dyDescent="0.15">
      <c r="B83" s="169"/>
      <c r="C83" s="111" t="s">
        <v>128</v>
      </c>
      <c r="D83" s="226" t="s">
        <v>174</v>
      </c>
      <c r="E83" s="227"/>
      <c r="F83" s="227"/>
      <c r="G83" s="227"/>
      <c r="H83" s="227"/>
      <c r="I83" s="227"/>
      <c r="J83" s="227"/>
      <c r="K83" s="227"/>
      <c r="L83" s="227"/>
      <c r="M83" s="227"/>
      <c r="N83" s="227"/>
      <c r="O83" s="227"/>
      <c r="P83" s="227"/>
      <c r="Q83" s="227"/>
      <c r="R83" s="227"/>
      <c r="S83" s="227"/>
      <c r="T83" s="227"/>
      <c r="U83" s="227"/>
      <c r="V83" s="227"/>
      <c r="W83" s="227"/>
      <c r="X83" s="227"/>
      <c r="Y83" s="227"/>
      <c r="Z83" s="228"/>
    </row>
    <row r="84" spans="1:26" ht="86.1" customHeight="1" x14ac:dyDescent="0.15">
      <c r="B84" s="168" t="s">
        <v>111</v>
      </c>
      <c r="C84" s="80" t="s">
        <v>130</v>
      </c>
      <c r="D84" s="220" t="s">
        <v>185</v>
      </c>
      <c r="E84" s="221"/>
      <c r="F84" s="221"/>
      <c r="G84" s="221"/>
      <c r="H84" s="221"/>
      <c r="I84" s="221"/>
      <c r="J84" s="221"/>
      <c r="K84" s="221"/>
      <c r="L84" s="221"/>
      <c r="M84" s="221"/>
      <c r="N84" s="221"/>
      <c r="O84" s="221"/>
      <c r="P84" s="221"/>
      <c r="Q84" s="221"/>
      <c r="R84" s="221"/>
      <c r="S84" s="221"/>
      <c r="T84" s="221"/>
      <c r="U84" s="221"/>
      <c r="V84" s="221"/>
      <c r="W84" s="221"/>
      <c r="X84" s="221"/>
      <c r="Y84" s="221"/>
      <c r="Z84" s="222"/>
    </row>
    <row r="85" spans="1:26" ht="66" customHeight="1" x14ac:dyDescent="0.15">
      <c r="B85" s="169"/>
      <c r="C85" s="82" t="s">
        <v>131</v>
      </c>
      <c r="D85" s="223" t="s">
        <v>175</v>
      </c>
      <c r="E85" s="224"/>
      <c r="F85" s="224"/>
      <c r="G85" s="224"/>
      <c r="H85" s="224"/>
      <c r="I85" s="224"/>
      <c r="J85" s="224"/>
      <c r="K85" s="224"/>
      <c r="L85" s="224"/>
      <c r="M85" s="224"/>
      <c r="N85" s="224"/>
      <c r="O85" s="224"/>
      <c r="P85" s="224"/>
      <c r="Q85" s="224"/>
      <c r="R85" s="224"/>
      <c r="S85" s="224"/>
      <c r="T85" s="224"/>
      <c r="U85" s="224"/>
      <c r="V85" s="224"/>
      <c r="W85" s="224"/>
      <c r="X85" s="224"/>
      <c r="Y85" s="224"/>
      <c r="Z85" s="225"/>
    </row>
    <row r="86" spans="1:26" ht="66" customHeight="1" x14ac:dyDescent="0.15">
      <c r="B86" s="170" t="s">
        <v>138</v>
      </c>
      <c r="C86" s="85" t="s">
        <v>106</v>
      </c>
      <c r="D86" s="179" t="s">
        <v>176</v>
      </c>
      <c r="E86" s="180"/>
      <c r="F86" s="180"/>
      <c r="G86" s="180"/>
      <c r="H86" s="180"/>
      <c r="I86" s="180"/>
      <c r="J86" s="180"/>
      <c r="K86" s="180"/>
      <c r="L86" s="180"/>
      <c r="M86" s="180"/>
      <c r="N86" s="180"/>
      <c r="O86" s="180"/>
      <c r="P86" s="180"/>
      <c r="Q86" s="180"/>
      <c r="R86" s="180"/>
      <c r="S86" s="180"/>
      <c r="T86" s="180"/>
      <c r="U86" s="180"/>
      <c r="V86" s="180"/>
      <c r="W86" s="180"/>
      <c r="X86" s="180"/>
      <c r="Y86" s="180"/>
      <c r="Z86" s="181"/>
    </row>
    <row r="87" spans="1:26" ht="66" customHeight="1" x14ac:dyDescent="0.15">
      <c r="B87" s="178"/>
      <c r="C87" s="81" t="s">
        <v>108</v>
      </c>
      <c r="D87" s="182" t="s">
        <v>177</v>
      </c>
      <c r="E87" s="183"/>
      <c r="F87" s="183"/>
      <c r="G87" s="183"/>
      <c r="H87" s="183"/>
      <c r="I87" s="183"/>
      <c r="J87" s="183"/>
      <c r="K87" s="183"/>
      <c r="L87" s="183"/>
      <c r="M87" s="183"/>
      <c r="N87" s="183"/>
      <c r="O87" s="183"/>
      <c r="P87" s="183"/>
      <c r="Q87" s="183"/>
      <c r="R87" s="183"/>
      <c r="S87" s="183"/>
      <c r="T87" s="183"/>
      <c r="U87" s="183"/>
      <c r="V87" s="183"/>
      <c r="W87" s="183"/>
      <c r="X87" s="183"/>
      <c r="Y87" s="183"/>
      <c r="Z87" s="184"/>
    </row>
    <row r="88" spans="1:26" ht="180.95" customHeight="1" x14ac:dyDescent="0.15">
      <c r="B88" s="170" t="s">
        <v>139</v>
      </c>
      <c r="C88" s="80" t="s">
        <v>105</v>
      </c>
      <c r="D88" s="172" t="s">
        <v>178</v>
      </c>
      <c r="E88" s="173"/>
      <c r="F88" s="173"/>
      <c r="G88" s="173"/>
      <c r="H88" s="173"/>
      <c r="I88" s="173"/>
      <c r="J88" s="173"/>
      <c r="K88" s="173"/>
      <c r="L88" s="173"/>
      <c r="M88" s="173"/>
      <c r="N88" s="173"/>
      <c r="O88" s="173"/>
      <c r="P88" s="173"/>
      <c r="Q88" s="173"/>
      <c r="R88" s="173"/>
      <c r="S88" s="173"/>
      <c r="T88" s="173"/>
      <c r="U88" s="173"/>
      <c r="V88" s="173"/>
      <c r="W88" s="173"/>
      <c r="X88" s="173"/>
      <c r="Y88" s="173"/>
      <c r="Z88" s="174"/>
    </row>
    <row r="89" spans="1:26" ht="66" customHeight="1" x14ac:dyDescent="0.15">
      <c r="B89" s="171"/>
      <c r="C89" s="81" t="s">
        <v>134</v>
      </c>
      <c r="D89" s="159" t="s">
        <v>179</v>
      </c>
      <c r="E89" s="160"/>
      <c r="F89" s="160"/>
      <c r="G89" s="160"/>
      <c r="H89" s="160"/>
      <c r="I89" s="160"/>
      <c r="J89" s="160"/>
      <c r="K89" s="160"/>
      <c r="L89" s="160"/>
      <c r="M89" s="160"/>
      <c r="N89" s="160"/>
      <c r="O89" s="160"/>
      <c r="P89" s="160"/>
      <c r="Q89" s="160"/>
      <c r="R89" s="160"/>
      <c r="S89" s="160"/>
      <c r="T89" s="160"/>
      <c r="U89" s="160"/>
      <c r="V89" s="160"/>
      <c r="W89" s="160"/>
      <c r="X89" s="160"/>
      <c r="Y89" s="160"/>
      <c r="Z89" s="161"/>
    </row>
    <row r="90" spans="1:26" ht="66" customHeight="1" x14ac:dyDescent="0.15">
      <c r="B90" s="169"/>
      <c r="C90" s="82" t="s">
        <v>135</v>
      </c>
      <c r="D90" s="175" t="s">
        <v>180</v>
      </c>
      <c r="E90" s="176"/>
      <c r="F90" s="176"/>
      <c r="G90" s="176"/>
      <c r="H90" s="176"/>
      <c r="I90" s="176"/>
      <c r="J90" s="176"/>
      <c r="K90" s="176"/>
      <c r="L90" s="176"/>
      <c r="M90" s="176"/>
      <c r="N90" s="176"/>
      <c r="O90" s="176"/>
      <c r="P90" s="176"/>
      <c r="Q90" s="176"/>
      <c r="R90" s="176"/>
      <c r="S90" s="176"/>
      <c r="T90" s="176"/>
      <c r="U90" s="176"/>
      <c r="V90" s="176"/>
      <c r="W90" s="176"/>
      <c r="X90" s="176"/>
      <c r="Y90" s="176"/>
      <c r="Z90" s="177"/>
    </row>
    <row r="91" spans="1:26" ht="6" customHeight="1" x14ac:dyDescent="0.15"/>
    <row r="92" spans="1:26" ht="25.5" customHeight="1" x14ac:dyDescent="0.15">
      <c r="A92" s="13" t="s">
        <v>143</v>
      </c>
    </row>
    <row r="93" spans="1:26" ht="20.100000000000001" customHeight="1" x14ac:dyDescent="0.15">
      <c r="B93" s="238" t="s">
        <v>162</v>
      </c>
      <c r="C93" s="239"/>
      <c r="D93" s="239"/>
      <c r="E93" s="239"/>
      <c r="F93" s="239"/>
      <c r="G93" s="239"/>
      <c r="H93" s="239"/>
      <c r="I93" s="239"/>
      <c r="J93" s="239"/>
      <c r="K93" s="239"/>
      <c r="L93" s="239"/>
      <c r="M93" s="239"/>
      <c r="N93" s="239"/>
      <c r="O93" s="239"/>
      <c r="P93" s="239"/>
      <c r="Q93" s="239"/>
      <c r="R93" s="239"/>
      <c r="S93" s="239"/>
      <c r="T93" s="239"/>
      <c r="U93" s="239"/>
      <c r="V93" s="239"/>
      <c r="W93" s="239"/>
      <c r="X93" s="239"/>
      <c r="Y93" s="239"/>
      <c r="Z93" s="240"/>
    </row>
    <row r="94" spans="1:26" ht="20.100000000000001" customHeight="1" x14ac:dyDescent="0.15">
      <c r="B94" s="241"/>
      <c r="C94" s="242"/>
      <c r="D94" s="242"/>
      <c r="E94" s="242"/>
      <c r="F94" s="242"/>
      <c r="G94" s="242"/>
      <c r="H94" s="242"/>
      <c r="I94" s="242"/>
      <c r="J94" s="242"/>
      <c r="K94" s="242"/>
      <c r="L94" s="242"/>
      <c r="M94" s="242"/>
      <c r="N94" s="242"/>
      <c r="O94" s="242"/>
      <c r="P94" s="242"/>
      <c r="Q94" s="242"/>
      <c r="R94" s="242"/>
      <c r="S94" s="242"/>
      <c r="T94" s="242"/>
      <c r="U94" s="242"/>
      <c r="V94" s="242"/>
      <c r="W94" s="242"/>
      <c r="X94" s="242"/>
      <c r="Y94" s="242"/>
      <c r="Z94" s="243"/>
    </row>
    <row r="95" spans="1:26" ht="45.75" customHeight="1" x14ac:dyDescent="0.15">
      <c r="B95" s="244"/>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7"/>
    </row>
    <row r="96" spans="1:26" ht="20.100000000000001" customHeight="1" x14ac:dyDescent="0.15"/>
    <row r="97" spans="1:26" ht="15" customHeight="1" x14ac:dyDescent="0.15">
      <c r="A97" s="13" t="s">
        <v>144</v>
      </c>
    </row>
    <row r="98" spans="1:26" ht="15" customHeight="1" x14ac:dyDescent="0.15">
      <c r="B98" s="245" t="s">
        <v>206</v>
      </c>
      <c r="C98" s="246"/>
      <c r="D98" s="246"/>
      <c r="E98" s="246"/>
      <c r="F98" s="246"/>
      <c r="G98" s="246"/>
      <c r="H98" s="246"/>
      <c r="I98" s="246"/>
      <c r="J98" s="246"/>
      <c r="K98" s="246"/>
      <c r="L98" s="246"/>
      <c r="M98" s="246"/>
      <c r="N98" s="246"/>
      <c r="O98" s="246"/>
      <c r="P98" s="246"/>
      <c r="Q98" s="246"/>
      <c r="R98" s="246"/>
      <c r="S98" s="246"/>
      <c r="T98" s="246"/>
      <c r="U98" s="246"/>
      <c r="V98" s="246"/>
      <c r="W98" s="246"/>
      <c r="X98" s="246"/>
      <c r="Y98" s="246"/>
      <c r="Z98" s="247"/>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7"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V16" sqref="V16"/>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9" t="s">
        <v>63</v>
      </c>
      <c r="G1" s="249"/>
      <c r="H1" s="249"/>
      <c r="I1" s="249"/>
      <c r="J1" s="249"/>
      <c r="K1" s="249"/>
      <c r="L1" s="249"/>
      <c r="M1" s="249"/>
      <c r="N1" s="249"/>
      <c r="O1" s="249"/>
      <c r="P1" s="249"/>
      <c r="Q1" s="249"/>
      <c r="R1" s="249"/>
    </row>
    <row r="2" spans="1:20" ht="18" customHeight="1" x14ac:dyDescent="0.15">
      <c r="A2" s="250" t="s">
        <v>89</v>
      </c>
      <c r="B2" s="250"/>
      <c r="C2" s="250"/>
      <c r="D2" s="250"/>
      <c r="E2" s="250"/>
      <c r="F2" s="250"/>
      <c r="G2" s="250"/>
      <c r="H2" s="250"/>
      <c r="I2" s="250"/>
      <c r="J2" s="250"/>
      <c r="K2" s="250"/>
      <c r="L2" s="250"/>
      <c r="M2" s="250"/>
      <c r="N2" s="250"/>
      <c r="O2" s="250"/>
      <c r="P2" s="250"/>
      <c r="Q2" s="250"/>
      <c r="R2" s="250"/>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147</v>
      </c>
      <c r="B4" s="4"/>
      <c r="C4" s="251" t="str">
        <f>'様式１　大学等概要'!E12</f>
        <v>令和３</v>
      </c>
      <c r="D4" s="252"/>
      <c r="E4" s="38" t="s">
        <v>113</v>
      </c>
      <c r="F4" s="38"/>
      <c r="G4" s="38"/>
      <c r="H4" s="38"/>
      <c r="I4" s="38"/>
      <c r="J4" s="86"/>
      <c r="K4" s="38"/>
      <c r="L4" s="38"/>
      <c r="M4" s="116"/>
      <c r="N4" s="116"/>
      <c r="O4" s="116"/>
      <c r="P4" s="116"/>
      <c r="Q4" s="116"/>
      <c r="R4" s="116"/>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145</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53" t="s">
        <v>79</v>
      </c>
      <c r="C8" s="255" t="s">
        <v>84</v>
      </c>
      <c r="D8" s="257" t="s">
        <v>68</v>
      </c>
      <c r="E8" s="259" t="s">
        <v>90</v>
      </c>
      <c r="F8" s="259"/>
      <c r="G8" s="259" t="s">
        <v>91</v>
      </c>
      <c r="H8" s="259"/>
      <c r="I8" s="259" t="s">
        <v>92</v>
      </c>
      <c r="J8" s="259"/>
      <c r="K8" s="260" t="s">
        <v>93</v>
      </c>
      <c r="L8" s="261"/>
      <c r="M8" s="260" t="s">
        <v>94</v>
      </c>
      <c r="N8" s="261"/>
      <c r="O8" s="260" t="s">
        <v>95</v>
      </c>
      <c r="P8" s="261"/>
      <c r="Q8" s="262" t="s">
        <v>62</v>
      </c>
      <c r="R8" s="264" t="s">
        <v>56</v>
      </c>
      <c r="T8" s="34"/>
    </row>
    <row r="9" spans="1:20" ht="18" customHeight="1" x14ac:dyDescent="0.15">
      <c r="A9" s="4"/>
      <c r="B9" s="254"/>
      <c r="C9" s="256"/>
      <c r="D9" s="258"/>
      <c r="E9" s="43" t="s">
        <v>44</v>
      </c>
      <c r="F9" s="44" t="s">
        <v>43</v>
      </c>
      <c r="G9" s="45" t="s">
        <v>44</v>
      </c>
      <c r="H9" s="46" t="s">
        <v>43</v>
      </c>
      <c r="I9" s="43" t="s">
        <v>44</v>
      </c>
      <c r="J9" s="44" t="s">
        <v>43</v>
      </c>
      <c r="K9" s="45" t="s">
        <v>44</v>
      </c>
      <c r="L9" s="46" t="s">
        <v>43</v>
      </c>
      <c r="M9" s="43" t="s">
        <v>44</v>
      </c>
      <c r="N9" s="44" t="s">
        <v>43</v>
      </c>
      <c r="O9" s="45" t="s">
        <v>44</v>
      </c>
      <c r="P9" s="46" t="s">
        <v>43</v>
      </c>
      <c r="Q9" s="263"/>
      <c r="R9" s="265"/>
      <c r="T9" s="34"/>
    </row>
    <row r="10" spans="1:20" ht="18" customHeight="1" x14ac:dyDescent="0.15">
      <c r="A10" s="47"/>
      <c r="B10" s="87" t="s">
        <v>163</v>
      </c>
      <c r="C10" s="47">
        <v>80</v>
      </c>
      <c r="D10" s="48">
        <v>160</v>
      </c>
      <c r="E10" s="49">
        <v>35</v>
      </c>
      <c r="F10" s="50">
        <v>34</v>
      </c>
      <c r="G10" s="51"/>
      <c r="H10" s="52"/>
      <c r="I10" s="49"/>
      <c r="J10" s="50"/>
      <c r="K10" s="51"/>
      <c r="L10" s="52"/>
      <c r="M10" s="49"/>
      <c r="N10" s="50"/>
      <c r="O10" s="51"/>
      <c r="P10" s="52"/>
      <c r="Q10" s="53">
        <f>E10+G10+I10+K10+M10+O10</f>
        <v>35</v>
      </c>
      <c r="R10" s="54">
        <f>Q10/D10</f>
        <v>0.21875</v>
      </c>
    </row>
    <row r="11" spans="1:20" ht="18" customHeight="1" x14ac:dyDescent="0.15">
      <c r="A11" s="47"/>
      <c r="B11" s="88" t="s">
        <v>164</v>
      </c>
      <c r="C11" s="63">
        <v>40</v>
      </c>
      <c r="D11" s="56">
        <v>80</v>
      </c>
      <c r="E11" s="57">
        <v>10</v>
      </c>
      <c r="F11" s="58">
        <v>8</v>
      </c>
      <c r="G11" s="59"/>
      <c r="H11" s="60"/>
      <c r="I11" s="57"/>
      <c r="J11" s="58"/>
      <c r="K11" s="59"/>
      <c r="L11" s="60"/>
      <c r="M11" s="57"/>
      <c r="N11" s="58"/>
      <c r="O11" s="59"/>
      <c r="P11" s="60"/>
      <c r="Q11" s="61">
        <f t="shared" ref="Q11:Q29" si="0">E11+G11+I11+K11+M11+O11</f>
        <v>10</v>
      </c>
      <c r="R11" s="62">
        <f t="shared" ref="R11:R29" si="1">Q11/D11</f>
        <v>0.125</v>
      </c>
    </row>
    <row r="12" spans="1:20" ht="18" customHeight="1" x14ac:dyDescent="0.15">
      <c r="A12" s="47"/>
      <c r="B12" s="88"/>
      <c r="C12" s="63"/>
      <c r="D12" s="56"/>
      <c r="E12" s="57"/>
      <c r="F12" s="58"/>
      <c r="G12" s="59"/>
      <c r="H12" s="60"/>
      <c r="I12" s="57"/>
      <c r="J12" s="58"/>
      <c r="K12" s="59"/>
      <c r="L12" s="60"/>
      <c r="M12" s="57"/>
      <c r="N12" s="58"/>
      <c r="O12" s="59"/>
      <c r="P12" s="60"/>
      <c r="Q12" s="61">
        <f t="shared" si="0"/>
        <v>0</v>
      </c>
      <c r="R12" s="62" t="e">
        <f t="shared" si="1"/>
        <v>#DIV/0!</v>
      </c>
    </row>
    <row r="13" spans="1:20" ht="18" customHeight="1" x14ac:dyDescent="0.15">
      <c r="A13" s="47"/>
      <c r="B13" s="88"/>
      <c r="C13" s="63"/>
      <c r="D13" s="56"/>
      <c r="E13" s="57"/>
      <c r="F13" s="58"/>
      <c r="G13" s="59"/>
      <c r="H13" s="60"/>
      <c r="I13" s="57"/>
      <c r="J13" s="58"/>
      <c r="K13" s="59"/>
      <c r="L13" s="60"/>
      <c r="M13" s="57"/>
      <c r="N13" s="58"/>
      <c r="O13" s="59"/>
      <c r="P13" s="60"/>
      <c r="Q13" s="61">
        <f t="shared" si="0"/>
        <v>0</v>
      </c>
      <c r="R13" s="62" t="e">
        <f t="shared" si="1"/>
        <v>#DIV/0!</v>
      </c>
    </row>
    <row r="14" spans="1:20" ht="18" customHeight="1" x14ac:dyDescent="0.15">
      <c r="A14" s="47"/>
      <c r="B14" s="88"/>
      <c r="C14" s="63"/>
      <c r="D14" s="56"/>
      <c r="E14" s="57"/>
      <c r="F14" s="58"/>
      <c r="G14" s="59"/>
      <c r="H14" s="60"/>
      <c r="I14" s="57"/>
      <c r="J14" s="58"/>
      <c r="K14" s="59"/>
      <c r="L14" s="60"/>
      <c r="M14" s="57"/>
      <c r="N14" s="58"/>
      <c r="O14" s="59"/>
      <c r="P14" s="60"/>
      <c r="Q14" s="61">
        <f t="shared" si="0"/>
        <v>0</v>
      </c>
      <c r="R14" s="62" t="e">
        <f t="shared" si="1"/>
        <v>#DIV/0!</v>
      </c>
    </row>
    <row r="15" spans="1:20" ht="18" customHeight="1" x14ac:dyDescent="0.15">
      <c r="A15" s="47"/>
      <c r="B15" s="88"/>
      <c r="C15" s="63"/>
      <c r="D15" s="56"/>
      <c r="E15" s="57"/>
      <c r="F15" s="58"/>
      <c r="G15" s="59"/>
      <c r="H15" s="60"/>
      <c r="I15" s="57"/>
      <c r="J15" s="58"/>
      <c r="K15" s="59"/>
      <c r="L15" s="60"/>
      <c r="M15" s="57"/>
      <c r="N15" s="58"/>
      <c r="O15" s="59"/>
      <c r="P15" s="60"/>
      <c r="Q15" s="61">
        <f t="shared" si="0"/>
        <v>0</v>
      </c>
      <c r="R15" s="62" t="e">
        <f t="shared" si="1"/>
        <v>#DIV/0!</v>
      </c>
    </row>
    <row r="16" spans="1:20" ht="18" customHeight="1" x14ac:dyDescent="0.15">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1" t="s">
        <v>57</v>
      </c>
      <c r="C30" s="92">
        <f t="shared" ref="C30:Q30" si="2">SUM(C10:C29)</f>
        <v>120</v>
      </c>
      <c r="D30" s="65">
        <f t="shared" si="2"/>
        <v>240</v>
      </c>
      <c r="E30" s="66">
        <f t="shared" si="2"/>
        <v>45</v>
      </c>
      <c r="F30" s="67">
        <f t="shared" si="2"/>
        <v>42</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45</v>
      </c>
      <c r="R30" s="71">
        <f>Q30/D30</f>
        <v>0.1875</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election activeCell="B111" sqref="B111:J129"/>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114</v>
      </c>
      <c r="J1" s="41" t="s">
        <v>115</v>
      </c>
    </row>
    <row r="2" spans="1:11" ht="18.75" customHeight="1" x14ac:dyDescent="0.15">
      <c r="A2" s="250" t="s">
        <v>64</v>
      </c>
      <c r="B2" s="250"/>
      <c r="C2" s="250"/>
      <c r="D2" s="250"/>
      <c r="E2" s="250"/>
      <c r="F2" s="250"/>
      <c r="G2" s="250"/>
      <c r="H2" s="250"/>
      <c r="I2" s="250"/>
      <c r="J2" s="250"/>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134" t="s">
        <v>199</v>
      </c>
      <c r="C5" s="275"/>
      <c r="D5" s="275"/>
      <c r="E5" s="275"/>
      <c r="F5" s="275"/>
      <c r="G5" s="275"/>
      <c r="H5" s="275"/>
      <c r="I5" s="275"/>
      <c r="J5" s="276"/>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93"/>
      <c r="B8" s="277" t="s">
        <v>200</v>
      </c>
      <c r="C8" s="278"/>
      <c r="D8" s="278"/>
      <c r="E8" s="278"/>
      <c r="F8" s="278"/>
      <c r="G8" s="278"/>
      <c r="H8" s="278"/>
      <c r="I8" s="279"/>
      <c r="J8" s="280"/>
      <c r="K8" s="31" t="str">
        <f>IF(B8="","入力してください","")</f>
        <v/>
      </c>
    </row>
    <row r="9" spans="1:11" s="4" customFormat="1" ht="18.75" customHeight="1" x14ac:dyDescent="0.15">
      <c r="A9" s="93"/>
      <c r="B9" s="269"/>
      <c r="C9" s="270"/>
      <c r="D9" s="270"/>
      <c r="E9" s="270"/>
      <c r="F9" s="270"/>
      <c r="G9" s="270"/>
      <c r="H9" s="270"/>
      <c r="I9" s="270"/>
      <c r="J9" s="271"/>
      <c r="K9" s="31"/>
    </row>
    <row r="10" spans="1:11" s="4" customFormat="1" ht="18.75" customHeight="1" x14ac:dyDescent="0.15">
      <c r="A10" s="93"/>
      <c r="B10" s="269"/>
      <c r="C10" s="270"/>
      <c r="D10" s="270"/>
      <c r="E10" s="270"/>
      <c r="F10" s="270"/>
      <c r="G10" s="270"/>
      <c r="H10" s="270"/>
      <c r="I10" s="270"/>
      <c r="J10" s="271"/>
      <c r="K10" s="31"/>
    </row>
    <row r="11" spans="1:11" s="4" customFormat="1" ht="18.75" customHeight="1" x14ac:dyDescent="0.15">
      <c r="A11" s="93"/>
      <c r="B11" s="269"/>
      <c r="C11" s="270"/>
      <c r="D11" s="270"/>
      <c r="E11" s="270"/>
      <c r="F11" s="270"/>
      <c r="G11" s="270"/>
      <c r="H11" s="270"/>
      <c r="I11" s="270"/>
      <c r="J11" s="271"/>
      <c r="K11" s="31"/>
    </row>
    <row r="12" spans="1:11" s="4" customFormat="1" ht="18.75" customHeight="1" x14ac:dyDescent="0.15">
      <c r="A12" s="93"/>
      <c r="B12" s="272"/>
      <c r="C12" s="273"/>
      <c r="D12" s="273"/>
      <c r="E12" s="273"/>
      <c r="F12" s="273"/>
      <c r="G12" s="273"/>
      <c r="H12" s="273"/>
      <c r="I12" s="273"/>
      <c r="J12" s="274"/>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10</v>
      </c>
      <c r="B14" s="94" t="s">
        <v>15</v>
      </c>
      <c r="C14" s="94"/>
      <c r="D14" s="94"/>
      <c r="E14" s="94"/>
      <c r="F14" s="94"/>
      <c r="G14" s="94"/>
      <c r="H14" s="94"/>
      <c r="I14" s="94"/>
      <c r="J14" s="94"/>
      <c r="K14" s="31"/>
    </row>
    <row r="15" spans="1:11" s="4" customFormat="1" ht="18.75" customHeight="1" x14ac:dyDescent="0.15">
      <c r="A15" s="93"/>
      <c r="B15" s="277" t="s">
        <v>201</v>
      </c>
      <c r="C15" s="278"/>
      <c r="D15" s="278"/>
      <c r="E15" s="278"/>
      <c r="F15" s="278"/>
      <c r="G15" s="278"/>
      <c r="H15" s="278"/>
      <c r="I15" s="281"/>
      <c r="J15" s="282"/>
      <c r="K15" s="31" t="str">
        <f>IF(B15="","入力してください","")</f>
        <v/>
      </c>
    </row>
    <row r="16" spans="1:11" s="4" customFormat="1" ht="18.75" customHeight="1" x14ac:dyDescent="0.15">
      <c r="A16" s="93"/>
      <c r="B16" s="283"/>
      <c r="C16" s="284"/>
      <c r="D16" s="284"/>
      <c r="E16" s="284"/>
      <c r="F16" s="284"/>
      <c r="G16" s="284"/>
      <c r="H16" s="284"/>
      <c r="I16" s="284"/>
      <c r="J16" s="285"/>
      <c r="K16" s="31"/>
    </row>
    <row r="17" spans="1:11" s="4" customFormat="1" ht="18.75" customHeight="1" x14ac:dyDescent="0.15">
      <c r="A17" s="93"/>
      <c r="B17" s="283"/>
      <c r="C17" s="284"/>
      <c r="D17" s="284"/>
      <c r="E17" s="284"/>
      <c r="F17" s="284"/>
      <c r="G17" s="284"/>
      <c r="H17" s="284"/>
      <c r="I17" s="284"/>
      <c r="J17" s="285"/>
      <c r="K17" s="31"/>
    </row>
    <row r="18" spans="1:11" s="4" customFormat="1" ht="18.75" customHeight="1" x14ac:dyDescent="0.15">
      <c r="A18" s="93"/>
      <c r="B18" s="283"/>
      <c r="C18" s="284"/>
      <c r="D18" s="284"/>
      <c r="E18" s="284"/>
      <c r="F18" s="284"/>
      <c r="G18" s="284"/>
      <c r="H18" s="284"/>
      <c r="I18" s="284"/>
      <c r="J18" s="285"/>
      <c r="K18" s="31"/>
    </row>
    <row r="19" spans="1:11" s="4" customFormat="1" ht="18.75" customHeight="1" x14ac:dyDescent="0.15">
      <c r="A19" s="93"/>
      <c r="B19" s="283"/>
      <c r="C19" s="284"/>
      <c r="D19" s="284"/>
      <c r="E19" s="284"/>
      <c r="F19" s="284"/>
      <c r="G19" s="284"/>
      <c r="H19" s="284"/>
      <c r="I19" s="284"/>
      <c r="J19" s="285"/>
      <c r="K19" s="31"/>
    </row>
    <row r="20" spans="1:11" s="4" customFormat="1" ht="18.75" customHeight="1" x14ac:dyDescent="0.15">
      <c r="A20" s="93"/>
      <c r="B20" s="283"/>
      <c r="C20" s="284"/>
      <c r="D20" s="284"/>
      <c r="E20" s="284"/>
      <c r="F20" s="284"/>
      <c r="G20" s="284"/>
      <c r="H20" s="284"/>
      <c r="I20" s="284"/>
      <c r="J20" s="285"/>
      <c r="K20" s="31"/>
    </row>
    <row r="21" spans="1:11" s="4" customFormat="1" ht="18.75" customHeight="1" x14ac:dyDescent="0.15">
      <c r="A21" s="93"/>
      <c r="B21" s="283"/>
      <c r="C21" s="284"/>
      <c r="D21" s="284"/>
      <c r="E21" s="284"/>
      <c r="F21" s="284"/>
      <c r="G21" s="284"/>
      <c r="H21" s="284"/>
      <c r="I21" s="284"/>
      <c r="J21" s="285"/>
      <c r="K21" s="31"/>
    </row>
    <row r="22" spans="1:11" s="4" customFormat="1" ht="18.75" customHeight="1" x14ac:dyDescent="0.15">
      <c r="A22" s="93"/>
      <c r="B22" s="283"/>
      <c r="C22" s="284"/>
      <c r="D22" s="284"/>
      <c r="E22" s="284"/>
      <c r="F22" s="284"/>
      <c r="G22" s="284"/>
      <c r="H22" s="284"/>
      <c r="I22" s="284"/>
      <c r="J22" s="285"/>
      <c r="K22" s="31"/>
    </row>
    <row r="23" spans="1:11" s="4" customFormat="1" ht="18.75" customHeight="1" x14ac:dyDescent="0.15">
      <c r="A23" s="93"/>
      <c r="B23" s="283"/>
      <c r="C23" s="284"/>
      <c r="D23" s="284"/>
      <c r="E23" s="284"/>
      <c r="F23" s="284"/>
      <c r="G23" s="284"/>
      <c r="H23" s="284"/>
      <c r="I23" s="284"/>
      <c r="J23" s="285"/>
      <c r="K23" s="31"/>
    </row>
    <row r="24" spans="1:11" s="4" customFormat="1" ht="18.75" customHeight="1" x14ac:dyDescent="0.15">
      <c r="A24" s="93"/>
      <c r="B24" s="283"/>
      <c r="C24" s="284"/>
      <c r="D24" s="284"/>
      <c r="E24" s="284"/>
      <c r="F24" s="284"/>
      <c r="G24" s="284"/>
      <c r="H24" s="284"/>
      <c r="I24" s="284"/>
      <c r="J24" s="285"/>
      <c r="K24" s="31"/>
    </row>
    <row r="25" spans="1:11" s="4" customFormat="1" ht="18.75" customHeight="1" x14ac:dyDescent="0.15">
      <c r="A25" s="93"/>
      <c r="B25" s="286"/>
      <c r="C25" s="287"/>
      <c r="D25" s="287"/>
      <c r="E25" s="287"/>
      <c r="F25" s="287"/>
      <c r="G25" s="287"/>
      <c r="H25" s="287"/>
      <c r="I25" s="287"/>
      <c r="J25" s="288"/>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5" t="s">
        <v>116</v>
      </c>
      <c r="C28" s="96">
        <f>'様式３　履修者等数の実績'!R30</f>
        <v>0.1875</v>
      </c>
      <c r="D28" s="97"/>
      <c r="E28" s="97" t="s">
        <v>117</v>
      </c>
      <c r="F28" s="96">
        <v>0.35</v>
      </c>
      <c r="G28" s="97"/>
      <c r="H28" s="97" t="s">
        <v>118</v>
      </c>
      <c r="I28" s="98">
        <v>0.4</v>
      </c>
      <c r="J28" s="99"/>
      <c r="K28" s="31"/>
    </row>
    <row r="29" spans="1:11" s="29" customFormat="1" ht="18.75" customHeight="1" x14ac:dyDescent="0.15">
      <c r="B29" s="83" t="s">
        <v>119</v>
      </c>
      <c r="C29" s="100">
        <v>0.45</v>
      </c>
      <c r="D29" s="84"/>
      <c r="E29" s="84" t="s">
        <v>120</v>
      </c>
      <c r="F29" s="100">
        <v>0.45</v>
      </c>
      <c r="G29" s="84"/>
      <c r="H29" s="84" t="s">
        <v>121</v>
      </c>
      <c r="I29" s="101">
        <f>'様式３　履修者等数の実績'!D30</f>
        <v>240</v>
      </c>
      <c r="J29" s="102"/>
      <c r="K29" s="35"/>
    </row>
    <row r="30" spans="1:11" s="4" customFormat="1" ht="18.75" customHeight="1" x14ac:dyDescent="0.15">
      <c r="A30" s="1"/>
      <c r="B30" s="165" t="s">
        <v>122</v>
      </c>
      <c r="C30" s="166"/>
      <c r="D30" s="166"/>
      <c r="E30" s="166"/>
      <c r="F30" s="166"/>
      <c r="G30" s="166"/>
      <c r="H30" s="166"/>
      <c r="I30" s="166"/>
      <c r="J30" s="167"/>
      <c r="K30" s="35"/>
    </row>
    <row r="31" spans="1:11" s="4" customFormat="1" ht="18.75" customHeight="1" x14ac:dyDescent="0.15">
      <c r="A31" s="1"/>
      <c r="B31" s="266" t="s">
        <v>204</v>
      </c>
      <c r="C31" s="267"/>
      <c r="D31" s="267"/>
      <c r="E31" s="267"/>
      <c r="F31" s="267"/>
      <c r="G31" s="267"/>
      <c r="H31" s="267"/>
      <c r="I31" s="267"/>
      <c r="J31" s="268"/>
      <c r="K31" s="35" t="str">
        <f>IF(B31="","入力してください","")</f>
        <v/>
      </c>
    </row>
    <row r="32" spans="1:11" s="4" customFormat="1" ht="18.75" customHeight="1" x14ac:dyDescent="0.15">
      <c r="A32" s="1"/>
      <c r="B32" s="269"/>
      <c r="C32" s="270"/>
      <c r="D32" s="270"/>
      <c r="E32" s="270"/>
      <c r="F32" s="270"/>
      <c r="G32" s="270"/>
      <c r="H32" s="270"/>
      <c r="I32" s="270"/>
      <c r="J32" s="271"/>
      <c r="K32" s="35"/>
    </row>
    <row r="33" spans="1:11" s="4" customFormat="1" ht="18.75" customHeight="1" x14ac:dyDescent="0.15">
      <c r="A33" s="1"/>
      <c r="B33" s="269"/>
      <c r="C33" s="270"/>
      <c r="D33" s="270"/>
      <c r="E33" s="270"/>
      <c r="F33" s="270"/>
      <c r="G33" s="270"/>
      <c r="H33" s="270"/>
      <c r="I33" s="270"/>
      <c r="J33" s="271"/>
      <c r="K33" s="35"/>
    </row>
    <row r="34" spans="1:11" s="4" customFormat="1" ht="18.75" customHeight="1" x14ac:dyDescent="0.15">
      <c r="A34" s="1"/>
      <c r="B34" s="269"/>
      <c r="C34" s="270"/>
      <c r="D34" s="270"/>
      <c r="E34" s="270"/>
      <c r="F34" s="270"/>
      <c r="G34" s="270"/>
      <c r="H34" s="270"/>
      <c r="I34" s="270"/>
      <c r="J34" s="271"/>
      <c r="K34" s="35"/>
    </row>
    <row r="35" spans="1:11" s="4" customFormat="1" ht="18.75" customHeight="1" x14ac:dyDescent="0.15">
      <c r="A35" s="1"/>
      <c r="B35" s="269"/>
      <c r="C35" s="270"/>
      <c r="D35" s="270"/>
      <c r="E35" s="270"/>
      <c r="F35" s="270"/>
      <c r="G35" s="270"/>
      <c r="H35" s="270"/>
      <c r="I35" s="270"/>
      <c r="J35" s="271"/>
      <c r="K35" s="35"/>
    </row>
    <row r="36" spans="1:11" s="4" customFormat="1" ht="18.75" customHeight="1" x14ac:dyDescent="0.15">
      <c r="A36" s="1"/>
      <c r="B36" s="269"/>
      <c r="C36" s="270"/>
      <c r="D36" s="270"/>
      <c r="E36" s="270"/>
      <c r="F36" s="270"/>
      <c r="G36" s="270"/>
      <c r="H36" s="270"/>
      <c r="I36" s="270"/>
      <c r="J36" s="271"/>
      <c r="K36" s="35"/>
    </row>
    <row r="37" spans="1:11" s="4" customFormat="1" ht="18.75" customHeight="1" x14ac:dyDescent="0.15">
      <c r="A37" s="1"/>
      <c r="B37" s="269"/>
      <c r="C37" s="270"/>
      <c r="D37" s="270"/>
      <c r="E37" s="270"/>
      <c r="F37" s="270"/>
      <c r="G37" s="270"/>
      <c r="H37" s="270"/>
      <c r="I37" s="270"/>
      <c r="J37" s="271"/>
      <c r="K37" s="35"/>
    </row>
    <row r="38" spans="1:11" s="4" customFormat="1" ht="18.75" customHeight="1" x14ac:dyDescent="0.15">
      <c r="A38" s="1"/>
      <c r="B38" s="269"/>
      <c r="C38" s="270"/>
      <c r="D38" s="270"/>
      <c r="E38" s="270"/>
      <c r="F38" s="270"/>
      <c r="G38" s="270"/>
      <c r="H38" s="270"/>
      <c r="I38" s="270"/>
      <c r="J38" s="271"/>
      <c r="K38" s="35"/>
    </row>
    <row r="39" spans="1:11" s="4" customFormat="1" ht="18.75" customHeight="1" x14ac:dyDescent="0.15">
      <c r="A39" s="1"/>
      <c r="B39" s="269"/>
      <c r="C39" s="270"/>
      <c r="D39" s="270"/>
      <c r="E39" s="270"/>
      <c r="F39" s="270"/>
      <c r="G39" s="270"/>
      <c r="H39" s="270"/>
      <c r="I39" s="270"/>
      <c r="J39" s="271"/>
      <c r="K39" s="35"/>
    </row>
    <row r="40" spans="1:11" s="4" customFormat="1" ht="18.75" customHeight="1" x14ac:dyDescent="0.15">
      <c r="A40" s="1"/>
      <c r="B40" s="269"/>
      <c r="C40" s="270"/>
      <c r="D40" s="270"/>
      <c r="E40" s="270"/>
      <c r="F40" s="270"/>
      <c r="G40" s="270"/>
      <c r="H40" s="270"/>
      <c r="I40" s="270"/>
      <c r="J40" s="271"/>
      <c r="K40" s="35"/>
    </row>
    <row r="41" spans="1:11" s="4" customFormat="1" ht="18.75" customHeight="1" x14ac:dyDescent="0.15">
      <c r="A41" s="1"/>
      <c r="B41" s="269"/>
      <c r="C41" s="270"/>
      <c r="D41" s="270"/>
      <c r="E41" s="270"/>
      <c r="F41" s="270"/>
      <c r="G41" s="270"/>
      <c r="H41" s="270"/>
      <c r="I41" s="270"/>
      <c r="J41" s="271"/>
      <c r="K41" s="35"/>
    </row>
    <row r="42" spans="1:11" s="4" customFormat="1" ht="18.75" customHeight="1" x14ac:dyDescent="0.15">
      <c r="A42" s="1"/>
      <c r="B42" s="269"/>
      <c r="C42" s="270"/>
      <c r="D42" s="270"/>
      <c r="E42" s="270"/>
      <c r="F42" s="270"/>
      <c r="G42" s="270"/>
      <c r="H42" s="270"/>
      <c r="I42" s="270"/>
      <c r="J42" s="271"/>
      <c r="K42" s="35"/>
    </row>
    <row r="43" spans="1:11" ht="18.75" customHeight="1" x14ac:dyDescent="0.15">
      <c r="A43" s="39"/>
      <c r="B43" s="269"/>
      <c r="C43" s="270"/>
      <c r="D43" s="270"/>
      <c r="E43" s="270"/>
      <c r="F43" s="270"/>
      <c r="G43" s="270"/>
      <c r="H43" s="270"/>
      <c r="I43" s="270"/>
      <c r="J43" s="271"/>
      <c r="K43" s="35"/>
    </row>
    <row r="44" spans="1:11" ht="18.75" customHeight="1" x14ac:dyDescent="0.15">
      <c r="A44" s="39"/>
      <c r="B44" s="272"/>
      <c r="C44" s="273"/>
      <c r="D44" s="273"/>
      <c r="E44" s="273"/>
      <c r="F44" s="273"/>
      <c r="G44" s="273"/>
      <c r="H44" s="273"/>
      <c r="I44" s="273"/>
      <c r="J44" s="274"/>
    </row>
    <row r="45" spans="1:11" s="4" customFormat="1" ht="18.75" customHeight="1" x14ac:dyDescent="0.15">
      <c r="A45" s="103" t="s">
        <v>11</v>
      </c>
      <c r="B45" s="1" t="s">
        <v>65</v>
      </c>
      <c r="C45" s="1"/>
      <c r="D45" s="1"/>
      <c r="E45" s="1"/>
      <c r="F45" s="1"/>
      <c r="G45" s="1"/>
      <c r="H45" s="1"/>
      <c r="I45" s="103"/>
      <c r="J45" s="103"/>
      <c r="K45" s="31"/>
    </row>
    <row r="46" spans="1:11" ht="18.75" customHeight="1" x14ac:dyDescent="0.15">
      <c r="A46" s="39"/>
      <c r="B46" s="289" t="s">
        <v>168</v>
      </c>
      <c r="C46" s="290"/>
      <c r="D46" s="290"/>
      <c r="E46" s="290"/>
      <c r="F46" s="290"/>
      <c r="G46" s="290"/>
      <c r="H46" s="290"/>
      <c r="I46" s="278"/>
      <c r="J46" s="291"/>
      <c r="K46" s="31" t="str">
        <f>IF(B46="","入力してください","")</f>
        <v/>
      </c>
    </row>
    <row r="47" spans="1:11" ht="18.75" customHeight="1" x14ac:dyDescent="0.15">
      <c r="A47" s="39"/>
      <c r="B47" s="292"/>
      <c r="C47" s="293"/>
      <c r="D47" s="293"/>
      <c r="E47" s="293"/>
      <c r="F47" s="293"/>
      <c r="G47" s="293"/>
      <c r="H47" s="293"/>
      <c r="I47" s="293"/>
      <c r="J47" s="294"/>
    </row>
    <row r="48" spans="1:11" ht="18.75" customHeight="1" x14ac:dyDescent="0.15">
      <c r="A48" s="39"/>
      <c r="B48" s="292"/>
      <c r="C48" s="293"/>
      <c r="D48" s="293"/>
      <c r="E48" s="293"/>
      <c r="F48" s="293"/>
      <c r="G48" s="293"/>
      <c r="H48" s="293"/>
      <c r="I48" s="293"/>
      <c r="J48" s="294"/>
    </row>
    <row r="49" spans="1:10" ht="18.75" customHeight="1" x14ac:dyDescent="0.15">
      <c r="A49" s="39"/>
      <c r="B49" s="292"/>
      <c r="C49" s="293"/>
      <c r="D49" s="293"/>
      <c r="E49" s="293"/>
      <c r="F49" s="293"/>
      <c r="G49" s="293"/>
      <c r="H49" s="293"/>
      <c r="I49" s="293"/>
      <c r="J49" s="294"/>
    </row>
    <row r="50" spans="1:10" ht="18.75" customHeight="1" x14ac:dyDescent="0.15">
      <c r="A50" s="39"/>
      <c r="B50" s="292"/>
      <c r="C50" s="293"/>
      <c r="D50" s="293"/>
      <c r="E50" s="293"/>
      <c r="F50" s="293"/>
      <c r="G50" s="293"/>
      <c r="H50" s="293"/>
      <c r="I50" s="293"/>
      <c r="J50" s="294"/>
    </row>
    <row r="51" spans="1:10" ht="18.75" customHeight="1" x14ac:dyDescent="0.15">
      <c r="A51" s="39"/>
      <c r="B51" s="292"/>
      <c r="C51" s="293"/>
      <c r="D51" s="293"/>
      <c r="E51" s="293"/>
      <c r="F51" s="293"/>
      <c r="G51" s="293"/>
      <c r="H51" s="293"/>
      <c r="I51" s="293"/>
      <c r="J51" s="294"/>
    </row>
    <row r="52" spans="1:10" ht="18.75" customHeight="1" x14ac:dyDescent="0.15">
      <c r="A52" s="39"/>
      <c r="B52" s="292"/>
      <c r="C52" s="293"/>
      <c r="D52" s="293"/>
      <c r="E52" s="293"/>
      <c r="F52" s="293"/>
      <c r="G52" s="293"/>
      <c r="H52" s="293"/>
      <c r="I52" s="293"/>
      <c r="J52" s="294"/>
    </row>
    <row r="53" spans="1:10" ht="18.75" customHeight="1" x14ac:dyDescent="0.15">
      <c r="A53" s="39"/>
      <c r="B53" s="292"/>
      <c r="C53" s="293"/>
      <c r="D53" s="293"/>
      <c r="E53" s="293"/>
      <c r="F53" s="293"/>
      <c r="G53" s="293"/>
      <c r="H53" s="293"/>
      <c r="I53" s="293"/>
      <c r="J53" s="294"/>
    </row>
    <row r="54" spans="1:10" ht="18.75" customHeight="1" x14ac:dyDescent="0.15">
      <c r="A54" s="39"/>
      <c r="B54" s="292"/>
      <c r="C54" s="293"/>
      <c r="D54" s="293"/>
      <c r="E54" s="293"/>
      <c r="F54" s="293"/>
      <c r="G54" s="293"/>
      <c r="H54" s="293"/>
      <c r="I54" s="293"/>
      <c r="J54" s="294"/>
    </row>
    <row r="55" spans="1:10" ht="18.75" customHeight="1" x14ac:dyDescent="0.15">
      <c r="A55" s="39"/>
      <c r="B55" s="292"/>
      <c r="C55" s="293"/>
      <c r="D55" s="293"/>
      <c r="E55" s="293"/>
      <c r="F55" s="293"/>
      <c r="G55" s="293"/>
      <c r="H55" s="293"/>
      <c r="I55" s="293"/>
      <c r="J55" s="294"/>
    </row>
    <row r="56" spans="1:10" ht="18.75" customHeight="1" x14ac:dyDescent="0.15">
      <c r="A56" s="39"/>
      <c r="B56" s="292"/>
      <c r="C56" s="293"/>
      <c r="D56" s="293"/>
      <c r="E56" s="293"/>
      <c r="F56" s="293"/>
      <c r="G56" s="293"/>
      <c r="H56" s="293"/>
      <c r="I56" s="293"/>
      <c r="J56" s="294"/>
    </row>
    <row r="57" spans="1:10" ht="18.75" customHeight="1" x14ac:dyDescent="0.15">
      <c r="A57" s="39"/>
      <c r="B57" s="292"/>
      <c r="C57" s="293"/>
      <c r="D57" s="293"/>
      <c r="E57" s="293"/>
      <c r="F57" s="293"/>
      <c r="G57" s="293"/>
      <c r="H57" s="293"/>
      <c r="I57" s="293"/>
      <c r="J57" s="294"/>
    </row>
    <row r="58" spans="1:10" ht="18.75" customHeight="1" x14ac:dyDescent="0.15">
      <c r="A58" s="39"/>
      <c r="B58" s="292"/>
      <c r="C58" s="293"/>
      <c r="D58" s="293"/>
      <c r="E58" s="293"/>
      <c r="F58" s="293"/>
      <c r="G58" s="293"/>
      <c r="H58" s="293"/>
      <c r="I58" s="293"/>
      <c r="J58" s="294"/>
    </row>
    <row r="59" spans="1:10" ht="18.75" customHeight="1" x14ac:dyDescent="0.15">
      <c r="A59" s="39"/>
      <c r="B59" s="292"/>
      <c r="C59" s="293"/>
      <c r="D59" s="293"/>
      <c r="E59" s="293"/>
      <c r="F59" s="293"/>
      <c r="G59" s="293"/>
      <c r="H59" s="293"/>
      <c r="I59" s="293"/>
      <c r="J59" s="294"/>
    </row>
    <row r="60" spans="1:10" ht="18.75" customHeight="1" x14ac:dyDescent="0.15">
      <c r="A60" s="39"/>
      <c r="B60" s="292"/>
      <c r="C60" s="293"/>
      <c r="D60" s="293"/>
      <c r="E60" s="293"/>
      <c r="F60" s="293"/>
      <c r="G60" s="293"/>
      <c r="H60" s="293"/>
      <c r="I60" s="293"/>
      <c r="J60" s="294"/>
    </row>
    <row r="61" spans="1:10" ht="18.75" customHeight="1" x14ac:dyDescent="0.15">
      <c r="A61" s="39"/>
      <c r="B61" s="292"/>
      <c r="C61" s="293"/>
      <c r="D61" s="293"/>
      <c r="E61" s="293"/>
      <c r="F61" s="293"/>
      <c r="G61" s="293"/>
      <c r="H61" s="293"/>
      <c r="I61" s="293"/>
      <c r="J61" s="294"/>
    </row>
    <row r="62" spans="1:10" ht="18.75" customHeight="1" x14ac:dyDescent="0.15">
      <c r="A62" s="39"/>
      <c r="B62" s="292"/>
      <c r="C62" s="293"/>
      <c r="D62" s="293"/>
      <c r="E62" s="293"/>
      <c r="F62" s="293"/>
      <c r="G62" s="293"/>
      <c r="H62" s="293"/>
      <c r="I62" s="293"/>
      <c r="J62" s="294"/>
    </row>
    <row r="63" spans="1:10" ht="18.75" customHeight="1" x14ac:dyDescent="0.15">
      <c r="A63" s="39"/>
      <c r="B63" s="292"/>
      <c r="C63" s="293"/>
      <c r="D63" s="293"/>
      <c r="E63" s="293"/>
      <c r="F63" s="293"/>
      <c r="G63" s="293"/>
      <c r="H63" s="293"/>
      <c r="I63" s="293"/>
      <c r="J63" s="294"/>
    </row>
    <row r="64" spans="1:10" ht="18.75" customHeight="1" x14ac:dyDescent="0.15">
      <c r="A64" s="39"/>
      <c r="B64" s="292"/>
      <c r="C64" s="293"/>
      <c r="D64" s="293"/>
      <c r="E64" s="293"/>
      <c r="F64" s="293"/>
      <c r="G64" s="293"/>
      <c r="H64" s="293"/>
      <c r="I64" s="293"/>
      <c r="J64" s="294"/>
    </row>
    <row r="65" spans="1:11" ht="18.75" customHeight="1" x14ac:dyDescent="0.15">
      <c r="A65" s="39"/>
      <c r="B65" s="292"/>
      <c r="C65" s="293"/>
      <c r="D65" s="293"/>
      <c r="E65" s="293"/>
      <c r="F65" s="293"/>
      <c r="G65" s="293"/>
      <c r="H65" s="293"/>
      <c r="I65" s="293"/>
      <c r="J65" s="294"/>
    </row>
    <row r="66" spans="1:11" ht="18.75" customHeight="1" x14ac:dyDescent="0.15">
      <c r="A66" s="39"/>
      <c r="B66" s="295"/>
      <c r="C66" s="296"/>
      <c r="D66" s="296"/>
      <c r="E66" s="296"/>
      <c r="F66" s="296"/>
      <c r="G66" s="296"/>
      <c r="H66" s="296"/>
      <c r="I66" s="296"/>
      <c r="J66" s="297"/>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289" t="s">
        <v>169</v>
      </c>
      <c r="C69" s="290"/>
      <c r="D69" s="290"/>
      <c r="E69" s="290"/>
      <c r="F69" s="290"/>
      <c r="G69" s="290"/>
      <c r="H69" s="290"/>
      <c r="I69" s="279"/>
      <c r="J69" s="280"/>
      <c r="K69" s="35" t="str">
        <f>IF(B69="","入力してください","")</f>
        <v/>
      </c>
    </row>
    <row r="70" spans="1:11" s="4" customFormat="1" ht="18.75" customHeight="1" x14ac:dyDescent="0.15">
      <c r="A70" s="1"/>
      <c r="B70" s="269"/>
      <c r="C70" s="270"/>
      <c r="D70" s="270"/>
      <c r="E70" s="270"/>
      <c r="F70" s="270"/>
      <c r="G70" s="270"/>
      <c r="H70" s="270"/>
      <c r="I70" s="270"/>
      <c r="J70" s="271"/>
      <c r="K70" s="35"/>
    </row>
    <row r="71" spans="1:11" s="4" customFormat="1" ht="18.75" customHeight="1" x14ac:dyDescent="0.15">
      <c r="A71" s="1"/>
      <c r="B71" s="269"/>
      <c r="C71" s="270"/>
      <c r="D71" s="270"/>
      <c r="E71" s="270"/>
      <c r="F71" s="270"/>
      <c r="G71" s="270"/>
      <c r="H71" s="270"/>
      <c r="I71" s="270"/>
      <c r="J71" s="271"/>
      <c r="K71" s="35"/>
    </row>
    <row r="72" spans="1:11" s="4" customFormat="1" ht="18.75" customHeight="1" x14ac:dyDescent="0.15">
      <c r="A72" s="1"/>
      <c r="B72" s="269"/>
      <c r="C72" s="270"/>
      <c r="D72" s="270"/>
      <c r="E72" s="270"/>
      <c r="F72" s="270"/>
      <c r="G72" s="270"/>
      <c r="H72" s="270"/>
      <c r="I72" s="270"/>
      <c r="J72" s="271"/>
      <c r="K72" s="35"/>
    </row>
    <row r="73" spans="1:11" s="4" customFormat="1" ht="18.75" customHeight="1" x14ac:dyDescent="0.15">
      <c r="A73" s="1"/>
      <c r="B73" s="269"/>
      <c r="C73" s="270"/>
      <c r="D73" s="270"/>
      <c r="E73" s="270"/>
      <c r="F73" s="270"/>
      <c r="G73" s="270"/>
      <c r="H73" s="270"/>
      <c r="I73" s="270"/>
      <c r="J73" s="271"/>
      <c r="K73" s="35"/>
    </row>
    <row r="74" spans="1:11" s="4" customFormat="1" ht="18.75" customHeight="1" x14ac:dyDescent="0.15">
      <c r="A74" s="1"/>
      <c r="B74" s="269"/>
      <c r="C74" s="270"/>
      <c r="D74" s="270"/>
      <c r="E74" s="270"/>
      <c r="F74" s="270"/>
      <c r="G74" s="270"/>
      <c r="H74" s="270"/>
      <c r="I74" s="270"/>
      <c r="J74" s="271"/>
      <c r="K74" s="35"/>
    </row>
    <row r="75" spans="1:11" s="4" customFormat="1" ht="18.75" customHeight="1" x14ac:dyDescent="0.15">
      <c r="A75" s="1"/>
      <c r="B75" s="269"/>
      <c r="C75" s="270"/>
      <c r="D75" s="270"/>
      <c r="E75" s="270"/>
      <c r="F75" s="270"/>
      <c r="G75" s="270"/>
      <c r="H75" s="270"/>
      <c r="I75" s="270"/>
      <c r="J75" s="271"/>
      <c r="K75" s="35"/>
    </row>
    <row r="76" spans="1:11" s="4" customFormat="1" ht="18.75" customHeight="1" x14ac:dyDescent="0.15">
      <c r="A76" s="1"/>
      <c r="B76" s="269"/>
      <c r="C76" s="270"/>
      <c r="D76" s="270"/>
      <c r="E76" s="270"/>
      <c r="F76" s="270"/>
      <c r="G76" s="270"/>
      <c r="H76" s="270"/>
      <c r="I76" s="270"/>
      <c r="J76" s="271"/>
      <c r="K76" s="35"/>
    </row>
    <row r="77" spans="1:11" s="4" customFormat="1" ht="18.75" customHeight="1" x14ac:dyDescent="0.15">
      <c r="A77" s="1"/>
      <c r="B77" s="269"/>
      <c r="C77" s="270"/>
      <c r="D77" s="270"/>
      <c r="E77" s="270"/>
      <c r="F77" s="270"/>
      <c r="G77" s="270"/>
      <c r="H77" s="270"/>
      <c r="I77" s="270"/>
      <c r="J77" s="271"/>
      <c r="K77" s="35"/>
    </row>
    <row r="78" spans="1:11" s="4" customFormat="1" ht="18.75" customHeight="1" x14ac:dyDescent="0.15">
      <c r="A78" s="1"/>
      <c r="B78" s="269"/>
      <c r="C78" s="270"/>
      <c r="D78" s="270"/>
      <c r="E78" s="270"/>
      <c r="F78" s="270"/>
      <c r="G78" s="270"/>
      <c r="H78" s="270"/>
      <c r="I78" s="270"/>
      <c r="J78" s="271"/>
      <c r="K78" s="35"/>
    </row>
    <row r="79" spans="1:11" s="4" customFormat="1" ht="18.75" customHeight="1" x14ac:dyDescent="0.15">
      <c r="A79" s="1"/>
      <c r="B79" s="269"/>
      <c r="C79" s="270"/>
      <c r="D79" s="270"/>
      <c r="E79" s="270"/>
      <c r="F79" s="270"/>
      <c r="G79" s="270"/>
      <c r="H79" s="270"/>
      <c r="I79" s="270"/>
      <c r="J79" s="271"/>
      <c r="K79" s="35"/>
    </row>
    <row r="80" spans="1:11" s="4" customFormat="1" ht="18.75" customHeight="1" x14ac:dyDescent="0.15">
      <c r="A80" s="1"/>
      <c r="B80" s="269"/>
      <c r="C80" s="270"/>
      <c r="D80" s="270"/>
      <c r="E80" s="270"/>
      <c r="F80" s="270"/>
      <c r="G80" s="270"/>
      <c r="H80" s="270"/>
      <c r="I80" s="270"/>
      <c r="J80" s="271"/>
      <c r="K80" s="35"/>
    </row>
    <row r="81" spans="1:11" s="4" customFormat="1" ht="18.75" customHeight="1" x14ac:dyDescent="0.15">
      <c r="A81" s="1"/>
      <c r="B81" s="269"/>
      <c r="C81" s="270"/>
      <c r="D81" s="270"/>
      <c r="E81" s="270"/>
      <c r="F81" s="270"/>
      <c r="G81" s="270"/>
      <c r="H81" s="270"/>
      <c r="I81" s="270"/>
      <c r="J81" s="271"/>
      <c r="K81" s="35"/>
    </row>
    <row r="82" spans="1:11" s="4" customFormat="1" ht="18.75" customHeight="1" x14ac:dyDescent="0.15">
      <c r="A82" s="1"/>
      <c r="B82" s="269"/>
      <c r="C82" s="270"/>
      <c r="D82" s="270"/>
      <c r="E82" s="270"/>
      <c r="F82" s="270"/>
      <c r="G82" s="270"/>
      <c r="H82" s="270"/>
      <c r="I82" s="270"/>
      <c r="J82" s="271"/>
      <c r="K82" s="35"/>
    </row>
    <row r="83" spans="1:11" s="4" customFormat="1" ht="18.75" customHeight="1" x14ac:dyDescent="0.15">
      <c r="A83" s="1"/>
      <c r="B83" s="269"/>
      <c r="C83" s="270"/>
      <c r="D83" s="270"/>
      <c r="E83" s="270"/>
      <c r="F83" s="270"/>
      <c r="G83" s="270"/>
      <c r="H83" s="270"/>
      <c r="I83" s="270"/>
      <c r="J83" s="271"/>
      <c r="K83" s="35"/>
    </row>
    <row r="84" spans="1:11" s="4" customFormat="1" ht="18.75" customHeight="1" x14ac:dyDescent="0.15">
      <c r="A84" s="1"/>
      <c r="B84" s="269"/>
      <c r="C84" s="270"/>
      <c r="D84" s="270"/>
      <c r="E84" s="270"/>
      <c r="F84" s="270"/>
      <c r="G84" s="270"/>
      <c r="H84" s="270"/>
      <c r="I84" s="270"/>
      <c r="J84" s="271"/>
      <c r="K84" s="35"/>
    </row>
    <row r="85" spans="1:11" ht="18.75" customHeight="1" x14ac:dyDescent="0.15">
      <c r="A85" s="39"/>
      <c r="B85" s="269"/>
      <c r="C85" s="270"/>
      <c r="D85" s="270"/>
      <c r="E85" s="270"/>
      <c r="F85" s="270"/>
      <c r="G85" s="270"/>
      <c r="H85" s="270"/>
      <c r="I85" s="270"/>
      <c r="J85" s="271"/>
      <c r="K85" s="35"/>
    </row>
    <row r="86" spans="1:11" ht="18.75" customHeight="1" x14ac:dyDescent="0.15">
      <c r="A86" s="39"/>
      <c r="B86" s="272"/>
      <c r="C86" s="273"/>
      <c r="D86" s="273"/>
      <c r="E86" s="273"/>
      <c r="F86" s="273"/>
      <c r="G86" s="273"/>
      <c r="H86" s="273"/>
      <c r="I86" s="273"/>
      <c r="J86" s="274"/>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89" t="s">
        <v>184</v>
      </c>
      <c r="C89" s="290"/>
      <c r="D89" s="290"/>
      <c r="E89" s="290"/>
      <c r="F89" s="290"/>
      <c r="G89" s="290"/>
      <c r="H89" s="290"/>
      <c r="I89" s="279"/>
      <c r="J89" s="280"/>
      <c r="K89" s="31"/>
    </row>
    <row r="90" spans="1:11" s="4" customFormat="1" ht="18.75" customHeight="1" x14ac:dyDescent="0.15">
      <c r="A90" s="1"/>
      <c r="B90" s="269"/>
      <c r="C90" s="270"/>
      <c r="D90" s="270"/>
      <c r="E90" s="270"/>
      <c r="F90" s="270"/>
      <c r="G90" s="270"/>
      <c r="H90" s="270"/>
      <c r="I90" s="270"/>
      <c r="J90" s="271"/>
      <c r="K90" s="35"/>
    </row>
    <row r="91" spans="1:11" s="4" customFormat="1" ht="18.75" customHeight="1" x14ac:dyDescent="0.15">
      <c r="A91" s="1"/>
      <c r="B91" s="269"/>
      <c r="C91" s="270"/>
      <c r="D91" s="270"/>
      <c r="E91" s="270"/>
      <c r="F91" s="270"/>
      <c r="G91" s="270"/>
      <c r="H91" s="270"/>
      <c r="I91" s="270"/>
      <c r="J91" s="271"/>
      <c r="K91" s="35" t="str">
        <f>IF(B89="","入力してください","")</f>
        <v/>
      </c>
    </row>
    <row r="92" spans="1:11" s="4" customFormat="1" ht="18.75" customHeight="1" x14ac:dyDescent="0.15">
      <c r="A92" s="1"/>
      <c r="B92" s="269"/>
      <c r="C92" s="270"/>
      <c r="D92" s="270"/>
      <c r="E92" s="270"/>
      <c r="F92" s="270"/>
      <c r="G92" s="270"/>
      <c r="H92" s="270"/>
      <c r="I92" s="270"/>
      <c r="J92" s="271"/>
      <c r="K92" s="35"/>
    </row>
    <row r="93" spans="1:11" s="4" customFormat="1" ht="18.75" customHeight="1" x14ac:dyDescent="0.15">
      <c r="A93" s="1"/>
      <c r="B93" s="269"/>
      <c r="C93" s="270"/>
      <c r="D93" s="270"/>
      <c r="E93" s="270"/>
      <c r="F93" s="270"/>
      <c r="G93" s="270"/>
      <c r="H93" s="270"/>
      <c r="I93" s="270"/>
      <c r="J93" s="271"/>
      <c r="K93" s="35"/>
    </row>
    <row r="94" spans="1:11" s="4" customFormat="1" ht="18.75" customHeight="1" x14ac:dyDescent="0.15">
      <c r="A94" s="1"/>
      <c r="B94" s="269"/>
      <c r="C94" s="270"/>
      <c r="D94" s="270"/>
      <c r="E94" s="270"/>
      <c r="F94" s="270"/>
      <c r="G94" s="270"/>
      <c r="H94" s="270"/>
      <c r="I94" s="270"/>
      <c r="J94" s="271"/>
      <c r="K94" s="35"/>
    </row>
    <row r="95" spans="1:11" s="4" customFormat="1" ht="18.75" customHeight="1" x14ac:dyDescent="0.15">
      <c r="A95" s="1"/>
      <c r="B95" s="269"/>
      <c r="C95" s="270"/>
      <c r="D95" s="270"/>
      <c r="E95" s="270"/>
      <c r="F95" s="270"/>
      <c r="G95" s="270"/>
      <c r="H95" s="270"/>
      <c r="I95" s="270"/>
      <c r="J95" s="271"/>
      <c r="K95" s="35"/>
    </row>
    <row r="96" spans="1:11" s="4" customFormat="1" ht="18.75" customHeight="1" x14ac:dyDescent="0.15">
      <c r="A96" s="1"/>
      <c r="B96" s="269"/>
      <c r="C96" s="270"/>
      <c r="D96" s="270"/>
      <c r="E96" s="270"/>
      <c r="F96" s="270"/>
      <c r="G96" s="270"/>
      <c r="H96" s="270"/>
      <c r="I96" s="270"/>
      <c r="J96" s="271"/>
      <c r="K96" s="35"/>
    </row>
    <row r="97" spans="1:11" s="4" customFormat="1" ht="18.75" customHeight="1" x14ac:dyDescent="0.15">
      <c r="A97" s="1"/>
      <c r="B97" s="269"/>
      <c r="C97" s="270"/>
      <c r="D97" s="270"/>
      <c r="E97" s="270"/>
      <c r="F97" s="270"/>
      <c r="G97" s="270"/>
      <c r="H97" s="270"/>
      <c r="I97" s="270"/>
      <c r="J97" s="271"/>
      <c r="K97" s="35"/>
    </row>
    <row r="98" spans="1:11" s="4" customFormat="1" ht="18.75" customHeight="1" x14ac:dyDescent="0.15">
      <c r="A98" s="1"/>
      <c r="B98" s="269"/>
      <c r="C98" s="270"/>
      <c r="D98" s="270"/>
      <c r="E98" s="270"/>
      <c r="F98" s="270"/>
      <c r="G98" s="270"/>
      <c r="H98" s="270"/>
      <c r="I98" s="270"/>
      <c r="J98" s="271"/>
      <c r="K98" s="35"/>
    </row>
    <row r="99" spans="1:11" s="4" customFormat="1" ht="18.75" customHeight="1" x14ac:dyDescent="0.15">
      <c r="A99" s="1"/>
      <c r="B99" s="269"/>
      <c r="C99" s="270"/>
      <c r="D99" s="270"/>
      <c r="E99" s="270"/>
      <c r="F99" s="270"/>
      <c r="G99" s="270"/>
      <c r="H99" s="270"/>
      <c r="I99" s="270"/>
      <c r="J99" s="271"/>
      <c r="K99" s="35"/>
    </row>
    <row r="100" spans="1:11" s="4" customFormat="1" ht="18.75" customHeight="1" x14ac:dyDescent="0.15">
      <c r="A100" s="1"/>
      <c r="B100" s="269"/>
      <c r="C100" s="270"/>
      <c r="D100" s="270"/>
      <c r="E100" s="270"/>
      <c r="F100" s="270"/>
      <c r="G100" s="270"/>
      <c r="H100" s="270"/>
      <c r="I100" s="270"/>
      <c r="J100" s="271"/>
      <c r="K100" s="35"/>
    </row>
    <row r="101" spans="1:11" s="4" customFormat="1" ht="18.75" customHeight="1" x14ac:dyDescent="0.15">
      <c r="A101" s="1"/>
      <c r="B101" s="269"/>
      <c r="C101" s="270"/>
      <c r="D101" s="270"/>
      <c r="E101" s="270"/>
      <c r="F101" s="270"/>
      <c r="G101" s="270"/>
      <c r="H101" s="270"/>
      <c r="I101" s="270"/>
      <c r="J101" s="271"/>
      <c r="K101" s="35"/>
    </row>
    <row r="102" spans="1:11" s="4" customFormat="1" ht="18.75" customHeight="1" x14ac:dyDescent="0.15">
      <c r="A102" s="1"/>
      <c r="B102" s="269"/>
      <c r="C102" s="270"/>
      <c r="D102" s="270"/>
      <c r="E102" s="270"/>
      <c r="F102" s="270"/>
      <c r="G102" s="270"/>
      <c r="H102" s="270"/>
      <c r="I102" s="270"/>
      <c r="J102" s="271"/>
      <c r="K102" s="35"/>
    </row>
    <row r="103" spans="1:11" s="4" customFormat="1" ht="18.75" customHeight="1" x14ac:dyDescent="0.15">
      <c r="A103" s="1"/>
      <c r="B103" s="269"/>
      <c r="C103" s="270"/>
      <c r="D103" s="270"/>
      <c r="E103" s="270"/>
      <c r="F103" s="270"/>
      <c r="G103" s="270"/>
      <c r="H103" s="270"/>
      <c r="I103" s="270"/>
      <c r="J103" s="271"/>
      <c r="K103" s="35"/>
    </row>
    <row r="104" spans="1:11" s="4" customFormat="1" ht="18.75" customHeight="1" x14ac:dyDescent="0.15">
      <c r="A104" s="1"/>
      <c r="B104" s="269"/>
      <c r="C104" s="270"/>
      <c r="D104" s="270"/>
      <c r="E104" s="270"/>
      <c r="F104" s="270"/>
      <c r="G104" s="270"/>
      <c r="H104" s="270"/>
      <c r="I104" s="270"/>
      <c r="J104" s="271"/>
      <c r="K104" s="35"/>
    </row>
    <row r="105" spans="1:11" s="4" customFormat="1" ht="18.75" customHeight="1" x14ac:dyDescent="0.15">
      <c r="A105" s="1"/>
      <c r="B105" s="269"/>
      <c r="C105" s="270"/>
      <c r="D105" s="270"/>
      <c r="E105" s="270"/>
      <c r="F105" s="270"/>
      <c r="G105" s="270"/>
      <c r="H105" s="270"/>
      <c r="I105" s="270"/>
      <c r="J105" s="271"/>
      <c r="K105" s="35"/>
    </row>
    <row r="106" spans="1:11" s="4" customFormat="1" ht="18.75" customHeight="1" x14ac:dyDescent="0.15">
      <c r="A106" s="1"/>
      <c r="B106" s="269"/>
      <c r="C106" s="270"/>
      <c r="D106" s="270"/>
      <c r="E106" s="270"/>
      <c r="F106" s="270"/>
      <c r="G106" s="270"/>
      <c r="H106" s="270"/>
      <c r="I106" s="270"/>
      <c r="J106" s="271"/>
      <c r="K106" s="35"/>
    </row>
    <row r="107" spans="1:11" ht="18.75" customHeight="1" x14ac:dyDescent="0.15">
      <c r="A107" s="39"/>
      <c r="B107" s="269"/>
      <c r="C107" s="270"/>
      <c r="D107" s="270"/>
      <c r="E107" s="270"/>
      <c r="F107" s="270"/>
      <c r="G107" s="270"/>
      <c r="H107" s="270"/>
      <c r="I107" s="270"/>
      <c r="J107" s="271"/>
      <c r="K107" s="35"/>
    </row>
    <row r="108" spans="1:11" ht="18.75" customHeight="1" x14ac:dyDescent="0.15">
      <c r="A108" s="39"/>
      <c r="B108" s="272"/>
      <c r="C108" s="273"/>
      <c r="D108" s="273"/>
      <c r="E108" s="273"/>
      <c r="F108" s="273"/>
      <c r="G108" s="273"/>
      <c r="H108" s="273"/>
      <c r="I108" s="273"/>
      <c r="J108" s="274"/>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298" t="s">
        <v>82</v>
      </c>
      <c r="C110" s="298"/>
      <c r="D110" s="298"/>
      <c r="E110" s="298"/>
      <c r="F110" s="298"/>
      <c r="G110" s="298"/>
      <c r="H110" s="298"/>
      <c r="I110" s="298"/>
      <c r="J110" s="298"/>
      <c r="K110" s="31"/>
    </row>
    <row r="111" spans="1:11" ht="18.75" customHeight="1" x14ac:dyDescent="0.15">
      <c r="A111" s="39"/>
      <c r="B111" s="289" t="s">
        <v>181</v>
      </c>
      <c r="C111" s="290"/>
      <c r="D111" s="290"/>
      <c r="E111" s="290"/>
      <c r="F111" s="290"/>
      <c r="G111" s="290"/>
      <c r="H111" s="290"/>
      <c r="I111" s="279"/>
      <c r="J111" s="280"/>
    </row>
    <row r="112" spans="1:11" ht="18.75" customHeight="1" x14ac:dyDescent="0.15">
      <c r="A112" s="39"/>
      <c r="B112" s="269"/>
      <c r="C112" s="270"/>
      <c r="D112" s="270"/>
      <c r="E112" s="270"/>
      <c r="F112" s="270"/>
      <c r="G112" s="270"/>
      <c r="H112" s="270"/>
      <c r="I112" s="270"/>
      <c r="J112" s="271"/>
      <c r="K112" s="35"/>
    </row>
    <row r="113" spans="1:11" ht="18.75" customHeight="1" x14ac:dyDescent="0.15">
      <c r="A113" s="39"/>
      <c r="B113" s="269"/>
      <c r="C113" s="270"/>
      <c r="D113" s="270"/>
      <c r="E113" s="270"/>
      <c r="F113" s="270"/>
      <c r="G113" s="270"/>
      <c r="H113" s="270"/>
      <c r="I113" s="270"/>
      <c r="J113" s="271"/>
      <c r="K113" s="31" t="str">
        <f>IF(B111="","入力してください","")</f>
        <v/>
      </c>
    </row>
    <row r="114" spans="1:11" ht="18.75" customHeight="1" x14ac:dyDescent="0.15">
      <c r="A114" s="39"/>
      <c r="B114" s="269"/>
      <c r="C114" s="270"/>
      <c r="D114" s="270"/>
      <c r="E114" s="270"/>
      <c r="F114" s="270"/>
      <c r="G114" s="270"/>
      <c r="H114" s="270"/>
      <c r="I114" s="270"/>
      <c r="J114" s="271"/>
    </row>
    <row r="115" spans="1:11" ht="18.75" customHeight="1" x14ac:dyDescent="0.15">
      <c r="A115" s="39"/>
      <c r="B115" s="269"/>
      <c r="C115" s="270"/>
      <c r="D115" s="270"/>
      <c r="E115" s="270"/>
      <c r="F115" s="270"/>
      <c r="G115" s="270"/>
      <c r="H115" s="270"/>
      <c r="I115" s="270"/>
      <c r="J115" s="271"/>
    </row>
    <row r="116" spans="1:11" ht="18.75" customHeight="1" x14ac:dyDescent="0.15">
      <c r="A116" s="39"/>
      <c r="B116" s="269"/>
      <c r="C116" s="270"/>
      <c r="D116" s="270"/>
      <c r="E116" s="270"/>
      <c r="F116" s="270"/>
      <c r="G116" s="270"/>
      <c r="H116" s="270"/>
      <c r="I116" s="270"/>
      <c r="J116" s="271"/>
    </row>
    <row r="117" spans="1:11" ht="18.75" customHeight="1" x14ac:dyDescent="0.15">
      <c r="A117" s="39"/>
      <c r="B117" s="269"/>
      <c r="C117" s="270"/>
      <c r="D117" s="270"/>
      <c r="E117" s="270"/>
      <c r="F117" s="270"/>
      <c r="G117" s="270"/>
      <c r="H117" s="270"/>
      <c r="I117" s="270"/>
      <c r="J117" s="271"/>
    </row>
    <row r="118" spans="1:11" ht="18.75" customHeight="1" x14ac:dyDescent="0.15">
      <c r="A118" s="39"/>
      <c r="B118" s="269"/>
      <c r="C118" s="270"/>
      <c r="D118" s="270"/>
      <c r="E118" s="270"/>
      <c r="F118" s="270"/>
      <c r="G118" s="270"/>
      <c r="H118" s="270"/>
      <c r="I118" s="270"/>
      <c r="J118" s="271"/>
    </row>
    <row r="119" spans="1:11" ht="18.75" customHeight="1" x14ac:dyDescent="0.15">
      <c r="A119" s="39"/>
      <c r="B119" s="269"/>
      <c r="C119" s="270"/>
      <c r="D119" s="270"/>
      <c r="E119" s="270"/>
      <c r="F119" s="270"/>
      <c r="G119" s="270"/>
      <c r="H119" s="270"/>
      <c r="I119" s="270"/>
      <c r="J119" s="271"/>
    </row>
    <row r="120" spans="1:11" ht="18.75" customHeight="1" x14ac:dyDescent="0.15">
      <c r="A120" s="39"/>
      <c r="B120" s="269"/>
      <c r="C120" s="270"/>
      <c r="D120" s="270"/>
      <c r="E120" s="270"/>
      <c r="F120" s="270"/>
      <c r="G120" s="270"/>
      <c r="H120" s="270"/>
      <c r="I120" s="270"/>
      <c r="J120" s="271"/>
    </row>
    <row r="121" spans="1:11" ht="18.75" customHeight="1" x14ac:dyDescent="0.15">
      <c r="A121" s="39"/>
      <c r="B121" s="269"/>
      <c r="C121" s="270"/>
      <c r="D121" s="270"/>
      <c r="E121" s="270"/>
      <c r="F121" s="270"/>
      <c r="G121" s="270"/>
      <c r="H121" s="270"/>
      <c r="I121" s="270"/>
      <c r="J121" s="271"/>
    </row>
    <row r="122" spans="1:11" ht="18.75" customHeight="1" x14ac:dyDescent="0.15">
      <c r="A122" s="39"/>
      <c r="B122" s="269"/>
      <c r="C122" s="270"/>
      <c r="D122" s="270"/>
      <c r="E122" s="270"/>
      <c r="F122" s="270"/>
      <c r="G122" s="270"/>
      <c r="H122" s="270"/>
      <c r="I122" s="270"/>
      <c r="J122" s="271"/>
    </row>
    <row r="123" spans="1:11" ht="18.75" customHeight="1" x14ac:dyDescent="0.15">
      <c r="A123" s="39"/>
      <c r="B123" s="269"/>
      <c r="C123" s="270"/>
      <c r="D123" s="270"/>
      <c r="E123" s="270"/>
      <c r="F123" s="270"/>
      <c r="G123" s="270"/>
      <c r="H123" s="270"/>
      <c r="I123" s="270"/>
      <c r="J123" s="271"/>
    </row>
    <row r="124" spans="1:11" ht="18.75" customHeight="1" x14ac:dyDescent="0.15">
      <c r="A124" s="39"/>
      <c r="B124" s="269"/>
      <c r="C124" s="270"/>
      <c r="D124" s="270"/>
      <c r="E124" s="270"/>
      <c r="F124" s="270"/>
      <c r="G124" s="270"/>
      <c r="H124" s="270"/>
      <c r="I124" s="270"/>
      <c r="J124" s="271"/>
    </row>
    <row r="125" spans="1:11" ht="18.75" customHeight="1" x14ac:dyDescent="0.15">
      <c r="A125" s="39"/>
      <c r="B125" s="269"/>
      <c r="C125" s="270"/>
      <c r="D125" s="270"/>
      <c r="E125" s="270"/>
      <c r="F125" s="270"/>
      <c r="G125" s="270"/>
      <c r="H125" s="270"/>
      <c r="I125" s="270"/>
      <c r="J125" s="271"/>
    </row>
    <row r="126" spans="1:11" ht="18.75" customHeight="1" x14ac:dyDescent="0.15">
      <c r="A126" s="39"/>
      <c r="B126" s="269"/>
      <c r="C126" s="270"/>
      <c r="D126" s="270"/>
      <c r="E126" s="270"/>
      <c r="F126" s="270"/>
      <c r="G126" s="270"/>
      <c r="H126" s="270"/>
      <c r="I126" s="270"/>
      <c r="J126" s="271"/>
    </row>
    <row r="127" spans="1:11" ht="18.75" customHeight="1" x14ac:dyDescent="0.15">
      <c r="A127" s="39"/>
      <c r="B127" s="269"/>
      <c r="C127" s="270"/>
      <c r="D127" s="270"/>
      <c r="E127" s="270"/>
      <c r="F127" s="270"/>
      <c r="G127" s="270"/>
      <c r="H127" s="270"/>
      <c r="I127" s="270"/>
      <c r="J127" s="271"/>
    </row>
    <row r="128" spans="1:11" ht="18.75" customHeight="1" x14ac:dyDescent="0.15">
      <c r="A128" s="39"/>
      <c r="B128" s="269"/>
      <c r="C128" s="270"/>
      <c r="D128" s="270"/>
      <c r="E128" s="270"/>
      <c r="F128" s="270"/>
      <c r="G128" s="270"/>
      <c r="H128" s="270"/>
      <c r="I128" s="270"/>
      <c r="J128" s="271"/>
    </row>
    <row r="129" spans="1:10" ht="18.75" customHeight="1" x14ac:dyDescent="0.15">
      <c r="A129" s="39"/>
      <c r="B129" s="272"/>
      <c r="C129" s="273"/>
      <c r="D129" s="273"/>
      <c r="E129" s="273"/>
      <c r="F129" s="273"/>
      <c r="G129" s="273"/>
      <c r="H129" s="273"/>
      <c r="I129" s="273"/>
      <c r="J129" s="274"/>
    </row>
    <row r="130" spans="1:10" ht="7.5" customHeight="1" x14ac:dyDescent="0.15">
      <c r="A130" s="39"/>
      <c r="B130" s="104"/>
      <c r="C130" s="104"/>
      <c r="D130" s="104"/>
      <c r="E130" s="104"/>
      <c r="F130" s="104"/>
      <c r="G130" s="104"/>
      <c r="H130" s="104"/>
      <c r="I130" s="104"/>
      <c r="J130" s="10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5"/>
      <c r="B144" s="105"/>
      <c r="C144" s="105"/>
      <c r="D144" s="105"/>
      <c r="E144" s="105"/>
      <c r="F144" s="105"/>
      <c r="G144" s="105"/>
      <c r="H144" s="105"/>
      <c r="I144" s="105"/>
      <c r="J144" s="105"/>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scale="9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A16" zoomScaleNormal="100" zoomScaleSheetLayoutView="100" workbookViewId="0">
      <selection activeCell="G18" sqref="G18:J18"/>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41" t="s">
        <v>73</v>
      </c>
    </row>
    <row r="2" spans="1:11" ht="18.75" customHeight="1" x14ac:dyDescent="0.15">
      <c r="A2" s="250" t="s">
        <v>42</v>
      </c>
      <c r="B2" s="250"/>
      <c r="C2" s="250"/>
      <c r="D2" s="250"/>
      <c r="E2" s="250"/>
      <c r="F2" s="250"/>
      <c r="G2" s="250"/>
      <c r="H2" s="250"/>
      <c r="I2" s="250"/>
      <c r="J2" s="250"/>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304" t="s">
        <v>38</v>
      </c>
      <c r="C5" s="305"/>
      <c r="D5" s="306"/>
      <c r="E5" s="307" t="s">
        <v>40</v>
      </c>
      <c r="F5" s="307"/>
      <c r="G5" s="307"/>
      <c r="H5" s="307"/>
      <c r="I5" s="307"/>
      <c r="J5" s="308"/>
    </row>
    <row r="6" spans="1:11" ht="18.75" customHeight="1" x14ac:dyDescent="0.15">
      <c r="B6" s="3" t="s">
        <v>28</v>
      </c>
      <c r="C6" s="39"/>
      <c r="D6" s="7"/>
      <c r="I6" s="40"/>
      <c r="J6" s="5"/>
    </row>
    <row r="7" spans="1:11" ht="207" customHeight="1" x14ac:dyDescent="0.15">
      <c r="B7" s="6"/>
      <c r="C7" s="309" t="s">
        <v>29</v>
      </c>
      <c r="D7" s="310"/>
      <c r="E7" s="301" t="s">
        <v>166</v>
      </c>
      <c r="F7" s="302"/>
      <c r="G7" s="302"/>
      <c r="H7" s="302"/>
      <c r="I7" s="302"/>
      <c r="J7" s="303"/>
      <c r="K7" s="31" t="str">
        <f>IF(E7="","入力してください","")</f>
        <v/>
      </c>
    </row>
    <row r="8" spans="1:11" ht="207" customHeight="1" x14ac:dyDescent="0.15">
      <c r="B8" s="6"/>
      <c r="C8" s="299" t="s">
        <v>30</v>
      </c>
      <c r="D8" s="300"/>
      <c r="E8" s="301" t="s">
        <v>167</v>
      </c>
      <c r="F8" s="302"/>
      <c r="G8" s="302"/>
      <c r="H8" s="302"/>
      <c r="I8" s="302"/>
      <c r="J8" s="303"/>
      <c r="K8" s="31" t="str">
        <f>IF(E8="","入力してください","")</f>
        <v/>
      </c>
    </row>
    <row r="9" spans="1:11" ht="172.5" customHeight="1" x14ac:dyDescent="0.15">
      <c r="B9" s="6"/>
      <c r="C9" s="309" t="s">
        <v>31</v>
      </c>
      <c r="D9" s="310"/>
      <c r="E9" s="301" t="s">
        <v>205</v>
      </c>
      <c r="F9" s="302"/>
      <c r="G9" s="302"/>
      <c r="H9" s="302"/>
      <c r="I9" s="302"/>
      <c r="J9" s="303"/>
      <c r="K9" s="31" t="str">
        <f>IF(E9="","入力してください","")</f>
        <v/>
      </c>
    </row>
    <row r="10" spans="1:11" ht="172.5" customHeight="1" x14ac:dyDescent="0.15">
      <c r="B10" s="6"/>
      <c r="C10" s="309" t="s">
        <v>32</v>
      </c>
      <c r="D10" s="310"/>
      <c r="E10" s="301" t="s">
        <v>188</v>
      </c>
      <c r="F10" s="302"/>
      <c r="G10" s="302"/>
      <c r="H10" s="302"/>
      <c r="I10" s="302"/>
      <c r="J10" s="303"/>
      <c r="K10" s="31" t="str">
        <f t="shared" ref="K10:K14" si="0">IF(E10="","入力してください","")</f>
        <v/>
      </c>
    </row>
    <row r="11" spans="1:11" ht="172.5" customHeight="1" x14ac:dyDescent="0.15">
      <c r="B11" s="6"/>
      <c r="C11" s="309" t="s">
        <v>33</v>
      </c>
      <c r="D11" s="310"/>
      <c r="E11" s="301" t="s">
        <v>186</v>
      </c>
      <c r="F11" s="302"/>
      <c r="G11" s="302"/>
      <c r="H11" s="302"/>
      <c r="I11" s="302"/>
      <c r="J11" s="303"/>
      <c r="K11" s="31" t="str">
        <f t="shared" si="0"/>
        <v/>
      </c>
    </row>
    <row r="12" spans="1:11" ht="18.75" customHeight="1" x14ac:dyDescent="0.15">
      <c r="B12" s="9" t="s">
        <v>34</v>
      </c>
      <c r="C12" s="28"/>
      <c r="D12" s="8"/>
      <c r="E12" s="32"/>
      <c r="F12" s="32"/>
      <c r="G12" s="32"/>
      <c r="H12" s="32"/>
      <c r="I12" s="32"/>
      <c r="J12" s="33"/>
    </row>
    <row r="13" spans="1:11" ht="244.15" customHeight="1" x14ac:dyDescent="0.15">
      <c r="B13" s="6"/>
      <c r="C13" s="309" t="s">
        <v>35</v>
      </c>
      <c r="D13" s="310"/>
      <c r="E13" s="302" t="s">
        <v>165</v>
      </c>
      <c r="F13" s="302"/>
      <c r="G13" s="302"/>
      <c r="H13" s="302"/>
      <c r="I13" s="302"/>
      <c r="J13" s="303"/>
      <c r="K13" s="31" t="str">
        <f t="shared" si="0"/>
        <v/>
      </c>
    </row>
    <row r="14" spans="1:11" ht="255" customHeight="1" x14ac:dyDescent="0.15">
      <c r="B14" s="6"/>
      <c r="C14" s="309" t="s">
        <v>36</v>
      </c>
      <c r="D14" s="310"/>
      <c r="E14" s="302" t="s">
        <v>202</v>
      </c>
      <c r="F14" s="302"/>
      <c r="G14" s="302"/>
      <c r="H14" s="302"/>
      <c r="I14" s="302"/>
      <c r="J14" s="303"/>
      <c r="K14" s="31" t="str">
        <f t="shared" si="0"/>
        <v/>
      </c>
    </row>
    <row r="15" spans="1:11" ht="243" customHeight="1" x14ac:dyDescent="0.15">
      <c r="B15" s="317" t="s">
        <v>37</v>
      </c>
      <c r="C15" s="318"/>
      <c r="D15" s="310"/>
      <c r="E15" s="302" t="s">
        <v>183</v>
      </c>
      <c r="F15" s="302"/>
      <c r="G15" s="302"/>
      <c r="H15" s="302"/>
      <c r="I15" s="302"/>
      <c r="J15" s="303"/>
      <c r="K15" s="31" t="str">
        <f>IF(E15="","入力してください","")</f>
        <v/>
      </c>
    </row>
    <row r="16" spans="1:11" ht="243" customHeight="1" x14ac:dyDescent="0.15">
      <c r="A16" s="31"/>
      <c r="B16" s="311" t="s">
        <v>66</v>
      </c>
      <c r="C16" s="312"/>
      <c r="D16" s="313"/>
      <c r="E16" s="296" t="s">
        <v>182</v>
      </c>
      <c r="F16" s="296"/>
      <c r="G16" s="296"/>
      <c r="H16" s="296"/>
      <c r="I16" s="296"/>
      <c r="J16" s="297"/>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124</v>
      </c>
      <c r="B18" s="4"/>
      <c r="C18" s="39"/>
      <c r="D18" s="39"/>
      <c r="E18" s="40"/>
      <c r="F18" s="94"/>
      <c r="G18" s="314" t="s">
        <v>206</v>
      </c>
      <c r="H18" s="315"/>
      <c r="I18" s="315"/>
      <c r="J18" s="316"/>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6"/>
      <c r="C24" s="106"/>
      <c r="D24" s="106"/>
      <c r="E24" s="106"/>
      <c r="F24" s="106"/>
      <c r="G24" s="106"/>
      <c r="H24" s="106"/>
      <c r="I24" s="106"/>
      <c r="J24" s="106"/>
    </row>
    <row r="25" spans="1:11" ht="22.5" customHeight="1" x14ac:dyDescent="0.15">
      <c r="B25" s="106"/>
      <c r="C25" s="106"/>
      <c r="D25" s="106"/>
      <c r="E25" s="106"/>
      <c r="F25" s="106"/>
      <c r="G25" s="106"/>
      <c r="H25" s="106"/>
      <c r="I25" s="106"/>
      <c r="J25" s="106"/>
    </row>
    <row r="26" spans="1:11" ht="22.5" customHeight="1" x14ac:dyDescent="0.15">
      <c r="B26" s="106"/>
      <c r="C26" s="106"/>
      <c r="D26" s="106"/>
      <c r="E26" s="106"/>
      <c r="F26" s="106"/>
      <c r="G26" s="106"/>
      <c r="H26" s="106"/>
      <c r="I26" s="106"/>
      <c r="J26" s="106"/>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scale="9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ユーザー</cp:lastModifiedBy>
  <cp:lastPrinted>2022-05-17T06:49:42Z</cp:lastPrinted>
  <dcterms:created xsi:type="dcterms:W3CDTF">2011-06-14T05:32:50Z</dcterms:created>
  <dcterms:modified xsi:type="dcterms:W3CDTF">2022-07-06T02:49:47Z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