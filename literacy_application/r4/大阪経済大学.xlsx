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Y:\経営企画課\008_L3_【キ】企画案件\MDASH申請関連\MDASH-Literacy申請\令和4年度認定への申請\申請用\"/>
    </mc:Choice>
  </mc:AlternateContent>
  <bookViews>
    <workbookView xWindow="0" yWindow="0" windowWidth="17790" windowHeight="7560" tabRatio="885"/>
  </bookViews>
  <sheets>
    <sheet name="様式１　大学等概要" sheetId="8" r:id="rId1"/>
    <sheet name="様式２　プログラムを構成する授業科目" sheetId="39" r:id="rId2"/>
    <sheet name="様式３　履修者等数の実績" sheetId="40" r:id="rId3"/>
    <sheet name="様式４　教育の質・履修者数を向上させるための体制・計画" sheetId="41" r:id="rId4"/>
    <sheet name="様式５　自己点検・評価" sheetId="42" r:id="rId5"/>
    <sheet name="様式６　特色ある取組" sheetId="43" r:id="rId6"/>
  </sheets>
  <definedNames>
    <definedName name="_xlnm._FilterDatabase" localSheetId="1" hidden="1">'様式２　プログラムを構成する授業科目'!#REF!</definedName>
    <definedName name="_xlnm._FilterDatabase" localSheetId="2" hidden="1">'様式３　履修者等数の実績'!#REF!</definedName>
    <definedName name="_xlnm.Print_Area" localSheetId="0">'様式１　大学等概要'!$A$1:$N$45</definedName>
    <definedName name="_xlnm.Print_Area" localSheetId="1">'様式２　プログラムを構成する授業科目'!$A$1:$Z$98</definedName>
    <definedName name="_xlnm.Print_Area" localSheetId="2">'様式３　履修者等数の実績'!$A$1:$R$30</definedName>
    <definedName name="_xlnm.Print_Area" localSheetId="3">'様式４　教育の質・履修者数を向上させるための体制・計画'!$A$1:$J$130</definedName>
    <definedName name="_xlnm.Print_Area" localSheetId="4">'様式５　自己点検・評価'!$A$1:$J$18</definedName>
    <definedName name="_xlnm.Print_Area" localSheetId="5">'様式６　特色ある取組'!$A$1:$F$124</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18" i="42" l="1"/>
  <c r="K16" i="42"/>
  <c r="K15" i="42"/>
  <c r="K9" i="42"/>
  <c r="K8" i="42"/>
  <c r="K7" i="42"/>
  <c r="C4" i="40"/>
  <c r="O45" i="8"/>
  <c r="O44" i="8"/>
  <c r="O41" i="8"/>
  <c r="O39" i="8"/>
  <c r="O37" i="8"/>
  <c r="O34" i="8"/>
  <c r="O32" i="8"/>
  <c r="O29" i="8"/>
  <c r="O20" i="8"/>
  <c r="O18" i="8"/>
  <c r="O16" i="8"/>
  <c r="O14" i="8"/>
  <c r="O12" i="8"/>
  <c r="O10" i="8"/>
  <c r="O6" i="8"/>
  <c r="O8" i="8"/>
  <c r="O4" i="8"/>
  <c r="K14" i="42"/>
  <c r="K13" i="42"/>
  <c r="K11" i="42"/>
  <c r="K10" i="42"/>
  <c r="P30" i="40" l="1"/>
  <c r="O30" i="40"/>
  <c r="N30" i="40"/>
  <c r="M30" i="40"/>
  <c r="L30" i="40"/>
  <c r="K30" i="40"/>
  <c r="J30" i="40"/>
  <c r="I30" i="40"/>
  <c r="H30" i="40"/>
  <c r="G30" i="40"/>
  <c r="F30" i="40"/>
  <c r="E30" i="40"/>
  <c r="D30" i="40"/>
  <c r="I29" i="41" s="1"/>
  <c r="C30" i="40"/>
  <c r="Q29" i="40"/>
  <c r="R29" i="40" s="1"/>
  <c r="Q28" i="40"/>
  <c r="R28" i="40" s="1"/>
  <c r="Q27" i="40"/>
  <c r="R27" i="40" s="1"/>
  <c r="R26" i="40"/>
  <c r="Q26" i="40"/>
  <c r="Q25" i="40"/>
  <c r="R25" i="40" s="1"/>
  <c r="R24" i="40"/>
  <c r="Q24" i="40"/>
  <c r="Q23" i="40"/>
  <c r="R23" i="40" s="1"/>
  <c r="R22" i="40"/>
  <c r="Q22" i="40"/>
  <c r="Q21" i="40"/>
  <c r="R21" i="40" s="1"/>
  <c r="R20" i="40"/>
  <c r="Q20" i="40"/>
  <c r="Q19" i="40"/>
  <c r="R19" i="40" s="1"/>
  <c r="R18" i="40"/>
  <c r="Q18" i="40"/>
  <c r="Q17" i="40"/>
  <c r="R17" i="40" s="1"/>
  <c r="R16" i="40"/>
  <c r="Q16" i="40"/>
  <c r="Q15" i="40"/>
  <c r="R15" i="40" s="1"/>
  <c r="Q14" i="40"/>
  <c r="R14" i="40" s="1"/>
  <c r="Q13" i="40"/>
  <c r="R13" i="40" s="1"/>
  <c r="Q12" i="40"/>
  <c r="R12" i="40" s="1"/>
  <c r="Q11" i="40"/>
  <c r="R11" i="40" s="1"/>
  <c r="Q10" i="40"/>
  <c r="Q30" i="40" l="1"/>
  <c r="R30" i="40" s="1"/>
  <c r="C28" i="41" s="1"/>
  <c r="R10" i="40"/>
</calcChain>
</file>

<file path=xl/sharedStrings.xml><?xml version="1.0" encoding="utf-8"?>
<sst xmlns="http://schemas.openxmlformats.org/spreadsheetml/2006/main" count="328" uniqueCount="213">
  <si>
    <t>教員数</t>
    <rPh sb="0" eb="2">
      <t>キョウイン</t>
    </rPh>
    <rPh sb="2" eb="3">
      <t>スウ</t>
    </rPh>
    <phoneticPr fontId="1"/>
  </si>
  <si>
    <t>所属部署名</t>
    <rPh sb="0" eb="2">
      <t>ショゾク</t>
    </rPh>
    <rPh sb="2" eb="4">
      <t>ブショ</t>
    </rPh>
    <rPh sb="4" eb="5">
      <t>メイ</t>
    </rPh>
    <phoneticPr fontId="1"/>
  </si>
  <si>
    <t>担当者名</t>
    <rPh sb="0" eb="2">
      <t>タントウ</t>
    </rPh>
    <rPh sb="2" eb="3">
      <t>シャ</t>
    </rPh>
    <rPh sb="3" eb="4">
      <t>メイ</t>
    </rPh>
    <phoneticPr fontId="1"/>
  </si>
  <si>
    <t>電話番号</t>
  </si>
  <si>
    <t>E-mail</t>
  </si>
  <si>
    <t>（常勤）</t>
    <rPh sb="1" eb="3">
      <t>ジョウキン</t>
    </rPh>
    <phoneticPr fontId="1"/>
  </si>
  <si>
    <t>①</t>
    <phoneticPr fontId="1"/>
  </si>
  <si>
    <t>様式６</t>
    <rPh sb="0" eb="2">
      <t>ヨウシキ</t>
    </rPh>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</si>
  <si>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</si>
  <si>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</si>
  <si>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</si>
  <si>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</si>
  <si>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</si>
  <si>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</si>
  <si>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</si>
  <si>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</si>
  <si>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</si>
  <si>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学校名</t>
    <rPh sb="0" eb="2">
      <t>ガッコウ</t>
    </rPh>
    <rPh sb="2" eb="3">
      <t>メイ</t>
    </rPh>
    <phoneticPr fontId="1"/>
  </si>
  <si>
    <t>１年次</t>
    <rPh sb="1" eb="2">
      <t>ネン</t>
    </rPh>
    <rPh sb="2" eb="3">
      <t>ツギ</t>
    </rPh>
    <phoneticPr fontId="1"/>
  </si>
  <si>
    <t>２年次</t>
    <rPh sb="1" eb="2">
      <t>ネン</t>
    </rPh>
    <rPh sb="2" eb="3">
      <t>ツギ</t>
    </rPh>
    <phoneticPr fontId="1"/>
  </si>
  <si>
    <t>３年次</t>
    <rPh sb="1" eb="2">
      <t>ネン</t>
    </rPh>
    <rPh sb="2" eb="3">
      <t>ツギ</t>
    </rPh>
    <phoneticPr fontId="1"/>
  </si>
  <si>
    <t>４年次</t>
    <rPh sb="1" eb="2">
      <t>ネン</t>
    </rPh>
    <rPh sb="2" eb="3">
      <t>ツギ</t>
    </rPh>
    <phoneticPr fontId="1"/>
  </si>
  <si>
    <t>人</t>
  </si>
  <si>
    <t>人</t>
    <rPh sb="0" eb="1">
      <t>ニン</t>
    </rPh>
    <phoneticPr fontId="1"/>
  </si>
  <si>
    <t>（役職名）</t>
    <rPh sb="1" eb="4">
      <t>ヤクショクメイ</t>
    </rPh>
    <phoneticPr fontId="1"/>
  </si>
  <si>
    <t>⑩</t>
    <phoneticPr fontId="1"/>
  </si>
  <si>
    <t>様式１</t>
    <rPh sb="0" eb="2">
      <t>ヨウシキ</t>
    </rPh>
    <phoneticPr fontId="1"/>
  </si>
  <si>
    <t>履修者数・履修率の向上に向けた計画</t>
    <rPh sb="5" eb="7">
      <t>リシュウ</t>
    </rPh>
    <rPh sb="7" eb="8">
      <t>リツ</t>
    </rPh>
    <phoneticPr fontId="1"/>
  </si>
  <si>
    <t>授業内容</t>
    <rPh sb="0" eb="2">
      <t>ジュギョウ</t>
    </rPh>
    <rPh sb="2" eb="4">
      <t>ナイヨウ</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</si>
  <si>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</si>
  <si>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</si>
  <si>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</si>
  <si>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</si>
  <si>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</si>
  <si>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</si>
  <si>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</si>
  <si>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</si>
  <si>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</si>
  <si>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</si>
  <si>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</si>
  <si>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</si>
  <si>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</si>
  <si>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</si>
  <si>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</si>
  <si>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</si>
  <si>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</si>
  <si>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履修者数</t>
    <rPh sb="0" eb="2">
      <t>リシュウ</t>
    </rPh>
    <rPh sb="2" eb="3">
      <t>シャ</t>
    </rPh>
    <rPh sb="3" eb="4">
      <t>スウ</t>
    </rPh>
    <phoneticPr fontId="1"/>
  </si>
  <si>
    <t>所在地</t>
    <phoneticPr fontId="1"/>
  </si>
  <si>
    <t>５年次</t>
    <rPh sb="1" eb="2">
      <t>ネン</t>
    </rPh>
    <rPh sb="2" eb="3">
      <t>ツギ</t>
    </rPh>
    <phoneticPr fontId="1"/>
  </si>
  <si>
    <t>６年次</t>
    <rPh sb="1" eb="2">
      <t>ネン</t>
    </rPh>
    <rPh sb="2" eb="3">
      <t>ツギ</t>
    </rPh>
    <phoneticPr fontId="1"/>
  </si>
  <si>
    <t>②</t>
    <phoneticPr fontId="1"/>
  </si>
  <si>
    <t>大学等の設置者</t>
  </si>
  <si>
    <t>⑫</t>
    <phoneticPr fontId="1"/>
  </si>
  <si>
    <t>人</t>
    <rPh sb="0" eb="1">
      <t>ニン</t>
    </rPh>
    <phoneticPr fontId="1"/>
  </si>
  <si>
    <t>総数</t>
    <rPh sb="0" eb="2">
      <t>ソウスウ</t>
    </rPh>
    <phoneticPr fontId="1"/>
  </si>
  <si>
    <t>⑧</t>
    <phoneticPr fontId="1"/>
  </si>
  <si>
    <t>⑬</t>
    <phoneticPr fontId="1"/>
  </si>
  <si>
    <t>（役職名）</t>
    <rPh sb="1" eb="4">
      <t>ヤクショクメイ</t>
    </rPh>
    <phoneticPr fontId="1"/>
  </si>
  <si>
    <t>履修率</t>
    <rPh sb="0" eb="2">
      <t>リシュウ</t>
    </rPh>
    <rPh sb="2" eb="3">
      <t>リツ</t>
    </rPh>
    <phoneticPr fontId="1"/>
  </si>
  <si>
    <t>合　計</t>
    <phoneticPr fontId="1"/>
  </si>
  <si>
    <t>⑥</t>
    <phoneticPr fontId="1"/>
  </si>
  <si>
    <t>プログラムの開設年度</t>
    <rPh sb="6" eb="8">
      <t>カイセツ</t>
    </rPh>
    <rPh sb="8" eb="10">
      <t>ネンド</t>
    </rPh>
    <phoneticPr fontId="1"/>
  </si>
  <si>
    <t>⑨</t>
    <phoneticPr fontId="1"/>
  </si>
  <si>
    <t>⑭</t>
    <phoneticPr fontId="1"/>
  </si>
  <si>
    <t>履修者数
合計</t>
    <rPh sb="0" eb="2">
      <t>リシュウ</t>
    </rPh>
    <rPh sb="2" eb="3">
      <t>シャ</t>
    </rPh>
    <rPh sb="3" eb="4">
      <t>スウ</t>
    </rPh>
    <rPh sb="5" eb="7">
      <t>ゴウケイ</t>
    </rPh>
    <phoneticPr fontId="1"/>
  </si>
  <si>
    <t>様式３</t>
    <rPh sb="0" eb="2">
      <t>ヨウシキ</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</si>
  <si>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</si>
  <si>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</si>
  <si>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</si>
  <si>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プログラムを構成する授業科目について</t>
    <phoneticPr fontId="1"/>
  </si>
  <si>
    <t>収容
定員</t>
    <rPh sb="0" eb="2">
      <t>シュウヨウ</t>
    </rPh>
    <rPh sb="3" eb="5">
      <t>テイイン</t>
    </rPh>
    <phoneticPr fontId="1"/>
  </si>
  <si>
    <t>申請する認定プログラム</t>
    <rPh sb="0" eb="2">
      <t>シンセイ</t>
    </rPh>
    <rPh sb="4" eb="6">
      <t>ニンテイ</t>
    </rPh>
    <phoneticPr fontId="1"/>
  </si>
  <si>
    <t>プログラムの授業を教えている教員数</t>
    <rPh sb="6" eb="8">
      <t>ジュギョウ</t>
    </rPh>
    <rPh sb="9" eb="10">
      <t>オシ</t>
    </rPh>
    <rPh sb="14" eb="16">
      <t>キョウイン</t>
    </rPh>
    <rPh sb="16" eb="17">
      <t>スウ</t>
    </rPh>
    <phoneticPr fontId="1"/>
  </si>
  <si>
    <t>学生への学習支援</t>
    <rPh sb="0" eb="2">
      <t>ガクセイ</t>
    </rPh>
    <rPh sb="4" eb="6">
      <t>ガクシュウ</t>
    </rPh>
    <rPh sb="6" eb="8">
      <t>シエン</t>
    </rPh>
    <phoneticPr fontId="1"/>
  </si>
  <si>
    <t>その他の取組（地域連携、産業界との連携、海外の大学等との連携等）</t>
    <rPh sb="2" eb="3">
      <t>タ</t>
    </rPh>
    <rPh sb="4" eb="5">
      <t>ト</t>
    </rPh>
    <rPh sb="5" eb="6">
      <t>ク</t>
    </rPh>
    <rPh sb="7" eb="9">
      <t>チイキ</t>
    </rPh>
    <rPh sb="9" eb="11">
      <t>レンケイ</t>
    </rPh>
    <rPh sb="12" eb="14">
      <t>サンギョウ</t>
    </rPh>
    <rPh sb="14" eb="15">
      <t>カイ</t>
    </rPh>
    <rPh sb="17" eb="19">
      <t>レンケイ</t>
    </rPh>
    <rPh sb="20" eb="22">
      <t>カイガイ</t>
    </rPh>
    <rPh sb="23" eb="25">
      <t>ダイガク</t>
    </rPh>
    <rPh sb="25" eb="26">
      <t>トウ</t>
    </rPh>
    <rPh sb="28" eb="30">
      <t>レンケイ</t>
    </rPh>
    <rPh sb="30" eb="31">
      <t>トウ</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</si>
  <si>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</si>
  <si>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</si>
  <si>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様式５</t>
    <rPh sb="0" eb="2">
      <t>ヨウシキ</t>
    </rPh>
    <phoneticPr fontId="1"/>
  </si>
  <si>
    <t>（責任者名）</t>
    <rPh sb="1" eb="4">
      <t>セキニンシャ</t>
    </rPh>
    <rPh sb="4" eb="5">
      <t>メイ</t>
    </rPh>
    <phoneticPr fontId="1"/>
  </si>
  <si>
    <t>プログラムの運営責任者</t>
    <phoneticPr fontId="1"/>
  </si>
  <si>
    <t>⑪</t>
    <phoneticPr fontId="1"/>
  </si>
  <si>
    <t>全学部・学科の入学定員</t>
    <rPh sb="0" eb="1">
      <t>ゼン</t>
    </rPh>
    <rPh sb="4" eb="6">
      <t>ガッカ</t>
    </rPh>
    <rPh sb="7" eb="9">
      <t>ニュウガク</t>
    </rPh>
    <rPh sb="9" eb="11">
      <t>テイイン</t>
    </rPh>
    <phoneticPr fontId="1"/>
  </si>
  <si>
    <t>全学部・学科の学生数（学年別）</t>
    <rPh sb="0" eb="1">
      <t>ゼン</t>
    </rPh>
    <rPh sb="4" eb="6">
      <t>ガッカ</t>
    </rPh>
    <rPh sb="7" eb="10">
      <t>ガクセイスウ</t>
    </rPh>
    <rPh sb="11" eb="13">
      <t>ガクネン</t>
    </rPh>
    <rPh sb="13" eb="14">
      <t>ベツ</t>
    </rPh>
    <phoneticPr fontId="1"/>
  </si>
  <si>
    <t>学部・学科名称</t>
    <rPh sb="0" eb="2">
      <t>ガクブ</t>
    </rPh>
    <rPh sb="3" eb="5">
      <t>ガッカ</t>
    </rPh>
    <rPh sb="5" eb="7">
      <t>メイショウ</t>
    </rPh>
    <phoneticPr fontId="1"/>
  </si>
  <si>
    <t>プログラムを改善・進化させるための体制（委員会・組織等）</t>
    <rPh sb="6" eb="8">
      <t>カイゼン</t>
    </rPh>
    <rPh sb="9" eb="11">
      <t>シンカ</t>
    </rPh>
    <rPh sb="17" eb="19">
      <t>タイセイ</t>
    </rPh>
    <rPh sb="20" eb="23">
      <t>イインカイ</t>
    </rPh>
    <rPh sb="24" eb="26">
      <t>ソシキ</t>
    </rPh>
    <rPh sb="26" eb="27">
      <t>トウ</t>
    </rPh>
    <phoneticPr fontId="1"/>
  </si>
  <si>
    <t>プログラムの自己点検・評価を行う体制（委員会・組織等）</t>
    <rPh sb="6" eb="8">
      <t>ジコ</t>
    </rPh>
    <rPh sb="8" eb="10">
      <t>テンケン</t>
    </rPh>
    <rPh sb="11" eb="13">
      <t>ヒョウカ</t>
    </rPh>
    <rPh sb="14" eb="15">
      <t>オコナ</t>
    </rPh>
    <rPh sb="16" eb="18">
      <t>タイセイ</t>
    </rPh>
    <rPh sb="19" eb="22">
      <t>イインカイ</t>
    </rPh>
    <rPh sb="23" eb="25">
      <t>ソシキ</t>
    </rPh>
    <rPh sb="25" eb="26">
      <t>トウ</t>
    </rPh>
    <phoneticPr fontId="1"/>
  </si>
  <si>
    <t>授業時間内外で学習指導、質問を受け付ける具体的な仕組み</t>
    <rPh sb="20" eb="23">
      <t>グタイテキ</t>
    </rPh>
    <phoneticPr fontId="1"/>
  </si>
  <si>
    <t>数理・データサイエンス・AI教育プログラム認定制度（リテラシーレベル）　申請様式</t>
    <rPh sb="14" eb="16">
      <t>キョウイク</t>
    </rPh>
    <rPh sb="21" eb="23">
      <t>ニンテイ</t>
    </rPh>
    <rPh sb="23" eb="25">
      <t>セイド</t>
    </rPh>
    <rPh sb="36" eb="38">
      <t>シンセイ</t>
    </rPh>
    <rPh sb="38" eb="40">
      <t>ヨウシキ</t>
    </rPh>
    <phoneticPr fontId="1"/>
  </si>
  <si>
    <t>入学
定員</t>
    <rPh sb="0" eb="2">
      <t>ニュウガク</t>
    </rPh>
    <rPh sb="3" eb="5">
      <t>テイイン</t>
    </rPh>
    <phoneticPr fontId="1"/>
  </si>
  <si>
    <t>申請するプログラム名称</t>
    <rPh sb="0" eb="2">
      <t>シンセイ</t>
    </rPh>
    <rPh sb="9" eb="11">
      <t>メイショウ</t>
    </rPh>
    <phoneticPr fontId="1"/>
  </si>
  <si>
    <t>③</t>
  </si>
  <si>
    <t>設置形態</t>
    <phoneticPr fontId="1"/>
  </si>
  <si>
    <t>⑮</t>
    <phoneticPr fontId="1"/>
  </si>
  <si>
    <t>プログラムの履修者数等の実績について</t>
    <phoneticPr fontId="1"/>
  </si>
  <si>
    <t>令和3年度</t>
    <rPh sb="0" eb="2">
      <t>レイワ</t>
    </rPh>
    <rPh sb="3" eb="5">
      <t>ネンド</t>
    </rPh>
    <phoneticPr fontId="1"/>
  </si>
  <si>
    <t>令和2年度</t>
    <rPh sb="0" eb="2">
      <t>レイワ</t>
    </rPh>
    <rPh sb="3" eb="5">
      <t>ネンド</t>
    </rPh>
    <phoneticPr fontId="1"/>
  </si>
  <si>
    <t>令和元年度</t>
    <rPh sb="0" eb="2">
      <t>レイワ</t>
    </rPh>
    <rPh sb="2" eb="3">
      <t>モト</t>
    </rPh>
    <rPh sb="3" eb="5">
      <t>ネンド</t>
    </rPh>
    <phoneticPr fontId="1"/>
  </si>
  <si>
    <t>平成30年度</t>
    <rPh sb="0" eb="2">
      <t>ヘイセイ</t>
    </rPh>
    <rPh sb="4" eb="6">
      <t>ネンド</t>
    </rPh>
    <phoneticPr fontId="1"/>
  </si>
  <si>
    <t>平成29年度</t>
    <rPh sb="0" eb="2">
      <t>ヘイセイ</t>
    </rPh>
    <rPh sb="4" eb="6">
      <t>ネンド</t>
    </rPh>
    <phoneticPr fontId="1"/>
  </si>
  <si>
    <t>平成28年度</t>
    <rPh sb="0" eb="2">
      <t>ヘイセイ</t>
    </rPh>
    <rPh sb="4" eb="6">
      <t>ネンド</t>
    </rPh>
    <phoneticPr fontId="1"/>
  </si>
  <si>
    <t>年度</t>
    <rPh sb="0" eb="2">
      <t>ネンド</t>
    </rPh>
    <phoneticPr fontId="1"/>
  </si>
  <si>
    <t>⑦応用基礎レベルの申請の有無</t>
    <phoneticPr fontId="1"/>
  </si>
  <si>
    <t>連絡先</t>
  </si>
  <si>
    <t>①具体的な修了要件</t>
    <phoneticPr fontId="1"/>
  </si>
  <si>
    <t>授業科目</t>
    <rPh sb="0" eb="2">
      <t>ジュギョウ</t>
    </rPh>
    <rPh sb="2" eb="4">
      <t>カモク</t>
    </rPh>
    <phoneticPr fontId="1"/>
  </si>
  <si>
    <t>開講状況</t>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</si>
  <si>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</si>
  <si>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</si>
  <si>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</si>
  <si>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</si>
  <si>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</si>
  <si>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</si>
  <si>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</si>
  <si>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</si>
  <si>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</si>
  <si>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</si>
  <si>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②教育プログラムの修了要件</t>
    <phoneticPr fontId="1"/>
  </si>
  <si>
    <t>様式２－○</t>
  </si>
  <si>
    <t>年度</t>
    <rPh sb="0" eb="2">
      <t>ネンド</t>
    </rPh>
    <phoneticPr fontId="1"/>
  </si>
  <si>
    <t>　　　　　　　　　　　　　　　　　　　　　　　　　　　　　　　　　　　　　　　　　　　　　　　　　　　　　　　　　　　　　　　　　　　　　　　　　　　　　　　　　　　　　　　　　　　　　　　　　　　　　　　　　　　　　　　　　　　　　　　　　　　　　　　　　　　　　　　　　　　　　　　　　　　　　　　　　　　　　　　　　　　　　　　　　　　　　　　　　　　　　　　　　　　　　　　　　　　　　　　　　　　　　　　　　　　　　　　　　　　　　　　　　　　　　　　　　　　　　　　　　　　　　　　　　　　　　　　　　　　　　　　　　　　　　　　　　　　　　　　　　　　　　　　　　　　　　　　　　　　　　　　　　　　　　　　　　　　　　　　　　　　　　　　　　　　　　　　　　　　　　　　　　　　　　　　　　　　　　　　　　　　　　　　　　　　　　　　　　　　　　　　　　　　　　　　　　　　　　　　　　　　　　　　　　　　　　　　　　　　　　　　　　　　　　　　　　　　　　　　　　　　　　　　　　　　　　　　　　　　　　　　　　　　　　　　　　　　　　　　　　　　　　　　　　　　　　　　　　　　　　　　　　　　　　　　　　　　　　　　　　　　　　　　　　　　　　　　　　　　　　　　　　　　　　　　　　　　　　　　　　　　　　　　　　　　　　　　　　　　　　　　　　　　　　　　　　　　　　　　　　　　　　　　　　　　　　　　　　　　　　　　　　　　　　　　　　　　　　　　　　　　　　　　　　　　　　　　　　　　　　　　　　　　　　　　　　　　　　　　　　　　　　　　　　　　　　　　　　　　　　　　　　　　　　　　　　　　　　　　　　　　　　　　　　　　　　　</t>
    <phoneticPr fontId="1"/>
  </si>
  <si>
    <t>様式４</t>
    <rPh sb="0" eb="2">
      <t>ヨウシキ</t>
    </rPh>
    <phoneticPr fontId="1"/>
  </si>
  <si>
    <t>令和３年度実績</t>
    <rPh sb="0" eb="2">
      <t>レイワ</t>
    </rPh>
    <rPh sb="3" eb="5">
      <t>ネンド</t>
    </rPh>
    <rPh sb="5" eb="7">
      <t>ジッセキ</t>
    </rPh>
    <phoneticPr fontId="1"/>
  </si>
  <si>
    <t>令和４年度予定</t>
    <rPh sb="0" eb="2">
      <t>レイワ</t>
    </rPh>
    <rPh sb="3" eb="5">
      <t>ネンド</t>
    </rPh>
    <rPh sb="5" eb="7">
      <t>ヨテイ</t>
    </rPh>
    <phoneticPr fontId="1"/>
  </si>
  <si>
    <t>令和５年度予定</t>
    <rPh sb="0" eb="2">
      <t>レイワ</t>
    </rPh>
    <rPh sb="3" eb="5">
      <t>ネンド</t>
    </rPh>
    <rPh sb="5" eb="7">
      <t>ヨテイ</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</si>
  <si>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</si>
  <si>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</si>
  <si>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</si>
  <si>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</si>
  <si>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</si>
  <si>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②自己点検・評価体制における意見等を公表しているアドレス</t>
    <phoneticPr fontId="1"/>
  </si>
  <si>
    <t>③現在進行中の社会変化（第４次産業革命、Society 5.0、データ駆動型社会等）に深く寄与しているものであり、それが自らの生活と密接に結びついている」の内容を含む授業科目</t>
    <rPh sb="1" eb="3">
      <t>ゲンザイ</t>
    </rPh>
    <rPh sb="3" eb="5">
      <t>シンコウ</t>
    </rPh>
    <rPh sb="5" eb="6">
      <t>チュウ</t>
    </rPh>
    <rPh sb="7" eb="9">
      <t>シャカイ</t>
    </rPh>
    <rPh sb="9" eb="11">
      <t>ヘンカ</t>
    </rPh>
    <rPh sb="12" eb="13">
      <t>ダイ</t>
    </rPh>
    <rPh sb="14" eb="15">
      <t>ジ</t>
    </rPh>
    <rPh sb="15" eb="17">
      <t>サンギョウ</t>
    </rPh>
    <rPh sb="17" eb="19">
      <t>カクメイ</t>
    </rPh>
    <rPh sb="35" eb="37">
      <t>クドウ</t>
    </rPh>
    <rPh sb="37" eb="38">
      <t>ガタ</t>
    </rPh>
    <rPh sb="38" eb="40">
      <t>シャカイ</t>
    </rPh>
    <rPh sb="40" eb="41">
      <t>トウ</t>
    </rPh>
    <rPh sb="43" eb="44">
      <t>フカ</t>
    </rPh>
    <rPh sb="45" eb="47">
      <t>キヨ</t>
    </rPh>
    <rPh sb="60" eb="61">
      <t>ミズカ</t>
    </rPh>
    <rPh sb="63" eb="65">
      <t>セイカツ</t>
    </rPh>
    <rPh sb="66" eb="68">
      <t>ミッセツ</t>
    </rPh>
    <rPh sb="69" eb="70">
      <t>ムス</t>
    </rPh>
    <rPh sb="78" eb="80">
      <t>ナイヨウ</t>
    </rPh>
    <rPh sb="81" eb="82">
      <t>フク</t>
    </rPh>
    <rPh sb="83" eb="85">
      <t>ジュギョウ</t>
    </rPh>
    <rPh sb="85" eb="87">
      <t>カモク</t>
    </rPh>
    <phoneticPr fontId="1"/>
  </si>
  <si>
    <t>④「社会で活用されているデータ」や「データの活用領域」は非常に広範囲であって、日常生活や社会の課題を解決する有用なツールになり得るもの」の内容を含む授業科目</t>
    <rPh sb="2" eb="4">
      <t>シャカイ</t>
    </rPh>
    <rPh sb="5" eb="7">
      <t>カツヨウ</t>
    </rPh>
    <rPh sb="22" eb="24">
      <t>カツヨウ</t>
    </rPh>
    <rPh sb="24" eb="26">
      <t>リョウイキ</t>
    </rPh>
    <rPh sb="28" eb="30">
      <t>ヒジョウ</t>
    </rPh>
    <rPh sb="31" eb="34">
      <t>コウハンイ</t>
    </rPh>
    <rPh sb="39" eb="41">
      <t>ニチジョウ</t>
    </rPh>
    <rPh sb="41" eb="43">
      <t>セイカツ</t>
    </rPh>
    <rPh sb="44" eb="46">
      <t>シャカイ</t>
    </rPh>
    <rPh sb="47" eb="49">
      <t>カダイ</t>
    </rPh>
    <rPh sb="50" eb="52">
      <t>カイケツ</t>
    </rPh>
    <rPh sb="54" eb="56">
      <t>ユウヨウ</t>
    </rPh>
    <rPh sb="63" eb="64">
      <t>ウ</t>
    </rPh>
    <rPh sb="69" eb="71">
      <t>ナイヨウ</t>
    </rPh>
    <phoneticPr fontId="1"/>
  </si>
  <si>
    <t>1-2</t>
    <phoneticPr fontId="1"/>
  </si>
  <si>
    <t>1-3</t>
    <phoneticPr fontId="1"/>
  </si>
  <si>
    <t>⑤「様々なデータ利活用の現場におけるデータ利活用事例が示され、様々な適用領域（流通、製造、金融、サービス、インフラ、公共、ヘルスケア等）の知見と組み合わせることで価値を創出するもの」の内容を含む授業科目</t>
    <rPh sb="2" eb="4">
      <t>サマザマ</t>
    </rPh>
    <rPh sb="8" eb="11">
      <t>リカツヨウ</t>
    </rPh>
    <rPh sb="12" eb="14">
      <t>ゲンバ</t>
    </rPh>
    <rPh sb="21" eb="24">
      <t>リカツヨウ</t>
    </rPh>
    <rPh sb="24" eb="26">
      <t>ジレイ</t>
    </rPh>
    <rPh sb="27" eb="28">
      <t>シメ</t>
    </rPh>
    <rPh sb="31" eb="33">
      <t>サマザマ</t>
    </rPh>
    <rPh sb="34" eb="36">
      <t>テキヨウ</t>
    </rPh>
    <rPh sb="36" eb="38">
      <t>リョウイキ</t>
    </rPh>
    <rPh sb="39" eb="41">
      <t>リュウツウ</t>
    </rPh>
    <rPh sb="42" eb="44">
      <t>セイゾウ</t>
    </rPh>
    <rPh sb="45" eb="47">
      <t>キンユウ</t>
    </rPh>
    <rPh sb="58" eb="60">
      <t>コウキョウ</t>
    </rPh>
    <rPh sb="66" eb="67">
      <t>ナド</t>
    </rPh>
    <rPh sb="69" eb="71">
      <t>チケン</t>
    </rPh>
    <rPh sb="72" eb="73">
      <t>ク</t>
    </rPh>
    <rPh sb="74" eb="75">
      <t>ア</t>
    </rPh>
    <rPh sb="81" eb="83">
      <t>カチ</t>
    </rPh>
    <rPh sb="84" eb="86">
      <t>ソウシュツ</t>
    </rPh>
    <phoneticPr fontId="1"/>
  </si>
  <si>
    <t>1-4</t>
    <phoneticPr fontId="1"/>
  </si>
  <si>
    <t>1-5</t>
    <phoneticPr fontId="1"/>
  </si>
  <si>
    <t>⑥「活用に当たっての様々な留意事項（ELSI、個人情報、データ倫理、ＡＩ社会原則等）を考慮し、情報セキュリティや情報漏洩等、データを守る上での留意事項への理解をする」の内容を含む授業科目</t>
    <rPh sb="2" eb="4">
      <t>カツヨウ</t>
    </rPh>
    <rPh sb="5" eb="6">
      <t>ア</t>
    </rPh>
    <rPh sb="10" eb="12">
      <t>サマザマ</t>
    </rPh>
    <rPh sb="13" eb="15">
      <t>リュウイ</t>
    </rPh>
    <rPh sb="15" eb="17">
      <t>ジコウ</t>
    </rPh>
    <rPh sb="23" eb="25">
      <t>コジン</t>
    </rPh>
    <rPh sb="25" eb="27">
      <t>ジョウホウ</t>
    </rPh>
    <rPh sb="31" eb="33">
      <t>リンリ</t>
    </rPh>
    <rPh sb="36" eb="38">
      <t>シャカイ</t>
    </rPh>
    <rPh sb="38" eb="40">
      <t>ゲンソク</t>
    </rPh>
    <rPh sb="40" eb="41">
      <t>ナド</t>
    </rPh>
    <rPh sb="43" eb="45">
      <t>コウリョ</t>
    </rPh>
    <rPh sb="47" eb="49">
      <t>ジョウホウ</t>
    </rPh>
    <rPh sb="56" eb="58">
      <t>ジョウホウ</t>
    </rPh>
    <rPh sb="58" eb="60">
      <t>ロウエイ</t>
    </rPh>
    <rPh sb="60" eb="61">
      <t>ナド</t>
    </rPh>
    <rPh sb="66" eb="67">
      <t>マモ</t>
    </rPh>
    <rPh sb="68" eb="69">
      <t>ウエ</t>
    </rPh>
    <rPh sb="71" eb="73">
      <t>リュウイ</t>
    </rPh>
    <rPh sb="73" eb="75">
      <t>ジコウ</t>
    </rPh>
    <rPh sb="77" eb="79">
      <t>リカイ</t>
    </rPh>
    <phoneticPr fontId="1"/>
  </si>
  <si>
    <t>⑦「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</si>
  <si>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2-2</t>
    <phoneticPr fontId="1"/>
  </si>
  <si>
    <t>2-3</t>
    <phoneticPr fontId="1"/>
  </si>
  <si>
    <t>⑧選択「４．オプション」の内容を含む授業科目</t>
    <rPh sb="13" eb="15">
      <t>ナイヨウ</t>
    </rPh>
    <rPh sb="16" eb="17">
      <t>フク</t>
    </rPh>
    <rPh sb="18" eb="20">
      <t>ジュギョウ</t>
    </rPh>
    <rPh sb="20" eb="22">
      <t>カモク</t>
    </rPh>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</si>
  <si>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</si>
  <si>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</si>
  <si>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</si>
  <si>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必修</t>
    <rPh sb="0" eb="2">
      <t>ヒッシュウ</t>
    </rPh>
    <phoneticPr fontId="1"/>
  </si>
  <si>
    <t>単位数</t>
    <rPh sb="0" eb="3">
      <t>タンイスウ</t>
    </rPh>
    <phoneticPr fontId="1"/>
  </si>
  <si>
    <t>⑨プログラムを構成する授業の内容</t>
    <phoneticPr fontId="1"/>
  </si>
  <si>
    <t>⑩プログラムの学修成果（学生等が身に付けられる能力等）</t>
    <phoneticPr fontId="1"/>
  </si>
  <si>
    <t>⑪プログラムの授業内容等を公表しているアドレス</t>
    <phoneticPr fontId="1"/>
  </si>
  <si>
    <t>②履修者・修了者の実績</t>
    <rPh sb="1" eb="3">
      <t>リシュウ</t>
    </rPh>
    <rPh sb="3" eb="4">
      <t>シャ</t>
    </rPh>
    <rPh sb="5" eb="8">
      <t>シュウリョウシャ</t>
    </rPh>
    <rPh sb="9" eb="11">
      <t>ジッセキ</t>
    </rPh>
    <phoneticPr fontId="1"/>
  </si>
  <si>
    <t>選択項目</t>
    <rPh sb="0" eb="2">
      <t>センタク</t>
    </rPh>
    <rPh sb="2" eb="4">
      <t>コウモク</t>
    </rPh>
    <phoneticPr fontId="1"/>
  </si>
  <si>
    <t>①プログラム開設年度</t>
    <rPh sb="6" eb="8">
      <t>カイセツ</t>
    </rPh>
    <rPh sb="8" eb="10">
      <t>ネンド</t>
    </rPh>
    <phoneticPr fontId="1"/>
  </si>
  <si>
    <t>数理・データサイエンス・AI教育プログラム認定制度（リテラシーレベル）プラス　申請書</t>
    <rPh sb="0" eb="2">
      <t>スウリ</t>
    </rPh>
    <rPh sb="14" eb="16">
      <t>キョウイク</t>
    </rPh>
    <rPh sb="21" eb="23">
      <t>ニンテイ</t>
    </rPh>
    <rPh sb="23" eb="25">
      <t>セイド</t>
    </rPh>
    <rPh sb="39" eb="42">
      <t>シンセイショ</t>
    </rPh>
    <phoneticPr fontId="1"/>
  </si>
  <si>
    <t>大阪経済大学</t>
    <rPh sb="0" eb="2">
      <t>オオサカ</t>
    </rPh>
    <rPh sb="2" eb="4">
      <t>ケイザイ</t>
    </rPh>
    <rPh sb="4" eb="6">
      <t>ダイガク</t>
    </rPh>
    <phoneticPr fontId="1"/>
  </si>
  <si>
    <t>学校法人大阪経済大学</t>
    <rPh sb="0" eb="2">
      <t>ガッコウ</t>
    </rPh>
    <rPh sb="2" eb="4">
      <t>ホウジン</t>
    </rPh>
    <rPh sb="4" eb="6">
      <t>オオサカ</t>
    </rPh>
    <rPh sb="6" eb="8">
      <t>ケイザイ</t>
    </rPh>
    <rPh sb="8" eb="10">
      <t>ダイガク</t>
    </rPh>
    <phoneticPr fontId="1"/>
  </si>
  <si>
    <t>私立大学</t>
  </si>
  <si>
    <t>大阪府大阪市東淀川区大隅２-２-８</t>
    <rPh sb="0" eb="3">
      <t>オオサカフ</t>
    </rPh>
    <rPh sb="3" eb="6">
      <t>オオサカシ</t>
    </rPh>
    <rPh sb="6" eb="7">
      <t>ヒガシ</t>
    </rPh>
    <rPh sb="7" eb="10">
      <t>ヨドガワク</t>
    </rPh>
    <rPh sb="10" eb="12">
      <t>オオスミ</t>
    </rPh>
    <phoneticPr fontId="1"/>
  </si>
  <si>
    <t>数理・データサイエンス・AI教育プログラム（リテラシーレベル）</t>
    <rPh sb="0" eb="2">
      <t>スウリ</t>
    </rPh>
    <rPh sb="14" eb="16">
      <t>キョウイク</t>
    </rPh>
    <phoneticPr fontId="1"/>
  </si>
  <si>
    <t>無</t>
  </si>
  <si>
    <t>－</t>
    <phoneticPr fontId="1"/>
  </si>
  <si>
    <t>草薙信照</t>
    <rPh sb="0" eb="2">
      <t>クサナギ</t>
    </rPh>
    <rPh sb="2" eb="4">
      <t>ノブテル</t>
    </rPh>
    <phoneticPr fontId="1"/>
  </si>
  <si>
    <t>情報社会学部長</t>
    <rPh sb="0" eb="2">
      <t>ジョウホウ</t>
    </rPh>
    <rPh sb="2" eb="4">
      <t>シャカイ</t>
    </rPh>
    <rPh sb="4" eb="7">
      <t>ガクブチョウ</t>
    </rPh>
    <phoneticPr fontId="1"/>
  </si>
  <si>
    <t>全学共通教育委員会</t>
    <rPh sb="0" eb="2">
      <t>ゼンガク</t>
    </rPh>
    <rPh sb="2" eb="4">
      <t>キョウツウ</t>
    </rPh>
    <rPh sb="4" eb="6">
      <t>キョウイク</t>
    </rPh>
    <rPh sb="6" eb="9">
      <t>イインカイ</t>
    </rPh>
    <phoneticPr fontId="1"/>
  </si>
  <si>
    <t>山本正</t>
    <rPh sb="0" eb="2">
      <t>ヤマモト</t>
    </rPh>
    <rPh sb="2" eb="3">
      <t>タダシ</t>
    </rPh>
    <phoneticPr fontId="1"/>
  </si>
  <si>
    <t>全学共通教育委員長</t>
    <rPh sb="0" eb="2">
      <t>ゼンガク</t>
    </rPh>
    <rPh sb="2" eb="4">
      <t>キョウツウ</t>
    </rPh>
    <rPh sb="4" eb="6">
      <t>キョウイク</t>
    </rPh>
    <rPh sb="6" eb="9">
      <t>イインチョウ</t>
    </rPh>
    <phoneticPr fontId="1"/>
  </si>
  <si>
    <t>認定教育プログラム</t>
  </si>
  <si>
    <t>企画部</t>
    <rPh sb="0" eb="3">
      <t>キカクブ</t>
    </rPh>
    <phoneticPr fontId="1"/>
  </si>
  <si>
    <t>矢島克也</t>
    <rPh sb="0" eb="2">
      <t>ヤジマ</t>
    </rPh>
    <rPh sb="2" eb="4">
      <t>カツヤ</t>
    </rPh>
    <phoneticPr fontId="1"/>
  </si>
  <si>
    <t>06-6328-2431</t>
    <phoneticPr fontId="1"/>
  </si>
  <si>
    <t>jks@osaka-ue.ac.jp</t>
    <phoneticPr fontId="1"/>
  </si>
  <si>
    <t>学部・学科によって、修了要件は相違しない</t>
  </si>
  <si>
    <t>共通特殊講義（データサイエンス概論）</t>
    <rPh sb="0" eb="2">
      <t>キョウツウ</t>
    </rPh>
    <rPh sb="2" eb="4">
      <t>トクシュ</t>
    </rPh>
    <rPh sb="4" eb="6">
      <t>コウギ</t>
    </rPh>
    <rPh sb="15" eb="17">
      <t>ガイロン</t>
    </rPh>
    <phoneticPr fontId="1"/>
  </si>
  <si>
    <t>全学開講</t>
  </si>
  <si>
    <t>○</t>
  </si>
  <si>
    <t>経済学部</t>
    <rPh sb="0" eb="2">
      <t>ケイザイ</t>
    </rPh>
    <rPh sb="2" eb="4">
      <t>ガクブ</t>
    </rPh>
    <phoneticPr fontId="13"/>
  </si>
  <si>
    <t>経営学部第1部</t>
    <rPh sb="0" eb="2">
      <t>ケイエイ</t>
    </rPh>
    <rPh sb="2" eb="4">
      <t>ガクブ</t>
    </rPh>
    <rPh sb="4" eb="5">
      <t>ダイ</t>
    </rPh>
    <rPh sb="6" eb="7">
      <t>ブ</t>
    </rPh>
    <phoneticPr fontId="13"/>
  </si>
  <si>
    <t>情報社会学部</t>
    <rPh sb="0" eb="2">
      <t>ジョウホウ</t>
    </rPh>
    <rPh sb="2" eb="4">
      <t>シャカイ</t>
    </rPh>
    <rPh sb="4" eb="6">
      <t>ガクブ</t>
    </rPh>
    <phoneticPr fontId="13"/>
  </si>
  <si>
    <t>人間科学部</t>
    <rPh sb="0" eb="2">
      <t>ニンゲン</t>
    </rPh>
    <rPh sb="2" eb="5">
      <t>カガクブ</t>
    </rPh>
    <phoneticPr fontId="13"/>
  </si>
  <si>
    <t>経営学部第2部</t>
    <rPh sb="0" eb="2">
      <t>ケイエイ</t>
    </rPh>
    <rPh sb="2" eb="4">
      <t>ガクブ</t>
    </rPh>
    <rPh sb="4" eb="5">
      <t>ダイ</t>
    </rPh>
    <rPh sb="6" eb="7">
      <t>ブ</t>
    </rPh>
    <phoneticPr fontId="13"/>
  </si>
  <si>
    <t>全学共通教育委員会に関する規程</t>
    <rPh sb="0" eb="2">
      <t>ゼンガク</t>
    </rPh>
    <rPh sb="2" eb="4">
      <t>キョウツウ</t>
    </rPh>
    <rPh sb="4" eb="6">
      <t>キョウイク</t>
    </rPh>
    <rPh sb="6" eb="9">
      <t>イインカイ</t>
    </rPh>
    <rPh sb="10" eb="11">
      <t>カン</t>
    </rPh>
    <rPh sb="13" eb="15">
      <t>キテイ</t>
    </rPh>
    <phoneticPr fontId="1"/>
  </si>
  <si>
    <t>当プログラムは全学生を対象として開講することから、全学共通科目として設定しており、全学共通委員会の体制下で改善・進化をはかる。</t>
    <rPh sb="0" eb="1">
      <t>トウ</t>
    </rPh>
    <rPh sb="7" eb="10">
      <t>ゼンガクセイ</t>
    </rPh>
    <rPh sb="11" eb="13">
      <t>タイショウ</t>
    </rPh>
    <rPh sb="16" eb="18">
      <t>カイコウ</t>
    </rPh>
    <rPh sb="25" eb="27">
      <t>ゼンガク</t>
    </rPh>
    <rPh sb="27" eb="29">
      <t>キョウツウ</t>
    </rPh>
    <rPh sb="29" eb="31">
      <t>カモク</t>
    </rPh>
    <rPh sb="34" eb="36">
      <t>セッテイ</t>
    </rPh>
    <rPh sb="41" eb="43">
      <t>ゼンガク</t>
    </rPh>
    <rPh sb="43" eb="45">
      <t>キョウツウ</t>
    </rPh>
    <rPh sb="45" eb="48">
      <t>イインカイ</t>
    </rPh>
    <rPh sb="49" eb="51">
      <t>タイセイ</t>
    </rPh>
    <rPh sb="51" eb="52">
      <t>シタ</t>
    </rPh>
    <rPh sb="53" eb="55">
      <t>カイゼン</t>
    </rPh>
    <rPh sb="56" eb="58">
      <t>シンカ</t>
    </rPh>
    <phoneticPr fontId="1"/>
  </si>
  <si>
    <t xml:space="preserve">全学共通教育委員長（副学長）　山本正
学長補佐　遠原智文　
経済学部長　森詩恵
経営学部長　藤澤宏樹
情報社会学部長　草薙信照
人間科学部長　半田裕　
教務部長　北川健
</t>
    <rPh sb="0" eb="2">
      <t>ゼンガク</t>
    </rPh>
    <rPh sb="2" eb="4">
      <t>キョウツウ</t>
    </rPh>
    <rPh sb="4" eb="6">
      <t>キョウイク</t>
    </rPh>
    <rPh sb="6" eb="9">
      <t>イインチョウ</t>
    </rPh>
    <rPh sb="10" eb="13">
      <t>フクガクチョウ</t>
    </rPh>
    <rPh sb="15" eb="17">
      <t>ヤマモト</t>
    </rPh>
    <rPh sb="17" eb="18">
      <t>タダシ</t>
    </rPh>
    <rPh sb="19" eb="21">
      <t>ガクチョウ</t>
    </rPh>
    <rPh sb="21" eb="23">
      <t>ホサ</t>
    </rPh>
    <rPh sb="24" eb="26">
      <t>トオハラ</t>
    </rPh>
    <rPh sb="26" eb="28">
      <t>トモフミ</t>
    </rPh>
    <rPh sb="30" eb="32">
      <t>ケイザイ</t>
    </rPh>
    <rPh sb="32" eb="34">
      <t>ガクブ</t>
    </rPh>
    <rPh sb="34" eb="35">
      <t>ナガ</t>
    </rPh>
    <rPh sb="36" eb="37">
      <t>モリ</t>
    </rPh>
    <rPh sb="37" eb="39">
      <t>ウタエ</t>
    </rPh>
    <rPh sb="40" eb="42">
      <t>ケイエイ</t>
    </rPh>
    <rPh sb="42" eb="44">
      <t>ガクブ</t>
    </rPh>
    <rPh sb="44" eb="45">
      <t>ナガ</t>
    </rPh>
    <rPh sb="46" eb="48">
      <t>フジサワ</t>
    </rPh>
    <rPh sb="48" eb="50">
      <t>ヒロキ</t>
    </rPh>
    <rPh sb="51" eb="53">
      <t>ジョウホウ</t>
    </rPh>
    <rPh sb="53" eb="55">
      <t>シャカイ</t>
    </rPh>
    <rPh sb="55" eb="57">
      <t>ガクブ</t>
    </rPh>
    <rPh sb="57" eb="58">
      <t>ナガ</t>
    </rPh>
    <rPh sb="59" eb="61">
      <t>クサナギ</t>
    </rPh>
    <rPh sb="61" eb="63">
      <t>ノブテル</t>
    </rPh>
    <rPh sb="64" eb="66">
      <t>ニンゲン</t>
    </rPh>
    <rPh sb="66" eb="69">
      <t>カガクブ</t>
    </rPh>
    <rPh sb="69" eb="70">
      <t>ナガ</t>
    </rPh>
    <rPh sb="71" eb="73">
      <t>ハンダ</t>
    </rPh>
    <rPh sb="73" eb="74">
      <t>ヒロシ</t>
    </rPh>
    <rPh sb="76" eb="80">
      <t>キョウムブチョウ</t>
    </rPh>
    <rPh sb="81" eb="83">
      <t>キタガワ</t>
    </rPh>
    <rPh sb="83" eb="84">
      <t>ケン</t>
    </rPh>
    <phoneticPr fontId="1"/>
  </si>
  <si>
    <t>受講生全員に対して、当プログラム科目独自の授業評価アンケートを実施し分析した。当プログラム科目に対するアンケートの有効回答数56件の内訳としては、「理解できた」24件（42.3％）、「やや理解できた」28件（50.0％）、「やや理解できなかった」3件（5.4％）、「理解できなかった」0件（0.0％）であり、9割以上の学生が概ね授業内容を理解しているといえる。</t>
    <rPh sb="0" eb="3">
      <t>ジュコウセイ</t>
    </rPh>
    <rPh sb="3" eb="5">
      <t>ゼンイン</t>
    </rPh>
    <rPh sb="6" eb="7">
      <t>タイ</t>
    </rPh>
    <rPh sb="10" eb="11">
      <t>トウ</t>
    </rPh>
    <rPh sb="16" eb="18">
      <t>カモク</t>
    </rPh>
    <rPh sb="18" eb="20">
      <t>ドクジ</t>
    </rPh>
    <rPh sb="21" eb="23">
      <t>ジュギョウ</t>
    </rPh>
    <rPh sb="23" eb="25">
      <t>ヒョウカ</t>
    </rPh>
    <rPh sb="31" eb="33">
      <t>ジッシ</t>
    </rPh>
    <rPh sb="34" eb="36">
      <t>ブンセキ</t>
    </rPh>
    <rPh sb="48" eb="49">
      <t>タイ</t>
    </rPh>
    <rPh sb="54" eb="56">
      <t>ユウコウ</t>
    </rPh>
    <rPh sb="56" eb="58">
      <t>カイトウ</t>
    </rPh>
    <rPh sb="58" eb="59">
      <t>カズ</t>
    </rPh>
    <rPh sb="61" eb="62">
      <t>ケン</t>
    </rPh>
    <rPh sb="63" eb="65">
      <t>ウチワケ</t>
    </rPh>
    <rPh sb="71" eb="73">
      <t>リカイ</t>
    </rPh>
    <rPh sb="79" eb="80">
      <t>ケン</t>
    </rPh>
    <rPh sb="91" eb="93">
      <t>リカイ</t>
    </rPh>
    <rPh sb="99" eb="100">
      <t>ケン</t>
    </rPh>
    <rPh sb="111" eb="113">
      <t>リカイ</t>
    </rPh>
    <rPh sb="121" eb="122">
      <t>ケン</t>
    </rPh>
    <rPh sb="130" eb="132">
      <t>リカイ</t>
    </rPh>
    <rPh sb="140" eb="141">
      <t>ケン</t>
    </rPh>
    <rPh sb="152" eb="153">
      <t>ワリ</t>
    </rPh>
    <rPh sb="153" eb="155">
      <t>イジョウ</t>
    </rPh>
    <rPh sb="156" eb="158">
      <t>ガクセイ</t>
    </rPh>
    <rPh sb="159" eb="160">
      <t>オオム</t>
    </rPh>
    <rPh sb="161" eb="163">
      <t>ジュギョウ</t>
    </rPh>
    <rPh sb="163" eb="165">
      <t>ナイヨウ</t>
    </rPh>
    <rPh sb="166" eb="168">
      <t>リカイ</t>
    </rPh>
    <phoneticPr fontId="1"/>
  </si>
  <si>
    <t>令和３年度にはパイロットケースとして２コマ（秋学期２コマ、全て対面形式）開講していたが、一定の履修ニーズが見込めたことから、令和４年度には全学共通科目のカリキュラムとして「データサイエンスと数理」の区分を新設し、４コマ（春学期２コマ・秋学期２コマ、全て対面形式）開講することとなった。また、履修者数、履修率、単位取得率の向上に向けては、オンライン授業の実施検討や広報面での改善を進めて行く。</t>
    <rPh sb="145" eb="148">
      <t>リシュウシャ</t>
    </rPh>
    <rPh sb="148" eb="149">
      <t>カズ</t>
    </rPh>
    <rPh sb="150" eb="152">
      <t>リシュウ</t>
    </rPh>
    <rPh sb="152" eb="153">
      <t>リツ</t>
    </rPh>
    <rPh sb="154" eb="156">
      <t>タンイ</t>
    </rPh>
    <rPh sb="156" eb="159">
      <t>シュトクリツ</t>
    </rPh>
    <rPh sb="160" eb="162">
      <t>コウジョウ</t>
    </rPh>
    <rPh sb="163" eb="164">
      <t>ム</t>
    </rPh>
    <rPh sb="173" eb="175">
      <t>ジュギョウ</t>
    </rPh>
    <rPh sb="176" eb="178">
      <t>ジッシ</t>
    </rPh>
    <rPh sb="178" eb="180">
      <t>ケントウ</t>
    </rPh>
    <rPh sb="181" eb="184">
      <t>コウホウメン</t>
    </rPh>
    <rPh sb="186" eb="188">
      <t>カイゼン</t>
    </rPh>
    <rPh sb="189" eb="190">
      <t>スス</t>
    </rPh>
    <rPh sb="192" eb="193">
      <t>イ</t>
    </rPh>
    <phoneticPr fontId="1"/>
  </si>
  <si>
    <t>当プログラム科目は令和３年度より開講したため、当プログラム科目を履修し、単位を修得して卒業した学生はいない。今後、この科目や他のデータサイエンス系科目の単位を修得して卒業した学生の進路・採用状況等を把握する仕組みを設ける予定である。</t>
    <rPh sb="0" eb="1">
      <t>トウ</t>
    </rPh>
    <rPh sb="6" eb="8">
      <t>カモク</t>
    </rPh>
    <rPh sb="9" eb="11">
      <t>レイワ</t>
    </rPh>
    <rPh sb="12" eb="14">
      <t>ネンド</t>
    </rPh>
    <rPh sb="16" eb="18">
      <t>カイコウ</t>
    </rPh>
    <rPh sb="23" eb="24">
      <t>トウ</t>
    </rPh>
    <rPh sb="29" eb="31">
      <t>カモク</t>
    </rPh>
    <rPh sb="32" eb="34">
      <t>リシュウ</t>
    </rPh>
    <rPh sb="36" eb="38">
      <t>タンイ</t>
    </rPh>
    <rPh sb="39" eb="41">
      <t>シュウトク</t>
    </rPh>
    <rPh sb="43" eb="45">
      <t>ソツギョウ</t>
    </rPh>
    <rPh sb="47" eb="49">
      <t>ガクセイ</t>
    </rPh>
    <rPh sb="54" eb="56">
      <t>コンゴ</t>
    </rPh>
    <rPh sb="59" eb="61">
      <t>カモク</t>
    </rPh>
    <rPh sb="62" eb="63">
      <t>ホカ</t>
    </rPh>
    <rPh sb="72" eb="73">
      <t>ケイ</t>
    </rPh>
    <rPh sb="73" eb="75">
      <t>カモク</t>
    </rPh>
    <rPh sb="76" eb="78">
      <t>タンイ</t>
    </rPh>
    <rPh sb="79" eb="81">
      <t>シュウトク</t>
    </rPh>
    <rPh sb="83" eb="85">
      <t>ソツギョウ</t>
    </rPh>
    <rPh sb="87" eb="89">
      <t>ガクセイ</t>
    </rPh>
    <rPh sb="90" eb="92">
      <t>シンロ</t>
    </rPh>
    <rPh sb="93" eb="95">
      <t>サイヨウ</t>
    </rPh>
    <rPh sb="95" eb="97">
      <t>ジョウキョウ</t>
    </rPh>
    <rPh sb="97" eb="98">
      <t>ナド</t>
    </rPh>
    <rPh sb="99" eb="101">
      <t>ハアク</t>
    </rPh>
    <rPh sb="103" eb="105">
      <t>シク</t>
    </rPh>
    <rPh sb="107" eb="108">
      <t>モウ</t>
    </rPh>
    <rPh sb="110" eb="112">
      <t>ヨテイ</t>
    </rPh>
    <phoneticPr fontId="1"/>
  </si>
  <si>
    <t>https://www.osaka-ue.ac.jp/education/data_sci_edu.html</t>
    <phoneticPr fontId="1"/>
  </si>
  <si>
    <t>https://www.osaka-ue.ac.jp/education/data_sci_edu.html</t>
    <phoneticPr fontId="1"/>
  </si>
  <si>
    <t>・データの分布と代表値「共通特殊講義（データサイエンス概論）」（10回目）
・相関と因果「共通特殊講義（データサイエンス概論）」（12回目）</t>
    <rPh sb="5" eb="7">
      <t>ブンプ</t>
    </rPh>
    <rPh sb="8" eb="10">
      <t>ダイヒョウ</t>
    </rPh>
    <rPh sb="10" eb="11">
      <t>アタイ</t>
    </rPh>
    <rPh sb="39" eb="41">
      <t>ソウカン</t>
    </rPh>
    <rPh sb="42" eb="44">
      <t>インガ</t>
    </rPh>
    <phoneticPr fontId="1"/>
  </si>
  <si>
    <t>・データ表現「共通特殊講義（データサイエンス概論）」（11回目、13回目）</t>
    <rPh sb="4" eb="6">
      <t>ヒョウゲン</t>
    </rPh>
    <rPh sb="29" eb="31">
      <t>カイメ</t>
    </rPh>
    <phoneticPr fontId="1"/>
  </si>
  <si>
    <r>
      <t>全学共通教育委員会において、</t>
    </r>
    <r>
      <rPr>
        <sz val="12"/>
        <rFont val="ＭＳ Ｐゴシック"/>
        <family val="3"/>
        <charset val="128"/>
        <scheme val="minor"/>
      </rPr>
      <t>当プログラム科目への学生の受講希望状況を注視し、受講を希望する全ての学生が履修登録できるよう開講コマ数を調整する予定である。さらに、履修者数の大幅な増加に向けて、オンライン形式での開講や一部カリキュラムにおける必修化についても検討していく。</t>
    </r>
    <rPh sb="0" eb="2">
      <t>ゼンガク</t>
    </rPh>
    <rPh sb="2" eb="4">
      <t>キョウツウ</t>
    </rPh>
    <rPh sb="4" eb="6">
      <t>キョウイク</t>
    </rPh>
    <rPh sb="6" eb="9">
      <t>イインカイ</t>
    </rPh>
    <rPh sb="14" eb="15">
      <t>トウ</t>
    </rPh>
    <rPh sb="20" eb="22">
      <t>カモク</t>
    </rPh>
    <rPh sb="24" eb="26">
      <t>ガクセイ</t>
    </rPh>
    <rPh sb="27" eb="29">
      <t>ジュコウ</t>
    </rPh>
    <rPh sb="29" eb="31">
      <t>キボウ</t>
    </rPh>
    <rPh sb="31" eb="33">
      <t>ジョウキョウ</t>
    </rPh>
    <rPh sb="34" eb="36">
      <t>チュウシ</t>
    </rPh>
    <rPh sb="38" eb="40">
      <t>ジュコウ</t>
    </rPh>
    <rPh sb="41" eb="43">
      <t>キボウ</t>
    </rPh>
    <rPh sb="45" eb="46">
      <t>スベ</t>
    </rPh>
    <rPh sb="48" eb="50">
      <t>ガクセイ</t>
    </rPh>
    <rPh sb="51" eb="53">
      <t>リシュウ</t>
    </rPh>
    <rPh sb="53" eb="55">
      <t>トウロク</t>
    </rPh>
    <rPh sb="60" eb="62">
      <t>カイコウ</t>
    </rPh>
    <rPh sb="64" eb="65">
      <t>カズ</t>
    </rPh>
    <rPh sb="66" eb="68">
      <t>チョウセイ</t>
    </rPh>
    <rPh sb="70" eb="72">
      <t>ヨテイ</t>
    </rPh>
    <rPh sb="91" eb="92">
      <t>ム</t>
    </rPh>
    <rPh sb="107" eb="109">
      <t>イチブ</t>
    </rPh>
    <rPh sb="119" eb="122">
      <t>ヒッシュウカ</t>
    </rPh>
    <phoneticPr fontId="1"/>
  </si>
  <si>
    <r>
      <t>④のとおり、令和４年度には、学生に対して当</t>
    </r>
    <r>
      <rPr>
        <sz val="12"/>
        <rFont val="ＭＳ Ｐゴシック"/>
        <family val="3"/>
        <charset val="128"/>
        <scheme val="minor"/>
      </rPr>
      <t>プログラム科目の履修を促す情報提供を実施し、一定の効果をあげている（春学期開講科目についてはほぼ定員充足の状態）。今後は、大学公式ウェブサイトに立ち上げたデータサイエンス教育の特集ページを充実させたり、入学案内にもデータサイエンス教育に関する記事を記載することで、在学生に加えて、今後の入学予定者への訴求も高めていく。</t>
    </r>
    <rPh sb="20" eb="21">
      <t>トウ</t>
    </rPh>
    <rPh sb="82" eb="84">
      <t>ダイガク</t>
    </rPh>
    <rPh sb="93" eb="94">
      <t>タ</t>
    </rPh>
    <rPh sb="95" eb="96">
      <t>ア</t>
    </rPh>
    <rPh sb="106" eb="108">
      <t>キョウイク</t>
    </rPh>
    <rPh sb="115" eb="117">
      <t>ジュウジツ</t>
    </rPh>
    <rPh sb="122" eb="124">
      <t>ニュウガク</t>
    </rPh>
    <rPh sb="124" eb="126">
      <t>アンナイ</t>
    </rPh>
    <rPh sb="136" eb="138">
      <t>キョウイク</t>
    </rPh>
    <rPh sb="139" eb="140">
      <t>カン</t>
    </rPh>
    <rPh sb="142" eb="144">
      <t>キジ</t>
    </rPh>
    <rPh sb="145" eb="147">
      <t>キサイ</t>
    </rPh>
    <rPh sb="153" eb="156">
      <t>ザイガクセイ</t>
    </rPh>
    <rPh sb="157" eb="158">
      <t>クワ</t>
    </rPh>
    <rPh sb="161" eb="163">
      <t>コンゴ</t>
    </rPh>
    <rPh sb="164" eb="166">
      <t>ニュウガク</t>
    </rPh>
    <rPh sb="166" eb="169">
      <t>ヨテイシャ</t>
    </rPh>
    <rPh sb="171" eb="173">
      <t>ソキュウ</t>
    </rPh>
    <rPh sb="174" eb="175">
      <t>タカ</t>
    </rPh>
    <phoneticPr fontId="1"/>
  </si>
  <si>
    <t>令和３</t>
    <rPh sb="0" eb="2">
      <t>レイワ</t>
    </rPh>
    <phoneticPr fontId="1"/>
  </si>
  <si>
    <t>・現代社会におけるデータサイエンス・ＡＩの現状や役割について理解し，説明することができる。
・データサイエンスやＡＩを利活用する際の留意事項（個人情報、データ倫理など）を理解し，説明することができる。
・目的に沿って必要なデータを集め，適切に加工して分析し，グラフや図解を駆使して自分の考えを表現することができる。</t>
    <phoneticPr fontId="1"/>
  </si>
  <si>
    <t>令和３年度にはパイロットケースとして２コマ（秋学期２コマ、全て対面形式）開講していたが、一定の履修ニーズが見込めたことから、令和４年度には全学共通科目のカリキュラムとして「データサイエンスと数理」の区分を新設した上で、４コマ（春学期２コマ・秋学期２コマ、全て対面形式）開講することにした。令和５年度以降も開講コマ数を増やしていくと同時に、学内広報（新入生への講義やオリエンテーションを通じた周知、履修登録前の学生向けポータルサイト（KVC）での周知、大学公式ウェブサイトを通じたデータサイエンス教育に関する広報等）を積極的に実施し、当プログラム科目の履修者数・履修率を向上させる。加えて、履修者数の大幅な増加を目指して、オンライン形式での開講についても検討していく。</t>
    <rPh sb="0" eb="2">
      <t>レイワ</t>
    </rPh>
    <rPh sb="3" eb="5">
      <t>ネンド</t>
    </rPh>
    <rPh sb="22" eb="23">
      <t>アキ</t>
    </rPh>
    <rPh sb="23" eb="25">
      <t>ガッキ</t>
    </rPh>
    <rPh sb="29" eb="30">
      <t>スベ</t>
    </rPh>
    <rPh sb="31" eb="33">
      <t>タイメン</t>
    </rPh>
    <rPh sb="33" eb="35">
      <t>ケイシキ</t>
    </rPh>
    <rPh sb="36" eb="38">
      <t>カイコウ</t>
    </rPh>
    <rPh sb="44" eb="46">
      <t>イッテイ</t>
    </rPh>
    <rPh sb="47" eb="49">
      <t>リシュウ</t>
    </rPh>
    <rPh sb="53" eb="55">
      <t>ミコ</t>
    </rPh>
    <rPh sb="62" eb="64">
      <t>レイワ</t>
    </rPh>
    <rPh sb="65" eb="67">
      <t>ネンド</t>
    </rPh>
    <rPh sb="69" eb="71">
      <t>ゼンガク</t>
    </rPh>
    <rPh sb="71" eb="73">
      <t>キョウツウ</t>
    </rPh>
    <rPh sb="73" eb="75">
      <t>カモク</t>
    </rPh>
    <rPh sb="95" eb="97">
      <t>スウリ</t>
    </rPh>
    <rPh sb="99" eb="101">
      <t>クブン</t>
    </rPh>
    <rPh sb="102" eb="104">
      <t>シンセツ</t>
    </rPh>
    <rPh sb="106" eb="107">
      <t>ウエ</t>
    </rPh>
    <rPh sb="113" eb="114">
      <t>ハル</t>
    </rPh>
    <rPh sb="114" eb="116">
      <t>ガッキ</t>
    </rPh>
    <rPh sb="120" eb="121">
      <t>アキ</t>
    </rPh>
    <rPh sb="121" eb="123">
      <t>ガッキ</t>
    </rPh>
    <rPh sb="127" eb="128">
      <t>スベ</t>
    </rPh>
    <rPh sb="129" eb="131">
      <t>タイメン</t>
    </rPh>
    <rPh sb="131" eb="133">
      <t>ケイシキ</t>
    </rPh>
    <rPh sb="134" eb="136">
      <t>カイコウ</t>
    </rPh>
    <rPh sb="144" eb="146">
      <t>レイワ</t>
    </rPh>
    <rPh sb="147" eb="149">
      <t>ネンド</t>
    </rPh>
    <rPh sb="149" eb="151">
      <t>イコウ</t>
    </rPh>
    <rPh sb="152" eb="154">
      <t>カイコウ</t>
    </rPh>
    <rPh sb="156" eb="157">
      <t>カズ</t>
    </rPh>
    <rPh sb="158" eb="159">
      <t>フ</t>
    </rPh>
    <rPh sb="165" eb="167">
      <t>ドウジ</t>
    </rPh>
    <rPh sb="169" eb="171">
      <t>ガクナイ</t>
    </rPh>
    <rPh sb="171" eb="173">
      <t>コウホウ</t>
    </rPh>
    <rPh sb="174" eb="177">
      <t>シンニュウセイ</t>
    </rPh>
    <rPh sb="179" eb="181">
      <t>コウギ</t>
    </rPh>
    <rPh sb="192" eb="193">
      <t>ツウ</t>
    </rPh>
    <rPh sb="195" eb="197">
      <t>シュウチ</t>
    </rPh>
    <rPh sb="198" eb="200">
      <t>リシュウ</t>
    </rPh>
    <rPh sb="200" eb="202">
      <t>トウロク</t>
    </rPh>
    <rPh sb="202" eb="203">
      <t>マエ</t>
    </rPh>
    <rPh sb="204" eb="206">
      <t>ガクセイ</t>
    </rPh>
    <rPh sb="206" eb="207">
      <t>ム</t>
    </rPh>
    <rPh sb="222" eb="224">
      <t>シュウチ</t>
    </rPh>
    <rPh sb="225" eb="227">
      <t>ダイガク</t>
    </rPh>
    <rPh sb="227" eb="229">
      <t>コウシキ</t>
    </rPh>
    <rPh sb="236" eb="237">
      <t>ツウ</t>
    </rPh>
    <rPh sb="247" eb="249">
      <t>キョウイク</t>
    </rPh>
    <rPh sb="250" eb="251">
      <t>カン</t>
    </rPh>
    <rPh sb="253" eb="255">
      <t>コウホウ</t>
    </rPh>
    <rPh sb="255" eb="256">
      <t>ナド</t>
    </rPh>
    <rPh sb="258" eb="261">
      <t>セッキョクテキ</t>
    </rPh>
    <rPh sb="262" eb="264">
      <t>ジッシ</t>
    </rPh>
    <rPh sb="266" eb="267">
      <t>トウ</t>
    </rPh>
    <rPh sb="272" eb="274">
      <t>カモク</t>
    </rPh>
    <rPh sb="275" eb="277">
      <t>リシュウ</t>
    </rPh>
    <rPh sb="277" eb="278">
      <t>シャ</t>
    </rPh>
    <rPh sb="278" eb="279">
      <t>カズ</t>
    </rPh>
    <rPh sb="280" eb="283">
      <t>リシュウリツ</t>
    </rPh>
    <rPh sb="284" eb="286">
      <t>コウジョウ</t>
    </rPh>
    <rPh sb="290" eb="291">
      <t>クワ</t>
    </rPh>
    <rPh sb="294" eb="297">
      <t>リシュウシャ</t>
    </rPh>
    <rPh sb="297" eb="298">
      <t>カズ</t>
    </rPh>
    <rPh sb="299" eb="301">
      <t>オオハバ</t>
    </rPh>
    <rPh sb="302" eb="304">
      <t>ゾウカ</t>
    </rPh>
    <rPh sb="305" eb="307">
      <t>メザ</t>
    </rPh>
    <rPh sb="315" eb="317">
      <t>ケイシキ</t>
    </rPh>
    <rPh sb="319" eb="321">
      <t>カイコウ</t>
    </rPh>
    <rPh sb="326" eb="328">
      <t>ケントウ</t>
    </rPh>
    <phoneticPr fontId="1"/>
  </si>
  <si>
    <r>
      <t>当</t>
    </r>
    <r>
      <rPr>
        <sz val="12"/>
        <rFont val="ＭＳ Ｐゴシック"/>
        <family val="3"/>
        <charset val="128"/>
        <scheme val="minor"/>
      </rPr>
      <t>プログラム科目は、45名定員の少人数授業で、１名の教員と２名の学生SAにより授業運営を行っている。授業内容の理解を深めるために、異なる学部の学生同士で意見や考えを共有するアクティブ・ラーニングの手法が用いられている。また、自分が普段使い慣れたPCを教室に必携してもらい、自分で手を動かしてデータを加工・分析したり、可視化することを重要視しており、授業に参加した学生全員がデータサイエンスを楽しく学び、学期途中で脱落せずに、最後まで充実感を持って、学び通せるように工夫している。</t>
    </r>
    <rPh sb="0" eb="1">
      <t>トウ</t>
    </rPh>
    <rPh sb="6" eb="8">
      <t>カモク</t>
    </rPh>
    <rPh sb="12" eb="13">
      <t>メイ</t>
    </rPh>
    <rPh sb="13" eb="15">
      <t>テイイン</t>
    </rPh>
    <rPh sb="16" eb="19">
      <t>ショウニンズウ</t>
    </rPh>
    <rPh sb="19" eb="21">
      <t>ジュギョウ</t>
    </rPh>
    <rPh sb="24" eb="25">
      <t>メイ</t>
    </rPh>
    <rPh sb="26" eb="28">
      <t>キョウイン</t>
    </rPh>
    <rPh sb="30" eb="31">
      <t>メイ</t>
    </rPh>
    <rPh sb="32" eb="34">
      <t>ガクセイ</t>
    </rPh>
    <rPh sb="39" eb="41">
      <t>ジュギョウ</t>
    </rPh>
    <rPh sb="41" eb="43">
      <t>ウンエイ</t>
    </rPh>
    <rPh sb="44" eb="45">
      <t>オコナ</t>
    </rPh>
    <rPh sb="50" eb="52">
      <t>ジュギョウ</t>
    </rPh>
    <rPh sb="52" eb="54">
      <t>ナイヨウ</t>
    </rPh>
    <rPh sb="55" eb="57">
      <t>リカイ</t>
    </rPh>
    <rPh sb="58" eb="59">
      <t>フカ</t>
    </rPh>
    <rPh sb="65" eb="66">
      <t>コト</t>
    </rPh>
    <rPh sb="68" eb="70">
      <t>ガクブ</t>
    </rPh>
    <rPh sb="71" eb="73">
      <t>ガクセイ</t>
    </rPh>
    <rPh sb="73" eb="75">
      <t>ドウシ</t>
    </rPh>
    <rPh sb="76" eb="78">
      <t>イケン</t>
    </rPh>
    <rPh sb="79" eb="80">
      <t>カンガ</t>
    </rPh>
    <rPh sb="82" eb="84">
      <t>キョウユウ</t>
    </rPh>
    <rPh sb="98" eb="100">
      <t>シュホウ</t>
    </rPh>
    <rPh sb="101" eb="102">
      <t>モチ</t>
    </rPh>
    <rPh sb="136" eb="138">
      <t>ジブン</t>
    </rPh>
    <rPh sb="139" eb="140">
      <t>テ</t>
    </rPh>
    <rPh sb="141" eb="142">
      <t>ウゴ</t>
    </rPh>
    <rPh sb="149" eb="151">
      <t>カコウ</t>
    </rPh>
    <rPh sb="152" eb="154">
      <t>ブンセキ</t>
    </rPh>
    <rPh sb="158" eb="161">
      <t>カシカ</t>
    </rPh>
    <rPh sb="166" eb="169">
      <t>ジュウヨウシ</t>
    </rPh>
    <rPh sb="174" eb="176">
      <t>ジュギョウ</t>
    </rPh>
    <rPh sb="177" eb="179">
      <t>サンカ</t>
    </rPh>
    <rPh sb="181" eb="183">
      <t>ガクセイ</t>
    </rPh>
    <rPh sb="183" eb="185">
      <t>ゼンイン</t>
    </rPh>
    <rPh sb="195" eb="196">
      <t>タノ</t>
    </rPh>
    <rPh sb="198" eb="199">
      <t>マナ</t>
    </rPh>
    <rPh sb="201" eb="203">
      <t>ガッキ</t>
    </rPh>
    <rPh sb="203" eb="205">
      <t>トチュウ</t>
    </rPh>
    <rPh sb="206" eb="208">
      <t>ダツラク</t>
    </rPh>
    <rPh sb="212" eb="214">
      <t>サイゴ</t>
    </rPh>
    <rPh sb="216" eb="219">
      <t>ジュウジツカン</t>
    </rPh>
    <rPh sb="220" eb="221">
      <t>モ</t>
    </rPh>
    <rPh sb="224" eb="225">
      <t>マナ</t>
    </rPh>
    <rPh sb="226" eb="227">
      <t>トオ</t>
    </rPh>
    <rPh sb="232" eb="234">
      <t>クフウ</t>
    </rPh>
    <phoneticPr fontId="1"/>
  </si>
  <si>
    <r>
      <t>当</t>
    </r>
    <r>
      <rPr>
        <sz val="12"/>
        <rFont val="ＭＳ Ｐゴシック"/>
        <family val="3"/>
        <charset val="128"/>
        <scheme val="minor"/>
      </rPr>
      <t>プログラム科目の受講生は、授業時間内であれば、担当教員に加えて、２名の学生ＳＡも教室内を巡回するようにしているので随時、指導を受けたり、分からない箇所について質問ができる。また、授業時間外であれば、電子メールやMicrosoft Teamsによって、いつでも授業内容についての不明点等を質問し、授業担当教員から速やかに回答を得られるような体制となっている。</t>
    </r>
    <rPh sb="14" eb="16">
      <t>ジュギョウ</t>
    </rPh>
    <rPh sb="16" eb="19">
      <t>ジカンナイ</t>
    </rPh>
    <rPh sb="24" eb="26">
      <t>タントウ</t>
    </rPh>
    <rPh sb="26" eb="28">
      <t>キョウイン</t>
    </rPh>
    <rPh sb="29" eb="30">
      <t>クワ</t>
    </rPh>
    <rPh sb="34" eb="35">
      <t>メイ</t>
    </rPh>
    <rPh sb="36" eb="38">
      <t>ガクセイ</t>
    </rPh>
    <rPh sb="41" eb="44">
      <t>キョウシツナイ</t>
    </rPh>
    <rPh sb="45" eb="47">
      <t>ジュンカイ</t>
    </rPh>
    <rPh sb="58" eb="60">
      <t>ズイジ</t>
    </rPh>
    <rPh sb="61" eb="63">
      <t>シドウ</t>
    </rPh>
    <rPh sb="64" eb="65">
      <t>ウ</t>
    </rPh>
    <rPh sb="69" eb="70">
      <t>ワ</t>
    </rPh>
    <rPh sb="74" eb="76">
      <t>カショ</t>
    </rPh>
    <rPh sb="80" eb="82">
      <t>シツモン</t>
    </rPh>
    <rPh sb="90" eb="92">
      <t>ジュギョウ</t>
    </rPh>
    <rPh sb="92" eb="94">
      <t>ジカン</t>
    </rPh>
    <rPh sb="94" eb="95">
      <t>ソト</t>
    </rPh>
    <rPh sb="100" eb="102">
      <t>デンシ</t>
    </rPh>
    <rPh sb="130" eb="132">
      <t>ジュギョウ</t>
    </rPh>
    <rPh sb="132" eb="134">
      <t>ナイヨウ</t>
    </rPh>
    <rPh sb="139" eb="141">
      <t>フメイ</t>
    </rPh>
    <rPh sb="141" eb="142">
      <t>テン</t>
    </rPh>
    <rPh sb="142" eb="143">
      <t>ナド</t>
    </rPh>
    <rPh sb="144" eb="146">
      <t>シツモン</t>
    </rPh>
    <rPh sb="148" eb="150">
      <t>ジュギョウ</t>
    </rPh>
    <rPh sb="150" eb="152">
      <t>タントウ</t>
    </rPh>
    <rPh sb="152" eb="154">
      <t>キョウイン</t>
    </rPh>
    <rPh sb="156" eb="157">
      <t>スミ</t>
    </rPh>
    <rPh sb="160" eb="162">
      <t>カイトウ</t>
    </rPh>
    <rPh sb="163" eb="164">
      <t>エ</t>
    </rPh>
    <rPh sb="170" eb="172">
      <t>タイセイ</t>
    </rPh>
    <phoneticPr fontId="1"/>
  </si>
  <si>
    <t xml:space="preserve">・履修データを分析することにより、学部・学科等の属性や関連科目の履修登録状況を把握し、開講時間帯の調整を行った。今後も分析を継続し、より多くの学生が当プログラム科目を履修できるように対応する予定である。
・当プログラム科目に対する授業評価アンケートを実施し、担当教員による自己点検・評価を行った。その内容を全学共通教育委員会で確認し、次年度の授業計画に反映させ、PDCAサイクルを回している。また、当プログラム科目内だけの閉じたサイクル内での点検・評価に終始するのではなく、各学部のデータサイエンスやAIを専門とする教員とも連携し、各学部の専門分野との接続という観点での点検・評価も実施する予定である。
</t>
    <rPh sb="7" eb="9">
      <t>ブンセキ</t>
    </rPh>
    <rPh sb="17" eb="19">
      <t>ガクブ</t>
    </rPh>
    <rPh sb="20" eb="22">
      <t>ガッカ</t>
    </rPh>
    <rPh sb="22" eb="23">
      <t>ナド</t>
    </rPh>
    <rPh sb="24" eb="26">
      <t>ゾクセイ</t>
    </rPh>
    <rPh sb="27" eb="29">
      <t>カンレン</t>
    </rPh>
    <rPh sb="29" eb="31">
      <t>カモク</t>
    </rPh>
    <rPh sb="32" eb="34">
      <t>リシュウ</t>
    </rPh>
    <rPh sb="34" eb="36">
      <t>トウロク</t>
    </rPh>
    <rPh sb="36" eb="38">
      <t>ジョウキョウ</t>
    </rPh>
    <rPh sb="39" eb="41">
      <t>ハアク</t>
    </rPh>
    <rPh sb="43" eb="45">
      <t>カイコウ</t>
    </rPh>
    <rPh sb="45" eb="48">
      <t>ジカンタイ</t>
    </rPh>
    <rPh sb="49" eb="51">
      <t>チョウセイ</t>
    </rPh>
    <rPh sb="52" eb="53">
      <t>オコナ</t>
    </rPh>
    <rPh sb="56" eb="58">
      <t>コンゴ</t>
    </rPh>
    <rPh sb="59" eb="61">
      <t>ブンセキ</t>
    </rPh>
    <rPh sb="62" eb="64">
      <t>ケイゾク</t>
    </rPh>
    <rPh sb="68" eb="69">
      <t>オオ</t>
    </rPh>
    <rPh sb="71" eb="73">
      <t>ガクセイ</t>
    </rPh>
    <rPh sb="74" eb="75">
      <t>トウ</t>
    </rPh>
    <rPh sb="80" eb="82">
      <t>カモク</t>
    </rPh>
    <rPh sb="83" eb="85">
      <t>リシュウ</t>
    </rPh>
    <rPh sb="91" eb="93">
      <t>タイオウ</t>
    </rPh>
    <rPh sb="95" eb="97">
      <t>ヨテイ</t>
    </rPh>
    <rPh sb="104" eb="105">
      <t>トウ</t>
    </rPh>
    <rPh sb="110" eb="112">
      <t>カモク</t>
    </rPh>
    <rPh sb="113" eb="114">
      <t>タイ</t>
    </rPh>
    <rPh sb="116" eb="118">
      <t>ジュギョウ</t>
    </rPh>
    <rPh sb="118" eb="120">
      <t>ヒョウカ</t>
    </rPh>
    <rPh sb="126" eb="128">
      <t>ジッシ</t>
    </rPh>
    <rPh sb="130" eb="132">
      <t>タントウ</t>
    </rPh>
    <rPh sb="132" eb="134">
      <t>キョウイン</t>
    </rPh>
    <rPh sb="137" eb="139">
      <t>ジコ</t>
    </rPh>
    <rPh sb="139" eb="141">
      <t>テンケン</t>
    </rPh>
    <rPh sb="142" eb="144">
      <t>ヒョウカ</t>
    </rPh>
    <rPh sb="145" eb="146">
      <t>オコナ</t>
    </rPh>
    <rPh sb="151" eb="153">
      <t>ナイヨウ</t>
    </rPh>
    <rPh sb="154" eb="156">
      <t>ゼンガク</t>
    </rPh>
    <rPh sb="156" eb="158">
      <t>キョウツウ</t>
    </rPh>
    <rPh sb="158" eb="160">
      <t>キョウイク</t>
    </rPh>
    <rPh sb="160" eb="163">
      <t>イインカイ</t>
    </rPh>
    <rPh sb="164" eb="166">
      <t>カクニン</t>
    </rPh>
    <rPh sb="168" eb="171">
      <t>ジネンド</t>
    </rPh>
    <rPh sb="172" eb="174">
      <t>ジュギョウ</t>
    </rPh>
    <rPh sb="174" eb="176">
      <t>ケイカク</t>
    </rPh>
    <rPh sb="177" eb="179">
      <t>ハンエイ</t>
    </rPh>
    <rPh sb="191" eb="192">
      <t>マワ</t>
    </rPh>
    <rPh sb="196" eb="197">
      <t>トウ</t>
    </rPh>
    <rPh sb="202" eb="204">
      <t>カモク</t>
    </rPh>
    <rPh sb="204" eb="205">
      <t>ナイ</t>
    </rPh>
    <rPh sb="208" eb="209">
      <t>ト</t>
    </rPh>
    <rPh sb="215" eb="216">
      <t>ナイ</t>
    </rPh>
    <rPh sb="218" eb="220">
      <t>テンケン</t>
    </rPh>
    <rPh sb="221" eb="223">
      <t>シュウシ</t>
    </rPh>
    <rPh sb="225" eb="227">
      <t>ヒョウカ</t>
    </rPh>
    <rPh sb="234" eb="235">
      <t>カク</t>
    </rPh>
    <rPh sb="235" eb="237">
      <t>ガクブ</t>
    </rPh>
    <rPh sb="250" eb="252">
      <t>センモン</t>
    </rPh>
    <rPh sb="255" eb="257">
      <t>キョウイン</t>
    </rPh>
    <rPh sb="259" eb="261">
      <t>レンケイ</t>
    </rPh>
    <rPh sb="263" eb="264">
      <t>カク</t>
    </rPh>
    <rPh sb="264" eb="266">
      <t>ガクブ</t>
    </rPh>
    <rPh sb="267" eb="269">
      <t>センモン</t>
    </rPh>
    <rPh sb="269" eb="271">
      <t>ブンヤ</t>
    </rPh>
    <rPh sb="273" eb="275">
      <t>セツゾク</t>
    </rPh>
    <rPh sb="278" eb="280">
      <t>カンテン</t>
    </rPh>
    <rPh sb="282" eb="284">
      <t>テンケン</t>
    </rPh>
    <rPh sb="285" eb="287">
      <t>ジッシ</t>
    </rPh>
    <rPh sb="289" eb="291">
      <t>ヒョウカ</t>
    </rPh>
    <rPh sb="292" eb="294">
      <t>ヨテイ</t>
    </rPh>
    <phoneticPr fontId="1"/>
  </si>
  <si>
    <t>・本学では、次の3点を到達目標として定めている。
①現代社会におけるデータサイエンス・ＡＩの現状や役割について理解し、説明できる。
②データサイエンスやＡＩを利活用する際の留意事項（個人情報、データ倫理など）を理解し、説明できる。
③目的に沿って必要なデータを集め、適切に加工して分析し、グラフや図解を駆使して自分の考えを表現できる。
上記の達成度は、学期途中や学期末の課題等に対する総合評価（100点満点）により把握することができる。
・今後、当プログラム科目履修後に受講者がさらに他のデータサイエンス系科目に関心を持つようになったのか等もアンケート調査し、結果の推移を観察する予定である。</t>
    <rPh sb="1" eb="3">
      <t>ホンガク</t>
    </rPh>
    <rPh sb="6" eb="7">
      <t>ツギ</t>
    </rPh>
    <rPh sb="9" eb="10">
      <t>テン</t>
    </rPh>
    <rPh sb="11" eb="13">
      <t>トウタツ</t>
    </rPh>
    <rPh sb="13" eb="15">
      <t>モクヒョウ</t>
    </rPh>
    <rPh sb="18" eb="19">
      <t>サダ</t>
    </rPh>
    <rPh sb="26" eb="28">
      <t>ゲンダイ</t>
    </rPh>
    <rPh sb="168" eb="170">
      <t>ジョウキ</t>
    </rPh>
    <rPh sb="171" eb="173">
      <t>タッセイ</t>
    </rPh>
    <rPh sb="173" eb="174">
      <t>ド</t>
    </rPh>
    <rPh sb="176" eb="178">
      <t>ガッキ</t>
    </rPh>
    <rPh sb="178" eb="180">
      <t>トチュウ</t>
    </rPh>
    <rPh sb="181" eb="184">
      <t>ガッキマツ</t>
    </rPh>
    <rPh sb="185" eb="187">
      <t>カダイ</t>
    </rPh>
    <rPh sb="187" eb="188">
      <t>ナド</t>
    </rPh>
    <rPh sb="189" eb="190">
      <t>タイ</t>
    </rPh>
    <rPh sb="192" eb="194">
      <t>ソウゴウ</t>
    </rPh>
    <rPh sb="194" eb="196">
      <t>ヒョウカ</t>
    </rPh>
    <rPh sb="200" eb="201">
      <t>テン</t>
    </rPh>
    <rPh sb="201" eb="203">
      <t>マンテン</t>
    </rPh>
    <rPh sb="207" eb="209">
      <t>ハアク</t>
    </rPh>
    <rPh sb="221" eb="223">
      <t>コンゴ</t>
    </rPh>
    <rPh sb="224" eb="225">
      <t>トウ</t>
    </rPh>
    <rPh sb="230" eb="232">
      <t>カモク</t>
    </rPh>
    <rPh sb="232" eb="234">
      <t>リシュウ</t>
    </rPh>
    <rPh sb="234" eb="235">
      <t>アト</t>
    </rPh>
    <rPh sb="236" eb="239">
      <t>ジュコウシャ</t>
    </rPh>
    <rPh sb="243" eb="244">
      <t>ホカ</t>
    </rPh>
    <rPh sb="253" eb="254">
      <t>ケイ</t>
    </rPh>
    <rPh sb="254" eb="256">
      <t>カモク</t>
    </rPh>
    <rPh sb="257" eb="259">
      <t>カンシン</t>
    </rPh>
    <rPh sb="260" eb="261">
      <t>モ</t>
    </rPh>
    <rPh sb="270" eb="271">
      <t>ナド</t>
    </rPh>
    <rPh sb="277" eb="279">
      <t>チョウサ</t>
    </rPh>
    <rPh sb="281" eb="283">
      <t>ケッカ</t>
    </rPh>
    <rPh sb="284" eb="286">
      <t>スイイ</t>
    </rPh>
    <rPh sb="287" eb="289">
      <t>カンサツ</t>
    </rPh>
    <rPh sb="291" eb="293">
      <t>ヨテイ</t>
    </rPh>
    <phoneticPr fontId="1"/>
  </si>
  <si>
    <t>・受講生の授業評価アンケートを確認したところ、ポジティブなコメントが多数あったことから、当プログラム科目をまだ履修していない他の学生への推奨度は十分に高いといえる。他方で、パイロットケースとして、普段受講生が利用している端末を持参させる形（BYOD：Bring Your Own Device）で実施したため、パソコンの利用など履修環境に対する要望のコメントもあった点については、今後検討し改善する予定である。
・今後は当プログラム科目に対するアンケート項目の見直しを行い、他の学生への推奨度に関する項目を設定して、継続的にデータ収集と分析を行う予定である。</t>
    <rPh sb="1" eb="4">
      <t>ジュコウセイ</t>
    </rPh>
    <rPh sb="5" eb="7">
      <t>ジュギョウ</t>
    </rPh>
    <rPh sb="7" eb="9">
      <t>ヒョウカ</t>
    </rPh>
    <rPh sb="15" eb="17">
      <t>カクニン</t>
    </rPh>
    <rPh sb="34" eb="36">
      <t>タスウ</t>
    </rPh>
    <rPh sb="44" eb="45">
      <t>トウ</t>
    </rPh>
    <rPh sb="50" eb="52">
      <t>カモク</t>
    </rPh>
    <rPh sb="55" eb="57">
      <t>リシュウ</t>
    </rPh>
    <rPh sb="62" eb="63">
      <t>ホカ</t>
    </rPh>
    <rPh sb="64" eb="66">
      <t>ガクセイ</t>
    </rPh>
    <rPh sb="68" eb="71">
      <t>スイショウド</t>
    </rPh>
    <rPh sb="72" eb="74">
      <t>ジュウブン</t>
    </rPh>
    <rPh sb="75" eb="76">
      <t>タカ</t>
    </rPh>
    <rPh sb="82" eb="84">
      <t>タホウ</t>
    </rPh>
    <rPh sb="95" eb="96">
      <t>カン</t>
    </rPh>
    <rPh sb="98" eb="100">
      <t>キボウ</t>
    </rPh>
    <rPh sb="100" eb="102">
      <t>モンダイ</t>
    </rPh>
    <rPh sb="103" eb="105">
      <t>シテキ</t>
    </rPh>
    <rPh sb="115" eb="117">
      <t>カイゼン</t>
    </rPh>
    <rPh sb="157" eb="159">
      <t>コウモク</t>
    </rPh>
    <rPh sb="160" eb="162">
      <t>ミナオ</t>
    </rPh>
    <rPh sb="164" eb="165">
      <t>オコナ</t>
    </rPh>
    <rPh sb="167" eb="168">
      <t>ホカ</t>
    </rPh>
    <rPh sb="169" eb="170">
      <t>タイ</t>
    </rPh>
    <rPh sb="172" eb="174">
      <t>ヨウボウ</t>
    </rPh>
    <rPh sb="176" eb="178">
      <t>コウモク</t>
    </rPh>
    <rPh sb="179" eb="181">
      <t>セッテイ</t>
    </rPh>
    <rPh sb="184" eb="187">
      <t>ケイゾクテキ</t>
    </rPh>
    <rPh sb="190" eb="192">
      <t>コンゴ</t>
    </rPh>
    <rPh sb="192" eb="194">
      <t>ケントウ</t>
    </rPh>
    <rPh sb="205" eb="206">
      <t>オコナ</t>
    </rPh>
    <rPh sb="207" eb="209">
      <t>ヨテイ</t>
    </rPh>
    <phoneticPr fontId="1"/>
  </si>
  <si>
    <t>当プログラム科目に関して、本学の協力企業（通信大手企業）に対して、講義内容やテキスト等を説明し、意見を求めた。詳細は以下参照。
「広く普及しているExcel で手を動かしてインタラクティブな学習ができる構成になっているところも良いと思います。実際のビジネスの現場において難解な統計学の理論が必要になるケースは少なく、基礎的なデータの可視化（グラフやチャート作成など）や、可視化されたデータを正しく解釈することの方が重要であり、本講座はそれらの能力をバランスよく習得できる実用性の高いプログラムになっていると感じました。
（通信系企業・データサイエンス系部署グループリーダー）」</t>
    <rPh sb="0" eb="1">
      <t>トウ</t>
    </rPh>
    <rPh sb="6" eb="8">
      <t>カモク</t>
    </rPh>
    <rPh sb="9" eb="10">
      <t>カン</t>
    </rPh>
    <rPh sb="13" eb="15">
      <t>ホンガク</t>
    </rPh>
    <rPh sb="16" eb="18">
      <t>キョウリョク</t>
    </rPh>
    <rPh sb="18" eb="20">
      <t>キギョウ</t>
    </rPh>
    <rPh sb="21" eb="23">
      <t>ツウシン</t>
    </rPh>
    <rPh sb="23" eb="25">
      <t>オオテ</t>
    </rPh>
    <rPh sb="25" eb="27">
      <t>キギョウ</t>
    </rPh>
    <rPh sb="29" eb="30">
      <t>タイ</t>
    </rPh>
    <rPh sb="33" eb="35">
      <t>コウギ</t>
    </rPh>
    <rPh sb="35" eb="37">
      <t>ナイヨウ</t>
    </rPh>
    <rPh sb="42" eb="43">
      <t>ナド</t>
    </rPh>
    <rPh sb="44" eb="46">
      <t>セツメイ</t>
    </rPh>
    <rPh sb="48" eb="50">
      <t>イケン</t>
    </rPh>
    <rPh sb="51" eb="52">
      <t>モト</t>
    </rPh>
    <rPh sb="55" eb="57">
      <t>ショウサイ</t>
    </rPh>
    <rPh sb="58" eb="60">
      <t>イカ</t>
    </rPh>
    <rPh sb="60" eb="62">
      <t>サンショウ</t>
    </rPh>
    <phoneticPr fontId="1"/>
  </si>
  <si>
    <t>・「学ぶ楽しさ」を感じてもらうために、少人数の定員（45名）を設定している。さらに、異なる学部の学生同士で考えを共有するアクティブ・ラーニングの手法を用いて、特に、自分で手を動かしてデータを加工・分析・可視化することを重要視し、学生全員がデータサイエンスを最後まで充実感を持って、学び通せるように工夫している。
・「学ぶことの意義」を理解してもらうために、授業内で、データサイエンスが現在進行中の社会変化に深く寄与しており、学生達の生活と密接に結びついているということや社会で使われているデータやその活用領域が非常に広範囲であることについて、最新の事例紹介も交えて説明している。</t>
    <rPh sb="2" eb="3">
      <t>マナ</t>
    </rPh>
    <rPh sb="4" eb="5">
      <t>タノ</t>
    </rPh>
    <rPh sb="9" eb="10">
      <t>カン</t>
    </rPh>
    <rPh sb="23" eb="25">
      <t>テイイン</t>
    </rPh>
    <rPh sb="28" eb="29">
      <t>メイ</t>
    </rPh>
    <rPh sb="31" eb="33">
      <t>セッテイ</t>
    </rPh>
    <rPh sb="79" eb="80">
      <t>トク</t>
    </rPh>
    <rPh sb="159" eb="160">
      <t>マナ</t>
    </rPh>
    <rPh sb="164" eb="166">
      <t>イギ</t>
    </rPh>
    <rPh sb="168" eb="170">
      <t>リカイ</t>
    </rPh>
    <rPh sb="179" eb="181">
      <t>ジュギョウ</t>
    </rPh>
    <rPh sb="181" eb="182">
      <t>ナイ</t>
    </rPh>
    <rPh sb="193" eb="195">
      <t>ゲンザイ</t>
    </rPh>
    <rPh sb="195" eb="197">
      <t>シンコウ</t>
    </rPh>
    <rPh sb="197" eb="198">
      <t>ナカ</t>
    </rPh>
    <rPh sb="199" eb="201">
      <t>シャカイ</t>
    </rPh>
    <rPh sb="201" eb="203">
      <t>ヘンカ</t>
    </rPh>
    <rPh sb="204" eb="205">
      <t>フカ</t>
    </rPh>
    <rPh sb="206" eb="208">
      <t>キヨ</t>
    </rPh>
    <rPh sb="213" eb="215">
      <t>ガクセイ</t>
    </rPh>
    <rPh sb="215" eb="216">
      <t>タチ</t>
    </rPh>
    <rPh sb="217" eb="219">
      <t>セイカツ</t>
    </rPh>
    <rPh sb="220" eb="222">
      <t>ミッセツ</t>
    </rPh>
    <rPh sb="223" eb="224">
      <t>ムス</t>
    </rPh>
    <rPh sb="236" eb="238">
      <t>シャカイ</t>
    </rPh>
    <rPh sb="239" eb="240">
      <t>ツカ</t>
    </rPh>
    <rPh sb="251" eb="253">
      <t>カツヨウ</t>
    </rPh>
    <rPh sb="253" eb="255">
      <t>リョウイキ</t>
    </rPh>
    <rPh sb="256" eb="258">
      <t>ヒジョウ</t>
    </rPh>
    <rPh sb="259" eb="262">
      <t>コウハンイ</t>
    </rPh>
    <rPh sb="272" eb="274">
      <t>サイシン</t>
    </rPh>
    <rPh sb="275" eb="277">
      <t>ジレイ</t>
    </rPh>
    <rPh sb="277" eb="279">
      <t>ショウカイ</t>
    </rPh>
    <rPh sb="280" eb="281">
      <t>マジ</t>
    </rPh>
    <rPh sb="283" eb="285">
      <t>セツメイ</t>
    </rPh>
    <phoneticPr fontId="1"/>
  </si>
  <si>
    <t>当プログラム科目では、統計学をはじめとするデータサイエンスで利用される手法を幅広く学ぶが、それぞれの手法の数理的な理解よりも、どのような場面で分析結果が活用されるのかを学ぶことを主目的としており、高校数学の知識を前提としない学びやすい内容になっている。さらに、全学共通科目に位置付けられているが、ここで学んだ内容を各学部の専門分野に活かすことで、さらなる学びに接続して欲しいという狙いも持って、授業内容が設計されている。</t>
    <rPh sb="0" eb="1">
      <t>トウ</t>
    </rPh>
    <rPh sb="6" eb="8">
      <t>カモク</t>
    </rPh>
    <rPh sb="130" eb="132">
      <t>ゼンガク</t>
    </rPh>
    <rPh sb="180" eb="182">
      <t>セツゾク</t>
    </rPh>
    <rPh sb="184" eb="185">
      <t>ホ</t>
    </rPh>
    <rPh sb="190" eb="191">
      <t>ネラ</t>
    </rPh>
    <rPh sb="193" eb="194">
      <t>モ</t>
    </rPh>
    <rPh sb="197" eb="199">
      <t>ジュギョウ</t>
    </rPh>
    <rPh sb="199" eb="201">
      <t>ナイヨウ</t>
    </rPh>
    <rPh sb="202" eb="204">
      <t>セッケイ</t>
    </rPh>
    <phoneticPr fontId="1"/>
  </si>
  <si>
    <t>・AI、Society5.0「共通特殊講義（データサイエンス概論）」（２回目）</t>
    <phoneticPr fontId="1"/>
  </si>
  <si>
    <t>・AI最新技術の活用例「共通特殊講義（データサイエンス概論）」（２回目）</t>
    <rPh sb="3" eb="5">
      <t>サイシン</t>
    </rPh>
    <rPh sb="5" eb="7">
      <t>ギジュツ</t>
    </rPh>
    <rPh sb="8" eb="10">
      <t>カツヨウ</t>
    </rPh>
    <rPh sb="10" eb="11">
      <t>レイ</t>
    </rPh>
    <phoneticPr fontId="1"/>
  </si>
  <si>
    <t>・構造化データ、非構造化データ「共通特殊講義（データサイエンス概論）」（３回目）</t>
    <rPh sb="1" eb="4">
      <t>コウゾウカ</t>
    </rPh>
    <rPh sb="8" eb="9">
      <t>ヒ</t>
    </rPh>
    <rPh sb="9" eb="12">
      <t>コウゾウカ</t>
    </rPh>
    <phoneticPr fontId="1"/>
  </si>
  <si>
    <t>・データ・AI活用領域の広がり「共通特殊講義（データサイエンス概論）」（２回目）</t>
    <rPh sb="7" eb="9">
      <t>カツヨウ</t>
    </rPh>
    <rPh sb="9" eb="11">
      <t>リョウイキ</t>
    </rPh>
    <rPh sb="12" eb="13">
      <t>ヒロ</t>
    </rPh>
    <phoneticPr fontId="1"/>
  </si>
  <si>
    <t>・非構造化データ処理「共通特殊講義（データサイエンス概論）」（３回目）</t>
    <rPh sb="1" eb="2">
      <t>ヒ</t>
    </rPh>
    <rPh sb="2" eb="4">
      <t>コウゾウ</t>
    </rPh>
    <rPh sb="4" eb="5">
      <t>カ</t>
    </rPh>
    <rPh sb="8" eb="10">
      <t>ショリ</t>
    </rPh>
    <phoneticPr fontId="1"/>
  </si>
  <si>
    <t>・データサイエンスのサイクル「共通特殊講義（データサイエンス概論）」（８回目）</t>
    <phoneticPr fontId="1"/>
  </si>
  <si>
    <t>・個人情報保護「共通特殊講義（データサイエンス概論）」（４回目）</t>
    <rPh sb="1" eb="3">
      <t>コジン</t>
    </rPh>
    <rPh sb="3" eb="5">
      <t>ジョウホウ</t>
    </rPh>
    <rPh sb="5" eb="7">
      <t>ホゴ</t>
    </rPh>
    <phoneticPr fontId="1"/>
  </si>
  <si>
    <t>・情報セキュリティ「共通特殊講義（データサイエンス概論）」（４回目）</t>
    <rPh sb="1" eb="3">
      <t>ジョウホウ</t>
    </rPh>
    <phoneticPr fontId="1"/>
  </si>
  <si>
    <t>・データの集計「共通特殊講義（データサイエンス概論）」（５回目、６回目）</t>
    <rPh sb="5" eb="7">
      <t>シュウケイ</t>
    </rPh>
    <phoneticPr fontId="1"/>
  </si>
  <si>
    <t>プログラムを構成する科目「共通特殊講義（データサイエンス概論）」（２単位）を修得すること。
（令和４年度からは「データサイエンス概論」（２単位）に科目名が変更されている。）</t>
    <rPh sb="6" eb="8">
      <t>コウセイ</t>
    </rPh>
    <rPh sb="10" eb="12">
      <t>カモク</t>
    </rPh>
    <rPh sb="34" eb="36">
      <t>タンイ</t>
    </rPh>
    <rPh sb="38" eb="40">
      <t>シュウトク</t>
    </rPh>
    <rPh sb="47" eb="49">
      <t>レイワ</t>
    </rPh>
    <rPh sb="50" eb="52">
      <t>ネンド</t>
    </rPh>
    <rPh sb="64" eb="66">
      <t>ガイロン</t>
    </rPh>
    <rPh sb="69" eb="71">
      <t>タンイ</t>
    </rPh>
    <rPh sb="73" eb="75">
      <t>カモク</t>
    </rPh>
    <rPh sb="75" eb="76">
      <t>メイ</t>
    </rPh>
    <rPh sb="77" eb="79">
      <t>ヘンコウ</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</si>
</sst>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_ "/>
  </numFmts>
  <fonts count="23"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2"/>
      <charset val="128"/>
      <scheme val="minor"/>
    </font>
    <font>
      <sz val="12"/>
      <color theme="1"/>
      <name val="ＭＳ Ｐゴシック"/>
      <family val="3"/>
      <charset val="128"/>
      <scheme val="minor"/>
    </font>
    <font>
      <sz val="9"/>
      <color theme="1"/>
      <name val="ＭＳ Ｐゴシック"/>
      <family val="2"/>
      <charset val="128"/>
      <scheme val="minor"/>
    </font>
    <font>
      <sz val="9"/>
      <color theme="1"/>
      <name val="ＭＳ Ｐゴシック"/>
      <family val="3"/>
      <charset val="128"/>
      <scheme val="minor"/>
    </font>
    <font>
      <sz val="11"/>
      <color theme="1"/>
      <name val="ＭＳ Ｐゴシック"/>
      <family val="2"/>
      <charset val="128"/>
      <scheme val="minor"/>
    </font>
    <font>
      <u/>
      <sz val="11"/>
      <color theme="10"/>
      <name val="ＭＳ Ｐゴシック"/>
      <family val="2"/>
      <charset val="128"/>
      <scheme val="minor"/>
    </font>
    <font>
      <sz val="12"/>
      <name val="ＭＳ Ｐゴシック"/>
      <family val="3"/>
      <charset val="128"/>
      <scheme val="minor"/>
    </font>
    <font>
      <sz val="12"/>
      <name val="ＭＳ Ｐゴシック"/>
      <family val="2"/>
      <charset val="128"/>
      <scheme val="minor"/>
    </font>
    <font>
      <sz val="12"/>
      <color rgb="FFFF0000"/>
      <name val="ＭＳ Ｐゴシック"/>
      <family val="2"/>
      <charset val="128"/>
      <scheme val="minor"/>
    </font>
    <font>
      <sz val="9"/>
      <color rgb="FFFF0000"/>
      <name val="ＭＳ Ｐゴシック"/>
      <family val="3"/>
      <charset val="128"/>
      <scheme val="minor"/>
    </font>
    <font>
      <sz val="11"/>
      <color theme="1"/>
      <name val="ＭＳ Ｐゴシック"/>
      <family val="3"/>
      <charset val="128"/>
      <scheme val="minor"/>
    </font>
    <font>
      <sz val="13"/>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14"/>
      <name val="ＭＳ Ｐゴシック"/>
      <family val="3"/>
      <charset val="128"/>
      <scheme val="minor"/>
    </font>
    <font>
      <sz val="9"/>
      <name val="ＭＳ Ｐゴシック"/>
      <family val="3"/>
      <charset val="128"/>
      <scheme val="minor"/>
    </font>
    <font>
      <sz val="11"/>
      <name val="ＭＳ Ｐゴシック"/>
      <family val="2"/>
      <charset val="128"/>
      <scheme val="minor"/>
    </font>
    <font>
      <sz val="11"/>
      <name val="ＭＳ Ｐゴシック"/>
      <family val="3"/>
      <charset val="128"/>
      <scheme val="minor"/>
    </font>
    <font>
      <sz val="8"/>
      <name val="ＭＳ Ｐゴシック"/>
      <family val="3"/>
      <charset val="128"/>
      <scheme val="minor"/>
    </font>
    <font>
      <u/>
      <sz val="11"/>
      <color rgb="FFFF0000"/>
      <name val="ＭＳ Ｐゴシック"/>
      <family val="3"/>
      <charset val="128"/>
      <scheme val="minor"/>
    </font>
  </fonts>
  <fills count="2">
    <fill>
      <patternFill patternType="none"/>
    </fill>
    <fill>
      <patternFill patternType="gray125"/>
    </fill>
  </fills>
  <borders count="5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style="hair">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s>
  <cellStyleXfs count="3">
    <xf numFmtId="0" fontId="0" fillId="0" borderId="0">
      <alignment vertical="center"/>
    </xf>
    <xf numFmtId="38" fontId="6" fillId="0" borderId="0" applyFont="0" applyFill="0" applyBorder="0" applyAlignment="0" applyProtection="0">
      <alignment vertical="center"/>
    </xf>
    <xf numFmtId="0" fontId="7" fillId="0" borderId="0" applyNumberFormat="0" applyFill="0" applyBorder="0" applyAlignment="0" applyProtection="0">
      <alignment vertical="center"/>
    </xf>
  </cellStyleXfs>
  <cellXfs count="310">
    <xf numFmtId="0" fontId="0" fillId="0" borderId="0" xfId="0">
      <alignment vertical="center"/>
    </xf>
    <xf numFmtId="0" fontId="2" fillId="0" borderId="0" xfId="0" applyFont="1">
      <alignment vertical="center"/>
    </xf>
    <xf numFmtId="0" fontId="4" fillId="0" borderId="0" xfId="0" applyFont="1">
      <alignment vertical="center"/>
    </xf>
    <xf numFmtId="0" fontId="2" fillId="0" borderId="5" xfId="0" applyFont="1" applyBorder="1">
      <alignment vertical="center"/>
    </xf>
    <xf numFmtId="0" fontId="3" fillId="0" borderId="0" xfId="0" applyFont="1">
      <alignment vertical="center"/>
    </xf>
    <xf numFmtId="0" fontId="5" fillId="0" borderId="10" xfId="0" applyFont="1" applyBorder="1" applyAlignment="1">
      <alignment vertical="top" wrapText="1"/>
    </xf>
    <xf numFmtId="0" fontId="4" fillId="0" borderId="5" xfId="0" applyFont="1" applyBorder="1" applyAlignment="1">
      <alignment vertical="top" wrapText="1"/>
    </xf>
    <xf numFmtId="0" fontId="4" fillId="0" borderId="10" xfId="0" applyFont="1" applyBorder="1" applyAlignment="1">
      <alignment vertical="top" wrapText="1"/>
    </xf>
    <xf numFmtId="0" fontId="4" fillId="0" borderId="18" xfId="0" applyFont="1" applyBorder="1" applyAlignment="1">
      <alignment vertical="top" wrapText="1"/>
    </xf>
    <xf numFmtId="0" fontId="2" fillId="0" borderId="16" xfId="0" applyFont="1" applyBorder="1">
      <alignment vertical="center"/>
    </xf>
    <xf numFmtId="176" fontId="8" fillId="0" borderId="0" xfId="0" applyNumberFormat="1" applyFont="1" applyBorder="1">
      <alignment vertical="center"/>
    </xf>
    <xf numFmtId="176" fontId="8" fillId="0" borderId="3" xfId="0" applyNumberFormat="1" applyFont="1" applyBorder="1" applyAlignment="1">
      <alignment vertical="center" shrinkToFit="1"/>
    </xf>
    <xf numFmtId="0" fontId="8" fillId="0" borderId="0" xfId="0" applyFont="1" applyBorder="1" applyAlignment="1">
      <alignment horizontal="center" vertical="center" shrinkToFit="1"/>
    </xf>
    <xf numFmtId="0" fontId="9" fillId="0" borderId="0" xfId="0" applyFont="1">
      <alignment vertical="center"/>
    </xf>
    <xf numFmtId="0" fontId="8" fillId="0" borderId="0" xfId="0" applyFont="1">
      <alignment vertical="center"/>
    </xf>
    <xf numFmtId="0" fontId="8" fillId="0" borderId="0" xfId="0" applyFont="1" applyAlignment="1">
      <alignment vertical="center"/>
    </xf>
    <xf numFmtId="0" fontId="8" fillId="0" borderId="0" xfId="0" applyFont="1" applyAlignment="1">
      <alignment horizontal="left" vertical="center"/>
    </xf>
    <xf numFmtId="0" fontId="8" fillId="0" borderId="0" xfId="0" applyFont="1" applyBorder="1" applyAlignment="1">
      <alignment vertical="center"/>
    </xf>
    <xf numFmtId="0" fontId="8" fillId="0" borderId="5" xfId="0" applyFont="1" applyBorder="1">
      <alignment vertical="center"/>
    </xf>
    <xf numFmtId="176" fontId="8" fillId="0" borderId="0" xfId="0" applyNumberFormat="1" applyFont="1" applyBorder="1" applyAlignment="1">
      <alignment vertical="center" wrapText="1"/>
    </xf>
    <xf numFmtId="0" fontId="8" fillId="0" borderId="0" xfId="0" applyFont="1" applyBorder="1">
      <alignment vertical="center"/>
    </xf>
    <xf numFmtId="176" fontId="8" fillId="0" borderId="5" xfId="0" applyNumberFormat="1" applyFont="1" applyBorder="1" applyAlignment="1">
      <alignment vertical="center"/>
    </xf>
    <xf numFmtId="176" fontId="8" fillId="0" borderId="0" xfId="0" applyNumberFormat="1" applyFont="1" applyAlignment="1">
      <alignment vertical="center" wrapText="1"/>
    </xf>
    <xf numFmtId="176" fontId="8" fillId="0" borderId="0" xfId="0" applyNumberFormat="1" applyFont="1" applyAlignment="1">
      <alignment horizontal="left" vertical="center" wrapText="1"/>
    </xf>
    <xf numFmtId="0" fontId="8" fillId="0" borderId="6" xfId="0" applyFont="1" applyBorder="1" applyAlignment="1">
      <alignment vertical="center" shrinkToFit="1"/>
    </xf>
    <xf numFmtId="0" fontId="8" fillId="0" borderId="1" xfId="0" applyFont="1" applyBorder="1">
      <alignment vertical="center"/>
    </xf>
    <xf numFmtId="0" fontId="8" fillId="0" borderId="2" xfId="0" applyFont="1" applyBorder="1">
      <alignment vertical="center"/>
    </xf>
    <xf numFmtId="0" fontId="8" fillId="0" borderId="4" xfId="0" applyFont="1" applyBorder="1">
      <alignment vertical="center"/>
    </xf>
    <xf numFmtId="0" fontId="4" fillId="0" borderId="20" xfId="0" applyFont="1" applyBorder="1" applyAlignment="1">
      <alignment vertical="top" wrapText="1"/>
    </xf>
    <xf numFmtId="0" fontId="8" fillId="0" borderId="0" xfId="0" applyFont="1" applyAlignment="1">
      <alignment horizontal="center" vertical="center"/>
    </xf>
    <xf numFmtId="0" fontId="8" fillId="0" borderId="1" xfId="0" applyFont="1" applyBorder="1" applyAlignment="1">
      <alignment vertical="center" shrinkToFit="1"/>
    </xf>
    <xf numFmtId="0" fontId="10" fillId="0" borderId="0" xfId="0" applyFont="1">
      <alignment vertical="center"/>
    </xf>
    <xf numFmtId="0" fontId="11" fillId="0" borderId="20" xfId="0" applyFont="1" applyBorder="1" applyAlignment="1">
      <alignment vertical="top" shrinkToFit="1"/>
    </xf>
    <xf numFmtId="0" fontId="11" fillId="0" borderId="18" xfId="0" applyFont="1" applyBorder="1" applyAlignment="1">
      <alignment vertical="top" shrinkToFit="1"/>
    </xf>
    <xf numFmtId="0" fontId="12" fillId="0" borderId="0" xfId="0" applyFont="1">
      <alignment vertical="center"/>
    </xf>
    <xf numFmtId="0" fontId="10" fillId="0" borderId="0" xfId="0" applyFont="1" applyAlignment="1">
      <alignment vertical="center"/>
    </xf>
    <xf numFmtId="0" fontId="8" fillId="0" borderId="0" xfId="0" applyFont="1" applyBorder="1" applyAlignment="1">
      <alignment horizontal="center" vertical="center"/>
    </xf>
    <xf numFmtId="0" fontId="8" fillId="0" borderId="0" xfId="0" applyFont="1" applyBorder="1" applyAlignment="1">
      <alignment vertical="center" shrinkToFit="1"/>
    </xf>
    <xf numFmtId="0" fontId="3" fillId="0" borderId="0" xfId="0" applyFont="1" applyAlignment="1">
      <alignment horizontal="center" vertical="center"/>
    </xf>
    <xf numFmtId="0" fontId="4" fillId="0" borderId="0" xfId="0" applyFont="1" applyAlignment="1">
      <alignment vertical="top" wrapText="1"/>
    </xf>
    <xf numFmtId="0" fontId="5" fillId="0" borderId="0" xfId="0" applyFont="1" applyAlignment="1">
      <alignment vertical="top" wrapText="1"/>
    </xf>
    <xf numFmtId="0" fontId="2" fillId="0" borderId="0" xfId="0" applyFont="1" applyAlignment="1">
      <alignment horizontal="right" vertical="center"/>
    </xf>
    <xf numFmtId="0" fontId="14" fillId="0" borderId="0" xfId="0" applyFont="1" applyAlignment="1">
      <alignment horizontal="center" vertical="center"/>
    </xf>
    <xf numFmtId="0" fontId="16" fillId="0" borderId="11" xfId="0" applyFont="1" applyBorder="1" applyAlignment="1">
      <alignment horizontal="center" vertical="center"/>
    </xf>
    <xf numFmtId="0" fontId="16" fillId="0" borderId="29" xfId="0" applyFont="1" applyBorder="1" applyAlignment="1">
      <alignment horizontal="center" vertical="center" wrapText="1"/>
    </xf>
    <xf numFmtId="0" fontId="16" fillId="0" borderId="30" xfId="0" applyFont="1" applyBorder="1" applyAlignment="1">
      <alignment horizontal="center" vertical="center"/>
    </xf>
    <xf numFmtId="0" fontId="16" fillId="0" borderId="12" xfId="0" applyFont="1" applyBorder="1" applyAlignment="1">
      <alignment horizontal="center" vertical="center" wrapText="1"/>
    </xf>
    <xf numFmtId="0" fontId="3" fillId="0" borderId="0" xfId="0" applyFont="1" applyAlignment="1">
      <alignment vertical="center" shrinkToFit="1"/>
    </xf>
    <xf numFmtId="0" fontId="3" fillId="0" borderId="5" xfId="0" applyFont="1" applyBorder="1" applyAlignment="1">
      <alignment vertical="center" shrinkToFit="1"/>
    </xf>
    <xf numFmtId="176" fontId="3" fillId="0" borderId="5" xfId="0" applyNumberFormat="1" applyFont="1" applyBorder="1" applyAlignment="1">
      <alignment vertical="center" shrinkToFit="1"/>
    </xf>
    <xf numFmtId="176" fontId="3" fillId="0" borderId="31" xfId="0" applyNumberFormat="1" applyFont="1" applyBorder="1" applyAlignment="1">
      <alignment vertical="center" shrinkToFit="1"/>
    </xf>
    <xf numFmtId="176" fontId="3" fillId="0" borderId="32" xfId="0" applyNumberFormat="1" applyFont="1" applyBorder="1" applyAlignment="1">
      <alignment vertical="center" shrinkToFit="1"/>
    </xf>
    <xf numFmtId="176" fontId="3" fillId="0" borderId="10" xfId="0" applyNumberFormat="1" applyFont="1" applyBorder="1" applyAlignment="1">
      <alignment vertical="center" shrinkToFit="1"/>
    </xf>
    <xf numFmtId="176" fontId="3" fillId="0" borderId="14" xfId="0" applyNumberFormat="1" applyFont="1" applyBorder="1" applyAlignment="1">
      <alignment vertical="center" shrinkToFit="1"/>
    </xf>
    <xf numFmtId="9" fontId="3" fillId="0" borderId="10" xfId="0" applyNumberFormat="1" applyFont="1" applyBorder="1" applyAlignment="1">
      <alignment vertical="center" shrinkToFit="1"/>
    </xf>
    <xf numFmtId="0" fontId="3" fillId="0" borderId="18" xfId="0" applyFont="1" applyBorder="1" applyAlignment="1">
      <alignment vertical="center" shrinkToFit="1"/>
    </xf>
    <xf numFmtId="0" fontId="3" fillId="0" borderId="19" xfId="0" applyFont="1" applyBorder="1" applyAlignment="1">
      <alignment vertical="center" shrinkToFit="1"/>
    </xf>
    <xf numFmtId="176" fontId="3" fillId="0" borderId="19" xfId="0" applyNumberFormat="1" applyFont="1" applyBorder="1" applyAlignment="1">
      <alignment vertical="center" shrinkToFit="1"/>
    </xf>
    <xf numFmtId="176" fontId="3" fillId="0" borderId="33" xfId="0" applyNumberFormat="1" applyFont="1" applyBorder="1" applyAlignment="1">
      <alignment vertical="center" shrinkToFit="1"/>
    </xf>
    <xf numFmtId="176" fontId="3" fillId="0" borderId="34" xfId="0" applyNumberFormat="1" applyFont="1" applyBorder="1" applyAlignment="1">
      <alignment vertical="center" shrinkToFit="1"/>
    </xf>
    <xf numFmtId="176" fontId="3" fillId="0" borderId="18" xfId="0" applyNumberFormat="1" applyFont="1" applyBorder="1" applyAlignment="1">
      <alignment vertical="center" shrinkToFit="1"/>
    </xf>
    <xf numFmtId="176" fontId="3" fillId="0" borderId="23" xfId="0" applyNumberFormat="1" applyFont="1" applyBorder="1" applyAlignment="1">
      <alignment vertical="center" shrinkToFit="1"/>
    </xf>
    <xf numFmtId="9" fontId="3" fillId="0" borderId="23" xfId="0" applyNumberFormat="1" applyFont="1" applyBorder="1" applyAlignment="1">
      <alignment vertical="center" shrinkToFit="1"/>
    </xf>
    <xf numFmtId="0" fontId="3" fillId="0" borderId="20" xfId="0" applyFont="1" applyBorder="1" applyAlignment="1">
      <alignment vertical="center" shrinkToFit="1"/>
    </xf>
    <xf numFmtId="176" fontId="3" fillId="0" borderId="24" xfId="0" applyNumberFormat="1" applyFont="1" applyBorder="1" applyAlignment="1">
      <alignment vertical="center" shrinkToFit="1"/>
    </xf>
    <xf numFmtId="0" fontId="3" fillId="0" borderId="25" xfId="0" applyFont="1" applyBorder="1" applyAlignment="1">
      <alignment vertical="center" shrinkToFit="1"/>
    </xf>
    <xf numFmtId="176" fontId="3" fillId="0" borderId="25" xfId="0" applyNumberFormat="1" applyFont="1" applyBorder="1" applyAlignment="1">
      <alignment vertical="center" shrinkToFit="1"/>
    </xf>
    <xf numFmtId="176" fontId="3" fillId="0" borderId="35" xfId="0" applyNumberFormat="1" applyFont="1" applyBorder="1" applyAlignment="1">
      <alignment vertical="center" shrinkToFit="1"/>
    </xf>
    <xf numFmtId="176" fontId="3" fillId="0" borderId="36" xfId="0" applyNumberFormat="1" applyFont="1" applyBorder="1" applyAlignment="1">
      <alignment vertical="center" shrinkToFit="1"/>
    </xf>
    <xf numFmtId="176" fontId="3" fillId="0" borderId="27" xfId="0" applyNumberFormat="1" applyFont="1" applyBorder="1" applyAlignment="1">
      <alignment vertical="center" shrinkToFit="1"/>
    </xf>
    <xf numFmtId="176" fontId="3" fillId="0" borderId="28" xfId="0" applyNumberFormat="1" applyFont="1" applyBorder="1" applyAlignment="1">
      <alignment vertical="center" shrinkToFit="1"/>
    </xf>
    <xf numFmtId="9" fontId="3" fillId="0" borderId="27" xfId="0" applyNumberFormat="1" applyFont="1" applyBorder="1" applyAlignment="1">
      <alignment vertical="center" shrinkToFit="1"/>
    </xf>
    <xf numFmtId="0" fontId="8" fillId="0" borderId="0" xfId="0" applyFont="1" applyBorder="1" applyAlignment="1">
      <alignment vertical="center" shrinkToFit="1"/>
    </xf>
    <xf numFmtId="0" fontId="8" fillId="0" borderId="0" xfId="0" applyFont="1" applyFill="1">
      <alignment vertical="center"/>
    </xf>
    <xf numFmtId="0" fontId="8" fillId="0" borderId="10" xfId="0" applyFont="1" applyBorder="1" applyAlignment="1">
      <alignment vertical="center" shrinkToFit="1"/>
    </xf>
    <xf numFmtId="49" fontId="18" fillId="0" borderId="1" xfId="0" applyNumberFormat="1" applyFont="1" applyBorder="1" applyAlignment="1">
      <alignment horizontal="center" vertical="center"/>
    </xf>
    <xf numFmtId="0" fontId="8" fillId="0" borderId="0" xfId="0" applyFont="1" applyAlignment="1">
      <alignment vertical="center" shrinkToFit="1"/>
    </xf>
    <xf numFmtId="0" fontId="8" fillId="0" borderId="0" xfId="0" applyFont="1" applyAlignment="1">
      <alignment vertical="top" wrapText="1"/>
    </xf>
    <xf numFmtId="0" fontId="9" fillId="0" borderId="2" xfId="0" applyFont="1" applyBorder="1">
      <alignment vertical="center"/>
    </xf>
    <xf numFmtId="0" fontId="9" fillId="0" borderId="4" xfId="0" applyFont="1" applyBorder="1">
      <alignment vertical="center"/>
    </xf>
    <xf numFmtId="49" fontId="18" fillId="0" borderId="47" xfId="0" applyNumberFormat="1" applyFont="1" applyBorder="1" applyAlignment="1">
      <alignment horizontal="center" vertical="center"/>
    </xf>
    <xf numFmtId="49" fontId="18" fillId="0" borderId="33" xfId="0" applyNumberFormat="1" applyFont="1" applyBorder="1" applyAlignment="1">
      <alignment horizontal="center" vertical="center"/>
    </xf>
    <xf numFmtId="49" fontId="18" fillId="0" borderId="50" xfId="0" applyNumberFormat="1" applyFont="1" applyBorder="1" applyAlignment="1">
      <alignment horizontal="center" vertical="center"/>
    </xf>
    <xf numFmtId="0" fontId="8" fillId="0" borderId="44" xfId="0" applyFont="1" applyBorder="1" applyAlignment="1">
      <alignment horizontal="center" vertical="center" shrinkToFit="1"/>
    </xf>
    <xf numFmtId="0" fontId="8" fillId="0" borderId="45" xfId="0" applyFont="1" applyBorder="1" applyAlignment="1">
      <alignment horizontal="center" vertical="center" shrinkToFit="1"/>
    </xf>
    <xf numFmtId="49" fontId="18" fillId="0" borderId="51" xfId="0" applyNumberFormat="1" applyFont="1" applyBorder="1" applyAlignment="1">
      <alignment horizontal="center" vertical="center"/>
    </xf>
    <xf numFmtId="0" fontId="3" fillId="0" borderId="0" xfId="0" applyFont="1" applyAlignment="1">
      <alignment horizontal="left" vertical="center"/>
    </xf>
    <xf numFmtId="0" fontId="3" fillId="0" borderId="14" xfId="0" applyFont="1" applyBorder="1" applyAlignment="1">
      <alignment horizontal="left" vertical="center" shrinkToFit="1"/>
    </xf>
    <xf numFmtId="0" fontId="3" fillId="0" borderId="23" xfId="0" applyFont="1" applyBorder="1" applyAlignment="1">
      <alignment horizontal="left" vertical="center" shrinkToFit="1"/>
    </xf>
    <xf numFmtId="0" fontId="3" fillId="0" borderId="24" xfId="0" applyFont="1" applyBorder="1" applyAlignment="1">
      <alignment horizontal="left" vertical="center" shrinkToFit="1"/>
    </xf>
    <xf numFmtId="0" fontId="3" fillId="0" borderId="10" xfId="0" applyFont="1" applyBorder="1" applyAlignment="1">
      <alignment vertical="center" shrinkToFit="1"/>
    </xf>
    <xf numFmtId="0" fontId="3" fillId="0" borderId="28" xfId="0" applyFont="1" applyBorder="1" applyAlignment="1">
      <alignment horizontal="center" vertical="center" shrinkToFit="1"/>
    </xf>
    <xf numFmtId="0" fontId="3" fillId="0" borderId="26" xfId="0" applyFont="1" applyBorder="1" applyAlignment="1">
      <alignment vertical="center" shrinkToFit="1"/>
    </xf>
    <xf numFmtId="0" fontId="3" fillId="0" borderId="0" xfId="0" applyFont="1" applyAlignment="1">
      <alignment vertical="top" wrapText="1"/>
    </xf>
    <xf numFmtId="0" fontId="3" fillId="0" borderId="0" xfId="0" applyFont="1" applyAlignment="1">
      <alignment vertical="center" wrapText="1"/>
    </xf>
    <xf numFmtId="0" fontId="8" fillId="0" borderId="7" xfId="0" applyFont="1" applyBorder="1" applyAlignment="1">
      <alignment horizontal="center" vertical="center" wrapText="1" shrinkToFit="1"/>
    </xf>
    <xf numFmtId="9" fontId="8" fillId="0" borderId="8" xfId="0" applyNumberFormat="1" applyFont="1" applyBorder="1" applyAlignment="1">
      <alignment horizontal="center" vertical="center" wrapText="1" shrinkToFit="1"/>
    </xf>
    <xf numFmtId="0" fontId="8" fillId="0" borderId="8" xfId="0" applyFont="1" applyBorder="1" applyAlignment="1">
      <alignment horizontal="center" vertical="center" wrapText="1" shrinkToFit="1"/>
    </xf>
    <xf numFmtId="9" fontId="8" fillId="0" borderId="8" xfId="0" applyNumberFormat="1" applyFont="1" applyBorder="1" applyAlignment="1">
      <alignment horizontal="center" vertical="center" shrinkToFit="1"/>
    </xf>
    <xf numFmtId="0" fontId="8" fillId="0" borderId="9" xfId="0" applyFont="1" applyBorder="1" applyAlignment="1">
      <alignment horizontal="center" vertical="center" shrinkToFit="1"/>
    </xf>
    <xf numFmtId="9" fontId="8" fillId="0" borderId="45" xfId="0" applyNumberFormat="1" applyFont="1" applyBorder="1" applyAlignment="1">
      <alignment horizontal="center" vertical="center" shrinkToFit="1"/>
    </xf>
    <xf numFmtId="176" fontId="8" fillId="0" borderId="45" xfId="0" applyNumberFormat="1" applyFont="1" applyBorder="1" applyAlignment="1">
      <alignment horizontal="center" vertical="center" shrinkToFit="1"/>
    </xf>
    <xf numFmtId="0" fontId="8" fillId="0" borderId="46" xfId="0" applyFont="1" applyBorder="1" applyAlignment="1">
      <alignment horizontal="center" vertical="center" shrinkToFit="1"/>
    </xf>
    <xf numFmtId="0" fontId="2" fillId="0" borderId="0" xfId="0" applyFont="1" applyAlignment="1">
      <alignment vertical="center" wrapText="1"/>
    </xf>
    <xf numFmtId="0" fontId="4" fillId="0" borderId="0" xfId="0" applyFont="1" applyAlignment="1">
      <alignment vertical="top" shrinkToFit="1"/>
    </xf>
    <xf numFmtId="0" fontId="4" fillId="0" borderId="0" xfId="0" applyFont="1" applyAlignment="1">
      <alignment vertical="center" wrapText="1"/>
    </xf>
    <xf numFmtId="0" fontId="2" fillId="0" borderId="0" xfId="0" applyFont="1" applyAlignment="1">
      <alignment vertical="top" wrapText="1"/>
    </xf>
    <xf numFmtId="0" fontId="8" fillId="0" borderId="2" xfId="0" applyFont="1" applyBorder="1" applyAlignment="1">
      <alignment vertical="center"/>
    </xf>
    <xf numFmtId="0" fontId="8" fillId="0" borderId="3" xfId="0" applyFont="1" applyBorder="1" applyAlignment="1">
      <alignment vertical="center"/>
    </xf>
    <xf numFmtId="0" fontId="8" fillId="0" borderId="4" xfId="0" applyFont="1" applyBorder="1" applyAlignment="1">
      <alignment vertical="center"/>
    </xf>
    <xf numFmtId="49" fontId="18" fillId="0" borderId="52" xfId="0" applyNumberFormat="1" applyFont="1" applyBorder="1" applyAlignment="1">
      <alignment horizontal="center" vertical="center"/>
    </xf>
    <xf numFmtId="49" fontId="18" fillId="0" borderId="29" xfId="0" applyNumberFormat="1" applyFont="1" applyBorder="1" applyAlignment="1">
      <alignment horizontal="center" vertical="center"/>
    </xf>
    <xf numFmtId="0" fontId="21" fillId="0" borderId="4" xfId="0" applyFont="1" applyBorder="1" applyAlignment="1">
      <alignment horizontal="center" vertical="center" shrinkToFit="1"/>
    </xf>
    <xf numFmtId="0" fontId="8" fillId="0" borderId="14" xfId="0" applyFont="1" applyBorder="1" applyAlignment="1">
      <alignment horizontal="center" vertical="center" shrinkToFit="1"/>
    </xf>
    <xf numFmtId="0" fontId="8" fillId="0" borderId="23" xfId="0" applyFont="1" applyBorder="1" applyAlignment="1">
      <alignment horizontal="center" vertical="center" shrinkToFit="1"/>
    </xf>
    <xf numFmtId="0" fontId="8" fillId="0" borderId="13" xfId="0" applyFont="1" applyBorder="1" applyAlignment="1">
      <alignment horizontal="center" vertical="center" shrinkToFit="1"/>
    </xf>
    <xf numFmtId="0" fontId="3" fillId="0" borderId="0" xfId="0" applyFont="1" applyBorder="1" applyAlignment="1">
      <alignment vertical="center" shrinkToFit="1"/>
    </xf>
    <xf numFmtId="0" fontId="8" fillId="0" borderId="1" xfId="0" applyFont="1" applyBorder="1" applyAlignment="1">
      <alignment horizontal="center" vertical="center" shrinkToFit="1"/>
    </xf>
    <xf numFmtId="0" fontId="8" fillId="0" borderId="18" xfId="0" applyFont="1" applyBorder="1" applyAlignment="1">
      <alignment horizontal="center" vertical="center"/>
    </xf>
    <xf numFmtId="0" fontId="8" fillId="0" borderId="42" xfId="0" applyFont="1" applyBorder="1" applyAlignment="1">
      <alignment horizontal="center" vertical="center"/>
    </xf>
    <xf numFmtId="0" fontId="8" fillId="0" borderId="38" xfId="0" applyFont="1" applyBorder="1" applyAlignment="1">
      <alignment horizontal="center" vertical="center"/>
    </xf>
    <xf numFmtId="0" fontId="8" fillId="0" borderId="43" xfId="0" applyFont="1" applyBorder="1" applyAlignment="1">
      <alignment horizontal="center" vertical="center" shrinkToFit="1"/>
    </xf>
    <xf numFmtId="0" fontId="8" fillId="0" borderId="2" xfId="0" applyFont="1" applyBorder="1" applyAlignment="1">
      <alignment horizontal="center" vertical="center"/>
    </xf>
    <xf numFmtId="0" fontId="8" fillId="0" borderId="3" xfId="0" applyFont="1" applyBorder="1" applyAlignment="1">
      <alignment horizontal="center" vertical="center"/>
    </xf>
    <xf numFmtId="0" fontId="8" fillId="0" borderId="4" xfId="0" applyFont="1" applyBorder="1" applyAlignment="1">
      <alignment horizontal="center" vertical="center"/>
    </xf>
    <xf numFmtId="176" fontId="8" fillId="0" borderId="2" xfId="0" applyNumberFormat="1" applyFont="1" applyBorder="1" applyAlignment="1">
      <alignment horizontal="center" vertical="center"/>
    </xf>
    <xf numFmtId="176" fontId="8" fillId="0" borderId="3" xfId="0" applyNumberFormat="1" applyFont="1" applyBorder="1" applyAlignment="1">
      <alignment horizontal="center" vertical="center"/>
    </xf>
    <xf numFmtId="176" fontId="8" fillId="0" borderId="4" xfId="0" applyNumberFormat="1" applyFont="1" applyBorder="1" applyAlignment="1">
      <alignment horizontal="center" vertical="center"/>
    </xf>
    <xf numFmtId="0" fontId="8" fillId="0" borderId="0" xfId="0" applyFont="1" applyBorder="1" applyAlignment="1">
      <alignment horizontal="center" vertical="center"/>
    </xf>
    <xf numFmtId="0" fontId="8" fillId="0" borderId="0" xfId="0" applyFont="1" applyBorder="1" applyAlignment="1">
      <alignment horizontal="right" vertical="center" shrinkToFit="1"/>
    </xf>
    <xf numFmtId="0" fontId="8" fillId="0" borderId="2" xfId="0" applyFont="1" applyBorder="1" applyAlignment="1">
      <alignment horizontal="center" vertical="center" shrinkToFit="1"/>
    </xf>
    <xf numFmtId="0" fontId="8" fillId="0" borderId="3" xfId="0" applyFont="1" applyBorder="1" applyAlignment="1">
      <alignment horizontal="center" vertical="center" shrinkToFit="1"/>
    </xf>
    <xf numFmtId="0" fontId="8" fillId="0" borderId="5" xfId="0" applyFont="1" applyBorder="1" applyAlignment="1">
      <alignment horizontal="right" vertical="center" shrinkToFit="1"/>
    </xf>
    <xf numFmtId="0" fontId="8" fillId="0" borderId="10" xfId="0" applyFont="1" applyBorder="1" applyAlignment="1">
      <alignment horizontal="right" vertical="center" shrinkToFit="1"/>
    </xf>
    <xf numFmtId="176" fontId="8" fillId="0" borderId="2" xfId="0" applyNumberFormat="1" applyFont="1" applyBorder="1" applyAlignment="1">
      <alignment horizontal="center" vertical="center" shrinkToFit="1"/>
    </xf>
    <xf numFmtId="176" fontId="8" fillId="0" borderId="4" xfId="0" applyNumberFormat="1" applyFont="1" applyBorder="1" applyAlignment="1">
      <alignment horizontal="center" vertical="center" shrinkToFit="1"/>
    </xf>
    <xf numFmtId="0" fontId="8" fillId="0" borderId="0" xfId="0" applyFont="1" applyBorder="1" applyAlignment="1">
      <alignment vertical="center" shrinkToFit="1"/>
    </xf>
    <xf numFmtId="0" fontId="8" fillId="0" borderId="4" xfId="0" applyFont="1" applyBorder="1" applyAlignment="1">
      <alignment horizontal="center" vertical="center" shrinkToFit="1"/>
    </xf>
    <xf numFmtId="0" fontId="8" fillId="0" borderId="0" xfId="0" applyFont="1" applyAlignment="1">
      <alignment horizontal="right" vertical="center"/>
    </xf>
    <xf numFmtId="0" fontId="8" fillId="0" borderId="0" xfId="0" applyFont="1" applyBorder="1" applyAlignment="1">
      <alignment horizontal="right" vertical="center"/>
    </xf>
    <xf numFmtId="0" fontId="8" fillId="0" borderId="10" xfId="0" applyFont="1" applyBorder="1" applyAlignment="1">
      <alignment horizontal="right" vertical="center"/>
    </xf>
    <xf numFmtId="176" fontId="8" fillId="0" borderId="3" xfId="0" applyNumberFormat="1" applyFont="1" applyBorder="1" applyAlignment="1">
      <alignment horizontal="center" vertical="center" shrinkToFit="1"/>
    </xf>
    <xf numFmtId="0" fontId="13" fillId="0" borderId="0" xfId="0" applyFont="1" applyAlignment="1">
      <alignment horizontal="center" vertical="center"/>
    </xf>
    <xf numFmtId="0" fontId="8" fillId="0" borderId="2" xfId="0" applyNumberFormat="1" applyFont="1" applyBorder="1" applyAlignment="1">
      <alignment horizontal="center" vertical="center"/>
    </xf>
    <xf numFmtId="0" fontId="8" fillId="0" borderId="4" xfId="0" applyNumberFormat="1" applyFont="1" applyBorder="1" applyAlignment="1">
      <alignment horizontal="center" vertical="center"/>
    </xf>
    <xf numFmtId="49" fontId="7" fillId="0" borderId="2" xfId="2" applyNumberFormat="1" applyBorder="1" applyAlignment="1">
      <alignment vertical="center" shrinkToFit="1"/>
    </xf>
    <xf numFmtId="49" fontId="8" fillId="0" borderId="3" xfId="0" applyNumberFormat="1" applyFont="1" applyBorder="1" applyAlignment="1">
      <alignment vertical="center" shrinkToFit="1"/>
    </xf>
    <xf numFmtId="49" fontId="8" fillId="0" borderId="4" xfId="0" applyNumberFormat="1" applyFont="1" applyBorder="1" applyAlignment="1">
      <alignment vertical="center" shrinkToFit="1"/>
    </xf>
    <xf numFmtId="49" fontId="8" fillId="0" borderId="2" xfId="1" applyNumberFormat="1" applyFont="1" applyBorder="1" applyAlignment="1">
      <alignment horizontal="center" vertical="center" shrinkToFit="1"/>
    </xf>
    <xf numFmtId="49" fontId="8" fillId="0" borderId="3" xfId="1" applyNumberFormat="1" applyFont="1" applyBorder="1" applyAlignment="1">
      <alignment horizontal="center" vertical="center" shrinkToFit="1"/>
    </xf>
    <xf numFmtId="49" fontId="8" fillId="0" borderId="4" xfId="1" applyNumberFormat="1" applyFont="1" applyBorder="1" applyAlignment="1">
      <alignment horizontal="center" vertical="center" shrinkToFit="1"/>
    </xf>
    <xf numFmtId="0" fontId="8" fillId="0" borderId="2" xfId="0" applyFont="1" applyBorder="1" applyAlignment="1">
      <alignment vertical="center" shrinkToFit="1"/>
    </xf>
    <xf numFmtId="0" fontId="8" fillId="0" borderId="3" xfId="0" applyFont="1" applyBorder="1" applyAlignment="1">
      <alignment vertical="center" shrinkToFit="1"/>
    </xf>
    <xf numFmtId="0" fontId="8" fillId="0" borderId="37" xfId="0" applyFont="1" applyBorder="1" applyAlignment="1">
      <alignment vertical="center" shrinkToFit="1"/>
    </xf>
    <xf numFmtId="0" fontId="8" fillId="0" borderId="39" xfId="0" applyFont="1" applyBorder="1" applyAlignment="1">
      <alignment vertical="center" shrinkToFit="1"/>
    </xf>
    <xf numFmtId="0" fontId="8" fillId="0" borderId="38" xfId="0" applyFont="1" applyBorder="1" applyAlignment="1">
      <alignment vertical="center" shrinkToFit="1"/>
    </xf>
    <xf numFmtId="0" fontId="8" fillId="0" borderId="19" xfId="0" applyFont="1" applyBorder="1" applyAlignment="1">
      <alignment vertical="center" shrinkToFit="1"/>
    </xf>
    <xf numFmtId="0" fontId="8" fillId="0" borderId="20" xfId="0" applyFont="1" applyBorder="1" applyAlignment="1">
      <alignment vertical="center" shrinkToFit="1"/>
    </xf>
    <xf numFmtId="0" fontId="8" fillId="0" borderId="18" xfId="0" applyFont="1" applyBorder="1" applyAlignment="1">
      <alignment vertical="center" shrinkToFit="1"/>
    </xf>
    <xf numFmtId="0" fontId="8" fillId="0" borderId="40" xfId="0" applyFont="1" applyBorder="1" applyAlignment="1">
      <alignment vertical="center" shrinkToFit="1"/>
    </xf>
    <xf numFmtId="0" fontId="8" fillId="0" borderId="41" xfId="0" applyFont="1" applyBorder="1" applyAlignment="1">
      <alignment vertical="center" shrinkToFit="1"/>
    </xf>
    <xf numFmtId="0" fontId="8" fillId="0" borderId="42" xfId="0" applyFont="1" applyBorder="1" applyAlignment="1">
      <alignment vertical="center" shrinkToFit="1"/>
    </xf>
    <xf numFmtId="0" fontId="8" fillId="0" borderId="19" xfId="0" applyFont="1" applyBorder="1" applyAlignment="1">
      <alignment horizontal="center" vertical="center"/>
    </xf>
    <xf numFmtId="0" fontId="8" fillId="0" borderId="20" xfId="0" applyFont="1" applyBorder="1" applyAlignment="1">
      <alignment horizontal="center" vertical="center"/>
    </xf>
    <xf numFmtId="0" fontId="8" fillId="0" borderId="18" xfId="0" applyFont="1" applyBorder="1" applyAlignment="1">
      <alignment horizontal="center" vertical="center"/>
    </xf>
    <xf numFmtId="0" fontId="8" fillId="0" borderId="40" xfId="0" applyFont="1" applyBorder="1" applyAlignment="1">
      <alignment horizontal="center" vertical="center"/>
    </xf>
    <xf numFmtId="0" fontId="8" fillId="0" borderId="41" xfId="0" applyFont="1" applyBorder="1" applyAlignment="1">
      <alignment horizontal="center" vertical="center"/>
    </xf>
    <xf numFmtId="0" fontId="8" fillId="0" borderId="42" xfId="0" applyFont="1" applyBorder="1" applyAlignment="1">
      <alignment horizontal="center" vertical="center"/>
    </xf>
    <xf numFmtId="0" fontId="8" fillId="0" borderId="19" xfId="0" applyFont="1" applyBorder="1" applyAlignment="1">
      <alignment horizontal="left" vertical="center" shrinkToFit="1"/>
    </xf>
    <xf numFmtId="0" fontId="8" fillId="0" borderId="20" xfId="0" applyFont="1" applyBorder="1" applyAlignment="1">
      <alignment horizontal="left" vertical="center" shrinkToFit="1"/>
    </xf>
    <xf numFmtId="0" fontId="8" fillId="0" borderId="18" xfId="0" applyFont="1" applyBorder="1" applyAlignment="1">
      <alignment horizontal="left" vertical="center" shrinkToFit="1"/>
    </xf>
    <xf numFmtId="0" fontId="8" fillId="0" borderId="40" xfId="0" applyFont="1" applyBorder="1" applyAlignment="1">
      <alignment horizontal="left" vertical="center" shrinkToFit="1"/>
    </xf>
    <xf numFmtId="0" fontId="8" fillId="0" borderId="41" xfId="0" applyFont="1" applyBorder="1" applyAlignment="1">
      <alignment horizontal="left" vertical="center" shrinkToFit="1"/>
    </xf>
    <xf numFmtId="0" fontId="8" fillId="0" borderId="42" xfId="0" applyFont="1" applyBorder="1" applyAlignment="1">
      <alignment horizontal="left" vertical="center" shrinkToFit="1"/>
    </xf>
    <xf numFmtId="0" fontId="9" fillId="0" borderId="0" xfId="0" applyFont="1" applyAlignment="1">
      <alignment horizontal="center" vertical="center"/>
    </xf>
    <xf numFmtId="0" fontId="8" fillId="0" borderId="37" xfId="0" applyFont="1" applyBorder="1" applyAlignment="1">
      <alignment horizontal="left" vertical="center" shrinkToFit="1"/>
    </xf>
    <xf numFmtId="0" fontId="8" fillId="0" borderId="39" xfId="0" applyFont="1" applyBorder="1" applyAlignment="1">
      <alignment horizontal="left" vertical="center" shrinkToFit="1"/>
    </xf>
    <xf numFmtId="0" fontId="8" fillId="0" borderId="38" xfId="0" applyFont="1" applyBorder="1" applyAlignment="1">
      <alignment horizontal="left" vertical="center" shrinkToFit="1"/>
    </xf>
    <xf numFmtId="0" fontId="8" fillId="0" borderId="7" xfId="0" applyFont="1" applyBorder="1" applyAlignment="1">
      <alignment horizontal="center" vertical="center"/>
    </xf>
    <xf numFmtId="0" fontId="8" fillId="0" borderId="8" xfId="0" applyFont="1" applyBorder="1" applyAlignment="1">
      <alignment horizontal="center" vertical="center"/>
    </xf>
    <xf numFmtId="0" fontId="8" fillId="0" borderId="9" xfId="0" applyFont="1" applyBorder="1" applyAlignment="1">
      <alignment horizontal="center" vertical="center"/>
    </xf>
    <xf numFmtId="0" fontId="8" fillId="0" borderId="37" xfId="0" applyFont="1" applyBorder="1" applyAlignment="1">
      <alignment horizontal="center" vertical="center"/>
    </xf>
    <xf numFmtId="0" fontId="8" fillId="0" borderId="39" xfId="0" applyFont="1" applyBorder="1" applyAlignment="1">
      <alignment horizontal="center" vertical="center"/>
    </xf>
    <xf numFmtId="0" fontId="8" fillId="0" borderId="38" xfId="0" applyFont="1" applyBorder="1" applyAlignment="1">
      <alignment horizontal="center" vertical="center"/>
    </xf>
    <xf numFmtId="0" fontId="9" fillId="0" borderId="7" xfId="0" applyFont="1" applyBorder="1" applyAlignment="1">
      <alignment horizontal="left" vertical="center" wrapText="1" shrinkToFit="1"/>
    </xf>
    <xf numFmtId="0" fontId="9" fillId="0" borderId="8" xfId="0" applyFont="1" applyBorder="1" applyAlignment="1">
      <alignment horizontal="left" vertical="center" shrinkToFit="1"/>
    </xf>
    <xf numFmtId="0" fontId="9" fillId="0" borderId="9" xfId="0" applyFont="1" applyBorder="1" applyAlignment="1">
      <alignment horizontal="left" vertical="center" shrinkToFit="1"/>
    </xf>
    <xf numFmtId="0" fontId="9" fillId="0" borderId="5" xfId="0" applyFont="1" applyBorder="1" applyAlignment="1">
      <alignment horizontal="left" vertical="center" shrinkToFit="1"/>
    </xf>
    <xf numFmtId="0" fontId="9" fillId="0" borderId="0" xfId="0" applyFont="1" applyBorder="1" applyAlignment="1">
      <alignment horizontal="left" vertical="center" shrinkToFit="1"/>
    </xf>
    <xf numFmtId="0" fontId="9" fillId="0" borderId="10" xfId="0" applyFont="1" applyBorder="1" applyAlignment="1">
      <alignment horizontal="left" vertical="center" shrinkToFit="1"/>
    </xf>
    <xf numFmtId="0" fontId="9" fillId="0" borderId="11" xfId="0" applyFont="1" applyBorder="1" applyAlignment="1">
      <alignment horizontal="left" vertical="center" shrinkToFit="1"/>
    </xf>
    <xf numFmtId="0" fontId="9" fillId="0" borderId="6" xfId="0" applyFont="1" applyBorder="1" applyAlignment="1">
      <alignment horizontal="left" vertical="center" shrinkToFit="1"/>
    </xf>
    <xf numFmtId="0" fontId="9" fillId="0" borderId="12" xfId="0" applyFont="1" applyBorder="1" applyAlignment="1">
      <alignment horizontal="left" vertical="center" shrinkToFit="1"/>
    </xf>
    <xf numFmtId="0" fontId="7" fillId="0" borderId="2" xfId="2" applyBorder="1" applyAlignment="1">
      <alignment horizontal="left" vertical="center" shrinkToFit="1"/>
    </xf>
    <xf numFmtId="0" fontId="9" fillId="0" borderId="3" xfId="0" applyFont="1" applyBorder="1" applyAlignment="1">
      <alignment horizontal="left" vertical="center" shrinkToFit="1"/>
    </xf>
    <xf numFmtId="0" fontId="9" fillId="0" borderId="4" xfId="0" applyFont="1" applyBorder="1" applyAlignment="1">
      <alignment horizontal="left" vertical="center" shrinkToFit="1"/>
    </xf>
    <xf numFmtId="0" fontId="8" fillId="0" borderId="40" xfId="0" applyFont="1" applyBorder="1" applyAlignment="1">
      <alignment horizontal="center" vertical="center" shrinkToFit="1"/>
    </xf>
    <xf numFmtId="0" fontId="8" fillId="0" borderId="41" xfId="0" applyFont="1" applyBorder="1" applyAlignment="1">
      <alignment horizontal="center" vertical="center" shrinkToFit="1"/>
    </xf>
    <xf numFmtId="0" fontId="8" fillId="0" borderId="42" xfId="0" applyFont="1" applyBorder="1" applyAlignment="1">
      <alignment horizontal="center" vertical="center" shrinkToFit="1"/>
    </xf>
    <xf numFmtId="0" fontId="8" fillId="0" borderId="19" xfId="0" applyFont="1" applyBorder="1" applyAlignment="1">
      <alignment horizontal="center" vertical="center" shrinkToFit="1"/>
    </xf>
    <xf numFmtId="0" fontId="8" fillId="0" borderId="20" xfId="0" applyFont="1" applyBorder="1" applyAlignment="1">
      <alignment horizontal="center" vertical="center" shrinkToFit="1"/>
    </xf>
    <xf numFmtId="0" fontId="8" fillId="0" borderId="18" xfId="0" applyFont="1" applyBorder="1" applyAlignment="1">
      <alignment horizontal="center" vertical="center" shrinkToFit="1"/>
    </xf>
    <xf numFmtId="0" fontId="9" fillId="0" borderId="22" xfId="0" applyFont="1" applyBorder="1" applyAlignment="1">
      <alignment horizontal="left" vertical="center" shrinkToFit="1"/>
    </xf>
    <xf numFmtId="0" fontId="9" fillId="0" borderId="21" xfId="0" applyFont="1" applyBorder="1" applyAlignment="1">
      <alignment horizontal="left" vertical="center" shrinkToFit="1"/>
    </xf>
    <xf numFmtId="0" fontId="9" fillId="0" borderId="39" xfId="0" applyFont="1" applyBorder="1" applyAlignment="1">
      <alignment horizontal="left" vertical="center" shrinkToFit="1"/>
    </xf>
    <xf numFmtId="0" fontId="9" fillId="0" borderId="38" xfId="0" applyFont="1" applyBorder="1" applyAlignment="1">
      <alignment horizontal="left" vertical="center" shrinkToFit="1"/>
    </xf>
    <xf numFmtId="0" fontId="9" fillId="0" borderId="41" xfId="0" applyFont="1" applyBorder="1" applyAlignment="1">
      <alignment horizontal="left" vertical="center" shrinkToFit="1"/>
    </xf>
    <xf numFmtId="0" fontId="9" fillId="0" borderId="42" xfId="0" applyFont="1" applyBorder="1" applyAlignment="1">
      <alignment horizontal="left" vertical="center" shrinkToFit="1"/>
    </xf>
    <xf numFmtId="0" fontId="8" fillId="0" borderId="0" xfId="0" applyFont="1" applyAlignment="1">
      <alignment vertical="center" wrapText="1"/>
    </xf>
    <xf numFmtId="0" fontId="17" fillId="0" borderId="0" xfId="0" applyFont="1" applyAlignment="1">
      <alignment horizontal="center" vertical="center"/>
    </xf>
    <xf numFmtId="0" fontId="8" fillId="0" borderId="7" xfId="0" applyFont="1" applyBorder="1" applyAlignment="1">
      <alignment horizontal="left" vertical="top" wrapText="1" shrinkToFit="1"/>
    </xf>
    <xf numFmtId="0" fontId="8" fillId="0" borderId="8" xfId="0" applyFont="1" applyBorder="1" applyAlignment="1">
      <alignment horizontal="left" vertical="top" shrinkToFit="1"/>
    </xf>
    <xf numFmtId="0" fontId="8" fillId="0" borderId="9" xfId="0" applyFont="1" applyBorder="1" applyAlignment="1">
      <alignment horizontal="left" vertical="top" shrinkToFit="1"/>
    </xf>
    <xf numFmtId="0" fontId="8" fillId="0" borderId="5" xfId="0" applyFont="1" applyBorder="1" applyAlignment="1">
      <alignment horizontal="left" vertical="top" shrinkToFit="1"/>
    </xf>
    <xf numFmtId="0" fontId="8" fillId="0" borderId="0" xfId="0" applyFont="1" applyBorder="1" applyAlignment="1">
      <alignment horizontal="left" vertical="top" shrinkToFit="1"/>
    </xf>
    <xf numFmtId="0" fontId="8" fillId="0" borderId="10" xfId="0" applyFont="1" applyBorder="1" applyAlignment="1">
      <alignment horizontal="left" vertical="top" shrinkToFit="1"/>
    </xf>
    <xf numFmtId="0" fontId="8" fillId="0" borderId="0" xfId="0" applyFont="1" applyAlignment="1">
      <alignment horizontal="left" vertical="top" shrinkToFit="1"/>
    </xf>
    <xf numFmtId="0" fontId="8" fillId="0" borderId="11" xfId="0" applyFont="1" applyBorder="1" applyAlignment="1">
      <alignment horizontal="left" vertical="top" shrinkToFit="1"/>
    </xf>
    <xf numFmtId="0" fontId="8" fillId="0" borderId="6" xfId="0" applyFont="1" applyBorder="1" applyAlignment="1">
      <alignment horizontal="left" vertical="top" shrinkToFit="1"/>
    </xf>
    <xf numFmtId="0" fontId="8" fillId="0" borderId="12" xfId="0" applyFont="1" applyBorder="1" applyAlignment="1">
      <alignment horizontal="left" vertical="top" shrinkToFit="1"/>
    </xf>
    <xf numFmtId="0" fontId="8" fillId="0" borderId="37" xfId="0" applyFont="1" applyBorder="1" applyAlignment="1">
      <alignment horizontal="center" vertical="center" shrinkToFit="1"/>
    </xf>
    <xf numFmtId="0" fontId="8" fillId="0" borderId="39" xfId="0" applyFont="1" applyBorder="1" applyAlignment="1">
      <alignment horizontal="center" vertical="center" shrinkToFit="1"/>
    </xf>
    <xf numFmtId="0" fontId="8" fillId="0" borderId="38" xfId="0" applyFont="1" applyBorder="1" applyAlignment="1">
      <alignment horizontal="center" vertical="center" shrinkToFit="1"/>
    </xf>
    <xf numFmtId="0" fontId="9" fillId="0" borderId="19" xfId="0" applyFont="1" applyBorder="1" applyAlignment="1">
      <alignment vertical="center" shrinkToFit="1"/>
    </xf>
    <xf numFmtId="0" fontId="9" fillId="0" borderId="20" xfId="0" applyFont="1" applyBorder="1" applyAlignment="1">
      <alignment vertical="center" shrinkToFit="1"/>
    </xf>
    <xf numFmtId="0" fontId="9" fillId="0" borderId="18" xfId="0" applyFont="1" applyBorder="1" applyAlignment="1">
      <alignment vertical="center" shrinkToFit="1"/>
    </xf>
    <xf numFmtId="0" fontId="20" fillId="0" borderId="48" xfId="0" applyFont="1" applyBorder="1" applyAlignment="1">
      <alignment vertical="center" wrapText="1"/>
    </xf>
    <xf numFmtId="0" fontId="20" fillId="0" borderId="49" xfId="0" applyFont="1" applyBorder="1" applyAlignment="1">
      <alignment vertical="center" wrapText="1"/>
    </xf>
    <xf numFmtId="0" fontId="19" fillId="0" borderId="48" xfId="0" applyFont="1" applyBorder="1" applyAlignment="1">
      <alignment vertical="center" wrapText="1"/>
    </xf>
    <xf numFmtId="0" fontId="19" fillId="0" borderId="32" xfId="0" applyFont="1" applyBorder="1" applyAlignment="1">
      <alignment vertical="center" wrapText="1"/>
    </xf>
    <xf numFmtId="0" fontId="9" fillId="0" borderId="39" xfId="0" applyFont="1" applyBorder="1" applyAlignment="1">
      <alignment vertical="center" wrapText="1" shrinkToFit="1"/>
    </xf>
    <xf numFmtId="0" fontId="9" fillId="0" borderId="39" xfId="0" applyFont="1" applyBorder="1" applyAlignment="1">
      <alignment vertical="center" shrinkToFit="1"/>
    </xf>
    <xf numFmtId="0" fontId="9" fillId="0" borderId="38" xfId="0" applyFont="1" applyBorder="1" applyAlignment="1">
      <alignment vertical="center" shrinkToFit="1"/>
    </xf>
    <xf numFmtId="0" fontId="9" fillId="0" borderId="6" xfId="0" applyFont="1" applyBorder="1" applyAlignment="1">
      <alignment vertical="center" wrapText="1" shrinkToFit="1"/>
    </xf>
    <xf numFmtId="0" fontId="9" fillId="0" borderId="6" xfId="0" applyFont="1" applyBorder="1" applyAlignment="1">
      <alignment vertical="center" shrinkToFit="1"/>
    </xf>
    <xf numFmtId="0" fontId="9" fillId="0" borderId="12" xfId="0" applyFont="1" applyBorder="1" applyAlignment="1">
      <alignment vertical="center" shrinkToFit="1"/>
    </xf>
    <xf numFmtId="0" fontId="20" fillId="0" borderId="32" xfId="0" applyFont="1" applyBorder="1" applyAlignment="1">
      <alignment vertical="center" wrapText="1"/>
    </xf>
    <xf numFmtId="0" fontId="9" fillId="0" borderId="20" xfId="0" applyFont="1" applyBorder="1" applyAlignment="1">
      <alignment horizontal="left" vertical="center" shrinkToFit="1"/>
    </xf>
    <xf numFmtId="0" fontId="9" fillId="0" borderId="18" xfId="0" applyFont="1" applyBorder="1" applyAlignment="1">
      <alignment horizontal="left" vertical="center" shrinkToFit="1"/>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2" fillId="0" borderId="0" xfId="0" applyFont="1" applyAlignment="1">
      <alignment horizontal="right" vertical="center"/>
    </xf>
    <xf numFmtId="0" fontId="14" fillId="0" borderId="0" xfId="0" applyFont="1" applyAlignment="1">
      <alignment horizontal="center" vertical="center"/>
    </xf>
    <xf numFmtId="0" fontId="3" fillId="0" borderId="2" xfId="0" applyNumberFormat="1" applyFont="1" applyBorder="1" applyAlignment="1">
      <alignment horizontal="center" vertical="center" shrinkToFit="1"/>
    </xf>
    <xf numFmtId="0" fontId="3" fillId="0" borderId="4" xfId="0" applyNumberFormat="1" applyFont="1" applyBorder="1" applyAlignment="1">
      <alignment horizontal="center" vertical="center" shrinkToFit="1"/>
    </xf>
    <xf numFmtId="0" fontId="3" fillId="0" borderId="15" xfId="0" applyFont="1" applyBorder="1" applyAlignment="1">
      <alignment horizontal="center" vertical="center"/>
    </xf>
    <xf numFmtId="0" fontId="3" fillId="0" borderId="13" xfId="0" applyFont="1" applyBorder="1" applyAlignment="1">
      <alignment horizontal="center" vertical="center"/>
    </xf>
    <xf numFmtId="0" fontId="15" fillId="0" borderId="8" xfId="0" applyFont="1" applyBorder="1" applyAlignment="1">
      <alignment horizontal="center" vertical="center" wrapText="1"/>
    </xf>
    <xf numFmtId="0" fontId="15" fillId="0" borderId="6" xfId="0" applyFont="1" applyBorder="1" applyAlignment="1">
      <alignment horizontal="center" vertical="center"/>
    </xf>
    <xf numFmtId="0" fontId="15" fillId="0" borderId="7" xfId="0" applyFont="1" applyBorder="1" applyAlignment="1">
      <alignment horizontal="center" vertical="center" wrapText="1"/>
    </xf>
    <xf numFmtId="0" fontId="15" fillId="0" borderId="11" xfId="0" applyFont="1" applyBorder="1" applyAlignment="1">
      <alignment horizontal="center" vertical="center"/>
    </xf>
    <xf numFmtId="0" fontId="3" fillId="0" borderId="14" xfId="0" applyFont="1" applyBorder="1" applyAlignment="1">
      <alignment horizontal="center" vertical="center"/>
    </xf>
    <xf numFmtId="0" fontId="3" fillId="0" borderId="37" xfId="0" applyFont="1" applyBorder="1" applyAlignment="1">
      <alignment horizontal="center" vertical="center"/>
    </xf>
    <xf numFmtId="0" fontId="3" fillId="0" borderId="38" xfId="0" applyFont="1" applyBorder="1" applyAlignment="1">
      <alignment horizontal="center" vertical="center"/>
    </xf>
    <xf numFmtId="0" fontId="16" fillId="0" borderId="15" xfId="0" applyFont="1" applyBorder="1" applyAlignment="1">
      <alignment horizontal="center" vertical="center" wrapText="1"/>
    </xf>
    <xf numFmtId="0" fontId="16" fillId="0" borderId="13" xfId="0" applyFont="1" applyBorder="1" applyAlignment="1">
      <alignment horizontal="center" vertical="center"/>
    </xf>
    <xf numFmtId="0" fontId="15" fillId="0" borderId="9" xfId="0" applyFont="1" applyBorder="1" applyAlignment="1">
      <alignment horizontal="center" vertical="center"/>
    </xf>
    <xf numFmtId="0" fontId="15" fillId="0" borderId="12" xfId="0" applyFont="1" applyBorder="1" applyAlignment="1">
      <alignment horizontal="center" vertical="center"/>
    </xf>
    <xf numFmtId="0" fontId="9" fillId="0" borderId="7" xfId="0" applyFont="1" applyBorder="1" applyAlignment="1">
      <alignment vertical="top" wrapText="1" shrinkToFit="1"/>
    </xf>
    <xf numFmtId="0" fontId="8" fillId="0" borderId="8" xfId="0" applyFont="1" applyBorder="1" applyAlignment="1">
      <alignment vertical="top" wrapText="1" shrinkToFit="1"/>
    </xf>
    <xf numFmtId="0" fontId="8" fillId="0" borderId="9" xfId="0" applyFont="1" applyBorder="1" applyAlignment="1">
      <alignment vertical="top" wrapText="1" shrinkToFit="1"/>
    </xf>
    <xf numFmtId="0" fontId="8" fillId="0" borderId="5" xfId="0" applyFont="1" applyBorder="1" applyAlignment="1">
      <alignment vertical="top" wrapText="1" shrinkToFit="1"/>
    </xf>
    <xf numFmtId="0" fontId="8" fillId="0" borderId="0" xfId="0" applyFont="1" applyAlignment="1">
      <alignment vertical="top" wrapText="1" shrinkToFit="1"/>
    </xf>
    <xf numFmtId="0" fontId="8" fillId="0" borderId="10" xfId="0" applyFont="1" applyBorder="1" applyAlignment="1">
      <alignment vertical="top" wrapText="1" shrinkToFit="1"/>
    </xf>
    <xf numFmtId="0" fontId="8" fillId="0" borderId="11" xfId="0" applyFont="1" applyBorder="1" applyAlignment="1">
      <alignment vertical="top" wrapText="1" shrinkToFit="1"/>
    </xf>
    <xf numFmtId="0" fontId="8" fillId="0" borderId="6" xfId="0" applyFont="1" applyBorder="1" applyAlignment="1">
      <alignment vertical="top" wrapText="1" shrinkToFit="1"/>
    </xf>
    <xf numFmtId="0" fontId="8" fillId="0" borderId="12" xfId="0" applyFont="1" applyBorder="1" applyAlignment="1">
      <alignment vertical="top" wrapText="1" shrinkToFit="1"/>
    </xf>
    <xf numFmtId="0" fontId="8" fillId="0" borderId="8" xfId="0" applyFont="1" applyBorder="1" applyAlignment="1">
      <alignment vertical="top" shrinkToFit="1"/>
    </xf>
    <xf numFmtId="0" fontId="8" fillId="0" borderId="9" xfId="0" applyFont="1" applyBorder="1" applyAlignment="1">
      <alignment vertical="top" shrinkToFit="1"/>
    </xf>
    <xf numFmtId="0" fontId="8" fillId="0" borderId="5" xfId="0" applyFont="1" applyBorder="1" applyAlignment="1">
      <alignment vertical="top" shrinkToFit="1"/>
    </xf>
    <xf numFmtId="0" fontId="8" fillId="0" borderId="0" xfId="0" applyFont="1" applyAlignment="1">
      <alignment vertical="top" shrinkToFit="1"/>
    </xf>
    <xf numFmtId="0" fontId="8" fillId="0" borderId="10" xfId="0" applyFont="1" applyBorder="1" applyAlignment="1">
      <alignment vertical="top" shrinkToFit="1"/>
    </xf>
    <xf numFmtId="0" fontId="8" fillId="0" borderId="11" xfId="0" applyFont="1" applyBorder="1" applyAlignment="1">
      <alignment vertical="top" shrinkToFit="1"/>
    </xf>
    <xf numFmtId="0" fontId="8" fillId="0" borderId="6" xfId="0" applyFont="1" applyBorder="1" applyAlignment="1">
      <alignment vertical="top" shrinkToFit="1"/>
    </xf>
    <xf numFmtId="0" fontId="8" fillId="0" borderId="12" xfId="0" applyFont="1" applyBorder="1" applyAlignment="1">
      <alignment vertical="top" shrinkToFit="1"/>
    </xf>
    <xf numFmtId="0" fontId="2" fillId="0" borderId="6" xfId="0" applyFont="1" applyBorder="1">
      <alignment vertical="center"/>
    </xf>
    <xf numFmtId="0" fontId="8" fillId="0" borderId="16" xfId="0" applyFont="1" applyBorder="1" applyAlignment="1">
      <alignment vertical="top" wrapText="1" shrinkToFit="1"/>
    </xf>
    <xf numFmtId="0" fontId="8" fillId="0" borderId="22" xfId="0" applyFont="1" applyBorder="1" applyAlignment="1">
      <alignment vertical="top" wrapText="1" shrinkToFit="1"/>
    </xf>
    <xf numFmtId="0" fontId="8" fillId="0" borderId="21" xfId="0" applyFont="1" applyBorder="1" applyAlignment="1">
      <alignment vertical="top" wrapText="1" shrinkToFit="1"/>
    </xf>
    <xf numFmtId="0" fontId="8" fillId="0" borderId="4" xfId="0" applyFont="1" applyBorder="1" applyAlignment="1">
      <alignment vertical="center" shrinkToFit="1"/>
    </xf>
    <xf numFmtId="0" fontId="8" fillId="0" borderId="7" xfId="0" applyFont="1" applyBorder="1" applyAlignment="1">
      <alignment vertical="top" wrapText="1" shrinkToFit="1"/>
    </xf>
    <xf numFmtId="0" fontId="2" fillId="0" borderId="11" xfId="0" applyFont="1" applyBorder="1" applyAlignment="1">
      <alignment vertical="center" wrapText="1"/>
    </xf>
    <xf numFmtId="0" fontId="2" fillId="0" borderId="6" xfId="0" applyFont="1" applyBorder="1" applyAlignment="1">
      <alignment vertical="center" wrapText="1"/>
    </xf>
    <xf numFmtId="0" fontId="2" fillId="0" borderId="12" xfId="0" applyFont="1" applyBorder="1" applyAlignment="1">
      <alignment vertical="center" wrapText="1"/>
    </xf>
    <xf numFmtId="0" fontId="22" fillId="0" borderId="3" xfId="2" applyFont="1" applyBorder="1" applyAlignment="1">
      <alignment horizontal="left" vertical="center" shrinkToFit="1"/>
    </xf>
    <xf numFmtId="0" fontId="22" fillId="0" borderId="4" xfId="2" applyFont="1" applyBorder="1" applyAlignment="1">
      <alignment horizontal="left" vertical="center" shrinkToFit="1"/>
    </xf>
    <xf numFmtId="0" fontId="2" fillId="0" borderId="17" xfId="0" applyFont="1" applyBorder="1" applyAlignment="1">
      <alignment vertical="center" wrapText="1"/>
    </xf>
    <xf numFmtId="0" fontId="2" fillId="0" borderId="18" xfId="0" applyFont="1" applyBorder="1" applyAlignment="1">
      <alignment vertical="center" wrapText="1"/>
    </xf>
    <xf numFmtId="0" fontId="8" fillId="0" borderId="20" xfId="0" applyFont="1" applyBorder="1" applyAlignment="1">
      <alignment vertical="top" wrapText="1" shrinkToFit="1"/>
    </xf>
    <xf numFmtId="0" fontId="8" fillId="0" borderId="18" xfId="0" applyFont="1" applyBorder="1" applyAlignment="1">
      <alignment vertical="top" wrapText="1" shrinkToFit="1"/>
    </xf>
    <xf numFmtId="0" fontId="2" fillId="0" borderId="19" xfId="0" applyFont="1" applyBorder="1" applyAlignment="1">
      <alignment vertical="center" wrapText="1"/>
    </xf>
    <xf numFmtId="0" fontId="2" fillId="0" borderId="20" xfId="0" applyFont="1" applyBorder="1" applyAlignment="1">
      <alignment vertical="center" wrapText="1"/>
    </xf>
    <xf numFmtId="0" fontId="8" fillId="0" borderId="19" xfId="0" applyFont="1" applyBorder="1" applyAlignment="1">
      <alignment vertical="top" wrapText="1" shrinkToFit="1"/>
    </xf>
    <xf numFmtId="0" fontId="2" fillId="0" borderId="17" xfId="0" applyFont="1" applyBorder="1">
      <alignment vertical="center"/>
    </xf>
    <xf numFmtId="0" fontId="0" fillId="0" borderId="18" xfId="0" applyBorder="1">
      <alignment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3" fillId="0" borderId="0" xfId="0" applyFont="1" applyAlignment="1">
      <alignment horizontal="center" vertical="center"/>
    </xf>
    <xf numFmtId="0" fontId="3" fillId="0" borderId="7" xfId="0" applyFont="1" applyBorder="1" applyAlignment="1">
      <alignment vertical="top" shrinkToFit="1"/>
    </xf>
    <xf numFmtId="0" fontId="3" fillId="0" borderId="8" xfId="0" applyFont="1" applyBorder="1" applyAlignment="1">
      <alignment vertical="top" shrinkToFit="1"/>
    </xf>
    <xf numFmtId="0" fontId="3" fillId="0" borderId="9" xfId="0" applyFont="1" applyBorder="1" applyAlignment="1">
      <alignment vertical="top" shrinkToFit="1"/>
    </xf>
    <xf numFmtId="0" fontId="3" fillId="0" borderId="5" xfId="0" applyFont="1" applyBorder="1" applyAlignment="1">
      <alignment vertical="top" shrinkToFit="1"/>
    </xf>
    <xf numFmtId="0" fontId="3" fillId="0" borderId="0" xfId="0" applyFont="1" applyAlignment="1">
      <alignment vertical="top" shrinkToFit="1"/>
    </xf>
    <xf numFmtId="0" fontId="3" fillId="0" borderId="10" xfId="0" applyFont="1" applyBorder="1" applyAlignment="1">
      <alignment vertical="top" shrinkToFit="1"/>
    </xf>
    <xf numFmtId="0" fontId="3" fillId="0" borderId="11" xfId="0" applyFont="1" applyBorder="1" applyAlignment="1">
      <alignment vertical="top" shrinkToFit="1"/>
    </xf>
    <xf numFmtId="0" fontId="3" fillId="0" borderId="6" xfId="0" applyFont="1" applyBorder="1" applyAlignment="1">
      <alignment vertical="top" shrinkToFit="1"/>
    </xf>
    <xf numFmtId="0" fontId="3" fillId="0" borderId="12" xfId="0" applyFont="1" applyBorder="1" applyAlignment="1">
      <alignment vertical="top" shrinkToFit="1"/>
    </xf>
  </cellXfs>
  <cellStyles count="3">
    <cellStyle name="ハイパーリンク" xfId="2" builtinId="8"/>
    <cellStyle name="桁区切り" xfId="1" builtinId="6"/>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jks@osaka-ue.ac.jp"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www.osaka-ue.ac.jp/education/data_sci_edu.html"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www.osaka-ue.ac.jp/education/data_sci_edu.html"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45"/>
  <sheetViews>
    <sheetView tabSelected="1" view="pageBreakPreview" zoomScaleNormal="100" zoomScaleSheetLayoutView="100" workbookViewId="0"/>
  </sheetViews>
  <sheetFormatPr defaultColWidth="9" defaultRowHeight="18.75" customHeight="1" x14ac:dyDescent="0.15"/>
  <cols>
    <col min="1" max="1" width="3.375" style="14" customWidth="1"/>
    <col min="2" max="2" width="11.125" style="14" customWidth="1"/>
    <col min="3" max="8" width="6.625" style="14" customWidth="1"/>
    <col min="9" max="9" width="3.375" style="14" customWidth="1"/>
    <col min="10" max="10" width="10" style="14" customWidth="1"/>
    <col min="11" max="11" width="3.375" style="14" customWidth="1"/>
    <col min="12" max="12" width="7.75" style="14" customWidth="1"/>
    <col min="13" max="13" width="3.375" style="14" customWidth="1"/>
    <col min="14" max="14" width="4.5" style="14" customWidth="1"/>
    <col min="15" max="15" width="9" style="31"/>
    <col min="16" max="16384" width="9" style="13"/>
  </cols>
  <sheetData>
    <row r="1" spans="1:15" ht="24" customHeight="1" x14ac:dyDescent="0.15">
      <c r="M1" s="138" t="s">
        <v>26</v>
      </c>
      <c r="N1" s="138"/>
    </row>
    <row r="2" spans="1:15" ht="24" customHeight="1" x14ac:dyDescent="0.15">
      <c r="A2" s="142" t="s">
        <v>87</v>
      </c>
      <c r="B2" s="142"/>
      <c r="C2" s="142"/>
      <c r="D2" s="142"/>
      <c r="E2" s="142"/>
      <c r="F2" s="142"/>
      <c r="G2" s="142"/>
      <c r="H2" s="142"/>
      <c r="I2" s="142"/>
      <c r="J2" s="142"/>
      <c r="K2" s="142"/>
      <c r="L2" s="142"/>
      <c r="M2" s="142"/>
      <c r="N2" s="142"/>
    </row>
    <row r="3" spans="1:15" ht="24" customHeight="1" x14ac:dyDescent="0.15"/>
    <row r="4" spans="1:15" ht="24" customHeight="1" x14ac:dyDescent="0.15">
      <c r="A4" s="14" t="s">
        <v>6</v>
      </c>
      <c r="B4" s="15" t="s">
        <v>17</v>
      </c>
      <c r="C4" s="130" t="s">
        <v>154</v>
      </c>
      <c r="D4" s="131"/>
      <c r="E4" s="131"/>
      <c r="F4" s="131"/>
      <c r="G4" s="131"/>
      <c r="H4" s="131"/>
      <c r="I4" s="131"/>
      <c r="J4" s="131"/>
      <c r="K4" s="131"/>
      <c r="L4" s="131"/>
      <c r="M4" s="131"/>
      <c r="N4" s="137"/>
      <c r="O4" s="31" t="str">
        <f>IF(C4="","入力してください","")</f>
        <v/>
      </c>
    </row>
    <row r="5" spans="1:15" ht="7.5" customHeight="1" x14ac:dyDescent="0.15">
      <c r="B5" s="15"/>
      <c r="C5" s="15"/>
      <c r="D5" s="15"/>
      <c r="E5" s="16"/>
      <c r="F5" s="37"/>
      <c r="G5" s="37"/>
      <c r="H5" s="37"/>
      <c r="I5" s="37"/>
      <c r="J5" s="37"/>
      <c r="K5" s="37"/>
      <c r="L5" s="37"/>
      <c r="M5" s="37"/>
      <c r="N5" s="37"/>
    </row>
    <row r="6" spans="1:15" ht="24" customHeight="1" x14ac:dyDescent="0.15">
      <c r="A6" s="14" t="s">
        <v>50</v>
      </c>
      <c r="B6" s="15" t="s">
        <v>51</v>
      </c>
      <c r="C6" s="15"/>
      <c r="D6" s="130" t="s">
        <v>155</v>
      </c>
      <c r="E6" s="131"/>
      <c r="F6" s="131"/>
      <c r="G6" s="131"/>
      <c r="H6" s="137"/>
      <c r="I6" s="17" t="s">
        <v>90</v>
      </c>
      <c r="J6" s="37" t="s">
        <v>91</v>
      </c>
      <c r="K6" s="130" t="s">
        <v>156</v>
      </c>
      <c r="L6" s="131"/>
      <c r="M6" s="131"/>
      <c r="N6" s="137"/>
      <c r="O6" s="31" t="str">
        <f>IF(D6="","入力してください","")</f>
        <v/>
      </c>
    </row>
    <row r="7" spans="1:15" ht="7.5" customHeight="1" x14ac:dyDescent="0.15">
      <c r="B7" s="15"/>
      <c r="C7" s="15"/>
      <c r="D7" s="15"/>
      <c r="E7" s="16"/>
      <c r="F7" s="37"/>
      <c r="G7" s="37"/>
      <c r="H7" s="37"/>
      <c r="I7" s="37"/>
      <c r="J7" s="37"/>
      <c r="K7" s="37"/>
      <c r="L7" s="37"/>
      <c r="M7" s="37"/>
      <c r="N7" s="37"/>
    </row>
    <row r="8" spans="1:15" ht="24" customHeight="1" x14ac:dyDescent="0.15">
      <c r="A8" s="14" t="s">
        <v>14</v>
      </c>
      <c r="B8" s="15" t="s">
        <v>47</v>
      </c>
      <c r="C8" s="130" t="s">
        <v>157</v>
      </c>
      <c r="D8" s="131"/>
      <c r="E8" s="131"/>
      <c r="F8" s="131"/>
      <c r="G8" s="131"/>
      <c r="H8" s="131"/>
      <c r="I8" s="131"/>
      <c r="J8" s="131"/>
      <c r="K8" s="131"/>
      <c r="L8" s="131"/>
      <c r="M8" s="131"/>
      <c r="N8" s="137"/>
      <c r="O8" s="31" t="str">
        <f>IF(C8="","入力してください","")</f>
        <v/>
      </c>
    </row>
    <row r="9" spans="1:15" ht="7.5" customHeight="1" x14ac:dyDescent="0.15">
      <c r="B9" s="15"/>
      <c r="C9" s="15"/>
      <c r="D9" s="15"/>
      <c r="E9" s="16"/>
      <c r="F9" s="37"/>
      <c r="G9" s="37"/>
      <c r="H9" s="37"/>
      <c r="I9" s="37"/>
      <c r="J9" s="37"/>
      <c r="K9" s="37"/>
      <c r="L9" s="37"/>
      <c r="M9" s="37"/>
      <c r="N9" s="37"/>
    </row>
    <row r="10" spans="1:15" ht="24" customHeight="1" x14ac:dyDescent="0.15">
      <c r="A10" s="14" t="s">
        <v>12</v>
      </c>
      <c r="B10" s="15" t="s">
        <v>89</v>
      </c>
      <c r="C10" s="15"/>
      <c r="D10" s="15"/>
      <c r="E10" s="130" t="s">
        <v>158</v>
      </c>
      <c r="F10" s="131"/>
      <c r="G10" s="131"/>
      <c r="H10" s="131"/>
      <c r="I10" s="131"/>
      <c r="J10" s="131"/>
      <c r="K10" s="131"/>
      <c r="L10" s="131"/>
      <c r="M10" s="131"/>
      <c r="N10" s="137"/>
      <c r="O10" s="31" t="str">
        <f>IF(E10="","入力してください","")</f>
        <v/>
      </c>
    </row>
    <row r="11" spans="1:15" ht="7.5" customHeight="1" x14ac:dyDescent="0.15">
      <c r="B11" s="16"/>
      <c r="C11" s="16"/>
      <c r="D11" s="16"/>
      <c r="E11" s="16"/>
      <c r="F11" s="37"/>
      <c r="G11" s="37"/>
      <c r="H11" s="37"/>
      <c r="I11" s="37"/>
      <c r="J11" s="37"/>
      <c r="K11" s="37"/>
      <c r="L11" s="37"/>
      <c r="M11" s="37"/>
      <c r="N11" s="37"/>
    </row>
    <row r="12" spans="1:15" ht="24" customHeight="1" x14ac:dyDescent="0.15">
      <c r="A12" s="14" t="s">
        <v>60</v>
      </c>
      <c r="B12" s="16" t="s">
        <v>61</v>
      </c>
      <c r="C12" s="16"/>
      <c r="D12" s="16"/>
      <c r="E12" s="143" t="s">
        <v>192</v>
      </c>
      <c r="F12" s="144"/>
      <c r="G12" s="17" t="s">
        <v>100</v>
      </c>
      <c r="H12" s="14" t="s">
        <v>101</v>
      </c>
      <c r="N12" s="117" t="s">
        <v>159</v>
      </c>
      <c r="O12" s="31" t="str">
        <f>IF(E12="","入力してください","")</f>
        <v/>
      </c>
    </row>
    <row r="13" spans="1:15" ht="7.5" customHeight="1" x14ac:dyDescent="0.15">
      <c r="B13" s="16"/>
      <c r="C13" s="16"/>
      <c r="D13" s="16"/>
      <c r="E13" s="16"/>
      <c r="F13" s="37"/>
      <c r="G13" s="37"/>
      <c r="H13" s="37"/>
      <c r="I13" s="37"/>
      <c r="J13" s="37"/>
      <c r="K13" s="37"/>
      <c r="L13" s="37"/>
      <c r="M13" s="37"/>
      <c r="N13" s="37"/>
    </row>
    <row r="14" spans="1:15" ht="24" customHeight="1" x14ac:dyDescent="0.15">
      <c r="A14" s="14" t="s">
        <v>55</v>
      </c>
      <c r="B14" s="14" t="s">
        <v>0</v>
      </c>
      <c r="C14" s="139" t="s">
        <v>5</v>
      </c>
      <c r="D14" s="140"/>
      <c r="E14" s="134">
        <v>146</v>
      </c>
      <c r="F14" s="135"/>
      <c r="G14" s="18" t="s">
        <v>8</v>
      </c>
      <c r="I14" s="139" t="s">
        <v>9</v>
      </c>
      <c r="J14" s="140"/>
      <c r="K14" s="134">
        <v>366</v>
      </c>
      <c r="L14" s="141"/>
      <c r="M14" s="135"/>
      <c r="N14" s="19" t="s">
        <v>8</v>
      </c>
      <c r="O14" s="31" t="str">
        <f>IF(OR(E14="",K14=""),"入力してください","")</f>
        <v/>
      </c>
    </row>
    <row r="15" spans="1:15" ht="7.5" customHeight="1" x14ac:dyDescent="0.15">
      <c r="F15" s="20"/>
      <c r="G15" s="20"/>
      <c r="H15" s="20"/>
      <c r="I15" s="20"/>
      <c r="J15" s="20"/>
      <c r="K15" s="20"/>
      <c r="L15" s="20"/>
      <c r="M15" s="19"/>
      <c r="N15" s="19"/>
    </row>
    <row r="16" spans="1:15" ht="24" customHeight="1" x14ac:dyDescent="0.15">
      <c r="A16" s="14" t="s">
        <v>62</v>
      </c>
      <c r="B16" s="14" t="s">
        <v>72</v>
      </c>
      <c r="F16" s="20"/>
      <c r="G16" s="20"/>
      <c r="H16" s="20"/>
      <c r="I16" s="20"/>
      <c r="J16" s="20"/>
      <c r="K16" s="122">
        <v>2</v>
      </c>
      <c r="L16" s="123"/>
      <c r="M16" s="124"/>
      <c r="N16" s="19" t="s">
        <v>53</v>
      </c>
      <c r="O16" s="31" t="str">
        <f>IF(K16="","入力してください","")</f>
        <v/>
      </c>
    </row>
    <row r="17" spans="1:15" ht="7.5" customHeight="1" x14ac:dyDescent="0.15">
      <c r="F17" s="20"/>
      <c r="G17" s="20"/>
      <c r="H17" s="20"/>
      <c r="I17" s="20"/>
      <c r="J17" s="20"/>
      <c r="K17" s="20"/>
      <c r="L17" s="20"/>
      <c r="M17" s="19"/>
      <c r="N17" s="19"/>
    </row>
    <row r="18" spans="1:15" ht="24" customHeight="1" x14ac:dyDescent="0.15">
      <c r="A18" s="14" t="s">
        <v>25</v>
      </c>
      <c r="B18" s="14" t="s">
        <v>81</v>
      </c>
      <c r="E18" s="134">
        <v>1645</v>
      </c>
      <c r="F18" s="135"/>
      <c r="G18" s="21" t="s">
        <v>22</v>
      </c>
      <c r="H18" s="20"/>
      <c r="K18" s="136"/>
      <c r="L18" s="136"/>
      <c r="M18" s="136"/>
      <c r="N18" s="136"/>
      <c r="O18" s="31" t="str">
        <f>IF(E18="","入力してください","")</f>
        <v/>
      </c>
    </row>
    <row r="19" spans="1:15" ht="7.5" customHeight="1" x14ac:dyDescent="0.15">
      <c r="E19" s="10"/>
      <c r="F19" s="20"/>
      <c r="G19" s="20"/>
      <c r="L19" s="36"/>
      <c r="M19" s="36"/>
      <c r="N19" s="22"/>
    </row>
    <row r="20" spans="1:15" ht="24" customHeight="1" x14ac:dyDescent="0.15">
      <c r="A20" s="14" t="s">
        <v>80</v>
      </c>
      <c r="B20" s="14" t="s">
        <v>82</v>
      </c>
      <c r="E20" s="10"/>
      <c r="F20" s="20"/>
      <c r="G20" s="20"/>
      <c r="H20" s="14" t="s">
        <v>54</v>
      </c>
      <c r="J20" s="125">
        <v>6966</v>
      </c>
      <c r="K20" s="126"/>
      <c r="L20" s="127"/>
      <c r="M20" s="36" t="s">
        <v>53</v>
      </c>
      <c r="N20" s="22"/>
      <c r="O20" s="31" t="str">
        <f>IF(J20="","入力してください","")</f>
        <v/>
      </c>
    </row>
    <row r="21" spans="1:15" ht="7.5" customHeight="1" x14ac:dyDescent="0.15">
      <c r="E21" s="10"/>
      <c r="F21" s="20"/>
      <c r="G21" s="20"/>
      <c r="L21" s="36"/>
      <c r="M21" s="36"/>
      <c r="N21" s="22"/>
    </row>
    <row r="22" spans="1:15" ht="24" customHeight="1" x14ac:dyDescent="0.15">
      <c r="B22" s="29" t="s">
        <v>18</v>
      </c>
      <c r="C22" s="134">
        <v>1702</v>
      </c>
      <c r="D22" s="135"/>
      <c r="E22" s="10" t="s">
        <v>23</v>
      </c>
      <c r="F22" s="20"/>
      <c r="G22" s="128" t="s">
        <v>19</v>
      </c>
      <c r="H22" s="128"/>
      <c r="I22" s="134">
        <v>1608</v>
      </c>
      <c r="J22" s="135"/>
      <c r="K22" s="17" t="s">
        <v>23</v>
      </c>
      <c r="M22" s="36"/>
      <c r="N22" s="22"/>
    </row>
    <row r="23" spans="1:15" ht="7.5" customHeight="1" x14ac:dyDescent="0.15">
      <c r="B23" s="29"/>
      <c r="C23" s="11"/>
      <c r="D23" s="11"/>
      <c r="E23" s="10"/>
      <c r="F23" s="20"/>
      <c r="G23" s="36"/>
      <c r="H23" s="36"/>
      <c r="I23" s="11"/>
      <c r="J23" s="11"/>
      <c r="K23" s="17"/>
      <c r="M23" s="36"/>
      <c r="N23" s="22"/>
    </row>
    <row r="24" spans="1:15" ht="24" customHeight="1" x14ac:dyDescent="0.15">
      <c r="B24" s="29" t="s">
        <v>20</v>
      </c>
      <c r="C24" s="134">
        <v>1605</v>
      </c>
      <c r="D24" s="135"/>
      <c r="E24" s="10" t="s">
        <v>23</v>
      </c>
      <c r="F24" s="20"/>
      <c r="G24" s="128" t="s">
        <v>21</v>
      </c>
      <c r="H24" s="128"/>
      <c r="I24" s="134">
        <v>2051</v>
      </c>
      <c r="J24" s="135"/>
      <c r="K24" s="17" t="s">
        <v>23</v>
      </c>
      <c r="M24" s="36"/>
      <c r="N24" s="22"/>
    </row>
    <row r="25" spans="1:15" ht="7.5" customHeight="1" x14ac:dyDescent="0.15">
      <c r="B25" s="29"/>
      <c r="C25" s="11"/>
      <c r="D25" s="11"/>
      <c r="E25" s="10"/>
      <c r="F25" s="20"/>
      <c r="G25" s="36"/>
      <c r="H25" s="36"/>
      <c r="I25" s="11"/>
      <c r="J25" s="11"/>
      <c r="K25" s="17"/>
      <c r="M25" s="36"/>
      <c r="N25" s="22"/>
    </row>
    <row r="26" spans="1:15" ht="24" customHeight="1" x14ac:dyDescent="0.15">
      <c r="B26" s="29" t="s">
        <v>48</v>
      </c>
      <c r="C26" s="134" t="s">
        <v>160</v>
      </c>
      <c r="D26" s="135"/>
      <c r="E26" s="10" t="s">
        <v>8</v>
      </c>
      <c r="F26" s="20"/>
      <c r="G26" s="128" t="s">
        <v>49</v>
      </c>
      <c r="H26" s="128"/>
      <c r="I26" s="134" t="s">
        <v>160</v>
      </c>
      <c r="J26" s="135"/>
      <c r="K26" s="17" t="s">
        <v>8</v>
      </c>
      <c r="M26" s="36"/>
      <c r="N26" s="22"/>
    </row>
    <row r="27" spans="1:15" ht="7.5" customHeight="1" x14ac:dyDescent="0.15">
      <c r="F27" s="20"/>
      <c r="G27" s="20"/>
      <c r="M27" s="23"/>
      <c r="N27" s="23"/>
    </row>
    <row r="28" spans="1:15" ht="24" customHeight="1" x14ac:dyDescent="0.15">
      <c r="A28" s="14" t="s">
        <v>52</v>
      </c>
      <c r="B28" s="15" t="s">
        <v>79</v>
      </c>
      <c r="C28" s="15"/>
      <c r="D28" s="15"/>
      <c r="E28" s="15"/>
      <c r="F28" s="17"/>
      <c r="G28" s="37"/>
      <c r="H28" s="37"/>
      <c r="I28" s="37"/>
      <c r="J28" s="24"/>
      <c r="K28" s="24"/>
      <c r="L28" s="24"/>
      <c r="M28" s="24"/>
      <c r="N28" s="24"/>
    </row>
    <row r="29" spans="1:15" s="14" customFormat="1" ht="24" customHeight="1" x14ac:dyDescent="0.15">
      <c r="B29" s="129" t="s">
        <v>78</v>
      </c>
      <c r="C29" s="129"/>
      <c r="D29" s="130" t="s">
        <v>161</v>
      </c>
      <c r="E29" s="131"/>
      <c r="F29" s="131"/>
      <c r="G29" s="132" t="s">
        <v>24</v>
      </c>
      <c r="H29" s="129"/>
      <c r="I29" s="133"/>
      <c r="J29" s="130" t="s">
        <v>162</v>
      </c>
      <c r="K29" s="131"/>
      <c r="L29" s="131"/>
      <c r="M29" s="131"/>
      <c r="N29" s="137"/>
      <c r="O29" s="31" t="str">
        <f>IF(OR(D29="",J29=""),"入力してください","")</f>
        <v/>
      </c>
    </row>
    <row r="30" spans="1:15" ht="7.5" customHeight="1" x14ac:dyDescent="0.15">
      <c r="F30" s="20"/>
      <c r="G30" s="20"/>
      <c r="M30" s="23"/>
      <c r="N30" s="23"/>
    </row>
    <row r="31" spans="1:15" ht="24" customHeight="1" x14ac:dyDescent="0.15">
      <c r="A31" s="14" t="s">
        <v>56</v>
      </c>
      <c r="B31" s="15" t="s">
        <v>84</v>
      </c>
      <c r="C31" s="15"/>
      <c r="D31" s="15"/>
      <c r="E31" s="15"/>
      <c r="F31" s="17"/>
      <c r="G31" s="24"/>
      <c r="H31" s="24"/>
      <c r="I31" s="24"/>
      <c r="J31" s="24"/>
      <c r="K31" s="24"/>
      <c r="L31" s="24"/>
      <c r="M31" s="24"/>
      <c r="N31" s="24"/>
    </row>
    <row r="32" spans="1:15" ht="24" customHeight="1" x14ac:dyDescent="0.15">
      <c r="B32" s="130" t="s">
        <v>163</v>
      </c>
      <c r="C32" s="131"/>
      <c r="D32" s="131"/>
      <c r="E32" s="131"/>
      <c r="F32" s="131"/>
      <c r="G32" s="131"/>
      <c r="H32" s="131"/>
      <c r="I32" s="131"/>
      <c r="J32" s="131"/>
      <c r="K32" s="131"/>
      <c r="L32" s="131"/>
      <c r="M32" s="131"/>
      <c r="N32" s="137"/>
      <c r="O32" s="31" t="str">
        <f>IF(B32="","入力してください","")</f>
        <v/>
      </c>
    </row>
    <row r="33" spans="1:15" ht="7.5" customHeight="1" x14ac:dyDescent="0.15">
      <c r="B33" s="12"/>
      <c r="C33" s="12"/>
      <c r="D33" s="12"/>
      <c r="E33" s="12"/>
      <c r="F33" s="12"/>
      <c r="G33" s="12"/>
      <c r="H33" s="12"/>
      <c r="I33" s="12"/>
      <c r="J33" s="12"/>
      <c r="K33" s="12"/>
      <c r="L33" s="12"/>
      <c r="M33" s="12"/>
      <c r="N33" s="12"/>
    </row>
    <row r="34" spans="1:15" s="14" customFormat="1" ht="24" customHeight="1" x14ac:dyDescent="0.15">
      <c r="B34" s="129" t="s">
        <v>78</v>
      </c>
      <c r="C34" s="129"/>
      <c r="D34" s="130" t="s">
        <v>164</v>
      </c>
      <c r="E34" s="131"/>
      <c r="F34" s="131"/>
      <c r="G34" s="132" t="s">
        <v>57</v>
      </c>
      <c r="H34" s="129"/>
      <c r="I34" s="133"/>
      <c r="J34" s="130" t="s">
        <v>165</v>
      </c>
      <c r="K34" s="131"/>
      <c r="L34" s="131"/>
      <c r="M34" s="131"/>
      <c r="N34" s="137"/>
      <c r="O34" s="31" t="str">
        <f>IF(OR(D34="",J34=""),"入力してください","")</f>
        <v/>
      </c>
    </row>
    <row r="35" spans="1:15" ht="7.5" customHeight="1" x14ac:dyDescent="0.15">
      <c r="F35" s="37"/>
      <c r="G35" s="37"/>
      <c r="H35" s="37"/>
      <c r="I35" s="37"/>
      <c r="J35" s="37"/>
      <c r="K35" s="37"/>
      <c r="L35" s="37"/>
      <c r="M35" s="37"/>
      <c r="N35" s="37"/>
    </row>
    <row r="36" spans="1:15" ht="24" customHeight="1" x14ac:dyDescent="0.15">
      <c r="A36" s="14" t="s">
        <v>63</v>
      </c>
      <c r="B36" s="14" t="s">
        <v>85</v>
      </c>
      <c r="M36" s="23"/>
      <c r="N36" s="23"/>
    </row>
    <row r="37" spans="1:15" ht="24" customHeight="1" x14ac:dyDescent="0.15">
      <c r="B37" s="130" t="s">
        <v>163</v>
      </c>
      <c r="C37" s="131"/>
      <c r="D37" s="131"/>
      <c r="E37" s="131"/>
      <c r="F37" s="131"/>
      <c r="G37" s="131"/>
      <c r="H37" s="131"/>
      <c r="I37" s="131"/>
      <c r="J37" s="131"/>
      <c r="K37" s="131"/>
      <c r="L37" s="131"/>
      <c r="M37" s="131"/>
      <c r="N37" s="137"/>
      <c r="O37" s="31" t="str">
        <f>IF(B37="","入力してください","")</f>
        <v/>
      </c>
    </row>
    <row r="38" spans="1:15" ht="7.5" customHeight="1" x14ac:dyDescent="0.15">
      <c r="F38" s="37"/>
      <c r="G38" s="37"/>
      <c r="H38" s="37"/>
      <c r="I38" s="37"/>
      <c r="J38" s="37"/>
      <c r="K38" s="37"/>
      <c r="L38" s="37"/>
      <c r="M38" s="37"/>
      <c r="N38" s="37"/>
    </row>
    <row r="39" spans="1:15" s="14" customFormat="1" ht="24" customHeight="1" x14ac:dyDescent="0.15">
      <c r="B39" s="129" t="s">
        <v>78</v>
      </c>
      <c r="C39" s="129"/>
      <c r="D39" s="130" t="s">
        <v>164</v>
      </c>
      <c r="E39" s="131"/>
      <c r="F39" s="131"/>
      <c r="G39" s="132" t="s">
        <v>57</v>
      </c>
      <c r="H39" s="129"/>
      <c r="I39" s="133"/>
      <c r="J39" s="130" t="s">
        <v>165</v>
      </c>
      <c r="K39" s="131"/>
      <c r="L39" s="131"/>
      <c r="M39" s="131"/>
      <c r="N39" s="137"/>
      <c r="O39" s="31" t="str">
        <f>IF(OR(D39="",J39=""),"入力してください","")</f>
        <v/>
      </c>
    </row>
    <row r="40" spans="1:15" ht="7.5" customHeight="1" x14ac:dyDescent="0.15">
      <c r="F40" s="37"/>
      <c r="G40" s="37"/>
      <c r="H40" s="37"/>
      <c r="I40" s="37"/>
      <c r="J40" s="37"/>
      <c r="K40" s="37"/>
      <c r="L40" s="37"/>
      <c r="M40" s="37"/>
      <c r="N40" s="37"/>
    </row>
    <row r="41" spans="1:15" ht="24" customHeight="1" x14ac:dyDescent="0.15">
      <c r="A41" s="14" t="s">
        <v>92</v>
      </c>
      <c r="B41" s="73" t="s">
        <v>71</v>
      </c>
      <c r="E41" s="74"/>
      <c r="F41" s="130" t="s">
        <v>166</v>
      </c>
      <c r="G41" s="131"/>
      <c r="H41" s="131"/>
      <c r="I41" s="131"/>
      <c r="J41" s="131"/>
      <c r="K41" s="131"/>
      <c r="L41" s="131"/>
      <c r="M41" s="131"/>
      <c r="N41" s="137"/>
      <c r="O41" s="31" t="str">
        <f>IF(F41="","入力してください","")</f>
        <v/>
      </c>
    </row>
    <row r="42" spans="1:15" ht="7.5" customHeight="1" x14ac:dyDescent="0.15">
      <c r="F42" s="37"/>
      <c r="G42" s="37"/>
      <c r="H42" s="37"/>
      <c r="I42" s="37"/>
      <c r="J42" s="37"/>
      <c r="K42" s="37"/>
      <c r="L42" s="37"/>
      <c r="M42" s="37"/>
      <c r="N42" s="37"/>
    </row>
    <row r="43" spans="1:15" ht="24" customHeight="1" x14ac:dyDescent="0.15">
      <c r="A43" s="14" t="s">
        <v>102</v>
      </c>
    </row>
    <row r="44" spans="1:15" ht="24" customHeight="1" x14ac:dyDescent="0.15">
      <c r="B44" s="30" t="s">
        <v>1</v>
      </c>
      <c r="C44" s="151" t="s">
        <v>167</v>
      </c>
      <c r="D44" s="152"/>
      <c r="E44" s="152"/>
      <c r="F44" s="152"/>
      <c r="G44" s="152"/>
      <c r="H44" s="152"/>
      <c r="I44" s="26" t="s">
        <v>2</v>
      </c>
      <c r="J44" s="27"/>
      <c r="K44" s="130" t="s">
        <v>168</v>
      </c>
      <c r="L44" s="131"/>
      <c r="M44" s="131"/>
      <c r="N44" s="137"/>
      <c r="O44" s="31" t="str">
        <f>IF(OR(C44="",K44=""),"入力してください","")</f>
        <v/>
      </c>
    </row>
    <row r="45" spans="1:15" ht="24" customHeight="1" x14ac:dyDescent="0.15">
      <c r="B45" s="25" t="s">
        <v>4</v>
      </c>
      <c r="C45" s="145" t="s">
        <v>170</v>
      </c>
      <c r="D45" s="146"/>
      <c r="E45" s="146"/>
      <c r="F45" s="146"/>
      <c r="G45" s="146"/>
      <c r="H45" s="147"/>
      <c r="I45" s="26" t="s">
        <v>3</v>
      </c>
      <c r="J45" s="27"/>
      <c r="K45" s="148" t="s">
        <v>169</v>
      </c>
      <c r="L45" s="149"/>
      <c r="M45" s="149"/>
      <c r="N45" s="150"/>
      <c r="O45" s="31" t="str">
        <f>IF(OR(C45="",K45=""),"入力してください","")</f>
        <v/>
      </c>
    </row>
  </sheetData>
  <mergeCells count="44">
    <mergeCell ref="C45:H45"/>
    <mergeCell ref="K45:N45"/>
    <mergeCell ref="G24:H24"/>
    <mergeCell ref="K44:N44"/>
    <mergeCell ref="I24:J24"/>
    <mergeCell ref="C44:H44"/>
    <mergeCell ref="B34:C34"/>
    <mergeCell ref="J34:N34"/>
    <mergeCell ref="D34:F34"/>
    <mergeCell ref="G34:I34"/>
    <mergeCell ref="B39:C39"/>
    <mergeCell ref="D39:F39"/>
    <mergeCell ref="C24:D24"/>
    <mergeCell ref="G39:I39"/>
    <mergeCell ref="F41:N41"/>
    <mergeCell ref="J29:N29"/>
    <mergeCell ref="M1:N1"/>
    <mergeCell ref="C14:D14"/>
    <mergeCell ref="C8:N8"/>
    <mergeCell ref="K14:M14"/>
    <mergeCell ref="C4:N4"/>
    <mergeCell ref="A2:N2"/>
    <mergeCell ref="E14:F14"/>
    <mergeCell ref="I14:J14"/>
    <mergeCell ref="E10:N10"/>
    <mergeCell ref="K6:N6"/>
    <mergeCell ref="D6:H6"/>
    <mergeCell ref="E12:F12"/>
    <mergeCell ref="J39:N39"/>
    <mergeCell ref="B32:N32"/>
    <mergeCell ref="B37:N37"/>
    <mergeCell ref="G26:H26"/>
    <mergeCell ref="I26:J26"/>
    <mergeCell ref="K16:M16"/>
    <mergeCell ref="J20:L20"/>
    <mergeCell ref="G22:H22"/>
    <mergeCell ref="B29:C29"/>
    <mergeCell ref="D29:F29"/>
    <mergeCell ref="G29:I29"/>
    <mergeCell ref="C26:D26"/>
    <mergeCell ref="I22:J22"/>
    <mergeCell ref="C22:D22"/>
    <mergeCell ref="K18:N18"/>
    <mergeCell ref="E18:F18"/>
  </mergeCells>
  <phoneticPr fontId="1"/>
  <dataValidations count="3">
    <dataValidation type="list" allowBlank="1" showInputMessage="1" showErrorMessage="1" sqref="K6">
      <formula1>"国立大学, 公立大学, 私立大学, 短期大学, 高等専門学校, その他"</formula1>
    </dataValidation>
    <dataValidation type="list" allowBlank="1" showInputMessage="1" showErrorMessage="1" sqref="N12">
      <formula1>"有,無"</formula1>
    </dataValidation>
    <dataValidation type="list" allowBlank="1" showInputMessage="1" showErrorMessage="1" sqref="F41:N41">
      <formula1>"認定教育プログラム,認定教育プログラム+（プラス）,認定教育プログラムと認定教育プログラム+（プラス）"</formula1>
    </dataValidation>
  </dataValidations>
  <hyperlinks>
    <hyperlink ref="C45" r:id="rId1"/>
  </hyperlinks>
  <printOptions horizontalCentered="1"/>
  <pageMargins left="0.78740157480314965" right="0.78740157480314965" top="0.78740157480314965" bottom="0.39370078740157483" header="0.31496062992125984" footer="0.31496062992125984"/>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98"/>
  <sheetViews>
    <sheetView showZeros="0" view="pageBreakPreview" zoomScaleNormal="100" zoomScaleSheetLayoutView="100" workbookViewId="0"/>
  </sheetViews>
  <sheetFormatPr defaultColWidth="9" defaultRowHeight="18.75" customHeight="1" x14ac:dyDescent="0.15"/>
  <cols>
    <col min="1" max="1" width="2.5" style="13" customWidth="1"/>
    <col min="2" max="2" width="27.75" style="13" customWidth="1"/>
    <col min="3" max="13" width="3.375" style="13" customWidth="1"/>
    <col min="14" max="14" width="8.875" style="13" customWidth="1"/>
    <col min="15" max="15" width="18.875" style="13" customWidth="1"/>
    <col min="16" max="19" width="3.375" style="13" customWidth="1"/>
    <col min="20" max="20" width="3.5" style="13" customWidth="1"/>
    <col min="21" max="26" width="3.375" style="13" customWidth="1"/>
    <col min="27" max="16384" width="9" style="13"/>
  </cols>
  <sheetData>
    <row r="1" spans="1:26" ht="15" customHeight="1" x14ac:dyDescent="0.15">
      <c r="W1" s="174" t="s">
        <v>117</v>
      </c>
      <c r="X1" s="174"/>
      <c r="Y1" s="174"/>
      <c r="Z1" s="174"/>
    </row>
    <row r="2" spans="1:26" ht="18" customHeight="1" x14ac:dyDescent="0.15">
      <c r="A2" s="209" t="s">
        <v>69</v>
      </c>
      <c r="B2" s="209"/>
      <c r="C2" s="209"/>
      <c r="D2" s="209"/>
      <c r="E2" s="209"/>
      <c r="F2" s="209"/>
      <c r="G2" s="209"/>
      <c r="H2" s="209"/>
      <c r="I2" s="209"/>
      <c r="J2" s="209"/>
      <c r="K2" s="209"/>
      <c r="L2" s="209"/>
      <c r="M2" s="209"/>
      <c r="N2" s="209"/>
      <c r="O2" s="209"/>
      <c r="P2" s="209"/>
      <c r="Q2" s="209"/>
      <c r="R2" s="209"/>
      <c r="S2" s="209"/>
      <c r="T2" s="209"/>
      <c r="U2" s="209"/>
      <c r="V2" s="209"/>
      <c r="W2" s="209"/>
      <c r="X2" s="209"/>
      <c r="Y2" s="209"/>
      <c r="Z2" s="209"/>
    </row>
    <row r="3" spans="1:26" ht="15" customHeight="1" x14ac:dyDescent="0.15">
      <c r="B3" s="29"/>
      <c r="C3" s="29"/>
      <c r="D3" s="29"/>
      <c r="E3" s="29"/>
      <c r="F3" s="29"/>
      <c r="G3" s="29"/>
      <c r="H3" s="29"/>
      <c r="I3" s="29"/>
      <c r="J3" s="29"/>
      <c r="K3" s="29"/>
      <c r="L3" s="29"/>
      <c r="M3" s="29"/>
      <c r="N3" s="29"/>
      <c r="O3" s="29"/>
      <c r="P3" s="29"/>
      <c r="Q3" s="29"/>
      <c r="R3" s="29"/>
      <c r="S3" s="29"/>
      <c r="T3" s="29"/>
      <c r="U3" s="29"/>
      <c r="V3" s="29"/>
      <c r="W3" s="29"/>
      <c r="X3" s="29"/>
      <c r="Y3" s="29"/>
      <c r="Z3" s="29"/>
    </row>
    <row r="4" spans="1:26" ht="18" customHeight="1" x14ac:dyDescent="0.15">
      <c r="A4" s="13" t="s">
        <v>103</v>
      </c>
      <c r="B4" s="29"/>
      <c r="C4" s="29"/>
      <c r="D4" s="29"/>
      <c r="E4" s="29"/>
      <c r="F4" s="29"/>
      <c r="G4" s="29"/>
      <c r="H4" s="15" t="s">
        <v>116</v>
      </c>
      <c r="I4" s="29"/>
      <c r="J4" s="29"/>
      <c r="K4" s="29"/>
      <c r="L4" s="29"/>
      <c r="M4" s="29"/>
      <c r="N4" s="29"/>
      <c r="O4" s="122" t="s">
        <v>171</v>
      </c>
      <c r="P4" s="123"/>
      <c r="Q4" s="123"/>
      <c r="R4" s="123"/>
      <c r="S4" s="123"/>
      <c r="T4" s="123"/>
      <c r="U4" s="123"/>
      <c r="V4" s="123"/>
      <c r="W4" s="123"/>
      <c r="X4" s="123"/>
      <c r="Y4" s="123"/>
      <c r="Z4" s="124"/>
    </row>
    <row r="5" spans="1:26" ht="6" customHeight="1" x14ac:dyDescent="0.15">
      <c r="B5" s="29"/>
      <c r="C5" s="29"/>
      <c r="D5" s="29"/>
      <c r="E5" s="29"/>
      <c r="F5" s="29"/>
      <c r="G5" s="29"/>
      <c r="H5" s="29"/>
      <c r="I5" s="29"/>
      <c r="J5" s="29"/>
      <c r="K5" s="29"/>
      <c r="L5" s="29"/>
      <c r="M5" s="29"/>
      <c r="N5" s="29"/>
      <c r="O5" s="16"/>
      <c r="P5" s="29"/>
      <c r="Q5" s="29"/>
      <c r="R5" s="29"/>
      <c r="S5" s="29"/>
      <c r="T5" s="29"/>
      <c r="U5" s="29"/>
      <c r="V5" s="29"/>
      <c r="W5" s="29"/>
      <c r="X5" s="29"/>
      <c r="Y5" s="29"/>
      <c r="Z5" s="29"/>
    </row>
    <row r="6" spans="1:26" ht="18" customHeight="1" x14ac:dyDescent="0.15">
      <c r="B6" s="210" t="s">
        <v>212</v>
      </c>
      <c r="C6" s="211"/>
      <c r="D6" s="211"/>
      <c r="E6" s="211"/>
      <c r="F6" s="211"/>
      <c r="G6" s="211"/>
      <c r="H6" s="211"/>
      <c r="I6" s="211"/>
      <c r="J6" s="211"/>
      <c r="K6" s="211"/>
      <c r="L6" s="211"/>
      <c r="M6" s="211"/>
      <c r="N6" s="211"/>
      <c r="O6" s="211"/>
      <c r="P6" s="211"/>
      <c r="Q6" s="211"/>
      <c r="R6" s="211"/>
      <c r="S6" s="211"/>
      <c r="T6" s="211"/>
      <c r="U6" s="211"/>
      <c r="V6" s="211"/>
      <c r="W6" s="211"/>
      <c r="X6" s="211"/>
      <c r="Y6" s="211"/>
      <c r="Z6" s="212"/>
    </row>
    <row r="7" spans="1:26" ht="18" customHeight="1" x14ac:dyDescent="0.15">
      <c r="B7" s="213"/>
      <c r="C7" s="214"/>
      <c r="D7" s="214"/>
      <c r="E7" s="214"/>
      <c r="F7" s="214"/>
      <c r="G7" s="214"/>
      <c r="H7" s="214"/>
      <c r="I7" s="214"/>
      <c r="J7" s="214"/>
      <c r="K7" s="214"/>
      <c r="L7" s="214"/>
      <c r="M7" s="214"/>
      <c r="N7" s="214"/>
      <c r="O7" s="214"/>
      <c r="P7" s="214"/>
      <c r="Q7" s="214"/>
      <c r="R7" s="214"/>
      <c r="S7" s="214"/>
      <c r="T7" s="214"/>
      <c r="U7" s="214"/>
      <c r="V7" s="214"/>
      <c r="W7" s="214"/>
      <c r="X7" s="214"/>
      <c r="Y7" s="214"/>
      <c r="Z7" s="215"/>
    </row>
    <row r="8" spans="1:26" ht="18" customHeight="1" x14ac:dyDescent="0.15">
      <c r="B8" s="213"/>
      <c r="C8" s="214"/>
      <c r="D8" s="214"/>
      <c r="E8" s="214"/>
      <c r="F8" s="214"/>
      <c r="G8" s="214"/>
      <c r="H8" s="214"/>
      <c r="I8" s="214"/>
      <c r="J8" s="214"/>
      <c r="K8" s="214"/>
      <c r="L8" s="214"/>
      <c r="M8" s="214"/>
      <c r="N8" s="214"/>
      <c r="O8" s="214"/>
      <c r="P8" s="214"/>
      <c r="Q8" s="214"/>
      <c r="R8" s="214"/>
      <c r="S8" s="214"/>
      <c r="T8" s="214"/>
      <c r="U8" s="214"/>
      <c r="V8" s="214"/>
      <c r="W8" s="214"/>
      <c r="X8" s="214"/>
      <c r="Y8" s="214"/>
      <c r="Z8" s="215"/>
    </row>
    <row r="9" spans="1:26" ht="18" customHeight="1" x14ac:dyDescent="0.15">
      <c r="B9" s="213"/>
      <c r="C9" s="214"/>
      <c r="D9" s="214"/>
      <c r="E9" s="214"/>
      <c r="F9" s="214"/>
      <c r="G9" s="214"/>
      <c r="H9" s="214"/>
      <c r="I9" s="214"/>
      <c r="J9" s="214"/>
      <c r="K9" s="214"/>
      <c r="L9" s="214"/>
      <c r="M9" s="214"/>
      <c r="N9" s="214"/>
      <c r="O9" s="214"/>
      <c r="P9" s="214"/>
      <c r="Q9" s="214"/>
      <c r="R9" s="214"/>
      <c r="S9" s="214"/>
      <c r="T9" s="214"/>
      <c r="U9" s="214"/>
      <c r="V9" s="214"/>
      <c r="W9" s="214"/>
      <c r="X9" s="214"/>
      <c r="Y9" s="214"/>
      <c r="Z9" s="215"/>
    </row>
    <row r="10" spans="1:26" ht="18" customHeight="1" x14ac:dyDescent="0.15">
      <c r="B10" s="213"/>
      <c r="C10" s="216"/>
      <c r="D10" s="216"/>
      <c r="E10" s="216"/>
      <c r="F10" s="216"/>
      <c r="G10" s="216"/>
      <c r="H10" s="216"/>
      <c r="I10" s="216"/>
      <c r="J10" s="216"/>
      <c r="K10" s="216"/>
      <c r="L10" s="216"/>
      <c r="M10" s="216"/>
      <c r="N10" s="216"/>
      <c r="O10" s="216"/>
      <c r="P10" s="216"/>
      <c r="Q10" s="216"/>
      <c r="R10" s="216"/>
      <c r="S10" s="216"/>
      <c r="T10" s="216"/>
      <c r="U10" s="216"/>
      <c r="V10" s="216"/>
      <c r="W10" s="216"/>
      <c r="X10" s="216"/>
      <c r="Y10" s="216"/>
      <c r="Z10" s="215"/>
    </row>
    <row r="11" spans="1:26" ht="18" customHeight="1" x14ac:dyDescent="0.15">
      <c r="B11" s="217"/>
      <c r="C11" s="218"/>
      <c r="D11" s="218"/>
      <c r="E11" s="218"/>
      <c r="F11" s="218"/>
      <c r="G11" s="218"/>
      <c r="H11" s="218"/>
      <c r="I11" s="218"/>
      <c r="J11" s="218"/>
      <c r="K11" s="218"/>
      <c r="L11" s="218"/>
      <c r="M11" s="218"/>
      <c r="N11" s="218"/>
      <c r="O11" s="218"/>
      <c r="P11" s="218"/>
      <c r="Q11" s="218"/>
      <c r="R11" s="218"/>
      <c r="S11" s="218"/>
      <c r="T11" s="218"/>
      <c r="U11" s="218"/>
      <c r="V11" s="218"/>
      <c r="W11" s="218"/>
      <c r="X11" s="218"/>
      <c r="Y11" s="218"/>
      <c r="Z11" s="219"/>
    </row>
    <row r="12" spans="1:26" ht="7.5" customHeight="1" x14ac:dyDescent="0.15">
      <c r="B12" s="29"/>
      <c r="C12" s="29"/>
      <c r="D12" s="29"/>
      <c r="E12" s="29"/>
      <c r="F12" s="29"/>
      <c r="G12" s="29"/>
      <c r="H12" s="29"/>
      <c r="I12" s="29"/>
      <c r="J12" s="29"/>
      <c r="K12" s="29"/>
      <c r="L12" s="29"/>
      <c r="M12" s="29"/>
      <c r="N12" s="29"/>
      <c r="O12" s="29"/>
      <c r="P12" s="29"/>
      <c r="Q12" s="29"/>
      <c r="R12" s="29"/>
      <c r="S12" s="29"/>
      <c r="T12" s="29"/>
      <c r="U12" s="29"/>
      <c r="V12" s="29"/>
      <c r="W12" s="29"/>
      <c r="X12" s="29"/>
      <c r="Y12" s="29"/>
      <c r="Z12" s="29"/>
    </row>
    <row r="13" spans="1:26" ht="18" customHeight="1" x14ac:dyDescent="0.15">
      <c r="A13" s="208" t="s">
        <v>130</v>
      </c>
      <c r="B13" s="208"/>
      <c r="C13" s="208"/>
      <c r="D13" s="208"/>
      <c r="E13" s="208"/>
      <c r="F13" s="208"/>
      <c r="G13" s="208"/>
      <c r="H13" s="208"/>
      <c r="I13" s="208"/>
      <c r="J13" s="208"/>
      <c r="K13" s="208"/>
      <c r="L13" s="208"/>
      <c r="M13" s="208"/>
      <c r="N13" s="208"/>
      <c r="O13" s="208"/>
      <c r="P13" s="208"/>
      <c r="Q13" s="208"/>
      <c r="R13" s="208"/>
      <c r="S13" s="208"/>
      <c r="T13" s="208"/>
      <c r="U13" s="208"/>
      <c r="V13" s="208"/>
      <c r="W13" s="208"/>
      <c r="X13" s="208"/>
      <c r="Y13" s="208"/>
      <c r="Z13" s="208"/>
    </row>
    <row r="14" spans="1:26" ht="18" customHeight="1" x14ac:dyDescent="0.15">
      <c r="A14" s="208"/>
      <c r="B14" s="208"/>
      <c r="C14" s="208"/>
      <c r="D14" s="208"/>
      <c r="E14" s="208"/>
      <c r="F14" s="208"/>
      <c r="G14" s="208"/>
      <c r="H14" s="208"/>
      <c r="I14" s="208"/>
      <c r="J14" s="208"/>
      <c r="K14" s="208"/>
      <c r="L14" s="208"/>
      <c r="M14" s="208"/>
      <c r="N14" s="208"/>
      <c r="O14" s="208"/>
      <c r="P14" s="208"/>
      <c r="Q14" s="208"/>
      <c r="R14" s="208"/>
      <c r="S14" s="208"/>
      <c r="T14" s="208"/>
      <c r="U14" s="208"/>
      <c r="V14" s="208"/>
      <c r="W14" s="208"/>
      <c r="X14" s="208"/>
      <c r="Y14" s="208"/>
      <c r="Z14" s="208"/>
    </row>
    <row r="15" spans="1:26" ht="18" customHeight="1" x14ac:dyDescent="0.15">
      <c r="A15" s="14"/>
      <c r="B15" s="122" t="s">
        <v>104</v>
      </c>
      <c r="C15" s="123"/>
      <c r="D15" s="123"/>
      <c r="E15" s="123"/>
      <c r="F15" s="124"/>
      <c r="G15" s="30" t="s">
        <v>146</v>
      </c>
      <c r="H15" s="112" t="s">
        <v>145</v>
      </c>
      <c r="I15" s="123" t="s">
        <v>105</v>
      </c>
      <c r="J15" s="123"/>
      <c r="K15" s="123"/>
      <c r="L15" s="75" t="s">
        <v>108</v>
      </c>
      <c r="M15" s="75" t="s">
        <v>111</v>
      </c>
      <c r="N15" s="122" t="s">
        <v>104</v>
      </c>
      <c r="O15" s="123"/>
      <c r="P15" s="123"/>
      <c r="Q15" s="123"/>
      <c r="R15" s="123"/>
      <c r="S15" s="124"/>
      <c r="T15" s="30" t="s">
        <v>146</v>
      </c>
      <c r="U15" s="112" t="s">
        <v>145</v>
      </c>
      <c r="V15" s="123" t="s">
        <v>105</v>
      </c>
      <c r="W15" s="123"/>
      <c r="X15" s="123"/>
      <c r="Y15" s="75" t="s">
        <v>108</v>
      </c>
      <c r="Z15" s="75" t="s">
        <v>111</v>
      </c>
    </row>
    <row r="16" spans="1:26" ht="18" customHeight="1" x14ac:dyDescent="0.15">
      <c r="A16" s="14"/>
      <c r="B16" s="175" t="s">
        <v>172</v>
      </c>
      <c r="C16" s="176"/>
      <c r="D16" s="176"/>
      <c r="E16" s="176"/>
      <c r="F16" s="177"/>
      <c r="G16" s="113">
        <v>2</v>
      </c>
      <c r="H16" s="113" t="s">
        <v>174</v>
      </c>
      <c r="I16" s="181" t="s">
        <v>173</v>
      </c>
      <c r="J16" s="182"/>
      <c r="K16" s="183"/>
      <c r="L16" s="113" t="s">
        <v>174</v>
      </c>
      <c r="M16" s="113" t="s">
        <v>174</v>
      </c>
      <c r="N16" s="153"/>
      <c r="O16" s="154"/>
      <c r="P16" s="154"/>
      <c r="Q16" s="154"/>
      <c r="R16" s="154"/>
      <c r="S16" s="155"/>
      <c r="T16" s="113"/>
      <c r="U16" s="113"/>
      <c r="V16" s="181"/>
      <c r="W16" s="182"/>
      <c r="X16" s="183"/>
      <c r="Y16" s="113"/>
      <c r="Z16" s="113"/>
    </row>
    <row r="17" spans="1:26" ht="18" customHeight="1" x14ac:dyDescent="0.15">
      <c r="A17" s="14"/>
      <c r="B17" s="168"/>
      <c r="C17" s="169"/>
      <c r="D17" s="169"/>
      <c r="E17" s="169"/>
      <c r="F17" s="170"/>
      <c r="G17" s="114"/>
      <c r="H17" s="114"/>
      <c r="I17" s="162"/>
      <c r="J17" s="163"/>
      <c r="K17" s="164"/>
      <c r="L17" s="114"/>
      <c r="M17" s="114"/>
      <c r="N17" s="156"/>
      <c r="O17" s="157"/>
      <c r="P17" s="157"/>
      <c r="Q17" s="157"/>
      <c r="R17" s="157"/>
      <c r="S17" s="158"/>
      <c r="T17" s="114"/>
      <c r="U17" s="114"/>
      <c r="V17" s="162"/>
      <c r="W17" s="163"/>
      <c r="X17" s="164"/>
      <c r="Y17" s="114"/>
      <c r="Z17" s="114"/>
    </row>
    <row r="18" spans="1:26" ht="18" customHeight="1" x14ac:dyDescent="0.15">
      <c r="A18" s="14"/>
      <c r="B18" s="168"/>
      <c r="C18" s="169"/>
      <c r="D18" s="169"/>
      <c r="E18" s="169"/>
      <c r="F18" s="170"/>
      <c r="G18" s="114"/>
      <c r="H18" s="114"/>
      <c r="I18" s="162"/>
      <c r="J18" s="163"/>
      <c r="K18" s="164"/>
      <c r="L18" s="114"/>
      <c r="M18" s="114"/>
      <c r="N18" s="156"/>
      <c r="O18" s="157"/>
      <c r="P18" s="157"/>
      <c r="Q18" s="157"/>
      <c r="R18" s="157"/>
      <c r="S18" s="158"/>
      <c r="T18" s="114"/>
      <c r="U18" s="114"/>
      <c r="V18" s="162"/>
      <c r="W18" s="163"/>
      <c r="X18" s="164"/>
      <c r="Y18" s="114"/>
      <c r="Z18" s="114"/>
    </row>
    <row r="19" spans="1:26" ht="18" customHeight="1" x14ac:dyDescent="0.15">
      <c r="A19" s="14"/>
      <c r="B19" s="168"/>
      <c r="C19" s="169"/>
      <c r="D19" s="169"/>
      <c r="E19" s="169"/>
      <c r="F19" s="170"/>
      <c r="G19" s="114"/>
      <c r="H19" s="114"/>
      <c r="I19" s="162"/>
      <c r="J19" s="163"/>
      <c r="K19" s="164"/>
      <c r="L19" s="114"/>
      <c r="M19" s="114"/>
      <c r="N19" s="156"/>
      <c r="O19" s="157"/>
      <c r="P19" s="157"/>
      <c r="Q19" s="157"/>
      <c r="R19" s="157"/>
      <c r="S19" s="158"/>
      <c r="T19" s="114"/>
      <c r="U19" s="114"/>
      <c r="V19" s="162"/>
      <c r="W19" s="163"/>
      <c r="X19" s="164"/>
      <c r="Y19" s="114"/>
      <c r="Z19" s="114"/>
    </row>
    <row r="20" spans="1:26" ht="18" customHeight="1" x14ac:dyDescent="0.15">
      <c r="A20" s="14"/>
      <c r="B20" s="168"/>
      <c r="C20" s="169"/>
      <c r="D20" s="169"/>
      <c r="E20" s="169"/>
      <c r="F20" s="170"/>
      <c r="G20" s="114"/>
      <c r="H20" s="114"/>
      <c r="I20" s="162"/>
      <c r="J20" s="163"/>
      <c r="K20" s="164"/>
      <c r="L20" s="114"/>
      <c r="M20" s="114"/>
      <c r="N20" s="156"/>
      <c r="O20" s="157"/>
      <c r="P20" s="157"/>
      <c r="Q20" s="157"/>
      <c r="R20" s="157"/>
      <c r="S20" s="158"/>
      <c r="T20" s="114"/>
      <c r="U20" s="114"/>
      <c r="V20" s="162"/>
      <c r="W20" s="163"/>
      <c r="X20" s="164"/>
      <c r="Y20" s="114"/>
      <c r="Z20" s="114"/>
    </row>
    <row r="21" spans="1:26" ht="18" customHeight="1" x14ac:dyDescent="0.15">
      <c r="A21" s="29"/>
      <c r="B21" s="168"/>
      <c r="C21" s="169"/>
      <c r="D21" s="169"/>
      <c r="E21" s="169"/>
      <c r="F21" s="170"/>
      <c r="G21" s="114"/>
      <c r="H21" s="114"/>
      <c r="I21" s="162"/>
      <c r="J21" s="163"/>
      <c r="K21" s="164"/>
      <c r="L21" s="114"/>
      <c r="M21" s="114"/>
      <c r="N21" s="156"/>
      <c r="O21" s="157"/>
      <c r="P21" s="157"/>
      <c r="Q21" s="157"/>
      <c r="R21" s="157"/>
      <c r="S21" s="158"/>
      <c r="T21" s="114"/>
      <c r="U21" s="114"/>
      <c r="V21" s="162"/>
      <c r="W21" s="163"/>
      <c r="X21" s="164"/>
      <c r="Y21" s="114"/>
      <c r="Z21" s="114"/>
    </row>
    <row r="22" spans="1:26" ht="18" customHeight="1" x14ac:dyDescent="0.15">
      <c r="A22" s="29"/>
      <c r="B22" s="171"/>
      <c r="C22" s="172"/>
      <c r="D22" s="172"/>
      <c r="E22" s="172"/>
      <c r="F22" s="173"/>
      <c r="G22" s="115"/>
      <c r="H22" s="115"/>
      <c r="I22" s="165"/>
      <c r="J22" s="166"/>
      <c r="K22" s="167"/>
      <c r="L22" s="121"/>
      <c r="M22" s="121"/>
      <c r="N22" s="159"/>
      <c r="O22" s="160"/>
      <c r="P22" s="160"/>
      <c r="Q22" s="160"/>
      <c r="R22" s="160"/>
      <c r="S22" s="161"/>
      <c r="T22" s="115"/>
      <c r="U22" s="115"/>
      <c r="V22" s="165"/>
      <c r="W22" s="166"/>
      <c r="X22" s="167"/>
      <c r="Y22" s="121"/>
      <c r="Z22" s="121"/>
    </row>
    <row r="23" spans="1:26" ht="7.5" customHeight="1" x14ac:dyDescent="0.15">
      <c r="A23" s="29"/>
      <c r="B23" s="76"/>
      <c r="C23" s="76"/>
      <c r="D23" s="29"/>
      <c r="E23" s="29"/>
      <c r="F23" s="29"/>
      <c r="G23" s="29"/>
      <c r="H23" s="29"/>
      <c r="I23" s="29"/>
      <c r="J23" s="29"/>
      <c r="K23" s="29"/>
      <c r="L23" s="76"/>
      <c r="M23" s="76"/>
      <c r="N23" s="76"/>
      <c r="O23" s="76"/>
      <c r="P23" s="76"/>
      <c r="Q23" s="76"/>
      <c r="R23" s="76"/>
      <c r="S23" s="76"/>
      <c r="T23" s="76"/>
      <c r="U23" s="76"/>
      <c r="V23" s="76"/>
      <c r="W23" s="76"/>
      <c r="X23" s="76"/>
      <c r="Y23" s="76"/>
      <c r="Z23" s="29"/>
    </row>
    <row r="24" spans="1:26" ht="18" customHeight="1" x14ac:dyDescent="0.15">
      <c r="A24" s="208" t="s">
        <v>131</v>
      </c>
      <c r="B24" s="208"/>
      <c r="C24" s="208"/>
      <c r="D24" s="208"/>
      <c r="E24" s="208"/>
      <c r="F24" s="208"/>
      <c r="G24" s="208"/>
      <c r="H24" s="208"/>
      <c r="I24" s="208"/>
      <c r="J24" s="208"/>
      <c r="K24" s="208"/>
      <c r="L24" s="208"/>
      <c r="M24" s="208"/>
      <c r="N24" s="208"/>
      <c r="O24" s="208"/>
      <c r="P24" s="208"/>
      <c r="Q24" s="208"/>
      <c r="R24" s="208"/>
      <c r="S24" s="208"/>
      <c r="T24" s="208"/>
      <c r="U24" s="208"/>
      <c r="V24" s="208"/>
      <c r="W24" s="208"/>
      <c r="X24" s="208"/>
      <c r="Y24" s="208"/>
      <c r="Z24" s="208"/>
    </row>
    <row r="25" spans="1:26" ht="18" customHeight="1" x14ac:dyDescent="0.15">
      <c r="A25" s="208"/>
      <c r="B25" s="208"/>
      <c r="C25" s="208"/>
      <c r="D25" s="208"/>
      <c r="E25" s="208"/>
      <c r="F25" s="208"/>
      <c r="G25" s="208"/>
      <c r="H25" s="208"/>
      <c r="I25" s="208"/>
      <c r="J25" s="208"/>
      <c r="K25" s="208"/>
      <c r="L25" s="208"/>
      <c r="M25" s="208"/>
      <c r="N25" s="208"/>
      <c r="O25" s="208"/>
      <c r="P25" s="208"/>
      <c r="Q25" s="208"/>
      <c r="R25" s="208"/>
      <c r="S25" s="208"/>
      <c r="T25" s="208"/>
      <c r="U25" s="208"/>
      <c r="V25" s="208"/>
      <c r="W25" s="208"/>
      <c r="X25" s="208"/>
      <c r="Y25" s="208"/>
      <c r="Z25" s="208"/>
    </row>
    <row r="26" spans="1:26" ht="18" customHeight="1" x14ac:dyDescent="0.15">
      <c r="A26" s="14"/>
      <c r="B26" s="122" t="s">
        <v>104</v>
      </c>
      <c r="C26" s="123"/>
      <c r="D26" s="123"/>
      <c r="E26" s="123"/>
      <c r="F26" s="124"/>
      <c r="G26" s="30" t="s">
        <v>146</v>
      </c>
      <c r="H26" s="112" t="s">
        <v>145</v>
      </c>
      <c r="I26" s="123" t="s">
        <v>105</v>
      </c>
      <c r="J26" s="123"/>
      <c r="K26" s="123"/>
      <c r="L26" s="75" t="s">
        <v>132</v>
      </c>
      <c r="M26" s="75" t="s">
        <v>133</v>
      </c>
      <c r="N26" s="122" t="s">
        <v>104</v>
      </c>
      <c r="O26" s="123"/>
      <c r="P26" s="123"/>
      <c r="Q26" s="123"/>
      <c r="R26" s="123"/>
      <c r="S26" s="124"/>
      <c r="T26" s="30" t="s">
        <v>146</v>
      </c>
      <c r="U26" s="112" t="s">
        <v>145</v>
      </c>
      <c r="V26" s="123" t="s">
        <v>105</v>
      </c>
      <c r="W26" s="123"/>
      <c r="X26" s="123"/>
      <c r="Y26" s="75" t="s">
        <v>132</v>
      </c>
      <c r="Z26" s="75" t="s">
        <v>133</v>
      </c>
    </row>
    <row r="27" spans="1:26" ht="18" customHeight="1" x14ac:dyDescent="0.15">
      <c r="A27" s="14"/>
      <c r="B27" s="175" t="s">
        <v>172</v>
      </c>
      <c r="C27" s="176"/>
      <c r="D27" s="176"/>
      <c r="E27" s="176"/>
      <c r="F27" s="177"/>
      <c r="G27" s="113">
        <v>2</v>
      </c>
      <c r="H27" s="113" t="s">
        <v>174</v>
      </c>
      <c r="I27" s="181" t="s">
        <v>173</v>
      </c>
      <c r="J27" s="182"/>
      <c r="K27" s="183"/>
      <c r="L27" s="113" t="s">
        <v>174</v>
      </c>
      <c r="M27" s="113" t="s">
        <v>174</v>
      </c>
      <c r="N27" s="153"/>
      <c r="O27" s="154"/>
      <c r="P27" s="154"/>
      <c r="Q27" s="154"/>
      <c r="R27" s="154"/>
      <c r="S27" s="155"/>
      <c r="T27" s="113"/>
      <c r="U27" s="113"/>
      <c r="V27" s="181"/>
      <c r="W27" s="182"/>
      <c r="X27" s="183"/>
      <c r="Y27" s="113"/>
      <c r="Z27" s="113"/>
    </row>
    <row r="28" spans="1:26" ht="18" customHeight="1" x14ac:dyDescent="0.15">
      <c r="A28" s="14"/>
      <c r="B28" s="168"/>
      <c r="C28" s="169"/>
      <c r="D28" s="169"/>
      <c r="E28" s="169"/>
      <c r="F28" s="170"/>
      <c r="G28" s="114"/>
      <c r="H28" s="114"/>
      <c r="I28" s="162"/>
      <c r="J28" s="163"/>
      <c r="K28" s="164"/>
      <c r="L28" s="114"/>
      <c r="M28" s="114"/>
      <c r="N28" s="156"/>
      <c r="O28" s="157"/>
      <c r="P28" s="157"/>
      <c r="Q28" s="157"/>
      <c r="R28" s="157"/>
      <c r="S28" s="158"/>
      <c r="T28" s="114"/>
      <c r="U28" s="114"/>
      <c r="V28" s="162"/>
      <c r="W28" s="163"/>
      <c r="X28" s="164"/>
      <c r="Y28" s="114"/>
      <c r="Z28" s="114"/>
    </row>
    <row r="29" spans="1:26" ht="18" customHeight="1" x14ac:dyDescent="0.15">
      <c r="A29" s="14"/>
      <c r="B29" s="168"/>
      <c r="C29" s="169"/>
      <c r="D29" s="169"/>
      <c r="E29" s="169"/>
      <c r="F29" s="170"/>
      <c r="G29" s="114"/>
      <c r="H29" s="114"/>
      <c r="I29" s="162"/>
      <c r="J29" s="163"/>
      <c r="K29" s="164"/>
      <c r="L29" s="114"/>
      <c r="M29" s="114"/>
      <c r="N29" s="156"/>
      <c r="O29" s="157"/>
      <c r="P29" s="157"/>
      <c r="Q29" s="157"/>
      <c r="R29" s="157"/>
      <c r="S29" s="158"/>
      <c r="T29" s="114"/>
      <c r="U29" s="114"/>
      <c r="V29" s="162"/>
      <c r="W29" s="163"/>
      <c r="X29" s="164"/>
      <c r="Y29" s="114"/>
      <c r="Z29" s="114"/>
    </row>
    <row r="30" spans="1:26" ht="18" customHeight="1" x14ac:dyDescent="0.15">
      <c r="A30" s="14"/>
      <c r="B30" s="168"/>
      <c r="C30" s="169"/>
      <c r="D30" s="169"/>
      <c r="E30" s="169"/>
      <c r="F30" s="170"/>
      <c r="G30" s="114"/>
      <c r="H30" s="114"/>
      <c r="I30" s="162"/>
      <c r="J30" s="163"/>
      <c r="K30" s="164"/>
      <c r="L30" s="114"/>
      <c r="M30" s="114"/>
      <c r="N30" s="156"/>
      <c r="O30" s="157"/>
      <c r="P30" s="157"/>
      <c r="Q30" s="157"/>
      <c r="R30" s="157"/>
      <c r="S30" s="158"/>
      <c r="T30" s="114"/>
      <c r="U30" s="114"/>
      <c r="V30" s="162"/>
      <c r="W30" s="163"/>
      <c r="X30" s="164"/>
      <c r="Y30" s="114"/>
      <c r="Z30" s="114"/>
    </row>
    <row r="31" spans="1:26" ht="18" customHeight="1" x14ac:dyDescent="0.15">
      <c r="A31" s="14"/>
      <c r="B31" s="168"/>
      <c r="C31" s="169"/>
      <c r="D31" s="169"/>
      <c r="E31" s="169"/>
      <c r="F31" s="170"/>
      <c r="G31" s="114"/>
      <c r="H31" s="114"/>
      <c r="I31" s="162"/>
      <c r="J31" s="163"/>
      <c r="K31" s="164"/>
      <c r="L31" s="114"/>
      <c r="M31" s="114"/>
      <c r="N31" s="156"/>
      <c r="O31" s="157"/>
      <c r="P31" s="157"/>
      <c r="Q31" s="157"/>
      <c r="R31" s="157"/>
      <c r="S31" s="158"/>
      <c r="T31" s="114"/>
      <c r="U31" s="114"/>
      <c r="V31" s="162"/>
      <c r="W31" s="163"/>
      <c r="X31" s="164"/>
      <c r="Y31" s="114"/>
      <c r="Z31" s="114"/>
    </row>
    <row r="32" spans="1:26" ht="18" customHeight="1" x14ac:dyDescent="0.15">
      <c r="A32" s="14"/>
      <c r="B32" s="168"/>
      <c r="C32" s="169"/>
      <c r="D32" s="169"/>
      <c r="E32" s="169"/>
      <c r="F32" s="170"/>
      <c r="G32" s="114"/>
      <c r="H32" s="114"/>
      <c r="I32" s="162"/>
      <c r="J32" s="163"/>
      <c r="K32" s="164"/>
      <c r="L32" s="114"/>
      <c r="M32" s="114"/>
      <c r="N32" s="156"/>
      <c r="O32" s="157"/>
      <c r="P32" s="157"/>
      <c r="Q32" s="157"/>
      <c r="R32" s="157"/>
      <c r="S32" s="158"/>
      <c r="T32" s="114"/>
      <c r="U32" s="114"/>
      <c r="V32" s="162"/>
      <c r="W32" s="163"/>
      <c r="X32" s="164"/>
      <c r="Y32" s="114"/>
      <c r="Z32" s="114"/>
    </row>
    <row r="33" spans="1:26" ht="18" customHeight="1" x14ac:dyDescent="0.15">
      <c r="A33" s="14"/>
      <c r="B33" s="171"/>
      <c r="C33" s="172"/>
      <c r="D33" s="172"/>
      <c r="E33" s="172"/>
      <c r="F33" s="173"/>
      <c r="G33" s="115"/>
      <c r="H33" s="115"/>
      <c r="I33" s="165"/>
      <c r="J33" s="166"/>
      <c r="K33" s="167"/>
      <c r="L33" s="121"/>
      <c r="M33" s="121"/>
      <c r="N33" s="159"/>
      <c r="O33" s="160"/>
      <c r="P33" s="160"/>
      <c r="Q33" s="160"/>
      <c r="R33" s="160"/>
      <c r="S33" s="161"/>
      <c r="T33" s="115"/>
      <c r="U33" s="115"/>
      <c r="V33" s="165"/>
      <c r="W33" s="166"/>
      <c r="X33" s="167"/>
      <c r="Y33" s="121"/>
      <c r="Z33" s="121"/>
    </row>
    <row r="34" spans="1:26" ht="7.5" customHeight="1" x14ac:dyDescent="0.15">
      <c r="A34" s="29"/>
      <c r="B34" s="76"/>
      <c r="C34" s="76"/>
      <c r="D34" s="29"/>
      <c r="E34" s="29"/>
      <c r="F34" s="29"/>
      <c r="G34" s="29"/>
      <c r="H34" s="29"/>
      <c r="I34" s="29"/>
      <c r="J34" s="29"/>
      <c r="K34" s="29"/>
      <c r="L34" s="76"/>
      <c r="M34" s="76"/>
      <c r="N34" s="76"/>
      <c r="O34" s="76"/>
      <c r="P34" s="76"/>
      <c r="Q34" s="76"/>
      <c r="R34" s="76"/>
      <c r="S34" s="76"/>
      <c r="T34" s="76"/>
      <c r="U34" s="76"/>
      <c r="V34" s="76"/>
      <c r="W34" s="76"/>
      <c r="X34" s="76"/>
      <c r="Y34" s="76"/>
      <c r="Z34" s="29"/>
    </row>
    <row r="35" spans="1:26" ht="18" customHeight="1" x14ac:dyDescent="0.15">
      <c r="A35" s="208" t="s">
        <v>134</v>
      </c>
      <c r="B35" s="208"/>
      <c r="C35" s="208"/>
      <c r="D35" s="208"/>
      <c r="E35" s="208"/>
      <c r="F35" s="208"/>
      <c r="G35" s="208"/>
      <c r="H35" s="208"/>
      <c r="I35" s="208"/>
      <c r="J35" s="208"/>
      <c r="K35" s="208"/>
      <c r="L35" s="208"/>
      <c r="M35" s="208"/>
      <c r="N35" s="208"/>
      <c r="O35" s="208"/>
      <c r="P35" s="208"/>
      <c r="Q35" s="208"/>
      <c r="R35" s="208"/>
      <c r="S35" s="208"/>
      <c r="T35" s="208"/>
      <c r="U35" s="208"/>
      <c r="V35" s="208"/>
      <c r="W35" s="208"/>
      <c r="X35" s="208"/>
      <c r="Y35" s="208"/>
      <c r="Z35" s="208"/>
    </row>
    <row r="36" spans="1:26" ht="18" customHeight="1" x14ac:dyDescent="0.15">
      <c r="A36" s="208"/>
      <c r="B36" s="208"/>
      <c r="C36" s="208"/>
      <c r="D36" s="208"/>
      <c r="E36" s="208"/>
      <c r="F36" s="208"/>
      <c r="G36" s="208"/>
      <c r="H36" s="208"/>
      <c r="I36" s="208"/>
      <c r="J36" s="208"/>
      <c r="K36" s="208"/>
      <c r="L36" s="208"/>
      <c r="M36" s="208"/>
      <c r="N36" s="208"/>
      <c r="O36" s="208"/>
      <c r="P36" s="208"/>
      <c r="Q36" s="208"/>
      <c r="R36" s="208"/>
      <c r="S36" s="208"/>
      <c r="T36" s="208"/>
      <c r="U36" s="208"/>
      <c r="V36" s="208"/>
      <c r="W36" s="208"/>
      <c r="X36" s="208"/>
      <c r="Y36" s="208"/>
      <c r="Z36" s="208"/>
    </row>
    <row r="37" spans="1:26" ht="18" customHeight="1" x14ac:dyDescent="0.15">
      <c r="A37" s="14"/>
      <c r="B37" s="122" t="s">
        <v>104</v>
      </c>
      <c r="C37" s="123"/>
      <c r="D37" s="123"/>
      <c r="E37" s="123"/>
      <c r="F37" s="124"/>
      <c r="G37" s="30" t="s">
        <v>146</v>
      </c>
      <c r="H37" s="112" t="s">
        <v>145</v>
      </c>
      <c r="I37" s="122" t="s">
        <v>105</v>
      </c>
      <c r="J37" s="123"/>
      <c r="K37" s="124"/>
      <c r="L37" s="75" t="s">
        <v>135</v>
      </c>
      <c r="M37" s="75" t="s">
        <v>136</v>
      </c>
      <c r="N37" s="122" t="s">
        <v>104</v>
      </c>
      <c r="O37" s="123"/>
      <c r="P37" s="123"/>
      <c r="Q37" s="123"/>
      <c r="R37" s="123"/>
      <c r="S37" s="124"/>
      <c r="T37" s="30" t="s">
        <v>146</v>
      </c>
      <c r="U37" s="112" t="s">
        <v>145</v>
      </c>
      <c r="V37" s="122" t="s">
        <v>105</v>
      </c>
      <c r="W37" s="123"/>
      <c r="X37" s="124"/>
      <c r="Y37" s="75" t="s">
        <v>135</v>
      </c>
      <c r="Z37" s="75" t="s">
        <v>136</v>
      </c>
    </row>
    <row r="38" spans="1:26" ht="18" customHeight="1" x14ac:dyDescent="0.15">
      <c r="A38" s="29"/>
      <c r="B38" s="175" t="s">
        <v>172</v>
      </c>
      <c r="C38" s="176"/>
      <c r="D38" s="176"/>
      <c r="E38" s="176"/>
      <c r="F38" s="177"/>
      <c r="G38" s="113">
        <v>2</v>
      </c>
      <c r="H38" s="113" t="s">
        <v>174</v>
      </c>
      <c r="I38" s="181" t="s">
        <v>173</v>
      </c>
      <c r="J38" s="182"/>
      <c r="K38" s="183"/>
      <c r="L38" s="113" t="s">
        <v>174</v>
      </c>
      <c r="M38" s="113" t="s">
        <v>174</v>
      </c>
      <c r="N38" s="153"/>
      <c r="O38" s="154"/>
      <c r="P38" s="154"/>
      <c r="Q38" s="154"/>
      <c r="R38" s="154"/>
      <c r="S38" s="155"/>
      <c r="T38" s="113"/>
      <c r="U38" s="113"/>
      <c r="V38" s="181"/>
      <c r="W38" s="182"/>
      <c r="X38" s="183"/>
      <c r="Y38" s="113"/>
      <c r="Z38" s="113"/>
    </row>
    <row r="39" spans="1:26" ht="18" customHeight="1" x14ac:dyDescent="0.15">
      <c r="A39" s="29"/>
      <c r="B39" s="168"/>
      <c r="C39" s="169"/>
      <c r="D39" s="169"/>
      <c r="E39" s="169"/>
      <c r="F39" s="170"/>
      <c r="G39" s="114"/>
      <c r="H39" s="114"/>
      <c r="I39" s="162"/>
      <c r="J39" s="163"/>
      <c r="K39" s="164"/>
      <c r="L39" s="114"/>
      <c r="M39" s="114"/>
      <c r="N39" s="156"/>
      <c r="O39" s="157"/>
      <c r="P39" s="157"/>
      <c r="Q39" s="157"/>
      <c r="R39" s="157"/>
      <c r="S39" s="158"/>
      <c r="T39" s="114"/>
      <c r="U39" s="114"/>
      <c r="V39" s="162"/>
      <c r="W39" s="163"/>
      <c r="X39" s="164"/>
      <c r="Y39" s="114"/>
      <c r="Z39" s="114"/>
    </row>
    <row r="40" spans="1:26" ht="18" customHeight="1" x14ac:dyDescent="0.15">
      <c r="A40" s="29"/>
      <c r="B40" s="168"/>
      <c r="C40" s="169"/>
      <c r="D40" s="169"/>
      <c r="E40" s="169"/>
      <c r="F40" s="170"/>
      <c r="G40" s="114"/>
      <c r="H40" s="114"/>
      <c r="I40" s="162"/>
      <c r="J40" s="163"/>
      <c r="K40" s="164"/>
      <c r="L40" s="114"/>
      <c r="M40" s="114"/>
      <c r="N40" s="156"/>
      <c r="O40" s="157"/>
      <c r="P40" s="157"/>
      <c r="Q40" s="157"/>
      <c r="R40" s="157"/>
      <c r="S40" s="158"/>
      <c r="T40" s="114"/>
      <c r="U40" s="114"/>
      <c r="V40" s="162"/>
      <c r="W40" s="163"/>
      <c r="X40" s="164"/>
      <c r="Y40" s="114"/>
      <c r="Z40" s="114"/>
    </row>
    <row r="41" spans="1:26" ht="18" customHeight="1" x14ac:dyDescent="0.15">
      <c r="A41" s="29"/>
      <c r="B41" s="168"/>
      <c r="C41" s="169"/>
      <c r="D41" s="169"/>
      <c r="E41" s="169"/>
      <c r="F41" s="170"/>
      <c r="G41" s="114"/>
      <c r="H41" s="114"/>
      <c r="I41" s="162"/>
      <c r="J41" s="163"/>
      <c r="K41" s="164"/>
      <c r="L41" s="114"/>
      <c r="M41" s="114"/>
      <c r="N41" s="156"/>
      <c r="O41" s="157"/>
      <c r="P41" s="157"/>
      <c r="Q41" s="157"/>
      <c r="R41" s="157"/>
      <c r="S41" s="158"/>
      <c r="T41" s="114"/>
      <c r="U41" s="114"/>
      <c r="V41" s="162"/>
      <c r="W41" s="163"/>
      <c r="X41" s="164"/>
      <c r="Y41" s="114"/>
      <c r="Z41" s="114"/>
    </row>
    <row r="42" spans="1:26" ht="18" customHeight="1" x14ac:dyDescent="0.15">
      <c r="A42" s="29"/>
      <c r="B42" s="168"/>
      <c r="C42" s="169"/>
      <c r="D42" s="169"/>
      <c r="E42" s="169"/>
      <c r="F42" s="170"/>
      <c r="G42" s="114"/>
      <c r="H42" s="114"/>
      <c r="I42" s="162"/>
      <c r="J42" s="163"/>
      <c r="K42" s="164"/>
      <c r="L42" s="114"/>
      <c r="M42" s="114"/>
      <c r="N42" s="156"/>
      <c r="O42" s="157"/>
      <c r="P42" s="157"/>
      <c r="Q42" s="157"/>
      <c r="R42" s="157"/>
      <c r="S42" s="158"/>
      <c r="T42" s="114"/>
      <c r="U42" s="114"/>
      <c r="V42" s="162"/>
      <c r="W42" s="163"/>
      <c r="X42" s="164"/>
      <c r="Y42" s="114"/>
      <c r="Z42" s="114"/>
    </row>
    <row r="43" spans="1:26" ht="18" customHeight="1" x14ac:dyDescent="0.15">
      <c r="A43" s="29"/>
      <c r="B43" s="168"/>
      <c r="C43" s="169"/>
      <c r="D43" s="169"/>
      <c r="E43" s="169"/>
      <c r="F43" s="170"/>
      <c r="G43" s="114"/>
      <c r="H43" s="114"/>
      <c r="I43" s="162"/>
      <c r="J43" s="163"/>
      <c r="K43" s="164"/>
      <c r="L43" s="114"/>
      <c r="M43" s="114"/>
      <c r="N43" s="156"/>
      <c r="O43" s="157"/>
      <c r="P43" s="157"/>
      <c r="Q43" s="157"/>
      <c r="R43" s="157"/>
      <c r="S43" s="158"/>
      <c r="T43" s="114"/>
      <c r="U43" s="114"/>
      <c r="V43" s="162"/>
      <c r="W43" s="163"/>
      <c r="X43" s="164"/>
      <c r="Y43" s="114"/>
      <c r="Z43" s="114"/>
    </row>
    <row r="44" spans="1:26" ht="18" customHeight="1" x14ac:dyDescent="0.15">
      <c r="A44" s="29"/>
      <c r="B44" s="171"/>
      <c r="C44" s="172"/>
      <c r="D44" s="172"/>
      <c r="E44" s="172"/>
      <c r="F44" s="173"/>
      <c r="G44" s="115"/>
      <c r="H44" s="115"/>
      <c r="I44" s="165"/>
      <c r="J44" s="166"/>
      <c r="K44" s="167"/>
      <c r="L44" s="121"/>
      <c r="M44" s="121"/>
      <c r="N44" s="159"/>
      <c r="O44" s="160"/>
      <c r="P44" s="160"/>
      <c r="Q44" s="160"/>
      <c r="R44" s="160"/>
      <c r="S44" s="161"/>
      <c r="T44" s="115"/>
      <c r="U44" s="115"/>
      <c r="V44" s="165"/>
      <c r="W44" s="166"/>
      <c r="X44" s="167"/>
      <c r="Y44" s="121"/>
      <c r="Z44" s="121"/>
    </row>
    <row r="45" spans="1:26" ht="7.5" customHeight="1" x14ac:dyDescent="0.15">
      <c r="B45" s="77"/>
      <c r="C45" s="77"/>
      <c r="D45" s="77"/>
      <c r="E45" s="77"/>
      <c r="F45" s="77"/>
      <c r="G45" s="77"/>
      <c r="H45" s="77"/>
      <c r="I45" s="77"/>
      <c r="J45" s="77"/>
      <c r="K45" s="77"/>
      <c r="L45" s="77"/>
      <c r="M45" s="77"/>
      <c r="N45" s="77"/>
      <c r="O45" s="77"/>
      <c r="P45" s="77"/>
      <c r="Q45" s="77"/>
      <c r="R45" s="77"/>
      <c r="S45" s="77"/>
      <c r="T45" s="77"/>
      <c r="U45" s="77"/>
      <c r="V45" s="77"/>
      <c r="W45" s="77"/>
      <c r="X45" s="77"/>
      <c r="Y45" s="77"/>
    </row>
    <row r="46" spans="1:26" ht="18" customHeight="1" x14ac:dyDescent="0.15">
      <c r="A46" s="208" t="s">
        <v>137</v>
      </c>
      <c r="B46" s="208"/>
      <c r="C46" s="208"/>
      <c r="D46" s="208"/>
      <c r="E46" s="208"/>
      <c r="F46" s="208"/>
      <c r="G46" s="208"/>
      <c r="H46" s="208"/>
      <c r="I46" s="208"/>
      <c r="J46" s="208"/>
      <c r="K46" s="208"/>
      <c r="L46" s="208"/>
      <c r="M46" s="208"/>
      <c r="N46" s="208"/>
      <c r="O46" s="208"/>
      <c r="P46" s="208"/>
      <c r="Q46" s="208"/>
      <c r="R46" s="208"/>
      <c r="S46" s="208"/>
      <c r="T46" s="208"/>
      <c r="U46" s="208"/>
      <c r="V46" s="208"/>
      <c r="W46" s="208"/>
      <c r="X46" s="208"/>
      <c r="Y46" s="208"/>
      <c r="Z46" s="208"/>
    </row>
    <row r="47" spans="1:26" ht="18" customHeight="1" x14ac:dyDescent="0.15">
      <c r="A47" s="208"/>
      <c r="B47" s="208"/>
      <c r="C47" s="208"/>
      <c r="D47" s="208"/>
      <c r="E47" s="208"/>
      <c r="F47" s="208"/>
      <c r="G47" s="208"/>
      <c r="H47" s="208"/>
      <c r="I47" s="208"/>
      <c r="J47" s="208"/>
      <c r="K47" s="208"/>
      <c r="L47" s="208"/>
      <c r="M47" s="208"/>
      <c r="N47" s="208"/>
      <c r="O47" s="208"/>
      <c r="P47" s="208"/>
      <c r="Q47" s="208"/>
      <c r="R47" s="208"/>
      <c r="S47" s="208"/>
      <c r="T47" s="208"/>
      <c r="U47" s="208"/>
      <c r="V47" s="208"/>
      <c r="W47" s="208"/>
      <c r="X47" s="208"/>
      <c r="Y47" s="208"/>
      <c r="Z47" s="208"/>
    </row>
    <row r="48" spans="1:26" ht="18" customHeight="1" x14ac:dyDescent="0.15">
      <c r="A48" s="14"/>
      <c r="B48" s="122" t="s">
        <v>104</v>
      </c>
      <c r="C48" s="123"/>
      <c r="D48" s="123"/>
      <c r="E48" s="123"/>
      <c r="F48" s="124"/>
      <c r="G48" s="30" t="s">
        <v>146</v>
      </c>
      <c r="H48" s="112" t="s">
        <v>145</v>
      </c>
      <c r="I48" s="122" t="s">
        <v>105</v>
      </c>
      <c r="J48" s="123"/>
      <c r="K48" s="124"/>
      <c r="L48" s="75" t="s">
        <v>110</v>
      </c>
      <c r="M48" s="75" t="s">
        <v>112</v>
      </c>
      <c r="N48" s="122" t="s">
        <v>104</v>
      </c>
      <c r="O48" s="123"/>
      <c r="P48" s="123"/>
      <c r="Q48" s="123"/>
      <c r="R48" s="123"/>
      <c r="S48" s="124"/>
      <c r="T48" s="30" t="s">
        <v>146</v>
      </c>
      <c r="U48" s="112" t="s">
        <v>145</v>
      </c>
      <c r="V48" s="122" t="s">
        <v>105</v>
      </c>
      <c r="W48" s="123"/>
      <c r="X48" s="124"/>
      <c r="Y48" s="75" t="s">
        <v>110</v>
      </c>
      <c r="Z48" s="75" t="s">
        <v>112</v>
      </c>
    </row>
    <row r="49" spans="1:26" ht="18" customHeight="1" x14ac:dyDescent="0.15">
      <c r="A49" s="29"/>
      <c r="B49" s="175" t="s">
        <v>172</v>
      </c>
      <c r="C49" s="176"/>
      <c r="D49" s="176"/>
      <c r="E49" s="176"/>
      <c r="F49" s="177"/>
      <c r="G49" s="113">
        <v>2</v>
      </c>
      <c r="H49" s="113" t="s">
        <v>174</v>
      </c>
      <c r="I49" s="181" t="s">
        <v>173</v>
      </c>
      <c r="J49" s="182"/>
      <c r="K49" s="183"/>
      <c r="L49" s="113" t="s">
        <v>174</v>
      </c>
      <c r="M49" s="113" t="s">
        <v>174</v>
      </c>
      <c r="N49" s="153"/>
      <c r="O49" s="154"/>
      <c r="P49" s="154"/>
      <c r="Q49" s="154"/>
      <c r="R49" s="154"/>
      <c r="S49" s="155"/>
      <c r="T49" s="113"/>
      <c r="U49" s="113"/>
      <c r="V49" s="181"/>
      <c r="W49" s="182"/>
      <c r="X49" s="183"/>
      <c r="Y49" s="113"/>
      <c r="Z49" s="113"/>
    </row>
    <row r="50" spans="1:26" ht="18" customHeight="1" x14ac:dyDescent="0.15">
      <c r="A50" s="29"/>
      <c r="B50" s="168"/>
      <c r="C50" s="169"/>
      <c r="D50" s="169"/>
      <c r="E50" s="169"/>
      <c r="F50" s="170"/>
      <c r="G50" s="114"/>
      <c r="H50" s="114"/>
      <c r="I50" s="162"/>
      <c r="J50" s="163"/>
      <c r="K50" s="164"/>
      <c r="L50" s="114"/>
      <c r="M50" s="114"/>
      <c r="N50" s="156"/>
      <c r="O50" s="157"/>
      <c r="P50" s="157"/>
      <c r="Q50" s="157"/>
      <c r="R50" s="157"/>
      <c r="S50" s="158"/>
      <c r="T50" s="114"/>
      <c r="U50" s="114"/>
      <c r="V50" s="162"/>
      <c r="W50" s="163"/>
      <c r="X50" s="164"/>
      <c r="Y50" s="114"/>
      <c r="Z50" s="114"/>
    </row>
    <row r="51" spans="1:26" ht="18" customHeight="1" x14ac:dyDescent="0.15">
      <c r="A51" s="29"/>
      <c r="B51" s="168"/>
      <c r="C51" s="169"/>
      <c r="D51" s="169"/>
      <c r="E51" s="169"/>
      <c r="F51" s="170"/>
      <c r="G51" s="114"/>
      <c r="H51" s="114"/>
      <c r="I51" s="162"/>
      <c r="J51" s="163"/>
      <c r="K51" s="164"/>
      <c r="L51" s="114"/>
      <c r="M51" s="114"/>
      <c r="N51" s="156"/>
      <c r="O51" s="157"/>
      <c r="P51" s="157"/>
      <c r="Q51" s="157"/>
      <c r="R51" s="157"/>
      <c r="S51" s="158"/>
      <c r="T51" s="114"/>
      <c r="U51" s="114"/>
      <c r="V51" s="162"/>
      <c r="W51" s="163"/>
      <c r="X51" s="164"/>
      <c r="Y51" s="114"/>
      <c r="Z51" s="114"/>
    </row>
    <row r="52" spans="1:26" ht="18" customHeight="1" x14ac:dyDescent="0.15">
      <c r="A52" s="29"/>
      <c r="B52" s="168"/>
      <c r="C52" s="169"/>
      <c r="D52" s="169"/>
      <c r="E52" s="169"/>
      <c r="F52" s="170"/>
      <c r="G52" s="114"/>
      <c r="H52" s="114"/>
      <c r="I52" s="162"/>
      <c r="J52" s="163"/>
      <c r="K52" s="164"/>
      <c r="L52" s="114"/>
      <c r="M52" s="114"/>
      <c r="N52" s="156"/>
      <c r="O52" s="157"/>
      <c r="P52" s="157"/>
      <c r="Q52" s="157"/>
      <c r="R52" s="157"/>
      <c r="S52" s="158"/>
      <c r="T52" s="114"/>
      <c r="U52" s="114"/>
      <c r="V52" s="162"/>
      <c r="W52" s="163"/>
      <c r="X52" s="164"/>
      <c r="Y52" s="114"/>
      <c r="Z52" s="114"/>
    </row>
    <row r="53" spans="1:26" ht="18" customHeight="1" x14ac:dyDescent="0.15">
      <c r="A53" s="29"/>
      <c r="B53" s="168"/>
      <c r="C53" s="169"/>
      <c r="D53" s="169"/>
      <c r="E53" s="169"/>
      <c r="F53" s="170"/>
      <c r="G53" s="114"/>
      <c r="H53" s="114"/>
      <c r="I53" s="162"/>
      <c r="J53" s="163"/>
      <c r="K53" s="164"/>
      <c r="L53" s="114"/>
      <c r="M53" s="114"/>
      <c r="N53" s="156"/>
      <c r="O53" s="157"/>
      <c r="P53" s="157"/>
      <c r="Q53" s="157"/>
      <c r="R53" s="157"/>
      <c r="S53" s="158"/>
      <c r="T53" s="114"/>
      <c r="U53" s="114"/>
      <c r="V53" s="162"/>
      <c r="W53" s="163"/>
      <c r="X53" s="164"/>
      <c r="Y53" s="114"/>
      <c r="Z53" s="114"/>
    </row>
    <row r="54" spans="1:26" ht="18" customHeight="1" x14ac:dyDescent="0.15">
      <c r="A54" s="29"/>
      <c r="B54" s="168"/>
      <c r="C54" s="169"/>
      <c r="D54" s="169"/>
      <c r="E54" s="169"/>
      <c r="F54" s="170"/>
      <c r="G54" s="114"/>
      <c r="H54" s="114"/>
      <c r="I54" s="162"/>
      <c r="J54" s="163"/>
      <c r="K54" s="164"/>
      <c r="L54" s="114"/>
      <c r="M54" s="114"/>
      <c r="N54" s="156"/>
      <c r="O54" s="157"/>
      <c r="P54" s="157"/>
      <c r="Q54" s="157"/>
      <c r="R54" s="157"/>
      <c r="S54" s="158"/>
      <c r="T54" s="114"/>
      <c r="U54" s="114"/>
      <c r="V54" s="162"/>
      <c r="W54" s="163"/>
      <c r="X54" s="164"/>
      <c r="Y54" s="114"/>
      <c r="Z54" s="114"/>
    </row>
    <row r="55" spans="1:26" ht="18" customHeight="1" x14ac:dyDescent="0.15">
      <c r="A55" s="29"/>
      <c r="B55" s="171"/>
      <c r="C55" s="172"/>
      <c r="D55" s="172"/>
      <c r="E55" s="172"/>
      <c r="F55" s="173"/>
      <c r="G55" s="115"/>
      <c r="H55" s="115"/>
      <c r="I55" s="165"/>
      <c r="J55" s="166"/>
      <c r="K55" s="167"/>
      <c r="L55" s="121"/>
      <c r="M55" s="121"/>
      <c r="N55" s="159"/>
      <c r="O55" s="160"/>
      <c r="P55" s="160"/>
      <c r="Q55" s="160"/>
      <c r="R55" s="160"/>
      <c r="S55" s="161"/>
      <c r="T55" s="115"/>
      <c r="U55" s="115"/>
      <c r="V55" s="165"/>
      <c r="W55" s="166"/>
      <c r="X55" s="167"/>
      <c r="Y55" s="121"/>
      <c r="Z55" s="121"/>
    </row>
    <row r="56" spans="1:26" ht="7.5" customHeight="1" x14ac:dyDescent="0.15">
      <c r="B56" s="77"/>
      <c r="C56" s="77"/>
      <c r="D56" s="77"/>
      <c r="E56" s="77"/>
      <c r="F56" s="77"/>
      <c r="G56" s="77"/>
      <c r="H56" s="77"/>
      <c r="I56" s="77"/>
      <c r="J56" s="77"/>
      <c r="K56" s="77"/>
      <c r="L56" s="77"/>
      <c r="M56" s="77"/>
      <c r="N56" s="77"/>
      <c r="O56" s="77"/>
      <c r="P56" s="77"/>
      <c r="Q56" s="77"/>
      <c r="R56" s="77"/>
      <c r="S56" s="77"/>
      <c r="T56" s="77"/>
      <c r="U56" s="77"/>
      <c r="V56" s="77"/>
      <c r="W56" s="77"/>
      <c r="X56" s="77"/>
      <c r="Y56" s="77"/>
    </row>
    <row r="57" spans="1:26" ht="18" customHeight="1" x14ac:dyDescent="0.15">
      <c r="A57" s="208" t="s">
        <v>138</v>
      </c>
      <c r="B57" s="208"/>
      <c r="C57" s="208"/>
      <c r="D57" s="208"/>
      <c r="E57" s="208"/>
      <c r="F57" s="208"/>
      <c r="G57" s="208"/>
      <c r="H57" s="208"/>
      <c r="I57" s="208"/>
      <c r="J57" s="208"/>
      <c r="K57" s="208"/>
      <c r="L57" s="208"/>
      <c r="M57" s="208"/>
      <c r="N57" s="208"/>
      <c r="O57" s="208"/>
      <c r="P57" s="208"/>
      <c r="Q57" s="208"/>
      <c r="R57" s="208"/>
      <c r="S57" s="208"/>
      <c r="T57" s="208"/>
      <c r="U57" s="208"/>
      <c r="V57" s="208"/>
      <c r="W57" s="208"/>
      <c r="X57" s="208"/>
      <c r="Y57" s="208"/>
      <c r="Z57" s="208"/>
    </row>
    <row r="58" spans="1:26" ht="18" customHeight="1" x14ac:dyDescent="0.15">
      <c r="A58" s="208"/>
      <c r="B58" s="208"/>
      <c r="C58" s="208"/>
      <c r="D58" s="208"/>
      <c r="E58" s="208"/>
      <c r="F58" s="208"/>
      <c r="G58" s="208"/>
      <c r="H58" s="208"/>
      <c r="I58" s="208"/>
      <c r="J58" s="208"/>
      <c r="K58" s="208"/>
      <c r="L58" s="208"/>
      <c r="M58" s="208"/>
      <c r="N58" s="208"/>
      <c r="O58" s="208"/>
      <c r="P58" s="208"/>
      <c r="Q58" s="208"/>
      <c r="R58" s="208"/>
      <c r="S58" s="208"/>
      <c r="T58" s="208"/>
      <c r="U58" s="208"/>
      <c r="V58" s="208"/>
      <c r="W58" s="208"/>
      <c r="X58" s="208"/>
      <c r="Y58" s="208"/>
      <c r="Z58" s="208"/>
    </row>
    <row r="59" spans="1:26" ht="18" customHeight="1" x14ac:dyDescent="0.15">
      <c r="A59" s="14"/>
      <c r="B59" s="122" t="s">
        <v>104</v>
      </c>
      <c r="C59" s="123"/>
      <c r="D59" s="123"/>
      <c r="E59" s="124"/>
      <c r="F59" s="30" t="s">
        <v>146</v>
      </c>
      <c r="G59" s="112" t="s">
        <v>145</v>
      </c>
      <c r="H59" s="107" t="s">
        <v>105</v>
      </c>
      <c r="I59" s="108"/>
      <c r="J59" s="109"/>
      <c r="K59" s="75" t="s">
        <v>109</v>
      </c>
      <c r="L59" s="75" t="s">
        <v>139</v>
      </c>
      <c r="M59" s="75" t="s">
        <v>140</v>
      </c>
      <c r="N59" s="122" t="s">
        <v>104</v>
      </c>
      <c r="O59" s="123"/>
      <c r="P59" s="123"/>
      <c r="Q59" s="123"/>
      <c r="R59" s="124"/>
      <c r="S59" s="30" t="s">
        <v>146</v>
      </c>
      <c r="T59" s="112" t="s">
        <v>145</v>
      </c>
      <c r="U59" s="107" t="s">
        <v>105</v>
      </c>
      <c r="V59" s="108"/>
      <c r="W59" s="109"/>
      <c r="X59" s="75" t="s">
        <v>109</v>
      </c>
      <c r="Y59" s="75" t="s">
        <v>139</v>
      </c>
      <c r="Z59" s="75" t="s">
        <v>140</v>
      </c>
    </row>
    <row r="60" spans="1:26" ht="18" customHeight="1" x14ac:dyDescent="0.15">
      <c r="A60" s="29"/>
      <c r="B60" s="153" t="s">
        <v>172</v>
      </c>
      <c r="C60" s="154"/>
      <c r="D60" s="154"/>
      <c r="E60" s="155"/>
      <c r="F60" s="113">
        <v>2</v>
      </c>
      <c r="G60" s="113" t="s">
        <v>174</v>
      </c>
      <c r="H60" s="181" t="s">
        <v>173</v>
      </c>
      <c r="I60" s="182"/>
      <c r="J60" s="183"/>
      <c r="K60" s="113" t="s">
        <v>174</v>
      </c>
      <c r="L60" s="113" t="s">
        <v>174</v>
      </c>
      <c r="M60" s="113" t="s">
        <v>174</v>
      </c>
      <c r="N60" s="153"/>
      <c r="O60" s="154"/>
      <c r="P60" s="154"/>
      <c r="Q60" s="154"/>
      <c r="R60" s="155"/>
      <c r="S60" s="113"/>
      <c r="T60" s="113"/>
      <c r="U60" s="181"/>
      <c r="V60" s="182"/>
      <c r="W60" s="183"/>
      <c r="X60" s="120"/>
      <c r="Y60" s="113"/>
      <c r="Z60" s="113"/>
    </row>
    <row r="61" spans="1:26" ht="18" customHeight="1" x14ac:dyDescent="0.15">
      <c r="A61" s="29"/>
      <c r="B61" s="156"/>
      <c r="C61" s="157"/>
      <c r="D61" s="157"/>
      <c r="E61" s="158"/>
      <c r="F61" s="114"/>
      <c r="G61" s="114"/>
      <c r="H61" s="162"/>
      <c r="I61" s="163"/>
      <c r="J61" s="164"/>
      <c r="K61" s="118"/>
      <c r="L61" s="114"/>
      <c r="M61" s="114"/>
      <c r="N61" s="156"/>
      <c r="O61" s="157"/>
      <c r="P61" s="157"/>
      <c r="Q61" s="157"/>
      <c r="R61" s="158"/>
      <c r="S61" s="114"/>
      <c r="T61" s="114"/>
      <c r="U61" s="162"/>
      <c r="V61" s="163"/>
      <c r="W61" s="164"/>
      <c r="X61" s="118"/>
      <c r="Y61" s="114"/>
      <c r="Z61" s="114"/>
    </row>
    <row r="62" spans="1:26" ht="18" customHeight="1" x14ac:dyDescent="0.15">
      <c r="A62" s="29"/>
      <c r="B62" s="156"/>
      <c r="C62" s="157"/>
      <c r="D62" s="157"/>
      <c r="E62" s="158"/>
      <c r="F62" s="114"/>
      <c r="G62" s="114"/>
      <c r="H62" s="162"/>
      <c r="I62" s="163"/>
      <c r="J62" s="164"/>
      <c r="K62" s="118"/>
      <c r="L62" s="114"/>
      <c r="M62" s="114"/>
      <c r="N62" s="156"/>
      <c r="O62" s="157"/>
      <c r="P62" s="157"/>
      <c r="Q62" s="157"/>
      <c r="R62" s="158"/>
      <c r="S62" s="114"/>
      <c r="T62" s="114"/>
      <c r="U62" s="162"/>
      <c r="V62" s="163"/>
      <c r="W62" s="164"/>
      <c r="X62" s="118"/>
      <c r="Y62" s="114"/>
      <c r="Z62" s="114"/>
    </row>
    <row r="63" spans="1:26" ht="18" customHeight="1" x14ac:dyDescent="0.15">
      <c r="A63" s="29"/>
      <c r="B63" s="156"/>
      <c r="C63" s="157"/>
      <c r="D63" s="157"/>
      <c r="E63" s="158"/>
      <c r="F63" s="114"/>
      <c r="G63" s="114"/>
      <c r="H63" s="162"/>
      <c r="I63" s="163"/>
      <c r="J63" s="164"/>
      <c r="K63" s="118"/>
      <c r="L63" s="114"/>
      <c r="M63" s="114"/>
      <c r="N63" s="156"/>
      <c r="O63" s="157"/>
      <c r="P63" s="157"/>
      <c r="Q63" s="157"/>
      <c r="R63" s="158"/>
      <c r="S63" s="114"/>
      <c r="T63" s="114"/>
      <c r="U63" s="162"/>
      <c r="V63" s="163"/>
      <c r="W63" s="164"/>
      <c r="X63" s="118"/>
      <c r="Y63" s="114"/>
      <c r="Z63" s="114"/>
    </row>
    <row r="64" spans="1:26" ht="18" customHeight="1" x14ac:dyDescent="0.15">
      <c r="A64" s="29"/>
      <c r="B64" s="156"/>
      <c r="C64" s="157"/>
      <c r="D64" s="157"/>
      <c r="E64" s="158"/>
      <c r="F64" s="114"/>
      <c r="G64" s="114"/>
      <c r="H64" s="162"/>
      <c r="I64" s="163"/>
      <c r="J64" s="164"/>
      <c r="K64" s="118"/>
      <c r="L64" s="114"/>
      <c r="M64" s="114"/>
      <c r="N64" s="156"/>
      <c r="O64" s="157"/>
      <c r="P64" s="157"/>
      <c r="Q64" s="157"/>
      <c r="R64" s="158"/>
      <c r="S64" s="114"/>
      <c r="T64" s="114"/>
      <c r="U64" s="162"/>
      <c r="V64" s="163"/>
      <c r="W64" s="164"/>
      <c r="X64" s="118"/>
      <c r="Y64" s="114"/>
      <c r="Z64" s="114"/>
    </row>
    <row r="65" spans="1:26" ht="18" customHeight="1" x14ac:dyDescent="0.15">
      <c r="A65" s="29"/>
      <c r="B65" s="156"/>
      <c r="C65" s="157"/>
      <c r="D65" s="157"/>
      <c r="E65" s="158"/>
      <c r="F65" s="114"/>
      <c r="G65" s="114"/>
      <c r="H65" s="162"/>
      <c r="I65" s="163"/>
      <c r="J65" s="164"/>
      <c r="K65" s="118"/>
      <c r="L65" s="114"/>
      <c r="M65" s="114"/>
      <c r="N65" s="156"/>
      <c r="O65" s="157"/>
      <c r="P65" s="157"/>
      <c r="Q65" s="157"/>
      <c r="R65" s="158"/>
      <c r="S65" s="114"/>
      <c r="T65" s="114"/>
      <c r="U65" s="162"/>
      <c r="V65" s="163"/>
      <c r="W65" s="164"/>
      <c r="X65" s="118"/>
      <c r="Y65" s="114"/>
      <c r="Z65" s="114"/>
    </row>
    <row r="66" spans="1:26" ht="18" customHeight="1" x14ac:dyDescent="0.15">
      <c r="A66" s="29"/>
      <c r="B66" s="159"/>
      <c r="C66" s="160"/>
      <c r="D66" s="160"/>
      <c r="E66" s="161"/>
      <c r="F66" s="115"/>
      <c r="G66" s="115"/>
      <c r="H66" s="165"/>
      <c r="I66" s="166"/>
      <c r="J66" s="167"/>
      <c r="K66" s="119"/>
      <c r="L66" s="121"/>
      <c r="M66" s="121"/>
      <c r="N66" s="159"/>
      <c r="O66" s="160"/>
      <c r="P66" s="160"/>
      <c r="Q66" s="160"/>
      <c r="R66" s="161"/>
      <c r="S66" s="115"/>
      <c r="T66" s="115"/>
      <c r="U66" s="165"/>
      <c r="V66" s="166"/>
      <c r="W66" s="167"/>
      <c r="X66" s="119"/>
      <c r="Y66" s="121"/>
      <c r="Z66" s="121"/>
    </row>
    <row r="67" spans="1:26" ht="7.5" customHeight="1" x14ac:dyDescent="0.15">
      <c r="B67" s="77"/>
      <c r="C67" s="77"/>
      <c r="D67" s="77"/>
      <c r="E67" s="77"/>
      <c r="F67" s="77"/>
      <c r="G67" s="77"/>
      <c r="H67" s="77"/>
      <c r="I67" s="77"/>
      <c r="J67" s="77"/>
      <c r="K67" s="77"/>
      <c r="L67" s="77"/>
      <c r="M67" s="77"/>
      <c r="N67" s="77"/>
      <c r="O67" s="77"/>
      <c r="P67" s="77"/>
      <c r="Q67" s="77"/>
      <c r="R67" s="77"/>
      <c r="S67" s="77"/>
      <c r="T67" s="77"/>
      <c r="U67" s="77"/>
      <c r="V67" s="77"/>
      <c r="W67" s="77"/>
      <c r="X67" s="77"/>
      <c r="Y67" s="77"/>
    </row>
    <row r="68" spans="1:26" ht="18" customHeight="1" x14ac:dyDescent="0.15">
      <c r="A68" s="14" t="s">
        <v>141</v>
      </c>
      <c r="B68" s="14"/>
      <c r="C68" s="14"/>
      <c r="D68" s="14"/>
      <c r="E68" s="14"/>
      <c r="F68" s="14"/>
      <c r="G68" s="14"/>
      <c r="H68" s="14"/>
      <c r="I68" s="14"/>
      <c r="J68" s="14"/>
      <c r="K68" s="14"/>
      <c r="L68" s="29"/>
      <c r="M68" s="29"/>
      <c r="N68" s="29"/>
      <c r="O68" s="29"/>
      <c r="P68" s="29"/>
      <c r="Q68" s="29"/>
      <c r="R68" s="29"/>
      <c r="S68" s="29"/>
      <c r="T68" s="29"/>
      <c r="U68" s="29"/>
      <c r="V68" s="29"/>
      <c r="W68" s="29"/>
      <c r="X68" s="29"/>
      <c r="Y68" s="29"/>
      <c r="Z68" s="29"/>
    </row>
    <row r="69" spans="1:26" ht="18" customHeight="1" x14ac:dyDescent="0.15">
      <c r="A69" s="14"/>
      <c r="B69" s="122" t="s">
        <v>104</v>
      </c>
      <c r="C69" s="123"/>
      <c r="D69" s="123"/>
      <c r="E69" s="123"/>
      <c r="F69" s="124"/>
      <c r="G69" s="122" t="s">
        <v>151</v>
      </c>
      <c r="H69" s="123"/>
      <c r="I69" s="123"/>
      <c r="J69" s="123"/>
      <c r="K69" s="123"/>
      <c r="L69" s="123"/>
      <c r="M69" s="124"/>
      <c r="N69" s="178" t="s">
        <v>104</v>
      </c>
      <c r="O69" s="179"/>
      <c r="P69" s="179"/>
      <c r="Q69" s="179"/>
      <c r="R69" s="179"/>
      <c r="S69" s="180"/>
      <c r="T69" s="122" t="s">
        <v>151</v>
      </c>
      <c r="U69" s="123"/>
      <c r="V69" s="123"/>
      <c r="W69" s="123"/>
      <c r="X69" s="123"/>
      <c r="Y69" s="123"/>
      <c r="Z69" s="124"/>
    </row>
    <row r="70" spans="1:26" ht="18" customHeight="1" x14ac:dyDescent="0.15">
      <c r="A70" s="29"/>
      <c r="B70" s="153"/>
      <c r="C70" s="154"/>
      <c r="D70" s="154"/>
      <c r="E70" s="154"/>
      <c r="F70" s="155"/>
      <c r="G70" s="220"/>
      <c r="H70" s="221"/>
      <c r="I70" s="221"/>
      <c r="J70" s="221"/>
      <c r="K70" s="221"/>
      <c r="L70" s="221"/>
      <c r="M70" s="222"/>
      <c r="N70" s="153"/>
      <c r="O70" s="154"/>
      <c r="P70" s="154"/>
      <c r="Q70" s="154"/>
      <c r="R70" s="154"/>
      <c r="S70" s="155"/>
      <c r="T70" s="220"/>
      <c r="U70" s="221"/>
      <c r="V70" s="221"/>
      <c r="W70" s="221"/>
      <c r="X70" s="221"/>
      <c r="Y70" s="221"/>
      <c r="Z70" s="222"/>
    </row>
    <row r="71" spans="1:26" ht="18" customHeight="1" x14ac:dyDescent="0.15">
      <c r="A71" s="29"/>
      <c r="B71" s="156"/>
      <c r="C71" s="157"/>
      <c r="D71" s="157"/>
      <c r="E71" s="157"/>
      <c r="F71" s="158"/>
      <c r="G71" s="199"/>
      <c r="H71" s="200"/>
      <c r="I71" s="200"/>
      <c r="J71" s="200"/>
      <c r="K71" s="200"/>
      <c r="L71" s="200"/>
      <c r="M71" s="201"/>
      <c r="N71" s="156"/>
      <c r="O71" s="157"/>
      <c r="P71" s="157"/>
      <c r="Q71" s="157"/>
      <c r="R71" s="157"/>
      <c r="S71" s="158"/>
      <c r="T71" s="199"/>
      <c r="U71" s="200"/>
      <c r="V71" s="200"/>
      <c r="W71" s="200"/>
      <c r="X71" s="200"/>
      <c r="Y71" s="200"/>
      <c r="Z71" s="201"/>
    </row>
    <row r="72" spans="1:26" ht="18" customHeight="1" x14ac:dyDescent="0.15">
      <c r="A72" s="29"/>
      <c r="B72" s="156"/>
      <c r="C72" s="157"/>
      <c r="D72" s="157"/>
      <c r="E72" s="157"/>
      <c r="F72" s="158"/>
      <c r="G72" s="199"/>
      <c r="H72" s="200"/>
      <c r="I72" s="200"/>
      <c r="J72" s="200"/>
      <c r="K72" s="200"/>
      <c r="L72" s="200"/>
      <c r="M72" s="201"/>
      <c r="N72" s="156"/>
      <c r="O72" s="157"/>
      <c r="P72" s="157"/>
      <c r="Q72" s="157"/>
      <c r="R72" s="157"/>
      <c r="S72" s="158"/>
      <c r="T72" s="199"/>
      <c r="U72" s="200"/>
      <c r="V72" s="200"/>
      <c r="W72" s="200"/>
      <c r="X72" s="200"/>
      <c r="Y72" s="200"/>
      <c r="Z72" s="201"/>
    </row>
    <row r="73" spans="1:26" ht="18" customHeight="1" x14ac:dyDescent="0.15">
      <c r="A73" s="29"/>
      <c r="B73" s="156"/>
      <c r="C73" s="157"/>
      <c r="D73" s="157"/>
      <c r="E73" s="157"/>
      <c r="F73" s="158"/>
      <c r="G73" s="199"/>
      <c r="H73" s="200"/>
      <c r="I73" s="200"/>
      <c r="J73" s="200"/>
      <c r="K73" s="200"/>
      <c r="L73" s="200"/>
      <c r="M73" s="201"/>
      <c r="N73" s="156"/>
      <c r="O73" s="157"/>
      <c r="P73" s="157"/>
      <c r="Q73" s="157"/>
      <c r="R73" s="157"/>
      <c r="S73" s="158"/>
      <c r="T73" s="199"/>
      <c r="U73" s="200"/>
      <c r="V73" s="200"/>
      <c r="W73" s="200"/>
      <c r="X73" s="200"/>
      <c r="Y73" s="200"/>
      <c r="Z73" s="201"/>
    </row>
    <row r="74" spans="1:26" ht="18" customHeight="1" x14ac:dyDescent="0.15">
      <c r="A74" s="29"/>
      <c r="B74" s="156"/>
      <c r="C74" s="157"/>
      <c r="D74" s="157"/>
      <c r="E74" s="157"/>
      <c r="F74" s="158"/>
      <c r="G74" s="199"/>
      <c r="H74" s="200"/>
      <c r="I74" s="200"/>
      <c r="J74" s="200"/>
      <c r="K74" s="200"/>
      <c r="L74" s="200"/>
      <c r="M74" s="201"/>
      <c r="N74" s="156"/>
      <c r="O74" s="157"/>
      <c r="P74" s="157"/>
      <c r="Q74" s="157"/>
      <c r="R74" s="157"/>
      <c r="S74" s="158"/>
      <c r="T74" s="199"/>
      <c r="U74" s="200"/>
      <c r="V74" s="200"/>
      <c r="W74" s="200"/>
      <c r="X74" s="200"/>
      <c r="Y74" s="200"/>
      <c r="Z74" s="201"/>
    </row>
    <row r="75" spans="1:26" ht="18" customHeight="1" x14ac:dyDescent="0.15">
      <c r="A75" s="29"/>
      <c r="B75" s="156"/>
      <c r="C75" s="157"/>
      <c r="D75" s="157"/>
      <c r="E75" s="157"/>
      <c r="F75" s="158"/>
      <c r="G75" s="199"/>
      <c r="H75" s="200"/>
      <c r="I75" s="200"/>
      <c r="J75" s="200"/>
      <c r="K75" s="200"/>
      <c r="L75" s="200"/>
      <c r="M75" s="201"/>
      <c r="N75" s="156"/>
      <c r="O75" s="157"/>
      <c r="P75" s="157"/>
      <c r="Q75" s="157"/>
      <c r="R75" s="157"/>
      <c r="S75" s="158"/>
      <c r="T75" s="199"/>
      <c r="U75" s="200"/>
      <c r="V75" s="200"/>
      <c r="W75" s="200"/>
      <c r="X75" s="200"/>
      <c r="Y75" s="200"/>
      <c r="Z75" s="201"/>
    </row>
    <row r="76" spans="1:26" ht="18" customHeight="1" x14ac:dyDescent="0.15">
      <c r="A76" s="29"/>
      <c r="B76" s="159"/>
      <c r="C76" s="160"/>
      <c r="D76" s="160"/>
      <c r="E76" s="160"/>
      <c r="F76" s="161"/>
      <c r="G76" s="196"/>
      <c r="H76" s="197"/>
      <c r="I76" s="197"/>
      <c r="J76" s="197"/>
      <c r="K76" s="197"/>
      <c r="L76" s="197"/>
      <c r="M76" s="198"/>
      <c r="N76" s="159"/>
      <c r="O76" s="160"/>
      <c r="P76" s="160"/>
      <c r="Q76" s="160"/>
      <c r="R76" s="160"/>
      <c r="S76" s="161"/>
      <c r="T76" s="196"/>
      <c r="U76" s="197"/>
      <c r="V76" s="197"/>
      <c r="W76" s="197"/>
      <c r="X76" s="197"/>
      <c r="Y76" s="197"/>
      <c r="Z76" s="198"/>
    </row>
    <row r="77" spans="1:26" ht="18" customHeight="1" x14ac:dyDescent="0.15">
      <c r="A77" s="29"/>
      <c r="B77" s="72"/>
      <c r="C77" s="72"/>
      <c r="D77" s="72"/>
      <c r="E77" s="72"/>
      <c r="F77" s="72"/>
      <c r="G77" s="12"/>
      <c r="H77" s="12"/>
      <c r="I77" s="12"/>
      <c r="J77" s="12"/>
      <c r="K77" s="12"/>
      <c r="L77" s="12"/>
      <c r="M77" s="12"/>
      <c r="N77" s="72"/>
      <c r="O77" s="72"/>
      <c r="P77" s="72"/>
      <c r="Q77" s="72"/>
      <c r="R77" s="72"/>
      <c r="S77" s="72"/>
      <c r="T77" s="12"/>
      <c r="U77" s="12"/>
      <c r="V77" s="12"/>
      <c r="W77" s="12"/>
      <c r="X77" s="12"/>
      <c r="Y77" s="12"/>
      <c r="Z77" s="12"/>
    </row>
    <row r="78" spans="1:26" ht="18.75" customHeight="1" x14ac:dyDescent="0.15">
      <c r="A78" s="13" t="s">
        <v>147</v>
      </c>
    </row>
    <row r="79" spans="1:26" ht="18.75" customHeight="1" x14ac:dyDescent="0.15">
      <c r="B79" s="78" t="s">
        <v>106</v>
      </c>
      <c r="C79" s="79"/>
      <c r="D79" s="239" t="s">
        <v>107</v>
      </c>
      <c r="E79" s="239"/>
      <c r="F79" s="239"/>
      <c r="G79" s="239"/>
      <c r="H79" s="239"/>
      <c r="I79" s="239"/>
      <c r="J79" s="239"/>
      <c r="K79" s="239"/>
      <c r="L79" s="239"/>
      <c r="M79" s="239"/>
      <c r="N79" s="239"/>
      <c r="O79" s="239"/>
      <c r="P79" s="239"/>
      <c r="Q79" s="239"/>
      <c r="R79" s="239"/>
      <c r="S79" s="239"/>
      <c r="T79" s="239"/>
      <c r="U79" s="239"/>
      <c r="V79" s="239"/>
      <c r="W79" s="239"/>
      <c r="X79" s="239"/>
      <c r="Y79" s="239"/>
      <c r="Z79" s="240"/>
    </row>
    <row r="80" spans="1:26" ht="78" customHeight="1" x14ac:dyDescent="0.15">
      <c r="B80" s="228" t="s">
        <v>113</v>
      </c>
      <c r="C80" s="85" t="s">
        <v>108</v>
      </c>
      <c r="D80" s="185" t="s">
        <v>203</v>
      </c>
      <c r="E80" s="185"/>
      <c r="F80" s="185"/>
      <c r="G80" s="185"/>
      <c r="H80" s="185"/>
      <c r="I80" s="185"/>
      <c r="J80" s="185"/>
      <c r="K80" s="185"/>
      <c r="L80" s="185"/>
      <c r="M80" s="185"/>
      <c r="N80" s="185"/>
      <c r="O80" s="185"/>
      <c r="P80" s="185"/>
      <c r="Q80" s="185"/>
      <c r="R80" s="185"/>
      <c r="S80" s="185"/>
      <c r="T80" s="185"/>
      <c r="U80" s="185"/>
      <c r="V80" s="185"/>
      <c r="W80" s="185"/>
      <c r="X80" s="185"/>
      <c r="Y80" s="185"/>
      <c r="Z80" s="186"/>
    </row>
    <row r="81" spans="1:26" ht="78" customHeight="1" x14ac:dyDescent="0.15">
      <c r="B81" s="229"/>
      <c r="C81" s="110" t="s">
        <v>142</v>
      </c>
      <c r="D81" s="202" t="s">
        <v>204</v>
      </c>
      <c r="E81" s="202"/>
      <c r="F81" s="202"/>
      <c r="G81" s="202"/>
      <c r="H81" s="202"/>
      <c r="I81" s="202"/>
      <c r="J81" s="202"/>
      <c r="K81" s="202"/>
      <c r="L81" s="202"/>
      <c r="M81" s="202"/>
      <c r="N81" s="202"/>
      <c r="O81" s="202"/>
      <c r="P81" s="202"/>
      <c r="Q81" s="202"/>
      <c r="R81" s="202"/>
      <c r="S81" s="202"/>
      <c r="T81" s="202"/>
      <c r="U81" s="202"/>
      <c r="V81" s="202"/>
      <c r="W81" s="202"/>
      <c r="X81" s="202"/>
      <c r="Y81" s="202"/>
      <c r="Z81" s="203"/>
    </row>
    <row r="82" spans="1:26" ht="78" customHeight="1" x14ac:dyDescent="0.15">
      <c r="B82" s="226" t="s">
        <v>114</v>
      </c>
      <c r="C82" s="80" t="s">
        <v>132</v>
      </c>
      <c r="D82" s="204" t="s">
        <v>205</v>
      </c>
      <c r="E82" s="204"/>
      <c r="F82" s="204"/>
      <c r="G82" s="204"/>
      <c r="H82" s="204"/>
      <c r="I82" s="204"/>
      <c r="J82" s="204"/>
      <c r="K82" s="204"/>
      <c r="L82" s="204"/>
      <c r="M82" s="204"/>
      <c r="N82" s="204"/>
      <c r="O82" s="204"/>
      <c r="P82" s="204"/>
      <c r="Q82" s="204"/>
      <c r="R82" s="204"/>
      <c r="S82" s="204"/>
      <c r="T82" s="204"/>
      <c r="U82" s="204"/>
      <c r="V82" s="204"/>
      <c r="W82" s="204"/>
      <c r="X82" s="204"/>
      <c r="Y82" s="204"/>
      <c r="Z82" s="205"/>
    </row>
    <row r="83" spans="1:26" ht="78" customHeight="1" x14ac:dyDescent="0.15">
      <c r="B83" s="227"/>
      <c r="C83" s="111" t="s">
        <v>133</v>
      </c>
      <c r="D83" s="206" t="s">
        <v>206</v>
      </c>
      <c r="E83" s="206"/>
      <c r="F83" s="206"/>
      <c r="G83" s="206"/>
      <c r="H83" s="206"/>
      <c r="I83" s="206"/>
      <c r="J83" s="206"/>
      <c r="K83" s="206"/>
      <c r="L83" s="206"/>
      <c r="M83" s="206"/>
      <c r="N83" s="206"/>
      <c r="O83" s="206"/>
      <c r="P83" s="206"/>
      <c r="Q83" s="206"/>
      <c r="R83" s="206"/>
      <c r="S83" s="206"/>
      <c r="T83" s="206"/>
      <c r="U83" s="206"/>
      <c r="V83" s="206"/>
      <c r="W83" s="206"/>
      <c r="X83" s="206"/>
      <c r="Y83" s="206"/>
      <c r="Z83" s="207"/>
    </row>
    <row r="84" spans="1:26" ht="66" customHeight="1" x14ac:dyDescent="0.15">
      <c r="B84" s="226" t="s">
        <v>115</v>
      </c>
      <c r="C84" s="80" t="s">
        <v>135</v>
      </c>
      <c r="D84" s="204" t="s">
        <v>207</v>
      </c>
      <c r="E84" s="204"/>
      <c r="F84" s="204"/>
      <c r="G84" s="204"/>
      <c r="H84" s="204"/>
      <c r="I84" s="204"/>
      <c r="J84" s="204"/>
      <c r="K84" s="204"/>
      <c r="L84" s="204"/>
      <c r="M84" s="204"/>
      <c r="N84" s="204"/>
      <c r="O84" s="204"/>
      <c r="P84" s="204"/>
      <c r="Q84" s="204"/>
      <c r="R84" s="204"/>
      <c r="S84" s="204"/>
      <c r="T84" s="204"/>
      <c r="U84" s="204"/>
      <c r="V84" s="204"/>
      <c r="W84" s="204"/>
      <c r="X84" s="204"/>
      <c r="Y84" s="204"/>
      <c r="Z84" s="205"/>
    </row>
    <row r="85" spans="1:26" ht="66" customHeight="1" x14ac:dyDescent="0.15">
      <c r="B85" s="227"/>
      <c r="C85" s="82" t="s">
        <v>136</v>
      </c>
      <c r="D85" s="191" t="s">
        <v>208</v>
      </c>
      <c r="E85" s="191"/>
      <c r="F85" s="191"/>
      <c r="G85" s="191"/>
      <c r="H85" s="191"/>
      <c r="I85" s="191"/>
      <c r="J85" s="191"/>
      <c r="K85" s="191"/>
      <c r="L85" s="191"/>
      <c r="M85" s="191"/>
      <c r="N85" s="191"/>
      <c r="O85" s="191"/>
      <c r="P85" s="191"/>
      <c r="Q85" s="191"/>
      <c r="R85" s="191"/>
      <c r="S85" s="191"/>
      <c r="T85" s="191"/>
      <c r="U85" s="191"/>
      <c r="V85" s="191"/>
      <c r="W85" s="191"/>
      <c r="X85" s="191"/>
      <c r="Y85" s="191"/>
      <c r="Z85" s="192"/>
    </row>
    <row r="86" spans="1:26" ht="66" customHeight="1" x14ac:dyDescent="0.15">
      <c r="B86" s="228" t="s">
        <v>143</v>
      </c>
      <c r="C86" s="85" t="s">
        <v>110</v>
      </c>
      <c r="D86" s="185" t="s">
        <v>209</v>
      </c>
      <c r="E86" s="185"/>
      <c r="F86" s="185"/>
      <c r="G86" s="185"/>
      <c r="H86" s="185"/>
      <c r="I86" s="185"/>
      <c r="J86" s="185"/>
      <c r="K86" s="185"/>
      <c r="L86" s="185"/>
      <c r="M86" s="185"/>
      <c r="N86" s="185"/>
      <c r="O86" s="185"/>
      <c r="P86" s="185"/>
      <c r="Q86" s="185"/>
      <c r="R86" s="185"/>
      <c r="S86" s="185"/>
      <c r="T86" s="185"/>
      <c r="U86" s="185"/>
      <c r="V86" s="185"/>
      <c r="W86" s="185"/>
      <c r="X86" s="185"/>
      <c r="Y86" s="185"/>
      <c r="Z86" s="186"/>
    </row>
    <row r="87" spans="1:26" ht="66" customHeight="1" x14ac:dyDescent="0.15">
      <c r="B87" s="236"/>
      <c r="C87" s="81" t="s">
        <v>112</v>
      </c>
      <c r="D87" s="237" t="s">
        <v>210</v>
      </c>
      <c r="E87" s="237"/>
      <c r="F87" s="237"/>
      <c r="G87" s="237"/>
      <c r="H87" s="237"/>
      <c r="I87" s="237"/>
      <c r="J87" s="237"/>
      <c r="K87" s="237"/>
      <c r="L87" s="237"/>
      <c r="M87" s="237"/>
      <c r="N87" s="237"/>
      <c r="O87" s="237"/>
      <c r="P87" s="237"/>
      <c r="Q87" s="237"/>
      <c r="R87" s="237"/>
      <c r="S87" s="237"/>
      <c r="T87" s="237"/>
      <c r="U87" s="237"/>
      <c r="V87" s="237"/>
      <c r="W87" s="237"/>
      <c r="X87" s="237"/>
      <c r="Y87" s="237"/>
      <c r="Z87" s="238"/>
    </row>
    <row r="88" spans="1:26" ht="66" customHeight="1" x14ac:dyDescent="0.15">
      <c r="B88" s="228" t="s">
        <v>144</v>
      </c>
      <c r="C88" s="80" t="s">
        <v>109</v>
      </c>
      <c r="D88" s="230" t="s">
        <v>188</v>
      </c>
      <c r="E88" s="231"/>
      <c r="F88" s="231"/>
      <c r="G88" s="231"/>
      <c r="H88" s="231"/>
      <c r="I88" s="231"/>
      <c r="J88" s="231"/>
      <c r="K88" s="231"/>
      <c r="L88" s="231"/>
      <c r="M88" s="231"/>
      <c r="N88" s="231"/>
      <c r="O88" s="231"/>
      <c r="P88" s="231"/>
      <c r="Q88" s="231"/>
      <c r="R88" s="231"/>
      <c r="S88" s="231"/>
      <c r="T88" s="231"/>
      <c r="U88" s="231"/>
      <c r="V88" s="231"/>
      <c r="W88" s="231"/>
      <c r="X88" s="231"/>
      <c r="Y88" s="231"/>
      <c r="Z88" s="232"/>
    </row>
    <row r="89" spans="1:26" ht="66" customHeight="1" x14ac:dyDescent="0.15">
      <c r="B89" s="229"/>
      <c r="C89" s="81" t="s">
        <v>139</v>
      </c>
      <c r="D89" s="223" t="s">
        <v>189</v>
      </c>
      <c r="E89" s="224"/>
      <c r="F89" s="224"/>
      <c r="G89" s="224"/>
      <c r="H89" s="224"/>
      <c r="I89" s="224"/>
      <c r="J89" s="224"/>
      <c r="K89" s="224"/>
      <c r="L89" s="224"/>
      <c r="M89" s="224"/>
      <c r="N89" s="224"/>
      <c r="O89" s="224"/>
      <c r="P89" s="224"/>
      <c r="Q89" s="224"/>
      <c r="R89" s="224"/>
      <c r="S89" s="224"/>
      <c r="T89" s="224"/>
      <c r="U89" s="224"/>
      <c r="V89" s="224"/>
      <c r="W89" s="224"/>
      <c r="X89" s="224"/>
      <c r="Y89" s="224"/>
      <c r="Z89" s="225"/>
    </row>
    <row r="90" spans="1:26" ht="66" customHeight="1" x14ac:dyDescent="0.15">
      <c r="B90" s="227"/>
      <c r="C90" s="82" t="s">
        <v>140</v>
      </c>
      <c r="D90" s="233" t="s">
        <v>211</v>
      </c>
      <c r="E90" s="234"/>
      <c r="F90" s="234"/>
      <c r="G90" s="234"/>
      <c r="H90" s="234"/>
      <c r="I90" s="234"/>
      <c r="J90" s="234"/>
      <c r="K90" s="234"/>
      <c r="L90" s="234"/>
      <c r="M90" s="234"/>
      <c r="N90" s="234"/>
      <c r="O90" s="234"/>
      <c r="P90" s="234"/>
      <c r="Q90" s="234"/>
      <c r="R90" s="234"/>
      <c r="S90" s="234"/>
      <c r="T90" s="234"/>
      <c r="U90" s="234"/>
      <c r="V90" s="234"/>
      <c r="W90" s="234"/>
      <c r="X90" s="234"/>
      <c r="Y90" s="234"/>
      <c r="Z90" s="235"/>
    </row>
    <row r="91" spans="1:26" ht="6" customHeight="1" x14ac:dyDescent="0.15"/>
    <row r="92" spans="1:26" ht="18.75" customHeight="1" x14ac:dyDescent="0.15">
      <c r="A92" s="13" t="s">
        <v>148</v>
      </c>
    </row>
    <row r="93" spans="1:26" ht="18.75" customHeight="1" x14ac:dyDescent="0.15">
      <c r="B93" s="184" t="s">
        <v>193</v>
      </c>
      <c r="C93" s="185"/>
      <c r="D93" s="185"/>
      <c r="E93" s="185"/>
      <c r="F93" s="185"/>
      <c r="G93" s="185"/>
      <c r="H93" s="185"/>
      <c r="I93" s="185"/>
      <c r="J93" s="185"/>
      <c r="K93" s="185"/>
      <c r="L93" s="185"/>
      <c r="M93" s="185"/>
      <c r="N93" s="185"/>
      <c r="O93" s="185"/>
      <c r="P93" s="185"/>
      <c r="Q93" s="185"/>
      <c r="R93" s="185"/>
      <c r="S93" s="185"/>
      <c r="T93" s="185"/>
      <c r="U93" s="185"/>
      <c r="V93" s="185"/>
      <c r="W93" s="185"/>
      <c r="X93" s="185"/>
      <c r="Y93" s="185"/>
      <c r="Z93" s="186"/>
    </row>
    <row r="94" spans="1:26" ht="18.75" customHeight="1" x14ac:dyDescent="0.15">
      <c r="B94" s="187"/>
      <c r="C94" s="188"/>
      <c r="D94" s="188"/>
      <c r="E94" s="188"/>
      <c r="F94" s="188"/>
      <c r="G94" s="188"/>
      <c r="H94" s="188"/>
      <c r="I94" s="188"/>
      <c r="J94" s="188"/>
      <c r="K94" s="188"/>
      <c r="L94" s="188"/>
      <c r="M94" s="188"/>
      <c r="N94" s="188"/>
      <c r="O94" s="188"/>
      <c r="P94" s="188"/>
      <c r="Q94" s="188"/>
      <c r="R94" s="188"/>
      <c r="S94" s="188"/>
      <c r="T94" s="188"/>
      <c r="U94" s="188"/>
      <c r="V94" s="188"/>
      <c r="W94" s="188"/>
      <c r="X94" s="188"/>
      <c r="Y94" s="188"/>
      <c r="Z94" s="189"/>
    </row>
    <row r="95" spans="1:26" ht="18.75" customHeight="1" x14ac:dyDescent="0.15">
      <c r="B95" s="190"/>
      <c r="C95" s="191"/>
      <c r="D95" s="191"/>
      <c r="E95" s="191"/>
      <c r="F95" s="191"/>
      <c r="G95" s="191"/>
      <c r="H95" s="191"/>
      <c r="I95" s="191"/>
      <c r="J95" s="191"/>
      <c r="K95" s="191"/>
      <c r="L95" s="191"/>
      <c r="M95" s="191"/>
      <c r="N95" s="191"/>
      <c r="O95" s="191"/>
      <c r="P95" s="191"/>
      <c r="Q95" s="191"/>
      <c r="R95" s="191"/>
      <c r="S95" s="191"/>
      <c r="T95" s="191"/>
      <c r="U95" s="191"/>
      <c r="V95" s="191"/>
      <c r="W95" s="191"/>
      <c r="X95" s="191"/>
      <c r="Y95" s="191"/>
      <c r="Z95" s="192"/>
    </row>
    <row r="96" spans="1:26" ht="6" customHeight="1" x14ac:dyDescent="0.15"/>
    <row r="97" spans="1:26" ht="15" customHeight="1" x14ac:dyDescent="0.15">
      <c r="A97" s="13" t="s">
        <v>149</v>
      </c>
    </row>
    <row r="98" spans="1:26" ht="15" customHeight="1" x14ac:dyDescent="0.15">
      <c r="B98" s="193" t="s">
        <v>187</v>
      </c>
      <c r="C98" s="194"/>
      <c r="D98" s="194"/>
      <c r="E98" s="194"/>
      <c r="F98" s="194"/>
      <c r="G98" s="194"/>
      <c r="H98" s="194"/>
      <c r="I98" s="194"/>
      <c r="J98" s="194"/>
      <c r="K98" s="194"/>
      <c r="L98" s="194"/>
      <c r="M98" s="194"/>
      <c r="N98" s="194"/>
      <c r="O98" s="194"/>
      <c r="P98" s="194"/>
      <c r="Q98" s="194"/>
      <c r="R98" s="194"/>
      <c r="S98" s="194"/>
      <c r="T98" s="194"/>
      <c r="U98" s="194"/>
      <c r="V98" s="194"/>
      <c r="W98" s="194"/>
      <c r="X98" s="194"/>
      <c r="Y98" s="194"/>
      <c r="Z98" s="195"/>
    </row>
  </sheetData>
  <mergeCells count="218">
    <mergeCell ref="N70:S70"/>
    <mergeCell ref="T70:Z70"/>
    <mergeCell ref="T69:Z69"/>
    <mergeCell ref="B70:F70"/>
    <mergeCell ref="G70:M70"/>
    <mergeCell ref="D89:Z89"/>
    <mergeCell ref="B73:F73"/>
    <mergeCell ref="G72:M72"/>
    <mergeCell ref="G73:M73"/>
    <mergeCell ref="N72:S72"/>
    <mergeCell ref="N73:S73"/>
    <mergeCell ref="T72:Z72"/>
    <mergeCell ref="T73:Z73"/>
    <mergeCell ref="B82:B83"/>
    <mergeCell ref="B84:B85"/>
    <mergeCell ref="B80:B81"/>
    <mergeCell ref="B88:B90"/>
    <mergeCell ref="D88:Z88"/>
    <mergeCell ref="D90:Z90"/>
    <mergeCell ref="B86:B87"/>
    <mergeCell ref="D86:Z86"/>
    <mergeCell ref="D87:Z87"/>
    <mergeCell ref="D79:Z79"/>
    <mergeCell ref="D80:Z80"/>
    <mergeCell ref="V26:X26"/>
    <mergeCell ref="V27:X27"/>
    <mergeCell ref="V28:X28"/>
    <mergeCell ref="I26:K26"/>
    <mergeCell ref="I27:K27"/>
    <mergeCell ref="I28:K28"/>
    <mergeCell ref="B26:F26"/>
    <mergeCell ref="B27:F27"/>
    <mergeCell ref="B28:F28"/>
    <mergeCell ref="U60:W60"/>
    <mergeCell ref="U61:W61"/>
    <mergeCell ref="U64:W64"/>
    <mergeCell ref="U65:W65"/>
    <mergeCell ref="U66:W66"/>
    <mergeCell ref="I29:K29"/>
    <mergeCell ref="I30:K30"/>
    <mergeCell ref="V29:X29"/>
    <mergeCell ref="V30:X30"/>
    <mergeCell ref="I40:K40"/>
    <mergeCell ref="I41:K41"/>
    <mergeCell ref="V40:X40"/>
    <mergeCell ref="A35:Z36"/>
    <mergeCell ref="V41:X41"/>
    <mergeCell ref="V31:X31"/>
    <mergeCell ref="I31:K31"/>
    <mergeCell ref="I32:K32"/>
    <mergeCell ref="I33:K33"/>
    <mergeCell ref="H62:J62"/>
    <mergeCell ref="H63:J63"/>
    <mergeCell ref="U62:W62"/>
    <mergeCell ref="U63:W63"/>
    <mergeCell ref="V48:X48"/>
    <mergeCell ref="I49:K49"/>
    <mergeCell ref="V49:X49"/>
    <mergeCell ref="I51:K51"/>
    <mergeCell ref="V51:X51"/>
    <mergeCell ref="I52:K52"/>
    <mergeCell ref="V52:X52"/>
    <mergeCell ref="V55:X55"/>
    <mergeCell ref="A57:Z58"/>
    <mergeCell ref="I53:K53"/>
    <mergeCell ref="V53:X53"/>
    <mergeCell ref="I54:K54"/>
    <mergeCell ref="V54:X54"/>
    <mergeCell ref="I55:K55"/>
    <mergeCell ref="B51:F51"/>
    <mergeCell ref="B52:F52"/>
    <mergeCell ref="B53:F53"/>
    <mergeCell ref="B54:F54"/>
    <mergeCell ref="B55:F55"/>
    <mergeCell ref="A24:Z25"/>
    <mergeCell ref="A2:Z2"/>
    <mergeCell ref="B6:Z11"/>
    <mergeCell ref="A13:Z14"/>
    <mergeCell ref="I15:K15"/>
    <mergeCell ref="I16:K16"/>
    <mergeCell ref="V15:X15"/>
    <mergeCell ref="V16:X16"/>
    <mergeCell ref="O4:Z4"/>
    <mergeCell ref="V17:X17"/>
    <mergeCell ref="V20:X20"/>
    <mergeCell ref="V21:X21"/>
    <mergeCell ref="V22:X22"/>
    <mergeCell ref="I18:K18"/>
    <mergeCell ref="I19:K19"/>
    <mergeCell ref="V18:X18"/>
    <mergeCell ref="V19:X19"/>
    <mergeCell ref="V43:X43"/>
    <mergeCell ref="I44:K44"/>
    <mergeCell ref="V44:X44"/>
    <mergeCell ref="I50:K50"/>
    <mergeCell ref="V50:X50"/>
    <mergeCell ref="B48:F48"/>
    <mergeCell ref="B49:F49"/>
    <mergeCell ref="B50:F50"/>
    <mergeCell ref="V32:X32"/>
    <mergeCell ref="V33:X33"/>
    <mergeCell ref="I42:K42"/>
    <mergeCell ref="V42:X42"/>
    <mergeCell ref="V37:X37"/>
    <mergeCell ref="I38:K38"/>
    <mergeCell ref="V38:X38"/>
    <mergeCell ref="I39:K39"/>
    <mergeCell ref="V39:X39"/>
    <mergeCell ref="I37:K37"/>
    <mergeCell ref="B37:F37"/>
    <mergeCell ref="B38:F38"/>
    <mergeCell ref="B39:F39"/>
    <mergeCell ref="B40:F40"/>
    <mergeCell ref="A46:Z47"/>
    <mergeCell ref="I48:K48"/>
    <mergeCell ref="D81:Z81"/>
    <mergeCell ref="D82:Z82"/>
    <mergeCell ref="D85:Z85"/>
    <mergeCell ref="D83:Z83"/>
    <mergeCell ref="D84:Z84"/>
    <mergeCell ref="B75:F75"/>
    <mergeCell ref="G75:M75"/>
    <mergeCell ref="N75:S75"/>
    <mergeCell ref="T75:Z75"/>
    <mergeCell ref="B76:F76"/>
    <mergeCell ref="G76:M76"/>
    <mergeCell ref="N76:S76"/>
    <mergeCell ref="B69:F69"/>
    <mergeCell ref="G69:M69"/>
    <mergeCell ref="N69:S69"/>
    <mergeCell ref="H60:J60"/>
    <mergeCell ref="H61:J61"/>
    <mergeCell ref="B93:Z95"/>
    <mergeCell ref="B98:Z98"/>
    <mergeCell ref="T76:Z76"/>
    <mergeCell ref="B71:F71"/>
    <mergeCell ref="G71:M71"/>
    <mergeCell ref="N71:S71"/>
    <mergeCell ref="T71:Z71"/>
    <mergeCell ref="B74:F74"/>
    <mergeCell ref="G74:M74"/>
    <mergeCell ref="N74:S74"/>
    <mergeCell ref="T74:Z74"/>
    <mergeCell ref="B72:F72"/>
    <mergeCell ref="B60:E60"/>
    <mergeCell ref="B61:E61"/>
    <mergeCell ref="B62:E62"/>
    <mergeCell ref="B63:E63"/>
    <mergeCell ref="B64:E64"/>
    <mergeCell ref="B65:E65"/>
    <mergeCell ref="B66:E66"/>
    <mergeCell ref="W1:Z1"/>
    <mergeCell ref="B15:F15"/>
    <mergeCell ref="B16:F16"/>
    <mergeCell ref="B17:F17"/>
    <mergeCell ref="B18:F18"/>
    <mergeCell ref="B19:F19"/>
    <mergeCell ref="B20:F20"/>
    <mergeCell ref="B21:F21"/>
    <mergeCell ref="B22:F22"/>
    <mergeCell ref="N15:S15"/>
    <mergeCell ref="N16:S16"/>
    <mergeCell ref="N17:S17"/>
    <mergeCell ref="N18:S18"/>
    <mergeCell ref="N19:S19"/>
    <mergeCell ref="N20:S20"/>
    <mergeCell ref="N21:S21"/>
    <mergeCell ref="N22:S22"/>
    <mergeCell ref="I17:K17"/>
    <mergeCell ref="I20:K20"/>
    <mergeCell ref="I21:K21"/>
    <mergeCell ref="I22:K22"/>
    <mergeCell ref="B29:F29"/>
    <mergeCell ref="B30:F30"/>
    <mergeCell ref="B31:F31"/>
    <mergeCell ref="B32:F32"/>
    <mergeCell ref="B33:F33"/>
    <mergeCell ref="N26:S26"/>
    <mergeCell ref="N27:S27"/>
    <mergeCell ref="N28:S28"/>
    <mergeCell ref="N29:S29"/>
    <mergeCell ref="N30:S30"/>
    <mergeCell ref="N31:S31"/>
    <mergeCell ref="N32:S32"/>
    <mergeCell ref="N33:S33"/>
    <mergeCell ref="B41:F41"/>
    <mergeCell ref="B42:F42"/>
    <mergeCell ref="B43:F43"/>
    <mergeCell ref="B44:F44"/>
    <mergeCell ref="N37:S37"/>
    <mergeCell ref="N38:S38"/>
    <mergeCell ref="N39:S39"/>
    <mergeCell ref="N40:S40"/>
    <mergeCell ref="N41:S41"/>
    <mergeCell ref="N42:S42"/>
    <mergeCell ref="N43:S43"/>
    <mergeCell ref="N44:S44"/>
    <mergeCell ref="I43:K43"/>
    <mergeCell ref="N48:S48"/>
    <mergeCell ref="N49:S49"/>
    <mergeCell ref="N50:S50"/>
    <mergeCell ref="N51:S51"/>
    <mergeCell ref="N52:S52"/>
    <mergeCell ref="N53:S53"/>
    <mergeCell ref="N54:S54"/>
    <mergeCell ref="N55:S55"/>
    <mergeCell ref="B59:E59"/>
    <mergeCell ref="N59:R59"/>
    <mergeCell ref="N60:R60"/>
    <mergeCell ref="N61:R61"/>
    <mergeCell ref="N62:R62"/>
    <mergeCell ref="N63:R63"/>
    <mergeCell ref="N64:R64"/>
    <mergeCell ref="N65:R65"/>
    <mergeCell ref="N66:R66"/>
    <mergeCell ref="H64:J64"/>
    <mergeCell ref="H65:J65"/>
    <mergeCell ref="H66:J66"/>
  </mergeCells>
  <phoneticPr fontId="1"/>
  <dataValidations count="4">
    <dataValidation type="list" allowBlank="1" showInputMessage="1" showErrorMessage="1" sqref="Y16:Z22 H16:H22 Y27:Z33 H27:H33 H38:H44 Y38:Z44 H49:H55 Y49:Z55 Y60:Z66 G60:G66 T60:T66 U16:U22 L16:M22 U27:U33 L27:M33 U38:U44 L38:M44 U49:U55 L49:M55 L60:M66 K60">
      <formula1>"○"</formula1>
    </dataValidation>
    <dataValidation type="list" allowBlank="1" showInputMessage="1" showErrorMessage="1" sqref="Z23 Z34 D34:K34 D23:K23 V16:V22 I49:I55 V27:V33 I16:I22 V38:V44 I27:I33 V49:V55 I38:I44 U60:U66 H60:H66">
      <formula1>"全学開講,一部開講"</formula1>
    </dataValidation>
    <dataValidation type="list" allowBlank="1" showInputMessage="1" showErrorMessage="1" sqref="O4">
      <formula1>"学部・学科によって、修了要件は相違する,学部・学科によって、修了要件は相違しない"</formula1>
    </dataValidation>
    <dataValidation type="list" allowBlank="1" showInputMessage="1" showErrorMessage="1" sqref="H74:M77 G70:G77 H70:M71 T70:T77 U70:Z71 U74:Z77">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s>
  <hyperlinks>
    <hyperlink ref="B98" r:id="rId1"/>
  </hyperlinks>
  <printOptions horizontalCentered="1"/>
  <pageMargins left="0.78740157480314965" right="0.78740157480314965" top="0.59055118110236227" bottom="0.19685039370078741" header="0.31496062992125984" footer="0.19685039370078741"/>
  <pageSetup paperSize="9" scale="98" orientation="landscape" r:id="rId2"/>
  <rowBreaks count="3" manualBreakCount="3">
    <brk id="34" max="25" man="1"/>
    <brk id="67" max="25" man="1"/>
    <brk id="83" max="25"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30"/>
  <sheetViews>
    <sheetView view="pageBreakPreview" zoomScaleNormal="100" zoomScaleSheetLayoutView="100" workbookViewId="0"/>
  </sheetViews>
  <sheetFormatPr defaultColWidth="9" defaultRowHeight="18.75" customHeight="1" x14ac:dyDescent="0.15"/>
  <cols>
    <col min="1" max="1" width="2.75" style="1" customWidth="1"/>
    <col min="2" max="2" width="30" style="1" customWidth="1"/>
    <col min="3" max="17" width="6.125" style="1" customWidth="1"/>
    <col min="18" max="18" width="6.625" style="1" customWidth="1"/>
    <col min="19" max="16384" width="9" style="1"/>
  </cols>
  <sheetData>
    <row r="1" spans="1:20" ht="18" customHeight="1" x14ac:dyDescent="0.15">
      <c r="F1" s="241" t="s">
        <v>65</v>
      </c>
      <c r="G1" s="241"/>
      <c r="H1" s="241"/>
      <c r="I1" s="241"/>
      <c r="J1" s="241"/>
      <c r="K1" s="241"/>
      <c r="L1" s="241"/>
      <c r="M1" s="241"/>
      <c r="N1" s="241"/>
      <c r="O1" s="241"/>
      <c r="P1" s="241"/>
      <c r="Q1" s="241"/>
      <c r="R1" s="241"/>
    </row>
    <row r="2" spans="1:20" ht="18" customHeight="1" x14ac:dyDescent="0.15">
      <c r="A2" s="242" t="s">
        <v>93</v>
      </c>
      <c r="B2" s="242"/>
      <c r="C2" s="242"/>
      <c r="D2" s="242"/>
      <c r="E2" s="242"/>
      <c r="F2" s="242"/>
      <c r="G2" s="242"/>
      <c r="H2" s="242"/>
      <c r="I2" s="242"/>
      <c r="J2" s="242"/>
      <c r="K2" s="242"/>
      <c r="L2" s="242"/>
      <c r="M2" s="242"/>
      <c r="N2" s="242"/>
      <c r="O2" s="242"/>
      <c r="P2" s="242"/>
      <c r="Q2" s="242"/>
      <c r="R2" s="242"/>
      <c r="S2" s="4"/>
    </row>
    <row r="3" spans="1:20" ht="7.5" customHeight="1" x14ac:dyDescent="0.15">
      <c r="A3" s="38"/>
      <c r="B3" s="38"/>
      <c r="C3" s="38"/>
      <c r="D3" s="38"/>
      <c r="E3" s="38"/>
      <c r="F3" s="38"/>
      <c r="G3" s="38"/>
      <c r="H3" s="38"/>
      <c r="I3" s="38"/>
      <c r="J3" s="38"/>
      <c r="K3" s="38"/>
      <c r="L3" s="38"/>
      <c r="M3" s="38"/>
      <c r="N3" s="38"/>
      <c r="O3" s="38"/>
      <c r="P3" s="38"/>
      <c r="Q3" s="38"/>
      <c r="R3" s="38"/>
    </row>
    <row r="4" spans="1:20" ht="18" customHeight="1" x14ac:dyDescent="0.15">
      <c r="A4" s="4" t="s">
        <v>152</v>
      </c>
      <c r="B4" s="4"/>
      <c r="C4" s="243" t="str">
        <f>'様式１　大学等概要'!E12</f>
        <v>令和３</v>
      </c>
      <c r="D4" s="244"/>
      <c r="E4" s="38" t="s">
        <v>118</v>
      </c>
      <c r="F4" s="38"/>
      <c r="G4" s="38"/>
      <c r="H4" s="38"/>
      <c r="I4" s="38"/>
      <c r="J4" s="86"/>
      <c r="K4" s="38"/>
      <c r="L4" s="38"/>
      <c r="M4" s="116"/>
      <c r="N4" s="116"/>
      <c r="O4" s="116"/>
      <c r="P4" s="116"/>
      <c r="Q4" s="116"/>
      <c r="R4" s="116"/>
    </row>
    <row r="5" spans="1:20" ht="6" customHeight="1" x14ac:dyDescent="0.15">
      <c r="A5" s="38"/>
      <c r="B5" s="38"/>
      <c r="C5" s="38"/>
      <c r="D5" s="38"/>
      <c r="E5" s="38"/>
      <c r="F5" s="38"/>
      <c r="G5" s="38"/>
      <c r="H5" s="38"/>
      <c r="I5" s="38"/>
      <c r="J5" s="38"/>
      <c r="K5" s="38"/>
      <c r="L5" s="38"/>
      <c r="M5" s="38"/>
      <c r="N5" s="38"/>
      <c r="O5" s="38"/>
      <c r="P5" s="38"/>
      <c r="Q5" s="38"/>
      <c r="R5" s="38"/>
    </row>
    <row r="6" spans="1:20" ht="18" customHeight="1" x14ac:dyDescent="0.15">
      <c r="A6" s="4" t="s">
        <v>150</v>
      </c>
      <c r="B6" s="38"/>
      <c r="C6" s="38"/>
      <c r="D6" s="38"/>
      <c r="E6" s="38"/>
      <c r="F6" s="38"/>
      <c r="G6" s="38"/>
      <c r="H6" s="38"/>
      <c r="I6" s="38"/>
      <c r="J6" s="38"/>
      <c r="K6" s="38"/>
      <c r="L6" s="38"/>
      <c r="M6" s="38"/>
      <c r="N6" s="38"/>
      <c r="O6" s="38"/>
      <c r="P6" s="38"/>
      <c r="Q6" s="38"/>
      <c r="R6" s="38"/>
    </row>
    <row r="7" spans="1:20" ht="6" customHeight="1" x14ac:dyDescent="0.15">
      <c r="A7" s="4"/>
      <c r="B7" s="38"/>
      <c r="C7" s="38"/>
      <c r="D7" s="38"/>
      <c r="E7" s="38"/>
      <c r="F7" s="38"/>
      <c r="G7" s="38"/>
      <c r="H7" s="38"/>
      <c r="I7" s="38"/>
      <c r="J7" s="38"/>
      <c r="K7" s="38"/>
      <c r="L7" s="38"/>
      <c r="M7" s="38"/>
      <c r="N7" s="38"/>
      <c r="O7" s="38"/>
      <c r="P7" s="38"/>
      <c r="Q7" s="38"/>
      <c r="R7" s="38"/>
    </row>
    <row r="8" spans="1:20" ht="18" customHeight="1" x14ac:dyDescent="0.15">
      <c r="B8" s="245" t="s">
        <v>83</v>
      </c>
      <c r="C8" s="247" t="s">
        <v>88</v>
      </c>
      <c r="D8" s="249" t="s">
        <v>70</v>
      </c>
      <c r="E8" s="251" t="s">
        <v>94</v>
      </c>
      <c r="F8" s="251"/>
      <c r="G8" s="251" t="s">
        <v>95</v>
      </c>
      <c r="H8" s="251"/>
      <c r="I8" s="251" t="s">
        <v>96</v>
      </c>
      <c r="J8" s="251"/>
      <c r="K8" s="252" t="s">
        <v>97</v>
      </c>
      <c r="L8" s="253"/>
      <c r="M8" s="252" t="s">
        <v>98</v>
      </c>
      <c r="N8" s="253"/>
      <c r="O8" s="252" t="s">
        <v>99</v>
      </c>
      <c r="P8" s="253"/>
      <c r="Q8" s="254" t="s">
        <v>64</v>
      </c>
      <c r="R8" s="256" t="s">
        <v>58</v>
      </c>
      <c r="T8" s="34"/>
    </row>
    <row r="9" spans="1:20" ht="18" customHeight="1" x14ac:dyDescent="0.15">
      <c r="A9" s="4"/>
      <c r="B9" s="246"/>
      <c r="C9" s="248"/>
      <c r="D9" s="250"/>
      <c r="E9" s="43" t="s">
        <v>46</v>
      </c>
      <c r="F9" s="44" t="s">
        <v>45</v>
      </c>
      <c r="G9" s="45" t="s">
        <v>46</v>
      </c>
      <c r="H9" s="46" t="s">
        <v>45</v>
      </c>
      <c r="I9" s="43" t="s">
        <v>46</v>
      </c>
      <c r="J9" s="44" t="s">
        <v>45</v>
      </c>
      <c r="K9" s="45" t="s">
        <v>46</v>
      </c>
      <c r="L9" s="46" t="s">
        <v>45</v>
      </c>
      <c r="M9" s="43" t="s">
        <v>46</v>
      </c>
      <c r="N9" s="44" t="s">
        <v>45</v>
      </c>
      <c r="O9" s="45" t="s">
        <v>46</v>
      </c>
      <c r="P9" s="46" t="s">
        <v>45</v>
      </c>
      <c r="Q9" s="255"/>
      <c r="R9" s="257"/>
      <c r="T9" s="34"/>
    </row>
    <row r="10" spans="1:20" ht="18" customHeight="1" x14ac:dyDescent="0.15">
      <c r="A10" s="47"/>
      <c r="B10" s="87" t="s">
        <v>175</v>
      </c>
      <c r="C10" s="47">
        <v>600</v>
      </c>
      <c r="D10" s="48">
        <v>2400</v>
      </c>
      <c r="E10" s="49">
        <v>26</v>
      </c>
      <c r="F10" s="50">
        <v>26</v>
      </c>
      <c r="G10" s="51">
        <v>0</v>
      </c>
      <c r="H10" s="52">
        <v>0</v>
      </c>
      <c r="I10" s="49">
        <v>0</v>
      </c>
      <c r="J10" s="50">
        <v>0</v>
      </c>
      <c r="K10" s="51">
        <v>0</v>
      </c>
      <c r="L10" s="52">
        <v>0</v>
      </c>
      <c r="M10" s="49">
        <v>0</v>
      </c>
      <c r="N10" s="50">
        <v>0</v>
      </c>
      <c r="O10" s="51">
        <v>0</v>
      </c>
      <c r="P10" s="52">
        <v>0</v>
      </c>
      <c r="Q10" s="53">
        <f>E10+G10+I10+K10+M10+O10</f>
        <v>26</v>
      </c>
      <c r="R10" s="54">
        <f>Q10/D10</f>
        <v>1.0833333333333334E-2</v>
      </c>
    </row>
    <row r="11" spans="1:20" ht="18" customHeight="1" x14ac:dyDescent="0.15">
      <c r="A11" s="47"/>
      <c r="B11" s="88" t="s">
        <v>176</v>
      </c>
      <c r="C11" s="63">
        <v>510</v>
      </c>
      <c r="D11" s="56">
        <v>2040</v>
      </c>
      <c r="E11" s="57">
        <v>15</v>
      </c>
      <c r="F11" s="58">
        <v>13</v>
      </c>
      <c r="G11" s="59">
        <v>0</v>
      </c>
      <c r="H11" s="60">
        <v>0</v>
      </c>
      <c r="I11" s="57">
        <v>0</v>
      </c>
      <c r="J11" s="58">
        <v>0</v>
      </c>
      <c r="K11" s="59">
        <v>0</v>
      </c>
      <c r="L11" s="60">
        <v>0</v>
      </c>
      <c r="M11" s="57">
        <v>0</v>
      </c>
      <c r="N11" s="58">
        <v>0</v>
      </c>
      <c r="O11" s="59">
        <v>0</v>
      </c>
      <c r="P11" s="60">
        <v>0</v>
      </c>
      <c r="Q11" s="61">
        <f t="shared" ref="Q11:Q29" si="0">E11+G11+I11+K11+M11+O11</f>
        <v>15</v>
      </c>
      <c r="R11" s="62">
        <f t="shared" ref="R11:R29" si="1">Q11/D11</f>
        <v>7.3529411764705881E-3</v>
      </c>
    </row>
    <row r="12" spans="1:20" ht="18" customHeight="1" x14ac:dyDescent="0.15">
      <c r="A12" s="47"/>
      <c r="B12" s="88" t="s">
        <v>177</v>
      </c>
      <c r="C12" s="63">
        <v>250</v>
      </c>
      <c r="D12" s="56">
        <v>1000</v>
      </c>
      <c r="E12" s="57">
        <v>21</v>
      </c>
      <c r="F12" s="58">
        <v>19</v>
      </c>
      <c r="G12" s="59">
        <v>0</v>
      </c>
      <c r="H12" s="60">
        <v>0</v>
      </c>
      <c r="I12" s="57">
        <v>0</v>
      </c>
      <c r="J12" s="58">
        <v>0</v>
      </c>
      <c r="K12" s="59">
        <v>0</v>
      </c>
      <c r="L12" s="60">
        <v>0</v>
      </c>
      <c r="M12" s="57">
        <v>0</v>
      </c>
      <c r="N12" s="58">
        <v>0</v>
      </c>
      <c r="O12" s="59">
        <v>0</v>
      </c>
      <c r="P12" s="60">
        <v>0</v>
      </c>
      <c r="Q12" s="61">
        <f t="shared" si="0"/>
        <v>21</v>
      </c>
      <c r="R12" s="62">
        <f t="shared" si="1"/>
        <v>2.1000000000000001E-2</v>
      </c>
    </row>
    <row r="13" spans="1:20" ht="18" customHeight="1" x14ac:dyDescent="0.15">
      <c r="A13" s="47"/>
      <c r="B13" s="88" t="s">
        <v>178</v>
      </c>
      <c r="C13" s="63">
        <v>175</v>
      </c>
      <c r="D13" s="56">
        <v>700</v>
      </c>
      <c r="E13" s="57">
        <v>2</v>
      </c>
      <c r="F13" s="58">
        <v>2</v>
      </c>
      <c r="G13" s="59">
        <v>0</v>
      </c>
      <c r="H13" s="60">
        <v>0</v>
      </c>
      <c r="I13" s="57">
        <v>0</v>
      </c>
      <c r="J13" s="58">
        <v>0</v>
      </c>
      <c r="K13" s="59">
        <v>0</v>
      </c>
      <c r="L13" s="60">
        <v>0</v>
      </c>
      <c r="M13" s="57">
        <v>0</v>
      </c>
      <c r="N13" s="58">
        <v>0</v>
      </c>
      <c r="O13" s="59">
        <v>0</v>
      </c>
      <c r="P13" s="60">
        <v>0</v>
      </c>
      <c r="Q13" s="61">
        <f t="shared" si="0"/>
        <v>2</v>
      </c>
      <c r="R13" s="62">
        <f t="shared" si="1"/>
        <v>2.8571428571428571E-3</v>
      </c>
    </row>
    <row r="14" spans="1:20" ht="18" customHeight="1" x14ac:dyDescent="0.15">
      <c r="A14" s="47"/>
      <c r="B14" s="88" t="s">
        <v>179</v>
      </c>
      <c r="C14" s="63">
        <v>110</v>
      </c>
      <c r="D14" s="56">
        <v>480</v>
      </c>
      <c r="E14" s="57">
        <v>2</v>
      </c>
      <c r="F14" s="58">
        <v>1</v>
      </c>
      <c r="G14" s="59">
        <v>0</v>
      </c>
      <c r="H14" s="60">
        <v>0</v>
      </c>
      <c r="I14" s="57">
        <v>0</v>
      </c>
      <c r="J14" s="58">
        <v>0</v>
      </c>
      <c r="K14" s="59">
        <v>0</v>
      </c>
      <c r="L14" s="60">
        <v>0</v>
      </c>
      <c r="M14" s="57">
        <v>0</v>
      </c>
      <c r="N14" s="58">
        <v>0</v>
      </c>
      <c r="O14" s="59">
        <v>0</v>
      </c>
      <c r="P14" s="60">
        <v>0</v>
      </c>
      <c r="Q14" s="61">
        <f t="shared" si="0"/>
        <v>2</v>
      </c>
      <c r="R14" s="62">
        <f t="shared" si="1"/>
        <v>4.1666666666666666E-3</v>
      </c>
    </row>
    <row r="15" spans="1:20" ht="18" customHeight="1" x14ac:dyDescent="0.15">
      <c r="A15" s="47"/>
      <c r="B15" s="88"/>
      <c r="C15" s="63"/>
      <c r="D15" s="56"/>
      <c r="E15" s="57"/>
      <c r="F15" s="58"/>
      <c r="G15" s="59"/>
      <c r="H15" s="60"/>
      <c r="I15" s="57"/>
      <c r="J15" s="58"/>
      <c r="K15" s="59"/>
      <c r="L15" s="60"/>
      <c r="M15" s="57"/>
      <c r="N15" s="58"/>
      <c r="O15" s="59"/>
      <c r="P15" s="60"/>
      <c r="Q15" s="61">
        <f t="shared" si="0"/>
        <v>0</v>
      </c>
      <c r="R15" s="62" t="e">
        <f t="shared" si="1"/>
        <v>#DIV/0!</v>
      </c>
    </row>
    <row r="16" spans="1:20" ht="18" customHeight="1" x14ac:dyDescent="0.15">
      <c r="A16" s="47"/>
      <c r="B16" s="88"/>
      <c r="C16" s="63"/>
      <c r="D16" s="56"/>
      <c r="E16" s="57"/>
      <c r="F16" s="58"/>
      <c r="G16" s="59"/>
      <c r="H16" s="60"/>
      <c r="I16" s="57"/>
      <c r="J16" s="58"/>
      <c r="K16" s="59"/>
      <c r="L16" s="60"/>
      <c r="M16" s="57"/>
      <c r="N16" s="58"/>
      <c r="O16" s="59"/>
      <c r="P16" s="60"/>
      <c r="Q16" s="61">
        <f t="shared" si="0"/>
        <v>0</v>
      </c>
      <c r="R16" s="62" t="e">
        <f t="shared" si="1"/>
        <v>#DIV/0!</v>
      </c>
    </row>
    <row r="17" spans="1:18" ht="18" customHeight="1" x14ac:dyDescent="0.15">
      <c r="A17" s="47"/>
      <c r="B17" s="88"/>
      <c r="C17" s="63"/>
      <c r="D17" s="56"/>
      <c r="E17" s="57"/>
      <c r="F17" s="58"/>
      <c r="G17" s="59"/>
      <c r="H17" s="60"/>
      <c r="I17" s="57"/>
      <c r="J17" s="58"/>
      <c r="K17" s="59"/>
      <c r="L17" s="60"/>
      <c r="M17" s="57"/>
      <c r="N17" s="58"/>
      <c r="O17" s="59"/>
      <c r="P17" s="60"/>
      <c r="Q17" s="61">
        <f t="shared" si="0"/>
        <v>0</v>
      </c>
      <c r="R17" s="62" t="e">
        <f t="shared" si="1"/>
        <v>#DIV/0!</v>
      </c>
    </row>
    <row r="18" spans="1:18" ht="18" customHeight="1" x14ac:dyDescent="0.15">
      <c r="A18" s="47"/>
      <c r="B18" s="88"/>
      <c r="C18" s="63"/>
      <c r="D18" s="56"/>
      <c r="E18" s="57"/>
      <c r="F18" s="58"/>
      <c r="G18" s="59"/>
      <c r="H18" s="60"/>
      <c r="I18" s="57"/>
      <c r="J18" s="58"/>
      <c r="K18" s="59"/>
      <c r="L18" s="60"/>
      <c r="M18" s="57"/>
      <c r="N18" s="58"/>
      <c r="O18" s="59"/>
      <c r="P18" s="60"/>
      <c r="Q18" s="61">
        <f>E18+G18+I18+K18+M18+O18</f>
        <v>0</v>
      </c>
      <c r="R18" s="62" t="e">
        <f t="shared" si="1"/>
        <v>#DIV/0!</v>
      </c>
    </row>
    <row r="19" spans="1:18" ht="18" customHeight="1" x14ac:dyDescent="0.15">
      <c r="A19" s="47"/>
      <c r="B19" s="88"/>
      <c r="C19" s="63"/>
      <c r="D19" s="56"/>
      <c r="E19" s="57"/>
      <c r="F19" s="58"/>
      <c r="G19" s="59"/>
      <c r="H19" s="60"/>
      <c r="I19" s="57"/>
      <c r="J19" s="58"/>
      <c r="K19" s="59"/>
      <c r="L19" s="60"/>
      <c r="M19" s="57"/>
      <c r="N19" s="58"/>
      <c r="O19" s="59"/>
      <c r="P19" s="60"/>
      <c r="Q19" s="61">
        <f t="shared" si="0"/>
        <v>0</v>
      </c>
      <c r="R19" s="62" t="e">
        <f t="shared" si="1"/>
        <v>#DIV/0!</v>
      </c>
    </row>
    <row r="20" spans="1:18" ht="18" customHeight="1" x14ac:dyDescent="0.15">
      <c r="A20" s="47"/>
      <c r="B20" s="88"/>
      <c r="C20" s="63"/>
      <c r="D20" s="56"/>
      <c r="E20" s="57"/>
      <c r="F20" s="58"/>
      <c r="G20" s="59"/>
      <c r="H20" s="60"/>
      <c r="I20" s="57"/>
      <c r="J20" s="58"/>
      <c r="K20" s="59"/>
      <c r="L20" s="60"/>
      <c r="M20" s="57"/>
      <c r="N20" s="58"/>
      <c r="O20" s="59"/>
      <c r="P20" s="60"/>
      <c r="Q20" s="61">
        <f t="shared" si="0"/>
        <v>0</v>
      </c>
      <c r="R20" s="62" t="e">
        <f t="shared" si="1"/>
        <v>#DIV/0!</v>
      </c>
    </row>
    <row r="21" spans="1:18" ht="18" customHeight="1" x14ac:dyDescent="0.15">
      <c r="A21" s="47"/>
      <c r="B21" s="88"/>
      <c r="C21" s="63"/>
      <c r="D21" s="56"/>
      <c r="E21" s="57"/>
      <c r="F21" s="58"/>
      <c r="G21" s="59"/>
      <c r="H21" s="60"/>
      <c r="I21" s="57"/>
      <c r="J21" s="58"/>
      <c r="K21" s="59"/>
      <c r="L21" s="60"/>
      <c r="M21" s="57"/>
      <c r="N21" s="58"/>
      <c r="O21" s="59"/>
      <c r="P21" s="60"/>
      <c r="Q21" s="61">
        <f t="shared" si="0"/>
        <v>0</v>
      </c>
      <c r="R21" s="62" t="e">
        <f t="shared" si="1"/>
        <v>#DIV/0!</v>
      </c>
    </row>
    <row r="22" spans="1:18" ht="18" customHeight="1" x14ac:dyDescent="0.15">
      <c r="A22" s="47"/>
      <c r="B22" s="88"/>
      <c r="C22" s="63"/>
      <c r="D22" s="56"/>
      <c r="E22" s="57"/>
      <c r="F22" s="58"/>
      <c r="G22" s="59"/>
      <c r="H22" s="60"/>
      <c r="I22" s="57"/>
      <c r="J22" s="58"/>
      <c r="K22" s="59"/>
      <c r="L22" s="60"/>
      <c r="M22" s="57"/>
      <c r="N22" s="58"/>
      <c r="O22" s="59"/>
      <c r="P22" s="60"/>
      <c r="Q22" s="61">
        <f t="shared" si="0"/>
        <v>0</v>
      </c>
      <c r="R22" s="62" t="e">
        <f t="shared" si="1"/>
        <v>#DIV/0!</v>
      </c>
    </row>
    <row r="23" spans="1:18" ht="18" customHeight="1" x14ac:dyDescent="0.15">
      <c r="A23" s="47"/>
      <c r="B23" s="88"/>
      <c r="C23" s="63"/>
      <c r="D23" s="56"/>
      <c r="E23" s="57"/>
      <c r="F23" s="58"/>
      <c r="G23" s="59"/>
      <c r="H23" s="60"/>
      <c r="I23" s="57"/>
      <c r="J23" s="58"/>
      <c r="K23" s="59"/>
      <c r="L23" s="60"/>
      <c r="M23" s="57"/>
      <c r="N23" s="58"/>
      <c r="O23" s="59"/>
      <c r="P23" s="60"/>
      <c r="Q23" s="61">
        <f t="shared" si="0"/>
        <v>0</v>
      </c>
      <c r="R23" s="62" t="e">
        <f t="shared" si="1"/>
        <v>#DIV/0!</v>
      </c>
    </row>
    <row r="24" spans="1:18" ht="18" customHeight="1" x14ac:dyDescent="0.15">
      <c r="A24" s="47"/>
      <c r="B24" s="88"/>
      <c r="C24" s="63"/>
      <c r="D24" s="56"/>
      <c r="E24" s="57"/>
      <c r="F24" s="58"/>
      <c r="G24" s="59"/>
      <c r="H24" s="60"/>
      <c r="I24" s="57"/>
      <c r="J24" s="58"/>
      <c r="K24" s="59"/>
      <c r="L24" s="60"/>
      <c r="M24" s="57"/>
      <c r="N24" s="58"/>
      <c r="O24" s="59"/>
      <c r="P24" s="60"/>
      <c r="Q24" s="61">
        <f t="shared" si="0"/>
        <v>0</v>
      </c>
      <c r="R24" s="62" t="e">
        <f t="shared" si="1"/>
        <v>#DIV/0!</v>
      </c>
    </row>
    <row r="25" spans="1:18" ht="18" customHeight="1" x14ac:dyDescent="0.15">
      <c r="A25" s="47"/>
      <c r="B25" s="88"/>
      <c r="C25" s="63"/>
      <c r="D25" s="56"/>
      <c r="E25" s="57"/>
      <c r="F25" s="58"/>
      <c r="G25" s="59"/>
      <c r="H25" s="60"/>
      <c r="I25" s="57"/>
      <c r="J25" s="58"/>
      <c r="K25" s="59"/>
      <c r="L25" s="60"/>
      <c r="M25" s="57"/>
      <c r="N25" s="58"/>
      <c r="O25" s="59"/>
      <c r="P25" s="60"/>
      <c r="Q25" s="61">
        <f t="shared" si="0"/>
        <v>0</v>
      </c>
      <c r="R25" s="62" t="e">
        <f t="shared" si="1"/>
        <v>#DIV/0!</v>
      </c>
    </row>
    <row r="26" spans="1:18" ht="18" customHeight="1" x14ac:dyDescent="0.15">
      <c r="A26" s="47"/>
      <c r="B26" s="88"/>
      <c r="C26" s="63"/>
      <c r="D26" s="56"/>
      <c r="E26" s="57"/>
      <c r="F26" s="58"/>
      <c r="G26" s="59"/>
      <c r="H26" s="60"/>
      <c r="I26" s="57"/>
      <c r="J26" s="58"/>
      <c r="K26" s="59"/>
      <c r="L26" s="60"/>
      <c r="M26" s="57"/>
      <c r="N26" s="58"/>
      <c r="O26" s="59"/>
      <c r="P26" s="60"/>
      <c r="Q26" s="61">
        <f t="shared" si="0"/>
        <v>0</v>
      </c>
      <c r="R26" s="62" t="e">
        <f t="shared" si="1"/>
        <v>#DIV/0!</v>
      </c>
    </row>
    <row r="27" spans="1:18" ht="18" customHeight="1" x14ac:dyDescent="0.15">
      <c r="A27" s="47"/>
      <c r="B27" s="88"/>
      <c r="C27" s="55"/>
      <c r="D27" s="56"/>
      <c r="E27" s="57"/>
      <c r="F27" s="58"/>
      <c r="G27" s="59"/>
      <c r="H27" s="60"/>
      <c r="I27" s="57"/>
      <c r="J27" s="58"/>
      <c r="K27" s="59"/>
      <c r="L27" s="60"/>
      <c r="M27" s="57"/>
      <c r="N27" s="58"/>
      <c r="O27" s="59"/>
      <c r="P27" s="60"/>
      <c r="Q27" s="61">
        <f t="shared" si="0"/>
        <v>0</v>
      </c>
      <c r="R27" s="62" t="e">
        <f t="shared" si="1"/>
        <v>#DIV/0!</v>
      </c>
    </row>
    <row r="28" spans="1:18" ht="18" customHeight="1" x14ac:dyDescent="0.15">
      <c r="A28" s="47"/>
      <c r="B28" s="88"/>
      <c r="C28" s="55"/>
      <c r="D28" s="56"/>
      <c r="E28" s="57"/>
      <c r="F28" s="58"/>
      <c r="G28" s="59"/>
      <c r="H28" s="60"/>
      <c r="I28" s="57"/>
      <c r="J28" s="58"/>
      <c r="K28" s="59"/>
      <c r="L28" s="60"/>
      <c r="M28" s="57"/>
      <c r="N28" s="58"/>
      <c r="O28" s="59"/>
      <c r="P28" s="60"/>
      <c r="Q28" s="61">
        <f t="shared" si="0"/>
        <v>0</v>
      </c>
      <c r="R28" s="62" t="e">
        <f t="shared" si="1"/>
        <v>#DIV/0!</v>
      </c>
    </row>
    <row r="29" spans="1:18" ht="18" customHeight="1" thickBot="1" x14ac:dyDescent="0.2">
      <c r="A29" s="47"/>
      <c r="B29" s="89"/>
      <c r="C29" s="90"/>
      <c r="D29" s="48"/>
      <c r="E29" s="49"/>
      <c r="F29" s="50"/>
      <c r="G29" s="51"/>
      <c r="H29" s="52"/>
      <c r="I29" s="49"/>
      <c r="J29" s="50"/>
      <c r="K29" s="51"/>
      <c r="L29" s="52"/>
      <c r="M29" s="49"/>
      <c r="N29" s="50"/>
      <c r="O29" s="51"/>
      <c r="P29" s="52"/>
      <c r="Q29" s="64">
        <f t="shared" si="0"/>
        <v>0</v>
      </c>
      <c r="R29" s="54" t="e">
        <f t="shared" si="1"/>
        <v>#DIV/0!</v>
      </c>
    </row>
    <row r="30" spans="1:18" ht="18" customHeight="1" thickTop="1" x14ac:dyDescent="0.15">
      <c r="B30" s="91" t="s">
        <v>59</v>
      </c>
      <c r="C30" s="92">
        <f t="shared" ref="C30:Q30" si="2">SUM(C10:C29)</f>
        <v>1645</v>
      </c>
      <c r="D30" s="65">
        <f t="shared" si="2"/>
        <v>6620</v>
      </c>
      <c r="E30" s="66">
        <f t="shared" si="2"/>
        <v>66</v>
      </c>
      <c r="F30" s="67">
        <f t="shared" si="2"/>
        <v>61</v>
      </c>
      <c r="G30" s="68">
        <f t="shared" si="2"/>
        <v>0</v>
      </c>
      <c r="H30" s="69">
        <f t="shared" si="2"/>
        <v>0</v>
      </c>
      <c r="I30" s="66">
        <f t="shared" si="2"/>
        <v>0</v>
      </c>
      <c r="J30" s="67">
        <f t="shared" si="2"/>
        <v>0</v>
      </c>
      <c r="K30" s="68">
        <f t="shared" si="2"/>
        <v>0</v>
      </c>
      <c r="L30" s="69">
        <f t="shared" si="2"/>
        <v>0</v>
      </c>
      <c r="M30" s="66">
        <f t="shared" si="2"/>
        <v>0</v>
      </c>
      <c r="N30" s="67">
        <f t="shared" si="2"/>
        <v>0</v>
      </c>
      <c r="O30" s="68">
        <f t="shared" si="2"/>
        <v>0</v>
      </c>
      <c r="P30" s="69">
        <f t="shared" si="2"/>
        <v>0</v>
      </c>
      <c r="Q30" s="70">
        <f t="shared" si="2"/>
        <v>66</v>
      </c>
      <c r="R30" s="71">
        <f>Q30/D30</f>
        <v>9.9697885196374618E-3</v>
      </c>
    </row>
  </sheetData>
  <mergeCells count="14">
    <mergeCell ref="F1:R1"/>
    <mergeCell ref="A2:R2"/>
    <mergeCell ref="C4:D4"/>
    <mergeCell ref="B8:B9"/>
    <mergeCell ref="C8:C9"/>
    <mergeCell ref="D8:D9"/>
    <mergeCell ref="E8:F8"/>
    <mergeCell ref="G8:H8"/>
    <mergeCell ref="I8:J8"/>
    <mergeCell ref="K8:L8"/>
    <mergeCell ref="M8:N8"/>
    <mergeCell ref="O8:P8"/>
    <mergeCell ref="Q8:Q9"/>
    <mergeCell ref="R8:R9"/>
  </mergeCells>
  <phoneticPr fontId="1"/>
  <conditionalFormatting sqref="C4:D4">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44"/>
  <sheetViews>
    <sheetView showZeros="0" view="pageBreakPreview" topLeftCell="A16" zoomScaleNormal="100" zoomScaleSheetLayoutView="100" workbookViewId="0"/>
  </sheetViews>
  <sheetFormatPr defaultColWidth="11.375" defaultRowHeight="18.75" customHeight="1" x14ac:dyDescent="0.15"/>
  <cols>
    <col min="1" max="1" width="2.75" style="2" customWidth="1"/>
    <col min="2" max="2" width="16.625" style="1" customWidth="1"/>
    <col min="3" max="3" width="8.875" style="1" customWidth="1"/>
    <col min="4" max="4" width="2.25" style="1" customWidth="1"/>
    <col min="5" max="5" width="16.625" style="1" customWidth="1"/>
    <col min="6" max="6" width="8.875" style="1" customWidth="1"/>
    <col min="7" max="7" width="2.25" style="1" customWidth="1"/>
    <col min="8" max="8" width="16.625" style="1" customWidth="1"/>
    <col min="9" max="9" width="8.875" style="1" customWidth="1"/>
    <col min="10" max="10" width="2.25" style="1" customWidth="1"/>
    <col min="11" max="11" width="11.375" style="31"/>
    <col min="12" max="16384" width="11.375" style="1"/>
  </cols>
  <sheetData>
    <row r="1" spans="1:11" ht="18.75" customHeight="1" x14ac:dyDescent="0.15">
      <c r="A1" s="2" t="s">
        <v>119</v>
      </c>
      <c r="J1" s="41" t="s">
        <v>120</v>
      </c>
    </row>
    <row r="2" spans="1:11" ht="18.75" customHeight="1" x14ac:dyDescent="0.15">
      <c r="A2" s="242" t="s">
        <v>66</v>
      </c>
      <c r="B2" s="242"/>
      <c r="C2" s="242"/>
      <c r="D2" s="242"/>
      <c r="E2" s="242"/>
      <c r="F2" s="242"/>
      <c r="G2" s="242"/>
      <c r="H2" s="242"/>
      <c r="I2" s="242"/>
      <c r="J2" s="242"/>
    </row>
    <row r="3" spans="1:11" ht="7.5" customHeight="1" x14ac:dyDescent="0.15">
      <c r="B3" s="38"/>
      <c r="C3" s="38"/>
      <c r="D3" s="38"/>
      <c r="E3" s="38"/>
      <c r="F3" s="38"/>
      <c r="G3" s="38"/>
      <c r="H3" s="38"/>
      <c r="I3" s="38"/>
      <c r="J3" s="38"/>
    </row>
    <row r="4" spans="1:11" ht="18.75" customHeight="1" x14ac:dyDescent="0.15">
      <c r="A4" s="1" t="s">
        <v>6</v>
      </c>
      <c r="B4" s="4" t="s">
        <v>76</v>
      </c>
      <c r="C4" s="4"/>
      <c r="D4" s="4"/>
      <c r="E4" s="4"/>
      <c r="F4" s="4"/>
      <c r="G4" s="4"/>
      <c r="H4" s="4"/>
      <c r="I4" s="38"/>
      <c r="J4" s="38"/>
    </row>
    <row r="5" spans="1:11" ht="18.75" customHeight="1" x14ac:dyDescent="0.15">
      <c r="A5" s="1"/>
      <c r="B5" s="151" t="s">
        <v>180</v>
      </c>
      <c r="C5" s="152"/>
      <c r="D5" s="152"/>
      <c r="E5" s="152"/>
      <c r="F5" s="152"/>
      <c r="G5" s="152"/>
      <c r="H5" s="152"/>
      <c r="I5" s="152"/>
      <c r="J5" s="279"/>
    </row>
    <row r="6" spans="1:11" ht="7.5" customHeight="1" x14ac:dyDescent="0.15">
      <c r="B6" s="38"/>
      <c r="C6" s="38"/>
      <c r="D6" s="38"/>
      <c r="E6" s="38"/>
      <c r="F6" s="38"/>
      <c r="G6" s="38"/>
      <c r="H6" s="38"/>
      <c r="I6" s="38"/>
      <c r="J6" s="38"/>
    </row>
    <row r="7" spans="1:11" s="4" customFormat="1" ht="18.75" customHeight="1" x14ac:dyDescent="0.15">
      <c r="A7" s="1" t="s">
        <v>10</v>
      </c>
      <c r="B7" s="1" t="s">
        <v>41</v>
      </c>
      <c r="C7" s="1"/>
      <c r="D7" s="1"/>
      <c r="E7" s="1"/>
      <c r="F7" s="1"/>
      <c r="G7" s="1"/>
      <c r="H7" s="1"/>
      <c r="I7" s="1"/>
      <c r="J7" s="1"/>
      <c r="K7" s="35"/>
    </row>
    <row r="8" spans="1:11" s="4" customFormat="1" ht="18.75" customHeight="1" x14ac:dyDescent="0.15">
      <c r="A8" s="93"/>
      <c r="B8" s="280" t="s">
        <v>181</v>
      </c>
      <c r="C8" s="259"/>
      <c r="D8" s="259"/>
      <c r="E8" s="259"/>
      <c r="F8" s="259"/>
      <c r="G8" s="259"/>
      <c r="H8" s="259"/>
      <c r="I8" s="267"/>
      <c r="J8" s="268"/>
      <c r="K8" s="31"/>
    </row>
    <row r="9" spans="1:11" s="4" customFormat="1" ht="18.75" customHeight="1" x14ac:dyDescent="0.15">
      <c r="A9" s="93"/>
      <c r="B9" s="269"/>
      <c r="C9" s="270"/>
      <c r="D9" s="270"/>
      <c r="E9" s="270"/>
      <c r="F9" s="270"/>
      <c r="G9" s="270"/>
      <c r="H9" s="270"/>
      <c r="I9" s="270"/>
      <c r="J9" s="271"/>
      <c r="K9" s="31"/>
    </row>
    <row r="10" spans="1:11" s="4" customFormat="1" ht="18.75" customHeight="1" x14ac:dyDescent="0.15">
      <c r="A10" s="93"/>
      <c r="B10" s="269"/>
      <c r="C10" s="270"/>
      <c r="D10" s="270"/>
      <c r="E10" s="270"/>
      <c r="F10" s="270"/>
      <c r="G10" s="270"/>
      <c r="H10" s="270"/>
      <c r="I10" s="270"/>
      <c r="J10" s="271"/>
      <c r="K10" s="31"/>
    </row>
    <row r="11" spans="1:11" s="4" customFormat="1" ht="18.75" customHeight="1" x14ac:dyDescent="0.15">
      <c r="A11" s="93"/>
      <c r="B11" s="269"/>
      <c r="C11" s="270"/>
      <c r="D11" s="270"/>
      <c r="E11" s="270"/>
      <c r="F11" s="270"/>
      <c r="G11" s="270"/>
      <c r="H11" s="270"/>
      <c r="I11" s="270"/>
      <c r="J11" s="271"/>
      <c r="K11" s="31"/>
    </row>
    <row r="12" spans="1:11" s="4" customFormat="1" ht="18.75" customHeight="1" x14ac:dyDescent="0.15">
      <c r="A12" s="93"/>
      <c r="B12" s="272"/>
      <c r="C12" s="273"/>
      <c r="D12" s="273"/>
      <c r="E12" s="273"/>
      <c r="F12" s="273"/>
      <c r="G12" s="273"/>
      <c r="H12" s="273"/>
      <c r="I12" s="273"/>
      <c r="J12" s="274"/>
      <c r="K12" s="31"/>
    </row>
    <row r="13" spans="1:11" s="4" customFormat="1" ht="7.5" customHeight="1" x14ac:dyDescent="0.15">
      <c r="A13" s="93"/>
      <c r="B13" s="93"/>
      <c r="C13" s="93"/>
      <c r="D13" s="93"/>
      <c r="E13" s="93"/>
      <c r="F13" s="93"/>
      <c r="G13" s="93"/>
      <c r="H13" s="93"/>
      <c r="I13" s="93"/>
      <c r="J13" s="93"/>
      <c r="K13" s="31"/>
    </row>
    <row r="14" spans="1:11" s="4" customFormat="1" ht="18.75" customHeight="1" x14ac:dyDescent="0.15">
      <c r="A14" s="94" t="s">
        <v>11</v>
      </c>
      <c r="B14" s="94" t="s">
        <v>16</v>
      </c>
      <c r="C14" s="94"/>
      <c r="D14" s="94"/>
      <c r="E14" s="94"/>
      <c r="F14" s="94"/>
      <c r="G14" s="94"/>
      <c r="H14" s="94"/>
      <c r="I14" s="94"/>
      <c r="J14" s="94"/>
      <c r="K14" s="31"/>
    </row>
    <row r="15" spans="1:11" s="4" customFormat="1" ht="18.75" customHeight="1" x14ac:dyDescent="0.15">
      <c r="A15" s="93"/>
      <c r="B15" s="280" t="s">
        <v>182</v>
      </c>
      <c r="C15" s="259"/>
      <c r="D15" s="259"/>
      <c r="E15" s="259"/>
      <c r="F15" s="259"/>
      <c r="G15" s="259"/>
      <c r="H15" s="259"/>
      <c r="I15" s="267"/>
      <c r="J15" s="268"/>
      <c r="K15" s="31"/>
    </row>
    <row r="16" spans="1:11" s="4" customFormat="1" ht="18.75" customHeight="1" x14ac:dyDescent="0.15">
      <c r="A16" s="93"/>
      <c r="B16" s="269"/>
      <c r="C16" s="270"/>
      <c r="D16" s="270"/>
      <c r="E16" s="270"/>
      <c r="F16" s="270"/>
      <c r="G16" s="270"/>
      <c r="H16" s="270"/>
      <c r="I16" s="270"/>
      <c r="J16" s="271"/>
      <c r="K16" s="31"/>
    </row>
    <row r="17" spans="1:11" s="4" customFormat="1" ht="18.75" customHeight="1" x14ac:dyDescent="0.15">
      <c r="A17" s="93"/>
      <c r="B17" s="269"/>
      <c r="C17" s="270"/>
      <c r="D17" s="270"/>
      <c r="E17" s="270"/>
      <c r="F17" s="270"/>
      <c r="G17" s="270"/>
      <c r="H17" s="270"/>
      <c r="I17" s="270"/>
      <c r="J17" s="271"/>
      <c r="K17" s="31"/>
    </row>
    <row r="18" spans="1:11" s="4" customFormat="1" ht="18.75" customHeight="1" x14ac:dyDescent="0.15">
      <c r="A18" s="93"/>
      <c r="B18" s="269"/>
      <c r="C18" s="270"/>
      <c r="D18" s="270"/>
      <c r="E18" s="270"/>
      <c r="F18" s="270"/>
      <c r="G18" s="270"/>
      <c r="H18" s="270"/>
      <c r="I18" s="270"/>
      <c r="J18" s="271"/>
      <c r="K18" s="31"/>
    </row>
    <row r="19" spans="1:11" s="4" customFormat="1" ht="18.75" customHeight="1" x14ac:dyDescent="0.15">
      <c r="A19" s="93"/>
      <c r="B19" s="269"/>
      <c r="C19" s="270"/>
      <c r="D19" s="270"/>
      <c r="E19" s="270"/>
      <c r="F19" s="270"/>
      <c r="G19" s="270"/>
      <c r="H19" s="270"/>
      <c r="I19" s="270"/>
      <c r="J19" s="271"/>
      <c r="K19" s="31"/>
    </row>
    <row r="20" spans="1:11" s="4" customFormat="1" ht="18.75" customHeight="1" x14ac:dyDescent="0.15">
      <c r="A20" s="93"/>
      <c r="B20" s="269"/>
      <c r="C20" s="270"/>
      <c r="D20" s="270"/>
      <c r="E20" s="270"/>
      <c r="F20" s="270"/>
      <c r="G20" s="270"/>
      <c r="H20" s="270"/>
      <c r="I20" s="270"/>
      <c r="J20" s="271"/>
      <c r="K20" s="31"/>
    </row>
    <row r="21" spans="1:11" s="4" customFormat="1" ht="18.75" customHeight="1" x14ac:dyDescent="0.15">
      <c r="A21" s="93"/>
      <c r="B21" s="269"/>
      <c r="C21" s="270"/>
      <c r="D21" s="270"/>
      <c r="E21" s="270"/>
      <c r="F21" s="270"/>
      <c r="G21" s="270"/>
      <c r="H21" s="270"/>
      <c r="I21" s="270"/>
      <c r="J21" s="271"/>
      <c r="K21" s="31"/>
    </row>
    <row r="22" spans="1:11" s="4" customFormat="1" ht="18.75" customHeight="1" x14ac:dyDescent="0.15">
      <c r="A22" s="93"/>
      <c r="B22" s="269"/>
      <c r="C22" s="270"/>
      <c r="D22" s="270"/>
      <c r="E22" s="270"/>
      <c r="F22" s="270"/>
      <c r="G22" s="270"/>
      <c r="H22" s="270"/>
      <c r="I22" s="270"/>
      <c r="J22" s="271"/>
      <c r="K22" s="31"/>
    </row>
    <row r="23" spans="1:11" s="4" customFormat="1" ht="18.75" customHeight="1" x14ac:dyDescent="0.15">
      <c r="A23" s="93"/>
      <c r="B23" s="269"/>
      <c r="C23" s="270"/>
      <c r="D23" s="270"/>
      <c r="E23" s="270"/>
      <c r="F23" s="270"/>
      <c r="G23" s="270"/>
      <c r="H23" s="270"/>
      <c r="I23" s="270"/>
      <c r="J23" s="271"/>
      <c r="K23" s="31"/>
    </row>
    <row r="24" spans="1:11" s="4" customFormat="1" ht="18.75" customHeight="1" x14ac:dyDescent="0.15">
      <c r="A24" s="93"/>
      <c r="B24" s="269"/>
      <c r="C24" s="270"/>
      <c r="D24" s="270"/>
      <c r="E24" s="270"/>
      <c r="F24" s="270"/>
      <c r="G24" s="270"/>
      <c r="H24" s="270"/>
      <c r="I24" s="270"/>
      <c r="J24" s="271"/>
      <c r="K24" s="31"/>
    </row>
    <row r="25" spans="1:11" s="4" customFormat="1" ht="18.75" customHeight="1" x14ac:dyDescent="0.15">
      <c r="A25" s="93"/>
      <c r="B25" s="272"/>
      <c r="C25" s="273"/>
      <c r="D25" s="273"/>
      <c r="E25" s="273"/>
      <c r="F25" s="273"/>
      <c r="G25" s="273"/>
      <c r="H25" s="273"/>
      <c r="I25" s="273"/>
      <c r="J25" s="274"/>
      <c r="K25" s="31"/>
    </row>
    <row r="26" spans="1:11" ht="7.5" customHeight="1" x14ac:dyDescent="0.15">
      <c r="A26" s="39"/>
      <c r="B26" s="39"/>
      <c r="C26" s="39"/>
      <c r="D26" s="39"/>
      <c r="E26" s="39"/>
      <c r="F26" s="39"/>
      <c r="G26" s="39"/>
      <c r="H26" s="39"/>
      <c r="I26" s="39"/>
      <c r="J26" s="39"/>
    </row>
    <row r="27" spans="1:11" s="4" customFormat="1" ht="18.75" customHeight="1" x14ac:dyDescent="0.15">
      <c r="A27" s="1" t="s">
        <v>14</v>
      </c>
      <c r="B27" s="1" t="s">
        <v>27</v>
      </c>
      <c r="C27" s="1"/>
      <c r="D27" s="1"/>
      <c r="E27" s="1"/>
      <c r="F27" s="1"/>
      <c r="G27" s="1"/>
      <c r="H27" s="1"/>
      <c r="I27" s="1"/>
      <c r="J27" s="1"/>
      <c r="K27" s="31"/>
    </row>
    <row r="28" spans="1:11" s="29" customFormat="1" ht="18.75" customHeight="1" x14ac:dyDescent="0.15">
      <c r="B28" s="95" t="s">
        <v>121</v>
      </c>
      <c r="C28" s="96">
        <f>'様式３　履修者等数の実績'!R30</f>
        <v>9.9697885196374618E-3</v>
      </c>
      <c r="D28" s="97"/>
      <c r="E28" s="97" t="s">
        <v>122</v>
      </c>
      <c r="F28" s="96">
        <v>0.02</v>
      </c>
      <c r="G28" s="97"/>
      <c r="H28" s="97" t="s">
        <v>123</v>
      </c>
      <c r="I28" s="98">
        <v>0.04</v>
      </c>
      <c r="J28" s="99"/>
      <c r="K28" s="31"/>
    </row>
    <row r="29" spans="1:11" s="29" customFormat="1" ht="18.75" customHeight="1" x14ac:dyDescent="0.15">
      <c r="B29" s="83" t="s">
        <v>124</v>
      </c>
      <c r="C29" s="100">
        <v>0.06</v>
      </c>
      <c r="D29" s="84"/>
      <c r="E29" s="84" t="s">
        <v>125</v>
      </c>
      <c r="F29" s="100">
        <v>0.08</v>
      </c>
      <c r="G29" s="84"/>
      <c r="H29" s="84" t="s">
        <v>126</v>
      </c>
      <c r="I29" s="101">
        <f>'様式３　履修者等数の実績'!D30</f>
        <v>6620</v>
      </c>
      <c r="J29" s="102"/>
      <c r="K29" s="35"/>
    </row>
    <row r="30" spans="1:11" s="4" customFormat="1" ht="18.75" customHeight="1" x14ac:dyDescent="0.15">
      <c r="A30" s="1"/>
      <c r="B30" s="199" t="s">
        <v>127</v>
      </c>
      <c r="C30" s="200"/>
      <c r="D30" s="200"/>
      <c r="E30" s="200"/>
      <c r="F30" s="200"/>
      <c r="G30" s="200"/>
      <c r="H30" s="200"/>
      <c r="I30" s="200"/>
      <c r="J30" s="201"/>
      <c r="K30" s="35"/>
    </row>
    <row r="31" spans="1:11" s="4" customFormat="1" ht="18.75" customHeight="1" x14ac:dyDescent="0.15">
      <c r="A31" s="1"/>
      <c r="B31" s="276" t="s">
        <v>194</v>
      </c>
      <c r="C31" s="277"/>
      <c r="D31" s="277"/>
      <c r="E31" s="277"/>
      <c r="F31" s="277"/>
      <c r="G31" s="277"/>
      <c r="H31" s="277"/>
      <c r="I31" s="277"/>
      <c r="J31" s="278"/>
      <c r="K31" s="31"/>
    </row>
    <row r="32" spans="1:11" s="4" customFormat="1" ht="18.75" customHeight="1" x14ac:dyDescent="0.15">
      <c r="A32" s="1"/>
      <c r="B32" s="261"/>
      <c r="C32" s="262"/>
      <c r="D32" s="262"/>
      <c r="E32" s="262"/>
      <c r="F32" s="262"/>
      <c r="G32" s="262"/>
      <c r="H32" s="262"/>
      <c r="I32" s="262"/>
      <c r="J32" s="263"/>
      <c r="K32" s="35"/>
    </row>
    <row r="33" spans="1:11" s="4" customFormat="1" ht="18.75" customHeight="1" x14ac:dyDescent="0.15">
      <c r="A33" s="1"/>
      <c r="B33" s="261"/>
      <c r="C33" s="262"/>
      <c r="D33" s="262"/>
      <c r="E33" s="262"/>
      <c r="F33" s="262"/>
      <c r="G33" s="262"/>
      <c r="H33" s="262"/>
      <c r="I33" s="262"/>
      <c r="J33" s="263"/>
      <c r="K33" s="35"/>
    </row>
    <row r="34" spans="1:11" s="4" customFormat="1" ht="18.75" customHeight="1" x14ac:dyDescent="0.15">
      <c r="A34" s="1"/>
      <c r="B34" s="261"/>
      <c r="C34" s="262"/>
      <c r="D34" s="262"/>
      <c r="E34" s="262"/>
      <c r="F34" s="262"/>
      <c r="G34" s="262"/>
      <c r="H34" s="262"/>
      <c r="I34" s="262"/>
      <c r="J34" s="263"/>
      <c r="K34" s="35"/>
    </row>
    <row r="35" spans="1:11" s="4" customFormat="1" ht="18.75" customHeight="1" x14ac:dyDescent="0.15">
      <c r="A35" s="1"/>
      <c r="B35" s="261"/>
      <c r="C35" s="262"/>
      <c r="D35" s="262"/>
      <c r="E35" s="262"/>
      <c r="F35" s="262"/>
      <c r="G35" s="262"/>
      <c r="H35" s="262"/>
      <c r="I35" s="262"/>
      <c r="J35" s="263"/>
      <c r="K35" s="35"/>
    </row>
    <row r="36" spans="1:11" s="4" customFormat="1" ht="18.75" customHeight="1" x14ac:dyDescent="0.15">
      <c r="A36" s="1"/>
      <c r="B36" s="261"/>
      <c r="C36" s="262"/>
      <c r="D36" s="262"/>
      <c r="E36" s="262"/>
      <c r="F36" s="262"/>
      <c r="G36" s="262"/>
      <c r="H36" s="262"/>
      <c r="I36" s="262"/>
      <c r="J36" s="263"/>
      <c r="K36" s="35"/>
    </row>
    <row r="37" spans="1:11" s="4" customFormat="1" ht="18.75" customHeight="1" x14ac:dyDescent="0.15">
      <c r="A37" s="1"/>
      <c r="B37" s="261"/>
      <c r="C37" s="262"/>
      <c r="D37" s="262"/>
      <c r="E37" s="262"/>
      <c r="F37" s="262"/>
      <c r="G37" s="262"/>
      <c r="H37" s="262"/>
      <c r="I37" s="262"/>
      <c r="J37" s="263"/>
      <c r="K37" s="35"/>
    </row>
    <row r="38" spans="1:11" s="4" customFormat="1" ht="18.75" customHeight="1" x14ac:dyDescent="0.15">
      <c r="A38" s="1"/>
      <c r="B38" s="261"/>
      <c r="C38" s="262"/>
      <c r="D38" s="262"/>
      <c r="E38" s="262"/>
      <c r="F38" s="262"/>
      <c r="G38" s="262"/>
      <c r="H38" s="262"/>
      <c r="I38" s="262"/>
      <c r="J38" s="263"/>
      <c r="K38" s="35"/>
    </row>
    <row r="39" spans="1:11" s="4" customFormat="1" ht="18.75" customHeight="1" x14ac:dyDescent="0.15">
      <c r="A39" s="1"/>
      <c r="B39" s="261"/>
      <c r="C39" s="262"/>
      <c r="D39" s="262"/>
      <c r="E39" s="262"/>
      <c r="F39" s="262"/>
      <c r="G39" s="262"/>
      <c r="H39" s="262"/>
      <c r="I39" s="262"/>
      <c r="J39" s="263"/>
      <c r="K39" s="35"/>
    </row>
    <row r="40" spans="1:11" s="4" customFormat="1" ht="18.75" customHeight="1" x14ac:dyDescent="0.15">
      <c r="A40" s="1"/>
      <c r="B40" s="261"/>
      <c r="C40" s="262"/>
      <c r="D40" s="262"/>
      <c r="E40" s="262"/>
      <c r="F40" s="262"/>
      <c r="G40" s="262"/>
      <c r="H40" s="262"/>
      <c r="I40" s="262"/>
      <c r="J40" s="263"/>
      <c r="K40" s="35"/>
    </row>
    <row r="41" spans="1:11" s="4" customFormat="1" ht="18.75" customHeight="1" x14ac:dyDescent="0.15">
      <c r="A41" s="1"/>
      <c r="B41" s="261"/>
      <c r="C41" s="262"/>
      <c r="D41" s="262"/>
      <c r="E41" s="262"/>
      <c r="F41" s="262"/>
      <c r="G41" s="262"/>
      <c r="H41" s="262"/>
      <c r="I41" s="262"/>
      <c r="J41" s="263"/>
      <c r="K41" s="35"/>
    </row>
    <row r="42" spans="1:11" s="4" customFormat="1" ht="18.75" customHeight="1" x14ac:dyDescent="0.15">
      <c r="A42" s="1"/>
      <c r="B42" s="261"/>
      <c r="C42" s="262"/>
      <c r="D42" s="262"/>
      <c r="E42" s="262"/>
      <c r="F42" s="262"/>
      <c r="G42" s="262"/>
      <c r="H42" s="262"/>
      <c r="I42" s="262"/>
      <c r="J42" s="263"/>
      <c r="K42" s="35"/>
    </row>
    <row r="43" spans="1:11" ht="18.75" customHeight="1" x14ac:dyDescent="0.15">
      <c r="A43" s="39"/>
      <c r="B43" s="261"/>
      <c r="C43" s="262"/>
      <c r="D43" s="262"/>
      <c r="E43" s="262"/>
      <c r="F43" s="262"/>
      <c r="G43" s="262"/>
      <c r="H43" s="262"/>
      <c r="I43" s="262"/>
      <c r="J43" s="263"/>
      <c r="K43" s="35"/>
    </row>
    <row r="44" spans="1:11" ht="18.75" customHeight="1" x14ac:dyDescent="0.15">
      <c r="A44" s="39"/>
      <c r="B44" s="264"/>
      <c r="C44" s="265"/>
      <c r="D44" s="265"/>
      <c r="E44" s="265"/>
      <c r="F44" s="265"/>
      <c r="G44" s="265"/>
      <c r="H44" s="265"/>
      <c r="I44" s="265"/>
      <c r="J44" s="266"/>
    </row>
    <row r="45" spans="1:11" s="4" customFormat="1" ht="18.75" customHeight="1" x14ac:dyDescent="0.15">
      <c r="A45" s="103" t="s">
        <v>12</v>
      </c>
      <c r="B45" s="1" t="s">
        <v>67</v>
      </c>
      <c r="C45" s="1"/>
      <c r="D45" s="1"/>
      <c r="E45" s="1"/>
      <c r="F45" s="1"/>
      <c r="G45" s="1"/>
      <c r="H45" s="1"/>
      <c r="I45" s="103"/>
      <c r="J45" s="103"/>
      <c r="K45" s="31"/>
    </row>
    <row r="46" spans="1:11" ht="18.75" customHeight="1" x14ac:dyDescent="0.15">
      <c r="A46" s="39"/>
      <c r="B46" s="258" t="s">
        <v>190</v>
      </c>
      <c r="C46" s="259"/>
      <c r="D46" s="259"/>
      <c r="E46" s="259"/>
      <c r="F46" s="259"/>
      <c r="G46" s="259"/>
      <c r="H46" s="259"/>
      <c r="I46" s="259"/>
      <c r="J46" s="260"/>
    </row>
    <row r="47" spans="1:11" ht="18.75" customHeight="1" x14ac:dyDescent="0.15">
      <c r="A47" s="39"/>
      <c r="B47" s="261"/>
      <c r="C47" s="262"/>
      <c r="D47" s="262"/>
      <c r="E47" s="262"/>
      <c r="F47" s="262"/>
      <c r="G47" s="262"/>
      <c r="H47" s="262"/>
      <c r="I47" s="262"/>
      <c r="J47" s="263"/>
    </row>
    <row r="48" spans="1:11" ht="18.75" customHeight="1" x14ac:dyDescent="0.15">
      <c r="A48" s="39"/>
      <c r="B48" s="261"/>
      <c r="C48" s="262"/>
      <c r="D48" s="262"/>
      <c r="E48" s="262"/>
      <c r="F48" s="262"/>
      <c r="G48" s="262"/>
      <c r="H48" s="262"/>
      <c r="I48" s="262"/>
      <c r="J48" s="263"/>
    </row>
    <row r="49" spans="1:10" ht="18.75" customHeight="1" x14ac:dyDescent="0.15">
      <c r="A49" s="39"/>
      <c r="B49" s="261"/>
      <c r="C49" s="262"/>
      <c r="D49" s="262"/>
      <c r="E49" s="262"/>
      <c r="F49" s="262"/>
      <c r="G49" s="262"/>
      <c r="H49" s="262"/>
      <c r="I49" s="262"/>
      <c r="J49" s="263"/>
    </row>
    <row r="50" spans="1:10" ht="18.75" customHeight="1" x14ac:dyDescent="0.15">
      <c r="A50" s="39"/>
      <c r="B50" s="261"/>
      <c r="C50" s="262"/>
      <c r="D50" s="262"/>
      <c r="E50" s="262"/>
      <c r="F50" s="262"/>
      <c r="G50" s="262"/>
      <c r="H50" s="262"/>
      <c r="I50" s="262"/>
      <c r="J50" s="263"/>
    </row>
    <row r="51" spans="1:10" ht="18.75" customHeight="1" x14ac:dyDescent="0.15">
      <c r="A51" s="39"/>
      <c r="B51" s="261"/>
      <c r="C51" s="262"/>
      <c r="D51" s="262"/>
      <c r="E51" s="262"/>
      <c r="F51" s="262"/>
      <c r="G51" s="262"/>
      <c r="H51" s="262"/>
      <c r="I51" s="262"/>
      <c r="J51" s="263"/>
    </row>
    <row r="52" spans="1:10" ht="18.75" customHeight="1" x14ac:dyDescent="0.15">
      <c r="A52" s="39"/>
      <c r="B52" s="261"/>
      <c r="C52" s="262"/>
      <c r="D52" s="262"/>
      <c r="E52" s="262"/>
      <c r="F52" s="262"/>
      <c r="G52" s="262"/>
      <c r="H52" s="262"/>
      <c r="I52" s="262"/>
      <c r="J52" s="263"/>
    </row>
    <row r="53" spans="1:10" ht="18.75" customHeight="1" x14ac:dyDescent="0.15">
      <c r="A53" s="39"/>
      <c r="B53" s="261"/>
      <c r="C53" s="262"/>
      <c r="D53" s="262"/>
      <c r="E53" s="262"/>
      <c r="F53" s="262"/>
      <c r="G53" s="262"/>
      <c r="H53" s="262"/>
      <c r="I53" s="262"/>
      <c r="J53" s="263"/>
    </row>
    <row r="54" spans="1:10" ht="18.75" customHeight="1" x14ac:dyDescent="0.15">
      <c r="A54" s="39"/>
      <c r="B54" s="261"/>
      <c r="C54" s="262"/>
      <c r="D54" s="262"/>
      <c r="E54" s="262"/>
      <c r="F54" s="262"/>
      <c r="G54" s="262"/>
      <c r="H54" s="262"/>
      <c r="I54" s="262"/>
      <c r="J54" s="263"/>
    </row>
    <row r="55" spans="1:10" ht="18.75" customHeight="1" x14ac:dyDescent="0.15">
      <c r="A55" s="39"/>
      <c r="B55" s="261"/>
      <c r="C55" s="262"/>
      <c r="D55" s="262"/>
      <c r="E55" s="262"/>
      <c r="F55" s="262"/>
      <c r="G55" s="262"/>
      <c r="H55" s="262"/>
      <c r="I55" s="262"/>
      <c r="J55" s="263"/>
    </row>
    <row r="56" spans="1:10" ht="18.75" customHeight="1" x14ac:dyDescent="0.15">
      <c r="A56" s="39"/>
      <c r="B56" s="261"/>
      <c r="C56" s="262"/>
      <c r="D56" s="262"/>
      <c r="E56" s="262"/>
      <c r="F56" s="262"/>
      <c r="G56" s="262"/>
      <c r="H56" s="262"/>
      <c r="I56" s="262"/>
      <c r="J56" s="263"/>
    </row>
    <row r="57" spans="1:10" ht="18.75" customHeight="1" x14ac:dyDescent="0.15">
      <c r="A57" s="39"/>
      <c r="B57" s="261"/>
      <c r="C57" s="262"/>
      <c r="D57" s="262"/>
      <c r="E57" s="262"/>
      <c r="F57" s="262"/>
      <c r="G57" s="262"/>
      <c r="H57" s="262"/>
      <c r="I57" s="262"/>
      <c r="J57" s="263"/>
    </row>
    <row r="58" spans="1:10" ht="18.75" customHeight="1" x14ac:dyDescent="0.15">
      <c r="A58" s="39"/>
      <c r="B58" s="261"/>
      <c r="C58" s="262"/>
      <c r="D58" s="262"/>
      <c r="E58" s="262"/>
      <c r="F58" s="262"/>
      <c r="G58" s="262"/>
      <c r="H58" s="262"/>
      <c r="I58" s="262"/>
      <c r="J58" s="263"/>
    </row>
    <row r="59" spans="1:10" ht="18.75" customHeight="1" x14ac:dyDescent="0.15">
      <c r="A59" s="39"/>
      <c r="B59" s="261"/>
      <c r="C59" s="262"/>
      <c r="D59" s="262"/>
      <c r="E59" s="262"/>
      <c r="F59" s="262"/>
      <c r="G59" s="262"/>
      <c r="H59" s="262"/>
      <c r="I59" s="262"/>
      <c r="J59" s="263"/>
    </row>
    <row r="60" spans="1:10" ht="18.75" customHeight="1" x14ac:dyDescent="0.15">
      <c r="A60" s="39"/>
      <c r="B60" s="261"/>
      <c r="C60" s="262"/>
      <c r="D60" s="262"/>
      <c r="E60" s="262"/>
      <c r="F60" s="262"/>
      <c r="G60" s="262"/>
      <c r="H60" s="262"/>
      <c r="I60" s="262"/>
      <c r="J60" s="263"/>
    </row>
    <row r="61" spans="1:10" ht="18.75" customHeight="1" x14ac:dyDescent="0.15">
      <c r="A61" s="39"/>
      <c r="B61" s="261"/>
      <c r="C61" s="262"/>
      <c r="D61" s="262"/>
      <c r="E61" s="262"/>
      <c r="F61" s="262"/>
      <c r="G61" s="262"/>
      <c r="H61" s="262"/>
      <c r="I61" s="262"/>
      <c r="J61" s="263"/>
    </row>
    <row r="62" spans="1:10" ht="18.75" customHeight="1" x14ac:dyDescent="0.15">
      <c r="A62" s="39"/>
      <c r="B62" s="261"/>
      <c r="C62" s="262"/>
      <c r="D62" s="262"/>
      <c r="E62" s="262"/>
      <c r="F62" s="262"/>
      <c r="G62" s="262"/>
      <c r="H62" s="262"/>
      <c r="I62" s="262"/>
      <c r="J62" s="263"/>
    </row>
    <row r="63" spans="1:10" ht="18.75" customHeight="1" x14ac:dyDescent="0.15">
      <c r="A63" s="39"/>
      <c r="B63" s="261"/>
      <c r="C63" s="262"/>
      <c r="D63" s="262"/>
      <c r="E63" s="262"/>
      <c r="F63" s="262"/>
      <c r="G63" s="262"/>
      <c r="H63" s="262"/>
      <c r="I63" s="262"/>
      <c r="J63" s="263"/>
    </row>
    <row r="64" spans="1:10" ht="18.75" customHeight="1" x14ac:dyDescent="0.15">
      <c r="A64" s="39"/>
      <c r="B64" s="261"/>
      <c r="C64" s="262"/>
      <c r="D64" s="262"/>
      <c r="E64" s="262"/>
      <c r="F64" s="262"/>
      <c r="G64" s="262"/>
      <c r="H64" s="262"/>
      <c r="I64" s="262"/>
      <c r="J64" s="263"/>
    </row>
    <row r="65" spans="1:11" ht="18.75" customHeight="1" x14ac:dyDescent="0.15">
      <c r="A65" s="39"/>
      <c r="B65" s="261"/>
      <c r="C65" s="262"/>
      <c r="D65" s="262"/>
      <c r="E65" s="262"/>
      <c r="F65" s="262"/>
      <c r="G65" s="262"/>
      <c r="H65" s="262"/>
      <c r="I65" s="262"/>
      <c r="J65" s="263"/>
    </row>
    <row r="66" spans="1:11" ht="18.75" customHeight="1" x14ac:dyDescent="0.15">
      <c r="A66" s="39"/>
      <c r="B66" s="264"/>
      <c r="C66" s="265"/>
      <c r="D66" s="265"/>
      <c r="E66" s="265"/>
      <c r="F66" s="265"/>
      <c r="G66" s="265"/>
      <c r="H66" s="265"/>
      <c r="I66" s="265"/>
      <c r="J66" s="266"/>
    </row>
    <row r="67" spans="1:11" ht="7.5" customHeight="1" x14ac:dyDescent="0.15">
      <c r="A67" s="39"/>
      <c r="B67" s="39"/>
      <c r="C67" s="39"/>
      <c r="D67" s="39"/>
      <c r="E67" s="39"/>
      <c r="F67" s="39"/>
      <c r="G67" s="39"/>
      <c r="H67" s="39"/>
      <c r="I67" s="39"/>
      <c r="J67" s="39"/>
    </row>
    <row r="68" spans="1:11" s="4" customFormat="1" ht="18.75" customHeight="1" x14ac:dyDescent="0.15">
      <c r="A68" s="1" t="s">
        <v>15</v>
      </c>
      <c r="B68" s="1" t="s">
        <v>75</v>
      </c>
      <c r="C68" s="1"/>
      <c r="D68" s="1"/>
      <c r="E68" s="1"/>
      <c r="F68" s="1"/>
      <c r="G68" s="1"/>
      <c r="H68" s="1"/>
      <c r="I68" s="1"/>
      <c r="J68" s="1"/>
      <c r="K68" s="31"/>
    </row>
    <row r="69" spans="1:11" s="4" customFormat="1" ht="18.75" customHeight="1" x14ac:dyDescent="0.15">
      <c r="A69" s="1"/>
      <c r="B69" s="258" t="s">
        <v>191</v>
      </c>
      <c r="C69" s="259"/>
      <c r="D69" s="259"/>
      <c r="E69" s="259"/>
      <c r="F69" s="259"/>
      <c r="G69" s="259"/>
      <c r="H69" s="259"/>
      <c r="I69" s="267"/>
      <c r="J69" s="268"/>
      <c r="K69" s="31"/>
    </row>
    <row r="70" spans="1:11" s="4" customFormat="1" ht="18.75" customHeight="1" x14ac:dyDescent="0.15">
      <c r="A70" s="1"/>
      <c r="B70" s="269"/>
      <c r="C70" s="270"/>
      <c r="D70" s="270"/>
      <c r="E70" s="270"/>
      <c r="F70" s="270"/>
      <c r="G70" s="270"/>
      <c r="H70" s="270"/>
      <c r="I70" s="270"/>
      <c r="J70" s="271"/>
      <c r="K70" s="35"/>
    </row>
    <row r="71" spans="1:11" s="4" customFormat="1" ht="18.75" customHeight="1" x14ac:dyDescent="0.15">
      <c r="A71" s="1"/>
      <c r="B71" s="269"/>
      <c r="C71" s="270"/>
      <c r="D71" s="270"/>
      <c r="E71" s="270"/>
      <c r="F71" s="270"/>
      <c r="G71" s="270"/>
      <c r="H71" s="270"/>
      <c r="I71" s="270"/>
      <c r="J71" s="271"/>
      <c r="K71" s="35"/>
    </row>
    <row r="72" spans="1:11" s="4" customFormat="1" ht="18.75" customHeight="1" x14ac:dyDescent="0.15">
      <c r="A72" s="1"/>
      <c r="B72" s="269"/>
      <c r="C72" s="270"/>
      <c r="D72" s="270"/>
      <c r="E72" s="270"/>
      <c r="F72" s="270"/>
      <c r="G72" s="270"/>
      <c r="H72" s="270"/>
      <c r="I72" s="270"/>
      <c r="J72" s="271"/>
      <c r="K72" s="35"/>
    </row>
    <row r="73" spans="1:11" s="4" customFormat="1" ht="18.75" customHeight="1" x14ac:dyDescent="0.15">
      <c r="A73" s="1"/>
      <c r="B73" s="269"/>
      <c r="C73" s="270"/>
      <c r="D73" s="270"/>
      <c r="E73" s="270"/>
      <c r="F73" s="270"/>
      <c r="G73" s="270"/>
      <c r="H73" s="270"/>
      <c r="I73" s="270"/>
      <c r="J73" s="271"/>
      <c r="K73" s="35"/>
    </row>
    <row r="74" spans="1:11" s="4" customFormat="1" ht="18.75" customHeight="1" x14ac:dyDescent="0.15">
      <c r="A74" s="1"/>
      <c r="B74" s="269"/>
      <c r="C74" s="270"/>
      <c r="D74" s="270"/>
      <c r="E74" s="270"/>
      <c r="F74" s="270"/>
      <c r="G74" s="270"/>
      <c r="H74" s="270"/>
      <c r="I74" s="270"/>
      <c r="J74" s="271"/>
      <c r="K74" s="35"/>
    </row>
    <row r="75" spans="1:11" s="4" customFormat="1" ht="18.75" customHeight="1" x14ac:dyDescent="0.15">
      <c r="A75" s="1"/>
      <c r="B75" s="269"/>
      <c r="C75" s="270"/>
      <c r="D75" s="270"/>
      <c r="E75" s="270"/>
      <c r="F75" s="270"/>
      <c r="G75" s="270"/>
      <c r="H75" s="270"/>
      <c r="I75" s="270"/>
      <c r="J75" s="271"/>
      <c r="K75" s="35"/>
    </row>
    <row r="76" spans="1:11" s="4" customFormat="1" ht="18.75" customHeight="1" x14ac:dyDescent="0.15">
      <c r="A76" s="1"/>
      <c r="B76" s="269"/>
      <c r="C76" s="270"/>
      <c r="D76" s="270"/>
      <c r="E76" s="270"/>
      <c r="F76" s="270"/>
      <c r="G76" s="270"/>
      <c r="H76" s="270"/>
      <c r="I76" s="270"/>
      <c r="J76" s="271"/>
      <c r="K76" s="35"/>
    </row>
    <row r="77" spans="1:11" s="4" customFormat="1" ht="18.75" customHeight="1" x14ac:dyDescent="0.15">
      <c r="A77" s="1"/>
      <c r="B77" s="269"/>
      <c r="C77" s="270"/>
      <c r="D77" s="270"/>
      <c r="E77" s="270"/>
      <c r="F77" s="270"/>
      <c r="G77" s="270"/>
      <c r="H77" s="270"/>
      <c r="I77" s="270"/>
      <c r="J77" s="271"/>
      <c r="K77" s="35"/>
    </row>
    <row r="78" spans="1:11" s="4" customFormat="1" ht="18.75" customHeight="1" x14ac:dyDescent="0.15">
      <c r="A78" s="1"/>
      <c r="B78" s="269"/>
      <c r="C78" s="270"/>
      <c r="D78" s="270"/>
      <c r="E78" s="270"/>
      <c r="F78" s="270"/>
      <c r="G78" s="270"/>
      <c r="H78" s="270"/>
      <c r="I78" s="270"/>
      <c r="J78" s="271"/>
      <c r="K78" s="35"/>
    </row>
    <row r="79" spans="1:11" s="4" customFormat="1" ht="18.75" customHeight="1" x14ac:dyDescent="0.15">
      <c r="A79" s="1"/>
      <c r="B79" s="269"/>
      <c r="C79" s="270"/>
      <c r="D79" s="270"/>
      <c r="E79" s="270"/>
      <c r="F79" s="270"/>
      <c r="G79" s="270"/>
      <c r="H79" s="270"/>
      <c r="I79" s="270"/>
      <c r="J79" s="271"/>
      <c r="K79" s="35"/>
    </row>
    <row r="80" spans="1:11" s="4" customFormat="1" ht="18.75" customHeight="1" x14ac:dyDescent="0.15">
      <c r="A80" s="1"/>
      <c r="B80" s="269"/>
      <c r="C80" s="270"/>
      <c r="D80" s="270"/>
      <c r="E80" s="270"/>
      <c r="F80" s="270"/>
      <c r="G80" s="270"/>
      <c r="H80" s="270"/>
      <c r="I80" s="270"/>
      <c r="J80" s="271"/>
      <c r="K80" s="35"/>
    </row>
    <row r="81" spans="1:11" s="4" customFormat="1" ht="18.75" customHeight="1" x14ac:dyDescent="0.15">
      <c r="A81" s="1"/>
      <c r="B81" s="269"/>
      <c r="C81" s="270"/>
      <c r="D81" s="270"/>
      <c r="E81" s="270"/>
      <c r="F81" s="270"/>
      <c r="G81" s="270"/>
      <c r="H81" s="270"/>
      <c r="I81" s="270"/>
      <c r="J81" s="271"/>
      <c r="K81" s="35"/>
    </row>
    <row r="82" spans="1:11" s="4" customFormat="1" ht="18.75" customHeight="1" x14ac:dyDescent="0.15">
      <c r="A82" s="1"/>
      <c r="B82" s="269"/>
      <c r="C82" s="270"/>
      <c r="D82" s="270"/>
      <c r="E82" s="270"/>
      <c r="F82" s="270"/>
      <c r="G82" s="270"/>
      <c r="H82" s="270"/>
      <c r="I82" s="270"/>
      <c r="J82" s="271"/>
      <c r="K82" s="35"/>
    </row>
    <row r="83" spans="1:11" s="4" customFormat="1" ht="18.75" customHeight="1" x14ac:dyDescent="0.15">
      <c r="A83" s="1"/>
      <c r="B83" s="269"/>
      <c r="C83" s="270"/>
      <c r="D83" s="270"/>
      <c r="E83" s="270"/>
      <c r="F83" s="270"/>
      <c r="G83" s="270"/>
      <c r="H83" s="270"/>
      <c r="I83" s="270"/>
      <c r="J83" s="271"/>
      <c r="K83" s="35"/>
    </row>
    <row r="84" spans="1:11" s="4" customFormat="1" ht="18.75" customHeight="1" x14ac:dyDescent="0.15">
      <c r="A84" s="1"/>
      <c r="B84" s="269"/>
      <c r="C84" s="270"/>
      <c r="D84" s="270"/>
      <c r="E84" s="270"/>
      <c r="F84" s="270"/>
      <c r="G84" s="270"/>
      <c r="H84" s="270"/>
      <c r="I84" s="270"/>
      <c r="J84" s="271"/>
      <c r="K84" s="35"/>
    </row>
    <row r="85" spans="1:11" ht="18.75" customHeight="1" x14ac:dyDescent="0.15">
      <c r="A85" s="39"/>
      <c r="B85" s="269"/>
      <c r="C85" s="270"/>
      <c r="D85" s="270"/>
      <c r="E85" s="270"/>
      <c r="F85" s="270"/>
      <c r="G85" s="270"/>
      <c r="H85" s="270"/>
      <c r="I85" s="270"/>
      <c r="J85" s="271"/>
      <c r="K85" s="35"/>
    </row>
    <row r="86" spans="1:11" ht="18.75" customHeight="1" x14ac:dyDescent="0.15">
      <c r="A86" s="39"/>
      <c r="B86" s="272"/>
      <c r="C86" s="273"/>
      <c r="D86" s="273"/>
      <c r="E86" s="273"/>
      <c r="F86" s="273"/>
      <c r="G86" s="273"/>
      <c r="H86" s="273"/>
      <c r="I86" s="273"/>
      <c r="J86" s="274"/>
      <c r="K86" s="35"/>
    </row>
    <row r="87" spans="1:11" ht="7.5" customHeight="1" x14ac:dyDescent="0.15">
      <c r="A87" s="39"/>
      <c r="B87" s="39"/>
      <c r="C87" s="39"/>
      <c r="D87" s="39"/>
      <c r="E87" s="39"/>
      <c r="F87" s="39"/>
      <c r="G87" s="39"/>
      <c r="H87" s="39"/>
      <c r="I87" s="39"/>
      <c r="J87" s="39"/>
    </row>
    <row r="88" spans="1:11" s="4" customFormat="1" ht="18.75" customHeight="1" x14ac:dyDescent="0.15">
      <c r="A88" s="1" t="s">
        <v>13</v>
      </c>
      <c r="B88" s="1" t="s">
        <v>29</v>
      </c>
      <c r="C88" s="1"/>
      <c r="D88" s="1"/>
      <c r="E88" s="1"/>
      <c r="F88" s="1"/>
      <c r="G88" s="1"/>
      <c r="H88" s="1"/>
      <c r="I88" s="1"/>
      <c r="J88" s="1"/>
      <c r="K88" s="31"/>
    </row>
    <row r="89" spans="1:11" s="4" customFormat="1" ht="18.75" customHeight="1" x14ac:dyDescent="0.15">
      <c r="A89" s="1"/>
      <c r="B89" s="258" t="s">
        <v>195</v>
      </c>
      <c r="C89" s="259"/>
      <c r="D89" s="259"/>
      <c r="E89" s="259"/>
      <c r="F89" s="259"/>
      <c r="G89" s="259"/>
      <c r="H89" s="259"/>
      <c r="I89" s="267"/>
      <c r="J89" s="268"/>
      <c r="K89" s="31"/>
    </row>
    <row r="90" spans="1:11" s="4" customFormat="1" ht="18.75" customHeight="1" x14ac:dyDescent="0.15">
      <c r="A90" s="1"/>
      <c r="B90" s="269"/>
      <c r="C90" s="270"/>
      <c r="D90" s="270"/>
      <c r="E90" s="270"/>
      <c r="F90" s="270"/>
      <c r="G90" s="270"/>
      <c r="H90" s="270"/>
      <c r="I90" s="270"/>
      <c r="J90" s="271"/>
      <c r="K90" s="35"/>
    </row>
    <row r="91" spans="1:11" s="4" customFormat="1" ht="18.75" customHeight="1" x14ac:dyDescent="0.15">
      <c r="A91" s="1"/>
      <c r="B91" s="269"/>
      <c r="C91" s="270"/>
      <c r="D91" s="270"/>
      <c r="E91" s="270"/>
      <c r="F91" s="270"/>
      <c r="G91" s="270"/>
      <c r="H91" s="270"/>
      <c r="I91" s="270"/>
      <c r="J91" s="271"/>
      <c r="K91" s="35"/>
    </row>
    <row r="92" spans="1:11" s="4" customFormat="1" ht="18.75" customHeight="1" x14ac:dyDescent="0.15">
      <c r="A92" s="1"/>
      <c r="B92" s="269"/>
      <c r="C92" s="270"/>
      <c r="D92" s="270"/>
      <c r="E92" s="270"/>
      <c r="F92" s="270"/>
      <c r="G92" s="270"/>
      <c r="H92" s="270"/>
      <c r="I92" s="270"/>
      <c r="J92" s="271"/>
      <c r="K92" s="35"/>
    </row>
    <row r="93" spans="1:11" s="4" customFormat="1" ht="18.75" customHeight="1" x14ac:dyDescent="0.15">
      <c r="A93" s="1"/>
      <c r="B93" s="269"/>
      <c r="C93" s="270"/>
      <c r="D93" s="270"/>
      <c r="E93" s="270"/>
      <c r="F93" s="270"/>
      <c r="G93" s="270"/>
      <c r="H93" s="270"/>
      <c r="I93" s="270"/>
      <c r="J93" s="271"/>
      <c r="K93" s="35"/>
    </row>
    <row r="94" spans="1:11" s="4" customFormat="1" ht="18.75" customHeight="1" x14ac:dyDescent="0.15">
      <c r="A94" s="1"/>
      <c r="B94" s="269"/>
      <c r="C94" s="270"/>
      <c r="D94" s="270"/>
      <c r="E94" s="270"/>
      <c r="F94" s="270"/>
      <c r="G94" s="270"/>
      <c r="H94" s="270"/>
      <c r="I94" s="270"/>
      <c r="J94" s="271"/>
      <c r="K94" s="35"/>
    </row>
    <row r="95" spans="1:11" s="4" customFormat="1" ht="18.75" customHeight="1" x14ac:dyDescent="0.15">
      <c r="A95" s="1"/>
      <c r="B95" s="269"/>
      <c r="C95" s="270"/>
      <c r="D95" s="270"/>
      <c r="E95" s="270"/>
      <c r="F95" s="270"/>
      <c r="G95" s="270"/>
      <c r="H95" s="270"/>
      <c r="I95" s="270"/>
      <c r="J95" s="271"/>
      <c r="K95" s="35"/>
    </row>
    <row r="96" spans="1:11" s="4" customFormat="1" ht="18.75" customHeight="1" x14ac:dyDescent="0.15">
      <c r="A96" s="1"/>
      <c r="B96" s="269"/>
      <c r="C96" s="270"/>
      <c r="D96" s="270"/>
      <c r="E96" s="270"/>
      <c r="F96" s="270"/>
      <c r="G96" s="270"/>
      <c r="H96" s="270"/>
      <c r="I96" s="270"/>
      <c r="J96" s="271"/>
      <c r="K96" s="35"/>
    </row>
    <row r="97" spans="1:11" s="4" customFormat="1" ht="18.75" customHeight="1" x14ac:dyDescent="0.15">
      <c r="A97" s="1"/>
      <c r="B97" s="269"/>
      <c r="C97" s="270"/>
      <c r="D97" s="270"/>
      <c r="E97" s="270"/>
      <c r="F97" s="270"/>
      <c r="G97" s="270"/>
      <c r="H97" s="270"/>
      <c r="I97" s="270"/>
      <c r="J97" s="271"/>
      <c r="K97" s="35"/>
    </row>
    <row r="98" spans="1:11" s="4" customFormat="1" ht="18.75" customHeight="1" x14ac:dyDescent="0.15">
      <c r="A98" s="1"/>
      <c r="B98" s="269"/>
      <c r="C98" s="270"/>
      <c r="D98" s="270"/>
      <c r="E98" s="270"/>
      <c r="F98" s="270"/>
      <c r="G98" s="270"/>
      <c r="H98" s="270"/>
      <c r="I98" s="270"/>
      <c r="J98" s="271"/>
      <c r="K98" s="35"/>
    </row>
    <row r="99" spans="1:11" s="4" customFormat="1" ht="18.75" customHeight="1" x14ac:dyDescent="0.15">
      <c r="A99" s="1"/>
      <c r="B99" s="269"/>
      <c r="C99" s="270"/>
      <c r="D99" s="270"/>
      <c r="E99" s="270"/>
      <c r="F99" s="270"/>
      <c r="G99" s="270"/>
      <c r="H99" s="270"/>
      <c r="I99" s="270"/>
      <c r="J99" s="271"/>
      <c r="K99" s="35"/>
    </row>
    <row r="100" spans="1:11" s="4" customFormat="1" ht="18.75" customHeight="1" x14ac:dyDescent="0.15">
      <c r="A100" s="1"/>
      <c r="B100" s="269"/>
      <c r="C100" s="270"/>
      <c r="D100" s="270"/>
      <c r="E100" s="270"/>
      <c r="F100" s="270"/>
      <c r="G100" s="270"/>
      <c r="H100" s="270"/>
      <c r="I100" s="270"/>
      <c r="J100" s="271"/>
      <c r="K100" s="35"/>
    </row>
    <row r="101" spans="1:11" s="4" customFormat="1" ht="18.75" customHeight="1" x14ac:dyDescent="0.15">
      <c r="A101" s="1"/>
      <c r="B101" s="269"/>
      <c r="C101" s="270"/>
      <c r="D101" s="270"/>
      <c r="E101" s="270"/>
      <c r="F101" s="270"/>
      <c r="G101" s="270"/>
      <c r="H101" s="270"/>
      <c r="I101" s="270"/>
      <c r="J101" s="271"/>
      <c r="K101" s="35"/>
    </row>
    <row r="102" spans="1:11" s="4" customFormat="1" ht="18.75" customHeight="1" x14ac:dyDescent="0.15">
      <c r="A102" s="1"/>
      <c r="B102" s="269"/>
      <c r="C102" s="270"/>
      <c r="D102" s="270"/>
      <c r="E102" s="270"/>
      <c r="F102" s="270"/>
      <c r="G102" s="270"/>
      <c r="H102" s="270"/>
      <c r="I102" s="270"/>
      <c r="J102" s="271"/>
      <c r="K102" s="35"/>
    </row>
    <row r="103" spans="1:11" s="4" customFormat="1" ht="18.75" customHeight="1" x14ac:dyDescent="0.15">
      <c r="A103" s="1"/>
      <c r="B103" s="269"/>
      <c r="C103" s="270"/>
      <c r="D103" s="270"/>
      <c r="E103" s="270"/>
      <c r="F103" s="270"/>
      <c r="G103" s="270"/>
      <c r="H103" s="270"/>
      <c r="I103" s="270"/>
      <c r="J103" s="271"/>
      <c r="K103" s="35"/>
    </row>
    <row r="104" spans="1:11" s="4" customFormat="1" ht="18.75" customHeight="1" x14ac:dyDescent="0.15">
      <c r="A104" s="1"/>
      <c r="B104" s="269"/>
      <c r="C104" s="270"/>
      <c r="D104" s="270"/>
      <c r="E104" s="270"/>
      <c r="F104" s="270"/>
      <c r="G104" s="270"/>
      <c r="H104" s="270"/>
      <c r="I104" s="270"/>
      <c r="J104" s="271"/>
      <c r="K104" s="35"/>
    </row>
    <row r="105" spans="1:11" s="4" customFormat="1" ht="18.75" customHeight="1" x14ac:dyDescent="0.15">
      <c r="A105" s="1"/>
      <c r="B105" s="269"/>
      <c r="C105" s="270"/>
      <c r="D105" s="270"/>
      <c r="E105" s="270"/>
      <c r="F105" s="270"/>
      <c r="G105" s="270"/>
      <c r="H105" s="270"/>
      <c r="I105" s="270"/>
      <c r="J105" s="271"/>
      <c r="K105" s="35"/>
    </row>
    <row r="106" spans="1:11" s="4" customFormat="1" ht="18.75" customHeight="1" x14ac:dyDescent="0.15">
      <c r="A106" s="1"/>
      <c r="B106" s="269"/>
      <c r="C106" s="270"/>
      <c r="D106" s="270"/>
      <c r="E106" s="270"/>
      <c r="F106" s="270"/>
      <c r="G106" s="270"/>
      <c r="H106" s="270"/>
      <c r="I106" s="270"/>
      <c r="J106" s="271"/>
      <c r="K106" s="35"/>
    </row>
    <row r="107" spans="1:11" ht="18.75" customHeight="1" x14ac:dyDescent="0.15">
      <c r="A107" s="39"/>
      <c r="B107" s="269"/>
      <c r="C107" s="270"/>
      <c r="D107" s="270"/>
      <c r="E107" s="270"/>
      <c r="F107" s="270"/>
      <c r="G107" s="270"/>
      <c r="H107" s="270"/>
      <c r="I107" s="270"/>
      <c r="J107" s="271"/>
      <c r="K107" s="35"/>
    </row>
    <row r="108" spans="1:11" ht="18.75" customHeight="1" x14ac:dyDescent="0.15">
      <c r="A108" s="39"/>
      <c r="B108" s="272"/>
      <c r="C108" s="273"/>
      <c r="D108" s="273"/>
      <c r="E108" s="273"/>
      <c r="F108" s="273"/>
      <c r="G108" s="273"/>
      <c r="H108" s="273"/>
      <c r="I108" s="273"/>
      <c r="J108" s="274"/>
      <c r="K108" s="35"/>
    </row>
    <row r="109" spans="1:11" ht="7.5" customHeight="1" x14ac:dyDescent="0.15">
      <c r="A109" s="39"/>
      <c r="B109" s="39"/>
      <c r="C109" s="39"/>
      <c r="D109" s="39"/>
      <c r="E109" s="39"/>
      <c r="F109" s="39"/>
      <c r="G109" s="39"/>
      <c r="H109" s="39"/>
      <c r="I109" s="39"/>
      <c r="J109" s="39"/>
    </row>
    <row r="110" spans="1:11" s="4" customFormat="1" ht="18.75" customHeight="1" x14ac:dyDescent="0.15">
      <c r="A110" s="1" t="s">
        <v>55</v>
      </c>
      <c r="B110" s="275" t="s">
        <v>86</v>
      </c>
      <c r="C110" s="275"/>
      <c r="D110" s="275"/>
      <c r="E110" s="275"/>
      <c r="F110" s="275"/>
      <c r="G110" s="275"/>
      <c r="H110" s="275"/>
      <c r="I110" s="275"/>
      <c r="J110" s="275"/>
      <c r="K110" s="31"/>
    </row>
    <row r="111" spans="1:11" ht="18.75" customHeight="1" x14ac:dyDescent="0.15">
      <c r="A111" s="39"/>
      <c r="B111" s="258" t="s">
        <v>196</v>
      </c>
      <c r="C111" s="259"/>
      <c r="D111" s="259"/>
      <c r="E111" s="259"/>
      <c r="F111" s="259"/>
      <c r="G111" s="259"/>
      <c r="H111" s="259"/>
      <c r="I111" s="267"/>
      <c r="J111" s="268"/>
    </row>
    <row r="112" spans="1:11" ht="18.75" customHeight="1" x14ac:dyDescent="0.15">
      <c r="A112" s="39"/>
      <c r="B112" s="269"/>
      <c r="C112" s="270"/>
      <c r="D112" s="270"/>
      <c r="E112" s="270"/>
      <c r="F112" s="270"/>
      <c r="G112" s="270"/>
      <c r="H112" s="270"/>
      <c r="I112" s="270"/>
      <c r="J112" s="271"/>
      <c r="K112" s="35"/>
    </row>
    <row r="113" spans="1:10" ht="18.75" customHeight="1" x14ac:dyDescent="0.15">
      <c r="A113" s="39"/>
      <c r="B113" s="269"/>
      <c r="C113" s="270"/>
      <c r="D113" s="270"/>
      <c r="E113" s="270"/>
      <c r="F113" s="270"/>
      <c r="G113" s="270"/>
      <c r="H113" s="270"/>
      <c r="I113" s="270"/>
      <c r="J113" s="271"/>
    </row>
    <row r="114" spans="1:10" ht="18.75" customHeight="1" x14ac:dyDescent="0.15">
      <c r="A114" s="39"/>
      <c r="B114" s="269"/>
      <c r="C114" s="270"/>
      <c r="D114" s="270"/>
      <c r="E114" s="270"/>
      <c r="F114" s="270"/>
      <c r="G114" s="270"/>
      <c r="H114" s="270"/>
      <c r="I114" s="270"/>
      <c r="J114" s="271"/>
    </row>
    <row r="115" spans="1:10" ht="18.75" customHeight="1" x14ac:dyDescent="0.15">
      <c r="A115" s="39"/>
      <c r="B115" s="269"/>
      <c r="C115" s="270"/>
      <c r="D115" s="270"/>
      <c r="E115" s="270"/>
      <c r="F115" s="270"/>
      <c r="G115" s="270"/>
      <c r="H115" s="270"/>
      <c r="I115" s="270"/>
      <c r="J115" s="271"/>
    </row>
    <row r="116" spans="1:10" ht="18.75" customHeight="1" x14ac:dyDescent="0.15">
      <c r="A116" s="39"/>
      <c r="B116" s="269"/>
      <c r="C116" s="270"/>
      <c r="D116" s="270"/>
      <c r="E116" s="270"/>
      <c r="F116" s="270"/>
      <c r="G116" s="270"/>
      <c r="H116" s="270"/>
      <c r="I116" s="270"/>
      <c r="J116" s="271"/>
    </row>
    <row r="117" spans="1:10" ht="18.75" customHeight="1" x14ac:dyDescent="0.15">
      <c r="A117" s="39"/>
      <c r="B117" s="269"/>
      <c r="C117" s="270"/>
      <c r="D117" s="270"/>
      <c r="E117" s="270"/>
      <c r="F117" s="270"/>
      <c r="G117" s="270"/>
      <c r="H117" s="270"/>
      <c r="I117" s="270"/>
      <c r="J117" s="271"/>
    </row>
    <row r="118" spans="1:10" ht="18.75" customHeight="1" x14ac:dyDescent="0.15">
      <c r="A118" s="39"/>
      <c r="B118" s="269"/>
      <c r="C118" s="270"/>
      <c r="D118" s="270"/>
      <c r="E118" s="270"/>
      <c r="F118" s="270"/>
      <c r="G118" s="270"/>
      <c r="H118" s="270"/>
      <c r="I118" s="270"/>
      <c r="J118" s="271"/>
    </row>
    <row r="119" spans="1:10" ht="18.75" customHeight="1" x14ac:dyDescent="0.15">
      <c r="A119" s="39"/>
      <c r="B119" s="269"/>
      <c r="C119" s="270"/>
      <c r="D119" s="270"/>
      <c r="E119" s="270"/>
      <c r="F119" s="270"/>
      <c r="G119" s="270"/>
      <c r="H119" s="270"/>
      <c r="I119" s="270"/>
      <c r="J119" s="271"/>
    </row>
    <row r="120" spans="1:10" ht="18.75" customHeight="1" x14ac:dyDescent="0.15">
      <c r="A120" s="39"/>
      <c r="B120" s="269"/>
      <c r="C120" s="270"/>
      <c r="D120" s="270"/>
      <c r="E120" s="270"/>
      <c r="F120" s="270"/>
      <c r="G120" s="270"/>
      <c r="H120" s="270"/>
      <c r="I120" s="270"/>
      <c r="J120" s="271"/>
    </row>
    <row r="121" spans="1:10" ht="18.75" customHeight="1" x14ac:dyDescent="0.15">
      <c r="A121" s="39"/>
      <c r="B121" s="269"/>
      <c r="C121" s="270"/>
      <c r="D121" s="270"/>
      <c r="E121" s="270"/>
      <c r="F121" s="270"/>
      <c r="G121" s="270"/>
      <c r="H121" s="270"/>
      <c r="I121" s="270"/>
      <c r="J121" s="271"/>
    </row>
    <row r="122" spans="1:10" ht="18.75" customHeight="1" x14ac:dyDescent="0.15">
      <c r="A122" s="39"/>
      <c r="B122" s="269"/>
      <c r="C122" s="270"/>
      <c r="D122" s="270"/>
      <c r="E122" s="270"/>
      <c r="F122" s="270"/>
      <c r="G122" s="270"/>
      <c r="H122" s="270"/>
      <c r="I122" s="270"/>
      <c r="J122" s="271"/>
    </row>
    <row r="123" spans="1:10" ht="18.75" customHeight="1" x14ac:dyDescent="0.15">
      <c r="A123" s="39"/>
      <c r="B123" s="269"/>
      <c r="C123" s="270"/>
      <c r="D123" s="270"/>
      <c r="E123" s="270"/>
      <c r="F123" s="270"/>
      <c r="G123" s="270"/>
      <c r="H123" s="270"/>
      <c r="I123" s="270"/>
      <c r="J123" s="271"/>
    </row>
    <row r="124" spans="1:10" ht="18.75" customHeight="1" x14ac:dyDescent="0.15">
      <c r="A124" s="39"/>
      <c r="B124" s="269"/>
      <c r="C124" s="270"/>
      <c r="D124" s="270"/>
      <c r="E124" s="270"/>
      <c r="F124" s="270"/>
      <c r="G124" s="270"/>
      <c r="H124" s="270"/>
      <c r="I124" s="270"/>
      <c r="J124" s="271"/>
    </row>
    <row r="125" spans="1:10" ht="18.75" customHeight="1" x14ac:dyDescent="0.15">
      <c r="A125" s="39"/>
      <c r="B125" s="269"/>
      <c r="C125" s="270"/>
      <c r="D125" s="270"/>
      <c r="E125" s="270"/>
      <c r="F125" s="270"/>
      <c r="G125" s="270"/>
      <c r="H125" s="270"/>
      <c r="I125" s="270"/>
      <c r="J125" s="271"/>
    </row>
    <row r="126" spans="1:10" ht="18.75" customHeight="1" x14ac:dyDescent="0.15">
      <c r="A126" s="39"/>
      <c r="B126" s="269"/>
      <c r="C126" s="270"/>
      <c r="D126" s="270"/>
      <c r="E126" s="270"/>
      <c r="F126" s="270"/>
      <c r="G126" s="270"/>
      <c r="H126" s="270"/>
      <c r="I126" s="270"/>
      <c r="J126" s="271"/>
    </row>
    <row r="127" spans="1:10" ht="18.75" customHeight="1" x14ac:dyDescent="0.15">
      <c r="A127" s="39"/>
      <c r="B127" s="269"/>
      <c r="C127" s="270"/>
      <c r="D127" s="270"/>
      <c r="E127" s="270"/>
      <c r="F127" s="270"/>
      <c r="G127" s="270"/>
      <c r="H127" s="270"/>
      <c r="I127" s="270"/>
      <c r="J127" s="271"/>
    </row>
    <row r="128" spans="1:10" ht="18.75" customHeight="1" x14ac:dyDescent="0.15">
      <c r="A128" s="39"/>
      <c r="B128" s="269"/>
      <c r="C128" s="270"/>
      <c r="D128" s="270"/>
      <c r="E128" s="270"/>
      <c r="F128" s="270"/>
      <c r="G128" s="270"/>
      <c r="H128" s="270"/>
      <c r="I128" s="270"/>
      <c r="J128" s="271"/>
    </row>
    <row r="129" spans="1:10" ht="18.75" customHeight="1" x14ac:dyDescent="0.15">
      <c r="A129" s="39"/>
      <c r="B129" s="272"/>
      <c r="C129" s="273"/>
      <c r="D129" s="273"/>
      <c r="E129" s="273"/>
      <c r="F129" s="273"/>
      <c r="G129" s="273"/>
      <c r="H129" s="273"/>
      <c r="I129" s="273"/>
      <c r="J129" s="274"/>
    </row>
    <row r="130" spans="1:10" ht="7.5" customHeight="1" x14ac:dyDescent="0.15">
      <c r="A130" s="39"/>
      <c r="B130" s="104"/>
      <c r="C130" s="104"/>
      <c r="D130" s="104"/>
      <c r="E130" s="104"/>
      <c r="F130" s="104"/>
      <c r="G130" s="104"/>
      <c r="H130" s="104"/>
      <c r="I130" s="104"/>
      <c r="J130" s="104"/>
    </row>
    <row r="131" spans="1:10" ht="18.75" customHeight="1" x14ac:dyDescent="0.15">
      <c r="A131" s="39"/>
      <c r="B131" s="39"/>
      <c r="C131" s="39"/>
      <c r="D131" s="39"/>
      <c r="E131" s="39"/>
      <c r="F131" s="39"/>
      <c r="G131" s="39"/>
      <c r="H131" s="39"/>
      <c r="I131" s="39"/>
      <c r="J131" s="39"/>
    </row>
    <row r="132" spans="1:10" ht="18.75" customHeight="1" x14ac:dyDescent="0.15">
      <c r="A132" s="39"/>
      <c r="B132" s="39"/>
      <c r="C132" s="39"/>
      <c r="D132" s="39"/>
      <c r="E132" s="39"/>
      <c r="F132" s="39"/>
      <c r="G132" s="39"/>
      <c r="H132" s="39"/>
      <c r="I132" s="39"/>
      <c r="J132" s="39"/>
    </row>
    <row r="133" spans="1:10" ht="18.75" customHeight="1" x14ac:dyDescent="0.15">
      <c r="A133" s="39"/>
      <c r="B133" s="39"/>
      <c r="C133" s="39"/>
      <c r="D133" s="39"/>
      <c r="E133" s="39"/>
      <c r="F133" s="39"/>
      <c r="G133" s="39"/>
      <c r="H133" s="39"/>
      <c r="I133" s="39"/>
      <c r="J133" s="39"/>
    </row>
    <row r="134" spans="1:10" ht="18.75" customHeight="1" x14ac:dyDescent="0.15">
      <c r="A134" s="39"/>
      <c r="B134" s="39"/>
      <c r="C134" s="39"/>
      <c r="D134" s="39"/>
      <c r="E134" s="39"/>
      <c r="F134" s="39"/>
      <c r="G134" s="39"/>
      <c r="H134" s="39"/>
      <c r="I134" s="39"/>
      <c r="J134" s="39"/>
    </row>
    <row r="135" spans="1:10" ht="18.75" customHeight="1" x14ac:dyDescent="0.15">
      <c r="A135" s="39"/>
      <c r="B135" s="39"/>
      <c r="C135" s="39"/>
      <c r="D135" s="39"/>
      <c r="E135" s="39"/>
      <c r="F135" s="39"/>
      <c r="G135" s="39"/>
      <c r="H135" s="39"/>
      <c r="I135" s="39"/>
      <c r="J135" s="39"/>
    </row>
    <row r="136" spans="1:10" ht="18.75" customHeight="1" x14ac:dyDescent="0.15">
      <c r="A136" s="39"/>
      <c r="B136" s="39"/>
      <c r="C136" s="39"/>
      <c r="D136" s="39"/>
      <c r="E136" s="39"/>
      <c r="F136" s="39"/>
      <c r="G136" s="39"/>
      <c r="H136" s="39"/>
      <c r="I136" s="39"/>
      <c r="J136" s="39"/>
    </row>
    <row r="137" spans="1:10" ht="18.75" customHeight="1" x14ac:dyDescent="0.15">
      <c r="A137" s="39"/>
      <c r="B137" s="39"/>
      <c r="C137" s="39"/>
      <c r="D137" s="39"/>
      <c r="E137" s="39"/>
      <c r="F137" s="39"/>
      <c r="G137" s="39"/>
      <c r="H137" s="39"/>
      <c r="I137" s="39"/>
      <c r="J137" s="39"/>
    </row>
    <row r="138" spans="1:10" ht="18.75" customHeight="1" x14ac:dyDescent="0.15">
      <c r="A138" s="39"/>
      <c r="B138" s="39"/>
      <c r="C138" s="39"/>
      <c r="D138" s="39"/>
      <c r="E138" s="39"/>
      <c r="F138" s="39"/>
      <c r="G138" s="39"/>
      <c r="H138" s="39"/>
      <c r="I138" s="39"/>
      <c r="J138" s="39"/>
    </row>
    <row r="139" spans="1:10" ht="18.75" customHeight="1" x14ac:dyDescent="0.15">
      <c r="A139" s="39"/>
      <c r="B139" s="39"/>
      <c r="C139" s="39"/>
      <c r="D139" s="39"/>
      <c r="E139" s="39"/>
      <c r="F139" s="39"/>
      <c r="G139" s="39"/>
      <c r="H139" s="39"/>
      <c r="I139" s="39"/>
      <c r="J139" s="39"/>
    </row>
    <row r="140" spans="1:10" ht="18.75" customHeight="1" x14ac:dyDescent="0.15">
      <c r="A140" s="39"/>
      <c r="B140" s="39"/>
      <c r="C140" s="39"/>
      <c r="D140" s="39"/>
      <c r="E140" s="39"/>
      <c r="F140" s="39"/>
      <c r="G140" s="39"/>
      <c r="H140" s="39"/>
      <c r="I140" s="39"/>
      <c r="J140" s="39"/>
    </row>
    <row r="141" spans="1:10" ht="18.75" customHeight="1" x14ac:dyDescent="0.15">
      <c r="A141" s="39"/>
      <c r="B141" s="39"/>
      <c r="C141" s="39"/>
      <c r="D141" s="39"/>
      <c r="E141" s="39"/>
      <c r="F141" s="39"/>
      <c r="G141" s="39"/>
      <c r="H141" s="39"/>
      <c r="I141" s="39"/>
      <c r="J141" s="39"/>
    </row>
    <row r="142" spans="1:10" ht="18.75" customHeight="1" x14ac:dyDescent="0.15">
      <c r="A142" s="39"/>
      <c r="B142" s="39"/>
      <c r="C142" s="39"/>
      <c r="D142" s="39"/>
      <c r="E142" s="39"/>
      <c r="F142" s="39"/>
      <c r="G142" s="39"/>
      <c r="H142" s="39"/>
      <c r="I142" s="39"/>
      <c r="J142" s="39"/>
    </row>
    <row r="143" spans="1:10" ht="14.25" x14ac:dyDescent="0.15">
      <c r="A143" s="39"/>
      <c r="B143" s="39"/>
      <c r="C143" s="39"/>
      <c r="D143" s="39"/>
      <c r="E143" s="39"/>
      <c r="F143" s="39"/>
      <c r="G143" s="39"/>
      <c r="H143" s="39"/>
      <c r="I143" s="39"/>
      <c r="J143" s="39"/>
    </row>
    <row r="144" spans="1:10" ht="7.5" customHeight="1" x14ac:dyDescent="0.15">
      <c r="A144" s="105"/>
      <c r="B144" s="105"/>
      <c r="C144" s="105"/>
      <c r="D144" s="105"/>
      <c r="E144" s="105"/>
      <c r="F144" s="105"/>
      <c r="G144" s="105"/>
      <c r="H144" s="105"/>
      <c r="I144" s="105"/>
      <c r="J144" s="105"/>
    </row>
  </sheetData>
  <mergeCells count="11">
    <mergeCell ref="B31:J44"/>
    <mergeCell ref="A2:J2"/>
    <mergeCell ref="B5:J5"/>
    <mergeCell ref="B8:J12"/>
    <mergeCell ref="B15:J25"/>
    <mergeCell ref="B30:J30"/>
    <mergeCell ref="B46:J66"/>
    <mergeCell ref="B69:J86"/>
    <mergeCell ref="B89:J108"/>
    <mergeCell ref="B110:J110"/>
    <mergeCell ref="B111:J129"/>
  </mergeCells>
  <phoneticPr fontId="1"/>
  <printOptions horizontalCentered="1"/>
  <pageMargins left="0.78740157480314965" right="0.78740157480314965" top="0.78740157480314965" bottom="0.78740157480314965" header="0.31496062992125984" footer="0.31496062992125984"/>
  <pageSetup paperSize="9" orientation="portrait" r:id="rId1"/>
  <rowBreaks count="2" manualBreakCount="2">
    <brk id="44" max="9" man="1"/>
    <brk id="87" max="9"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6"/>
  <sheetViews>
    <sheetView showZeros="0" view="pageBreakPreview" zoomScale="115" zoomScaleNormal="100" zoomScaleSheetLayoutView="115" workbookViewId="0"/>
  </sheetViews>
  <sheetFormatPr defaultColWidth="11.375" defaultRowHeight="22.5" customHeight="1" x14ac:dyDescent="0.15"/>
  <cols>
    <col min="1" max="3" width="2.75" style="1" customWidth="1"/>
    <col min="4" max="4" width="22.25" style="1" customWidth="1"/>
    <col min="5" max="5" width="21.625" style="1" customWidth="1"/>
    <col min="6" max="7" width="7.75" style="1" customWidth="1"/>
    <col min="8" max="8" width="33.375" style="1" customWidth="1"/>
    <col min="9" max="9" width="24.5" style="1" customWidth="1"/>
    <col min="10" max="10" width="5.5" style="1" customWidth="1"/>
    <col min="11" max="11" width="4.125" style="31" customWidth="1"/>
    <col min="12" max="16384" width="11.375" style="1"/>
  </cols>
  <sheetData>
    <row r="1" spans="1:11" ht="18.75" customHeight="1" x14ac:dyDescent="0.15">
      <c r="A1" s="1" t="s">
        <v>128</v>
      </c>
      <c r="J1" s="41" t="s">
        <v>77</v>
      </c>
    </row>
    <row r="2" spans="1:11" ht="18.75" customHeight="1" x14ac:dyDescent="0.15">
      <c r="A2" s="242" t="s">
        <v>44</v>
      </c>
      <c r="B2" s="242"/>
      <c r="C2" s="242"/>
      <c r="D2" s="242"/>
      <c r="E2" s="242"/>
      <c r="F2" s="242"/>
      <c r="G2" s="242"/>
      <c r="H2" s="242"/>
      <c r="I2" s="242"/>
      <c r="J2" s="242"/>
    </row>
    <row r="3" spans="1:11" ht="7.5" customHeight="1" x14ac:dyDescent="0.15">
      <c r="A3" s="42"/>
      <c r="B3" s="42"/>
      <c r="C3" s="42"/>
      <c r="D3" s="42"/>
      <c r="E3" s="42"/>
      <c r="F3" s="42"/>
      <c r="G3" s="42"/>
      <c r="H3" s="42"/>
      <c r="I3" s="42"/>
      <c r="J3" s="42"/>
    </row>
    <row r="4" spans="1:11" ht="18.75" customHeight="1" x14ac:dyDescent="0.15">
      <c r="A4" s="1" t="s">
        <v>6</v>
      </c>
      <c r="B4" s="4" t="s">
        <v>43</v>
      </c>
      <c r="C4" s="39"/>
      <c r="D4" s="39"/>
      <c r="E4" s="40"/>
      <c r="F4" s="40"/>
      <c r="G4" s="40"/>
      <c r="H4" s="40"/>
      <c r="I4" s="40"/>
      <c r="J4" s="40"/>
    </row>
    <row r="5" spans="1:11" ht="18.75" customHeight="1" x14ac:dyDescent="0.15">
      <c r="B5" s="295" t="s">
        <v>40</v>
      </c>
      <c r="C5" s="296"/>
      <c r="D5" s="297"/>
      <c r="E5" s="298" t="s">
        <v>42</v>
      </c>
      <c r="F5" s="298"/>
      <c r="G5" s="298"/>
      <c r="H5" s="298"/>
      <c r="I5" s="298"/>
      <c r="J5" s="299"/>
    </row>
    <row r="6" spans="1:11" ht="18.75" customHeight="1" x14ac:dyDescent="0.15">
      <c r="B6" s="3" t="s">
        <v>30</v>
      </c>
      <c r="C6" s="39"/>
      <c r="D6" s="7"/>
      <c r="I6" s="40"/>
      <c r="J6" s="5"/>
    </row>
    <row r="7" spans="1:11" ht="207" customHeight="1" x14ac:dyDescent="0.15">
      <c r="B7" s="6"/>
      <c r="C7" s="286" t="s">
        <v>31</v>
      </c>
      <c r="D7" s="287"/>
      <c r="E7" s="292" t="s">
        <v>197</v>
      </c>
      <c r="F7" s="288"/>
      <c r="G7" s="288"/>
      <c r="H7" s="288"/>
      <c r="I7" s="288"/>
      <c r="J7" s="289"/>
      <c r="K7" s="31" t="str">
        <f>IF(E7="","入力してください","")</f>
        <v/>
      </c>
    </row>
    <row r="8" spans="1:11" ht="207" customHeight="1" x14ac:dyDescent="0.15">
      <c r="B8" s="6"/>
      <c r="C8" s="293" t="s">
        <v>32</v>
      </c>
      <c r="D8" s="294"/>
      <c r="E8" s="292" t="s">
        <v>198</v>
      </c>
      <c r="F8" s="288"/>
      <c r="G8" s="288"/>
      <c r="H8" s="288"/>
      <c r="I8" s="288"/>
      <c r="J8" s="289"/>
      <c r="K8" s="31" t="str">
        <f>IF(E8="","入力してください","")</f>
        <v/>
      </c>
    </row>
    <row r="9" spans="1:11" ht="172.5" customHeight="1" x14ac:dyDescent="0.15">
      <c r="B9" s="6"/>
      <c r="C9" s="286" t="s">
        <v>33</v>
      </c>
      <c r="D9" s="287"/>
      <c r="E9" s="292" t="s">
        <v>183</v>
      </c>
      <c r="F9" s="288"/>
      <c r="G9" s="288"/>
      <c r="H9" s="288"/>
      <c r="I9" s="288"/>
      <c r="J9" s="289"/>
      <c r="K9" s="31" t="str">
        <f>IF(E9="","入力してください","")</f>
        <v/>
      </c>
    </row>
    <row r="10" spans="1:11" ht="172.5" customHeight="1" x14ac:dyDescent="0.15">
      <c r="B10" s="6"/>
      <c r="C10" s="286" t="s">
        <v>34</v>
      </c>
      <c r="D10" s="287"/>
      <c r="E10" s="292" t="s">
        <v>199</v>
      </c>
      <c r="F10" s="288"/>
      <c r="G10" s="288"/>
      <c r="H10" s="288"/>
      <c r="I10" s="288"/>
      <c r="J10" s="289"/>
      <c r="K10" s="31" t="str">
        <f t="shared" ref="K10:K14" si="0">IF(E10="","入力してください","")</f>
        <v/>
      </c>
    </row>
    <row r="11" spans="1:11" ht="172.5" customHeight="1" x14ac:dyDescent="0.15">
      <c r="B11" s="6"/>
      <c r="C11" s="286" t="s">
        <v>35</v>
      </c>
      <c r="D11" s="287"/>
      <c r="E11" s="292" t="s">
        <v>184</v>
      </c>
      <c r="F11" s="288"/>
      <c r="G11" s="288"/>
      <c r="H11" s="288"/>
      <c r="I11" s="288"/>
      <c r="J11" s="289"/>
      <c r="K11" s="31" t="str">
        <f t="shared" si="0"/>
        <v/>
      </c>
    </row>
    <row r="12" spans="1:11" ht="18.75" customHeight="1" x14ac:dyDescent="0.15">
      <c r="B12" s="9" t="s">
        <v>36</v>
      </c>
      <c r="C12" s="28"/>
      <c r="D12" s="8"/>
      <c r="E12" s="32"/>
      <c r="F12" s="32"/>
      <c r="G12" s="32"/>
      <c r="H12" s="32"/>
      <c r="I12" s="32"/>
      <c r="J12" s="33"/>
    </row>
    <row r="13" spans="1:11" ht="244.15" customHeight="1" x14ac:dyDescent="0.15">
      <c r="B13" s="6"/>
      <c r="C13" s="286" t="s">
        <v>37</v>
      </c>
      <c r="D13" s="287"/>
      <c r="E13" s="288" t="s">
        <v>185</v>
      </c>
      <c r="F13" s="288"/>
      <c r="G13" s="288"/>
      <c r="H13" s="288"/>
      <c r="I13" s="288"/>
      <c r="J13" s="289"/>
      <c r="K13" s="31" t="str">
        <f t="shared" si="0"/>
        <v/>
      </c>
    </row>
    <row r="14" spans="1:11" ht="255" customHeight="1" x14ac:dyDescent="0.15">
      <c r="B14" s="6"/>
      <c r="C14" s="286" t="s">
        <v>38</v>
      </c>
      <c r="D14" s="287"/>
      <c r="E14" s="288" t="s">
        <v>200</v>
      </c>
      <c r="F14" s="288"/>
      <c r="G14" s="288"/>
      <c r="H14" s="288"/>
      <c r="I14" s="288"/>
      <c r="J14" s="289"/>
      <c r="K14" s="31" t="str">
        <f t="shared" si="0"/>
        <v/>
      </c>
    </row>
    <row r="15" spans="1:11" ht="243" customHeight="1" x14ac:dyDescent="0.15">
      <c r="B15" s="290" t="s">
        <v>39</v>
      </c>
      <c r="C15" s="291"/>
      <c r="D15" s="287"/>
      <c r="E15" s="288" t="s">
        <v>201</v>
      </c>
      <c r="F15" s="288"/>
      <c r="G15" s="288"/>
      <c r="H15" s="288"/>
      <c r="I15" s="288"/>
      <c r="J15" s="289"/>
      <c r="K15" s="31" t="str">
        <f>IF(E15="","入力してください","")</f>
        <v/>
      </c>
    </row>
    <row r="16" spans="1:11" ht="243" customHeight="1" x14ac:dyDescent="0.15">
      <c r="A16" s="31"/>
      <c r="B16" s="281" t="s">
        <v>68</v>
      </c>
      <c r="C16" s="282"/>
      <c r="D16" s="283"/>
      <c r="E16" s="265" t="s">
        <v>202</v>
      </c>
      <c r="F16" s="265"/>
      <c r="G16" s="265"/>
      <c r="H16" s="265"/>
      <c r="I16" s="265"/>
      <c r="J16" s="266"/>
      <c r="K16" s="31" t="str">
        <f>IF(E16="","入力してください","")</f>
        <v/>
      </c>
    </row>
    <row r="17" spans="1:11" ht="7.5" customHeight="1" x14ac:dyDescent="0.15">
      <c r="B17" s="39"/>
      <c r="C17" s="39"/>
      <c r="D17" s="39"/>
      <c r="E17" s="40"/>
      <c r="F17" s="40"/>
      <c r="G17" s="40"/>
      <c r="H17" s="40"/>
      <c r="I17" s="40"/>
      <c r="J17" s="40"/>
    </row>
    <row r="18" spans="1:11" ht="18.75" customHeight="1" x14ac:dyDescent="0.15">
      <c r="A18" s="1" t="s">
        <v>129</v>
      </c>
      <c r="B18" s="4"/>
      <c r="C18" s="39"/>
      <c r="D18" s="39"/>
      <c r="E18" s="40"/>
      <c r="F18" s="94"/>
      <c r="G18" s="193" t="s">
        <v>186</v>
      </c>
      <c r="H18" s="284"/>
      <c r="I18" s="284"/>
      <c r="J18" s="285"/>
      <c r="K18" s="31" t="str">
        <f>IF(G18="","入力してください","")</f>
        <v/>
      </c>
    </row>
    <row r="19" spans="1:11" ht="22.5" customHeight="1" x14ac:dyDescent="0.15">
      <c r="B19" s="39"/>
      <c r="C19" s="39"/>
      <c r="D19" s="39"/>
      <c r="E19" s="40"/>
      <c r="F19" s="40"/>
      <c r="G19" s="40"/>
      <c r="H19" s="40"/>
      <c r="I19" s="40"/>
      <c r="J19" s="40"/>
    </row>
    <row r="20" spans="1:11" ht="22.5" customHeight="1" x14ac:dyDescent="0.15">
      <c r="B20" s="39"/>
      <c r="C20" s="39"/>
      <c r="D20" s="39"/>
      <c r="E20" s="40"/>
      <c r="F20" s="40"/>
      <c r="G20" s="40"/>
      <c r="H20" s="40"/>
      <c r="I20" s="40"/>
      <c r="J20" s="40"/>
    </row>
    <row r="21" spans="1:11" ht="22.5" customHeight="1" x14ac:dyDescent="0.15">
      <c r="B21" s="39"/>
      <c r="C21" s="39"/>
      <c r="D21" s="39"/>
      <c r="E21" s="40"/>
      <c r="F21" s="40"/>
      <c r="G21" s="40"/>
      <c r="H21" s="40"/>
      <c r="I21" s="40"/>
      <c r="J21" s="40"/>
    </row>
    <row r="22" spans="1:11" ht="22.5" customHeight="1" x14ac:dyDescent="0.15">
      <c r="B22" s="39"/>
      <c r="C22" s="39"/>
      <c r="D22" s="39"/>
      <c r="E22" s="40"/>
      <c r="F22" s="40"/>
      <c r="G22" s="40"/>
      <c r="H22" s="40"/>
      <c r="I22" s="40"/>
      <c r="J22" s="40"/>
    </row>
    <row r="23" spans="1:11" ht="22.5" customHeight="1" x14ac:dyDescent="0.15">
      <c r="B23" s="39"/>
      <c r="C23" s="39"/>
      <c r="D23" s="39"/>
      <c r="E23" s="40"/>
      <c r="F23" s="40"/>
      <c r="G23" s="40"/>
      <c r="H23" s="40"/>
      <c r="I23" s="40"/>
      <c r="J23" s="40"/>
    </row>
    <row r="24" spans="1:11" ht="22.5" customHeight="1" x14ac:dyDescent="0.15">
      <c r="B24" s="106"/>
      <c r="C24" s="106"/>
      <c r="D24" s="106"/>
      <c r="E24" s="106"/>
      <c r="F24" s="106"/>
      <c r="G24" s="106"/>
      <c r="H24" s="106"/>
      <c r="I24" s="106"/>
      <c r="J24" s="106"/>
    </row>
    <row r="25" spans="1:11" ht="22.5" customHeight="1" x14ac:dyDescent="0.15">
      <c r="B25" s="106"/>
      <c r="C25" s="106"/>
      <c r="D25" s="106"/>
      <c r="E25" s="106"/>
      <c r="F25" s="106"/>
      <c r="G25" s="106"/>
      <c r="H25" s="106"/>
      <c r="I25" s="106"/>
      <c r="J25" s="106"/>
    </row>
    <row r="26" spans="1:11" ht="22.5" customHeight="1" x14ac:dyDescent="0.15">
      <c r="B26" s="106"/>
      <c r="C26" s="106"/>
      <c r="D26" s="106"/>
      <c r="E26" s="106"/>
      <c r="F26" s="106"/>
      <c r="G26" s="106"/>
      <c r="H26" s="106"/>
      <c r="I26" s="106"/>
      <c r="J26" s="106"/>
    </row>
  </sheetData>
  <mergeCells count="22">
    <mergeCell ref="C8:D8"/>
    <mergeCell ref="E8:J8"/>
    <mergeCell ref="A2:J2"/>
    <mergeCell ref="B5:D5"/>
    <mergeCell ref="E5:J5"/>
    <mergeCell ref="C7:D7"/>
    <mergeCell ref="E7:J7"/>
    <mergeCell ref="C9:D9"/>
    <mergeCell ref="E9:J9"/>
    <mergeCell ref="C10:D10"/>
    <mergeCell ref="E10:J10"/>
    <mergeCell ref="C11:D11"/>
    <mergeCell ref="E11:J11"/>
    <mergeCell ref="B16:D16"/>
    <mergeCell ref="E16:J16"/>
    <mergeCell ref="G18:J18"/>
    <mergeCell ref="C13:D13"/>
    <mergeCell ref="E13:J13"/>
    <mergeCell ref="C14:D14"/>
    <mergeCell ref="E14:J14"/>
    <mergeCell ref="B15:D15"/>
    <mergeCell ref="E15:J15"/>
  </mergeCells>
  <phoneticPr fontId="1"/>
  <hyperlinks>
    <hyperlink ref="G18" r:id="rId1"/>
  </hyperlinks>
  <printOptions horizontalCentered="1"/>
  <pageMargins left="0.78740157480314965" right="0.78740157480314965" top="0.78740157480314965" bottom="0.78740157480314965" header="0.31496062992125984" footer="0.31496062992125984"/>
  <pageSetup paperSize="9" orientation="landscape"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24"/>
  <sheetViews>
    <sheetView showZeros="0" view="pageBreakPreview" zoomScaleNormal="100" zoomScaleSheetLayoutView="100" workbookViewId="0">
      <selection activeCell="K21" sqref="K21"/>
    </sheetView>
  </sheetViews>
  <sheetFormatPr defaultColWidth="11.375" defaultRowHeight="18.75" customHeight="1" x14ac:dyDescent="0.15"/>
  <cols>
    <col min="1" max="1" width="3.375" style="1" customWidth="1"/>
    <col min="2" max="2" width="15.5" style="1" customWidth="1"/>
    <col min="3" max="3" width="37.75" style="1" customWidth="1"/>
    <col min="4" max="4" width="1.125" style="1" customWidth="1"/>
    <col min="5" max="5" width="21.125" style="1" customWidth="1"/>
    <col min="6" max="6" width="7.75" style="1" customWidth="1"/>
    <col min="7" max="7" width="2.25" style="1" customWidth="1"/>
    <col min="8" max="8" width="2.125" style="1" customWidth="1"/>
    <col min="9" max="16384" width="11.375" style="1"/>
  </cols>
  <sheetData>
    <row r="1" spans="1:6" ht="18.75" customHeight="1" x14ac:dyDescent="0.15">
      <c r="E1" s="241" t="s">
        <v>7</v>
      </c>
      <c r="F1" s="241"/>
    </row>
    <row r="2" spans="1:6" ht="18.75" customHeight="1" x14ac:dyDescent="0.15">
      <c r="A2" s="300" t="s">
        <v>153</v>
      </c>
      <c r="B2" s="300"/>
      <c r="C2" s="300"/>
      <c r="D2" s="300"/>
      <c r="E2" s="300"/>
      <c r="F2" s="300"/>
    </row>
    <row r="3" spans="1:6" ht="7.5" customHeight="1" x14ac:dyDescent="0.15">
      <c r="A3" s="38"/>
      <c r="B3" s="38"/>
      <c r="C3" s="38"/>
      <c r="D3" s="38"/>
      <c r="E3" s="38"/>
      <c r="F3" s="38"/>
    </row>
    <row r="4" spans="1:6" ht="18.75" customHeight="1" x14ac:dyDescent="0.15">
      <c r="A4" s="38" t="s">
        <v>6</v>
      </c>
      <c r="B4" s="4" t="s">
        <v>28</v>
      </c>
      <c r="C4" s="38"/>
      <c r="D4" s="38"/>
      <c r="E4" s="38"/>
      <c r="F4" s="38"/>
    </row>
    <row r="5" spans="1:6" ht="18.75" customHeight="1" x14ac:dyDescent="0.15">
      <c r="A5" s="38"/>
      <c r="B5" s="301"/>
      <c r="C5" s="302"/>
      <c r="D5" s="302"/>
      <c r="E5" s="302"/>
      <c r="F5" s="303"/>
    </row>
    <row r="6" spans="1:6" ht="18.75" customHeight="1" x14ac:dyDescent="0.15">
      <c r="A6" s="38"/>
      <c r="B6" s="304"/>
      <c r="C6" s="305"/>
      <c r="D6" s="305"/>
      <c r="E6" s="305"/>
      <c r="F6" s="306"/>
    </row>
    <row r="7" spans="1:6" ht="18.75" customHeight="1" x14ac:dyDescent="0.15">
      <c r="A7" s="38"/>
      <c r="B7" s="304"/>
      <c r="C7" s="305"/>
      <c r="D7" s="305"/>
      <c r="E7" s="305"/>
      <c r="F7" s="306"/>
    </row>
    <row r="8" spans="1:6" ht="18.75" customHeight="1" x14ac:dyDescent="0.15">
      <c r="A8" s="38"/>
      <c r="B8" s="304"/>
      <c r="C8" s="305"/>
      <c r="D8" s="305"/>
      <c r="E8" s="305"/>
      <c r="F8" s="306"/>
    </row>
    <row r="9" spans="1:6" ht="18.75" customHeight="1" x14ac:dyDescent="0.15">
      <c r="A9" s="38"/>
      <c r="B9" s="304"/>
      <c r="C9" s="305"/>
      <c r="D9" s="305"/>
      <c r="E9" s="305"/>
      <c r="F9" s="306"/>
    </row>
    <row r="10" spans="1:6" ht="18.75" customHeight="1" x14ac:dyDescent="0.15">
      <c r="A10" s="38"/>
      <c r="B10" s="304"/>
      <c r="C10" s="305"/>
      <c r="D10" s="305"/>
      <c r="E10" s="305"/>
      <c r="F10" s="306"/>
    </row>
    <row r="11" spans="1:6" ht="18.75" customHeight="1" x14ac:dyDescent="0.15">
      <c r="A11" s="38"/>
      <c r="B11" s="304"/>
      <c r="C11" s="305"/>
      <c r="D11" s="305"/>
      <c r="E11" s="305"/>
      <c r="F11" s="306"/>
    </row>
    <row r="12" spans="1:6" ht="18.75" customHeight="1" x14ac:dyDescent="0.15">
      <c r="A12" s="38"/>
      <c r="B12" s="304"/>
      <c r="C12" s="305"/>
      <c r="D12" s="305"/>
      <c r="E12" s="305"/>
      <c r="F12" s="306"/>
    </row>
    <row r="13" spans="1:6" ht="18.75" customHeight="1" x14ac:dyDescent="0.15">
      <c r="A13" s="38"/>
      <c r="B13" s="304"/>
      <c r="C13" s="305"/>
      <c r="D13" s="305"/>
      <c r="E13" s="305"/>
      <c r="F13" s="306"/>
    </row>
    <row r="14" spans="1:6" ht="18.75" customHeight="1" x14ac:dyDescent="0.15">
      <c r="A14" s="38"/>
      <c r="B14" s="304"/>
      <c r="C14" s="305"/>
      <c r="D14" s="305"/>
      <c r="E14" s="305"/>
      <c r="F14" s="306"/>
    </row>
    <row r="15" spans="1:6" ht="18.75" customHeight="1" x14ac:dyDescent="0.15">
      <c r="A15" s="38"/>
      <c r="B15" s="304"/>
      <c r="C15" s="305"/>
      <c r="D15" s="305"/>
      <c r="E15" s="305"/>
      <c r="F15" s="306"/>
    </row>
    <row r="16" spans="1:6" ht="18.75" customHeight="1" x14ac:dyDescent="0.15">
      <c r="A16" s="38"/>
      <c r="B16" s="304"/>
      <c r="C16" s="305"/>
      <c r="D16" s="305"/>
      <c r="E16" s="305"/>
      <c r="F16" s="306"/>
    </row>
    <row r="17" spans="1:6" ht="18.75" customHeight="1" x14ac:dyDescent="0.15">
      <c r="A17" s="38"/>
      <c r="B17" s="304"/>
      <c r="C17" s="305"/>
      <c r="D17" s="305"/>
      <c r="E17" s="305"/>
      <c r="F17" s="306"/>
    </row>
    <row r="18" spans="1:6" ht="18.75" customHeight="1" x14ac:dyDescent="0.15">
      <c r="A18" s="38"/>
      <c r="B18" s="304"/>
      <c r="C18" s="305"/>
      <c r="D18" s="305"/>
      <c r="E18" s="305"/>
      <c r="F18" s="306"/>
    </row>
    <row r="19" spans="1:6" ht="18.75" customHeight="1" x14ac:dyDescent="0.15">
      <c r="A19" s="38"/>
      <c r="B19" s="304"/>
      <c r="C19" s="305"/>
      <c r="D19" s="305"/>
      <c r="E19" s="305"/>
      <c r="F19" s="306"/>
    </row>
    <row r="20" spans="1:6" ht="18.75" customHeight="1" x14ac:dyDescent="0.15">
      <c r="A20" s="38"/>
      <c r="B20" s="304"/>
      <c r="C20" s="305"/>
      <c r="D20" s="305"/>
      <c r="E20" s="305"/>
      <c r="F20" s="306"/>
    </row>
    <row r="21" spans="1:6" ht="18.75" customHeight="1" x14ac:dyDescent="0.15">
      <c r="A21" s="38"/>
      <c r="B21" s="304"/>
      <c r="C21" s="305"/>
      <c r="D21" s="305"/>
      <c r="E21" s="305"/>
      <c r="F21" s="306"/>
    </row>
    <row r="22" spans="1:6" ht="18.75" customHeight="1" x14ac:dyDescent="0.15">
      <c r="A22" s="38"/>
      <c r="B22" s="304"/>
      <c r="C22" s="305"/>
      <c r="D22" s="305"/>
      <c r="E22" s="305"/>
      <c r="F22" s="306"/>
    </row>
    <row r="23" spans="1:6" ht="18.75" customHeight="1" x14ac:dyDescent="0.15">
      <c r="A23" s="38"/>
      <c r="B23" s="304"/>
      <c r="C23" s="305"/>
      <c r="D23" s="305"/>
      <c r="E23" s="305"/>
      <c r="F23" s="306"/>
    </row>
    <row r="24" spans="1:6" ht="18.75" customHeight="1" x14ac:dyDescent="0.15">
      <c r="A24" s="38"/>
      <c r="B24" s="304"/>
      <c r="C24" s="305"/>
      <c r="D24" s="305"/>
      <c r="E24" s="305"/>
      <c r="F24" s="306"/>
    </row>
    <row r="25" spans="1:6" ht="18.75" customHeight="1" x14ac:dyDescent="0.15">
      <c r="A25" s="38"/>
      <c r="B25" s="304"/>
      <c r="C25" s="305"/>
      <c r="D25" s="305"/>
      <c r="E25" s="305"/>
      <c r="F25" s="306"/>
    </row>
    <row r="26" spans="1:6" ht="18.75" customHeight="1" x14ac:dyDescent="0.15">
      <c r="A26" s="38"/>
      <c r="B26" s="304"/>
      <c r="C26" s="305"/>
      <c r="D26" s="305"/>
      <c r="E26" s="305"/>
      <c r="F26" s="306"/>
    </row>
    <row r="27" spans="1:6" ht="18.75" customHeight="1" x14ac:dyDescent="0.15">
      <c r="A27" s="38"/>
      <c r="B27" s="304"/>
      <c r="C27" s="305"/>
      <c r="D27" s="305"/>
      <c r="E27" s="305"/>
      <c r="F27" s="306"/>
    </row>
    <row r="28" spans="1:6" ht="18.75" customHeight="1" x14ac:dyDescent="0.15">
      <c r="A28" s="38"/>
      <c r="B28" s="304"/>
      <c r="C28" s="305"/>
      <c r="D28" s="305"/>
      <c r="E28" s="305"/>
      <c r="F28" s="306"/>
    </row>
    <row r="29" spans="1:6" ht="18.75" customHeight="1" x14ac:dyDescent="0.15">
      <c r="A29" s="38"/>
      <c r="B29" s="304"/>
      <c r="C29" s="305"/>
      <c r="D29" s="305"/>
      <c r="E29" s="305"/>
      <c r="F29" s="306"/>
    </row>
    <row r="30" spans="1:6" ht="18.75" customHeight="1" x14ac:dyDescent="0.15">
      <c r="A30" s="38"/>
      <c r="B30" s="304"/>
      <c r="C30" s="305"/>
      <c r="D30" s="305"/>
      <c r="E30" s="305"/>
      <c r="F30" s="306"/>
    </row>
    <row r="31" spans="1:6" ht="18.75" customHeight="1" x14ac:dyDescent="0.15">
      <c r="A31" s="38"/>
      <c r="B31" s="304"/>
      <c r="C31" s="305"/>
      <c r="D31" s="305"/>
      <c r="E31" s="305"/>
      <c r="F31" s="306"/>
    </row>
    <row r="32" spans="1:6" ht="18.75" customHeight="1" x14ac:dyDescent="0.15">
      <c r="A32" s="38"/>
      <c r="B32" s="304"/>
      <c r="C32" s="305"/>
      <c r="D32" s="305"/>
      <c r="E32" s="305"/>
      <c r="F32" s="306"/>
    </row>
    <row r="33" spans="1:6" ht="18.75" customHeight="1" x14ac:dyDescent="0.15">
      <c r="A33" s="38"/>
      <c r="B33" s="304"/>
      <c r="C33" s="305"/>
      <c r="D33" s="305"/>
      <c r="E33" s="305"/>
      <c r="F33" s="306"/>
    </row>
    <row r="34" spans="1:6" ht="18.75" customHeight="1" x14ac:dyDescent="0.15">
      <c r="A34" s="38"/>
      <c r="B34" s="304"/>
      <c r="C34" s="305"/>
      <c r="D34" s="305"/>
      <c r="E34" s="305"/>
      <c r="F34" s="306"/>
    </row>
    <row r="35" spans="1:6" ht="18.75" customHeight="1" x14ac:dyDescent="0.15">
      <c r="A35" s="38"/>
      <c r="B35" s="304"/>
      <c r="C35" s="305"/>
      <c r="D35" s="305"/>
      <c r="E35" s="305"/>
      <c r="F35" s="306"/>
    </row>
    <row r="36" spans="1:6" ht="18.75" customHeight="1" x14ac:dyDescent="0.15">
      <c r="A36" s="38"/>
      <c r="B36" s="304"/>
      <c r="C36" s="305"/>
      <c r="D36" s="305"/>
      <c r="E36" s="305"/>
      <c r="F36" s="306"/>
    </row>
    <row r="37" spans="1:6" ht="18.75" customHeight="1" x14ac:dyDescent="0.15">
      <c r="A37" s="38"/>
      <c r="B37" s="304"/>
      <c r="C37" s="305"/>
      <c r="D37" s="305"/>
      <c r="E37" s="305"/>
      <c r="F37" s="306"/>
    </row>
    <row r="38" spans="1:6" ht="18.75" customHeight="1" x14ac:dyDescent="0.15">
      <c r="A38" s="38"/>
      <c r="B38" s="304"/>
      <c r="C38" s="305"/>
      <c r="D38" s="305"/>
      <c r="E38" s="305"/>
      <c r="F38" s="306"/>
    </row>
    <row r="39" spans="1:6" ht="18.75" customHeight="1" x14ac:dyDescent="0.15">
      <c r="A39" s="38"/>
      <c r="B39" s="304"/>
      <c r="C39" s="305"/>
      <c r="D39" s="305"/>
      <c r="E39" s="305"/>
      <c r="F39" s="306"/>
    </row>
    <row r="40" spans="1:6" ht="18.75" customHeight="1" x14ac:dyDescent="0.15">
      <c r="A40" s="38"/>
      <c r="B40" s="304"/>
      <c r="C40" s="305"/>
      <c r="D40" s="305"/>
      <c r="E40" s="305"/>
      <c r="F40" s="306"/>
    </row>
    <row r="41" spans="1:6" ht="18.75" customHeight="1" x14ac:dyDescent="0.15">
      <c r="A41" s="38"/>
      <c r="B41" s="304"/>
      <c r="C41" s="305"/>
      <c r="D41" s="305"/>
      <c r="E41" s="305"/>
      <c r="F41" s="306"/>
    </row>
    <row r="42" spans="1:6" ht="18.75" customHeight="1" x14ac:dyDescent="0.15">
      <c r="A42" s="38"/>
      <c r="B42" s="307"/>
      <c r="C42" s="308"/>
      <c r="D42" s="308"/>
      <c r="E42" s="308"/>
      <c r="F42" s="309"/>
    </row>
    <row r="43" spans="1:6" ht="18.75" customHeight="1" x14ac:dyDescent="0.15">
      <c r="A43" s="38" t="s">
        <v>10</v>
      </c>
      <c r="B43" s="4" t="s">
        <v>73</v>
      </c>
      <c r="C43" s="38"/>
      <c r="D43" s="38"/>
      <c r="E43" s="38"/>
      <c r="F43" s="38"/>
    </row>
    <row r="44" spans="1:6" ht="18.75" customHeight="1" x14ac:dyDescent="0.15">
      <c r="A44" s="38"/>
      <c r="B44" s="301"/>
      <c r="C44" s="302"/>
      <c r="D44" s="302"/>
      <c r="E44" s="302"/>
      <c r="F44" s="303"/>
    </row>
    <row r="45" spans="1:6" ht="18.75" customHeight="1" x14ac:dyDescent="0.15">
      <c r="A45" s="38"/>
      <c r="B45" s="304"/>
      <c r="C45" s="305"/>
      <c r="D45" s="305"/>
      <c r="E45" s="305"/>
      <c r="F45" s="306"/>
    </row>
    <row r="46" spans="1:6" ht="18.75" customHeight="1" x14ac:dyDescent="0.15">
      <c r="A46" s="38"/>
      <c r="B46" s="304"/>
      <c r="C46" s="305"/>
      <c r="D46" s="305"/>
      <c r="E46" s="305"/>
      <c r="F46" s="306"/>
    </row>
    <row r="47" spans="1:6" ht="18.75" customHeight="1" x14ac:dyDescent="0.15">
      <c r="A47" s="38"/>
      <c r="B47" s="304"/>
      <c r="C47" s="305"/>
      <c r="D47" s="305"/>
      <c r="E47" s="305"/>
      <c r="F47" s="306"/>
    </row>
    <row r="48" spans="1:6" ht="18.75" customHeight="1" x14ac:dyDescent="0.15">
      <c r="A48" s="38"/>
      <c r="B48" s="304"/>
      <c r="C48" s="305"/>
      <c r="D48" s="305"/>
      <c r="E48" s="305"/>
      <c r="F48" s="306"/>
    </row>
    <row r="49" spans="1:6" ht="18.75" customHeight="1" x14ac:dyDescent="0.15">
      <c r="A49" s="38"/>
      <c r="B49" s="304"/>
      <c r="C49" s="305"/>
      <c r="D49" s="305"/>
      <c r="E49" s="305"/>
      <c r="F49" s="306"/>
    </row>
    <row r="50" spans="1:6" ht="18.75" customHeight="1" x14ac:dyDescent="0.15">
      <c r="A50" s="38"/>
      <c r="B50" s="304"/>
      <c r="C50" s="305"/>
      <c r="D50" s="305"/>
      <c r="E50" s="305"/>
      <c r="F50" s="306"/>
    </row>
    <row r="51" spans="1:6" ht="18.75" customHeight="1" x14ac:dyDescent="0.15">
      <c r="A51" s="38"/>
      <c r="B51" s="304"/>
      <c r="C51" s="305"/>
      <c r="D51" s="305"/>
      <c r="E51" s="305"/>
      <c r="F51" s="306"/>
    </row>
    <row r="52" spans="1:6" ht="18.75" customHeight="1" x14ac:dyDescent="0.15">
      <c r="A52" s="38"/>
      <c r="B52" s="304"/>
      <c r="C52" s="305"/>
      <c r="D52" s="305"/>
      <c r="E52" s="305"/>
      <c r="F52" s="306"/>
    </row>
    <row r="53" spans="1:6" ht="18.75" customHeight="1" x14ac:dyDescent="0.15">
      <c r="A53" s="38"/>
      <c r="B53" s="304"/>
      <c r="C53" s="305"/>
      <c r="D53" s="305"/>
      <c r="E53" s="305"/>
      <c r="F53" s="306"/>
    </row>
    <row r="54" spans="1:6" ht="18.75" customHeight="1" x14ac:dyDescent="0.15">
      <c r="A54" s="38"/>
      <c r="B54" s="304"/>
      <c r="C54" s="305"/>
      <c r="D54" s="305"/>
      <c r="E54" s="305"/>
      <c r="F54" s="306"/>
    </row>
    <row r="55" spans="1:6" ht="18.75" customHeight="1" x14ac:dyDescent="0.15">
      <c r="A55" s="38"/>
      <c r="B55" s="304"/>
      <c r="C55" s="305"/>
      <c r="D55" s="305"/>
      <c r="E55" s="305"/>
      <c r="F55" s="306"/>
    </row>
    <row r="56" spans="1:6" ht="18.75" customHeight="1" x14ac:dyDescent="0.15">
      <c r="A56" s="38"/>
      <c r="B56" s="304"/>
      <c r="C56" s="305"/>
      <c r="D56" s="305"/>
      <c r="E56" s="305"/>
      <c r="F56" s="306"/>
    </row>
    <row r="57" spans="1:6" ht="18.75" customHeight="1" x14ac:dyDescent="0.15">
      <c r="A57" s="38"/>
      <c r="B57" s="304"/>
      <c r="C57" s="305"/>
      <c r="D57" s="305"/>
      <c r="E57" s="305"/>
      <c r="F57" s="306"/>
    </row>
    <row r="58" spans="1:6" ht="18.75" customHeight="1" x14ac:dyDescent="0.15">
      <c r="A58" s="38"/>
      <c r="B58" s="304"/>
      <c r="C58" s="305"/>
      <c r="D58" s="305"/>
      <c r="E58" s="305"/>
      <c r="F58" s="306"/>
    </row>
    <row r="59" spans="1:6" ht="18.75" customHeight="1" x14ac:dyDescent="0.15">
      <c r="A59" s="38"/>
      <c r="B59" s="304"/>
      <c r="C59" s="305"/>
      <c r="D59" s="305"/>
      <c r="E59" s="305"/>
      <c r="F59" s="306"/>
    </row>
    <row r="60" spans="1:6" ht="18.75" customHeight="1" x14ac:dyDescent="0.15">
      <c r="A60" s="38"/>
      <c r="B60" s="304"/>
      <c r="C60" s="305"/>
      <c r="D60" s="305"/>
      <c r="E60" s="305"/>
      <c r="F60" s="306"/>
    </row>
    <row r="61" spans="1:6" ht="18.75" customHeight="1" x14ac:dyDescent="0.15">
      <c r="A61" s="38"/>
      <c r="B61" s="304"/>
      <c r="C61" s="305"/>
      <c r="D61" s="305"/>
      <c r="E61" s="305"/>
      <c r="F61" s="306"/>
    </row>
    <row r="62" spans="1:6" ht="18.75" customHeight="1" x14ac:dyDescent="0.15">
      <c r="A62" s="38"/>
      <c r="B62" s="304"/>
      <c r="C62" s="305"/>
      <c r="D62" s="305"/>
      <c r="E62" s="305"/>
      <c r="F62" s="306"/>
    </row>
    <row r="63" spans="1:6" ht="18.75" customHeight="1" x14ac:dyDescent="0.15">
      <c r="A63" s="38"/>
      <c r="B63" s="304"/>
      <c r="C63" s="305"/>
      <c r="D63" s="305"/>
      <c r="E63" s="305"/>
      <c r="F63" s="306"/>
    </row>
    <row r="64" spans="1:6" ht="18.75" customHeight="1" x14ac:dyDescent="0.15">
      <c r="A64" s="38"/>
      <c r="B64" s="304"/>
      <c r="C64" s="305"/>
      <c r="D64" s="305"/>
      <c r="E64" s="305"/>
      <c r="F64" s="306"/>
    </row>
    <row r="65" spans="1:6" ht="18.75" customHeight="1" x14ac:dyDescent="0.15">
      <c r="A65" s="38"/>
      <c r="B65" s="304"/>
      <c r="C65" s="305"/>
      <c r="D65" s="305"/>
      <c r="E65" s="305"/>
      <c r="F65" s="306"/>
    </row>
    <row r="66" spans="1:6" ht="18.75" customHeight="1" x14ac:dyDescent="0.15">
      <c r="A66" s="38"/>
      <c r="B66" s="304"/>
      <c r="C66" s="305"/>
      <c r="D66" s="305"/>
      <c r="E66" s="305"/>
      <c r="F66" s="306"/>
    </row>
    <row r="67" spans="1:6" ht="18.75" customHeight="1" x14ac:dyDescent="0.15">
      <c r="A67" s="38"/>
      <c r="B67" s="304"/>
      <c r="C67" s="305"/>
      <c r="D67" s="305"/>
      <c r="E67" s="305"/>
      <c r="F67" s="306"/>
    </row>
    <row r="68" spans="1:6" ht="18.75" customHeight="1" x14ac:dyDescent="0.15">
      <c r="A68" s="38"/>
      <c r="B68" s="304"/>
      <c r="C68" s="305"/>
      <c r="D68" s="305"/>
      <c r="E68" s="305"/>
      <c r="F68" s="306"/>
    </row>
    <row r="69" spans="1:6" ht="18.75" customHeight="1" x14ac:dyDescent="0.15">
      <c r="A69" s="38"/>
      <c r="B69" s="304"/>
      <c r="C69" s="305"/>
      <c r="D69" s="305"/>
      <c r="E69" s="305"/>
      <c r="F69" s="306"/>
    </row>
    <row r="70" spans="1:6" ht="18.75" customHeight="1" x14ac:dyDescent="0.15">
      <c r="A70" s="38"/>
      <c r="B70" s="304"/>
      <c r="C70" s="305"/>
      <c r="D70" s="305"/>
      <c r="E70" s="305"/>
      <c r="F70" s="306"/>
    </row>
    <row r="71" spans="1:6" ht="18.75" customHeight="1" x14ac:dyDescent="0.15">
      <c r="A71" s="38"/>
      <c r="B71" s="304"/>
      <c r="C71" s="305"/>
      <c r="D71" s="305"/>
      <c r="E71" s="305"/>
      <c r="F71" s="306"/>
    </row>
    <row r="72" spans="1:6" ht="18.75" customHeight="1" x14ac:dyDescent="0.15">
      <c r="A72" s="38"/>
      <c r="B72" s="304"/>
      <c r="C72" s="305"/>
      <c r="D72" s="305"/>
      <c r="E72" s="305"/>
      <c r="F72" s="306"/>
    </row>
    <row r="73" spans="1:6" ht="18.75" customHeight="1" x14ac:dyDescent="0.15">
      <c r="A73" s="38"/>
      <c r="B73" s="304"/>
      <c r="C73" s="305"/>
      <c r="D73" s="305"/>
      <c r="E73" s="305"/>
      <c r="F73" s="306"/>
    </row>
    <row r="74" spans="1:6" ht="18.75" customHeight="1" x14ac:dyDescent="0.15">
      <c r="A74" s="38"/>
      <c r="B74" s="304"/>
      <c r="C74" s="305"/>
      <c r="D74" s="305"/>
      <c r="E74" s="305"/>
      <c r="F74" s="306"/>
    </row>
    <row r="75" spans="1:6" ht="18.75" customHeight="1" x14ac:dyDescent="0.15">
      <c r="A75" s="38"/>
      <c r="B75" s="304"/>
      <c r="C75" s="305"/>
      <c r="D75" s="305"/>
      <c r="E75" s="305"/>
      <c r="F75" s="306"/>
    </row>
    <row r="76" spans="1:6" ht="18.75" customHeight="1" x14ac:dyDescent="0.15">
      <c r="A76" s="38"/>
      <c r="B76" s="304"/>
      <c r="C76" s="305"/>
      <c r="D76" s="305"/>
      <c r="E76" s="305"/>
      <c r="F76" s="306"/>
    </row>
    <row r="77" spans="1:6" ht="18.75" customHeight="1" x14ac:dyDescent="0.15">
      <c r="A77" s="38"/>
      <c r="B77" s="304"/>
      <c r="C77" s="305"/>
      <c r="D77" s="305"/>
      <c r="E77" s="305"/>
      <c r="F77" s="306"/>
    </row>
    <row r="78" spans="1:6" ht="18.75" customHeight="1" x14ac:dyDescent="0.15">
      <c r="A78" s="38"/>
      <c r="B78" s="304"/>
      <c r="C78" s="305"/>
      <c r="D78" s="305"/>
      <c r="E78" s="305"/>
      <c r="F78" s="306"/>
    </row>
    <row r="79" spans="1:6" ht="18.75" customHeight="1" x14ac:dyDescent="0.15">
      <c r="A79" s="38"/>
      <c r="B79" s="304"/>
      <c r="C79" s="305"/>
      <c r="D79" s="305"/>
      <c r="E79" s="305"/>
      <c r="F79" s="306"/>
    </row>
    <row r="80" spans="1:6" ht="18.75" customHeight="1" x14ac:dyDescent="0.15">
      <c r="A80" s="38"/>
      <c r="B80" s="304"/>
      <c r="C80" s="305"/>
      <c r="D80" s="305"/>
      <c r="E80" s="305"/>
      <c r="F80" s="306"/>
    </row>
    <row r="81" spans="1:6" ht="18.75" customHeight="1" x14ac:dyDescent="0.15">
      <c r="A81" s="38"/>
      <c r="B81" s="304"/>
      <c r="C81" s="305"/>
      <c r="D81" s="305"/>
      <c r="E81" s="305"/>
      <c r="F81" s="306"/>
    </row>
    <row r="82" spans="1:6" ht="18.75" customHeight="1" x14ac:dyDescent="0.15">
      <c r="A82" s="38"/>
      <c r="B82" s="304"/>
      <c r="C82" s="305"/>
      <c r="D82" s="305"/>
      <c r="E82" s="305"/>
      <c r="F82" s="306"/>
    </row>
    <row r="83" spans="1:6" ht="18.75" customHeight="1" x14ac:dyDescent="0.15">
      <c r="A83" s="38"/>
      <c r="B83" s="307"/>
      <c r="C83" s="308"/>
      <c r="D83" s="308"/>
      <c r="E83" s="308"/>
      <c r="F83" s="309"/>
    </row>
    <row r="84" spans="1:6" ht="18.75" customHeight="1" x14ac:dyDescent="0.15">
      <c r="A84" s="4" t="s">
        <v>11</v>
      </c>
      <c r="B84" s="4" t="s">
        <v>74</v>
      </c>
      <c r="C84" s="4"/>
      <c r="D84" s="4"/>
      <c r="E84" s="4"/>
      <c r="F84" s="4"/>
    </row>
    <row r="85" spans="1:6" ht="18.75" customHeight="1" x14ac:dyDescent="0.15">
      <c r="A85" s="38"/>
      <c r="B85" s="301"/>
      <c r="C85" s="302"/>
      <c r="D85" s="302"/>
      <c r="E85" s="302"/>
      <c r="F85" s="303"/>
    </row>
    <row r="86" spans="1:6" ht="18.75" customHeight="1" x14ac:dyDescent="0.15">
      <c r="A86" s="38"/>
      <c r="B86" s="304"/>
      <c r="C86" s="305"/>
      <c r="D86" s="305"/>
      <c r="E86" s="305"/>
      <c r="F86" s="306"/>
    </row>
    <row r="87" spans="1:6" ht="18.75" customHeight="1" x14ac:dyDescent="0.15">
      <c r="A87" s="38"/>
      <c r="B87" s="304"/>
      <c r="C87" s="305"/>
      <c r="D87" s="305"/>
      <c r="E87" s="305"/>
      <c r="F87" s="306"/>
    </row>
    <row r="88" spans="1:6" ht="18.75" customHeight="1" x14ac:dyDescent="0.15">
      <c r="A88" s="38"/>
      <c r="B88" s="304"/>
      <c r="C88" s="305"/>
      <c r="D88" s="305"/>
      <c r="E88" s="305"/>
      <c r="F88" s="306"/>
    </row>
    <row r="89" spans="1:6" ht="18.75" customHeight="1" x14ac:dyDescent="0.15">
      <c r="A89" s="38"/>
      <c r="B89" s="304"/>
      <c r="C89" s="305"/>
      <c r="D89" s="305"/>
      <c r="E89" s="305"/>
      <c r="F89" s="306"/>
    </row>
    <row r="90" spans="1:6" ht="18.75" customHeight="1" x14ac:dyDescent="0.15">
      <c r="A90" s="38"/>
      <c r="B90" s="304"/>
      <c r="C90" s="305"/>
      <c r="D90" s="305"/>
      <c r="E90" s="305"/>
      <c r="F90" s="306"/>
    </row>
    <row r="91" spans="1:6" ht="18.75" customHeight="1" x14ac:dyDescent="0.15">
      <c r="A91" s="38"/>
      <c r="B91" s="304"/>
      <c r="C91" s="305"/>
      <c r="D91" s="305"/>
      <c r="E91" s="305"/>
      <c r="F91" s="306"/>
    </row>
    <row r="92" spans="1:6" ht="18.75" customHeight="1" x14ac:dyDescent="0.15">
      <c r="A92" s="38"/>
      <c r="B92" s="304"/>
      <c r="C92" s="305"/>
      <c r="D92" s="305"/>
      <c r="E92" s="305"/>
      <c r="F92" s="306"/>
    </row>
    <row r="93" spans="1:6" ht="18.75" customHeight="1" x14ac:dyDescent="0.15">
      <c r="A93" s="38"/>
      <c r="B93" s="304"/>
      <c r="C93" s="305"/>
      <c r="D93" s="305"/>
      <c r="E93" s="305"/>
      <c r="F93" s="306"/>
    </row>
    <row r="94" spans="1:6" ht="18.75" customHeight="1" x14ac:dyDescent="0.15">
      <c r="A94" s="38"/>
      <c r="B94" s="304"/>
      <c r="C94" s="305"/>
      <c r="D94" s="305"/>
      <c r="E94" s="305"/>
      <c r="F94" s="306"/>
    </row>
    <row r="95" spans="1:6" ht="18.75" customHeight="1" x14ac:dyDescent="0.15">
      <c r="A95" s="38"/>
      <c r="B95" s="304"/>
      <c r="C95" s="305"/>
      <c r="D95" s="305"/>
      <c r="E95" s="305"/>
      <c r="F95" s="306"/>
    </row>
    <row r="96" spans="1:6" ht="18.75" customHeight="1" x14ac:dyDescent="0.15">
      <c r="A96" s="38"/>
      <c r="B96" s="304"/>
      <c r="C96" s="305"/>
      <c r="D96" s="305"/>
      <c r="E96" s="305"/>
      <c r="F96" s="306"/>
    </row>
    <row r="97" spans="1:6" ht="18.75" customHeight="1" x14ac:dyDescent="0.15">
      <c r="A97" s="38"/>
      <c r="B97" s="304"/>
      <c r="C97" s="305"/>
      <c r="D97" s="305"/>
      <c r="E97" s="305"/>
      <c r="F97" s="306"/>
    </row>
    <row r="98" spans="1:6" ht="18.75" customHeight="1" x14ac:dyDescent="0.15">
      <c r="A98" s="38"/>
      <c r="B98" s="304"/>
      <c r="C98" s="305"/>
      <c r="D98" s="305"/>
      <c r="E98" s="305"/>
      <c r="F98" s="306"/>
    </row>
    <row r="99" spans="1:6" ht="18.75" customHeight="1" x14ac:dyDescent="0.15">
      <c r="A99" s="38"/>
      <c r="B99" s="304"/>
      <c r="C99" s="305"/>
      <c r="D99" s="305"/>
      <c r="E99" s="305"/>
      <c r="F99" s="306"/>
    </row>
    <row r="100" spans="1:6" ht="18.75" customHeight="1" x14ac:dyDescent="0.15">
      <c r="A100" s="38"/>
      <c r="B100" s="304"/>
      <c r="C100" s="305"/>
      <c r="D100" s="305"/>
      <c r="E100" s="305"/>
      <c r="F100" s="306"/>
    </row>
    <row r="101" spans="1:6" ht="18.75" customHeight="1" x14ac:dyDescent="0.15">
      <c r="A101" s="38"/>
      <c r="B101" s="304"/>
      <c r="C101" s="305"/>
      <c r="D101" s="305"/>
      <c r="E101" s="305"/>
      <c r="F101" s="306"/>
    </row>
    <row r="102" spans="1:6" ht="18.75" customHeight="1" x14ac:dyDescent="0.15">
      <c r="A102" s="38"/>
      <c r="B102" s="304"/>
      <c r="C102" s="305"/>
      <c r="D102" s="305"/>
      <c r="E102" s="305"/>
      <c r="F102" s="306"/>
    </row>
    <row r="103" spans="1:6" ht="18.75" customHeight="1" x14ac:dyDescent="0.15">
      <c r="A103" s="38"/>
      <c r="B103" s="304"/>
      <c r="C103" s="305"/>
      <c r="D103" s="305"/>
      <c r="E103" s="305"/>
      <c r="F103" s="306"/>
    </row>
    <row r="104" spans="1:6" ht="18.75" customHeight="1" x14ac:dyDescent="0.15">
      <c r="A104" s="38"/>
      <c r="B104" s="304"/>
      <c r="C104" s="305"/>
      <c r="D104" s="305"/>
      <c r="E104" s="305"/>
      <c r="F104" s="306"/>
    </row>
    <row r="105" spans="1:6" ht="18.75" customHeight="1" x14ac:dyDescent="0.15">
      <c r="A105" s="38"/>
      <c r="B105" s="304"/>
      <c r="C105" s="305"/>
      <c r="D105" s="305"/>
      <c r="E105" s="305"/>
      <c r="F105" s="306"/>
    </row>
    <row r="106" spans="1:6" ht="18.75" customHeight="1" x14ac:dyDescent="0.15">
      <c r="A106" s="38"/>
      <c r="B106" s="304"/>
      <c r="C106" s="305"/>
      <c r="D106" s="305"/>
      <c r="E106" s="305"/>
      <c r="F106" s="306"/>
    </row>
    <row r="107" spans="1:6" ht="18.75" customHeight="1" x14ac:dyDescent="0.15">
      <c r="A107" s="38"/>
      <c r="B107" s="304"/>
      <c r="C107" s="305"/>
      <c r="D107" s="305"/>
      <c r="E107" s="305"/>
      <c r="F107" s="306"/>
    </row>
    <row r="108" spans="1:6" ht="18.75" customHeight="1" x14ac:dyDescent="0.15">
      <c r="A108" s="38"/>
      <c r="B108" s="304"/>
      <c r="C108" s="305"/>
      <c r="D108" s="305"/>
      <c r="E108" s="305"/>
      <c r="F108" s="306"/>
    </row>
    <row r="109" spans="1:6" ht="18.75" customHeight="1" x14ac:dyDescent="0.15">
      <c r="A109" s="38"/>
      <c r="B109" s="304"/>
      <c r="C109" s="305"/>
      <c r="D109" s="305"/>
      <c r="E109" s="305"/>
      <c r="F109" s="306"/>
    </row>
    <row r="110" spans="1:6" ht="18.75" customHeight="1" x14ac:dyDescent="0.15">
      <c r="A110" s="38"/>
      <c r="B110" s="304"/>
      <c r="C110" s="305"/>
      <c r="D110" s="305"/>
      <c r="E110" s="305"/>
      <c r="F110" s="306"/>
    </row>
    <row r="111" spans="1:6" ht="18.75" customHeight="1" x14ac:dyDescent="0.15">
      <c r="A111" s="38"/>
      <c r="B111" s="304"/>
      <c r="C111" s="305"/>
      <c r="D111" s="305"/>
      <c r="E111" s="305"/>
      <c r="F111" s="306"/>
    </row>
    <row r="112" spans="1:6" ht="18.75" customHeight="1" x14ac:dyDescent="0.15">
      <c r="A112" s="38"/>
      <c r="B112" s="304"/>
      <c r="C112" s="305"/>
      <c r="D112" s="305"/>
      <c r="E112" s="305"/>
      <c r="F112" s="306"/>
    </row>
    <row r="113" spans="1:6" ht="18.75" customHeight="1" x14ac:dyDescent="0.15">
      <c r="A113" s="38"/>
      <c r="B113" s="304"/>
      <c r="C113" s="305"/>
      <c r="D113" s="305"/>
      <c r="E113" s="305"/>
      <c r="F113" s="306"/>
    </row>
    <row r="114" spans="1:6" ht="18.75" customHeight="1" x14ac:dyDescent="0.15">
      <c r="A114" s="38"/>
      <c r="B114" s="304"/>
      <c r="C114" s="305"/>
      <c r="D114" s="305"/>
      <c r="E114" s="305"/>
      <c r="F114" s="306"/>
    </row>
    <row r="115" spans="1:6" ht="18.75" customHeight="1" x14ac:dyDescent="0.15">
      <c r="A115" s="38"/>
      <c r="B115" s="304"/>
      <c r="C115" s="305"/>
      <c r="D115" s="305"/>
      <c r="E115" s="305"/>
      <c r="F115" s="306"/>
    </row>
    <row r="116" spans="1:6" ht="18.75" customHeight="1" x14ac:dyDescent="0.15">
      <c r="A116" s="38"/>
      <c r="B116" s="304"/>
      <c r="C116" s="305"/>
      <c r="D116" s="305"/>
      <c r="E116" s="305"/>
      <c r="F116" s="306"/>
    </row>
    <row r="117" spans="1:6" ht="18.75" customHeight="1" x14ac:dyDescent="0.15">
      <c r="A117" s="38"/>
      <c r="B117" s="304"/>
      <c r="C117" s="305"/>
      <c r="D117" s="305"/>
      <c r="E117" s="305"/>
      <c r="F117" s="306"/>
    </row>
    <row r="118" spans="1:6" ht="18.75" customHeight="1" x14ac:dyDescent="0.15">
      <c r="A118" s="38"/>
      <c r="B118" s="304"/>
      <c r="C118" s="305"/>
      <c r="D118" s="305"/>
      <c r="E118" s="305"/>
      <c r="F118" s="306"/>
    </row>
    <row r="119" spans="1:6" ht="18.75" customHeight="1" x14ac:dyDescent="0.15">
      <c r="A119" s="38"/>
      <c r="B119" s="304"/>
      <c r="C119" s="305"/>
      <c r="D119" s="305"/>
      <c r="E119" s="305"/>
      <c r="F119" s="306"/>
    </row>
    <row r="120" spans="1:6" ht="18.75" customHeight="1" x14ac:dyDescent="0.15">
      <c r="A120" s="38"/>
      <c r="B120" s="304"/>
      <c r="C120" s="305"/>
      <c r="D120" s="305"/>
      <c r="E120" s="305"/>
      <c r="F120" s="306"/>
    </row>
    <row r="121" spans="1:6" ht="18.75" customHeight="1" x14ac:dyDescent="0.15">
      <c r="A121" s="38"/>
      <c r="B121" s="304"/>
      <c r="C121" s="305"/>
      <c r="D121" s="305"/>
      <c r="E121" s="305"/>
      <c r="F121" s="306"/>
    </row>
    <row r="122" spans="1:6" ht="18.75" customHeight="1" x14ac:dyDescent="0.15">
      <c r="A122" s="38"/>
      <c r="B122" s="304"/>
      <c r="C122" s="305"/>
      <c r="D122" s="305"/>
      <c r="E122" s="305"/>
      <c r="F122" s="306"/>
    </row>
    <row r="123" spans="1:6" ht="18.75" customHeight="1" x14ac:dyDescent="0.15">
      <c r="A123" s="38"/>
      <c r="B123" s="304"/>
      <c r="C123" s="305"/>
      <c r="D123" s="305"/>
      <c r="E123" s="305"/>
      <c r="F123" s="306"/>
    </row>
    <row r="124" spans="1:6" ht="18.75" customHeight="1" x14ac:dyDescent="0.15">
      <c r="A124" s="38"/>
      <c r="B124" s="307"/>
      <c r="C124" s="308"/>
      <c r="D124" s="308"/>
      <c r="E124" s="308"/>
      <c r="F124" s="309"/>
    </row>
  </sheetData>
  <mergeCells count="5">
    <mergeCell ref="E1:F1"/>
    <mergeCell ref="A2:F2"/>
    <mergeCell ref="B5:F42"/>
    <mergeCell ref="B44:F83"/>
    <mergeCell ref="B85:F124"/>
  </mergeCells>
  <phoneticPr fontId="1"/>
  <printOptions horizontalCentered="1"/>
  <pageMargins left="0.78740157480314965" right="0.78740157480314965" top="0.78740157480314965" bottom="0.78740157480314965" header="0.31496062992125984" footer="0.31496062992125984"/>
  <pageSetup paperSize="9" orientation="portrait" r:id="rId1"/>
  <rowBreaks count="2" manualBreakCount="2">
    <brk id="42" max="5" man="1"/>
    <brk id="83" max="5"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6</vt:i4>
      </vt:variant>
      <vt:variant>
        <vt:lpstr>名前付き一覧</vt:lpstr>
      </vt:variant>
      <vt:variant>
        <vt:i4>6</vt:i4>
      </vt:variant>
    </vt:vector>
  </HeadingPairs>
  <TitlesOfParts>
    <vt:vector size="12" baseType="lpstr">
      <vt:lpstr>様式１　大学等概要</vt:lpstr>
      <vt:lpstr>様式２　プログラムを構成する授業科目</vt:lpstr>
      <vt:lpstr>様式３　履修者等数の実績</vt:lpstr>
      <vt:lpstr>様式４　教育の質・履修者数を向上させるための体制・計画</vt:lpstr>
      <vt:lpstr>様式５　自己点検・評価</vt:lpstr>
      <vt:lpstr>様式６　特色ある取組</vt:lpstr>
      <vt:lpstr>'様式１　大学等概要'!Print_Area</vt:lpstr>
      <vt:lpstr>'様式２　プログラムを構成する授業科目'!Print_Area</vt:lpstr>
      <vt:lpstr>'様式３　履修者等数の実績'!Print_Area</vt:lpstr>
      <vt:lpstr>'様式４　教育の質・履修者数を向上させるための体制・計画'!Print_Area</vt:lpstr>
      <vt:lpstr>'様式５　自己点検・評価'!Print_Area</vt:lpstr>
      <vt:lpstr>'様式６　特色ある取組'!Print_Area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ﾔｼﾞﾏ ｶﾂﾔ</cp:lastModifiedBy>
  <cp:lastPrinted>2022-05-10T03:01:37Z</cp:lastPrinted>
  <dcterms:created xsi:type="dcterms:W3CDTF">2011-06-14T05:32:50Z</dcterms:created>
  <dcterms:modified xsi:type="dcterms:W3CDTF">2022-05-24T04:35:15Z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