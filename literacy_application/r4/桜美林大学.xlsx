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sys01\公開-新宿キャンパス\学長室寺澤さん\"/>
    </mc:Choice>
  </mc:AlternateContent>
  <bookViews>
    <workbookView xWindow="0" yWindow="0" windowWidth="28800" windowHeight="12370" tabRatio="885"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c r="C30" i="40"/>
  <c r="Q29" i="40"/>
  <c r="R29" i="40"/>
  <c r="Q28" i="40"/>
  <c r="R28" i="40"/>
  <c r="Q27" i="40"/>
  <c r="R27" i="40"/>
  <c r="R26" i="40"/>
  <c r="Q26" i="40"/>
  <c r="Q25" i="40"/>
  <c r="R25" i="40"/>
  <c r="R24" i="40"/>
  <c r="Q24" i="40"/>
  <c r="Q23" i="40"/>
  <c r="R23" i="40"/>
  <c r="R22" i="40"/>
  <c r="Q22" i="40"/>
  <c r="Q21" i="40"/>
  <c r="R21" i="40"/>
  <c r="R20" i="40"/>
  <c r="Q20" i="40"/>
  <c r="Q19" i="40"/>
  <c r="R19" i="40"/>
  <c r="R18" i="40"/>
  <c r="Q18" i="40"/>
  <c r="Q17" i="40"/>
  <c r="R17" i="40"/>
  <c r="R16" i="40"/>
  <c r="Q16" i="40"/>
  <c r="Q15" i="40"/>
  <c r="R15" i="40"/>
  <c r="Q14" i="40"/>
  <c r="R14" i="40"/>
  <c r="Q13" i="40"/>
  <c r="R13" i="40"/>
  <c r="Q12" i="40"/>
  <c r="R12" i="40"/>
  <c r="Q11" i="40"/>
  <c r="R11" i="40"/>
  <c r="Q10" i="40"/>
  <c r="Q30" i="40"/>
  <c r="R30" i="40"/>
  <c r="C28" i="41"/>
  <c r="R10" i="40"/>
</calcChain>
</file>

<file path=xl/sharedStrings.xml><?xml version="1.0" encoding="utf-8"?>
<sst xmlns="http://schemas.openxmlformats.org/spreadsheetml/2006/main" count="372" uniqueCount="230">
  <si>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</si>
  <si>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</si>
  <si>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</si>
  <si>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</si>
  <si>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</si>
  <si>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</si>
  <si>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</si>
  <si>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</si>
  <si>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</si>
  <si>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</si>
  <si>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</si>
  <si>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</si>
  <si>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</si>
  <si>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</si>
  <si>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</si>
  <si>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</si>
  <si>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</si>
  <si>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</si>
  <si>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</si>
  <si>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</si>
  <si>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</si>
  <si>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</si>
  <si>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</si>
  <si>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</si>
  <si>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</si>
  <si>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</si>
  <si>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</si>
  <si>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</si>
  <si>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</si>
  <si>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</si>
  <si>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</si>
  <si>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</si>
  <si>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</si>
  <si>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</si>
  <si>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</si>
  <si>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</si>
  <si>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</si>
  <si>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</si>
  <si>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</si>
  <si>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</si>
  <si>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</si>
  <si>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</si>
  <si>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</si>
  <si>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</si>
  <si>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</si>
  <si>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</si>
  <si>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</si>
  <si>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</si>
  <si>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</si>
  <si>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</si>
  <si>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</si>
  <si>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</si>
  <si>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</si>
  <si>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</si>
  <si>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</si>
  <si>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</si>
  <si>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</si>
  <si>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</si>
  <si>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</si>
  <si>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</si>
  <si>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</si>
  <si>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</si>
  <si>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</si>
  <si>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</si>
  <si>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</si>
  <si>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</si>
  <si>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</si>
  <si>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</si>
  <si>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</si>
  <si>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</si>
  <si>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</si>
  <si>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</si>
  <si>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</si>
  <si>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</si>
  <si>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</si>
  <si>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</si>
  <si>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</si>
  <si>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</si>
  <si>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</si>
  <si>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</si>
  <si>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</si>
  <si>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</si>
  <si>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</si>
  <si>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</si>
  <si>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</si>
  <si>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</si>
  <si>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</si>
  <si>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</si>
  <si>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</si>
  <si>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</si>
  <si>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</si>
  <si>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</si>
  <si>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</si>
  <si>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</si>
  <si>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</si>
  <si>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</si>
  <si>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</si>
  <si>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</si>
  <si>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</si>
  <si>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</si>
  <si>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</si>
  <si>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</si>
  <si>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</si>
  <si>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</si>
  <si>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</si>
  <si>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</si>
  <si>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</si>
  <si>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</si>
  <si>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</si>
  <si>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</si>
  <si>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</si>
  <si>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</si>
  <si>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</si>
  <si>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</si>
  <si>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</si>
  <si>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</si>
  <si>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</si>
  <si>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</si>
  <si>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</si>
  <si>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</si>
  <si>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</si>
  <si>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</si>
  <si>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</si>
  <si>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</si>
  <si>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</si>
  <si>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</si>
  <si>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</si>
  <si>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</si>
  <si>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</si>
  <si>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</si>
  <si>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</si>
  <si>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</si>
  <si>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</si>
  <si>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</si>
  <si>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</si>
  <si>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</si>
  <si>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</si>
  <si>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</si>
  <si>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</si>
  <si>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</si>
  <si>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</si>
  <si>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</si>
  <si>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</si>
  <si>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</si>
  <si>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</si>
  <si>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</si>
  <si>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</si>
  <si>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</si>
  <si>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</si>
  <si>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桜美林大学</t>
    <phoneticPr fontId="1"/>
  </si>
  <si>
    <t>学校法人桜美林学園</t>
    <phoneticPr fontId="1"/>
  </si>
  <si>
    <t>私立大学</t>
  </si>
  <si>
    <t>東京都町田市常盤町3758</t>
    <phoneticPr fontId="1"/>
  </si>
  <si>
    <t>無</t>
  </si>
  <si>
    <t>山口　有次</t>
    <phoneticPr fontId="1"/>
  </si>
  <si>
    <t>学長補佐・ビジネスマネジメント学群長</t>
    <phoneticPr fontId="1"/>
  </si>
  <si>
    <t>桜美林大学データサイエンス教育推進委員会</t>
    <phoneticPr fontId="1"/>
  </si>
  <si>
    <t>坂田 淳一</t>
    <phoneticPr fontId="1"/>
  </si>
  <si>
    <t>教授</t>
    <phoneticPr fontId="1"/>
  </si>
  <si>
    <t>桜美林大学データサイエンス教育推進委員会　自己点検・評価部会</t>
    <phoneticPr fontId="1"/>
  </si>
  <si>
    <t>宮脇　亮介</t>
    <phoneticPr fontId="1"/>
  </si>
  <si>
    <t>教授</t>
    <phoneticPr fontId="1"/>
  </si>
  <si>
    <t>認定教育プログラム</t>
  </si>
  <si>
    <t>学務部新宿キャンパス事務室</t>
    <phoneticPr fontId="1"/>
  </si>
  <si>
    <t>神田　延男</t>
    <phoneticPr fontId="1"/>
  </si>
  <si>
    <t>03-3366-0200</t>
    <phoneticPr fontId="1"/>
  </si>
  <si>
    <t>sjk_info@obirin.ac.jp</t>
    <phoneticPr fontId="1"/>
  </si>
  <si>
    <t>学部・学科によって、修了要件は相違しない</t>
  </si>
  <si>
    <t>情報通信技術と社会</t>
    <phoneticPr fontId="1"/>
  </si>
  <si>
    <t>コンピュータビジネス概論</t>
    <phoneticPr fontId="1"/>
  </si>
  <si>
    <t>経営情報システム論</t>
    <phoneticPr fontId="1"/>
  </si>
  <si>
    <t>データサイエンス入門</t>
    <phoneticPr fontId="1"/>
  </si>
  <si>
    <t>全学開講</t>
  </si>
  <si>
    <t>○</t>
  </si>
  <si>
    <t>○</t>
    <phoneticPr fontId="1"/>
  </si>
  <si>
    <t>情報通信技術と社会</t>
    <phoneticPr fontId="1"/>
  </si>
  <si>
    <t>経営情報システム論</t>
    <phoneticPr fontId="1"/>
  </si>
  <si>
    <t>データサイエンス入門</t>
    <phoneticPr fontId="1"/>
  </si>
  <si>
    <t>コンピュータビジネス概論</t>
    <phoneticPr fontId="1"/>
  </si>
  <si>
    <t>経営情報リテラシー</t>
    <phoneticPr fontId="1"/>
  </si>
  <si>
    <t>データサイエンス入門</t>
    <phoneticPr fontId="1"/>
  </si>
  <si>
    <t>○</t>
    <phoneticPr fontId="1"/>
  </si>
  <si>
    <t>情報通信技術と社会</t>
    <phoneticPr fontId="1"/>
  </si>
  <si>
    <t>情報科学基礎論Ⅱ（テクノロジー）</t>
    <phoneticPr fontId="1"/>
  </si>
  <si>
    <t>企業経営と情報</t>
    <phoneticPr fontId="1"/>
  </si>
  <si>
    <t>情報通信技術と社会</t>
    <phoneticPr fontId="1"/>
  </si>
  <si>
    <t>ビジネス表計算演習</t>
    <phoneticPr fontId="1"/>
  </si>
  <si>
    <t>○</t>
    <phoneticPr fontId="1"/>
  </si>
  <si>
    <t>○</t>
    <phoneticPr fontId="1"/>
  </si>
  <si>
    <t>統計学入門</t>
    <phoneticPr fontId="1"/>
  </si>
  <si>
    <t>4-1統計および数理基礎</t>
  </si>
  <si>
    <t xml:space="preserve">・IT技術の進展がもたらしたビジネス形態の変化、社会の変化、第4次産業革命、Society 5.0「情報通信技術と社会」（1回目）
・データ駆動社会「情報通信技術と社会」（7回目）
・講義概要の説明，コンピュータの進歩とビジネスへの影響、「コンピュータビジネス概論」（1回目）
・Society 5.0「コンピュータビジネス概論」（12回目）
・データ駆動型社会における企業経営「経営情報システム論」（1回目）
・データサイエンスとは「データサイエンス入門」（1回目）
・IoTとビッグデータ「データサイエンス入門」（5回目）
</t>
    <phoneticPr fontId="1"/>
  </si>
  <si>
    <t xml:space="preserve">・5G「情報通信技術と社会」（2回目）
・IoTとビジネスモデル「情報通信技術と社会」（3回目、4回目）
・AI「情報通信技術と社会」（5回目）
・AIを用いたビジネス「情報通信技術と社会」（6回目）
・デジタルマーケティング「情報通信技術と社会」（7回目）
・ビッグデータ、アルゴリズム「コンピュータビジネス概論」（11回目）
・AIビジネス「コンピュータビジネス概論」（12回目）
・情報技術（IT）の進展と新たなネットワークシステム「経営情報システム論」（4回目）
・オフィスの情報システムとAIの活用「経営情報システム論」（12回目）
・経済活動とデータ利活用「データサイエンス入門」（2回目）
・機械学習による分析とデータサイエンス（1)：事例ベース分類，決定木の利活用「データサイエンス入門」（11回目）
・機械学習による分析とデータサイエンス（2)：深層学習の利活用「データサイエンス入門」（12回目）
</t>
    <phoneticPr fontId="1"/>
  </si>
  <si>
    <t>・デジタルマーケティング「情報通信技術と社会」（7回目）
・デジタル広告産業「情報通信技術と社会」（8回目）
・ビッグデータとアルゴリズム「コンピュータビジネス概論」（11回目）
・データ駆動型社会における企業経営「経営情報システム論」（1回目）
・オープンデータ「データサイエンス入門」（3回目）
・ビッグデータ「データサイエンス入門」（4回目、5回目）</t>
    <phoneticPr fontId="1"/>
  </si>
  <si>
    <t>・デジタルマーケティング「情報通信技術と社会」（7回目）
・デジタル広告産業「情報通信技術と社会」（8回目）
・デジタル技術の進展と企業革新（デジタルトランスファー）「情報通信技術と社会」（12回目、13回目）、
・Apple（2回目）、Microsoft（3回目）、Yahoo!（4回目）、Google（5回目）、Amazon（6回目）、Facebook（7回目）、Dropbox（8回目）、ITベンチャーのビジネス（10回目）「コンピュータビジネス概論」
・ビッグデータとアルゴリズム「コンピュータビジネス概論」（11回目）
・企業活動と情報システム「経営情報システム論」（2回目）
・経済活動とデータ利活用「データサイエンス入門」（2回目）
・行政とオープンデータ「データサイエンス入門」（3回目）
・医療とデータ利活用「データサイエンス入門」（4回目）</t>
    <phoneticPr fontId="1"/>
  </si>
  <si>
    <t>・IT技術の進展がもたらしたビジネス形態の変化、社会の変化「情報通信技術と社会」（1回目）
・5G（2回目）、IoTとビジネスモデル（3回目、4回目）、AIビジネス（6回目）、キャッシュレスとフィンテック（9回目、10回目）、音楽のデジタル化と音楽産業（11回目）「情報通信技術と社会」
・Apple（2回目）、Microsoft（3回目）、Yahoo!（4回目）、Google（5回目）、Amazon（6回目）、Facebook（7回目）、Dropbox（8回目）、ITベンチャーのビジネス（10回目）「コンピュータビジネス概論」
・情報に関わるサービスを提供するためのハードウェア、ソフトウェアなどについて解説「経営情報リテラシー」（3回目）
・情報に関わるサービスを提供する際のソフトウェアの動作解説「経営情報リテラシー」（4回目）
・ソフトウェアを含んだ情報システムの開発「経営情報リテラシー」（5回目）
・情報技術の基盤（ハードウェア・ソフトウェア），データサイエンス「経営情報システム論」（3回目）
・IoT（センサデバイス）とビッグデータ「データサイエンス入門」（5回目）
・クラウドコンピューティング：データ収集と分析基盤「データサイエンス入門」（7回目）</t>
    <phoneticPr fontId="1"/>
  </si>
  <si>
    <t xml:space="preserve">・IT技術の進展がもたらしたビジネス形態の変化、社会の変化「情報通信技術と社会」（1回目）
・5G（2回目）、IoTとビジネスモデル（3回目、4回目）、AIビジネス（6回目）、キャッシュレスとフィンテック（9回目、10回目）、音楽のデジタル化と音楽産業（11回目）「情報通信技術と社会」
・Apple（2回目）、Microsoft（3回目）、Yahoo!（4回目）、Google（5回目）、Amazon（6回目）、Facebook（7回目）、Dropbox（8回目）、ITベンチャーのビジネス（10回目）「コンピュータビジネス概論」
・ソフトウェアをもとにして提供される情報に関わるサービス概論「経営情報リテラシー」（1回目）
・POSシステム「経営情報リテラシー」（11回目）
・飲食店などで利用されている情報システム「経営情報リテラシー」（12回目）
・SCM(サプライチェーンマネジメント）「経営情報システム論」（6回目）
・オフィスの情報システムとAIの活用「経営情報システム論」（12回目）
・行政とオープンデータ「データサイエンス入門」（3回目）
・医療とデータ利活用「データサイエンス入門」（4回目）
</t>
    <phoneticPr fontId="1"/>
  </si>
  <si>
    <t>・ELSI、個人情報、データ倫理、ＡＩ社会原則「情報通信技術と社会」（14回目）
・セキュリティ新分野（個人情報保護，データ倫理）「情報科学基礎論II （テクノロジー）」（12回目）
・情報セキュリティ・情報倫理「経営情報システム論」（14回目）
・営業秘密と個人情報保護「企業経営と情報」（3回目）</t>
    <phoneticPr fontId="1"/>
  </si>
  <si>
    <t>・ELSI、個人情報、データ倫理、ＡＩ社会原則「情報通信技術と社会」（14回目）
・セキュリティ新分野（個人情報保護，データ倫理）「情報科学基礎論II （テクノロジー）」（12回目）
・情報セキュリティ・情報倫理「経営情報システム論」（14回目）
・営業秘密と個人情報保護「企業経営と情報」（3回目）</t>
    <phoneticPr fontId="1"/>
  </si>
  <si>
    <t xml:space="preserve">・データを読む・分析する「情報通信技術と社会」（7回目）
・分析データの情報整理（3回目）、・データ分析と報告資料のまとめ（10回目、11回目）「ビジネス表計算演習」
・代表値、データのバラツキ（2回目）、ヒストグラム・散布図によるデータの可視化（10回目）、クロス集計（14回目）「コンピュータリテラシーⅡ」
</t>
    <phoneticPr fontId="1"/>
  </si>
  <si>
    <t>・優れた可視化事例を学ぶ「情報通信技術と社会」（7回目）
・分析レポート課題の解説（8回目）、分析結果のプレゼンテーション（12回目、13回目）「ビジネス表計算演習」
・データの比較（5回目）、グラフの利用とデータ表現（10回目）「コンピュータリテラシーⅡ」</t>
    <phoneticPr fontId="1"/>
  </si>
  <si>
    <t xml:space="preserve">・データの集計（和、平均）「情報通信技術と社会」（7回目）
・単純集計・グラフ作成（4回目）、クロス集計・帳票作成（5回目）、属性の違いによる結果比較（6回目）、回帰分析（7回目）、統計ソフトの活用（8回目）、データ分析（10回目、11回目）「ビジネス表計算演習」
・データの集計（2回目）、データの順位付け（3回目）、表形式データ（8回目）、データの抽出と並び替え（12回目）「コンピュータリテラシーⅡ」
</t>
    <phoneticPr fontId="1"/>
  </si>
  <si>
    <t>デジタル化の急速な進展や情報処理技術の飛躍的な向上により、世界中のあらゆるビジネス分野におけるデジタル革命が急速に進んでいる。本プログラムでは、AIやデータが実社会でどのように活用されているかを理解でき、また、数理・データサイエンスのリテラシーである「データを正しく読む力」や「データを正確に伝える力」を身に付けることができる。特にビジネス社会の中で、AIやデータがどのように活用されているのか、今後どのような活用が見込まれているのか、を理解することで、それらを実ビジネス社会で活用する基礎的な能力が養われる。</t>
    <phoneticPr fontId="1"/>
  </si>
  <si>
    <t>リベラルアーツ学群</t>
    <phoneticPr fontId="1"/>
  </si>
  <si>
    <t>グローバル・コミュニケーション学群</t>
    <phoneticPr fontId="1"/>
  </si>
  <si>
    <t>ビジネスマネジメント学群</t>
    <phoneticPr fontId="1"/>
  </si>
  <si>
    <t>健康福祉学群</t>
    <phoneticPr fontId="1"/>
  </si>
  <si>
    <t>芸術文化学群</t>
    <phoneticPr fontId="1"/>
  </si>
  <si>
    <t>航空・マネジメント学群</t>
    <phoneticPr fontId="1"/>
  </si>
  <si>
    <t>桜美林大学データサイエンス教育推進委員会規程</t>
    <phoneticPr fontId="1"/>
  </si>
  <si>
    <t>https://www.obirin.ac.jp/about/datascience/r11i8i0000098zss-att/20220519_jikotenken_hyoka_opinion.pdf</t>
    <phoneticPr fontId="1"/>
  </si>
  <si>
    <t>https://www.obirin.ac.jp/about/datascience/</t>
    <phoneticPr fontId="1"/>
  </si>
  <si>
    <t>委員長　ビジネスマネジメント学群　教授　坂田　淳一
委員　　 学長補佐・ビジネスマネジメント学群長　山口　有次
委員　　 リベラルアーツ学群　教授　宮脇　亮介
委員　　 リベラルアーツ学群　准教授　耒代　誠仁
委員　　 ビジネスマネジメント学群　講師　　川﨑　昌
委員　　 学務部新宿キャンパス事務室　係長　神田　延男</t>
    <phoneticPr fontId="1"/>
  </si>
  <si>
    <t>　学生の数理・データサイエンス・ＡＩへの関心を高め、かつ、数理・データサイエンス・ＡＩを適切に理解し、それを活用する基礎的な能力を育成すること、並びに、数理・データサイエンス・ＡＩに関する知識及び技術について体系的な教育を推進することを目的とする。</t>
    <phoneticPr fontId="1"/>
  </si>
  <si>
    <t>　本プログラムの目標達成に向けた学生のプログラム履修促進のため、令和3年度より、桜美林大学データサイエンス教育推進委員会にて、科目履修者からの授業時間内外の質問を受け付けている。また、数理・データサイエンス・AIを理解する必要性の認識を広げるため、学生に周知している。
　令和4年度以降は、対象科目をオンライン化することで、科目の開講キャンパスとは異なるキャンパスを拠点とする学群の学生や、昨今の新型コロナウイルス感染症の影響等により通学が困難な状況にある学生による履修の促進を図る。加えて、全学学生への周知・広報を展開する。
　令和6年度からは、対象科目をビジネスマネジメント学群の教育課程改革に合わせて、必修科目にも拡大する。併せて、データサイエンスプログラムの修了認定者を表彰する機会を設けることで、学内外における本プログラムの認知度の向上を図る。これらの取組を行うことで、データサイエンスに興味を持つ在学生はもちろん、本学への入学を検討する受験生や高校教員等にも広報展開を図り、本プログラムへの共感を生み出す。
 　令和7年度には、ビジネスマネジメント学群以外の学群で検討中の教育課程おいて、数理・データサイエンス・AI関連の必修科目や専攻科目にも対象を拡大し、全学群において最低一科目は本プログラムの対象科目を設けることとし、情報系専攻を有さない学群も含めた、全学的な履修率の向上を図る。</t>
    <rPh sb="1" eb="2">
      <t>ホン</t>
    </rPh>
    <rPh sb="16" eb="18">
      <t>ガクセイ</t>
    </rPh>
    <rPh sb="92" eb="94">
      <t>スウリ</t>
    </rPh>
    <rPh sb="142" eb="144">
      <t>イコウ</t>
    </rPh>
    <rPh sb="196" eb="198">
      <t>サッコン</t>
    </rPh>
    <rPh sb="199" eb="201">
      <t>シンガタ</t>
    </rPh>
    <rPh sb="208" eb="211">
      <t>カンセンショウ</t>
    </rPh>
    <rPh sb="212" eb="215">
      <t>エイキョウトウ</t>
    </rPh>
    <rPh sb="218" eb="220">
      <t>ツウガク</t>
    </rPh>
    <rPh sb="237" eb="239">
      <t>ソクシン</t>
    </rPh>
    <rPh sb="240" eb="241">
      <t>ハカ</t>
    </rPh>
    <rPh sb="243" eb="244">
      <t>クワ</t>
    </rPh>
    <rPh sb="294" eb="296">
      <t>キョウイク</t>
    </rPh>
    <rPh sb="296" eb="298">
      <t>カテイ</t>
    </rPh>
    <rPh sb="312" eb="314">
      <t>カクダイ</t>
    </rPh>
    <rPh sb="317" eb="318">
      <t>アワ</t>
    </rPh>
    <rPh sb="362" eb="363">
      <t>ホン</t>
    </rPh>
    <rPh sb="369" eb="372">
      <t>ニンチド</t>
    </rPh>
    <rPh sb="373" eb="375">
      <t>コウジョウ</t>
    </rPh>
    <rPh sb="376" eb="377">
      <t>ハカ</t>
    </rPh>
    <rPh sb="383" eb="385">
      <t>トリクミ</t>
    </rPh>
    <rPh sb="386" eb="387">
      <t>オコナ</t>
    </rPh>
    <rPh sb="437" eb="441">
      <t>コウホウテンカイ</t>
    </rPh>
    <rPh sb="442" eb="443">
      <t>ハカ</t>
    </rPh>
    <rPh sb="445" eb="446">
      <t>ホン</t>
    </rPh>
    <rPh sb="453" eb="455">
      <t>キョウカン</t>
    </rPh>
    <rPh sb="456" eb="457">
      <t>ウ</t>
    </rPh>
    <rPh sb="458" eb="459">
      <t>ダ</t>
    </rPh>
    <rPh sb="491" eb="494">
      <t>ケントウチュウ</t>
    </rPh>
    <rPh sb="495" eb="499">
      <t>キョウイクカテイ</t>
    </rPh>
    <rPh sb="503" eb="505">
      <t>スウリ</t>
    </rPh>
    <rPh sb="517" eb="519">
      <t>カンレン</t>
    </rPh>
    <rPh sb="534" eb="536">
      <t>カクダイ</t>
    </rPh>
    <rPh sb="551" eb="552">
      <t>ホン</t>
    </rPh>
    <rPh sb="577" eb="578">
      <t>ユウ</t>
    </rPh>
    <phoneticPr fontId="1"/>
  </si>
  <si>
    <t xml:space="preserve">　本プログラムの対象科目は、全学群の学生が履修可能であり、卒業単位に含むことができる。 
　令和4年度より、対象授業の実施形式を「オンライン」とすることで、異なるキャンパスを拠点とする他の全ての学群の学生が履修しやすい体制とする。履修定員についても、実際のキャンパスの教室席数による制限を受けることがなくなるため、Zoomアカウントの上限300人までの履修が可能を可能年、対象科目が所属する、ビジネスマネジメント学群の学生のみならず、他学群の学生の希望者も全員が履修できるようになる。 
　また、「データサイエンスへのいざない」という、オンライン上での本プログラムの扉となるページを作成し、学内向けポータルサイトである「OBIRIN Gate」の各学群のページに掲示すると共に、専用のZoom相談窓口のリンクを貼ることで、学生が自身の通学するキャンパスに関わらず、オンラインで相談することができる体制を構築する。 
　令和2年度から導入している、Zoomを活用したオンライン授業は、全学で共通の形式となっており、学群を問わず円滑な学修を展開することができるものとなっている。
</t>
    <rPh sb="1" eb="2">
      <t>ホン</t>
    </rPh>
    <rPh sb="78" eb="79">
      <t>コト</t>
    </rPh>
    <rPh sb="87" eb="89">
      <t>キョテン</t>
    </rPh>
    <rPh sb="92" eb="93">
      <t>タ</t>
    </rPh>
    <rPh sb="94" eb="95">
      <t>スベ</t>
    </rPh>
    <rPh sb="109" eb="111">
      <t>タイセイ</t>
    </rPh>
    <rPh sb="172" eb="173">
      <t>ニン</t>
    </rPh>
    <rPh sb="182" eb="185">
      <t>カノウトシ</t>
    </rPh>
    <rPh sb="209" eb="211">
      <t>ガクセイ</t>
    </rPh>
    <rPh sb="221" eb="223">
      <t>ガクセイ</t>
    </rPh>
    <rPh sb="274" eb="275">
      <t>ジョウ</t>
    </rPh>
    <rPh sb="277" eb="278">
      <t>ホン</t>
    </rPh>
    <rPh sb="284" eb="285">
      <t>トビラ</t>
    </rPh>
    <rPh sb="296" eb="299">
      <t>ガクナイム</t>
    </rPh>
    <rPh sb="362" eb="364">
      <t>ガクセイ</t>
    </rPh>
    <rPh sb="365" eb="367">
      <t>ジシン</t>
    </rPh>
    <rPh sb="411" eb="413">
      <t>レイワ</t>
    </rPh>
    <rPh sb="414" eb="415">
      <t>ネン</t>
    </rPh>
    <rPh sb="415" eb="416">
      <t>ド</t>
    </rPh>
    <rPh sb="418" eb="420">
      <t>ドウニュウ</t>
    </rPh>
    <rPh sb="430" eb="432">
      <t>カツヨウ</t>
    </rPh>
    <rPh sb="439" eb="441">
      <t>ジュギョウ</t>
    </rPh>
    <rPh sb="443" eb="445">
      <t>ゼンガク</t>
    </rPh>
    <rPh sb="446" eb="448">
      <t>キョウツウ</t>
    </rPh>
    <rPh sb="449" eb="451">
      <t>ケイシキ</t>
    </rPh>
    <rPh sb="458" eb="460">
      <t>ガクグン</t>
    </rPh>
    <rPh sb="461" eb="462">
      <t>ト</t>
    </rPh>
    <rPh sb="464" eb="466">
      <t>エンカツ</t>
    </rPh>
    <rPh sb="467" eb="469">
      <t>ガクシュウ</t>
    </rPh>
    <rPh sb="470" eb="472">
      <t>テンカイ</t>
    </rPh>
    <phoneticPr fontId="1"/>
  </si>
  <si>
    <t>　学期当初のオリエンテーション期間中に実施するガイダンスや、各学群・キャンパスで運用しているSNS等で、本プログラムを周知するとともに、学生全員がアクセスする学内向けポータルサイトである「OBIRIN　Gate」のトップに、専用のページを常設し、「データサイエンスへのいざない」を掲示することで、プログラム履修の意義を説明する。
　また、「アドバイザー制度」を活用した、専任教員による学期毎の履修相談や、情報系教員の専攻演習等において、学生に本プログラム対象科目の履修を勧めてもらうよう、教授会等を通じて、情報系に限らず全ての教員に周知し、協力を依頼する。
　加えて、シラバス公開から履修登録までの、ポータルサイトへの学生のアクセスが急増する時期に合わせ、周知を強化する。具体的には、ポータルサイトに備わっている、スマートフォンでの一斉プッシュ通知機能を用い、本プログラムの説明と対象科目の一覧の掲示を、全ての学生に対して行うと共に、情報系専攻プログラムの履修登録者や、情報系教員の指導するゼミに所属する学生に対して、別途直接メールも送信することで、プログラムの履修を強く促す。</t>
    <rPh sb="1" eb="5">
      <t>ガッキトウショ</t>
    </rPh>
    <rPh sb="17" eb="18">
      <t>チュウ</t>
    </rPh>
    <rPh sb="19" eb="21">
      <t>ジッシ</t>
    </rPh>
    <rPh sb="52" eb="53">
      <t>ホン</t>
    </rPh>
    <rPh sb="68" eb="70">
      <t>ガクセイ</t>
    </rPh>
    <rPh sb="81" eb="82">
      <t>ム</t>
    </rPh>
    <rPh sb="153" eb="155">
      <t>リシュウ</t>
    </rPh>
    <rPh sb="186" eb="190">
      <t>センニンキョウイン</t>
    </rPh>
    <rPh sb="195" eb="196">
      <t>マイ</t>
    </rPh>
    <rPh sb="209" eb="213">
      <t>センコウエンシュウ</t>
    </rPh>
    <rPh sb="254" eb="257">
      <t>ジョウホウケイ</t>
    </rPh>
    <rPh sb="258" eb="259">
      <t>カギ</t>
    </rPh>
    <rPh sb="261" eb="262">
      <t>スベ</t>
    </rPh>
    <rPh sb="267" eb="269">
      <t>シュウチ</t>
    </rPh>
    <rPh sb="271" eb="273">
      <t>キョウリョク</t>
    </rPh>
    <rPh sb="274" eb="276">
      <t>イライ</t>
    </rPh>
    <rPh sb="282" eb="283">
      <t>クワ</t>
    </rPh>
    <rPh sb="352" eb="353">
      <t>ソナ</t>
    </rPh>
    <rPh sb="379" eb="380">
      <t>モチ</t>
    </rPh>
    <rPh sb="430" eb="432">
      <t>リシュウ</t>
    </rPh>
    <rPh sb="439" eb="440">
      <t>ケイ</t>
    </rPh>
    <rPh sb="440" eb="442">
      <t>キョウイン</t>
    </rPh>
    <rPh sb="443" eb="445">
      <t>シドウ</t>
    </rPh>
    <rPh sb="461" eb="463">
      <t>ベット</t>
    </rPh>
    <rPh sb="483" eb="485">
      <t>リシュウ</t>
    </rPh>
    <phoneticPr fontId="1"/>
  </si>
  <si>
    <t>　自分のパソコンを持っていない学生や、授業で使用できるようにするために、特殊なソフトのインストールが必要な学生には、対応したパソコンを各キャンパスのPC教室に備えるこれにより、授業時間外でも学生が自学自習にパソコンを活用でき、学習効果を高めることができる。
　また、「デジタルと専門分野の掛け合わせによる産業DXをけん引する高度専門人材育成事業」の採択を受け、情報処理・統計ソフトをインストールした、高性能なパソコンも複数台導入した。このことにより、より高度な内容について学びたい、という意欲を有する学生のさらなるスキルアップに資するものとなっている。
　さらに、プログラム対象科目の履修者の出欠状況について、データサイエンス教育推進委員会で共有をしてモニタリングし、出席状況の芳しくない学生には、e-Learning プラットフォームのMoodleやe-Campusにて、欠席回の資料や課題を確認することや、授業時間外のサポートも併用して授業内容の理解度向上のための支援体制も整える。</t>
    <rPh sb="1" eb="3">
      <t>ジブン</t>
    </rPh>
    <rPh sb="9" eb="10">
      <t>モ</t>
    </rPh>
    <rPh sb="22" eb="24">
      <t>シヨウ</t>
    </rPh>
    <rPh sb="53" eb="55">
      <t>ガクセイ</t>
    </rPh>
    <rPh sb="79" eb="80">
      <t>ソナ</t>
    </rPh>
    <rPh sb="95" eb="97">
      <t>ガクセイ</t>
    </rPh>
    <rPh sb="98" eb="102">
      <t>ジガクジシュウ</t>
    </rPh>
    <rPh sb="108" eb="110">
      <t>カツヨウ</t>
    </rPh>
    <rPh sb="113" eb="117">
      <t>ガクシュウコウカ</t>
    </rPh>
    <rPh sb="118" eb="119">
      <t>タカ</t>
    </rPh>
    <rPh sb="178" eb="179">
      <t>ウ</t>
    </rPh>
    <rPh sb="201" eb="204">
      <t>コウセイノウ</t>
    </rPh>
    <rPh sb="210" eb="213">
      <t>フクスウダイ</t>
    </rPh>
    <rPh sb="213" eb="215">
      <t>ドウニュウ</t>
    </rPh>
    <rPh sb="228" eb="230">
      <t>コウド</t>
    </rPh>
    <rPh sb="231" eb="233">
      <t>ナイヨウ</t>
    </rPh>
    <rPh sb="237" eb="238">
      <t>マナ</t>
    </rPh>
    <rPh sb="245" eb="247">
      <t>イヨク</t>
    </rPh>
    <rPh sb="248" eb="249">
      <t>ユウ</t>
    </rPh>
    <rPh sb="265" eb="266">
      <t>シ</t>
    </rPh>
    <rPh sb="315" eb="317">
      <t>キョウイク</t>
    </rPh>
    <rPh sb="407" eb="409">
      <t>ジュギョウ</t>
    </rPh>
    <rPh sb="430" eb="432">
      <t>コウジョウ</t>
    </rPh>
    <rPh sb="436" eb="438">
      <t>シエン</t>
    </rPh>
    <phoneticPr fontId="1"/>
  </si>
  <si>
    <t>　授業時間内においては、特に演習形式の授業等、教員がZoomのチャット機能等を活用して、随時質問に対応し、ソフトの操作方法等に理解の追いついていない履修者へのサポートをする。
　授業時間外においては、桜美林大学データサイエンス教育推進委員会の共有連絡先を常設の専用窓口として、メールや、対応時間を明示してZoomでの学修サポートも行う。具体的には、本委員会構成員（専任教員）のオフィスアワーを活用し、サポートができる体制とする。また、 e-learningシステムであるMoodleを活用し、各回の資料や課題をアーカイブとして振り返ることができるようにすると共に、Moodleのフォーラム機能にて、質問と回答をオンラインで履修者の間で共有できる仕組みも構築する。</t>
    <rPh sb="3" eb="5">
      <t>ジカン</t>
    </rPh>
    <rPh sb="21" eb="22">
      <t>トウ</t>
    </rPh>
    <rPh sb="59" eb="61">
      <t>ホウホウ</t>
    </rPh>
    <rPh sb="61" eb="62">
      <t>トウ</t>
    </rPh>
    <rPh sb="175" eb="176">
      <t>ホン</t>
    </rPh>
    <rPh sb="183" eb="187">
      <t>センニンキョウイン</t>
    </rPh>
    <rPh sb="197" eb="199">
      <t>カツヨウ</t>
    </rPh>
    <phoneticPr fontId="1"/>
  </si>
  <si>
    <t>　本学では、本プログラムに含まれる科目か否かに関わらず、企業等と連携して実施するプロジェクトについては、連携先の企業等関係者に対して学生が成果報告を行うこととしている。これらの成果報告において、企業等の関係者から、「データ分析手法」「分析結果の可視化」「わかりやすいプレゼンテーションの作成」といった点が高く評価されていることに加え、様々なコンペティションで学生が入賞を果たしていることを鑑みると、統計、データ分析といった点において、高い学修成果が上がっているものと判断する。</t>
    <phoneticPr fontId="1"/>
  </si>
  <si>
    <t>　本プログラムを構成する全ての科目における、令和3年度春学期の学生に対する授業アンケートのうち、内容の理解度に関わると考えられる項目の回答結果は、以下のとおりである。
（各項目の小数点第2位で四捨五入しているため、合計値が100%にならない場合もある）
・「あなたは、授業の到達目標、評価基準、授業の内容などシラバスの内容を理解していますか」
　非常に理解している：36.1%、かなり理解している：41.2%、どちらかといえば理解している：21.8%、あまり理解していない：0.9%
・「あなたにとって教員の板書、パワーポイント等の教材はわかりやすかったですか」
　非常にわかりやすかった：59.7%、かなりわかりやすかった：22.7%、どちらかといえばわかりやすかった：16.0%、どちらかといえばわかりにくかった：1.7%
・「あなたはどの程度、この科目で示された到達目標が達成できましたか」
ほぼ100%：12.7%、80%程度：44.9%、60%程度：38.1%、40%程度：3.4%、20%程度：0.9%
・「あなたはこの授業で得た知識・情報やスキルなどに満足できましたか」
非常に満足できた：40.5%、かなり満足できた：42.2%、どちらかといえば満足できた：16.4%、かなり不満である：0.9%
　この結果からわかるように、プログラムを構成するいずれの科目においても、学生から好意的な評価を受けていることを考えると、プログラム全体としての質の担保が行われていると判断する。</t>
    <phoneticPr fontId="1"/>
  </si>
  <si>
    <t>　履修者数・履修率の向上に向けた計画に掲げたとおり、令和4年度より、本プログラムの対象科目をオンライン化することで、科目の開講キャンパスとは異なるキャンパスを拠点とする学群の学生や、新型コロナウイルス感染症の影響等により登校が困難な状況にある学生による図る等の取組を着実に進めていると判断する。
　引き続き、広報活動等を推し進め、令和4年度秋学期開講科目のおいても、履修者数の向上に努めることが望まれる。</t>
    <phoneticPr fontId="1"/>
  </si>
  <si>
    <t>　本教育プログラム修了者は卒業していないため、進路・活躍状況、企業などの評価を現時点で得ることはできない。しかし、桜美林大学では修了認定者の名簿を適切に管理する体制を整備している。これにより、数年後に修了者の就職先や企業での活躍状況を照会・評価することが可能である。
　一例として、本教育プログラムの複数の科目を履修している学生が、公益財団法人との連携による“電話応対技能検定指導者級資格保持者の実態調査”に協力し、調査項目の設計から実査、データ分析、考察・提案を含む報告まで一連の調査解析作業を担当した。分析には表計算ソフト・統計ソフトを活用し、表やグラフを多く用いた報告資料の作成を行った。
　その結果、公益財団法人の専門委員会より「検定指導者の実態と課題の明確化、およびデータの可視化による分かりやすい報告資料作成」に対する高評価が得られた。</t>
    <phoneticPr fontId="1"/>
  </si>
  <si>
    <t>　データサイエンス教育推進委員会の委員を中心に、日頃から企業・自治体の担当者と情報教育に対する意見交換を行っている。その中で、データサイエンスやAI、情報セキュリティ等のリテラシー教育について、本教育プログラムに期待することや実務で必要な知識・スキルに関する情報を収集している。
　本教育プログラムへの協力企業の担当者から、①実務で情報を取り扱うための基礎（特に量的・質的データの整理、セキュリティ、倫理）、②概念図や分析モデル図等、情報やデータを可視化する手法、③調査票の設計とその実査で収集した実データの分析、これらがプログラムに含まれている点が評価できるとの意見をいただいている。</t>
    <rPh sb="9" eb="16">
      <t>キョウイクスイシンイインカイ</t>
    </rPh>
    <phoneticPr fontId="1"/>
  </si>
  <si>
    <t>　例えば、AIにも人間社会とリンクするようなバイアスが生じた事例があることや、AI＝未来を予測できるのではないことをSNSのビッグデータ解析例を用いて紹介している。こうした身近な例により、どういう目的でAIを活用するか、どういうアルゴリズムを使うか等、人間が理解し、考えて活用することの重要性やこれからの社会への影響力を意識してもらうことを心がけている。
　演習では、既存のデータ（準備されたデータ、古いデータ）を扱うより、学生が興味・関心のあるテーマを選び、調査や実験データを自ら集めて分析すること、あるいは企業や自治体の協力を得て実データを分析することを授業に取り入れている。それによって、成果に対するコミット、社会への貢献意識が高まり、「学ぶ楽しさ」や「学ぶことの意義」が体感できるよう工夫している。</t>
    <phoneticPr fontId="1"/>
  </si>
  <si>
    <t>デジタル社会の今と未来を理解するプログラム</t>
    <phoneticPr fontId="1"/>
  </si>
  <si>
    <t>　全学共通で受講できる内容・水準となるよう努めている。知識やスキルの差は、それを補う講義資料や動画を活用し、内容は身近な話題やメディアで注目されたトピックを紹介する等、学生が興味を持ち、自分ごととして考察できるテーマを中心に選択している。文科系の学生には、数式からではなく、まず図として分析モデルを解説する等、苦手意識を持たせない工夫も行っている。また、オンライン形式の演習授業では、学生が質問したいタイミングでブレイクアウトルームを利用できるようにする等、授業ごとに試行を重ねている。
　こうした工夫は、授業終了後の理解度や質問・感想コメントの確認、学期末ごとに実施している授業評価アンケートにより検証し、授業改善に繋げている。</t>
    <phoneticPr fontId="1"/>
  </si>
  <si>
    <t>　現行の学生アンケートにおいては、他の学生への推奨度について調査する項目が無いため、適切な判断はできないが、先述の理解度に加え、学生アンケートにおける自由記述欄のコメントで、「授業時間外でも、先生が丁寧に対応してくださったこと。」「（先生が）具体的な例などを経験を交えて挙げていたのでとても面白かった。」「実際に企業でどのように情報システムを使っているのかの例を見れた。」「分からない所を質問した際に、ものすごく丁寧に教えてくださったのがとても助かりました。」といった好意的なコメントが多数を占めていることから、後輩等他の学生へ履修を推奨する機運が醸成されているのではないかと判断する。
　なお、履修登録者数の推移等を複数年かけて分析することが望まれる。</t>
    <phoneticPr fontId="1"/>
  </si>
  <si>
    <t>　本プログラムは開設されて間もないが、現時点で履修者の内約40％がプログラム修了要件を満たしていることは評価できる。複数の学群から修了要件を満たした者が誕生していることも評価できる。
　しかし、全学的に見た場合、履修者及び修了要件を満たした者が特定の学群に偏っている現状は、決して好ましい状態ではないと判断する。履修者数も、全学平均で4％程度、最も履修者数の多いビジネスマネジメント学群であっても17％程度となっている現状の改善が必須であると考える。
　現在、学内の各教育組織において、教育課程の改革が進行しており、いずれの組織においてもデータサイエンス関連科目の重要性を認識したうえで新たな教育課程の構築を進めていること、令和4年度より、本プログラムの対象科目をオンライン化することで、科目の開講キャンパスとは異なるキャンパスを拠点とする学群の学生や、新型コロナウイルス感染症の影響等により、登校が困難な状況にある学生による履修の促進を図る等の取組を進めていることなどから、今後のプログラム履修・修得状況の改善に向けた取り組みは着実に進行していると考える。
　引き続き、学生向けの広報や、学修サポート等の体制の構築、初学者向けのわかりやすい導入等を通じ、学生のデータサイエンスに対する興味関心を引き出すことが求められる。</t>
    <rPh sb="245" eb="249">
      <t>キョウイクカテイ</t>
    </rPh>
    <rPh sb="298" eb="300">
      <t>キョウイク</t>
    </rPh>
    <rPh sb="300" eb="302">
      <t>カテイ</t>
    </rPh>
    <rPh sb="379" eb="381">
      <t>シンガタ</t>
    </rPh>
    <rPh sb="388" eb="391">
      <t>カンセンショウ</t>
    </rPh>
    <rPh sb="392" eb="394">
      <t>エイキョウ</t>
    </rPh>
    <rPh sb="394" eb="395">
      <t>トウ</t>
    </rPh>
    <rPh sb="418" eb="420">
      <t>ソクシン</t>
    </rPh>
    <rPh sb="421" eb="422">
      <t>ハカ</t>
    </rPh>
    <rPh sb="423" eb="424">
      <t>トウ</t>
    </rPh>
    <phoneticPr fontId="1"/>
  </si>
  <si>
    <t>修了要件は、以下の5つの審査項目（③現在進行中の社会変化（第４次産業革命、Society 5.0、データ駆動型社会等）に深く寄与しているものであり、それが自らの生活と密接に結びついている」の内容を含む授業科目、④「社会で活用されているデータ」や「データの活用領域」は非常に広範囲であって、日常生活や社会の課題を解決する有用なツールになり得るもの」の内容を含む授業科目、⑤「様々なデータ利活用の現場におけるデータ利活用事例が示され、様々な適用領域（流通、製造、金融、サービス、インフラ、公共、ヘルスケア等）の知見と組み合わせることで価値を創出するもの」の内容を含む授業科目、⑥「活用に当たっての様々な留意事項（ELSI、個人情報、データ倫理、ＡＩ社会原則等）を考慮し、情報セキュリティや情報漏洩等、データを守る上での留意事項への理解をする」の内容を含む授業科目、⑦「実データ・実課題（学術データ等を含む）を用いた演習など、社会での実例を題材として、「データを読む、説明する、扱う」といった数理・データサイエンス・ＡＩの基本的な活用法に関するもの」の内容を含む授業科目）の内、各審査項目の対応科目から2単位以上修得することである。ただし、1つの科目が複数の審査項目に対応している場合は、その1つの科目で2単位修得すれば、対応する複数の審査項目の科目で2単位修得したこととみなすことができる。具体的には以下の通りとなる。
1科目で修了要件を満たす科目：情報通信技術と社会
複数科目で修了要件を満たす科目の組み合わせ：
　1)コンピュータビジネス概論もしくはデータサイエンス入門＋経営情報リテラシーもしくは企業経営と情報＋ビジネス表計算演習
　2)経営情報システム論＋ビジネス表計算演習</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</si>
</sst>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7" fillId="0" borderId="3" xfId="2" applyBorder="1" applyAlignment="1">
      <alignment vertical="center" shrinkToFit="1"/>
    </xf>
    <xf numFmtId="0" fontId="7" fillId="0" borderId="4" xfId="2"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7" fillId="0" borderId="3" xfId="2" applyBorder="1" applyAlignment="1">
      <alignment horizontal="center" vertical="center" shrinkToFit="1"/>
    </xf>
    <xf numFmtId="0" fontId="7" fillId="0" borderId="4" xfId="2"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Q24" sqref="Q24"/>
    </sheetView>
  </sheetViews>
  <sheetFormatPr defaultColWidth="9" defaultRowHeight="18.75" customHeight="1" x14ac:dyDescent="0.2"/>
  <cols>
    <col min="1" max="1" width="3.36328125" style="14" customWidth="1"/>
    <col min="2" max="2" width="11.08984375" style="14" customWidth="1"/>
    <col min="3" max="8" width="6.6328125" style="14" customWidth="1"/>
    <col min="9" max="9" width="3.36328125" style="14" customWidth="1"/>
    <col min="10" max="10" width="10" style="14" customWidth="1"/>
    <col min="11" max="11" width="3.36328125" style="14" customWidth="1"/>
    <col min="12" max="12" width="7.7265625" style="14" customWidth="1"/>
    <col min="13" max="13" width="3.36328125" style="14" customWidth="1"/>
    <col min="14" max="14" width="4.453125" style="14" customWidth="1"/>
    <col min="15" max="15" width="9" style="31"/>
    <col min="16" max="16384" width="9" style="13"/>
  </cols>
  <sheetData>
    <row r="1" spans="1:15" ht="24" customHeight="1" x14ac:dyDescent="0.2">
      <c r="M1" s="140" t="s">
        <v>25</v>
      </c>
      <c r="N1" s="140"/>
    </row>
    <row r="2" spans="1:15" ht="24" customHeight="1" x14ac:dyDescent="0.2">
      <c r="A2" s="144" t="s">
        <v>83</v>
      </c>
      <c r="B2" s="144"/>
      <c r="C2" s="144"/>
      <c r="D2" s="144"/>
      <c r="E2" s="144"/>
      <c r="F2" s="144"/>
      <c r="G2" s="144"/>
      <c r="H2" s="144"/>
      <c r="I2" s="144"/>
      <c r="J2" s="144"/>
      <c r="K2" s="144"/>
      <c r="L2" s="144"/>
      <c r="M2" s="144"/>
      <c r="N2" s="144"/>
    </row>
    <row r="3" spans="1:15" ht="24" customHeight="1" x14ac:dyDescent="0.2"/>
    <row r="4" spans="1:15" ht="24" customHeight="1" x14ac:dyDescent="0.2">
      <c r="A4" s="14" t="s">
        <v>6</v>
      </c>
      <c r="B4" s="15" t="s">
        <v>16</v>
      </c>
      <c r="C4" s="130" t="s">
        <v>149</v>
      </c>
      <c r="D4" s="131"/>
      <c r="E4" s="131"/>
      <c r="F4" s="131"/>
      <c r="G4" s="131"/>
      <c r="H4" s="131"/>
      <c r="I4" s="131"/>
      <c r="J4" s="131"/>
      <c r="K4" s="131"/>
      <c r="L4" s="131"/>
      <c r="M4" s="131"/>
      <c r="N4" s="132"/>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48</v>
      </c>
      <c r="B6" s="15" t="s">
        <v>49</v>
      </c>
      <c r="C6" s="15"/>
      <c r="D6" s="130" t="s">
        <v>150</v>
      </c>
      <c r="E6" s="131"/>
      <c r="F6" s="131"/>
      <c r="G6" s="131"/>
      <c r="H6" s="132"/>
      <c r="I6" s="17" t="s">
        <v>86</v>
      </c>
      <c r="J6" s="37" t="s">
        <v>87</v>
      </c>
      <c r="K6" s="130" t="s">
        <v>151</v>
      </c>
      <c r="L6" s="131"/>
      <c r="M6" s="131"/>
      <c r="N6" s="132"/>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13</v>
      </c>
      <c r="B8" s="15" t="s">
        <v>45</v>
      </c>
      <c r="C8" s="130" t="s">
        <v>152</v>
      </c>
      <c r="D8" s="131"/>
      <c r="E8" s="131"/>
      <c r="F8" s="131"/>
      <c r="G8" s="131"/>
      <c r="H8" s="131"/>
      <c r="I8" s="131"/>
      <c r="J8" s="131"/>
      <c r="K8" s="131"/>
      <c r="L8" s="131"/>
      <c r="M8" s="131"/>
      <c r="N8" s="132"/>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11</v>
      </c>
      <c r="B10" s="15" t="s">
        <v>85</v>
      </c>
      <c r="C10" s="15"/>
      <c r="D10" s="15"/>
      <c r="E10" s="130" t="s">
        <v>225</v>
      </c>
      <c r="F10" s="131"/>
      <c r="G10" s="131"/>
      <c r="H10" s="131"/>
      <c r="I10" s="131"/>
      <c r="J10" s="131"/>
      <c r="K10" s="131"/>
      <c r="L10" s="131"/>
      <c r="M10" s="131"/>
      <c r="N10" s="132"/>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58</v>
      </c>
      <c r="B12" s="16" t="s">
        <v>59</v>
      </c>
      <c r="C12" s="16"/>
      <c r="D12" s="16"/>
      <c r="E12" s="145">
        <v>2021</v>
      </c>
      <c r="F12" s="146"/>
      <c r="G12" s="17" t="s">
        <v>96</v>
      </c>
      <c r="H12" s="14" t="s">
        <v>97</v>
      </c>
      <c r="N12" s="117" t="s">
        <v>153</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53</v>
      </c>
      <c r="B14" s="14" t="s">
        <v>0</v>
      </c>
      <c r="C14" s="141" t="s">
        <v>5</v>
      </c>
      <c r="D14" s="142"/>
      <c r="E14" s="133">
        <v>282</v>
      </c>
      <c r="F14" s="134"/>
      <c r="G14" s="18" t="s">
        <v>7</v>
      </c>
      <c r="I14" s="141" t="s">
        <v>8</v>
      </c>
      <c r="J14" s="142"/>
      <c r="K14" s="133">
        <v>692</v>
      </c>
      <c r="L14" s="143"/>
      <c r="M14" s="134"/>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47">
        <v>12</v>
      </c>
      <c r="L16" s="148"/>
      <c r="M16" s="149"/>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3">
        <v>2520</v>
      </c>
      <c r="F18" s="134"/>
      <c r="G18" s="21" t="s">
        <v>21</v>
      </c>
      <c r="H18" s="20"/>
      <c r="K18" s="153"/>
      <c r="L18" s="153"/>
      <c r="M18" s="153"/>
      <c r="N18" s="153"/>
      <c r="O18" s="31" t="str">
        <f>IF(E18="","入力してください","")</f>
        <v/>
      </c>
    </row>
    <row r="19" spans="1:15" ht="7.5" customHeight="1" x14ac:dyDescent="0.2">
      <c r="E19" s="10"/>
      <c r="F19" s="20"/>
      <c r="G19" s="20"/>
      <c r="L19" s="36"/>
      <c r="M19" s="36"/>
      <c r="N19" s="22"/>
    </row>
    <row r="20" spans="1:15" ht="24" customHeight="1" x14ac:dyDescent="0.2">
      <c r="A20" s="14" t="s">
        <v>76</v>
      </c>
      <c r="B20" s="14" t="s">
        <v>78</v>
      </c>
      <c r="E20" s="10"/>
      <c r="F20" s="20"/>
      <c r="G20" s="20"/>
      <c r="H20" s="14" t="s">
        <v>52</v>
      </c>
      <c r="J20" s="150">
        <v>10179</v>
      </c>
      <c r="K20" s="151"/>
      <c r="L20" s="152"/>
      <c r="M20" s="36" t="s">
        <v>51</v>
      </c>
      <c r="N20" s="22"/>
      <c r="O20" s="31" t="str">
        <f>IF(J20="","入力してください","")</f>
        <v/>
      </c>
    </row>
    <row r="21" spans="1:15" ht="7.5" customHeight="1" x14ac:dyDescent="0.2">
      <c r="E21" s="10"/>
      <c r="F21" s="20"/>
      <c r="G21" s="20"/>
      <c r="L21" s="36"/>
      <c r="M21" s="36"/>
      <c r="N21" s="22"/>
    </row>
    <row r="22" spans="1:15" ht="24" customHeight="1" x14ac:dyDescent="0.2">
      <c r="B22" s="29" t="s">
        <v>17</v>
      </c>
      <c r="C22" s="133">
        <v>2625</v>
      </c>
      <c r="D22" s="134"/>
      <c r="E22" s="10" t="s">
        <v>22</v>
      </c>
      <c r="F22" s="20"/>
      <c r="G22" s="129" t="s">
        <v>18</v>
      </c>
      <c r="H22" s="129"/>
      <c r="I22" s="133">
        <v>2486</v>
      </c>
      <c r="J22" s="134"/>
      <c r="K22" s="17" t="s">
        <v>22</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19</v>
      </c>
      <c r="C24" s="133">
        <v>2477</v>
      </c>
      <c r="D24" s="134"/>
      <c r="E24" s="10" t="s">
        <v>22</v>
      </c>
      <c r="F24" s="20"/>
      <c r="G24" s="129" t="s">
        <v>20</v>
      </c>
      <c r="H24" s="129"/>
      <c r="I24" s="133">
        <v>2591</v>
      </c>
      <c r="J24" s="134"/>
      <c r="K24" s="17" t="s">
        <v>22</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46</v>
      </c>
      <c r="C26" s="133">
        <v>0</v>
      </c>
      <c r="D26" s="134"/>
      <c r="E26" s="10" t="s">
        <v>7</v>
      </c>
      <c r="F26" s="20"/>
      <c r="G26" s="129" t="s">
        <v>47</v>
      </c>
      <c r="H26" s="129"/>
      <c r="I26" s="133">
        <v>0</v>
      </c>
      <c r="J26" s="134"/>
      <c r="K26" s="17" t="s">
        <v>7</v>
      </c>
      <c r="M26" s="36"/>
      <c r="N26" s="22"/>
    </row>
    <row r="27" spans="1:15" ht="7.5" customHeight="1" x14ac:dyDescent="0.2">
      <c r="F27" s="20"/>
      <c r="G27" s="20"/>
      <c r="M27" s="23"/>
      <c r="N27" s="23"/>
    </row>
    <row r="28" spans="1:15" ht="24" customHeight="1" x14ac:dyDescent="0.2">
      <c r="A28" s="14" t="s">
        <v>50</v>
      </c>
      <c r="B28" s="15" t="s">
        <v>75</v>
      </c>
      <c r="C28" s="15"/>
      <c r="D28" s="15"/>
      <c r="E28" s="15"/>
      <c r="F28" s="17"/>
      <c r="G28" s="37"/>
      <c r="H28" s="37"/>
      <c r="I28" s="37"/>
      <c r="J28" s="24"/>
      <c r="K28" s="24"/>
      <c r="L28" s="24"/>
      <c r="M28" s="24"/>
      <c r="N28" s="24"/>
    </row>
    <row r="29" spans="1:15" s="14" customFormat="1" ht="24" customHeight="1" x14ac:dyDescent="0.2">
      <c r="B29" s="137" t="s">
        <v>74</v>
      </c>
      <c r="C29" s="137"/>
      <c r="D29" s="130" t="s">
        <v>154</v>
      </c>
      <c r="E29" s="131"/>
      <c r="F29" s="131"/>
      <c r="G29" s="138" t="s">
        <v>23</v>
      </c>
      <c r="H29" s="137"/>
      <c r="I29" s="139"/>
      <c r="J29" s="130" t="s">
        <v>155</v>
      </c>
      <c r="K29" s="131"/>
      <c r="L29" s="131"/>
      <c r="M29" s="131"/>
      <c r="N29" s="132"/>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0" t="s">
        <v>156</v>
      </c>
      <c r="C32" s="131"/>
      <c r="D32" s="131"/>
      <c r="E32" s="131"/>
      <c r="F32" s="131"/>
      <c r="G32" s="131"/>
      <c r="H32" s="131"/>
      <c r="I32" s="131"/>
      <c r="J32" s="131"/>
      <c r="K32" s="131"/>
      <c r="L32" s="131"/>
      <c r="M32" s="131"/>
      <c r="N32" s="132"/>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7" t="s">
        <v>74</v>
      </c>
      <c r="C34" s="137"/>
      <c r="D34" s="130" t="s">
        <v>157</v>
      </c>
      <c r="E34" s="131"/>
      <c r="F34" s="131"/>
      <c r="G34" s="138" t="s">
        <v>55</v>
      </c>
      <c r="H34" s="137"/>
      <c r="I34" s="139"/>
      <c r="J34" s="130" t="s">
        <v>158</v>
      </c>
      <c r="K34" s="131"/>
      <c r="L34" s="131"/>
      <c r="M34" s="131"/>
      <c r="N34" s="132"/>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61</v>
      </c>
      <c r="B36" s="14" t="s">
        <v>81</v>
      </c>
      <c r="M36" s="23"/>
      <c r="N36" s="23"/>
    </row>
    <row r="37" spans="1:15" ht="24" customHeight="1" x14ac:dyDescent="0.2">
      <c r="B37" s="130" t="s">
        <v>159</v>
      </c>
      <c r="C37" s="131"/>
      <c r="D37" s="131"/>
      <c r="E37" s="131"/>
      <c r="F37" s="131"/>
      <c r="G37" s="131"/>
      <c r="H37" s="131"/>
      <c r="I37" s="131"/>
      <c r="J37" s="131"/>
      <c r="K37" s="131"/>
      <c r="L37" s="131"/>
      <c r="M37" s="131"/>
      <c r="N37" s="132"/>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7" t="s">
        <v>74</v>
      </c>
      <c r="C39" s="137"/>
      <c r="D39" s="130" t="s">
        <v>160</v>
      </c>
      <c r="E39" s="131"/>
      <c r="F39" s="131"/>
      <c r="G39" s="138" t="s">
        <v>55</v>
      </c>
      <c r="H39" s="137"/>
      <c r="I39" s="139"/>
      <c r="J39" s="130" t="s">
        <v>161</v>
      </c>
      <c r="K39" s="131"/>
      <c r="L39" s="131"/>
      <c r="M39" s="131"/>
      <c r="N39" s="132"/>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88</v>
      </c>
      <c r="B41" s="73" t="s">
        <v>69</v>
      </c>
      <c r="E41" s="74"/>
      <c r="F41" s="130" t="s">
        <v>162</v>
      </c>
      <c r="G41" s="131"/>
      <c r="H41" s="131"/>
      <c r="I41" s="131"/>
      <c r="J41" s="131"/>
      <c r="K41" s="131"/>
      <c r="L41" s="131"/>
      <c r="M41" s="131"/>
      <c r="N41" s="132"/>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98</v>
      </c>
    </row>
    <row r="44" spans="1:15" ht="24" customHeight="1" x14ac:dyDescent="0.2">
      <c r="B44" s="30" t="s">
        <v>1</v>
      </c>
      <c r="C44" s="135" t="s">
        <v>163</v>
      </c>
      <c r="D44" s="136"/>
      <c r="E44" s="136"/>
      <c r="F44" s="136"/>
      <c r="G44" s="136"/>
      <c r="H44" s="136"/>
      <c r="I44" s="26" t="s">
        <v>2</v>
      </c>
      <c r="J44" s="27"/>
      <c r="K44" s="130" t="s">
        <v>164</v>
      </c>
      <c r="L44" s="131"/>
      <c r="M44" s="131"/>
      <c r="N44" s="132"/>
      <c r="O44" s="31" t="str">
        <f>IF(OR(C44="",K44=""),"入力してください","")</f>
        <v/>
      </c>
    </row>
    <row r="45" spans="1:15" ht="24" customHeight="1" x14ac:dyDescent="0.2">
      <c r="B45" s="25" t="s">
        <v>4</v>
      </c>
      <c r="C45" s="123" t="s">
        <v>166</v>
      </c>
      <c r="D45" s="124"/>
      <c r="E45" s="124"/>
      <c r="F45" s="124"/>
      <c r="G45" s="124"/>
      <c r="H45" s="125"/>
      <c r="I45" s="26" t="s">
        <v>3</v>
      </c>
      <c r="J45" s="27"/>
      <c r="K45" s="126" t="s">
        <v>165</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topLeftCell="A6" zoomScale="75" zoomScaleNormal="100" zoomScaleSheetLayoutView="75" workbookViewId="0">
      <selection activeCell="G20" sqref="G20"/>
    </sheetView>
  </sheetViews>
  <sheetFormatPr defaultColWidth="9" defaultRowHeight="18.75" customHeight="1" x14ac:dyDescent="0.2"/>
  <cols>
    <col min="1" max="1" width="2.453125" style="13" customWidth="1"/>
    <col min="2" max="2" width="27.7265625" style="13" customWidth="1"/>
    <col min="3" max="13" width="3.36328125" style="13" customWidth="1"/>
    <col min="14" max="14" width="8.90625" style="13" customWidth="1"/>
    <col min="15" max="15" width="18.90625" style="13" customWidth="1"/>
    <col min="16" max="19" width="3.36328125" style="13" customWidth="1"/>
    <col min="20" max="20" width="3.453125" style="13" customWidth="1"/>
    <col min="21" max="26" width="3.36328125" style="13" customWidth="1"/>
    <col min="27" max="16384" width="9" style="13"/>
  </cols>
  <sheetData>
    <row r="1" spans="1:26" ht="15" customHeight="1" x14ac:dyDescent="0.2">
      <c r="W1" s="250" t="s">
        <v>113</v>
      </c>
      <c r="X1" s="250"/>
      <c r="Y1" s="250"/>
      <c r="Z1" s="250"/>
    </row>
    <row r="2" spans="1:26" ht="18" customHeight="1" x14ac:dyDescent="0.2">
      <c r="A2" s="207" t="s">
        <v>67</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47" t="s">
        <v>167</v>
      </c>
      <c r="P4" s="148"/>
      <c r="Q4" s="148"/>
      <c r="R4" s="148"/>
      <c r="S4" s="148"/>
      <c r="T4" s="148"/>
      <c r="U4" s="148"/>
      <c r="V4" s="148"/>
      <c r="W4" s="148"/>
      <c r="X4" s="148"/>
      <c r="Y4" s="148"/>
      <c r="Z4" s="149"/>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8" t="s">
        <v>229</v>
      </c>
      <c r="C6" s="209"/>
      <c r="D6" s="209"/>
      <c r="E6" s="209"/>
      <c r="F6" s="209"/>
      <c r="G6" s="209"/>
      <c r="H6" s="209"/>
      <c r="I6" s="209"/>
      <c r="J6" s="209"/>
      <c r="K6" s="209"/>
      <c r="L6" s="209"/>
      <c r="M6" s="209"/>
      <c r="N6" s="209"/>
      <c r="O6" s="209"/>
      <c r="P6" s="209"/>
      <c r="Q6" s="209"/>
      <c r="R6" s="209"/>
      <c r="S6" s="209"/>
      <c r="T6" s="209"/>
      <c r="U6" s="209"/>
      <c r="V6" s="209"/>
      <c r="W6" s="209"/>
      <c r="X6" s="209"/>
      <c r="Y6" s="209"/>
      <c r="Z6" s="210"/>
    </row>
    <row r="7" spans="1:26" ht="18" customHeight="1" x14ac:dyDescent="0.2">
      <c r="B7" s="211"/>
      <c r="C7" s="212"/>
      <c r="D7" s="212"/>
      <c r="E7" s="212"/>
      <c r="F7" s="212"/>
      <c r="G7" s="212"/>
      <c r="H7" s="212"/>
      <c r="I7" s="212"/>
      <c r="J7" s="212"/>
      <c r="K7" s="212"/>
      <c r="L7" s="212"/>
      <c r="M7" s="212"/>
      <c r="N7" s="212"/>
      <c r="O7" s="212"/>
      <c r="P7" s="212"/>
      <c r="Q7" s="212"/>
      <c r="R7" s="212"/>
      <c r="S7" s="212"/>
      <c r="T7" s="212"/>
      <c r="U7" s="212"/>
      <c r="V7" s="212"/>
      <c r="W7" s="212"/>
      <c r="X7" s="212"/>
      <c r="Y7" s="212"/>
      <c r="Z7" s="213"/>
    </row>
    <row r="8" spans="1:26" ht="18" customHeight="1" x14ac:dyDescent="0.2">
      <c r="B8" s="211"/>
      <c r="C8" s="212"/>
      <c r="D8" s="212"/>
      <c r="E8" s="212"/>
      <c r="F8" s="212"/>
      <c r="G8" s="212"/>
      <c r="H8" s="212"/>
      <c r="I8" s="212"/>
      <c r="J8" s="212"/>
      <c r="K8" s="212"/>
      <c r="L8" s="212"/>
      <c r="M8" s="212"/>
      <c r="N8" s="212"/>
      <c r="O8" s="212"/>
      <c r="P8" s="212"/>
      <c r="Q8" s="212"/>
      <c r="R8" s="212"/>
      <c r="S8" s="212"/>
      <c r="T8" s="212"/>
      <c r="U8" s="212"/>
      <c r="V8" s="212"/>
      <c r="W8" s="212"/>
      <c r="X8" s="212"/>
      <c r="Y8" s="212"/>
      <c r="Z8" s="213"/>
    </row>
    <row r="9" spans="1:26" ht="18" customHeight="1" x14ac:dyDescent="0.2">
      <c r="B9" s="211"/>
      <c r="C9" s="212"/>
      <c r="D9" s="212"/>
      <c r="E9" s="212"/>
      <c r="F9" s="212"/>
      <c r="G9" s="212"/>
      <c r="H9" s="212"/>
      <c r="I9" s="212"/>
      <c r="J9" s="212"/>
      <c r="K9" s="212"/>
      <c r="L9" s="212"/>
      <c r="M9" s="212"/>
      <c r="N9" s="212"/>
      <c r="O9" s="212"/>
      <c r="P9" s="212"/>
      <c r="Q9" s="212"/>
      <c r="R9" s="212"/>
      <c r="S9" s="212"/>
      <c r="T9" s="212"/>
      <c r="U9" s="212"/>
      <c r="V9" s="212"/>
      <c r="W9" s="212"/>
      <c r="X9" s="212"/>
      <c r="Y9" s="212"/>
      <c r="Z9" s="213"/>
    </row>
    <row r="10" spans="1:26" ht="18" customHeight="1" x14ac:dyDescent="0.2">
      <c r="B10" s="211"/>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3"/>
    </row>
    <row r="11" spans="1:26" ht="75" customHeight="1" x14ac:dyDescent="0.2">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7"/>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3" t="s">
        <v>126</v>
      </c>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row>
    <row r="14" spans="1:26" ht="18" customHeight="1" x14ac:dyDescent="0.2">
      <c r="A14" s="203"/>
      <c r="B14" s="203"/>
      <c r="C14" s="203"/>
      <c r="D14" s="203"/>
      <c r="E14" s="203"/>
      <c r="F14" s="203"/>
      <c r="G14" s="203"/>
      <c r="H14" s="203"/>
      <c r="I14" s="203"/>
      <c r="J14" s="203"/>
      <c r="K14" s="203"/>
      <c r="L14" s="203"/>
      <c r="M14" s="203"/>
      <c r="N14" s="203"/>
      <c r="O14" s="203"/>
      <c r="P14" s="203"/>
      <c r="Q14" s="203"/>
      <c r="R14" s="203"/>
      <c r="S14" s="203"/>
      <c r="T14" s="203"/>
      <c r="U14" s="203"/>
      <c r="V14" s="203"/>
      <c r="W14" s="203"/>
      <c r="X14" s="203"/>
      <c r="Y14" s="203"/>
      <c r="Z14" s="203"/>
    </row>
    <row r="15" spans="1:26" ht="18" customHeight="1" x14ac:dyDescent="0.2">
      <c r="A15" s="14"/>
      <c r="B15" s="147" t="s">
        <v>100</v>
      </c>
      <c r="C15" s="148"/>
      <c r="D15" s="148"/>
      <c r="E15" s="148"/>
      <c r="F15" s="149"/>
      <c r="G15" s="30" t="s">
        <v>142</v>
      </c>
      <c r="H15" s="112" t="s">
        <v>141</v>
      </c>
      <c r="I15" s="148" t="s">
        <v>101</v>
      </c>
      <c r="J15" s="148"/>
      <c r="K15" s="148"/>
      <c r="L15" s="75" t="s">
        <v>104</v>
      </c>
      <c r="M15" s="75" t="s">
        <v>107</v>
      </c>
      <c r="N15" s="147" t="s">
        <v>100</v>
      </c>
      <c r="O15" s="148"/>
      <c r="P15" s="148"/>
      <c r="Q15" s="148"/>
      <c r="R15" s="148"/>
      <c r="S15" s="149"/>
      <c r="T15" s="30" t="s">
        <v>142</v>
      </c>
      <c r="U15" s="112" t="s">
        <v>141</v>
      </c>
      <c r="V15" s="148" t="s">
        <v>101</v>
      </c>
      <c r="W15" s="148"/>
      <c r="X15" s="148"/>
      <c r="Y15" s="75" t="s">
        <v>104</v>
      </c>
      <c r="Z15" s="75" t="s">
        <v>107</v>
      </c>
    </row>
    <row r="16" spans="1:26" ht="18" customHeight="1" x14ac:dyDescent="0.2">
      <c r="A16" s="14"/>
      <c r="B16" s="194" t="s">
        <v>168</v>
      </c>
      <c r="C16" s="195"/>
      <c r="D16" s="195"/>
      <c r="E16" s="195"/>
      <c r="F16" s="196"/>
      <c r="G16" s="113">
        <v>2</v>
      </c>
      <c r="H16" s="113"/>
      <c r="I16" s="188" t="s">
        <v>172</v>
      </c>
      <c r="J16" s="189"/>
      <c r="K16" s="190"/>
      <c r="L16" s="113" t="s">
        <v>173</v>
      </c>
      <c r="M16" s="113" t="s">
        <v>173</v>
      </c>
      <c r="N16" s="154"/>
      <c r="O16" s="155"/>
      <c r="P16" s="155"/>
      <c r="Q16" s="155"/>
      <c r="R16" s="155"/>
      <c r="S16" s="156"/>
      <c r="T16" s="113"/>
      <c r="U16" s="113"/>
      <c r="V16" s="188"/>
      <c r="W16" s="189"/>
      <c r="X16" s="190"/>
      <c r="Y16" s="113"/>
      <c r="Z16" s="113"/>
    </row>
    <row r="17" spans="1:26" ht="18" customHeight="1" x14ac:dyDescent="0.2">
      <c r="A17" s="14"/>
      <c r="B17" s="197" t="s">
        <v>169</v>
      </c>
      <c r="C17" s="198"/>
      <c r="D17" s="198"/>
      <c r="E17" s="198"/>
      <c r="F17" s="199"/>
      <c r="G17" s="114">
        <v>2</v>
      </c>
      <c r="H17" s="114"/>
      <c r="I17" s="191" t="s">
        <v>172</v>
      </c>
      <c r="J17" s="192"/>
      <c r="K17" s="193"/>
      <c r="L17" s="114" t="s">
        <v>173</v>
      </c>
      <c r="M17" s="114" t="s">
        <v>173</v>
      </c>
      <c r="N17" s="163"/>
      <c r="O17" s="164"/>
      <c r="P17" s="164"/>
      <c r="Q17" s="164"/>
      <c r="R17" s="164"/>
      <c r="S17" s="165"/>
      <c r="T17" s="114"/>
      <c r="U17" s="114"/>
      <c r="V17" s="191"/>
      <c r="W17" s="192"/>
      <c r="X17" s="193"/>
      <c r="Y17" s="114"/>
      <c r="Z17" s="114"/>
    </row>
    <row r="18" spans="1:26" ht="18" customHeight="1" x14ac:dyDescent="0.2">
      <c r="A18" s="14"/>
      <c r="B18" s="197" t="s">
        <v>170</v>
      </c>
      <c r="C18" s="198"/>
      <c r="D18" s="198"/>
      <c r="E18" s="198"/>
      <c r="F18" s="199"/>
      <c r="G18" s="114">
        <v>2</v>
      </c>
      <c r="H18" s="114"/>
      <c r="I18" s="191" t="s">
        <v>172</v>
      </c>
      <c r="J18" s="192"/>
      <c r="K18" s="193"/>
      <c r="L18" s="114" t="s">
        <v>173</v>
      </c>
      <c r="M18" s="114" t="s">
        <v>173</v>
      </c>
      <c r="N18" s="163"/>
      <c r="O18" s="164"/>
      <c r="P18" s="164"/>
      <c r="Q18" s="164"/>
      <c r="R18" s="164"/>
      <c r="S18" s="165"/>
      <c r="T18" s="114"/>
      <c r="U18" s="114"/>
      <c r="V18" s="191"/>
      <c r="W18" s="192"/>
      <c r="X18" s="193"/>
      <c r="Y18" s="114"/>
      <c r="Z18" s="114"/>
    </row>
    <row r="19" spans="1:26" ht="18" customHeight="1" x14ac:dyDescent="0.2">
      <c r="A19" s="14"/>
      <c r="B19" s="197" t="s">
        <v>171</v>
      </c>
      <c r="C19" s="198"/>
      <c r="D19" s="198"/>
      <c r="E19" s="198"/>
      <c r="F19" s="199"/>
      <c r="G19" s="114">
        <v>2</v>
      </c>
      <c r="H19" s="114"/>
      <c r="I19" s="191" t="s">
        <v>172</v>
      </c>
      <c r="J19" s="192"/>
      <c r="K19" s="193"/>
      <c r="L19" s="114" t="s">
        <v>173</v>
      </c>
      <c r="M19" s="114" t="s">
        <v>174</v>
      </c>
      <c r="N19" s="163"/>
      <c r="O19" s="164"/>
      <c r="P19" s="164"/>
      <c r="Q19" s="164"/>
      <c r="R19" s="164"/>
      <c r="S19" s="165"/>
      <c r="T19" s="114"/>
      <c r="U19" s="114"/>
      <c r="V19" s="191"/>
      <c r="W19" s="192"/>
      <c r="X19" s="193"/>
      <c r="Y19" s="114"/>
      <c r="Z19" s="114"/>
    </row>
    <row r="20" spans="1:26" ht="18" customHeight="1" x14ac:dyDescent="0.2">
      <c r="A20" s="14"/>
      <c r="B20" s="197"/>
      <c r="C20" s="198"/>
      <c r="D20" s="198"/>
      <c r="E20" s="198"/>
      <c r="F20" s="199"/>
      <c r="G20" s="114"/>
      <c r="H20" s="114"/>
      <c r="I20" s="191"/>
      <c r="J20" s="192"/>
      <c r="K20" s="193"/>
      <c r="L20" s="114"/>
      <c r="M20" s="114"/>
      <c r="N20" s="163"/>
      <c r="O20" s="164"/>
      <c r="P20" s="164"/>
      <c r="Q20" s="164"/>
      <c r="R20" s="164"/>
      <c r="S20" s="165"/>
      <c r="T20" s="114"/>
      <c r="U20" s="114"/>
      <c r="V20" s="191"/>
      <c r="W20" s="192"/>
      <c r="X20" s="193"/>
      <c r="Y20" s="114"/>
      <c r="Z20" s="114"/>
    </row>
    <row r="21" spans="1:26" ht="18" customHeight="1" x14ac:dyDescent="0.2">
      <c r="A21" s="29"/>
      <c r="B21" s="197"/>
      <c r="C21" s="198"/>
      <c r="D21" s="198"/>
      <c r="E21" s="198"/>
      <c r="F21" s="199"/>
      <c r="G21" s="114"/>
      <c r="H21" s="114"/>
      <c r="I21" s="191"/>
      <c r="J21" s="192"/>
      <c r="K21" s="193"/>
      <c r="L21" s="114"/>
      <c r="M21" s="114"/>
      <c r="N21" s="163"/>
      <c r="O21" s="164"/>
      <c r="P21" s="164"/>
      <c r="Q21" s="164"/>
      <c r="R21" s="164"/>
      <c r="S21" s="165"/>
      <c r="T21" s="114"/>
      <c r="U21" s="114"/>
      <c r="V21" s="191"/>
      <c r="W21" s="192"/>
      <c r="X21" s="193"/>
      <c r="Y21" s="114"/>
      <c r="Z21" s="114"/>
    </row>
    <row r="22" spans="1:26" ht="18" customHeight="1" x14ac:dyDescent="0.2">
      <c r="A22" s="29"/>
      <c r="B22" s="204"/>
      <c r="C22" s="205"/>
      <c r="D22" s="205"/>
      <c r="E22" s="205"/>
      <c r="F22" s="206"/>
      <c r="G22" s="115"/>
      <c r="H22" s="115"/>
      <c r="I22" s="200"/>
      <c r="J22" s="201"/>
      <c r="K22" s="202"/>
      <c r="L22" s="121"/>
      <c r="M22" s="121"/>
      <c r="N22" s="230"/>
      <c r="O22" s="231"/>
      <c r="P22" s="231"/>
      <c r="Q22" s="231"/>
      <c r="R22" s="231"/>
      <c r="S22" s="232"/>
      <c r="T22" s="115"/>
      <c r="U22" s="115"/>
      <c r="V22" s="200"/>
      <c r="W22" s="201"/>
      <c r="X22" s="202"/>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03" t="s">
        <v>127</v>
      </c>
      <c r="B24" s="203"/>
      <c r="C24" s="203"/>
      <c r="D24" s="203"/>
      <c r="E24" s="203"/>
      <c r="F24" s="203"/>
      <c r="G24" s="203"/>
      <c r="H24" s="203"/>
      <c r="I24" s="203"/>
      <c r="J24" s="203"/>
      <c r="K24" s="203"/>
      <c r="L24" s="203"/>
      <c r="M24" s="203"/>
      <c r="N24" s="203"/>
      <c r="O24" s="203"/>
      <c r="P24" s="203"/>
      <c r="Q24" s="203"/>
      <c r="R24" s="203"/>
      <c r="S24" s="203"/>
      <c r="T24" s="203"/>
      <c r="U24" s="203"/>
      <c r="V24" s="203"/>
      <c r="W24" s="203"/>
      <c r="X24" s="203"/>
      <c r="Y24" s="203"/>
      <c r="Z24" s="203"/>
    </row>
    <row r="25" spans="1:26" ht="18" customHeight="1" x14ac:dyDescent="0.2">
      <c r="A25" s="203"/>
      <c r="B25" s="203"/>
      <c r="C25" s="203"/>
      <c r="D25" s="203"/>
      <c r="E25" s="203"/>
      <c r="F25" s="203"/>
      <c r="G25" s="203"/>
      <c r="H25" s="203"/>
      <c r="I25" s="203"/>
      <c r="J25" s="203"/>
      <c r="K25" s="203"/>
      <c r="L25" s="203"/>
      <c r="M25" s="203"/>
      <c r="N25" s="203"/>
      <c r="O25" s="203"/>
      <c r="P25" s="203"/>
      <c r="Q25" s="203"/>
      <c r="R25" s="203"/>
      <c r="S25" s="203"/>
      <c r="T25" s="203"/>
      <c r="U25" s="203"/>
      <c r="V25" s="203"/>
      <c r="W25" s="203"/>
      <c r="X25" s="203"/>
      <c r="Y25" s="203"/>
      <c r="Z25" s="203"/>
    </row>
    <row r="26" spans="1:26" ht="18" customHeight="1" x14ac:dyDescent="0.2">
      <c r="A26" s="14"/>
      <c r="B26" s="147" t="s">
        <v>100</v>
      </c>
      <c r="C26" s="148"/>
      <c r="D26" s="148"/>
      <c r="E26" s="148"/>
      <c r="F26" s="149"/>
      <c r="G26" s="30" t="s">
        <v>142</v>
      </c>
      <c r="H26" s="112" t="s">
        <v>141</v>
      </c>
      <c r="I26" s="148" t="s">
        <v>101</v>
      </c>
      <c r="J26" s="148"/>
      <c r="K26" s="148"/>
      <c r="L26" s="75" t="s">
        <v>128</v>
      </c>
      <c r="M26" s="75" t="s">
        <v>129</v>
      </c>
      <c r="N26" s="147" t="s">
        <v>100</v>
      </c>
      <c r="O26" s="148"/>
      <c r="P26" s="148"/>
      <c r="Q26" s="148"/>
      <c r="R26" s="148"/>
      <c r="S26" s="149"/>
      <c r="T26" s="30" t="s">
        <v>142</v>
      </c>
      <c r="U26" s="112" t="s">
        <v>141</v>
      </c>
      <c r="V26" s="148" t="s">
        <v>101</v>
      </c>
      <c r="W26" s="148"/>
      <c r="X26" s="148"/>
      <c r="Y26" s="75" t="s">
        <v>128</v>
      </c>
      <c r="Z26" s="75" t="s">
        <v>129</v>
      </c>
    </row>
    <row r="27" spans="1:26" ht="18" customHeight="1" x14ac:dyDescent="0.2">
      <c r="A27" s="14"/>
      <c r="B27" s="194" t="s">
        <v>175</v>
      </c>
      <c r="C27" s="195"/>
      <c r="D27" s="195"/>
      <c r="E27" s="195"/>
      <c r="F27" s="196"/>
      <c r="G27" s="113">
        <v>2</v>
      </c>
      <c r="H27" s="113"/>
      <c r="I27" s="188" t="s">
        <v>172</v>
      </c>
      <c r="J27" s="189"/>
      <c r="K27" s="190"/>
      <c r="L27" s="113" t="s">
        <v>173</v>
      </c>
      <c r="M27" s="113" t="s">
        <v>173</v>
      </c>
      <c r="N27" s="154"/>
      <c r="O27" s="155"/>
      <c r="P27" s="155"/>
      <c r="Q27" s="155"/>
      <c r="R27" s="155"/>
      <c r="S27" s="156"/>
      <c r="T27" s="113"/>
      <c r="U27" s="113"/>
      <c r="V27" s="188"/>
      <c r="W27" s="189"/>
      <c r="X27" s="190"/>
      <c r="Y27" s="113"/>
      <c r="Z27" s="113"/>
    </row>
    <row r="28" spans="1:26" ht="18" customHeight="1" x14ac:dyDescent="0.2">
      <c r="A28" s="14"/>
      <c r="B28" s="197" t="s">
        <v>169</v>
      </c>
      <c r="C28" s="198"/>
      <c r="D28" s="198"/>
      <c r="E28" s="198"/>
      <c r="F28" s="199"/>
      <c r="G28" s="114">
        <v>2</v>
      </c>
      <c r="H28" s="114"/>
      <c r="I28" s="191" t="s">
        <v>172</v>
      </c>
      <c r="J28" s="192"/>
      <c r="K28" s="193"/>
      <c r="L28" s="114" t="s">
        <v>173</v>
      </c>
      <c r="M28" s="114" t="s">
        <v>173</v>
      </c>
      <c r="N28" s="163"/>
      <c r="O28" s="164"/>
      <c r="P28" s="164"/>
      <c r="Q28" s="164"/>
      <c r="R28" s="164"/>
      <c r="S28" s="165"/>
      <c r="T28" s="114"/>
      <c r="U28" s="114"/>
      <c r="V28" s="191"/>
      <c r="W28" s="192"/>
      <c r="X28" s="193"/>
      <c r="Y28" s="114"/>
      <c r="Z28" s="114"/>
    </row>
    <row r="29" spans="1:26" ht="18" customHeight="1" x14ac:dyDescent="0.2">
      <c r="A29" s="14"/>
      <c r="B29" s="197" t="s">
        <v>176</v>
      </c>
      <c r="C29" s="198"/>
      <c r="D29" s="198"/>
      <c r="E29" s="198"/>
      <c r="F29" s="199"/>
      <c r="G29" s="114">
        <v>2</v>
      </c>
      <c r="H29" s="114"/>
      <c r="I29" s="191" t="s">
        <v>172</v>
      </c>
      <c r="J29" s="192"/>
      <c r="K29" s="193"/>
      <c r="L29" s="114" t="s">
        <v>173</v>
      </c>
      <c r="M29" s="114" t="s">
        <v>173</v>
      </c>
      <c r="N29" s="163"/>
      <c r="O29" s="164"/>
      <c r="P29" s="164"/>
      <c r="Q29" s="164"/>
      <c r="R29" s="164"/>
      <c r="S29" s="165"/>
      <c r="T29" s="114"/>
      <c r="U29" s="114"/>
      <c r="V29" s="191"/>
      <c r="W29" s="192"/>
      <c r="X29" s="193"/>
      <c r="Y29" s="114"/>
      <c r="Z29" s="114"/>
    </row>
    <row r="30" spans="1:26" ht="18" customHeight="1" x14ac:dyDescent="0.2">
      <c r="A30" s="14"/>
      <c r="B30" s="197" t="s">
        <v>177</v>
      </c>
      <c r="C30" s="198"/>
      <c r="D30" s="198"/>
      <c r="E30" s="198"/>
      <c r="F30" s="199"/>
      <c r="G30" s="114">
        <v>2</v>
      </c>
      <c r="H30" s="114"/>
      <c r="I30" s="191" t="s">
        <v>172</v>
      </c>
      <c r="J30" s="192"/>
      <c r="K30" s="193"/>
      <c r="L30" s="114" t="s">
        <v>173</v>
      </c>
      <c r="M30" s="114" t="s">
        <v>173</v>
      </c>
      <c r="N30" s="163"/>
      <c r="O30" s="164"/>
      <c r="P30" s="164"/>
      <c r="Q30" s="164"/>
      <c r="R30" s="164"/>
      <c r="S30" s="165"/>
      <c r="T30" s="114"/>
      <c r="U30" s="114"/>
      <c r="V30" s="191"/>
      <c r="W30" s="192"/>
      <c r="X30" s="193"/>
      <c r="Y30" s="114"/>
      <c r="Z30" s="114"/>
    </row>
    <row r="31" spans="1:26" ht="18" customHeight="1" x14ac:dyDescent="0.2">
      <c r="A31" s="14"/>
      <c r="B31" s="197"/>
      <c r="C31" s="198"/>
      <c r="D31" s="198"/>
      <c r="E31" s="198"/>
      <c r="F31" s="199"/>
      <c r="G31" s="114"/>
      <c r="H31" s="114"/>
      <c r="I31" s="191"/>
      <c r="J31" s="192"/>
      <c r="K31" s="193"/>
      <c r="L31" s="114"/>
      <c r="M31" s="114"/>
      <c r="N31" s="163"/>
      <c r="O31" s="164"/>
      <c r="P31" s="164"/>
      <c r="Q31" s="164"/>
      <c r="R31" s="164"/>
      <c r="S31" s="165"/>
      <c r="T31" s="114"/>
      <c r="U31" s="114"/>
      <c r="V31" s="191"/>
      <c r="W31" s="192"/>
      <c r="X31" s="193"/>
      <c r="Y31" s="114"/>
      <c r="Z31" s="114"/>
    </row>
    <row r="32" spans="1:26" ht="18" customHeight="1" x14ac:dyDescent="0.2">
      <c r="A32" s="14"/>
      <c r="B32" s="197"/>
      <c r="C32" s="198"/>
      <c r="D32" s="198"/>
      <c r="E32" s="198"/>
      <c r="F32" s="199"/>
      <c r="G32" s="114"/>
      <c r="H32" s="114"/>
      <c r="I32" s="191"/>
      <c r="J32" s="192"/>
      <c r="K32" s="193"/>
      <c r="L32" s="114"/>
      <c r="M32" s="114"/>
      <c r="N32" s="163"/>
      <c r="O32" s="164"/>
      <c r="P32" s="164"/>
      <c r="Q32" s="164"/>
      <c r="R32" s="164"/>
      <c r="S32" s="165"/>
      <c r="T32" s="114"/>
      <c r="U32" s="114"/>
      <c r="V32" s="191"/>
      <c r="W32" s="192"/>
      <c r="X32" s="193"/>
      <c r="Y32" s="114"/>
      <c r="Z32" s="114"/>
    </row>
    <row r="33" spans="1:26" ht="18" customHeight="1" x14ac:dyDescent="0.2">
      <c r="A33" s="14"/>
      <c r="B33" s="204"/>
      <c r="C33" s="205"/>
      <c r="D33" s="205"/>
      <c r="E33" s="205"/>
      <c r="F33" s="206"/>
      <c r="G33" s="115"/>
      <c r="H33" s="115"/>
      <c r="I33" s="200"/>
      <c r="J33" s="201"/>
      <c r="K33" s="202"/>
      <c r="L33" s="121"/>
      <c r="M33" s="121"/>
      <c r="N33" s="230"/>
      <c r="O33" s="231"/>
      <c r="P33" s="231"/>
      <c r="Q33" s="231"/>
      <c r="R33" s="231"/>
      <c r="S33" s="232"/>
      <c r="T33" s="115"/>
      <c r="U33" s="115"/>
      <c r="V33" s="200"/>
      <c r="W33" s="201"/>
      <c r="X33" s="202"/>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03" t="s">
        <v>130</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row>
    <row r="36" spans="1:26" ht="18" customHeight="1" x14ac:dyDescent="0.2">
      <c r="A36" s="203"/>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row>
    <row r="37" spans="1:26" ht="18" customHeight="1" x14ac:dyDescent="0.2">
      <c r="A37" s="14"/>
      <c r="B37" s="147" t="s">
        <v>100</v>
      </c>
      <c r="C37" s="148"/>
      <c r="D37" s="148"/>
      <c r="E37" s="148"/>
      <c r="F37" s="149"/>
      <c r="G37" s="30" t="s">
        <v>142</v>
      </c>
      <c r="H37" s="112" t="s">
        <v>141</v>
      </c>
      <c r="I37" s="147" t="s">
        <v>101</v>
      </c>
      <c r="J37" s="148"/>
      <c r="K37" s="149"/>
      <c r="L37" s="75" t="s">
        <v>131</v>
      </c>
      <c r="M37" s="75" t="s">
        <v>132</v>
      </c>
      <c r="N37" s="147" t="s">
        <v>100</v>
      </c>
      <c r="O37" s="148"/>
      <c r="P37" s="148"/>
      <c r="Q37" s="148"/>
      <c r="R37" s="148"/>
      <c r="S37" s="149"/>
      <c r="T37" s="30" t="s">
        <v>142</v>
      </c>
      <c r="U37" s="112" t="s">
        <v>141</v>
      </c>
      <c r="V37" s="147" t="s">
        <v>101</v>
      </c>
      <c r="W37" s="148"/>
      <c r="X37" s="149"/>
      <c r="Y37" s="75" t="s">
        <v>131</v>
      </c>
      <c r="Z37" s="75" t="s">
        <v>132</v>
      </c>
    </row>
    <row r="38" spans="1:26" ht="18" customHeight="1" x14ac:dyDescent="0.2">
      <c r="A38" s="29"/>
      <c r="B38" s="194" t="s">
        <v>168</v>
      </c>
      <c r="C38" s="195"/>
      <c r="D38" s="195"/>
      <c r="E38" s="195"/>
      <c r="F38" s="196"/>
      <c r="G38" s="113">
        <v>2</v>
      </c>
      <c r="H38" s="113"/>
      <c r="I38" s="188" t="s">
        <v>172</v>
      </c>
      <c r="J38" s="189"/>
      <c r="K38" s="190"/>
      <c r="L38" s="113" t="s">
        <v>173</v>
      </c>
      <c r="M38" s="113" t="s">
        <v>173</v>
      </c>
      <c r="N38" s="154"/>
      <c r="O38" s="155"/>
      <c r="P38" s="155"/>
      <c r="Q38" s="155"/>
      <c r="R38" s="155"/>
      <c r="S38" s="156"/>
      <c r="T38" s="113"/>
      <c r="U38" s="113"/>
      <c r="V38" s="188"/>
      <c r="W38" s="189"/>
      <c r="X38" s="190"/>
      <c r="Y38" s="113"/>
      <c r="Z38" s="113"/>
    </row>
    <row r="39" spans="1:26" ht="18" customHeight="1" x14ac:dyDescent="0.2">
      <c r="A39" s="29"/>
      <c r="B39" s="197" t="s">
        <v>178</v>
      </c>
      <c r="C39" s="198"/>
      <c r="D39" s="198"/>
      <c r="E39" s="198"/>
      <c r="F39" s="199"/>
      <c r="G39" s="114">
        <v>2</v>
      </c>
      <c r="H39" s="114"/>
      <c r="I39" s="191" t="s">
        <v>172</v>
      </c>
      <c r="J39" s="192"/>
      <c r="K39" s="193"/>
      <c r="L39" s="114" t="s">
        <v>173</v>
      </c>
      <c r="M39" s="114" t="s">
        <v>173</v>
      </c>
      <c r="N39" s="163"/>
      <c r="O39" s="164"/>
      <c r="P39" s="164"/>
      <c r="Q39" s="164"/>
      <c r="R39" s="164"/>
      <c r="S39" s="165"/>
      <c r="T39" s="114"/>
      <c r="U39" s="114"/>
      <c r="V39" s="191"/>
      <c r="W39" s="192"/>
      <c r="X39" s="193"/>
      <c r="Y39" s="114"/>
      <c r="Z39" s="114"/>
    </row>
    <row r="40" spans="1:26" ht="18" customHeight="1" x14ac:dyDescent="0.2">
      <c r="A40" s="29"/>
      <c r="B40" s="197" t="s">
        <v>179</v>
      </c>
      <c r="C40" s="198"/>
      <c r="D40" s="198"/>
      <c r="E40" s="198"/>
      <c r="F40" s="199"/>
      <c r="G40" s="114">
        <v>2</v>
      </c>
      <c r="H40" s="114"/>
      <c r="I40" s="191" t="s">
        <v>172</v>
      </c>
      <c r="J40" s="192"/>
      <c r="K40" s="193"/>
      <c r="L40" s="114" t="s">
        <v>173</v>
      </c>
      <c r="M40" s="114" t="s">
        <v>173</v>
      </c>
      <c r="N40" s="163"/>
      <c r="O40" s="164"/>
      <c r="P40" s="164"/>
      <c r="Q40" s="164"/>
      <c r="R40" s="164"/>
      <c r="S40" s="165"/>
      <c r="T40" s="114"/>
      <c r="U40" s="114"/>
      <c r="V40" s="191"/>
      <c r="W40" s="192"/>
      <c r="X40" s="193"/>
      <c r="Y40" s="114"/>
      <c r="Z40" s="114"/>
    </row>
    <row r="41" spans="1:26" ht="18" customHeight="1" x14ac:dyDescent="0.2">
      <c r="A41" s="29"/>
      <c r="B41" s="197" t="s">
        <v>176</v>
      </c>
      <c r="C41" s="198"/>
      <c r="D41" s="198"/>
      <c r="E41" s="198"/>
      <c r="F41" s="199"/>
      <c r="G41" s="114">
        <v>2</v>
      </c>
      <c r="H41" s="114"/>
      <c r="I41" s="191" t="s">
        <v>172</v>
      </c>
      <c r="J41" s="192"/>
      <c r="K41" s="193"/>
      <c r="L41" s="114" t="s">
        <v>173</v>
      </c>
      <c r="M41" s="114" t="s">
        <v>173</v>
      </c>
      <c r="N41" s="163"/>
      <c r="O41" s="164"/>
      <c r="P41" s="164"/>
      <c r="Q41" s="164"/>
      <c r="R41" s="164"/>
      <c r="S41" s="165"/>
      <c r="T41" s="114"/>
      <c r="U41" s="114"/>
      <c r="V41" s="191"/>
      <c r="W41" s="192"/>
      <c r="X41" s="193"/>
      <c r="Y41" s="114"/>
      <c r="Z41" s="114"/>
    </row>
    <row r="42" spans="1:26" ht="18" customHeight="1" x14ac:dyDescent="0.2">
      <c r="A42" s="29"/>
      <c r="B42" s="197" t="s">
        <v>180</v>
      </c>
      <c r="C42" s="198"/>
      <c r="D42" s="198"/>
      <c r="E42" s="198"/>
      <c r="F42" s="199"/>
      <c r="G42" s="114">
        <v>2</v>
      </c>
      <c r="H42" s="114"/>
      <c r="I42" s="191" t="s">
        <v>172</v>
      </c>
      <c r="J42" s="192"/>
      <c r="K42" s="193"/>
      <c r="L42" s="114" t="s">
        <v>173</v>
      </c>
      <c r="M42" s="114" t="s">
        <v>181</v>
      </c>
      <c r="N42" s="163"/>
      <c r="O42" s="164"/>
      <c r="P42" s="164"/>
      <c r="Q42" s="164"/>
      <c r="R42" s="164"/>
      <c r="S42" s="165"/>
      <c r="T42" s="114"/>
      <c r="U42" s="114"/>
      <c r="V42" s="191"/>
      <c r="W42" s="192"/>
      <c r="X42" s="193"/>
      <c r="Y42" s="114"/>
      <c r="Z42" s="114"/>
    </row>
    <row r="43" spans="1:26" ht="18" customHeight="1" x14ac:dyDescent="0.2">
      <c r="A43" s="29"/>
      <c r="B43" s="197"/>
      <c r="C43" s="198"/>
      <c r="D43" s="198"/>
      <c r="E43" s="198"/>
      <c r="F43" s="199"/>
      <c r="G43" s="114"/>
      <c r="H43" s="114"/>
      <c r="I43" s="191"/>
      <c r="J43" s="192"/>
      <c r="K43" s="193"/>
      <c r="L43" s="114"/>
      <c r="M43" s="114"/>
      <c r="N43" s="163"/>
      <c r="O43" s="164"/>
      <c r="P43" s="164"/>
      <c r="Q43" s="164"/>
      <c r="R43" s="164"/>
      <c r="S43" s="165"/>
      <c r="T43" s="114"/>
      <c r="U43" s="114"/>
      <c r="V43" s="191"/>
      <c r="W43" s="192"/>
      <c r="X43" s="193"/>
      <c r="Y43" s="114"/>
      <c r="Z43" s="114"/>
    </row>
    <row r="44" spans="1:26" ht="18" customHeight="1" x14ac:dyDescent="0.2">
      <c r="A44" s="29"/>
      <c r="B44" s="204"/>
      <c r="C44" s="205"/>
      <c r="D44" s="205"/>
      <c r="E44" s="205"/>
      <c r="F44" s="206"/>
      <c r="G44" s="115"/>
      <c r="H44" s="115"/>
      <c r="I44" s="200"/>
      <c r="J44" s="201"/>
      <c r="K44" s="202"/>
      <c r="L44" s="121"/>
      <c r="M44" s="121"/>
      <c r="N44" s="230"/>
      <c r="O44" s="231"/>
      <c r="P44" s="231"/>
      <c r="Q44" s="231"/>
      <c r="R44" s="231"/>
      <c r="S44" s="232"/>
      <c r="T44" s="115"/>
      <c r="U44" s="115"/>
      <c r="V44" s="200"/>
      <c r="W44" s="201"/>
      <c r="X44" s="202"/>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03" t="s">
        <v>133</v>
      </c>
      <c r="B46" s="203"/>
      <c r="C46" s="203"/>
      <c r="D46" s="203"/>
      <c r="E46" s="203"/>
      <c r="F46" s="203"/>
      <c r="G46" s="203"/>
      <c r="H46" s="203"/>
      <c r="I46" s="203"/>
      <c r="J46" s="203"/>
      <c r="K46" s="203"/>
      <c r="L46" s="203"/>
      <c r="M46" s="203"/>
      <c r="N46" s="203"/>
      <c r="O46" s="203"/>
      <c r="P46" s="203"/>
      <c r="Q46" s="203"/>
      <c r="R46" s="203"/>
      <c r="S46" s="203"/>
      <c r="T46" s="203"/>
      <c r="U46" s="203"/>
      <c r="V46" s="203"/>
      <c r="W46" s="203"/>
      <c r="X46" s="203"/>
      <c r="Y46" s="203"/>
      <c r="Z46" s="203"/>
    </row>
    <row r="47" spans="1:26" ht="18" customHeight="1" x14ac:dyDescent="0.2">
      <c r="A47" s="203"/>
      <c r="B47" s="203"/>
      <c r="C47" s="203"/>
      <c r="D47" s="203"/>
      <c r="E47" s="203"/>
      <c r="F47" s="203"/>
      <c r="G47" s="203"/>
      <c r="H47" s="203"/>
      <c r="I47" s="203"/>
      <c r="J47" s="203"/>
      <c r="K47" s="203"/>
      <c r="L47" s="203"/>
      <c r="M47" s="203"/>
      <c r="N47" s="203"/>
      <c r="O47" s="203"/>
      <c r="P47" s="203"/>
      <c r="Q47" s="203"/>
      <c r="R47" s="203"/>
      <c r="S47" s="203"/>
      <c r="T47" s="203"/>
      <c r="U47" s="203"/>
      <c r="V47" s="203"/>
      <c r="W47" s="203"/>
      <c r="X47" s="203"/>
      <c r="Y47" s="203"/>
      <c r="Z47" s="203"/>
    </row>
    <row r="48" spans="1:26" ht="18" customHeight="1" x14ac:dyDescent="0.2">
      <c r="A48" s="14"/>
      <c r="B48" s="147" t="s">
        <v>100</v>
      </c>
      <c r="C48" s="148"/>
      <c r="D48" s="148"/>
      <c r="E48" s="148"/>
      <c r="F48" s="149"/>
      <c r="G48" s="30" t="s">
        <v>142</v>
      </c>
      <c r="H48" s="112" t="s">
        <v>141</v>
      </c>
      <c r="I48" s="147" t="s">
        <v>101</v>
      </c>
      <c r="J48" s="148"/>
      <c r="K48" s="149"/>
      <c r="L48" s="75" t="s">
        <v>106</v>
      </c>
      <c r="M48" s="75" t="s">
        <v>108</v>
      </c>
      <c r="N48" s="147" t="s">
        <v>100</v>
      </c>
      <c r="O48" s="148"/>
      <c r="P48" s="148"/>
      <c r="Q48" s="148"/>
      <c r="R48" s="148"/>
      <c r="S48" s="149"/>
      <c r="T48" s="30" t="s">
        <v>142</v>
      </c>
      <c r="U48" s="112" t="s">
        <v>141</v>
      </c>
      <c r="V48" s="147" t="s">
        <v>101</v>
      </c>
      <c r="W48" s="148"/>
      <c r="X48" s="149"/>
      <c r="Y48" s="75" t="s">
        <v>106</v>
      </c>
      <c r="Z48" s="75" t="s">
        <v>108</v>
      </c>
    </row>
    <row r="49" spans="1:26" ht="18" customHeight="1" x14ac:dyDescent="0.2">
      <c r="A49" s="29"/>
      <c r="B49" s="194" t="s">
        <v>182</v>
      </c>
      <c r="C49" s="195"/>
      <c r="D49" s="195"/>
      <c r="E49" s="195"/>
      <c r="F49" s="196"/>
      <c r="G49" s="113">
        <v>2</v>
      </c>
      <c r="H49" s="113"/>
      <c r="I49" s="188" t="s">
        <v>172</v>
      </c>
      <c r="J49" s="189"/>
      <c r="K49" s="190"/>
      <c r="L49" s="113" t="s">
        <v>173</v>
      </c>
      <c r="M49" s="113" t="s">
        <v>173</v>
      </c>
      <c r="N49" s="154"/>
      <c r="O49" s="155"/>
      <c r="P49" s="155"/>
      <c r="Q49" s="155"/>
      <c r="R49" s="155"/>
      <c r="S49" s="156"/>
      <c r="T49" s="113"/>
      <c r="U49" s="113"/>
      <c r="V49" s="188"/>
      <c r="W49" s="189"/>
      <c r="X49" s="190"/>
      <c r="Y49" s="113"/>
      <c r="Z49" s="113"/>
    </row>
    <row r="50" spans="1:26" ht="18" customHeight="1" x14ac:dyDescent="0.2">
      <c r="A50" s="29"/>
      <c r="B50" s="197" t="s">
        <v>183</v>
      </c>
      <c r="C50" s="198"/>
      <c r="D50" s="198"/>
      <c r="E50" s="198"/>
      <c r="F50" s="199"/>
      <c r="G50" s="114">
        <v>2</v>
      </c>
      <c r="H50" s="114"/>
      <c r="I50" s="191" t="s">
        <v>172</v>
      </c>
      <c r="J50" s="192"/>
      <c r="K50" s="193"/>
      <c r="L50" s="114" t="s">
        <v>173</v>
      </c>
      <c r="M50" s="114" t="s">
        <v>173</v>
      </c>
      <c r="N50" s="163"/>
      <c r="O50" s="164"/>
      <c r="P50" s="164"/>
      <c r="Q50" s="164"/>
      <c r="R50" s="164"/>
      <c r="S50" s="165"/>
      <c r="T50" s="114"/>
      <c r="U50" s="114"/>
      <c r="V50" s="191"/>
      <c r="W50" s="192"/>
      <c r="X50" s="193"/>
      <c r="Y50" s="114"/>
      <c r="Z50" s="114"/>
    </row>
    <row r="51" spans="1:26" ht="18" customHeight="1" x14ac:dyDescent="0.2">
      <c r="A51" s="29"/>
      <c r="B51" s="197" t="s">
        <v>176</v>
      </c>
      <c r="C51" s="198"/>
      <c r="D51" s="198"/>
      <c r="E51" s="198"/>
      <c r="F51" s="199"/>
      <c r="G51" s="114">
        <v>2</v>
      </c>
      <c r="H51" s="114"/>
      <c r="I51" s="191" t="s">
        <v>172</v>
      </c>
      <c r="J51" s="192"/>
      <c r="K51" s="193"/>
      <c r="L51" s="114" t="s">
        <v>173</v>
      </c>
      <c r="M51" s="114" t="s">
        <v>173</v>
      </c>
      <c r="N51" s="163"/>
      <c r="O51" s="164"/>
      <c r="P51" s="164"/>
      <c r="Q51" s="164"/>
      <c r="R51" s="164"/>
      <c r="S51" s="165"/>
      <c r="T51" s="114"/>
      <c r="U51" s="114"/>
      <c r="V51" s="191"/>
      <c r="W51" s="192"/>
      <c r="X51" s="193"/>
      <c r="Y51" s="114"/>
      <c r="Z51" s="114"/>
    </row>
    <row r="52" spans="1:26" ht="18" customHeight="1" x14ac:dyDescent="0.2">
      <c r="A52" s="29"/>
      <c r="B52" s="197" t="s">
        <v>184</v>
      </c>
      <c r="C52" s="198"/>
      <c r="D52" s="198"/>
      <c r="E52" s="198"/>
      <c r="F52" s="199"/>
      <c r="G52" s="114">
        <v>2</v>
      </c>
      <c r="H52" s="114"/>
      <c r="I52" s="191" t="s">
        <v>172</v>
      </c>
      <c r="J52" s="192"/>
      <c r="K52" s="193"/>
      <c r="L52" s="114" t="s">
        <v>173</v>
      </c>
      <c r="M52" s="114" t="s">
        <v>173</v>
      </c>
      <c r="N52" s="163"/>
      <c r="O52" s="164"/>
      <c r="P52" s="164"/>
      <c r="Q52" s="164"/>
      <c r="R52" s="164"/>
      <c r="S52" s="165"/>
      <c r="T52" s="114"/>
      <c r="U52" s="114"/>
      <c r="V52" s="191"/>
      <c r="W52" s="192"/>
      <c r="X52" s="193"/>
      <c r="Y52" s="114"/>
      <c r="Z52" s="114"/>
    </row>
    <row r="53" spans="1:26" ht="18" customHeight="1" x14ac:dyDescent="0.2">
      <c r="A53" s="29"/>
      <c r="B53" s="197"/>
      <c r="C53" s="198"/>
      <c r="D53" s="198"/>
      <c r="E53" s="198"/>
      <c r="F53" s="199"/>
      <c r="G53" s="114"/>
      <c r="H53" s="114"/>
      <c r="I53" s="191"/>
      <c r="J53" s="192"/>
      <c r="K53" s="193"/>
      <c r="L53" s="114"/>
      <c r="M53" s="114"/>
      <c r="N53" s="163"/>
      <c r="O53" s="164"/>
      <c r="P53" s="164"/>
      <c r="Q53" s="164"/>
      <c r="R53" s="164"/>
      <c r="S53" s="165"/>
      <c r="T53" s="114"/>
      <c r="U53" s="114"/>
      <c r="V53" s="191"/>
      <c r="W53" s="192"/>
      <c r="X53" s="193"/>
      <c r="Y53" s="114"/>
      <c r="Z53" s="114"/>
    </row>
    <row r="54" spans="1:26" ht="18" customHeight="1" x14ac:dyDescent="0.2">
      <c r="A54" s="29"/>
      <c r="B54" s="197"/>
      <c r="C54" s="198"/>
      <c r="D54" s="198"/>
      <c r="E54" s="198"/>
      <c r="F54" s="199"/>
      <c r="G54" s="114"/>
      <c r="H54" s="114"/>
      <c r="I54" s="191"/>
      <c r="J54" s="192"/>
      <c r="K54" s="193"/>
      <c r="L54" s="114"/>
      <c r="M54" s="114"/>
      <c r="N54" s="163"/>
      <c r="O54" s="164"/>
      <c r="P54" s="164"/>
      <c r="Q54" s="164"/>
      <c r="R54" s="164"/>
      <c r="S54" s="165"/>
      <c r="T54" s="114"/>
      <c r="U54" s="114"/>
      <c r="V54" s="191"/>
      <c r="W54" s="192"/>
      <c r="X54" s="193"/>
      <c r="Y54" s="114"/>
      <c r="Z54" s="114"/>
    </row>
    <row r="55" spans="1:26" ht="18" customHeight="1" x14ac:dyDescent="0.2">
      <c r="A55" s="29"/>
      <c r="B55" s="204"/>
      <c r="C55" s="205"/>
      <c r="D55" s="205"/>
      <c r="E55" s="205"/>
      <c r="F55" s="206"/>
      <c r="G55" s="115"/>
      <c r="H55" s="115"/>
      <c r="I55" s="200"/>
      <c r="J55" s="201"/>
      <c r="K55" s="202"/>
      <c r="L55" s="121"/>
      <c r="M55" s="121"/>
      <c r="N55" s="230"/>
      <c r="O55" s="231"/>
      <c r="P55" s="231"/>
      <c r="Q55" s="231"/>
      <c r="R55" s="231"/>
      <c r="S55" s="232"/>
      <c r="T55" s="115"/>
      <c r="U55" s="115"/>
      <c r="V55" s="200"/>
      <c r="W55" s="201"/>
      <c r="X55" s="202"/>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03" t="s">
        <v>134</v>
      </c>
      <c r="B57" s="203"/>
      <c r="C57" s="203"/>
      <c r="D57" s="203"/>
      <c r="E57" s="203"/>
      <c r="F57" s="203"/>
      <c r="G57" s="203"/>
      <c r="H57" s="203"/>
      <c r="I57" s="203"/>
      <c r="J57" s="203"/>
      <c r="K57" s="203"/>
      <c r="L57" s="203"/>
      <c r="M57" s="203"/>
      <c r="N57" s="203"/>
      <c r="O57" s="203"/>
      <c r="P57" s="203"/>
      <c r="Q57" s="203"/>
      <c r="R57" s="203"/>
      <c r="S57" s="203"/>
      <c r="T57" s="203"/>
      <c r="U57" s="203"/>
      <c r="V57" s="203"/>
      <c r="W57" s="203"/>
      <c r="X57" s="203"/>
      <c r="Y57" s="203"/>
      <c r="Z57" s="203"/>
    </row>
    <row r="58" spans="1:26" ht="18" customHeight="1" x14ac:dyDescent="0.2">
      <c r="A58" s="203"/>
      <c r="B58" s="203"/>
      <c r="C58" s="203"/>
      <c r="D58" s="203"/>
      <c r="E58" s="203"/>
      <c r="F58" s="203"/>
      <c r="G58" s="203"/>
      <c r="H58" s="203"/>
      <c r="I58" s="203"/>
      <c r="J58" s="203"/>
      <c r="K58" s="203"/>
      <c r="L58" s="203"/>
      <c r="M58" s="203"/>
      <c r="N58" s="203"/>
      <c r="O58" s="203"/>
      <c r="P58" s="203"/>
      <c r="Q58" s="203"/>
      <c r="R58" s="203"/>
      <c r="S58" s="203"/>
      <c r="T58" s="203"/>
      <c r="U58" s="203"/>
      <c r="V58" s="203"/>
      <c r="W58" s="203"/>
      <c r="X58" s="203"/>
      <c r="Y58" s="203"/>
      <c r="Z58" s="203"/>
    </row>
    <row r="59" spans="1:26" ht="18" customHeight="1" x14ac:dyDescent="0.2">
      <c r="A59" s="14"/>
      <c r="B59" s="147" t="s">
        <v>100</v>
      </c>
      <c r="C59" s="148"/>
      <c r="D59" s="148"/>
      <c r="E59" s="149"/>
      <c r="F59" s="30" t="s">
        <v>142</v>
      </c>
      <c r="G59" s="112" t="s">
        <v>141</v>
      </c>
      <c r="H59" s="107" t="s">
        <v>101</v>
      </c>
      <c r="I59" s="108"/>
      <c r="J59" s="109"/>
      <c r="K59" s="75" t="s">
        <v>105</v>
      </c>
      <c r="L59" s="75" t="s">
        <v>135</v>
      </c>
      <c r="M59" s="75" t="s">
        <v>136</v>
      </c>
      <c r="N59" s="147" t="s">
        <v>100</v>
      </c>
      <c r="O59" s="148"/>
      <c r="P59" s="148"/>
      <c r="Q59" s="148"/>
      <c r="R59" s="149"/>
      <c r="S59" s="30" t="s">
        <v>142</v>
      </c>
      <c r="T59" s="112" t="s">
        <v>141</v>
      </c>
      <c r="U59" s="107" t="s">
        <v>101</v>
      </c>
      <c r="V59" s="108"/>
      <c r="W59" s="109"/>
      <c r="X59" s="75" t="s">
        <v>105</v>
      </c>
      <c r="Y59" s="75" t="s">
        <v>135</v>
      </c>
      <c r="Z59" s="75" t="s">
        <v>136</v>
      </c>
    </row>
    <row r="60" spans="1:26" ht="18" customHeight="1" x14ac:dyDescent="0.2">
      <c r="A60" s="29"/>
      <c r="B60" s="154" t="s">
        <v>185</v>
      </c>
      <c r="C60" s="155"/>
      <c r="D60" s="155"/>
      <c r="E60" s="156"/>
      <c r="F60" s="113">
        <v>2</v>
      </c>
      <c r="G60" s="113"/>
      <c r="H60" s="188" t="s">
        <v>172</v>
      </c>
      <c r="I60" s="189"/>
      <c r="J60" s="190"/>
      <c r="K60" s="120" t="s">
        <v>188</v>
      </c>
      <c r="L60" s="122" t="s">
        <v>187</v>
      </c>
      <c r="M60" s="113" t="s">
        <v>173</v>
      </c>
      <c r="N60" s="154"/>
      <c r="O60" s="155"/>
      <c r="P60" s="155"/>
      <c r="Q60" s="155"/>
      <c r="R60" s="156"/>
      <c r="S60" s="113"/>
      <c r="T60" s="113"/>
      <c r="U60" s="188"/>
      <c r="V60" s="189"/>
      <c r="W60" s="190"/>
      <c r="X60" s="120"/>
      <c r="Y60" s="113"/>
      <c r="Z60" s="113"/>
    </row>
    <row r="61" spans="1:26" ht="18" customHeight="1" x14ac:dyDescent="0.2">
      <c r="A61" s="29"/>
      <c r="B61" s="163" t="s">
        <v>186</v>
      </c>
      <c r="C61" s="164"/>
      <c r="D61" s="164"/>
      <c r="E61" s="165"/>
      <c r="F61" s="114">
        <v>2</v>
      </c>
      <c r="G61" s="114"/>
      <c r="H61" s="191" t="s">
        <v>172</v>
      </c>
      <c r="I61" s="192"/>
      <c r="J61" s="193"/>
      <c r="K61" s="122" t="s">
        <v>187</v>
      </c>
      <c r="L61" s="122" t="s">
        <v>187</v>
      </c>
      <c r="M61" s="114" t="s">
        <v>173</v>
      </c>
      <c r="N61" s="163"/>
      <c r="O61" s="164"/>
      <c r="P61" s="164"/>
      <c r="Q61" s="164"/>
      <c r="R61" s="165"/>
      <c r="S61" s="114"/>
      <c r="T61" s="114"/>
      <c r="U61" s="191"/>
      <c r="V61" s="192"/>
      <c r="W61" s="193"/>
      <c r="X61" s="118"/>
      <c r="Y61" s="114"/>
      <c r="Z61" s="114"/>
    </row>
    <row r="62" spans="1:26" ht="18" customHeight="1" x14ac:dyDescent="0.2">
      <c r="A62" s="29"/>
      <c r="B62" s="163"/>
      <c r="C62" s="164"/>
      <c r="D62" s="164"/>
      <c r="E62" s="165"/>
      <c r="F62" s="114"/>
      <c r="G62" s="114"/>
      <c r="H62" s="191"/>
      <c r="I62" s="192"/>
      <c r="J62" s="193"/>
      <c r="K62" s="122"/>
      <c r="L62" s="122"/>
      <c r="M62" s="114"/>
      <c r="N62" s="163"/>
      <c r="O62" s="164"/>
      <c r="P62" s="164"/>
      <c r="Q62" s="164"/>
      <c r="R62" s="165"/>
      <c r="S62" s="114"/>
      <c r="T62" s="114"/>
      <c r="U62" s="191"/>
      <c r="V62" s="192"/>
      <c r="W62" s="193"/>
      <c r="X62" s="118"/>
      <c r="Y62" s="114"/>
      <c r="Z62" s="114"/>
    </row>
    <row r="63" spans="1:26" ht="18" customHeight="1" x14ac:dyDescent="0.2">
      <c r="A63" s="29"/>
      <c r="B63" s="163"/>
      <c r="C63" s="164"/>
      <c r="D63" s="164"/>
      <c r="E63" s="165"/>
      <c r="F63" s="114"/>
      <c r="G63" s="114"/>
      <c r="H63" s="191"/>
      <c r="I63" s="192"/>
      <c r="J63" s="193"/>
      <c r="K63" s="118"/>
      <c r="L63" s="114"/>
      <c r="M63" s="114"/>
      <c r="N63" s="163"/>
      <c r="O63" s="164"/>
      <c r="P63" s="164"/>
      <c r="Q63" s="164"/>
      <c r="R63" s="165"/>
      <c r="S63" s="114"/>
      <c r="T63" s="114"/>
      <c r="U63" s="191"/>
      <c r="V63" s="192"/>
      <c r="W63" s="193"/>
      <c r="X63" s="118"/>
      <c r="Y63" s="114"/>
      <c r="Z63" s="114"/>
    </row>
    <row r="64" spans="1:26" ht="18" customHeight="1" x14ac:dyDescent="0.2">
      <c r="A64" s="29"/>
      <c r="B64" s="163"/>
      <c r="C64" s="164"/>
      <c r="D64" s="164"/>
      <c r="E64" s="165"/>
      <c r="F64" s="114"/>
      <c r="G64" s="114"/>
      <c r="H64" s="191"/>
      <c r="I64" s="192"/>
      <c r="J64" s="193"/>
      <c r="K64" s="118"/>
      <c r="L64" s="114"/>
      <c r="M64" s="114"/>
      <c r="N64" s="163"/>
      <c r="O64" s="164"/>
      <c r="P64" s="164"/>
      <c r="Q64" s="164"/>
      <c r="R64" s="165"/>
      <c r="S64" s="114"/>
      <c r="T64" s="114"/>
      <c r="U64" s="191"/>
      <c r="V64" s="192"/>
      <c r="W64" s="193"/>
      <c r="X64" s="118"/>
      <c r="Y64" s="114"/>
      <c r="Z64" s="114"/>
    </row>
    <row r="65" spans="1:26" ht="18" customHeight="1" x14ac:dyDescent="0.2">
      <c r="A65" s="29"/>
      <c r="B65" s="163"/>
      <c r="C65" s="164"/>
      <c r="D65" s="164"/>
      <c r="E65" s="165"/>
      <c r="F65" s="114"/>
      <c r="G65" s="114"/>
      <c r="H65" s="191"/>
      <c r="I65" s="192"/>
      <c r="J65" s="193"/>
      <c r="K65" s="118"/>
      <c r="L65" s="114"/>
      <c r="M65" s="114"/>
      <c r="N65" s="163"/>
      <c r="O65" s="164"/>
      <c r="P65" s="164"/>
      <c r="Q65" s="164"/>
      <c r="R65" s="165"/>
      <c r="S65" s="114"/>
      <c r="T65" s="114"/>
      <c r="U65" s="191"/>
      <c r="V65" s="192"/>
      <c r="W65" s="193"/>
      <c r="X65" s="118"/>
      <c r="Y65" s="114"/>
      <c r="Z65" s="114"/>
    </row>
    <row r="66" spans="1:26" ht="18" customHeight="1" x14ac:dyDescent="0.2">
      <c r="A66" s="29"/>
      <c r="B66" s="230"/>
      <c r="C66" s="231"/>
      <c r="D66" s="231"/>
      <c r="E66" s="232"/>
      <c r="F66" s="115"/>
      <c r="G66" s="115"/>
      <c r="H66" s="200"/>
      <c r="I66" s="201"/>
      <c r="J66" s="202"/>
      <c r="K66" s="119"/>
      <c r="L66" s="121"/>
      <c r="M66" s="121"/>
      <c r="N66" s="230"/>
      <c r="O66" s="231"/>
      <c r="P66" s="231"/>
      <c r="Q66" s="231"/>
      <c r="R66" s="232"/>
      <c r="S66" s="115"/>
      <c r="T66" s="115"/>
      <c r="U66" s="200"/>
      <c r="V66" s="201"/>
      <c r="W66" s="202"/>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47" t="s">
        <v>100</v>
      </c>
      <c r="C69" s="148"/>
      <c r="D69" s="148"/>
      <c r="E69" s="148"/>
      <c r="F69" s="149"/>
      <c r="G69" s="147" t="s">
        <v>147</v>
      </c>
      <c r="H69" s="148"/>
      <c r="I69" s="148"/>
      <c r="J69" s="148"/>
      <c r="K69" s="148"/>
      <c r="L69" s="148"/>
      <c r="M69" s="149"/>
      <c r="N69" s="236" t="s">
        <v>100</v>
      </c>
      <c r="O69" s="237"/>
      <c r="P69" s="237"/>
      <c r="Q69" s="237"/>
      <c r="R69" s="237"/>
      <c r="S69" s="238"/>
      <c r="T69" s="147" t="s">
        <v>147</v>
      </c>
      <c r="U69" s="148"/>
      <c r="V69" s="148"/>
      <c r="W69" s="148"/>
      <c r="X69" s="148"/>
      <c r="Y69" s="148"/>
      <c r="Z69" s="149"/>
    </row>
    <row r="70" spans="1:26" ht="18" customHeight="1" x14ac:dyDescent="0.2">
      <c r="A70" s="29"/>
      <c r="B70" s="154" t="s">
        <v>189</v>
      </c>
      <c r="C70" s="155"/>
      <c r="D70" s="155"/>
      <c r="E70" s="155"/>
      <c r="F70" s="156"/>
      <c r="G70" s="157" t="s">
        <v>190</v>
      </c>
      <c r="H70" s="158"/>
      <c r="I70" s="158"/>
      <c r="J70" s="158"/>
      <c r="K70" s="158"/>
      <c r="L70" s="158"/>
      <c r="M70" s="159"/>
      <c r="N70" s="154"/>
      <c r="O70" s="155"/>
      <c r="P70" s="155"/>
      <c r="Q70" s="155"/>
      <c r="R70" s="155"/>
      <c r="S70" s="156"/>
      <c r="T70" s="157"/>
      <c r="U70" s="158"/>
      <c r="V70" s="158"/>
      <c r="W70" s="158"/>
      <c r="X70" s="158"/>
      <c r="Y70" s="158"/>
      <c r="Z70" s="159"/>
    </row>
    <row r="71" spans="1:26" ht="18" customHeight="1" x14ac:dyDescent="0.2">
      <c r="A71" s="29"/>
      <c r="B71" s="163"/>
      <c r="C71" s="164"/>
      <c r="D71" s="164"/>
      <c r="E71" s="164"/>
      <c r="F71" s="165"/>
      <c r="G71" s="166"/>
      <c r="H71" s="167"/>
      <c r="I71" s="167"/>
      <c r="J71" s="167"/>
      <c r="K71" s="167"/>
      <c r="L71" s="167"/>
      <c r="M71" s="168"/>
      <c r="N71" s="163"/>
      <c r="O71" s="164"/>
      <c r="P71" s="164"/>
      <c r="Q71" s="164"/>
      <c r="R71" s="164"/>
      <c r="S71" s="165"/>
      <c r="T71" s="166"/>
      <c r="U71" s="167"/>
      <c r="V71" s="167"/>
      <c r="W71" s="167"/>
      <c r="X71" s="167"/>
      <c r="Y71" s="167"/>
      <c r="Z71" s="168"/>
    </row>
    <row r="72" spans="1:26" ht="18" customHeight="1" x14ac:dyDescent="0.2">
      <c r="A72" s="29"/>
      <c r="B72" s="163"/>
      <c r="C72" s="164"/>
      <c r="D72" s="164"/>
      <c r="E72" s="164"/>
      <c r="F72" s="165"/>
      <c r="G72" s="166"/>
      <c r="H72" s="167"/>
      <c r="I72" s="167"/>
      <c r="J72" s="167"/>
      <c r="K72" s="167"/>
      <c r="L72" s="167"/>
      <c r="M72" s="168"/>
      <c r="N72" s="163"/>
      <c r="O72" s="164"/>
      <c r="P72" s="164"/>
      <c r="Q72" s="164"/>
      <c r="R72" s="164"/>
      <c r="S72" s="165"/>
      <c r="T72" s="166"/>
      <c r="U72" s="167"/>
      <c r="V72" s="167"/>
      <c r="W72" s="167"/>
      <c r="X72" s="167"/>
      <c r="Y72" s="167"/>
      <c r="Z72" s="168"/>
    </row>
    <row r="73" spans="1:26" ht="18" customHeight="1" x14ac:dyDescent="0.2">
      <c r="A73" s="29"/>
      <c r="B73" s="163"/>
      <c r="C73" s="164"/>
      <c r="D73" s="164"/>
      <c r="E73" s="164"/>
      <c r="F73" s="165"/>
      <c r="G73" s="166"/>
      <c r="H73" s="167"/>
      <c r="I73" s="167"/>
      <c r="J73" s="167"/>
      <c r="K73" s="167"/>
      <c r="L73" s="167"/>
      <c r="M73" s="168"/>
      <c r="N73" s="163"/>
      <c r="O73" s="164"/>
      <c r="P73" s="164"/>
      <c r="Q73" s="164"/>
      <c r="R73" s="164"/>
      <c r="S73" s="165"/>
      <c r="T73" s="166"/>
      <c r="U73" s="167"/>
      <c r="V73" s="167"/>
      <c r="W73" s="167"/>
      <c r="X73" s="167"/>
      <c r="Y73" s="167"/>
      <c r="Z73" s="168"/>
    </row>
    <row r="74" spans="1:26" ht="18" customHeight="1" x14ac:dyDescent="0.2">
      <c r="A74" s="29"/>
      <c r="B74" s="163"/>
      <c r="C74" s="164"/>
      <c r="D74" s="164"/>
      <c r="E74" s="164"/>
      <c r="F74" s="165"/>
      <c r="G74" s="166"/>
      <c r="H74" s="167"/>
      <c r="I74" s="167"/>
      <c r="J74" s="167"/>
      <c r="K74" s="167"/>
      <c r="L74" s="167"/>
      <c r="M74" s="168"/>
      <c r="N74" s="163"/>
      <c r="O74" s="164"/>
      <c r="P74" s="164"/>
      <c r="Q74" s="164"/>
      <c r="R74" s="164"/>
      <c r="S74" s="165"/>
      <c r="T74" s="166"/>
      <c r="U74" s="167"/>
      <c r="V74" s="167"/>
      <c r="W74" s="167"/>
      <c r="X74" s="167"/>
      <c r="Y74" s="167"/>
      <c r="Z74" s="168"/>
    </row>
    <row r="75" spans="1:26" ht="18" customHeight="1" x14ac:dyDescent="0.2">
      <c r="A75" s="29"/>
      <c r="B75" s="163"/>
      <c r="C75" s="164"/>
      <c r="D75" s="164"/>
      <c r="E75" s="164"/>
      <c r="F75" s="165"/>
      <c r="G75" s="166"/>
      <c r="H75" s="167"/>
      <c r="I75" s="167"/>
      <c r="J75" s="167"/>
      <c r="K75" s="167"/>
      <c r="L75" s="167"/>
      <c r="M75" s="168"/>
      <c r="N75" s="163"/>
      <c r="O75" s="164"/>
      <c r="P75" s="164"/>
      <c r="Q75" s="164"/>
      <c r="R75" s="164"/>
      <c r="S75" s="165"/>
      <c r="T75" s="166"/>
      <c r="U75" s="167"/>
      <c r="V75" s="167"/>
      <c r="W75" s="167"/>
      <c r="X75" s="167"/>
      <c r="Y75" s="167"/>
      <c r="Z75" s="168"/>
    </row>
    <row r="76" spans="1:26" ht="18" customHeight="1" x14ac:dyDescent="0.2">
      <c r="A76" s="29"/>
      <c r="B76" s="230"/>
      <c r="C76" s="231"/>
      <c r="D76" s="231"/>
      <c r="E76" s="231"/>
      <c r="F76" s="232"/>
      <c r="G76" s="233"/>
      <c r="H76" s="234"/>
      <c r="I76" s="234"/>
      <c r="J76" s="234"/>
      <c r="K76" s="234"/>
      <c r="L76" s="234"/>
      <c r="M76" s="235"/>
      <c r="N76" s="230"/>
      <c r="O76" s="231"/>
      <c r="P76" s="231"/>
      <c r="Q76" s="231"/>
      <c r="R76" s="231"/>
      <c r="S76" s="232"/>
      <c r="T76" s="233"/>
      <c r="U76" s="234"/>
      <c r="V76" s="234"/>
      <c r="W76" s="234"/>
      <c r="X76" s="234"/>
      <c r="Y76" s="234"/>
      <c r="Z76" s="235"/>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143</v>
      </c>
    </row>
    <row r="79" spans="1:26" ht="18.75" customHeight="1" x14ac:dyDescent="0.2">
      <c r="B79" s="78" t="s">
        <v>102</v>
      </c>
      <c r="C79" s="79"/>
      <c r="D79" s="186" t="s">
        <v>103</v>
      </c>
      <c r="E79" s="186"/>
      <c r="F79" s="186"/>
      <c r="G79" s="186"/>
      <c r="H79" s="186"/>
      <c r="I79" s="186"/>
      <c r="J79" s="186"/>
      <c r="K79" s="186"/>
      <c r="L79" s="186"/>
      <c r="M79" s="186"/>
      <c r="N79" s="186"/>
      <c r="O79" s="186"/>
      <c r="P79" s="186"/>
      <c r="Q79" s="186"/>
      <c r="R79" s="186"/>
      <c r="S79" s="186"/>
      <c r="T79" s="186"/>
      <c r="U79" s="186"/>
      <c r="V79" s="186"/>
      <c r="W79" s="186"/>
      <c r="X79" s="186"/>
      <c r="Y79" s="186"/>
      <c r="Z79" s="187"/>
    </row>
    <row r="80" spans="1:26" ht="194.15" customHeight="1" x14ac:dyDescent="0.2">
      <c r="B80" s="171" t="s">
        <v>109</v>
      </c>
      <c r="C80" s="85" t="s">
        <v>104</v>
      </c>
      <c r="D80" s="180" t="s">
        <v>191</v>
      </c>
      <c r="E80" s="181"/>
      <c r="F80" s="181"/>
      <c r="G80" s="181"/>
      <c r="H80" s="181"/>
      <c r="I80" s="181"/>
      <c r="J80" s="181"/>
      <c r="K80" s="181"/>
      <c r="L80" s="181"/>
      <c r="M80" s="181"/>
      <c r="N80" s="181"/>
      <c r="O80" s="181"/>
      <c r="P80" s="181"/>
      <c r="Q80" s="181"/>
      <c r="R80" s="181"/>
      <c r="S80" s="181"/>
      <c r="T80" s="181"/>
      <c r="U80" s="181"/>
      <c r="V80" s="181"/>
      <c r="W80" s="181"/>
      <c r="X80" s="181"/>
      <c r="Y80" s="181"/>
      <c r="Z80" s="182"/>
    </row>
    <row r="81" spans="1:26" ht="249" customHeight="1" x14ac:dyDescent="0.2">
      <c r="B81" s="172"/>
      <c r="C81" s="110" t="s">
        <v>138</v>
      </c>
      <c r="D81" s="218" t="s">
        <v>192</v>
      </c>
      <c r="E81" s="219"/>
      <c r="F81" s="219"/>
      <c r="G81" s="219"/>
      <c r="H81" s="219"/>
      <c r="I81" s="219"/>
      <c r="J81" s="219"/>
      <c r="K81" s="219"/>
      <c r="L81" s="219"/>
      <c r="M81" s="219"/>
      <c r="N81" s="219"/>
      <c r="O81" s="219"/>
      <c r="P81" s="219"/>
      <c r="Q81" s="219"/>
      <c r="R81" s="219"/>
      <c r="S81" s="219"/>
      <c r="T81" s="219"/>
      <c r="U81" s="219"/>
      <c r="V81" s="219"/>
      <c r="W81" s="219"/>
      <c r="X81" s="219"/>
      <c r="Y81" s="219"/>
      <c r="Z81" s="220"/>
    </row>
    <row r="82" spans="1:26" ht="149.15" customHeight="1" x14ac:dyDescent="0.2">
      <c r="B82" s="169" t="s">
        <v>110</v>
      </c>
      <c r="C82" s="80" t="s">
        <v>128</v>
      </c>
      <c r="D82" s="221" t="s">
        <v>193</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238" customHeight="1" x14ac:dyDescent="0.2">
      <c r="B83" s="170"/>
      <c r="C83" s="111" t="s">
        <v>129</v>
      </c>
      <c r="D83" s="227" t="s">
        <v>194</v>
      </c>
      <c r="E83" s="228"/>
      <c r="F83" s="228"/>
      <c r="G83" s="228"/>
      <c r="H83" s="228"/>
      <c r="I83" s="228"/>
      <c r="J83" s="228"/>
      <c r="K83" s="228"/>
      <c r="L83" s="228"/>
      <c r="M83" s="228"/>
      <c r="N83" s="228"/>
      <c r="O83" s="228"/>
      <c r="P83" s="228"/>
      <c r="Q83" s="228"/>
      <c r="R83" s="228"/>
      <c r="S83" s="228"/>
      <c r="T83" s="228"/>
      <c r="U83" s="228"/>
      <c r="V83" s="228"/>
      <c r="W83" s="228"/>
      <c r="X83" s="228"/>
      <c r="Y83" s="228"/>
      <c r="Z83" s="229"/>
    </row>
    <row r="84" spans="1:26" ht="267" customHeight="1" x14ac:dyDescent="0.2">
      <c r="B84" s="169" t="s">
        <v>111</v>
      </c>
      <c r="C84" s="80" t="s">
        <v>131</v>
      </c>
      <c r="D84" s="221" t="s">
        <v>195</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272.14999999999998" customHeight="1" x14ac:dyDescent="0.2">
      <c r="B85" s="170"/>
      <c r="C85" s="82" t="s">
        <v>132</v>
      </c>
      <c r="D85" s="224" t="s">
        <v>196</v>
      </c>
      <c r="E85" s="225"/>
      <c r="F85" s="225"/>
      <c r="G85" s="225"/>
      <c r="H85" s="225"/>
      <c r="I85" s="225"/>
      <c r="J85" s="225"/>
      <c r="K85" s="225"/>
      <c r="L85" s="225"/>
      <c r="M85" s="225"/>
      <c r="N85" s="225"/>
      <c r="O85" s="225"/>
      <c r="P85" s="225"/>
      <c r="Q85" s="225"/>
      <c r="R85" s="225"/>
      <c r="S85" s="225"/>
      <c r="T85" s="225"/>
      <c r="U85" s="225"/>
      <c r="V85" s="225"/>
      <c r="W85" s="225"/>
      <c r="X85" s="225"/>
      <c r="Y85" s="225"/>
      <c r="Z85" s="226"/>
    </row>
    <row r="86" spans="1:26" ht="158.15" customHeight="1" x14ac:dyDescent="0.2">
      <c r="B86" s="171" t="s">
        <v>139</v>
      </c>
      <c r="C86" s="85" t="s">
        <v>106</v>
      </c>
      <c r="D86" s="180" t="s">
        <v>197</v>
      </c>
      <c r="E86" s="181"/>
      <c r="F86" s="181"/>
      <c r="G86" s="181"/>
      <c r="H86" s="181"/>
      <c r="I86" s="181"/>
      <c r="J86" s="181"/>
      <c r="K86" s="181"/>
      <c r="L86" s="181"/>
      <c r="M86" s="181"/>
      <c r="N86" s="181"/>
      <c r="O86" s="181"/>
      <c r="P86" s="181"/>
      <c r="Q86" s="181"/>
      <c r="R86" s="181"/>
      <c r="S86" s="181"/>
      <c r="T86" s="181"/>
      <c r="U86" s="181"/>
      <c r="V86" s="181"/>
      <c r="W86" s="181"/>
      <c r="X86" s="181"/>
      <c r="Y86" s="181"/>
      <c r="Z86" s="182"/>
    </row>
    <row r="87" spans="1:26" ht="164.15" customHeight="1" x14ac:dyDescent="0.2">
      <c r="B87" s="179"/>
      <c r="C87" s="81" t="s">
        <v>108</v>
      </c>
      <c r="D87" s="183" t="s">
        <v>198</v>
      </c>
      <c r="E87" s="184"/>
      <c r="F87" s="184"/>
      <c r="G87" s="184"/>
      <c r="H87" s="184"/>
      <c r="I87" s="184"/>
      <c r="J87" s="184"/>
      <c r="K87" s="184"/>
      <c r="L87" s="184"/>
      <c r="M87" s="184"/>
      <c r="N87" s="184"/>
      <c r="O87" s="184"/>
      <c r="P87" s="184"/>
      <c r="Q87" s="184"/>
      <c r="R87" s="184"/>
      <c r="S87" s="184"/>
      <c r="T87" s="184"/>
      <c r="U87" s="184"/>
      <c r="V87" s="184"/>
      <c r="W87" s="184"/>
      <c r="X87" s="184"/>
      <c r="Y87" s="184"/>
      <c r="Z87" s="185"/>
    </row>
    <row r="88" spans="1:26" ht="123" customHeight="1" x14ac:dyDescent="0.2">
      <c r="B88" s="171" t="s">
        <v>140</v>
      </c>
      <c r="C88" s="80" t="s">
        <v>105</v>
      </c>
      <c r="D88" s="173" t="s">
        <v>199</v>
      </c>
      <c r="E88" s="174"/>
      <c r="F88" s="174"/>
      <c r="G88" s="174"/>
      <c r="H88" s="174"/>
      <c r="I88" s="174"/>
      <c r="J88" s="174"/>
      <c r="K88" s="174"/>
      <c r="L88" s="174"/>
      <c r="M88" s="174"/>
      <c r="N88" s="174"/>
      <c r="O88" s="174"/>
      <c r="P88" s="174"/>
      <c r="Q88" s="174"/>
      <c r="R88" s="174"/>
      <c r="S88" s="174"/>
      <c r="T88" s="174"/>
      <c r="U88" s="174"/>
      <c r="V88" s="174"/>
      <c r="W88" s="174"/>
      <c r="X88" s="174"/>
      <c r="Y88" s="174"/>
      <c r="Z88" s="175"/>
    </row>
    <row r="89" spans="1:26" ht="114" customHeight="1" x14ac:dyDescent="0.2">
      <c r="B89" s="172"/>
      <c r="C89" s="81" t="s">
        <v>135</v>
      </c>
      <c r="D89" s="160" t="s">
        <v>200</v>
      </c>
      <c r="E89" s="161"/>
      <c r="F89" s="161"/>
      <c r="G89" s="161"/>
      <c r="H89" s="161"/>
      <c r="I89" s="161"/>
      <c r="J89" s="161"/>
      <c r="K89" s="161"/>
      <c r="L89" s="161"/>
      <c r="M89" s="161"/>
      <c r="N89" s="161"/>
      <c r="O89" s="161"/>
      <c r="P89" s="161"/>
      <c r="Q89" s="161"/>
      <c r="R89" s="161"/>
      <c r="S89" s="161"/>
      <c r="T89" s="161"/>
      <c r="U89" s="161"/>
      <c r="V89" s="161"/>
      <c r="W89" s="161"/>
      <c r="X89" s="161"/>
      <c r="Y89" s="161"/>
      <c r="Z89" s="162"/>
    </row>
    <row r="90" spans="1:26" ht="121" customHeight="1" x14ac:dyDescent="0.2">
      <c r="B90" s="170"/>
      <c r="C90" s="82" t="s">
        <v>136</v>
      </c>
      <c r="D90" s="176" t="s">
        <v>201</v>
      </c>
      <c r="E90" s="177"/>
      <c r="F90" s="177"/>
      <c r="G90" s="177"/>
      <c r="H90" s="177"/>
      <c r="I90" s="177"/>
      <c r="J90" s="177"/>
      <c r="K90" s="177"/>
      <c r="L90" s="177"/>
      <c r="M90" s="177"/>
      <c r="N90" s="177"/>
      <c r="O90" s="177"/>
      <c r="P90" s="177"/>
      <c r="Q90" s="177"/>
      <c r="R90" s="177"/>
      <c r="S90" s="177"/>
      <c r="T90" s="177"/>
      <c r="U90" s="177"/>
      <c r="V90" s="177"/>
      <c r="W90" s="177"/>
      <c r="X90" s="177"/>
      <c r="Y90" s="177"/>
      <c r="Z90" s="178"/>
    </row>
    <row r="91" spans="1:26" ht="6" customHeight="1" x14ac:dyDescent="0.2"/>
    <row r="92" spans="1:26" ht="18.75" customHeight="1" x14ac:dyDescent="0.2">
      <c r="A92" s="13" t="s">
        <v>144</v>
      </c>
    </row>
    <row r="93" spans="1:26" ht="18.75" customHeight="1" x14ac:dyDescent="0.2">
      <c r="B93" s="239" t="s">
        <v>202</v>
      </c>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1"/>
    </row>
    <row r="94" spans="1:26" ht="18.75" customHeight="1" x14ac:dyDescent="0.2">
      <c r="B94" s="242"/>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244"/>
    </row>
    <row r="95" spans="1:26" ht="41.5" customHeight="1" x14ac:dyDescent="0.2">
      <c r="B95" s="245"/>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246"/>
    </row>
    <row r="96" spans="1:26" ht="6" customHeight="1" x14ac:dyDescent="0.2"/>
    <row r="97" spans="1:26" ht="15" customHeight="1" x14ac:dyDescent="0.2">
      <c r="A97" s="13" t="s">
        <v>145</v>
      </c>
    </row>
    <row r="98" spans="1:26" ht="15" customHeight="1" x14ac:dyDescent="0.2">
      <c r="B98" s="247" t="s">
        <v>211</v>
      </c>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T60:T66 H16:H22 U16:U22 H27:H33 U27:U33 H38:H44 U38:U44 H49:H55 U49:U55 G60:G66 M60:M66 L63:L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69" orientation="landscape" r:id="rId1"/>
  <rowBreaks count="5" manualBreakCount="5">
    <brk id="34" max="25" man="1"/>
    <brk id="67" max="25" man="1"/>
    <brk id="81" max="25" man="1"/>
    <brk id="83" max="25" man="1"/>
    <brk id="85"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D12" sqref="D12"/>
    </sheetView>
  </sheetViews>
  <sheetFormatPr defaultColWidth="9" defaultRowHeight="18.75" customHeight="1" x14ac:dyDescent="0.2"/>
  <cols>
    <col min="1" max="1" width="2.7265625" style="1" customWidth="1"/>
    <col min="2" max="2" width="30" style="1" customWidth="1"/>
    <col min="3" max="17" width="6.08984375" style="1" customWidth="1"/>
    <col min="18" max="18" width="6.6328125" style="1" customWidth="1"/>
    <col min="19" max="16384" width="9" style="1"/>
  </cols>
  <sheetData>
    <row r="1" spans="1:20" ht="18" customHeight="1" x14ac:dyDescent="0.2">
      <c r="F1" s="251" t="s">
        <v>63</v>
      </c>
      <c r="G1" s="251"/>
      <c r="H1" s="251"/>
      <c r="I1" s="251"/>
      <c r="J1" s="251"/>
      <c r="K1" s="251"/>
      <c r="L1" s="251"/>
      <c r="M1" s="251"/>
      <c r="N1" s="251"/>
      <c r="O1" s="251"/>
      <c r="P1" s="251"/>
      <c r="Q1" s="251"/>
      <c r="R1" s="251"/>
    </row>
    <row r="2" spans="1:20" ht="18" customHeight="1" x14ac:dyDescent="0.2">
      <c r="A2" s="252" t="s">
        <v>89</v>
      </c>
      <c r="B2" s="252"/>
      <c r="C2" s="252"/>
      <c r="D2" s="252"/>
      <c r="E2" s="252"/>
      <c r="F2" s="252"/>
      <c r="G2" s="252"/>
      <c r="H2" s="252"/>
      <c r="I2" s="252"/>
      <c r="J2" s="252"/>
      <c r="K2" s="252"/>
      <c r="L2" s="252"/>
      <c r="M2" s="252"/>
      <c r="N2" s="252"/>
      <c r="O2" s="252"/>
      <c r="P2" s="252"/>
      <c r="Q2" s="252"/>
      <c r="R2" s="252"/>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148</v>
      </c>
      <c r="B4" s="4"/>
      <c r="C4" s="253">
        <f>'様式１　大学等概要'!E12</f>
        <v>2021</v>
      </c>
      <c r="D4" s="254"/>
      <c r="E4" s="38" t="s">
        <v>114</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146</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55" t="s">
        <v>79</v>
      </c>
      <c r="C8" s="257" t="s">
        <v>84</v>
      </c>
      <c r="D8" s="259" t="s">
        <v>68</v>
      </c>
      <c r="E8" s="261" t="s">
        <v>90</v>
      </c>
      <c r="F8" s="261"/>
      <c r="G8" s="261" t="s">
        <v>91</v>
      </c>
      <c r="H8" s="261"/>
      <c r="I8" s="261" t="s">
        <v>92</v>
      </c>
      <c r="J8" s="261"/>
      <c r="K8" s="262" t="s">
        <v>93</v>
      </c>
      <c r="L8" s="263"/>
      <c r="M8" s="262" t="s">
        <v>94</v>
      </c>
      <c r="N8" s="263"/>
      <c r="O8" s="262" t="s">
        <v>95</v>
      </c>
      <c r="P8" s="263"/>
      <c r="Q8" s="264" t="s">
        <v>62</v>
      </c>
      <c r="R8" s="266" t="s">
        <v>56</v>
      </c>
      <c r="T8" s="34"/>
    </row>
    <row r="9" spans="1:20" ht="18" customHeight="1" x14ac:dyDescent="0.2">
      <c r="A9" s="4"/>
      <c r="B9" s="256"/>
      <c r="C9" s="258"/>
      <c r="D9" s="260"/>
      <c r="E9" s="43" t="s">
        <v>44</v>
      </c>
      <c r="F9" s="44" t="s">
        <v>43</v>
      </c>
      <c r="G9" s="45" t="s">
        <v>44</v>
      </c>
      <c r="H9" s="46" t="s">
        <v>43</v>
      </c>
      <c r="I9" s="43" t="s">
        <v>44</v>
      </c>
      <c r="J9" s="44" t="s">
        <v>43</v>
      </c>
      <c r="K9" s="45" t="s">
        <v>44</v>
      </c>
      <c r="L9" s="46" t="s">
        <v>43</v>
      </c>
      <c r="M9" s="43" t="s">
        <v>44</v>
      </c>
      <c r="N9" s="44" t="s">
        <v>43</v>
      </c>
      <c r="O9" s="45" t="s">
        <v>44</v>
      </c>
      <c r="P9" s="46" t="s">
        <v>43</v>
      </c>
      <c r="Q9" s="265"/>
      <c r="R9" s="267"/>
      <c r="T9" s="34"/>
    </row>
    <row r="10" spans="1:20" ht="18" customHeight="1" x14ac:dyDescent="0.2">
      <c r="A10" s="47"/>
      <c r="B10" s="87" t="s">
        <v>203</v>
      </c>
      <c r="C10" s="47">
        <v>950</v>
      </c>
      <c r="D10" s="48">
        <v>3800</v>
      </c>
      <c r="E10" s="49">
        <v>48</v>
      </c>
      <c r="F10" s="50">
        <v>1</v>
      </c>
      <c r="G10" s="51"/>
      <c r="H10" s="52"/>
      <c r="I10" s="49"/>
      <c r="J10" s="50"/>
      <c r="K10" s="51"/>
      <c r="L10" s="52"/>
      <c r="M10" s="49"/>
      <c r="N10" s="50"/>
      <c r="O10" s="51"/>
      <c r="P10" s="52"/>
      <c r="Q10" s="53">
        <f>E10+G10+I10+K10+M10+O10</f>
        <v>48</v>
      </c>
      <c r="R10" s="54">
        <f>Q10/D10</f>
        <v>1.2631578947368421E-2</v>
      </c>
    </row>
    <row r="11" spans="1:20" ht="18" customHeight="1" x14ac:dyDescent="0.2">
      <c r="A11" s="47"/>
      <c r="B11" s="88" t="s">
        <v>204</v>
      </c>
      <c r="C11" s="63">
        <v>250</v>
      </c>
      <c r="D11" s="56">
        <v>1000</v>
      </c>
      <c r="E11" s="57">
        <v>1</v>
      </c>
      <c r="F11" s="58">
        <v>1</v>
      </c>
      <c r="G11" s="59"/>
      <c r="H11" s="60"/>
      <c r="I11" s="57"/>
      <c r="J11" s="58"/>
      <c r="K11" s="59"/>
      <c r="L11" s="60"/>
      <c r="M11" s="57"/>
      <c r="N11" s="58"/>
      <c r="O11" s="59"/>
      <c r="P11" s="60"/>
      <c r="Q11" s="61">
        <f t="shared" ref="Q11:Q29" si="0">E11+G11+I11+K11+M11+O11</f>
        <v>1</v>
      </c>
      <c r="R11" s="62">
        <f t="shared" ref="R11:R29" si="1">Q11/D11</f>
        <v>1E-3</v>
      </c>
    </row>
    <row r="12" spans="1:20" ht="18" customHeight="1" x14ac:dyDescent="0.2">
      <c r="A12" s="47"/>
      <c r="B12" s="88" t="s">
        <v>205</v>
      </c>
      <c r="C12" s="63">
        <v>480</v>
      </c>
      <c r="D12" s="56">
        <v>1920</v>
      </c>
      <c r="E12" s="57">
        <v>324</v>
      </c>
      <c r="F12" s="58">
        <v>148</v>
      </c>
      <c r="G12" s="59"/>
      <c r="H12" s="60"/>
      <c r="I12" s="57"/>
      <c r="J12" s="58"/>
      <c r="K12" s="59"/>
      <c r="L12" s="60"/>
      <c r="M12" s="57"/>
      <c r="N12" s="58"/>
      <c r="O12" s="59"/>
      <c r="P12" s="60"/>
      <c r="Q12" s="61">
        <f t="shared" si="0"/>
        <v>324</v>
      </c>
      <c r="R12" s="62">
        <f t="shared" si="1"/>
        <v>0.16875000000000001</v>
      </c>
    </row>
    <row r="13" spans="1:20" ht="18" customHeight="1" x14ac:dyDescent="0.2">
      <c r="A13" s="47"/>
      <c r="B13" s="88" t="s">
        <v>206</v>
      </c>
      <c r="C13" s="63">
        <v>300</v>
      </c>
      <c r="D13" s="56">
        <v>1200</v>
      </c>
      <c r="E13" s="57">
        <v>1</v>
      </c>
      <c r="F13" s="58">
        <v>0</v>
      </c>
      <c r="G13" s="59"/>
      <c r="H13" s="60"/>
      <c r="I13" s="57"/>
      <c r="J13" s="58"/>
      <c r="K13" s="59"/>
      <c r="L13" s="60"/>
      <c r="M13" s="57"/>
      <c r="N13" s="58"/>
      <c r="O13" s="59"/>
      <c r="P13" s="60"/>
      <c r="Q13" s="61">
        <f t="shared" si="0"/>
        <v>1</v>
      </c>
      <c r="R13" s="62">
        <f t="shared" si="1"/>
        <v>8.3333333333333339E-4</v>
      </c>
    </row>
    <row r="14" spans="1:20" ht="18" customHeight="1" x14ac:dyDescent="0.2">
      <c r="A14" s="47"/>
      <c r="B14" s="88" t="s">
        <v>207</v>
      </c>
      <c r="C14" s="63">
        <v>400</v>
      </c>
      <c r="D14" s="56">
        <v>1600</v>
      </c>
      <c r="E14" s="57">
        <v>0</v>
      </c>
      <c r="F14" s="58">
        <v>0</v>
      </c>
      <c r="G14" s="59"/>
      <c r="H14" s="60"/>
      <c r="I14" s="57"/>
      <c r="J14" s="58"/>
      <c r="K14" s="59"/>
      <c r="L14" s="60"/>
      <c r="M14" s="57"/>
      <c r="N14" s="58"/>
      <c r="O14" s="59"/>
      <c r="P14" s="60"/>
      <c r="Q14" s="61">
        <f t="shared" si="0"/>
        <v>0</v>
      </c>
      <c r="R14" s="62">
        <f t="shared" si="1"/>
        <v>0</v>
      </c>
    </row>
    <row r="15" spans="1:20" ht="18" customHeight="1" x14ac:dyDescent="0.2">
      <c r="A15" s="47"/>
      <c r="B15" s="88" t="s">
        <v>208</v>
      </c>
      <c r="C15" s="63">
        <v>140</v>
      </c>
      <c r="D15" s="56">
        <v>280</v>
      </c>
      <c r="E15" s="57">
        <v>0</v>
      </c>
      <c r="F15" s="58">
        <v>0</v>
      </c>
      <c r="G15" s="59"/>
      <c r="H15" s="60"/>
      <c r="I15" s="57"/>
      <c r="J15" s="58"/>
      <c r="K15" s="59"/>
      <c r="L15" s="60"/>
      <c r="M15" s="57"/>
      <c r="N15" s="58"/>
      <c r="O15" s="59"/>
      <c r="P15" s="60"/>
      <c r="Q15" s="61">
        <f t="shared" si="0"/>
        <v>0</v>
      </c>
      <c r="R15" s="62">
        <f t="shared" si="1"/>
        <v>0</v>
      </c>
    </row>
    <row r="16" spans="1:20" ht="18" customHeight="1" x14ac:dyDescent="0.2">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2">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2">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2">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2">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2">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2">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2">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2">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2">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2">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2">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5">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2">
      <c r="B30" s="91" t="s">
        <v>57</v>
      </c>
      <c r="C30" s="92">
        <f t="shared" ref="C30:Q30" si="2">SUM(C10:C29)</f>
        <v>2520</v>
      </c>
      <c r="D30" s="65">
        <f t="shared" si="2"/>
        <v>9800</v>
      </c>
      <c r="E30" s="66">
        <f t="shared" si="2"/>
        <v>374</v>
      </c>
      <c r="F30" s="67">
        <f t="shared" si="2"/>
        <v>150</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374</v>
      </c>
      <c r="R30" s="71">
        <f>Q30/D30</f>
        <v>3.8163265306122449E-2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25" zoomScaleNormal="100" zoomScaleSheetLayoutView="100" workbookViewId="0">
      <selection activeCell="B46" sqref="B46:J66"/>
    </sheetView>
  </sheetViews>
  <sheetFormatPr defaultColWidth="11.36328125" defaultRowHeight="18.75" customHeight="1" x14ac:dyDescent="0.2"/>
  <cols>
    <col min="1" max="1" width="2.7265625" style="2" customWidth="1"/>
    <col min="2" max="2" width="16.6328125" style="1" customWidth="1"/>
    <col min="3" max="3" width="8.90625" style="1" customWidth="1"/>
    <col min="4" max="4" width="2.26953125" style="1" customWidth="1"/>
    <col min="5" max="5" width="16.6328125" style="1" customWidth="1"/>
    <col min="6" max="6" width="8.90625" style="1" customWidth="1"/>
    <col min="7" max="7" width="2.26953125" style="1" customWidth="1"/>
    <col min="8" max="8" width="16.6328125" style="1" customWidth="1"/>
    <col min="9" max="9" width="8.90625" style="1" customWidth="1"/>
    <col min="10" max="10" width="2.26953125" style="1" customWidth="1"/>
    <col min="11" max="11" width="11.36328125" style="31"/>
    <col min="12" max="16384" width="11.36328125" style="1"/>
  </cols>
  <sheetData>
    <row r="1" spans="1:11" ht="18.75" customHeight="1" x14ac:dyDescent="0.2">
      <c r="A1" s="2" t="s">
        <v>115</v>
      </c>
      <c r="J1" s="41" t="s">
        <v>116</v>
      </c>
    </row>
    <row r="2" spans="1:11" ht="18.75" customHeight="1" x14ac:dyDescent="0.2">
      <c r="A2" s="252" t="s">
        <v>64</v>
      </c>
      <c r="B2" s="252"/>
      <c r="C2" s="252"/>
      <c r="D2" s="252"/>
      <c r="E2" s="252"/>
      <c r="F2" s="252"/>
      <c r="G2" s="252"/>
      <c r="H2" s="252"/>
      <c r="I2" s="252"/>
      <c r="J2" s="252"/>
    </row>
    <row r="3" spans="1:11" ht="7.5" customHeight="1" x14ac:dyDescent="0.2">
      <c r="B3" s="38"/>
      <c r="C3" s="38"/>
      <c r="D3" s="38"/>
      <c r="E3" s="38"/>
      <c r="F3" s="38"/>
      <c r="G3" s="38"/>
      <c r="H3" s="38"/>
      <c r="I3" s="38"/>
      <c r="J3" s="38"/>
    </row>
    <row r="4" spans="1:11" ht="18.75" customHeight="1" x14ac:dyDescent="0.2">
      <c r="A4" s="1" t="s">
        <v>6</v>
      </c>
      <c r="B4" s="4" t="s">
        <v>72</v>
      </c>
      <c r="C4" s="4"/>
      <c r="D4" s="4"/>
      <c r="E4" s="4"/>
      <c r="F4" s="4"/>
      <c r="G4" s="4"/>
      <c r="H4" s="4"/>
      <c r="I4" s="38"/>
      <c r="J4" s="38"/>
    </row>
    <row r="5" spans="1:11" ht="18.75" customHeight="1" x14ac:dyDescent="0.2">
      <c r="A5" s="1"/>
      <c r="B5" s="135" t="s">
        <v>209</v>
      </c>
      <c r="C5" s="136"/>
      <c r="D5" s="136"/>
      <c r="E5" s="136"/>
      <c r="F5" s="136"/>
      <c r="G5" s="136"/>
      <c r="H5" s="136"/>
      <c r="I5" s="136"/>
      <c r="J5" s="277"/>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9</v>
      </c>
      <c r="B7" s="1" t="s">
        <v>39</v>
      </c>
      <c r="C7" s="1"/>
      <c r="D7" s="1"/>
      <c r="E7" s="1"/>
      <c r="F7" s="1"/>
      <c r="G7" s="1"/>
      <c r="H7" s="1"/>
      <c r="I7" s="1"/>
      <c r="J7" s="1"/>
      <c r="K7" s="35"/>
    </row>
    <row r="8" spans="1:11" s="4" customFormat="1" ht="18.75" customHeight="1" x14ac:dyDescent="0.2">
      <c r="A8" s="93"/>
      <c r="B8" s="278" t="s">
        <v>213</v>
      </c>
      <c r="C8" s="279"/>
      <c r="D8" s="279"/>
      <c r="E8" s="279"/>
      <c r="F8" s="279"/>
      <c r="G8" s="279"/>
      <c r="H8" s="279"/>
      <c r="I8" s="280"/>
      <c r="J8" s="281"/>
      <c r="K8" s="31" t="str">
        <f>IF(B8="","入力してください","")</f>
        <v/>
      </c>
    </row>
    <row r="9" spans="1:11" s="4" customFormat="1" ht="18.75" customHeight="1" x14ac:dyDescent="0.2">
      <c r="A9" s="93"/>
      <c r="B9" s="271"/>
      <c r="C9" s="272"/>
      <c r="D9" s="272"/>
      <c r="E9" s="272"/>
      <c r="F9" s="272"/>
      <c r="G9" s="272"/>
      <c r="H9" s="272"/>
      <c r="I9" s="272"/>
      <c r="J9" s="273"/>
      <c r="K9" s="31"/>
    </row>
    <row r="10" spans="1:11" s="4" customFormat="1" ht="18.75" customHeight="1" x14ac:dyDescent="0.2">
      <c r="A10" s="93"/>
      <c r="B10" s="271"/>
      <c r="C10" s="272"/>
      <c r="D10" s="272"/>
      <c r="E10" s="272"/>
      <c r="F10" s="272"/>
      <c r="G10" s="272"/>
      <c r="H10" s="272"/>
      <c r="I10" s="272"/>
      <c r="J10" s="273"/>
      <c r="K10" s="31"/>
    </row>
    <row r="11" spans="1:11" s="4" customFormat="1" ht="18.75" customHeight="1" x14ac:dyDescent="0.2">
      <c r="A11" s="93"/>
      <c r="B11" s="271"/>
      <c r="C11" s="272"/>
      <c r="D11" s="272"/>
      <c r="E11" s="272"/>
      <c r="F11" s="272"/>
      <c r="G11" s="272"/>
      <c r="H11" s="272"/>
      <c r="I11" s="272"/>
      <c r="J11" s="273"/>
      <c r="K11" s="31"/>
    </row>
    <row r="12" spans="1:11" s="4" customFormat="1" ht="18.75" customHeight="1" x14ac:dyDescent="0.2">
      <c r="A12" s="93"/>
      <c r="B12" s="274"/>
      <c r="C12" s="275"/>
      <c r="D12" s="275"/>
      <c r="E12" s="275"/>
      <c r="F12" s="275"/>
      <c r="G12" s="275"/>
      <c r="H12" s="275"/>
      <c r="I12" s="275"/>
      <c r="J12" s="276"/>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10</v>
      </c>
      <c r="B14" s="94" t="s">
        <v>15</v>
      </c>
      <c r="C14" s="94"/>
      <c r="D14" s="94"/>
      <c r="E14" s="94"/>
      <c r="F14" s="94"/>
      <c r="G14" s="94"/>
      <c r="H14" s="94"/>
      <c r="I14" s="94"/>
      <c r="J14" s="94"/>
      <c r="K14" s="31"/>
    </row>
    <row r="15" spans="1:11" s="4" customFormat="1" ht="18.75" customHeight="1" x14ac:dyDescent="0.2">
      <c r="A15" s="93"/>
      <c r="B15" s="278" t="s">
        <v>212</v>
      </c>
      <c r="C15" s="279"/>
      <c r="D15" s="279"/>
      <c r="E15" s="279"/>
      <c r="F15" s="279"/>
      <c r="G15" s="279"/>
      <c r="H15" s="279"/>
      <c r="I15" s="280"/>
      <c r="J15" s="281"/>
      <c r="K15" s="31" t="str">
        <f>IF(B15="","入力してください","")</f>
        <v/>
      </c>
    </row>
    <row r="16" spans="1:11" s="4" customFormat="1" ht="18.75" customHeight="1" x14ac:dyDescent="0.2">
      <c r="A16" s="93"/>
      <c r="B16" s="271"/>
      <c r="C16" s="272"/>
      <c r="D16" s="272"/>
      <c r="E16" s="272"/>
      <c r="F16" s="272"/>
      <c r="G16" s="272"/>
      <c r="H16" s="272"/>
      <c r="I16" s="272"/>
      <c r="J16" s="273"/>
      <c r="K16" s="31"/>
    </row>
    <row r="17" spans="1:11" s="4" customFormat="1" ht="18.75" customHeight="1" x14ac:dyDescent="0.2">
      <c r="A17" s="93"/>
      <c r="B17" s="271"/>
      <c r="C17" s="272"/>
      <c r="D17" s="272"/>
      <c r="E17" s="272"/>
      <c r="F17" s="272"/>
      <c r="G17" s="272"/>
      <c r="H17" s="272"/>
      <c r="I17" s="272"/>
      <c r="J17" s="273"/>
      <c r="K17" s="31"/>
    </row>
    <row r="18" spans="1:11" s="4" customFormat="1" ht="18.75" customHeight="1" x14ac:dyDescent="0.2">
      <c r="A18" s="93"/>
      <c r="B18" s="271"/>
      <c r="C18" s="272"/>
      <c r="D18" s="272"/>
      <c r="E18" s="272"/>
      <c r="F18" s="272"/>
      <c r="G18" s="272"/>
      <c r="H18" s="272"/>
      <c r="I18" s="272"/>
      <c r="J18" s="273"/>
      <c r="K18" s="31"/>
    </row>
    <row r="19" spans="1:11" s="4" customFormat="1" ht="18.75" customHeight="1" x14ac:dyDescent="0.2">
      <c r="A19" s="93"/>
      <c r="B19" s="271"/>
      <c r="C19" s="272"/>
      <c r="D19" s="272"/>
      <c r="E19" s="272"/>
      <c r="F19" s="272"/>
      <c r="G19" s="272"/>
      <c r="H19" s="272"/>
      <c r="I19" s="272"/>
      <c r="J19" s="273"/>
      <c r="K19" s="31"/>
    </row>
    <row r="20" spans="1:11" s="4" customFormat="1" ht="18.75" customHeight="1" x14ac:dyDescent="0.2">
      <c r="A20" s="93"/>
      <c r="B20" s="271"/>
      <c r="C20" s="272"/>
      <c r="D20" s="272"/>
      <c r="E20" s="272"/>
      <c r="F20" s="272"/>
      <c r="G20" s="272"/>
      <c r="H20" s="272"/>
      <c r="I20" s="272"/>
      <c r="J20" s="273"/>
      <c r="K20" s="31"/>
    </row>
    <row r="21" spans="1:11" s="4" customFormat="1" ht="18.75" customHeight="1" x14ac:dyDescent="0.2">
      <c r="A21" s="93"/>
      <c r="B21" s="271"/>
      <c r="C21" s="272"/>
      <c r="D21" s="272"/>
      <c r="E21" s="272"/>
      <c r="F21" s="272"/>
      <c r="G21" s="272"/>
      <c r="H21" s="272"/>
      <c r="I21" s="272"/>
      <c r="J21" s="273"/>
      <c r="K21" s="31"/>
    </row>
    <row r="22" spans="1:11" s="4" customFormat="1" ht="18.75" customHeight="1" x14ac:dyDescent="0.2">
      <c r="A22" s="93"/>
      <c r="B22" s="271"/>
      <c r="C22" s="272"/>
      <c r="D22" s="272"/>
      <c r="E22" s="272"/>
      <c r="F22" s="272"/>
      <c r="G22" s="272"/>
      <c r="H22" s="272"/>
      <c r="I22" s="272"/>
      <c r="J22" s="273"/>
      <c r="K22" s="31"/>
    </row>
    <row r="23" spans="1:11" s="4" customFormat="1" ht="18.75" customHeight="1" x14ac:dyDescent="0.2">
      <c r="A23" s="93"/>
      <c r="B23" s="271"/>
      <c r="C23" s="272"/>
      <c r="D23" s="272"/>
      <c r="E23" s="272"/>
      <c r="F23" s="272"/>
      <c r="G23" s="272"/>
      <c r="H23" s="272"/>
      <c r="I23" s="272"/>
      <c r="J23" s="273"/>
      <c r="K23" s="31"/>
    </row>
    <row r="24" spans="1:11" s="4" customFormat="1" ht="18.75" customHeight="1" x14ac:dyDescent="0.2">
      <c r="A24" s="93"/>
      <c r="B24" s="271"/>
      <c r="C24" s="272"/>
      <c r="D24" s="272"/>
      <c r="E24" s="272"/>
      <c r="F24" s="272"/>
      <c r="G24" s="272"/>
      <c r="H24" s="272"/>
      <c r="I24" s="272"/>
      <c r="J24" s="273"/>
      <c r="K24" s="31"/>
    </row>
    <row r="25" spans="1:11" s="4" customFormat="1" ht="18.75" customHeight="1" x14ac:dyDescent="0.2">
      <c r="A25" s="93"/>
      <c r="B25" s="274"/>
      <c r="C25" s="275"/>
      <c r="D25" s="275"/>
      <c r="E25" s="275"/>
      <c r="F25" s="275"/>
      <c r="G25" s="275"/>
      <c r="H25" s="275"/>
      <c r="I25" s="275"/>
      <c r="J25" s="276"/>
      <c r="K25" s="31"/>
    </row>
    <row r="26" spans="1:11" ht="7.5" customHeight="1" x14ac:dyDescent="0.2">
      <c r="A26" s="39"/>
      <c r="B26" s="39"/>
      <c r="C26" s="39"/>
      <c r="D26" s="39"/>
      <c r="E26" s="39"/>
      <c r="F26" s="39"/>
      <c r="G26" s="39"/>
      <c r="H26" s="39"/>
      <c r="I26" s="39"/>
      <c r="J26" s="39"/>
    </row>
    <row r="27" spans="1:11" s="4" customFormat="1" ht="18.75" customHeight="1" x14ac:dyDescent="0.2">
      <c r="A27" s="1" t="s">
        <v>13</v>
      </c>
      <c r="B27" s="1" t="s">
        <v>26</v>
      </c>
      <c r="C27" s="1"/>
      <c r="D27" s="1"/>
      <c r="E27" s="1"/>
      <c r="F27" s="1"/>
      <c r="G27" s="1"/>
      <c r="H27" s="1"/>
      <c r="I27" s="1"/>
      <c r="J27" s="1"/>
      <c r="K27" s="31"/>
    </row>
    <row r="28" spans="1:11" s="29" customFormat="1" ht="18.75" customHeight="1" x14ac:dyDescent="0.2">
      <c r="B28" s="95" t="s">
        <v>117</v>
      </c>
      <c r="C28" s="96">
        <f>'様式３　履修者等数の実績'!R30</f>
        <v>3.8163265306122449E-2</v>
      </c>
      <c r="D28" s="97"/>
      <c r="E28" s="97" t="s">
        <v>118</v>
      </c>
      <c r="F28" s="96">
        <v>0.15</v>
      </c>
      <c r="G28" s="97"/>
      <c r="H28" s="97" t="s">
        <v>119</v>
      </c>
      <c r="I28" s="98">
        <v>0.2</v>
      </c>
      <c r="J28" s="99"/>
      <c r="K28" s="31"/>
    </row>
    <row r="29" spans="1:11" s="29" customFormat="1" ht="18.75" customHeight="1" x14ac:dyDescent="0.2">
      <c r="B29" s="83" t="s">
        <v>120</v>
      </c>
      <c r="C29" s="100">
        <v>0.3</v>
      </c>
      <c r="D29" s="84"/>
      <c r="E29" s="84" t="s">
        <v>121</v>
      </c>
      <c r="F29" s="100">
        <v>0.4</v>
      </c>
      <c r="G29" s="84"/>
      <c r="H29" s="84" t="s">
        <v>122</v>
      </c>
      <c r="I29" s="101">
        <f>'様式３　履修者等数の実績'!D30</f>
        <v>9800</v>
      </c>
      <c r="J29" s="102"/>
      <c r="K29" s="35"/>
    </row>
    <row r="30" spans="1:11" s="4" customFormat="1" ht="18.75" customHeight="1" x14ac:dyDescent="0.2">
      <c r="A30" s="1"/>
      <c r="B30" s="166" t="s">
        <v>123</v>
      </c>
      <c r="C30" s="167"/>
      <c r="D30" s="167"/>
      <c r="E30" s="167"/>
      <c r="F30" s="167"/>
      <c r="G30" s="167"/>
      <c r="H30" s="167"/>
      <c r="I30" s="167"/>
      <c r="J30" s="168"/>
      <c r="K30" s="35"/>
    </row>
    <row r="31" spans="1:11" s="4" customFormat="1" ht="18.75" customHeight="1" x14ac:dyDescent="0.2">
      <c r="A31" s="1"/>
      <c r="B31" s="268" t="s">
        <v>214</v>
      </c>
      <c r="C31" s="269"/>
      <c r="D31" s="269"/>
      <c r="E31" s="269"/>
      <c r="F31" s="269"/>
      <c r="G31" s="269"/>
      <c r="H31" s="269"/>
      <c r="I31" s="269"/>
      <c r="J31" s="270"/>
      <c r="K31" s="35" t="str">
        <f>IF(B31="","入力してください","")</f>
        <v/>
      </c>
    </row>
    <row r="32" spans="1:11" s="4" customFormat="1" ht="18.75" customHeight="1" x14ac:dyDescent="0.2">
      <c r="A32" s="1"/>
      <c r="B32" s="271"/>
      <c r="C32" s="272"/>
      <c r="D32" s="272"/>
      <c r="E32" s="272"/>
      <c r="F32" s="272"/>
      <c r="G32" s="272"/>
      <c r="H32" s="272"/>
      <c r="I32" s="272"/>
      <c r="J32" s="273"/>
      <c r="K32" s="35"/>
    </row>
    <row r="33" spans="1:11" s="4" customFormat="1" ht="18.75" customHeight="1" x14ac:dyDescent="0.2">
      <c r="A33" s="1"/>
      <c r="B33" s="271"/>
      <c r="C33" s="272"/>
      <c r="D33" s="272"/>
      <c r="E33" s="272"/>
      <c r="F33" s="272"/>
      <c r="G33" s="272"/>
      <c r="H33" s="272"/>
      <c r="I33" s="272"/>
      <c r="J33" s="273"/>
      <c r="K33" s="35"/>
    </row>
    <row r="34" spans="1:11" s="4" customFormat="1" ht="18.75" customHeight="1" x14ac:dyDescent="0.2">
      <c r="A34" s="1"/>
      <c r="B34" s="271"/>
      <c r="C34" s="272"/>
      <c r="D34" s="272"/>
      <c r="E34" s="272"/>
      <c r="F34" s="272"/>
      <c r="G34" s="272"/>
      <c r="H34" s="272"/>
      <c r="I34" s="272"/>
      <c r="J34" s="273"/>
      <c r="K34" s="35"/>
    </row>
    <row r="35" spans="1:11" s="4" customFormat="1" ht="18.75" customHeight="1" x14ac:dyDescent="0.2">
      <c r="A35" s="1"/>
      <c r="B35" s="271"/>
      <c r="C35" s="272"/>
      <c r="D35" s="272"/>
      <c r="E35" s="272"/>
      <c r="F35" s="272"/>
      <c r="G35" s="272"/>
      <c r="H35" s="272"/>
      <c r="I35" s="272"/>
      <c r="J35" s="273"/>
      <c r="K35" s="35"/>
    </row>
    <row r="36" spans="1:11" s="4" customFormat="1" ht="18.75" customHeight="1" x14ac:dyDescent="0.2">
      <c r="A36" s="1"/>
      <c r="B36" s="271"/>
      <c r="C36" s="272"/>
      <c r="D36" s="272"/>
      <c r="E36" s="272"/>
      <c r="F36" s="272"/>
      <c r="G36" s="272"/>
      <c r="H36" s="272"/>
      <c r="I36" s="272"/>
      <c r="J36" s="273"/>
      <c r="K36" s="35"/>
    </row>
    <row r="37" spans="1:11" s="4" customFormat="1" ht="18.75" customHeight="1" x14ac:dyDescent="0.2">
      <c r="A37" s="1"/>
      <c r="B37" s="271"/>
      <c r="C37" s="272"/>
      <c r="D37" s="272"/>
      <c r="E37" s="272"/>
      <c r="F37" s="272"/>
      <c r="G37" s="272"/>
      <c r="H37" s="272"/>
      <c r="I37" s="272"/>
      <c r="J37" s="273"/>
      <c r="K37" s="35"/>
    </row>
    <row r="38" spans="1:11" s="4" customFormat="1" ht="18.75" customHeight="1" x14ac:dyDescent="0.2">
      <c r="A38" s="1"/>
      <c r="B38" s="271"/>
      <c r="C38" s="272"/>
      <c r="D38" s="272"/>
      <c r="E38" s="272"/>
      <c r="F38" s="272"/>
      <c r="G38" s="272"/>
      <c r="H38" s="272"/>
      <c r="I38" s="272"/>
      <c r="J38" s="273"/>
      <c r="K38" s="35"/>
    </row>
    <row r="39" spans="1:11" s="4" customFormat="1" ht="18.75" customHeight="1" x14ac:dyDescent="0.2">
      <c r="A39" s="1"/>
      <c r="B39" s="271"/>
      <c r="C39" s="272"/>
      <c r="D39" s="272"/>
      <c r="E39" s="272"/>
      <c r="F39" s="272"/>
      <c r="G39" s="272"/>
      <c r="H39" s="272"/>
      <c r="I39" s="272"/>
      <c r="J39" s="273"/>
      <c r="K39" s="35"/>
    </row>
    <row r="40" spans="1:11" s="4" customFormat="1" ht="18.75" customHeight="1" x14ac:dyDescent="0.2">
      <c r="A40" s="1"/>
      <c r="B40" s="271"/>
      <c r="C40" s="272"/>
      <c r="D40" s="272"/>
      <c r="E40" s="272"/>
      <c r="F40" s="272"/>
      <c r="G40" s="272"/>
      <c r="H40" s="272"/>
      <c r="I40" s="272"/>
      <c r="J40" s="273"/>
      <c r="K40" s="35"/>
    </row>
    <row r="41" spans="1:11" s="4" customFormat="1" ht="18.75" customHeight="1" x14ac:dyDescent="0.2">
      <c r="A41" s="1"/>
      <c r="B41" s="271"/>
      <c r="C41" s="272"/>
      <c r="D41" s="272"/>
      <c r="E41" s="272"/>
      <c r="F41" s="272"/>
      <c r="G41" s="272"/>
      <c r="H41" s="272"/>
      <c r="I41" s="272"/>
      <c r="J41" s="273"/>
      <c r="K41" s="35"/>
    </row>
    <row r="42" spans="1:11" s="4" customFormat="1" ht="18.75" customHeight="1" x14ac:dyDescent="0.2">
      <c r="A42" s="1"/>
      <c r="B42" s="271"/>
      <c r="C42" s="272"/>
      <c r="D42" s="272"/>
      <c r="E42" s="272"/>
      <c r="F42" s="272"/>
      <c r="G42" s="272"/>
      <c r="H42" s="272"/>
      <c r="I42" s="272"/>
      <c r="J42" s="273"/>
      <c r="K42" s="35"/>
    </row>
    <row r="43" spans="1:11" ht="18.75" customHeight="1" x14ac:dyDescent="0.2">
      <c r="A43" s="39"/>
      <c r="B43" s="271"/>
      <c r="C43" s="272"/>
      <c r="D43" s="272"/>
      <c r="E43" s="272"/>
      <c r="F43" s="272"/>
      <c r="G43" s="272"/>
      <c r="H43" s="272"/>
      <c r="I43" s="272"/>
      <c r="J43" s="273"/>
      <c r="K43" s="35"/>
    </row>
    <row r="44" spans="1:11" ht="18.75" customHeight="1" x14ac:dyDescent="0.2">
      <c r="A44" s="39"/>
      <c r="B44" s="274"/>
      <c r="C44" s="275"/>
      <c r="D44" s="275"/>
      <c r="E44" s="275"/>
      <c r="F44" s="275"/>
      <c r="G44" s="275"/>
      <c r="H44" s="275"/>
      <c r="I44" s="275"/>
      <c r="J44" s="276"/>
    </row>
    <row r="45" spans="1:11" s="4" customFormat="1" ht="18.75" customHeight="1" x14ac:dyDescent="0.2">
      <c r="A45" s="103" t="s">
        <v>11</v>
      </c>
      <c r="B45" s="1" t="s">
        <v>65</v>
      </c>
      <c r="C45" s="1"/>
      <c r="D45" s="1"/>
      <c r="E45" s="1"/>
      <c r="F45" s="1"/>
      <c r="G45" s="1"/>
      <c r="H45" s="1"/>
      <c r="I45" s="103"/>
      <c r="J45" s="103"/>
      <c r="K45" s="31"/>
    </row>
    <row r="46" spans="1:11" ht="18.75" customHeight="1" x14ac:dyDescent="0.2">
      <c r="A46" s="39"/>
      <c r="B46" s="282" t="s">
        <v>215</v>
      </c>
      <c r="C46" s="279"/>
      <c r="D46" s="279"/>
      <c r="E46" s="279"/>
      <c r="F46" s="279"/>
      <c r="G46" s="279"/>
      <c r="H46" s="279"/>
      <c r="I46" s="279"/>
      <c r="J46" s="283"/>
      <c r="K46" s="31" t="str">
        <f>IF(B46="","入力してください","")</f>
        <v/>
      </c>
    </row>
    <row r="47" spans="1:11" ht="18.75" customHeight="1" x14ac:dyDescent="0.2">
      <c r="A47" s="39"/>
      <c r="B47" s="284"/>
      <c r="C47" s="285"/>
      <c r="D47" s="285"/>
      <c r="E47" s="285"/>
      <c r="F47" s="285"/>
      <c r="G47" s="285"/>
      <c r="H47" s="285"/>
      <c r="I47" s="285"/>
      <c r="J47" s="286"/>
    </row>
    <row r="48" spans="1:11" ht="18.75" customHeight="1" x14ac:dyDescent="0.2">
      <c r="A48" s="39"/>
      <c r="B48" s="284"/>
      <c r="C48" s="285"/>
      <c r="D48" s="285"/>
      <c r="E48" s="285"/>
      <c r="F48" s="285"/>
      <c r="G48" s="285"/>
      <c r="H48" s="285"/>
      <c r="I48" s="285"/>
      <c r="J48" s="286"/>
    </row>
    <row r="49" spans="1:10" ht="18.75" customHeight="1" x14ac:dyDescent="0.2">
      <c r="A49" s="39"/>
      <c r="B49" s="284"/>
      <c r="C49" s="285"/>
      <c r="D49" s="285"/>
      <c r="E49" s="285"/>
      <c r="F49" s="285"/>
      <c r="G49" s="285"/>
      <c r="H49" s="285"/>
      <c r="I49" s="285"/>
      <c r="J49" s="286"/>
    </row>
    <row r="50" spans="1:10" ht="18.75" customHeight="1" x14ac:dyDescent="0.2">
      <c r="A50" s="39"/>
      <c r="B50" s="284"/>
      <c r="C50" s="285"/>
      <c r="D50" s="285"/>
      <c r="E50" s="285"/>
      <c r="F50" s="285"/>
      <c r="G50" s="285"/>
      <c r="H50" s="285"/>
      <c r="I50" s="285"/>
      <c r="J50" s="286"/>
    </row>
    <row r="51" spans="1:10" ht="18.75" customHeight="1" x14ac:dyDescent="0.2">
      <c r="A51" s="39"/>
      <c r="B51" s="284"/>
      <c r="C51" s="285"/>
      <c r="D51" s="285"/>
      <c r="E51" s="285"/>
      <c r="F51" s="285"/>
      <c r="G51" s="285"/>
      <c r="H51" s="285"/>
      <c r="I51" s="285"/>
      <c r="J51" s="286"/>
    </row>
    <row r="52" spans="1:10" ht="18.75" customHeight="1" x14ac:dyDescent="0.2">
      <c r="A52" s="39"/>
      <c r="B52" s="284"/>
      <c r="C52" s="285"/>
      <c r="D52" s="285"/>
      <c r="E52" s="285"/>
      <c r="F52" s="285"/>
      <c r="G52" s="285"/>
      <c r="H52" s="285"/>
      <c r="I52" s="285"/>
      <c r="J52" s="286"/>
    </row>
    <row r="53" spans="1:10" ht="18.75" customHeight="1" x14ac:dyDescent="0.2">
      <c r="A53" s="39"/>
      <c r="B53" s="284"/>
      <c r="C53" s="285"/>
      <c r="D53" s="285"/>
      <c r="E53" s="285"/>
      <c r="F53" s="285"/>
      <c r="G53" s="285"/>
      <c r="H53" s="285"/>
      <c r="I53" s="285"/>
      <c r="J53" s="286"/>
    </row>
    <row r="54" spans="1:10" ht="18.75" customHeight="1" x14ac:dyDescent="0.2">
      <c r="A54" s="39"/>
      <c r="B54" s="284"/>
      <c r="C54" s="285"/>
      <c r="D54" s="285"/>
      <c r="E54" s="285"/>
      <c r="F54" s="285"/>
      <c r="G54" s="285"/>
      <c r="H54" s="285"/>
      <c r="I54" s="285"/>
      <c r="J54" s="286"/>
    </row>
    <row r="55" spans="1:10" ht="18.75" customHeight="1" x14ac:dyDescent="0.2">
      <c r="A55" s="39"/>
      <c r="B55" s="284"/>
      <c r="C55" s="285"/>
      <c r="D55" s="285"/>
      <c r="E55" s="285"/>
      <c r="F55" s="285"/>
      <c r="G55" s="285"/>
      <c r="H55" s="285"/>
      <c r="I55" s="285"/>
      <c r="J55" s="286"/>
    </row>
    <row r="56" spans="1:10" ht="18.75" customHeight="1" x14ac:dyDescent="0.2">
      <c r="A56" s="39"/>
      <c r="B56" s="284"/>
      <c r="C56" s="285"/>
      <c r="D56" s="285"/>
      <c r="E56" s="285"/>
      <c r="F56" s="285"/>
      <c r="G56" s="285"/>
      <c r="H56" s="285"/>
      <c r="I56" s="285"/>
      <c r="J56" s="286"/>
    </row>
    <row r="57" spans="1:10" ht="18.75" customHeight="1" x14ac:dyDescent="0.2">
      <c r="A57" s="39"/>
      <c r="B57" s="284"/>
      <c r="C57" s="285"/>
      <c r="D57" s="285"/>
      <c r="E57" s="285"/>
      <c r="F57" s="285"/>
      <c r="G57" s="285"/>
      <c r="H57" s="285"/>
      <c r="I57" s="285"/>
      <c r="J57" s="286"/>
    </row>
    <row r="58" spans="1:10" ht="18.75" customHeight="1" x14ac:dyDescent="0.2">
      <c r="A58" s="39"/>
      <c r="B58" s="284"/>
      <c r="C58" s="285"/>
      <c r="D58" s="285"/>
      <c r="E58" s="285"/>
      <c r="F58" s="285"/>
      <c r="G58" s="285"/>
      <c r="H58" s="285"/>
      <c r="I58" s="285"/>
      <c r="J58" s="286"/>
    </row>
    <row r="59" spans="1:10" ht="18.75" customHeight="1" x14ac:dyDescent="0.2">
      <c r="A59" s="39"/>
      <c r="B59" s="284"/>
      <c r="C59" s="285"/>
      <c r="D59" s="285"/>
      <c r="E59" s="285"/>
      <c r="F59" s="285"/>
      <c r="G59" s="285"/>
      <c r="H59" s="285"/>
      <c r="I59" s="285"/>
      <c r="J59" s="286"/>
    </row>
    <row r="60" spans="1:10" ht="18.75" customHeight="1" x14ac:dyDescent="0.2">
      <c r="A60" s="39"/>
      <c r="B60" s="284"/>
      <c r="C60" s="285"/>
      <c r="D60" s="285"/>
      <c r="E60" s="285"/>
      <c r="F60" s="285"/>
      <c r="G60" s="285"/>
      <c r="H60" s="285"/>
      <c r="I60" s="285"/>
      <c r="J60" s="286"/>
    </row>
    <row r="61" spans="1:10" ht="18.75" customHeight="1" x14ac:dyDescent="0.2">
      <c r="A61" s="39"/>
      <c r="B61" s="284"/>
      <c r="C61" s="285"/>
      <c r="D61" s="285"/>
      <c r="E61" s="285"/>
      <c r="F61" s="285"/>
      <c r="G61" s="285"/>
      <c r="H61" s="285"/>
      <c r="I61" s="285"/>
      <c r="J61" s="286"/>
    </row>
    <row r="62" spans="1:10" ht="18.75" customHeight="1" x14ac:dyDescent="0.2">
      <c r="A62" s="39"/>
      <c r="B62" s="284"/>
      <c r="C62" s="285"/>
      <c r="D62" s="285"/>
      <c r="E62" s="285"/>
      <c r="F62" s="285"/>
      <c r="G62" s="285"/>
      <c r="H62" s="285"/>
      <c r="I62" s="285"/>
      <c r="J62" s="286"/>
    </row>
    <row r="63" spans="1:10" ht="18.75" customHeight="1" x14ac:dyDescent="0.2">
      <c r="A63" s="39"/>
      <c r="B63" s="284"/>
      <c r="C63" s="285"/>
      <c r="D63" s="285"/>
      <c r="E63" s="285"/>
      <c r="F63" s="285"/>
      <c r="G63" s="285"/>
      <c r="H63" s="285"/>
      <c r="I63" s="285"/>
      <c r="J63" s="286"/>
    </row>
    <row r="64" spans="1:10" ht="18.75" customHeight="1" x14ac:dyDescent="0.2">
      <c r="A64" s="39"/>
      <c r="B64" s="284"/>
      <c r="C64" s="285"/>
      <c r="D64" s="285"/>
      <c r="E64" s="285"/>
      <c r="F64" s="285"/>
      <c r="G64" s="285"/>
      <c r="H64" s="285"/>
      <c r="I64" s="285"/>
      <c r="J64" s="286"/>
    </row>
    <row r="65" spans="1:11" ht="18.75" customHeight="1" x14ac:dyDescent="0.2">
      <c r="A65" s="39"/>
      <c r="B65" s="284"/>
      <c r="C65" s="285"/>
      <c r="D65" s="285"/>
      <c r="E65" s="285"/>
      <c r="F65" s="285"/>
      <c r="G65" s="285"/>
      <c r="H65" s="285"/>
      <c r="I65" s="285"/>
      <c r="J65" s="286"/>
    </row>
    <row r="66" spans="1:11" ht="18.75" customHeight="1" x14ac:dyDescent="0.2">
      <c r="A66" s="39"/>
      <c r="B66" s="287"/>
      <c r="C66" s="288"/>
      <c r="D66" s="288"/>
      <c r="E66" s="288"/>
      <c r="F66" s="288"/>
      <c r="G66" s="288"/>
      <c r="H66" s="288"/>
      <c r="I66" s="288"/>
      <c r="J66" s="289"/>
    </row>
    <row r="67" spans="1:11" ht="7.5" customHeight="1" x14ac:dyDescent="0.2">
      <c r="A67" s="39"/>
      <c r="B67" s="39"/>
      <c r="C67" s="39"/>
      <c r="D67" s="39"/>
      <c r="E67" s="39"/>
      <c r="F67" s="39"/>
      <c r="G67" s="39"/>
      <c r="H67" s="39"/>
      <c r="I67" s="39"/>
      <c r="J67" s="39"/>
    </row>
    <row r="68" spans="1:11" s="4" customFormat="1" ht="18.75" customHeight="1" x14ac:dyDescent="0.2">
      <c r="A68" s="1" t="s">
        <v>14</v>
      </c>
      <c r="B68" s="1" t="s">
        <v>71</v>
      </c>
      <c r="C68" s="1"/>
      <c r="D68" s="1"/>
      <c r="E68" s="1"/>
      <c r="F68" s="1"/>
      <c r="G68" s="1"/>
      <c r="H68" s="1"/>
      <c r="I68" s="1"/>
      <c r="J68" s="1"/>
      <c r="K68" s="31"/>
    </row>
    <row r="69" spans="1:11" s="4" customFormat="1" ht="18.75" customHeight="1" x14ac:dyDescent="0.2">
      <c r="A69" s="1"/>
      <c r="B69" s="282" t="s">
        <v>216</v>
      </c>
      <c r="C69" s="279"/>
      <c r="D69" s="279"/>
      <c r="E69" s="279"/>
      <c r="F69" s="279"/>
      <c r="G69" s="279"/>
      <c r="H69" s="279"/>
      <c r="I69" s="280"/>
      <c r="J69" s="281"/>
      <c r="K69" s="35" t="str">
        <f>IF(B69="","入力してください","")</f>
        <v/>
      </c>
    </row>
    <row r="70" spans="1:11" s="4" customFormat="1" ht="18.75" customHeight="1" x14ac:dyDescent="0.2">
      <c r="A70" s="1"/>
      <c r="B70" s="271"/>
      <c r="C70" s="272"/>
      <c r="D70" s="272"/>
      <c r="E70" s="272"/>
      <c r="F70" s="272"/>
      <c r="G70" s="272"/>
      <c r="H70" s="272"/>
      <c r="I70" s="272"/>
      <c r="J70" s="273"/>
      <c r="K70" s="35"/>
    </row>
    <row r="71" spans="1:11" s="4" customFormat="1" ht="18.75" customHeight="1" x14ac:dyDescent="0.2">
      <c r="A71" s="1"/>
      <c r="B71" s="271"/>
      <c r="C71" s="272"/>
      <c r="D71" s="272"/>
      <c r="E71" s="272"/>
      <c r="F71" s="272"/>
      <c r="G71" s="272"/>
      <c r="H71" s="272"/>
      <c r="I71" s="272"/>
      <c r="J71" s="273"/>
      <c r="K71" s="35"/>
    </row>
    <row r="72" spans="1:11" s="4" customFormat="1" ht="18.75" customHeight="1" x14ac:dyDescent="0.2">
      <c r="A72" s="1"/>
      <c r="B72" s="271"/>
      <c r="C72" s="272"/>
      <c r="D72" s="272"/>
      <c r="E72" s="272"/>
      <c r="F72" s="272"/>
      <c r="G72" s="272"/>
      <c r="H72" s="272"/>
      <c r="I72" s="272"/>
      <c r="J72" s="273"/>
      <c r="K72" s="35"/>
    </row>
    <row r="73" spans="1:11" s="4" customFormat="1" ht="18.75" customHeight="1" x14ac:dyDescent="0.2">
      <c r="A73" s="1"/>
      <c r="B73" s="271"/>
      <c r="C73" s="272"/>
      <c r="D73" s="272"/>
      <c r="E73" s="272"/>
      <c r="F73" s="272"/>
      <c r="G73" s="272"/>
      <c r="H73" s="272"/>
      <c r="I73" s="272"/>
      <c r="J73" s="273"/>
      <c r="K73" s="35"/>
    </row>
    <row r="74" spans="1:11" s="4" customFormat="1" ht="18.75" customHeight="1" x14ac:dyDescent="0.2">
      <c r="A74" s="1"/>
      <c r="B74" s="271"/>
      <c r="C74" s="272"/>
      <c r="D74" s="272"/>
      <c r="E74" s="272"/>
      <c r="F74" s="272"/>
      <c r="G74" s="272"/>
      <c r="H74" s="272"/>
      <c r="I74" s="272"/>
      <c r="J74" s="273"/>
      <c r="K74" s="35"/>
    </row>
    <row r="75" spans="1:11" s="4" customFormat="1" ht="18.75" customHeight="1" x14ac:dyDescent="0.2">
      <c r="A75" s="1"/>
      <c r="B75" s="271"/>
      <c r="C75" s="272"/>
      <c r="D75" s="272"/>
      <c r="E75" s="272"/>
      <c r="F75" s="272"/>
      <c r="G75" s="272"/>
      <c r="H75" s="272"/>
      <c r="I75" s="272"/>
      <c r="J75" s="273"/>
      <c r="K75" s="35"/>
    </row>
    <row r="76" spans="1:11" s="4" customFormat="1" ht="18.75" customHeight="1" x14ac:dyDescent="0.2">
      <c r="A76" s="1"/>
      <c r="B76" s="271"/>
      <c r="C76" s="272"/>
      <c r="D76" s="272"/>
      <c r="E76" s="272"/>
      <c r="F76" s="272"/>
      <c r="G76" s="272"/>
      <c r="H76" s="272"/>
      <c r="I76" s="272"/>
      <c r="J76" s="273"/>
      <c r="K76" s="35"/>
    </row>
    <row r="77" spans="1:11" s="4" customFormat="1" ht="18.75" customHeight="1" x14ac:dyDescent="0.2">
      <c r="A77" s="1"/>
      <c r="B77" s="271"/>
      <c r="C77" s="272"/>
      <c r="D77" s="272"/>
      <c r="E77" s="272"/>
      <c r="F77" s="272"/>
      <c r="G77" s="272"/>
      <c r="H77" s="272"/>
      <c r="I77" s="272"/>
      <c r="J77" s="273"/>
      <c r="K77" s="35"/>
    </row>
    <row r="78" spans="1:11" s="4" customFormat="1" ht="18.75" customHeight="1" x14ac:dyDescent="0.2">
      <c r="A78" s="1"/>
      <c r="B78" s="271"/>
      <c r="C78" s="272"/>
      <c r="D78" s="272"/>
      <c r="E78" s="272"/>
      <c r="F78" s="272"/>
      <c r="G78" s="272"/>
      <c r="H78" s="272"/>
      <c r="I78" s="272"/>
      <c r="J78" s="273"/>
      <c r="K78" s="35"/>
    </row>
    <row r="79" spans="1:11" s="4" customFormat="1" ht="18.75" customHeight="1" x14ac:dyDescent="0.2">
      <c r="A79" s="1"/>
      <c r="B79" s="271"/>
      <c r="C79" s="272"/>
      <c r="D79" s="272"/>
      <c r="E79" s="272"/>
      <c r="F79" s="272"/>
      <c r="G79" s="272"/>
      <c r="H79" s="272"/>
      <c r="I79" s="272"/>
      <c r="J79" s="273"/>
      <c r="K79" s="35"/>
    </row>
    <row r="80" spans="1:11" s="4" customFormat="1" ht="18.75" customHeight="1" x14ac:dyDescent="0.2">
      <c r="A80" s="1"/>
      <c r="B80" s="271"/>
      <c r="C80" s="272"/>
      <c r="D80" s="272"/>
      <c r="E80" s="272"/>
      <c r="F80" s="272"/>
      <c r="G80" s="272"/>
      <c r="H80" s="272"/>
      <c r="I80" s="272"/>
      <c r="J80" s="273"/>
      <c r="K80" s="35"/>
    </row>
    <row r="81" spans="1:11" s="4" customFormat="1" ht="18.75" customHeight="1" x14ac:dyDescent="0.2">
      <c r="A81" s="1"/>
      <c r="B81" s="271"/>
      <c r="C81" s="272"/>
      <c r="D81" s="272"/>
      <c r="E81" s="272"/>
      <c r="F81" s="272"/>
      <c r="G81" s="272"/>
      <c r="H81" s="272"/>
      <c r="I81" s="272"/>
      <c r="J81" s="273"/>
      <c r="K81" s="35"/>
    </row>
    <row r="82" spans="1:11" s="4" customFormat="1" ht="18.75" customHeight="1" x14ac:dyDescent="0.2">
      <c r="A82" s="1"/>
      <c r="B82" s="271"/>
      <c r="C82" s="272"/>
      <c r="D82" s="272"/>
      <c r="E82" s="272"/>
      <c r="F82" s="272"/>
      <c r="G82" s="272"/>
      <c r="H82" s="272"/>
      <c r="I82" s="272"/>
      <c r="J82" s="273"/>
      <c r="K82" s="35"/>
    </row>
    <row r="83" spans="1:11" s="4" customFormat="1" ht="18.75" customHeight="1" x14ac:dyDescent="0.2">
      <c r="A83" s="1"/>
      <c r="B83" s="271"/>
      <c r="C83" s="272"/>
      <c r="D83" s="272"/>
      <c r="E83" s="272"/>
      <c r="F83" s="272"/>
      <c r="G83" s="272"/>
      <c r="H83" s="272"/>
      <c r="I83" s="272"/>
      <c r="J83" s="273"/>
      <c r="K83" s="35"/>
    </row>
    <row r="84" spans="1:11" s="4" customFormat="1" ht="18.75" customHeight="1" x14ac:dyDescent="0.2">
      <c r="A84" s="1"/>
      <c r="B84" s="271"/>
      <c r="C84" s="272"/>
      <c r="D84" s="272"/>
      <c r="E84" s="272"/>
      <c r="F84" s="272"/>
      <c r="G84" s="272"/>
      <c r="H84" s="272"/>
      <c r="I84" s="272"/>
      <c r="J84" s="273"/>
      <c r="K84" s="35"/>
    </row>
    <row r="85" spans="1:11" ht="18.75" customHeight="1" x14ac:dyDescent="0.2">
      <c r="A85" s="39"/>
      <c r="B85" s="271"/>
      <c r="C85" s="272"/>
      <c r="D85" s="272"/>
      <c r="E85" s="272"/>
      <c r="F85" s="272"/>
      <c r="G85" s="272"/>
      <c r="H85" s="272"/>
      <c r="I85" s="272"/>
      <c r="J85" s="273"/>
      <c r="K85" s="35"/>
    </row>
    <row r="86" spans="1:11" ht="18.75" customHeight="1" x14ac:dyDescent="0.2">
      <c r="A86" s="39"/>
      <c r="B86" s="274"/>
      <c r="C86" s="275"/>
      <c r="D86" s="275"/>
      <c r="E86" s="275"/>
      <c r="F86" s="275"/>
      <c r="G86" s="275"/>
      <c r="H86" s="275"/>
      <c r="I86" s="275"/>
      <c r="J86" s="276"/>
      <c r="K86" s="35"/>
    </row>
    <row r="87" spans="1:11" ht="7.5" customHeight="1" x14ac:dyDescent="0.2">
      <c r="A87" s="39"/>
      <c r="B87" s="39"/>
      <c r="C87" s="39"/>
      <c r="D87" s="39"/>
      <c r="E87" s="39"/>
      <c r="F87" s="39"/>
      <c r="G87" s="39"/>
      <c r="H87" s="39"/>
      <c r="I87" s="39"/>
      <c r="J87" s="39"/>
    </row>
    <row r="88" spans="1:11" s="4" customFormat="1" ht="18.75" customHeight="1" x14ac:dyDescent="0.2">
      <c r="A88" s="1" t="s">
        <v>12</v>
      </c>
      <c r="B88" s="1" t="s">
        <v>27</v>
      </c>
      <c r="C88" s="1"/>
      <c r="D88" s="1"/>
      <c r="E88" s="1"/>
      <c r="F88" s="1"/>
      <c r="G88" s="1"/>
      <c r="H88" s="1"/>
      <c r="I88" s="1"/>
      <c r="J88" s="1"/>
      <c r="K88" s="31"/>
    </row>
    <row r="89" spans="1:11" s="4" customFormat="1" ht="18.75" customHeight="1" x14ac:dyDescent="0.2">
      <c r="A89" s="1"/>
      <c r="B89" s="282" t="s">
        <v>217</v>
      </c>
      <c r="C89" s="279"/>
      <c r="D89" s="279"/>
      <c r="E89" s="279"/>
      <c r="F89" s="279"/>
      <c r="G89" s="279"/>
      <c r="H89" s="279"/>
      <c r="I89" s="280"/>
      <c r="J89" s="281"/>
      <c r="K89" s="31"/>
    </row>
    <row r="90" spans="1:11" s="4" customFormat="1" ht="18.75" customHeight="1" x14ac:dyDescent="0.2">
      <c r="A90" s="1"/>
      <c r="B90" s="271"/>
      <c r="C90" s="272"/>
      <c r="D90" s="272"/>
      <c r="E90" s="272"/>
      <c r="F90" s="272"/>
      <c r="G90" s="272"/>
      <c r="H90" s="272"/>
      <c r="I90" s="272"/>
      <c r="J90" s="273"/>
      <c r="K90" s="35"/>
    </row>
    <row r="91" spans="1:11" s="4" customFormat="1" ht="18.75" customHeight="1" x14ac:dyDescent="0.2">
      <c r="A91" s="1"/>
      <c r="B91" s="271"/>
      <c r="C91" s="272"/>
      <c r="D91" s="272"/>
      <c r="E91" s="272"/>
      <c r="F91" s="272"/>
      <c r="G91" s="272"/>
      <c r="H91" s="272"/>
      <c r="I91" s="272"/>
      <c r="J91" s="273"/>
      <c r="K91" s="35" t="str">
        <f>IF(B89="","入力してください","")</f>
        <v/>
      </c>
    </row>
    <row r="92" spans="1:11" s="4" customFormat="1" ht="18.75" customHeight="1" x14ac:dyDescent="0.2">
      <c r="A92" s="1"/>
      <c r="B92" s="271"/>
      <c r="C92" s="272"/>
      <c r="D92" s="272"/>
      <c r="E92" s="272"/>
      <c r="F92" s="272"/>
      <c r="G92" s="272"/>
      <c r="H92" s="272"/>
      <c r="I92" s="272"/>
      <c r="J92" s="273"/>
      <c r="K92" s="35"/>
    </row>
    <row r="93" spans="1:11" s="4" customFormat="1" ht="18.75" customHeight="1" x14ac:dyDescent="0.2">
      <c r="A93" s="1"/>
      <c r="B93" s="271"/>
      <c r="C93" s="272"/>
      <c r="D93" s="272"/>
      <c r="E93" s="272"/>
      <c r="F93" s="272"/>
      <c r="G93" s="272"/>
      <c r="H93" s="272"/>
      <c r="I93" s="272"/>
      <c r="J93" s="273"/>
      <c r="K93" s="35"/>
    </row>
    <row r="94" spans="1:11" s="4" customFormat="1" ht="18.75" customHeight="1" x14ac:dyDescent="0.2">
      <c r="A94" s="1"/>
      <c r="B94" s="271"/>
      <c r="C94" s="272"/>
      <c r="D94" s="272"/>
      <c r="E94" s="272"/>
      <c r="F94" s="272"/>
      <c r="G94" s="272"/>
      <c r="H94" s="272"/>
      <c r="I94" s="272"/>
      <c r="J94" s="273"/>
      <c r="K94" s="35"/>
    </row>
    <row r="95" spans="1:11" s="4" customFormat="1" ht="18.75" customHeight="1" x14ac:dyDescent="0.2">
      <c r="A95" s="1"/>
      <c r="B95" s="271"/>
      <c r="C95" s="272"/>
      <c r="D95" s="272"/>
      <c r="E95" s="272"/>
      <c r="F95" s="272"/>
      <c r="G95" s="272"/>
      <c r="H95" s="272"/>
      <c r="I95" s="272"/>
      <c r="J95" s="273"/>
      <c r="K95" s="35"/>
    </row>
    <row r="96" spans="1:11" s="4" customFormat="1" ht="18.75" customHeight="1" x14ac:dyDescent="0.2">
      <c r="A96" s="1"/>
      <c r="B96" s="271"/>
      <c r="C96" s="272"/>
      <c r="D96" s="272"/>
      <c r="E96" s="272"/>
      <c r="F96" s="272"/>
      <c r="G96" s="272"/>
      <c r="H96" s="272"/>
      <c r="I96" s="272"/>
      <c r="J96" s="273"/>
      <c r="K96" s="35"/>
    </row>
    <row r="97" spans="1:11" s="4" customFormat="1" ht="18.75" customHeight="1" x14ac:dyDescent="0.2">
      <c r="A97" s="1"/>
      <c r="B97" s="271"/>
      <c r="C97" s="272"/>
      <c r="D97" s="272"/>
      <c r="E97" s="272"/>
      <c r="F97" s="272"/>
      <c r="G97" s="272"/>
      <c r="H97" s="272"/>
      <c r="I97" s="272"/>
      <c r="J97" s="273"/>
      <c r="K97" s="35"/>
    </row>
    <row r="98" spans="1:11" s="4" customFormat="1" ht="18.75" customHeight="1" x14ac:dyDescent="0.2">
      <c r="A98" s="1"/>
      <c r="B98" s="271"/>
      <c r="C98" s="272"/>
      <c r="D98" s="272"/>
      <c r="E98" s="272"/>
      <c r="F98" s="272"/>
      <c r="G98" s="272"/>
      <c r="H98" s="272"/>
      <c r="I98" s="272"/>
      <c r="J98" s="273"/>
      <c r="K98" s="35"/>
    </row>
    <row r="99" spans="1:11" s="4" customFormat="1" ht="18.75" customHeight="1" x14ac:dyDescent="0.2">
      <c r="A99" s="1"/>
      <c r="B99" s="271"/>
      <c r="C99" s="272"/>
      <c r="D99" s="272"/>
      <c r="E99" s="272"/>
      <c r="F99" s="272"/>
      <c r="G99" s="272"/>
      <c r="H99" s="272"/>
      <c r="I99" s="272"/>
      <c r="J99" s="273"/>
      <c r="K99" s="35"/>
    </row>
    <row r="100" spans="1:11" s="4" customFormat="1" ht="18.75" customHeight="1" x14ac:dyDescent="0.2">
      <c r="A100" s="1"/>
      <c r="B100" s="271"/>
      <c r="C100" s="272"/>
      <c r="D100" s="272"/>
      <c r="E100" s="272"/>
      <c r="F100" s="272"/>
      <c r="G100" s="272"/>
      <c r="H100" s="272"/>
      <c r="I100" s="272"/>
      <c r="J100" s="273"/>
      <c r="K100" s="35"/>
    </row>
    <row r="101" spans="1:11" s="4" customFormat="1" ht="18.75" customHeight="1" x14ac:dyDescent="0.2">
      <c r="A101" s="1"/>
      <c r="B101" s="271"/>
      <c r="C101" s="272"/>
      <c r="D101" s="272"/>
      <c r="E101" s="272"/>
      <c r="F101" s="272"/>
      <c r="G101" s="272"/>
      <c r="H101" s="272"/>
      <c r="I101" s="272"/>
      <c r="J101" s="273"/>
      <c r="K101" s="35"/>
    </row>
    <row r="102" spans="1:11" s="4" customFormat="1" ht="18.75" customHeight="1" x14ac:dyDescent="0.2">
      <c r="A102" s="1"/>
      <c r="B102" s="271"/>
      <c r="C102" s="272"/>
      <c r="D102" s="272"/>
      <c r="E102" s="272"/>
      <c r="F102" s="272"/>
      <c r="G102" s="272"/>
      <c r="H102" s="272"/>
      <c r="I102" s="272"/>
      <c r="J102" s="273"/>
      <c r="K102" s="35"/>
    </row>
    <row r="103" spans="1:11" s="4" customFormat="1" ht="18.75" customHeight="1" x14ac:dyDescent="0.2">
      <c r="A103" s="1"/>
      <c r="B103" s="271"/>
      <c r="C103" s="272"/>
      <c r="D103" s="272"/>
      <c r="E103" s="272"/>
      <c r="F103" s="272"/>
      <c r="G103" s="272"/>
      <c r="H103" s="272"/>
      <c r="I103" s="272"/>
      <c r="J103" s="273"/>
      <c r="K103" s="35"/>
    </row>
    <row r="104" spans="1:11" s="4" customFormat="1" ht="18.75" customHeight="1" x14ac:dyDescent="0.2">
      <c r="A104" s="1"/>
      <c r="B104" s="271"/>
      <c r="C104" s="272"/>
      <c r="D104" s="272"/>
      <c r="E104" s="272"/>
      <c r="F104" s="272"/>
      <c r="G104" s="272"/>
      <c r="H104" s="272"/>
      <c r="I104" s="272"/>
      <c r="J104" s="273"/>
      <c r="K104" s="35"/>
    </row>
    <row r="105" spans="1:11" s="4" customFormat="1" ht="18.75" customHeight="1" x14ac:dyDescent="0.2">
      <c r="A105" s="1"/>
      <c r="B105" s="271"/>
      <c r="C105" s="272"/>
      <c r="D105" s="272"/>
      <c r="E105" s="272"/>
      <c r="F105" s="272"/>
      <c r="G105" s="272"/>
      <c r="H105" s="272"/>
      <c r="I105" s="272"/>
      <c r="J105" s="273"/>
      <c r="K105" s="35"/>
    </row>
    <row r="106" spans="1:11" s="4" customFormat="1" ht="18.75" customHeight="1" x14ac:dyDescent="0.2">
      <c r="A106" s="1"/>
      <c r="B106" s="271"/>
      <c r="C106" s="272"/>
      <c r="D106" s="272"/>
      <c r="E106" s="272"/>
      <c r="F106" s="272"/>
      <c r="G106" s="272"/>
      <c r="H106" s="272"/>
      <c r="I106" s="272"/>
      <c r="J106" s="273"/>
      <c r="K106" s="35"/>
    </row>
    <row r="107" spans="1:11" ht="18.75" customHeight="1" x14ac:dyDescent="0.2">
      <c r="A107" s="39"/>
      <c r="B107" s="271"/>
      <c r="C107" s="272"/>
      <c r="D107" s="272"/>
      <c r="E107" s="272"/>
      <c r="F107" s="272"/>
      <c r="G107" s="272"/>
      <c r="H107" s="272"/>
      <c r="I107" s="272"/>
      <c r="J107" s="273"/>
      <c r="K107" s="35"/>
    </row>
    <row r="108" spans="1:11" ht="18.75" customHeight="1" x14ac:dyDescent="0.2">
      <c r="A108" s="39"/>
      <c r="B108" s="274"/>
      <c r="C108" s="275"/>
      <c r="D108" s="275"/>
      <c r="E108" s="275"/>
      <c r="F108" s="275"/>
      <c r="G108" s="275"/>
      <c r="H108" s="275"/>
      <c r="I108" s="275"/>
      <c r="J108" s="276"/>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53</v>
      </c>
      <c r="B110" s="290" t="s">
        <v>82</v>
      </c>
      <c r="C110" s="290"/>
      <c r="D110" s="290"/>
      <c r="E110" s="290"/>
      <c r="F110" s="290"/>
      <c r="G110" s="290"/>
      <c r="H110" s="290"/>
      <c r="I110" s="290"/>
      <c r="J110" s="290"/>
      <c r="K110" s="31"/>
    </row>
    <row r="111" spans="1:11" ht="18.75" customHeight="1" x14ac:dyDescent="0.2">
      <c r="A111" s="39"/>
      <c r="B111" s="282" t="s">
        <v>218</v>
      </c>
      <c r="C111" s="279"/>
      <c r="D111" s="279"/>
      <c r="E111" s="279"/>
      <c r="F111" s="279"/>
      <c r="G111" s="279"/>
      <c r="H111" s="279"/>
      <c r="I111" s="280"/>
      <c r="J111" s="281"/>
    </row>
    <row r="112" spans="1:11" ht="18.75" customHeight="1" x14ac:dyDescent="0.2">
      <c r="A112" s="39"/>
      <c r="B112" s="271"/>
      <c r="C112" s="272"/>
      <c r="D112" s="272"/>
      <c r="E112" s="272"/>
      <c r="F112" s="272"/>
      <c r="G112" s="272"/>
      <c r="H112" s="272"/>
      <c r="I112" s="272"/>
      <c r="J112" s="273"/>
      <c r="K112" s="35"/>
    </row>
    <row r="113" spans="1:11" ht="18.75" customHeight="1" x14ac:dyDescent="0.2">
      <c r="A113" s="39"/>
      <c r="B113" s="271"/>
      <c r="C113" s="272"/>
      <c r="D113" s="272"/>
      <c r="E113" s="272"/>
      <c r="F113" s="272"/>
      <c r="G113" s="272"/>
      <c r="H113" s="272"/>
      <c r="I113" s="272"/>
      <c r="J113" s="273"/>
      <c r="K113" s="31" t="str">
        <f>IF(B111="","入力してください","")</f>
        <v/>
      </c>
    </row>
    <row r="114" spans="1:11" ht="18.75" customHeight="1" x14ac:dyDescent="0.2">
      <c r="A114" s="39"/>
      <c r="B114" s="271"/>
      <c r="C114" s="272"/>
      <c r="D114" s="272"/>
      <c r="E114" s="272"/>
      <c r="F114" s="272"/>
      <c r="G114" s="272"/>
      <c r="H114" s="272"/>
      <c r="I114" s="272"/>
      <c r="J114" s="273"/>
    </row>
    <row r="115" spans="1:11" ht="18.75" customHeight="1" x14ac:dyDescent="0.2">
      <c r="A115" s="39"/>
      <c r="B115" s="271"/>
      <c r="C115" s="272"/>
      <c r="D115" s="272"/>
      <c r="E115" s="272"/>
      <c r="F115" s="272"/>
      <c r="G115" s="272"/>
      <c r="H115" s="272"/>
      <c r="I115" s="272"/>
      <c r="J115" s="273"/>
    </row>
    <row r="116" spans="1:11" ht="18.75" customHeight="1" x14ac:dyDescent="0.2">
      <c r="A116" s="39"/>
      <c r="B116" s="271"/>
      <c r="C116" s="272"/>
      <c r="D116" s="272"/>
      <c r="E116" s="272"/>
      <c r="F116" s="272"/>
      <c r="G116" s="272"/>
      <c r="H116" s="272"/>
      <c r="I116" s="272"/>
      <c r="J116" s="273"/>
    </row>
    <row r="117" spans="1:11" ht="18.75" customHeight="1" x14ac:dyDescent="0.2">
      <c r="A117" s="39"/>
      <c r="B117" s="271"/>
      <c r="C117" s="272"/>
      <c r="D117" s="272"/>
      <c r="E117" s="272"/>
      <c r="F117" s="272"/>
      <c r="G117" s="272"/>
      <c r="H117" s="272"/>
      <c r="I117" s="272"/>
      <c r="J117" s="273"/>
    </row>
    <row r="118" spans="1:11" ht="18.75" customHeight="1" x14ac:dyDescent="0.2">
      <c r="A118" s="39"/>
      <c r="B118" s="271"/>
      <c r="C118" s="272"/>
      <c r="D118" s="272"/>
      <c r="E118" s="272"/>
      <c r="F118" s="272"/>
      <c r="G118" s="272"/>
      <c r="H118" s="272"/>
      <c r="I118" s="272"/>
      <c r="J118" s="273"/>
    </row>
    <row r="119" spans="1:11" ht="18.75" customHeight="1" x14ac:dyDescent="0.2">
      <c r="A119" s="39"/>
      <c r="B119" s="271"/>
      <c r="C119" s="272"/>
      <c r="D119" s="272"/>
      <c r="E119" s="272"/>
      <c r="F119" s="272"/>
      <c r="G119" s="272"/>
      <c r="H119" s="272"/>
      <c r="I119" s="272"/>
      <c r="J119" s="273"/>
    </row>
    <row r="120" spans="1:11" ht="18.75" customHeight="1" x14ac:dyDescent="0.2">
      <c r="A120" s="39"/>
      <c r="B120" s="271"/>
      <c r="C120" s="272"/>
      <c r="D120" s="272"/>
      <c r="E120" s="272"/>
      <c r="F120" s="272"/>
      <c r="G120" s="272"/>
      <c r="H120" s="272"/>
      <c r="I120" s="272"/>
      <c r="J120" s="273"/>
    </row>
    <row r="121" spans="1:11" ht="18.75" customHeight="1" x14ac:dyDescent="0.2">
      <c r="A121" s="39"/>
      <c r="B121" s="271"/>
      <c r="C121" s="272"/>
      <c r="D121" s="272"/>
      <c r="E121" s="272"/>
      <c r="F121" s="272"/>
      <c r="G121" s="272"/>
      <c r="H121" s="272"/>
      <c r="I121" s="272"/>
      <c r="J121" s="273"/>
    </row>
    <row r="122" spans="1:11" ht="18.75" customHeight="1" x14ac:dyDescent="0.2">
      <c r="A122" s="39"/>
      <c r="B122" s="271"/>
      <c r="C122" s="272"/>
      <c r="D122" s="272"/>
      <c r="E122" s="272"/>
      <c r="F122" s="272"/>
      <c r="G122" s="272"/>
      <c r="H122" s="272"/>
      <c r="I122" s="272"/>
      <c r="J122" s="273"/>
    </row>
    <row r="123" spans="1:11" ht="18.75" customHeight="1" x14ac:dyDescent="0.2">
      <c r="A123" s="39"/>
      <c r="B123" s="271"/>
      <c r="C123" s="272"/>
      <c r="D123" s="272"/>
      <c r="E123" s="272"/>
      <c r="F123" s="272"/>
      <c r="G123" s="272"/>
      <c r="H123" s="272"/>
      <c r="I123" s="272"/>
      <c r="J123" s="273"/>
    </row>
    <row r="124" spans="1:11" ht="18.75" customHeight="1" x14ac:dyDescent="0.2">
      <c r="A124" s="39"/>
      <c r="B124" s="271"/>
      <c r="C124" s="272"/>
      <c r="D124" s="272"/>
      <c r="E124" s="272"/>
      <c r="F124" s="272"/>
      <c r="G124" s="272"/>
      <c r="H124" s="272"/>
      <c r="I124" s="272"/>
      <c r="J124" s="273"/>
    </row>
    <row r="125" spans="1:11" ht="18.75" customHeight="1" x14ac:dyDescent="0.2">
      <c r="A125" s="39"/>
      <c r="B125" s="271"/>
      <c r="C125" s="272"/>
      <c r="D125" s="272"/>
      <c r="E125" s="272"/>
      <c r="F125" s="272"/>
      <c r="G125" s="272"/>
      <c r="H125" s="272"/>
      <c r="I125" s="272"/>
      <c r="J125" s="273"/>
    </row>
    <row r="126" spans="1:11" ht="18.75" customHeight="1" x14ac:dyDescent="0.2">
      <c r="A126" s="39"/>
      <c r="B126" s="271"/>
      <c r="C126" s="272"/>
      <c r="D126" s="272"/>
      <c r="E126" s="272"/>
      <c r="F126" s="272"/>
      <c r="G126" s="272"/>
      <c r="H126" s="272"/>
      <c r="I126" s="272"/>
      <c r="J126" s="273"/>
    </row>
    <row r="127" spans="1:11" ht="18.75" customHeight="1" x14ac:dyDescent="0.2">
      <c r="A127" s="39"/>
      <c r="B127" s="271"/>
      <c r="C127" s="272"/>
      <c r="D127" s="272"/>
      <c r="E127" s="272"/>
      <c r="F127" s="272"/>
      <c r="G127" s="272"/>
      <c r="H127" s="272"/>
      <c r="I127" s="272"/>
      <c r="J127" s="273"/>
    </row>
    <row r="128" spans="1:11" ht="18.75" customHeight="1" x14ac:dyDescent="0.2">
      <c r="A128" s="39"/>
      <c r="B128" s="271"/>
      <c r="C128" s="272"/>
      <c r="D128" s="272"/>
      <c r="E128" s="272"/>
      <c r="F128" s="272"/>
      <c r="G128" s="272"/>
      <c r="H128" s="272"/>
      <c r="I128" s="272"/>
      <c r="J128" s="273"/>
    </row>
    <row r="129" spans="1:10" ht="18.75" customHeight="1" x14ac:dyDescent="0.2">
      <c r="A129" s="39"/>
      <c r="B129" s="274"/>
      <c r="C129" s="275"/>
      <c r="D129" s="275"/>
      <c r="E129" s="275"/>
      <c r="F129" s="275"/>
      <c r="G129" s="275"/>
      <c r="H129" s="275"/>
      <c r="I129" s="275"/>
      <c r="J129" s="276"/>
    </row>
    <row r="130" spans="1:10" ht="7.5" customHeight="1" x14ac:dyDescent="0.2">
      <c r="A130" s="39"/>
      <c r="B130" s="104"/>
      <c r="C130" s="104"/>
      <c r="D130" s="104"/>
      <c r="E130" s="104"/>
      <c r="F130" s="104"/>
      <c r="G130" s="104"/>
      <c r="H130" s="104"/>
      <c r="I130" s="104"/>
      <c r="J130" s="104"/>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 x14ac:dyDescent="0.2">
      <c r="A143" s="39"/>
      <c r="B143" s="39"/>
      <c r="C143" s="39"/>
      <c r="D143" s="39"/>
      <c r="E143" s="39"/>
      <c r="F143" s="39"/>
      <c r="G143" s="39"/>
      <c r="H143" s="39"/>
      <c r="I143" s="39"/>
      <c r="J143" s="39"/>
    </row>
    <row r="144" spans="1:10" ht="7.5" customHeight="1" x14ac:dyDescent="0.2">
      <c r="A144" s="105"/>
      <c r="B144" s="105"/>
      <c r="C144" s="105"/>
      <c r="D144" s="105"/>
      <c r="E144" s="105"/>
      <c r="F144" s="105"/>
      <c r="G144" s="105"/>
      <c r="H144" s="105"/>
      <c r="I144" s="105"/>
      <c r="J144" s="105"/>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75" zoomScaleNormal="100" zoomScaleSheetLayoutView="75" workbookViewId="0">
      <selection activeCell="A2" sqref="A2:J2"/>
    </sheetView>
  </sheetViews>
  <sheetFormatPr defaultColWidth="11.36328125" defaultRowHeight="22.5" customHeight="1" x14ac:dyDescent="0.2"/>
  <cols>
    <col min="1" max="3" width="2.7265625" style="1" customWidth="1"/>
    <col min="4" max="4" width="22.26953125" style="1" customWidth="1"/>
    <col min="5" max="5" width="21.6328125" style="1" customWidth="1"/>
    <col min="6" max="7" width="7.7265625" style="1" customWidth="1"/>
    <col min="8" max="8" width="33.36328125" style="1" customWidth="1"/>
    <col min="9" max="9" width="24.453125" style="1" customWidth="1"/>
    <col min="10" max="10" width="5.453125" style="1" customWidth="1"/>
    <col min="11" max="11" width="4.08984375" style="31" customWidth="1"/>
    <col min="12" max="16384" width="11.36328125" style="1"/>
  </cols>
  <sheetData>
    <row r="1" spans="1:11" ht="18.75" customHeight="1" x14ac:dyDescent="0.2">
      <c r="A1" s="1" t="s">
        <v>124</v>
      </c>
      <c r="J1" s="41" t="s">
        <v>73</v>
      </c>
    </row>
    <row r="2" spans="1:11" ht="18.75" customHeight="1" x14ac:dyDescent="0.2">
      <c r="A2" s="252" t="s">
        <v>42</v>
      </c>
      <c r="B2" s="252"/>
      <c r="C2" s="252"/>
      <c r="D2" s="252"/>
      <c r="E2" s="252"/>
      <c r="F2" s="252"/>
      <c r="G2" s="252"/>
      <c r="H2" s="252"/>
      <c r="I2" s="252"/>
      <c r="J2" s="252"/>
    </row>
    <row r="3" spans="1:11" ht="7.5" customHeight="1" x14ac:dyDescent="0.2">
      <c r="A3" s="42"/>
      <c r="B3" s="42"/>
      <c r="C3" s="42"/>
      <c r="D3" s="42"/>
      <c r="E3" s="42"/>
      <c r="F3" s="42"/>
      <c r="G3" s="42"/>
      <c r="H3" s="42"/>
      <c r="I3" s="42"/>
      <c r="J3" s="42"/>
    </row>
    <row r="4" spans="1:11" ht="18.75" customHeight="1" x14ac:dyDescent="0.2">
      <c r="A4" s="1" t="s">
        <v>6</v>
      </c>
      <c r="B4" s="4" t="s">
        <v>41</v>
      </c>
      <c r="C4" s="39"/>
      <c r="D4" s="39"/>
      <c r="E4" s="40"/>
      <c r="F4" s="40"/>
      <c r="G4" s="40"/>
      <c r="H4" s="40"/>
      <c r="I4" s="40"/>
      <c r="J4" s="40"/>
    </row>
    <row r="5" spans="1:11" ht="18.75" customHeight="1" x14ac:dyDescent="0.2">
      <c r="B5" s="296" t="s">
        <v>38</v>
      </c>
      <c r="C5" s="297"/>
      <c r="D5" s="298"/>
      <c r="E5" s="299" t="s">
        <v>40</v>
      </c>
      <c r="F5" s="299"/>
      <c r="G5" s="299"/>
      <c r="H5" s="299"/>
      <c r="I5" s="299"/>
      <c r="J5" s="300"/>
    </row>
    <row r="6" spans="1:11" ht="18.75" customHeight="1" x14ac:dyDescent="0.2">
      <c r="B6" s="3" t="s">
        <v>28</v>
      </c>
      <c r="C6" s="39"/>
      <c r="D6" s="7"/>
      <c r="I6" s="40"/>
      <c r="J6" s="5"/>
    </row>
    <row r="7" spans="1:11" ht="215.25" customHeight="1" x14ac:dyDescent="0.2">
      <c r="B7" s="6"/>
      <c r="C7" s="301" t="s">
        <v>29</v>
      </c>
      <c r="D7" s="302"/>
      <c r="E7" s="293" t="s">
        <v>228</v>
      </c>
      <c r="F7" s="294"/>
      <c r="G7" s="294"/>
      <c r="H7" s="294"/>
      <c r="I7" s="294"/>
      <c r="J7" s="295"/>
      <c r="K7" s="31" t="str">
        <f>IF(E7="","入力してください","")</f>
        <v/>
      </c>
    </row>
    <row r="8" spans="1:11" ht="198.75" customHeight="1" x14ac:dyDescent="0.2">
      <c r="B8" s="6"/>
      <c r="C8" s="291" t="s">
        <v>30</v>
      </c>
      <c r="D8" s="292"/>
      <c r="E8" s="293" t="s">
        <v>219</v>
      </c>
      <c r="F8" s="294"/>
      <c r="G8" s="294"/>
      <c r="H8" s="294"/>
      <c r="I8" s="294"/>
      <c r="J8" s="295"/>
      <c r="K8" s="31" t="str">
        <f>IF(E8="","入力してください","")</f>
        <v/>
      </c>
    </row>
    <row r="9" spans="1:11" ht="259" customHeight="1" x14ac:dyDescent="0.2">
      <c r="B9" s="6"/>
      <c r="C9" s="301" t="s">
        <v>31</v>
      </c>
      <c r="D9" s="302"/>
      <c r="E9" s="293" t="s">
        <v>220</v>
      </c>
      <c r="F9" s="294"/>
      <c r="G9" s="294"/>
      <c r="H9" s="294"/>
      <c r="I9" s="294"/>
      <c r="J9" s="295"/>
      <c r="K9" s="31" t="str">
        <f>IF(E9="","入力してください","")</f>
        <v/>
      </c>
    </row>
    <row r="10" spans="1:11" ht="172.5" customHeight="1" x14ac:dyDescent="0.2">
      <c r="B10" s="6"/>
      <c r="C10" s="301" t="s">
        <v>32</v>
      </c>
      <c r="D10" s="302"/>
      <c r="E10" s="293" t="s">
        <v>227</v>
      </c>
      <c r="F10" s="294"/>
      <c r="G10" s="294"/>
      <c r="H10" s="294"/>
      <c r="I10" s="294"/>
      <c r="J10" s="295"/>
      <c r="K10" s="31" t="str">
        <f t="shared" ref="K10:K14" si="0">IF(E10="","入力してください","")</f>
        <v/>
      </c>
    </row>
    <row r="11" spans="1:11" ht="172.5" customHeight="1" x14ac:dyDescent="0.2">
      <c r="B11" s="6"/>
      <c r="C11" s="301" t="s">
        <v>33</v>
      </c>
      <c r="D11" s="302"/>
      <c r="E11" s="293" t="s">
        <v>221</v>
      </c>
      <c r="F11" s="294"/>
      <c r="G11" s="294"/>
      <c r="H11" s="294"/>
      <c r="I11" s="294"/>
      <c r="J11" s="295"/>
      <c r="K11" s="31" t="str">
        <f t="shared" si="0"/>
        <v/>
      </c>
    </row>
    <row r="12" spans="1:11" ht="18.75" customHeight="1" x14ac:dyDescent="0.2">
      <c r="B12" s="9" t="s">
        <v>34</v>
      </c>
      <c r="C12" s="28"/>
      <c r="D12" s="8"/>
      <c r="E12" s="32"/>
      <c r="F12" s="32"/>
      <c r="G12" s="32"/>
      <c r="H12" s="32"/>
      <c r="I12" s="32"/>
      <c r="J12" s="33"/>
    </row>
    <row r="13" spans="1:11" ht="244.15" customHeight="1" x14ac:dyDescent="0.2">
      <c r="B13" s="6"/>
      <c r="C13" s="301" t="s">
        <v>35</v>
      </c>
      <c r="D13" s="302"/>
      <c r="E13" s="294" t="s">
        <v>222</v>
      </c>
      <c r="F13" s="294"/>
      <c r="G13" s="294"/>
      <c r="H13" s="294"/>
      <c r="I13" s="294"/>
      <c r="J13" s="295"/>
      <c r="K13" s="31" t="str">
        <f t="shared" si="0"/>
        <v/>
      </c>
    </row>
    <row r="14" spans="1:11" ht="255" customHeight="1" x14ac:dyDescent="0.2">
      <c r="B14" s="6"/>
      <c r="C14" s="301" t="s">
        <v>36</v>
      </c>
      <c r="D14" s="302"/>
      <c r="E14" s="294" t="s">
        <v>223</v>
      </c>
      <c r="F14" s="294"/>
      <c r="G14" s="294"/>
      <c r="H14" s="294"/>
      <c r="I14" s="294"/>
      <c r="J14" s="295"/>
      <c r="K14" s="31" t="str">
        <f t="shared" si="0"/>
        <v/>
      </c>
    </row>
    <row r="15" spans="1:11" ht="243" customHeight="1" x14ac:dyDescent="0.2">
      <c r="B15" s="309" t="s">
        <v>37</v>
      </c>
      <c r="C15" s="310"/>
      <c r="D15" s="302"/>
      <c r="E15" s="294" t="s">
        <v>224</v>
      </c>
      <c r="F15" s="294"/>
      <c r="G15" s="294"/>
      <c r="H15" s="294"/>
      <c r="I15" s="294"/>
      <c r="J15" s="295"/>
      <c r="K15" s="31" t="str">
        <f>IF(E15="","入力してください","")</f>
        <v/>
      </c>
    </row>
    <row r="16" spans="1:11" ht="243" customHeight="1" x14ac:dyDescent="0.2">
      <c r="A16" s="31"/>
      <c r="B16" s="303" t="s">
        <v>66</v>
      </c>
      <c r="C16" s="304"/>
      <c r="D16" s="305"/>
      <c r="E16" s="288" t="s">
        <v>226</v>
      </c>
      <c r="F16" s="288"/>
      <c r="G16" s="288"/>
      <c r="H16" s="288"/>
      <c r="I16" s="288"/>
      <c r="J16" s="289"/>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125</v>
      </c>
      <c r="B18" s="4"/>
      <c r="C18" s="39"/>
      <c r="D18" s="39"/>
      <c r="E18" s="40"/>
      <c r="F18" s="94"/>
      <c r="G18" s="306" t="s">
        <v>210</v>
      </c>
      <c r="H18" s="307"/>
      <c r="I18" s="307"/>
      <c r="J18" s="308"/>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84" orientation="landscape" r:id="rId1"/>
  <rowBreaks count="3" manualBreakCount="3">
    <brk id="8" max="9" man="1"/>
    <brk id="10" max="9" man="1"/>
    <brk id="13"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松本 創</cp:lastModifiedBy>
  <cp:lastPrinted>2022-05-19T09:27:44Z</cp:lastPrinted>
  <dcterms:created xsi:type="dcterms:W3CDTF">2011-06-14T05:32:50Z</dcterms:created>
  <dcterms:modified xsi:type="dcterms:W3CDTF">2022-05-24T00:40:17Z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