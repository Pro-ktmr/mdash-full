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jmden-g\学生課\教務係\◆数理・データサイエンス・AI教育プログラム認定制度\◎リテラシーレベルの申請\20220705確認依頼\"/>
    </mc:Choice>
  </mc:AlternateContent>
  <bookViews>
    <workbookView xWindow="0" yWindow="0" windowWidth="28800" windowHeight="11460" tabRatio="885" firstSheet="4" activeTab="8"/>
  </bookViews>
  <sheets>
    <sheet name="様式１　大学等概要" sheetId="8" r:id="rId1"/>
    <sheet name="様式２-1　プログラムを構成する授業科目（M）" sheetId="39" r:id="rId2"/>
    <sheet name="様式２-2　プログラムを構成する授業科目（E）" sheetId="48" r:id="rId3"/>
    <sheet name="様式２-3　プログラムを構成する授業科目（EI）" sheetId="52" r:id="rId4"/>
    <sheet name="様式２-4　プログラムを構成する授業科目（C）" sheetId="50" r:id="rId5"/>
    <sheet name="様式２-5　プログラムを構成する授業科目（B）" sheetId="51" r:id="rId6"/>
    <sheet name="様式３　履修者等数の実績" sheetId="40" r:id="rId7"/>
    <sheet name="様式４　教育の質・履修者数を向上させるための体制・計画" sheetId="41" r:id="rId8"/>
    <sheet name="様式５　自己点検・評価" sheetId="42" r:id="rId9"/>
    <sheet name="様式６　特色ある取組" sheetId="43" r:id="rId10"/>
  </sheets>
  <definedNames>
    <definedName name="_xlnm._FilterDatabase" localSheetId="1" hidden="1">'様式２-1　プログラムを構成する授業科目（M）'!#REF!</definedName>
    <definedName name="_xlnm._FilterDatabase" localSheetId="2" hidden="1">'様式２-2　プログラムを構成する授業科目（E）'!#REF!</definedName>
    <definedName name="_xlnm._FilterDatabase" localSheetId="3" hidden="1">'様式２-3　プログラムを構成する授業科目（EI）'!#REF!</definedName>
    <definedName name="_xlnm._FilterDatabase" localSheetId="4" hidden="1">'様式２-4　プログラムを構成する授業科目（C）'!#REF!</definedName>
    <definedName name="_xlnm._FilterDatabase" localSheetId="5" hidden="1">'様式２-5　プログラムを構成する授業科目（B）'!#REF!</definedName>
    <definedName name="_xlnm._FilterDatabase" localSheetId="6" hidden="1">'様式３　履修者等数の実績'!#REF!</definedName>
    <definedName name="_xlnm.Print_Area" localSheetId="0">'様式１　大学等概要'!$A$1:$N$45</definedName>
    <definedName name="_xlnm.Print_Area" localSheetId="1">'様式２-1　プログラムを構成する授業科目（M）'!$A$1:$Z$98</definedName>
    <definedName name="_xlnm.Print_Area" localSheetId="2">'様式２-2　プログラムを構成する授業科目（E）'!$A$1:$Z$98</definedName>
    <definedName name="_xlnm.Print_Area" localSheetId="3">'様式２-3　プログラムを構成する授業科目（EI）'!$A$1:$Z$98</definedName>
    <definedName name="_xlnm.Print_Area" localSheetId="5">'様式２-5　プログラムを構成する授業科目（B）'!$A$1:$Z$98</definedName>
    <definedName name="_xlnm.Print_Area" localSheetId="6">'様式３　履修者等数の実績'!$A$1:$R$30</definedName>
    <definedName name="_xlnm.Print_Area" localSheetId="7">'様式４　教育の質・履修者数を向上させるための体制・計画'!$A$1:$J$130</definedName>
    <definedName name="_xlnm.Print_Area" localSheetId="8">'様式５　自己点検・評価'!$A$1:$J$18</definedName>
    <definedName name="_xlnm.Print_Area" localSheetId="9">'様式６　特色ある取組'!$A$1:$F$124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98" i="51" l="1"/>
  <c r="B98" i="50"/>
  <c r="B98" i="52"/>
  <c r="B98" i="48"/>
  <c r="Q10" i="40"/>
  <c r="R10" i="40" s="1"/>
  <c r="Q14" i="40"/>
  <c r="R14" i="40" s="1"/>
  <c r="Q13" i="40"/>
  <c r="R13" i="40" s="1"/>
  <c r="Q12" i="40"/>
  <c r="R12" i="40" s="1"/>
  <c r="Q11" i="40"/>
  <c r="R11" i="40" s="1"/>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30" i="40" l="1"/>
  <c r="R30" i="40" l="1"/>
  <c r="C28" i="41" s="1"/>
</calcChain>
</file>

<file path=xl/sharedStrings.xml><?xml version="1.0" encoding="utf-8"?>
<sst xmlns="http://schemas.openxmlformats.org/spreadsheetml/2006/main" count="1036" uniqueCount="295">
  <si>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</si>
  <si>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</si>
  <si>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</si>
  <si>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</si>
  <si>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福井工業高等専門学校</t>
    <phoneticPr fontId="1"/>
  </si>
  <si>
    <t>②</t>
    <phoneticPr fontId="1"/>
  </si>
  <si>
    <t>大学等の設置者</t>
  </si>
  <si>
    <t>独立行政法人国立高等専門学校機構</t>
  </si>
  <si>
    <t>③</t>
  </si>
  <si>
    <t>設置形態</t>
    <phoneticPr fontId="1"/>
  </si>
  <si>
    <t>高等専門学校</t>
    <phoneticPr fontId="1"/>
  </si>
  <si>
    <t>④</t>
    <phoneticPr fontId="1"/>
  </si>
  <si>
    <t>所在地</t>
    <phoneticPr fontId="1"/>
  </si>
  <si>
    <t>福井県鯖江市下司町</t>
    <phoneticPr fontId="1"/>
  </si>
  <si>
    <t>⑤</t>
    <phoneticPr fontId="1"/>
  </si>
  <si>
    <t>申請するプログラム名称</t>
    <rPh sb="0" eb="2">
      <t>シンセイ</t>
    </rPh>
    <rPh sb="9" eb="11">
      <t>メイショウ</t>
    </rPh>
    <phoneticPr fontId="1"/>
  </si>
  <si>
    <t>数理・データサイエンス・AI教育プログラム</t>
    <phoneticPr fontId="1"/>
  </si>
  <si>
    <t>⑥</t>
    <phoneticPr fontId="1"/>
  </si>
  <si>
    <t>プログラムの開設年度</t>
    <rPh sb="6" eb="8">
      <t>カイセツ</t>
    </rPh>
    <rPh sb="8" eb="10">
      <t>ネンド</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</si>
  <si>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</si>
  <si>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</si>
  <si>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</si>
  <si>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</si>
  <si>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</si>
  <si>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</si>
  <si>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</si>
  <si>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</si>
  <si>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</si>
  <si>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</si>
  <si>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</si>
  <si>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</si>
  <si>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</si>
  <si>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</si>
  <si>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</si>
  <si>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</si>
  <si>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</si>
  <si>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</si>
  <si>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</si>
  <si>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</si>
  <si>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</si>
  <si>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</si>
  <si>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</si>
  <si>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</si>
  <si>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</si>
  <si>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田村隆弘</t>
    <phoneticPr fontId="1"/>
  </si>
  <si>
    <t>（役職名）</t>
    <rPh sb="1" eb="4">
      <t>ヤクショクメイ</t>
    </rPh>
    <phoneticPr fontId="1"/>
  </si>
  <si>
    <t>校長</t>
    <rPh sb="0" eb="2">
      <t>コウチョウ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</si>
  <si>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</si>
  <si>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</si>
  <si>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教務委員会</t>
    <phoneticPr fontId="1"/>
  </si>
  <si>
    <t>藤田克志</t>
    <phoneticPr fontId="1"/>
  </si>
  <si>
    <t>教務主事</t>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</si>
  <si>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</si>
  <si>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</si>
  <si>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創造教育開発センター</t>
    <rPh sb="0" eb="6">
      <t>ソウゾウキョウイクカイハツ</t>
    </rPh>
    <phoneticPr fontId="1"/>
  </si>
  <si>
    <t>創造教育開発センター長</t>
    <phoneticPr fontId="1"/>
  </si>
  <si>
    <t>⑮</t>
    <phoneticPr fontId="1"/>
  </si>
  <si>
    <t>申請する認定プログラム</t>
    <rPh sb="0" eb="2">
      <t>シンセイ</t>
    </rPh>
    <rPh sb="4" eb="6">
      <t>ニンテイ</t>
    </rPh>
    <phoneticPr fontId="1"/>
  </si>
  <si>
    <t>認定教育プログラム</t>
    <phoneticPr fontId="1"/>
  </si>
  <si>
    <t>連絡先</t>
  </si>
  <si>
    <t>所属部署名</t>
    <rPh sb="0" eb="2">
      <t>ショゾク</t>
    </rPh>
    <rPh sb="2" eb="4">
      <t>ブショ</t>
    </rPh>
    <rPh sb="4" eb="5">
      <t>メイ</t>
    </rPh>
    <phoneticPr fontId="1"/>
  </si>
  <si>
    <t>学生課教務係</t>
    <phoneticPr fontId="1"/>
  </si>
  <si>
    <t>担当者名</t>
    <rPh sb="0" eb="2">
      <t>タントウ</t>
    </rPh>
    <rPh sb="2" eb="3">
      <t>シャ</t>
    </rPh>
    <rPh sb="3" eb="4">
      <t>メイ</t>
    </rPh>
    <phoneticPr fontId="1"/>
  </si>
  <si>
    <t>前川直紀</t>
    <phoneticPr fontId="1"/>
  </si>
  <si>
    <t>E-mail</t>
  </si>
  <si>
    <t>kyomu@fukui-nct.ac.jp</t>
    <phoneticPr fontId="1"/>
  </si>
  <si>
    <t>電話番号</t>
  </si>
  <si>
    <t>0778-62-8209</t>
    <phoneticPr fontId="1"/>
  </si>
  <si>
    <t>様式２－１</t>
    <phoneticPr fontId="1"/>
  </si>
  <si>
    <t>プログラムを構成する授業科目について</t>
    <phoneticPr fontId="1"/>
  </si>
  <si>
    <t>①具体的な修了要件</t>
    <phoneticPr fontId="1"/>
  </si>
  <si>
    <t>②教育プログラムの修了要件</t>
    <phoneticPr fontId="1"/>
  </si>
  <si>
    <t>学部・学科によって、修了要件は相違する</t>
  </si>
  <si>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</si>
  <si>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</si>
  <si>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</si>
  <si>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</si>
  <si>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</si>
  <si>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</si>
  <si>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</si>
  <si>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専門基礎Ⅱ（機械工学科）</t>
    <phoneticPr fontId="1"/>
  </si>
  <si>
    <t>○</t>
  </si>
  <si>
    <t>一部開講</t>
  </si>
  <si>
    <t>プロジェクト演習</t>
    <phoneticPr fontId="1"/>
  </si>
  <si>
    <t>全学開講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</si>
  <si>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</si>
  <si>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</si>
  <si>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</si>
  <si>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</si>
  <si>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</si>
  <si>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</si>
  <si>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</si>
  <si>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</si>
  <si>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</si>
  <si>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</si>
  <si>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</si>
  <si>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</si>
  <si>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</si>
  <si>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機械工学実験Ⅰ</t>
    <phoneticPr fontId="1"/>
  </si>
  <si>
    <t>機械工学実験Ⅱ</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</si>
  <si>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</si>
  <si>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</si>
  <si>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数理統計学（3年）</t>
    <phoneticPr fontId="1"/>
  </si>
  <si>
    <t>4-1統計および数理基礎</t>
  </si>
  <si>
    <t>C言語基礎（2年後期）</t>
    <phoneticPr fontId="1"/>
  </si>
  <si>
    <t>4‐2アルゴリズム基礎</t>
  </si>
  <si>
    <t>4‐3データ構造とプログラミング基礎</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</si>
  <si>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</si>
  <si>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</si>
  <si>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</si>
  <si>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</si>
  <si>
    <t>・ビッグデータ、IoT、AI、ロボット、第4次産業革命、Society 5.0、データ駆動型社会 ：　「専門基礎Ⅱ（1年）」（1, 3週）
・複数技術を組み合わせたAIサービス：　「プロジェクト演習」（1～15週）。</t>
    <rPh sb="67" eb="68">
      <t>シュウ</t>
    </rPh>
    <phoneticPr fontId="1"/>
  </si>
  <si>
    <t>1-6</t>
    <phoneticPr fontId="1"/>
  </si>
  <si>
    <t>・AI等を活用した新しいビジネスモデル、：　「専門基礎Ⅱ（1年）」（1, 3週）
・AI等を活用した新しいビジネスモデル：　「プロジェクト演習」(1～15週)</t>
    <rPh sb="38" eb="39">
      <t>シュウ</t>
    </rPh>
    <phoneticPr fontId="1"/>
  </si>
  <si>
    <t>（２）「社会で活用されているデータ」や「データの活用領域」は非常に広範囲であって、日常生活や社会の課題を解決する有用なツールになり得るもの</t>
  </si>
  <si>
    <t>・機械の稼働ログデータ、構造化データ：　「専門基礎Ⅱ（1年）」（3, 7, 9～15週）
・データのオープン化：　「プロジェクト演習」（1～15週）</t>
    <phoneticPr fontId="1"/>
  </si>
  <si>
    <t>・データ・AI活用領域の広がり，研究開発：　「専門基礎Ⅱ（1年）」（6, 7週）
・研究開発、調達、製造、物流、販売、マーケティング、サービス：　「プロジェクト演習」(1～15週)</t>
    <phoneticPr fontId="1"/>
  </si>
  <si>
    <t>（３）様々なデータ利活用の現場におけるデータ利活用事例が示され、様々な適用領域（流通、製造、金融、サービス、インフラ、公共、ヘルスケア等）の知見と組み合わせることで価値を創出するもの</t>
  </si>
  <si>
    <t>・シミュレーション，関係性の可視化、軌跡の可視化、自動化技術：　「専門基礎Ⅱ（1年）」（3, 7週）
・認識技術、ルールベース、自動化技術：　「プロジェクト演習」(1～15週)</t>
    <rPh sb="10" eb="13">
      <t>カンケイセイ</t>
    </rPh>
    <rPh sb="14" eb="17">
      <t>カシカ</t>
    </rPh>
    <rPh sb="18" eb="20">
      <t>キセキ</t>
    </rPh>
    <rPh sb="21" eb="24">
      <t>カシカ</t>
    </rPh>
    <rPh sb="25" eb="30">
      <t>ジドウカギジュツ</t>
    </rPh>
    <phoneticPr fontId="1"/>
  </si>
  <si>
    <t>・製造におけるデータ、AI利用事例紹介：　「専門基礎Ⅱ（1年）」（3, 7週）
・流通、製造、金融、サービス、インフラ、公共、ヘルスケア等におけるデータ・AI利活用事例紹介：　「プロジェクト演習」(1週)</t>
    <rPh sb="1" eb="3">
      <t>セイゾウ</t>
    </rPh>
    <rPh sb="13" eb="17">
      <t>リヨウジレイ</t>
    </rPh>
    <rPh sb="17" eb="19">
      <t>ショウカイ</t>
    </rPh>
    <phoneticPr fontId="1"/>
  </si>
  <si>
    <t>（４）活用に当たっての様々な留意事項（ELSI、個人情報、データ倫理、ＡＩ社会原則等）を考慮し、情報セキュリティや情報漏洩等、データを守る上での留意事項への理解をする</t>
  </si>
  <si>
    <t>・個人情報保護、データのねつ造、改ざん、盗用、プライバシー保護 ：　「専門基礎Ⅱ（1年）」（4, 5週）
・データ・AIを利活用する上で知っておくべきこと：　「プロジェクト演習」(1～15週)</t>
    <phoneticPr fontId="1"/>
  </si>
  <si>
    <t>・情報セキュリティ、暗号化、パスワード、情報漏洩等によるセキュリティ事故の事例紹介：　「専門基礎Ⅱ（1年）」（4, 5週）
　プロジェクト演習（4年前期）については、項目（１）と同様である。</t>
    <phoneticPr fontId="1"/>
  </si>
  <si>
    <t>（５）実データ・実課題（学術データ等を含む）を用いた演習など、社会での実例を題材として、「データを読む、説明する、扱う」といった数理・データサイエンス・ＡＩの基本的な活用法に関するもの</t>
  </si>
  <si>
    <t>・データの種類、分布、ばらつき、誤差の扱い、統計情報の正しい理解：　「機械工学実験Ⅰ」（3, 6, 9, 12, 15週）、「機械工学実験Ⅱ」（3, 6, 9, 12, 15週）
　</t>
    <rPh sb="5" eb="7">
      <t>シュルイ</t>
    </rPh>
    <rPh sb="8" eb="10">
      <t>ブンプ</t>
    </rPh>
    <rPh sb="16" eb="18">
      <t>ゴサ</t>
    </rPh>
    <rPh sb="19" eb="20">
      <t>アツカ</t>
    </rPh>
    <rPh sb="22" eb="26">
      <t>トウケイジョウホウ</t>
    </rPh>
    <rPh sb="27" eb="28">
      <t>タダ</t>
    </rPh>
    <rPh sb="30" eb="32">
      <t>リカイ</t>
    </rPh>
    <rPh sb="63" eb="69">
      <t>キカイコウガクジッケン</t>
    </rPh>
    <rPh sb="87" eb="88">
      <t>シュウ</t>
    </rPh>
    <phoneticPr fontId="1"/>
  </si>
  <si>
    <t>・データ表現、図形表現、比較、不適切なグラフ表現：　「機械工学実験Ⅰ」（3, 6, 9, 12, 15週）、「機械工学実験Ⅱ」（3, 6, 9, 12, 15週）</t>
    <rPh sb="4" eb="6">
      <t>ヒョウゲン</t>
    </rPh>
    <rPh sb="7" eb="11">
      <t>ズケイヒョウゲン</t>
    </rPh>
    <rPh sb="12" eb="14">
      <t>ヒカク</t>
    </rPh>
    <rPh sb="15" eb="18">
      <t>フテキセツ</t>
    </rPh>
    <rPh sb="22" eb="24">
      <t>ヒョウゲン</t>
    </rPh>
    <phoneticPr fontId="1"/>
  </si>
  <si>
    <t>・データの集計、データの並び替え、データ解析ツール、表形式のデータ：　「機械工学実験Ⅰ」（3, 6, 9, 12, 15週）、「機械工学実験Ⅱ」（3, 6, 9, 12, 15週）</t>
    <rPh sb="5" eb="7">
      <t>シュウケイ</t>
    </rPh>
    <rPh sb="12" eb="13">
      <t>ナラ</t>
    </rPh>
    <rPh sb="14" eb="15">
      <t>カ</t>
    </rPh>
    <rPh sb="20" eb="22">
      <t>カイセキ</t>
    </rPh>
    <rPh sb="26" eb="29">
      <t>ヒョウケイシキ</t>
    </rPh>
    <phoneticPr fontId="1"/>
  </si>
  <si>
    <t>⑩プログラムの学修成果（学生等が身に付けられる能力等）</t>
    <phoneticPr fontId="1"/>
  </si>
  <si>
    <t>本プログラムを通じて、学生は、情報技術（AI含む）を支える技術の概要と社会への影響、情報を扱う際の注意点を理解する。さらに、プロジェクト演習（社会連携PBL授業）において、社会における問題を見出し、解決方法を提案するという演習を通じて、理解をより深化できる。さらに、実験における学習を通じて、自らの専門分野における情報技術の活用方法を学修することができる。</t>
  </si>
  <si>
    <t>⑪プログラムの授業内容等を公表しているアドレス</t>
    <phoneticPr fontId="1"/>
  </si>
  <si>
    <t>様式２－２</t>
  </si>
  <si>
    <t>専門基礎Ⅰ（電気電子工学科）</t>
  </si>
  <si>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</si>
  <si>
    <t>電気電子工学実験Ⅰ</t>
  </si>
  <si>
    <t>電気電子工学実験Ⅱ</t>
  </si>
  <si>
    <t>情報処理Ⅰ（2年前期）</t>
  </si>
  <si>
    <t>情報処理Ⅱ（3年前期）</t>
  </si>
  <si>
    <t>（１）現在進行中の社会変化（第４次産業革命、Society 5.0、データ駆動型社会等）に深く寄与しているものであり、それが自らの生活と密接に結びついている</t>
    <phoneticPr fontId="1"/>
  </si>
  <si>
    <t>・計算機の処理性能の向上、 Society 5.0、データ駆動型社会 ：　「専門基礎Ⅰ（1年）」（1～3, 7～9週）
・複数技術を組み合わせたAIサービス：　「プロジェクト演習」（1～15週）</t>
    <phoneticPr fontId="1"/>
  </si>
  <si>
    <t>・AI等を活用した新しいビジネスモデル、：　「専門基礎Ⅰ（1年）」（7～12週）
・AI等を活用した新しいビジネスモデル：　「プロジェクト演習」(1～15週)</t>
  </si>
  <si>
    <t>（２）「社会で活用されているデータ」や「データの活用領域」は非常に広範囲であって、日常生活や社会の課題を解決する有用なツールになり得るもの</t>
    <phoneticPr fontId="1"/>
  </si>
  <si>
    <t>・調査データ、実験データ、1次データ、2次データ：　「専門基礎Ⅰ（1年）」（7～12週）
・データのオープン化：　「プロジェクト演習」（1～15週）</t>
  </si>
  <si>
    <t>・データ・AI活用領域の広がり：　「専門基礎Ⅰ（1年）」（1～3, 7～9週）
・研究開発、調達、製造、物流、販売、マーケティング、サービス：　「プロジェクト演習」(1～15週)</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</si>
  <si>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</si>
  <si>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・データ可視化：複合グラフ、2軸グラフ、多次元の可視化：　「専門基礎Ⅰ（1年）」（7～12週）
・認識技術、ルールベース、自動化技術：　「プロジェクト演習」(1～15週)</t>
  </si>
  <si>
    <t>・データサイエンスのサイクル：　「専門基礎Ⅰ（1年）」（7～9週）
・流通、製造、金融、サービス、インフラ、公共、ヘルスケア等におけるデータ・AI利活用事例紹介：　「プロジェクト演習」(1週)</t>
  </si>
  <si>
    <t>（４）活用に当たっての様々な留意事項（ELSI、個人情報、データ倫理、ＡＩ社会原則等）を考慮し、情報セキュリティや情報漏洩等、データを守る上での留意事項への理解をする</t>
    <phoneticPr fontId="1"/>
  </si>
  <si>
    <t>・個人情報保護、データ倫理 ：　「専門基礎Ⅰ（1年）」（1～3週）
・データ・AIを利活用する上で知っておくべきこと：　「プロジェクト演習」(1～15週)</t>
  </si>
  <si>
    <t>・情報セキュリティ、暗号化、パスワード、情報漏洩等によるセキュリティ事故の事例紹介：　「専門基礎Ⅰ（1年）」（1～3週）
・データを守る上で知っておくべきこと：　「プロジェクト演習」(1～15週)</t>
  </si>
  <si>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</si>
  <si>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・データの種類、データの分布、データのばらつき、誤差の扱い、統計情報の正しい理解：　「電気電子工学実験Ⅰ」（1, 2, 5～7, 12週）、「電気電子工学実験Ⅱ」（1, 2, 4,～7週）</t>
  </si>
  <si>
    <t>・データ表現、データの図表表現、データの比較、不適切なグラフ表現：　「電気電子工学実験Ⅰ」（1, 2, 5～7, 12週）、「電気電子工学実験Ⅱ」（1, 2, 4,～7週）</t>
  </si>
  <si>
    <t>・データの集計、データの並び替え、データ解析ツール、表形式のデータ：　「電気電子工学実験Ⅰ」（1, 2, 5～7, 12週）、「電気電子工学実験Ⅱ」（1, 2, 4,～7週）</t>
  </si>
  <si>
    <t>様式２－３</t>
  </si>
  <si>
    <t xml:space="preserve">電子情報工学科における本教育プログラムの修了要件は，専門基礎Ⅰ（1年），専門基礎Ⅱ（1年前期），プロジェクト演習（4年前期），電子情報工学実験Ⅰ（2年）を受講し，単位を修得することである。また，数理統計学（3年），プログラミング基礎(2年)を受講し，単位を修得することで，数理・データサイエンス・AI（リテラシーレベル）モデルカリキュラムの「選択」に相当する内容を学修できる．				
							</t>
    <rPh sb="77" eb="79">
      <t>ジュコウ</t>
    </rPh>
    <rPh sb="81" eb="83">
      <t>タンイ</t>
    </rPh>
    <rPh sb="84" eb="86">
      <t>シュウトク</t>
    </rPh>
    <rPh sb="114" eb="116">
      <t>キソ</t>
    </rPh>
    <rPh sb="118" eb="119">
      <t>ネン</t>
    </rPh>
    <rPh sb="136" eb="138">
      <t>スウリ</t>
    </rPh>
    <rPh sb="171" eb="173">
      <t>センタク</t>
    </rPh>
    <rPh sb="175" eb="177">
      <t>ソウトウ</t>
    </rPh>
    <rPh sb="179" eb="181">
      <t>ナイヨウ</t>
    </rPh>
    <rPh sb="182" eb="184">
      <t>ガクシュウ</t>
    </rPh>
    <phoneticPr fontId="1"/>
  </si>
  <si>
    <t>専門基礎Ⅰ（電子情報工学科）</t>
    <phoneticPr fontId="1"/>
  </si>
  <si>
    <t>専門基礎Ⅱ（電子情報工学科）</t>
    <phoneticPr fontId="1"/>
  </si>
  <si>
    <t>電子情報工学実験Ⅰ</t>
  </si>
  <si>
    <t>プログラミング基礎（2年）</t>
    <phoneticPr fontId="1"/>
  </si>
  <si>
    <t>・計算機の処理性能の向上「専門基礎Ⅰ」(前期2,3週)
・複数技術を組み合わせたAIサービス「プロジェクト演習」（1～15週）</t>
    <rPh sb="1" eb="4">
      <t>ケイサンキ</t>
    </rPh>
    <rPh sb="5" eb="7">
      <t>ショリ</t>
    </rPh>
    <rPh sb="7" eb="9">
      <t>セイノウ</t>
    </rPh>
    <rPh sb="10" eb="12">
      <t>コウジョウ</t>
    </rPh>
    <rPh sb="13" eb="15">
      <t>センモン</t>
    </rPh>
    <rPh sb="15" eb="17">
      <t>キソ</t>
    </rPh>
    <rPh sb="25" eb="26">
      <t>シュウ</t>
    </rPh>
    <rPh sb="29" eb="31">
      <t>フクスウ</t>
    </rPh>
    <rPh sb="31" eb="33">
      <t>ギジュツ</t>
    </rPh>
    <rPh sb="34" eb="35">
      <t>ク</t>
    </rPh>
    <rPh sb="36" eb="37">
      <t>ア</t>
    </rPh>
    <rPh sb="53" eb="55">
      <t>エンシュウ</t>
    </rPh>
    <rPh sb="61" eb="62">
      <t>シュウ</t>
    </rPh>
    <phoneticPr fontId="1"/>
  </si>
  <si>
    <t>・AI等を活用した新しいビジネスモデル「プロジェクト演習」(1～15週)
・AI最新技術の活用例「専門基礎Ⅰ」(前期3週)</t>
  </si>
  <si>
    <t>・構造化データ、非構造化データ「専門基礎Ⅰ」(前期1週)
・データのオープン化「プロジェクト演習」（1～15週）</t>
    <rPh sb="1" eb="4">
      <t>コウゾウカ</t>
    </rPh>
    <rPh sb="8" eb="9">
      <t>ヒ</t>
    </rPh>
    <rPh sb="9" eb="12">
      <t>コウゾウカ</t>
    </rPh>
    <rPh sb="16" eb="18">
      <t>センモン</t>
    </rPh>
    <rPh sb="18" eb="20">
      <t>キソ</t>
    </rPh>
    <rPh sb="26" eb="27">
      <t>シュウ</t>
    </rPh>
    <rPh sb="38" eb="39">
      <t>カ</t>
    </rPh>
    <rPh sb="46" eb="48">
      <t>エンシュウ</t>
    </rPh>
    <rPh sb="54" eb="55">
      <t>シュウ</t>
    </rPh>
    <phoneticPr fontId="1"/>
  </si>
  <si>
    <t>・データ・AI活用領域の広がり「専門基礎Ⅰ」(前期2～3週)
・研究開発、調達、製造、物流、販売、マーケティング、サービス「プロジェクト演習」(1～15週)</t>
    <rPh sb="7" eb="9">
      <t>カツヨウ</t>
    </rPh>
    <rPh sb="9" eb="11">
      <t>リョウイキ</t>
    </rPh>
    <rPh sb="12" eb="13">
      <t>ヒロ</t>
    </rPh>
    <rPh sb="16" eb="18">
      <t>センモン</t>
    </rPh>
    <rPh sb="18" eb="20">
      <t>キソ</t>
    </rPh>
    <rPh sb="28" eb="29">
      <t>シュウ</t>
    </rPh>
    <rPh sb="32" eb="34">
      <t>ケンキュウ</t>
    </rPh>
    <rPh sb="34" eb="36">
      <t>カイハツ</t>
    </rPh>
    <rPh sb="37" eb="39">
      <t>チョウタツ</t>
    </rPh>
    <rPh sb="40" eb="42">
      <t>セイゾウ</t>
    </rPh>
    <rPh sb="43" eb="45">
      <t>ブツリュウ</t>
    </rPh>
    <rPh sb="46" eb="48">
      <t>ハンバイ</t>
    </rPh>
    <rPh sb="76" eb="77">
      <t>シュウ</t>
    </rPh>
    <phoneticPr fontId="1"/>
  </si>
  <si>
    <t>・データ可視化：複合グラフ、２軸グラフ「専門基礎Ⅱ」(前期5～7週)
・認識技術、ルールベース、自動化技術「プロジェクト演習」(1～15週)</t>
    <rPh sb="4" eb="7">
      <t>カシカ</t>
    </rPh>
    <rPh sb="8" eb="10">
      <t>フクゴウ</t>
    </rPh>
    <rPh sb="15" eb="16">
      <t>ジク</t>
    </rPh>
    <rPh sb="20" eb="22">
      <t>センモン</t>
    </rPh>
    <rPh sb="22" eb="24">
      <t>キソ</t>
    </rPh>
    <rPh sb="32" eb="33">
      <t>シュウ</t>
    </rPh>
    <rPh sb="36" eb="38">
      <t>ニンシキ</t>
    </rPh>
    <rPh sb="38" eb="40">
      <t>ギジュツ</t>
    </rPh>
    <rPh sb="48" eb="51">
      <t>ジドウカ</t>
    </rPh>
    <rPh sb="51" eb="53">
      <t>ギジュツ</t>
    </rPh>
    <rPh sb="60" eb="62">
      <t>エンシュウ</t>
    </rPh>
    <rPh sb="68" eb="69">
      <t>シュウ</t>
    </rPh>
    <phoneticPr fontId="1"/>
  </si>
  <si>
    <t>・流通、製造、金融、サービス、インフラ、公共、ヘルスケア等におけるデータ・AI利活用事例紹介「プロジェクト演習」(1週)</t>
    <rPh sb="1" eb="3">
      <t>リュウツウ</t>
    </rPh>
    <rPh sb="4" eb="6">
      <t>セイゾウ</t>
    </rPh>
    <rPh sb="7" eb="9">
      <t>キンユウ</t>
    </rPh>
    <rPh sb="20" eb="22">
      <t>コウキョウ</t>
    </rPh>
    <rPh sb="28" eb="29">
      <t>ナド</t>
    </rPh>
    <rPh sb="39" eb="42">
      <t>リカツヨウ</t>
    </rPh>
    <rPh sb="42" eb="44">
      <t>ジレイ</t>
    </rPh>
    <rPh sb="44" eb="46">
      <t>ショウカイ</t>
    </rPh>
    <rPh sb="53" eb="55">
      <t>エンシュウ</t>
    </rPh>
    <rPh sb="58" eb="59">
      <t>シュウ</t>
    </rPh>
    <phoneticPr fontId="1"/>
  </si>
  <si>
    <t>・データ・AIを利活用する上で知っておくべきこと「プロジェクト演習」(1～15週)</t>
    <rPh sb="8" eb="11">
      <t>リカツヨウ</t>
    </rPh>
    <rPh sb="13" eb="14">
      <t>ウエ</t>
    </rPh>
    <rPh sb="15" eb="16">
      <t>シ</t>
    </rPh>
    <rPh sb="31" eb="33">
      <t>エンシュウ</t>
    </rPh>
    <rPh sb="39" eb="40">
      <t>シュウ</t>
    </rPh>
    <phoneticPr fontId="1"/>
  </si>
  <si>
    <t>・データを守る上で知っておくべきこと「専門基礎Ⅰ」(1週)</t>
    <phoneticPr fontId="1"/>
  </si>
  <si>
    <t>・データのばらつき、観測データに含まれる誤差の扱い「電子情報工学実験Ⅰ」（2～4週）</t>
    <rPh sb="10" eb="12">
      <t>カンソク</t>
    </rPh>
    <rPh sb="16" eb="17">
      <t>フク</t>
    </rPh>
    <rPh sb="20" eb="22">
      <t>ゴサ</t>
    </rPh>
    <rPh sb="23" eb="24">
      <t>アツカ</t>
    </rPh>
    <rPh sb="26" eb="28">
      <t>デンシ</t>
    </rPh>
    <rPh sb="28" eb="30">
      <t>ジョウホウ</t>
    </rPh>
    <rPh sb="30" eb="32">
      <t>コウガク</t>
    </rPh>
    <rPh sb="32" eb="34">
      <t>ジッケン</t>
    </rPh>
    <rPh sb="40" eb="41">
      <t>シュウ</t>
    </rPh>
    <phoneticPr fontId="1"/>
  </si>
  <si>
    <t>・データ表現、不適切なグラフ表現、優れた可視化事例の紹介「電子情報工学実験Ⅰ」（2～4週）</t>
    <rPh sb="4" eb="6">
      <t>ヒョウゲン</t>
    </rPh>
    <rPh sb="7" eb="10">
      <t>フテキセツ</t>
    </rPh>
    <rPh sb="14" eb="16">
      <t>ヒョウゲン</t>
    </rPh>
    <rPh sb="17" eb="18">
      <t>スグ</t>
    </rPh>
    <rPh sb="20" eb="23">
      <t>カシカ</t>
    </rPh>
    <rPh sb="23" eb="25">
      <t>ジレイ</t>
    </rPh>
    <rPh sb="26" eb="28">
      <t>ショウカイ</t>
    </rPh>
    <phoneticPr fontId="1"/>
  </si>
  <si>
    <t>・データ解析ツール「電子情報工学実験Ⅰ」（2～4週）</t>
    <rPh sb="4" eb="6">
      <t>カイセキ</t>
    </rPh>
    <phoneticPr fontId="1"/>
  </si>
  <si>
    <t>様式２－４</t>
  </si>
  <si>
    <t>物質工学実験Ⅰ</t>
    <rPh sb="0" eb="2">
      <t>ブッシツ</t>
    </rPh>
    <phoneticPr fontId="1"/>
  </si>
  <si>
    <t>物質工学実験Ⅱ</t>
    <rPh sb="0" eb="2">
      <t>ブッシツ</t>
    </rPh>
    <phoneticPr fontId="1"/>
  </si>
  <si>
    <t>生物工学実験Ⅰ</t>
  </si>
  <si>
    <t>材料工学実験Ⅰ</t>
  </si>
  <si>
    <t>情報化学Ⅱ（4年通年）</t>
  </si>
  <si>
    <t>・計算機の処理性能の向上、 Society 5.0、データ駆動型社会 ：　「専門基礎Ⅲ（1年）」（1～3, 5, 7～10週）
・複数技術を組み合わせたAIサービス：　「プロジェクト演習」（1～15週）</t>
    <phoneticPr fontId="1"/>
  </si>
  <si>
    <t>・AI等を活用した新しいビジネスモデル、：　「専門基礎Ⅲ（1年）」（9～11, 14週）
・AI等を活用した新しいビジネスモデル：　「プロジェクト演習」(1～15週)</t>
    <phoneticPr fontId="1"/>
  </si>
  <si>
    <t>・調査データ、実験データ、1次データ、2次データ、構造化データ、非構造化データ、データのオープン化：　「専門基礎Ⅲ（1年）」（前期4～11週）
・データのオープン化：　「プロジェクト演習」（1～15週）</t>
    <rPh sb="25" eb="28">
      <t>コウゾウカ</t>
    </rPh>
    <rPh sb="32" eb="33">
      <t>ヒ</t>
    </rPh>
    <rPh sb="33" eb="36">
      <t>コウゾウカ</t>
    </rPh>
    <rPh sb="48" eb="49">
      <t>カ</t>
    </rPh>
    <rPh sb="63" eb="65">
      <t>ゼンキ</t>
    </rPh>
    <phoneticPr fontId="1"/>
  </si>
  <si>
    <t>・データ・AI活用領域の広がり：　「専門基礎Ⅲ（1年）」（前期1～3, 7～11, 14週）
・研究開発、調達、製造、物流、販売、マーケティング、サービス：　「プロジェクト演習」(1～15週)</t>
    <rPh sb="29" eb="31">
      <t>ゼンキ</t>
    </rPh>
    <phoneticPr fontId="1"/>
  </si>
  <si>
    <t>・データ可視化：複合グラフ、2軸グラフ、多次元の可視化：　「専門基礎Ⅲ（1年）」（後期4～7週）
・認識技術、ルールベース、自動化技術：　「プロジェクト演習」(1～15週)</t>
    <rPh sb="41" eb="43">
      <t>コウキ</t>
    </rPh>
    <phoneticPr fontId="1"/>
  </si>
  <si>
    <t>・データサイエンスのサイクル：　「専門基礎Ⅲ（1年）」（前期8～9週, 後期4～7週）
・流通、製造、金融、サービス、インフラ、公共、ヘルスケア等におけるデータ・AI利活用事例紹介：　「プロジェクト演習」(1週)</t>
    <rPh sb="28" eb="30">
      <t>ゼンキ</t>
    </rPh>
    <rPh sb="33" eb="34">
      <t>シュウ</t>
    </rPh>
    <rPh sb="36" eb="38">
      <t>コウキ</t>
    </rPh>
    <phoneticPr fontId="1"/>
  </si>
  <si>
    <t>・個人情報保護、データ倫理 ：　「専門基礎Ⅲ（1年）」（前期1～3, 10～14週）
・データ・AIを利活用する上で知っておくべきこと：　「プロジェクト演習」(1～15週)</t>
    <rPh sb="28" eb="30">
      <t>ゼンキ</t>
    </rPh>
    <phoneticPr fontId="1"/>
  </si>
  <si>
    <t>・データの種類、データの分布、データのばらつき、誤差の扱い、統計情報の正しい理解：　「物質工学実験Ⅰ」（前期2～7, 9～14週, 後期2～13週）、「物質工学実験Ⅱ」（後期5～7週）、生物工学実験Ⅰ（前期2～15週, 後期2～15週）、材料工学実験Ⅰ（前期2～15週, 後期2～15週）</t>
    <rPh sb="43" eb="45">
      <t>ブッシツ</t>
    </rPh>
    <rPh sb="52" eb="54">
      <t>ゼンキ</t>
    </rPh>
    <rPh sb="66" eb="68">
      <t>コウキ</t>
    </rPh>
    <rPh sb="72" eb="73">
      <t>シュウ</t>
    </rPh>
    <rPh sb="76" eb="78">
      <t>ブッシツ</t>
    </rPh>
    <rPh sb="85" eb="87">
      <t>コウキ</t>
    </rPh>
    <phoneticPr fontId="1"/>
  </si>
  <si>
    <t>・データ表現、データの図表表現、データの比較、不適切なグラフ表現：　「物質工学実験Ⅰ」（前期2～7, 9～14週, 後期2～13週）、「物質工学実験Ⅱ」（後期5～7週）、生物工学実験Ⅰ（前期2～15週, 後期2～15週）、材料工学実験Ⅰ（前期2～15週, 後期2～15週）</t>
    <rPh sb="85" eb="89">
      <t>セイブツコウガク</t>
    </rPh>
    <rPh sb="89" eb="91">
      <t>ジッケン</t>
    </rPh>
    <rPh sb="93" eb="95">
      <t>ゼンキ</t>
    </rPh>
    <rPh sb="99" eb="100">
      <t>シュウ</t>
    </rPh>
    <rPh sb="102" eb="104">
      <t>コウキ</t>
    </rPh>
    <rPh sb="108" eb="109">
      <t>シュウ</t>
    </rPh>
    <rPh sb="111" eb="115">
      <t>ザイリョウコウガク</t>
    </rPh>
    <rPh sb="115" eb="117">
      <t>ジッケン</t>
    </rPh>
    <rPh sb="119" eb="121">
      <t>ゼンキ</t>
    </rPh>
    <rPh sb="125" eb="126">
      <t>シュウ</t>
    </rPh>
    <rPh sb="128" eb="130">
      <t>コウキ</t>
    </rPh>
    <rPh sb="134" eb="135">
      <t>シュウ</t>
    </rPh>
    <phoneticPr fontId="1"/>
  </si>
  <si>
    <t>・データの集計、データの並び替え、データ解析ツール、表形式のデータ：　「物質工学実験Ⅰ」（前期2～7, 9～14週, 後期2～13週）、「物質工学実験Ⅱ」（後期5～7週）、生物工学実験Ⅰ（前期2～15週, 後期2～15週）、材料工学実験Ⅰ（前期2～15週, 後期2～15週）</t>
    <phoneticPr fontId="1"/>
  </si>
  <si>
    <t>様式２－５</t>
  </si>
  <si>
    <t>授業科目</t>
  </si>
  <si>
    <t>専門基礎Ⅲ（環境都市工学科）</t>
  </si>
  <si>
    <t>環境都市工学実験実習Ⅰ</t>
  </si>
  <si>
    <t>環境都市工学実験実習Ⅱ</t>
  </si>
  <si>
    <t>プログラミング（2年後期）</t>
  </si>
  <si>
    <t>・第4次産業革命、Society 5.0、データ駆動型社会 「専門基礎Ⅲ」(前期1～2週)
・複数技術を組み合わせたAIサービス「プロジェクト演習」（1～15週）</t>
  </si>
  <si>
    <t>・AI等を活用した新しいビジネスモデル「プロジェクト演習」(1～15週)
・AI最新技術の活用例「専門基礎Ⅲ」(前期3～4週)</t>
  </si>
  <si>
    <t>・データ作成（ビッグデータとアノテーション）「専門基礎Ⅲ」(前期5～6週)
・データのオープン化「プロジェクト演習」（1～15週）</t>
  </si>
  <si>
    <t>・データ・AI活用領域の広がり「専門基礎Ⅲ」(前期5～6週)
・研究開発、調達、製造、物流、販売、マーケティング、サービス「プロジェクト演習」(1～15週)</t>
  </si>
  <si>
    <t>・データ可視化：複合グラフ、２軸グラフ「専門基礎Ⅲ」(前期10～12週)
・認識技術、ルールベース、自動化技術「プロジェクト演習」(1～15週)</t>
  </si>
  <si>
    <t>・データを守る上で知っておくべきこと「専門基礎Ⅲ」(前期3～4週)</t>
  </si>
  <si>
    <t>・データの分布(ヒストグラム)と代表値（平均値、中央値、最頻値） 「環境都市工学実験実習Ⅰ」（後期5～8週）</t>
  </si>
  <si>
    <t>・データ表現、不適切なグラフ表現、優れた可視化事例の紹介 「環境都市工学実験実習Ⅰ」（後期5～8週）</t>
  </si>
  <si>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</si>
  <si>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</si>
  <si>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</si>
  <si>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</si>
  <si>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</si>
  <si>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</si>
  <si>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</si>
  <si>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</si>
  <si>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</si>
  <si>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</si>
  <si>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</si>
  <si>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</si>
  <si>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</si>
  <si>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</si>
  <si>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</si>
  <si>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</si>
  <si>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</si>
  <si>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機械工学科</t>
    <rPh sb="0" eb="5">
      <t>キカイコウガクカ</t>
    </rPh>
    <phoneticPr fontId="1"/>
  </si>
  <si>
    <t>電気電子工学科</t>
    <rPh sb="0" eb="7">
      <t>デンキデンシコウガクカ</t>
    </rPh>
    <phoneticPr fontId="1"/>
  </si>
  <si>
    <t>電子情報工学科</t>
    <rPh sb="0" eb="7">
      <t>デンシジョウホウコウガクカ</t>
    </rPh>
    <phoneticPr fontId="1"/>
  </si>
  <si>
    <t>物質工学科</t>
    <rPh sb="0" eb="5">
      <t>ブッシツコウガクカ</t>
    </rPh>
    <phoneticPr fontId="1"/>
  </si>
  <si>
    <t>環境都市工学科</t>
    <rPh sb="0" eb="7">
      <t>カンキョウトシコウガクカ</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</si>
  <si>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</si>
  <si>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</si>
  <si>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</si>
  <si>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</si>
  <si>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</si>
  <si>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福井工業高等専門学校教務委員会規則</t>
    <phoneticPr fontId="1"/>
  </si>
  <si>
    <t>体制の目的</t>
    <rPh sb="0" eb="2">
      <t>タイセイ</t>
    </rPh>
    <rPh sb="3" eb="5">
      <t>モクテキ</t>
    </rPh>
    <phoneticPr fontId="1"/>
  </si>
  <si>
    <t>　福井工業高等専門学校内部組織規則（昭和54年規則第2号）第4条の規定に基づき、教務委員会を設置している。本委員会は、校長の命を受けて次の事項を審議する組織であり、その中に、授業改善も含まれる。
（1） 教育課程及び授業時間割の編成等授業実施に関する事項、（2） 特別活動、学校行事等に関する事項、（3） 退学、休学、進級及び卒業の認定等に関する事項、（4） その他教務に関する重要な事項</t>
    <phoneticPr fontId="1"/>
  </si>
  <si>
    <t>③</t>
    <phoneticPr fontId="1"/>
  </si>
  <si>
    <t>具体的な構成員</t>
    <rPh sb="0" eb="3">
      <t>グタイテキ</t>
    </rPh>
    <rPh sb="4" eb="7">
      <t>コウセイイン</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</si>
  <si>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</si>
  <si>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</si>
  <si>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</si>
  <si>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</si>
  <si>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</si>
  <si>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</si>
  <si>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</si>
  <si>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</si>
  <si>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全ての教育プログラム構成科目は必修科目で構成されており、全科目を在学生が履修済み、あるいは履修予定であることから、在学生の教育プログラム履修率は100%である。
　具体的には、教育プログラム構成科目の一部（プロジェクト演習：４年前期）が令和元年度からの開講となっているおり、その他の科目は、従来より実施されていたので、現５年生から令和2年度卒業生についても本教育プログラムを履修済みである。
　一年生においても、一年時に設定された科目（専門基礎）を受講済みであり、学年が進むにつれて、すべての教育プログラム構成科目を受講予定である。
　以上の体制をとっていることから、履修者数・履修率の向上に向けた計画については、問題はない。</t>
    <rPh sb="166" eb="168">
      <t>レイワ</t>
    </rPh>
    <rPh sb="169" eb="170">
      <t>ネン</t>
    </rPh>
    <rPh sb="170" eb="171">
      <t>ド</t>
    </rPh>
    <rPh sb="171" eb="174">
      <t>ソツギョウセイ</t>
    </rPh>
    <rPh sb="179" eb="182">
      <t>ホンキョウイク</t>
    </rPh>
    <rPh sb="188" eb="191">
      <t>リシュウズ</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</si>
  <si>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</si>
  <si>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④で述べたように、すべての教育プログラム構成科目は必修科目で構成されており、全学生が受講可能な時間割で提供されている。</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</si>
  <si>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</si>
  <si>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④で述べたように、すべての教育プログラム構成科目は必修科目で構成されており、全学生が受講可能な時間割で提供されている。
　また、各科目が教育プログラムの構成要素であることをシラバスに記載し、さらに、教育プログラムの概要をHPやガイダンスで説明することにより、教育プログラムを履修していることについて意識づけを行う。</t>
    <rPh sb="79" eb="81">
      <t>ヨウソ</t>
    </rPh>
    <phoneticPr fontId="1"/>
  </si>
  <si>
    <t>⑦</t>
    <phoneticPr fontId="1"/>
  </si>
  <si>
    <t>できる限り多くの学生が履修・修得できるようなサポート体制</t>
    <rPh sb="26" eb="28">
      <t>タイセイ</t>
    </rPh>
    <phoneticPr fontId="1"/>
  </si>
  <si>
    <t>　履修については、④で述べたように、すべての教育プログラム構成科目は必修科目で構成されており、全学生が受講可能な時間割で提供されているため、何ら問題はない。</t>
    <phoneticPr fontId="1"/>
  </si>
  <si>
    <t>授業時間内外で学習指導、質問を受け付ける具体的な仕組み</t>
    <rPh sb="20" eb="23">
      <t>グタイテキ</t>
    </rPh>
    <phoneticPr fontId="1"/>
  </si>
  <si>
    <t>　サポート体制については、各教員が直接学生の質問を受け付ける時間帯（オフィスアワー）を設けて公開している。また、Microsoft Teams のチーム機能とチャットによる質問も受け付けるなど、複数の方法で担当教員に質問ができる体制を構築している。</t>
  </si>
  <si>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</si>
  <si>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</si>
  <si>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</si>
  <si>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</si>
  <si>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</si>
  <si>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</si>
  <si>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</si>
  <si>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</si>
  <si>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教育プログラムを構成する科目は全て必修科目であり，入学するすべての学生が教育プログラムを修了できる体制となっている。履修状況／成績状況については、出席簿やteamsを通じた担当教員のやり取りにより把握されており、問題のある学生については、自主的な質問についてはオフィスアワーやteamsによる対応を、申し出が無い場合についても、成績表をチェックし、補習などのフォローを行っている。
　履修・修得の実績としては、教育プログラム開始年が令和元年度であり、教育プログラムを構成科目の最高学年が4年次であることから、令和元年度の4年生からが教育プログラム受講対象者であり、卒業生の修了率は100％と、履修状況は良好である。
　</t>
    <phoneticPr fontId="1"/>
  </si>
  <si>
    <t>学修成果</t>
    <rPh sb="0" eb="2">
      <t>ガクシュウ</t>
    </rPh>
    <rPh sb="2" eb="4">
      <t>セイカ</t>
    </rPh>
    <phoneticPr fontId="1"/>
  </si>
  <si>
    <t>　本校では、従来より、全学科において、ソフトウェア開発、データ処理など情報教育に力を入れてきたが、社会の動向を鑑み、数理・データサイエンス・AI分野について既存科目を整理・体系化したことにより、データの活用ができる素養を備えたエンジニアを育成する明示的なカリキュラムとなっている。
　学生が習得すべき内容については、WEBシラバスのルーブリックに記載されており、学生自身がいつでも確認可能であり、授業ガイダンスにおいても説明している。
　学修成果については、教育プログラムを構成する科目の成績や創造教育開発センターで実施している授業アンケートの分析により把握し、学生のフォローや、次年度に対する授業改善に活用している。</t>
    <rPh sb="25" eb="27">
      <t>カイハツ</t>
    </rPh>
    <rPh sb="31" eb="33">
      <t>ショリ</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</si>
  <si>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</si>
  <si>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学修成果にも挙げたように、本教育プログラム受講者に対しては毎年全員に授業アンケートを実施している。
　また、アンケート結果については集計し、統計的な傾向を見るだけでなく、科目担当教員にフィードバックし、授業改善に役立てている。</t>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</si>
  <si>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</si>
  <si>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教育プログラムを構成する科目は全て必修科目なので、特に推奨などは行っていない。令和二年度卒業生における教育プログラム履修修了者率は100%である。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</si>
  <si>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</si>
  <si>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教育プログラムを構成する科目は全て必修科目なので、特に推奨などは行っていない。
　ただし、教育プログラムの質の向上については、授業アンケートなどを通じて随時行っている。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</si>
  <si>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</si>
  <si>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</si>
  <si>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隔年で外部有識者会議を実施し、本校の長中期計画、教育状況、入試状況などについて評価を受けている。外部有識者会議の委員は、高等教育機関の教員および経験者／地域の教育関係者／地方自治体等研究機関の研究者／産業界の有識者／報道機関の有識者／本校関係者からなっており、平成二年度に開催された有識者会議委員は、長岡技術科学大学学長、福井大学副学長、福井県中学校長会会長、福井県工業技術センター所長、鯖江商工会議所会頭、信越化学工業（株）武生工場長、（株）福井新聞社編集局長、福井高専同窓会会長に評価していただき、ご意見をいただいている。
　また、３年毎に卒業生の就職先に対して企業アンケートを実施しており、卒業生の能力・技能に対する評価をいただき、こちらについても教員にフィードバックを行い授業改善に役立てるとともに、教務全体の改善に役立てている。</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</si>
  <si>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</si>
  <si>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教育プログラム修了者の進路、活躍状況、企業等の評価」に記した内容に加え，本教育プログラムを構成する科目のひとつであるプロジェクト演習（4年前期）では、発表会に企業エンジニアを招き、学生に対して直接評価をしていただいている。これにより、学生は、自身が行った「問題発見～調査検討～問題解決」というプロセスについて、外部からの評価を得ることができ、自身の学修内容を評価することができ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</si>
  <si>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</si>
  <si>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xml:space="preserve">　専門基礎は、学科ごとの開講とすることにより、同じ学習目標に対しても、各学科の専門内容に合った実例で授業を実施するなど、学生の学ぶ意識を高める工夫をしている。
　また、学習を座学だけで終わらせることなく、社会連携PBL授業であるプロジェクト演習では、実問題の抽出から解決策の提案までをグループワークで行うこと、その際、座学で得た知識を活用できるように教員がメンターに付くなど、学生のモチベーションを高め、学びに対して積極的になれるようなサポートを行っている。
</t>
  </si>
  <si>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</si>
  <si>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xml:space="preserve">　情報を専門としない学科においても，学生に学習の意義が伝わるように、専門基礎は、学科ごとの開講とし、同じ学習目標に対しても専門内容に合った内容で授業を実施することにより、内容のレベルを下げることなく、学ぶ意識を高めることができる工夫をしている。
　社会連携PBL授業（プロジェクト演習）では、馴染みのある課題を提示すること、知識の活用ができるように基礎講座を実施し、教員がメンターに付くなど、学生の学びをサポートするための工夫を随所で行っている。
</t>
  </si>
  <si>
    <t>②自己点検・評価体制における意見等を公表しているアドレス</t>
    <phoneticPr fontId="1"/>
  </si>
  <si>
    <t>様式６</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</si>
  <si>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</si>
  <si>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</si>
  <si>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</si>
  <si>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</si>
  <si>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長水壽寛</t>
    <rPh sb="0" eb="2">
      <t>ナガミズ</t>
    </rPh>
    <rPh sb="2" eb="3">
      <t>ジュ</t>
    </rPh>
    <rPh sb="3" eb="4">
      <t>ヒロ</t>
    </rPh>
    <phoneticPr fontId="1"/>
  </si>
  <si>
    <t>第３条　委員会は、次の各号に掲げる委員をもって組織する。
（1） 教務主事：藤田克志
（2） 教務副主事及び教務主事補：芳賀正和、川上由紀、佐々和洋、藤田卓郎
（3） 学科長及び教室主任：村中貴幸、米田知晃、斉藤徹、髙山勝己、吉田雅穂、長水壽寛 
（4） 学生課長：出口雅弘</t>
    <rPh sb="108" eb="110">
      <t>タカヤマ</t>
    </rPh>
    <rPh sb="110" eb="112">
      <t>カツミ</t>
    </rPh>
    <rPh sb="113" eb="117">
      <t>ヨシダマサホ</t>
    </rPh>
    <rPh sb="133" eb="135">
      <t>デグチ</t>
    </rPh>
    <rPh sb="135" eb="137">
      <t>マサヒロ</t>
    </rPh>
    <phoneticPr fontId="1"/>
  </si>
  <si>
    <t xml:space="preserve">電気電子工学科における本教育プログラムの修了要件は，専門基礎Ⅰ（1年），プロジェクト演習（4年前期），電気電子工学実験Ⅰ（2年後期），電気電子工学実験Ⅱ（3年前期）の単位を修得することである．また，数理統計学（3年），情報処理Ⅰ（2年前期），情報処理Ⅱ（3年前期）を受講し，単位を修得することで，数理・データサイエンス・AI（リテラシーレベル）モデルカリキュラムの「選択」に相当する内容を学修できる． </t>
    <phoneticPr fontId="1"/>
  </si>
  <si>
    <t xml:space="preserve">機械工学科における本教育プログラムの修了要件は，専門基礎Ⅱ（1年前期），プロジェクト演習（4年前期），機械工学実験Ⅰ（4年後期），機械工学実験Ⅱ（5年前期）の単位を修得することである．また，数理統計学（3年），C言語基礎（2年後期）を受講し，単位を修得することで，数理・データサイエンス・AI（リテラシーレベル）モデルカリキュラムの「選択」に相当する内容を学修できる． </t>
    <rPh sb="0" eb="2">
      <t>キカイ</t>
    </rPh>
    <rPh sb="32" eb="34">
      <t>ゼンキ</t>
    </rPh>
    <rPh sb="51" eb="53">
      <t>キカイ</t>
    </rPh>
    <rPh sb="65" eb="67">
      <t>キカイ</t>
    </rPh>
    <rPh sb="106" eb="110">
      <t>ゲンゴキソ</t>
    </rPh>
    <rPh sb="113" eb="115">
      <t>コウキ</t>
    </rPh>
    <phoneticPr fontId="1"/>
  </si>
  <si>
    <t xml:space="preserve">物質工学科における本教育プログラムの修了要件は，専門基礎Ⅲ（1年前期），プロジェクト演習（4年前期），物質工学実験Ⅰ（2年），物質工学実験Ⅱ（3年前期）の単位を修得することである．加えて，4年生における実験については，生物工学コースの学生は生物工学実験Ⅰ（4年）を，材料工学コースの学生は材料工学実験Ⅰ（4年）を受講し，単位を修得する必要がある．また，数理統計学（3年），情報化学Ⅱ（4年）を受講し，単位を修得することで，数理・データサイエンス・AI（リテラシーレベル）モデルカリキュラムの「選択」に相当する内容を学修できる． </t>
    <rPh sb="0" eb="2">
      <t>ブッシツ</t>
    </rPh>
    <rPh sb="32" eb="34">
      <t>ゼンキ</t>
    </rPh>
    <rPh sb="51" eb="53">
      <t>ブッシツ</t>
    </rPh>
    <rPh sb="63" eb="65">
      <t>ブッシツ</t>
    </rPh>
    <rPh sb="188" eb="190">
      <t>カガク</t>
    </rPh>
    <phoneticPr fontId="1"/>
  </si>
  <si>
    <t>・情報セキュリティ、暗号化、パスワード、情報漏洩等によるセキュリティ事故の事例紹介：　「専門基礎Ⅲ（1年）」（前期1～3週, 11～13週）
・データを守る上で知っておくべきこと：　「プロジェクト演習」(1～15週)</t>
    <rPh sb="55" eb="57">
      <t>ゼンキ</t>
    </rPh>
    <rPh sb="68" eb="69">
      <t>シュウ</t>
    </rPh>
    <phoneticPr fontId="1"/>
  </si>
  <si>
    <t>・観測データに含まれる誤差の扱い  「環境都市工学実験実習Ⅰ」（前期2～7週）、「環境都市工学実験実習Ⅱ」（前期3～5週）</t>
  </si>
  <si>
    <t>令和元</t>
    <phoneticPr fontId="1"/>
  </si>
  <si>
    <t>専門基礎Ⅲ（物質工学科）</t>
    <rPh sb="7" eb="8">
      <t>シツ</t>
    </rPh>
    <phoneticPr fontId="1"/>
  </si>
  <si>
    <t>専門基礎Ⅲ（物質工学科）</t>
    <rPh sb="7" eb="8">
      <t>シツ</t>
    </rPh>
    <rPh sb="8" eb="11">
      <t>コウガッカ</t>
    </rPh>
    <phoneticPr fontId="1"/>
  </si>
  <si>
    <t xml:space="preserve">環境都市工学科における本教育プログラムの修了要件は，専門基礎Ⅲ（1年前期），プロジェクト演習（4年前期），環境都市工学実験実習Ⅰ（2年），環境都市工学実験実習Ⅱ（3年）の単位を修得することである．また，数理統計学（3年），プログラミング（2年後期）を受講し，単位を修得することで，数理・データサイエンス・AI（リテラシーレベル）モデルカリキュラムの「選択」に相当する内容を学修できる． 
</t>
    <rPh sb="0" eb="4">
      <t>カンキョウトシ</t>
    </rPh>
    <rPh sb="34" eb="36">
      <t>ゼンキ</t>
    </rPh>
    <rPh sb="53" eb="57">
      <t>カンキョウトシ</t>
    </rPh>
    <rPh sb="61" eb="63">
      <t>ジッシュウ</t>
    </rPh>
    <rPh sb="69" eb="73">
      <t>カンキョウトシ</t>
    </rPh>
    <rPh sb="77" eb="79">
      <t>ジッシュウ</t>
    </rPh>
    <rPh sb="121" eb="123">
      <t>コウキ</t>
    </rPh>
    <phoneticPr fontId="1"/>
  </si>
  <si>
    <t>https://www.fukui-nct.ac.jp/mext_mathdsai/</t>
    <phoneticPr fontId="1"/>
  </si>
  <si>
    <t>https://www.fukui-nct.ac.jp/wp/wp-content/uploads/2022/07/5584712ec86c69d2db1870fa6194ea51.pdf</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</si>
</sst>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2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9"/>
      <name val="ＭＳ Ｐゴシック"/>
      <family val="2"/>
      <charset val="128"/>
      <scheme val="minor"/>
    </font>
    <font>
      <strike/>
      <sz val="12"/>
      <name val="ＭＳ Ｐゴシック"/>
      <family val="3"/>
      <charset val="128"/>
      <scheme val="minor"/>
    </font>
    <font>
      <sz val="12"/>
      <color rgb="FF000000"/>
      <name val="ＭＳ Ｐゴシック"/>
      <family val="2"/>
      <charset val="128"/>
      <scheme val="minor"/>
    </font>
    <font>
      <u/>
      <sz val="11"/>
      <color theme="10"/>
      <name val="ＭＳ Ｐゴシック"/>
      <family val="2"/>
      <charset val="128"/>
      <scheme val="minor"/>
    </font>
    <font>
      <u/>
      <sz val="9"/>
      <color theme="10"/>
      <name val="ＭＳ Ｐゴシック"/>
      <family val="2"/>
      <charset val="128"/>
      <scheme val="minor"/>
    </font>
  </fonts>
  <fills count="2">
    <fill>
      <patternFill patternType="none"/>
    </fill>
    <fill>
      <patternFill patternType="gray125"/>
    </fill>
  </fills>
  <borders count="5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hair">
        <color auto="1"/>
      </right>
      <top style="thin">
        <color auto="1"/>
      </top>
      <bottom style="hair">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3">
    <xf numFmtId="0" fontId="0" fillId="0" borderId="0">
      <alignment vertical="center"/>
    </xf>
    <xf numFmtId="38" fontId="6" fillId="0" borderId="0" applyFont="0" applyFill="0" applyBorder="0" applyAlignment="0" applyProtection="0">
      <alignment vertical="center"/>
    </xf>
    <xf numFmtId="0" fontId="23" fillId="0" borderId="0" applyNumberFormat="0" applyFill="0" applyBorder="0" applyAlignment="0" applyProtection="0">
      <alignment vertical="center"/>
    </xf>
  </cellStyleXfs>
  <cellXfs count="307">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7" fillId="0" borderId="0" xfId="0" applyNumberFormat="1" applyFont="1">
      <alignment vertical="center"/>
    </xf>
    <xf numFmtId="176" fontId="7" fillId="0" borderId="3" xfId="0" applyNumberFormat="1" applyFont="1" applyBorder="1" applyAlignment="1">
      <alignment vertical="center" shrinkToFit="1"/>
    </xf>
    <xf numFmtId="0" fontId="7" fillId="0" borderId="0" xfId="0" applyFont="1" applyAlignment="1">
      <alignment horizontal="center" vertical="center" shrinkToFit="1"/>
    </xf>
    <xf numFmtId="0" fontId="8" fillId="0" borderId="0" xfId="0" applyFont="1">
      <alignment vertical="center"/>
    </xf>
    <xf numFmtId="0" fontId="7" fillId="0" borderId="0" xfId="0" applyFont="1">
      <alignment vertical="center"/>
    </xf>
    <xf numFmtId="0" fontId="7" fillId="0" borderId="0" xfId="0" applyFont="1" applyAlignment="1">
      <alignment horizontal="left" vertical="center"/>
    </xf>
    <xf numFmtId="0" fontId="7" fillId="0" borderId="5" xfId="0" applyFont="1" applyBorder="1">
      <alignment vertical="center"/>
    </xf>
    <xf numFmtId="176" fontId="7" fillId="0" borderId="0" xfId="0" applyNumberFormat="1" applyFont="1" applyAlignment="1">
      <alignment vertical="center" wrapText="1"/>
    </xf>
    <xf numFmtId="176" fontId="7" fillId="0" borderId="5" xfId="0" applyNumberFormat="1" applyFont="1" applyBorder="1">
      <alignment vertical="center"/>
    </xf>
    <xf numFmtId="176" fontId="7" fillId="0" borderId="0" xfId="0" applyNumberFormat="1" applyFont="1" applyAlignment="1">
      <alignment horizontal="left" vertical="center" wrapText="1"/>
    </xf>
    <xf numFmtId="0" fontId="7" fillId="0" borderId="6" xfId="0" applyFont="1" applyBorder="1" applyAlignment="1">
      <alignment vertical="center" shrinkToFit="1"/>
    </xf>
    <xf numFmtId="0" fontId="7" fillId="0" borderId="1" xfId="0" applyFont="1" applyBorder="1">
      <alignment vertical="center"/>
    </xf>
    <xf numFmtId="0" fontId="7" fillId="0" borderId="2" xfId="0" applyFont="1" applyBorder="1">
      <alignment vertical="center"/>
    </xf>
    <xf numFmtId="0" fontId="7" fillId="0" borderId="4" xfId="0" applyFont="1" applyBorder="1">
      <alignment vertical="center"/>
    </xf>
    <xf numFmtId="0" fontId="4" fillId="0" borderId="20" xfId="0" applyFont="1" applyBorder="1" applyAlignment="1">
      <alignment vertical="top" wrapText="1"/>
    </xf>
    <xf numFmtId="0" fontId="7" fillId="0" borderId="0" xfId="0" applyFont="1" applyAlignment="1">
      <alignment horizontal="center" vertical="center"/>
    </xf>
    <xf numFmtId="0" fontId="7" fillId="0" borderId="1" xfId="0" applyFont="1" applyBorder="1" applyAlignment="1">
      <alignment vertical="center" shrinkToFit="1"/>
    </xf>
    <xf numFmtId="0" fontId="9" fillId="0" borderId="0" xfId="0" applyFont="1">
      <alignment vertical="center"/>
    </xf>
    <xf numFmtId="0" fontId="10" fillId="0" borderId="0" xfId="0" applyFont="1">
      <alignment vertical="center"/>
    </xf>
    <xf numFmtId="0" fontId="7" fillId="0" borderId="0" xfId="0" applyFont="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2" fillId="0" borderId="0" xfId="0" applyFont="1" applyAlignment="1">
      <alignment horizontal="center" vertical="center"/>
    </xf>
    <xf numFmtId="0" fontId="14" fillId="0" borderId="11" xfId="0" applyFont="1" applyBorder="1" applyAlignment="1">
      <alignment horizontal="center" vertical="center"/>
    </xf>
    <xf numFmtId="0" fontId="14" fillId="0" borderId="29" xfId="0" applyFont="1" applyBorder="1" applyAlignment="1">
      <alignment horizontal="center" vertical="center" wrapText="1"/>
    </xf>
    <xf numFmtId="0" fontId="14" fillId="0" borderId="30" xfId="0" applyFont="1" applyBorder="1" applyAlignment="1">
      <alignment horizontal="center" vertical="center"/>
    </xf>
    <xf numFmtId="0" fontId="14"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7" fillId="0" borderId="10" xfId="0" applyFont="1" applyBorder="1" applyAlignment="1">
      <alignment vertical="center" shrinkToFit="1"/>
    </xf>
    <xf numFmtId="49" fontId="16" fillId="0" borderId="1" xfId="0" applyNumberFormat="1" applyFont="1" applyBorder="1" applyAlignment="1">
      <alignment horizontal="center" vertical="center"/>
    </xf>
    <xf numFmtId="0" fontId="7" fillId="0" borderId="0" xfId="0" applyFont="1" applyAlignment="1">
      <alignment vertical="top" wrapText="1"/>
    </xf>
    <xf numFmtId="0" fontId="8" fillId="0" borderId="2" xfId="0" applyFont="1" applyBorder="1">
      <alignment vertical="center"/>
    </xf>
    <xf numFmtId="0" fontId="8" fillId="0" borderId="4" xfId="0" applyFont="1" applyBorder="1">
      <alignment vertical="center"/>
    </xf>
    <xf numFmtId="49" fontId="16" fillId="0" borderId="47" xfId="0" applyNumberFormat="1" applyFont="1" applyBorder="1" applyAlignment="1">
      <alignment horizontal="center" vertical="center"/>
    </xf>
    <xf numFmtId="49" fontId="16" fillId="0" borderId="33" xfId="0" applyNumberFormat="1" applyFont="1" applyBorder="1" applyAlignment="1">
      <alignment horizontal="center" vertical="center"/>
    </xf>
    <xf numFmtId="49" fontId="16" fillId="0" borderId="50" xfId="0" applyNumberFormat="1" applyFont="1" applyBorder="1" applyAlignment="1">
      <alignment horizontal="center" vertical="center"/>
    </xf>
    <xf numFmtId="0" fontId="7" fillId="0" borderId="44" xfId="0" applyFont="1" applyBorder="1" applyAlignment="1">
      <alignment horizontal="center" vertical="center" shrinkToFit="1"/>
    </xf>
    <xf numFmtId="0" fontId="7" fillId="0" borderId="45" xfId="0" applyFont="1" applyBorder="1" applyAlignment="1">
      <alignment horizontal="center" vertical="center" shrinkToFit="1"/>
    </xf>
    <xf numFmtId="49" fontId="16"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7" fillId="0" borderId="7" xfId="0" applyFont="1" applyBorder="1" applyAlignment="1">
      <alignment horizontal="center" vertical="center" wrapText="1" shrinkToFit="1"/>
    </xf>
    <xf numFmtId="9" fontId="7" fillId="0" borderId="8" xfId="0" applyNumberFormat="1" applyFont="1" applyBorder="1" applyAlignment="1">
      <alignment horizontal="center" vertical="center" wrapText="1" shrinkToFit="1"/>
    </xf>
    <xf numFmtId="0" fontId="7" fillId="0" borderId="8" xfId="0" applyFont="1" applyBorder="1" applyAlignment="1">
      <alignment horizontal="center" vertical="center" wrapText="1" shrinkToFit="1"/>
    </xf>
    <xf numFmtId="9" fontId="7" fillId="0" borderId="8" xfId="0" applyNumberFormat="1" applyFont="1" applyBorder="1" applyAlignment="1">
      <alignment horizontal="center" vertical="center" shrinkToFit="1"/>
    </xf>
    <xf numFmtId="0" fontId="7" fillId="0" borderId="9" xfId="0" applyFont="1" applyBorder="1" applyAlignment="1">
      <alignment horizontal="center" vertical="center" shrinkToFit="1"/>
    </xf>
    <xf numFmtId="9" fontId="7" fillId="0" borderId="45" xfId="0" applyNumberFormat="1" applyFont="1" applyBorder="1" applyAlignment="1">
      <alignment horizontal="center" vertical="center" shrinkToFit="1"/>
    </xf>
    <xf numFmtId="176" fontId="7" fillId="0" borderId="45" xfId="0" applyNumberFormat="1" applyFont="1" applyBorder="1" applyAlignment="1">
      <alignment horizontal="center" vertical="center" shrinkToFit="1"/>
    </xf>
    <xf numFmtId="0" fontId="7"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7" fillId="0" borderId="3" xfId="0" applyFont="1" applyBorder="1">
      <alignment vertical="center"/>
    </xf>
    <xf numFmtId="49" fontId="16" fillId="0" borderId="52" xfId="0" applyNumberFormat="1" applyFont="1" applyBorder="1" applyAlignment="1">
      <alignment horizontal="center" vertical="center"/>
    </xf>
    <xf numFmtId="49" fontId="16" fillId="0" borderId="29" xfId="0" applyNumberFormat="1" applyFont="1" applyBorder="1" applyAlignment="1">
      <alignment horizontal="center" vertical="center"/>
    </xf>
    <xf numFmtId="0" fontId="19" fillId="0" borderId="4" xfId="0" applyFont="1" applyBorder="1" applyAlignment="1">
      <alignment horizontal="center" vertical="center" shrinkToFit="1"/>
    </xf>
    <xf numFmtId="0" fontId="7" fillId="0" borderId="14" xfId="0" applyFont="1" applyBorder="1" applyAlignment="1">
      <alignment horizontal="center" vertical="center" shrinkToFit="1"/>
    </xf>
    <xf numFmtId="0" fontId="7" fillId="0" borderId="23" xfId="0" applyFont="1" applyBorder="1" applyAlignment="1">
      <alignment horizontal="center" vertical="center" shrinkToFit="1"/>
    </xf>
    <xf numFmtId="0" fontId="7" fillId="0" borderId="13" xfId="0" applyFont="1" applyBorder="1" applyAlignment="1">
      <alignment horizontal="center" vertical="center" shrinkToFit="1"/>
    </xf>
    <xf numFmtId="0" fontId="7" fillId="0" borderId="1" xfId="0" applyFont="1" applyBorder="1" applyAlignment="1">
      <alignment horizontal="center" vertical="center" shrinkToFit="1"/>
    </xf>
    <xf numFmtId="0" fontId="7" fillId="0" borderId="18" xfId="0" applyFont="1" applyBorder="1" applyAlignment="1">
      <alignment horizontal="center" vertical="center"/>
    </xf>
    <xf numFmtId="0" fontId="7" fillId="0" borderId="42" xfId="0" applyFont="1" applyBorder="1" applyAlignment="1">
      <alignment horizontal="center" vertical="center"/>
    </xf>
    <xf numFmtId="0" fontId="7" fillId="0" borderId="38" xfId="0" applyFont="1" applyBorder="1" applyAlignment="1">
      <alignment horizontal="center" vertical="center"/>
    </xf>
    <xf numFmtId="0" fontId="7" fillId="0" borderId="43" xfId="0" applyFont="1" applyBorder="1" applyAlignment="1">
      <alignment horizontal="center" vertical="center" shrinkToFit="1"/>
    </xf>
    <xf numFmtId="0" fontId="3" fillId="0" borderId="14" xfId="0" applyFont="1" applyBorder="1" applyAlignment="1">
      <alignment vertical="center" shrinkToFit="1"/>
    </xf>
    <xf numFmtId="0" fontId="3" fillId="0" borderId="23" xfId="0" applyFont="1" applyBorder="1" applyAlignment="1">
      <alignment vertical="center" shrinkToFit="1"/>
    </xf>
    <xf numFmtId="176" fontId="3" fillId="0" borderId="5" xfId="0" applyNumberFormat="1" applyFont="1" applyBorder="1">
      <alignment vertical="center"/>
    </xf>
    <xf numFmtId="0" fontId="20" fillId="0" borderId="0" xfId="0" applyFont="1" applyAlignment="1">
      <alignment vertical="top" wrapText="1"/>
    </xf>
    <xf numFmtId="0" fontId="16" fillId="0" borderId="20" xfId="0" applyFont="1" applyBorder="1" applyAlignment="1">
      <alignment vertical="top" shrinkToFit="1"/>
    </xf>
    <xf numFmtId="0" fontId="16" fillId="0" borderId="18" xfId="0" applyFont="1" applyBorder="1" applyAlignment="1">
      <alignment vertical="top" shrinkToFit="1"/>
    </xf>
    <xf numFmtId="0" fontId="21" fillId="0" borderId="23" xfId="0" applyFont="1" applyBorder="1" applyAlignment="1">
      <alignment horizontal="center" vertical="center" shrinkToFit="1"/>
    </xf>
    <xf numFmtId="176" fontId="3" fillId="0" borderId="53" xfId="0" applyNumberFormat="1" applyFont="1" applyBorder="1" applyAlignment="1">
      <alignment vertical="center" shrinkToFit="1"/>
    </xf>
    <xf numFmtId="176" fontId="3" fillId="0" borderId="38" xfId="0" applyNumberFormat="1" applyFont="1" applyBorder="1" applyAlignment="1">
      <alignment vertical="center" shrinkToFit="1"/>
    </xf>
    <xf numFmtId="9" fontId="3" fillId="0" borderId="14" xfId="0" applyNumberFormat="1" applyFont="1" applyBorder="1" applyAlignment="1">
      <alignment vertical="center" shrinkToFi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176" fontId="7" fillId="0" borderId="2" xfId="0" applyNumberFormat="1" applyFont="1" applyBorder="1" applyAlignment="1">
      <alignment horizontal="center" vertical="center"/>
    </xf>
    <xf numFmtId="176" fontId="7" fillId="0" borderId="3" xfId="0" applyNumberFormat="1" applyFont="1" applyBorder="1" applyAlignment="1">
      <alignment horizontal="center" vertical="center"/>
    </xf>
    <xf numFmtId="176" fontId="7" fillId="0" borderId="4" xfId="0" applyNumberFormat="1" applyFont="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right" vertical="center" shrinkToFit="1"/>
    </xf>
    <xf numFmtId="0" fontId="7" fillId="0" borderId="2" xfId="0" applyFont="1" applyBorder="1" applyAlignment="1">
      <alignment horizontal="center" vertical="center" shrinkToFit="1"/>
    </xf>
    <xf numFmtId="0" fontId="7" fillId="0" borderId="3" xfId="0" applyFont="1" applyBorder="1" applyAlignment="1">
      <alignment horizontal="center" vertical="center" shrinkToFit="1"/>
    </xf>
    <xf numFmtId="0" fontId="7" fillId="0" borderId="5" xfId="0" applyFont="1" applyBorder="1" applyAlignment="1">
      <alignment horizontal="right" vertical="center" shrinkToFit="1"/>
    </xf>
    <xf numFmtId="0" fontId="7" fillId="0" borderId="10" xfId="0" applyFont="1" applyBorder="1" applyAlignment="1">
      <alignment horizontal="right" vertical="center" shrinkToFit="1"/>
    </xf>
    <xf numFmtId="176" fontId="7" fillId="0" borderId="2" xfId="0" applyNumberFormat="1" applyFont="1" applyBorder="1" applyAlignment="1">
      <alignment horizontal="center" vertical="center" shrinkToFit="1"/>
    </xf>
    <xf numFmtId="176" fontId="7" fillId="0" borderId="4" xfId="0" applyNumberFormat="1" applyFont="1" applyBorder="1" applyAlignment="1">
      <alignment horizontal="center" vertical="center" shrinkToFit="1"/>
    </xf>
    <xf numFmtId="0" fontId="7" fillId="0" borderId="0" xfId="0" applyFont="1" applyAlignment="1">
      <alignment vertical="center" shrinkToFit="1"/>
    </xf>
    <xf numFmtId="0" fontId="7" fillId="0" borderId="4" xfId="0" applyFont="1" applyBorder="1" applyAlignment="1">
      <alignment horizontal="center" vertical="center" shrinkToFit="1"/>
    </xf>
    <xf numFmtId="0" fontId="7" fillId="0" borderId="0" xfId="0" applyFont="1" applyAlignment="1">
      <alignment horizontal="right" vertical="center"/>
    </xf>
    <xf numFmtId="0" fontId="7" fillId="0" borderId="10" xfId="0" applyFont="1" applyBorder="1" applyAlignment="1">
      <alignment horizontal="right" vertical="center"/>
    </xf>
    <xf numFmtId="176" fontId="7" fillId="0" borderId="3" xfId="0" applyNumberFormat="1" applyFont="1" applyBorder="1" applyAlignment="1">
      <alignment horizontal="center" vertical="center" shrinkToFit="1"/>
    </xf>
    <xf numFmtId="0" fontId="11" fillId="0" borderId="0" xfId="0" applyFont="1" applyAlignment="1">
      <alignment horizontal="center" vertical="center"/>
    </xf>
    <xf numFmtId="0" fontId="0" fillId="0" borderId="57" xfId="0" applyBorder="1" applyAlignment="1">
      <alignment vertical="center"/>
    </xf>
    <xf numFmtId="49" fontId="7" fillId="0" borderId="2" xfId="1" applyNumberFormat="1" applyFont="1" applyBorder="1" applyAlignment="1">
      <alignment horizontal="center" vertical="center" shrinkToFit="1"/>
    </xf>
    <xf numFmtId="49" fontId="7" fillId="0" borderId="3" xfId="1" applyNumberFormat="1" applyFont="1" applyBorder="1" applyAlignment="1">
      <alignment horizontal="center" vertical="center" shrinkToFit="1"/>
    </xf>
    <xf numFmtId="49" fontId="7" fillId="0" borderId="4" xfId="1" applyNumberFormat="1" applyFont="1" applyBorder="1" applyAlignment="1">
      <alignment horizontal="center" vertical="center" shrinkToFit="1"/>
    </xf>
    <xf numFmtId="0" fontId="7" fillId="0" borderId="2" xfId="0" applyFont="1" applyBorder="1" applyAlignment="1">
      <alignment vertical="center" shrinkToFit="1"/>
    </xf>
    <xf numFmtId="0" fontId="7" fillId="0" borderId="3" xfId="0" applyFont="1" applyBorder="1" applyAlignment="1">
      <alignment vertical="center" shrinkToFit="1"/>
    </xf>
    <xf numFmtId="0" fontId="7" fillId="0" borderId="37" xfId="0" applyFont="1" applyBorder="1" applyAlignment="1">
      <alignment vertical="center" shrinkToFit="1"/>
    </xf>
    <xf numFmtId="0" fontId="7" fillId="0" borderId="39" xfId="0" applyFont="1" applyBorder="1" applyAlignment="1">
      <alignment vertical="center" shrinkToFit="1"/>
    </xf>
    <xf numFmtId="0" fontId="7" fillId="0" borderId="38" xfId="0" applyFont="1" applyBorder="1" applyAlignment="1">
      <alignment vertical="center" shrinkToFit="1"/>
    </xf>
    <xf numFmtId="0" fontId="7" fillId="0" borderId="19" xfId="0" applyFont="1" applyBorder="1" applyAlignment="1">
      <alignment vertical="center" shrinkToFit="1"/>
    </xf>
    <xf numFmtId="0" fontId="7" fillId="0" borderId="20" xfId="0" applyFont="1" applyBorder="1" applyAlignment="1">
      <alignment vertical="center" shrinkToFit="1"/>
    </xf>
    <xf numFmtId="0" fontId="7" fillId="0" borderId="18" xfId="0" applyFont="1" applyBorder="1" applyAlignment="1">
      <alignment vertical="center" shrinkToFit="1"/>
    </xf>
    <xf numFmtId="0" fontId="7" fillId="0" borderId="40" xfId="0" applyFont="1" applyBorder="1" applyAlignment="1">
      <alignment vertical="center" shrinkToFit="1"/>
    </xf>
    <xf numFmtId="0" fontId="7" fillId="0" borderId="41" xfId="0" applyFont="1" applyBorder="1" applyAlignment="1">
      <alignment vertical="center" shrinkToFit="1"/>
    </xf>
    <xf numFmtId="0" fontId="7" fillId="0" borderId="42" xfId="0" applyFont="1" applyBorder="1" applyAlignment="1">
      <alignment vertical="center" shrinkToFit="1"/>
    </xf>
    <xf numFmtId="0" fontId="7" fillId="0" borderId="19" xfId="0" applyFont="1" applyBorder="1" applyAlignment="1">
      <alignment horizontal="center" vertical="center"/>
    </xf>
    <xf numFmtId="0" fontId="7" fillId="0" borderId="20" xfId="0" applyFont="1" applyBorder="1" applyAlignment="1">
      <alignment horizontal="center" vertical="center"/>
    </xf>
    <xf numFmtId="0" fontId="7" fillId="0" borderId="18" xfId="0" applyFont="1" applyBorder="1" applyAlignment="1">
      <alignment horizontal="center" vertical="center"/>
    </xf>
    <xf numFmtId="0" fontId="7" fillId="0" borderId="40" xfId="0" applyFont="1" applyBorder="1" applyAlignment="1">
      <alignment horizontal="center" vertical="center"/>
    </xf>
    <xf numFmtId="0" fontId="7" fillId="0" borderId="41" xfId="0" applyFont="1" applyBorder="1" applyAlignment="1">
      <alignment horizontal="center" vertical="center"/>
    </xf>
    <xf numFmtId="0" fontId="7" fillId="0" borderId="42" xfId="0" applyFont="1" applyBorder="1" applyAlignment="1">
      <alignment horizontal="center" vertical="center"/>
    </xf>
    <xf numFmtId="0" fontId="7" fillId="0" borderId="19" xfId="0" applyFont="1" applyBorder="1" applyAlignment="1">
      <alignment horizontal="left" vertical="center" shrinkToFit="1"/>
    </xf>
    <xf numFmtId="0" fontId="7" fillId="0" borderId="20" xfId="0" applyFont="1" applyBorder="1" applyAlignment="1">
      <alignment horizontal="left" vertical="center" shrinkToFit="1"/>
    </xf>
    <xf numFmtId="0" fontId="7" fillId="0" borderId="18" xfId="0" applyFont="1" applyBorder="1" applyAlignment="1">
      <alignment horizontal="left" vertical="center" shrinkToFit="1"/>
    </xf>
    <xf numFmtId="0" fontId="7" fillId="0" borderId="40" xfId="0" applyFont="1" applyBorder="1" applyAlignment="1">
      <alignment horizontal="left" vertical="center" shrinkToFit="1"/>
    </xf>
    <xf numFmtId="0" fontId="7" fillId="0" borderId="41" xfId="0" applyFont="1" applyBorder="1" applyAlignment="1">
      <alignment horizontal="left" vertical="center" shrinkToFit="1"/>
    </xf>
    <xf numFmtId="0" fontId="7" fillId="0" borderId="42" xfId="0" applyFont="1" applyBorder="1" applyAlignment="1">
      <alignment horizontal="left" vertical="center" shrinkToFit="1"/>
    </xf>
    <xf numFmtId="0" fontId="8" fillId="0" borderId="0" xfId="0" applyFont="1" applyAlignment="1">
      <alignment horizontal="center" vertical="center"/>
    </xf>
    <xf numFmtId="0" fontId="7" fillId="0" borderId="37" xfId="0" applyFont="1" applyBorder="1" applyAlignment="1">
      <alignment horizontal="left" vertical="center" shrinkToFit="1"/>
    </xf>
    <xf numFmtId="0" fontId="7" fillId="0" borderId="39" xfId="0" applyFont="1" applyBorder="1" applyAlignment="1">
      <alignment horizontal="left" vertical="center" shrinkToFit="1"/>
    </xf>
    <xf numFmtId="0" fontId="7" fillId="0" borderId="38" xfId="0" applyFont="1" applyBorder="1" applyAlignment="1">
      <alignment horizontal="left" vertical="center" shrinkToFit="1"/>
    </xf>
    <xf numFmtId="0" fontId="7" fillId="0" borderId="7" xfId="0" applyFont="1" applyBorder="1" applyAlignment="1">
      <alignment horizontal="center"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37" xfId="0" applyFont="1" applyBorder="1" applyAlignment="1">
      <alignment horizontal="center" vertical="center"/>
    </xf>
    <xf numFmtId="0" fontId="7" fillId="0" borderId="39" xfId="0" applyFont="1" applyBorder="1" applyAlignment="1">
      <alignment horizontal="center" vertical="center"/>
    </xf>
    <xf numFmtId="0" fontId="7" fillId="0" borderId="38" xfId="0" applyFont="1" applyBorder="1" applyAlignment="1">
      <alignment horizontal="center" vertical="center"/>
    </xf>
    <xf numFmtId="0" fontId="8" fillId="0" borderId="7" xfId="0" applyFont="1" applyBorder="1" applyAlignment="1">
      <alignment vertical="center" wrapText="1"/>
    </xf>
    <xf numFmtId="0" fontId="8" fillId="0" borderId="8" xfId="0" applyFont="1" applyBorder="1" applyAlignment="1">
      <alignment vertical="center" wrapText="1"/>
    </xf>
    <xf numFmtId="0" fontId="8" fillId="0" borderId="9" xfId="0" applyFont="1" applyBorder="1" applyAlignment="1">
      <alignment vertical="center" wrapText="1"/>
    </xf>
    <xf numFmtId="0" fontId="8" fillId="0" borderId="5" xfId="0" applyFont="1" applyBorder="1" applyAlignment="1">
      <alignment vertical="center" wrapText="1"/>
    </xf>
    <xf numFmtId="0" fontId="8" fillId="0" borderId="0" xfId="0" applyFont="1" applyAlignment="1">
      <alignment vertical="center" wrapText="1"/>
    </xf>
    <xf numFmtId="0" fontId="8" fillId="0" borderId="10" xfId="0" applyFont="1" applyBorder="1" applyAlignment="1">
      <alignment vertical="center" wrapTex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23" fillId="0" borderId="54" xfId="2" applyBorder="1" applyAlignment="1">
      <alignment vertical="center"/>
    </xf>
    <xf numFmtId="0" fontId="0" fillId="0" borderId="55" xfId="0" applyBorder="1" applyAlignment="1">
      <alignment vertical="center"/>
    </xf>
    <xf numFmtId="0" fontId="0" fillId="0" borderId="56" xfId="0" applyBorder="1" applyAlignment="1">
      <alignment vertical="center"/>
    </xf>
    <xf numFmtId="0" fontId="7" fillId="0" borderId="40" xfId="0" applyFont="1" applyBorder="1" applyAlignment="1">
      <alignment horizontal="center" vertical="center" shrinkToFit="1"/>
    </xf>
    <xf numFmtId="0" fontId="7" fillId="0" borderId="41" xfId="0" applyFont="1" applyBorder="1" applyAlignment="1">
      <alignment horizontal="center" vertical="center" shrinkToFit="1"/>
    </xf>
    <xf numFmtId="0" fontId="7" fillId="0" borderId="42" xfId="0" applyFont="1" applyBorder="1" applyAlignment="1">
      <alignment horizontal="center" vertical="center" shrinkToFit="1"/>
    </xf>
    <xf numFmtId="0" fontId="7" fillId="0" borderId="19"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18" xfId="0" applyFont="1" applyBorder="1" applyAlignment="1">
      <alignment horizontal="center" vertical="center" shrinkToFit="1"/>
    </xf>
    <xf numFmtId="0" fontId="8" fillId="0" borderId="8"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39" xfId="0" applyFont="1" applyBorder="1" applyAlignment="1">
      <alignment horizontal="left" vertical="center" wrapText="1"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7" fillId="0" borderId="0" xfId="0" applyFont="1" applyAlignment="1">
      <alignment vertical="center" wrapText="1"/>
    </xf>
    <xf numFmtId="0" fontId="15" fillId="0" borderId="0" xfId="0" applyFont="1" applyAlignment="1">
      <alignment horizontal="center" vertical="center"/>
    </xf>
    <xf numFmtId="0" fontId="7" fillId="0" borderId="7" xfId="0" applyFont="1" applyBorder="1" applyAlignment="1">
      <alignment horizontal="left" vertical="top" wrapText="1"/>
    </xf>
    <xf numFmtId="0" fontId="7" fillId="0" borderId="8" xfId="0" applyFont="1" applyBorder="1" applyAlignment="1">
      <alignment horizontal="left" vertical="top" wrapText="1"/>
    </xf>
    <xf numFmtId="0" fontId="7" fillId="0" borderId="9" xfId="0" applyFont="1" applyBorder="1" applyAlignment="1">
      <alignment horizontal="left" vertical="top" wrapText="1"/>
    </xf>
    <xf numFmtId="0" fontId="7" fillId="0" borderId="5" xfId="0" applyFont="1" applyBorder="1" applyAlignment="1">
      <alignment horizontal="left" vertical="top" wrapText="1"/>
    </xf>
    <xf numFmtId="0" fontId="7" fillId="0" borderId="0" xfId="0" applyFont="1" applyAlignment="1">
      <alignment horizontal="lef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0" fontId="7" fillId="0" borderId="6" xfId="0" applyFont="1" applyBorder="1" applyAlignment="1">
      <alignment horizontal="left" vertical="top" wrapText="1"/>
    </xf>
    <xf numFmtId="0" fontId="7" fillId="0" borderId="12" xfId="0" applyFont="1" applyBorder="1" applyAlignment="1">
      <alignment horizontal="left" vertical="top" wrapText="1"/>
    </xf>
    <xf numFmtId="0" fontId="7" fillId="0" borderId="37" xfId="0" applyFont="1" applyBorder="1" applyAlignment="1">
      <alignment horizontal="center" vertical="center" shrinkToFit="1"/>
    </xf>
    <xf numFmtId="0" fontId="7" fillId="0" borderId="39" xfId="0" applyFont="1" applyBorder="1" applyAlignment="1">
      <alignment horizontal="center" vertical="center" shrinkToFit="1"/>
    </xf>
    <xf numFmtId="0" fontId="7" fillId="0" borderId="38" xfId="0" applyFont="1" applyBorder="1" applyAlignment="1">
      <alignment horizontal="center" vertical="center" shrinkToFit="1"/>
    </xf>
    <xf numFmtId="0" fontId="8" fillId="0" borderId="39" xfId="0" applyFont="1" applyBorder="1" applyAlignment="1">
      <alignment vertical="center" wrapText="1"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18" fillId="0" borderId="48" xfId="0" applyFont="1" applyBorder="1" applyAlignment="1">
      <alignment vertical="center" wrapText="1"/>
    </xf>
    <xf numFmtId="0" fontId="18" fillId="0" borderId="49" xfId="0" applyFont="1" applyBorder="1" applyAlignment="1">
      <alignment vertical="center" wrapText="1"/>
    </xf>
    <xf numFmtId="0" fontId="17" fillId="0" borderId="48" xfId="0" applyFont="1" applyBorder="1" applyAlignment="1">
      <alignment vertical="center" wrapText="1"/>
    </xf>
    <xf numFmtId="0" fontId="17" fillId="0" borderId="32" xfId="0" applyFont="1" applyBorder="1" applyAlignment="1">
      <alignment vertical="center" wrapText="1"/>
    </xf>
    <xf numFmtId="0" fontId="18" fillId="0" borderId="32" xfId="0" applyFont="1" applyBorder="1" applyAlignment="1">
      <alignment vertical="center" wrapTex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22" fillId="0" borderId="2" xfId="0" applyFont="1" applyBorder="1" applyAlignment="1">
      <alignment vertical="center" shrinkToFit="1"/>
    </xf>
    <xf numFmtId="0" fontId="22" fillId="0" borderId="3" xfId="0" applyFont="1" applyBorder="1" applyAlignment="1">
      <alignment vertical="center" shrinkToFit="1"/>
    </xf>
    <xf numFmtId="0" fontId="22" fillId="0" borderId="4" xfId="0" applyFont="1" applyBorder="1" applyAlignment="1">
      <alignment vertical="center" shrinkToFit="1"/>
    </xf>
    <xf numFmtId="0" fontId="8" fillId="0" borderId="1" xfId="0" applyFont="1" applyBorder="1" applyAlignment="1">
      <alignment vertical="center" wrapText="1" shrinkToFit="1"/>
    </xf>
    <xf numFmtId="0" fontId="8" fillId="0" borderId="1" xfId="0" applyFont="1" applyBorder="1" applyAlignment="1">
      <alignment vertical="center" shrinkToFit="1"/>
    </xf>
    <xf numFmtId="0" fontId="21" fillId="0" borderId="19" xfId="0" applyFont="1" applyBorder="1" applyAlignment="1">
      <alignment vertical="center" shrinkToFit="1"/>
    </xf>
    <xf numFmtId="0" fontId="21" fillId="0" borderId="20" xfId="0" applyFont="1" applyBorder="1" applyAlignment="1">
      <alignment vertical="center" shrinkToFit="1"/>
    </xf>
    <xf numFmtId="0" fontId="21" fillId="0" borderId="18" xfId="0" applyFont="1" applyBorder="1" applyAlignment="1">
      <alignment vertical="center" shrinkToFit="1"/>
    </xf>
    <xf numFmtId="0" fontId="21" fillId="0" borderId="19" xfId="0" applyFont="1" applyBorder="1" applyAlignment="1">
      <alignment horizontal="center" vertical="center"/>
    </xf>
    <xf numFmtId="0" fontId="21" fillId="0" borderId="20" xfId="0" applyFont="1" applyBorder="1" applyAlignment="1">
      <alignment horizontal="center" vertical="center"/>
    </xf>
    <xf numFmtId="0" fontId="21" fillId="0" borderId="18" xfId="0" applyFont="1" applyBorder="1" applyAlignment="1">
      <alignment horizontal="center" vertical="center"/>
    </xf>
    <xf numFmtId="0" fontId="8" fillId="0" borderId="2" xfId="0" applyFont="1" applyBorder="1" applyAlignment="1">
      <alignment vertical="center" wrapText="1" shrinkToFit="1"/>
    </xf>
    <xf numFmtId="0" fontId="8" fillId="0" borderId="3" xfId="0" applyFont="1" applyBorder="1" applyAlignment="1">
      <alignment vertical="center" wrapText="1" shrinkToFit="1"/>
    </xf>
    <xf numFmtId="0" fontId="8" fillId="0" borderId="4" xfId="0" applyFont="1" applyBorder="1" applyAlignment="1">
      <alignment vertical="center" wrapText="1" shrinkToFit="1"/>
    </xf>
    <xf numFmtId="0" fontId="7" fillId="0" borderId="2" xfId="0" applyFont="1" applyBorder="1" applyAlignment="1">
      <alignment vertical="center" wrapText="1"/>
    </xf>
    <xf numFmtId="0" fontId="7" fillId="0" borderId="3" xfId="0" applyFont="1" applyBorder="1" applyAlignment="1">
      <alignment vertical="center" wrapText="1"/>
    </xf>
    <xf numFmtId="0" fontId="7" fillId="0" borderId="4" xfId="0" applyFont="1" applyBorder="1" applyAlignment="1">
      <alignment vertical="center" wrapText="1"/>
    </xf>
    <xf numFmtId="0" fontId="2" fillId="0" borderId="0" xfId="0" applyFont="1" applyAlignment="1">
      <alignment horizontal="right" vertical="center"/>
    </xf>
    <xf numFmtId="0" fontId="12" fillId="0" borderId="0" xfId="0" applyFont="1" applyAlignment="1">
      <alignment horizontal="center" vertical="center"/>
    </xf>
    <xf numFmtId="0" fontId="3" fillId="0" borderId="2"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3" fillId="0" borderId="8" xfId="0" applyFont="1" applyBorder="1" applyAlignment="1">
      <alignment horizontal="center" vertical="center" wrapText="1"/>
    </xf>
    <xf numFmtId="0" fontId="13" fillId="0" borderId="6" xfId="0" applyFont="1" applyBorder="1" applyAlignment="1">
      <alignment horizontal="center" vertical="center"/>
    </xf>
    <xf numFmtId="0" fontId="13" fillId="0" borderId="7" xfId="0" applyFont="1" applyBorder="1" applyAlignment="1">
      <alignment horizontal="center" vertical="center" wrapText="1"/>
    </xf>
    <xf numFmtId="0" fontId="13"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4" fillId="0" borderId="15" xfId="0" applyFont="1" applyBorder="1" applyAlignment="1">
      <alignment horizontal="center" vertical="center" wrapText="1"/>
    </xf>
    <xf numFmtId="0" fontId="14" fillId="0" borderId="13" xfId="0" applyFont="1" applyBorder="1" applyAlignment="1">
      <alignment horizontal="center" vertical="center"/>
    </xf>
    <xf numFmtId="0" fontId="13" fillId="0" borderId="9" xfId="0" applyFont="1" applyBorder="1" applyAlignment="1">
      <alignment horizontal="center" vertical="center"/>
    </xf>
    <xf numFmtId="0" fontId="13" fillId="0" borderId="12" xfId="0" applyFont="1" applyBorder="1" applyAlignment="1">
      <alignment horizontal="center" vertical="center"/>
    </xf>
    <xf numFmtId="0" fontId="7" fillId="0" borderId="7" xfId="0" applyFont="1" applyBorder="1" applyAlignment="1">
      <alignment vertical="top" wrapText="1" shrinkToFit="1"/>
    </xf>
    <xf numFmtId="0" fontId="7" fillId="0" borderId="8" xfId="0" applyFont="1" applyBorder="1" applyAlignment="1">
      <alignment vertical="top" wrapText="1" shrinkToFit="1"/>
    </xf>
    <xf numFmtId="0" fontId="7" fillId="0" borderId="9" xfId="0" applyFont="1" applyBorder="1" applyAlignment="1">
      <alignment vertical="top" wrapText="1" shrinkToFit="1"/>
    </xf>
    <xf numFmtId="0" fontId="7" fillId="0" borderId="5" xfId="0" applyFont="1" applyBorder="1" applyAlignment="1">
      <alignment vertical="top" wrapText="1" shrinkToFit="1"/>
    </xf>
    <xf numFmtId="0" fontId="7" fillId="0" borderId="0" xfId="0" applyFont="1" applyAlignment="1">
      <alignment vertical="top" wrapText="1" shrinkToFit="1"/>
    </xf>
    <xf numFmtId="0" fontId="7" fillId="0" borderId="10" xfId="0" applyFont="1" applyBorder="1" applyAlignment="1">
      <alignment vertical="top" wrapText="1" shrinkToFit="1"/>
    </xf>
    <xf numFmtId="0" fontId="7" fillId="0" borderId="11" xfId="0" applyFont="1" applyBorder="1" applyAlignment="1">
      <alignment vertical="top" wrapText="1" shrinkToFit="1"/>
    </xf>
    <xf numFmtId="0" fontId="7" fillId="0" borderId="6" xfId="0" applyFont="1" applyBorder="1" applyAlignment="1">
      <alignment vertical="top" wrapText="1" shrinkToFit="1"/>
    </xf>
    <xf numFmtId="0" fontId="7" fillId="0" borderId="12" xfId="0" applyFont="1" applyBorder="1" applyAlignment="1">
      <alignment vertical="top" wrapText="1" shrinkToFit="1"/>
    </xf>
    <xf numFmtId="0" fontId="7" fillId="0" borderId="8" xfId="0" applyFont="1" applyBorder="1" applyAlignment="1">
      <alignment vertical="top" shrinkToFit="1"/>
    </xf>
    <xf numFmtId="0" fontId="7" fillId="0" borderId="9" xfId="0" applyFont="1" applyBorder="1" applyAlignment="1">
      <alignment vertical="top" shrinkToFit="1"/>
    </xf>
    <xf numFmtId="0" fontId="7" fillId="0" borderId="5" xfId="0" applyFont="1" applyBorder="1" applyAlignment="1">
      <alignment vertical="top" shrinkToFit="1"/>
    </xf>
    <xf numFmtId="0" fontId="7" fillId="0" borderId="0" xfId="0" applyFont="1" applyAlignment="1">
      <alignment vertical="top" shrinkToFit="1"/>
    </xf>
    <xf numFmtId="0" fontId="7" fillId="0" borderId="10" xfId="0" applyFont="1" applyBorder="1" applyAlignment="1">
      <alignment vertical="top" shrinkToFit="1"/>
    </xf>
    <xf numFmtId="0" fontId="7" fillId="0" borderId="11" xfId="0" applyFont="1" applyBorder="1" applyAlignment="1">
      <alignment vertical="top" shrinkToFit="1"/>
    </xf>
    <xf numFmtId="0" fontId="7" fillId="0" borderId="6" xfId="0" applyFont="1" applyBorder="1" applyAlignment="1">
      <alignment vertical="top" shrinkToFit="1"/>
    </xf>
    <xf numFmtId="0" fontId="7" fillId="0" borderId="12" xfId="0" applyFont="1" applyBorder="1" applyAlignment="1">
      <alignment vertical="top" shrinkToFit="1"/>
    </xf>
    <xf numFmtId="0" fontId="2" fillId="0" borderId="6" xfId="0" applyFont="1" applyBorder="1" applyAlignment="1">
      <alignment vertical="center"/>
    </xf>
    <xf numFmtId="0" fontId="7" fillId="0" borderId="16" xfId="0" applyFont="1" applyBorder="1" applyAlignment="1">
      <alignment vertical="top" wrapText="1" shrinkToFit="1"/>
    </xf>
    <xf numFmtId="0" fontId="7" fillId="0" borderId="22" xfId="0" applyFont="1" applyBorder="1" applyAlignment="1">
      <alignment vertical="top" shrinkToFit="1"/>
    </xf>
    <xf numFmtId="0" fontId="7" fillId="0" borderId="21" xfId="0" applyFont="1" applyBorder="1" applyAlignment="1">
      <alignment vertical="top" shrinkToFit="1"/>
    </xf>
    <xf numFmtId="0" fontId="7" fillId="0" borderId="4" xfId="0" applyFont="1" applyBorder="1" applyAlignment="1">
      <alignment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0" xfId="0" applyFont="1" applyBorder="1" applyAlignment="1">
      <alignment vertical="top" wrapText="1" shrinkToFit="1"/>
    </xf>
    <xf numFmtId="0" fontId="7"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9" xfId="0" applyFont="1" applyBorder="1" applyAlignment="1">
      <alignment vertical="center" wrapText="1"/>
    </xf>
    <xf numFmtId="0" fontId="2" fillId="0" borderId="20" xfId="0" applyFont="1" applyBorder="1" applyAlignment="1">
      <alignment vertical="center" wrapText="1"/>
    </xf>
    <xf numFmtId="0" fontId="7" fillId="0" borderId="19" xfId="0" applyFont="1" applyBorder="1" applyAlignment="1">
      <alignment vertical="top" wrapText="1" shrinkToFit="1"/>
    </xf>
    <xf numFmtId="0" fontId="2" fillId="0" borderId="17" xfId="0" applyFont="1" applyBorder="1" applyAlignment="1">
      <alignment vertical="center"/>
    </xf>
    <xf numFmtId="0" fontId="0" fillId="0" borderId="18" xfId="0" applyBorder="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4" fillId="0" borderId="0" xfId="2" applyFont="1" applyAlignment="1">
      <alignment vertical="center" shrinkToFit="1"/>
    </xf>
    <xf numFmtId="0" fontId="5" fillId="0" borderId="0" xfId="0" applyFont="1" applyAlignment="1">
      <alignment vertical="center"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fukui-nct.ac.jp/information/disclosure/mext_mathdsai/"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view="pageBreakPreview" zoomScaleNormal="100" zoomScaleSheetLayoutView="100" workbookViewId="0">
      <selection activeCell="P12" sqref="P12"/>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27"/>
    <col min="16" max="16384" width="9" style="13"/>
  </cols>
  <sheetData>
    <row r="1" spans="1:15" ht="24" customHeight="1" x14ac:dyDescent="0.15">
      <c r="M1" s="133" t="s">
        <v>0</v>
      </c>
      <c r="N1" s="133"/>
    </row>
    <row r="2" spans="1:15" ht="24" customHeight="1" x14ac:dyDescent="0.15">
      <c r="A2" s="136" t="s">
        <v>1</v>
      </c>
      <c r="B2" s="136"/>
      <c r="C2" s="136"/>
      <c r="D2" s="136"/>
      <c r="E2" s="136"/>
      <c r="F2" s="136"/>
      <c r="G2" s="136"/>
      <c r="H2" s="136"/>
      <c r="I2" s="136"/>
      <c r="J2" s="136"/>
      <c r="K2" s="136"/>
      <c r="L2" s="136"/>
      <c r="M2" s="136"/>
      <c r="N2" s="136"/>
    </row>
    <row r="3" spans="1:15" ht="24" customHeight="1" x14ac:dyDescent="0.15"/>
    <row r="4" spans="1:15" ht="24" customHeight="1" x14ac:dyDescent="0.15">
      <c r="A4" s="14" t="s">
        <v>2</v>
      </c>
      <c r="B4" s="14" t="s">
        <v>3</v>
      </c>
      <c r="C4" s="125" t="s">
        <v>4</v>
      </c>
      <c r="D4" s="126"/>
      <c r="E4" s="126"/>
      <c r="F4" s="126"/>
      <c r="G4" s="126"/>
      <c r="H4" s="126"/>
      <c r="I4" s="126"/>
      <c r="J4" s="126"/>
      <c r="K4" s="126"/>
      <c r="L4" s="126"/>
      <c r="M4" s="126"/>
      <c r="N4" s="132"/>
      <c r="O4" s="27" t="str">
        <f>IF(C4="","入力してください","")</f>
        <v/>
      </c>
    </row>
    <row r="5" spans="1:15" ht="7.5" customHeight="1" x14ac:dyDescent="0.15">
      <c r="E5" s="15"/>
      <c r="F5" s="29"/>
      <c r="G5" s="29"/>
      <c r="H5" s="29"/>
      <c r="I5" s="29"/>
      <c r="J5" s="29"/>
      <c r="K5" s="29"/>
      <c r="L5" s="29"/>
      <c r="M5" s="29"/>
      <c r="N5" s="29"/>
    </row>
    <row r="6" spans="1:15" ht="24" customHeight="1" x14ac:dyDescent="0.15">
      <c r="A6" s="14" t="s">
        <v>5</v>
      </c>
      <c r="B6" s="14" t="s">
        <v>6</v>
      </c>
      <c r="D6" s="125" t="s">
        <v>7</v>
      </c>
      <c r="E6" s="126"/>
      <c r="F6" s="126"/>
      <c r="G6" s="126"/>
      <c r="H6" s="132"/>
      <c r="I6" s="14" t="s">
        <v>8</v>
      </c>
      <c r="J6" s="29" t="s">
        <v>9</v>
      </c>
      <c r="K6" s="125" t="s">
        <v>10</v>
      </c>
      <c r="L6" s="126"/>
      <c r="M6" s="126"/>
      <c r="N6" s="132"/>
      <c r="O6" s="27" t="str">
        <f>IF(D6="","入力してください","")</f>
        <v/>
      </c>
    </row>
    <row r="7" spans="1:15" ht="7.5" customHeight="1" x14ac:dyDescent="0.15">
      <c r="E7" s="15"/>
      <c r="F7" s="29"/>
      <c r="G7" s="29"/>
      <c r="H7" s="29"/>
      <c r="I7" s="29"/>
      <c r="J7" s="29"/>
      <c r="K7" s="29"/>
      <c r="L7" s="29"/>
      <c r="M7" s="29"/>
      <c r="N7" s="29"/>
    </row>
    <row r="8" spans="1:15" ht="24" customHeight="1" x14ac:dyDescent="0.15">
      <c r="A8" s="14" t="s">
        <v>11</v>
      </c>
      <c r="B8" s="14" t="s">
        <v>12</v>
      </c>
      <c r="C8" s="125" t="s">
        <v>13</v>
      </c>
      <c r="D8" s="126"/>
      <c r="E8" s="126"/>
      <c r="F8" s="126"/>
      <c r="G8" s="126"/>
      <c r="H8" s="126"/>
      <c r="I8" s="126"/>
      <c r="J8" s="126"/>
      <c r="K8" s="126"/>
      <c r="L8" s="126"/>
      <c r="M8" s="126"/>
      <c r="N8" s="132"/>
      <c r="O8" s="27" t="str">
        <f>IF(C8="","入力してください","")</f>
        <v/>
      </c>
    </row>
    <row r="9" spans="1:15" ht="7.5" customHeight="1" x14ac:dyDescent="0.15">
      <c r="E9" s="15"/>
      <c r="F9" s="29"/>
      <c r="G9" s="29"/>
      <c r="H9" s="29"/>
      <c r="I9" s="29"/>
      <c r="J9" s="29"/>
      <c r="K9" s="29"/>
      <c r="L9" s="29"/>
      <c r="M9" s="29"/>
      <c r="N9" s="29"/>
    </row>
    <row r="10" spans="1:15" ht="24" customHeight="1" x14ac:dyDescent="0.15">
      <c r="A10" s="14" t="s">
        <v>14</v>
      </c>
      <c r="B10" s="14" t="s">
        <v>15</v>
      </c>
      <c r="E10" s="125" t="s">
        <v>16</v>
      </c>
      <c r="F10" s="126"/>
      <c r="G10" s="126"/>
      <c r="H10" s="126"/>
      <c r="I10" s="126"/>
      <c r="J10" s="126"/>
      <c r="K10" s="126"/>
      <c r="L10" s="126"/>
      <c r="M10" s="126"/>
      <c r="N10" s="132"/>
      <c r="O10" s="27" t="str">
        <f>IF(E10="","入力してください","")</f>
        <v/>
      </c>
    </row>
    <row r="11" spans="1:15" ht="7.5" customHeight="1" x14ac:dyDescent="0.15">
      <c r="B11" s="15"/>
      <c r="C11" s="15"/>
      <c r="D11" s="15"/>
      <c r="E11" s="15"/>
      <c r="F11" s="29"/>
      <c r="G11" s="29"/>
      <c r="H11" s="29"/>
      <c r="I11" s="29"/>
      <c r="J11" s="29"/>
      <c r="K11" s="29"/>
      <c r="L11" s="29"/>
      <c r="M11" s="29"/>
      <c r="N11" s="29"/>
    </row>
    <row r="12" spans="1:15" ht="24" customHeight="1" x14ac:dyDescent="0.15">
      <c r="A12" s="14" t="s">
        <v>17</v>
      </c>
      <c r="B12" s="15" t="s">
        <v>18</v>
      </c>
      <c r="C12" s="15"/>
      <c r="D12" s="15"/>
      <c r="E12" s="117" t="s">
        <v>289</v>
      </c>
      <c r="F12" s="119"/>
      <c r="G12" s="14" t="s">
        <v>19</v>
      </c>
      <c r="H12" s="14" t="s">
        <v>20</v>
      </c>
      <c r="N12" s="102" t="s">
        <v>21</v>
      </c>
      <c r="O12" s="27" t="str">
        <f>IF(E12="","入力してください","")</f>
        <v/>
      </c>
    </row>
    <row r="13" spans="1:15" ht="7.5" customHeight="1" x14ac:dyDescent="0.15">
      <c r="B13" s="15"/>
      <c r="C13" s="15"/>
      <c r="D13" s="15"/>
      <c r="E13" s="15"/>
      <c r="F13" s="29"/>
      <c r="G13" s="29"/>
      <c r="H13" s="29"/>
      <c r="I13" s="29"/>
      <c r="J13" s="29"/>
      <c r="K13" s="29"/>
      <c r="L13" s="29"/>
      <c r="M13" s="29"/>
      <c r="N13" s="29"/>
    </row>
    <row r="14" spans="1:15" ht="24" customHeight="1" x14ac:dyDescent="0.15">
      <c r="A14" s="14" t="s">
        <v>22</v>
      </c>
      <c r="B14" s="14" t="s">
        <v>23</v>
      </c>
      <c r="C14" s="133" t="s">
        <v>24</v>
      </c>
      <c r="D14" s="134"/>
      <c r="E14" s="129">
        <v>75</v>
      </c>
      <c r="F14" s="130"/>
      <c r="G14" s="16" t="s">
        <v>25</v>
      </c>
      <c r="I14" s="133" t="s">
        <v>26</v>
      </c>
      <c r="J14" s="134"/>
      <c r="K14" s="129">
        <v>50</v>
      </c>
      <c r="L14" s="135"/>
      <c r="M14" s="130"/>
      <c r="N14" s="17" t="s">
        <v>25</v>
      </c>
      <c r="O14" s="27" t="str">
        <f>IF(OR(E14="",K14=""),"入力してください","")</f>
        <v/>
      </c>
    </row>
    <row r="15" spans="1:15" ht="7.5" customHeight="1" x14ac:dyDescent="0.15">
      <c r="M15" s="17"/>
      <c r="N15" s="17"/>
    </row>
    <row r="16" spans="1:15" ht="24" customHeight="1" x14ac:dyDescent="0.15">
      <c r="A16" s="14" t="s">
        <v>27</v>
      </c>
      <c r="B16" s="14" t="s">
        <v>28</v>
      </c>
      <c r="K16" s="117">
        <v>43</v>
      </c>
      <c r="L16" s="118"/>
      <c r="M16" s="119"/>
      <c r="N16" s="17" t="s">
        <v>25</v>
      </c>
      <c r="O16" s="27" t="str">
        <f>IF(K16="","入力してください","")</f>
        <v/>
      </c>
    </row>
    <row r="17" spans="1:15" ht="7.5" customHeight="1" x14ac:dyDescent="0.15">
      <c r="M17" s="17"/>
      <c r="N17" s="17"/>
    </row>
    <row r="18" spans="1:15" ht="24" customHeight="1" x14ac:dyDescent="0.15">
      <c r="A18" s="14" t="s">
        <v>29</v>
      </c>
      <c r="B18" s="14" t="s">
        <v>30</v>
      </c>
      <c r="E18" s="129">
        <v>200</v>
      </c>
      <c r="F18" s="130"/>
      <c r="G18" s="18" t="s">
        <v>31</v>
      </c>
      <c r="K18" s="131"/>
      <c r="L18" s="131"/>
      <c r="M18" s="131"/>
      <c r="N18" s="131"/>
      <c r="O18" s="27" t="str">
        <f>IF(E18="","入力してください","")</f>
        <v/>
      </c>
    </row>
    <row r="19" spans="1:15" ht="7.5" customHeight="1" x14ac:dyDescent="0.15">
      <c r="E19" s="10"/>
      <c r="L19" s="25"/>
      <c r="M19" s="25"/>
      <c r="N19" s="17"/>
    </row>
    <row r="20" spans="1:15" ht="24" customHeight="1" x14ac:dyDescent="0.15">
      <c r="A20" s="14" t="s">
        <v>32</v>
      </c>
      <c r="B20" s="14" t="s">
        <v>33</v>
      </c>
      <c r="E20" s="10"/>
      <c r="H20" s="14" t="s">
        <v>34</v>
      </c>
      <c r="J20" s="120">
        <v>998</v>
      </c>
      <c r="K20" s="121"/>
      <c r="L20" s="122"/>
      <c r="M20" s="25" t="s">
        <v>25</v>
      </c>
      <c r="N20" s="17"/>
      <c r="O20" s="27" t="str">
        <f>IF(J20="","入力してください","")</f>
        <v/>
      </c>
    </row>
    <row r="21" spans="1:15" ht="7.5" customHeight="1" x14ac:dyDescent="0.15">
      <c r="E21" s="10"/>
      <c r="L21" s="25"/>
      <c r="M21" s="25"/>
      <c r="N21" s="17"/>
    </row>
    <row r="22" spans="1:15" ht="24" customHeight="1" x14ac:dyDescent="0.15">
      <c r="B22" s="25" t="s">
        <v>35</v>
      </c>
      <c r="C22" s="129">
        <v>210</v>
      </c>
      <c r="D22" s="130"/>
      <c r="E22" s="10" t="s">
        <v>25</v>
      </c>
      <c r="G22" s="123" t="s">
        <v>36</v>
      </c>
      <c r="H22" s="123"/>
      <c r="I22" s="129">
        <v>204</v>
      </c>
      <c r="J22" s="130"/>
      <c r="K22" s="14" t="s">
        <v>25</v>
      </c>
      <c r="M22" s="25"/>
      <c r="N22" s="17"/>
    </row>
    <row r="23" spans="1:15" ht="7.5" customHeight="1" x14ac:dyDescent="0.15">
      <c r="B23" s="25"/>
      <c r="C23" s="11"/>
      <c r="D23" s="11"/>
      <c r="E23" s="10"/>
      <c r="G23" s="25"/>
      <c r="H23" s="25"/>
      <c r="I23" s="11"/>
      <c r="J23" s="11"/>
      <c r="M23" s="25"/>
      <c r="N23" s="17"/>
    </row>
    <row r="24" spans="1:15" ht="24" customHeight="1" x14ac:dyDescent="0.15">
      <c r="B24" s="25" t="s">
        <v>37</v>
      </c>
      <c r="C24" s="129">
        <v>201</v>
      </c>
      <c r="D24" s="130"/>
      <c r="E24" s="10" t="s">
        <v>25</v>
      </c>
      <c r="G24" s="123" t="s">
        <v>38</v>
      </c>
      <c r="H24" s="123"/>
      <c r="I24" s="129">
        <v>202</v>
      </c>
      <c r="J24" s="130"/>
      <c r="K24" s="14" t="s">
        <v>25</v>
      </c>
      <c r="M24" s="25"/>
      <c r="N24" s="17"/>
    </row>
    <row r="25" spans="1:15" ht="7.5" customHeight="1" x14ac:dyDescent="0.15">
      <c r="B25" s="25"/>
      <c r="C25" s="11"/>
      <c r="D25" s="11"/>
      <c r="E25" s="10"/>
      <c r="G25" s="25"/>
      <c r="H25" s="25"/>
      <c r="I25" s="11"/>
      <c r="J25" s="11"/>
      <c r="M25" s="25"/>
      <c r="N25" s="17"/>
    </row>
    <row r="26" spans="1:15" ht="24" customHeight="1" x14ac:dyDescent="0.15">
      <c r="B26" s="25" t="s">
        <v>39</v>
      </c>
      <c r="C26" s="129">
        <v>181</v>
      </c>
      <c r="D26" s="130"/>
      <c r="E26" s="10" t="s">
        <v>25</v>
      </c>
      <c r="G26" s="123" t="s">
        <v>40</v>
      </c>
      <c r="H26" s="123"/>
      <c r="I26" s="129"/>
      <c r="J26" s="130"/>
      <c r="K26" s="14" t="s">
        <v>25</v>
      </c>
      <c r="M26" s="25"/>
      <c r="N26" s="17"/>
    </row>
    <row r="27" spans="1:15" ht="7.5" customHeight="1" x14ac:dyDescent="0.15">
      <c r="M27" s="19"/>
      <c r="N27" s="19"/>
    </row>
    <row r="28" spans="1:15" ht="24" customHeight="1" x14ac:dyDescent="0.15">
      <c r="A28" s="14" t="s">
        <v>41</v>
      </c>
      <c r="B28" s="14" t="s">
        <v>42</v>
      </c>
      <c r="G28" s="29"/>
      <c r="H28" s="29"/>
      <c r="I28" s="29"/>
      <c r="J28" s="20"/>
      <c r="K28" s="20"/>
      <c r="L28" s="20"/>
      <c r="M28" s="20"/>
      <c r="N28" s="20"/>
    </row>
    <row r="29" spans="1:15" s="14" customFormat="1" ht="24" customHeight="1" x14ac:dyDescent="0.15">
      <c r="B29" s="124" t="s">
        <v>43</v>
      </c>
      <c r="C29" s="124"/>
      <c r="D29" s="125" t="s">
        <v>44</v>
      </c>
      <c r="E29" s="126"/>
      <c r="F29" s="126"/>
      <c r="G29" s="127" t="s">
        <v>45</v>
      </c>
      <c r="H29" s="124"/>
      <c r="I29" s="128"/>
      <c r="J29" s="125" t="s">
        <v>46</v>
      </c>
      <c r="K29" s="126"/>
      <c r="L29" s="126"/>
      <c r="M29" s="126"/>
      <c r="N29" s="132"/>
      <c r="O29" s="27" t="str">
        <f>IF(OR(D29="",J29=""),"入力してください","")</f>
        <v/>
      </c>
    </row>
    <row r="30" spans="1:15" ht="7.5" customHeight="1" x14ac:dyDescent="0.15">
      <c r="M30" s="19"/>
      <c r="N30" s="19"/>
    </row>
    <row r="31" spans="1:15" ht="24" customHeight="1" x14ac:dyDescent="0.15">
      <c r="A31" s="14" t="s">
        <v>47</v>
      </c>
      <c r="B31" s="14" t="s">
        <v>48</v>
      </c>
      <c r="G31" s="20"/>
      <c r="H31" s="20"/>
      <c r="I31" s="20"/>
      <c r="J31" s="20"/>
      <c r="K31" s="20"/>
      <c r="L31" s="20"/>
      <c r="M31" s="20"/>
      <c r="N31" s="20"/>
    </row>
    <row r="32" spans="1:15" ht="24" customHeight="1" x14ac:dyDescent="0.15">
      <c r="B32" s="125" t="s">
        <v>49</v>
      </c>
      <c r="C32" s="126"/>
      <c r="D32" s="126"/>
      <c r="E32" s="126"/>
      <c r="F32" s="126"/>
      <c r="G32" s="126"/>
      <c r="H32" s="126"/>
      <c r="I32" s="126"/>
      <c r="J32" s="126"/>
      <c r="K32" s="126"/>
      <c r="L32" s="126"/>
      <c r="M32" s="126"/>
      <c r="N32" s="132"/>
      <c r="O32" s="27"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24" t="s">
        <v>43</v>
      </c>
      <c r="C34" s="124"/>
      <c r="D34" s="125" t="s">
        <v>50</v>
      </c>
      <c r="E34" s="126"/>
      <c r="F34" s="126"/>
      <c r="G34" s="127" t="s">
        <v>45</v>
      </c>
      <c r="H34" s="124"/>
      <c r="I34" s="128"/>
      <c r="J34" s="125" t="s">
        <v>51</v>
      </c>
      <c r="K34" s="126"/>
      <c r="L34" s="126"/>
      <c r="M34" s="126"/>
      <c r="N34" s="132"/>
      <c r="O34" s="27" t="str">
        <f>IF(OR(D34="",J34=""),"入力してください","")</f>
        <v/>
      </c>
    </row>
    <row r="35" spans="1:15" ht="7.5" customHeight="1" x14ac:dyDescent="0.15">
      <c r="F35" s="29"/>
      <c r="G35" s="29"/>
      <c r="H35" s="29"/>
      <c r="I35" s="29"/>
      <c r="J35" s="29"/>
      <c r="K35" s="29"/>
      <c r="L35" s="29"/>
      <c r="M35" s="29"/>
      <c r="N35" s="29"/>
    </row>
    <row r="36" spans="1:15" ht="24" customHeight="1" x14ac:dyDescent="0.15">
      <c r="A36" s="14" t="s">
        <v>52</v>
      </c>
      <c r="B36" s="14" t="s">
        <v>53</v>
      </c>
      <c r="M36" s="19"/>
      <c r="N36" s="19"/>
    </row>
    <row r="37" spans="1:15" ht="24" customHeight="1" x14ac:dyDescent="0.15">
      <c r="B37" s="125" t="s">
        <v>54</v>
      </c>
      <c r="C37" s="126"/>
      <c r="D37" s="126"/>
      <c r="E37" s="126"/>
      <c r="F37" s="126"/>
      <c r="G37" s="126"/>
      <c r="H37" s="126"/>
      <c r="I37" s="126"/>
      <c r="J37" s="126"/>
      <c r="K37" s="126"/>
      <c r="L37" s="126"/>
      <c r="M37" s="126"/>
      <c r="N37" s="132"/>
      <c r="O37" s="27" t="str">
        <f>IF(B37="","入力してください","")</f>
        <v/>
      </c>
    </row>
    <row r="38" spans="1:15" ht="7.5" customHeight="1" x14ac:dyDescent="0.15">
      <c r="F38" s="29"/>
      <c r="G38" s="29"/>
      <c r="H38" s="29"/>
      <c r="I38" s="29"/>
      <c r="J38" s="29"/>
      <c r="K38" s="29"/>
      <c r="L38" s="29"/>
      <c r="M38" s="29"/>
      <c r="N38" s="29"/>
    </row>
    <row r="39" spans="1:15" s="14" customFormat="1" ht="24" customHeight="1" x14ac:dyDescent="0.15">
      <c r="B39" s="124" t="s">
        <v>43</v>
      </c>
      <c r="C39" s="124"/>
      <c r="D39" s="125" t="s">
        <v>282</v>
      </c>
      <c r="E39" s="126"/>
      <c r="F39" s="126"/>
      <c r="G39" s="127" t="s">
        <v>45</v>
      </c>
      <c r="H39" s="124"/>
      <c r="I39" s="128"/>
      <c r="J39" s="125" t="s">
        <v>55</v>
      </c>
      <c r="K39" s="126"/>
      <c r="L39" s="126"/>
      <c r="M39" s="126"/>
      <c r="N39" s="132"/>
      <c r="O39" s="27" t="str">
        <f>IF(OR(D39="",J39=""),"入力してください","")</f>
        <v/>
      </c>
    </row>
    <row r="40" spans="1:15" ht="7.5" customHeight="1" x14ac:dyDescent="0.15">
      <c r="F40" s="29"/>
      <c r="G40" s="29"/>
      <c r="H40" s="29"/>
      <c r="I40" s="29"/>
      <c r="J40" s="29"/>
      <c r="K40" s="29"/>
      <c r="L40" s="29"/>
      <c r="M40" s="29"/>
      <c r="N40" s="29"/>
    </row>
    <row r="41" spans="1:15" ht="24" customHeight="1" x14ac:dyDescent="0.15">
      <c r="A41" s="14" t="s">
        <v>56</v>
      </c>
      <c r="B41" s="14" t="s">
        <v>57</v>
      </c>
      <c r="E41" s="64"/>
      <c r="F41" s="125" t="s">
        <v>58</v>
      </c>
      <c r="G41" s="126"/>
      <c r="H41" s="126"/>
      <c r="I41" s="126"/>
      <c r="J41" s="126"/>
      <c r="K41" s="126"/>
      <c r="L41" s="126"/>
      <c r="M41" s="126"/>
      <c r="N41" s="132"/>
      <c r="O41" s="27" t="str">
        <f>IF(F41="","入力してください","")</f>
        <v/>
      </c>
    </row>
    <row r="42" spans="1:15" ht="7.5" customHeight="1" x14ac:dyDescent="0.15">
      <c r="F42" s="29"/>
      <c r="G42" s="29"/>
      <c r="H42" s="29"/>
      <c r="I42" s="29"/>
      <c r="J42" s="29"/>
      <c r="K42" s="29"/>
      <c r="L42" s="29"/>
      <c r="M42" s="29"/>
      <c r="N42" s="29"/>
    </row>
    <row r="43" spans="1:15" ht="24" customHeight="1" x14ac:dyDescent="0.15">
      <c r="A43" s="14" t="s">
        <v>59</v>
      </c>
    </row>
    <row r="44" spans="1:15" ht="24" customHeight="1" x14ac:dyDescent="0.15">
      <c r="B44" s="26" t="s">
        <v>60</v>
      </c>
      <c r="C44" s="141" t="s">
        <v>61</v>
      </c>
      <c r="D44" s="142"/>
      <c r="E44" s="142"/>
      <c r="F44" s="142"/>
      <c r="G44" s="142"/>
      <c r="H44" s="142"/>
      <c r="I44" s="22" t="s">
        <v>62</v>
      </c>
      <c r="J44" s="23"/>
      <c r="K44" s="125" t="s">
        <v>63</v>
      </c>
      <c r="L44" s="126"/>
      <c r="M44" s="126"/>
      <c r="N44" s="132"/>
      <c r="O44" s="27" t="str">
        <f>IF(OR(C44="",K44=""),"入力してください","")</f>
        <v/>
      </c>
    </row>
    <row r="45" spans="1:15" ht="24" customHeight="1" x14ac:dyDescent="0.15">
      <c r="B45" s="21" t="s">
        <v>64</v>
      </c>
      <c r="C45" s="137" t="s">
        <v>65</v>
      </c>
      <c r="D45" s="137"/>
      <c r="E45" s="137"/>
      <c r="F45" s="137"/>
      <c r="G45" s="137"/>
      <c r="H45" s="137"/>
      <c r="I45" s="22" t="s">
        <v>66</v>
      </c>
      <c r="J45" s="23"/>
      <c r="K45" s="138" t="s">
        <v>67</v>
      </c>
      <c r="L45" s="139"/>
      <c r="M45" s="139"/>
      <c r="N45" s="140"/>
      <c r="O45" s="27"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formula1>"国立大学, 公立大学, 私立大学, 短期大学, 高等専門学校, その他"</formula1>
    </dataValidation>
    <dataValidation type="list" allowBlank="1" showInputMessage="1" showErrorMessage="1" sqref="N12">
      <formula1>"有,無"</formula1>
    </dataValidation>
    <dataValidation type="list" allowBlank="1" showInputMessage="1" showErrorMessage="1" sqref="F41:N41">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33"/>
  <sheetViews>
    <sheetView showZeros="0" view="pageBreakPreview" zoomScaleNormal="100" zoomScaleSheetLayoutView="100" workbookViewId="0">
      <selection activeCell="J110" sqref="J110"/>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64" t="s">
        <v>68</v>
      </c>
      <c r="X1" s="164"/>
      <c r="Y1" s="164"/>
      <c r="Z1" s="164"/>
    </row>
    <row r="2" spans="1:26" ht="18" customHeight="1" x14ac:dyDescent="0.15">
      <c r="A2" s="199" t="s">
        <v>69</v>
      </c>
      <c r="B2" s="199"/>
      <c r="C2" s="199"/>
      <c r="D2" s="199"/>
      <c r="E2" s="199"/>
      <c r="F2" s="199"/>
      <c r="G2" s="199"/>
      <c r="H2" s="199"/>
      <c r="I2" s="199"/>
      <c r="J2" s="199"/>
      <c r="K2" s="199"/>
      <c r="L2" s="199"/>
      <c r="M2" s="199"/>
      <c r="N2" s="199"/>
      <c r="O2" s="199"/>
      <c r="P2" s="199"/>
      <c r="Q2" s="199"/>
      <c r="R2" s="199"/>
      <c r="S2" s="199"/>
      <c r="T2" s="199"/>
      <c r="U2" s="199"/>
      <c r="V2" s="199"/>
      <c r="W2" s="199"/>
      <c r="X2" s="199"/>
      <c r="Y2" s="199"/>
      <c r="Z2" s="199"/>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70</v>
      </c>
      <c r="B4" s="25"/>
      <c r="C4" s="25"/>
      <c r="D4" s="25"/>
      <c r="E4" s="25"/>
      <c r="F4" s="25"/>
      <c r="G4" s="25"/>
      <c r="H4" s="14" t="s">
        <v>71</v>
      </c>
      <c r="I4" s="25"/>
      <c r="J4" s="25"/>
      <c r="K4" s="25"/>
      <c r="L4" s="25"/>
      <c r="M4" s="25"/>
      <c r="N4" s="25"/>
      <c r="O4" s="117" t="s">
        <v>72</v>
      </c>
      <c r="P4" s="118"/>
      <c r="Q4" s="118"/>
      <c r="R4" s="118"/>
      <c r="S4" s="118"/>
      <c r="T4" s="118"/>
      <c r="U4" s="118"/>
      <c r="V4" s="118"/>
      <c r="W4" s="118"/>
      <c r="X4" s="118"/>
      <c r="Y4" s="118"/>
      <c r="Z4" s="119"/>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00" t="s">
        <v>285</v>
      </c>
      <c r="C6" s="201"/>
      <c r="D6" s="201"/>
      <c r="E6" s="201"/>
      <c r="F6" s="201"/>
      <c r="G6" s="201"/>
      <c r="H6" s="201"/>
      <c r="I6" s="201"/>
      <c r="J6" s="201"/>
      <c r="K6" s="201"/>
      <c r="L6" s="201"/>
      <c r="M6" s="201"/>
      <c r="N6" s="201"/>
      <c r="O6" s="201"/>
      <c r="P6" s="201"/>
      <c r="Q6" s="201"/>
      <c r="R6" s="201"/>
      <c r="S6" s="201"/>
      <c r="T6" s="201"/>
      <c r="U6" s="201"/>
      <c r="V6" s="201"/>
      <c r="W6" s="201"/>
      <c r="X6" s="201"/>
      <c r="Y6" s="201"/>
      <c r="Z6" s="202"/>
    </row>
    <row r="7" spans="1:26" ht="18" customHeight="1" x14ac:dyDescent="0.15">
      <c r="B7" s="203"/>
      <c r="C7" s="204"/>
      <c r="D7" s="204"/>
      <c r="E7" s="204"/>
      <c r="F7" s="204"/>
      <c r="G7" s="204"/>
      <c r="H7" s="204"/>
      <c r="I7" s="204"/>
      <c r="J7" s="204"/>
      <c r="K7" s="204"/>
      <c r="L7" s="204"/>
      <c r="M7" s="204"/>
      <c r="N7" s="204"/>
      <c r="O7" s="204"/>
      <c r="P7" s="204"/>
      <c r="Q7" s="204"/>
      <c r="R7" s="204"/>
      <c r="S7" s="204"/>
      <c r="T7" s="204"/>
      <c r="U7" s="204"/>
      <c r="V7" s="204"/>
      <c r="W7" s="204"/>
      <c r="X7" s="204"/>
      <c r="Y7" s="204"/>
      <c r="Z7" s="205"/>
    </row>
    <row r="8" spans="1:26" ht="18" customHeight="1" x14ac:dyDescent="0.15">
      <c r="B8" s="203"/>
      <c r="C8" s="204"/>
      <c r="D8" s="204"/>
      <c r="E8" s="204"/>
      <c r="F8" s="204"/>
      <c r="G8" s="204"/>
      <c r="H8" s="204"/>
      <c r="I8" s="204"/>
      <c r="J8" s="204"/>
      <c r="K8" s="204"/>
      <c r="L8" s="204"/>
      <c r="M8" s="204"/>
      <c r="N8" s="204"/>
      <c r="O8" s="204"/>
      <c r="P8" s="204"/>
      <c r="Q8" s="204"/>
      <c r="R8" s="204"/>
      <c r="S8" s="204"/>
      <c r="T8" s="204"/>
      <c r="U8" s="204"/>
      <c r="V8" s="204"/>
      <c r="W8" s="204"/>
      <c r="X8" s="204"/>
      <c r="Y8" s="204"/>
      <c r="Z8" s="205"/>
    </row>
    <row r="9" spans="1:26" ht="18" customHeight="1" x14ac:dyDescent="0.15">
      <c r="B9" s="203"/>
      <c r="C9" s="204"/>
      <c r="D9" s="204"/>
      <c r="E9" s="204"/>
      <c r="F9" s="204"/>
      <c r="G9" s="204"/>
      <c r="H9" s="204"/>
      <c r="I9" s="204"/>
      <c r="J9" s="204"/>
      <c r="K9" s="204"/>
      <c r="L9" s="204"/>
      <c r="M9" s="204"/>
      <c r="N9" s="204"/>
      <c r="O9" s="204"/>
      <c r="P9" s="204"/>
      <c r="Q9" s="204"/>
      <c r="R9" s="204"/>
      <c r="S9" s="204"/>
      <c r="T9" s="204"/>
      <c r="U9" s="204"/>
      <c r="V9" s="204"/>
      <c r="W9" s="204"/>
      <c r="X9" s="204"/>
      <c r="Y9" s="204"/>
      <c r="Z9" s="205"/>
    </row>
    <row r="10" spans="1:26" ht="18" customHeight="1" x14ac:dyDescent="0.15">
      <c r="B10" s="203"/>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5"/>
    </row>
    <row r="11" spans="1:26" ht="18" customHeight="1" x14ac:dyDescent="0.15">
      <c r="B11" s="206"/>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8"/>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98" t="s">
        <v>73</v>
      </c>
      <c r="B13" s="198"/>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row>
    <row r="14" spans="1:26" ht="18" customHeight="1" x14ac:dyDescent="0.15">
      <c r="A14" s="198"/>
      <c r="B14" s="198"/>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row>
    <row r="15" spans="1:26" ht="18" customHeight="1" x14ac:dyDescent="0.15">
      <c r="A15" s="14"/>
      <c r="B15" s="117" t="s">
        <v>74</v>
      </c>
      <c r="C15" s="118"/>
      <c r="D15" s="118"/>
      <c r="E15" s="118"/>
      <c r="F15" s="119"/>
      <c r="G15" s="26" t="s">
        <v>75</v>
      </c>
      <c r="H15" s="98" t="s">
        <v>76</v>
      </c>
      <c r="I15" s="118" t="s">
        <v>77</v>
      </c>
      <c r="J15" s="118"/>
      <c r="K15" s="118"/>
      <c r="L15" s="65" t="s">
        <v>78</v>
      </c>
      <c r="M15" s="65" t="s">
        <v>79</v>
      </c>
      <c r="N15" s="117" t="s">
        <v>74</v>
      </c>
      <c r="O15" s="118"/>
      <c r="P15" s="118"/>
      <c r="Q15" s="118"/>
      <c r="R15" s="118"/>
      <c r="S15" s="119"/>
      <c r="T15" s="26" t="s">
        <v>75</v>
      </c>
      <c r="U15" s="98" t="s">
        <v>76</v>
      </c>
      <c r="V15" s="118" t="s">
        <v>77</v>
      </c>
      <c r="W15" s="118"/>
      <c r="X15" s="118"/>
      <c r="Y15" s="65" t="s">
        <v>78</v>
      </c>
      <c r="Z15" s="65" t="s">
        <v>79</v>
      </c>
    </row>
    <row r="16" spans="1:26" ht="18" customHeight="1" x14ac:dyDescent="0.15">
      <c r="A16" s="14"/>
      <c r="B16" s="165" t="s">
        <v>80</v>
      </c>
      <c r="C16" s="166"/>
      <c r="D16" s="166"/>
      <c r="E16" s="166"/>
      <c r="F16" s="167"/>
      <c r="G16" s="99">
        <v>2</v>
      </c>
      <c r="H16" s="99" t="s">
        <v>81</v>
      </c>
      <c r="I16" s="171" t="s">
        <v>82</v>
      </c>
      <c r="J16" s="172"/>
      <c r="K16" s="173"/>
      <c r="L16" s="99" t="s">
        <v>81</v>
      </c>
      <c r="M16" s="99" t="s">
        <v>81</v>
      </c>
      <c r="N16" s="143"/>
      <c r="O16" s="144"/>
      <c r="P16" s="144"/>
      <c r="Q16" s="144"/>
      <c r="R16" s="144"/>
      <c r="S16" s="145"/>
      <c r="T16" s="99"/>
      <c r="U16" s="99"/>
      <c r="V16" s="171"/>
      <c r="W16" s="172"/>
      <c r="X16" s="173"/>
      <c r="Y16" s="99"/>
      <c r="Z16" s="99"/>
    </row>
    <row r="17" spans="1:26" ht="18" customHeight="1" x14ac:dyDescent="0.15">
      <c r="A17" s="14"/>
      <c r="B17" s="158" t="s">
        <v>83</v>
      </c>
      <c r="C17" s="159"/>
      <c r="D17" s="159"/>
      <c r="E17" s="159"/>
      <c r="F17" s="160"/>
      <c r="G17" s="100">
        <v>1</v>
      </c>
      <c r="H17" s="100" t="s">
        <v>81</v>
      </c>
      <c r="I17" s="152" t="s">
        <v>84</v>
      </c>
      <c r="J17" s="153"/>
      <c r="K17" s="154"/>
      <c r="L17" s="100" t="s">
        <v>81</v>
      </c>
      <c r="M17" s="100" t="s">
        <v>81</v>
      </c>
      <c r="N17" s="146"/>
      <c r="O17" s="147"/>
      <c r="P17" s="147"/>
      <c r="Q17" s="147"/>
      <c r="R17" s="147"/>
      <c r="S17" s="148"/>
      <c r="T17" s="100"/>
      <c r="U17" s="100"/>
      <c r="V17" s="152"/>
      <c r="W17" s="153"/>
      <c r="X17" s="154"/>
      <c r="Y17" s="100"/>
      <c r="Z17" s="100"/>
    </row>
    <row r="18" spans="1:26" ht="18" customHeight="1" x14ac:dyDescent="0.15">
      <c r="A18" s="14"/>
      <c r="B18" s="158"/>
      <c r="C18" s="159"/>
      <c r="D18" s="159"/>
      <c r="E18" s="159"/>
      <c r="F18" s="160"/>
      <c r="G18" s="100"/>
      <c r="H18" s="100"/>
      <c r="I18" s="152"/>
      <c r="J18" s="153"/>
      <c r="K18" s="154"/>
      <c r="L18" s="100"/>
      <c r="M18" s="100"/>
      <c r="N18" s="146"/>
      <c r="O18" s="147"/>
      <c r="P18" s="147"/>
      <c r="Q18" s="147"/>
      <c r="R18" s="147"/>
      <c r="S18" s="148"/>
      <c r="T18" s="100"/>
      <c r="U18" s="100"/>
      <c r="V18" s="152"/>
      <c r="W18" s="153"/>
      <c r="X18" s="154"/>
      <c r="Y18" s="100"/>
      <c r="Z18" s="100"/>
    </row>
    <row r="19" spans="1:26" ht="18" customHeight="1" x14ac:dyDescent="0.15">
      <c r="A19" s="14"/>
      <c r="B19" s="158"/>
      <c r="C19" s="159"/>
      <c r="D19" s="159"/>
      <c r="E19" s="159"/>
      <c r="F19" s="160"/>
      <c r="G19" s="100"/>
      <c r="H19" s="100"/>
      <c r="I19" s="152"/>
      <c r="J19" s="153"/>
      <c r="K19" s="154"/>
      <c r="L19" s="100"/>
      <c r="M19" s="100"/>
      <c r="N19" s="146"/>
      <c r="O19" s="147"/>
      <c r="P19" s="147"/>
      <c r="Q19" s="147"/>
      <c r="R19" s="147"/>
      <c r="S19" s="148"/>
      <c r="T19" s="100"/>
      <c r="U19" s="100"/>
      <c r="V19" s="152"/>
      <c r="W19" s="153"/>
      <c r="X19" s="154"/>
      <c r="Y19" s="100"/>
      <c r="Z19" s="100"/>
    </row>
    <row r="20" spans="1:26" ht="18" customHeight="1" x14ac:dyDescent="0.15">
      <c r="A20" s="14"/>
      <c r="B20" s="158"/>
      <c r="C20" s="159"/>
      <c r="D20" s="159"/>
      <c r="E20" s="159"/>
      <c r="F20" s="160"/>
      <c r="G20" s="100"/>
      <c r="H20" s="100"/>
      <c r="I20" s="152"/>
      <c r="J20" s="153"/>
      <c r="K20" s="154"/>
      <c r="L20" s="100"/>
      <c r="M20" s="100"/>
      <c r="N20" s="146"/>
      <c r="O20" s="147"/>
      <c r="P20" s="147"/>
      <c r="Q20" s="147"/>
      <c r="R20" s="147"/>
      <c r="S20" s="148"/>
      <c r="T20" s="100"/>
      <c r="U20" s="100"/>
      <c r="V20" s="152"/>
      <c r="W20" s="153"/>
      <c r="X20" s="154"/>
      <c r="Y20" s="100"/>
      <c r="Z20" s="100"/>
    </row>
    <row r="21" spans="1:26" ht="18" customHeight="1" x14ac:dyDescent="0.15">
      <c r="A21" s="25"/>
      <c r="B21" s="158"/>
      <c r="C21" s="159"/>
      <c r="D21" s="159"/>
      <c r="E21" s="159"/>
      <c r="F21" s="160"/>
      <c r="G21" s="100"/>
      <c r="H21" s="100"/>
      <c r="I21" s="152"/>
      <c r="J21" s="153"/>
      <c r="K21" s="154"/>
      <c r="L21" s="100"/>
      <c r="M21" s="100"/>
      <c r="N21" s="146"/>
      <c r="O21" s="147"/>
      <c r="P21" s="147"/>
      <c r="Q21" s="147"/>
      <c r="R21" s="147"/>
      <c r="S21" s="148"/>
      <c r="T21" s="100"/>
      <c r="U21" s="100"/>
      <c r="V21" s="152"/>
      <c r="W21" s="153"/>
      <c r="X21" s="154"/>
      <c r="Y21" s="100"/>
      <c r="Z21" s="100"/>
    </row>
    <row r="22" spans="1:26" ht="18" customHeight="1" x14ac:dyDescent="0.15">
      <c r="A22" s="25"/>
      <c r="B22" s="161"/>
      <c r="C22" s="162"/>
      <c r="D22" s="162"/>
      <c r="E22" s="162"/>
      <c r="F22" s="163"/>
      <c r="G22" s="101"/>
      <c r="H22" s="101"/>
      <c r="I22" s="155"/>
      <c r="J22" s="156"/>
      <c r="K22" s="157"/>
      <c r="L22" s="106"/>
      <c r="M22" s="106"/>
      <c r="N22" s="149"/>
      <c r="O22" s="150"/>
      <c r="P22" s="150"/>
      <c r="Q22" s="150"/>
      <c r="R22" s="150"/>
      <c r="S22" s="151"/>
      <c r="T22" s="101"/>
      <c r="U22" s="101"/>
      <c r="V22" s="155"/>
      <c r="W22" s="156"/>
      <c r="X22" s="157"/>
      <c r="Y22" s="106"/>
      <c r="Z22" s="106"/>
    </row>
    <row r="23" spans="1:26" ht="7.5" customHeight="1" x14ac:dyDescent="0.15">
      <c r="A23" s="25"/>
      <c r="B23" s="29"/>
      <c r="C23" s="29"/>
      <c r="D23" s="25"/>
      <c r="E23" s="25"/>
      <c r="F23" s="25"/>
      <c r="G23" s="25"/>
      <c r="H23" s="25"/>
      <c r="I23" s="25"/>
      <c r="J23" s="25"/>
      <c r="K23" s="25"/>
      <c r="L23" s="29"/>
      <c r="M23" s="29"/>
      <c r="N23" s="29"/>
      <c r="O23" s="29"/>
      <c r="P23" s="29"/>
      <c r="Q23" s="29"/>
      <c r="R23" s="29"/>
      <c r="S23" s="29"/>
      <c r="T23" s="29"/>
      <c r="U23" s="29"/>
      <c r="V23" s="29"/>
      <c r="W23" s="29"/>
      <c r="X23" s="29"/>
      <c r="Y23" s="29"/>
      <c r="Z23" s="25"/>
    </row>
    <row r="24" spans="1:26" ht="18" customHeight="1" x14ac:dyDescent="0.15">
      <c r="A24" s="198" t="s">
        <v>85</v>
      </c>
      <c r="B24" s="198"/>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spans="1:26" ht="18" customHeight="1" x14ac:dyDescent="0.15">
      <c r="A25" s="198"/>
      <c r="B25" s="198"/>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row>
    <row r="26" spans="1:26" ht="18" customHeight="1" x14ac:dyDescent="0.15">
      <c r="A26" s="14"/>
      <c r="B26" s="117" t="s">
        <v>74</v>
      </c>
      <c r="C26" s="118"/>
      <c r="D26" s="118"/>
      <c r="E26" s="118"/>
      <c r="F26" s="119"/>
      <c r="G26" s="26" t="s">
        <v>75</v>
      </c>
      <c r="H26" s="98" t="s">
        <v>76</v>
      </c>
      <c r="I26" s="118" t="s">
        <v>77</v>
      </c>
      <c r="J26" s="118"/>
      <c r="K26" s="118"/>
      <c r="L26" s="65" t="s">
        <v>86</v>
      </c>
      <c r="M26" s="65" t="s">
        <v>87</v>
      </c>
      <c r="N26" s="117" t="s">
        <v>74</v>
      </c>
      <c r="O26" s="118"/>
      <c r="P26" s="118"/>
      <c r="Q26" s="118"/>
      <c r="R26" s="118"/>
      <c r="S26" s="119"/>
      <c r="T26" s="26" t="s">
        <v>75</v>
      </c>
      <c r="U26" s="98" t="s">
        <v>76</v>
      </c>
      <c r="V26" s="118" t="s">
        <v>77</v>
      </c>
      <c r="W26" s="118"/>
      <c r="X26" s="118"/>
      <c r="Y26" s="65" t="s">
        <v>86</v>
      </c>
      <c r="Z26" s="65" t="s">
        <v>87</v>
      </c>
    </row>
    <row r="27" spans="1:26" ht="18" customHeight="1" x14ac:dyDescent="0.15">
      <c r="A27" s="14"/>
      <c r="B27" s="165" t="s">
        <v>80</v>
      </c>
      <c r="C27" s="166"/>
      <c r="D27" s="166"/>
      <c r="E27" s="166"/>
      <c r="F27" s="167"/>
      <c r="G27" s="99">
        <v>2</v>
      </c>
      <c r="H27" s="99" t="s">
        <v>81</v>
      </c>
      <c r="I27" s="171" t="s">
        <v>82</v>
      </c>
      <c r="J27" s="172"/>
      <c r="K27" s="173"/>
      <c r="L27" s="99" t="s">
        <v>81</v>
      </c>
      <c r="M27" s="99" t="s">
        <v>81</v>
      </c>
      <c r="N27" s="143"/>
      <c r="O27" s="144"/>
      <c r="P27" s="144"/>
      <c r="Q27" s="144"/>
      <c r="R27" s="144"/>
      <c r="S27" s="145"/>
      <c r="T27" s="99"/>
      <c r="U27" s="99"/>
      <c r="V27" s="171"/>
      <c r="W27" s="172"/>
      <c r="X27" s="173"/>
      <c r="Y27" s="99"/>
      <c r="Z27" s="99"/>
    </row>
    <row r="28" spans="1:26" ht="18" customHeight="1" x14ac:dyDescent="0.15">
      <c r="A28" s="14"/>
      <c r="B28" s="158" t="s">
        <v>83</v>
      </c>
      <c r="C28" s="159"/>
      <c r="D28" s="159"/>
      <c r="E28" s="159"/>
      <c r="F28" s="160"/>
      <c r="G28" s="100">
        <v>1</v>
      </c>
      <c r="H28" s="100" t="s">
        <v>81</v>
      </c>
      <c r="I28" s="152" t="s">
        <v>84</v>
      </c>
      <c r="J28" s="153"/>
      <c r="K28" s="154"/>
      <c r="L28" s="100" t="s">
        <v>81</v>
      </c>
      <c r="M28" s="100" t="s">
        <v>81</v>
      </c>
      <c r="N28" s="146"/>
      <c r="O28" s="147"/>
      <c r="P28" s="147"/>
      <c r="Q28" s="147"/>
      <c r="R28" s="147"/>
      <c r="S28" s="148"/>
      <c r="T28" s="100"/>
      <c r="U28" s="100"/>
      <c r="V28" s="152"/>
      <c r="W28" s="153"/>
      <c r="X28" s="154"/>
      <c r="Y28" s="100"/>
      <c r="Z28" s="100"/>
    </row>
    <row r="29" spans="1:26" ht="18" customHeight="1" x14ac:dyDescent="0.15">
      <c r="A29" s="14"/>
      <c r="B29" s="158"/>
      <c r="C29" s="159"/>
      <c r="D29" s="159"/>
      <c r="E29" s="159"/>
      <c r="F29" s="160"/>
      <c r="G29" s="100"/>
      <c r="H29" s="100"/>
      <c r="I29" s="152"/>
      <c r="J29" s="153"/>
      <c r="K29" s="154"/>
      <c r="L29" s="100"/>
      <c r="M29" s="100"/>
      <c r="N29" s="146"/>
      <c r="O29" s="147"/>
      <c r="P29" s="147"/>
      <c r="Q29" s="147"/>
      <c r="R29" s="147"/>
      <c r="S29" s="148"/>
      <c r="T29" s="100"/>
      <c r="U29" s="100"/>
      <c r="V29" s="152"/>
      <c r="W29" s="153"/>
      <c r="X29" s="154"/>
      <c r="Y29" s="100"/>
      <c r="Z29" s="100"/>
    </row>
    <row r="30" spans="1:26" ht="18" customHeight="1" x14ac:dyDescent="0.15">
      <c r="A30" s="14"/>
      <c r="B30" s="158"/>
      <c r="C30" s="159"/>
      <c r="D30" s="159"/>
      <c r="E30" s="159"/>
      <c r="F30" s="160"/>
      <c r="G30" s="100"/>
      <c r="H30" s="100"/>
      <c r="I30" s="152"/>
      <c r="J30" s="153"/>
      <c r="K30" s="154"/>
      <c r="L30" s="100"/>
      <c r="M30" s="100"/>
      <c r="N30" s="146"/>
      <c r="O30" s="147"/>
      <c r="P30" s="147"/>
      <c r="Q30" s="147"/>
      <c r="R30" s="147"/>
      <c r="S30" s="148"/>
      <c r="T30" s="100"/>
      <c r="U30" s="100"/>
      <c r="V30" s="152"/>
      <c r="W30" s="153"/>
      <c r="X30" s="154"/>
      <c r="Y30" s="100"/>
      <c r="Z30" s="100"/>
    </row>
    <row r="31" spans="1:26" ht="18" customHeight="1" x14ac:dyDescent="0.15">
      <c r="A31" s="14"/>
      <c r="B31" s="158"/>
      <c r="C31" s="159"/>
      <c r="D31" s="159"/>
      <c r="E31" s="159"/>
      <c r="F31" s="160"/>
      <c r="G31" s="100"/>
      <c r="H31" s="100"/>
      <c r="I31" s="152"/>
      <c r="J31" s="153"/>
      <c r="K31" s="154"/>
      <c r="L31" s="100"/>
      <c r="M31" s="100"/>
      <c r="N31" s="146"/>
      <c r="O31" s="147"/>
      <c r="P31" s="147"/>
      <c r="Q31" s="147"/>
      <c r="R31" s="147"/>
      <c r="S31" s="148"/>
      <c r="T31" s="100"/>
      <c r="U31" s="100"/>
      <c r="V31" s="152"/>
      <c r="W31" s="153"/>
      <c r="X31" s="154"/>
      <c r="Y31" s="100"/>
      <c r="Z31" s="100"/>
    </row>
    <row r="32" spans="1:26" ht="18" customHeight="1" x14ac:dyDescent="0.15">
      <c r="A32" s="14"/>
      <c r="B32" s="158"/>
      <c r="C32" s="159"/>
      <c r="D32" s="159"/>
      <c r="E32" s="159"/>
      <c r="F32" s="160"/>
      <c r="G32" s="100"/>
      <c r="H32" s="100"/>
      <c r="I32" s="152"/>
      <c r="J32" s="153"/>
      <c r="K32" s="154"/>
      <c r="L32" s="100"/>
      <c r="M32" s="100"/>
      <c r="N32" s="146"/>
      <c r="O32" s="147"/>
      <c r="P32" s="147"/>
      <c r="Q32" s="147"/>
      <c r="R32" s="147"/>
      <c r="S32" s="148"/>
      <c r="T32" s="100"/>
      <c r="U32" s="100"/>
      <c r="V32" s="152"/>
      <c r="W32" s="153"/>
      <c r="X32" s="154"/>
      <c r="Y32" s="100"/>
      <c r="Z32" s="100"/>
    </row>
    <row r="33" spans="1:26" ht="18" customHeight="1" x14ac:dyDescent="0.15">
      <c r="A33" s="14"/>
      <c r="B33" s="161"/>
      <c r="C33" s="162"/>
      <c r="D33" s="162"/>
      <c r="E33" s="162"/>
      <c r="F33" s="163"/>
      <c r="G33" s="101"/>
      <c r="H33" s="101"/>
      <c r="I33" s="155"/>
      <c r="J33" s="156"/>
      <c r="K33" s="157"/>
      <c r="L33" s="106"/>
      <c r="M33" s="106"/>
      <c r="N33" s="149"/>
      <c r="O33" s="150"/>
      <c r="P33" s="150"/>
      <c r="Q33" s="150"/>
      <c r="R33" s="150"/>
      <c r="S33" s="151"/>
      <c r="T33" s="101"/>
      <c r="U33" s="101"/>
      <c r="V33" s="155"/>
      <c r="W33" s="156"/>
      <c r="X33" s="157"/>
      <c r="Y33" s="106"/>
      <c r="Z33" s="106"/>
    </row>
    <row r="34" spans="1:26" ht="7.5" customHeight="1" x14ac:dyDescent="0.15">
      <c r="A34" s="25"/>
      <c r="B34" s="29"/>
      <c r="C34" s="29"/>
      <c r="D34" s="25"/>
      <c r="E34" s="25"/>
      <c r="F34" s="25"/>
      <c r="G34" s="25"/>
      <c r="H34" s="25"/>
      <c r="I34" s="25"/>
      <c r="J34" s="25"/>
      <c r="K34" s="25"/>
      <c r="L34" s="29"/>
      <c r="M34" s="29"/>
      <c r="N34" s="29"/>
      <c r="O34" s="29"/>
      <c r="P34" s="29"/>
      <c r="Q34" s="29"/>
      <c r="R34" s="29"/>
      <c r="S34" s="29"/>
      <c r="T34" s="29"/>
      <c r="U34" s="29"/>
      <c r="V34" s="29"/>
      <c r="W34" s="29"/>
      <c r="X34" s="29"/>
      <c r="Y34" s="29"/>
      <c r="Z34" s="25"/>
    </row>
    <row r="35" spans="1:26" ht="18" customHeight="1" x14ac:dyDescent="0.15">
      <c r="A35" s="198" t="s">
        <v>88</v>
      </c>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row>
    <row r="36" spans="1:26" ht="18" customHeight="1" x14ac:dyDescent="0.15">
      <c r="A36" s="198"/>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spans="1:26" ht="18" customHeight="1" x14ac:dyDescent="0.15">
      <c r="A37" s="14"/>
      <c r="B37" s="117" t="s">
        <v>74</v>
      </c>
      <c r="C37" s="118"/>
      <c r="D37" s="118"/>
      <c r="E37" s="118"/>
      <c r="F37" s="119"/>
      <c r="G37" s="26" t="s">
        <v>75</v>
      </c>
      <c r="H37" s="98" t="s">
        <v>76</v>
      </c>
      <c r="I37" s="117" t="s">
        <v>77</v>
      </c>
      <c r="J37" s="118"/>
      <c r="K37" s="119"/>
      <c r="L37" s="65" t="s">
        <v>89</v>
      </c>
      <c r="M37" s="65" t="s">
        <v>90</v>
      </c>
      <c r="N37" s="117" t="s">
        <v>74</v>
      </c>
      <c r="O37" s="118"/>
      <c r="P37" s="118"/>
      <c r="Q37" s="118"/>
      <c r="R37" s="118"/>
      <c r="S37" s="119"/>
      <c r="T37" s="26" t="s">
        <v>75</v>
      </c>
      <c r="U37" s="98" t="s">
        <v>76</v>
      </c>
      <c r="V37" s="117" t="s">
        <v>77</v>
      </c>
      <c r="W37" s="118"/>
      <c r="X37" s="119"/>
      <c r="Y37" s="65" t="s">
        <v>89</v>
      </c>
      <c r="Z37" s="65" t="s">
        <v>90</v>
      </c>
    </row>
    <row r="38" spans="1:26" ht="18" customHeight="1" x14ac:dyDescent="0.15">
      <c r="A38" s="25"/>
      <c r="B38" s="165" t="s">
        <v>80</v>
      </c>
      <c r="C38" s="166"/>
      <c r="D38" s="166"/>
      <c r="E38" s="166"/>
      <c r="F38" s="167"/>
      <c r="G38" s="99">
        <v>2</v>
      </c>
      <c r="H38" s="99" t="s">
        <v>81</v>
      </c>
      <c r="I38" s="171" t="s">
        <v>82</v>
      </c>
      <c r="J38" s="172"/>
      <c r="K38" s="173"/>
      <c r="L38" s="99" t="s">
        <v>81</v>
      </c>
      <c r="M38" s="99" t="s">
        <v>81</v>
      </c>
      <c r="N38" s="143"/>
      <c r="O38" s="144"/>
      <c r="P38" s="144"/>
      <c r="Q38" s="144"/>
      <c r="R38" s="144"/>
      <c r="S38" s="145"/>
      <c r="T38" s="99"/>
      <c r="U38" s="99"/>
      <c r="V38" s="171"/>
      <c r="W38" s="172"/>
      <c r="X38" s="173"/>
      <c r="Y38" s="99"/>
      <c r="Z38" s="99"/>
    </row>
    <row r="39" spans="1:26" ht="18" customHeight="1" x14ac:dyDescent="0.15">
      <c r="A39" s="25"/>
      <c r="B39" s="158" t="s">
        <v>83</v>
      </c>
      <c r="C39" s="159"/>
      <c r="D39" s="159"/>
      <c r="E39" s="159"/>
      <c r="F39" s="160"/>
      <c r="G39" s="100">
        <v>1</v>
      </c>
      <c r="H39" s="100" t="s">
        <v>81</v>
      </c>
      <c r="I39" s="152" t="s">
        <v>84</v>
      </c>
      <c r="J39" s="153"/>
      <c r="K39" s="154"/>
      <c r="L39" s="100" t="s">
        <v>81</v>
      </c>
      <c r="M39" s="100" t="s">
        <v>81</v>
      </c>
      <c r="N39" s="146"/>
      <c r="O39" s="147"/>
      <c r="P39" s="147"/>
      <c r="Q39" s="147"/>
      <c r="R39" s="147"/>
      <c r="S39" s="148"/>
      <c r="T39" s="100"/>
      <c r="U39" s="100"/>
      <c r="V39" s="152"/>
      <c r="W39" s="153"/>
      <c r="X39" s="154"/>
      <c r="Y39" s="100"/>
      <c r="Z39" s="100"/>
    </row>
    <row r="40" spans="1:26" ht="18" customHeight="1" x14ac:dyDescent="0.15">
      <c r="A40" s="25"/>
      <c r="B40" s="158"/>
      <c r="C40" s="159"/>
      <c r="D40" s="159"/>
      <c r="E40" s="159"/>
      <c r="F40" s="160"/>
      <c r="G40" s="100"/>
      <c r="H40" s="100"/>
      <c r="I40" s="152"/>
      <c r="J40" s="153"/>
      <c r="K40" s="154"/>
      <c r="L40" s="100"/>
      <c r="M40" s="100"/>
      <c r="N40" s="146"/>
      <c r="O40" s="147"/>
      <c r="P40" s="147"/>
      <c r="Q40" s="147"/>
      <c r="R40" s="147"/>
      <c r="S40" s="148"/>
      <c r="T40" s="100"/>
      <c r="U40" s="100"/>
      <c r="V40" s="152"/>
      <c r="W40" s="153"/>
      <c r="X40" s="154"/>
      <c r="Y40" s="100"/>
      <c r="Z40" s="100"/>
    </row>
    <row r="41" spans="1:26" ht="18" customHeight="1" x14ac:dyDescent="0.15">
      <c r="A41" s="25"/>
      <c r="B41" s="158"/>
      <c r="C41" s="159"/>
      <c r="D41" s="159"/>
      <c r="E41" s="159"/>
      <c r="F41" s="160"/>
      <c r="G41" s="100"/>
      <c r="H41" s="100"/>
      <c r="I41" s="152"/>
      <c r="J41" s="153"/>
      <c r="K41" s="154"/>
      <c r="L41" s="100"/>
      <c r="M41" s="100"/>
      <c r="N41" s="146"/>
      <c r="O41" s="147"/>
      <c r="P41" s="147"/>
      <c r="Q41" s="147"/>
      <c r="R41" s="147"/>
      <c r="S41" s="148"/>
      <c r="T41" s="100"/>
      <c r="U41" s="100"/>
      <c r="V41" s="152"/>
      <c r="W41" s="153"/>
      <c r="X41" s="154"/>
      <c r="Y41" s="100"/>
      <c r="Z41" s="100"/>
    </row>
    <row r="42" spans="1:26" ht="18" customHeight="1" x14ac:dyDescent="0.15">
      <c r="A42" s="25"/>
      <c r="B42" s="158"/>
      <c r="C42" s="159"/>
      <c r="D42" s="159"/>
      <c r="E42" s="159"/>
      <c r="F42" s="160"/>
      <c r="G42" s="100"/>
      <c r="H42" s="100"/>
      <c r="I42" s="152"/>
      <c r="J42" s="153"/>
      <c r="K42" s="154"/>
      <c r="L42" s="100"/>
      <c r="M42" s="100"/>
      <c r="N42" s="146"/>
      <c r="O42" s="147"/>
      <c r="P42" s="147"/>
      <c r="Q42" s="147"/>
      <c r="R42" s="147"/>
      <c r="S42" s="148"/>
      <c r="T42" s="100"/>
      <c r="U42" s="100"/>
      <c r="V42" s="152"/>
      <c r="W42" s="153"/>
      <c r="X42" s="154"/>
      <c r="Y42" s="100"/>
      <c r="Z42" s="100"/>
    </row>
    <row r="43" spans="1:26" ht="18" customHeight="1" x14ac:dyDescent="0.15">
      <c r="A43" s="25"/>
      <c r="B43" s="158"/>
      <c r="C43" s="159"/>
      <c r="D43" s="159"/>
      <c r="E43" s="159"/>
      <c r="F43" s="160"/>
      <c r="G43" s="100"/>
      <c r="H43" s="100"/>
      <c r="I43" s="152"/>
      <c r="J43" s="153"/>
      <c r="K43" s="154"/>
      <c r="L43" s="100"/>
      <c r="M43" s="100"/>
      <c r="N43" s="146"/>
      <c r="O43" s="147"/>
      <c r="P43" s="147"/>
      <c r="Q43" s="147"/>
      <c r="R43" s="147"/>
      <c r="S43" s="148"/>
      <c r="T43" s="100"/>
      <c r="U43" s="100"/>
      <c r="V43" s="152"/>
      <c r="W43" s="153"/>
      <c r="X43" s="154"/>
      <c r="Y43" s="100"/>
      <c r="Z43" s="100"/>
    </row>
    <row r="44" spans="1:26" ht="18" customHeight="1" x14ac:dyDescent="0.15">
      <c r="A44" s="25"/>
      <c r="B44" s="161"/>
      <c r="C44" s="162"/>
      <c r="D44" s="162"/>
      <c r="E44" s="162"/>
      <c r="F44" s="163"/>
      <c r="G44" s="101"/>
      <c r="H44" s="101"/>
      <c r="I44" s="155"/>
      <c r="J44" s="156"/>
      <c r="K44" s="157"/>
      <c r="L44" s="106"/>
      <c r="M44" s="106"/>
      <c r="N44" s="149"/>
      <c r="O44" s="150"/>
      <c r="P44" s="150"/>
      <c r="Q44" s="150"/>
      <c r="R44" s="150"/>
      <c r="S44" s="151"/>
      <c r="T44" s="101"/>
      <c r="U44" s="101"/>
      <c r="V44" s="155"/>
      <c r="W44" s="156"/>
      <c r="X44" s="157"/>
      <c r="Y44" s="106"/>
      <c r="Z44" s="106"/>
    </row>
    <row r="45" spans="1:26" ht="7.5" customHeight="1" x14ac:dyDescent="0.15">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6" ht="18" customHeight="1" x14ac:dyDescent="0.15">
      <c r="A46" s="198" t="s">
        <v>91</v>
      </c>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spans="1:26" ht="18" customHeight="1" x14ac:dyDescent="0.15">
      <c r="A47" s="198"/>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spans="1:26" ht="18" customHeight="1" x14ac:dyDescent="0.15">
      <c r="A48" s="14"/>
      <c r="B48" s="117" t="s">
        <v>74</v>
      </c>
      <c r="C48" s="118"/>
      <c r="D48" s="118"/>
      <c r="E48" s="118"/>
      <c r="F48" s="119"/>
      <c r="G48" s="26" t="s">
        <v>75</v>
      </c>
      <c r="H48" s="98" t="s">
        <v>76</v>
      </c>
      <c r="I48" s="117" t="s">
        <v>77</v>
      </c>
      <c r="J48" s="118"/>
      <c r="K48" s="119"/>
      <c r="L48" s="65" t="s">
        <v>92</v>
      </c>
      <c r="M48" s="65" t="s">
        <v>93</v>
      </c>
      <c r="N48" s="117" t="s">
        <v>74</v>
      </c>
      <c r="O48" s="118"/>
      <c r="P48" s="118"/>
      <c r="Q48" s="118"/>
      <c r="R48" s="118"/>
      <c r="S48" s="119"/>
      <c r="T48" s="26" t="s">
        <v>75</v>
      </c>
      <c r="U48" s="98" t="s">
        <v>76</v>
      </c>
      <c r="V48" s="117" t="s">
        <v>77</v>
      </c>
      <c r="W48" s="118"/>
      <c r="X48" s="119"/>
      <c r="Y48" s="65" t="s">
        <v>92</v>
      </c>
      <c r="Z48" s="65" t="s">
        <v>93</v>
      </c>
    </row>
    <row r="49" spans="1:26" ht="18" customHeight="1" x14ac:dyDescent="0.15">
      <c r="A49" s="25"/>
      <c r="B49" s="165" t="s">
        <v>80</v>
      </c>
      <c r="C49" s="166"/>
      <c r="D49" s="166"/>
      <c r="E49" s="166"/>
      <c r="F49" s="167"/>
      <c r="G49" s="99">
        <v>2</v>
      </c>
      <c r="H49" s="99" t="s">
        <v>81</v>
      </c>
      <c r="I49" s="171" t="s">
        <v>82</v>
      </c>
      <c r="J49" s="172"/>
      <c r="K49" s="173"/>
      <c r="L49" s="99" t="s">
        <v>81</v>
      </c>
      <c r="M49" s="99" t="s">
        <v>81</v>
      </c>
      <c r="N49" s="143"/>
      <c r="O49" s="144"/>
      <c r="P49" s="144"/>
      <c r="Q49" s="144"/>
      <c r="R49" s="144"/>
      <c r="S49" s="145"/>
      <c r="T49" s="99"/>
      <c r="U49" s="99"/>
      <c r="V49" s="171"/>
      <c r="W49" s="172"/>
      <c r="X49" s="173"/>
      <c r="Y49" s="99"/>
      <c r="Z49" s="99"/>
    </row>
    <row r="50" spans="1:26" ht="18" customHeight="1" x14ac:dyDescent="0.15">
      <c r="A50" s="25"/>
      <c r="B50" s="158" t="s">
        <v>83</v>
      </c>
      <c r="C50" s="159"/>
      <c r="D50" s="159"/>
      <c r="E50" s="159"/>
      <c r="F50" s="160"/>
      <c r="G50" s="100">
        <v>1</v>
      </c>
      <c r="H50" s="100" t="s">
        <v>81</v>
      </c>
      <c r="I50" s="152" t="s">
        <v>84</v>
      </c>
      <c r="J50" s="153"/>
      <c r="K50" s="154"/>
      <c r="L50" s="100" t="s">
        <v>81</v>
      </c>
      <c r="M50" s="100" t="s">
        <v>81</v>
      </c>
      <c r="N50" s="146"/>
      <c r="O50" s="147"/>
      <c r="P50" s="147"/>
      <c r="Q50" s="147"/>
      <c r="R50" s="147"/>
      <c r="S50" s="148"/>
      <c r="T50" s="100"/>
      <c r="U50" s="100"/>
      <c r="V50" s="152"/>
      <c r="W50" s="153"/>
      <c r="X50" s="154"/>
      <c r="Y50" s="100"/>
      <c r="Z50" s="100"/>
    </row>
    <row r="51" spans="1:26" ht="18" customHeight="1" x14ac:dyDescent="0.15">
      <c r="A51" s="25"/>
      <c r="B51" s="158"/>
      <c r="C51" s="159"/>
      <c r="D51" s="159"/>
      <c r="E51" s="159"/>
      <c r="F51" s="160"/>
      <c r="G51" s="100"/>
      <c r="H51" s="100"/>
      <c r="I51" s="152"/>
      <c r="J51" s="153"/>
      <c r="K51" s="154"/>
      <c r="L51" s="100"/>
      <c r="M51" s="100"/>
      <c r="N51" s="146"/>
      <c r="O51" s="147"/>
      <c r="P51" s="147"/>
      <c r="Q51" s="147"/>
      <c r="R51" s="147"/>
      <c r="S51" s="148"/>
      <c r="T51" s="100"/>
      <c r="U51" s="100"/>
      <c r="V51" s="152"/>
      <c r="W51" s="153"/>
      <c r="X51" s="154"/>
      <c r="Y51" s="100"/>
      <c r="Z51" s="100"/>
    </row>
    <row r="52" spans="1:26" ht="18" customHeight="1" x14ac:dyDescent="0.15">
      <c r="A52" s="25"/>
      <c r="B52" s="158"/>
      <c r="C52" s="159"/>
      <c r="D52" s="159"/>
      <c r="E52" s="159"/>
      <c r="F52" s="160"/>
      <c r="G52" s="100"/>
      <c r="H52" s="100"/>
      <c r="I52" s="152"/>
      <c r="J52" s="153"/>
      <c r="K52" s="154"/>
      <c r="L52" s="100"/>
      <c r="M52" s="100"/>
      <c r="N52" s="146"/>
      <c r="O52" s="147"/>
      <c r="P52" s="147"/>
      <c r="Q52" s="147"/>
      <c r="R52" s="147"/>
      <c r="S52" s="148"/>
      <c r="T52" s="100"/>
      <c r="U52" s="100"/>
      <c r="V52" s="152"/>
      <c r="W52" s="153"/>
      <c r="X52" s="154"/>
      <c r="Y52" s="100"/>
      <c r="Z52" s="100"/>
    </row>
    <row r="53" spans="1:26" ht="18" customHeight="1" x14ac:dyDescent="0.15">
      <c r="A53" s="25"/>
      <c r="B53" s="158"/>
      <c r="C53" s="159"/>
      <c r="D53" s="159"/>
      <c r="E53" s="159"/>
      <c r="F53" s="160"/>
      <c r="G53" s="100"/>
      <c r="H53" s="100"/>
      <c r="I53" s="152"/>
      <c r="J53" s="153"/>
      <c r="K53" s="154"/>
      <c r="L53" s="100"/>
      <c r="M53" s="100"/>
      <c r="N53" s="146"/>
      <c r="O53" s="147"/>
      <c r="P53" s="147"/>
      <c r="Q53" s="147"/>
      <c r="R53" s="147"/>
      <c r="S53" s="148"/>
      <c r="T53" s="100"/>
      <c r="U53" s="100"/>
      <c r="V53" s="152"/>
      <c r="W53" s="153"/>
      <c r="X53" s="154"/>
      <c r="Y53" s="100"/>
      <c r="Z53" s="100"/>
    </row>
    <row r="54" spans="1:26" ht="18" customHeight="1" x14ac:dyDescent="0.15">
      <c r="A54" s="25"/>
      <c r="B54" s="158"/>
      <c r="C54" s="159"/>
      <c r="D54" s="159"/>
      <c r="E54" s="159"/>
      <c r="F54" s="160"/>
      <c r="G54" s="100"/>
      <c r="H54" s="100"/>
      <c r="I54" s="152"/>
      <c r="J54" s="153"/>
      <c r="K54" s="154"/>
      <c r="L54" s="100"/>
      <c r="M54" s="100"/>
      <c r="N54" s="146"/>
      <c r="O54" s="147"/>
      <c r="P54" s="147"/>
      <c r="Q54" s="147"/>
      <c r="R54" s="147"/>
      <c r="S54" s="148"/>
      <c r="T54" s="100"/>
      <c r="U54" s="100"/>
      <c r="V54" s="152"/>
      <c r="W54" s="153"/>
      <c r="X54" s="154"/>
      <c r="Y54" s="100"/>
      <c r="Z54" s="100"/>
    </row>
    <row r="55" spans="1:26" ht="18" customHeight="1" x14ac:dyDescent="0.15">
      <c r="A55" s="25"/>
      <c r="B55" s="161"/>
      <c r="C55" s="162"/>
      <c r="D55" s="162"/>
      <c r="E55" s="162"/>
      <c r="F55" s="163"/>
      <c r="G55" s="101"/>
      <c r="H55" s="101"/>
      <c r="I55" s="155"/>
      <c r="J55" s="156"/>
      <c r="K55" s="157"/>
      <c r="L55" s="106"/>
      <c r="M55" s="106"/>
      <c r="N55" s="149"/>
      <c r="O55" s="150"/>
      <c r="P55" s="150"/>
      <c r="Q55" s="150"/>
      <c r="R55" s="150"/>
      <c r="S55" s="151"/>
      <c r="T55" s="101"/>
      <c r="U55" s="101"/>
      <c r="V55" s="155"/>
      <c r="W55" s="156"/>
      <c r="X55" s="157"/>
      <c r="Y55" s="106"/>
      <c r="Z55" s="106"/>
    </row>
    <row r="56" spans="1:26" ht="7.5" customHeight="1" x14ac:dyDescent="0.15">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6" ht="18" customHeight="1" x14ac:dyDescent="0.15">
      <c r="A57" s="198" t="s">
        <v>94</v>
      </c>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spans="1:26" ht="18" customHeight="1" x14ac:dyDescent="0.15">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spans="1:26" ht="18" customHeight="1" x14ac:dyDescent="0.15">
      <c r="A59" s="14"/>
      <c r="B59" s="117" t="s">
        <v>74</v>
      </c>
      <c r="C59" s="118"/>
      <c r="D59" s="118"/>
      <c r="E59" s="119"/>
      <c r="F59" s="26" t="s">
        <v>75</v>
      </c>
      <c r="G59" s="98" t="s">
        <v>76</v>
      </c>
      <c r="H59" s="22" t="s">
        <v>77</v>
      </c>
      <c r="I59" s="95"/>
      <c r="J59" s="23"/>
      <c r="K59" s="65" t="s">
        <v>95</v>
      </c>
      <c r="L59" s="65" t="s">
        <v>96</v>
      </c>
      <c r="M59" s="65" t="s">
        <v>97</v>
      </c>
      <c r="N59" s="117" t="s">
        <v>74</v>
      </c>
      <c r="O59" s="118"/>
      <c r="P59" s="118"/>
      <c r="Q59" s="118"/>
      <c r="R59" s="119"/>
      <c r="S59" s="26" t="s">
        <v>75</v>
      </c>
      <c r="T59" s="98" t="s">
        <v>76</v>
      </c>
      <c r="U59" s="22" t="s">
        <v>77</v>
      </c>
      <c r="V59" s="95"/>
      <c r="W59" s="23"/>
      <c r="X59" s="65" t="s">
        <v>95</v>
      </c>
      <c r="Y59" s="65" t="s">
        <v>96</v>
      </c>
      <c r="Z59" s="65" t="s">
        <v>97</v>
      </c>
    </row>
    <row r="60" spans="1:26" ht="18" customHeight="1" x14ac:dyDescent="0.15">
      <c r="A60" s="25"/>
      <c r="B60" s="143" t="s">
        <v>98</v>
      </c>
      <c r="C60" s="144"/>
      <c r="D60" s="144"/>
      <c r="E60" s="145"/>
      <c r="F60" s="99">
        <v>2</v>
      </c>
      <c r="G60" s="99" t="s">
        <v>81</v>
      </c>
      <c r="H60" s="171" t="s">
        <v>82</v>
      </c>
      <c r="I60" s="172"/>
      <c r="J60" s="173"/>
      <c r="K60" s="99" t="s">
        <v>81</v>
      </c>
      <c r="L60" s="99" t="s">
        <v>81</v>
      </c>
      <c r="M60" s="99" t="s">
        <v>81</v>
      </c>
      <c r="N60" s="143"/>
      <c r="O60" s="144"/>
      <c r="P60" s="144"/>
      <c r="Q60" s="144"/>
      <c r="R60" s="145"/>
      <c r="S60" s="99"/>
      <c r="T60" s="99"/>
      <c r="U60" s="171"/>
      <c r="V60" s="172"/>
      <c r="W60" s="173"/>
      <c r="X60" s="105"/>
      <c r="Y60" s="99"/>
      <c r="Z60" s="99"/>
    </row>
    <row r="61" spans="1:26" ht="18" customHeight="1" x14ac:dyDescent="0.15">
      <c r="A61" s="25"/>
      <c r="B61" s="146" t="s">
        <v>99</v>
      </c>
      <c r="C61" s="147"/>
      <c r="D61" s="147"/>
      <c r="E61" s="148"/>
      <c r="F61" s="100">
        <v>2</v>
      </c>
      <c r="G61" s="100" t="s">
        <v>81</v>
      </c>
      <c r="H61" s="152" t="s">
        <v>82</v>
      </c>
      <c r="I61" s="153"/>
      <c r="J61" s="154"/>
      <c r="K61" s="100" t="s">
        <v>81</v>
      </c>
      <c r="L61" s="100" t="s">
        <v>81</v>
      </c>
      <c r="M61" s="100" t="s">
        <v>81</v>
      </c>
      <c r="N61" s="146"/>
      <c r="O61" s="147"/>
      <c r="P61" s="147"/>
      <c r="Q61" s="147"/>
      <c r="R61" s="148"/>
      <c r="S61" s="100"/>
      <c r="T61" s="100"/>
      <c r="U61" s="152"/>
      <c r="V61" s="153"/>
      <c r="W61" s="154"/>
      <c r="X61" s="103"/>
      <c r="Y61" s="100"/>
      <c r="Z61" s="100"/>
    </row>
    <row r="62" spans="1:26" ht="18" customHeight="1" x14ac:dyDescent="0.15">
      <c r="A62" s="25"/>
      <c r="B62" s="146"/>
      <c r="C62" s="147"/>
      <c r="D62" s="147"/>
      <c r="E62" s="148"/>
      <c r="F62" s="100"/>
      <c r="G62" s="100"/>
      <c r="H62" s="152"/>
      <c r="I62" s="153"/>
      <c r="J62" s="154"/>
      <c r="K62" s="103"/>
      <c r="L62" s="100"/>
      <c r="M62" s="100"/>
      <c r="N62" s="146"/>
      <c r="O62" s="147"/>
      <c r="P62" s="147"/>
      <c r="Q62" s="147"/>
      <c r="R62" s="148"/>
      <c r="S62" s="100"/>
      <c r="T62" s="100"/>
      <c r="U62" s="152"/>
      <c r="V62" s="153"/>
      <c r="W62" s="154"/>
      <c r="X62" s="103"/>
      <c r="Y62" s="100"/>
      <c r="Z62" s="100"/>
    </row>
    <row r="63" spans="1:26" ht="18" customHeight="1" x14ac:dyDescent="0.15">
      <c r="A63" s="25"/>
      <c r="B63" s="146"/>
      <c r="C63" s="147"/>
      <c r="D63" s="147"/>
      <c r="E63" s="148"/>
      <c r="F63" s="100"/>
      <c r="G63" s="100"/>
      <c r="H63" s="152"/>
      <c r="I63" s="153"/>
      <c r="J63" s="154"/>
      <c r="K63" s="103"/>
      <c r="L63" s="100"/>
      <c r="M63" s="100"/>
      <c r="N63" s="146"/>
      <c r="O63" s="147"/>
      <c r="P63" s="147"/>
      <c r="Q63" s="147"/>
      <c r="R63" s="148"/>
      <c r="S63" s="100"/>
      <c r="T63" s="100"/>
      <c r="U63" s="152"/>
      <c r="V63" s="153"/>
      <c r="W63" s="154"/>
      <c r="X63" s="103"/>
      <c r="Y63" s="100"/>
      <c r="Z63" s="100"/>
    </row>
    <row r="64" spans="1:26" ht="18" customHeight="1" x14ac:dyDescent="0.15">
      <c r="A64" s="25"/>
      <c r="B64" s="146"/>
      <c r="C64" s="147"/>
      <c r="D64" s="147"/>
      <c r="E64" s="148"/>
      <c r="F64" s="100"/>
      <c r="G64" s="100"/>
      <c r="H64" s="152"/>
      <c r="I64" s="153"/>
      <c r="J64" s="154"/>
      <c r="K64" s="103"/>
      <c r="L64" s="100"/>
      <c r="M64" s="100"/>
      <c r="N64" s="146"/>
      <c r="O64" s="147"/>
      <c r="P64" s="147"/>
      <c r="Q64" s="147"/>
      <c r="R64" s="148"/>
      <c r="S64" s="100"/>
      <c r="T64" s="100"/>
      <c r="U64" s="152"/>
      <c r="V64" s="153"/>
      <c r="W64" s="154"/>
      <c r="X64" s="103"/>
      <c r="Y64" s="100"/>
      <c r="Z64" s="100"/>
    </row>
    <row r="65" spans="1:26" ht="18" customHeight="1" x14ac:dyDescent="0.15">
      <c r="A65" s="25"/>
      <c r="B65" s="146"/>
      <c r="C65" s="147"/>
      <c r="D65" s="147"/>
      <c r="E65" s="148"/>
      <c r="F65" s="100"/>
      <c r="G65" s="100"/>
      <c r="H65" s="152"/>
      <c r="I65" s="153"/>
      <c r="J65" s="154"/>
      <c r="K65" s="103"/>
      <c r="L65" s="100"/>
      <c r="M65" s="100"/>
      <c r="N65" s="146"/>
      <c r="O65" s="147"/>
      <c r="P65" s="147"/>
      <c r="Q65" s="147"/>
      <c r="R65" s="148"/>
      <c r="S65" s="100"/>
      <c r="T65" s="100"/>
      <c r="U65" s="152"/>
      <c r="V65" s="153"/>
      <c r="W65" s="154"/>
      <c r="X65" s="103"/>
      <c r="Y65" s="100"/>
      <c r="Z65" s="100"/>
    </row>
    <row r="66" spans="1:26" ht="18" customHeight="1" x14ac:dyDescent="0.15">
      <c r="A66" s="25"/>
      <c r="B66" s="149"/>
      <c r="C66" s="150"/>
      <c r="D66" s="150"/>
      <c r="E66" s="151"/>
      <c r="F66" s="101"/>
      <c r="G66" s="101"/>
      <c r="H66" s="155"/>
      <c r="I66" s="156"/>
      <c r="J66" s="157"/>
      <c r="K66" s="104"/>
      <c r="L66" s="106"/>
      <c r="M66" s="106"/>
      <c r="N66" s="149"/>
      <c r="O66" s="150"/>
      <c r="P66" s="150"/>
      <c r="Q66" s="150"/>
      <c r="R66" s="151"/>
      <c r="S66" s="101"/>
      <c r="T66" s="101"/>
      <c r="U66" s="155"/>
      <c r="V66" s="156"/>
      <c r="W66" s="157"/>
      <c r="X66" s="104"/>
      <c r="Y66" s="106"/>
      <c r="Z66" s="106"/>
    </row>
    <row r="67" spans="1:26" ht="7.5" customHeight="1" x14ac:dyDescent="0.15">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6" ht="18" customHeight="1" x14ac:dyDescent="0.15">
      <c r="A68" s="14" t="s">
        <v>100</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17" t="s">
        <v>74</v>
      </c>
      <c r="C69" s="118"/>
      <c r="D69" s="118"/>
      <c r="E69" s="118"/>
      <c r="F69" s="119"/>
      <c r="G69" s="117" t="s">
        <v>101</v>
      </c>
      <c r="H69" s="118"/>
      <c r="I69" s="118"/>
      <c r="J69" s="118"/>
      <c r="K69" s="118"/>
      <c r="L69" s="118"/>
      <c r="M69" s="119"/>
      <c r="N69" s="168" t="s">
        <v>74</v>
      </c>
      <c r="O69" s="169"/>
      <c r="P69" s="169"/>
      <c r="Q69" s="169"/>
      <c r="R69" s="169"/>
      <c r="S69" s="170"/>
      <c r="T69" s="117" t="s">
        <v>101</v>
      </c>
      <c r="U69" s="118"/>
      <c r="V69" s="118"/>
      <c r="W69" s="118"/>
      <c r="X69" s="118"/>
      <c r="Y69" s="118"/>
      <c r="Z69" s="119"/>
    </row>
    <row r="70" spans="1:26" ht="18" customHeight="1" x14ac:dyDescent="0.15">
      <c r="A70" s="25"/>
      <c r="B70" s="143" t="s">
        <v>102</v>
      </c>
      <c r="C70" s="144"/>
      <c r="D70" s="144"/>
      <c r="E70" s="144"/>
      <c r="F70" s="145"/>
      <c r="G70" s="165" t="s">
        <v>103</v>
      </c>
      <c r="H70" s="166"/>
      <c r="I70" s="166"/>
      <c r="J70" s="166"/>
      <c r="K70" s="166"/>
      <c r="L70" s="166"/>
      <c r="M70" s="167"/>
      <c r="N70" s="143"/>
      <c r="O70" s="144"/>
      <c r="P70" s="144"/>
      <c r="Q70" s="144"/>
      <c r="R70" s="144"/>
      <c r="S70" s="145"/>
      <c r="T70" s="209"/>
      <c r="U70" s="210"/>
      <c r="V70" s="210"/>
      <c r="W70" s="210"/>
      <c r="X70" s="210"/>
      <c r="Y70" s="210"/>
      <c r="Z70" s="211"/>
    </row>
    <row r="71" spans="1:26" ht="18" customHeight="1" x14ac:dyDescent="0.15">
      <c r="A71" s="25"/>
      <c r="B71" s="146" t="s">
        <v>104</v>
      </c>
      <c r="C71" s="147"/>
      <c r="D71" s="147"/>
      <c r="E71" s="147"/>
      <c r="F71" s="148"/>
      <c r="G71" s="158" t="s">
        <v>105</v>
      </c>
      <c r="H71" s="159"/>
      <c r="I71" s="159"/>
      <c r="J71" s="159"/>
      <c r="K71" s="159"/>
      <c r="L71" s="159"/>
      <c r="M71" s="160"/>
      <c r="N71" s="146"/>
      <c r="O71" s="147"/>
      <c r="P71" s="147"/>
      <c r="Q71" s="147"/>
      <c r="R71" s="147"/>
      <c r="S71" s="148"/>
      <c r="T71" s="189"/>
      <c r="U71" s="190"/>
      <c r="V71" s="190"/>
      <c r="W71" s="190"/>
      <c r="X71" s="190"/>
      <c r="Y71" s="190"/>
      <c r="Z71" s="191"/>
    </row>
    <row r="72" spans="1:26" ht="18" customHeight="1" x14ac:dyDescent="0.15">
      <c r="A72" s="25"/>
      <c r="B72" s="146" t="s">
        <v>104</v>
      </c>
      <c r="C72" s="147"/>
      <c r="D72" s="147"/>
      <c r="E72" s="147"/>
      <c r="F72" s="148"/>
      <c r="G72" s="158" t="s">
        <v>106</v>
      </c>
      <c r="H72" s="159"/>
      <c r="I72" s="159"/>
      <c r="J72" s="159"/>
      <c r="K72" s="159"/>
      <c r="L72" s="159"/>
      <c r="M72" s="160"/>
      <c r="N72" s="146"/>
      <c r="O72" s="147"/>
      <c r="P72" s="147"/>
      <c r="Q72" s="147"/>
      <c r="R72" s="147"/>
      <c r="S72" s="148"/>
      <c r="T72" s="189"/>
      <c r="U72" s="190"/>
      <c r="V72" s="190"/>
      <c r="W72" s="190"/>
      <c r="X72" s="190"/>
      <c r="Y72" s="190"/>
      <c r="Z72" s="191"/>
    </row>
    <row r="73" spans="1:26" ht="18" customHeight="1" x14ac:dyDescent="0.15">
      <c r="A73" s="25"/>
      <c r="B73" s="146"/>
      <c r="C73" s="147"/>
      <c r="D73" s="147"/>
      <c r="E73" s="147"/>
      <c r="F73" s="148"/>
      <c r="G73" s="189"/>
      <c r="H73" s="190"/>
      <c r="I73" s="190"/>
      <c r="J73" s="190"/>
      <c r="K73" s="190"/>
      <c r="L73" s="190"/>
      <c r="M73" s="191"/>
      <c r="N73" s="146"/>
      <c r="O73" s="147"/>
      <c r="P73" s="147"/>
      <c r="Q73" s="147"/>
      <c r="R73" s="147"/>
      <c r="S73" s="148"/>
      <c r="T73" s="189"/>
      <c r="U73" s="190"/>
      <c r="V73" s="190"/>
      <c r="W73" s="190"/>
      <c r="X73" s="190"/>
      <c r="Y73" s="190"/>
      <c r="Z73" s="191"/>
    </row>
    <row r="74" spans="1:26" ht="18" customHeight="1" x14ac:dyDescent="0.15">
      <c r="A74" s="25"/>
      <c r="B74" s="146"/>
      <c r="C74" s="147"/>
      <c r="D74" s="147"/>
      <c r="E74" s="147"/>
      <c r="F74" s="148"/>
      <c r="G74" s="189"/>
      <c r="H74" s="190"/>
      <c r="I74" s="190"/>
      <c r="J74" s="190"/>
      <c r="K74" s="190"/>
      <c r="L74" s="190"/>
      <c r="M74" s="191"/>
      <c r="N74" s="146"/>
      <c r="O74" s="147"/>
      <c r="P74" s="147"/>
      <c r="Q74" s="147"/>
      <c r="R74" s="147"/>
      <c r="S74" s="148"/>
      <c r="T74" s="189"/>
      <c r="U74" s="190"/>
      <c r="V74" s="190"/>
      <c r="W74" s="190"/>
      <c r="X74" s="190"/>
      <c r="Y74" s="190"/>
      <c r="Z74" s="191"/>
    </row>
    <row r="75" spans="1:26" ht="18" customHeight="1" x14ac:dyDescent="0.15">
      <c r="A75" s="25"/>
      <c r="B75" s="146"/>
      <c r="C75" s="147"/>
      <c r="D75" s="147"/>
      <c r="E75" s="147"/>
      <c r="F75" s="148"/>
      <c r="G75" s="189"/>
      <c r="H75" s="190"/>
      <c r="I75" s="190"/>
      <c r="J75" s="190"/>
      <c r="K75" s="190"/>
      <c r="L75" s="190"/>
      <c r="M75" s="191"/>
      <c r="N75" s="146"/>
      <c r="O75" s="147"/>
      <c r="P75" s="147"/>
      <c r="Q75" s="147"/>
      <c r="R75" s="147"/>
      <c r="S75" s="148"/>
      <c r="T75" s="189"/>
      <c r="U75" s="190"/>
      <c r="V75" s="190"/>
      <c r="W75" s="190"/>
      <c r="X75" s="190"/>
      <c r="Y75" s="190"/>
      <c r="Z75" s="191"/>
    </row>
    <row r="76" spans="1:26" ht="18" customHeight="1" x14ac:dyDescent="0.15">
      <c r="A76" s="25"/>
      <c r="B76" s="149"/>
      <c r="C76" s="150"/>
      <c r="D76" s="150"/>
      <c r="E76" s="150"/>
      <c r="F76" s="151"/>
      <c r="G76" s="186"/>
      <c r="H76" s="187"/>
      <c r="I76" s="187"/>
      <c r="J76" s="187"/>
      <c r="K76" s="187"/>
      <c r="L76" s="187"/>
      <c r="M76" s="188"/>
      <c r="N76" s="149"/>
      <c r="O76" s="150"/>
      <c r="P76" s="150"/>
      <c r="Q76" s="150"/>
      <c r="R76" s="150"/>
      <c r="S76" s="151"/>
      <c r="T76" s="186"/>
      <c r="U76" s="187"/>
      <c r="V76" s="187"/>
      <c r="W76" s="187"/>
      <c r="X76" s="187"/>
      <c r="Y76" s="187"/>
      <c r="Z76" s="188"/>
    </row>
    <row r="77" spans="1:26" ht="18" customHeight="1" x14ac:dyDescent="0.15">
      <c r="A77" s="25"/>
      <c r="B77" s="29"/>
      <c r="C77" s="29"/>
      <c r="D77" s="29"/>
      <c r="E77" s="29"/>
      <c r="F77" s="29"/>
      <c r="G77" s="12"/>
      <c r="H77" s="12"/>
      <c r="I77" s="12"/>
      <c r="J77" s="12"/>
      <c r="K77" s="12"/>
      <c r="L77" s="12"/>
      <c r="M77" s="12"/>
      <c r="N77" s="29"/>
      <c r="O77" s="29"/>
      <c r="P77" s="29"/>
      <c r="Q77" s="29"/>
      <c r="R77" s="29"/>
      <c r="S77" s="29"/>
      <c r="T77" s="12"/>
      <c r="U77" s="12"/>
      <c r="V77" s="12"/>
      <c r="W77" s="12"/>
      <c r="X77" s="12"/>
      <c r="Y77" s="12"/>
      <c r="Z77" s="12"/>
    </row>
    <row r="78" spans="1:26" ht="18.75" customHeight="1" x14ac:dyDescent="0.15">
      <c r="A78" s="13" t="s">
        <v>107</v>
      </c>
    </row>
    <row r="79" spans="1:26" ht="18.75" customHeight="1" x14ac:dyDescent="0.15">
      <c r="B79" s="67" t="s">
        <v>108</v>
      </c>
      <c r="C79" s="68"/>
      <c r="D79" s="220" t="s">
        <v>109</v>
      </c>
      <c r="E79" s="220"/>
      <c r="F79" s="220"/>
      <c r="G79" s="220"/>
      <c r="H79" s="220"/>
      <c r="I79" s="220"/>
      <c r="J79" s="220"/>
      <c r="K79" s="220"/>
      <c r="L79" s="220"/>
      <c r="M79" s="220"/>
      <c r="N79" s="220"/>
      <c r="O79" s="220"/>
      <c r="P79" s="220"/>
      <c r="Q79" s="220"/>
      <c r="R79" s="220"/>
      <c r="S79" s="220"/>
      <c r="T79" s="220"/>
      <c r="U79" s="220"/>
      <c r="V79" s="220"/>
      <c r="W79" s="220"/>
      <c r="X79" s="220"/>
      <c r="Y79" s="220"/>
      <c r="Z79" s="221"/>
    </row>
    <row r="80" spans="1:26" ht="78" customHeight="1" x14ac:dyDescent="0.15">
      <c r="B80" s="217" t="s">
        <v>110</v>
      </c>
      <c r="C80" s="74" t="s">
        <v>78</v>
      </c>
      <c r="D80" s="192" t="s">
        <v>111</v>
      </c>
      <c r="E80" s="193"/>
      <c r="F80" s="193"/>
      <c r="G80" s="193"/>
      <c r="H80" s="193"/>
      <c r="I80" s="193"/>
      <c r="J80" s="193"/>
      <c r="K80" s="193"/>
      <c r="L80" s="193"/>
      <c r="M80" s="193"/>
      <c r="N80" s="193"/>
      <c r="O80" s="193"/>
      <c r="P80" s="193"/>
      <c r="Q80" s="193"/>
      <c r="R80" s="193"/>
      <c r="S80" s="193"/>
      <c r="T80" s="193"/>
      <c r="U80" s="193"/>
      <c r="V80" s="193"/>
      <c r="W80" s="193"/>
      <c r="X80" s="193"/>
      <c r="Y80" s="193"/>
      <c r="Z80" s="194"/>
    </row>
    <row r="81" spans="1:26" ht="78" customHeight="1" x14ac:dyDescent="0.15">
      <c r="B81" s="218"/>
      <c r="C81" s="96" t="s">
        <v>112</v>
      </c>
      <c r="D81" s="192" t="s">
        <v>113</v>
      </c>
      <c r="E81" s="193"/>
      <c r="F81" s="193"/>
      <c r="G81" s="193"/>
      <c r="H81" s="193"/>
      <c r="I81" s="193"/>
      <c r="J81" s="193"/>
      <c r="K81" s="193"/>
      <c r="L81" s="193"/>
      <c r="M81" s="193"/>
      <c r="N81" s="193"/>
      <c r="O81" s="193"/>
      <c r="P81" s="193"/>
      <c r="Q81" s="193"/>
      <c r="R81" s="193"/>
      <c r="S81" s="193"/>
      <c r="T81" s="193"/>
      <c r="U81" s="193"/>
      <c r="V81" s="193"/>
      <c r="W81" s="193"/>
      <c r="X81" s="193"/>
      <c r="Y81" s="193"/>
      <c r="Z81" s="194"/>
    </row>
    <row r="82" spans="1:26" ht="78" customHeight="1" x14ac:dyDescent="0.15">
      <c r="B82" s="215" t="s">
        <v>114</v>
      </c>
      <c r="C82" s="69" t="s">
        <v>86</v>
      </c>
      <c r="D82" s="195" t="s">
        <v>115</v>
      </c>
      <c r="E82" s="196"/>
      <c r="F82" s="196"/>
      <c r="G82" s="196"/>
      <c r="H82" s="196"/>
      <c r="I82" s="196"/>
      <c r="J82" s="196"/>
      <c r="K82" s="196"/>
      <c r="L82" s="196"/>
      <c r="M82" s="196"/>
      <c r="N82" s="196"/>
      <c r="O82" s="196"/>
      <c r="P82" s="196"/>
      <c r="Q82" s="196"/>
      <c r="R82" s="196"/>
      <c r="S82" s="196"/>
      <c r="T82" s="196"/>
      <c r="U82" s="196"/>
      <c r="V82" s="196"/>
      <c r="W82" s="196"/>
      <c r="X82" s="196"/>
      <c r="Y82" s="196"/>
      <c r="Z82" s="197"/>
    </row>
    <row r="83" spans="1:26" ht="78" customHeight="1" x14ac:dyDescent="0.15">
      <c r="B83" s="216"/>
      <c r="C83" s="97" t="s">
        <v>87</v>
      </c>
      <c r="D83" s="195" t="s">
        <v>116</v>
      </c>
      <c r="E83" s="196"/>
      <c r="F83" s="196"/>
      <c r="G83" s="196"/>
      <c r="H83" s="196"/>
      <c r="I83" s="196"/>
      <c r="J83" s="196"/>
      <c r="K83" s="196"/>
      <c r="L83" s="196"/>
      <c r="M83" s="196"/>
      <c r="N83" s="196"/>
      <c r="O83" s="196"/>
      <c r="P83" s="196"/>
      <c r="Q83" s="196"/>
      <c r="R83" s="196"/>
      <c r="S83" s="196"/>
      <c r="T83" s="196"/>
      <c r="U83" s="196"/>
      <c r="V83" s="196"/>
      <c r="W83" s="196"/>
      <c r="X83" s="196"/>
      <c r="Y83" s="196"/>
      <c r="Z83" s="197"/>
    </row>
    <row r="84" spans="1:26" ht="66" customHeight="1" x14ac:dyDescent="0.15">
      <c r="B84" s="215" t="s">
        <v>117</v>
      </c>
      <c r="C84" s="69" t="s">
        <v>89</v>
      </c>
      <c r="D84" s="195" t="s">
        <v>118</v>
      </c>
      <c r="E84" s="196"/>
      <c r="F84" s="196"/>
      <c r="G84" s="196"/>
      <c r="H84" s="196"/>
      <c r="I84" s="196"/>
      <c r="J84" s="196"/>
      <c r="K84" s="196"/>
      <c r="L84" s="196"/>
      <c r="M84" s="196"/>
      <c r="N84" s="196"/>
      <c r="O84" s="196"/>
      <c r="P84" s="196"/>
      <c r="Q84" s="196"/>
      <c r="R84" s="196"/>
      <c r="S84" s="196"/>
      <c r="T84" s="196"/>
      <c r="U84" s="196"/>
      <c r="V84" s="196"/>
      <c r="W84" s="196"/>
      <c r="X84" s="196"/>
      <c r="Y84" s="196"/>
      <c r="Z84" s="197"/>
    </row>
    <row r="85" spans="1:26" ht="66" customHeight="1" x14ac:dyDescent="0.15">
      <c r="B85" s="216"/>
      <c r="C85" s="71" t="s">
        <v>90</v>
      </c>
      <c r="D85" s="195" t="s">
        <v>119</v>
      </c>
      <c r="E85" s="196"/>
      <c r="F85" s="196"/>
      <c r="G85" s="196"/>
      <c r="H85" s="196"/>
      <c r="I85" s="196"/>
      <c r="J85" s="196"/>
      <c r="K85" s="196"/>
      <c r="L85" s="196"/>
      <c r="M85" s="196"/>
      <c r="N85" s="196"/>
      <c r="O85" s="196"/>
      <c r="P85" s="196"/>
      <c r="Q85" s="196"/>
      <c r="R85" s="196"/>
      <c r="S85" s="196"/>
      <c r="T85" s="196"/>
      <c r="U85" s="196"/>
      <c r="V85" s="196"/>
      <c r="W85" s="196"/>
      <c r="X85" s="196"/>
      <c r="Y85" s="196"/>
      <c r="Z85" s="197"/>
    </row>
    <row r="86" spans="1:26" ht="66" customHeight="1" x14ac:dyDescent="0.15">
      <c r="B86" s="217" t="s">
        <v>120</v>
      </c>
      <c r="C86" s="74" t="s">
        <v>92</v>
      </c>
      <c r="D86" s="192" t="s">
        <v>121</v>
      </c>
      <c r="E86" s="193"/>
      <c r="F86" s="193"/>
      <c r="G86" s="193"/>
      <c r="H86" s="193"/>
      <c r="I86" s="193"/>
      <c r="J86" s="193"/>
      <c r="K86" s="193"/>
      <c r="L86" s="193"/>
      <c r="M86" s="193"/>
      <c r="N86" s="193"/>
      <c r="O86" s="193"/>
      <c r="P86" s="193"/>
      <c r="Q86" s="193"/>
      <c r="R86" s="193"/>
      <c r="S86" s="193"/>
      <c r="T86" s="193"/>
      <c r="U86" s="193"/>
      <c r="V86" s="193"/>
      <c r="W86" s="193"/>
      <c r="X86" s="193"/>
      <c r="Y86" s="193"/>
      <c r="Z86" s="194"/>
    </row>
    <row r="87" spans="1:26" ht="66" customHeight="1" x14ac:dyDescent="0.15">
      <c r="B87" s="219"/>
      <c r="C87" s="70" t="s">
        <v>93</v>
      </c>
      <c r="D87" s="192" t="s">
        <v>122</v>
      </c>
      <c r="E87" s="193"/>
      <c r="F87" s="193"/>
      <c r="G87" s="193"/>
      <c r="H87" s="193"/>
      <c r="I87" s="193"/>
      <c r="J87" s="193"/>
      <c r="K87" s="193"/>
      <c r="L87" s="193"/>
      <c r="M87" s="193"/>
      <c r="N87" s="193"/>
      <c r="O87" s="193"/>
      <c r="P87" s="193"/>
      <c r="Q87" s="193"/>
      <c r="R87" s="193"/>
      <c r="S87" s="193"/>
      <c r="T87" s="193"/>
      <c r="U87" s="193"/>
      <c r="V87" s="193"/>
      <c r="W87" s="193"/>
      <c r="X87" s="193"/>
      <c r="Y87" s="193"/>
      <c r="Z87" s="194"/>
    </row>
    <row r="88" spans="1:26" ht="66" customHeight="1" x14ac:dyDescent="0.15">
      <c r="B88" s="217" t="s">
        <v>123</v>
      </c>
      <c r="C88" s="69" t="s">
        <v>95</v>
      </c>
      <c r="D88" s="212" t="s">
        <v>124</v>
      </c>
      <c r="E88" s="213"/>
      <c r="F88" s="213"/>
      <c r="G88" s="213"/>
      <c r="H88" s="213"/>
      <c r="I88" s="213"/>
      <c r="J88" s="213"/>
      <c r="K88" s="213"/>
      <c r="L88" s="213"/>
      <c r="M88" s="213"/>
      <c r="N88" s="213"/>
      <c r="O88" s="213"/>
      <c r="P88" s="213"/>
      <c r="Q88" s="213"/>
      <c r="R88" s="213"/>
      <c r="S88" s="213"/>
      <c r="T88" s="213"/>
      <c r="U88" s="213"/>
      <c r="V88" s="213"/>
      <c r="W88" s="213"/>
      <c r="X88" s="213"/>
      <c r="Y88" s="213"/>
      <c r="Z88" s="214"/>
    </row>
    <row r="89" spans="1:26" ht="66" customHeight="1" x14ac:dyDescent="0.15">
      <c r="B89" s="218"/>
      <c r="C89" s="70" t="s">
        <v>96</v>
      </c>
      <c r="D89" s="212" t="s">
        <v>125</v>
      </c>
      <c r="E89" s="213"/>
      <c r="F89" s="213"/>
      <c r="G89" s="213"/>
      <c r="H89" s="213"/>
      <c r="I89" s="213"/>
      <c r="J89" s="213"/>
      <c r="K89" s="213"/>
      <c r="L89" s="213"/>
      <c r="M89" s="213"/>
      <c r="N89" s="213"/>
      <c r="O89" s="213"/>
      <c r="P89" s="213"/>
      <c r="Q89" s="213"/>
      <c r="R89" s="213"/>
      <c r="S89" s="213"/>
      <c r="T89" s="213"/>
      <c r="U89" s="213"/>
      <c r="V89" s="213"/>
      <c r="W89" s="213"/>
      <c r="X89" s="213"/>
      <c r="Y89" s="213"/>
      <c r="Z89" s="214"/>
    </row>
    <row r="90" spans="1:26" ht="66" customHeight="1" x14ac:dyDescent="0.15">
      <c r="B90" s="216"/>
      <c r="C90" s="71" t="s">
        <v>97</v>
      </c>
      <c r="D90" s="212" t="s">
        <v>126</v>
      </c>
      <c r="E90" s="213"/>
      <c r="F90" s="213"/>
      <c r="G90" s="213"/>
      <c r="H90" s="213"/>
      <c r="I90" s="213"/>
      <c r="J90" s="213"/>
      <c r="K90" s="213"/>
      <c r="L90" s="213"/>
      <c r="M90" s="213"/>
      <c r="N90" s="213"/>
      <c r="O90" s="213"/>
      <c r="P90" s="213"/>
      <c r="Q90" s="213"/>
      <c r="R90" s="213"/>
      <c r="S90" s="213"/>
      <c r="T90" s="213"/>
      <c r="U90" s="213"/>
      <c r="V90" s="213"/>
      <c r="W90" s="213"/>
      <c r="X90" s="213"/>
      <c r="Y90" s="213"/>
      <c r="Z90" s="214"/>
    </row>
    <row r="91" spans="1:26" ht="6" customHeight="1" x14ac:dyDescent="0.15"/>
    <row r="92" spans="1:26" ht="18.75" customHeight="1" x14ac:dyDescent="0.15">
      <c r="A92" s="13" t="s">
        <v>127</v>
      </c>
    </row>
    <row r="93" spans="1:26" ht="18.75" customHeight="1" x14ac:dyDescent="0.15">
      <c r="B93" s="174" t="s">
        <v>128</v>
      </c>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6"/>
    </row>
    <row r="94" spans="1:26" ht="18.75" customHeight="1" x14ac:dyDescent="0.15">
      <c r="B94" s="177"/>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9"/>
    </row>
    <row r="95" spans="1:26" ht="18.75" customHeight="1" x14ac:dyDescent="0.15">
      <c r="B95" s="180"/>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2"/>
    </row>
    <row r="96" spans="1:26" ht="6" customHeight="1" x14ac:dyDescent="0.15"/>
    <row r="97" spans="1:26" ht="15" customHeight="1" x14ac:dyDescent="0.15">
      <c r="A97" s="13" t="s">
        <v>129</v>
      </c>
    </row>
    <row r="98" spans="1:26" ht="15" customHeight="1" x14ac:dyDescent="0.15">
      <c r="B98" s="183" t="s">
        <v>293</v>
      </c>
      <c r="C98" s="184"/>
      <c r="D98" s="184"/>
      <c r="E98" s="184"/>
      <c r="F98" s="184"/>
      <c r="G98" s="184"/>
      <c r="H98" s="184"/>
      <c r="I98" s="184"/>
      <c r="J98" s="184"/>
      <c r="K98" s="184"/>
      <c r="L98" s="184"/>
      <c r="M98" s="184"/>
      <c r="N98" s="184"/>
      <c r="O98" s="184"/>
      <c r="P98" s="184"/>
      <c r="Q98" s="184"/>
      <c r="R98" s="184"/>
      <c r="S98" s="184"/>
      <c r="T98" s="184"/>
      <c r="U98" s="184"/>
      <c r="V98" s="184"/>
      <c r="W98" s="184"/>
      <c r="X98" s="184"/>
      <c r="Y98" s="184"/>
      <c r="Z98" s="185"/>
    </row>
    <row r="133" spans="14:14" ht="18.75" customHeight="1" x14ac:dyDescent="0.15">
      <c r="N133"/>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H27:H33 H38:H44 Y38:Z44 H49:H55 Y49:Z55 Y60:Z66 L49:M55 H16:H22 U16:U22 T60:T66 U27:U33 L27:M33 U38:U44 L38:M44 U49:U55 G60:G66 L62:M66 K60:M61">
      <formula1>"○"</formula1>
    </dataValidation>
    <dataValidation type="list" allowBlank="1" showInputMessage="1" showErrorMessage="1" sqref="Z23 Z34 D34:K34 D23:K23 V16:V22 I16:I22 V27:V33 H60:H66 V38:V44 I27:I33 V49:V55 I38:I44 U60:U66 I49:I55">
      <formula1>"全学開講,一部開講"</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display="https://www.fukui-nct.ac.jp/information/disclosure/mext_mathdsai/"/>
  </hyperlinks>
  <printOptions horizontalCentered="1"/>
  <pageMargins left="0.25" right="0.25" top="0.75" bottom="0.75" header="0.3" footer="0.3"/>
  <pageSetup paperSize="9" scale="76" fitToHeight="0" orientation="portrait"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33"/>
  <sheetViews>
    <sheetView showZeros="0" view="pageBreakPreview" topLeftCell="B88" zoomScaleNormal="100" zoomScaleSheetLayoutView="100" workbookViewId="0">
      <selection activeCell="B98" sqref="B98:Z98"/>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64" t="s">
        <v>130</v>
      </c>
      <c r="X1" s="164"/>
      <c r="Y1" s="164"/>
      <c r="Z1" s="164"/>
    </row>
    <row r="2" spans="1:26" ht="18" customHeight="1" x14ac:dyDescent="0.15">
      <c r="A2" s="199" t="s">
        <v>69</v>
      </c>
      <c r="B2" s="199"/>
      <c r="C2" s="199"/>
      <c r="D2" s="199"/>
      <c r="E2" s="199"/>
      <c r="F2" s="199"/>
      <c r="G2" s="199"/>
      <c r="H2" s="199"/>
      <c r="I2" s="199"/>
      <c r="J2" s="199"/>
      <c r="K2" s="199"/>
      <c r="L2" s="199"/>
      <c r="M2" s="199"/>
      <c r="N2" s="199"/>
      <c r="O2" s="199"/>
      <c r="P2" s="199"/>
      <c r="Q2" s="199"/>
      <c r="R2" s="199"/>
      <c r="S2" s="199"/>
      <c r="T2" s="199"/>
      <c r="U2" s="199"/>
      <c r="V2" s="199"/>
      <c r="W2" s="199"/>
      <c r="X2" s="199"/>
      <c r="Y2" s="199"/>
      <c r="Z2" s="199"/>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70</v>
      </c>
      <c r="B4" s="25"/>
      <c r="C4" s="25"/>
      <c r="D4" s="25"/>
      <c r="E4" s="25"/>
      <c r="F4" s="25"/>
      <c r="G4" s="25"/>
      <c r="H4" s="14" t="s">
        <v>71</v>
      </c>
      <c r="I4" s="25"/>
      <c r="J4" s="25"/>
      <c r="K4" s="25"/>
      <c r="L4" s="25"/>
      <c r="M4" s="25"/>
      <c r="N4" s="25"/>
      <c r="O4" s="117" t="s">
        <v>72</v>
      </c>
      <c r="P4" s="118"/>
      <c r="Q4" s="118"/>
      <c r="R4" s="118"/>
      <c r="S4" s="118"/>
      <c r="T4" s="118"/>
      <c r="U4" s="118"/>
      <c r="V4" s="118"/>
      <c r="W4" s="118"/>
      <c r="X4" s="118"/>
      <c r="Y4" s="118"/>
      <c r="Z4" s="119"/>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00" t="s">
        <v>284</v>
      </c>
      <c r="C6" s="201"/>
      <c r="D6" s="201"/>
      <c r="E6" s="201"/>
      <c r="F6" s="201"/>
      <c r="G6" s="201"/>
      <c r="H6" s="201"/>
      <c r="I6" s="201"/>
      <c r="J6" s="201"/>
      <c r="K6" s="201"/>
      <c r="L6" s="201"/>
      <c r="M6" s="201"/>
      <c r="N6" s="201"/>
      <c r="O6" s="201"/>
      <c r="P6" s="201"/>
      <c r="Q6" s="201"/>
      <c r="R6" s="201"/>
      <c r="S6" s="201"/>
      <c r="T6" s="201"/>
      <c r="U6" s="201"/>
      <c r="V6" s="201"/>
      <c r="W6" s="201"/>
      <c r="X6" s="201"/>
      <c r="Y6" s="201"/>
      <c r="Z6" s="202"/>
    </row>
    <row r="7" spans="1:26" ht="18" customHeight="1" x14ac:dyDescent="0.15">
      <c r="B7" s="203"/>
      <c r="C7" s="204"/>
      <c r="D7" s="204"/>
      <c r="E7" s="204"/>
      <c r="F7" s="204"/>
      <c r="G7" s="204"/>
      <c r="H7" s="204"/>
      <c r="I7" s="204"/>
      <c r="J7" s="204"/>
      <c r="K7" s="204"/>
      <c r="L7" s="204"/>
      <c r="M7" s="204"/>
      <c r="N7" s="204"/>
      <c r="O7" s="204"/>
      <c r="P7" s="204"/>
      <c r="Q7" s="204"/>
      <c r="R7" s="204"/>
      <c r="S7" s="204"/>
      <c r="T7" s="204"/>
      <c r="U7" s="204"/>
      <c r="V7" s="204"/>
      <c r="W7" s="204"/>
      <c r="X7" s="204"/>
      <c r="Y7" s="204"/>
      <c r="Z7" s="205"/>
    </row>
    <row r="8" spans="1:26" ht="18" customHeight="1" x14ac:dyDescent="0.15">
      <c r="B8" s="203"/>
      <c r="C8" s="204"/>
      <c r="D8" s="204"/>
      <c r="E8" s="204"/>
      <c r="F8" s="204"/>
      <c r="G8" s="204"/>
      <c r="H8" s="204"/>
      <c r="I8" s="204"/>
      <c r="J8" s="204"/>
      <c r="K8" s="204"/>
      <c r="L8" s="204"/>
      <c r="M8" s="204"/>
      <c r="N8" s="204"/>
      <c r="O8" s="204"/>
      <c r="P8" s="204"/>
      <c r="Q8" s="204"/>
      <c r="R8" s="204"/>
      <c r="S8" s="204"/>
      <c r="T8" s="204"/>
      <c r="U8" s="204"/>
      <c r="V8" s="204"/>
      <c r="W8" s="204"/>
      <c r="X8" s="204"/>
      <c r="Y8" s="204"/>
      <c r="Z8" s="205"/>
    </row>
    <row r="9" spans="1:26" ht="18" customHeight="1" x14ac:dyDescent="0.15">
      <c r="B9" s="203"/>
      <c r="C9" s="204"/>
      <c r="D9" s="204"/>
      <c r="E9" s="204"/>
      <c r="F9" s="204"/>
      <c r="G9" s="204"/>
      <c r="H9" s="204"/>
      <c r="I9" s="204"/>
      <c r="J9" s="204"/>
      <c r="K9" s="204"/>
      <c r="L9" s="204"/>
      <c r="M9" s="204"/>
      <c r="N9" s="204"/>
      <c r="O9" s="204"/>
      <c r="P9" s="204"/>
      <c r="Q9" s="204"/>
      <c r="R9" s="204"/>
      <c r="S9" s="204"/>
      <c r="T9" s="204"/>
      <c r="U9" s="204"/>
      <c r="V9" s="204"/>
      <c r="W9" s="204"/>
      <c r="X9" s="204"/>
      <c r="Y9" s="204"/>
      <c r="Z9" s="205"/>
    </row>
    <row r="10" spans="1:26" ht="18" customHeight="1" x14ac:dyDescent="0.15">
      <c r="B10" s="203"/>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5"/>
    </row>
    <row r="11" spans="1:26" ht="18" customHeight="1" x14ac:dyDescent="0.15">
      <c r="B11" s="206"/>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8"/>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98" t="s">
        <v>73</v>
      </c>
      <c r="B13" s="198"/>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row>
    <row r="14" spans="1:26" ht="18" customHeight="1" x14ac:dyDescent="0.15">
      <c r="A14" s="198"/>
      <c r="B14" s="198"/>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row>
    <row r="15" spans="1:26" ht="18" customHeight="1" x14ac:dyDescent="0.15">
      <c r="A15" s="14"/>
      <c r="B15" s="117" t="s">
        <v>74</v>
      </c>
      <c r="C15" s="118"/>
      <c r="D15" s="118"/>
      <c r="E15" s="118"/>
      <c r="F15" s="119"/>
      <c r="G15" s="26" t="s">
        <v>75</v>
      </c>
      <c r="H15" s="98" t="s">
        <v>76</v>
      </c>
      <c r="I15" s="118" t="s">
        <v>77</v>
      </c>
      <c r="J15" s="118"/>
      <c r="K15" s="118"/>
      <c r="L15" s="65" t="s">
        <v>78</v>
      </c>
      <c r="M15" s="65" t="s">
        <v>79</v>
      </c>
      <c r="N15" s="117" t="s">
        <v>74</v>
      </c>
      <c r="O15" s="118"/>
      <c r="P15" s="118"/>
      <c r="Q15" s="118"/>
      <c r="R15" s="118"/>
      <c r="S15" s="119"/>
      <c r="T15" s="26" t="s">
        <v>75</v>
      </c>
      <c r="U15" s="98" t="s">
        <v>76</v>
      </c>
      <c r="V15" s="118" t="s">
        <v>77</v>
      </c>
      <c r="W15" s="118"/>
      <c r="X15" s="118"/>
      <c r="Y15" s="65" t="s">
        <v>78</v>
      </c>
      <c r="Z15" s="65" t="s">
        <v>79</v>
      </c>
    </row>
    <row r="16" spans="1:26" ht="18" customHeight="1" x14ac:dyDescent="0.15">
      <c r="A16" s="14"/>
      <c r="B16" s="165" t="s">
        <v>131</v>
      </c>
      <c r="C16" s="166"/>
      <c r="D16" s="166"/>
      <c r="E16" s="166"/>
      <c r="F16" s="167"/>
      <c r="G16" s="99">
        <v>2</v>
      </c>
      <c r="H16" s="99" t="s">
        <v>81</v>
      </c>
      <c r="I16" s="171" t="s">
        <v>82</v>
      </c>
      <c r="J16" s="172"/>
      <c r="K16" s="173"/>
      <c r="L16" s="99" t="s">
        <v>81</v>
      </c>
      <c r="M16" s="99" t="s">
        <v>81</v>
      </c>
      <c r="N16" s="143"/>
      <c r="O16" s="144"/>
      <c r="P16" s="144"/>
      <c r="Q16" s="144"/>
      <c r="R16" s="144"/>
      <c r="S16" s="145"/>
      <c r="T16" s="99"/>
      <c r="U16" s="99"/>
      <c r="V16" s="171"/>
      <c r="W16" s="172"/>
      <c r="X16" s="173"/>
      <c r="Y16" s="99"/>
      <c r="Z16" s="99"/>
    </row>
    <row r="17" spans="1:26" ht="18" customHeight="1" x14ac:dyDescent="0.15">
      <c r="A17" s="14"/>
      <c r="B17" s="158" t="s">
        <v>83</v>
      </c>
      <c r="C17" s="159"/>
      <c r="D17" s="159"/>
      <c r="E17" s="159"/>
      <c r="F17" s="160"/>
      <c r="G17" s="100">
        <v>1</v>
      </c>
      <c r="H17" s="100" t="s">
        <v>81</v>
      </c>
      <c r="I17" s="152" t="s">
        <v>84</v>
      </c>
      <c r="J17" s="153"/>
      <c r="K17" s="154"/>
      <c r="L17" s="100" t="s">
        <v>81</v>
      </c>
      <c r="M17" s="100" t="s">
        <v>81</v>
      </c>
      <c r="N17" s="146"/>
      <c r="O17" s="147"/>
      <c r="P17" s="147"/>
      <c r="Q17" s="147"/>
      <c r="R17" s="147"/>
      <c r="S17" s="148"/>
      <c r="T17" s="100"/>
      <c r="U17" s="100"/>
      <c r="V17" s="152"/>
      <c r="W17" s="153"/>
      <c r="X17" s="154"/>
      <c r="Y17" s="100"/>
      <c r="Z17" s="100"/>
    </row>
    <row r="18" spans="1:26" ht="18" customHeight="1" x14ac:dyDescent="0.15">
      <c r="A18" s="14"/>
      <c r="B18" s="158"/>
      <c r="C18" s="159"/>
      <c r="D18" s="159"/>
      <c r="E18" s="159"/>
      <c r="F18" s="160"/>
      <c r="G18" s="100"/>
      <c r="H18" s="100"/>
      <c r="I18" s="152"/>
      <c r="J18" s="153"/>
      <c r="K18" s="154"/>
      <c r="L18" s="100"/>
      <c r="M18" s="100"/>
      <c r="N18" s="146"/>
      <c r="O18" s="147"/>
      <c r="P18" s="147"/>
      <c r="Q18" s="147"/>
      <c r="R18" s="147"/>
      <c r="S18" s="148"/>
      <c r="T18" s="100"/>
      <c r="U18" s="100"/>
      <c r="V18" s="152"/>
      <c r="W18" s="153"/>
      <c r="X18" s="154"/>
      <c r="Y18" s="100"/>
      <c r="Z18" s="100"/>
    </row>
    <row r="19" spans="1:26" ht="18" customHeight="1" x14ac:dyDescent="0.15">
      <c r="A19" s="14"/>
      <c r="B19" s="158"/>
      <c r="C19" s="159"/>
      <c r="D19" s="159"/>
      <c r="E19" s="159"/>
      <c r="F19" s="160"/>
      <c r="G19" s="100"/>
      <c r="H19" s="100"/>
      <c r="I19" s="152"/>
      <c r="J19" s="153"/>
      <c r="K19" s="154"/>
      <c r="L19" s="100"/>
      <c r="M19" s="100"/>
      <c r="N19" s="146"/>
      <c r="O19" s="147"/>
      <c r="P19" s="147"/>
      <c r="Q19" s="147"/>
      <c r="R19" s="147"/>
      <c r="S19" s="148"/>
      <c r="T19" s="100"/>
      <c r="U19" s="100"/>
      <c r="V19" s="152"/>
      <c r="W19" s="153"/>
      <c r="X19" s="154"/>
      <c r="Y19" s="100"/>
      <c r="Z19" s="100"/>
    </row>
    <row r="20" spans="1:26" ht="18" customHeight="1" x14ac:dyDescent="0.15">
      <c r="A20" s="14"/>
      <c r="B20" s="158"/>
      <c r="C20" s="159"/>
      <c r="D20" s="159"/>
      <c r="E20" s="159"/>
      <c r="F20" s="160"/>
      <c r="G20" s="100"/>
      <c r="H20" s="100"/>
      <c r="I20" s="152"/>
      <c r="J20" s="153"/>
      <c r="K20" s="154"/>
      <c r="L20" s="100"/>
      <c r="M20" s="100"/>
      <c r="N20" s="146"/>
      <c r="O20" s="147"/>
      <c r="P20" s="147"/>
      <c r="Q20" s="147"/>
      <c r="R20" s="147"/>
      <c r="S20" s="148"/>
      <c r="T20" s="100"/>
      <c r="U20" s="100"/>
      <c r="V20" s="152"/>
      <c r="W20" s="153"/>
      <c r="X20" s="154"/>
      <c r="Y20" s="100"/>
      <c r="Z20" s="100"/>
    </row>
    <row r="21" spans="1:26" ht="18" customHeight="1" x14ac:dyDescent="0.15">
      <c r="A21" s="25"/>
      <c r="B21" s="158"/>
      <c r="C21" s="159"/>
      <c r="D21" s="159"/>
      <c r="E21" s="159"/>
      <c r="F21" s="160"/>
      <c r="G21" s="100"/>
      <c r="H21" s="100"/>
      <c r="I21" s="152"/>
      <c r="J21" s="153"/>
      <c r="K21" s="154"/>
      <c r="L21" s="100"/>
      <c r="M21" s="100"/>
      <c r="N21" s="146"/>
      <c r="O21" s="147"/>
      <c r="P21" s="147"/>
      <c r="Q21" s="147"/>
      <c r="R21" s="147"/>
      <c r="S21" s="148"/>
      <c r="T21" s="100"/>
      <c r="U21" s="100"/>
      <c r="V21" s="152"/>
      <c r="W21" s="153"/>
      <c r="X21" s="154"/>
      <c r="Y21" s="100"/>
      <c r="Z21" s="100"/>
    </row>
    <row r="22" spans="1:26" ht="18" customHeight="1" x14ac:dyDescent="0.15">
      <c r="A22" s="25"/>
      <c r="B22" s="161"/>
      <c r="C22" s="162"/>
      <c r="D22" s="162"/>
      <c r="E22" s="162"/>
      <c r="F22" s="163"/>
      <c r="G22" s="101"/>
      <c r="H22" s="101"/>
      <c r="I22" s="155"/>
      <c r="J22" s="156"/>
      <c r="K22" s="157"/>
      <c r="L22" s="106"/>
      <c r="M22" s="106"/>
      <c r="N22" s="149"/>
      <c r="O22" s="150"/>
      <c r="P22" s="150"/>
      <c r="Q22" s="150"/>
      <c r="R22" s="150"/>
      <c r="S22" s="151"/>
      <c r="T22" s="101"/>
      <c r="U22" s="101"/>
      <c r="V22" s="155"/>
      <c r="W22" s="156"/>
      <c r="X22" s="157"/>
      <c r="Y22" s="106"/>
      <c r="Z22" s="106"/>
    </row>
    <row r="23" spans="1:26" ht="7.5" customHeight="1" x14ac:dyDescent="0.15">
      <c r="A23" s="25"/>
      <c r="B23" s="29"/>
      <c r="C23" s="29"/>
      <c r="D23" s="25"/>
      <c r="E23" s="25"/>
      <c r="F23" s="25"/>
      <c r="G23" s="25"/>
      <c r="H23" s="25"/>
      <c r="I23" s="25"/>
      <c r="J23" s="25"/>
      <c r="K23" s="25"/>
      <c r="L23" s="29"/>
      <c r="M23" s="29"/>
      <c r="N23" s="29"/>
      <c r="O23" s="29"/>
      <c r="P23" s="29"/>
      <c r="Q23" s="29"/>
      <c r="R23" s="29"/>
      <c r="S23" s="29"/>
      <c r="T23" s="29"/>
      <c r="U23" s="29"/>
      <c r="V23" s="29"/>
      <c r="W23" s="29"/>
      <c r="X23" s="29"/>
      <c r="Y23" s="29"/>
      <c r="Z23" s="25"/>
    </row>
    <row r="24" spans="1:26" ht="18" customHeight="1" x14ac:dyDescent="0.15">
      <c r="A24" s="198" t="s">
        <v>85</v>
      </c>
      <c r="B24" s="198"/>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spans="1:26" ht="18" customHeight="1" x14ac:dyDescent="0.15">
      <c r="A25" s="198"/>
      <c r="B25" s="198"/>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row>
    <row r="26" spans="1:26" ht="18" customHeight="1" x14ac:dyDescent="0.15">
      <c r="A26" s="14"/>
      <c r="B26" s="117" t="s">
        <v>74</v>
      </c>
      <c r="C26" s="118"/>
      <c r="D26" s="118"/>
      <c r="E26" s="118"/>
      <c r="F26" s="119"/>
      <c r="G26" s="26" t="s">
        <v>75</v>
      </c>
      <c r="H26" s="98" t="s">
        <v>76</v>
      </c>
      <c r="I26" s="118" t="s">
        <v>77</v>
      </c>
      <c r="J26" s="118"/>
      <c r="K26" s="118"/>
      <c r="L26" s="65" t="s">
        <v>86</v>
      </c>
      <c r="M26" s="65" t="s">
        <v>87</v>
      </c>
      <c r="N26" s="117" t="s">
        <v>74</v>
      </c>
      <c r="O26" s="118"/>
      <c r="P26" s="118"/>
      <c r="Q26" s="118"/>
      <c r="R26" s="118"/>
      <c r="S26" s="119"/>
      <c r="T26" s="26" t="s">
        <v>75</v>
      </c>
      <c r="U26" s="98" t="s">
        <v>76</v>
      </c>
      <c r="V26" s="118" t="s">
        <v>77</v>
      </c>
      <c r="W26" s="118"/>
      <c r="X26" s="118"/>
      <c r="Y26" s="65" t="s">
        <v>86</v>
      </c>
      <c r="Z26" s="65" t="s">
        <v>87</v>
      </c>
    </row>
    <row r="27" spans="1:26" ht="18" customHeight="1" x14ac:dyDescent="0.15">
      <c r="A27" s="14"/>
      <c r="B27" s="165" t="s">
        <v>131</v>
      </c>
      <c r="C27" s="166"/>
      <c r="D27" s="166"/>
      <c r="E27" s="166"/>
      <c r="F27" s="167"/>
      <c r="G27" s="99">
        <v>2</v>
      </c>
      <c r="H27" s="99" t="s">
        <v>81</v>
      </c>
      <c r="I27" s="171" t="s">
        <v>82</v>
      </c>
      <c r="J27" s="172"/>
      <c r="K27" s="173"/>
      <c r="L27" s="99" t="s">
        <v>81</v>
      </c>
      <c r="M27" s="99" t="s">
        <v>81</v>
      </c>
      <c r="N27" s="143"/>
      <c r="O27" s="144"/>
      <c r="P27" s="144"/>
      <c r="Q27" s="144"/>
      <c r="R27" s="144"/>
      <c r="S27" s="145"/>
      <c r="T27" s="99"/>
      <c r="U27" s="99"/>
      <c r="V27" s="171"/>
      <c r="W27" s="172"/>
      <c r="X27" s="173"/>
      <c r="Y27" s="99"/>
      <c r="Z27" s="99"/>
    </row>
    <row r="28" spans="1:26" ht="18" customHeight="1" x14ac:dyDescent="0.15">
      <c r="A28" s="14"/>
      <c r="B28" s="158" t="s">
        <v>83</v>
      </c>
      <c r="C28" s="159"/>
      <c r="D28" s="159"/>
      <c r="E28" s="159"/>
      <c r="F28" s="160"/>
      <c r="G28" s="100">
        <v>1</v>
      </c>
      <c r="H28" s="100" t="s">
        <v>81</v>
      </c>
      <c r="I28" s="152" t="s">
        <v>84</v>
      </c>
      <c r="J28" s="153"/>
      <c r="K28" s="154"/>
      <c r="L28" s="100" t="s">
        <v>81</v>
      </c>
      <c r="M28" s="100" t="s">
        <v>81</v>
      </c>
      <c r="N28" s="146"/>
      <c r="O28" s="147"/>
      <c r="P28" s="147"/>
      <c r="Q28" s="147"/>
      <c r="R28" s="147"/>
      <c r="S28" s="148"/>
      <c r="T28" s="100"/>
      <c r="U28" s="100"/>
      <c r="V28" s="152"/>
      <c r="W28" s="153"/>
      <c r="X28" s="154"/>
      <c r="Y28" s="100"/>
      <c r="Z28" s="100"/>
    </row>
    <row r="29" spans="1:26" ht="18" customHeight="1" x14ac:dyDescent="0.15">
      <c r="A29" s="14"/>
      <c r="B29" s="158"/>
      <c r="C29" s="159"/>
      <c r="D29" s="159"/>
      <c r="E29" s="159"/>
      <c r="F29" s="160"/>
      <c r="G29" s="100"/>
      <c r="H29" s="100"/>
      <c r="I29" s="152"/>
      <c r="J29" s="153"/>
      <c r="K29" s="154"/>
      <c r="L29" s="100"/>
      <c r="M29" s="100"/>
      <c r="N29" s="146"/>
      <c r="O29" s="147"/>
      <c r="P29" s="147"/>
      <c r="Q29" s="147"/>
      <c r="R29" s="147"/>
      <c r="S29" s="148"/>
      <c r="T29" s="100"/>
      <c r="U29" s="100"/>
      <c r="V29" s="152"/>
      <c r="W29" s="153"/>
      <c r="X29" s="154"/>
      <c r="Y29" s="100"/>
      <c r="Z29" s="100"/>
    </row>
    <row r="30" spans="1:26" ht="18" customHeight="1" x14ac:dyDescent="0.15">
      <c r="A30" s="14"/>
      <c r="B30" s="158"/>
      <c r="C30" s="159"/>
      <c r="D30" s="159"/>
      <c r="E30" s="159"/>
      <c r="F30" s="160"/>
      <c r="G30" s="100"/>
      <c r="H30" s="100"/>
      <c r="I30" s="152"/>
      <c r="J30" s="153"/>
      <c r="K30" s="154"/>
      <c r="L30" s="100"/>
      <c r="M30" s="100"/>
      <c r="N30" s="146"/>
      <c r="O30" s="147"/>
      <c r="P30" s="147"/>
      <c r="Q30" s="147"/>
      <c r="R30" s="147"/>
      <c r="S30" s="148"/>
      <c r="T30" s="100"/>
      <c r="U30" s="100"/>
      <c r="V30" s="152"/>
      <c r="W30" s="153"/>
      <c r="X30" s="154"/>
      <c r="Y30" s="100"/>
      <c r="Z30" s="100"/>
    </row>
    <row r="31" spans="1:26" ht="18" customHeight="1" x14ac:dyDescent="0.15">
      <c r="A31" s="14"/>
      <c r="B31" s="158"/>
      <c r="C31" s="159"/>
      <c r="D31" s="159"/>
      <c r="E31" s="159"/>
      <c r="F31" s="160"/>
      <c r="G31" s="100"/>
      <c r="H31" s="100"/>
      <c r="I31" s="152"/>
      <c r="J31" s="153"/>
      <c r="K31" s="154"/>
      <c r="L31" s="100"/>
      <c r="M31" s="100"/>
      <c r="N31" s="146"/>
      <c r="O31" s="147"/>
      <c r="P31" s="147"/>
      <c r="Q31" s="147"/>
      <c r="R31" s="147"/>
      <c r="S31" s="148"/>
      <c r="T31" s="100"/>
      <c r="U31" s="100"/>
      <c r="V31" s="152"/>
      <c r="W31" s="153"/>
      <c r="X31" s="154"/>
      <c r="Y31" s="100"/>
      <c r="Z31" s="100"/>
    </row>
    <row r="32" spans="1:26" ht="18" customHeight="1" x14ac:dyDescent="0.15">
      <c r="A32" s="14"/>
      <c r="B32" s="158"/>
      <c r="C32" s="159"/>
      <c r="D32" s="159"/>
      <c r="E32" s="159"/>
      <c r="F32" s="160"/>
      <c r="G32" s="100"/>
      <c r="H32" s="100"/>
      <c r="I32" s="152"/>
      <c r="J32" s="153"/>
      <c r="K32" s="154"/>
      <c r="L32" s="100"/>
      <c r="M32" s="100"/>
      <c r="N32" s="146"/>
      <c r="O32" s="147"/>
      <c r="P32" s="147"/>
      <c r="Q32" s="147"/>
      <c r="R32" s="147"/>
      <c r="S32" s="148"/>
      <c r="T32" s="100"/>
      <c r="U32" s="100"/>
      <c r="V32" s="152"/>
      <c r="W32" s="153"/>
      <c r="X32" s="154"/>
      <c r="Y32" s="100"/>
      <c r="Z32" s="100"/>
    </row>
    <row r="33" spans="1:26" ht="18" customHeight="1" x14ac:dyDescent="0.15">
      <c r="A33" s="14"/>
      <c r="B33" s="161"/>
      <c r="C33" s="162"/>
      <c r="D33" s="162"/>
      <c r="E33" s="162"/>
      <c r="F33" s="163"/>
      <c r="G33" s="101"/>
      <c r="H33" s="101"/>
      <c r="I33" s="155"/>
      <c r="J33" s="156"/>
      <c r="K33" s="157"/>
      <c r="L33" s="106"/>
      <c r="M33" s="106"/>
      <c r="N33" s="149"/>
      <c r="O33" s="150"/>
      <c r="P33" s="150"/>
      <c r="Q33" s="150"/>
      <c r="R33" s="150"/>
      <c r="S33" s="151"/>
      <c r="T33" s="101"/>
      <c r="U33" s="101"/>
      <c r="V33" s="155"/>
      <c r="W33" s="156"/>
      <c r="X33" s="157"/>
      <c r="Y33" s="106"/>
      <c r="Z33" s="106"/>
    </row>
    <row r="34" spans="1:26" ht="7.5" customHeight="1" x14ac:dyDescent="0.15">
      <c r="A34" s="25"/>
      <c r="B34" s="29"/>
      <c r="C34" s="29"/>
      <c r="D34" s="25"/>
      <c r="E34" s="25"/>
      <c r="F34" s="25"/>
      <c r="G34" s="25"/>
      <c r="H34" s="25"/>
      <c r="I34" s="25"/>
      <c r="J34" s="25"/>
      <c r="K34" s="25"/>
      <c r="L34" s="29"/>
      <c r="M34" s="29"/>
      <c r="N34" s="29"/>
      <c r="O34" s="29"/>
      <c r="P34" s="29"/>
      <c r="Q34" s="29"/>
      <c r="R34" s="29"/>
      <c r="S34" s="29"/>
      <c r="T34" s="29"/>
      <c r="U34" s="29"/>
      <c r="V34" s="29"/>
      <c r="W34" s="29"/>
      <c r="X34" s="29"/>
      <c r="Y34" s="29"/>
      <c r="Z34" s="25"/>
    </row>
    <row r="35" spans="1:26" ht="18" customHeight="1" x14ac:dyDescent="0.15">
      <c r="A35" s="198" t="s">
        <v>132</v>
      </c>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row>
    <row r="36" spans="1:26" ht="18" customHeight="1" x14ac:dyDescent="0.15">
      <c r="A36" s="198"/>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spans="1:26" ht="18" customHeight="1" x14ac:dyDescent="0.15">
      <c r="A37" s="14"/>
      <c r="B37" s="117" t="s">
        <v>74</v>
      </c>
      <c r="C37" s="118"/>
      <c r="D37" s="118"/>
      <c r="E37" s="118"/>
      <c r="F37" s="119"/>
      <c r="G37" s="26" t="s">
        <v>75</v>
      </c>
      <c r="H37" s="98" t="s">
        <v>76</v>
      </c>
      <c r="I37" s="117" t="s">
        <v>77</v>
      </c>
      <c r="J37" s="118"/>
      <c r="K37" s="119"/>
      <c r="L37" s="65" t="s">
        <v>89</v>
      </c>
      <c r="M37" s="65" t="s">
        <v>90</v>
      </c>
      <c r="N37" s="117" t="s">
        <v>74</v>
      </c>
      <c r="O37" s="118"/>
      <c r="P37" s="118"/>
      <c r="Q37" s="118"/>
      <c r="R37" s="118"/>
      <c r="S37" s="119"/>
      <c r="T37" s="26" t="s">
        <v>75</v>
      </c>
      <c r="U37" s="98" t="s">
        <v>76</v>
      </c>
      <c r="V37" s="117" t="s">
        <v>77</v>
      </c>
      <c r="W37" s="118"/>
      <c r="X37" s="119"/>
      <c r="Y37" s="65" t="s">
        <v>89</v>
      </c>
      <c r="Z37" s="65" t="s">
        <v>90</v>
      </c>
    </row>
    <row r="38" spans="1:26" ht="18" customHeight="1" x14ac:dyDescent="0.15">
      <c r="A38" s="25"/>
      <c r="B38" s="165" t="s">
        <v>131</v>
      </c>
      <c r="C38" s="166"/>
      <c r="D38" s="166"/>
      <c r="E38" s="166"/>
      <c r="F38" s="167"/>
      <c r="G38" s="99">
        <v>2</v>
      </c>
      <c r="H38" s="99" t="s">
        <v>81</v>
      </c>
      <c r="I38" s="171" t="s">
        <v>82</v>
      </c>
      <c r="J38" s="172"/>
      <c r="K38" s="173"/>
      <c r="L38" s="99" t="s">
        <v>81</v>
      </c>
      <c r="M38" s="99" t="s">
        <v>81</v>
      </c>
      <c r="N38" s="143"/>
      <c r="O38" s="144"/>
      <c r="P38" s="144"/>
      <c r="Q38" s="144"/>
      <c r="R38" s="144"/>
      <c r="S38" s="145"/>
      <c r="T38" s="99"/>
      <c r="U38" s="99"/>
      <c r="V38" s="171"/>
      <c r="W38" s="172"/>
      <c r="X38" s="173"/>
      <c r="Y38" s="99"/>
      <c r="Z38" s="99"/>
    </row>
    <row r="39" spans="1:26" ht="18" customHeight="1" x14ac:dyDescent="0.15">
      <c r="A39" s="25"/>
      <c r="B39" s="158" t="s">
        <v>83</v>
      </c>
      <c r="C39" s="159"/>
      <c r="D39" s="159"/>
      <c r="E39" s="159"/>
      <c r="F39" s="160"/>
      <c r="G39" s="100">
        <v>1</v>
      </c>
      <c r="H39" s="100" t="s">
        <v>81</v>
      </c>
      <c r="I39" s="152" t="s">
        <v>84</v>
      </c>
      <c r="J39" s="153"/>
      <c r="K39" s="154"/>
      <c r="L39" s="100" t="s">
        <v>81</v>
      </c>
      <c r="M39" s="100" t="s">
        <v>81</v>
      </c>
      <c r="N39" s="146"/>
      <c r="O39" s="147"/>
      <c r="P39" s="147"/>
      <c r="Q39" s="147"/>
      <c r="R39" s="147"/>
      <c r="S39" s="148"/>
      <c r="T39" s="100"/>
      <c r="U39" s="100"/>
      <c r="V39" s="152"/>
      <c r="W39" s="153"/>
      <c r="X39" s="154"/>
      <c r="Y39" s="100"/>
      <c r="Z39" s="100"/>
    </row>
    <row r="40" spans="1:26" ht="18" customHeight="1" x14ac:dyDescent="0.15">
      <c r="A40" s="25"/>
      <c r="B40" s="158"/>
      <c r="C40" s="159"/>
      <c r="D40" s="159"/>
      <c r="E40" s="159"/>
      <c r="F40" s="160"/>
      <c r="G40" s="100"/>
      <c r="H40" s="100"/>
      <c r="I40" s="152"/>
      <c r="J40" s="153"/>
      <c r="K40" s="154"/>
      <c r="L40" s="100"/>
      <c r="M40" s="100"/>
      <c r="N40" s="146"/>
      <c r="O40" s="147"/>
      <c r="P40" s="147"/>
      <c r="Q40" s="147"/>
      <c r="R40" s="147"/>
      <c r="S40" s="148"/>
      <c r="T40" s="100"/>
      <c r="U40" s="100"/>
      <c r="V40" s="152"/>
      <c r="W40" s="153"/>
      <c r="X40" s="154"/>
      <c r="Y40" s="100"/>
      <c r="Z40" s="100"/>
    </row>
    <row r="41" spans="1:26" ht="18" customHeight="1" x14ac:dyDescent="0.15">
      <c r="A41" s="25"/>
      <c r="B41" s="158"/>
      <c r="C41" s="159"/>
      <c r="D41" s="159"/>
      <c r="E41" s="159"/>
      <c r="F41" s="160"/>
      <c r="G41" s="100"/>
      <c r="H41" s="100"/>
      <c r="I41" s="152"/>
      <c r="J41" s="153"/>
      <c r="K41" s="154"/>
      <c r="L41" s="100"/>
      <c r="M41" s="100"/>
      <c r="N41" s="146"/>
      <c r="O41" s="147"/>
      <c r="P41" s="147"/>
      <c r="Q41" s="147"/>
      <c r="R41" s="147"/>
      <c r="S41" s="148"/>
      <c r="T41" s="100"/>
      <c r="U41" s="100"/>
      <c r="V41" s="152"/>
      <c r="W41" s="153"/>
      <c r="X41" s="154"/>
      <c r="Y41" s="100"/>
      <c r="Z41" s="100"/>
    </row>
    <row r="42" spans="1:26" ht="18" customHeight="1" x14ac:dyDescent="0.15">
      <c r="A42" s="25"/>
      <c r="B42" s="158"/>
      <c r="C42" s="159"/>
      <c r="D42" s="159"/>
      <c r="E42" s="159"/>
      <c r="F42" s="160"/>
      <c r="G42" s="100"/>
      <c r="H42" s="100"/>
      <c r="I42" s="152"/>
      <c r="J42" s="153"/>
      <c r="K42" s="154"/>
      <c r="L42" s="100"/>
      <c r="M42" s="100"/>
      <c r="N42" s="146"/>
      <c r="O42" s="147"/>
      <c r="P42" s="147"/>
      <c r="Q42" s="147"/>
      <c r="R42" s="147"/>
      <c r="S42" s="148"/>
      <c r="T42" s="100"/>
      <c r="U42" s="100"/>
      <c r="V42" s="152"/>
      <c r="W42" s="153"/>
      <c r="X42" s="154"/>
      <c r="Y42" s="100"/>
      <c r="Z42" s="100"/>
    </row>
    <row r="43" spans="1:26" ht="18" customHeight="1" x14ac:dyDescent="0.15">
      <c r="A43" s="25"/>
      <c r="B43" s="158"/>
      <c r="C43" s="159"/>
      <c r="D43" s="159"/>
      <c r="E43" s="159"/>
      <c r="F43" s="160"/>
      <c r="G43" s="100"/>
      <c r="H43" s="100"/>
      <c r="I43" s="152"/>
      <c r="J43" s="153"/>
      <c r="K43" s="154"/>
      <c r="L43" s="100"/>
      <c r="M43" s="100"/>
      <c r="N43" s="146"/>
      <c r="O43" s="147"/>
      <c r="P43" s="147"/>
      <c r="Q43" s="147"/>
      <c r="R43" s="147"/>
      <c r="S43" s="148"/>
      <c r="T43" s="100"/>
      <c r="U43" s="100"/>
      <c r="V43" s="152"/>
      <c r="W43" s="153"/>
      <c r="X43" s="154"/>
      <c r="Y43" s="100"/>
      <c r="Z43" s="100"/>
    </row>
    <row r="44" spans="1:26" ht="18" customHeight="1" x14ac:dyDescent="0.15">
      <c r="A44" s="25"/>
      <c r="B44" s="161"/>
      <c r="C44" s="162"/>
      <c r="D44" s="162"/>
      <c r="E44" s="162"/>
      <c r="F44" s="163"/>
      <c r="G44" s="101"/>
      <c r="H44" s="101"/>
      <c r="I44" s="155"/>
      <c r="J44" s="156"/>
      <c r="K44" s="157"/>
      <c r="L44" s="106"/>
      <c r="M44" s="106"/>
      <c r="N44" s="149"/>
      <c r="O44" s="150"/>
      <c r="P44" s="150"/>
      <c r="Q44" s="150"/>
      <c r="R44" s="150"/>
      <c r="S44" s="151"/>
      <c r="T44" s="101"/>
      <c r="U44" s="101"/>
      <c r="V44" s="155"/>
      <c r="W44" s="156"/>
      <c r="X44" s="157"/>
      <c r="Y44" s="106"/>
      <c r="Z44" s="106"/>
    </row>
    <row r="45" spans="1:26" ht="7.5" customHeight="1" x14ac:dyDescent="0.15">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6" ht="18" customHeight="1" x14ac:dyDescent="0.15">
      <c r="A46" s="198" t="s">
        <v>91</v>
      </c>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spans="1:26" ht="18" customHeight="1" x14ac:dyDescent="0.15">
      <c r="A47" s="198"/>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spans="1:26" ht="18" customHeight="1" x14ac:dyDescent="0.15">
      <c r="A48" s="14"/>
      <c r="B48" s="117" t="s">
        <v>74</v>
      </c>
      <c r="C48" s="118"/>
      <c r="D48" s="118"/>
      <c r="E48" s="118"/>
      <c r="F48" s="119"/>
      <c r="G48" s="26" t="s">
        <v>75</v>
      </c>
      <c r="H48" s="98" t="s">
        <v>76</v>
      </c>
      <c r="I48" s="117" t="s">
        <v>77</v>
      </c>
      <c r="J48" s="118"/>
      <c r="K48" s="119"/>
      <c r="L48" s="65" t="s">
        <v>92</v>
      </c>
      <c r="M48" s="65" t="s">
        <v>93</v>
      </c>
      <c r="N48" s="117" t="s">
        <v>74</v>
      </c>
      <c r="O48" s="118"/>
      <c r="P48" s="118"/>
      <c r="Q48" s="118"/>
      <c r="R48" s="118"/>
      <c r="S48" s="119"/>
      <c r="T48" s="26" t="s">
        <v>75</v>
      </c>
      <c r="U48" s="98" t="s">
        <v>76</v>
      </c>
      <c r="V48" s="117" t="s">
        <v>77</v>
      </c>
      <c r="W48" s="118"/>
      <c r="X48" s="119"/>
      <c r="Y48" s="65" t="s">
        <v>92</v>
      </c>
      <c r="Z48" s="65" t="s">
        <v>93</v>
      </c>
    </row>
    <row r="49" spans="1:26" ht="18" customHeight="1" x14ac:dyDescent="0.15">
      <c r="A49" s="25"/>
      <c r="B49" s="165" t="s">
        <v>131</v>
      </c>
      <c r="C49" s="166"/>
      <c r="D49" s="166"/>
      <c r="E49" s="166"/>
      <c r="F49" s="167"/>
      <c r="G49" s="99">
        <v>2</v>
      </c>
      <c r="H49" s="99" t="s">
        <v>81</v>
      </c>
      <c r="I49" s="171" t="s">
        <v>82</v>
      </c>
      <c r="J49" s="172"/>
      <c r="K49" s="173"/>
      <c r="L49" s="99" t="s">
        <v>81</v>
      </c>
      <c r="M49" s="99" t="s">
        <v>81</v>
      </c>
      <c r="N49" s="143"/>
      <c r="O49" s="144"/>
      <c r="P49" s="144"/>
      <c r="Q49" s="144"/>
      <c r="R49" s="144"/>
      <c r="S49" s="145"/>
      <c r="T49" s="99"/>
      <c r="U49" s="99"/>
      <c r="V49" s="171"/>
      <c r="W49" s="172"/>
      <c r="X49" s="173"/>
      <c r="Y49" s="99"/>
      <c r="Z49" s="99"/>
    </row>
    <row r="50" spans="1:26" ht="18" customHeight="1" x14ac:dyDescent="0.15">
      <c r="A50" s="25"/>
      <c r="B50" s="158" t="s">
        <v>83</v>
      </c>
      <c r="C50" s="159"/>
      <c r="D50" s="159"/>
      <c r="E50" s="159"/>
      <c r="F50" s="160"/>
      <c r="G50" s="100">
        <v>1</v>
      </c>
      <c r="H50" s="100" t="s">
        <v>81</v>
      </c>
      <c r="I50" s="152" t="s">
        <v>84</v>
      </c>
      <c r="J50" s="153"/>
      <c r="K50" s="154"/>
      <c r="L50" s="100" t="s">
        <v>81</v>
      </c>
      <c r="M50" s="100" t="s">
        <v>81</v>
      </c>
      <c r="N50" s="146"/>
      <c r="O50" s="147"/>
      <c r="P50" s="147"/>
      <c r="Q50" s="147"/>
      <c r="R50" s="147"/>
      <c r="S50" s="148"/>
      <c r="T50" s="100"/>
      <c r="U50" s="100"/>
      <c r="V50" s="152"/>
      <c r="W50" s="153"/>
      <c r="X50" s="154"/>
      <c r="Y50" s="100"/>
      <c r="Z50" s="100"/>
    </row>
    <row r="51" spans="1:26" ht="18" customHeight="1" x14ac:dyDescent="0.15">
      <c r="A51" s="25"/>
      <c r="B51" s="158"/>
      <c r="C51" s="159"/>
      <c r="D51" s="159"/>
      <c r="E51" s="159"/>
      <c r="F51" s="160"/>
      <c r="G51" s="100"/>
      <c r="H51" s="100"/>
      <c r="I51" s="152"/>
      <c r="J51" s="153"/>
      <c r="K51" s="154"/>
      <c r="L51" s="100"/>
      <c r="M51" s="100"/>
      <c r="N51" s="146"/>
      <c r="O51" s="147"/>
      <c r="P51" s="147"/>
      <c r="Q51" s="147"/>
      <c r="R51" s="147"/>
      <c r="S51" s="148"/>
      <c r="T51" s="100"/>
      <c r="U51" s="100"/>
      <c r="V51" s="152"/>
      <c r="W51" s="153"/>
      <c r="X51" s="154"/>
      <c r="Y51" s="100"/>
      <c r="Z51" s="100"/>
    </row>
    <row r="52" spans="1:26" ht="18" customHeight="1" x14ac:dyDescent="0.15">
      <c r="A52" s="25"/>
      <c r="B52" s="158"/>
      <c r="C52" s="159"/>
      <c r="D52" s="159"/>
      <c r="E52" s="159"/>
      <c r="F52" s="160"/>
      <c r="G52" s="100"/>
      <c r="H52" s="100"/>
      <c r="I52" s="152"/>
      <c r="J52" s="153"/>
      <c r="K52" s="154"/>
      <c r="L52" s="100"/>
      <c r="M52" s="100"/>
      <c r="N52" s="146"/>
      <c r="O52" s="147"/>
      <c r="P52" s="147"/>
      <c r="Q52" s="147"/>
      <c r="R52" s="147"/>
      <c r="S52" s="148"/>
      <c r="T52" s="100"/>
      <c r="U52" s="100"/>
      <c r="V52" s="152"/>
      <c r="W52" s="153"/>
      <c r="X52" s="154"/>
      <c r="Y52" s="100"/>
      <c r="Z52" s="100"/>
    </row>
    <row r="53" spans="1:26" ht="18" customHeight="1" x14ac:dyDescent="0.15">
      <c r="A53" s="25"/>
      <c r="B53" s="158"/>
      <c r="C53" s="159"/>
      <c r="D53" s="159"/>
      <c r="E53" s="159"/>
      <c r="F53" s="160"/>
      <c r="G53" s="100"/>
      <c r="H53" s="100"/>
      <c r="I53" s="152"/>
      <c r="J53" s="153"/>
      <c r="K53" s="154"/>
      <c r="L53" s="100"/>
      <c r="M53" s="100"/>
      <c r="N53" s="146"/>
      <c r="O53" s="147"/>
      <c r="P53" s="147"/>
      <c r="Q53" s="147"/>
      <c r="R53" s="147"/>
      <c r="S53" s="148"/>
      <c r="T53" s="100"/>
      <c r="U53" s="100"/>
      <c r="V53" s="152"/>
      <c r="W53" s="153"/>
      <c r="X53" s="154"/>
      <c r="Y53" s="100"/>
      <c r="Z53" s="100"/>
    </row>
    <row r="54" spans="1:26" ht="18" customHeight="1" x14ac:dyDescent="0.15">
      <c r="A54" s="25"/>
      <c r="B54" s="158"/>
      <c r="C54" s="159"/>
      <c r="D54" s="159"/>
      <c r="E54" s="159"/>
      <c r="F54" s="160"/>
      <c r="G54" s="100"/>
      <c r="H54" s="100"/>
      <c r="I54" s="152"/>
      <c r="J54" s="153"/>
      <c r="K54" s="154"/>
      <c r="L54" s="100"/>
      <c r="M54" s="100"/>
      <c r="N54" s="146"/>
      <c r="O54" s="147"/>
      <c r="P54" s="147"/>
      <c r="Q54" s="147"/>
      <c r="R54" s="147"/>
      <c r="S54" s="148"/>
      <c r="T54" s="100"/>
      <c r="U54" s="100"/>
      <c r="V54" s="152"/>
      <c r="W54" s="153"/>
      <c r="X54" s="154"/>
      <c r="Y54" s="100"/>
      <c r="Z54" s="100"/>
    </row>
    <row r="55" spans="1:26" ht="18" customHeight="1" x14ac:dyDescent="0.15">
      <c r="A55" s="25"/>
      <c r="B55" s="161"/>
      <c r="C55" s="162"/>
      <c r="D55" s="162"/>
      <c r="E55" s="162"/>
      <c r="F55" s="163"/>
      <c r="G55" s="101"/>
      <c r="H55" s="101"/>
      <c r="I55" s="155"/>
      <c r="J55" s="156"/>
      <c r="K55" s="157"/>
      <c r="L55" s="106"/>
      <c r="M55" s="106"/>
      <c r="N55" s="149"/>
      <c r="O55" s="150"/>
      <c r="P55" s="150"/>
      <c r="Q55" s="150"/>
      <c r="R55" s="150"/>
      <c r="S55" s="151"/>
      <c r="T55" s="101"/>
      <c r="U55" s="101"/>
      <c r="V55" s="155"/>
      <c r="W55" s="156"/>
      <c r="X55" s="157"/>
      <c r="Y55" s="106"/>
      <c r="Z55" s="106"/>
    </row>
    <row r="56" spans="1:26" ht="7.5" customHeight="1" x14ac:dyDescent="0.15">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6" ht="18" customHeight="1" x14ac:dyDescent="0.15">
      <c r="A57" s="198" t="s">
        <v>94</v>
      </c>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spans="1:26" ht="18" customHeight="1" x14ac:dyDescent="0.15">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spans="1:26" ht="18" customHeight="1" x14ac:dyDescent="0.15">
      <c r="A59" s="14"/>
      <c r="B59" s="117" t="s">
        <v>74</v>
      </c>
      <c r="C59" s="118"/>
      <c r="D59" s="118"/>
      <c r="E59" s="119"/>
      <c r="F59" s="26" t="s">
        <v>75</v>
      </c>
      <c r="G59" s="98" t="s">
        <v>76</v>
      </c>
      <c r="H59" s="22" t="s">
        <v>77</v>
      </c>
      <c r="I59" s="95"/>
      <c r="J59" s="23"/>
      <c r="K59" s="65" t="s">
        <v>95</v>
      </c>
      <c r="L59" s="65" t="s">
        <v>96</v>
      </c>
      <c r="M59" s="65" t="s">
        <v>97</v>
      </c>
      <c r="N59" s="117" t="s">
        <v>74</v>
      </c>
      <c r="O59" s="118"/>
      <c r="P59" s="118"/>
      <c r="Q59" s="118"/>
      <c r="R59" s="119"/>
      <c r="S59" s="26" t="s">
        <v>75</v>
      </c>
      <c r="T59" s="98" t="s">
        <v>76</v>
      </c>
      <c r="U59" s="22" t="s">
        <v>77</v>
      </c>
      <c r="V59" s="95"/>
      <c r="W59" s="23"/>
      <c r="X59" s="65" t="s">
        <v>95</v>
      </c>
      <c r="Y59" s="65" t="s">
        <v>96</v>
      </c>
      <c r="Z59" s="65" t="s">
        <v>97</v>
      </c>
    </row>
    <row r="60" spans="1:26" ht="18" customHeight="1" x14ac:dyDescent="0.15">
      <c r="A60" s="25"/>
      <c r="B60" s="143" t="s">
        <v>133</v>
      </c>
      <c r="C60" s="144"/>
      <c r="D60" s="144"/>
      <c r="E60" s="145"/>
      <c r="F60" s="99">
        <v>2</v>
      </c>
      <c r="G60" s="99" t="s">
        <v>81</v>
      </c>
      <c r="H60" s="171" t="s">
        <v>82</v>
      </c>
      <c r="I60" s="172"/>
      <c r="J60" s="173"/>
      <c r="K60" s="99" t="s">
        <v>81</v>
      </c>
      <c r="L60" s="99" t="s">
        <v>81</v>
      </c>
      <c r="M60" s="99" t="s">
        <v>81</v>
      </c>
      <c r="N60" s="143"/>
      <c r="O60" s="144"/>
      <c r="P60" s="144"/>
      <c r="Q60" s="144"/>
      <c r="R60" s="145"/>
      <c r="S60" s="99"/>
      <c r="T60" s="99"/>
      <c r="U60" s="171"/>
      <c r="V60" s="172"/>
      <c r="W60" s="173"/>
      <c r="X60" s="105"/>
      <c r="Y60" s="99"/>
      <c r="Z60" s="99"/>
    </row>
    <row r="61" spans="1:26" ht="18" customHeight="1" x14ac:dyDescent="0.15">
      <c r="A61" s="25"/>
      <c r="B61" s="146" t="s">
        <v>134</v>
      </c>
      <c r="C61" s="147"/>
      <c r="D61" s="147"/>
      <c r="E61" s="148"/>
      <c r="F61" s="100">
        <v>2</v>
      </c>
      <c r="G61" s="100" t="s">
        <v>81</v>
      </c>
      <c r="H61" s="152" t="s">
        <v>82</v>
      </c>
      <c r="I61" s="153"/>
      <c r="J61" s="154"/>
      <c r="K61" s="100" t="s">
        <v>81</v>
      </c>
      <c r="L61" s="100" t="s">
        <v>81</v>
      </c>
      <c r="M61" s="100" t="s">
        <v>81</v>
      </c>
      <c r="N61" s="146"/>
      <c r="O61" s="147"/>
      <c r="P61" s="147"/>
      <c r="Q61" s="147"/>
      <c r="R61" s="148"/>
      <c r="S61" s="100"/>
      <c r="T61" s="100"/>
      <c r="U61" s="152"/>
      <c r="V61" s="153"/>
      <c r="W61" s="154"/>
      <c r="X61" s="103"/>
      <c r="Y61" s="100"/>
      <c r="Z61" s="100"/>
    </row>
    <row r="62" spans="1:26" ht="18" customHeight="1" x14ac:dyDescent="0.15">
      <c r="A62" s="25"/>
      <c r="B62" s="146"/>
      <c r="C62" s="147"/>
      <c r="D62" s="147"/>
      <c r="E62" s="148"/>
      <c r="F62" s="100"/>
      <c r="G62" s="100"/>
      <c r="H62" s="152"/>
      <c r="I62" s="153"/>
      <c r="J62" s="154"/>
      <c r="K62" s="100"/>
      <c r="L62" s="100"/>
      <c r="M62" s="100"/>
      <c r="N62" s="146"/>
      <c r="O62" s="147"/>
      <c r="P62" s="147"/>
      <c r="Q62" s="147"/>
      <c r="R62" s="148"/>
      <c r="S62" s="100"/>
      <c r="T62" s="100"/>
      <c r="U62" s="152"/>
      <c r="V62" s="153"/>
      <c r="W62" s="154"/>
      <c r="X62" s="103"/>
      <c r="Y62" s="100"/>
      <c r="Z62" s="100"/>
    </row>
    <row r="63" spans="1:26" ht="18" customHeight="1" x14ac:dyDescent="0.15">
      <c r="A63" s="25"/>
      <c r="B63" s="146"/>
      <c r="C63" s="147"/>
      <c r="D63" s="147"/>
      <c r="E63" s="148"/>
      <c r="F63" s="100"/>
      <c r="G63" s="100"/>
      <c r="H63" s="152"/>
      <c r="I63" s="153"/>
      <c r="J63" s="154"/>
      <c r="K63" s="100"/>
      <c r="L63" s="100"/>
      <c r="M63" s="100"/>
      <c r="N63" s="146"/>
      <c r="O63" s="147"/>
      <c r="P63" s="147"/>
      <c r="Q63" s="147"/>
      <c r="R63" s="148"/>
      <c r="S63" s="100"/>
      <c r="T63" s="100"/>
      <c r="U63" s="152"/>
      <c r="V63" s="153"/>
      <c r="W63" s="154"/>
      <c r="X63" s="103"/>
      <c r="Y63" s="100"/>
      <c r="Z63" s="100"/>
    </row>
    <row r="64" spans="1:26" ht="18" customHeight="1" x14ac:dyDescent="0.15">
      <c r="A64" s="25"/>
      <c r="B64" s="146"/>
      <c r="C64" s="147"/>
      <c r="D64" s="147"/>
      <c r="E64" s="148"/>
      <c r="F64" s="100"/>
      <c r="G64" s="100"/>
      <c r="H64" s="152"/>
      <c r="I64" s="153"/>
      <c r="J64" s="154"/>
      <c r="K64" s="103"/>
      <c r="L64" s="100"/>
      <c r="M64" s="100"/>
      <c r="N64" s="146"/>
      <c r="O64" s="147"/>
      <c r="P64" s="147"/>
      <c r="Q64" s="147"/>
      <c r="R64" s="148"/>
      <c r="S64" s="100"/>
      <c r="T64" s="100"/>
      <c r="U64" s="152"/>
      <c r="V64" s="153"/>
      <c r="W64" s="154"/>
      <c r="X64" s="103"/>
      <c r="Y64" s="100"/>
      <c r="Z64" s="100"/>
    </row>
    <row r="65" spans="1:26" ht="18" customHeight="1" x14ac:dyDescent="0.15">
      <c r="A65" s="25"/>
      <c r="B65" s="146"/>
      <c r="C65" s="147"/>
      <c r="D65" s="147"/>
      <c r="E65" s="148"/>
      <c r="F65" s="100"/>
      <c r="G65" s="100"/>
      <c r="H65" s="152"/>
      <c r="I65" s="153"/>
      <c r="J65" s="154"/>
      <c r="K65" s="103"/>
      <c r="L65" s="100"/>
      <c r="M65" s="100"/>
      <c r="N65" s="146"/>
      <c r="O65" s="147"/>
      <c r="P65" s="147"/>
      <c r="Q65" s="147"/>
      <c r="R65" s="148"/>
      <c r="S65" s="100"/>
      <c r="T65" s="100"/>
      <c r="U65" s="152"/>
      <c r="V65" s="153"/>
      <c r="W65" s="154"/>
      <c r="X65" s="103"/>
      <c r="Y65" s="100"/>
      <c r="Z65" s="100"/>
    </row>
    <row r="66" spans="1:26" ht="18" customHeight="1" x14ac:dyDescent="0.15">
      <c r="A66" s="25"/>
      <c r="B66" s="149"/>
      <c r="C66" s="150"/>
      <c r="D66" s="150"/>
      <c r="E66" s="151"/>
      <c r="F66" s="101"/>
      <c r="G66" s="101"/>
      <c r="H66" s="155"/>
      <c r="I66" s="156"/>
      <c r="J66" s="157"/>
      <c r="K66" s="104"/>
      <c r="L66" s="106"/>
      <c r="M66" s="106"/>
      <c r="N66" s="149"/>
      <c r="O66" s="150"/>
      <c r="P66" s="150"/>
      <c r="Q66" s="150"/>
      <c r="R66" s="151"/>
      <c r="S66" s="101"/>
      <c r="T66" s="101"/>
      <c r="U66" s="155"/>
      <c r="V66" s="156"/>
      <c r="W66" s="157"/>
      <c r="X66" s="104"/>
      <c r="Y66" s="106"/>
      <c r="Z66" s="106"/>
    </row>
    <row r="67" spans="1:26" ht="7.5" customHeight="1" x14ac:dyDescent="0.15">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6" ht="18" customHeight="1" x14ac:dyDescent="0.15">
      <c r="A68" s="14" t="s">
        <v>100</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17" t="s">
        <v>74</v>
      </c>
      <c r="C69" s="118"/>
      <c r="D69" s="118"/>
      <c r="E69" s="118"/>
      <c r="F69" s="119"/>
      <c r="G69" s="117" t="s">
        <v>101</v>
      </c>
      <c r="H69" s="118"/>
      <c r="I69" s="118"/>
      <c r="J69" s="118"/>
      <c r="K69" s="118"/>
      <c r="L69" s="118"/>
      <c r="M69" s="119"/>
      <c r="N69" s="168" t="s">
        <v>74</v>
      </c>
      <c r="O69" s="169"/>
      <c r="P69" s="169"/>
      <c r="Q69" s="169"/>
      <c r="R69" s="169"/>
      <c r="S69" s="170"/>
      <c r="T69" s="117" t="s">
        <v>101</v>
      </c>
      <c r="U69" s="118"/>
      <c r="V69" s="118"/>
      <c r="W69" s="118"/>
      <c r="X69" s="118"/>
      <c r="Y69" s="118"/>
      <c r="Z69" s="119"/>
    </row>
    <row r="70" spans="1:26" ht="18" customHeight="1" x14ac:dyDescent="0.15">
      <c r="A70" s="25"/>
      <c r="B70" s="143" t="s">
        <v>102</v>
      </c>
      <c r="C70" s="144"/>
      <c r="D70" s="144"/>
      <c r="E70" s="144"/>
      <c r="F70" s="145"/>
      <c r="G70" s="209" t="s">
        <v>103</v>
      </c>
      <c r="H70" s="210"/>
      <c r="I70" s="210"/>
      <c r="J70" s="210"/>
      <c r="K70" s="210"/>
      <c r="L70" s="210"/>
      <c r="M70" s="211"/>
      <c r="N70" s="143"/>
      <c r="O70" s="144"/>
      <c r="P70" s="144"/>
      <c r="Q70" s="144"/>
      <c r="R70" s="144"/>
      <c r="S70" s="145"/>
      <c r="T70" s="209"/>
      <c r="U70" s="210"/>
      <c r="V70" s="210"/>
      <c r="W70" s="210"/>
      <c r="X70" s="210"/>
      <c r="Y70" s="210"/>
      <c r="Z70" s="211"/>
    </row>
    <row r="71" spans="1:26" ht="18" customHeight="1" x14ac:dyDescent="0.15">
      <c r="A71" s="25"/>
      <c r="B71" s="146" t="s">
        <v>135</v>
      </c>
      <c r="C71" s="147"/>
      <c r="D71" s="147"/>
      <c r="E71" s="147"/>
      <c r="F71" s="148"/>
      <c r="G71" s="189" t="s">
        <v>105</v>
      </c>
      <c r="H71" s="190"/>
      <c r="I71" s="190"/>
      <c r="J71" s="190"/>
      <c r="K71" s="190"/>
      <c r="L71" s="190"/>
      <c r="M71" s="191"/>
      <c r="N71" s="146"/>
      <c r="O71" s="147"/>
      <c r="P71" s="147"/>
      <c r="Q71" s="147"/>
      <c r="R71" s="147"/>
      <c r="S71" s="148"/>
      <c r="T71" s="189"/>
      <c r="U71" s="190"/>
      <c r="V71" s="190"/>
      <c r="W71" s="190"/>
      <c r="X71" s="190"/>
      <c r="Y71" s="190"/>
      <c r="Z71" s="191"/>
    </row>
    <row r="72" spans="1:26" ht="18" customHeight="1" x14ac:dyDescent="0.15">
      <c r="A72" s="25"/>
      <c r="B72" s="146" t="s">
        <v>136</v>
      </c>
      <c r="C72" s="147"/>
      <c r="D72" s="147"/>
      <c r="E72" s="147"/>
      <c r="F72" s="148"/>
      <c r="G72" s="189" t="s">
        <v>105</v>
      </c>
      <c r="H72" s="190"/>
      <c r="I72" s="190"/>
      <c r="J72" s="190"/>
      <c r="K72" s="190"/>
      <c r="L72" s="190"/>
      <c r="M72" s="191"/>
      <c r="N72" s="146"/>
      <c r="O72" s="147"/>
      <c r="P72" s="147"/>
      <c r="Q72" s="147"/>
      <c r="R72" s="147"/>
      <c r="S72" s="148"/>
      <c r="T72" s="189"/>
      <c r="U72" s="190"/>
      <c r="V72" s="190"/>
      <c r="W72" s="190"/>
      <c r="X72" s="190"/>
      <c r="Y72" s="190"/>
      <c r="Z72" s="191"/>
    </row>
    <row r="73" spans="1:26" ht="18" customHeight="1" x14ac:dyDescent="0.15">
      <c r="A73" s="25"/>
      <c r="B73" s="146" t="s">
        <v>135</v>
      </c>
      <c r="C73" s="147"/>
      <c r="D73" s="147"/>
      <c r="E73" s="147"/>
      <c r="F73" s="148"/>
      <c r="G73" s="189" t="s">
        <v>106</v>
      </c>
      <c r="H73" s="190"/>
      <c r="I73" s="190"/>
      <c r="J73" s="190"/>
      <c r="K73" s="190"/>
      <c r="L73" s="190"/>
      <c r="M73" s="191"/>
      <c r="N73" s="146"/>
      <c r="O73" s="147"/>
      <c r="P73" s="147"/>
      <c r="Q73" s="147"/>
      <c r="R73" s="147"/>
      <c r="S73" s="148"/>
      <c r="T73" s="189"/>
      <c r="U73" s="190"/>
      <c r="V73" s="190"/>
      <c r="W73" s="190"/>
      <c r="X73" s="190"/>
      <c r="Y73" s="190"/>
      <c r="Z73" s="191"/>
    </row>
    <row r="74" spans="1:26" ht="18" customHeight="1" x14ac:dyDescent="0.15">
      <c r="A74" s="25"/>
      <c r="B74" s="146" t="s">
        <v>136</v>
      </c>
      <c r="C74" s="147"/>
      <c r="D74" s="147"/>
      <c r="E74" s="147"/>
      <c r="F74" s="148"/>
      <c r="G74" s="189" t="s">
        <v>106</v>
      </c>
      <c r="H74" s="190"/>
      <c r="I74" s="190"/>
      <c r="J74" s="190"/>
      <c r="K74" s="190"/>
      <c r="L74" s="190"/>
      <c r="M74" s="191"/>
      <c r="N74" s="146"/>
      <c r="O74" s="147"/>
      <c r="P74" s="147"/>
      <c r="Q74" s="147"/>
      <c r="R74" s="147"/>
      <c r="S74" s="148"/>
      <c r="T74" s="189"/>
      <c r="U74" s="190"/>
      <c r="V74" s="190"/>
      <c r="W74" s="190"/>
      <c r="X74" s="190"/>
      <c r="Y74" s="190"/>
      <c r="Z74" s="191"/>
    </row>
    <row r="75" spans="1:26" ht="18" customHeight="1" x14ac:dyDescent="0.15">
      <c r="A75" s="25"/>
      <c r="B75" s="146"/>
      <c r="C75" s="147"/>
      <c r="D75" s="147"/>
      <c r="E75" s="147"/>
      <c r="F75" s="148"/>
      <c r="G75" s="189"/>
      <c r="H75" s="190"/>
      <c r="I75" s="190"/>
      <c r="J75" s="190"/>
      <c r="K75" s="190"/>
      <c r="L75" s="190"/>
      <c r="M75" s="191"/>
      <c r="N75" s="146"/>
      <c r="O75" s="147"/>
      <c r="P75" s="147"/>
      <c r="Q75" s="147"/>
      <c r="R75" s="147"/>
      <c r="S75" s="148"/>
      <c r="T75" s="189"/>
      <c r="U75" s="190"/>
      <c r="V75" s="190"/>
      <c r="W75" s="190"/>
      <c r="X75" s="190"/>
      <c r="Y75" s="190"/>
      <c r="Z75" s="191"/>
    </row>
    <row r="76" spans="1:26" ht="18" customHeight="1" x14ac:dyDescent="0.15">
      <c r="A76" s="25"/>
      <c r="B76" s="149"/>
      <c r="C76" s="150"/>
      <c r="D76" s="150"/>
      <c r="E76" s="150"/>
      <c r="F76" s="151"/>
      <c r="G76" s="186"/>
      <c r="H76" s="187"/>
      <c r="I76" s="187"/>
      <c r="J76" s="187"/>
      <c r="K76" s="187"/>
      <c r="L76" s="187"/>
      <c r="M76" s="188"/>
      <c r="N76" s="149"/>
      <c r="O76" s="150"/>
      <c r="P76" s="150"/>
      <c r="Q76" s="150"/>
      <c r="R76" s="150"/>
      <c r="S76" s="151"/>
      <c r="T76" s="186"/>
      <c r="U76" s="187"/>
      <c r="V76" s="187"/>
      <c r="W76" s="187"/>
      <c r="X76" s="187"/>
      <c r="Y76" s="187"/>
      <c r="Z76" s="188"/>
    </row>
    <row r="77" spans="1:26" ht="18" customHeight="1" x14ac:dyDescent="0.15">
      <c r="A77" s="25"/>
      <c r="B77" s="29"/>
      <c r="C77" s="29"/>
      <c r="D77" s="29"/>
      <c r="E77" s="29"/>
      <c r="F77" s="29"/>
      <c r="G77" s="12"/>
      <c r="H77" s="12"/>
      <c r="I77" s="12"/>
      <c r="J77" s="12"/>
      <c r="K77" s="12"/>
      <c r="L77" s="12"/>
      <c r="M77" s="12"/>
      <c r="N77" s="29"/>
      <c r="O77" s="29"/>
      <c r="P77" s="29"/>
      <c r="Q77" s="29"/>
      <c r="R77" s="29"/>
      <c r="S77" s="29"/>
      <c r="T77" s="12"/>
      <c r="U77" s="12"/>
      <c r="V77" s="12"/>
      <c r="W77" s="12"/>
      <c r="X77" s="12"/>
      <c r="Y77" s="12"/>
      <c r="Z77" s="12"/>
    </row>
    <row r="78" spans="1:26" ht="18.75" customHeight="1" x14ac:dyDescent="0.15">
      <c r="A78" s="13" t="s">
        <v>107</v>
      </c>
    </row>
    <row r="79" spans="1:26" ht="18.75" customHeight="1" x14ac:dyDescent="0.15">
      <c r="B79" s="67" t="s">
        <v>108</v>
      </c>
      <c r="C79" s="68"/>
      <c r="D79" s="220" t="s">
        <v>109</v>
      </c>
      <c r="E79" s="220"/>
      <c r="F79" s="220"/>
      <c r="G79" s="220"/>
      <c r="H79" s="220"/>
      <c r="I79" s="220"/>
      <c r="J79" s="220"/>
      <c r="K79" s="220"/>
      <c r="L79" s="220"/>
      <c r="M79" s="220"/>
      <c r="N79" s="220"/>
      <c r="O79" s="220"/>
      <c r="P79" s="220"/>
      <c r="Q79" s="220"/>
      <c r="R79" s="220"/>
      <c r="S79" s="220"/>
      <c r="T79" s="220"/>
      <c r="U79" s="220"/>
      <c r="V79" s="220"/>
      <c r="W79" s="220"/>
      <c r="X79" s="220"/>
      <c r="Y79" s="220"/>
      <c r="Z79" s="221"/>
    </row>
    <row r="80" spans="1:26" ht="78" customHeight="1" x14ac:dyDescent="0.15">
      <c r="B80" s="217" t="s">
        <v>137</v>
      </c>
      <c r="C80" s="74" t="s">
        <v>78</v>
      </c>
      <c r="D80" s="192" t="s">
        <v>138</v>
      </c>
      <c r="E80" s="193"/>
      <c r="F80" s="193"/>
      <c r="G80" s="193"/>
      <c r="H80" s="193"/>
      <c r="I80" s="193"/>
      <c r="J80" s="193"/>
      <c r="K80" s="193"/>
      <c r="L80" s="193"/>
      <c r="M80" s="193"/>
      <c r="N80" s="193"/>
      <c r="O80" s="193"/>
      <c r="P80" s="193"/>
      <c r="Q80" s="193"/>
      <c r="R80" s="193"/>
      <c r="S80" s="193"/>
      <c r="T80" s="193"/>
      <c r="U80" s="193"/>
      <c r="V80" s="193"/>
      <c r="W80" s="193"/>
      <c r="X80" s="193"/>
      <c r="Y80" s="193"/>
      <c r="Z80" s="194"/>
    </row>
    <row r="81" spans="1:26" ht="78" customHeight="1" x14ac:dyDescent="0.15">
      <c r="B81" s="218"/>
      <c r="C81" s="96" t="s">
        <v>112</v>
      </c>
      <c r="D81" s="192" t="s">
        <v>139</v>
      </c>
      <c r="E81" s="193"/>
      <c r="F81" s="193"/>
      <c r="G81" s="193"/>
      <c r="H81" s="193"/>
      <c r="I81" s="193"/>
      <c r="J81" s="193"/>
      <c r="K81" s="193"/>
      <c r="L81" s="193"/>
      <c r="M81" s="193"/>
      <c r="N81" s="193"/>
      <c r="O81" s="193"/>
      <c r="P81" s="193"/>
      <c r="Q81" s="193"/>
      <c r="R81" s="193"/>
      <c r="S81" s="193"/>
      <c r="T81" s="193"/>
      <c r="U81" s="193"/>
      <c r="V81" s="193"/>
      <c r="W81" s="193"/>
      <c r="X81" s="193"/>
      <c r="Y81" s="193"/>
      <c r="Z81" s="194"/>
    </row>
    <row r="82" spans="1:26" ht="78" customHeight="1" x14ac:dyDescent="0.15">
      <c r="B82" s="215" t="s">
        <v>140</v>
      </c>
      <c r="C82" s="69" t="s">
        <v>86</v>
      </c>
      <c r="D82" s="195" t="s">
        <v>141</v>
      </c>
      <c r="E82" s="196"/>
      <c r="F82" s="196"/>
      <c r="G82" s="196"/>
      <c r="H82" s="196"/>
      <c r="I82" s="196"/>
      <c r="J82" s="196"/>
      <c r="K82" s="196"/>
      <c r="L82" s="196"/>
      <c r="M82" s="196"/>
      <c r="N82" s="196"/>
      <c r="O82" s="196"/>
      <c r="P82" s="196"/>
      <c r="Q82" s="196"/>
      <c r="R82" s="196"/>
      <c r="S82" s="196"/>
      <c r="T82" s="196"/>
      <c r="U82" s="196"/>
      <c r="V82" s="196"/>
      <c r="W82" s="196"/>
      <c r="X82" s="196"/>
      <c r="Y82" s="196"/>
      <c r="Z82" s="197"/>
    </row>
    <row r="83" spans="1:26" ht="78" customHeight="1" x14ac:dyDescent="0.15">
      <c r="B83" s="216"/>
      <c r="C83" s="97" t="s">
        <v>87</v>
      </c>
      <c r="D83" s="195" t="s">
        <v>142</v>
      </c>
      <c r="E83" s="196"/>
      <c r="F83" s="196"/>
      <c r="G83" s="196"/>
      <c r="H83" s="196"/>
      <c r="I83" s="196"/>
      <c r="J83" s="196"/>
      <c r="K83" s="196"/>
      <c r="L83" s="196"/>
      <c r="M83" s="196"/>
      <c r="N83" s="196"/>
      <c r="O83" s="196"/>
      <c r="P83" s="196"/>
      <c r="Q83" s="196"/>
      <c r="R83" s="196"/>
      <c r="S83" s="196"/>
      <c r="T83" s="196"/>
      <c r="U83" s="196"/>
      <c r="V83" s="196"/>
      <c r="W83" s="196"/>
      <c r="X83" s="196"/>
      <c r="Y83" s="196"/>
      <c r="Z83" s="197"/>
    </row>
    <row r="84" spans="1:26" ht="66" customHeight="1" x14ac:dyDescent="0.15">
      <c r="B84" s="215" t="s">
        <v>143</v>
      </c>
      <c r="C84" s="69" t="s">
        <v>89</v>
      </c>
      <c r="D84" s="195" t="s">
        <v>144</v>
      </c>
      <c r="E84" s="196"/>
      <c r="F84" s="196"/>
      <c r="G84" s="196"/>
      <c r="H84" s="196"/>
      <c r="I84" s="196"/>
      <c r="J84" s="196"/>
      <c r="K84" s="196"/>
      <c r="L84" s="196"/>
      <c r="M84" s="196"/>
      <c r="N84" s="196"/>
      <c r="O84" s="196"/>
      <c r="P84" s="196"/>
      <c r="Q84" s="196"/>
      <c r="R84" s="196"/>
      <c r="S84" s="196"/>
      <c r="T84" s="196"/>
      <c r="U84" s="196"/>
      <c r="V84" s="196"/>
      <c r="W84" s="196"/>
      <c r="X84" s="196"/>
      <c r="Y84" s="196"/>
      <c r="Z84" s="197"/>
    </row>
    <row r="85" spans="1:26" ht="66" customHeight="1" x14ac:dyDescent="0.15">
      <c r="B85" s="216"/>
      <c r="C85" s="71" t="s">
        <v>90</v>
      </c>
      <c r="D85" s="195" t="s">
        <v>145</v>
      </c>
      <c r="E85" s="196"/>
      <c r="F85" s="196"/>
      <c r="G85" s="196"/>
      <c r="H85" s="196"/>
      <c r="I85" s="196"/>
      <c r="J85" s="196"/>
      <c r="K85" s="196"/>
      <c r="L85" s="196"/>
      <c r="M85" s="196"/>
      <c r="N85" s="196"/>
      <c r="O85" s="196"/>
      <c r="P85" s="196"/>
      <c r="Q85" s="196"/>
      <c r="R85" s="196"/>
      <c r="S85" s="196"/>
      <c r="T85" s="196"/>
      <c r="U85" s="196"/>
      <c r="V85" s="196"/>
      <c r="W85" s="196"/>
      <c r="X85" s="196"/>
      <c r="Y85" s="196"/>
      <c r="Z85" s="197"/>
    </row>
    <row r="86" spans="1:26" ht="66" customHeight="1" x14ac:dyDescent="0.15">
      <c r="B86" s="217" t="s">
        <v>146</v>
      </c>
      <c r="C86" s="74" t="s">
        <v>92</v>
      </c>
      <c r="D86" s="192" t="s">
        <v>147</v>
      </c>
      <c r="E86" s="193"/>
      <c r="F86" s="193"/>
      <c r="G86" s="193"/>
      <c r="H86" s="193"/>
      <c r="I86" s="193"/>
      <c r="J86" s="193"/>
      <c r="K86" s="193"/>
      <c r="L86" s="193"/>
      <c r="M86" s="193"/>
      <c r="N86" s="193"/>
      <c r="O86" s="193"/>
      <c r="P86" s="193"/>
      <c r="Q86" s="193"/>
      <c r="R86" s="193"/>
      <c r="S86" s="193"/>
      <c r="T86" s="193"/>
      <c r="U86" s="193"/>
      <c r="V86" s="193"/>
      <c r="W86" s="193"/>
      <c r="X86" s="193"/>
      <c r="Y86" s="193"/>
      <c r="Z86" s="194"/>
    </row>
    <row r="87" spans="1:26" ht="66" customHeight="1" x14ac:dyDescent="0.15">
      <c r="B87" s="219"/>
      <c r="C87" s="70" t="s">
        <v>93</v>
      </c>
      <c r="D87" s="192" t="s">
        <v>148</v>
      </c>
      <c r="E87" s="193"/>
      <c r="F87" s="193"/>
      <c r="G87" s="193"/>
      <c r="H87" s="193"/>
      <c r="I87" s="193"/>
      <c r="J87" s="193"/>
      <c r="K87" s="193"/>
      <c r="L87" s="193"/>
      <c r="M87" s="193"/>
      <c r="N87" s="193"/>
      <c r="O87" s="193"/>
      <c r="P87" s="193"/>
      <c r="Q87" s="193"/>
      <c r="R87" s="193"/>
      <c r="S87" s="193"/>
      <c r="T87" s="193"/>
      <c r="U87" s="193"/>
      <c r="V87" s="193"/>
      <c r="W87" s="193"/>
      <c r="X87" s="193"/>
      <c r="Y87" s="193"/>
      <c r="Z87" s="194"/>
    </row>
    <row r="88" spans="1:26" ht="66" customHeight="1" x14ac:dyDescent="0.15">
      <c r="B88" s="217" t="s">
        <v>149</v>
      </c>
      <c r="C88" s="69" t="s">
        <v>95</v>
      </c>
      <c r="D88" s="212" t="s">
        <v>150</v>
      </c>
      <c r="E88" s="213"/>
      <c r="F88" s="213"/>
      <c r="G88" s="213"/>
      <c r="H88" s="213"/>
      <c r="I88" s="213"/>
      <c r="J88" s="213"/>
      <c r="K88" s="213"/>
      <c r="L88" s="213"/>
      <c r="M88" s="213"/>
      <c r="N88" s="213"/>
      <c r="O88" s="213"/>
      <c r="P88" s="213"/>
      <c r="Q88" s="213"/>
      <c r="R88" s="213"/>
      <c r="S88" s="213"/>
      <c r="T88" s="213"/>
      <c r="U88" s="213"/>
      <c r="V88" s="213"/>
      <c r="W88" s="213"/>
      <c r="X88" s="213"/>
      <c r="Y88" s="213"/>
      <c r="Z88" s="214"/>
    </row>
    <row r="89" spans="1:26" ht="66" customHeight="1" x14ac:dyDescent="0.15">
      <c r="B89" s="218"/>
      <c r="C89" s="70" t="s">
        <v>96</v>
      </c>
      <c r="D89" s="212" t="s">
        <v>151</v>
      </c>
      <c r="E89" s="213"/>
      <c r="F89" s="213"/>
      <c r="G89" s="213"/>
      <c r="H89" s="213"/>
      <c r="I89" s="213"/>
      <c r="J89" s="213"/>
      <c r="K89" s="213"/>
      <c r="L89" s="213"/>
      <c r="M89" s="213"/>
      <c r="N89" s="213"/>
      <c r="O89" s="213"/>
      <c r="P89" s="213"/>
      <c r="Q89" s="213"/>
      <c r="R89" s="213"/>
      <c r="S89" s="213"/>
      <c r="T89" s="213"/>
      <c r="U89" s="213"/>
      <c r="V89" s="213"/>
      <c r="W89" s="213"/>
      <c r="X89" s="213"/>
      <c r="Y89" s="213"/>
      <c r="Z89" s="214"/>
    </row>
    <row r="90" spans="1:26" ht="66" customHeight="1" x14ac:dyDescent="0.15">
      <c r="B90" s="216"/>
      <c r="C90" s="71" t="s">
        <v>97</v>
      </c>
      <c r="D90" s="212" t="s">
        <v>152</v>
      </c>
      <c r="E90" s="213"/>
      <c r="F90" s="213"/>
      <c r="G90" s="213"/>
      <c r="H90" s="213"/>
      <c r="I90" s="213"/>
      <c r="J90" s="213"/>
      <c r="K90" s="213"/>
      <c r="L90" s="213"/>
      <c r="M90" s="213"/>
      <c r="N90" s="213"/>
      <c r="O90" s="213"/>
      <c r="P90" s="213"/>
      <c r="Q90" s="213"/>
      <c r="R90" s="213"/>
      <c r="S90" s="213"/>
      <c r="T90" s="213"/>
      <c r="U90" s="213"/>
      <c r="V90" s="213"/>
      <c r="W90" s="213"/>
      <c r="X90" s="213"/>
      <c r="Y90" s="213"/>
      <c r="Z90" s="214"/>
    </row>
    <row r="91" spans="1:26" ht="6" customHeight="1" x14ac:dyDescent="0.15"/>
    <row r="92" spans="1:26" ht="18.75" customHeight="1" x14ac:dyDescent="0.15">
      <c r="A92" s="13" t="s">
        <v>127</v>
      </c>
    </row>
    <row r="93" spans="1:26" ht="18.75" customHeight="1" x14ac:dyDescent="0.15">
      <c r="B93" s="174" t="s">
        <v>128</v>
      </c>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6"/>
    </row>
    <row r="94" spans="1:26" ht="18.75" customHeight="1" x14ac:dyDescent="0.15">
      <c r="B94" s="177"/>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9"/>
    </row>
    <row r="95" spans="1:26" ht="18.75" customHeight="1" x14ac:dyDescent="0.15">
      <c r="B95" s="180"/>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2"/>
    </row>
    <row r="96" spans="1:26" ht="6" customHeight="1" x14ac:dyDescent="0.15"/>
    <row r="97" spans="1:26" ht="15" customHeight="1" x14ac:dyDescent="0.15">
      <c r="A97" s="13" t="s">
        <v>129</v>
      </c>
    </row>
    <row r="98" spans="1:26" ht="15" customHeight="1" x14ac:dyDescent="0.15">
      <c r="B98" s="222" t="str">
        <f>'様式２-1　プログラムを構成する授業科目（M）'!B98</f>
        <v>https://www.fukui-nct.ac.jp/mext_mathdsai/</v>
      </c>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4"/>
    </row>
    <row r="133" spans="14:14" ht="18.75" customHeight="1" x14ac:dyDescent="0.15">
      <c r="N133"/>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U74:Z77 H70:M72 T70:T77 U70:Z71 H75:M77 G70:G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Y16:Z22 L16:M22 Y27:Z33 H27:H33 H38:H44 Y38:Z44 H49:H55 Y49:Z55 Y60:Z66 L49:M55 H16:H22 U16:U22 T60:T66 U27:U33 L27:M33 U38:U44 L38:M44 U49:U55 L64:M66 G60:G66 K60:M63">
      <formula1>"○"</formula1>
    </dataValidation>
  </dataValidations>
  <printOptions horizontalCentered="1"/>
  <pageMargins left="0.25" right="0.25" top="0.75" bottom="0.75" header="0.3" footer="0.3"/>
  <pageSetup paperSize="9" scale="76" fitToHeight="0" orientation="portrait" r:id="rId1"/>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33"/>
  <sheetViews>
    <sheetView showZeros="0" view="pageBreakPreview" zoomScaleNormal="100" zoomScaleSheetLayoutView="100" workbookViewId="0">
      <selection activeCell="B5" sqref="A5:Z4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64" t="s">
        <v>153</v>
      </c>
      <c r="X1" s="164"/>
      <c r="Y1" s="164"/>
      <c r="Z1" s="164"/>
    </row>
    <row r="2" spans="1:26" ht="18" customHeight="1" x14ac:dyDescent="0.15">
      <c r="A2" s="199" t="s">
        <v>69</v>
      </c>
      <c r="B2" s="199"/>
      <c r="C2" s="199"/>
      <c r="D2" s="199"/>
      <c r="E2" s="199"/>
      <c r="F2" s="199"/>
      <c r="G2" s="199"/>
      <c r="H2" s="199"/>
      <c r="I2" s="199"/>
      <c r="J2" s="199"/>
      <c r="K2" s="199"/>
      <c r="L2" s="199"/>
      <c r="M2" s="199"/>
      <c r="N2" s="199"/>
      <c r="O2" s="199"/>
      <c r="P2" s="199"/>
      <c r="Q2" s="199"/>
      <c r="R2" s="199"/>
      <c r="S2" s="199"/>
      <c r="T2" s="199"/>
      <c r="U2" s="199"/>
      <c r="V2" s="199"/>
      <c r="W2" s="199"/>
      <c r="X2" s="199"/>
      <c r="Y2" s="199"/>
      <c r="Z2" s="199"/>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70</v>
      </c>
      <c r="B4" s="25"/>
      <c r="C4" s="25"/>
      <c r="D4" s="25"/>
      <c r="E4" s="25"/>
      <c r="F4" s="25"/>
      <c r="G4" s="25"/>
      <c r="H4" s="14" t="s">
        <v>71</v>
      </c>
      <c r="I4" s="25"/>
      <c r="J4" s="25"/>
      <c r="K4" s="25"/>
      <c r="L4" s="25"/>
      <c r="M4" s="25"/>
      <c r="N4" s="25"/>
      <c r="O4" s="117" t="s">
        <v>72</v>
      </c>
      <c r="P4" s="118"/>
      <c r="Q4" s="118"/>
      <c r="R4" s="118"/>
      <c r="S4" s="118"/>
      <c r="T4" s="118"/>
      <c r="U4" s="118"/>
      <c r="V4" s="118"/>
      <c r="W4" s="118"/>
      <c r="X4" s="118"/>
      <c r="Y4" s="118"/>
      <c r="Z4" s="119"/>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00" t="s">
        <v>154</v>
      </c>
      <c r="C6" s="201"/>
      <c r="D6" s="201"/>
      <c r="E6" s="201"/>
      <c r="F6" s="201"/>
      <c r="G6" s="201"/>
      <c r="H6" s="201"/>
      <c r="I6" s="201"/>
      <c r="J6" s="201"/>
      <c r="K6" s="201"/>
      <c r="L6" s="201"/>
      <c r="M6" s="201"/>
      <c r="N6" s="201"/>
      <c r="O6" s="201"/>
      <c r="P6" s="201"/>
      <c r="Q6" s="201"/>
      <c r="R6" s="201"/>
      <c r="S6" s="201"/>
      <c r="T6" s="201"/>
      <c r="U6" s="201"/>
      <c r="V6" s="201"/>
      <c r="W6" s="201"/>
      <c r="X6" s="201"/>
      <c r="Y6" s="201"/>
      <c r="Z6" s="202"/>
    </row>
    <row r="7" spans="1:26" ht="18" customHeight="1" x14ac:dyDescent="0.15">
      <c r="B7" s="203"/>
      <c r="C7" s="204"/>
      <c r="D7" s="204"/>
      <c r="E7" s="204"/>
      <c r="F7" s="204"/>
      <c r="G7" s="204"/>
      <c r="H7" s="204"/>
      <c r="I7" s="204"/>
      <c r="J7" s="204"/>
      <c r="K7" s="204"/>
      <c r="L7" s="204"/>
      <c r="M7" s="204"/>
      <c r="N7" s="204"/>
      <c r="O7" s="204"/>
      <c r="P7" s="204"/>
      <c r="Q7" s="204"/>
      <c r="R7" s="204"/>
      <c r="S7" s="204"/>
      <c r="T7" s="204"/>
      <c r="U7" s="204"/>
      <c r="V7" s="204"/>
      <c r="W7" s="204"/>
      <c r="X7" s="204"/>
      <c r="Y7" s="204"/>
      <c r="Z7" s="205"/>
    </row>
    <row r="8" spans="1:26" ht="18" customHeight="1" x14ac:dyDescent="0.15">
      <c r="B8" s="203"/>
      <c r="C8" s="204"/>
      <c r="D8" s="204"/>
      <c r="E8" s="204"/>
      <c r="F8" s="204"/>
      <c r="G8" s="204"/>
      <c r="H8" s="204"/>
      <c r="I8" s="204"/>
      <c r="J8" s="204"/>
      <c r="K8" s="204"/>
      <c r="L8" s="204"/>
      <c r="M8" s="204"/>
      <c r="N8" s="204"/>
      <c r="O8" s="204"/>
      <c r="P8" s="204"/>
      <c r="Q8" s="204"/>
      <c r="R8" s="204"/>
      <c r="S8" s="204"/>
      <c r="T8" s="204"/>
      <c r="U8" s="204"/>
      <c r="V8" s="204"/>
      <c r="W8" s="204"/>
      <c r="X8" s="204"/>
      <c r="Y8" s="204"/>
      <c r="Z8" s="205"/>
    </row>
    <row r="9" spans="1:26" ht="18" customHeight="1" x14ac:dyDescent="0.15">
      <c r="B9" s="203"/>
      <c r="C9" s="204"/>
      <c r="D9" s="204"/>
      <c r="E9" s="204"/>
      <c r="F9" s="204"/>
      <c r="G9" s="204"/>
      <c r="H9" s="204"/>
      <c r="I9" s="204"/>
      <c r="J9" s="204"/>
      <c r="K9" s="204"/>
      <c r="L9" s="204"/>
      <c r="M9" s="204"/>
      <c r="N9" s="204"/>
      <c r="O9" s="204"/>
      <c r="P9" s="204"/>
      <c r="Q9" s="204"/>
      <c r="R9" s="204"/>
      <c r="S9" s="204"/>
      <c r="T9" s="204"/>
      <c r="U9" s="204"/>
      <c r="V9" s="204"/>
      <c r="W9" s="204"/>
      <c r="X9" s="204"/>
      <c r="Y9" s="204"/>
      <c r="Z9" s="205"/>
    </row>
    <row r="10" spans="1:26" ht="18" customHeight="1" x14ac:dyDescent="0.15">
      <c r="B10" s="203"/>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5"/>
    </row>
    <row r="11" spans="1:26" ht="18" customHeight="1" x14ac:dyDescent="0.15">
      <c r="B11" s="206"/>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8"/>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98" t="s">
        <v>73</v>
      </c>
      <c r="B13" s="198"/>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row>
    <row r="14" spans="1:26" ht="18" customHeight="1" x14ac:dyDescent="0.15">
      <c r="A14" s="198"/>
      <c r="B14" s="198"/>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row>
    <row r="15" spans="1:26" ht="18" customHeight="1" x14ac:dyDescent="0.15">
      <c r="A15" s="14"/>
      <c r="B15" s="117" t="s">
        <v>74</v>
      </c>
      <c r="C15" s="118"/>
      <c r="D15" s="118"/>
      <c r="E15" s="118"/>
      <c r="F15" s="119"/>
      <c r="G15" s="26" t="s">
        <v>75</v>
      </c>
      <c r="H15" s="98" t="s">
        <v>76</v>
      </c>
      <c r="I15" s="118" t="s">
        <v>77</v>
      </c>
      <c r="J15" s="118"/>
      <c r="K15" s="118"/>
      <c r="L15" s="65" t="s">
        <v>78</v>
      </c>
      <c r="M15" s="65" t="s">
        <v>79</v>
      </c>
      <c r="N15" s="117" t="s">
        <v>74</v>
      </c>
      <c r="O15" s="118"/>
      <c r="P15" s="118"/>
      <c r="Q15" s="118"/>
      <c r="R15" s="118"/>
      <c r="S15" s="119"/>
      <c r="T15" s="26" t="s">
        <v>75</v>
      </c>
      <c r="U15" s="98" t="s">
        <v>76</v>
      </c>
      <c r="V15" s="118" t="s">
        <v>77</v>
      </c>
      <c r="W15" s="118"/>
      <c r="X15" s="118"/>
      <c r="Y15" s="65" t="s">
        <v>78</v>
      </c>
      <c r="Z15" s="65" t="s">
        <v>79</v>
      </c>
    </row>
    <row r="16" spans="1:26" ht="18" customHeight="1" x14ac:dyDescent="0.15">
      <c r="A16" s="14"/>
      <c r="B16" s="165" t="s">
        <v>155</v>
      </c>
      <c r="C16" s="166"/>
      <c r="D16" s="166"/>
      <c r="E16" s="166"/>
      <c r="F16" s="167"/>
      <c r="G16" s="99">
        <v>2</v>
      </c>
      <c r="H16" s="99" t="s">
        <v>81</v>
      </c>
      <c r="I16" s="171" t="s">
        <v>82</v>
      </c>
      <c r="J16" s="172"/>
      <c r="K16" s="173"/>
      <c r="L16" s="99" t="s">
        <v>81</v>
      </c>
      <c r="M16" s="99" t="s">
        <v>81</v>
      </c>
      <c r="N16" s="143"/>
      <c r="O16" s="144"/>
      <c r="P16" s="144"/>
      <c r="Q16" s="144"/>
      <c r="R16" s="144"/>
      <c r="S16" s="145"/>
      <c r="T16" s="99"/>
      <c r="U16" s="99"/>
      <c r="V16" s="171"/>
      <c r="W16" s="172"/>
      <c r="X16" s="173"/>
      <c r="Y16" s="99"/>
      <c r="Z16" s="99"/>
    </row>
    <row r="17" spans="1:26" ht="18" customHeight="1" x14ac:dyDescent="0.15">
      <c r="A17" s="14"/>
      <c r="B17" s="158" t="s">
        <v>83</v>
      </c>
      <c r="C17" s="159"/>
      <c r="D17" s="159"/>
      <c r="E17" s="159"/>
      <c r="F17" s="160"/>
      <c r="G17" s="100">
        <v>1</v>
      </c>
      <c r="H17" s="100" t="s">
        <v>81</v>
      </c>
      <c r="I17" s="152" t="s">
        <v>84</v>
      </c>
      <c r="J17" s="153"/>
      <c r="K17" s="154"/>
      <c r="L17" s="100" t="s">
        <v>81</v>
      </c>
      <c r="M17" s="100" t="s">
        <v>81</v>
      </c>
      <c r="N17" s="146"/>
      <c r="O17" s="147"/>
      <c r="P17" s="147"/>
      <c r="Q17" s="147"/>
      <c r="R17" s="147"/>
      <c r="S17" s="148"/>
      <c r="T17" s="100"/>
      <c r="U17" s="100"/>
      <c r="V17" s="152"/>
      <c r="W17" s="153"/>
      <c r="X17" s="154"/>
      <c r="Y17" s="100"/>
      <c r="Z17" s="100"/>
    </row>
    <row r="18" spans="1:26" ht="18" customHeight="1" x14ac:dyDescent="0.15">
      <c r="A18" s="14"/>
      <c r="B18" s="158"/>
      <c r="C18" s="159"/>
      <c r="D18" s="159"/>
      <c r="E18" s="159"/>
      <c r="F18" s="160"/>
      <c r="G18" s="100"/>
      <c r="H18" s="100"/>
      <c r="I18" s="152"/>
      <c r="J18" s="153"/>
      <c r="K18" s="154"/>
      <c r="L18" s="100"/>
      <c r="M18" s="100"/>
      <c r="N18" s="146"/>
      <c r="O18" s="147"/>
      <c r="P18" s="147"/>
      <c r="Q18" s="147"/>
      <c r="R18" s="147"/>
      <c r="S18" s="148"/>
      <c r="T18" s="100"/>
      <c r="U18" s="100"/>
      <c r="V18" s="152"/>
      <c r="W18" s="153"/>
      <c r="X18" s="154"/>
      <c r="Y18" s="100"/>
      <c r="Z18" s="100"/>
    </row>
    <row r="19" spans="1:26" ht="18" customHeight="1" x14ac:dyDescent="0.15">
      <c r="A19" s="14"/>
      <c r="B19" s="158"/>
      <c r="C19" s="159"/>
      <c r="D19" s="159"/>
      <c r="E19" s="159"/>
      <c r="F19" s="160"/>
      <c r="G19" s="100"/>
      <c r="H19" s="100"/>
      <c r="I19" s="152"/>
      <c r="J19" s="153"/>
      <c r="K19" s="154"/>
      <c r="L19" s="100"/>
      <c r="M19" s="100"/>
      <c r="N19" s="146"/>
      <c r="O19" s="147"/>
      <c r="P19" s="147"/>
      <c r="Q19" s="147"/>
      <c r="R19" s="147"/>
      <c r="S19" s="148"/>
      <c r="T19" s="100"/>
      <c r="U19" s="100"/>
      <c r="V19" s="152"/>
      <c r="W19" s="153"/>
      <c r="X19" s="154"/>
      <c r="Y19" s="100"/>
      <c r="Z19" s="100"/>
    </row>
    <row r="20" spans="1:26" ht="18" customHeight="1" x14ac:dyDescent="0.15">
      <c r="A20" s="14"/>
      <c r="B20" s="158"/>
      <c r="C20" s="159"/>
      <c r="D20" s="159"/>
      <c r="E20" s="159"/>
      <c r="F20" s="160"/>
      <c r="G20" s="100"/>
      <c r="H20" s="100"/>
      <c r="I20" s="152"/>
      <c r="J20" s="153"/>
      <c r="K20" s="154"/>
      <c r="L20" s="100"/>
      <c r="M20" s="100"/>
      <c r="N20" s="146"/>
      <c r="O20" s="147"/>
      <c r="P20" s="147"/>
      <c r="Q20" s="147"/>
      <c r="R20" s="147"/>
      <c r="S20" s="148"/>
      <c r="T20" s="100"/>
      <c r="U20" s="100"/>
      <c r="V20" s="152"/>
      <c r="W20" s="153"/>
      <c r="X20" s="154"/>
      <c r="Y20" s="100"/>
      <c r="Z20" s="100"/>
    </row>
    <row r="21" spans="1:26" ht="18" customHeight="1" x14ac:dyDescent="0.15">
      <c r="A21" s="25"/>
      <c r="B21" s="158"/>
      <c r="C21" s="159"/>
      <c r="D21" s="159"/>
      <c r="E21" s="159"/>
      <c r="F21" s="160"/>
      <c r="G21" s="100"/>
      <c r="H21" s="100"/>
      <c r="I21" s="152"/>
      <c r="J21" s="153"/>
      <c r="K21" s="154"/>
      <c r="L21" s="100"/>
      <c r="M21" s="100"/>
      <c r="N21" s="146"/>
      <c r="O21" s="147"/>
      <c r="P21" s="147"/>
      <c r="Q21" s="147"/>
      <c r="R21" s="147"/>
      <c r="S21" s="148"/>
      <c r="T21" s="100"/>
      <c r="U21" s="100"/>
      <c r="V21" s="152"/>
      <c r="W21" s="153"/>
      <c r="X21" s="154"/>
      <c r="Y21" s="100"/>
      <c r="Z21" s="100"/>
    </row>
    <row r="22" spans="1:26" ht="18" customHeight="1" x14ac:dyDescent="0.15">
      <c r="A22" s="25"/>
      <c r="B22" s="161"/>
      <c r="C22" s="162"/>
      <c r="D22" s="162"/>
      <c r="E22" s="162"/>
      <c r="F22" s="163"/>
      <c r="G22" s="101"/>
      <c r="H22" s="101"/>
      <c r="I22" s="155"/>
      <c r="J22" s="156"/>
      <c r="K22" s="157"/>
      <c r="L22" s="106"/>
      <c r="M22" s="106"/>
      <c r="N22" s="149"/>
      <c r="O22" s="150"/>
      <c r="P22" s="150"/>
      <c r="Q22" s="150"/>
      <c r="R22" s="150"/>
      <c r="S22" s="151"/>
      <c r="T22" s="101"/>
      <c r="U22" s="101"/>
      <c r="V22" s="155"/>
      <c r="W22" s="156"/>
      <c r="X22" s="157"/>
      <c r="Y22" s="106"/>
      <c r="Z22" s="106"/>
    </row>
    <row r="23" spans="1:26" ht="7.5" customHeight="1" x14ac:dyDescent="0.15">
      <c r="A23" s="25"/>
      <c r="B23" s="29"/>
      <c r="C23" s="29"/>
      <c r="D23" s="25"/>
      <c r="E23" s="25"/>
      <c r="F23" s="25"/>
      <c r="G23" s="25"/>
      <c r="H23" s="25"/>
      <c r="I23" s="25"/>
      <c r="J23" s="25"/>
      <c r="K23" s="25"/>
      <c r="L23" s="29"/>
      <c r="M23" s="29"/>
      <c r="N23" s="29"/>
      <c r="O23" s="29"/>
      <c r="P23" s="29"/>
      <c r="Q23" s="29"/>
      <c r="R23" s="29"/>
      <c r="S23" s="29"/>
      <c r="T23" s="29"/>
      <c r="U23" s="29"/>
      <c r="V23" s="29"/>
      <c r="W23" s="29"/>
      <c r="X23" s="29"/>
      <c r="Y23" s="29"/>
      <c r="Z23" s="25"/>
    </row>
    <row r="24" spans="1:26" ht="18" customHeight="1" x14ac:dyDescent="0.15">
      <c r="A24" s="198" t="s">
        <v>85</v>
      </c>
      <c r="B24" s="198"/>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spans="1:26" ht="18" customHeight="1" x14ac:dyDescent="0.15">
      <c r="A25" s="198"/>
      <c r="B25" s="198"/>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row>
    <row r="26" spans="1:26" ht="18" customHeight="1" x14ac:dyDescent="0.15">
      <c r="A26" s="14"/>
      <c r="B26" s="117" t="s">
        <v>74</v>
      </c>
      <c r="C26" s="118"/>
      <c r="D26" s="118"/>
      <c r="E26" s="118"/>
      <c r="F26" s="119"/>
      <c r="G26" s="26" t="s">
        <v>75</v>
      </c>
      <c r="H26" s="98" t="s">
        <v>76</v>
      </c>
      <c r="I26" s="118" t="s">
        <v>77</v>
      </c>
      <c r="J26" s="118"/>
      <c r="K26" s="118"/>
      <c r="L26" s="65" t="s">
        <v>86</v>
      </c>
      <c r="M26" s="65" t="s">
        <v>87</v>
      </c>
      <c r="N26" s="117" t="s">
        <v>74</v>
      </c>
      <c r="O26" s="118"/>
      <c r="P26" s="118"/>
      <c r="Q26" s="118"/>
      <c r="R26" s="118"/>
      <c r="S26" s="119"/>
      <c r="T26" s="26" t="s">
        <v>75</v>
      </c>
      <c r="U26" s="98" t="s">
        <v>76</v>
      </c>
      <c r="V26" s="118" t="s">
        <v>77</v>
      </c>
      <c r="W26" s="118"/>
      <c r="X26" s="118"/>
      <c r="Y26" s="65" t="s">
        <v>86</v>
      </c>
      <c r="Z26" s="65" t="s">
        <v>87</v>
      </c>
    </row>
    <row r="27" spans="1:26" ht="18" customHeight="1" x14ac:dyDescent="0.15">
      <c r="A27" s="14"/>
      <c r="B27" s="165" t="s">
        <v>155</v>
      </c>
      <c r="C27" s="166"/>
      <c r="D27" s="166"/>
      <c r="E27" s="166"/>
      <c r="F27" s="167"/>
      <c r="G27" s="99">
        <v>2</v>
      </c>
      <c r="H27" s="99" t="s">
        <v>81</v>
      </c>
      <c r="I27" s="171" t="s">
        <v>82</v>
      </c>
      <c r="J27" s="172"/>
      <c r="K27" s="173"/>
      <c r="L27" s="99" t="s">
        <v>81</v>
      </c>
      <c r="M27" s="99" t="s">
        <v>81</v>
      </c>
      <c r="N27" s="143"/>
      <c r="O27" s="144"/>
      <c r="P27" s="144"/>
      <c r="Q27" s="144"/>
      <c r="R27" s="144"/>
      <c r="S27" s="145"/>
      <c r="T27" s="99"/>
      <c r="U27" s="99"/>
      <c r="V27" s="171"/>
      <c r="W27" s="172"/>
      <c r="X27" s="173"/>
      <c r="Y27" s="99"/>
      <c r="Z27" s="99"/>
    </row>
    <row r="28" spans="1:26" ht="18" customHeight="1" x14ac:dyDescent="0.15">
      <c r="A28" s="14"/>
      <c r="B28" s="158" t="s">
        <v>83</v>
      </c>
      <c r="C28" s="159"/>
      <c r="D28" s="159"/>
      <c r="E28" s="159"/>
      <c r="F28" s="160"/>
      <c r="G28" s="100">
        <v>1</v>
      </c>
      <c r="H28" s="100" t="s">
        <v>81</v>
      </c>
      <c r="I28" s="152" t="s">
        <v>84</v>
      </c>
      <c r="J28" s="153"/>
      <c r="K28" s="154"/>
      <c r="L28" s="100" t="s">
        <v>81</v>
      </c>
      <c r="M28" s="100" t="s">
        <v>81</v>
      </c>
      <c r="N28" s="146"/>
      <c r="O28" s="147"/>
      <c r="P28" s="147"/>
      <c r="Q28" s="147"/>
      <c r="R28" s="147"/>
      <c r="S28" s="148"/>
      <c r="T28" s="100"/>
      <c r="U28" s="100"/>
      <c r="V28" s="152"/>
      <c r="W28" s="153"/>
      <c r="X28" s="154"/>
      <c r="Y28" s="100"/>
      <c r="Z28" s="100"/>
    </row>
    <row r="29" spans="1:26" ht="18" customHeight="1" x14ac:dyDescent="0.15">
      <c r="A29" s="14"/>
      <c r="B29" s="158"/>
      <c r="C29" s="159"/>
      <c r="D29" s="159"/>
      <c r="E29" s="159"/>
      <c r="F29" s="160"/>
      <c r="G29" s="100"/>
      <c r="H29" s="100"/>
      <c r="I29" s="152"/>
      <c r="J29" s="153"/>
      <c r="K29" s="154"/>
      <c r="L29" s="100"/>
      <c r="M29" s="100"/>
      <c r="N29" s="146"/>
      <c r="O29" s="147"/>
      <c r="P29" s="147"/>
      <c r="Q29" s="147"/>
      <c r="R29" s="147"/>
      <c r="S29" s="148"/>
      <c r="T29" s="100"/>
      <c r="U29" s="100"/>
      <c r="V29" s="152"/>
      <c r="W29" s="153"/>
      <c r="X29" s="154"/>
      <c r="Y29" s="100"/>
      <c r="Z29" s="100"/>
    </row>
    <row r="30" spans="1:26" ht="18" customHeight="1" x14ac:dyDescent="0.15">
      <c r="A30" s="14"/>
      <c r="B30" s="158"/>
      <c r="C30" s="159"/>
      <c r="D30" s="159"/>
      <c r="E30" s="159"/>
      <c r="F30" s="160"/>
      <c r="G30" s="100"/>
      <c r="H30" s="100"/>
      <c r="I30" s="152"/>
      <c r="J30" s="153"/>
      <c r="K30" s="154"/>
      <c r="L30" s="100"/>
      <c r="M30" s="100"/>
      <c r="N30" s="146"/>
      <c r="O30" s="147"/>
      <c r="P30" s="147"/>
      <c r="Q30" s="147"/>
      <c r="R30" s="147"/>
      <c r="S30" s="148"/>
      <c r="T30" s="100"/>
      <c r="U30" s="100"/>
      <c r="V30" s="152"/>
      <c r="W30" s="153"/>
      <c r="X30" s="154"/>
      <c r="Y30" s="100"/>
      <c r="Z30" s="100"/>
    </row>
    <row r="31" spans="1:26" ht="18" customHeight="1" x14ac:dyDescent="0.15">
      <c r="A31" s="14"/>
      <c r="B31" s="158"/>
      <c r="C31" s="159"/>
      <c r="D31" s="159"/>
      <c r="E31" s="159"/>
      <c r="F31" s="160"/>
      <c r="G31" s="100"/>
      <c r="H31" s="100"/>
      <c r="I31" s="152"/>
      <c r="J31" s="153"/>
      <c r="K31" s="154"/>
      <c r="L31" s="100"/>
      <c r="M31" s="100"/>
      <c r="N31" s="146"/>
      <c r="O31" s="147"/>
      <c r="P31" s="147"/>
      <c r="Q31" s="147"/>
      <c r="R31" s="147"/>
      <c r="S31" s="148"/>
      <c r="T31" s="100"/>
      <c r="U31" s="100"/>
      <c r="V31" s="152"/>
      <c r="W31" s="153"/>
      <c r="X31" s="154"/>
      <c r="Y31" s="100"/>
      <c r="Z31" s="100"/>
    </row>
    <row r="32" spans="1:26" ht="18" customHeight="1" x14ac:dyDescent="0.15">
      <c r="A32" s="14"/>
      <c r="B32" s="158"/>
      <c r="C32" s="159"/>
      <c r="D32" s="159"/>
      <c r="E32" s="159"/>
      <c r="F32" s="160"/>
      <c r="G32" s="100"/>
      <c r="H32" s="100"/>
      <c r="I32" s="152"/>
      <c r="J32" s="153"/>
      <c r="K32" s="154"/>
      <c r="L32" s="100"/>
      <c r="M32" s="100"/>
      <c r="N32" s="146"/>
      <c r="O32" s="147"/>
      <c r="P32" s="147"/>
      <c r="Q32" s="147"/>
      <c r="R32" s="147"/>
      <c r="S32" s="148"/>
      <c r="T32" s="100"/>
      <c r="U32" s="100"/>
      <c r="V32" s="152"/>
      <c r="W32" s="153"/>
      <c r="X32" s="154"/>
      <c r="Y32" s="100"/>
      <c r="Z32" s="100"/>
    </row>
    <row r="33" spans="1:26" ht="18" customHeight="1" x14ac:dyDescent="0.15">
      <c r="A33" s="14"/>
      <c r="B33" s="161"/>
      <c r="C33" s="162"/>
      <c r="D33" s="162"/>
      <c r="E33" s="162"/>
      <c r="F33" s="163"/>
      <c r="G33" s="101"/>
      <c r="H33" s="101"/>
      <c r="I33" s="155"/>
      <c r="J33" s="156"/>
      <c r="K33" s="157"/>
      <c r="L33" s="106"/>
      <c r="M33" s="106"/>
      <c r="N33" s="149"/>
      <c r="O33" s="150"/>
      <c r="P33" s="150"/>
      <c r="Q33" s="150"/>
      <c r="R33" s="150"/>
      <c r="S33" s="151"/>
      <c r="T33" s="101"/>
      <c r="U33" s="101"/>
      <c r="V33" s="155"/>
      <c r="W33" s="156"/>
      <c r="X33" s="157"/>
      <c r="Y33" s="106"/>
      <c r="Z33" s="106"/>
    </row>
    <row r="34" spans="1:26" ht="7.5" customHeight="1" x14ac:dyDescent="0.15">
      <c r="A34" s="25"/>
      <c r="B34" s="29"/>
      <c r="C34" s="29"/>
      <c r="D34" s="25"/>
      <c r="E34" s="25"/>
      <c r="F34" s="25"/>
      <c r="G34" s="25"/>
      <c r="H34" s="25"/>
      <c r="I34" s="25"/>
      <c r="J34" s="25"/>
      <c r="K34" s="25"/>
      <c r="L34" s="29"/>
      <c r="M34" s="29"/>
      <c r="N34" s="29"/>
      <c r="O34" s="29"/>
      <c r="P34" s="29"/>
      <c r="Q34" s="29"/>
      <c r="R34" s="29"/>
      <c r="S34" s="29"/>
      <c r="T34" s="29"/>
      <c r="U34" s="29"/>
      <c r="V34" s="29"/>
      <c r="W34" s="29"/>
      <c r="X34" s="29"/>
      <c r="Y34" s="29"/>
      <c r="Z34" s="25"/>
    </row>
    <row r="35" spans="1:26" ht="18" customHeight="1" x14ac:dyDescent="0.15">
      <c r="A35" s="198" t="s">
        <v>88</v>
      </c>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row>
    <row r="36" spans="1:26" ht="18" customHeight="1" x14ac:dyDescent="0.15">
      <c r="A36" s="198"/>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spans="1:26" ht="18" customHeight="1" x14ac:dyDescent="0.15">
      <c r="A37" s="14"/>
      <c r="B37" s="117" t="s">
        <v>74</v>
      </c>
      <c r="C37" s="118"/>
      <c r="D37" s="118"/>
      <c r="E37" s="118"/>
      <c r="F37" s="119"/>
      <c r="G37" s="26" t="s">
        <v>75</v>
      </c>
      <c r="H37" s="98" t="s">
        <v>76</v>
      </c>
      <c r="I37" s="117" t="s">
        <v>77</v>
      </c>
      <c r="J37" s="118"/>
      <c r="K37" s="119"/>
      <c r="L37" s="65" t="s">
        <v>89</v>
      </c>
      <c r="M37" s="65" t="s">
        <v>90</v>
      </c>
      <c r="N37" s="117" t="s">
        <v>74</v>
      </c>
      <c r="O37" s="118"/>
      <c r="P37" s="118"/>
      <c r="Q37" s="118"/>
      <c r="R37" s="118"/>
      <c r="S37" s="119"/>
      <c r="T37" s="26" t="s">
        <v>75</v>
      </c>
      <c r="U37" s="98" t="s">
        <v>76</v>
      </c>
      <c r="V37" s="117" t="s">
        <v>77</v>
      </c>
      <c r="W37" s="118"/>
      <c r="X37" s="119"/>
      <c r="Y37" s="65" t="s">
        <v>89</v>
      </c>
      <c r="Z37" s="65" t="s">
        <v>90</v>
      </c>
    </row>
    <row r="38" spans="1:26" ht="18" customHeight="1" x14ac:dyDescent="0.15">
      <c r="A38" s="25"/>
      <c r="B38" s="165" t="s">
        <v>156</v>
      </c>
      <c r="C38" s="166"/>
      <c r="D38" s="166"/>
      <c r="E38" s="166"/>
      <c r="F38" s="167"/>
      <c r="G38" s="99">
        <v>2</v>
      </c>
      <c r="H38" s="99" t="s">
        <v>81</v>
      </c>
      <c r="I38" s="171" t="s">
        <v>82</v>
      </c>
      <c r="J38" s="172"/>
      <c r="K38" s="173"/>
      <c r="L38" s="99" t="s">
        <v>81</v>
      </c>
      <c r="M38" s="99"/>
      <c r="N38" s="143"/>
      <c r="O38" s="144"/>
      <c r="P38" s="144"/>
      <c r="Q38" s="144"/>
      <c r="R38" s="144"/>
      <c r="S38" s="145"/>
      <c r="T38" s="99"/>
      <c r="U38" s="99"/>
      <c r="V38" s="171"/>
      <c r="W38" s="172"/>
      <c r="X38" s="173"/>
      <c r="Y38" s="99"/>
      <c r="Z38" s="99"/>
    </row>
    <row r="39" spans="1:26" ht="18" customHeight="1" x14ac:dyDescent="0.15">
      <c r="A39" s="25"/>
      <c r="B39" s="158" t="s">
        <v>83</v>
      </c>
      <c r="C39" s="159"/>
      <c r="D39" s="159"/>
      <c r="E39" s="159"/>
      <c r="F39" s="160"/>
      <c r="G39" s="100">
        <v>1</v>
      </c>
      <c r="H39" s="100" t="s">
        <v>81</v>
      </c>
      <c r="I39" s="152" t="s">
        <v>84</v>
      </c>
      <c r="J39" s="153"/>
      <c r="K39" s="154"/>
      <c r="L39" s="100" t="s">
        <v>81</v>
      </c>
      <c r="M39" s="100" t="s">
        <v>81</v>
      </c>
      <c r="N39" s="146"/>
      <c r="O39" s="147"/>
      <c r="P39" s="147"/>
      <c r="Q39" s="147"/>
      <c r="R39" s="147"/>
      <c r="S39" s="148"/>
      <c r="T39" s="100"/>
      <c r="U39" s="100"/>
      <c r="V39" s="152"/>
      <c r="W39" s="153"/>
      <c r="X39" s="154"/>
      <c r="Y39" s="100"/>
      <c r="Z39" s="100"/>
    </row>
    <row r="40" spans="1:26" ht="18" customHeight="1" x14ac:dyDescent="0.15">
      <c r="A40" s="25"/>
      <c r="B40" s="158"/>
      <c r="C40" s="159"/>
      <c r="D40" s="159"/>
      <c r="E40" s="159"/>
      <c r="F40" s="160"/>
      <c r="G40" s="100"/>
      <c r="H40" s="100"/>
      <c r="I40" s="152"/>
      <c r="J40" s="153"/>
      <c r="K40" s="154"/>
      <c r="L40" s="100"/>
      <c r="M40" s="100"/>
      <c r="N40" s="146"/>
      <c r="O40" s="147"/>
      <c r="P40" s="147"/>
      <c r="Q40" s="147"/>
      <c r="R40" s="147"/>
      <c r="S40" s="148"/>
      <c r="T40" s="100"/>
      <c r="U40" s="100"/>
      <c r="V40" s="152"/>
      <c r="W40" s="153"/>
      <c r="X40" s="154"/>
      <c r="Y40" s="100"/>
      <c r="Z40" s="100"/>
    </row>
    <row r="41" spans="1:26" ht="18" customHeight="1" x14ac:dyDescent="0.15">
      <c r="A41" s="25"/>
      <c r="B41" s="158"/>
      <c r="C41" s="159"/>
      <c r="D41" s="159"/>
      <c r="E41" s="159"/>
      <c r="F41" s="160"/>
      <c r="G41" s="100"/>
      <c r="H41" s="100"/>
      <c r="I41" s="152"/>
      <c r="J41" s="153"/>
      <c r="K41" s="154"/>
      <c r="L41" s="100"/>
      <c r="M41" s="100"/>
      <c r="N41" s="146"/>
      <c r="O41" s="147"/>
      <c r="P41" s="147"/>
      <c r="Q41" s="147"/>
      <c r="R41" s="147"/>
      <c r="S41" s="148"/>
      <c r="T41" s="100"/>
      <c r="U41" s="100"/>
      <c r="V41" s="152"/>
      <c r="W41" s="153"/>
      <c r="X41" s="154"/>
      <c r="Y41" s="100"/>
      <c r="Z41" s="100"/>
    </row>
    <row r="42" spans="1:26" ht="18" customHeight="1" x14ac:dyDescent="0.15">
      <c r="A42" s="25"/>
      <c r="B42" s="158"/>
      <c r="C42" s="159"/>
      <c r="D42" s="159"/>
      <c r="E42" s="159"/>
      <c r="F42" s="160"/>
      <c r="G42" s="100"/>
      <c r="H42" s="100"/>
      <c r="I42" s="152"/>
      <c r="J42" s="153"/>
      <c r="K42" s="154"/>
      <c r="L42" s="100"/>
      <c r="M42" s="100"/>
      <c r="N42" s="146"/>
      <c r="O42" s="147"/>
      <c r="P42" s="147"/>
      <c r="Q42" s="147"/>
      <c r="R42" s="147"/>
      <c r="S42" s="148"/>
      <c r="T42" s="100"/>
      <c r="U42" s="100"/>
      <c r="V42" s="152"/>
      <c r="W42" s="153"/>
      <c r="X42" s="154"/>
      <c r="Y42" s="100"/>
      <c r="Z42" s="100"/>
    </row>
    <row r="43" spans="1:26" ht="18" customHeight="1" x14ac:dyDescent="0.15">
      <c r="A43" s="25"/>
      <c r="B43" s="158"/>
      <c r="C43" s="159"/>
      <c r="D43" s="159"/>
      <c r="E43" s="159"/>
      <c r="F43" s="160"/>
      <c r="G43" s="100"/>
      <c r="H43" s="100"/>
      <c r="I43" s="152"/>
      <c r="J43" s="153"/>
      <c r="K43" s="154"/>
      <c r="L43" s="100"/>
      <c r="M43" s="100"/>
      <c r="N43" s="146"/>
      <c r="O43" s="147"/>
      <c r="P43" s="147"/>
      <c r="Q43" s="147"/>
      <c r="R43" s="147"/>
      <c r="S43" s="148"/>
      <c r="T43" s="100"/>
      <c r="U43" s="100"/>
      <c r="V43" s="152"/>
      <c r="W43" s="153"/>
      <c r="X43" s="154"/>
      <c r="Y43" s="100"/>
      <c r="Z43" s="100"/>
    </row>
    <row r="44" spans="1:26" ht="18" customHeight="1" x14ac:dyDescent="0.15">
      <c r="A44" s="25"/>
      <c r="B44" s="161"/>
      <c r="C44" s="162"/>
      <c r="D44" s="162"/>
      <c r="E44" s="162"/>
      <c r="F44" s="163"/>
      <c r="G44" s="101"/>
      <c r="H44" s="101"/>
      <c r="I44" s="155"/>
      <c r="J44" s="156"/>
      <c r="K44" s="157"/>
      <c r="L44" s="106"/>
      <c r="M44" s="106"/>
      <c r="N44" s="149"/>
      <c r="O44" s="150"/>
      <c r="P44" s="150"/>
      <c r="Q44" s="150"/>
      <c r="R44" s="150"/>
      <c r="S44" s="151"/>
      <c r="T44" s="101"/>
      <c r="U44" s="101"/>
      <c r="V44" s="155"/>
      <c r="W44" s="156"/>
      <c r="X44" s="157"/>
      <c r="Y44" s="106"/>
      <c r="Z44" s="106"/>
    </row>
    <row r="45" spans="1:26" ht="7.5" customHeight="1" x14ac:dyDescent="0.15">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6" ht="18" customHeight="1" x14ac:dyDescent="0.15">
      <c r="A46" s="198" t="s">
        <v>91</v>
      </c>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spans="1:26" ht="18" customHeight="1" x14ac:dyDescent="0.15">
      <c r="A47" s="198"/>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spans="1:26" ht="18" customHeight="1" x14ac:dyDescent="0.15">
      <c r="A48" s="14"/>
      <c r="B48" s="117" t="s">
        <v>74</v>
      </c>
      <c r="C48" s="118"/>
      <c r="D48" s="118"/>
      <c r="E48" s="118"/>
      <c r="F48" s="119"/>
      <c r="G48" s="26" t="s">
        <v>75</v>
      </c>
      <c r="H48" s="98" t="s">
        <v>76</v>
      </c>
      <c r="I48" s="117" t="s">
        <v>77</v>
      </c>
      <c r="J48" s="118"/>
      <c r="K48" s="119"/>
      <c r="L48" s="65" t="s">
        <v>92</v>
      </c>
      <c r="M48" s="65" t="s">
        <v>93</v>
      </c>
      <c r="N48" s="117" t="s">
        <v>74</v>
      </c>
      <c r="O48" s="118"/>
      <c r="P48" s="118"/>
      <c r="Q48" s="118"/>
      <c r="R48" s="118"/>
      <c r="S48" s="119"/>
      <c r="T48" s="26" t="s">
        <v>75</v>
      </c>
      <c r="U48" s="98" t="s">
        <v>76</v>
      </c>
      <c r="V48" s="117" t="s">
        <v>77</v>
      </c>
      <c r="W48" s="118"/>
      <c r="X48" s="119"/>
      <c r="Y48" s="65" t="s">
        <v>92</v>
      </c>
      <c r="Z48" s="65" t="s">
        <v>93</v>
      </c>
    </row>
    <row r="49" spans="1:26" ht="18" customHeight="1" x14ac:dyDescent="0.15">
      <c r="A49" s="25"/>
      <c r="B49" s="165" t="s">
        <v>155</v>
      </c>
      <c r="C49" s="166"/>
      <c r="D49" s="166"/>
      <c r="E49" s="166"/>
      <c r="F49" s="167"/>
      <c r="G49" s="99">
        <v>2</v>
      </c>
      <c r="H49" s="99" t="s">
        <v>81</v>
      </c>
      <c r="I49" s="171" t="s">
        <v>82</v>
      </c>
      <c r="J49" s="172"/>
      <c r="K49" s="173"/>
      <c r="L49" s="99"/>
      <c r="M49" s="99" t="s">
        <v>81</v>
      </c>
      <c r="N49" s="143"/>
      <c r="O49" s="144"/>
      <c r="P49" s="144"/>
      <c r="Q49" s="144"/>
      <c r="R49" s="144"/>
      <c r="S49" s="145"/>
      <c r="T49" s="99"/>
      <c r="U49" s="99"/>
      <c r="V49" s="171"/>
      <c r="W49" s="172"/>
      <c r="X49" s="173"/>
      <c r="Y49" s="99"/>
      <c r="Z49" s="99"/>
    </row>
    <row r="50" spans="1:26" ht="18" customHeight="1" x14ac:dyDescent="0.15">
      <c r="A50" s="25"/>
      <c r="B50" s="158" t="s">
        <v>83</v>
      </c>
      <c r="C50" s="159"/>
      <c r="D50" s="159"/>
      <c r="E50" s="159"/>
      <c r="F50" s="160"/>
      <c r="G50" s="100">
        <v>1</v>
      </c>
      <c r="H50" s="100" t="s">
        <v>81</v>
      </c>
      <c r="I50" s="152" t="s">
        <v>84</v>
      </c>
      <c r="J50" s="153"/>
      <c r="K50" s="154"/>
      <c r="L50" s="100" t="s">
        <v>81</v>
      </c>
      <c r="M50" s="100"/>
      <c r="N50" s="146"/>
      <c r="O50" s="147"/>
      <c r="P50" s="147"/>
      <c r="Q50" s="147"/>
      <c r="R50" s="147"/>
      <c r="S50" s="148"/>
      <c r="T50" s="100"/>
      <c r="U50" s="100"/>
      <c r="V50" s="152"/>
      <c r="W50" s="153"/>
      <c r="X50" s="154"/>
      <c r="Y50" s="100"/>
      <c r="Z50" s="100"/>
    </row>
    <row r="51" spans="1:26" ht="18" customHeight="1" x14ac:dyDescent="0.15">
      <c r="A51" s="25"/>
      <c r="B51" s="158"/>
      <c r="C51" s="159"/>
      <c r="D51" s="159"/>
      <c r="E51" s="159"/>
      <c r="F51" s="160"/>
      <c r="G51" s="100"/>
      <c r="H51" s="100"/>
      <c r="I51" s="152"/>
      <c r="J51" s="153"/>
      <c r="K51" s="154"/>
      <c r="L51" s="100"/>
      <c r="M51" s="100"/>
      <c r="N51" s="146"/>
      <c r="O51" s="147"/>
      <c r="P51" s="147"/>
      <c r="Q51" s="147"/>
      <c r="R51" s="147"/>
      <c r="S51" s="148"/>
      <c r="T51" s="100"/>
      <c r="U51" s="100"/>
      <c r="V51" s="152"/>
      <c r="W51" s="153"/>
      <c r="X51" s="154"/>
      <c r="Y51" s="100"/>
      <c r="Z51" s="100"/>
    </row>
    <row r="52" spans="1:26" ht="18" customHeight="1" x14ac:dyDescent="0.15">
      <c r="A52" s="25"/>
      <c r="B52" s="158"/>
      <c r="C52" s="159"/>
      <c r="D52" s="159"/>
      <c r="E52" s="159"/>
      <c r="F52" s="160"/>
      <c r="G52" s="100"/>
      <c r="H52" s="100"/>
      <c r="I52" s="152"/>
      <c r="J52" s="153"/>
      <c r="K52" s="154"/>
      <c r="L52" s="100"/>
      <c r="M52" s="100"/>
      <c r="N52" s="146"/>
      <c r="O52" s="147"/>
      <c r="P52" s="147"/>
      <c r="Q52" s="147"/>
      <c r="R52" s="147"/>
      <c r="S52" s="148"/>
      <c r="T52" s="100"/>
      <c r="U52" s="100"/>
      <c r="V52" s="152"/>
      <c r="W52" s="153"/>
      <c r="X52" s="154"/>
      <c r="Y52" s="100"/>
      <c r="Z52" s="100"/>
    </row>
    <row r="53" spans="1:26" ht="18" customHeight="1" x14ac:dyDescent="0.15">
      <c r="A53" s="25"/>
      <c r="B53" s="158"/>
      <c r="C53" s="159"/>
      <c r="D53" s="159"/>
      <c r="E53" s="159"/>
      <c r="F53" s="160"/>
      <c r="G53" s="100"/>
      <c r="H53" s="100"/>
      <c r="I53" s="152"/>
      <c r="J53" s="153"/>
      <c r="K53" s="154"/>
      <c r="L53" s="100"/>
      <c r="M53" s="100"/>
      <c r="N53" s="146"/>
      <c r="O53" s="147"/>
      <c r="P53" s="147"/>
      <c r="Q53" s="147"/>
      <c r="R53" s="147"/>
      <c r="S53" s="148"/>
      <c r="T53" s="100"/>
      <c r="U53" s="100"/>
      <c r="V53" s="152"/>
      <c r="W53" s="153"/>
      <c r="X53" s="154"/>
      <c r="Y53" s="100"/>
      <c r="Z53" s="100"/>
    </row>
    <row r="54" spans="1:26" ht="18" customHeight="1" x14ac:dyDescent="0.15">
      <c r="A54" s="25"/>
      <c r="B54" s="158"/>
      <c r="C54" s="159"/>
      <c r="D54" s="159"/>
      <c r="E54" s="159"/>
      <c r="F54" s="160"/>
      <c r="G54" s="100"/>
      <c r="H54" s="100"/>
      <c r="I54" s="152"/>
      <c r="J54" s="153"/>
      <c r="K54" s="154"/>
      <c r="L54" s="100"/>
      <c r="M54" s="100"/>
      <c r="N54" s="146"/>
      <c r="O54" s="147"/>
      <c r="P54" s="147"/>
      <c r="Q54" s="147"/>
      <c r="R54" s="147"/>
      <c r="S54" s="148"/>
      <c r="T54" s="100"/>
      <c r="U54" s="100"/>
      <c r="V54" s="152"/>
      <c r="W54" s="153"/>
      <c r="X54" s="154"/>
      <c r="Y54" s="100"/>
      <c r="Z54" s="100"/>
    </row>
    <row r="55" spans="1:26" ht="18" customHeight="1" x14ac:dyDescent="0.15">
      <c r="A55" s="25"/>
      <c r="B55" s="161"/>
      <c r="C55" s="162"/>
      <c r="D55" s="162"/>
      <c r="E55" s="162"/>
      <c r="F55" s="163"/>
      <c r="G55" s="101"/>
      <c r="H55" s="101"/>
      <c r="I55" s="155"/>
      <c r="J55" s="156"/>
      <c r="K55" s="157"/>
      <c r="L55" s="106"/>
      <c r="M55" s="106"/>
      <c r="N55" s="149"/>
      <c r="O55" s="150"/>
      <c r="P55" s="150"/>
      <c r="Q55" s="150"/>
      <c r="R55" s="150"/>
      <c r="S55" s="151"/>
      <c r="T55" s="101"/>
      <c r="U55" s="101"/>
      <c r="V55" s="155"/>
      <c r="W55" s="156"/>
      <c r="X55" s="157"/>
      <c r="Y55" s="106"/>
      <c r="Z55" s="106"/>
    </row>
    <row r="56" spans="1:26" ht="7.5" customHeight="1" x14ac:dyDescent="0.15">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6" ht="18" customHeight="1" x14ac:dyDescent="0.15">
      <c r="A57" s="198" t="s">
        <v>94</v>
      </c>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spans="1:26" ht="18" customHeight="1" x14ac:dyDescent="0.15">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spans="1:26" ht="18" customHeight="1" x14ac:dyDescent="0.15">
      <c r="A59" s="14"/>
      <c r="B59" s="117" t="s">
        <v>74</v>
      </c>
      <c r="C59" s="118"/>
      <c r="D59" s="118"/>
      <c r="E59" s="119"/>
      <c r="F59" s="26" t="s">
        <v>75</v>
      </c>
      <c r="G59" s="98" t="s">
        <v>76</v>
      </c>
      <c r="H59" s="22" t="s">
        <v>77</v>
      </c>
      <c r="I59" s="95"/>
      <c r="J59" s="23"/>
      <c r="K59" s="65" t="s">
        <v>95</v>
      </c>
      <c r="L59" s="65" t="s">
        <v>96</v>
      </c>
      <c r="M59" s="65" t="s">
        <v>97</v>
      </c>
      <c r="N59" s="117" t="s">
        <v>74</v>
      </c>
      <c r="O59" s="118"/>
      <c r="P59" s="118"/>
      <c r="Q59" s="118"/>
      <c r="R59" s="119"/>
      <c r="S59" s="26" t="s">
        <v>75</v>
      </c>
      <c r="T59" s="98" t="s">
        <v>76</v>
      </c>
      <c r="U59" s="22" t="s">
        <v>77</v>
      </c>
      <c r="V59" s="95"/>
      <c r="W59" s="23"/>
      <c r="X59" s="65" t="s">
        <v>95</v>
      </c>
      <c r="Y59" s="65" t="s">
        <v>96</v>
      </c>
      <c r="Z59" s="65" t="s">
        <v>97</v>
      </c>
    </row>
    <row r="60" spans="1:26" ht="18" customHeight="1" x14ac:dyDescent="0.15">
      <c r="A60" s="25"/>
      <c r="B60" s="143" t="s">
        <v>157</v>
      </c>
      <c r="C60" s="144"/>
      <c r="D60" s="144"/>
      <c r="E60" s="145"/>
      <c r="F60" s="99">
        <v>2</v>
      </c>
      <c r="G60" s="99" t="s">
        <v>81</v>
      </c>
      <c r="H60" s="171" t="s">
        <v>82</v>
      </c>
      <c r="I60" s="172"/>
      <c r="J60" s="173"/>
      <c r="K60" s="99" t="s">
        <v>81</v>
      </c>
      <c r="L60" s="99" t="s">
        <v>81</v>
      </c>
      <c r="M60" s="99" t="s">
        <v>81</v>
      </c>
      <c r="N60" s="143"/>
      <c r="O60" s="144"/>
      <c r="P60" s="144"/>
      <c r="Q60" s="144"/>
      <c r="R60" s="145"/>
      <c r="S60" s="99"/>
      <c r="T60" s="99"/>
      <c r="U60" s="171"/>
      <c r="V60" s="172"/>
      <c r="W60" s="173"/>
      <c r="X60" s="105"/>
      <c r="Y60" s="99"/>
      <c r="Z60" s="99"/>
    </row>
    <row r="61" spans="1:26" ht="18" customHeight="1" x14ac:dyDescent="0.15">
      <c r="A61" s="25"/>
      <c r="B61" s="227"/>
      <c r="C61" s="228"/>
      <c r="D61" s="228"/>
      <c r="E61" s="229"/>
      <c r="F61" s="113"/>
      <c r="G61" s="113"/>
      <c r="H61" s="230"/>
      <c r="I61" s="231"/>
      <c r="J61" s="232"/>
      <c r="K61" s="113"/>
      <c r="L61" s="113"/>
      <c r="M61" s="113"/>
      <c r="N61" s="146"/>
      <c r="O61" s="147"/>
      <c r="P61" s="147"/>
      <c r="Q61" s="147"/>
      <c r="R61" s="148"/>
      <c r="S61" s="100"/>
      <c r="T61" s="100"/>
      <c r="U61" s="152"/>
      <c r="V61" s="153"/>
      <c r="W61" s="154"/>
      <c r="X61" s="103"/>
      <c r="Y61" s="100"/>
      <c r="Z61" s="100"/>
    </row>
    <row r="62" spans="1:26" ht="18" customHeight="1" x14ac:dyDescent="0.15">
      <c r="A62" s="25"/>
      <c r="B62" s="227"/>
      <c r="C62" s="228"/>
      <c r="D62" s="228"/>
      <c r="E62" s="229"/>
      <c r="F62" s="113"/>
      <c r="G62" s="113"/>
      <c r="H62" s="230"/>
      <c r="I62" s="231"/>
      <c r="J62" s="232"/>
      <c r="K62" s="113"/>
      <c r="L62" s="113"/>
      <c r="M62" s="113"/>
      <c r="N62" s="146"/>
      <c r="O62" s="147"/>
      <c r="P62" s="147"/>
      <c r="Q62" s="147"/>
      <c r="R62" s="148"/>
      <c r="S62" s="100"/>
      <c r="T62" s="100"/>
      <c r="U62" s="152"/>
      <c r="V62" s="153"/>
      <c r="W62" s="154"/>
      <c r="X62" s="103"/>
      <c r="Y62" s="100"/>
      <c r="Z62" s="100"/>
    </row>
    <row r="63" spans="1:26" ht="18" customHeight="1" x14ac:dyDescent="0.15">
      <c r="A63" s="25"/>
      <c r="B63" s="227"/>
      <c r="C63" s="228"/>
      <c r="D63" s="228"/>
      <c r="E63" s="229"/>
      <c r="F63" s="113"/>
      <c r="G63" s="113"/>
      <c r="H63" s="230"/>
      <c r="I63" s="231"/>
      <c r="J63" s="232"/>
      <c r="K63" s="113"/>
      <c r="L63" s="113"/>
      <c r="M63" s="113"/>
      <c r="N63" s="146"/>
      <c r="O63" s="147"/>
      <c r="P63" s="147"/>
      <c r="Q63" s="147"/>
      <c r="R63" s="148"/>
      <c r="S63" s="100"/>
      <c r="T63" s="100"/>
      <c r="U63" s="152"/>
      <c r="V63" s="153"/>
      <c r="W63" s="154"/>
      <c r="X63" s="103"/>
      <c r="Y63" s="100"/>
      <c r="Z63" s="100"/>
    </row>
    <row r="64" spans="1:26" ht="18" customHeight="1" x14ac:dyDescent="0.15">
      <c r="A64" s="25"/>
      <c r="B64" s="146"/>
      <c r="C64" s="147"/>
      <c r="D64" s="147"/>
      <c r="E64" s="148"/>
      <c r="F64" s="100"/>
      <c r="G64" s="100"/>
      <c r="H64" s="152"/>
      <c r="I64" s="153"/>
      <c r="J64" s="154"/>
      <c r="K64" s="103"/>
      <c r="L64" s="100"/>
      <c r="M64" s="100"/>
      <c r="N64" s="146"/>
      <c r="O64" s="147"/>
      <c r="P64" s="147"/>
      <c r="Q64" s="147"/>
      <c r="R64" s="148"/>
      <c r="S64" s="100"/>
      <c r="T64" s="100"/>
      <c r="U64" s="152"/>
      <c r="V64" s="153"/>
      <c r="W64" s="154"/>
      <c r="X64" s="103"/>
      <c r="Y64" s="100"/>
      <c r="Z64" s="100"/>
    </row>
    <row r="65" spans="1:26" ht="18" customHeight="1" x14ac:dyDescent="0.15">
      <c r="A65" s="25"/>
      <c r="B65" s="146"/>
      <c r="C65" s="147"/>
      <c r="D65" s="147"/>
      <c r="E65" s="148"/>
      <c r="F65" s="100"/>
      <c r="G65" s="100"/>
      <c r="H65" s="152"/>
      <c r="I65" s="153"/>
      <c r="J65" s="154"/>
      <c r="K65" s="103"/>
      <c r="L65" s="100"/>
      <c r="M65" s="100"/>
      <c r="N65" s="146"/>
      <c r="O65" s="147"/>
      <c r="P65" s="147"/>
      <c r="Q65" s="147"/>
      <c r="R65" s="148"/>
      <c r="S65" s="100"/>
      <c r="T65" s="100"/>
      <c r="U65" s="152"/>
      <c r="V65" s="153"/>
      <c r="W65" s="154"/>
      <c r="X65" s="103"/>
      <c r="Y65" s="100"/>
      <c r="Z65" s="100"/>
    </row>
    <row r="66" spans="1:26" ht="18" customHeight="1" x14ac:dyDescent="0.15">
      <c r="A66" s="25"/>
      <c r="B66" s="149"/>
      <c r="C66" s="150"/>
      <c r="D66" s="150"/>
      <c r="E66" s="151"/>
      <c r="F66" s="101"/>
      <c r="G66" s="101"/>
      <c r="H66" s="155"/>
      <c r="I66" s="156"/>
      <c r="J66" s="157"/>
      <c r="K66" s="104"/>
      <c r="L66" s="106"/>
      <c r="M66" s="106"/>
      <c r="N66" s="149"/>
      <c r="O66" s="150"/>
      <c r="P66" s="150"/>
      <c r="Q66" s="150"/>
      <c r="R66" s="151"/>
      <c r="S66" s="101"/>
      <c r="T66" s="101"/>
      <c r="U66" s="155"/>
      <c r="V66" s="156"/>
      <c r="W66" s="157"/>
      <c r="X66" s="104"/>
      <c r="Y66" s="106"/>
      <c r="Z66" s="106"/>
    </row>
    <row r="67" spans="1:26" ht="7.5" customHeight="1" x14ac:dyDescent="0.15">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6" ht="18" customHeight="1" x14ac:dyDescent="0.15">
      <c r="A68" s="14" t="s">
        <v>100</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17" t="s">
        <v>74</v>
      </c>
      <c r="C69" s="118"/>
      <c r="D69" s="118"/>
      <c r="E69" s="118"/>
      <c r="F69" s="119"/>
      <c r="G69" s="117" t="s">
        <v>101</v>
      </c>
      <c r="H69" s="118"/>
      <c r="I69" s="118"/>
      <c r="J69" s="118"/>
      <c r="K69" s="118"/>
      <c r="L69" s="118"/>
      <c r="M69" s="119"/>
      <c r="N69" s="168" t="s">
        <v>74</v>
      </c>
      <c r="O69" s="169"/>
      <c r="P69" s="169"/>
      <c r="Q69" s="169"/>
      <c r="R69" s="169"/>
      <c r="S69" s="170"/>
      <c r="T69" s="117" t="s">
        <v>101</v>
      </c>
      <c r="U69" s="118"/>
      <c r="V69" s="118"/>
      <c r="W69" s="118"/>
      <c r="X69" s="118"/>
      <c r="Y69" s="118"/>
      <c r="Z69" s="119"/>
    </row>
    <row r="70" spans="1:26" ht="18" customHeight="1" x14ac:dyDescent="0.15">
      <c r="A70" s="25"/>
      <c r="B70" s="143" t="s">
        <v>102</v>
      </c>
      <c r="C70" s="144"/>
      <c r="D70" s="144"/>
      <c r="E70" s="144"/>
      <c r="F70" s="145"/>
      <c r="G70" s="209" t="s">
        <v>103</v>
      </c>
      <c r="H70" s="210"/>
      <c r="I70" s="210"/>
      <c r="J70" s="210"/>
      <c r="K70" s="210"/>
      <c r="L70" s="210"/>
      <c r="M70" s="211"/>
      <c r="N70" s="143"/>
      <c r="O70" s="144"/>
      <c r="P70" s="144"/>
      <c r="Q70" s="144"/>
      <c r="R70" s="144"/>
      <c r="S70" s="145"/>
      <c r="T70" s="209"/>
      <c r="U70" s="210"/>
      <c r="V70" s="210"/>
      <c r="W70" s="210"/>
      <c r="X70" s="210"/>
      <c r="Y70" s="210"/>
      <c r="Z70" s="211"/>
    </row>
    <row r="71" spans="1:26" ht="18" customHeight="1" x14ac:dyDescent="0.15">
      <c r="A71" s="25"/>
      <c r="B71" s="146" t="s">
        <v>158</v>
      </c>
      <c r="C71" s="147"/>
      <c r="D71" s="147"/>
      <c r="E71" s="147"/>
      <c r="F71" s="148"/>
      <c r="G71" s="189" t="s">
        <v>105</v>
      </c>
      <c r="H71" s="190"/>
      <c r="I71" s="190"/>
      <c r="J71" s="190"/>
      <c r="K71" s="190"/>
      <c r="L71" s="190"/>
      <c r="M71" s="191"/>
      <c r="N71" s="146"/>
      <c r="O71" s="147"/>
      <c r="P71" s="147"/>
      <c r="Q71" s="147"/>
      <c r="R71" s="147"/>
      <c r="S71" s="148"/>
      <c r="T71" s="189"/>
      <c r="U71" s="190"/>
      <c r="V71" s="190"/>
      <c r="W71" s="190"/>
      <c r="X71" s="190"/>
      <c r="Y71" s="190"/>
      <c r="Z71" s="191"/>
    </row>
    <row r="72" spans="1:26" ht="18" customHeight="1" x14ac:dyDescent="0.15">
      <c r="A72" s="25"/>
      <c r="B72" s="146" t="s">
        <v>158</v>
      </c>
      <c r="C72" s="147"/>
      <c r="D72" s="147"/>
      <c r="E72" s="147"/>
      <c r="F72" s="148"/>
      <c r="G72" s="189" t="s">
        <v>106</v>
      </c>
      <c r="H72" s="190"/>
      <c r="I72" s="190"/>
      <c r="J72" s="190"/>
      <c r="K72" s="190"/>
      <c r="L72" s="190"/>
      <c r="M72" s="191"/>
      <c r="N72" s="146"/>
      <c r="O72" s="147"/>
      <c r="P72" s="147"/>
      <c r="Q72" s="147"/>
      <c r="R72" s="147"/>
      <c r="S72" s="148"/>
      <c r="T72" s="189"/>
      <c r="U72" s="190"/>
      <c r="V72" s="190"/>
      <c r="W72" s="190"/>
      <c r="X72" s="190"/>
      <c r="Y72" s="190"/>
      <c r="Z72" s="191"/>
    </row>
    <row r="73" spans="1:26" ht="18" customHeight="1" x14ac:dyDescent="0.15">
      <c r="A73" s="25"/>
      <c r="B73" s="146"/>
      <c r="C73" s="147"/>
      <c r="D73" s="147"/>
      <c r="E73" s="147"/>
      <c r="F73" s="148"/>
      <c r="G73" s="189"/>
      <c r="H73" s="190"/>
      <c r="I73" s="190"/>
      <c r="J73" s="190"/>
      <c r="K73" s="190"/>
      <c r="L73" s="190"/>
      <c r="M73" s="191"/>
      <c r="N73" s="146"/>
      <c r="O73" s="147"/>
      <c r="P73" s="147"/>
      <c r="Q73" s="147"/>
      <c r="R73" s="147"/>
      <c r="S73" s="148"/>
      <c r="T73" s="189"/>
      <c r="U73" s="190"/>
      <c r="V73" s="190"/>
      <c r="W73" s="190"/>
      <c r="X73" s="190"/>
      <c r="Y73" s="190"/>
      <c r="Z73" s="191"/>
    </row>
    <row r="74" spans="1:26" ht="18" customHeight="1" x14ac:dyDescent="0.15">
      <c r="A74" s="25"/>
      <c r="B74" s="146"/>
      <c r="C74" s="147"/>
      <c r="D74" s="147"/>
      <c r="E74" s="147"/>
      <c r="F74" s="148"/>
      <c r="G74" s="189"/>
      <c r="H74" s="190"/>
      <c r="I74" s="190"/>
      <c r="J74" s="190"/>
      <c r="K74" s="190"/>
      <c r="L74" s="190"/>
      <c r="M74" s="191"/>
      <c r="N74" s="146"/>
      <c r="O74" s="147"/>
      <c r="P74" s="147"/>
      <c r="Q74" s="147"/>
      <c r="R74" s="147"/>
      <c r="S74" s="148"/>
      <c r="T74" s="189"/>
      <c r="U74" s="190"/>
      <c r="V74" s="190"/>
      <c r="W74" s="190"/>
      <c r="X74" s="190"/>
      <c r="Y74" s="190"/>
      <c r="Z74" s="191"/>
    </row>
    <row r="75" spans="1:26" ht="18" customHeight="1" x14ac:dyDescent="0.15">
      <c r="A75" s="25"/>
      <c r="B75" s="146"/>
      <c r="C75" s="147"/>
      <c r="D75" s="147"/>
      <c r="E75" s="147"/>
      <c r="F75" s="148"/>
      <c r="G75" s="189"/>
      <c r="H75" s="190"/>
      <c r="I75" s="190"/>
      <c r="J75" s="190"/>
      <c r="K75" s="190"/>
      <c r="L75" s="190"/>
      <c r="M75" s="191"/>
      <c r="N75" s="146"/>
      <c r="O75" s="147"/>
      <c r="P75" s="147"/>
      <c r="Q75" s="147"/>
      <c r="R75" s="147"/>
      <c r="S75" s="148"/>
      <c r="T75" s="189"/>
      <c r="U75" s="190"/>
      <c r="V75" s="190"/>
      <c r="W75" s="190"/>
      <c r="X75" s="190"/>
      <c r="Y75" s="190"/>
      <c r="Z75" s="191"/>
    </row>
    <row r="76" spans="1:26" ht="18" customHeight="1" x14ac:dyDescent="0.15">
      <c r="A76" s="25"/>
      <c r="B76" s="149"/>
      <c r="C76" s="150"/>
      <c r="D76" s="150"/>
      <c r="E76" s="150"/>
      <c r="F76" s="151"/>
      <c r="G76" s="186"/>
      <c r="H76" s="187"/>
      <c r="I76" s="187"/>
      <c r="J76" s="187"/>
      <c r="K76" s="187"/>
      <c r="L76" s="187"/>
      <c r="M76" s="188"/>
      <c r="N76" s="149"/>
      <c r="O76" s="150"/>
      <c r="P76" s="150"/>
      <c r="Q76" s="150"/>
      <c r="R76" s="150"/>
      <c r="S76" s="151"/>
      <c r="T76" s="186"/>
      <c r="U76" s="187"/>
      <c r="V76" s="187"/>
      <c r="W76" s="187"/>
      <c r="X76" s="187"/>
      <c r="Y76" s="187"/>
      <c r="Z76" s="188"/>
    </row>
    <row r="77" spans="1:26" ht="18" customHeight="1" x14ac:dyDescent="0.15">
      <c r="A77" s="25"/>
      <c r="B77" s="29"/>
      <c r="C77" s="29"/>
      <c r="D77" s="29"/>
      <c r="E77" s="29"/>
      <c r="F77" s="29"/>
      <c r="G77" s="12"/>
      <c r="H77" s="12"/>
      <c r="I77" s="12"/>
      <c r="J77" s="12"/>
      <c r="K77" s="12"/>
      <c r="L77" s="12"/>
      <c r="M77" s="12"/>
      <c r="N77" s="29"/>
      <c r="O77" s="29"/>
      <c r="P77" s="29"/>
      <c r="Q77" s="29"/>
      <c r="R77" s="29"/>
      <c r="S77" s="29"/>
      <c r="T77" s="12"/>
      <c r="U77" s="12"/>
      <c r="V77" s="12"/>
      <c r="W77" s="12"/>
      <c r="X77" s="12"/>
      <c r="Y77" s="12"/>
      <c r="Z77" s="12"/>
    </row>
    <row r="78" spans="1:26" ht="18.75" customHeight="1" x14ac:dyDescent="0.15">
      <c r="A78" s="13" t="s">
        <v>107</v>
      </c>
    </row>
    <row r="79" spans="1:26" ht="18.75" customHeight="1" x14ac:dyDescent="0.15">
      <c r="B79" s="67" t="s">
        <v>108</v>
      </c>
      <c r="C79" s="68"/>
      <c r="D79" s="220" t="s">
        <v>109</v>
      </c>
      <c r="E79" s="220"/>
      <c r="F79" s="220"/>
      <c r="G79" s="220"/>
      <c r="H79" s="220"/>
      <c r="I79" s="220"/>
      <c r="J79" s="220"/>
      <c r="K79" s="220"/>
      <c r="L79" s="220"/>
      <c r="M79" s="220"/>
      <c r="N79" s="220"/>
      <c r="O79" s="220"/>
      <c r="P79" s="220"/>
      <c r="Q79" s="220"/>
      <c r="R79" s="220"/>
      <c r="S79" s="220"/>
      <c r="T79" s="220"/>
      <c r="U79" s="220"/>
      <c r="V79" s="220"/>
      <c r="W79" s="220"/>
      <c r="X79" s="220"/>
      <c r="Y79" s="220"/>
      <c r="Z79" s="221"/>
    </row>
    <row r="80" spans="1:26" ht="78" customHeight="1" x14ac:dyDescent="0.15">
      <c r="B80" s="217" t="s">
        <v>137</v>
      </c>
      <c r="C80" s="74" t="s">
        <v>78</v>
      </c>
      <c r="D80" s="192" t="s">
        <v>159</v>
      </c>
      <c r="E80" s="193"/>
      <c r="F80" s="193"/>
      <c r="G80" s="193"/>
      <c r="H80" s="193"/>
      <c r="I80" s="193"/>
      <c r="J80" s="193"/>
      <c r="K80" s="193"/>
      <c r="L80" s="193"/>
      <c r="M80" s="193"/>
      <c r="N80" s="193"/>
      <c r="O80" s="193"/>
      <c r="P80" s="193"/>
      <c r="Q80" s="193"/>
      <c r="R80" s="193"/>
      <c r="S80" s="193"/>
      <c r="T80" s="193"/>
      <c r="U80" s="193"/>
      <c r="V80" s="193"/>
      <c r="W80" s="193"/>
      <c r="X80" s="193"/>
      <c r="Y80" s="193"/>
      <c r="Z80" s="194"/>
    </row>
    <row r="81" spans="1:26" ht="78" customHeight="1" x14ac:dyDescent="0.15">
      <c r="B81" s="218"/>
      <c r="C81" s="96" t="s">
        <v>112</v>
      </c>
      <c r="D81" s="192" t="s">
        <v>160</v>
      </c>
      <c r="E81" s="193"/>
      <c r="F81" s="193"/>
      <c r="G81" s="193"/>
      <c r="H81" s="193"/>
      <c r="I81" s="193"/>
      <c r="J81" s="193"/>
      <c r="K81" s="193"/>
      <c r="L81" s="193"/>
      <c r="M81" s="193"/>
      <c r="N81" s="193"/>
      <c r="O81" s="193"/>
      <c r="P81" s="193"/>
      <c r="Q81" s="193"/>
      <c r="R81" s="193"/>
      <c r="S81" s="193"/>
      <c r="T81" s="193"/>
      <c r="U81" s="193"/>
      <c r="V81" s="193"/>
      <c r="W81" s="193"/>
      <c r="X81" s="193"/>
      <c r="Y81" s="193"/>
      <c r="Z81" s="194"/>
    </row>
    <row r="82" spans="1:26" ht="78" customHeight="1" x14ac:dyDescent="0.15">
      <c r="B82" s="215" t="s">
        <v>140</v>
      </c>
      <c r="C82" s="69" t="s">
        <v>86</v>
      </c>
      <c r="D82" s="195" t="s">
        <v>161</v>
      </c>
      <c r="E82" s="196"/>
      <c r="F82" s="196"/>
      <c r="G82" s="196"/>
      <c r="H82" s="196"/>
      <c r="I82" s="196"/>
      <c r="J82" s="196"/>
      <c r="K82" s="196"/>
      <c r="L82" s="196"/>
      <c r="M82" s="196"/>
      <c r="N82" s="196"/>
      <c r="O82" s="196"/>
      <c r="P82" s="196"/>
      <c r="Q82" s="196"/>
      <c r="R82" s="196"/>
      <c r="S82" s="196"/>
      <c r="T82" s="196"/>
      <c r="U82" s="196"/>
      <c r="V82" s="196"/>
      <c r="W82" s="196"/>
      <c r="X82" s="196"/>
      <c r="Y82" s="196"/>
      <c r="Z82" s="197"/>
    </row>
    <row r="83" spans="1:26" ht="78" customHeight="1" x14ac:dyDescent="0.15">
      <c r="B83" s="216"/>
      <c r="C83" s="97" t="s">
        <v>87</v>
      </c>
      <c r="D83" s="195" t="s">
        <v>162</v>
      </c>
      <c r="E83" s="196"/>
      <c r="F83" s="196"/>
      <c r="G83" s="196"/>
      <c r="H83" s="196"/>
      <c r="I83" s="196"/>
      <c r="J83" s="196"/>
      <c r="K83" s="196"/>
      <c r="L83" s="196"/>
      <c r="M83" s="196"/>
      <c r="N83" s="196"/>
      <c r="O83" s="196"/>
      <c r="P83" s="196"/>
      <c r="Q83" s="196"/>
      <c r="R83" s="196"/>
      <c r="S83" s="196"/>
      <c r="T83" s="196"/>
      <c r="U83" s="196"/>
      <c r="V83" s="196"/>
      <c r="W83" s="196"/>
      <c r="X83" s="196"/>
      <c r="Y83" s="196"/>
      <c r="Z83" s="197"/>
    </row>
    <row r="84" spans="1:26" ht="66" customHeight="1" x14ac:dyDescent="0.15">
      <c r="B84" s="215" t="s">
        <v>143</v>
      </c>
      <c r="C84" s="69" t="s">
        <v>89</v>
      </c>
      <c r="D84" s="195" t="s">
        <v>163</v>
      </c>
      <c r="E84" s="196"/>
      <c r="F84" s="196"/>
      <c r="G84" s="196"/>
      <c r="H84" s="196"/>
      <c r="I84" s="196"/>
      <c r="J84" s="196"/>
      <c r="K84" s="196"/>
      <c r="L84" s="196"/>
      <c r="M84" s="196"/>
      <c r="N84" s="196"/>
      <c r="O84" s="196"/>
      <c r="P84" s="196"/>
      <c r="Q84" s="196"/>
      <c r="R84" s="196"/>
      <c r="S84" s="196"/>
      <c r="T84" s="196"/>
      <c r="U84" s="196"/>
      <c r="V84" s="196"/>
      <c r="W84" s="196"/>
      <c r="X84" s="196"/>
      <c r="Y84" s="196"/>
      <c r="Z84" s="197"/>
    </row>
    <row r="85" spans="1:26" ht="66" customHeight="1" x14ac:dyDescent="0.15">
      <c r="B85" s="216"/>
      <c r="C85" s="71" t="s">
        <v>90</v>
      </c>
      <c r="D85" s="195" t="s">
        <v>164</v>
      </c>
      <c r="E85" s="196"/>
      <c r="F85" s="196"/>
      <c r="G85" s="196"/>
      <c r="H85" s="196"/>
      <c r="I85" s="196"/>
      <c r="J85" s="196"/>
      <c r="K85" s="196"/>
      <c r="L85" s="196"/>
      <c r="M85" s="196"/>
      <c r="N85" s="196"/>
      <c r="O85" s="196"/>
      <c r="P85" s="196"/>
      <c r="Q85" s="196"/>
      <c r="R85" s="196"/>
      <c r="S85" s="196"/>
      <c r="T85" s="196"/>
      <c r="U85" s="196"/>
      <c r="V85" s="196"/>
      <c r="W85" s="196"/>
      <c r="X85" s="196"/>
      <c r="Y85" s="196"/>
      <c r="Z85" s="197"/>
    </row>
    <row r="86" spans="1:26" ht="66" customHeight="1" x14ac:dyDescent="0.15">
      <c r="B86" s="217" t="s">
        <v>146</v>
      </c>
      <c r="C86" s="74" t="s">
        <v>92</v>
      </c>
      <c r="D86" s="192" t="s">
        <v>165</v>
      </c>
      <c r="E86" s="193"/>
      <c r="F86" s="193"/>
      <c r="G86" s="193"/>
      <c r="H86" s="193"/>
      <c r="I86" s="193"/>
      <c r="J86" s="193"/>
      <c r="K86" s="193"/>
      <c r="L86" s="193"/>
      <c r="M86" s="193"/>
      <c r="N86" s="193"/>
      <c r="O86" s="193"/>
      <c r="P86" s="193"/>
      <c r="Q86" s="193"/>
      <c r="R86" s="193"/>
      <c r="S86" s="193"/>
      <c r="T86" s="193"/>
      <c r="U86" s="193"/>
      <c r="V86" s="193"/>
      <c r="W86" s="193"/>
      <c r="X86" s="193"/>
      <c r="Y86" s="193"/>
      <c r="Z86" s="194"/>
    </row>
    <row r="87" spans="1:26" ht="66" customHeight="1" x14ac:dyDescent="0.15">
      <c r="B87" s="219"/>
      <c r="C87" s="70" t="s">
        <v>93</v>
      </c>
      <c r="D87" s="192" t="s">
        <v>166</v>
      </c>
      <c r="E87" s="193"/>
      <c r="F87" s="193"/>
      <c r="G87" s="193"/>
      <c r="H87" s="193"/>
      <c r="I87" s="193"/>
      <c r="J87" s="193"/>
      <c r="K87" s="193"/>
      <c r="L87" s="193"/>
      <c r="M87" s="193"/>
      <c r="N87" s="193"/>
      <c r="O87" s="193"/>
      <c r="P87" s="193"/>
      <c r="Q87" s="193"/>
      <c r="R87" s="193"/>
      <c r="S87" s="193"/>
      <c r="T87" s="193"/>
      <c r="U87" s="193"/>
      <c r="V87" s="193"/>
      <c r="W87" s="193"/>
      <c r="X87" s="193"/>
      <c r="Y87" s="193"/>
      <c r="Z87" s="194"/>
    </row>
    <row r="88" spans="1:26" ht="66" customHeight="1" x14ac:dyDescent="0.15">
      <c r="B88" s="217" t="s">
        <v>149</v>
      </c>
      <c r="C88" s="69" t="s">
        <v>95</v>
      </c>
      <c r="D88" s="212" t="s">
        <v>167</v>
      </c>
      <c r="E88" s="213"/>
      <c r="F88" s="213"/>
      <c r="G88" s="213"/>
      <c r="H88" s="213"/>
      <c r="I88" s="213"/>
      <c r="J88" s="213"/>
      <c r="K88" s="213"/>
      <c r="L88" s="213"/>
      <c r="M88" s="213"/>
      <c r="N88" s="213"/>
      <c r="O88" s="213"/>
      <c r="P88" s="213"/>
      <c r="Q88" s="213"/>
      <c r="R88" s="213"/>
      <c r="S88" s="213"/>
      <c r="T88" s="213"/>
      <c r="U88" s="213"/>
      <c r="V88" s="213"/>
      <c r="W88" s="213"/>
      <c r="X88" s="213"/>
      <c r="Y88" s="213"/>
      <c r="Z88" s="214"/>
    </row>
    <row r="89" spans="1:26" ht="66" customHeight="1" x14ac:dyDescent="0.15">
      <c r="B89" s="218"/>
      <c r="C89" s="70" t="s">
        <v>96</v>
      </c>
      <c r="D89" s="212" t="s">
        <v>168</v>
      </c>
      <c r="E89" s="213"/>
      <c r="F89" s="213"/>
      <c r="G89" s="213"/>
      <c r="H89" s="213"/>
      <c r="I89" s="213"/>
      <c r="J89" s="213"/>
      <c r="K89" s="213"/>
      <c r="L89" s="213"/>
      <c r="M89" s="213"/>
      <c r="N89" s="213"/>
      <c r="O89" s="213"/>
      <c r="P89" s="213"/>
      <c r="Q89" s="213"/>
      <c r="R89" s="213"/>
      <c r="S89" s="213"/>
      <c r="T89" s="213"/>
      <c r="U89" s="213"/>
      <c r="V89" s="213"/>
      <c r="W89" s="213"/>
      <c r="X89" s="213"/>
      <c r="Y89" s="213"/>
      <c r="Z89" s="214"/>
    </row>
    <row r="90" spans="1:26" ht="66" customHeight="1" x14ac:dyDescent="0.15">
      <c r="B90" s="216"/>
      <c r="C90" s="71" t="s">
        <v>97</v>
      </c>
      <c r="D90" s="225" t="s">
        <v>169</v>
      </c>
      <c r="E90" s="226"/>
      <c r="F90" s="226"/>
      <c r="G90" s="226"/>
      <c r="H90" s="226"/>
      <c r="I90" s="226"/>
      <c r="J90" s="226"/>
      <c r="K90" s="226"/>
      <c r="L90" s="226"/>
      <c r="M90" s="226"/>
      <c r="N90" s="226"/>
      <c r="O90" s="226"/>
      <c r="P90" s="226"/>
      <c r="Q90" s="226"/>
      <c r="R90" s="226"/>
      <c r="S90" s="226"/>
      <c r="T90" s="226"/>
      <c r="U90" s="226"/>
      <c r="V90" s="226"/>
      <c r="W90" s="226"/>
      <c r="X90" s="226"/>
      <c r="Y90" s="226"/>
      <c r="Z90" s="226"/>
    </row>
    <row r="91" spans="1:26" ht="6" customHeight="1" x14ac:dyDescent="0.15"/>
    <row r="92" spans="1:26" ht="18.75" customHeight="1" x14ac:dyDescent="0.15">
      <c r="A92" s="13" t="s">
        <v>127</v>
      </c>
    </row>
    <row r="93" spans="1:26" ht="18.75" customHeight="1" x14ac:dyDescent="0.15">
      <c r="B93" s="174" t="s">
        <v>128</v>
      </c>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6"/>
    </row>
    <row r="94" spans="1:26" ht="18.75" customHeight="1" x14ac:dyDescent="0.15">
      <c r="B94" s="177"/>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9"/>
    </row>
    <row r="95" spans="1:26" ht="18.75" customHeight="1" x14ac:dyDescent="0.15">
      <c r="B95" s="180"/>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2"/>
    </row>
    <row r="96" spans="1:26" ht="6" customHeight="1" x14ac:dyDescent="0.15"/>
    <row r="97" spans="1:26" ht="15" customHeight="1" x14ac:dyDescent="0.15">
      <c r="A97" s="13" t="s">
        <v>129</v>
      </c>
    </row>
    <row r="98" spans="1:26" ht="15" customHeight="1" x14ac:dyDescent="0.15">
      <c r="B98" s="222" t="str">
        <f>'様式２-1　プログラムを構成する授業科目（M）'!B98</f>
        <v>https://www.fukui-nct.ac.jp/mext_mathdsai/</v>
      </c>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4"/>
    </row>
    <row r="133" spans="14:14" ht="18.75" customHeight="1" x14ac:dyDescent="0.15">
      <c r="N133"/>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Y16:Z22 L16:M22 Y27:Z33 H27:H33 H38:H44 Y38:Z44 H49:H55 Y49:Z55 Y60:Z66 L49:M55 H16:H22 U16:U22 T60:T66 U27:U33 L27:M33 U38:U44 L38:M44 U49:U55 K60:M63 G60:G66 L64:M66">
      <formula1>"○"</formula1>
    </dataValidation>
  </dataValidations>
  <printOptions horizontalCentered="1"/>
  <pageMargins left="0.25" right="0.25" top="0.75" bottom="0.75" header="0.3" footer="0.3"/>
  <pageSetup paperSize="9" scale="76" fitToHeight="0" orientation="portrait" r:id="rId1"/>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33"/>
  <sheetViews>
    <sheetView showZeros="0" topLeftCell="A52" zoomScaleNormal="100" zoomScaleSheetLayoutView="100" workbookViewId="0">
      <selection activeCell="B5" sqref="A5:Z4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64" t="s">
        <v>170</v>
      </c>
      <c r="X1" s="164"/>
      <c r="Y1" s="164"/>
      <c r="Z1" s="164"/>
    </row>
    <row r="2" spans="1:26" ht="18" customHeight="1" x14ac:dyDescent="0.15">
      <c r="A2" s="199" t="s">
        <v>69</v>
      </c>
      <c r="B2" s="199"/>
      <c r="C2" s="199"/>
      <c r="D2" s="199"/>
      <c r="E2" s="199"/>
      <c r="F2" s="199"/>
      <c r="G2" s="199"/>
      <c r="H2" s="199"/>
      <c r="I2" s="199"/>
      <c r="J2" s="199"/>
      <c r="K2" s="199"/>
      <c r="L2" s="199"/>
      <c r="M2" s="199"/>
      <c r="N2" s="199"/>
      <c r="O2" s="199"/>
      <c r="P2" s="199"/>
      <c r="Q2" s="199"/>
      <c r="R2" s="199"/>
      <c r="S2" s="199"/>
      <c r="T2" s="199"/>
      <c r="U2" s="199"/>
      <c r="V2" s="199"/>
      <c r="W2" s="199"/>
      <c r="X2" s="199"/>
      <c r="Y2" s="199"/>
      <c r="Z2" s="199"/>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70</v>
      </c>
      <c r="B4" s="25"/>
      <c r="C4" s="25"/>
      <c r="D4" s="25"/>
      <c r="E4" s="25"/>
      <c r="F4" s="25"/>
      <c r="G4" s="25"/>
      <c r="H4" s="14" t="s">
        <v>71</v>
      </c>
      <c r="I4" s="25"/>
      <c r="J4" s="25"/>
      <c r="K4" s="25"/>
      <c r="L4" s="25"/>
      <c r="M4" s="25"/>
      <c r="N4" s="25"/>
      <c r="O4" s="117" t="s">
        <v>72</v>
      </c>
      <c r="P4" s="118"/>
      <c r="Q4" s="118"/>
      <c r="R4" s="118"/>
      <c r="S4" s="118"/>
      <c r="T4" s="118"/>
      <c r="U4" s="118"/>
      <c r="V4" s="118"/>
      <c r="W4" s="118"/>
      <c r="X4" s="118"/>
      <c r="Y4" s="118"/>
      <c r="Z4" s="119"/>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00" t="s">
        <v>286</v>
      </c>
      <c r="C6" s="201"/>
      <c r="D6" s="201"/>
      <c r="E6" s="201"/>
      <c r="F6" s="201"/>
      <c r="G6" s="201"/>
      <c r="H6" s="201"/>
      <c r="I6" s="201"/>
      <c r="J6" s="201"/>
      <c r="K6" s="201"/>
      <c r="L6" s="201"/>
      <c r="M6" s="201"/>
      <c r="N6" s="201"/>
      <c r="O6" s="201"/>
      <c r="P6" s="201"/>
      <c r="Q6" s="201"/>
      <c r="R6" s="201"/>
      <c r="S6" s="201"/>
      <c r="T6" s="201"/>
      <c r="U6" s="201"/>
      <c r="V6" s="201"/>
      <c r="W6" s="201"/>
      <c r="X6" s="201"/>
      <c r="Y6" s="201"/>
      <c r="Z6" s="202"/>
    </row>
    <row r="7" spans="1:26" ht="18" customHeight="1" x14ac:dyDescent="0.15">
      <c r="B7" s="203"/>
      <c r="C7" s="204"/>
      <c r="D7" s="204"/>
      <c r="E7" s="204"/>
      <c r="F7" s="204"/>
      <c r="G7" s="204"/>
      <c r="H7" s="204"/>
      <c r="I7" s="204"/>
      <c r="J7" s="204"/>
      <c r="K7" s="204"/>
      <c r="L7" s="204"/>
      <c r="M7" s="204"/>
      <c r="N7" s="204"/>
      <c r="O7" s="204"/>
      <c r="P7" s="204"/>
      <c r="Q7" s="204"/>
      <c r="R7" s="204"/>
      <c r="S7" s="204"/>
      <c r="T7" s="204"/>
      <c r="U7" s="204"/>
      <c r="V7" s="204"/>
      <c r="W7" s="204"/>
      <c r="X7" s="204"/>
      <c r="Y7" s="204"/>
      <c r="Z7" s="205"/>
    </row>
    <row r="8" spans="1:26" ht="18" customHeight="1" x14ac:dyDescent="0.15">
      <c r="B8" s="203"/>
      <c r="C8" s="204"/>
      <c r="D8" s="204"/>
      <c r="E8" s="204"/>
      <c r="F8" s="204"/>
      <c r="G8" s="204"/>
      <c r="H8" s="204"/>
      <c r="I8" s="204"/>
      <c r="J8" s="204"/>
      <c r="K8" s="204"/>
      <c r="L8" s="204"/>
      <c r="M8" s="204"/>
      <c r="N8" s="204"/>
      <c r="O8" s="204"/>
      <c r="P8" s="204"/>
      <c r="Q8" s="204"/>
      <c r="R8" s="204"/>
      <c r="S8" s="204"/>
      <c r="T8" s="204"/>
      <c r="U8" s="204"/>
      <c r="V8" s="204"/>
      <c r="W8" s="204"/>
      <c r="X8" s="204"/>
      <c r="Y8" s="204"/>
      <c r="Z8" s="205"/>
    </row>
    <row r="9" spans="1:26" ht="18" customHeight="1" x14ac:dyDescent="0.15">
      <c r="B9" s="203"/>
      <c r="C9" s="204"/>
      <c r="D9" s="204"/>
      <c r="E9" s="204"/>
      <c r="F9" s="204"/>
      <c r="G9" s="204"/>
      <c r="H9" s="204"/>
      <c r="I9" s="204"/>
      <c r="J9" s="204"/>
      <c r="K9" s="204"/>
      <c r="L9" s="204"/>
      <c r="M9" s="204"/>
      <c r="N9" s="204"/>
      <c r="O9" s="204"/>
      <c r="P9" s="204"/>
      <c r="Q9" s="204"/>
      <c r="R9" s="204"/>
      <c r="S9" s="204"/>
      <c r="T9" s="204"/>
      <c r="U9" s="204"/>
      <c r="V9" s="204"/>
      <c r="W9" s="204"/>
      <c r="X9" s="204"/>
      <c r="Y9" s="204"/>
      <c r="Z9" s="205"/>
    </row>
    <row r="10" spans="1:26" ht="18" customHeight="1" x14ac:dyDescent="0.15">
      <c r="B10" s="203"/>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5"/>
    </row>
    <row r="11" spans="1:26" ht="18" customHeight="1" x14ac:dyDescent="0.15">
      <c r="B11" s="206"/>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8"/>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98" t="s">
        <v>73</v>
      </c>
      <c r="B13" s="198"/>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row>
    <row r="14" spans="1:26" ht="18" customHeight="1" x14ac:dyDescent="0.15">
      <c r="A14" s="198"/>
      <c r="B14" s="198"/>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row>
    <row r="15" spans="1:26" ht="18" customHeight="1" x14ac:dyDescent="0.15">
      <c r="A15" s="14"/>
      <c r="B15" s="117" t="s">
        <v>74</v>
      </c>
      <c r="C15" s="118"/>
      <c r="D15" s="118"/>
      <c r="E15" s="118"/>
      <c r="F15" s="119"/>
      <c r="G15" s="26" t="s">
        <v>75</v>
      </c>
      <c r="H15" s="98" t="s">
        <v>76</v>
      </c>
      <c r="I15" s="118" t="s">
        <v>77</v>
      </c>
      <c r="J15" s="118"/>
      <c r="K15" s="118"/>
      <c r="L15" s="65" t="s">
        <v>78</v>
      </c>
      <c r="M15" s="65" t="s">
        <v>79</v>
      </c>
      <c r="N15" s="117" t="s">
        <v>74</v>
      </c>
      <c r="O15" s="118"/>
      <c r="P15" s="118"/>
      <c r="Q15" s="118"/>
      <c r="R15" s="118"/>
      <c r="S15" s="119"/>
      <c r="T15" s="26" t="s">
        <v>75</v>
      </c>
      <c r="U15" s="98" t="s">
        <v>76</v>
      </c>
      <c r="V15" s="118" t="s">
        <v>77</v>
      </c>
      <c r="W15" s="118"/>
      <c r="X15" s="118"/>
      <c r="Y15" s="65" t="s">
        <v>78</v>
      </c>
      <c r="Z15" s="65" t="s">
        <v>79</v>
      </c>
    </row>
    <row r="16" spans="1:26" ht="18" customHeight="1" x14ac:dyDescent="0.15">
      <c r="A16" s="14"/>
      <c r="B16" s="165" t="s">
        <v>290</v>
      </c>
      <c r="C16" s="166"/>
      <c r="D16" s="166"/>
      <c r="E16" s="166"/>
      <c r="F16" s="167"/>
      <c r="G16" s="99">
        <v>2</v>
      </c>
      <c r="H16" s="99" t="s">
        <v>81</v>
      </c>
      <c r="I16" s="171" t="s">
        <v>82</v>
      </c>
      <c r="J16" s="172"/>
      <c r="K16" s="173"/>
      <c r="L16" s="99" t="s">
        <v>81</v>
      </c>
      <c r="M16" s="99" t="s">
        <v>81</v>
      </c>
      <c r="N16" s="143"/>
      <c r="O16" s="144"/>
      <c r="P16" s="144"/>
      <c r="Q16" s="144"/>
      <c r="R16" s="144"/>
      <c r="S16" s="145"/>
      <c r="T16" s="99"/>
      <c r="U16" s="99"/>
      <c r="V16" s="171"/>
      <c r="W16" s="172"/>
      <c r="X16" s="173"/>
      <c r="Y16" s="99"/>
      <c r="Z16" s="99"/>
    </row>
    <row r="17" spans="1:26" ht="18" customHeight="1" x14ac:dyDescent="0.15">
      <c r="A17" s="14"/>
      <c r="B17" s="158" t="s">
        <v>83</v>
      </c>
      <c r="C17" s="159"/>
      <c r="D17" s="159"/>
      <c r="E17" s="159"/>
      <c r="F17" s="160"/>
      <c r="G17" s="100">
        <v>1</v>
      </c>
      <c r="H17" s="100" t="s">
        <v>81</v>
      </c>
      <c r="I17" s="152" t="s">
        <v>84</v>
      </c>
      <c r="J17" s="153"/>
      <c r="K17" s="154"/>
      <c r="L17" s="100" t="s">
        <v>81</v>
      </c>
      <c r="M17" s="100" t="s">
        <v>81</v>
      </c>
      <c r="N17" s="146"/>
      <c r="O17" s="147"/>
      <c r="P17" s="147"/>
      <c r="Q17" s="147"/>
      <c r="R17" s="147"/>
      <c r="S17" s="148"/>
      <c r="T17" s="100"/>
      <c r="U17" s="100"/>
      <c r="V17" s="152"/>
      <c r="W17" s="153"/>
      <c r="X17" s="154"/>
      <c r="Y17" s="100"/>
      <c r="Z17" s="100"/>
    </row>
    <row r="18" spans="1:26" ht="18" customHeight="1" x14ac:dyDescent="0.15">
      <c r="A18" s="14"/>
      <c r="B18" s="158"/>
      <c r="C18" s="159"/>
      <c r="D18" s="159"/>
      <c r="E18" s="159"/>
      <c r="F18" s="160"/>
      <c r="G18" s="100"/>
      <c r="H18" s="100"/>
      <c r="I18" s="152"/>
      <c r="J18" s="153"/>
      <c r="K18" s="154"/>
      <c r="L18" s="100"/>
      <c r="M18" s="100"/>
      <c r="N18" s="146"/>
      <c r="O18" s="147"/>
      <c r="P18" s="147"/>
      <c r="Q18" s="147"/>
      <c r="R18" s="147"/>
      <c r="S18" s="148"/>
      <c r="T18" s="100"/>
      <c r="U18" s="100"/>
      <c r="V18" s="152"/>
      <c r="W18" s="153"/>
      <c r="X18" s="154"/>
      <c r="Y18" s="100"/>
      <c r="Z18" s="100"/>
    </row>
    <row r="19" spans="1:26" ht="18" customHeight="1" x14ac:dyDescent="0.15">
      <c r="A19" s="14"/>
      <c r="B19" s="158"/>
      <c r="C19" s="159"/>
      <c r="D19" s="159"/>
      <c r="E19" s="159"/>
      <c r="F19" s="160"/>
      <c r="G19" s="100"/>
      <c r="H19" s="100"/>
      <c r="I19" s="152"/>
      <c r="J19" s="153"/>
      <c r="K19" s="154"/>
      <c r="L19" s="100"/>
      <c r="M19" s="100"/>
      <c r="N19" s="146"/>
      <c r="O19" s="147"/>
      <c r="P19" s="147"/>
      <c r="Q19" s="147"/>
      <c r="R19" s="147"/>
      <c r="S19" s="148"/>
      <c r="T19" s="100"/>
      <c r="U19" s="100"/>
      <c r="V19" s="152"/>
      <c r="W19" s="153"/>
      <c r="X19" s="154"/>
      <c r="Y19" s="100"/>
      <c r="Z19" s="100"/>
    </row>
    <row r="20" spans="1:26" ht="18" customHeight="1" x14ac:dyDescent="0.15">
      <c r="A20" s="14"/>
      <c r="B20" s="158"/>
      <c r="C20" s="159"/>
      <c r="D20" s="159"/>
      <c r="E20" s="159"/>
      <c r="F20" s="160"/>
      <c r="G20" s="100"/>
      <c r="H20" s="100"/>
      <c r="I20" s="152"/>
      <c r="J20" s="153"/>
      <c r="K20" s="154"/>
      <c r="L20" s="100"/>
      <c r="M20" s="100"/>
      <c r="N20" s="146"/>
      <c r="O20" s="147"/>
      <c r="P20" s="147"/>
      <c r="Q20" s="147"/>
      <c r="R20" s="147"/>
      <c r="S20" s="148"/>
      <c r="T20" s="100"/>
      <c r="U20" s="100"/>
      <c r="V20" s="152"/>
      <c r="W20" s="153"/>
      <c r="X20" s="154"/>
      <c r="Y20" s="100"/>
      <c r="Z20" s="100"/>
    </row>
    <row r="21" spans="1:26" ht="18" customHeight="1" x14ac:dyDescent="0.15">
      <c r="A21" s="25"/>
      <c r="B21" s="158"/>
      <c r="C21" s="159"/>
      <c r="D21" s="159"/>
      <c r="E21" s="159"/>
      <c r="F21" s="160"/>
      <c r="G21" s="100"/>
      <c r="H21" s="100"/>
      <c r="I21" s="152"/>
      <c r="J21" s="153"/>
      <c r="K21" s="154"/>
      <c r="L21" s="100"/>
      <c r="M21" s="100"/>
      <c r="N21" s="146"/>
      <c r="O21" s="147"/>
      <c r="P21" s="147"/>
      <c r="Q21" s="147"/>
      <c r="R21" s="147"/>
      <c r="S21" s="148"/>
      <c r="T21" s="100"/>
      <c r="U21" s="100"/>
      <c r="V21" s="152"/>
      <c r="W21" s="153"/>
      <c r="X21" s="154"/>
      <c r="Y21" s="100"/>
      <c r="Z21" s="100"/>
    </row>
    <row r="22" spans="1:26" ht="18" customHeight="1" x14ac:dyDescent="0.15">
      <c r="A22" s="25"/>
      <c r="B22" s="161"/>
      <c r="C22" s="162"/>
      <c r="D22" s="162"/>
      <c r="E22" s="162"/>
      <c r="F22" s="163"/>
      <c r="G22" s="101"/>
      <c r="H22" s="101"/>
      <c r="I22" s="155"/>
      <c r="J22" s="156"/>
      <c r="K22" s="157"/>
      <c r="L22" s="106"/>
      <c r="M22" s="106"/>
      <c r="N22" s="149"/>
      <c r="O22" s="150"/>
      <c r="P22" s="150"/>
      <c r="Q22" s="150"/>
      <c r="R22" s="150"/>
      <c r="S22" s="151"/>
      <c r="T22" s="101"/>
      <c r="U22" s="101"/>
      <c r="V22" s="155"/>
      <c r="W22" s="156"/>
      <c r="X22" s="157"/>
      <c r="Y22" s="106"/>
      <c r="Z22" s="106"/>
    </row>
    <row r="23" spans="1:26" ht="7.5" customHeight="1" x14ac:dyDescent="0.15">
      <c r="A23" s="25"/>
      <c r="B23" s="29"/>
      <c r="C23" s="29"/>
      <c r="D23" s="25"/>
      <c r="E23" s="25"/>
      <c r="F23" s="25"/>
      <c r="G23" s="25"/>
      <c r="H23" s="25"/>
      <c r="I23" s="25"/>
      <c r="J23" s="25"/>
      <c r="K23" s="25"/>
      <c r="L23" s="29"/>
      <c r="M23" s="29"/>
      <c r="N23" s="29"/>
      <c r="O23" s="29"/>
      <c r="P23" s="29"/>
      <c r="Q23" s="29"/>
      <c r="R23" s="29"/>
      <c r="S23" s="29"/>
      <c r="T23" s="29"/>
      <c r="U23" s="29"/>
      <c r="V23" s="29"/>
      <c r="W23" s="29"/>
      <c r="X23" s="29"/>
      <c r="Y23" s="29"/>
      <c r="Z23" s="25"/>
    </row>
    <row r="24" spans="1:26" ht="18" customHeight="1" x14ac:dyDescent="0.15">
      <c r="A24" s="198" t="s">
        <v>85</v>
      </c>
      <c r="B24" s="198"/>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spans="1:26" ht="18" customHeight="1" x14ac:dyDescent="0.15">
      <c r="A25" s="198"/>
      <c r="B25" s="198"/>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row>
    <row r="26" spans="1:26" ht="18" customHeight="1" x14ac:dyDescent="0.15">
      <c r="A26" s="14"/>
      <c r="B26" s="117" t="s">
        <v>74</v>
      </c>
      <c r="C26" s="118"/>
      <c r="D26" s="118"/>
      <c r="E26" s="118"/>
      <c r="F26" s="119"/>
      <c r="G26" s="26" t="s">
        <v>75</v>
      </c>
      <c r="H26" s="98" t="s">
        <v>76</v>
      </c>
      <c r="I26" s="118" t="s">
        <v>77</v>
      </c>
      <c r="J26" s="118"/>
      <c r="K26" s="118"/>
      <c r="L26" s="65" t="s">
        <v>86</v>
      </c>
      <c r="M26" s="65" t="s">
        <v>87</v>
      </c>
      <c r="N26" s="117" t="s">
        <v>74</v>
      </c>
      <c r="O26" s="118"/>
      <c r="P26" s="118"/>
      <c r="Q26" s="118"/>
      <c r="R26" s="118"/>
      <c r="S26" s="119"/>
      <c r="T26" s="26" t="s">
        <v>75</v>
      </c>
      <c r="U26" s="98" t="s">
        <v>76</v>
      </c>
      <c r="V26" s="118" t="s">
        <v>77</v>
      </c>
      <c r="W26" s="118"/>
      <c r="X26" s="118"/>
      <c r="Y26" s="65" t="s">
        <v>86</v>
      </c>
      <c r="Z26" s="65" t="s">
        <v>87</v>
      </c>
    </row>
    <row r="27" spans="1:26" ht="18" customHeight="1" x14ac:dyDescent="0.15">
      <c r="A27" s="14"/>
      <c r="B27" s="165" t="s">
        <v>290</v>
      </c>
      <c r="C27" s="166"/>
      <c r="D27" s="166"/>
      <c r="E27" s="166"/>
      <c r="F27" s="167"/>
      <c r="G27" s="99">
        <v>2</v>
      </c>
      <c r="H27" s="99" t="s">
        <v>81</v>
      </c>
      <c r="I27" s="171" t="s">
        <v>82</v>
      </c>
      <c r="J27" s="172"/>
      <c r="K27" s="173"/>
      <c r="L27" s="99" t="s">
        <v>81</v>
      </c>
      <c r="M27" s="99" t="s">
        <v>81</v>
      </c>
      <c r="N27" s="143"/>
      <c r="O27" s="144"/>
      <c r="P27" s="144"/>
      <c r="Q27" s="144"/>
      <c r="R27" s="144"/>
      <c r="S27" s="145"/>
      <c r="T27" s="99"/>
      <c r="U27" s="99"/>
      <c r="V27" s="171"/>
      <c r="W27" s="172"/>
      <c r="X27" s="173"/>
      <c r="Y27" s="99"/>
      <c r="Z27" s="99"/>
    </row>
    <row r="28" spans="1:26" ht="18" customHeight="1" x14ac:dyDescent="0.15">
      <c r="A28" s="14"/>
      <c r="B28" s="158" t="s">
        <v>83</v>
      </c>
      <c r="C28" s="159"/>
      <c r="D28" s="159"/>
      <c r="E28" s="159"/>
      <c r="F28" s="160"/>
      <c r="G28" s="100">
        <v>1</v>
      </c>
      <c r="H28" s="100" t="s">
        <v>81</v>
      </c>
      <c r="I28" s="152" t="s">
        <v>84</v>
      </c>
      <c r="J28" s="153"/>
      <c r="K28" s="154"/>
      <c r="L28" s="100" t="s">
        <v>81</v>
      </c>
      <c r="M28" s="100" t="s">
        <v>81</v>
      </c>
      <c r="N28" s="146"/>
      <c r="O28" s="147"/>
      <c r="P28" s="147"/>
      <c r="Q28" s="147"/>
      <c r="R28" s="147"/>
      <c r="S28" s="148"/>
      <c r="T28" s="100"/>
      <c r="U28" s="100"/>
      <c r="V28" s="152"/>
      <c r="W28" s="153"/>
      <c r="X28" s="154"/>
      <c r="Y28" s="100"/>
      <c r="Z28" s="100"/>
    </row>
    <row r="29" spans="1:26" ht="18" customHeight="1" x14ac:dyDescent="0.15">
      <c r="A29" s="14"/>
      <c r="B29" s="158"/>
      <c r="C29" s="159"/>
      <c r="D29" s="159"/>
      <c r="E29" s="159"/>
      <c r="F29" s="160"/>
      <c r="G29" s="100"/>
      <c r="H29" s="100"/>
      <c r="I29" s="152"/>
      <c r="J29" s="153"/>
      <c r="K29" s="154"/>
      <c r="L29" s="100"/>
      <c r="M29" s="100"/>
      <c r="N29" s="146"/>
      <c r="O29" s="147"/>
      <c r="P29" s="147"/>
      <c r="Q29" s="147"/>
      <c r="R29" s="147"/>
      <c r="S29" s="148"/>
      <c r="T29" s="100"/>
      <c r="U29" s="100"/>
      <c r="V29" s="152"/>
      <c r="W29" s="153"/>
      <c r="X29" s="154"/>
      <c r="Y29" s="100"/>
      <c r="Z29" s="100"/>
    </row>
    <row r="30" spans="1:26" ht="18" customHeight="1" x14ac:dyDescent="0.15">
      <c r="A30" s="14"/>
      <c r="B30" s="158"/>
      <c r="C30" s="159"/>
      <c r="D30" s="159"/>
      <c r="E30" s="159"/>
      <c r="F30" s="160"/>
      <c r="G30" s="100"/>
      <c r="H30" s="100"/>
      <c r="I30" s="152"/>
      <c r="J30" s="153"/>
      <c r="K30" s="154"/>
      <c r="L30" s="100"/>
      <c r="M30" s="100"/>
      <c r="N30" s="146"/>
      <c r="O30" s="147"/>
      <c r="P30" s="147"/>
      <c r="Q30" s="147"/>
      <c r="R30" s="147"/>
      <c r="S30" s="148"/>
      <c r="T30" s="100"/>
      <c r="U30" s="100"/>
      <c r="V30" s="152"/>
      <c r="W30" s="153"/>
      <c r="X30" s="154"/>
      <c r="Y30" s="100"/>
      <c r="Z30" s="100"/>
    </row>
    <row r="31" spans="1:26" ht="18" customHeight="1" x14ac:dyDescent="0.15">
      <c r="A31" s="14"/>
      <c r="B31" s="158"/>
      <c r="C31" s="159"/>
      <c r="D31" s="159"/>
      <c r="E31" s="159"/>
      <c r="F31" s="160"/>
      <c r="G31" s="100"/>
      <c r="H31" s="100"/>
      <c r="I31" s="152"/>
      <c r="J31" s="153"/>
      <c r="K31" s="154"/>
      <c r="L31" s="100"/>
      <c r="M31" s="100"/>
      <c r="N31" s="146"/>
      <c r="O31" s="147"/>
      <c r="P31" s="147"/>
      <c r="Q31" s="147"/>
      <c r="R31" s="147"/>
      <c r="S31" s="148"/>
      <c r="T31" s="100"/>
      <c r="U31" s="100"/>
      <c r="V31" s="152"/>
      <c r="W31" s="153"/>
      <c r="X31" s="154"/>
      <c r="Y31" s="100"/>
      <c r="Z31" s="100"/>
    </row>
    <row r="32" spans="1:26" ht="18" customHeight="1" x14ac:dyDescent="0.15">
      <c r="A32" s="14"/>
      <c r="B32" s="158"/>
      <c r="C32" s="159"/>
      <c r="D32" s="159"/>
      <c r="E32" s="159"/>
      <c r="F32" s="160"/>
      <c r="G32" s="100"/>
      <c r="H32" s="100"/>
      <c r="I32" s="152"/>
      <c r="J32" s="153"/>
      <c r="K32" s="154"/>
      <c r="L32" s="100"/>
      <c r="M32" s="100"/>
      <c r="N32" s="146"/>
      <c r="O32" s="147"/>
      <c r="P32" s="147"/>
      <c r="Q32" s="147"/>
      <c r="R32" s="147"/>
      <c r="S32" s="148"/>
      <c r="T32" s="100"/>
      <c r="U32" s="100"/>
      <c r="V32" s="152"/>
      <c r="W32" s="153"/>
      <c r="X32" s="154"/>
      <c r="Y32" s="100"/>
      <c r="Z32" s="100"/>
    </row>
    <row r="33" spans="1:26" ht="18" customHeight="1" x14ac:dyDescent="0.15">
      <c r="A33" s="14"/>
      <c r="B33" s="161"/>
      <c r="C33" s="162"/>
      <c r="D33" s="162"/>
      <c r="E33" s="162"/>
      <c r="F33" s="163"/>
      <c r="G33" s="101"/>
      <c r="H33" s="101"/>
      <c r="I33" s="155"/>
      <c r="J33" s="156"/>
      <c r="K33" s="157"/>
      <c r="L33" s="106"/>
      <c r="M33" s="106"/>
      <c r="N33" s="149"/>
      <c r="O33" s="150"/>
      <c r="P33" s="150"/>
      <c r="Q33" s="150"/>
      <c r="R33" s="150"/>
      <c r="S33" s="151"/>
      <c r="T33" s="101"/>
      <c r="U33" s="101"/>
      <c r="V33" s="155"/>
      <c r="W33" s="156"/>
      <c r="X33" s="157"/>
      <c r="Y33" s="106"/>
      <c r="Z33" s="106"/>
    </row>
    <row r="34" spans="1:26" ht="7.5" customHeight="1" x14ac:dyDescent="0.15">
      <c r="A34" s="25"/>
      <c r="B34" s="29"/>
      <c r="C34" s="29"/>
      <c r="D34" s="25"/>
      <c r="E34" s="25"/>
      <c r="F34" s="25"/>
      <c r="G34" s="25"/>
      <c r="H34" s="25"/>
      <c r="I34" s="25"/>
      <c r="J34" s="25"/>
      <c r="K34" s="25"/>
      <c r="L34" s="29"/>
      <c r="M34" s="29"/>
      <c r="N34" s="29"/>
      <c r="O34" s="29"/>
      <c r="P34" s="29"/>
      <c r="Q34" s="29"/>
      <c r="R34" s="29"/>
      <c r="S34" s="29"/>
      <c r="T34" s="29"/>
      <c r="U34" s="29"/>
      <c r="V34" s="29"/>
      <c r="W34" s="29"/>
      <c r="X34" s="29"/>
      <c r="Y34" s="29"/>
      <c r="Z34" s="25"/>
    </row>
    <row r="35" spans="1:26" ht="18" customHeight="1" x14ac:dyDescent="0.15">
      <c r="A35" s="198" t="s">
        <v>88</v>
      </c>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row>
    <row r="36" spans="1:26" ht="18" customHeight="1" x14ac:dyDescent="0.15">
      <c r="A36" s="198"/>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spans="1:26" ht="18" customHeight="1" x14ac:dyDescent="0.15">
      <c r="A37" s="14"/>
      <c r="B37" s="117" t="s">
        <v>74</v>
      </c>
      <c r="C37" s="118"/>
      <c r="D37" s="118"/>
      <c r="E37" s="118"/>
      <c r="F37" s="119"/>
      <c r="G37" s="26" t="s">
        <v>75</v>
      </c>
      <c r="H37" s="98" t="s">
        <v>76</v>
      </c>
      <c r="I37" s="117" t="s">
        <v>77</v>
      </c>
      <c r="J37" s="118"/>
      <c r="K37" s="119"/>
      <c r="L37" s="65" t="s">
        <v>89</v>
      </c>
      <c r="M37" s="65" t="s">
        <v>90</v>
      </c>
      <c r="N37" s="117" t="s">
        <v>74</v>
      </c>
      <c r="O37" s="118"/>
      <c r="P37" s="118"/>
      <c r="Q37" s="118"/>
      <c r="R37" s="118"/>
      <c r="S37" s="119"/>
      <c r="T37" s="26" t="s">
        <v>75</v>
      </c>
      <c r="U37" s="98" t="s">
        <v>76</v>
      </c>
      <c r="V37" s="117" t="s">
        <v>77</v>
      </c>
      <c r="W37" s="118"/>
      <c r="X37" s="119"/>
      <c r="Y37" s="65" t="s">
        <v>89</v>
      </c>
      <c r="Z37" s="65" t="s">
        <v>90</v>
      </c>
    </row>
    <row r="38" spans="1:26" ht="18" customHeight="1" x14ac:dyDescent="0.15">
      <c r="A38" s="25"/>
      <c r="B38" s="165" t="s">
        <v>291</v>
      </c>
      <c r="C38" s="166"/>
      <c r="D38" s="166"/>
      <c r="E38" s="166"/>
      <c r="F38" s="167"/>
      <c r="G38" s="99">
        <v>2</v>
      </c>
      <c r="H38" s="99" t="s">
        <v>81</v>
      </c>
      <c r="I38" s="171" t="s">
        <v>82</v>
      </c>
      <c r="J38" s="172"/>
      <c r="K38" s="173"/>
      <c r="L38" s="99" t="s">
        <v>81</v>
      </c>
      <c r="M38" s="99" t="s">
        <v>81</v>
      </c>
      <c r="N38" s="143"/>
      <c r="O38" s="144"/>
      <c r="P38" s="144"/>
      <c r="Q38" s="144"/>
      <c r="R38" s="144"/>
      <c r="S38" s="145"/>
      <c r="T38" s="99"/>
      <c r="U38" s="99"/>
      <c r="V38" s="171"/>
      <c r="W38" s="172"/>
      <c r="X38" s="173"/>
      <c r="Y38" s="99"/>
      <c r="Z38" s="99"/>
    </row>
    <row r="39" spans="1:26" ht="18" customHeight="1" x14ac:dyDescent="0.15">
      <c r="A39" s="25"/>
      <c r="B39" s="158" t="s">
        <v>83</v>
      </c>
      <c r="C39" s="159"/>
      <c r="D39" s="159"/>
      <c r="E39" s="159"/>
      <c r="F39" s="160"/>
      <c r="G39" s="100">
        <v>1</v>
      </c>
      <c r="H39" s="100" t="s">
        <v>81</v>
      </c>
      <c r="I39" s="152" t="s">
        <v>84</v>
      </c>
      <c r="J39" s="153"/>
      <c r="K39" s="154"/>
      <c r="L39" s="100" t="s">
        <v>81</v>
      </c>
      <c r="M39" s="100" t="s">
        <v>81</v>
      </c>
      <c r="N39" s="146"/>
      <c r="O39" s="147"/>
      <c r="P39" s="147"/>
      <c r="Q39" s="147"/>
      <c r="R39" s="147"/>
      <c r="S39" s="148"/>
      <c r="T39" s="100"/>
      <c r="U39" s="100"/>
      <c r="V39" s="152"/>
      <c r="W39" s="153"/>
      <c r="X39" s="154"/>
      <c r="Y39" s="100"/>
      <c r="Z39" s="100"/>
    </row>
    <row r="40" spans="1:26" ht="18" customHeight="1" x14ac:dyDescent="0.15">
      <c r="A40" s="25"/>
      <c r="B40" s="158"/>
      <c r="C40" s="159"/>
      <c r="D40" s="159"/>
      <c r="E40" s="159"/>
      <c r="F40" s="160"/>
      <c r="G40" s="100"/>
      <c r="H40" s="100"/>
      <c r="I40" s="152"/>
      <c r="J40" s="153"/>
      <c r="K40" s="154"/>
      <c r="L40" s="100"/>
      <c r="M40" s="100"/>
      <c r="N40" s="146"/>
      <c r="O40" s="147"/>
      <c r="P40" s="147"/>
      <c r="Q40" s="147"/>
      <c r="R40" s="147"/>
      <c r="S40" s="148"/>
      <c r="T40" s="100"/>
      <c r="U40" s="100"/>
      <c r="V40" s="152"/>
      <c r="W40" s="153"/>
      <c r="X40" s="154"/>
      <c r="Y40" s="100"/>
      <c r="Z40" s="100"/>
    </row>
    <row r="41" spans="1:26" ht="18" customHeight="1" x14ac:dyDescent="0.15">
      <c r="A41" s="25"/>
      <c r="B41" s="158"/>
      <c r="C41" s="159"/>
      <c r="D41" s="159"/>
      <c r="E41" s="159"/>
      <c r="F41" s="160"/>
      <c r="G41" s="100"/>
      <c r="H41" s="100"/>
      <c r="I41" s="152"/>
      <c r="J41" s="153"/>
      <c r="K41" s="154"/>
      <c r="L41" s="100"/>
      <c r="M41" s="100"/>
      <c r="N41" s="146"/>
      <c r="O41" s="147"/>
      <c r="P41" s="147"/>
      <c r="Q41" s="147"/>
      <c r="R41" s="147"/>
      <c r="S41" s="148"/>
      <c r="T41" s="100"/>
      <c r="U41" s="100"/>
      <c r="V41" s="152"/>
      <c r="W41" s="153"/>
      <c r="X41" s="154"/>
      <c r="Y41" s="100"/>
      <c r="Z41" s="100"/>
    </row>
    <row r="42" spans="1:26" ht="18" customHeight="1" x14ac:dyDescent="0.15">
      <c r="A42" s="25"/>
      <c r="B42" s="158"/>
      <c r="C42" s="159"/>
      <c r="D42" s="159"/>
      <c r="E42" s="159"/>
      <c r="F42" s="160"/>
      <c r="G42" s="100"/>
      <c r="H42" s="100"/>
      <c r="I42" s="152"/>
      <c r="J42" s="153"/>
      <c r="K42" s="154"/>
      <c r="L42" s="100"/>
      <c r="M42" s="100"/>
      <c r="N42" s="146"/>
      <c r="O42" s="147"/>
      <c r="P42" s="147"/>
      <c r="Q42" s="147"/>
      <c r="R42" s="147"/>
      <c r="S42" s="148"/>
      <c r="T42" s="100"/>
      <c r="U42" s="100"/>
      <c r="V42" s="152"/>
      <c r="W42" s="153"/>
      <c r="X42" s="154"/>
      <c r="Y42" s="100"/>
      <c r="Z42" s="100"/>
    </row>
    <row r="43" spans="1:26" ht="18" customHeight="1" x14ac:dyDescent="0.15">
      <c r="A43" s="25"/>
      <c r="B43" s="158"/>
      <c r="C43" s="159"/>
      <c r="D43" s="159"/>
      <c r="E43" s="159"/>
      <c r="F43" s="160"/>
      <c r="G43" s="100"/>
      <c r="H43" s="100"/>
      <c r="I43" s="152"/>
      <c r="J43" s="153"/>
      <c r="K43" s="154"/>
      <c r="L43" s="100"/>
      <c r="M43" s="100"/>
      <c r="N43" s="146"/>
      <c r="O43" s="147"/>
      <c r="P43" s="147"/>
      <c r="Q43" s="147"/>
      <c r="R43" s="147"/>
      <c r="S43" s="148"/>
      <c r="T43" s="100"/>
      <c r="U43" s="100"/>
      <c r="V43" s="152"/>
      <c r="W43" s="153"/>
      <c r="X43" s="154"/>
      <c r="Y43" s="100"/>
      <c r="Z43" s="100"/>
    </row>
    <row r="44" spans="1:26" ht="18" customHeight="1" x14ac:dyDescent="0.15">
      <c r="A44" s="25"/>
      <c r="B44" s="161"/>
      <c r="C44" s="162"/>
      <c r="D44" s="162"/>
      <c r="E44" s="162"/>
      <c r="F44" s="163"/>
      <c r="G44" s="101"/>
      <c r="H44" s="101"/>
      <c r="I44" s="155"/>
      <c r="J44" s="156"/>
      <c r="K44" s="157"/>
      <c r="L44" s="106"/>
      <c r="M44" s="106"/>
      <c r="N44" s="149"/>
      <c r="O44" s="150"/>
      <c r="P44" s="150"/>
      <c r="Q44" s="150"/>
      <c r="R44" s="150"/>
      <c r="S44" s="151"/>
      <c r="T44" s="101"/>
      <c r="U44" s="101"/>
      <c r="V44" s="155"/>
      <c r="W44" s="156"/>
      <c r="X44" s="157"/>
      <c r="Y44" s="106"/>
      <c r="Z44" s="106"/>
    </row>
    <row r="45" spans="1:26" ht="7.5" customHeight="1" x14ac:dyDescent="0.15">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6" ht="18" customHeight="1" x14ac:dyDescent="0.15">
      <c r="A46" s="198" t="s">
        <v>91</v>
      </c>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spans="1:26" ht="18" customHeight="1" x14ac:dyDescent="0.15">
      <c r="A47" s="198"/>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spans="1:26" ht="18" customHeight="1" x14ac:dyDescent="0.15">
      <c r="A48" s="14"/>
      <c r="B48" s="117" t="s">
        <v>74</v>
      </c>
      <c r="C48" s="118"/>
      <c r="D48" s="118"/>
      <c r="E48" s="118"/>
      <c r="F48" s="119"/>
      <c r="G48" s="26" t="s">
        <v>75</v>
      </c>
      <c r="H48" s="98" t="s">
        <v>76</v>
      </c>
      <c r="I48" s="117" t="s">
        <v>77</v>
      </c>
      <c r="J48" s="118"/>
      <c r="K48" s="119"/>
      <c r="L48" s="65" t="s">
        <v>92</v>
      </c>
      <c r="M48" s="65" t="s">
        <v>93</v>
      </c>
      <c r="N48" s="117" t="s">
        <v>74</v>
      </c>
      <c r="O48" s="118"/>
      <c r="P48" s="118"/>
      <c r="Q48" s="118"/>
      <c r="R48" s="118"/>
      <c r="S48" s="119"/>
      <c r="T48" s="26" t="s">
        <v>75</v>
      </c>
      <c r="U48" s="98" t="s">
        <v>76</v>
      </c>
      <c r="V48" s="117" t="s">
        <v>77</v>
      </c>
      <c r="W48" s="118"/>
      <c r="X48" s="119"/>
      <c r="Y48" s="65" t="s">
        <v>92</v>
      </c>
      <c r="Z48" s="65" t="s">
        <v>93</v>
      </c>
    </row>
    <row r="49" spans="1:26" ht="18" customHeight="1" x14ac:dyDescent="0.15">
      <c r="A49" s="25"/>
      <c r="B49" s="165" t="s">
        <v>290</v>
      </c>
      <c r="C49" s="166"/>
      <c r="D49" s="166"/>
      <c r="E49" s="166"/>
      <c r="F49" s="167"/>
      <c r="G49" s="99">
        <v>2</v>
      </c>
      <c r="H49" s="99" t="s">
        <v>81</v>
      </c>
      <c r="I49" s="171" t="s">
        <v>82</v>
      </c>
      <c r="J49" s="172"/>
      <c r="K49" s="173"/>
      <c r="L49" s="99" t="s">
        <v>81</v>
      </c>
      <c r="M49" s="99" t="s">
        <v>81</v>
      </c>
      <c r="N49" s="143"/>
      <c r="O49" s="144"/>
      <c r="P49" s="144"/>
      <c r="Q49" s="144"/>
      <c r="R49" s="144"/>
      <c r="S49" s="145"/>
      <c r="T49" s="99"/>
      <c r="U49" s="99"/>
      <c r="V49" s="171"/>
      <c r="W49" s="172"/>
      <c r="X49" s="173"/>
      <c r="Y49" s="99"/>
      <c r="Z49" s="99"/>
    </row>
    <row r="50" spans="1:26" ht="18" customHeight="1" x14ac:dyDescent="0.15">
      <c r="A50" s="25"/>
      <c r="B50" s="158" t="s">
        <v>83</v>
      </c>
      <c r="C50" s="159"/>
      <c r="D50" s="159"/>
      <c r="E50" s="159"/>
      <c r="F50" s="160"/>
      <c r="G50" s="100">
        <v>1</v>
      </c>
      <c r="H50" s="100" t="s">
        <v>81</v>
      </c>
      <c r="I50" s="152" t="s">
        <v>84</v>
      </c>
      <c r="J50" s="153"/>
      <c r="K50" s="154"/>
      <c r="L50" s="100" t="s">
        <v>81</v>
      </c>
      <c r="M50" s="100" t="s">
        <v>81</v>
      </c>
      <c r="N50" s="146"/>
      <c r="O50" s="147"/>
      <c r="P50" s="147"/>
      <c r="Q50" s="147"/>
      <c r="R50" s="147"/>
      <c r="S50" s="148"/>
      <c r="T50" s="100"/>
      <c r="U50" s="100"/>
      <c r="V50" s="152"/>
      <c r="W50" s="153"/>
      <c r="X50" s="154"/>
      <c r="Y50" s="100"/>
      <c r="Z50" s="100"/>
    </row>
    <row r="51" spans="1:26" ht="18" customHeight="1" x14ac:dyDescent="0.15">
      <c r="A51" s="25"/>
      <c r="B51" s="158"/>
      <c r="C51" s="159"/>
      <c r="D51" s="159"/>
      <c r="E51" s="159"/>
      <c r="F51" s="160"/>
      <c r="G51" s="100"/>
      <c r="H51" s="100"/>
      <c r="I51" s="152"/>
      <c r="J51" s="153"/>
      <c r="K51" s="154"/>
      <c r="L51" s="100"/>
      <c r="M51" s="100"/>
      <c r="N51" s="146"/>
      <c r="O51" s="147"/>
      <c r="P51" s="147"/>
      <c r="Q51" s="147"/>
      <c r="R51" s="147"/>
      <c r="S51" s="148"/>
      <c r="T51" s="100"/>
      <c r="U51" s="100"/>
      <c r="V51" s="152"/>
      <c r="W51" s="153"/>
      <c r="X51" s="154"/>
      <c r="Y51" s="100"/>
      <c r="Z51" s="100"/>
    </row>
    <row r="52" spans="1:26" ht="18" customHeight="1" x14ac:dyDescent="0.15">
      <c r="A52" s="25"/>
      <c r="B52" s="158"/>
      <c r="C52" s="159"/>
      <c r="D52" s="159"/>
      <c r="E52" s="159"/>
      <c r="F52" s="160"/>
      <c r="G52" s="100"/>
      <c r="H52" s="100"/>
      <c r="I52" s="152"/>
      <c r="J52" s="153"/>
      <c r="K52" s="154"/>
      <c r="L52" s="100"/>
      <c r="M52" s="100"/>
      <c r="N52" s="146"/>
      <c r="O52" s="147"/>
      <c r="P52" s="147"/>
      <c r="Q52" s="147"/>
      <c r="R52" s="147"/>
      <c r="S52" s="148"/>
      <c r="T52" s="100"/>
      <c r="U52" s="100"/>
      <c r="V52" s="152"/>
      <c r="W52" s="153"/>
      <c r="X52" s="154"/>
      <c r="Y52" s="100"/>
      <c r="Z52" s="100"/>
    </row>
    <row r="53" spans="1:26" ht="18" customHeight="1" x14ac:dyDescent="0.15">
      <c r="A53" s="25"/>
      <c r="B53" s="158"/>
      <c r="C53" s="159"/>
      <c r="D53" s="159"/>
      <c r="E53" s="159"/>
      <c r="F53" s="160"/>
      <c r="G53" s="100"/>
      <c r="H53" s="100"/>
      <c r="I53" s="152"/>
      <c r="J53" s="153"/>
      <c r="K53" s="154"/>
      <c r="L53" s="100"/>
      <c r="M53" s="100"/>
      <c r="N53" s="146"/>
      <c r="O53" s="147"/>
      <c r="P53" s="147"/>
      <c r="Q53" s="147"/>
      <c r="R53" s="147"/>
      <c r="S53" s="148"/>
      <c r="T53" s="100"/>
      <c r="U53" s="100"/>
      <c r="V53" s="152"/>
      <c r="W53" s="153"/>
      <c r="X53" s="154"/>
      <c r="Y53" s="100"/>
      <c r="Z53" s="100"/>
    </row>
    <row r="54" spans="1:26" ht="18" customHeight="1" x14ac:dyDescent="0.15">
      <c r="A54" s="25"/>
      <c r="B54" s="158"/>
      <c r="C54" s="159"/>
      <c r="D54" s="159"/>
      <c r="E54" s="159"/>
      <c r="F54" s="160"/>
      <c r="G54" s="100"/>
      <c r="H54" s="100"/>
      <c r="I54" s="152"/>
      <c r="J54" s="153"/>
      <c r="K54" s="154"/>
      <c r="L54" s="100"/>
      <c r="M54" s="100"/>
      <c r="N54" s="146"/>
      <c r="O54" s="147"/>
      <c r="P54" s="147"/>
      <c r="Q54" s="147"/>
      <c r="R54" s="147"/>
      <c r="S54" s="148"/>
      <c r="T54" s="100"/>
      <c r="U54" s="100"/>
      <c r="V54" s="152"/>
      <c r="W54" s="153"/>
      <c r="X54" s="154"/>
      <c r="Y54" s="100"/>
      <c r="Z54" s="100"/>
    </row>
    <row r="55" spans="1:26" ht="18" customHeight="1" x14ac:dyDescent="0.15">
      <c r="A55" s="25"/>
      <c r="B55" s="161"/>
      <c r="C55" s="162"/>
      <c r="D55" s="162"/>
      <c r="E55" s="162"/>
      <c r="F55" s="163"/>
      <c r="G55" s="101"/>
      <c r="H55" s="101"/>
      <c r="I55" s="155"/>
      <c r="J55" s="156"/>
      <c r="K55" s="157"/>
      <c r="L55" s="106"/>
      <c r="M55" s="106"/>
      <c r="N55" s="149"/>
      <c r="O55" s="150"/>
      <c r="P55" s="150"/>
      <c r="Q55" s="150"/>
      <c r="R55" s="150"/>
      <c r="S55" s="151"/>
      <c r="T55" s="101"/>
      <c r="U55" s="101"/>
      <c r="V55" s="155"/>
      <c r="W55" s="156"/>
      <c r="X55" s="157"/>
      <c r="Y55" s="106"/>
      <c r="Z55" s="106"/>
    </row>
    <row r="56" spans="1:26" ht="7.5" customHeight="1" x14ac:dyDescent="0.15">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6" ht="18" customHeight="1" x14ac:dyDescent="0.15">
      <c r="A57" s="198" t="s">
        <v>94</v>
      </c>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spans="1:26" ht="18" customHeight="1" x14ac:dyDescent="0.15">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spans="1:26" ht="18" customHeight="1" x14ac:dyDescent="0.15">
      <c r="A59" s="14"/>
      <c r="B59" s="117" t="s">
        <v>74</v>
      </c>
      <c r="C59" s="118"/>
      <c r="D59" s="118"/>
      <c r="E59" s="119"/>
      <c r="F59" s="26" t="s">
        <v>75</v>
      </c>
      <c r="G59" s="98" t="s">
        <v>76</v>
      </c>
      <c r="H59" s="22" t="s">
        <v>77</v>
      </c>
      <c r="I59" s="95"/>
      <c r="J59" s="23"/>
      <c r="K59" s="65" t="s">
        <v>95</v>
      </c>
      <c r="L59" s="65" t="s">
        <v>96</v>
      </c>
      <c r="M59" s="65" t="s">
        <v>97</v>
      </c>
      <c r="N59" s="117" t="s">
        <v>74</v>
      </c>
      <c r="O59" s="118"/>
      <c r="P59" s="118"/>
      <c r="Q59" s="118"/>
      <c r="R59" s="119"/>
      <c r="S59" s="26" t="s">
        <v>75</v>
      </c>
      <c r="T59" s="98" t="s">
        <v>76</v>
      </c>
      <c r="U59" s="22" t="s">
        <v>77</v>
      </c>
      <c r="V59" s="95"/>
      <c r="W59" s="23"/>
      <c r="X59" s="65" t="s">
        <v>95</v>
      </c>
      <c r="Y59" s="65" t="s">
        <v>96</v>
      </c>
      <c r="Z59" s="65" t="s">
        <v>97</v>
      </c>
    </row>
    <row r="60" spans="1:26" ht="18" customHeight="1" x14ac:dyDescent="0.15">
      <c r="A60" s="25"/>
      <c r="B60" s="143" t="s">
        <v>171</v>
      </c>
      <c r="C60" s="144"/>
      <c r="D60" s="144"/>
      <c r="E60" s="145"/>
      <c r="F60" s="99">
        <v>5</v>
      </c>
      <c r="G60" s="99" t="s">
        <v>81</v>
      </c>
      <c r="H60" s="171" t="s">
        <v>82</v>
      </c>
      <c r="I60" s="172"/>
      <c r="J60" s="173"/>
      <c r="K60" s="99" t="s">
        <v>81</v>
      </c>
      <c r="L60" s="99" t="s">
        <v>81</v>
      </c>
      <c r="M60" s="99" t="s">
        <v>81</v>
      </c>
      <c r="N60" s="143"/>
      <c r="O60" s="144"/>
      <c r="P60" s="144"/>
      <c r="Q60" s="144"/>
      <c r="R60" s="145"/>
      <c r="S60" s="99"/>
      <c r="T60" s="99"/>
      <c r="U60" s="171"/>
      <c r="V60" s="172"/>
      <c r="W60" s="173"/>
      <c r="X60" s="105"/>
      <c r="Y60" s="99"/>
      <c r="Z60" s="99"/>
    </row>
    <row r="61" spans="1:26" ht="18" customHeight="1" x14ac:dyDescent="0.15">
      <c r="A61" s="25"/>
      <c r="B61" s="146" t="s">
        <v>172</v>
      </c>
      <c r="C61" s="147"/>
      <c r="D61" s="147"/>
      <c r="E61" s="148"/>
      <c r="F61" s="100">
        <v>4</v>
      </c>
      <c r="G61" s="100" t="s">
        <v>81</v>
      </c>
      <c r="H61" s="152" t="s">
        <v>82</v>
      </c>
      <c r="I61" s="153"/>
      <c r="J61" s="154"/>
      <c r="K61" s="100" t="s">
        <v>81</v>
      </c>
      <c r="L61" s="100" t="s">
        <v>81</v>
      </c>
      <c r="M61" s="100" t="s">
        <v>81</v>
      </c>
      <c r="N61" s="146"/>
      <c r="O61" s="147"/>
      <c r="P61" s="147"/>
      <c r="Q61" s="147"/>
      <c r="R61" s="148"/>
      <c r="S61" s="100"/>
      <c r="T61" s="100"/>
      <c r="U61" s="152"/>
      <c r="V61" s="153"/>
      <c r="W61" s="154"/>
      <c r="X61" s="103"/>
      <c r="Y61" s="100"/>
      <c r="Z61" s="100"/>
    </row>
    <row r="62" spans="1:26" ht="18" customHeight="1" x14ac:dyDescent="0.15">
      <c r="A62" s="25"/>
      <c r="B62" s="146" t="s">
        <v>173</v>
      </c>
      <c r="C62" s="147"/>
      <c r="D62" s="147"/>
      <c r="E62" s="148"/>
      <c r="F62" s="100">
        <v>4</v>
      </c>
      <c r="G62" s="100" t="s">
        <v>81</v>
      </c>
      <c r="H62" s="152" t="s">
        <v>82</v>
      </c>
      <c r="I62" s="153"/>
      <c r="J62" s="154"/>
      <c r="K62" s="100" t="s">
        <v>81</v>
      </c>
      <c r="L62" s="100" t="s">
        <v>81</v>
      </c>
      <c r="M62" s="100" t="s">
        <v>81</v>
      </c>
      <c r="N62" s="146"/>
      <c r="O62" s="147"/>
      <c r="P62" s="147"/>
      <c r="Q62" s="147"/>
      <c r="R62" s="148"/>
      <c r="S62" s="100"/>
      <c r="T62" s="100"/>
      <c r="U62" s="152"/>
      <c r="V62" s="153"/>
      <c r="W62" s="154"/>
      <c r="X62" s="103"/>
      <c r="Y62" s="100"/>
      <c r="Z62" s="100"/>
    </row>
    <row r="63" spans="1:26" ht="18" customHeight="1" x14ac:dyDescent="0.15">
      <c r="A63" s="25"/>
      <c r="B63" s="146" t="s">
        <v>174</v>
      </c>
      <c r="C63" s="147"/>
      <c r="D63" s="147"/>
      <c r="E63" s="148"/>
      <c r="F63" s="100">
        <v>4</v>
      </c>
      <c r="G63" s="100" t="s">
        <v>81</v>
      </c>
      <c r="H63" s="152" t="s">
        <v>82</v>
      </c>
      <c r="I63" s="153"/>
      <c r="J63" s="154"/>
      <c r="K63" s="100" t="s">
        <v>81</v>
      </c>
      <c r="L63" s="100" t="s">
        <v>81</v>
      </c>
      <c r="M63" s="100" t="s">
        <v>81</v>
      </c>
      <c r="N63" s="146"/>
      <c r="O63" s="147"/>
      <c r="P63" s="147"/>
      <c r="Q63" s="147"/>
      <c r="R63" s="148"/>
      <c r="S63" s="100"/>
      <c r="T63" s="100"/>
      <c r="U63" s="152"/>
      <c r="V63" s="153"/>
      <c r="W63" s="154"/>
      <c r="X63" s="103"/>
      <c r="Y63" s="100"/>
      <c r="Z63" s="100"/>
    </row>
    <row r="64" spans="1:26" ht="18" customHeight="1" x14ac:dyDescent="0.15">
      <c r="A64" s="25"/>
      <c r="B64" s="146"/>
      <c r="C64" s="147"/>
      <c r="D64" s="147"/>
      <c r="E64" s="148"/>
      <c r="F64" s="100"/>
      <c r="G64" s="100"/>
      <c r="H64" s="152"/>
      <c r="I64" s="153"/>
      <c r="J64" s="154"/>
      <c r="K64" s="100"/>
      <c r="L64" s="100"/>
      <c r="M64" s="100"/>
      <c r="N64" s="146"/>
      <c r="O64" s="147"/>
      <c r="P64" s="147"/>
      <c r="Q64" s="147"/>
      <c r="R64" s="148"/>
      <c r="S64" s="100"/>
      <c r="T64" s="100"/>
      <c r="U64" s="152"/>
      <c r="V64" s="153"/>
      <c r="W64" s="154"/>
      <c r="X64" s="103"/>
      <c r="Y64" s="100"/>
      <c r="Z64" s="100"/>
    </row>
    <row r="65" spans="1:26" ht="18" customHeight="1" x14ac:dyDescent="0.15">
      <c r="A65" s="25"/>
      <c r="B65" s="146"/>
      <c r="C65" s="147"/>
      <c r="D65" s="147"/>
      <c r="E65" s="148"/>
      <c r="F65" s="100"/>
      <c r="G65" s="100"/>
      <c r="H65" s="152"/>
      <c r="I65" s="153"/>
      <c r="J65" s="154"/>
      <c r="K65" s="100"/>
      <c r="L65" s="100"/>
      <c r="M65" s="100"/>
      <c r="N65" s="146"/>
      <c r="O65" s="147"/>
      <c r="P65" s="147"/>
      <c r="Q65" s="147"/>
      <c r="R65" s="148"/>
      <c r="S65" s="100"/>
      <c r="T65" s="100"/>
      <c r="U65" s="152"/>
      <c r="V65" s="153"/>
      <c r="W65" s="154"/>
      <c r="X65" s="103"/>
      <c r="Y65" s="100"/>
      <c r="Z65" s="100"/>
    </row>
    <row r="66" spans="1:26" ht="18" customHeight="1" x14ac:dyDescent="0.15">
      <c r="A66" s="25"/>
      <c r="B66" s="149"/>
      <c r="C66" s="150"/>
      <c r="D66" s="150"/>
      <c r="E66" s="151"/>
      <c r="F66" s="101"/>
      <c r="G66" s="101"/>
      <c r="H66" s="155"/>
      <c r="I66" s="156"/>
      <c r="J66" s="157"/>
      <c r="K66" s="104"/>
      <c r="L66" s="106"/>
      <c r="M66" s="106"/>
      <c r="N66" s="149"/>
      <c r="O66" s="150"/>
      <c r="P66" s="150"/>
      <c r="Q66" s="150"/>
      <c r="R66" s="151"/>
      <c r="S66" s="101"/>
      <c r="T66" s="101"/>
      <c r="U66" s="155"/>
      <c r="V66" s="156"/>
      <c r="W66" s="157"/>
      <c r="X66" s="104"/>
      <c r="Y66" s="106"/>
      <c r="Z66" s="106"/>
    </row>
    <row r="67" spans="1:26" ht="7.5" customHeight="1" x14ac:dyDescent="0.15">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6" ht="18" customHeight="1" x14ac:dyDescent="0.15">
      <c r="A68" s="14" t="s">
        <v>100</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17" t="s">
        <v>74</v>
      </c>
      <c r="C69" s="118"/>
      <c r="D69" s="118"/>
      <c r="E69" s="118"/>
      <c r="F69" s="119"/>
      <c r="G69" s="117" t="s">
        <v>101</v>
      </c>
      <c r="H69" s="118"/>
      <c r="I69" s="118"/>
      <c r="J69" s="118"/>
      <c r="K69" s="118"/>
      <c r="L69" s="118"/>
      <c r="M69" s="119"/>
      <c r="N69" s="168" t="s">
        <v>74</v>
      </c>
      <c r="O69" s="169"/>
      <c r="P69" s="169"/>
      <c r="Q69" s="169"/>
      <c r="R69" s="169"/>
      <c r="S69" s="170"/>
      <c r="T69" s="117" t="s">
        <v>101</v>
      </c>
      <c r="U69" s="118"/>
      <c r="V69" s="118"/>
      <c r="W69" s="118"/>
      <c r="X69" s="118"/>
      <c r="Y69" s="118"/>
      <c r="Z69" s="119"/>
    </row>
    <row r="70" spans="1:26" ht="18" customHeight="1" x14ac:dyDescent="0.15">
      <c r="A70" s="25"/>
      <c r="B70" s="143" t="s">
        <v>102</v>
      </c>
      <c r="C70" s="144"/>
      <c r="D70" s="144"/>
      <c r="E70" s="144"/>
      <c r="F70" s="145"/>
      <c r="G70" s="165" t="s">
        <v>103</v>
      </c>
      <c r="H70" s="166"/>
      <c r="I70" s="166"/>
      <c r="J70" s="166"/>
      <c r="K70" s="166"/>
      <c r="L70" s="166"/>
      <c r="M70" s="167"/>
      <c r="N70" s="143"/>
      <c r="O70" s="144"/>
      <c r="P70" s="144"/>
      <c r="Q70" s="144"/>
      <c r="R70" s="144"/>
      <c r="S70" s="145"/>
      <c r="T70" s="209"/>
      <c r="U70" s="210"/>
      <c r="V70" s="210"/>
      <c r="W70" s="210"/>
      <c r="X70" s="210"/>
      <c r="Y70" s="210"/>
      <c r="Z70" s="211"/>
    </row>
    <row r="71" spans="1:26" ht="18" customHeight="1" x14ac:dyDescent="0.15">
      <c r="A71" s="25"/>
      <c r="B71" s="146" t="s">
        <v>175</v>
      </c>
      <c r="C71" s="147"/>
      <c r="D71" s="147"/>
      <c r="E71" s="147"/>
      <c r="F71" s="148"/>
      <c r="G71" s="158" t="s">
        <v>105</v>
      </c>
      <c r="H71" s="159"/>
      <c r="I71" s="159"/>
      <c r="J71" s="159"/>
      <c r="K71" s="159"/>
      <c r="L71" s="159"/>
      <c r="M71" s="160"/>
      <c r="N71" s="146"/>
      <c r="O71" s="147"/>
      <c r="P71" s="147"/>
      <c r="Q71" s="147"/>
      <c r="R71" s="147"/>
      <c r="S71" s="148"/>
      <c r="T71" s="189"/>
      <c r="U71" s="190"/>
      <c r="V71" s="190"/>
      <c r="W71" s="190"/>
      <c r="X71" s="190"/>
      <c r="Y71" s="190"/>
      <c r="Z71" s="191"/>
    </row>
    <row r="72" spans="1:26" ht="18" customHeight="1" x14ac:dyDescent="0.15">
      <c r="A72" s="25"/>
      <c r="B72" s="146" t="s">
        <v>175</v>
      </c>
      <c r="C72" s="147"/>
      <c r="D72" s="147"/>
      <c r="E72" s="147"/>
      <c r="F72" s="148"/>
      <c r="G72" s="158" t="s">
        <v>106</v>
      </c>
      <c r="H72" s="159"/>
      <c r="I72" s="159"/>
      <c r="J72" s="159"/>
      <c r="K72" s="159"/>
      <c r="L72" s="159"/>
      <c r="M72" s="160"/>
      <c r="N72" s="146"/>
      <c r="O72" s="147"/>
      <c r="P72" s="147"/>
      <c r="Q72" s="147"/>
      <c r="R72" s="147"/>
      <c r="S72" s="148"/>
      <c r="T72" s="189"/>
      <c r="U72" s="190"/>
      <c r="V72" s="190"/>
      <c r="W72" s="190"/>
      <c r="X72" s="190"/>
      <c r="Y72" s="190"/>
      <c r="Z72" s="191"/>
    </row>
    <row r="73" spans="1:26" ht="18" customHeight="1" x14ac:dyDescent="0.15">
      <c r="A73" s="25"/>
      <c r="B73" s="146"/>
      <c r="C73" s="147"/>
      <c r="D73" s="147"/>
      <c r="E73" s="147"/>
      <c r="F73" s="148"/>
      <c r="G73" s="189"/>
      <c r="H73" s="190"/>
      <c r="I73" s="190"/>
      <c r="J73" s="190"/>
      <c r="K73" s="190"/>
      <c r="L73" s="190"/>
      <c r="M73" s="191"/>
      <c r="N73" s="146"/>
      <c r="O73" s="147"/>
      <c r="P73" s="147"/>
      <c r="Q73" s="147"/>
      <c r="R73" s="147"/>
      <c r="S73" s="148"/>
      <c r="T73" s="189"/>
      <c r="U73" s="190"/>
      <c r="V73" s="190"/>
      <c r="W73" s="190"/>
      <c r="X73" s="190"/>
      <c r="Y73" s="190"/>
      <c r="Z73" s="191"/>
    </row>
    <row r="74" spans="1:26" ht="18" customHeight="1" x14ac:dyDescent="0.15">
      <c r="A74" s="25"/>
      <c r="B74" s="146"/>
      <c r="C74" s="147"/>
      <c r="D74" s="147"/>
      <c r="E74" s="147"/>
      <c r="F74" s="148"/>
      <c r="G74" s="189"/>
      <c r="H74" s="190"/>
      <c r="I74" s="190"/>
      <c r="J74" s="190"/>
      <c r="K74" s="190"/>
      <c r="L74" s="190"/>
      <c r="M74" s="191"/>
      <c r="N74" s="146"/>
      <c r="O74" s="147"/>
      <c r="P74" s="147"/>
      <c r="Q74" s="147"/>
      <c r="R74" s="147"/>
      <c r="S74" s="148"/>
      <c r="T74" s="189"/>
      <c r="U74" s="190"/>
      <c r="V74" s="190"/>
      <c r="W74" s="190"/>
      <c r="X74" s="190"/>
      <c r="Y74" s="190"/>
      <c r="Z74" s="191"/>
    </row>
    <row r="75" spans="1:26" ht="18" customHeight="1" x14ac:dyDescent="0.15">
      <c r="A75" s="25"/>
      <c r="B75" s="146"/>
      <c r="C75" s="147"/>
      <c r="D75" s="147"/>
      <c r="E75" s="147"/>
      <c r="F75" s="148"/>
      <c r="G75" s="189"/>
      <c r="H75" s="190"/>
      <c r="I75" s="190"/>
      <c r="J75" s="190"/>
      <c r="K75" s="190"/>
      <c r="L75" s="190"/>
      <c r="M75" s="191"/>
      <c r="N75" s="146"/>
      <c r="O75" s="147"/>
      <c r="P75" s="147"/>
      <c r="Q75" s="147"/>
      <c r="R75" s="147"/>
      <c r="S75" s="148"/>
      <c r="T75" s="189"/>
      <c r="U75" s="190"/>
      <c r="V75" s="190"/>
      <c r="W75" s="190"/>
      <c r="X75" s="190"/>
      <c r="Y75" s="190"/>
      <c r="Z75" s="191"/>
    </row>
    <row r="76" spans="1:26" ht="18" customHeight="1" x14ac:dyDescent="0.15">
      <c r="A76" s="25"/>
      <c r="B76" s="149"/>
      <c r="C76" s="150"/>
      <c r="D76" s="150"/>
      <c r="E76" s="150"/>
      <c r="F76" s="151"/>
      <c r="G76" s="186"/>
      <c r="H76" s="187"/>
      <c r="I76" s="187"/>
      <c r="J76" s="187"/>
      <c r="K76" s="187"/>
      <c r="L76" s="187"/>
      <c r="M76" s="188"/>
      <c r="N76" s="149"/>
      <c r="O76" s="150"/>
      <c r="P76" s="150"/>
      <c r="Q76" s="150"/>
      <c r="R76" s="150"/>
      <c r="S76" s="151"/>
      <c r="T76" s="186"/>
      <c r="U76" s="187"/>
      <c r="V76" s="187"/>
      <c r="W76" s="187"/>
      <c r="X76" s="187"/>
      <c r="Y76" s="187"/>
      <c r="Z76" s="188"/>
    </row>
    <row r="77" spans="1:26" ht="18" customHeight="1" x14ac:dyDescent="0.15">
      <c r="A77" s="25"/>
      <c r="B77" s="29"/>
      <c r="C77" s="29"/>
      <c r="D77" s="29"/>
      <c r="E77" s="29"/>
      <c r="F77" s="29"/>
      <c r="G77" s="12"/>
      <c r="H77" s="12"/>
      <c r="I77" s="12"/>
      <c r="J77" s="12"/>
      <c r="K77" s="12"/>
      <c r="L77" s="12"/>
      <c r="M77" s="12"/>
      <c r="N77" s="29"/>
      <c r="O77" s="29"/>
      <c r="P77" s="29"/>
      <c r="Q77" s="29"/>
      <c r="R77" s="29"/>
      <c r="S77" s="29"/>
      <c r="T77" s="12"/>
      <c r="U77" s="12"/>
      <c r="V77" s="12"/>
      <c r="W77" s="12"/>
      <c r="X77" s="12"/>
      <c r="Y77" s="12"/>
      <c r="Z77" s="12"/>
    </row>
    <row r="78" spans="1:26" ht="18.75" customHeight="1" x14ac:dyDescent="0.15">
      <c r="A78" s="13" t="s">
        <v>107</v>
      </c>
    </row>
    <row r="79" spans="1:26" ht="18.75" customHeight="1" x14ac:dyDescent="0.15">
      <c r="B79" s="67" t="s">
        <v>108</v>
      </c>
      <c r="C79" s="68"/>
      <c r="D79" s="220" t="s">
        <v>109</v>
      </c>
      <c r="E79" s="220"/>
      <c r="F79" s="220"/>
      <c r="G79" s="220"/>
      <c r="H79" s="220"/>
      <c r="I79" s="220"/>
      <c r="J79" s="220"/>
      <c r="K79" s="220"/>
      <c r="L79" s="220"/>
      <c r="M79" s="220"/>
      <c r="N79" s="220"/>
      <c r="O79" s="220"/>
      <c r="P79" s="220"/>
      <c r="Q79" s="220"/>
      <c r="R79" s="220"/>
      <c r="S79" s="220"/>
      <c r="T79" s="220"/>
      <c r="U79" s="220"/>
      <c r="V79" s="220"/>
      <c r="W79" s="220"/>
      <c r="X79" s="220"/>
      <c r="Y79" s="220"/>
      <c r="Z79" s="221"/>
    </row>
    <row r="80" spans="1:26" ht="78" customHeight="1" x14ac:dyDescent="0.15">
      <c r="B80" s="217" t="s">
        <v>137</v>
      </c>
      <c r="C80" s="74" t="s">
        <v>78</v>
      </c>
      <c r="D80" s="192" t="s">
        <v>176</v>
      </c>
      <c r="E80" s="193"/>
      <c r="F80" s="193"/>
      <c r="G80" s="193"/>
      <c r="H80" s="193"/>
      <c r="I80" s="193"/>
      <c r="J80" s="193"/>
      <c r="K80" s="193"/>
      <c r="L80" s="193"/>
      <c r="M80" s="193"/>
      <c r="N80" s="193"/>
      <c r="O80" s="193"/>
      <c r="P80" s="193"/>
      <c r="Q80" s="193"/>
      <c r="R80" s="193"/>
      <c r="S80" s="193"/>
      <c r="T80" s="193"/>
      <c r="U80" s="193"/>
      <c r="V80" s="193"/>
      <c r="W80" s="193"/>
      <c r="X80" s="193"/>
      <c r="Y80" s="193"/>
      <c r="Z80" s="194"/>
    </row>
    <row r="81" spans="1:26" ht="78" customHeight="1" x14ac:dyDescent="0.15">
      <c r="B81" s="218"/>
      <c r="C81" s="96" t="s">
        <v>112</v>
      </c>
      <c r="D81" s="192" t="s">
        <v>177</v>
      </c>
      <c r="E81" s="193"/>
      <c r="F81" s="193"/>
      <c r="G81" s="193"/>
      <c r="H81" s="193"/>
      <c r="I81" s="193"/>
      <c r="J81" s="193"/>
      <c r="K81" s="193"/>
      <c r="L81" s="193"/>
      <c r="M81" s="193"/>
      <c r="N81" s="193"/>
      <c r="O81" s="193"/>
      <c r="P81" s="193"/>
      <c r="Q81" s="193"/>
      <c r="R81" s="193"/>
      <c r="S81" s="193"/>
      <c r="T81" s="193"/>
      <c r="U81" s="193"/>
      <c r="V81" s="193"/>
      <c r="W81" s="193"/>
      <c r="X81" s="193"/>
      <c r="Y81" s="193"/>
      <c r="Z81" s="194"/>
    </row>
    <row r="82" spans="1:26" ht="78" customHeight="1" x14ac:dyDescent="0.15">
      <c r="B82" s="215" t="s">
        <v>140</v>
      </c>
      <c r="C82" s="69" t="s">
        <v>86</v>
      </c>
      <c r="D82" s="195" t="s">
        <v>178</v>
      </c>
      <c r="E82" s="196"/>
      <c r="F82" s="196"/>
      <c r="G82" s="196"/>
      <c r="H82" s="196"/>
      <c r="I82" s="196"/>
      <c r="J82" s="196"/>
      <c r="K82" s="196"/>
      <c r="L82" s="196"/>
      <c r="M82" s="196"/>
      <c r="N82" s="196"/>
      <c r="O82" s="196"/>
      <c r="P82" s="196"/>
      <c r="Q82" s="196"/>
      <c r="R82" s="196"/>
      <c r="S82" s="196"/>
      <c r="T82" s="196"/>
      <c r="U82" s="196"/>
      <c r="V82" s="196"/>
      <c r="W82" s="196"/>
      <c r="X82" s="196"/>
      <c r="Y82" s="196"/>
      <c r="Z82" s="197"/>
    </row>
    <row r="83" spans="1:26" ht="78" customHeight="1" x14ac:dyDescent="0.15">
      <c r="B83" s="216"/>
      <c r="C83" s="97" t="s">
        <v>87</v>
      </c>
      <c r="D83" s="195" t="s">
        <v>179</v>
      </c>
      <c r="E83" s="196"/>
      <c r="F83" s="196"/>
      <c r="G83" s="196"/>
      <c r="H83" s="196"/>
      <c r="I83" s="196"/>
      <c r="J83" s="196"/>
      <c r="K83" s="196"/>
      <c r="L83" s="196"/>
      <c r="M83" s="196"/>
      <c r="N83" s="196"/>
      <c r="O83" s="196"/>
      <c r="P83" s="196"/>
      <c r="Q83" s="196"/>
      <c r="R83" s="196"/>
      <c r="S83" s="196"/>
      <c r="T83" s="196"/>
      <c r="U83" s="196"/>
      <c r="V83" s="196"/>
      <c r="W83" s="196"/>
      <c r="X83" s="196"/>
      <c r="Y83" s="196"/>
      <c r="Z83" s="197"/>
    </row>
    <row r="84" spans="1:26" ht="66" customHeight="1" x14ac:dyDescent="0.15">
      <c r="B84" s="215" t="s">
        <v>143</v>
      </c>
      <c r="C84" s="69" t="s">
        <v>89</v>
      </c>
      <c r="D84" s="195" t="s">
        <v>180</v>
      </c>
      <c r="E84" s="196"/>
      <c r="F84" s="196"/>
      <c r="G84" s="196"/>
      <c r="H84" s="196"/>
      <c r="I84" s="196"/>
      <c r="J84" s="196"/>
      <c r="K84" s="196"/>
      <c r="L84" s="196"/>
      <c r="M84" s="196"/>
      <c r="N84" s="196"/>
      <c r="O84" s="196"/>
      <c r="P84" s="196"/>
      <c r="Q84" s="196"/>
      <c r="R84" s="196"/>
      <c r="S84" s="196"/>
      <c r="T84" s="196"/>
      <c r="U84" s="196"/>
      <c r="V84" s="196"/>
      <c r="W84" s="196"/>
      <c r="X84" s="196"/>
      <c r="Y84" s="196"/>
      <c r="Z84" s="197"/>
    </row>
    <row r="85" spans="1:26" ht="66" customHeight="1" x14ac:dyDescent="0.15">
      <c r="B85" s="216"/>
      <c r="C85" s="71" t="s">
        <v>90</v>
      </c>
      <c r="D85" s="195" t="s">
        <v>181</v>
      </c>
      <c r="E85" s="196"/>
      <c r="F85" s="196"/>
      <c r="G85" s="196"/>
      <c r="H85" s="196"/>
      <c r="I85" s="196"/>
      <c r="J85" s="196"/>
      <c r="K85" s="196"/>
      <c r="L85" s="196"/>
      <c r="M85" s="196"/>
      <c r="N85" s="196"/>
      <c r="O85" s="196"/>
      <c r="P85" s="196"/>
      <c r="Q85" s="196"/>
      <c r="R85" s="196"/>
      <c r="S85" s="196"/>
      <c r="T85" s="196"/>
      <c r="U85" s="196"/>
      <c r="V85" s="196"/>
      <c r="W85" s="196"/>
      <c r="X85" s="196"/>
      <c r="Y85" s="196"/>
      <c r="Z85" s="197"/>
    </row>
    <row r="86" spans="1:26" ht="66" customHeight="1" x14ac:dyDescent="0.15">
      <c r="B86" s="217" t="s">
        <v>146</v>
      </c>
      <c r="C86" s="74" t="s">
        <v>92</v>
      </c>
      <c r="D86" s="192" t="s">
        <v>182</v>
      </c>
      <c r="E86" s="193"/>
      <c r="F86" s="193"/>
      <c r="G86" s="193"/>
      <c r="H86" s="193"/>
      <c r="I86" s="193"/>
      <c r="J86" s="193"/>
      <c r="K86" s="193"/>
      <c r="L86" s="193"/>
      <c r="M86" s="193"/>
      <c r="N86" s="193"/>
      <c r="O86" s="193"/>
      <c r="P86" s="193"/>
      <c r="Q86" s="193"/>
      <c r="R86" s="193"/>
      <c r="S86" s="193"/>
      <c r="T86" s="193"/>
      <c r="U86" s="193"/>
      <c r="V86" s="193"/>
      <c r="W86" s="193"/>
      <c r="X86" s="193"/>
      <c r="Y86" s="193"/>
      <c r="Z86" s="194"/>
    </row>
    <row r="87" spans="1:26" ht="66" customHeight="1" x14ac:dyDescent="0.15">
      <c r="B87" s="219"/>
      <c r="C87" s="70" t="s">
        <v>93</v>
      </c>
      <c r="D87" s="192" t="s">
        <v>287</v>
      </c>
      <c r="E87" s="193"/>
      <c r="F87" s="193"/>
      <c r="G87" s="193"/>
      <c r="H87" s="193"/>
      <c r="I87" s="193"/>
      <c r="J87" s="193"/>
      <c r="K87" s="193"/>
      <c r="L87" s="193"/>
      <c r="M87" s="193"/>
      <c r="N87" s="193"/>
      <c r="O87" s="193"/>
      <c r="P87" s="193"/>
      <c r="Q87" s="193"/>
      <c r="R87" s="193"/>
      <c r="S87" s="193"/>
      <c r="T87" s="193"/>
      <c r="U87" s="193"/>
      <c r="V87" s="193"/>
      <c r="W87" s="193"/>
      <c r="X87" s="193"/>
      <c r="Y87" s="193"/>
      <c r="Z87" s="194"/>
    </row>
    <row r="88" spans="1:26" ht="66" customHeight="1" x14ac:dyDescent="0.15">
      <c r="B88" s="217" t="s">
        <v>149</v>
      </c>
      <c r="C88" s="69" t="s">
        <v>95</v>
      </c>
      <c r="D88" s="212" t="s">
        <v>183</v>
      </c>
      <c r="E88" s="213"/>
      <c r="F88" s="213"/>
      <c r="G88" s="213"/>
      <c r="H88" s="213"/>
      <c r="I88" s="213"/>
      <c r="J88" s="213"/>
      <c r="K88" s="213"/>
      <c r="L88" s="213"/>
      <c r="M88" s="213"/>
      <c r="N88" s="213"/>
      <c r="O88" s="213"/>
      <c r="P88" s="213"/>
      <c r="Q88" s="213"/>
      <c r="R88" s="213"/>
      <c r="S88" s="213"/>
      <c r="T88" s="213"/>
      <c r="U88" s="213"/>
      <c r="V88" s="213"/>
      <c r="W88" s="213"/>
      <c r="X88" s="213"/>
      <c r="Y88" s="213"/>
      <c r="Z88" s="214"/>
    </row>
    <row r="89" spans="1:26" ht="66" customHeight="1" x14ac:dyDescent="0.15">
      <c r="B89" s="218"/>
      <c r="C89" s="70" t="s">
        <v>96</v>
      </c>
      <c r="D89" s="233" t="s">
        <v>184</v>
      </c>
      <c r="E89" s="234"/>
      <c r="F89" s="234"/>
      <c r="G89" s="234"/>
      <c r="H89" s="234"/>
      <c r="I89" s="234"/>
      <c r="J89" s="234"/>
      <c r="K89" s="234"/>
      <c r="L89" s="234"/>
      <c r="M89" s="234"/>
      <c r="N89" s="234"/>
      <c r="O89" s="234"/>
      <c r="P89" s="234"/>
      <c r="Q89" s="234"/>
      <c r="R89" s="234"/>
      <c r="S89" s="234"/>
      <c r="T89" s="234"/>
      <c r="U89" s="234"/>
      <c r="V89" s="234"/>
      <c r="W89" s="234"/>
      <c r="X89" s="234"/>
      <c r="Y89" s="234"/>
      <c r="Z89" s="235"/>
    </row>
    <row r="90" spans="1:26" ht="66" customHeight="1" x14ac:dyDescent="0.15">
      <c r="B90" s="216"/>
      <c r="C90" s="71" t="s">
        <v>97</v>
      </c>
      <c r="D90" s="233" t="s">
        <v>185</v>
      </c>
      <c r="E90" s="234"/>
      <c r="F90" s="234"/>
      <c r="G90" s="234"/>
      <c r="H90" s="234"/>
      <c r="I90" s="234"/>
      <c r="J90" s="234"/>
      <c r="K90" s="234"/>
      <c r="L90" s="234"/>
      <c r="M90" s="234"/>
      <c r="N90" s="234"/>
      <c r="O90" s="234"/>
      <c r="P90" s="234"/>
      <c r="Q90" s="234"/>
      <c r="R90" s="234"/>
      <c r="S90" s="234"/>
      <c r="T90" s="234"/>
      <c r="U90" s="234"/>
      <c r="V90" s="234"/>
      <c r="W90" s="234"/>
      <c r="X90" s="234"/>
      <c r="Y90" s="234"/>
      <c r="Z90" s="235"/>
    </row>
    <row r="91" spans="1:26" ht="6" customHeight="1" x14ac:dyDescent="0.15"/>
    <row r="92" spans="1:26" ht="18.75" customHeight="1" x14ac:dyDescent="0.15">
      <c r="A92" s="13" t="s">
        <v>127</v>
      </c>
    </row>
    <row r="93" spans="1:26" ht="18.75" customHeight="1" x14ac:dyDescent="0.15">
      <c r="B93" s="174" t="s">
        <v>128</v>
      </c>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6"/>
    </row>
    <row r="94" spans="1:26" ht="18.75" customHeight="1" x14ac:dyDescent="0.15">
      <c r="B94" s="177"/>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9"/>
    </row>
    <row r="95" spans="1:26" ht="18.75" customHeight="1" x14ac:dyDescent="0.15">
      <c r="B95" s="180"/>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2"/>
    </row>
    <row r="96" spans="1:26" ht="6" customHeight="1" x14ac:dyDescent="0.15"/>
    <row r="97" spans="1:26" ht="15" customHeight="1" x14ac:dyDescent="0.15">
      <c r="A97" s="13" t="s">
        <v>129</v>
      </c>
    </row>
    <row r="98" spans="1:26" ht="15" customHeight="1" x14ac:dyDescent="0.15">
      <c r="B98" s="222" t="str">
        <f>'様式２-1　プログラムを構成する授業科目（M）'!B98</f>
        <v>https://www.fukui-nct.ac.jp/mext_mathdsai/</v>
      </c>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4"/>
    </row>
    <row r="133" spans="14:14" ht="18.75" customHeight="1" x14ac:dyDescent="0.15">
      <c r="N133"/>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Y16:Z22 L16:M22 Y27:Z33 H27:H33 H38:H44 Y38:Z44 H49:H55 Y49:Z55 Y60:Z66 L49:M55 H16:H22 U16:U22 T60:T66 U27:U33 L27:M33 U38:U44 L38:M44 U49:U55 L66:M66 G60:G66 K60:M65">
      <formula1>"○"</formula1>
    </dataValidation>
  </dataValidations>
  <printOptions horizontalCentered="1"/>
  <pageMargins left="0.25" right="0.25" top="0.75" bottom="0.75" header="0.3" footer="0.3"/>
  <pageSetup paperSize="9" scale="76" fitToHeight="0" orientation="portrait" r:id="rId1"/>
  <rowBreaks count="3" manualBreakCount="3">
    <brk id="34" max="16383" man="1"/>
    <brk id="67" max="16383" man="1"/>
    <brk id="8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33"/>
  <sheetViews>
    <sheetView showZeros="0" view="pageBreakPreview" zoomScaleNormal="100" zoomScaleSheetLayoutView="100" workbookViewId="0">
      <selection activeCell="AE22" sqref="AE2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64" t="s">
        <v>186</v>
      </c>
      <c r="X1" s="164"/>
      <c r="Y1" s="164"/>
      <c r="Z1" s="164"/>
    </row>
    <row r="2" spans="1:26" ht="18" customHeight="1" x14ac:dyDescent="0.15">
      <c r="A2" s="199" t="s">
        <v>69</v>
      </c>
      <c r="B2" s="199"/>
      <c r="C2" s="199"/>
      <c r="D2" s="199"/>
      <c r="E2" s="199"/>
      <c r="F2" s="199"/>
      <c r="G2" s="199"/>
      <c r="H2" s="199"/>
      <c r="I2" s="199"/>
      <c r="J2" s="199"/>
      <c r="K2" s="199"/>
      <c r="L2" s="199"/>
      <c r="M2" s="199"/>
      <c r="N2" s="199"/>
      <c r="O2" s="199"/>
      <c r="P2" s="199"/>
      <c r="Q2" s="199"/>
      <c r="R2" s="199"/>
      <c r="S2" s="199"/>
      <c r="T2" s="199"/>
      <c r="U2" s="199"/>
      <c r="V2" s="199"/>
      <c r="W2" s="199"/>
      <c r="X2" s="199"/>
      <c r="Y2" s="199"/>
      <c r="Z2" s="199"/>
    </row>
    <row r="3" spans="1:26" ht="15" customHeight="1" x14ac:dyDescent="0.15">
      <c r="B3" s="25"/>
      <c r="C3" s="25"/>
      <c r="D3" s="25"/>
      <c r="E3" s="25"/>
      <c r="F3" s="25"/>
      <c r="G3" s="25"/>
      <c r="H3" s="25"/>
      <c r="I3" s="25"/>
      <c r="J3" s="25"/>
      <c r="K3" s="25"/>
      <c r="L3" s="25"/>
      <c r="M3" s="25"/>
      <c r="N3" s="25"/>
      <c r="O3" s="25"/>
      <c r="P3" s="25"/>
      <c r="Q3" s="25"/>
      <c r="R3" s="25"/>
      <c r="S3" s="25"/>
      <c r="T3" s="25"/>
      <c r="U3" s="25"/>
      <c r="V3" s="25"/>
      <c r="W3" s="25"/>
      <c r="X3" s="25"/>
      <c r="Y3" s="25"/>
      <c r="Z3" s="25"/>
    </row>
    <row r="4" spans="1:26" ht="18" customHeight="1" x14ac:dyDescent="0.15">
      <c r="A4" s="13" t="s">
        <v>70</v>
      </c>
      <c r="B4" s="25"/>
      <c r="C4" s="25"/>
      <c r="D4" s="25"/>
      <c r="E4" s="25"/>
      <c r="F4" s="25"/>
      <c r="G4" s="25"/>
      <c r="H4" s="14" t="s">
        <v>71</v>
      </c>
      <c r="I4" s="25"/>
      <c r="J4" s="25"/>
      <c r="K4" s="25"/>
      <c r="L4" s="25"/>
      <c r="M4" s="25"/>
      <c r="N4" s="25"/>
      <c r="O4" s="117" t="s">
        <v>72</v>
      </c>
      <c r="P4" s="118"/>
      <c r="Q4" s="118"/>
      <c r="R4" s="118"/>
      <c r="S4" s="118"/>
      <c r="T4" s="118"/>
      <c r="U4" s="118"/>
      <c r="V4" s="118"/>
      <c r="W4" s="118"/>
      <c r="X4" s="118"/>
      <c r="Y4" s="118"/>
      <c r="Z4" s="119"/>
    </row>
    <row r="5" spans="1:26" ht="6" customHeight="1" x14ac:dyDescent="0.15">
      <c r="B5" s="25"/>
      <c r="C5" s="25"/>
      <c r="D5" s="25"/>
      <c r="E5" s="25"/>
      <c r="F5" s="25"/>
      <c r="G5" s="25"/>
      <c r="H5" s="25"/>
      <c r="I5" s="25"/>
      <c r="J5" s="25"/>
      <c r="K5" s="25"/>
      <c r="L5" s="25"/>
      <c r="M5" s="25"/>
      <c r="N5" s="25"/>
      <c r="O5" s="15"/>
      <c r="P5" s="25"/>
      <c r="Q5" s="25"/>
      <c r="R5" s="25"/>
      <c r="S5" s="25"/>
      <c r="T5" s="25"/>
      <c r="U5" s="25"/>
      <c r="V5" s="25"/>
      <c r="W5" s="25"/>
      <c r="X5" s="25"/>
      <c r="Y5" s="25"/>
      <c r="Z5" s="25"/>
    </row>
    <row r="6" spans="1:26" ht="18" customHeight="1" x14ac:dyDescent="0.15">
      <c r="B6" s="200" t="s">
        <v>292</v>
      </c>
      <c r="C6" s="201"/>
      <c r="D6" s="201"/>
      <c r="E6" s="201"/>
      <c r="F6" s="201"/>
      <c r="G6" s="201"/>
      <c r="H6" s="201"/>
      <c r="I6" s="201"/>
      <c r="J6" s="201"/>
      <c r="K6" s="201"/>
      <c r="L6" s="201"/>
      <c r="M6" s="201"/>
      <c r="N6" s="201"/>
      <c r="O6" s="201"/>
      <c r="P6" s="201"/>
      <c r="Q6" s="201"/>
      <c r="R6" s="201"/>
      <c r="S6" s="201"/>
      <c r="T6" s="201"/>
      <c r="U6" s="201"/>
      <c r="V6" s="201"/>
      <c r="W6" s="201"/>
      <c r="X6" s="201"/>
      <c r="Y6" s="201"/>
      <c r="Z6" s="202"/>
    </row>
    <row r="7" spans="1:26" ht="18" customHeight="1" x14ac:dyDescent="0.15">
      <c r="B7" s="203"/>
      <c r="C7" s="204"/>
      <c r="D7" s="204"/>
      <c r="E7" s="204"/>
      <c r="F7" s="204"/>
      <c r="G7" s="204"/>
      <c r="H7" s="204"/>
      <c r="I7" s="204"/>
      <c r="J7" s="204"/>
      <c r="K7" s="204"/>
      <c r="L7" s="204"/>
      <c r="M7" s="204"/>
      <c r="N7" s="204"/>
      <c r="O7" s="204"/>
      <c r="P7" s="204"/>
      <c r="Q7" s="204"/>
      <c r="R7" s="204"/>
      <c r="S7" s="204"/>
      <c r="T7" s="204"/>
      <c r="U7" s="204"/>
      <c r="V7" s="204"/>
      <c r="W7" s="204"/>
      <c r="X7" s="204"/>
      <c r="Y7" s="204"/>
      <c r="Z7" s="205"/>
    </row>
    <row r="8" spans="1:26" ht="18" customHeight="1" x14ac:dyDescent="0.15">
      <c r="B8" s="203"/>
      <c r="C8" s="204"/>
      <c r="D8" s="204"/>
      <c r="E8" s="204"/>
      <c r="F8" s="204"/>
      <c r="G8" s="204"/>
      <c r="H8" s="204"/>
      <c r="I8" s="204"/>
      <c r="J8" s="204"/>
      <c r="K8" s="204"/>
      <c r="L8" s="204"/>
      <c r="M8" s="204"/>
      <c r="N8" s="204"/>
      <c r="O8" s="204"/>
      <c r="P8" s="204"/>
      <c r="Q8" s="204"/>
      <c r="R8" s="204"/>
      <c r="S8" s="204"/>
      <c r="T8" s="204"/>
      <c r="U8" s="204"/>
      <c r="V8" s="204"/>
      <c r="W8" s="204"/>
      <c r="X8" s="204"/>
      <c r="Y8" s="204"/>
      <c r="Z8" s="205"/>
    </row>
    <row r="9" spans="1:26" ht="18" customHeight="1" x14ac:dyDescent="0.15">
      <c r="B9" s="203"/>
      <c r="C9" s="204"/>
      <c r="D9" s="204"/>
      <c r="E9" s="204"/>
      <c r="F9" s="204"/>
      <c r="G9" s="204"/>
      <c r="H9" s="204"/>
      <c r="I9" s="204"/>
      <c r="J9" s="204"/>
      <c r="K9" s="204"/>
      <c r="L9" s="204"/>
      <c r="M9" s="204"/>
      <c r="N9" s="204"/>
      <c r="O9" s="204"/>
      <c r="P9" s="204"/>
      <c r="Q9" s="204"/>
      <c r="R9" s="204"/>
      <c r="S9" s="204"/>
      <c r="T9" s="204"/>
      <c r="U9" s="204"/>
      <c r="V9" s="204"/>
      <c r="W9" s="204"/>
      <c r="X9" s="204"/>
      <c r="Y9" s="204"/>
      <c r="Z9" s="205"/>
    </row>
    <row r="10" spans="1:26" ht="18" customHeight="1" x14ac:dyDescent="0.15">
      <c r="B10" s="203"/>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5"/>
    </row>
    <row r="11" spans="1:26" ht="18" customHeight="1" x14ac:dyDescent="0.15">
      <c r="B11" s="206"/>
      <c r="C11" s="207"/>
      <c r="D11" s="207"/>
      <c r="E11" s="207"/>
      <c r="F11" s="207"/>
      <c r="G11" s="207"/>
      <c r="H11" s="207"/>
      <c r="I11" s="207"/>
      <c r="J11" s="207"/>
      <c r="K11" s="207"/>
      <c r="L11" s="207"/>
      <c r="M11" s="207"/>
      <c r="N11" s="207"/>
      <c r="O11" s="207"/>
      <c r="P11" s="207"/>
      <c r="Q11" s="207"/>
      <c r="R11" s="207"/>
      <c r="S11" s="207"/>
      <c r="T11" s="207"/>
      <c r="U11" s="207"/>
      <c r="V11" s="207"/>
      <c r="W11" s="207"/>
      <c r="X11" s="207"/>
      <c r="Y11" s="207"/>
      <c r="Z11" s="208"/>
    </row>
    <row r="12" spans="1:26" ht="7.5" customHeight="1" x14ac:dyDescent="0.1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8" customHeight="1" x14ac:dyDescent="0.15">
      <c r="A13" s="198" t="s">
        <v>73</v>
      </c>
      <c r="B13" s="198"/>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row>
    <row r="14" spans="1:26" ht="18" customHeight="1" x14ac:dyDescent="0.15">
      <c r="A14" s="198"/>
      <c r="B14" s="198"/>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row>
    <row r="15" spans="1:26" ht="18" customHeight="1" x14ac:dyDescent="0.15">
      <c r="A15" s="14"/>
      <c r="B15" s="117" t="s">
        <v>187</v>
      </c>
      <c r="C15" s="118"/>
      <c r="D15" s="118"/>
      <c r="E15" s="118"/>
      <c r="F15" s="119"/>
      <c r="G15" s="26" t="s">
        <v>75</v>
      </c>
      <c r="H15" s="98" t="s">
        <v>76</v>
      </c>
      <c r="I15" s="118" t="s">
        <v>77</v>
      </c>
      <c r="J15" s="118"/>
      <c r="K15" s="118"/>
      <c r="L15" s="65" t="s">
        <v>78</v>
      </c>
      <c r="M15" s="65" t="s">
        <v>79</v>
      </c>
      <c r="N15" s="117" t="s">
        <v>74</v>
      </c>
      <c r="O15" s="118"/>
      <c r="P15" s="118"/>
      <c r="Q15" s="118"/>
      <c r="R15" s="118"/>
      <c r="S15" s="119"/>
      <c r="T15" s="26" t="s">
        <v>75</v>
      </c>
      <c r="U15" s="98" t="s">
        <v>76</v>
      </c>
      <c r="V15" s="118" t="s">
        <v>77</v>
      </c>
      <c r="W15" s="118"/>
      <c r="X15" s="118"/>
      <c r="Y15" s="65" t="s">
        <v>78</v>
      </c>
      <c r="Z15" s="65" t="s">
        <v>79</v>
      </c>
    </row>
    <row r="16" spans="1:26" ht="18" customHeight="1" x14ac:dyDescent="0.15">
      <c r="A16" s="14"/>
      <c r="B16" s="165" t="s">
        <v>188</v>
      </c>
      <c r="C16" s="166"/>
      <c r="D16" s="166"/>
      <c r="E16" s="166"/>
      <c r="F16" s="167"/>
      <c r="G16" s="99">
        <v>2</v>
      </c>
      <c r="H16" s="99" t="s">
        <v>81</v>
      </c>
      <c r="I16" s="171" t="s">
        <v>82</v>
      </c>
      <c r="J16" s="172"/>
      <c r="K16" s="173"/>
      <c r="L16" s="99" t="s">
        <v>81</v>
      </c>
      <c r="M16" s="99" t="s">
        <v>81</v>
      </c>
      <c r="N16" s="143"/>
      <c r="O16" s="144"/>
      <c r="P16" s="144"/>
      <c r="Q16" s="144"/>
      <c r="R16" s="144"/>
      <c r="S16" s="145"/>
      <c r="T16" s="99"/>
      <c r="U16" s="99"/>
      <c r="V16" s="171"/>
      <c r="W16" s="172"/>
      <c r="X16" s="173"/>
      <c r="Y16" s="99"/>
      <c r="Z16" s="99"/>
    </row>
    <row r="17" spans="1:26" ht="18" customHeight="1" x14ac:dyDescent="0.15">
      <c r="A17" s="14"/>
      <c r="B17" s="158" t="s">
        <v>83</v>
      </c>
      <c r="C17" s="159"/>
      <c r="D17" s="159"/>
      <c r="E17" s="159"/>
      <c r="F17" s="160"/>
      <c r="G17" s="100">
        <v>1</v>
      </c>
      <c r="H17" s="100" t="s">
        <v>81</v>
      </c>
      <c r="I17" s="152" t="s">
        <v>84</v>
      </c>
      <c r="J17" s="153"/>
      <c r="K17" s="154"/>
      <c r="L17" s="100" t="s">
        <v>81</v>
      </c>
      <c r="M17" s="100" t="s">
        <v>81</v>
      </c>
      <c r="N17" s="146"/>
      <c r="O17" s="147"/>
      <c r="P17" s="147"/>
      <c r="Q17" s="147"/>
      <c r="R17" s="147"/>
      <c r="S17" s="148"/>
      <c r="T17" s="100"/>
      <c r="U17" s="100"/>
      <c r="V17" s="152"/>
      <c r="W17" s="153"/>
      <c r="X17" s="154"/>
      <c r="Y17" s="100"/>
      <c r="Z17" s="100"/>
    </row>
    <row r="18" spans="1:26" ht="18" customHeight="1" x14ac:dyDescent="0.15">
      <c r="A18" s="14"/>
      <c r="B18" s="158"/>
      <c r="C18" s="159"/>
      <c r="D18" s="159"/>
      <c r="E18" s="159"/>
      <c r="F18" s="160"/>
      <c r="G18" s="100"/>
      <c r="H18" s="100"/>
      <c r="I18" s="152"/>
      <c r="J18" s="153"/>
      <c r="K18" s="154"/>
      <c r="L18" s="100"/>
      <c r="M18" s="100"/>
      <c r="N18" s="146"/>
      <c r="O18" s="147"/>
      <c r="P18" s="147"/>
      <c r="Q18" s="147"/>
      <c r="R18" s="147"/>
      <c r="S18" s="148"/>
      <c r="T18" s="100"/>
      <c r="U18" s="100"/>
      <c r="V18" s="152"/>
      <c r="W18" s="153"/>
      <c r="X18" s="154"/>
      <c r="Y18" s="100"/>
      <c r="Z18" s="100"/>
    </row>
    <row r="19" spans="1:26" ht="18" customHeight="1" x14ac:dyDescent="0.15">
      <c r="A19" s="14"/>
      <c r="B19" s="158"/>
      <c r="C19" s="159"/>
      <c r="D19" s="159"/>
      <c r="E19" s="159"/>
      <c r="F19" s="160"/>
      <c r="G19" s="100"/>
      <c r="H19" s="100"/>
      <c r="I19" s="152"/>
      <c r="J19" s="153"/>
      <c r="K19" s="154"/>
      <c r="L19" s="100"/>
      <c r="M19" s="100"/>
      <c r="N19" s="146"/>
      <c r="O19" s="147"/>
      <c r="P19" s="147"/>
      <c r="Q19" s="147"/>
      <c r="R19" s="147"/>
      <c r="S19" s="148"/>
      <c r="T19" s="100"/>
      <c r="U19" s="100"/>
      <c r="V19" s="152"/>
      <c r="W19" s="153"/>
      <c r="X19" s="154"/>
      <c r="Y19" s="100"/>
      <c r="Z19" s="100"/>
    </row>
    <row r="20" spans="1:26" ht="18" customHeight="1" x14ac:dyDescent="0.15">
      <c r="A20" s="14"/>
      <c r="B20" s="158"/>
      <c r="C20" s="159"/>
      <c r="D20" s="159"/>
      <c r="E20" s="159"/>
      <c r="F20" s="160"/>
      <c r="G20" s="100"/>
      <c r="H20" s="100"/>
      <c r="I20" s="152"/>
      <c r="J20" s="153"/>
      <c r="K20" s="154"/>
      <c r="L20" s="100"/>
      <c r="M20" s="100"/>
      <c r="N20" s="146"/>
      <c r="O20" s="147"/>
      <c r="P20" s="147"/>
      <c r="Q20" s="147"/>
      <c r="R20" s="147"/>
      <c r="S20" s="148"/>
      <c r="T20" s="100"/>
      <c r="U20" s="100"/>
      <c r="V20" s="152"/>
      <c r="W20" s="153"/>
      <c r="X20" s="154"/>
      <c r="Y20" s="100"/>
      <c r="Z20" s="100"/>
    </row>
    <row r="21" spans="1:26" ht="18" customHeight="1" x14ac:dyDescent="0.15">
      <c r="A21" s="25"/>
      <c r="B21" s="158"/>
      <c r="C21" s="159"/>
      <c r="D21" s="159"/>
      <c r="E21" s="159"/>
      <c r="F21" s="160"/>
      <c r="G21" s="100"/>
      <c r="H21" s="100"/>
      <c r="I21" s="152"/>
      <c r="J21" s="153"/>
      <c r="K21" s="154"/>
      <c r="L21" s="100"/>
      <c r="M21" s="100"/>
      <c r="N21" s="146"/>
      <c r="O21" s="147"/>
      <c r="P21" s="147"/>
      <c r="Q21" s="147"/>
      <c r="R21" s="147"/>
      <c r="S21" s="148"/>
      <c r="T21" s="100"/>
      <c r="U21" s="100"/>
      <c r="V21" s="152"/>
      <c r="W21" s="153"/>
      <c r="X21" s="154"/>
      <c r="Y21" s="100"/>
      <c r="Z21" s="100"/>
    </row>
    <row r="22" spans="1:26" ht="18" customHeight="1" x14ac:dyDescent="0.15">
      <c r="A22" s="25"/>
      <c r="B22" s="161"/>
      <c r="C22" s="162"/>
      <c r="D22" s="162"/>
      <c r="E22" s="162"/>
      <c r="F22" s="163"/>
      <c r="G22" s="101"/>
      <c r="H22" s="101"/>
      <c r="I22" s="155"/>
      <c r="J22" s="156"/>
      <c r="K22" s="157"/>
      <c r="L22" s="106"/>
      <c r="M22" s="106"/>
      <c r="N22" s="149"/>
      <c r="O22" s="150"/>
      <c r="P22" s="150"/>
      <c r="Q22" s="150"/>
      <c r="R22" s="150"/>
      <c r="S22" s="151"/>
      <c r="T22" s="101"/>
      <c r="U22" s="101"/>
      <c r="V22" s="155"/>
      <c r="W22" s="156"/>
      <c r="X22" s="157"/>
      <c r="Y22" s="106"/>
      <c r="Z22" s="106"/>
    </row>
    <row r="23" spans="1:26" ht="7.5" customHeight="1" x14ac:dyDescent="0.15">
      <c r="A23" s="25"/>
      <c r="B23" s="29"/>
      <c r="C23" s="29"/>
      <c r="D23" s="25"/>
      <c r="E23" s="25"/>
      <c r="F23" s="25"/>
      <c r="G23" s="25"/>
      <c r="H23" s="25"/>
      <c r="I23" s="25"/>
      <c r="J23" s="25"/>
      <c r="K23" s="25"/>
      <c r="L23" s="29"/>
      <c r="M23" s="29"/>
      <c r="N23" s="29"/>
      <c r="O23" s="29"/>
      <c r="P23" s="29"/>
      <c r="Q23" s="29"/>
      <c r="R23" s="29"/>
      <c r="S23" s="29"/>
      <c r="T23" s="29"/>
      <c r="U23" s="29"/>
      <c r="V23" s="29"/>
      <c r="W23" s="29"/>
      <c r="X23" s="29"/>
      <c r="Y23" s="29"/>
      <c r="Z23" s="25"/>
    </row>
    <row r="24" spans="1:26" ht="18" customHeight="1" x14ac:dyDescent="0.15">
      <c r="A24" s="198" t="s">
        <v>85</v>
      </c>
      <c r="B24" s="198"/>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spans="1:26" ht="18" customHeight="1" x14ac:dyDescent="0.15">
      <c r="A25" s="198"/>
      <c r="B25" s="198"/>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row>
    <row r="26" spans="1:26" ht="18" customHeight="1" x14ac:dyDescent="0.15">
      <c r="A26" s="14"/>
      <c r="B26" s="117" t="s">
        <v>74</v>
      </c>
      <c r="C26" s="118"/>
      <c r="D26" s="118"/>
      <c r="E26" s="118"/>
      <c r="F26" s="119"/>
      <c r="G26" s="26" t="s">
        <v>75</v>
      </c>
      <c r="H26" s="98" t="s">
        <v>76</v>
      </c>
      <c r="I26" s="118" t="s">
        <v>77</v>
      </c>
      <c r="J26" s="118"/>
      <c r="K26" s="118"/>
      <c r="L26" s="65" t="s">
        <v>86</v>
      </c>
      <c r="M26" s="65" t="s">
        <v>87</v>
      </c>
      <c r="N26" s="117" t="s">
        <v>74</v>
      </c>
      <c r="O26" s="118"/>
      <c r="P26" s="118"/>
      <c r="Q26" s="118"/>
      <c r="R26" s="118"/>
      <c r="S26" s="119"/>
      <c r="T26" s="26" t="s">
        <v>75</v>
      </c>
      <c r="U26" s="98" t="s">
        <v>76</v>
      </c>
      <c r="V26" s="118" t="s">
        <v>77</v>
      </c>
      <c r="W26" s="118"/>
      <c r="X26" s="118"/>
      <c r="Y26" s="65" t="s">
        <v>86</v>
      </c>
      <c r="Z26" s="65" t="s">
        <v>87</v>
      </c>
    </row>
    <row r="27" spans="1:26" ht="18" customHeight="1" x14ac:dyDescent="0.15">
      <c r="A27" s="14"/>
      <c r="B27" s="165" t="s">
        <v>188</v>
      </c>
      <c r="C27" s="166"/>
      <c r="D27" s="166"/>
      <c r="E27" s="166"/>
      <c r="F27" s="167"/>
      <c r="G27" s="99">
        <v>2</v>
      </c>
      <c r="H27" s="99" t="s">
        <v>81</v>
      </c>
      <c r="I27" s="171" t="s">
        <v>82</v>
      </c>
      <c r="J27" s="172"/>
      <c r="K27" s="173"/>
      <c r="L27" s="99" t="s">
        <v>81</v>
      </c>
      <c r="M27" s="99" t="s">
        <v>81</v>
      </c>
      <c r="N27" s="143"/>
      <c r="O27" s="144"/>
      <c r="P27" s="144"/>
      <c r="Q27" s="144"/>
      <c r="R27" s="144"/>
      <c r="S27" s="145"/>
      <c r="T27" s="99"/>
      <c r="U27" s="99"/>
      <c r="V27" s="171"/>
      <c r="W27" s="172"/>
      <c r="X27" s="173"/>
      <c r="Y27" s="99"/>
      <c r="Z27" s="99"/>
    </row>
    <row r="28" spans="1:26" ht="18" customHeight="1" x14ac:dyDescent="0.15">
      <c r="A28" s="14"/>
      <c r="B28" s="158" t="s">
        <v>83</v>
      </c>
      <c r="C28" s="159"/>
      <c r="D28" s="159"/>
      <c r="E28" s="159"/>
      <c r="F28" s="160"/>
      <c r="G28" s="100">
        <v>1</v>
      </c>
      <c r="H28" s="100" t="s">
        <v>81</v>
      </c>
      <c r="I28" s="152" t="s">
        <v>84</v>
      </c>
      <c r="J28" s="153"/>
      <c r="K28" s="154"/>
      <c r="L28" s="100" t="s">
        <v>81</v>
      </c>
      <c r="M28" s="100" t="s">
        <v>81</v>
      </c>
      <c r="N28" s="146"/>
      <c r="O28" s="147"/>
      <c r="P28" s="147"/>
      <c r="Q28" s="147"/>
      <c r="R28" s="147"/>
      <c r="S28" s="148"/>
      <c r="T28" s="100"/>
      <c r="U28" s="100"/>
      <c r="V28" s="152"/>
      <c r="W28" s="153"/>
      <c r="X28" s="154"/>
      <c r="Y28" s="100"/>
      <c r="Z28" s="100"/>
    </row>
    <row r="29" spans="1:26" ht="18" customHeight="1" x14ac:dyDescent="0.15">
      <c r="A29" s="14"/>
      <c r="B29" s="158"/>
      <c r="C29" s="159"/>
      <c r="D29" s="159"/>
      <c r="E29" s="159"/>
      <c r="F29" s="160"/>
      <c r="G29" s="100"/>
      <c r="H29" s="100"/>
      <c r="I29" s="152"/>
      <c r="J29" s="153"/>
      <c r="K29" s="154"/>
      <c r="L29" s="100"/>
      <c r="M29" s="100"/>
      <c r="N29" s="146"/>
      <c r="O29" s="147"/>
      <c r="P29" s="147"/>
      <c r="Q29" s="147"/>
      <c r="R29" s="147"/>
      <c r="S29" s="148"/>
      <c r="T29" s="100"/>
      <c r="U29" s="100"/>
      <c r="V29" s="152"/>
      <c r="W29" s="153"/>
      <c r="X29" s="154"/>
      <c r="Y29" s="100"/>
      <c r="Z29" s="100"/>
    </row>
    <row r="30" spans="1:26" ht="18" customHeight="1" x14ac:dyDescent="0.15">
      <c r="A30" s="14"/>
      <c r="B30" s="158"/>
      <c r="C30" s="159"/>
      <c r="D30" s="159"/>
      <c r="E30" s="159"/>
      <c r="F30" s="160"/>
      <c r="G30" s="100"/>
      <c r="H30" s="100"/>
      <c r="I30" s="152"/>
      <c r="J30" s="153"/>
      <c r="K30" s="154"/>
      <c r="L30" s="100"/>
      <c r="M30" s="100"/>
      <c r="N30" s="146"/>
      <c r="O30" s="147"/>
      <c r="P30" s="147"/>
      <c r="Q30" s="147"/>
      <c r="R30" s="147"/>
      <c r="S30" s="148"/>
      <c r="T30" s="100"/>
      <c r="U30" s="100"/>
      <c r="V30" s="152"/>
      <c r="W30" s="153"/>
      <c r="X30" s="154"/>
      <c r="Y30" s="100"/>
      <c r="Z30" s="100"/>
    </row>
    <row r="31" spans="1:26" ht="18" customHeight="1" x14ac:dyDescent="0.15">
      <c r="A31" s="14"/>
      <c r="B31" s="158"/>
      <c r="C31" s="159"/>
      <c r="D31" s="159"/>
      <c r="E31" s="159"/>
      <c r="F31" s="160"/>
      <c r="G31" s="100"/>
      <c r="H31" s="100"/>
      <c r="I31" s="152"/>
      <c r="J31" s="153"/>
      <c r="K31" s="154"/>
      <c r="L31" s="100"/>
      <c r="M31" s="100"/>
      <c r="N31" s="146"/>
      <c r="O31" s="147"/>
      <c r="P31" s="147"/>
      <c r="Q31" s="147"/>
      <c r="R31" s="147"/>
      <c r="S31" s="148"/>
      <c r="T31" s="100"/>
      <c r="U31" s="100"/>
      <c r="V31" s="152"/>
      <c r="W31" s="153"/>
      <c r="X31" s="154"/>
      <c r="Y31" s="100"/>
      <c r="Z31" s="100"/>
    </row>
    <row r="32" spans="1:26" ht="18" customHeight="1" x14ac:dyDescent="0.15">
      <c r="A32" s="14"/>
      <c r="B32" s="158"/>
      <c r="C32" s="159"/>
      <c r="D32" s="159"/>
      <c r="E32" s="159"/>
      <c r="F32" s="160"/>
      <c r="G32" s="100"/>
      <c r="H32" s="100"/>
      <c r="I32" s="152"/>
      <c r="J32" s="153"/>
      <c r="K32" s="154"/>
      <c r="L32" s="100"/>
      <c r="M32" s="100"/>
      <c r="N32" s="146"/>
      <c r="O32" s="147"/>
      <c r="P32" s="147"/>
      <c r="Q32" s="147"/>
      <c r="R32" s="147"/>
      <c r="S32" s="148"/>
      <c r="T32" s="100"/>
      <c r="U32" s="100"/>
      <c r="V32" s="152"/>
      <c r="W32" s="153"/>
      <c r="X32" s="154"/>
      <c r="Y32" s="100"/>
      <c r="Z32" s="100"/>
    </row>
    <row r="33" spans="1:26" ht="18" customHeight="1" x14ac:dyDescent="0.15">
      <c r="A33" s="14"/>
      <c r="B33" s="161"/>
      <c r="C33" s="162"/>
      <c r="D33" s="162"/>
      <c r="E33" s="162"/>
      <c r="F33" s="163"/>
      <c r="G33" s="101"/>
      <c r="H33" s="101"/>
      <c r="I33" s="155"/>
      <c r="J33" s="156"/>
      <c r="K33" s="157"/>
      <c r="L33" s="106"/>
      <c r="M33" s="106"/>
      <c r="N33" s="149"/>
      <c r="O33" s="150"/>
      <c r="P33" s="150"/>
      <c r="Q33" s="150"/>
      <c r="R33" s="150"/>
      <c r="S33" s="151"/>
      <c r="T33" s="101"/>
      <c r="U33" s="101"/>
      <c r="V33" s="155"/>
      <c r="W33" s="156"/>
      <c r="X33" s="157"/>
      <c r="Y33" s="106"/>
      <c r="Z33" s="106"/>
    </row>
    <row r="34" spans="1:26" ht="7.5" customHeight="1" x14ac:dyDescent="0.15">
      <c r="A34" s="25"/>
      <c r="B34" s="29"/>
      <c r="C34" s="29"/>
      <c r="D34" s="25"/>
      <c r="E34" s="25"/>
      <c r="F34" s="25"/>
      <c r="G34" s="25"/>
      <c r="H34" s="25"/>
      <c r="I34" s="25"/>
      <c r="J34" s="25"/>
      <c r="K34" s="25"/>
      <c r="L34" s="29"/>
      <c r="M34" s="29"/>
      <c r="N34" s="29"/>
      <c r="O34" s="29"/>
      <c r="P34" s="29"/>
      <c r="Q34" s="29"/>
      <c r="R34" s="29"/>
      <c r="S34" s="29"/>
      <c r="T34" s="29"/>
      <c r="U34" s="29"/>
      <c r="V34" s="29"/>
      <c r="W34" s="29"/>
      <c r="X34" s="29"/>
      <c r="Y34" s="29"/>
      <c r="Z34" s="25"/>
    </row>
    <row r="35" spans="1:26" ht="18" customHeight="1" x14ac:dyDescent="0.15">
      <c r="A35" s="198" t="s">
        <v>88</v>
      </c>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row>
    <row r="36" spans="1:26" ht="18" customHeight="1" x14ac:dyDescent="0.15">
      <c r="A36" s="198"/>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spans="1:26" ht="18" customHeight="1" x14ac:dyDescent="0.15">
      <c r="A37" s="14"/>
      <c r="B37" s="117" t="s">
        <v>74</v>
      </c>
      <c r="C37" s="118"/>
      <c r="D37" s="118"/>
      <c r="E37" s="118"/>
      <c r="F37" s="119"/>
      <c r="G37" s="26" t="s">
        <v>75</v>
      </c>
      <c r="H37" s="98" t="s">
        <v>76</v>
      </c>
      <c r="I37" s="117" t="s">
        <v>77</v>
      </c>
      <c r="J37" s="118"/>
      <c r="K37" s="119"/>
      <c r="L37" s="65" t="s">
        <v>89</v>
      </c>
      <c r="M37" s="65" t="s">
        <v>90</v>
      </c>
      <c r="N37" s="117" t="s">
        <v>74</v>
      </c>
      <c r="O37" s="118"/>
      <c r="P37" s="118"/>
      <c r="Q37" s="118"/>
      <c r="R37" s="118"/>
      <c r="S37" s="119"/>
      <c r="T37" s="26" t="s">
        <v>75</v>
      </c>
      <c r="U37" s="98" t="s">
        <v>76</v>
      </c>
      <c r="V37" s="117" t="s">
        <v>77</v>
      </c>
      <c r="W37" s="118"/>
      <c r="X37" s="119"/>
      <c r="Y37" s="65" t="s">
        <v>89</v>
      </c>
      <c r="Z37" s="65" t="s">
        <v>90</v>
      </c>
    </row>
    <row r="38" spans="1:26" ht="18" customHeight="1" x14ac:dyDescent="0.15">
      <c r="A38" s="25"/>
      <c r="B38" s="165" t="s">
        <v>188</v>
      </c>
      <c r="C38" s="166"/>
      <c r="D38" s="166"/>
      <c r="E38" s="166"/>
      <c r="F38" s="167"/>
      <c r="G38" s="99">
        <v>2</v>
      </c>
      <c r="H38" s="99" t="s">
        <v>81</v>
      </c>
      <c r="I38" s="171" t="s">
        <v>82</v>
      </c>
      <c r="J38" s="172"/>
      <c r="K38" s="173"/>
      <c r="L38" s="99" t="s">
        <v>81</v>
      </c>
      <c r="M38" s="99"/>
      <c r="N38" s="143"/>
      <c r="O38" s="144"/>
      <c r="P38" s="144"/>
      <c r="Q38" s="144"/>
      <c r="R38" s="144"/>
      <c r="S38" s="145"/>
      <c r="T38" s="99"/>
      <c r="U38" s="99"/>
      <c r="V38" s="171"/>
      <c r="W38" s="172"/>
      <c r="X38" s="173"/>
      <c r="Y38" s="99"/>
      <c r="Z38" s="99"/>
    </row>
    <row r="39" spans="1:26" ht="18" customHeight="1" x14ac:dyDescent="0.15">
      <c r="A39" s="25"/>
      <c r="B39" s="158" t="s">
        <v>83</v>
      </c>
      <c r="C39" s="159"/>
      <c r="D39" s="159"/>
      <c r="E39" s="159"/>
      <c r="F39" s="160"/>
      <c r="G39" s="100">
        <v>1</v>
      </c>
      <c r="H39" s="100" t="s">
        <v>81</v>
      </c>
      <c r="I39" s="152" t="s">
        <v>84</v>
      </c>
      <c r="J39" s="153"/>
      <c r="K39" s="154"/>
      <c r="L39" s="100" t="s">
        <v>81</v>
      </c>
      <c r="M39" s="100" t="s">
        <v>81</v>
      </c>
      <c r="N39" s="146"/>
      <c r="O39" s="147"/>
      <c r="P39" s="147"/>
      <c r="Q39" s="147"/>
      <c r="R39" s="147"/>
      <c r="S39" s="148"/>
      <c r="T39" s="100"/>
      <c r="U39" s="100"/>
      <c r="V39" s="152"/>
      <c r="W39" s="153"/>
      <c r="X39" s="154"/>
      <c r="Y39" s="100"/>
      <c r="Z39" s="100"/>
    </row>
    <row r="40" spans="1:26" ht="18" customHeight="1" x14ac:dyDescent="0.15">
      <c r="A40" s="25"/>
      <c r="B40" s="158"/>
      <c r="C40" s="159"/>
      <c r="D40" s="159"/>
      <c r="E40" s="159"/>
      <c r="F40" s="160"/>
      <c r="G40" s="100"/>
      <c r="H40" s="100"/>
      <c r="I40" s="152"/>
      <c r="J40" s="153"/>
      <c r="K40" s="154"/>
      <c r="L40" s="100"/>
      <c r="M40" s="100"/>
      <c r="N40" s="146"/>
      <c r="O40" s="147"/>
      <c r="P40" s="147"/>
      <c r="Q40" s="147"/>
      <c r="R40" s="147"/>
      <c r="S40" s="148"/>
      <c r="T40" s="100"/>
      <c r="U40" s="100"/>
      <c r="V40" s="152"/>
      <c r="W40" s="153"/>
      <c r="X40" s="154"/>
      <c r="Y40" s="100"/>
      <c r="Z40" s="100"/>
    </row>
    <row r="41" spans="1:26" ht="18" customHeight="1" x14ac:dyDescent="0.15">
      <c r="A41" s="25"/>
      <c r="B41" s="158"/>
      <c r="C41" s="159"/>
      <c r="D41" s="159"/>
      <c r="E41" s="159"/>
      <c r="F41" s="160"/>
      <c r="G41" s="100"/>
      <c r="H41" s="100"/>
      <c r="I41" s="152"/>
      <c r="J41" s="153"/>
      <c r="K41" s="154"/>
      <c r="L41" s="100"/>
      <c r="M41" s="100"/>
      <c r="N41" s="146"/>
      <c r="O41" s="147"/>
      <c r="P41" s="147"/>
      <c r="Q41" s="147"/>
      <c r="R41" s="147"/>
      <c r="S41" s="148"/>
      <c r="T41" s="100"/>
      <c r="U41" s="100"/>
      <c r="V41" s="152"/>
      <c r="W41" s="153"/>
      <c r="X41" s="154"/>
      <c r="Y41" s="100"/>
      <c r="Z41" s="100"/>
    </row>
    <row r="42" spans="1:26" ht="18" customHeight="1" x14ac:dyDescent="0.15">
      <c r="A42" s="25"/>
      <c r="B42" s="158"/>
      <c r="C42" s="159"/>
      <c r="D42" s="159"/>
      <c r="E42" s="159"/>
      <c r="F42" s="160"/>
      <c r="G42" s="100"/>
      <c r="H42" s="100"/>
      <c r="I42" s="152"/>
      <c r="J42" s="153"/>
      <c r="K42" s="154"/>
      <c r="L42" s="100"/>
      <c r="M42" s="100"/>
      <c r="N42" s="146"/>
      <c r="O42" s="147"/>
      <c r="P42" s="147"/>
      <c r="Q42" s="147"/>
      <c r="R42" s="147"/>
      <c r="S42" s="148"/>
      <c r="T42" s="100"/>
      <c r="U42" s="100"/>
      <c r="V42" s="152"/>
      <c r="W42" s="153"/>
      <c r="X42" s="154"/>
      <c r="Y42" s="100"/>
      <c r="Z42" s="100"/>
    </row>
    <row r="43" spans="1:26" ht="18" customHeight="1" x14ac:dyDescent="0.15">
      <c r="A43" s="25"/>
      <c r="B43" s="158"/>
      <c r="C43" s="159"/>
      <c r="D43" s="159"/>
      <c r="E43" s="159"/>
      <c r="F43" s="160"/>
      <c r="G43" s="100"/>
      <c r="H43" s="100"/>
      <c r="I43" s="152"/>
      <c r="J43" s="153"/>
      <c r="K43" s="154"/>
      <c r="L43" s="100"/>
      <c r="M43" s="100"/>
      <c r="N43" s="146"/>
      <c r="O43" s="147"/>
      <c r="P43" s="147"/>
      <c r="Q43" s="147"/>
      <c r="R43" s="147"/>
      <c r="S43" s="148"/>
      <c r="T43" s="100"/>
      <c r="U43" s="100"/>
      <c r="V43" s="152"/>
      <c r="W43" s="153"/>
      <c r="X43" s="154"/>
      <c r="Y43" s="100"/>
      <c r="Z43" s="100"/>
    </row>
    <row r="44" spans="1:26" ht="18" customHeight="1" x14ac:dyDescent="0.15">
      <c r="A44" s="25"/>
      <c r="B44" s="161"/>
      <c r="C44" s="162"/>
      <c r="D44" s="162"/>
      <c r="E44" s="162"/>
      <c r="F44" s="163"/>
      <c r="G44" s="101"/>
      <c r="H44" s="101"/>
      <c r="I44" s="155"/>
      <c r="J44" s="156"/>
      <c r="K44" s="157"/>
      <c r="L44" s="106"/>
      <c r="M44" s="106"/>
      <c r="N44" s="149"/>
      <c r="O44" s="150"/>
      <c r="P44" s="150"/>
      <c r="Q44" s="150"/>
      <c r="R44" s="150"/>
      <c r="S44" s="151"/>
      <c r="T44" s="101"/>
      <c r="U44" s="101"/>
      <c r="V44" s="155"/>
      <c r="W44" s="156"/>
      <c r="X44" s="157"/>
      <c r="Y44" s="106"/>
      <c r="Z44" s="106"/>
    </row>
    <row r="45" spans="1:26" ht="7.5" customHeight="1" x14ac:dyDescent="0.15">
      <c r="B45" s="66"/>
      <c r="C45" s="66"/>
      <c r="D45" s="66"/>
      <c r="E45" s="66"/>
      <c r="F45" s="66"/>
      <c r="G45" s="66"/>
      <c r="H45" s="66"/>
      <c r="I45" s="66"/>
      <c r="J45" s="66"/>
      <c r="K45" s="66"/>
      <c r="L45" s="66"/>
      <c r="M45" s="66"/>
      <c r="N45" s="66"/>
      <c r="O45" s="66"/>
      <c r="P45" s="66"/>
      <c r="Q45" s="66"/>
      <c r="R45" s="66"/>
      <c r="S45" s="66"/>
      <c r="T45" s="66"/>
      <c r="U45" s="66"/>
      <c r="V45" s="66"/>
      <c r="W45" s="66"/>
      <c r="X45" s="66"/>
      <c r="Y45" s="66"/>
    </row>
    <row r="46" spans="1:26" ht="18" customHeight="1" x14ac:dyDescent="0.15">
      <c r="A46" s="198" t="s">
        <v>91</v>
      </c>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spans="1:26" ht="18" customHeight="1" x14ac:dyDescent="0.15">
      <c r="A47" s="198"/>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spans="1:26" ht="18" customHeight="1" x14ac:dyDescent="0.15">
      <c r="A48" s="14"/>
      <c r="B48" s="117" t="s">
        <v>74</v>
      </c>
      <c r="C48" s="118"/>
      <c r="D48" s="118"/>
      <c r="E48" s="118"/>
      <c r="F48" s="119"/>
      <c r="G48" s="26" t="s">
        <v>75</v>
      </c>
      <c r="H48" s="98" t="s">
        <v>76</v>
      </c>
      <c r="I48" s="117" t="s">
        <v>77</v>
      </c>
      <c r="J48" s="118"/>
      <c r="K48" s="119"/>
      <c r="L48" s="65" t="s">
        <v>92</v>
      </c>
      <c r="M48" s="65" t="s">
        <v>93</v>
      </c>
      <c r="N48" s="117" t="s">
        <v>74</v>
      </c>
      <c r="O48" s="118"/>
      <c r="P48" s="118"/>
      <c r="Q48" s="118"/>
      <c r="R48" s="118"/>
      <c r="S48" s="119"/>
      <c r="T48" s="26" t="s">
        <v>75</v>
      </c>
      <c r="U48" s="98" t="s">
        <v>76</v>
      </c>
      <c r="V48" s="117" t="s">
        <v>77</v>
      </c>
      <c r="W48" s="118"/>
      <c r="X48" s="119"/>
      <c r="Y48" s="65" t="s">
        <v>92</v>
      </c>
      <c r="Z48" s="65" t="s">
        <v>93</v>
      </c>
    </row>
    <row r="49" spans="1:26" ht="18" customHeight="1" x14ac:dyDescent="0.15">
      <c r="A49" s="25"/>
      <c r="B49" s="165" t="s">
        <v>188</v>
      </c>
      <c r="C49" s="166"/>
      <c r="D49" s="166"/>
      <c r="E49" s="166"/>
      <c r="F49" s="167"/>
      <c r="G49" s="99">
        <v>2</v>
      </c>
      <c r="H49" s="99" t="s">
        <v>81</v>
      </c>
      <c r="I49" s="171" t="s">
        <v>82</v>
      </c>
      <c r="J49" s="172"/>
      <c r="K49" s="173"/>
      <c r="L49" s="99"/>
      <c r="M49" s="99" t="s">
        <v>81</v>
      </c>
      <c r="N49" s="143"/>
      <c r="O49" s="144"/>
      <c r="P49" s="144"/>
      <c r="Q49" s="144"/>
      <c r="R49" s="144"/>
      <c r="S49" s="145"/>
      <c r="T49" s="99"/>
      <c r="U49" s="99"/>
      <c r="V49" s="171"/>
      <c r="W49" s="172"/>
      <c r="X49" s="173"/>
      <c r="Y49" s="99"/>
      <c r="Z49" s="99"/>
    </row>
    <row r="50" spans="1:26" ht="18" customHeight="1" x14ac:dyDescent="0.15">
      <c r="A50" s="25"/>
      <c r="B50" s="158" t="s">
        <v>83</v>
      </c>
      <c r="C50" s="159"/>
      <c r="D50" s="159"/>
      <c r="E50" s="159"/>
      <c r="F50" s="160"/>
      <c r="G50" s="100">
        <v>1</v>
      </c>
      <c r="H50" s="100" t="s">
        <v>81</v>
      </c>
      <c r="I50" s="152" t="s">
        <v>84</v>
      </c>
      <c r="J50" s="153"/>
      <c r="K50" s="154"/>
      <c r="L50" s="100" t="s">
        <v>81</v>
      </c>
      <c r="M50" s="100"/>
      <c r="N50" s="146"/>
      <c r="O50" s="147"/>
      <c r="P50" s="147"/>
      <c r="Q50" s="147"/>
      <c r="R50" s="147"/>
      <c r="S50" s="148"/>
      <c r="T50" s="100"/>
      <c r="U50" s="100"/>
      <c r="V50" s="152"/>
      <c r="W50" s="153"/>
      <c r="X50" s="154"/>
      <c r="Y50" s="100"/>
      <c r="Z50" s="100"/>
    </row>
    <row r="51" spans="1:26" ht="18" customHeight="1" x14ac:dyDescent="0.15">
      <c r="A51" s="25"/>
      <c r="B51" s="158"/>
      <c r="C51" s="159"/>
      <c r="D51" s="159"/>
      <c r="E51" s="159"/>
      <c r="F51" s="160"/>
      <c r="G51" s="100"/>
      <c r="H51" s="100"/>
      <c r="I51" s="152"/>
      <c r="J51" s="153"/>
      <c r="K51" s="154"/>
      <c r="L51" s="100"/>
      <c r="M51" s="100"/>
      <c r="N51" s="146"/>
      <c r="O51" s="147"/>
      <c r="P51" s="147"/>
      <c r="Q51" s="147"/>
      <c r="R51" s="147"/>
      <c r="S51" s="148"/>
      <c r="T51" s="100"/>
      <c r="U51" s="100"/>
      <c r="V51" s="152"/>
      <c r="W51" s="153"/>
      <c r="X51" s="154"/>
      <c r="Y51" s="100"/>
      <c r="Z51" s="100"/>
    </row>
    <row r="52" spans="1:26" ht="18" customHeight="1" x14ac:dyDescent="0.15">
      <c r="A52" s="25"/>
      <c r="B52" s="158"/>
      <c r="C52" s="159"/>
      <c r="D52" s="159"/>
      <c r="E52" s="159"/>
      <c r="F52" s="160"/>
      <c r="G52" s="100"/>
      <c r="H52" s="100"/>
      <c r="I52" s="152"/>
      <c r="J52" s="153"/>
      <c r="K52" s="154"/>
      <c r="L52" s="100"/>
      <c r="M52" s="100"/>
      <c r="N52" s="146"/>
      <c r="O52" s="147"/>
      <c r="P52" s="147"/>
      <c r="Q52" s="147"/>
      <c r="R52" s="147"/>
      <c r="S52" s="148"/>
      <c r="T52" s="100"/>
      <c r="U52" s="100"/>
      <c r="V52" s="152"/>
      <c r="W52" s="153"/>
      <c r="X52" s="154"/>
      <c r="Y52" s="100"/>
      <c r="Z52" s="100"/>
    </row>
    <row r="53" spans="1:26" ht="18" customHeight="1" x14ac:dyDescent="0.15">
      <c r="A53" s="25"/>
      <c r="B53" s="158"/>
      <c r="C53" s="159"/>
      <c r="D53" s="159"/>
      <c r="E53" s="159"/>
      <c r="F53" s="160"/>
      <c r="G53" s="100"/>
      <c r="H53" s="100"/>
      <c r="I53" s="152"/>
      <c r="J53" s="153"/>
      <c r="K53" s="154"/>
      <c r="L53" s="100"/>
      <c r="M53" s="100"/>
      <c r="N53" s="146"/>
      <c r="O53" s="147"/>
      <c r="P53" s="147"/>
      <c r="Q53" s="147"/>
      <c r="R53" s="147"/>
      <c r="S53" s="148"/>
      <c r="T53" s="100"/>
      <c r="U53" s="100"/>
      <c r="V53" s="152"/>
      <c r="W53" s="153"/>
      <c r="X53" s="154"/>
      <c r="Y53" s="100"/>
      <c r="Z53" s="100"/>
    </row>
    <row r="54" spans="1:26" ht="18" customHeight="1" x14ac:dyDescent="0.15">
      <c r="A54" s="25"/>
      <c r="B54" s="158"/>
      <c r="C54" s="159"/>
      <c r="D54" s="159"/>
      <c r="E54" s="159"/>
      <c r="F54" s="160"/>
      <c r="G54" s="100"/>
      <c r="H54" s="100"/>
      <c r="I54" s="152"/>
      <c r="J54" s="153"/>
      <c r="K54" s="154"/>
      <c r="L54" s="100"/>
      <c r="M54" s="100"/>
      <c r="N54" s="146"/>
      <c r="O54" s="147"/>
      <c r="P54" s="147"/>
      <c r="Q54" s="147"/>
      <c r="R54" s="147"/>
      <c r="S54" s="148"/>
      <c r="T54" s="100"/>
      <c r="U54" s="100"/>
      <c r="V54" s="152"/>
      <c r="W54" s="153"/>
      <c r="X54" s="154"/>
      <c r="Y54" s="100"/>
      <c r="Z54" s="100"/>
    </row>
    <row r="55" spans="1:26" ht="18" customHeight="1" x14ac:dyDescent="0.15">
      <c r="A55" s="25"/>
      <c r="B55" s="161"/>
      <c r="C55" s="162"/>
      <c r="D55" s="162"/>
      <c r="E55" s="162"/>
      <c r="F55" s="163"/>
      <c r="G55" s="101"/>
      <c r="H55" s="101"/>
      <c r="I55" s="155"/>
      <c r="J55" s="156"/>
      <c r="K55" s="157"/>
      <c r="L55" s="106"/>
      <c r="M55" s="106"/>
      <c r="N55" s="149"/>
      <c r="O55" s="150"/>
      <c r="P55" s="150"/>
      <c r="Q55" s="150"/>
      <c r="R55" s="150"/>
      <c r="S55" s="151"/>
      <c r="T55" s="101"/>
      <c r="U55" s="101"/>
      <c r="V55" s="155"/>
      <c r="W55" s="156"/>
      <c r="X55" s="157"/>
      <c r="Y55" s="106"/>
      <c r="Z55" s="106"/>
    </row>
    <row r="56" spans="1:26" ht="7.5" customHeight="1" x14ac:dyDescent="0.15">
      <c r="B56" s="66"/>
      <c r="C56" s="66"/>
      <c r="D56" s="66"/>
      <c r="E56" s="66"/>
      <c r="F56" s="66"/>
      <c r="G56" s="66"/>
      <c r="H56" s="66"/>
      <c r="I56" s="66"/>
      <c r="J56" s="66"/>
      <c r="K56" s="66"/>
      <c r="L56" s="66"/>
      <c r="M56" s="66"/>
      <c r="N56" s="66"/>
      <c r="O56" s="66"/>
      <c r="P56" s="66"/>
      <c r="Q56" s="66"/>
      <c r="R56" s="66"/>
      <c r="S56" s="66"/>
      <c r="T56" s="66"/>
      <c r="U56" s="66"/>
      <c r="V56" s="66"/>
      <c r="W56" s="66"/>
      <c r="X56" s="66"/>
      <c r="Y56" s="66"/>
    </row>
    <row r="57" spans="1:26" ht="18" customHeight="1" x14ac:dyDescent="0.15">
      <c r="A57" s="198" t="s">
        <v>94</v>
      </c>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spans="1:26" ht="18" customHeight="1" x14ac:dyDescent="0.15">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spans="1:26" ht="18" customHeight="1" x14ac:dyDescent="0.15">
      <c r="A59" s="14"/>
      <c r="B59" s="117" t="s">
        <v>74</v>
      </c>
      <c r="C59" s="118"/>
      <c r="D59" s="118"/>
      <c r="E59" s="119"/>
      <c r="F59" s="26" t="s">
        <v>75</v>
      </c>
      <c r="G59" s="98" t="s">
        <v>76</v>
      </c>
      <c r="H59" s="22" t="s">
        <v>77</v>
      </c>
      <c r="I59" s="95"/>
      <c r="J59" s="23"/>
      <c r="K59" s="65" t="s">
        <v>95</v>
      </c>
      <c r="L59" s="65" t="s">
        <v>96</v>
      </c>
      <c r="M59" s="65" t="s">
        <v>97</v>
      </c>
      <c r="N59" s="117" t="s">
        <v>74</v>
      </c>
      <c r="O59" s="118"/>
      <c r="P59" s="118"/>
      <c r="Q59" s="118"/>
      <c r="R59" s="119"/>
      <c r="S59" s="26" t="s">
        <v>75</v>
      </c>
      <c r="T59" s="98" t="s">
        <v>76</v>
      </c>
      <c r="U59" s="22" t="s">
        <v>77</v>
      </c>
      <c r="V59" s="95"/>
      <c r="W59" s="23"/>
      <c r="X59" s="65" t="s">
        <v>95</v>
      </c>
      <c r="Y59" s="65" t="s">
        <v>96</v>
      </c>
      <c r="Z59" s="65" t="s">
        <v>97</v>
      </c>
    </row>
    <row r="60" spans="1:26" ht="18" customHeight="1" x14ac:dyDescent="0.15">
      <c r="A60" s="25"/>
      <c r="B60" s="143" t="s">
        <v>189</v>
      </c>
      <c r="C60" s="144"/>
      <c r="D60" s="144"/>
      <c r="E60" s="145"/>
      <c r="F60" s="99">
        <v>2</v>
      </c>
      <c r="G60" s="99" t="s">
        <v>81</v>
      </c>
      <c r="H60" s="171" t="s">
        <v>82</v>
      </c>
      <c r="I60" s="172"/>
      <c r="J60" s="173"/>
      <c r="K60" s="99" t="s">
        <v>81</v>
      </c>
      <c r="L60" s="99" t="s">
        <v>81</v>
      </c>
      <c r="M60" s="99" t="s">
        <v>81</v>
      </c>
      <c r="N60" s="143"/>
      <c r="O60" s="144"/>
      <c r="P60" s="144"/>
      <c r="Q60" s="144"/>
      <c r="R60" s="145"/>
      <c r="S60" s="99"/>
      <c r="T60" s="99"/>
      <c r="U60" s="171"/>
      <c r="V60" s="172"/>
      <c r="W60" s="173"/>
      <c r="X60" s="105"/>
      <c r="Y60" s="99"/>
      <c r="Z60" s="99"/>
    </row>
    <row r="61" spans="1:26" ht="18" customHeight="1" x14ac:dyDescent="0.15">
      <c r="A61" s="25"/>
      <c r="B61" s="146" t="s">
        <v>190</v>
      </c>
      <c r="C61" s="147"/>
      <c r="D61" s="147"/>
      <c r="E61" s="148"/>
      <c r="F61" s="100">
        <v>2</v>
      </c>
      <c r="G61" s="100" t="s">
        <v>81</v>
      </c>
      <c r="H61" s="152" t="s">
        <v>82</v>
      </c>
      <c r="I61" s="153"/>
      <c r="J61" s="154"/>
      <c r="K61" s="100"/>
      <c r="L61" s="100"/>
      <c r="M61" s="100" t="s">
        <v>81</v>
      </c>
      <c r="N61" s="146"/>
      <c r="O61" s="147"/>
      <c r="P61" s="147"/>
      <c r="Q61" s="147"/>
      <c r="R61" s="148"/>
      <c r="S61" s="100"/>
      <c r="T61" s="100"/>
      <c r="U61" s="152"/>
      <c r="V61" s="153"/>
      <c r="W61" s="154"/>
      <c r="X61" s="103"/>
      <c r="Y61" s="100"/>
      <c r="Z61" s="100"/>
    </row>
    <row r="62" spans="1:26" ht="18" customHeight="1" x14ac:dyDescent="0.15">
      <c r="A62" s="25"/>
      <c r="B62" s="146"/>
      <c r="C62" s="147"/>
      <c r="D62" s="147"/>
      <c r="E62" s="148"/>
      <c r="F62" s="100"/>
      <c r="G62" s="100"/>
      <c r="H62" s="152"/>
      <c r="I62" s="153"/>
      <c r="J62" s="154"/>
      <c r="K62" s="100"/>
      <c r="L62" s="100"/>
      <c r="M62" s="100"/>
      <c r="N62" s="146"/>
      <c r="O62" s="147"/>
      <c r="P62" s="147"/>
      <c r="Q62" s="147"/>
      <c r="R62" s="148"/>
      <c r="S62" s="100"/>
      <c r="T62" s="100"/>
      <c r="U62" s="152"/>
      <c r="V62" s="153"/>
      <c r="W62" s="154"/>
      <c r="X62" s="103"/>
      <c r="Y62" s="100"/>
      <c r="Z62" s="100"/>
    </row>
    <row r="63" spans="1:26" ht="18" customHeight="1" x14ac:dyDescent="0.15">
      <c r="A63" s="25"/>
      <c r="B63" s="146"/>
      <c r="C63" s="147"/>
      <c r="D63" s="147"/>
      <c r="E63" s="148"/>
      <c r="F63" s="100"/>
      <c r="G63" s="100"/>
      <c r="H63" s="152"/>
      <c r="I63" s="153"/>
      <c r="J63" s="154"/>
      <c r="K63" s="103"/>
      <c r="L63" s="100"/>
      <c r="M63" s="100"/>
      <c r="N63" s="146"/>
      <c r="O63" s="147"/>
      <c r="P63" s="147"/>
      <c r="Q63" s="147"/>
      <c r="R63" s="148"/>
      <c r="S63" s="100"/>
      <c r="T63" s="100"/>
      <c r="U63" s="152"/>
      <c r="V63" s="153"/>
      <c r="W63" s="154"/>
      <c r="X63" s="103"/>
      <c r="Y63" s="100"/>
      <c r="Z63" s="100"/>
    </row>
    <row r="64" spans="1:26" ht="18" customHeight="1" x14ac:dyDescent="0.15">
      <c r="A64" s="25"/>
      <c r="B64" s="146"/>
      <c r="C64" s="147"/>
      <c r="D64" s="147"/>
      <c r="E64" s="148"/>
      <c r="F64" s="100"/>
      <c r="G64" s="100"/>
      <c r="H64" s="152"/>
      <c r="I64" s="153"/>
      <c r="J64" s="154"/>
      <c r="K64" s="103"/>
      <c r="L64" s="100"/>
      <c r="M64" s="100"/>
      <c r="N64" s="146"/>
      <c r="O64" s="147"/>
      <c r="P64" s="147"/>
      <c r="Q64" s="147"/>
      <c r="R64" s="148"/>
      <c r="S64" s="100"/>
      <c r="T64" s="100"/>
      <c r="U64" s="152"/>
      <c r="V64" s="153"/>
      <c r="W64" s="154"/>
      <c r="X64" s="103"/>
      <c r="Y64" s="100"/>
      <c r="Z64" s="100"/>
    </row>
    <row r="65" spans="1:26" ht="18" customHeight="1" x14ac:dyDescent="0.15">
      <c r="A65" s="25"/>
      <c r="B65" s="146"/>
      <c r="C65" s="147"/>
      <c r="D65" s="147"/>
      <c r="E65" s="148"/>
      <c r="F65" s="100"/>
      <c r="G65" s="100"/>
      <c r="H65" s="152"/>
      <c r="I65" s="153"/>
      <c r="J65" s="154"/>
      <c r="K65" s="103"/>
      <c r="L65" s="100"/>
      <c r="M65" s="100"/>
      <c r="N65" s="146"/>
      <c r="O65" s="147"/>
      <c r="P65" s="147"/>
      <c r="Q65" s="147"/>
      <c r="R65" s="148"/>
      <c r="S65" s="100"/>
      <c r="T65" s="100"/>
      <c r="U65" s="152"/>
      <c r="V65" s="153"/>
      <c r="W65" s="154"/>
      <c r="X65" s="103"/>
      <c r="Y65" s="100"/>
      <c r="Z65" s="100"/>
    </row>
    <row r="66" spans="1:26" ht="18" customHeight="1" x14ac:dyDescent="0.15">
      <c r="A66" s="25"/>
      <c r="B66" s="149"/>
      <c r="C66" s="150"/>
      <c r="D66" s="150"/>
      <c r="E66" s="151"/>
      <c r="F66" s="101"/>
      <c r="G66" s="101"/>
      <c r="H66" s="155"/>
      <c r="I66" s="156"/>
      <c r="J66" s="157"/>
      <c r="K66" s="104"/>
      <c r="L66" s="106"/>
      <c r="M66" s="106"/>
      <c r="N66" s="149"/>
      <c r="O66" s="150"/>
      <c r="P66" s="150"/>
      <c r="Q66" s="150"/>
      <c r="R66" s="151"/>
      <c r="S66" s="101"/>
      <c r="T66" s="101"/>
      <c r="U66" s="155"/>
      <c r="V66" s="156"/>
      <c r="W66" s="157"/>
      <c r="X66" s="104"/>
      <c r="Y66" s="106"/>
      <c r="Z66" s="106"/>
    </row>
    <row r="67" spans="1:26" ht="7.5" customHeight="1" x14ac:dyDescent="0.15">
      <c r="B67" s="66"/>
      <c r="C67" s="66"/>
      <c r="D67" s="66"/>
      <c r="E67" s="66"/>
      <c r="F67" s="66"/>
      <c r="G67" s="66"/>
      <c r="H67" s="66"/>
      <c r="I67" s="66"/>
      <c r="J67" s="66"/>
      <c r="K67" s="66"/>
      <c r="L67" s="66"/>
      <c r="M67" s="66"/>
      <c r="N67" s="66"/>
      <c r="O67" s="66"/>
      <c r="P67" s="66"/>
      <c r="Q67" s="66"/>
      <c r="R67" s="66"/>
      <c r="S67" s="66"/>
      <c r="T67" s="66"/>
      <c r="U67" s="66"/>
      <c r="V67" s="66"/>
      <c r="W67" s="66"/>
      <c r="X67" s="66"/>
      <c r="Y67" s="66"/>
    </row>
    <row r="68" spans="1:26" ht="18" customHeight="1" x14ac:dyDescent="0.15">
      <c r="A68" s="14" t="s">
        <v>100</v>
      </c>
      <c r="B68" s="14"/>
      <c r="C68" s="14"/>
      <c r="D68" s="14"/>
      <c r="E68" s="14"/>
      <c r="F68" s="14"/>
      <c r="G68" s="14"/>
      <c r="H68" s="14"/>
      <c r="I68" s="14"/>
      <c r="J68" s="14"/>
      <c r="K68" s="14"/>
      <c r="L68" s="25"/>
      <c r="M68" s="25"/>
      <c r="N68" s="25"/>
      <c r="O68" s="25"/>
      <c r="P68" s="25"/>
      <c r="Q68" s="25"/>
      <c r="R68" s="25"/>
      <c r="S68" s="25"/>
      <c r="T68" s="25"/>
      <c r="U68" s="25"/>
      <c r="V68" s="25"/>
      <c r="W68" s="25"/>
      <c r="X68" s="25"/>
      <c r="Y68" s="25"/>
      <c r="Z68" s="25"/>
    </row>
    <row r="69" spans="1:26" ht="18" customHeight="1" x14ac:dyDescent="0.15">
      <c r="A69" s="14"/>
      <c r="B69" s="117" t="s">
        <v>74</v>
      </c>
      <c r="C69" s="118"/>
      <c r="D69" s="118"/>
      <c r="E69" s="118"/>
      <c r="F69" s="119"/>
      <c r="G69" s="117" t="s">
        <v>101</v>
      </c>
      <c r="H69" s="118"/>
      <c r="I69" s="118"/>
      <c r="J69" s="118"/>
      <c r="K69" s="118"/>
      <c r="L69" s="118"/>
      <c r="M69" s="119"/>
      <c r="N69" s="168" t="s">
        <v>74</v>
      </c>
      <c r="O69" s="169"/>
      <c r="P69" s="169"/>
      <c r="Q69" s="169"/>
      <c r="R69" s="169"/>
      <c r="S69" s="170"/>
      <c r="T69" s="117" t="s">
        <v>101</v>
      </c>
      <c r="U69" s="118"/>
      <c r="V69" s="118"/>
      <c r="W69" s="118"/>
      <c r="X69" s="118"/>
      <c r="Y69" s="118"/>
      <c r="Z69" s="119"/>
    </row>
    <row r="70" spans="1:26" ht="18" customHeight="1" x14ac:dyDescent="0.15">
      <c r="A70" s="25"/>
      <c r="B70" s="143" t="s">
        <v>102</v>
      </c>
      <c r="C70" s="144"/>
      <c r="D70" s="144"/>
      <c r="E70" s="144"/>
      <c r="F70" s="145"/>
      <c r="G70" s="165" t="s">
        <v>103</v>
      </c>
      <c r="H70" s="166"/>
      <c r="I70" s="166"/>
      <c r="J70" s="166"/>
      <c r="K70" s="166"/>
      <c r="L70" s="166"/>
      <c r="M70" s="167"/>
      <c r="N70" s="143"/>
      <c r="O70" s="144"/>
      <c r="P70" s="144"/>
      <c r="Q70" s="144"/>
      <c r="R70" s="144"/>
      <c r="S70" s="145"/>
      <c r="T70" s="209"/>
      <c r="U70" s="210"/>
      <c r="V70" s="210"/>
      <c r="W70" s="210"/>
      <c r="X70" s="210"/>
      <c r="Y70" s="210"/>
      <c r="Z70" s="211"/>
    </row>
    <row r="71" spans="1:26" ht="18" customHeight="1" x14ac:dyDescent="0.15">
      <c r="A71" s="25"/>
      <c r="B71" s="146" t="s">
        <v>191</v>
      </c>
      <c r="C71" s="147"/>
      <c r="D71" s="147"/>
      <c r="E71" s="147"/>
      <c r="F71" s="148"/>
      <c r="G71" s="158" t="s">
        <v>105</v>
      </c>
      <c r="H71" s="159"/>
      <c r="I71" s="159"/>
      <c r="J71" s="159"/>
      <c r="K71" s="159"/>
      <c r="L71" s="159"/>
      <c r="M71" s="160"/>
      <c r="N71" s="146"/>
      <c r="O71" s="147"/>
      <c r="P71" s="147"/>
      <c r="Q71" s="147"/>
      <c r="R71" s="147"/>
      <c r="S71" s="148"/>
      <c r="T71" s="189"/>
      <c r="U71" s="190"/>
      <c r="V71" s="190"/>
      <c r="W71" s="190"/>
      <c r="X71" s="190"/>
      <c r="Y71" s="190"/>
      <c r="Z71" s="191"/>
    </row>
    <row r="72" spans="1:26" ht="18" customHeight="1" x14ac:dyDescent="0.15">
      <c r="A72" s="25"/>
      <c r="B72" s="146" t="s">
        <v>191</v>
      </c>
      <c r="C72" s="147"/>
      <c r="D72" s="147"/>
      <c r="E72" s="147"/>
      <c r="F72" s="148"/>
      <c r="G72" s="158" t="s">
        <v>106</v>
      </c>
      <c r="H72" s="159"/>
      <c r="I72" s="159"/>
      <c r="J72" s="159"/>
      <c r="K72" s="159"/>
      <c r="L72" s="159"/>
      <c r="M72" s="160"/>
      <c r="N72" s="146"/>
      <c r="O72" s="147"/>
      <c r="P72" s="147"/>
      <c r="Q72" s="147"/>
      <c r="R72" s="147"/>
      <c r="S72" s="148"/>
      <c r="T72" s="189"/>
      <c r="U72" s="190"/>
      <c r="V72" s="190"/>
      <c r="W72" s="190"/>
      <c r="X72" s="190"/>
      <c r="Y72" s="190"/>
      <c r="Z72" s="191"/>
    </row>
    <row r="73" spans="1:26" ht="18" customHeight="1" x14ac:dyDescent="0.15">
      <c r="A73" s="25"/>
      <c r="B73" s="146"/>
      <c r="C73" s="147"/>
      <c r="D73" s="147"/>
      <c r="E73" s="147"/>
      <c r="F73" s="148"/>
      <c r="G73" s="189"/>
      <c r="H73" s="190"/>
      <c r="I73" s="190"/>
      <c r="J73" s="190"/>
      <c r="K73" s="190"/>
      <c r="L73" s="190"/>
      <c r="M73" s="191"/>
      <c r="N73" s="146"/>
      <c r="O73" s="147"/>
      <c r="P73" s="147"/>
      <c r="Q73" s="147"/>
      <c r="R73" s="147"/>
      <c r="S73" s="148"/>
      <c r="T73" s="189"/>
      <c r="U73" s="190"/>
      <c r="V73" s="190"/>
      <c r="W73" s="190"/>
      <c r="X73" s="190"/>
      <c r="Y73" s="190"/>
      <c r="Z73" s="191"/>
    </row>
    <row r="74" spans="1:26" ht="18" customHeight="1" x14ac:dyDescent="0.15">
      <c r="A74" s="25"/>
      <c r="B74" s="146"/>
      <c r="C74" s="147"/>
      <c r="D74" s="147"/>
      <c r="E74" s="147"/>
      <c r="F74" s="148"/>
      <c r="G74" s="189"/>
      <c r="H74" s="190"/>
      <c r="I74" s="190"/>
      <c r="J74" s="190"/>
      <c r="K74" s="190"/>
      <c r="L74" s="190"/>
      <c r="M74" s="191"/>
      <c r="N74" s="146"/>
      <c r="O74" s="147"/>
      <c r="P74" s="147"/>
      <c r="Q74" s="147"/>
      <c r="R74" s="147"/>
      <c r="S74" s="148"/>
      <c r="T74" s="189"/>
      <c r="U74" s="190"/>
      <c r="V74" s="190"/>
      <c r="W74" s="190"/>
      <c r="X74" s="190"/>
      <c r="Y74" s="190"/>
      <c r="Z74" s="191"/>
    </row>
    <row r="75" spans="1:26" ht="18" customHeight="1" x14ac:dyDescent="0.15">
      <c r="A75" s="25"/>
      <c r="B75" s="146"/>
      <c r="C75" s="147"/>
      <c r="D75" s="147"/>
      <c r="E75" s="147"/>
      <c r="F75" s="148"/>
      <c r="G75" s="189"/>
      <c r="H75" s="190"/>
      <c r="I75" s="190"/>
      <c r="J75" s="190"/>
      <c r="K75" s="190"/>
      <c r="L75" s="190"/>
      <c r="M75" s="191"/>
      <c r="N75" s="146"/>
      <c r="O75" s="147"/>
      <c r="P75" s="147"/>
      <c r="Q75" s="147"/>
      <c r="R75" s="147"/>
      <c r="S75" s="148"/>
      <c r="T75" s="189"/>
      <c r="U75" s="190"/>
      <c r="V75" s="190"/>
      <c r="W75" s="190"/>
      <c r="X75" s="190"/>
      <c r="Y75" s="190"/>
      <c r="Z75" s="191"/>
    </row>
    <row r="76" spans="1:26" ht="18" customHeight="1" x14ac:dyDescent="0.15">
      <c r="A76" s="25"/>
      <c r="B76" s="149"/>
      <c r="C76" s="150"/>
      <c r="D76" s="150"/>
      <c r="E76" s="150"/>
      <c r="F76" s="151"/>
      <c r="G76" s="186"/>
      <c r="H76" s="187"/>
      <c r="I76" s="187"/>
      <c r="J76" s="187"/>
      <c r="K76" s="187"/>
      <c r="L76" s="187"/>
      <c r="M76" s="188"/>
      <c r="N76" s="149"/>
      <c r="O76" s="150"/>
      <c r="P76" s="150"/>
      <c r="Q76" s="150"/>
      <c r="R76" s="150"/>
      <c r="S76" s="151"/>
      <c r="T76" s="186"/>
      <c r="U76" s="187"/>
      <c r="V76" s="187"/>
      <c r="W76" s="187"/>
      <c r="X76" s="187"/>
      <c r="Y76" s="187"/>
      <c r="Z76" s="188"/>
    </row>
    <row r="77" spans="1:26" ht="18" customHeight="1" x14ac:dyDescent="0.15">
      <c r="A77" s="25"/>
      <c r="B77" s="29"/>
      <c r="C77" s="29"/>
      <c r="D77" s="29"/>
      <c r="E77" s="29"/>
      <c r="F77" s="29"/>
      <c r="G77" s="12"/>
      <c r="H77" s="12"/>
      <c r="I77" s="12"/>
      <c r="J77" s="12"/>
      <c r="K77" s="12"/>
      <c r="L77" s="12"/>
      <c r="M77" s="12"/>
      <c r="N77" s="29"/>
      <c r="O77" s="29"/>
      <c r="P77" s="29"/>
      <c r="Q77" s="29"/>
      <c r="R77" s="29"/>
      <c r="S77" s="29"/>
      <c r="T77" s="12"/>
      <c r="U77" s="12"/>
      <c r="V77" s="12"/>
      <c r="W77" s="12"/>
      <c r="X77" s="12"/>
      <c r="Y77" s="12"/>
      <c r="Z77" s="12"/>
    </row>
    <row r="78" spans="1:26" ht="18.75" customHeight="1" x14ac:dyDescent="0.15">
      <c r="A78" s="13" t="s">
        <v>107</v>
      </c>
    </row>
    <row r="79" spans="1:26" ht="18.75" customHeight="1" x14ac:dyDescent="0.15">
      <c r="B79" s="67" t="s">
        <v>108</v>
      </c>
      <c r="C79" s="68"/>
      <c r="D79" s="220" t="s">
        <v>109</v>
      </c>
      <c r="E79" s="220"/>
      <c r="F79" s="220"/>
      <c r="G79" s="220"/>
      <c r="H79" s="220"/>
      <c r="I79" s="220"/>
      <c r="J79" s="220"/>
      <c r="K79" s="220"/>
      <c r="L79" s="220"/>
      <c r="M79" s="220"/>
      <c r="N79" s="220"/>
      <c r="O79" s="220"/>
      <c r="P79" s="220"/>
      <c r="Q79" s="220"/>
      <c r="R79" s="220"/>
      <c r="S79" s="220"/>
      <c r="T79" s="220"/>
      <c r="U79" s="220"/>
      <c r="V79" s="220"/>
      <c r="W79" s="220"/>
      <c r="X79" s="220"/>
      <c r="Y79" s="220"/>
      <c r="Z79" s="221"/>
    </row>
    <row r="80" spans="1:26" ht="78" customHeight="1" x14ac:dyDescent="0.15">
      <c r="B80" s="217" t="s">
        <v>137</v>
      </c>
      <c r="C80" s="74" t="s">
        <v>78</v>
      </c>
      <c r="D80" s="192" t="s">
        <v>192</v>
      </c>
      <c r="E80" s="193"/>
      <c r="F80" s="193"/>
      <c r="G80" s="193"/>
      <c r="H80" s="193"/>
      <c r="I80" s="193"/>
      <c r="J80" s="193"/>
      <c r="K80" s="193"/>
      <c r="L80" s="193"/>
      <c r="M80" s="193"/>
      <c r="N80" s="193"/>
      <c r="O80" s="193"/>
      <c r="P80" s="193"/>
      <c r="Q80" s="193"/>
      <c r="R80" s="193"/>
      <c r="S80" s="193"/>
      <c r="T80" s="193"/>
      <c r="U80" s="193"/>
      <c r="V80" s="193"/>
      <c r="W80" s="193"/>
      <c r="X80" s="193"/>
      <c r="Y80" s="193"/>
      <c r="Z80" s="194"/>
    </row>
    <row r="81" spans="1:26" ht="78" customHeight="1" x14ac:dyDescent="0.15">
      <c r="B81" s="218"/>
      <c r="C81" s="96" t="s">
        <v>112</v>
      </c>
      <c r="D81" s="192" t="s">
        <v>193</v>
      </c>
      <c r="E81" s="193"/>
      <c r="F81" s="193"/>
      <c r="G81" s="193"/>
      <c r="H81" s="193"/>
      <c r="I81" s="193"/>
      <c r="J81" s="193"/>
      <c r="K81" s="193"/>
      <c r="L81" s="193"/>
      <c r="M81" s="193"/>
      <c r="N81" s="193"/>
      <c r="O81" s="193"/>
      <c r="P81" s="193"/>
      <c r="Q81" s="193"/>
      <c r="R81" s="193"/>
      <c r="S81" s="193"/>
      <c r="T81" s="193"/>
      <c r="U81" s="193"/>
      <c r="V81" s="193"/>
      <c r="W81" s="193"/>
      <c r="X81" s="193"/>
      <c r="Y81" s="193"/>
      <c r="Z81" s="194"/>
    </row>
    <row r="82" spans="1:26" ht="78" customHeight="1" x14ac:dyDescent="0.15">
      <c r="B82" s="215" t="s">
        <v>140</v>
      </c>
      <c r="C82" s="69" t="s">
        <v>86</v>
      </c>
      <c r="D82" s="195" t="s">
        <v>194</v>
      </c>
      <c r="E82" s="196"/>
      <c r="F82" s="196"/>
      <c r="G82" s="196"/>
      <c r="H82" s="196"/>
      <c r="I82" s="196"/>
      <c r="J82" s="196"/>
      <c r="K82" s="196"/>
      <c r="L82" s="196"/>
      <c r="M82" s="196"/>
      <c r="N82" s="196"/>
      <c r="O82" s="196"/>
      <c r="P82" s="196"/>
      <c r="Q82" s="196"/>
      <c r="R82" s="196"/>
      <c r="S82" s="196"/>
      <c r="T82" s="196"/>
      <c r="U82" s="196"/>
      <c r="V82" s="196"/>
      <c r="W82" s="196"/>
      <c r="X82" s="196"/>
      <c r="Y82" s="196"/>
      <c r="Z82" s="197"/>
    </row>
    <row r="83" spans="1:26" ht="78" customHeight="1" x14ac:dyDescent="0.15">
      <c r="B83" s="216"/>
      <c r="C83" s="97" t="s">
        <v>87</v>
      </c>
      <c r="D83" s="195" t="s">
        <v>195</v>
      </c>
      <c r="E83" s="196"/>
      <c r="F83" s="196"/>
      <c r="G83" s="196"/>
      <c r="H83" s="196"/>
      <c r="I83" s="196"/>
      <c r="J83" s="196"/>
      <c r="K83" s="196"/>
      <c r="L83" s="196"/>
      <c r="M83" s="196"/>
      <c r="N83" s="196"/>
      <c r="O83" s="196"/>
      <c r="P83" s="196"/>
      <c r="Q83" s="196"/>
      <c r="R83" s="196"/>
      <c r="S83" s="196"/>
      <c r="T83" s="196"/>
      <c r="U83" s="196"/>
      <c r="V83" s="196"/>
      <c r="W83" s="196"/>
      <c r="X83" s="196"/>
      <c r="Y83" s="196"/>
      <c r="Z83" s="197"/>
    </row>
    <row r="84" spans="1:26" ht="66" customHeight="1" x14ac:dyDescent="0.15">
      <c r="B84" s="215" t="s">
        <v>143</v>
      </c>
      <c r="C84" s="69" t="s">
        <v>89</v>
      </c>
      <c r="D84" s="195" t="s">
        <v>196</v>
      </c>
      <c r="E84" s="196"/>
      <c r="F84" s="196"/>
      <c r="G84" s="196"/>
      <c r="H84" s="196"/>
      <c r="I84" s="196"/>
      <c r="J84" s="196"/>
      <c r="K84" s="196"/>
      <c r="L84" s="196"/>
      <c r="M84" s="196"/>
      <c r="N84" s="196"/>
      <c r="O84" s="196"/>
      <c r="P84" s="196"/>
      <c r="Q84" s="196"/>
      <c r="R84" s="196"/>
      <c r="S84" s="196"/>
      <c r="T84" s="196"/>
      <c r="U84" s="196"/>
      <c r="V84" s="196"/>
      <c r="W84" s="196"/>
      <c r="X84" s="196"/>
      <c r="Y84" s="196"/>
      <c r="Z84" s="197"/>
    </row>
    <row r="85" spans="1:26" ht="66" customHeight="1" x14ac:dyDescent="0.15">
      <c r="B85" s="216"/>
      <c r="C85" s="71" t="s">
        <v>90</v>
      </c>
      <c r="D85" s="195" t="s">
        <v>164</v>
      </c>
      <c r="E85" s="196"/>
      <c r="F85" s="196"/>
      <c r="G85" s="196"/>
      <c r="H85" s="196"/>
      <c r="I85" s="196"/>
      <c r="J85" s="196"/>
      <c r="K85" s="196"/>
      <c r="L85" s="196"/>
      <c r="M85" s="196"/>
      <c r="N85" s="196"/>
      <c r="O85" s="196"/>
      <c r="P85" s="196"/>
      <c r="Q85" s="196"/>
      <c r="R85" s="196"/>
      <c r="S85" s="196"/>
      <c r="T85" s="196"/>
      <c r="U85" s="196"/>
      <c r="V85" s="196"/>
      <c r="W85" s="196"/>
      <c r="X85" s="196"/>
      <c r="Y85" s="196"/>
      <c r="Z85" s="197"/>
    </row>
    <row r="86" spans="1:26" ht="66" customHeight="1" x14ac:dyDescent="0.15">
      <c r="B86" s="217" t="s">
        <v>146</v>
      </c>
      <c r="C86" s="74" t="s">
        <v>92</v>
      </c>
      <c r="D86" s="192" t="s">
        <v>165</v>
      </c>
      <c r="E86" s="193"/>
      <c r="F86" s="193"/>
      <c r="G86" s="193"/>
      <c r="H86" s="193"/>
      <c r="I86" s="193"/>
      <c r="J86" s="193"/>
      <c r="K86" s="193"/>
      <c r="L86" s="193"/>
      <c r="M86" s="193"/>
      <c r="N86" s="193"/>
      <c r="O86" s="193"/>
      <c r="P86" s="193"/>
      <c r="Q86" s="193"/>
      <c r="R86" s="193"/>
      <c r="S86" s="193"/>
      <c r="T86" s="193"/>
      <c r="U86" s="193"/>
      <c r="V86" s="193"/>
      <c r="W86" s="193"/>
      <c r="X86" s="193"/>
      <c r="Y86" s="193"/>
      <c r="Z86" s="194"/>
    </row>
    <row r="87" spans="1:26" ht="66" customHeight="1" x14ac:dyDescent="0.15">
      <c r="B87" s="219"/>
      <c r="C87" s="70" t="s">
        <v>93</v>
      </c>
      <c r="D87" s="192" t="s">
        <v>197</v>
      </c>
      <c r="E87" s="193"/>
      <c r="F87" s="193"/>
      <c r="G87" s="193"/>
      <c r="H87" s="193"/>
      <c r="I87" s="193"/>
      <c r="J87" s="193"/>
      <c r="K87" s="193"/>
      <c r="L87" s="193"/>
      <c r="M87" s="193"/>
      <c r="N87" s="193"/>
      <c r="O87" s="193"/>
      <c r="P87" s="193"/>
      <c r="Q87" s="193"/>
      <c r="R87" s="193"/>
      <c r="S87" s="193"/>
      <c r="T87" s="193"/>
      <c r="U87" s="193"/>
      <c r="V87" s="193"/>
      <c r="W87" s="193"/>
      <c r="X87" s="193"/>
      <c r="Y87" s="193"/>
      <c r="Z87" s="194"/>
    </row>
    <row r="88" spans="1:26" ht="66" customHeight="1" x14ac:dyDescent="0.15">
      <c r="B88" s="217" t="s">
        <v>149</v>
      </c>
      <c r="C88" s="69" t="s">
        <v>95</v>
      </c>
      <c r="D88" s="236" t="s">
        <v>198</v>
      </c>
      <c r="E88" s="237"/>
      <c r="F88" s="237"/>
      <c r="G88" s="237"/>
      <c r="H88" s="237"/>
      <c r="I88" s="237"/>
      <c r="J88" s="237"/>
      <c r="K88" s="237"/>
      <c r="L88" s="237"/>
      <c r="M88" s="237"/>
      <c r="N88" s="237"/>
      <c r="O88" s="237"/>
      <c r="P88" s="237"/>
      <c r="Q88" s="237"/>
      <c r="R88" s="237"/>
      <c r="S88" s="237"/>
      <c r="T88" s="237"/>
      <c r="U88" s="237"/>
      <c r="V88" s="237"/>
      <c r="W88" s="237"/>
      <c r="X88" s="237"/>
      <c r="Y88" s="237"/>
      <c r="Z88" s="237"/>
    </row>
    <row r="89" spans="1:26" ht="66" customHeight="1" x14ac:dyDescent="0.15">
      <c r="B89" s="218"/>
      <c r="C89" s="70" t="s">
        <v>96</v>
      </c>
      <c r="D89" s="236" t="s">
        <v>199</v>
      </c>
      <c r="E89" s="237"/>
      <c r="F89" s="237"/>
      <c r="G89" s="237"/>
      <c r="H89" s="237"/>
      <c r="I89" s="237"/>
      <c r="J89" s="237"/>
      <c r="K89" s="237"/>
      <c r="L89" s="237"/>
      <c r="M89" s="237"/>
      <c r="N89" s="237"/>
      <c r="O89" s="237"/>
      <c r="P89" s="237"/>
      <c r="Q89" s="237"/>
      <c r="R89" s="237"/>
      <c r="S89" s="237"/>
      <c r="T89" s="237"/>
      <c r="U89" s="237"/>
      <c r="V89" s="237"/>
      <c r="W89" s="237"/>
      <c r="X89" s="237"/>
      <c r="Y89" s="237"/>
      <c r="Z89" s="237"/>
    </row>
    <row r="90" spans="1:26" ht="66" customHeight="1" x14ac:dyDescent="0.15">
      <c r="B90" s="216"/>
      <c r="C90" s="71" t="s">
        <v>97</v>
      </c>
      <c r="D90" s="236" t="s">
        <v>288</v>
      </c>
      <c r="E90" s="237"/>
      <c r="F90" s="237"/>
      <c r="G90" s="237"/>
      <c r="H90" s="237"/>
      <c r="I90" s="237"/>
      <c r="J90" s="237"/>
      <c r="K90" s="237"/>
      <c r="L90" s="237"/>
      <c r="M90" s="237"/>
      <c r="N90" s="237"/>
      <c r="O90" s="237"/>
      <c r="P90" s="237"/>
      <c r="Q90" s="237"/>
      <c r="R90" s="237"/>
      <c r="S90" s="237"/>
      <c r="T90" s="237"/>
      <c r="U90" s="237"/>
      <c r="V90" s="237"/>
      <c r="W90" s="237"/>
      <c r="X90" s="237"/>
      <c r="Y90" s="237"/>
      <c r="Z90" s="238"/>
    </row>
    <row r="91" spans="1:26" ht="6" customHeight="1" x14ac:dyDescent="0.15"/>
    <row r="92" spans="1:26" ht="18.75" customHeight="1" x14ac:dyDescent="0.15">
      <c r="A92" s="13" t="s">
        <v>127</v>
      </c>
    </row>
    <row r="93" spans="1:26" ht="18.75" customHeight="1" x14ac:dyDescent="0.15">
      <c r="B93" s="174" t="s">
        <v>128</v>
      </c>
      <c r="C93" s="175"/>
      <c r="D93" s="175"/>
      <c r="E93" s="175"/>
      <c r="F93" s="175"/>
      <c r="G93" s="175"/>
      <c r="H93" s="175"/>
      <c r="I93" s="175"/>
      <c r="J93" s="175"/>
      <c r="K93" s="175"/>
      <c r="L93" s="175"/>
      <c r="M93" s="175"/>
      <c r="N93" s="175"/>
      <c r="O93" s="175"/>
      <c r="P93" s="175"/>
      <c r="Q93" s="175"/>
      <c r="R93" s="175"/>
      <c r="S93" s="175"/>
      <c r="T93" s="175"/>
      <c r="U93" s="175"/>
      <c r="V93" s="175"/>
      <c r="W93" s="175"/>
      <c r="X93" s="175"/>
      <c r="Y93" s="175"/>
      <c r="Z93" s="176"/>
    </row>
    <row r="94" spans="1:26" ht="18.75" customHeight="1" x14ac:dyDescent="0.15">
      <c r="B94" s="177"/>
      <c r="C94" s="178"/>
      <c r="D94" s="178"/>
      <c r="E94" s="178"/>
      <c r="F94" s="178"/>
      <c r="G94" s="178"/>
      <c r="H94" s="178"/>
      <c r="I94" s="178"/>
      <c r="J94" s="178"/>
      <c r="K94" s="178"/>
      <c r="L94" s="178"/>
      <c r="M94" s="178"/>
      <c r="N94" s="178"/>
      <c r="O94" s="178"/>
      <c r="P94" s="178"/>
      <c r="Q94" s="178"/>
      <c r="R94" s="178"/>
      <c r="S94" s="178"/>
      <c r="T94" s="178"/>
      <c r="U94" s="178"/>
      <c r="V94" s="178"/>
      <c r="W94" s="178"/>
      <c r="X94" s="178"/>
      <c r="Y94" s="178"/>
      <c r="Z94" s="179"/>
    </row>
    <row r="95" spans="1:26" ht="18.75" customHeight="1" x14ac:dyDescent="0.15">
      <c r="B95" s="180"/>
      <c r="C95" s="181"/>
      <c r="D95" s="181"/>
      <c r="E95" s="181"/>
      <c r="F95" s="181"/>
      <c r="G95" s="181"/>
      <c r="H95" s="181"/>
      <c r="I95" s="181"/>
      <c r="J95" s="181"/>
      <c r="K95" s="181"/>
      <c r="L95" s="181"/>
      <c r="M95" s="181"/>
      <c r="N95" s="181"/>
      <c r="O95" s="181"/>
      <c r="P95" s="181"/>
      <c r="Q95" s="181"/>
      <c r="R95" s="181"/>
      <c r="S95" s="181"/>
      <c r="T95" s="181"/>
      <c r="U95" s="181"/>
      <c r="V95" s="181"/>
      <c r="W95" s="181"/>
      <c r="X95" s="181"/>
      <c r="Y95" s="181"/>
      <c r="Z95" s="182"/>
    </row>
    <row r="96" spans="1:26" ht="6" customHeight="1" x14ac:dyDescent="0.15"/>
    <row r="97" spans="1:26" ht="15" customHeight="1" x14ac:dyDescent="0.15">
      <c r="A97" s="13" t="s">
        <v>129</v>
      </c>
    </row>
    <row r="98" spans="1:26" ht="15" customHeight="1" x14ac:dyDescent="0.15">
      <c r="B98" s="222" t="str">
        <f>'様式２-1　プログラムを構成する授業科目（M）'!B98</f>
        <v>https://www.fukui-nct.ac.jp/mext_mathdsai/</v>
      </c>
      <c r="C98" s="223"/>
      <c r="D98" s="223"/>
      <c r="E98" s="223"/>
      <c r="F98" s="223"/>
      <c r="G98" s="223"/>
      <c r="H98" s="223"/>
      <c r="I98" s="223"/>
      <c r="J98" s="223"/>
      <c r="K98" s="223"/>
      <c r="L98" s="223"/>
      <c r="M98" s="223"/>
      <c r="N98" s="223"/>
      <c r="O98" s="223"/>
      <c r="P98" s="223"/>
      <c r="Q98" s="223"/>
      <c r="R98" s="223"/>
      <c r="S98" s="223"/>
      <c r="T98" s="223"/>
      <c r="U98" s="223"/>
      <c r="V98" s="223"/>
      <c r="W98" s="223"/>
      <c r="X98" s="223"/>
      <c r="Y98" s="223"/>
      <c r="Z98" s="224"/>
    </row>
    <row r="133" spans="14:14" ht="18.75" customHeight="1" x14ac:dyDescent="0.15">
      <c r="N133"/>
    </row>
  </sheetData>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G70:G77 H70:M71 T70:T77 U70:Z71 U74:Z77">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formula1>"学部・学科によって、修了要件は相違する,学部・学科によって、修了要件は相違しない"</formula1>
    </dataValidation>
    <dataValidation type="list" allowBlank="1" showInputMessage="1" showErrorMessage="1" sqref="Z23 Z34 D34:K34 D23:K23 V16:V22 I16:I22 V27:V33 I49:I55 V38:V44 I27:I33 V49:V55 I38:I44 U60:U66 H60:H66">
      <formula1>"全学開講,一部開講"</formula1>
    </dataValidation>
    <dataValidation type="list" allowBlank="1" showInputMessage="1" showErrorMessage="1" sqref="Y16:Z22 L16:M22 Y27:Z33 H27:H33 H38:H44 Y38:Z44 H49:H55 Y49:Z55 Y60:Z66 L49:M55 H16:H22 U16:U22 T60:T66 U27:U33 L27:M33 U38:U44 L38:M44 U49:U55 L63:M66 G60:G66 K60:M62">
      <formula1>"○"</formula1>
    </dataValidation>
  </dataValidations>
  <printOptions horizontalCentered="1"/>
  <pageMargins left="0.25" right="0.25" top="0.75" bottom="0.75" header="0.3" footer="0.3"/>
  <pageSetup paperSize="9" scale="76" fitToHeight="0" orientation="portrait" r:id="rId1"/>
  <rowBreaks count="3" manualBreakCount="3">
    <brk id="34" max="25" man="1"/>
    <brk id="67" max="25" man="1"/>
    <brk id="83"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0"/>
  <sheetViews>
    <sheetView view="pageBreakPreview" zoomScaleNormal="100" zoomScaleSheetLayoutView="100" workbookViewId="0">
      <selection activeCell="B5" sqref="B5:F42"/>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39" t="s">
        <v>200</v>
      </c>
      <c r="G1" s="239"/>
      <c r="H1" s="239"/>
      <c r="I1" s="239"/>
      <c r="J1" s="239"/>
      <c r="K1" s="239"/>
      <c r="L1" s="239"/>
      <c r="M1" s="239"/>
      <c r="N1" s="239"/>
      <c r="O1" s="239"/>
      <c r="P1" s="239"/>
      <c r="Q1" s="239"/>
      <c r="R1" s="239"/>
    </row>
    <row r="2" spans="1:20" ht="18" customHeight="1" x14ac:dyDescent="0.15">
      <c r="A2" s="240" t="s">
        <v>201</v>
      </c>
      <c r="B2" s="240"/>
      <c r="C2" s="240"/>
      <c r="D2" s="240"/>
      <c r="E2" s="240"/>
      <c r="F2" s="240"/>
      <c r="G2" s="240"/>
      <c r="H2" s="240"/>
      <c r="I2" s="240"/>
      <c r="J2" s="240"/>
      <c r="K2" s="240"/>
      <c r="L2" s="240"/>
      <c r="M2" s="240"/>
      <c r="N2" s="240"/>
      <c r="O2" s="240"/>
      <c r="P2" s="240"/>
      <c r="Q2" s="240"/>
      <c r="R2" s="240"/>
      <c r="S2" s="4"/>
    </row>
    <row r="3" spans="1:20" ht="7.5" customHeight="1" x14ac:dyDescent="0.15">
      <c r="A3" s="30"/>
      <c r="B3" s="30"/>
      <c r="C3" s="30"/>
      <c r="D3" s="30"/>
      <c r="E3" s="30"/>
      <c r="F3" s="30"/>
      <c r="G3" s="30"/>
      <c r="H3" s="30"/>
      <c r="I3" s="30"/>
      <c r="J3" s="30"/>
      <c r="K3" s="30"/>
      <c r="L3" s="30"/>
      <c r="M3" s="30"/>
      <c r="N3" s="30"/>
      <c r="O3" s="30"/>
      <c r="P3" s="30"/>
      <c r="Q3" s="30"/>
      <c r="R3" s="30"/>
    </row>
    <row r="4" spans="1:20" ht="18" customHeight="1" x14ac:dyDescent="0.15">
      <c r="A4" s="4" t="s">
        <v>202</v>
      </c>
      <c r="B4" s="4"/>
      <c r="C4" s="241" t="str">
        <f>'様式１　大学等概要'!E12</f>
        <v>令和元</v>
      </c>
      <c r="D4" s="242"/>
      <c r="E4" s="30" t="s">
        <v>19</v>
      </c>
      <c r="F4" s="30"/>
      <c r="G4" s="30"/>
      <c r="H4" s="30"/>
      <c r="I4" s="30"/>
      <c r="J4" s="75"/>
      <c r="K4" s="30"/>
      <c r="L4" s="30"/>
      <c r="M4" s="39"/>
      <c r="N4" s="39"/>
      <c r="O4" s="39"/>
      <c r="P4" s="39"/>
      <c r="Q4" s="39"/>
      <c r="R4" s="39"/>
    </row>
    <row r="5" spans="1:20" ht="6" customHeight="1" x14ac:dyDescent="0.15">
      <c r="A5" s="30"/>
      <c r="B5" s="30"/>
      <c r="C5" s="30"/>
      <c r="D5" s="30"/>
      <c r="E5" s="30"/>
      <c r="F5" s="30"/>
      <c r="G5" s="30"/>
      <c r="H5" s="30"/>
      <c r="I5" s="30"/>
      <c r="J5" s="30"/>
      <c r="K5" s="30"/>
      <c r="L5" s="30"/>
      <c r="M5" s="30"/>
      <c r="N5" s="30"/>
      <c r="O5" s="30"/>
      <c r="P5" s="30"/>
      <c r="Q5" s="30"/>
      <c r="R5" s="30"/>
    </row>
    <row r="6" spans="1:20" ht="18" customHeight="1" x14ac:dyDescent="0.15">
      <c r="A6" s="4" t="s">
        <v>203</v>
      </c>
      <c r="B6" s="30"/>
      <c r="C6" s="30"/>
      <c r="D6" s="30"/>
      <c r="E6" s="30"/>
      <c r="F6" s="30"/>
      <c r="G6" s="30"/>
      <c r="H6" s="30"/>
      <c r="I6" s="30"/>
      <c r="J6" s="30"/>
      <c r="K6" s="30"/>
      <c r="L6" s="30"/>
      <c r="M6" s="30"/>
      <c r="N6" s="30"/>
      <c r="O6" s="30"/>
      <c r="P6" s="30"/>
      <c r="Q6" s="30"/>
      <c r="R6" s="30"/>
    </row>
    <row r="7" spans="1:20" ht="6" customHeight="1" x14ac:dyDescent="0.15">
      <c r="A7" s="4"/>
      <c r="B7" s="30"/>
      <c r="C7" s="30"/>
      <c r="D7" s="30"/>
      <c r="E7" s="30"/>
      <c r="F7" s="30"/>
      <c r="G7" s="30"/>
      <c r="H7" s="30"/>
      <c r="I7" s="30"/>
      <c r="J7" s="30"/>
      <c r="K7" s="30"/>
      <c r="L7" s="30"/>
      <c r="M7" s="30"/>
      <c r="N7" s="30"/>
      <c r="O7" s="30"/>
      <c r="P7" s="30"/>
      <c r="Q7" s="30"/>
      <c r="R7" s="30"/>
    </row>
    <row r="8" spans="1:20" ht="18" customHeight="1" x14ac:dyDescent="0.15">
      <c r="B8" s="243" t="s">
        <v>204</v>
      </c>
      <c r="C8" s="245" t="s">
        <v>205</v>
      </c>
      <c r="D8" s="247" t="s">
        <v>206</v>
      </c>
      <c r="E8" s="249" t="s">
        <v>207</v>
      </c>
      <c r="F8" s="249"/>
      <c r="G8" s="249" t="s">
        <v>208</v>
      </c>
      <c r="H8" s="249"/>
      <c r="I8" s="249" t="s">
        <v>209</v>
      </c>
      <c r="J8" s="249"/>
      <c r="K8" s="250" t="s">
        <v>210</v>
      </c>
      <c r="L8" s="251"/>
      <c r="M8" s="250" t="s">
        <v>211</v>
      </c>
      <c r="N8" s="251"/>
      <c r="O8" s="250" t="s">
        <v>212</v>
      </c>
      <c r="P8" s="251"/>
      <c r="Q8" s="252" t="s">
        <v>213</v>
      </c>
      <c r="R8" s="254" t="s">
        <v>214</v>
      </c>
      <c r="T8" s="28"/>
    </row>
    <row r="9" spans="1:20" ht="18" customHeight="1" x14ac:dyDescent="0.15">
      <c r="A9" s="4"/>
      <c r="B9" s="244"/>
      <c r="C9" s="246"/>
      <c r="D9" s="248"/>
      <c r="E9" s="35" t="s">
        <v>215</v>
      </c>
      <c r="F9" s="36" t="s">
        <v>216</v>
      </c>
      <c r="G9" s="37" t="s">
        <v>215</v>
      </c>
      <c r="H9" s="38" t="s">
        <v>216</v>
      </c>
      <c r="I9" s="35" t="s">
        <v>215</v>
      </c>
      <c r="J9" s="36" t="s">
        <v>216</v>
      </c>
      <c r="K9" s="37" t="s">
        <v>215</v>
      </c>
      <c r="L9" s="38" t="s">
        <v>216</v>
      </c>
      <c r="M9" s="35" t="s">
        <v>215</v>
      </c>
      <c r="N9" s="36" t="s">
        <v>216</v>
      </c>
      <c r="O9" s="37" t="s">
        <v>215</v>
      </c>
      <c r="P9" s="38" t="s">
        <v>216</v>
      </c>
      <c r="Q9" s="253"/>
      <c r="R9" s="255"/>
      <c r="T9" s="28"/>
    </row>
    <row r="10" spans="1:20" ht="18" customHeight="1" x14ac:dyDescent="0.15">
      <c r="A10" s="39"/>
      <c r="B10" s="107" t="s">
        <v>217</v>
      </c>
      <c r="C10" s="40">
        <v>40</v>
      </c>
      <c r="D10" s="40">
        <v>200</v>
      </c>
      <c r="E10" s="41">
        <v>44</v>
      </c>
      <c r="F10" s="42">
        <v>41</v>
      </c>
      <c r="G10" s="109">
        <v>35</v>
      </c>
      <c r="H10" s="42">
        <v>33</v>
      </c>
      <c r="I10" s="43">
        <v>44</v>
      </c>
      <c r="J10" s="44">
        <v>37</v>
      </c>
      <c r="K10" s="114">
        <v>0</v>
      </c>
      <c r="L10" s="115">
        <v>0</v>
      </c>
      <c r="M10" s="41">
        <v>0</v>
      </c>
      <c r="N10" s="42">
        <v>0</v>
      </c>
      <c r="O10" s="43">
        <v>0</v>
      </c>
      <c r="P10" s="44">
        <v>0</v>
      </c>
      <c r="Q10" s="45">
        <f>E10+G10+I10+K10+M10+O10</f>
        <v>123</v>
      </c>
      <c r="R10" s="116">
        <f t="shared" ref="R10:R29" si="0">Q10/D10</f>
        <v>0.61499999999999999</v>
      </c>
    </row>
    <row r="11" spans="1:20" ht="18" customHeight="1" x14ac:dyDescent="0.15">
      <c r="A11" s="39"/>
      <c r="B11" s="108" t="s">
        <v>218</v>
      </c>
      <c r="C11" s="48">
        <v>40</v>
      </c>
      <c r="D11" s="108">
        <v>200</v>
      </c>
      <c r="E11" s="49">
        <v>38</v>
      </c>
      <c r="F11" s="50">
        <v>35</v>
      </c>
      <c r="G11" s="49">
        <v>38</v>
      </c>
      <c r="H11" s="50">
        <v>36</v>
      </c>
      <c r="I11" s="51">
        <v>38</v>
      </c>
      <c r="J11" s="52">
        <v>36</v>
      </c>
      <c r="K11" s="51">
        <v>0</v>
      </c>
      <c r="L11" s="52">
        <v>0</v>
      </c>
      <c r="M11" s="49">
        <v>0</v>
      </c>
      <c r="N11" s="50">
        <v>0</v>
      </c>
      <c r="O11" s="51">
        <v>0</v>
      </c>
      <c r="P11" s="52">
        <v>0</v>
      </c>
      <c r="Q11" s="53">
        <f t="shared" ref="Q11:Q29" si="1">E11+G11+I11+K11+M11+O11</f>
        <v>114</v>
      </c>
      <c r="R11" s="54">
        <f t="shared" si="0"/>
        <v>0.56999999999999995</v>
      </c>
    </row>
    <row r="12" spans="1:20" ht="18" customHeight="1" x14ac:dyDescent="0.15">
      <c r="A12" s="39"/>
      <c r="B12" s="108" t="s">
        <v>219</v>
      </c>
      <c r="C12" s="48">
        <v>40</v>
      </c>
      <c r="D12" s="108">
        <v>200</v>
      </c>
      <c r="E12" s="49">
        <v>38</v>
      </c>
      <c r="F12" s="50">
        <v>34</v>
      </c>
      <c r="G12" s="49">
        <v>37</v>
      </c>
      <c r="H12" s="50">
        <v>35</v>
      </c>
      <c r="I12" s="51">
        <v>38</v>
      </c>
      <c r="J12" s="52">
        <v>33</v>
      </c>
      <c r="K12" s="51">
        <v>0</v>
      </c>
      <c r="L12" s="52">
        <v>0</v>
      </c>
      <c r="M12" s="49">
        <v>0</v>
      </c>
      <c r="N12" s="50">
        <v>0</v>
      </c>
      <c r="O12" s="51">
        <v>0</v>
      </c>
      <c r="P12" s="52">
        <v>0</v>
      </c>
      <c r="Q12" s="53">
        <f t="shared" si="1"/>
        <v>113</v>
      </c>
      <c r="R12" s="54">
        <f t="shared" si="0"/>
        <v>0.56499999999999995</v>
      </c>
    </row>
    <row r="13" spans="1:20" ht="18" customHeight="1" x14ac:dyDescent="0.15">
      <c r="A13" s="39"/>
      <c r="B13" s="108" t="s">
        <v>220</v>
      </c>
      <c r="C13" s="48">
        <v>40</v>
      </c>
      <c r="D13" s="108">
        <v>200</v>
      </c>
      <c r="E13" s="49">
        <v>39</v>
      </c>
      <c r="F13" s="50">
        <v>38</v>
      </c>
      <c r="G13" s="49">
        <v>36</v>
      </c>
      <c r="H13" s="50">
        <v>36</v>
      </c>
      <c r="I13" s="51">
        <v>40</v>
      </c>
      <c r="J13" s="52">
        <v>36</v>
      </c>
      <c r="K13" s="51">
        <v>0</v>
      </c>
      <c r="L13" s="52">
        <v>0</v>
      </c>
      <c r="M13" s="49">
        <v>0</v>
      </c>
      <c r="N13" s="50">
        <v>0</v>
      </c>
      <c r="O13" s="51">
        <v>0</v>
      </c>
      <c r="P13" s="52">
        <v>0</v>
      </c>
      <c r="Q13" s="53">
        <f t="shared" si="1"/>
        <v>115</v>
      </c>
      <c r="R13" s="54">
        <f t="shared" si="0"/>
        <v>0.57499999999999996</v>
      </c>
    </row>
    <row r="14" spans="1:20" ht="18" customHeight="1" x14ac:dyDescent="0.15">
      <c r="A14" s="39"/>
      <c r="B14" s="108" t="s">
        <v>221</v>
      </c>
      <c r="C14" s="48">
        <v>40</v>
      </c>
      <c r="D14" s="108">
        <v>200</v>
      </c>
      <c r="E14" s="49">
        <v>43</v>
      </c>
      <c r="F14" s="50">
        <v>39</v>
      </c>
      <c r="G14" s="49">
        <v>42</v>
      </c>
      <c r="H14" s="50">
        <v>40</v>
      </c>
      <c r="I14" s="51">
        <v>44</v>
      </c>
      <c r="J14" s="52">
        <v>44</v>
      </c>
      <c r="K14" s="51">
        <v>0</v>
      </c>
      <c r="L14" s="52">
        <v>0</v>
      </c>
      <c r="M14" s="49">
        <v>0</v>
      </c>
      <c r="N14" s="50">
        <v>0</v>
      </c>
      <c r="O14" s="51">
        <v>0</v>
      </c>
      <c r="P14" s="52">
        <v>0</v>
      </c>
      <c r="Q14" s="53">
        <f t="shared" si="1"/>
        <v>129</v>
      </c>
      <c r="R14" s="54">
        <f t="shared" si="0"/>
        <v>0.64500000000000002</v>
      </c>
    </row>
    <row r="15" spans="1:20" ht="18" customHeight="1" x14ac:dyDescent="0.15">
      <c r="A15" s="39"/>
      <c r="B15" s="76"/>
      <c r="C15" s="55"/>
      <c r="D15" s="48"/>
      <c r="E15" s="49"/>
      <c r="F15" s="50"/>
      <c r="G15" s="51"/>
      <c r="H15" s="52"/>
      <c r="I15" s="49"/>
      <c r="J15" s="50"/>
      <c r="K15" s="51"/>
      <c r="L15" s="52"/>
      <c r="M15" s="49"/>
      <c r="N15" s="50"/>
      <c r="O15" s="51"/>
      <c r="P15" s="52"/>
      <c r="Q15" s="53">
        <f t="shared" si="1"/>
        <v>0</v>
      </c>
      <c r="R15" s="54" t="e">
        <f t="shared" si="0"/>
        <v>#DIV/0!</v>
      </c>
    </row>
    <row r="16" spans="1:20" ht="18" customHeight="1" x14ac:dyDescent="0.15">
      <c r="A16" s="39"/>
      <c r="B16" s="76"/>
      <c r="C16" s="55"/>
      <c r="D16" s="48"/>
      <c r="E16" s="49"/>
      <c r="F16" s="50"/>
      <c r="G16" s="51"/>
      <c r="H16" s="52"/>
      <c r="I16" s="49"/>
      <c r="J16" s="50"/>
      <c r="K16" s="51"/>
      <c r="L16" s="52"/>
      <c r="M16" s="49"/>
      <c r="N16" s="50"/>
      <c r="O16" s="51"/>
      <c r="P16" s="52"/>
      <c r="Q16" s="53">
        <f t="shared" si="1"/>
        <v>0</v>
      </c>
      <c r="R16" s="54" t="e">
        <f t="shared" si="0"/>
        <v>#DIV/0!</v>
      </c>
    </row>
    <row r="17" spans="1:18" ht="18" customHeight="1" x14ac:dyDescent="0.15">
      <c r="A17" s="39"/>
      <c r="B17" s="76"/>
      <c r="C17" s="55"/>
      <c r="D17" s="48"/>
      <c r="E17" s="49"/>
      <c r="F17" s="50"/>
      <c r="G17" s="51"/>
      <c r="H17" s="52"/>
      <c r="I17" s="49"/>
      <c r="J17" s="50"/>
      <c r="K17" s="51"/>
      <c r="L17" s="52"/>
      <c r="M17" s="49"/>
      <c r="N17" s="50"/>
      <c r="O17" s="51"/>
      <c r="P17" s="52"/>
      <c r="Q17" s="53">
        <f t="shared" si="1"/>
        <v>0</v>
      </c>
      <c r="R17" s="54" t="e">
        <f t="shared" si="0"/>
        <v>#DIV/0!</v>
      </c>
    </row>
    <row r="18" spans="1:18" ht="18" customHeight="1" x14ac:dyDescent="0.15">
      <c r="A18" s="39"/>
      <c r="B18" s="76"/>
      <c r="C18" s="55"/>
      <c r="D18" s="48"/>
      <c r="E18" s="49"/>
      <c r="F18" s="50"/>
      <c r="G18" s="51"/>
      <c r="H18" s="52"/>
      <c r="I18" s="49"/>
      <c r="J18" s="50"/>
      <c r="K18" s="51"/>
      <c r="L18" s="52"/>
      <c r="M18" s="49"/>
      <c r="N18" s="50"/>
      <c r="O18" s="51"/>
      <c r="P18" s="52"/>
      <c r="Q18" s="53">
        <f>E18+G18+I18+K18+M18+O18</f>
        <v>0</v>
      </c>
      <c r="R18" s="54" t="e">
        <f t="shared" si="0"/>
        <v>#DIV/0!</v>
      </c>
    </row>
    <row r="19" spans="1:18" ht="18" customHeight="1" x14ac:dyDescent="0.15">
      <c r="A19" s="39"/>
      <c r="B19" s="76"/>
      <c r="C19" s="55"/>
      <c r="D19" s="48"/>
      <c r="E19" s="49"/>
      <c r="F19" s="50"/>
      <c r="G19" s="51"/>
      <c r="H19" s="52"/>
      <c r="I19" s="49"/>
      <c r="J19" s="50"/>
      <c r="K19" s="51"/>
      <c r="L19" s="52"/>
      <c r="M19" s="49"/>
      <c r="N19" s="50"/>
      <c r="O19" s="51"/>
      <c r="P19" s="52"/>
      <c r="Q19" s="53">
        <f t="shared" si="1"/>
        <v>0</v>
      </c>
      <c r="R19" s="54" t="e">
        <f t="shared" si="0"/>
        <v>#DIV/0!</v>
      </c>
    </row>
    <row r="20" spans="1:18" ht="18" customHeight="1" x14ac:dyDescent="0.15">
      <c r="A20" s="39"/>
      <c r="B20" s="76"/>
      <c r="C20" s="55"/>
      <c r="D20" s="48"/>
      <c r="E20" s="49"/>
      <c r="F20" s="50"/>
      <c r="G20" s="51"/>
      <c r="H20" s="52"/>
      <c r="I20" s="49"/>
      <c r="J20" s="50"/>
      <c r="K20" s="51"/>
      <c r="L20" s="52"/>
      <c r="M20" s="49"/>
      <c r="N20" s="50"/>
      <c r="O20" s="51"/>
      <c r="P20" s="52"/>
      <c r="Q20" s="53">
        <f t="shared" si="1"/>
        <v>0</v>
      </c>
      <c r="R20" s="54" t="e">
        <f t="shared" si="0"/>
        <v>#DIV/0!</v>
      </c>
    </row>
    <row r="21" spans="1:18" ht="18" customHeight="1" x14ac:dyDescent="0.15">
      <c r="A21" s="39"/>
      <c r="B21" s="76"/>
      <c r="C21" s="55"/>
      <c r="D21" s="48"/>
      <c r="E21" s="49"/>
      <c r="F21" s="50"/>
      <c r="G21" s="51"/>
      <c r="H21" s="52"/>
      <c r="I21" s="49"/>
      <c r="J21" s="50"/>
      <c r="K21" s="51"/>
      <c r="L21" s="52"/>
      <c r="M21" s="49"/>
      <c r="N21" s="50"/>
      <c r="O21" s="51"/>
      <c r="P21" s="52"/>
      <c r="Q21" s="53">
        <f t="shared" si="1"/>
        <v>0</v>
      </c>
      <c r="R21" s="54" t="e">
        <f t="shared" si="0"/>
        <v>#DIV/0!</v>
      </c>
    </row>
    <row r="22" spans="1:18" ht="18" customHeight="1" x14ac:dyDescent="0.15">
      <c r="A22" s="39"/>
      <c r="B22" s="76"/>
      <c r="C22" s="55"/>
      <c r="D22" s="48"/>
      <c r="E22" s="49"/>
      <c r="F22" s="50"/>
      <c r="G22" s="51"/>
      <c r="H22" s="52"/>
      <c r="I22" s="49"/>
      <c r="J22" s="50"/>
      <c r="K22" s="51"/>
      <c r="L22" s="52"/>
      <c r="M22" s="49"/>
      <c r="N22" s="50"/>
      <c r="O22" s="51"/>
      <c r="P22" s="52"/>
      <c r="Q22" s="53">
        <f t="shared" si="1"/>
        <v>0</v>
      </c>
      <c r="R22" s="54" t="e">
        <f t="shared" si="0"/>
        <v>#DIV/0!</v>
      </c>
    </row>
    <row r="23" spans="1:18" ht="18" customHeight="1" x14ac:dyDescent="0.15">
      <c r="A23" s="39"/>
      <c r="B23" s="76"/>
      <c r="C23" s="55"/>
      <c r="D23" s="48"/>
      <c r="E23" s="49"/>
      <c r="F23" s="50"/>
      <c r="G23" s="51"/>
      <c r="H23" s="52"/>
      <c r="I23" s="49"/>
      <c r="J23" s="50"/>
      <c r="K23" s="51"/>
      <c r="L23" s="52"/>
      <c r="M23" s="49"/>
      <c r="N23" s="50"/>
      <c r="O23" s="51"/>
      <c r="P23" s="52"/>
      <c r="Q23" s="53">
        <f t="shared" si="1"/>
        <v>0</v>
      </c>
      <c r="R23" s="54" t="e">
        <f t="shared" si="0"/>
        <v>#DIV/0!</v>
      </c>
    </row>
    <row r="24" spans="1:18" ht="18" customHeight="1" x14ac:dyDescent="0.15">
      <c r="A24" s="39"/>
      <c r="B24" s="76"/>
      <c r="C24" s="55"/>
      <c r="D24" s="48"/>
      <c r="E24" s="49"/>
      <c r="F24" s="50"/>
      <c r="G24" s="51"/>
      <c r="H24" s="52"/>
      <c r="I24" s="49"/>
      <c r="J24" s="50"/>
      <c r="K24" s="51"/>
      <c r="L24" s="52"/>
      <c r="M24" s="49"/>
      <c r="N24" s="50"/>
      <c r="O24" s="51"/>
      <c r="P24" s="52"/>
      <c r="Q24" s="53">
        <f t="shared" si="1"/>
        <v>0</v>
      </c>
      <c r="R24" s="54" t="e">
        <f t="shared" si="0"/>
        <v>#DIV/0!</v>
      </c>
    </row>
    <row r="25" spans="1:18" ht="18" customHeight="1" x14ac:dyDescent="0.15">
      <c r="A25" s="39"/>
      <c r="B25" s="76"/>
      <c r="C25" s="55"/>
      <c r="D25" s="48"/>
      <c r="E25" s="49"/>
      <c r="F25" s="50"/>
      <c r="G25" s="51"/>
      <c r="H25" s="52"/>
      <c r="I25" s="49"/>
      <c r="J25" s="50"/>
      <c r="K25" s="51"/>
      <c r="L25" s="52"/>
      <c r="M25" s="49"/>
      <c r="N25" s="50"/>
      <c r="O25" s="51"/>
      <c r="P25" s="52"/>
      <c r="Q25" s="53">
        <f t="shared" si="1"/>
        <v>0</v>
      </c>
      <c r="R25" s="54" t="e">
        <f t="shared" si="0"/>
        <v>#DIV/0!</v>
      </c>
    </row>
    <row r="26" spans="1:18" ht="18" customHeight="1" x14ac:dyDescent="0.15">
      <c r="A26" s="39"/>
      <c r="B26" s="76"/>
      <c r="C26" s="55"/>
      <c r="D26" s="48"/>
      <c r="E26" s="49"/>
      <c r="F26" s="50"/>
      <c r="G26" s="51"/>
      <c r="H26" s="52"/>
      <c r="I26" s="49"/>
      <c r="J26" s="50"/>
      <c r="K26" s="51"/>
      <c r="L26" s="52"/>
      <c r="M26" s="49"/>
      <c r="N26" s="50"/>
      <c r="O26" s="51"/>
      <c r="P26" s="52"/>
      <c r="Q26" s="53">
        <f t="shared" si="1"/>
        <v>0</v>
      </c>
      <c r="R26" s="54" t="e">
        <f t="shared" si="0"/>
        <v>#DIV/0!</v>
      </c>
    </row>
    <row r="27" spans="1:18" ht="18" customHeight="1" x14ac:dyDescent="0.15">
      <c r="A27" s="39"/>
      <c r="B27" s="76"/>
      <c r="C27" s="47"/>
      <c r="D27" s="48"/>
      <c r="E27" s="49"/>
      <c r="F27" s="50"/>
      <c r="G27" s="51"/>
      <c r="H27" s="52"/>
      <c r="I27" s="49"/>
      <c r="J27" s="50"/>
      <c r="K27" s="51"/>
      <c r="L27" s="52"/>
      <c r="M27" s="49"/>
      <c r="N27" s="50"/>
      <c r="O27" s="51"/>
      <c r="P27" s="52"/>
      <c r="Q27" s="53">
        <f t="shared" si="1"/>
        <v>0</v>
      </c>
      <c r="R27" s="54" t="e">
        <f t="shared" si="0"/>
        <v>#DIV/0!</v>
      </c>
    </row>
    <row r="28" spans="1:18" ht="18" customHeight="1" x14ac:dyDescent="0.15">
      <c r="A28" s="39"/>
      <c r="B28" s="76"/>
      <c r="C28" s="47"/>
      <c r="D28" s="48"/>
      <c r="E28" s="49"/>
      <c r="F28" s="50"/>
      <c r="G28" s="51"/>
      <c r="H28" s="52"/>
      <c r="I28" s="49"/>
      <c r="J28" s="50"/>
      <c r="K28" s="51"/>
      <c r="L28" s="52"/>
      <c r="M28" s="49"/>
      <c r="N28" s="50"/>
      <c r="O28" s="51"/>
      <c r="P28" s="52"/>
      <c r="Q28" s="53">
        <f t="shared" si="1"/>
        <v>0</v>
      </c>
      <c r="R28" s="54" t="e">
        <f t="shared" si="0"/>
        <v>#DIV/0!</v>
      </c>
    </row>
    <row r="29" spans="1:18" ht="18" customHeight="1" thickBot="1" x14ac:dyDescent="0.2">
      <c r="A29" s="39"/>
      <c r="B29" s="77"/>
      <c r="C29" s="78"/>
      <c r="D29" s="40"/>
      <c r="E29" s="41"/>
      <c r="F29" s="42"/>
      <c r="G29" s="43"/>
      <c r="H29" s="44"/>
      <c r="I29" s="41"/>
      <c r="J29" s="42"/>
      <c r="K29" s="43"/>
      <c r="L29" s="44"/>
      <c r="M29" s="41"/>
      <c r="N29" s="42"/>
      <c r="O29" s="43"/>
      <c r="P29" s="44"/>
      <c r="Q29" s="56">
        <f t="shared" si="1"/>
        <v>0</v>
      </c>
      <c r="R29" s="46" t="e">
        <f t="shared" si="0"/>
        <v>#DIV/0!</v>
      </c>
    </row>
    <row r="30" spans="1:18" ht="18" customHeight="1" thickTop="1" x14ac:dyDescent="0.15">
      <c r="B30" s="79" t="s">
        <v>222</v>
      </c>
      <c r="C30" s="80">
        <f t="shared" ref="C30:Q30" si="2">SUM(C10:C29)</f>
        <v>200</v>
      </c>
      <c r="D30" s="57">
        <f t="shared" si="2"/>
        <v>1000</v>
      </c>
      <c r="E30" s="58">
        <f t="shared" si="2"/>
        <v>202</v>
      </c>
      <c r="F30" s="59">
        <f t="shared" si="2"/>
        <v>187</v>
      </c>
      <c r="G30" s="60">
        <f t="shared" si="2"/>
        <v>188</v>
      </c>
      <c r="H30" s="61">
        <f t="shared" si="2"/>
        <v>180</v>
      </c>
      <c r="I30" s="58">
        <f t="shared" si="2"/>
        <v>204</v>
      </c>
      <c r="J30" s="59">
        <f t="shared" si="2"/>
        <v>186</v>
      </c>
      <c r="K30" s="60">
        <f t="shared" si="2"/>
        <v>0</v>
      </c>
      <c r="L30" s="61">
        <f t="shared" si="2"/>
        <v>0</v>
      </c>
      <c r="M30" s="58">
        <f t="shared" si="2"/>
        <v>0</v>
      </c>
      <c r="N30" s="59">
        <f t="shared" si="2"/>
        <v>0</v>
      </c>
      <c r="O30" s="60">
        <f t="shared" si="2"/>
        <v>0</v>
      </c>
      <c r="P30" s="61">
        <f t="shared" si="2"/>
        <v>0</v>
      </c>
      <c r="Q30" s="62">
        <f t="shared" si="2"/>
        <v>594</v>
      </c>
      <c r="R30" s="63">
        <f>Q30/D30</f>
        <v>0.59399999999999997</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4"/>
  <sheetViews>
    <sheetView showZeros="0" view="pageBreakPreview" zoomScaleNormal="100" zoomScaleSheetLayoutView="100" workbookViewId="0">
      <selection activeCell="B5" sqref="B5:J44"/>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27"/>
    <col min="12" max="16384" width="11.375" style="1"/>
  </cols>
  <sheetData>
    <row r="1" spans="1:11" ht="18.75" customHeight="1" x14ac:dyDescent="0.15">
      <c r="A1" s="2" t="s">
        <v>223</v>
      </c>
      <c r="J1" s="33" t="s">
        <v>224</v>
      </c>
    </row>
    <row r="2" spans="1:11" ht="18.75" customHeight="1" x14ac:dyDescent="0.15">
      <c r="A2" s="240" t="s">
        <v>225</v>
      </c>
      <c r="B2" s="240"/>
      <c r="C2" s="240"/>
      <c r="D2" s="240"/>
      <c r="E2" s="240"/>
      <c r="F2" s="240"/>
      <c r="G2" s="240"/>
      <c r="H2" s="240"/>
      <c r="I2" s="240"/>
      <c r="J2" s="240"/>
    </row>
    <row r="3" spans="1:11" ht="7.5" customHeight="1" x14ac:dyDescent="0.15">
      <c r="B3" s="30"/>
      <c r="C3" s="30"/>
      <c r="D3" s="30"/>
      <c r="E3" s="30"/>
      <c r="F3" s="30"/>
      <c r="G3" s="30"/>
      <c r="H3" s="30"/>
      <c r="I3" s="30"/>
      <c r="J3" s="30"/>
    </row>
    <row r="4" spans="1:11" ht="18.75" customHeight="1" x14ac:dyDescent="0.15">
      <c r="A4" s="1" t="s">
        <v>2</v>
      </c>
      <c r="B4" s="4" t="s">
        <v>226</v>
      </c>
      <c r="C4" s="4"/>
      <c r="D4" s="4"/>
      <c r="E4" s="4"/>
      <c r="F4" s="4"/>
      <c r="G4" s="4"/>
      <c r="H4" s="4"/>
      <c r="I4" s="30"/>
      <c r="J4" s="30"/>
    </row>
    <row r="5" spans="1:11" ht="18.75" customHeight="1" x14ac:dyDescent="0.15">
      <c r="A5" s="1"/>
      <c r="B5" s="141" t="s">
        <v>227</v>
      </c>
      <c r="C5" s="142"/>
      <c r="D5" s="142"/>
      <c r="E5" s="142"/>
      <c r="F5" s="142"/>
      <c r="G5" s="142"/>
      <c r="H5" s="142"/>
      <c r="I5" s="142"/>
      <c r="J5" s="277"/>
      <c r="K5" s="27" t="str">
        <f>IF(B5="","入力してください","")</f>
        <v/>
      </c>
    </row>
    <row r="6" spans="1:11" ht="7.5" customHeight="1" x14ac:dyDescent="0.15">
      <c r="B6" s="30"/>
      <c r="C6" s="30"/>
      <c r="D6" s="30"/>
      <c r="E6" s="30"/>
      <c r="F6" s="30"/>
      <c r="G6" s="30"/>
      <c r="H6" s="30"/>
      <c r="I6" s="30"/>
      <c r="J6" s="30"/>
    </row>
    <row r="7" spans="1:11" s="4" customFormat="1" ht="18.75" customHeight="1" x14ac:dyDescent="0.15">
      <c r="A7" s="1" t="s">
        <v>5</v>
      </c>
      <c r="B7" s="1" t="s">
        <v>228</v>
      </c>
      <c r="C7" s="1"/>
      <c r="D7" s="1"/>
      <c r="E7" s="1"/>
      <c r="F7" s="1"/>
      <c r="G7" s="1"/>
      <c r="H7" s="1"/>
      <c r="I7" s="1"/>
      <c r="J7" s="1"/>
      <c r="K7" s="27"/>
    </row>
    <row r="8" spans="1:11" s="4" customFormat="1" ht="18.75" customHeight="1" x14ac:dyDescent="0.15">
      <c r="A8" s="81"/>
      <c r="B8" s="256" t="s">
        <v>229</v>
      </c>
      <c r="C8" s="257"/>
      <c r="D8" s="257"/>
      <c r="E8" s="257"/>
      <c r="F8" s="257"/>
      <c r="G8" s="257"/>
      <c r="H8" s="257"/>
      <c r="I8" s="265"/>
      <c r="J8" s="266"/>
      <c r="K8" s="27" t="str">
        <f>IF(B8="","入力してください","")</f>
        <v/>
      </c>
    </row>
    <row r="9" spans="1:11" s="4" customFormat="1" ht="18.75" customHeight="1" x14ac:dyDescent="0.15">
      <c r="A9" s="81"/>
      <c r="B9" s="267"/>
      <c r="C9" s="268"/>
      <c r="D9" s="268"/>
      <c r="E9" s="268"/>
      <c r="F9" s="268"/>
      <c r="G9" s="268"/>
      <c r="H9" s="268"/>
      <c r="I9" s="268"/>
      <c r="J9" s="269"/>
      <c r="K9" s="27"/>
    </row>
    <row r="10" spans="1:11" s="4" customFormat="1" ht="18.75" customHeight="1" x14ac:dyDescent="0.15">
      <c r="A10" s="81"/>
      <c r="B10" s="267"/>
      <c r="C10" s="268"/>
      <c r="D10" s="268"/>
      <c r="E10" s="268"/>
      <c r="F10" s="268"/>
      <c r="G10" s="268"/>
      <c r="H10" s="268"/>
      <c r="I10" s="268"/>
      <c r="J10" s="269"/>
      <c r="K10" s="27"/>
    </row>
    <row r="11" spans="1:11" s="4" customFormat="1" ht="18.75" customHeight="1" x14ac:dyDescent="0.15">
      <c r="A11" s="81"/>
      <c r="B11" s="267"/>
      <c r="C11" s="268"/>
      <c r="D11" s="268"/>
      <c r="E11" s="268"/>
      <c r="F11" s="268"/>
      <c r="G11" s="268"/>
      <c r="H11" s="268"/>
      <c r="I11" s="268"/>
      <c r="J11" s="269"/>
      <c r="K11" s="27"/>
    </row>
    <row r="12" spans="1:11" s="4" customFormat="1" ht="18.75" customHeight="1" x14ac:dyDescent="0.15">
      <c r="A12" s="81"/>
      <c r="B12" s="270"/>
      <c r="C12" s="271"/>
      <c r="D12" s="271"/>
      <c r="E12" s="271"/>
      <c r="F12" s="271"/>
      <c r="G12" s="271"/>
      <c r="H12" s="271"/>
      <c r="I12" s="271"/>
      <c r="J12" s="272"/>
      <c r="K12" s="27"/>
    </row>
    <row r="13" spans="1:11" s="4" customFormat="1" ht="7.5" customHeight="1" x14ac:dyDescent="0.15">
      <c r="A13" s="81"/>
      <c r="B13" s="81"/>
      <c r="C13" s="81"/>
      <c r="D13" s="81"/>
      <c r="E13" s="81"/>
      <c r="F13" s="81"/>
      <c r="G13" s="81"/>
      <c r="H13" s="81"/>
      <c r="I13" s="81"/>
      <c r="J13" s="81"/>
      <c r="K13" s="27"/>
    </row>
    <row r="14" spans="1:11" s="4" customFormat="1" ht="18.75" customHeight="1" x14ac:dyDescent="0.15">
      <c r="A14" s="82" t="s">
        <v>230</v>
      </c>
      <c r="B14" s="82" t="s">
        <v>231</v>
      </c>
      <c r="C14" s="82"/>
      <c r="D14" s="82"/>
      <c r="E14" s="82"/>
      <c r="F14" s="82"/>
      <c r="G14" s="82"/>
      <c r="H14" s="82"/>
      <c r="I14" s="82"/>
      <c r="J14" s="82"/>
      <c r="K14" s="27"/>
    </row>
    <row r="15" spans="1:11" s="4" customFormat="1" ht="18.75" customHeight="1" x14ac:dyDescent="0.15">
      <c r="A15" s="81"/>
      <c r="B15" s="256" t="s">
        <v>283</v>
      </c>
      <c r="C15" s="257"/>
      <c r="D15" s="257"/>
      <c r="E15" s="257"/>
      <c r="F15" s="257"/>
      <c r="G15" s="257"/>
      <c r="H15" s="257"/>
      <c r="I15" s="265"/>
      <c r="J15" s="266"/>
      <c r="K15" s="27" t="str">
        <f>IF(B15="","入力してください","")</f>
        <v/>
      </c>
    </row>
    <row r="16" spans="1:11" s="4" customFormat="1" ht="18.75" customHeight="1" x14ac:dyDescent="0.15">
      <c r="A16" s="81"/>
      <c r="B16" s="267"/>
      <c r="C16" s="268"/>
      <c r="D16" s="268"/>
      <c r="E16" s="268"/>
      <c r="F16" s="268"/>
      <c r="G16" s="268"/>
      <c r="H16" s="268"/>
      <c r="I16" s="268"/>
      <c r="J16" s="269"/>
      <c r="K16" s="27"/>
    </row>
    <row r="17" spans="1:11" s="4" customFormat="1" ht="18.75" customHeight="1" x14ac:dyDescent="0.15">
      <c r="A17" s="81"/>
      <c r="B17" s="267"/>
      <c r="C17" s="268"/>
      <c r="D17" s="268"/>
      <c r="E17" s="268"/>
      <c r="F17" s="268"/>
      <c r="G17" s="268"/>
      <c r="H17" s="268"/>
      <c r="I17" s="268"/>
      <c r="J17" s="269"/>
      <c r="K17" s="27"/>
    </row>
    <row r="18" spans="1:11" s="4" customFormat="1" ht="18.75" customHeight="1" x14ac:dyDescent="0.15">
      <c r="A18" s="81"/>
      <c r="B18" s="267"/>
      <c r="C18" s="268"/>
      <c r="D18" s="268"/>
      <c r="E18" s="268"/>
      <c r="F18" s="268"/>
      <c r="G18" s="268"/>
      <c r="H18" s="268"/>
      <c r="I18" s="268"/>
      <c r="J18" s="269"/>
      <c r="K18" s="27"/>
    </row>
    <row r="19" spans="1:11" s="4" customFormat="1" ht="18.75" customHeight="1" x14ac:dyDescent="0.15">
      <c r="A19" s="81"/>
      <c r="B19" s="267"/>
      <c r="C19" s="268"/>
      <c r="D19" s="268"/>
      <c r="E19" s="268"/>
      <c r="F19" s="268"/>
      <c r="G19" s="268"/>
      <c r="H19" s="268"/>
      <c r="I19" s="268"/>
      <c r="J19" s="269"/>
      <c r="K19" s="27"/>
    </row>
    <row r="20" spans="1:11" s="4" customFormat="1" ht="18.75" customHeight="1" x14ac:dyDescent="0.15">
      <c r="A20" s="81"/>
      <c r="B20" s="267"/>
      <c r="C20" s="268"/>
      <c r="D20" s="268"/>
      <c r="E20" s="268"/>
      <c r="F20" s="268"/>
      <c r="G20" s="268"/>
      <c r="H20" s="268"/>
      <c r="I20" s="268"/>
      <c r="J20" s="269"/>
      <c r="K20" s="27"/>
    </row>
    <row r="21" spans="1:11" s="4" customFormat="1" ht="18.75" customHeight="1" x14ac:dyDescent="0.15">
      <c r="A21" s="81"/>
      <c r="B21" s="267"/>
      <c r="C21" s="268"/>
      <c r="D21" s="268"/>
      <c r="E21" s="268"/>
      <c r="F21" s="268"/>
      <c r="G21" s="268"/>
      <c r="H21" s="268"/>
      <c r="I21" s="268"/>
      <c r="J21" s="269"/>
      <c r="K21" s="27"/>
    </row>
    <row r="22" spans="1:11" s="4" customFormat="1" ht="18.75" customHeight="1" x14ac:dyDescent="0.15">
      <c r="A22" s="81"/>
      <c r="B22" s="267"/>
      <c r="C22" s="268"/>
      <c r="D22" s="268"/>
      <c r="E22" s="268"/>
      <c r="F22" s="268"/>
      <c r="G22" s="268"/>
      <c r="H22" s="268"/>
      <c r="I22" s="268"/>
      <c r="J22" s="269"/>
      <c r="K22" s="27"/>
    </row>
    <row r="23" spans="1:11" s="4" customFormat="1" ht="18.75" customHeight="1" x14ac:dyDescent="0.15">
      <c r="A23" s="81"/>
      <c r="B23" s="267"/>
      <c r="C23" s="268"/>
      <c r="D23" s="268"/>
      <c r="E23" s="268"/>
      <c r="F23" s="268"/>
      <c r="G23" s="268"/>
      <c r="H23" s="268"/>
      <c r="I23" s="268"/>
      <c r="J23" s="269"/>
      <c r="K23" s="27"/>
    </row>
    <row r="24" spans="1:11" s="4" customFormat="1" ht="18.75" customHeight="1" x14ac:dyDescent="0.15">
      <c r="A24" s="81"/>
      <c r="B24" s="267"/>
      <c r="C24" s="268"/>
      <c r="D24" s="268"/>
      <c r="E24" s="268"/>
      <c r="F24" s="268"/>
      <c r="G24" s="268"/>
      <c r="H24" s="268"/>
      <c r="I24" s="268"/>
      <c r="J24" s="269"/>
      <c r="K24" s="27"/>
    </row>
    <row r="25" spans="1:11" s="4" customFormat="1" ht="18.75" customHeight="1" x14ac:dyDescent="0.15">
      <c r="A25" s="81"/>
      <c r="B25" s="270"/>
      <c r="C25" s="271"/>
      <c r="D25" s="271"/>
      <c r="E25" s="271"/>
      <c r="F25" s="271"/>
      <c r="G25" s="271"/>
      <c r="H25" s="271"/>
      <c r="I25" s="271"/>
      <c r="J25" s="272"/>
      <c r="K25" s="27"/>
    </row>
    <row r="26" spans="1:11" ht="7.5" customHeight="1" x14ac:dyDescent="0.15">
      <c r="A26" s="31"/>
      <c r="B26" s="31"/>
      <c r="C26" s="31"/>
      <c r="D26" s="31"/>
      <c r="E26" s="31"/>
      <c r="F26" s="31"/>
      <c r="G26" s="31"/>
      <c r="H26" s="31"/>
      <c r="I26" s="31"/>
      <c r="J26" s="31"/>
    </row>
    <row r="27" spans="1:11" s="4" customFormat="1" ht="18.75" customHeight="1" x14ac:dyDescent="0.15">
      <c r="A27" s="1" t="s">
        <v>11</v>
      </c>
      <c r="B27" s="1" t="s">
        <v>232</v>
      </c>
      <c r="C27" s="1"/>
      <c r="D27" s="1"/>
      <c r="E27" s="1"/>
      <c r="F27" s="1"/>
      <c r="G27" s="1"/>
      <c r="H27" s="1"/>
      <c r="I27" s="1"/>
      <c r="J27" s="1"/>
      <c r="K27" s="27"/>
    </row>
    <row r="28" spans="1:11" s="25" customFormat="1" ht="18.75" customHeight="1" x14ac:dyDescent="0.15">
      <c r="B28" s="83" t="s">
        <v>233</v>
      </c>
      <c r="C28" s="84">
        <f>'様式３　履修者等数の実績'!R30</f>
        <v>0.59399999999999997</v>
      </c>
      <c r="D28" s="85"/>
      <c r="E28" s="85" t="s">
        <v>234</v>
      </c>
      <c r="F28" s="84">
        <v>0.8</v>
      </c>
      <c r="G28" s="85"/>
      <c r="H28" s="85" t="s">
        <v>235</v>
      </c>
      <c r="I28" s="86">
        <v>1</v>
      </c>
      <c r="J28" s="87"/>
      <c r="K28" s="27"/>
    </row>
    <row r="29" spans="1:11" s="25" customFormat="1" ht="18.75" customHeight="1" x14ac:dyDescent="0.15">
      <c r="B29" s="72" t="s">
        <v>236</v>
      </c>
      <c r="C29" s="88">
        <v>1</v>
      </c>
      <c r="D29" s="73"/>
      <c r="E29" s="73" t="s">
        <v>237</v>
      </c>
      <c r="F29" s="88">
        <v>1</v>
      </c>
      <c r="G29" s="73"/>
      <c r="H29" s="73" t="s">
        <v>238</v>
      </c>
      <c r="I29" s="89">
        <f>'様式３　履修者等数の実績'!D30</f>
        <v>1000</v>
      </c>
      <c r="J29" s="90"/>
      <c r="K29" s="27"/>
    </row>
    <row r="30" spans="1:11" s="4" customFormat="1" ht="18.75" customHeight="1" x14ac:dyDescent="0.15">
      <c r="A30" s="1"/>
      <c r="B30" s="189" t="s">
        <v>239</v>
      </c>
      <c r="C30" s="190"/>
      <c r="D30" s="190"/>
      <c r="E30" s="190"/>
      <c r="F30" s="190"/>
      <c r="G30" s="190"/>
      <c r="H30" s="190"/>
      <c r="I30" s="190"/>
      <c r="J30" s="191"/>
      <c r="K30" s="27"/>
    </row>
    <row r="31" spans="1:11" s="4" customFormat="1" ht="18.75" customHeight="1" x14ac:dyDescent="0.15">
      <c r="A31" s="1"/>
      <c r="B31" s="274" t="s">
        <v>240</v>
      </c>
      <c r="C31" s="275"/>
      <c r="D31" s="275"/>
      <c r="E31" s="275"/>
      <c r="F31" s="275"/>
      <c r="G31" s="275"/>
      <c r="H31" s="275"/>
      <c r="I31" s="275"/>
      <c r="J31" s="276"/>
      <c r="K31" s="27" t="str">
        <f>IF(B31="","入力してください","")</f>
        <v/>
      </c>
    </row>
    <row r="32" spans="1:11" s="4" customFormat="1" ht="18.75" customHeight="1" x14ac:dyDescent="0.15">
      <c r="A32" s="1"/>
      <c r="B32" s="267"/>
      <c r="C32" s="268"/>
      <c r="D32" s="268"/>
      <c r="E32" s="268"/>
      <c r="F32" s="268"/>
      <c r="G32" s="268"/>
      <c r="H32" s="268"/>
      <c r="I32" s="268"/>
      <c r="J32" s="269"/>
      <c r="K32" s="27"/>
    </row>
    <row r="33" spans="1:11" s="4" customFormat="1" ht="18.75" customHeight="1" x14ac:dyDescent="0.15">
      <c r="A33" s="1"/>
      <c r="B33" s="267"/>
      <c r="C33" s="268"/>
      <c r="D33" s="268"/>
      <c r="E33" s="268"/>
      <c r="F33" s="268"/>
      <c r="G33" s="268"/>
      <c r="H33" s="268"/>
      <c r="I33" s="268"/>
      <c r="J33" s="269"/>
      <c r="K33" s="27"/>
    </row>
    <row r="34" spans="1:11" s="4" customFormat="1" ht="18.75" customHeight="1" x14ac:dyDescent="0.15">
      <c r="A34" s="1"/>
      <c r="B34" s="267"/>
      <c r="C34" s="268"/>
      <c r="D34" s="268"/>
      <c r="E34" s="268"/>
      <c r="F34" s="268"/>
      <c r="G34" s="268"/>
      <c r="H34" s="268"/>
      <c r="I34" s="268"/>
      <c r="J34" s="269"/>
      <c r="K34" s="27"/>
    </row>
    <row r="35" spans="1:11" s="4" customFormat="1" ht="18.75" customHeight="1" x14ac:dyDescent="0.15">
      <c r="A35" s="1"/>
      <c r="B35" s="267"/>
      <c r="C35" s="268"/>
      <c r="D35" s="268"/>
      <c r="E35" s="268"/>
      <c r="F35" s="268"/>
      <c r="G35" s="268"/>
      <c r="H35" s="268"/>
      <c r="I35" s="268"/>
      <c r="J35" s="269"/>
      <c r="K35" s="27"/>
    </row>
    <row r="36" spans="1:11" s="4" customFormat="1" ht="18.75" customHeight="1" x14ac:dyDescent="0.15">
      <c r="A36" s="1"/>
      <c r="B36" s="267"/>
      <c r="C36" s="268"/>
      <c r="D36" s="268"/>
      <c r="E36" s="268"/>
      <c r="F36" s="268"/>
      <c r="G36" s="268"/>
      <c r="H36" s="268"/>
      <c r="I36" s="268"/>
      <c r="J36" s="269"/>
      <c r="K36" s="27"/>
    </row>
    <row r="37" spans="1:11" s="4" customFormat="1" ht="18.75" customHeight="1" x14ac:dyDescent="0.15">
      <c r="A37" s="1"/>
      <c r="B37" s="267"/>
      <c r="C37" s="268"/>
      <c r="D37" s="268"/>
      <c r="E37" s="268"/>
      <c r="F37" s="268"/>
      <c r="G37" s="268"/>
      <c r="H37" s="268"/>
      <c r="I37" s="268"/>
      <c r="J37" s="269"/>
      <c r="K37" s="27"/>
    </row>
    <row r="38" spans="1:11" s="4" customFormat="1" ht="18.75" customHeight="1" x14ac:dyDescent="0.15">
      <c r="A38" s="1"/>
      <c r="B38" s="267"/>
      <c r="C38" s="268"/>
      <c r="D38" s="268"/>
      <c r="E38" s="268"/>
      <c r="F38" s="268"/>
      <c r="G38" s="268"/>
      <c r="H38" s="268"/>
      <c r="I38" s="268"/>
      <c r="J38" s="269"/>
      <c r="K38" s="27"/>
    </row>
    <row r="39" spans="1:11" s="4" customFormat="1" ht="18.75" customHeight="1" x14ac:dyDescent="0.15">
      <c r="A39" s="1"/>
      <c r="B39" s="267"/>
      <c r="C39" s="268"/>
      <c r="D39" s="268"/>
      <c r="E39" s="268"/>
      <c r="F39" s="268"/>
      <c r="G39" s="268"/>
      <c r="H39" s="268"/>
      <c r="I39" s="268"/>
      <c r="J39" s="269"/>
      <c r="K39" s="27"/>
    </row>
    <row r="40" spans="1:11" s="4" customFormat="1" ht="18.75" customHeight="1" x14ac:dyDescent="0.15">
      <c r="A40" s="1"/>
      <c r="B40" s="267"/>
      <c r="C40" s="268"/>
      <c r="D40" s="268"/>
      <c r="E40" s="268"/>
      <c r="F40" s="268"/>
      <c r="G40" s="268"/>
      <c r="H40" s="268"/>
      <c r="I40" s="268"/>
      <c r="J40" s="269"/>
      <c r="K40" s="27"/>
    </row>
    <row r="41" spans="1:11" s="4" customFormat="1" ht="18.75" customHeight="1" x14ac:dyDescent="0.15">
      <c r="A41" s="1"/>
      <c r="B41" s="267"/>
      <c r="C41" s="268"/>
      <c r="D41" s="268"/>
      <c r="E41" s="268"/>
      <c r="F41" s="268"/>
      <c r="G41" s="268"/>
      <c r="H41" s="268"/>
      <c r="I41" s="268"/>
      <c r="J41" s="269"/>
      <c r="K41" s="27"/>
    </row>
    <row r="42" spans="1:11" s="4" customFormat="1" ht="18.75" customHeight="1" x14ac:dyDescent="0.15">
      <c r="A42" s="1"/>
      <c r="B42" s="267"/>
      <c r="C42" s="268"/>
      <c r="D42" s="268"/>
      <c r="E42" s="268"/>
      <c r="F42" s="268"/>
      <c r="G42" s="268"/>
      <c r="H42" s="268"/>
      <c r="I42" s="268"/>
      <c r="J42" s="269"/>
      <c r="K42" s="27"/>
    </row>
    <row r="43" spans="1:11" ht="18.75" customHeight="1" x14ac:dyDescent="0.15">
      <c r="A43" s="31"/>
      <c r="B43" s="267"/>
      <c r="C43" s="268"/>
      <c r="D43" s="268"/>
      <c r="E43" s="268"/>
      <c r="F43" s="268"/>
      <c r="G43" s="268"/>
      <c r="H43" s="268"/>
      <c r="I43" s="268"/>
      <c r="J43" s="269"/>
    </row>
    <row r="44" spans="1:11" ht="18.75" customHeight="1" x14ac:dyDescent="0.15">
      <c r="A44" s="31"/>
      <c r="B44" s="270"/>
      <c r="C44" s="271"/>
      <c r="D44" s="271"/>
      <c r="E44" s="271"/>
      <c r="F44" s="271"/>
      <c r="G44" s="271"/>
      <c r="H44" s="271"/>
      <c r="I44" s="271"/>
      <c r="J44" s="272"/>
    </row>
    <row r="45" spans="1:11" s="4" customFormat="1" ht="18.75" customHeight="1" x14ac:dyDescent="0.15">
      <c r="A45" s="91" t="s">
        <v>14</v>
      </c>
      <c r="B45" s="1" t="s">
        <v>241</v>
      </c>
      <c r="C45" s="1"/>
      <c r="D45" s="1"/>
      <c r="E45" s="1"/>
      <c r="F45" s="1"/>
      <c r="G45" s="1"/>
      <c r="H45" s="1"/>
      <c r="I45" s="91"/>
      <c r="J45" s="91"/>
      <c r="K45" s="27"/>
    </row>
    <row r="46" spans="1:11" ht="18.75" customHeight="1" x14ac:dyDescent="0.15">
      <c r="A46" s="31"/>
      <c r="B46" s="256" t="s">
        <v>242</v>
      </c>
      <c r="C46" s="257"/>
      <c r="D46" s="257"/>
      <c r="E46" s="257"/>
      <c r="F46" s="257"/>
      <c r="G46" s="257"/>
      <c r="H46" s="257"/>
      <c r="I46" s="257"/>
      <c r="J46" s="258"/>
      <c r="K46" s="27" t="str">
        <f>IF(B46="","入力してください","")</f>
        <v/>
      </c>
    </row>
    <row r="47" spans="1:11" ht="18.75" customHeight="1" x14ac:dyDescent="0.15">
      <c r="A47" s="31"/>
      <c r="B47" s="259"/>
      <c r="C47" s="260"/>
      <c r="D47" s="260"/>
      <c r="E47" s="260"/>
      <c r="F47" s="260"/>
      <c r="G47" s="260"/>
      <c r="H47" s="260"/>
      <c r="I47" s="260"/>
      <c r="J47" s="261"/>
    </row>
    <row r="48" spans="1:11" ht="18.75" customHeight="1" x14ac:dyDescent="0.15">
      <c r="A48" s="31"/>
      <c r="B48" s="259"/>
      <c r="C48" s="260"/>
      <c r="D48" s="260"/>
      <c r="E48" s="260"/>
      <c r="F48" s="260"/>
      <c r="G48" s="260"/>
      <c r="H48" s="260"/>
      <c r="I48" s="260"/>
      <c r="J48" s="261"/>
    </row>
    <row r="49" spans="1:10" ht="18.75" customHeight="1" x14ac:dyDescent="0.15">
      <c r="A49" s="31"/>
      <c r="B49" s="259"/>
      <c r="C49" s="260"/>
      <c r="D49" s="260"/>
      <c r="E49" s="260"/>
      <c r="F49" s="260"/>
      <c r="G49" s="260"/>
      <c r="H49" s="260"/>
      <c r="I49" s="260"/>
      <c r="J49" s="261"/>
    </row>
    <row r="50" spans="1:10" ht="18.75" customHeight="1" x14ac:dyDescent="0.15">
      <c r="A50" s="31"/>
      <c r="B50" s="259"/>
      <c r="C50" s="260"/>
      <c r="D50" s="260"/>
      <c r="E50" s="260"/>
      <c r="F50" s="260"/>
      <c r="G50" s="260"/>
      <c r="H50" s="260"/>
      <c r="I50" s="260"/>
      <c r="J50" s="261"/>
    </row>
    <row r="51" spans="1:10" ht="18.75" customHeight="1" x14ac:dyDescent="0.15">
      <c r="A51" s="31"/>
      <c r="B51" s="259"/>
      <c r="C51" s="260"/>
      <c r="D51" s="260"/>
      <c r="E51" s="260"/>
      <c r="F51" s="260"/>
      <c r="G51" s="260"/>
      <c r="H51" s="260"/>
      <c r="I51" s="260"/>
      <c r="J51" s="261"/>
    </row>
    <row r="52" spans="1:10" ht="18.75" customHeight="1" x14ac:dyDescent="0.15">
      <c r="A52" s="31"/>
      <c r="B52" s="259"/>
      <c r="C52" s="260"/>
      <c r="D52" s="260"/>
      <c r="E52" s="260"/>
      <c r="F52" s="260"/>
      <c r="G52" s="260"/>
      <c r="H52" s="260"/>
      <c r="I52" s="260"/>
      <c r="J52" s="261"/>
    </row>
    <row r="53" spans="1:10" ht="18.75" customHeight="1" x14ac:dyDescent="0.15">
      <c r="A53" s="31"/>
      <c r="B53" s="259"/>
      <c r="C53" s="260"/>
      <c r="D53" s="260"/>
      <c r="E53" s="260"/>
      <c r="F53" s="260"/>
      <c r="G53" s="260"/>
      <c r="H53" s="260"/>
      <c r="I53" s="260"/>
      <c r="J53" s="261"/>
    </row>
    <row r="54" spans="1:10" ht="18.75" customHeight="1" x14ac:dyDescent="0.15">
      <c r="A54" s="31"/>
      <c r="B54" s="259"/>
      <c r="C54" s="260"/>
      <c r="D54" s="260"/>
      <c r="E54" s="260"/>
      <c r="F54" s="260"/>
      <c r="G54" s="260"/>
      <c r="H54" s="260"/>
      <c r="I54" s="260"/>
      <c r="J54" s="261"/>
    </row>
    <row r="55" spans="1:10" ht="18.75" customHeight="1" x14ac:dyDescent="0.15">
      <c r="A55" s="31"/>
      <c r="B55" s="259"/>
      <c r="C55" s="260"/>
      <c r="D55" s="260"/>
      <c r="E55" s="260"/>
      <c r="F55" s="260"/>
      <c r="G55" s="260"/>
      <c r="H55" s="260"/>
      <c r="I55" s="260"/>
      <c r="J55" s="261"/>
    </row>
    <row r="56" spans="1:10" ht="18.75" customHeight="1" x14ac:dyDescent="0.15">
      <c r="A56" s="31"/>
      <c r="B56" s="259"/>
      <c r="C56" s="260"/>
      <c r="D56" s="260"/>
      <c r="E56" s="260"/>
      <c r="F56" s="260"/>
      <c r="G56" s="260"/>
      <c r="H56" s="260"/>
      <c r="I56" s="260"/>
      <c r="J56" s="261"/>
    </row>
    <row r="57" spans="1:10" ht="18.75" customHeight="1" x14ac:dyDescent="0.15">
      <c r="A57" s="31"/>
      <c r="B57" s="259"/>
      <c r="C57" s="260"/>
      <c r="D57" s="260"/>
      <c r="E57" s="260"/>
      <c r="F57" s="260"/>
      <c r="G57" s="260"/>
      <c r="H57" s="260"/>
      <c r="I57" s="260"/>
      <c r="J57" s="261"/>
    </row>
    <row r="58" spans="1:10" ht="18.75" customHeight="1" x14ac:dyDescent="0.15">
      <c r="A58" s="31"/>
      <c r="B58" s="259"/>
      <c r="C58" s="260"/>
      <c r="D58" s="260"/>
      <c r="E58" s="260"/>
      <c r="F58" s="260"/>
      <c r="G58" s="260"/>
      <c r="H58" s="260"/>
      <c r="I58" s="260"/>
      <c r="J58" s="261"/>
    </row>
    <row r="59" spans="1:10" ht="18.75" customHeight="1" x14ac:dyDescent="0.15">
      <c r="A59" s="31"/>
      <c r="B59" s="259"/>
      <c r="C59" s="260"/>
      <c r="D59" s="260"/>
      <c r="E59" s="260"/>
      <c r="F59" s="260"/>
      <c r="G59" s="260"/>
      <c r="H59" s="260"/>
      <c r="I59" s="260"/>
      <c r="J59" s="261"/>
    </row>
    <row r="60" spans="1:10" ht="18.75" customHeight="1" x14ac:dyDescent="0.15">
      <c r="A60" s="31"/>
      <c r="B60" s="259"/>
      <c r="C60" s="260"/>
      <c r="D60" s="260"/>
      <c r="E60" s="260"/>
      <c r="F60" s="260"/>
      <c r="G60" s="260"/>
      <c r="H60" s="260"/>
      <c r="I60" s="260"/>
      <c r="J60" s="261"/>
    </row>
    <row r="61" spans="1:10" ht="18.75" customHeight="1" x14ac:dyDescent="0.15">
      <c r="A61" s="31"/>
      <c r="B61" s="259"/>
      <c r="C61" s="260"/>
      <c r="D61" s="260"/>
      <c r="E61" s="260"/>
      <c r="F61" s="260"/>
      <c r="G61" s="260"/>
      <c r="H61" s="260"/>
      <c r="I61" s="260"/>
      <c r="J61" s="261"/>
    </row>
    <row r="62" spans="1:10" ht="18.75" customHeight="1" x14ac:dyDescent="0.15">
      <c r="A62" s="31"/>
      <c r="B62" s="259"/>
      <c r="C62" s="260"/>
      <c r="D62" s="260"/>
      <c r="E62" s="260"/>
      <c r="F62" s="260"/>
      <c r="G62" s="260"/>
      <c r="H62" s="260"/>
      <c r="I62" s="260"/>
      <c r="J62" s="261"/>
    </row>
    <row r="63" spans="1:10" ht="18.75" customHeight="1" x14ac:dyDescent="0.15">
      <c r="A63" s="31"/>
      <c r="B63" s="259"/>
      <c r="C63" s="260"/>
      <c r="D63" s="260"/>
      <c r="E63" s="260"/>
      <c r="F63" s="260"/>
      <c r="G63" s="260"/>
      <c r="H63" s="260"/>
      <c r="I63" s="260"/>
      <c r="J63" s="261"/>
    </row>
    <row r="64" spans="1:10" ht="18.75" customHeight="1" x14ac:dyDescent="0.15">
      <c r="A64" s="31"/>
      <c r="B64" s="259"/>
      <c r="C64" s="260"/>
      <c r="D64" s="260"/>
      <c r="E64" s="260"/>
      <c r="F64" s="260"/>
      <c r="G64" s="260"/>
      <c r="H64" s="260"/>
      <c r="I64" s="260"/>
      <c r="J64" s="261"/>
    </row>
    <row r="65" spans="1:11" ht="18.75" customHeight="1" x14ac:dyDescent="0.15">
      <c r="A65" s="31"/>
      <c r="B65" s="259"/>
      <c r="C65" s="260"/>
      <c r="D65" s="260"/>
      <c r="E65" s="260"/>
      <c r="F65" s="260"/>
      <c r="G65" s="260"/>
      <c r="H65" s="260"/>
      <c r="I65" s="260"/>
      <c r="J65" s="261"/>
    </row>
    <row r="66" spans="1:11" ht="18.75" customHeight="1" x14ac:dyDescent="0.15">
      <c r="A66" s="31"/>
      <c r="B66" s="262"/>
      <c r="C66" s="263"/>
      <c r="D66" s="263"/>
      <c r="E66" s="263"/>
      <c r="F66" s="263"/>
      <c r="G66" s="263"/>
      <c r="H66" s="263"/>
      <c r="I66" s="263"/>
      <c r="J66" s="264"/>
    </row>
    <row r="67" spans="1:11" ht="7.5" customHeight="1" x14ac:dyDescent="0.15">
      <c r="A67" s="31"/>
      <c r="B67" s="31"/>
      <c r="C67" s="31"/>
      <c r="D67" s="31"/>
      <c r="E67" s="31"/>
      <c r="F67" s="31"/>
      <c r="G67" s="31"/>
      <c r="H67" s="31"/>
      <c r="I67" s="31"/>
      <c r="J67" s="31"/>
    </row>
    <row r="68" spans="1:11" s="4" customFormat="1" ht="18.75" customHeight="1" x14ac:dyDescent="0.15">
      <c r="A68" s="1" t="s">
        <v>17</v>
      </c>
      <c r="B68" s="1" t="s">
        <v>243</v>
      </c>
      <c r="C68" s="1"/>
      <c r="D68" s="1"/>
      <c r="E68" s="1"/>
      <c r="F68" s="1"/>
      <c r="G68" s="1"/>
      <c r="H68" s="1"/>
      <c r="I68" s="1"/>
      <c r="J68" s="1"/>
      <c r="K68" s="27"/>
    </row>
    <row r="69" spans="1:11" s="4" customFormat="1" ht="18.75" customHeight="1" x14ac:dyDescent="0.15">
      <c r="A69" s="1"/>
      <c r="B69" s="256" t="s">
        <v>244</v>
      </c>
      <c r="C69" s="257"/>
      <c r="D69" s="257"/>
      <c r="E69" s="257"/>
      <c r="F69" s="257"/>
      <c r="G69" s="257"/>
      <c r="H69" s="257"/>
      <c r="I69" s="265"/>
      <c r="J69" s="266"/>
      <c r="K69" s="27" t="str">
        <f>IF(B69="","入力してください","")</f>
        <v/>
      </c>
    </row>
    <row r="70" spans="1:11" s="4" customFormat="1" ht="18.75" customHeight="1" x14ac:dyDescent="0.15">
      <c r="A70" s="1"/>
      <c r="B70" s="267"/>
      <c r="C70" s="268"/>
      <c r="D70" s="268"/>
      <c r="E70" s="268"/>
      <c r="F70" s="268"/>
      <c r="G70" s="268"/>
      <c r="H70" s="268"/>
      <c r="I70" s="268"/>
      <c r="J70" s="269"/>
      <c r="K70" s="27"/>
    </row>
    <row r="71" spans="1:11" s="4" customFormat="1" ht="18.75" customHeight="1" x14ac:dyDescent="0.15">
      <c r="A71" s="1"/>
      <c r="B71" s="267"/>
      <c r="C71" s="268"/>
      <c r="D71" s="268"/>
      <c r="E71" s="268"/>
      <c r="F71" s="268"/>
      <c r="G71" s="268"/>
      <c r="H71" s="268"/>
      <c r="I71" s="268"/>
      <c r="J71" s="269"/>
      <c r="K71" s="27"/>
    </row>
    <row r="72" spans="1:11" s="4" customFormat="1" ht="18.75" customHeight="1" x14ac:dyDescent="0.15">
      <c r="A72" s="1"/>
      <c r="B72" s="267"/>
      <c r="C72" s="268"/>
      <c r="D72" s="268"/>
      <c r="E72" s="268"/>
      <c r="F72" s="268"/>
      <c r="G72" s="268"/>
      <c r="H72" s="268"/>
      <c r="I72" s="268"/>
      <c r="J72" s="269"/>
      <c r="K72" s="27"/>
    </row>
    <row r="73" spans="1:11" s="4" customFormat="1" ht="18.75" customHeight="1" x14ac:dyDescent="0.15">
      <c r="A73" s="1"/>
      <c r="B73" s="267"/>
      <c r="C73" s="268"/>
      <c r="D73" s="268"/>
      <c r="E73" s="268"/>
      <c r="F73" s="268"/>
      <c r="G73" s="268"/>
      <c r="H73" s="268"/>
      <c r="I73" s="268"/>
      <c r="J73" s="269"/>
      <c r="K73" s="27"/>
    </row>
    <row r="74" spans="1:11" s="4" customFormat="1" ht="18.75" customHeight="1" x14ac:dyDescent="0.15">
      <c r="A74" s="1"/>
      <c r="B74" s="267"/>
      <c r="C74" s="268"/>
      <c r="D74" s="268"/>
      <c r="E74" s="268"/>
      <c r="F74" s="268"/>
      <c r="G74" s="268"/>
      <c r="H74" s="268"/>
      <c r="I74" s="268"/>
      <c r="J74" s="269"/>
      <c r="K74" s="27"/>
    </row>
    <row r="75" spans="1:11" s="4" customFormat="1" ht="18.75" customHeight="1" x14ac:dyDescent="0.15">
      <c r="A75" s="1"/>
      <c r="B75" s="267"/>
      <c r="C75" s="268"/>
      <c r="D75" s="268"/>
      <c r="E75" s="268"/>
      <c r="F75" s="268"/>
      <c r="G75" s="268"/>
      <c r="H75" s="268"/>
      <c r="I75" s="268"/>
      <c r="J75" s="269"/>
      <c r="K75" s="27"/>
    </row>
    <row r="76" spans="1:11" s="4" customFormat="1" ht="18.75" customHeight="1" x14ac:dyDescent="0.15">
      <c r="A76" s="1"/>
      <c r="B76" s="267"/>
      <c r="C76" s="268"/>
      <c r="D76" s="268"/>
      <c r="E76" s="268"/>
      <c r="F76" s="268"/>
      <c r="G76" s="268"/>
      <c r="H76" s="268"/>
      <c r="I76" s="268"/>
      <c r="J76" s="269"/>
      <c r="K76" s="27"/>
    </row>
    <row r="77" spans="1:11" s="4" customFormat="1" ht="18.75" customHeight="1" x14ac:dyDescent="0.15">
      <c r="A77" s="1"/>
      <c r="B77" s="267"/>
      <c r="C77" s="268"/>
      <c r="D77" s="268"/>
      <c r="E77" s="268"/>
      <c r="F77" s="268"/>
      <c r="G77" s="268"/>
      <c r="H77" s="268"/>
      <c r="I77" s="268"/>
      <c r="J77" s="269"/>
      <c r="K77" s="27"/>
    </row>
    <row r="78" spans="1:11" s="4" customFormat="1" ht="18.75" customHeight="1" x14ac:dyDescent="0.15">
      <c r="A78" s="1"/>
      <c r="B78" s="267"/>
      <c r="C78" s="268"/>
      <c r="D78" s="268"/>
      <c r="E78" s="268"/>
      <c r="F78" s="268"/>
      <c r="G78" s="268"/>
      <c r="H78" s="268"/>
      <c r="I78" s="268"/>
      <c r="J78" s="269"/>
      <c r="K78" s="27"/>
    </row>
    <row r="79" spans="1:11" s="4" customFormat="1" ht="18.75" customHeight="1" x14ac:dyDescent="0.15">
      <c r="A79" s="1"/>
      <c r="B79" s="267"/>
      <c r="C79" s="268"/>
      <c r="D79" s="268"/>
      <c r="E79" s="268"/>
      <c r="F79" s="268"/>
      <c r="G79" s="268"/>
      <c r="H79" s="268"/>
      <c r="I79" s="268"/>
      <c r="J79" s="269"/>
      <c r="K79" s="27"/>
    </row>
    <row r="80" spans="1:11" s="4" customFormat="1" ht="18.75" customHeight="1" x14ac:dyDescent="0.15">
      <c r="A80" s="1"/>
      <c r="B80" s="267"/>
      <c r="C80" s="268"/>
      <c r="D80" s="268"/>
      <c r="E80" s="268"/>
      <c r="F80" s="268"/>
      <c r="G80" s="268"/>
      <c r="H80" s="268"/>
      <c r="I80" s="268"/>
      <c r="J80" s="269"/>
      <c r="K80" s="27"/>
    </row>
    <row r="81" spans="1:11" s="4" customFormat="1" ht="18.75" customHeight="1" x14ac:dyDescent="0.15">
      <c r="A81" s="1"/>
      <c r="B81" s="267"/>
      <c r="C81" s="268"/>
      <c r="D81" s="268"/>
      <c r="E81" s="268"/>
      <c r="F81" s="268"/>
      <c r="G81" s="268"/>
      <c r="H81" s="268"/>
      <c r="I81" s="268"/>
      <c r="J81" s="269"/>
      <c r="K81" s="27"/>
    </row>
    <row r="82" spans="1:11" s="4" customFormat="1" ht="18.75" customHeight="1" x14ac:dyDescent="0.15">
      <c r="A82" s="1"/>
      <c r="B82" s="267"/>
      <c r="C82" s="268"/>
      <c r="D82" s="268"/>
      <c r="E82" s="268"/>
      <c r="F82" s="268"/>
      <c r="G82" s="268"/>
      <c r="H82" s="268"/>
      <c r="I82" s="268"/>
      <c r="J82" s="269"/>
      <c r="K82" s="27"/>
    </row>
    <row r="83" spans="1:11" s="4" customFormat="1" ht="18.75" customHeight="1" x14ac:dyDescent="0.15">
      <c r="A83" s="1"/>
      <c r="B83" s="267"/>
      <c r="C83" s="268"/>
      <c r="D83" s="268"/>
      <c r="E83" s="268"/>
      <c r="F83" s="268"/>
      <c r="G83" s="268"/>
      <c r="H83" s="268"/>
      <c r="I83" s="268"/>
      <c r="J83" s="269"/>
      <c r="K83" s="27"/>
    </row>
    <row r="84" spans="1:11" s="4" customFormat="1" ht="18.75" customHeight="1" x14ac:dyDescent="0.15">
      <c r="A84" s="1"/>
      <c r="B84" s="267"/>
      <c r="C84" s="268"/>
      <c r="D84" s="268"/>
      <c r="E84" s="268"/>
      <c r="F84" s="268"/>
      <c r="G84" s="268"/>
      <c r="H84" s="268"/>
      <c r="I84" s="268"/>
      <c r="J84" s="269"/>
      <c r="K84" s="27"/>
    </row>
    <row r="85" spans="1:11" ht="18.75" customHeight="1" x14ac:dyDescent="0.15">
      <c r="A85" s="31"/>
      <c r="B85" s="267"/>
      <c r="C85" s="268"/>
      <c r="D85" s="268"/>
      <c r="E85" s="268"/>
      <c r="F85" s="268"/>
      <c r="G85" s="268"/>
      <c r="H85" s="268"/>
      <c r="I85" s="268"/>
      <c r="J85" s="269"/>
    </row>
    <row r="86" spans="1:11" ht="18.75" customHeight="1" x14ac:dyDescent="0.15">
      <c r="A86" s="31"/>
      <c r="B86" s="270"/>
      <c r="C86" s="271"/>
      <c r="D86" s="271"/>
      <c r="E86" s="271"/>
      <c r="F86" s="271"/>
      <c r="G86" s="271"/>
      <c r="H86" s="271"/>
      <c r="I86" s="271"/>
      <c r="J86" s="272"/>
    </row>
    <row r="87" spans="1:11" ht="7.5" customHeight="1" x14ac:dyDescent="0.15">
      <c r="A87" s="31"/>
      <c r="B87" s="31"/>
      <c r="C87" s="31"/>
      <c r="D87" s="31"/>
      <c r="E87" s="31"/>
      <c r="F87" s="31"/>
      <c r="G87" s="31"/>
      <c r="H87" s="31"/>
      <c r="I87" s="31"/>
      <c r="J87" s="31"/>
    </row>
    <row r="88" spans="1:11" s="4" customFormat="1" ht="18.75" customHeight="1" x14ac:dyDescent="0.15">
      <c r="A88" s="1" t="s">
        <v>245</v>
      </c>
      <c r="B88" s="1" t="s">
        <v>246</v>
      </c>
      <c r="C88" s="1"/>
      <c r="D88" s="1"/>
      <c r="E88" s="1"/>
      <c r="F88" s="1"/>
      <c r="G88" s="1"/>
      <c r="H88" s="1"/>
      <c r="I88" s="1"/>
      <c r="J88" s="1"/>
      <c r="K88" s="27"/>
    </row>
    <row r="89" spans="1:11" s="4" customFormat="1" ht="18.75" customHeight="1" x14ac:dyDescent="0.15">
      <c r="A89" s="1"/>
      <c r="B89" s="256" t="s">
        <v>247</v>
      </c>
      <c r="C89" s="257"/>
      <c r="D89" s="257"/>
      <c r="E89" s="257"/>
      <c r="F89" s="257"/>
      <c r="G89" s="257"/>
      <c r="H89" s="257"/>
      <c r="I89" s="265"/>
      <c r="J89" s="266"/>
      <c r="K89" s="27"/>
    </row>
    <row r="90" spans="1:11" s="4" customFormat="1" ht="18.75" customHeight="1" x14ac:dyDescent="0.15">
      <c r="A90" s="1"/>
      <c r="B90" s="267"/>
      <c r="C90" s="268"/>
      <c r="D90" s="268"/>
      <c r="E90" s="268"/>
      <c r="F90" s="268"/>
      <c r="G90" s="268"/>
      <c r="H90" s="268"/>
      <c r="I90" s="268"/>
      <c r="J90" s="269"/>
      <c r="K90" s="27"/>
    </row>
    <row r="91" spans="1:11" s="4" customFormat="1" ht="18.75" customHeight="1" x14ac:dyDescent="0.15">
      <c r="A91" s="1"/>
      <c r="B91" s="267"/>
      <c r="C91" s="268"/>
      <c r="D91" s="268"/>
      <c r="E91" s="268"/>
      <c r="F91" s="268"/>
      <c r="G91" s="268"/>
      <c r="H91" s="268"/>
      <c r="I91" s="268"/>
      <c r="J91" s="269"/>
      <c r="K91" s="27" t="str">
        <f>IF(B89="","入力してください","")</f>
        <v/>
      </c>
    </row>
    <row r="92" spans="1:11" s="4" customFormat="1" ht="18.75" customHeight="1" x14ac:dyDescent="0.15">
      <c r="A92" s="1"/>
      <c r="B92" s="267"/>
      <c r="C92" s="268"/>
      <c r="D92" s="268"/>
      <c r="E92" s="268"/>
      <c r="F92" s="268"/>
      <c r="G92" s="268"/>
      <c r="H92" s="268"/>
      <c r="I92" s="268"/>
      <c r="J92" s="269"/>
      <c r="K92" s="27"/>
    </row>
    <row r="93" spans="1:11" s="4" customFormat="1" ht="18.75" customHeight="1" x14ac:dyDescent="0.15">
      <c r="A93" s="1"/>
      <c r="B93" s="267"/>
      <c r="C93" s="268"/>
      <c r="D93" s="268"/>
      <c r="E93" s="268"/>
      <c r="F93" s="268"/>
      <c r="G93" s="268"/>
      <c r="H93" s="268"/>
      <c r="I93" s="268"/>
      <c r="J93" s="269"/>
      <c r="K93" s="27"/>
    </row>
    <row r="94" spans="1:11" s="4" customFormat="1" ht="18.75" customHeight="1" x14ac:dyDescent="0.15">
      <c r="A94" s="1"/>
      <c r="B94" s="267"/>
      <c r="C94" s="268"/>
      <c r="D94" s="268"/>
      <c r="E94" s="268"/>
      <c r="F94" s="268"/>
      <c r="G94" s="268"/>
      <c r="H94" s="268"/>
      <c r="I94" s="268"/>
      <c r="J94" s="269"/>
      <c r="K94" s="27"/>
    </row>
    <row r="95" spans="1:11" s="4" customFormat="1" ht="18.75" customHeight="1" x14ac:dyDescent="0.15">
      <c r="A95" s="1"/>
      <c r="B95" s="267"/>
      <c r="C95" s="268"/>
      <c r="D95" s="268"/>
      <c r="E95" s="268"/>
      <c r="F95" s="268"/>
      <c r="G95" s="268"/>
      <c r="H95" s="268"/>
      <c r="I95" s="268"/>
      <c r="J95" s="269"/>
      <c r="K95" s="27"/>
    </row>
    <row r="96" spans="1:11" s="4" customFormat="1" ht="18.75" customHeight="1" x14ac:dyDescent="0.15">
      <c r="A96" s="1"/>
      <c r="B96" s="267"/>
      <c r="C96" s="268"/>
      <c r="D96" s="268"/>
      <c r="E96" s="268"/>
      <c r="F96" s="268"/>
      <c r="G96" s="268"/>
      <c r="H96" s="268"/>
      <c r="I96" s="268"/>
      <c r="J96" s="269"/>
      <c r="K96" s="27"/>
    </row>
    <row r="97" spans="1:11" s="4" customFormat="1" ht="18.75" customHeight="1" x14ac:dyDescent="0.15">
      <c r="A97" s="1"/>
      <c r="B97" s="267"/>
      <c r="C97" s="268"/>
      <c r="D97" s="268"/>
      <c r="E97" s="268"/>
      <c r="F97" s="268"/>
      <c r="G97" s="268"/>
      <c r="H97" s="268"/>
      <c r="I97" s="268"/>
      <c r="J97" s="269"/>
      <c r="K97" s="27"/>
    </row>
    <row r="98" spans="1:11" s="4" customFormat="1" ht="18.75" customHeight="1" x14ac:dyDescent="0.15">
      <c r="A98" s="1"/>
      <c r="B98" s="267"/>
      <c r="C98" s="268"/>
      <c r="D98" s="268"/>
      <c r="E98" s="268"/>
      <c r="F98" s="268"/>
      <c r="G98" s="268"/>
      <c r="H98" s="268"/>
      <c r="I98" s="268"/>
      <c r="J98" s="269"/>
      <c r="K98" s="27"/>
    </row>
    <row r="99" spans="1:11" s="4" customFormat="1" ht="18.75" customHeight="1" x14ac:dyDescent="0.15">
      <c r="A99" s="1"/>
      <c r="B99" s="267"/>
      <c r="C99" s="268"/>
      <c r="D99" s="268"/>
      <c r="E99" s="268"/>
      <c r="F99" s="268"/>
      <c r="G99" s="268"/>
      <c r="H99" s="268"/>
      <c r="I99" s="268"/>
      <c r="J99" s="269"/>
      <c r="K99" s="27"/>
    </row>
    <row r="100" spans="1:11" s="4" customFormat="1" ht="18.75" customHeight="1" x14ac:dyDescent="0.15">
      <c r="A100" s="1"/>
      <c r="B100" s="267"/>
      <c r="C100" s="268"/>
      <c r="D100" s="268"/>
      <c r="E100" s="268"/>
      <c r="F100" s="268"/>
      <c r="G100" s="268"/>
      <c r="H100" s="268"/>
      <c r="I100" s="268"/>
      <c r="J100" s="269"/>
      <c r="K100" s="27"/>
    </row>
    <row r="101" spans="1:11" s="4" customFormat="1" ht="18.75" customHeight="1" x14ac:dyDescent="0.15">
      <c r="A101" s="1"/>
      <c r="B101" s="267"/>
      <c r="C101" s="268"/>
      <c r="D101" s="268"/>
      <c r="E101" s="268"/>
      <c r="F101" s="268"/>
      <c r="G101" s="268"/>
      <c r="H101" s="268"/>
      <c r="I101" s="268"/>
      <c r="J101" s="269"/>
      <c r="K101" s="27"/>
    </row>
    <row r="102" spans="1:11" s="4" customFormat="1" ht="18.75" customHeight="1" x14ac:dyDescent="0.15">
      <c r="A102" s="1"/>
      <c r="B102" s="267"/>
      <c r="C102" s="268"/>
      <c r="D102" s="268"/>
      <c r="E102" s="268"/>
      <c r="F102" s="268"/>
      <c r="G102" s="268"/>
      <c r="H102" s="268"/>
      <c r="I102" s="268"/>
      <c r="J102" s="269"/>
      <c r="K102" s="27"/>
    </row>
    <row r="103" spans="1:11" s="4" customFormat="1" ht="18.75" customHeight="1" x14ac:dyDescent="0.15">
      <c r="A103" s="1"/>
      <c r="B103" s="267"/>
      <c r="C103" s="268"/>
      <c r="D103" s="268"/>
      <c r="E103" s="268"/>
      <c r="F103" s="268"/>
      <c r="G103" s="268"/>
      <c r="H103" s="268"/>
      <c r="I103" s="268"/>
      <c r="J103" s="269"/>
      <c r="K103" s="27"/>
    </row>
    <row r="104" spans="1:11" s="4" customFormat="1" ht="18.75" customHeight="1" x14ac:dyDescent="0.15">
      <c r="A104" s="1"/>
      <c r="B104" s="267"/>
      <c r="C104" s="268"/>
      <c r="D104" s="268"/>
      <c r="E104" s="268"/>
      <c r="F104" s="268"/>
      <c r="G104" s="268"/>
      <c r="H104" s="268"/>
      <c r="I104" s="268"/>
      <c r="J104" s="269"/>
      <c r="K104" s="27"/>
    </row>
    <row r="105" spans="1:11" s="4" customFormat="1" ht="18.75" customHeight="1" x14ac:dyDescent="0.15">
      <c r="A105" s="1"/>
      <c r="B105" s="267"/>
      <c r="C105" s="268"/>
      <c r="D105" s="268"/>
      <c r="E105" s="268"/>
      <c r="F105" s="268"/>
      <c r="G105" s="268"/>
      <c r="H105" s="268"/>
      <c r="I105" s="268"/>
      <c r="J105" s="269"/>
      <c r="K105" s="27"/>
    </row>
    <row r="106" spans="1:11" s="4" customFormat="1" ht="18.75" customHeight="1" x14ac:dyDescent="0.15">
      <c r="A106" s="1"/>
      <c r="B106" s="267"/>
      <c r="C106" s="268"/>
      <c r="D106" s="268"/>
      <c r="E106" s="268"/>
      <c r="F106" s="268"/>
      <c r="G106" s="268"/>
      <c r="H106" s="268"/>
      <c r="I106" s="268"/>
      <c r="J106" s="269"/>
      <c r="K106" s="27"/>
    </row>
    <row r="107" spans="1:11" ht="18.75" customHeight="1" x14ac:dyDescent="0.15">
      <c r="A107" s="31"/>
      <c r="B107" s="267"/>
      <c r="C107" s="268"/>
      <c r="D107" s="268"/>
      <c r="E107" s="268"/>
      <c r="F107" s="268"/>
      <c r="G107" s="268"/>
      <c r="H107" s="268"/>
      <c r="I107" s="268"/>
      <c r="J107" s="269"/>
    </row>
    <row r="108" spans="1:11" ht="18.75" customHeight="1" x14ac:dyDescent="0.15">
      <c r="A108" s="31"/>
      <c r="B108" s="270"/>
      <c r="C108" s="271"/>
      <c r="D108" s="271"/>
      <c r="E108" s="271"/>
      <c r="F108" s="271"/>
      <c r="G108" s="271"/>
      <c r="H108" s="271"/>
      <c r="I108" s="271"/>
      <c r="J108" s="272"/>
    </row>
    <row r="109" spans="1:11" ht="7.5" customHeight="1" x14ac:dyDescent="0.15">
      <c r="A109" s="31"/>
      <c r="B109" s="110"/>
      <c r="C109" s="31"/>
      <c r="D109" s="31"/>
      <c r="E109" s="31"/>
      <c r="F109" s="31"/>
      <c r="G109" s="31"/>
      <c r="H109" s="31"/>
      <c r="I109" s="31"/>
      <c r="J109" s="31"/>
    </row>
    <row r="110" spans="1:11" s="4" customFormat="1" ht="18.75" customHeight="1" x14ac:dyDescent="0.15">
      <c r="A110" s="1" t="s">
        <v>22</v>
      </c>
      <c r="B110" s="273" t="s">
        <v>248</v>
      </c>
      <c r="C110" s="273"/>
      <c r="D110" s="273"/>
      <c r="E110" s="273"/>
      <c r="F110" s="273"/>
      <c r="G110" s="273"/>
      <c r="H110" s="273"/>
      <c r="I110" s="273"/>
      <c r="J110" s="273"/>
      <c r="K110" s="27"/>
    </row>
    <row r="111" spans="1:11" ht="18.75" customHeight="1" x14ac:dyDescent="0.15">
      <c r="A111" s="31"/>
      <c r="B111" s="256" t="s">
        <v>249</v>
      </c>
      <c r="C111" s="257"/>
      <c r="D111" s="257"/>
      <c r="E111" s="257"/>
      <c r="F111" s="257"/>
      <c r="G111" s="257"/>
      <c r="H111" s="257"/>
      <c r="I111" s="265"/>
      <c r="J111" s="266"/>
    </row>
    <row r="112" spans="1:11" ht="18.75" customHeight="1" x14ac:dyDescent="0.15">
      <c r="A112" s="31"/>
      <c r="B112" s="267"/>
      <c r="C112" s="268"/>
      <c r="D112" s="268"/>
      <c r="E112" s="268"/>
      <c r="F112" s="268"/>
      <c r="G112" s="268"/>
      <c r="H112" s="268"/>
      <c r="I112" s="268"/>
      <c r="J112" s="269"/>
    </row>
    <row r="113" spans="1:11" ht="18.75" customHeight="1" x14ac:dyDescent="0.15">
      <c r="A113" s="31"/>
      <c r="B113" s="267"/>
      <c r="C113" s="268"/>
      <c r="D113" s="268"/>
      <c r="E113" s="268"/>
      <c r="F113" s="268"/>
      <c r="G113" s="268"/>
      <c r="H113" s="268"/>
      <c r="I113" s="268"/>
      <c r="J113" s="269"/>
      <c r="K113" s="27" t="str">
        <f>IF(B111="","入力してください","")</f>
        <v/>
      </c>
    </row>
    <row r="114" spans="1:11" ht="18.75" customHeight="1" x14ac:dyDescent="0.15">
      <c r="A114" s="31"/>
      <c r="B114" s="267"/>
      <c r="C114" s="268"/>
      <c r="D114" s="268"/>
      <c r="E114" s="268"/>
      <c r="F114" s="268"/>
      <c r="G114" s="268"/>
      <c r="H114" s="268"/>
      <c r="I114" s="268"/>
      <c r="J114" s="269"/>
    </row>
    <row r="115" spans="1:11" ht="18.75" customHeight="1" x14ac:dyDescent="0.15">
      <c r="A115" s="31"/>
      <c r="B115" s="267"/>
      <c r="C115" s="268"/>
      <c r="D115" s="268"/>
      <c r="E115" s="268"/>
      <c r="F115" s="268"/>
      <c r="G115" s="268"/>
      <c r="H115" s="268"/>
      <c r="I115" s="268"/>
      <c r="J115" s="269"/>
    </row>
    <row r="116" spans="1:11" ht="18.75" customHeight="1" x14ac:dyDescent="0.15">
      <c r="A116" s="31"/>
      <c r="B116" s="267"/>
      <c r="C116" s="268"/>
      <c r="D116" s="268"/>
      <c r="E116" s="268"/>
      <c r="F116" s="268"/>
      <c r="G116" s="268"/>
      <c r="H116" s="268"/>
      <c r="I116" s="268"/>
      <c r="J116" s="269"/>
    </row>
    <row r="117" spans="1:11" ht="18.75" customHeight="1" x14ac:dyDescent="0.15">
      <c r="A117" s="31"/>
      <c r="B117" s="267"/>
      <c r="C117" s="268"/>
      <c r="D117" s="268"/>
      <c r="E117" s="268"/>
      <c r="F117" s="268"/>
      <c r="G117" s="268"/>
      <c r="H117" s="268"/>
      <c r="I117" s="268"/>
      <c r="J117" s="269"/>
    </row>
    <row r="118" spans="1:11" ht="18.75" customHeight="1" x14ac:dyDescent="0.15">
      <c r="A118" s="31"/>
      <c r="B118" s="267"/>
      <c r="C118" s="268"/>
      <c r="D118" s="268"/>
      <c r="E118" s="268"/>
      <c r="F118" s="268"/>
      <c r="G118" s="268"/>
      <c r="H118" s="268"/>
      <c r="I118" s="268"/>
      <c r="J118" s="269"/>
    </row>
    <row r="119" spans="1:11" ht="18.75" customHeight="1" x14ac:dyDescent="0.15">
      <c r="A119" s="31"/>
      <c r="B119" s="267"/>
      <c r="C119" s="268"/>
      <c r="D119" s="268"/>
      <c r="E119" s="268"/>
      <c r="F119" s="268"/>
      <c r="G119" s="268"/>
      <c r="H119" s="268"/>
      <c r="I119" s="268"/>
      <c r="J119" s="269"/>
    </row>
    <row r="120" spans="1:11" ht="18.75" customHeight="1" x14ac:dyDescent="0.15">
      <c r="A120" s="31"/>
      <c r="B120" s="267"/>
      <c r="C120" s="268"/>
      <c r="D120" s="268"/>
      <c r="E120" s="268"/>
      <c r="F120" s="268"/>
      <c r="G120" s="268"/>
      <c r="H120" s="268"/>
      <c r="I120" s="268"/>
      <c r="J120" s="269"/>
    </row>
    <row r="121" spans="1:11" ht="18.75" customHeight="1" x14ac:dyDescent="0.15">
      <c r="A121" s="31"/>
      <c r="B121" s="267"/>
      <c r="C121" s="268"/>
      <c r="D121" s="268"/>
      <c r="E121" s="268"/>
      <c r="F121" s="268"/>
      <c r="G121" s="268"/>
      <c r="H121" s="268"/>
      <c r="I121" s="268"/>
      <c r="J121" s="269"/>
    </row>
    <row r="122" spans="1:11" ht="18.75" customHeight="1" x14ac:dyDescent="0.15">
      <c r="A122" s="31"/>
      <c r="B122" s="267"/>
      <c r="C122" s="268"/>
      <c r="D122" s="268"/>
      <c r="E122" s="268"/>
      <c r="F122" s="268"/>
      <c r="G122" s="268"/>
      <c r="H122" s="268"/>
      <c r="I122" s="268"/>
      <c r="J122" s="269"/>
    </row>
    <row r="123" spans="1:11" ht="18.75" customHeight="1" x14ac:dyDescent="0.15">
      <c r="A123" s="31"/>
      <c r="B123" s="267"/>
      <c r="C123" s="268"/>
      <c r="D123" s="268"/>
      <c r="E123" s="268"/>
      <c r="F123" s="268"/>
      <c r="G123" s="268"/>
      <c r="H123" s="268"/>
      <c r="I123" s="268"/>
      <c r="J123" s="269"/>
    </row>
    <row r="124" spans="1:11" ht="18.75" customHeight="1" x14ac:dyDescent="0.15">
      <c r="A124" s="31"/>
      <c r="B124" s="267"/>
      <c r="C124" s="268"/>
      <c r="D124" s="268"/>
      <c r="E124" s="268"/>
      <c r="F124" s="268"/>
      <c r="G124" s="268"/>
      <c r="H124" s="268"/>
      <c r="I124" s="268"/>
      <c r="J124" s="269"/>
    </row>
    <row r="125" spans="1:11" ht="18.75" customHeight="1" x14ac:dyDescent="0.15">
      <c r="A125" s="31"/>
      <c r="B125" s="267"/>
      <c r="C125" s="268"/>
      <c r="D125" s="268"/>
      <c r="E125" s="268"/>
      <c r="F125" s="268"/>
      <c r="G125" s="268"/>
      <c r="H125" s="268"/>
      <c r="I125" s="268"/>
      <c r="J125" s="269"/>
    </row>
    <row r="126" spans="1:11" ht="18.75" customHeight="1" x14ac:dyDescent="0.15">
      <c r="A126" s="31"/>
      <c r="B126" s="267"/>
      <c r="C126" s="268"/>
      <c r="D126" s="268"/>
      <c r="E126" s="268"/>
      <c r="F126" s="268"/>
      <c r="G126" s="268"/>
      <c r="H126" s="268"/>
      <c r="I126" s="268"/>
      <c r="J126" s="269"/>
    </row>
    <row r="127" spans="1:11" ht="18.75" customHeight="1" x14ac:dyDescent="0.15">
      <c r="A127" s="31"/>
      <c r="B127" s="267"/>
      <c r="C127" s="268"/>
      <c r="D127" s="268"/>
      <c r="E127" s="268"/>
      <c r="F127" s="268"/>
      <c r="G127" s="268"/>
      <c r="H127" s="268"/>
      <c r="I127" s="268"/>
      <c r="J127" s="269"/>
    </row>
    <row r="128" spans="1:11" ht="18.75" customHeight="1" x14ac:dyDescent="0.15">
      <c r="A128" s="31"/>
      <c r="B128" s="267"/>
      <c r="C128" s="268"/>
      <c r="D128" s="268"/>
      <c r="E128" s="268"/>
      <c r="F128" s="268"/>
      <c r="G128" s="268"/>
      <c r="H128" s="268"/>
      <c r="I128" s="268"/>
      <c r="J128" s="269"/>
    </row>
    <row r="129" spans="1:10" ht="18.75" customHeight="1" x14ac:dyDescent="0.15">
      <c r="A129" s="31"/>
      <c r="B129" s="270"/>
      <c r="C129" s="271"/>
      <c r="D129" s="271"/>
      <c r="E129" s="271"/>
      <c r="F129" s="271"/>
      <c r="G129" s="271"/>
      <c r="H129" s="271"/>
      <c r="I129" s="271"/>
      <c r="J129" s="272"/>
    </row>
    <row r="130" spans="1:10" ht="7.5" customHeight="1" x14ac:dyDescent="0.15">
      <c r="A130" s="31"/>
      <c r="B130" s="92"/>
      <c r="C130" s="92"/>
      <c r="D130" s="92"/>
      <c r="E130" s="92"/>
      <c r="F130" s="92"/>
      <c r="G130" s="92"/>
      <c r="H130" s="92"/>
      <c r="I130" s="92"/>
      <c r="J130" s="92"/>
    </row>
    <row r="131" spans="1:10" ht="18.75" customHeight="1" x14ac:dyDescent="0.15">
      <c r="A131" s="31"/>
      <c r="B131" s="31"/>
      <c r="C131" s="31"/>
      <c r="D131" s="31"/>
      <c r="E131" s="31"/>
      <c r="F131" s="31"/>
      <c r="G131" s="31"/>
      <c r="H131" s="31"/>
      <c r="I131" s="31"/>
      <c r="J131" s="31"/>
    </row>
    <row r="132" spans="1:10" ht="18.75" customHeight="1" x14ac:dyDescent="0.15">
      <c r="A132" s="31"/>
      <c r="B132" s="31"/>
      <c r="C132" s="31"/>
      <c r="D132" s="31"/>
      <c r="E132" s="31"/>
      <c r="F132" s="31"/>
      <c r="G132" s="31"/>
      <c r="H132" s="31"/>
      <c r="I132" s="31"/>
      <c r="J132" s="31"/>
    </row>
    <row r="133" spans="1:10" ht="18.75" customHeight="1" x14ac:dyDescent="0.15">
      <c r="A133" s="31"/>
      <c r="B133" s="31"/>
      <c r="C133" s="31"/>
      <c r="D133" s="31"/>
      <c r="E133" s="31"/>
      <c r="F133" s="31"/>
      <c r="G133" s="31"/>
      <c r="H133" s="31"/>
      <c r="I133" s="31"/>
      <c r="J133" s="31"/>
    </row>
    <row r="134" spans="1:10" ht="18.75" customHeight="1" x14ac:dyDescent="0.15">
      <c r="A134" s="31"/>
      <c r="B134" s="31"/>
      <c r="C134" s="31"/>
      <c r="D134" s="31"/>
      <c r="E134" s="31"/>
      <c r="F134" s="31"/>
      <c r="G134" s="31"/>
      <c r="H134" s="31"/>
      <c r="I134" s="31"/>
      <c r="J134" s="31"/>
    </row>
    <row r="135" spans="1:10" ht="18.75" customHeight="1" x14ac:dyDescent="0.15">
      <c r="A135" s="31"/>
      <c r="B135" s="31"/>
      <c r="C135" s="31"/>
      <c r="D135" s="31"/>
      <c r="E135" s="31"/>
      <c r="F135" s="31"/>
      <c r="G135" s="31"/>
      <c r="H135" s="31"/>
      <c r="I135" s="31"/>
      <c r="J135" s="31"/>
    </row>
    <row r="136" spans="1:10" ht="18.75" customHeight="1" x14ac:dyDescent="0.15">
      <c r="A136" s="31"/>
      <c r="B136" s="31"/>
      <c r="C136" s="31"/>
      <c r="D136" s="31"/>
      <c r="E136" s="31"/>
      <c r="F136" s="31"/>
      <c r="G136" s="31"/>
      <c r="H136" s="31"/>
      <c r="I136" s="31"/>
      <c r="J136" s="31"/>
    </row>
    <row r="137" spans="1:10" ht="18.75" customHeight="1" x14ac:dyDescent="0.15">
      <c r="A137" s="31"/>
      <c r="B137" s="31"/>
      <c r="C137" s="31"/>
      <c r="D137" s="31"/>
      <c r="E137" s="31"/>
      <c r="F137" s="31"/>
      <c r="G137" s="31"/>
      <c r="H137" s="31"/>
      <c r="I137" s="31"/>
      <c r="J137" s="31"/>
    </row>
    <row r="138" spans="1:10" ht="18.75" customHeight="1" x14ac:dyDescent="0.15">
      <c r="A138" s="31"/>
      <c r="B138" s="31"/>
      <c r="C138" s="31"/>
      <c r="D138" s="31"/>
      <c r="E138" s="31"/>
      <c r="F138" s="31"/>
      <c r="G138" s="31"/>
      <c r="H138" s="31"/>
      <c r="I138" s="31"/>
      <c r="J138" s="31"/>
    </row>
    <row r="139" spans="1:10" ht="18.75" customHeight="1" x14ac:dyDescent="0.15">
      <c r="A139" s="31"/>
      <c r="B139" s="31"/>
      <c r="C139" s="31"/>
      <c r="D139" s="31"/>
      <c r="E139" s="31"/>
      <c r="F139" s="31"/>
      <c r="G139" s="31"/>
      <c r="H139" s="31"/>
      <c r="I139" s="31"/>
      <c r="J139" s="31"/>
    </row>
    <row r="140" spans="1:10" ht="18.75" customHeight="1" x14ac:dyDescent="0.15">
      <c r="A140" s="31"/>
      <c r="B140" s="31"/>
      <c r="C140" s="31"/>
      <c r="D140" s="31"/>
      <c r="E140" s="31"/>
      <c r="F140" s="31"/>
      <c r="G140" s="31"/>
      <c r="H140" s="31"/>
      <c r="I140" s="31"/>
      <c r="J140" s="31"/>
    </row>
    <row r="141" spans="1:10" ht="18.75" customHeight="1" x14ac:dyDescent="0.15">
      <c r="A141" s="31"/>
      <c r="B141" s="31"/>
      <c r="C141" s="31"/>
      <c r="D141" s="31"/>
      <c r="E141" s="31"/>
      <c r="F141" s="31"/>
      <c r="G141" s="31"/>
      <c r="H141" s="31"/>
      <c r="I141" s="31"/>
      <c r="J141" s="31"/>
    </row>
    <row r="142" spans="1:10" ht="18.75" customHeight="1" x14ac:dyDescent="0.15">
      <c r="A142" s="31"/>
      <c r="B142" s="31"/>
      <c r="C142" s="31"/>
      <c r="D142" s="31"/>
      <c r="E142" s="31"/>
      <c r="F142" s="31"/>
      <c r="G142" s="31"/>
      <c r="H142" s="31"/>
      <c r="I142" s="31"/>
      <c r="J142" s="31"/>
    </row>
    <row r="143" spans="1:10" ht="14.25" x14ac:dyDescent="0.15">
      <c r="A143" s="31"/>
      <c r="B143" s="31"/>
      <c r="C143" s="31"/>
      <c r="D143" s="31"/>
      <c r="E143" s="31"/>
      <c r="F143" s="31"/>
      <c r="G143" s="31"/>
      <c r="H143" s="31"/>
      <c r="I143" s="31"/>
      <c r="J143" s="31"/>
    </row>
    <row r="144" spans="1:10" ht="7.5" customHeight="1" x14ac:dyDescent="0.15">
      <c r="A144" s="93"/>
      <c r="B144" s="93"/>
      <c r="C144" s="93"/>
      <c r="D144" s="93"/>
      <c r="E144" s="93"/>
      <c r="F144" s="93"/>
      <c r="G144" s="93"/>
      <c r="H144" s="93"/>
      <c r="I144" s="93"/>
      <c r="J144" s="93"/>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6"/>
  <sheetViews>
    <sheetView showZeros="0" tabSelected="1" view="pageBreakPreview" zoomScaleNormal="100" zoomScaleSheetLayoutView="100" workbookViewId="0">
      <selection activeCell="H26" sqref="H26"/>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27" customWidth="1"/>
    <col min="12" max="16384" width="11.375" style="1"/>
  </cols>
  <sheetData>
    <row r="1" spans="1:11" ht="18.75" customHeight="1" x14ac:dyDescent="0.15">
      <c r="A1" s="1" t="s">
        <v>250</v>
      </c>
      <c r="J1" s="33" t="s">
        <v>251</v>
      </c>
    </row>
    <row r="2" spans="1:11" ht="18.75" customHeight="1" x14ac:dyDescent="0.15">
      <c r="A2" s="240" t="s">
        <v>252</v>
      </c>
      <c r="B2" s="240"/>
      <c r="C2" s="240"/>
      <c r="D2" s="240"/>
      <c r="E2" s="240"/>
      <c r="F2" s="240"/>
      <c r="G2" s="240"/>
      <c r="H2" s="240"/>
      <c r="I2" s="240"/>
      <c r="J2" s="240"/>
    </row>
    <row r="3" spans="1:11" ht="7.5" customHeight="1" x14ac:dyDescent="0.15">
      <c r="A3" s="34"/>
      <c r="B3" s="34"/>
      <c r="C3" s="34"/>
      <c r="D3" s="34"/>
      <c r="E3" s="34"/>
      <c r="F3" s="34"/>
      <c r="G3" s="34"/>
      <c r="H3" s="34"/>
      <c r="I3" s="34"/>
      <c r="J3" s="34"/>
    </row>
    <row r="4" spans="1:11" ht="18.75" customHeight="1" x14ac:dyDescent="0.15">
      <c r="A4" s="1" t="s">
        <v>2</v>
      </c>
      <c r="B4" s="4" t="s">
        <v>253</v>
      </c>
      <c r="C4" s="31"/>
      <c r="D4" s="31"/>
      <c r="E4" s="32"/>
      <c r="F4" s="32"/>
      <c r="G4" s="32"/>
      <c r="H4" s="32"/>
      <c r="I4" s="32"/>
      <c r="J4" s="32"/>
    </row>
    <row r="5" spans="1:11" ht="18.75" customHeight="1" x14ac:dyDescent="0.15">
      <c r="B5" s="290" t="s">
        <v>254</v>
      </c>
      <c r="C5" s="291"/>
      <c r="D5" s="292"/>
      <c r="E5" s="293" t="s">
        <v>255</v>
      </c>
      <c r="F5" s="293"/>
      <c r="G5" s="293"/>
      <c r="H5" s="293"/>
      <c r="I5" s="293"/>
      <c r="J5" s="294"/>
    </row>
    <row r="6" spans="1:11" ht="18.75" customHeight="1" x14ac:dyDescent="0.15">
      <c r="B6" s="3" t="s">
        <v>256</v>
      </c>
      <c r="C6" s="31"/>
      <c r="D6" s="7"/>
      <c r="I6" s="32"/>
      <c r="J6" s="5"/>
    </row>
    <row r="7" spans="1:11" ht="207" customHeight="1" x14ac:dyDescent="0.15">
      <c r="B7" s="6"/>
      <c r="C7" s="283" t="s">
        <v>257</v>
      </c>
      <c r="D7" s="284"/>
      <c r="E7" s="287" t="s">
        <v>258</v>
      </c>
      <c r="F7" s="281"/>
      <c r="G7" s="281"/>
      <c r="H7" s="281"/>
      <c r="I7" s="281"/>
      <c r="J7" s="282"/>
      <c r="K7" s="27" t="str">
        <f>IF(E7="","入力してください","")</f>
        <v/>
      </c>
    </row>
    <row r="8" spans="1:11" ht="207" customHeight="1" x14ac:dyDescent="0.15">
      <c r="B8" s="6"/>
      <c r="C8" s="288" t="s">
        <v>259</v>
      </c>
      <c r="D8" s="289"/>
      <c r="E8" s="287" t="s">
        <v>260</v>
      </c>
      <c r="F8" s="281"/>
      <c r="G8" s="281"/>
      <c r="H8" s="281"/>
      <c r="I8" s="281"/>
      <c r="J8" s="282"/>
      <c r="K8" s="27" t="str">
        <f>IF(E8="","入力してください","")</f>
        <v/>
      </c>
    </row>
    <row r="9" spans="1:11" ht="172.5" customHeight="1" x14ac:dyDescent="0.15">
      <c r="B9" s="6"/>
      <c r="C9" s="283" t="s">
        <v>261</v>
      </c>
      <c r="D9" s="284"/>
      <c r="E9" s="287" t="s">
        <v>262</v>
      </c>
      <c r="F9" s="281"/>
      <c r="G9" s="281"/>
      <c r="H9" s="281"/>
      <c r="I9" s="281"/>
      <c r="J9" s="282"/>
      <c r="K9" s="27" t="str">
        <f>IF(E9="","入力してください","")</f>
        <v/>
      </c>
    </row>
    <row r="10" spans="1:11" ht="172.5" customHeight="1" x14ac:dyDescent="0.15">
      <c r="B10" s="6"/>
      <c r="C10" s="283" t="s">
        <v>263</v>
      </c>
      <c r="D10" s="284"/>
      <c r="E10" s="287" t="s">
        <v>264</v>
      </c>
      <c r="F10" s="281"/>
      <c r="G10" s="281"/>
      <c r="H10" s="281"/>
      <c r="I10" s="281"/>
      <c r="J10" s="282"/>
      <c r="K10" s="27" t="str">
        <f t="shared" ref="K10:K14" si="0">IF(E10="","入力してください","")</f>
        <v/>
      </c>
    </row>
    <row r="11" spans="1:11" ht="172.5" customHeight="1" x14ac:dyDescent="0.15">
      <c r="B11" s="6"/>
      <c r="C11" s="283" t="s">
        <v>265</v>
      </c>
      <c r="D11" s="284"/>
      <c r="E11" s="287" t="s">
        <v>266</v>
      </c>
      <c r="F11" s="281"/>
      <c r="G11" s="281"/>
      <c r="H11" s="281"/>
      <c r="I11" s="281"/>
      <c r="J11" s="282"/>
      <c r="K11" s="27" t="str">
        <f t="shared" si="0"/>
        <v/>
      </c>
    </row>
    <row r="12" spans="1:11" ht="18.75" customHeight="1" x14ac:dyDescent="0.15">
      <c r="B12" s="9" t="s">
        <v>267</v>
      </c>
      <c r="C12" s="24"/>
      <c r="D12" s="8"/>
      <c r="E12" s="111"/>
      <c r="F12" s="111"/>
      <c r="G12" s="111"/>
      <c r="H12" s="111"/>
      <c r="I12" s="111"/>
      <c r="J12" s="112"/>
    </row>
    <row r="13" spans="1:11" ht="244.15" customHeight="1" x14ac:dyDescent="0.15">
      <c r="B13" s="6"/>
      <c r="C13" s="283" t="s">
        <v>268</v>
      </c>
      <c r="D13" s="284"/>
      <c r="E13" s="281" t="s">
        <v>269</v>
      </c>
      <c r="F13" s="281"/>
      <c r="G13" s="281"/>
      <c r="H13" s="281"/>
      <c r="I13" s="281"/>
      <c r="J13" s="282"/>
      <c r="K13" s="27" t="str">
        <f t="shared" si="0"/>
        <v/>
      </c>
    </row>
    <row r="14" spans="1:11" ht="255" customHeight="1" x14ac:dyDescent="0.15">
      <c r="B14" s="6"/>
      <c r="C14" s="283" t="s">
        <v>270</v>
      </c>
      <c r="D14" s="284"/>
      <c r="E14" s="281" t="s">
        <v>271</v>
      </c>
      <c r="F14" s="281"/>
      <c r="G14" s="281"/>
      <c r="H14" s="281"/>
      <c r="I14" s="281"/>
      <c r="J14" s="282"/>
      <c r="K14" s="27" t="str">
        <f t="shared" si="0"/>
        <v/>
      </c>
    </row>
    <row r="15" spans="1:11" ht="243" customHeight="1" x14ac:dyDescent="0.15">
      <c r="B15" s="285" t="s">
        <v>272</v>
      </c>
      <c r="C15" s="286"/>
      <c r="D15" s="284"/>
      <c r="E15" s="281" t="s">
        <v>273</v>
      </c>
      <c r="F15" s="281"/>
      <c r="G15" s="281"/>
      <c r="H15" s="281"/>
      <c r="I15" s="281"/>
      <c r="J15" s="282"/>
      <c r="K15" s="27" t="str">
        <f>IF(E15="","入力してください","")</f>
        <v/>
      </c>
    </row>
    <row r="16" spans="1:11" ht="243" customHeight="1" x14ac:dyDescent="0.15">
      <c r="A16" s="27"/>
      <c r="B16" s="278" t="s">
        <v>274</v>
      </c>
      <c r="C16" s="279"/>
      <c r="D16" s="280"/>
      <c r="E16" s="281" t="s">
        <v>275</v>
      </c>
      <c r="F16" s="281"/>
      <c r="G16" s="281"/>
      <c r="H16" s="281"/>
      <c r="I16" s="281"/>
      <c r="J16" s="282"/>
      <c r="K16" s="27" t="str">
        <f>IF(E16="","入力してください","")</f>
        <v/>
      </c>
    </row>
    <row r="17" spans="1:11" ht="7.5" customHeight="1" x14ac:dyDescent="0.15">
      <c r="B17" s="31"/>
      <c r="C17" s="31"/>
      <c r="D17" s="31"/>
      <c r="E17" s="32"/>
      <c r="F17" s="32"/>
      <c r="G17" s="32"/>
      <c r="H17" s="32"/>
      <c r="I17" s="32"/>
      <c r="J17" s="32"/>
    </row>
    <row r="18" spans="1:11" ht="18.75" customHeight="1" x14ac:dyDescent="0.15">
      <c r="A18" s="1" t="s">
        <v>276</v>
      </c>
      <c r="B18" s="4"/>
      <c r="C18" s="31"/>
      <c r="D18" s="31"/>
      <c r="E18" s="32"/>
      <c r="F18" s="82"/>
      <c r="G18" s="305" t="s">
        <v>294</v>
      </c>
      <c r="H18" s="306"/>
      <c r="I18" s="306"/>
      <c r="J18" s="306"/>
      <c r="K18" s="27" t="str">
        <f>IF(G18="","入力してください","")</f>
        <v/>
      </c>
    </row>
    <row r="19" spans="1:11" ht="22.5" customHeight="1" x14ac:dyDescent="0.15">
      <c r="B19" s="31"/>
      <c r="C19" s="31"/>
      <c r="D19" s="31"/>
      <c r="E19" s="32"/>
      <c r="F19" s="32"/>
      <c r="G19" s="32"/>
      <c r="H19" s="32"/>
      <c r="I19" s="32"/>
      <c r="J19" s="32"/>
    </row>
    <row r="20" spans="1:11" ht="22.5" customHeight="1" x14ac:dyDescent="0.15">
      <c r="B20" s="31"/>
      <c r="C20" s="31"/>
      <c r="D20" s="31"/>
      <c r="E20" s="32"/>
      <c r="F20" s="32"/>
      <c r="G20" s="32"/>
      <c r="H20" s="32"/>
      <c r="I20" s="32"/>
      <c r="J20" s="32"/>
    </row>
    <row r="21" spans="1:11" ht="22.5" customHeight="1" x14ac:dyDescent="0.15">
      <c r="B21" s="31"/>
      <c r="C21" s="31"/>
      <c r="D21" s="31"/>
      <c r="E21" s="32"/>
      <c r="F21" s="32"/>
      <c r="G21" s="32"/>
      <c r="H21" s="32"/>
      <c r="I21" s="32"/>
      <c r="J21" s="32"/>
    </row>
    <row r="22" spans="1:11" ht="22.5" customHeight="1" x14ac:dyDescent="0.15">
      <c r="B22" s="31"/>
      <c r="C22" s="31"/>
      <c r="D22" s="31"/>
      <c r="E22" s="32"/>
      <c r="F22" s="32"/>
      <c r="G22" s="32"/>
      <c r="H22" s="32"/>
      <c r="I22" s="32"/>
      <c r="J22" s="32"/>
    </row>
    <row r="23" spans="1:11" ht="22.5" customHeight="1" x14ac:dyDescent="0.15">
      <c r="B23" s="31"/>
      <c r="C23" s="31"/>
      <c r="D23" s="31"/>
      <c r="E23" s="32"/>
      <c r="F23" s="32"/>
      <c r="G23" s="32"/>
      <c r="H23" s="32"/>
      <c r="I23" s="32"/>
      <c r="J23" s="32"/>
    </row>
    <row r="24" spans="1:11" ht="22.5" customHeight="1" x14ac:dyDescent="0.15">
      <c r="B24" s="94"/>
      <c r="C24" s="94"/>
      <c r="D24" s="94"/>
      <c r="E24" s="94"/>
      <c r="F24" s="94"/>
      <c r="G24" s="94"/>
      <c r="H24" s="94"/>
      <c r="I24" s="94"/>
      <c r="J24" s="94"/>
    </row>
    <row r="25" spans="1:11" ht="22.5" customHeight="1" x14ac:dyDescent="0.15">
      <c r="B25" s="94"/>
      <c r="C25" s="94"/>
      <c r="D25" s="94"/>
      <c r="E25" s="94"/>
      <c r="F25" s="94"/>
      <c r="G25" s="94"/>
      <c r="H25" s="94"/>
      <c r="I25" s="94"/>
      <c r="J25" s="94"/>
    </row>
    <row r="26" spans="1:11" ht="22.5" customHeight="1" x14ac:dyDescent="0.15">
      <c r="B26" s="94"/>
      <c r="C26" s="94"/>
      <c r="D26" s="94"/>
      <c r="E26" s="94"/>
      <c r="F26" s="94"/>
      <c r="G26" s="94"/>
      <c r="H26" s="94"/>
      <c r="I26" s="94"/>
      <c r="J26" s="94"/>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printOptions horizontalCentered="1"/>
  <pageMargins left="0.25" right="0.25" top="0.75" bottom="0.75" header="0.3" footer="0.3"/>
  <pageSetup paperSize="9" scale="77"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4"/>
  <sheetViews>
    <sheetView showZeros="0" view="pageBreakPreview" zoomScaleNormal="100" zoomScaleSheetLayoutView="100" workbookViewId="0">
      <selection activeCell="B5" sqref="B5:F42"/>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39" t="s">
        <v>277</v>
      </c>
      <c r="F1" s="239"/>
    </row>
    <row r="2" spans="1:6" ht="18.75" customHeight="1" x14ac:dyDescent="0.15">
      <c r="A2" s="295" t="s">
        <v>278</v>
      </c>
      <c r="B2" s="295"/>
      <c r="C2" s="295"/>
      <c r="D2" s="295"/>
      <c r="E2" s="295"/>
      <c r="F2" s="295"/>
    </row>
    <row r="3" spans="1:6" ht="7.5" customHeight="1" x14ac:dyDescent="0.15">
      <c r="A3" s="30"/>
      <c r="B3" s="30"/>
      <c r="C3" s="30"/>
      <c r="D3" s="30"/>
      <c r="E3" s="30"/>
      <c r="F3" s="30"/>
    </row>
    <row r="4" spans="1:6" ht="18.75" customHeight="1" x14ac:dyDescent="0.15">
      <c r="A4" s="30" t="s">
        <v>2</v>
      </c>
      <c r="B4" s="4" t="s">
        <v>279</v>
      </c>
      <c r="C4" s="30"/>
      <c r="D4" s="30"/>
      <c r="E4" s="30"/>
      <c r="F4" s="30"/>
    </row>
    <row r="5" spans="1:6" ht="18.75" customHeight="1" x14ac:dyDescent="0.15">
      <c r="A5" s="30"/>
      <c r="B5" s="296"/>
      <c r="C5" s="297"/>
      <c r="D5" s="297"/>
      <c r="E5" s="297"/>
      <c r="F5" s="298"/>
    </row>
    <row r="6" spans="1:6" ht="18.75" customHeight="1" x14ac:dyDescent="0.15">
      <c r="A6" s="30"/>
      <c r="B6" s="299"/>
      <c r="C6" s="300"/>
      <c r="D6" s="300"/>
      <c r="E6" s="300"/>
      <c r="F6" s="301"/>
    </row>
    <row r="7" spans="1:6" ht="18.75" customHeight="1" x14ac:dyDescent="0.15">
      <c r="A7" s="30"/>
      <c r="B7" s="299"/>
      <c r="C7" s="300"/>
      <c r="D7" s="300"/>
      <c r="E7" s="300"/>
      <c r="F7" s="301"/>
    </row>
    <row r="8" spans="1:6" ht="18.75" customHeight="1" x14ac:dyDescent="0.15">
      <c r="A8" s="30"/>
      <c r="B8" s="299"/>
      <c r="C8" s="300"/>
      <c r="D8" s="300"/>
      <c r="E8" s="300"/>
      <c r="F8" s="301"/>
    </row>
    <row r="9" spans="1:6" ht="18.75" customHeight="1" x14ac:dyDescent="0.15">
      <c r="A9" s="30"/>
      <c r="B9" s="299"/>
      <c r="C9" s="300"/>
      <c r="D9" s="300"/>
      <c r="E9" s="300"/>
      <c r="F9" s="301"/>
    </row>
    <row r="10" spans="1:6" ht="18.75" customHeight="1" x14ac:dyDescent="0.15">
      <c r="A10" s="30"/>
      <c r="B10" s="299"/>
      <c r="C10" s="300"/>
      <c r="D10" s="300"/>
      <c r="E10" s="300"/>
      <c r="F10" s="301"/>
    </row>
    <row r="11" spans="1:6" ht="18.75" customHeight="1" x14ac:dyDescent="0.15">
      <c r="A11" s="30"/>
      <c r="B11" s="299"/>
      <c r="C11" s="300"/>
      <c r="D11" s="300"/>
      <c r="E11" s="300"/>
      <c r="F11" s="301"/>
    </row>
    <row r="12" spans="1:6" ht="18.75" customHeight="1" x14ac:dyDescent="0.15">
      <c r="A12" s="30"/>
      <c r="B12" s="299"/>
      <c r="C12" s="300"/>
      <c r="D12" s="300"/>
      <c r="E12" s="300"/>
      <c r="F12" s="301"/>
    </row>
    <row r="13" spans="1:6" ht="18.75" customHeight="1" x14ac:dyDescent="0.15">
      <c r="A13" s="30"/>
      <c r="B13" s="299"/>
      <c r="C13" s="300"/>
      <c r="D13" s="300"/>
      <c r="E13" s="300"/>
      <c r="F13" s="301"/>
    </row>
    <row r="14" spans="1:6" ht="18.75" customHeight="1" x14ac:dyDescent="0.15">
      <c r="A14" s="30"/>
      <c r="B14" s="299"/>
      <c r="C14" s="300"/>
      <c r="D14" s="300"/>
      <c r="E14" s="300"/>
      <c r="F14" s="301"/>
    </row>
    <row r="15" spans="1:6" ht="18.75" customHeight="1" x14ac:dyDescent="0.15">
      <c r="A15" s="30"/>
      <c r="B15" s="299"/>
      <c r="C15" s="300"/>
      <c r="D15" s="300"/>
      <c r="E15" s="300"/>
      <c r="F15" s="301"/>
    </row>
    <row r="16" spans="1:6" ht="18.75" customHeight="1" x14ac:dyDescent="0.15">
      <c r="A16" s="30"/>
      <c r="B16" s="299"/>
      <c r="C16" s="300"/>
      <c r="D16" s="300"/>
      <c r="E16" s="300"/>
      <c r="F16" s="301"/>
    </row>
    <row r="17" spans="1:6" ht="18.75" customHeight="1" x14ac:dyDescent="0.15">
      <c r="A17" s="30"/>
      <c r="B17" s="299"/>
      <c r="C17" s="300"/>
      <c r="D17" s="300"/>
      <c r="E17" s="300"/>
      <c r="F17" s="301"/>
    </row>
    <row r="18" spans="1:6" ht="18.75" customHeight="1" x14ac:dyDescent="0.15">
      <c r="A18" s="30"/>
      <c r="B18" s="299"/>
      <c r="C18" s="300"/>
      <c r="D18" s="300"/>
      <c r="E18" s="300"/>
      <c r="F18" s="301"/>
    </row>
    <row r="19" spans="1:6" ht="18.75" customHeight="1" x14ac:dyDescent="0.15">
      <c r="A19" s="30"/>
      <c r="B19" s="299"/>
      <c r="C19" s="300"/>
      <c r="D19" s="300"/>
      <c r="E19" s="300"/>
      <c r="F19" s="301"/>
    </row>
    <row r="20" spans="1:6" ht="18.75" customHeight="1" x14ac:dyDescent="0.15">
      <c r="A20" s="30"/>
      <c r="B20" s="299"/>
      <c r="C20" s="300"/>
      <c r="D20" s="300"/>
      <c r="E20" s="300"/>
      <c r="F20" s="301"/>
    </row>
    <row r="21" spans="1:6" ht="18.75" customHeight="1" x14ac:dyDescent="0.15">
      <c r="A21" s="30"/>
      <c r="B21" s="299"/>
      <c r="C21" s="300"/>
      <c r="D21" s="300"/>
      <c r="E21" s="300"/>
      <c r="F21" s="301"/>
    </row>
    <row r="22" spans="1:6" ht="18.75" customHeight="1" x14ac:dyDescent="0.15">
      <c r="A22" s="30"/>
      <c r="B22" s="299"/>
      <c r="C22" s="300"/>
      <c r="D22" s="300"/>
      <c r="E22" s="300"/>
      <c r="F22" s="301"/>
    </row>
    <row r="23" spans="1:6" ht="18.75" customHeight="1" x14ac:dyDescent="0.15">
      <c r="A23" s="30"/>
      <c r="B23" s="299"/>
      <c r="C23" s="300"/>
      <c r="D23" s="300"/>
      <c r="E23" s="300"/>
      <c r="F23" s="301"/>
    </row>
    <row r="24" spans="1:6" ht="18.75" customHeight="1" x14ac:dyDescent="0.15">
      <c r="A24" s="30"/>
      <c r="B24" s="299"/>
      <c r="C24" s="300"/>
      <c r="D24" s="300"/>
      <c r="E24" s="300"/>
      <c r="F24" s="301"/>
    </row>
    <row r="25" spans="1:6" ht="18.75" customHeight="1" x14ac:dyDescent="0.15">
      <c r="A25" s="30"/>
      <c r="B25" s="299"/>
      <c r="C25" s="300"/>
      <c r="D25" s="300"/>
      <c r="E25" s="300"/>
      <c r="F25" s="301"/>
    </row>
    <row r="26" spans="1:6" ht="18.75" customHeight="1" x14ac:dyDescent="0.15">
      <c r="A26" s="30"/>
      <c r="B26" s="299"/>
      <c r="C26" s="300"/>
      <c r="D26" s="300"/>
      <c r="E26" s="300"/>
      <c r="F26" s="301"/>
    </row>
    <row r="27" spans="1:6" ht="18.75" customHeight="1" x14ac:dyDescent="0.15">
      <c r="A27" s="30"/>
      <c r="B27" s="299"/>
      <c r="C27" s="300"/>
      <c r="D27" s="300"/>
      <c r="E27" s="300"/>
      <c r="F27" s="301"/>
    </row>
    <row r="28" spans="1:6" ht="18.75" customHeight="1" x14ac:dyDescent="0.15">
      <c r="A28" s="30"/>
      <c r="B28" s="299"/>
      <c r="C28" s="300"/>
      <c r="D28" s="300"/>
      <c r="E28" s="300"/>
      <c r="F28" s="301"/>
    </row>
    <row r="29" spans="1:6" ht="18.75" customHeight="1" x14ac:dyDescent="0.15">
      <c r="A29" s="30"/>
      <c r="B29" s="299"/>
      <c r="C29" s="300"/>
      <c r="D29" s="300"/>
      <c r="E29" s="300"/>
      <c r="F29" s="301"/>
    </row>
    <row r="30" spans="1:6" ht="18.75" customHeight="1" x14ac:dyDescent="0.15">
      <c r="A30" s="30"/>
      <c r="B30" s="299"/>
      <c r="C30" s="300"/>
      <c r="D30" s="300"/>
      <c r="E30" s="300"/>
      <c r="F30" s="301"/>
    </row>
    <row r="31" spans="1:6" ht="18.75" customHeight="1" x14ac:dyDescent="0.15">
      <c r="A31" s="30"/>
      <c r="B31" s="299"/>
      <c r="C31" s="300"/>
      <c r="D31" s="300"/>
      <c r="E31" s="300"/>
      <c r="F31" s="301"/>
    </row>
    <row r="32" spans="1:6" ht="18.75" customHeight="1" x14ac:dyDescent="0.15">
      <c r="A32" s="30"/>
      <c r="B32" s="299"/>
      <c r="C32" s="300"/>
      <c r="D32" s="300"/>
      <c r="E32" s="300"/>
      <c r="F32" s="301"/>
    </row>
    <row r="33" spans="1:6" ht="18.75" customHeight="1" x14ac:dyDescent="0.15">
      <c r="A33" s="30"/>
      <c r="B33" s="299"/>
      <c r="C33" s="300"/>
      <c r="D33" s="300"/>
      <c r="E33" s="300"/>
      <c r="F33" s="301"/>
    </row>
    <row r="34" spans="1:6" ht="18.75" customHeight="1" x14ac:dyDescent="0.15">
      <c r="A34" s="30"/>
      <c r="B34" s="299"/>
      <c r="C34" s="300"/>
      <c r="D34" s="300"/>
      <c r="E34" s="300"/>
      <c r="F34" s="301"/>
    </row>
    <row r="35" spans="1:6" ht="18.75" customHeight="1" x14ac:dyDescent="0.15">
      <c r="A35" s="30"/>
      <c r="B35" s="299"/>
      <c r="C35" s="300"/>
      <c r="D35" s="300"/>
      <c r="E35" s="300"/>
      <c r="F35" s="301"/>
    </row>
    <row r="36" spans="1:6" ht="18.75" customHeight="1" x14ac:dyDescent="0.15">
      <c r="A36" s="30"/>
      <c r="B36" s="299"/>
      <c r="C36" s="300"/>
      <c r="D36" s="300"/>
      <c r="E36" s="300"/>
      <c r="F36" s="301"/>
    </row>
    <row r="37" spans="1:6" ht="18.75" customHeight="1" x14ac:dyDescent="0.15">
      <c r="A37" s="30"/>
      <c r="B37" s="299"/>
      <c r="C37" s="300"/>
      <c r="D37" s="300"/>
      <c r="E37" s="300"/>
      <c r="F37" s="301"/>
    </row>
    <row r="38" spans="1:6" ht="18.75" customHeight="1" x14ac:dyDescent="0.15">
      <c r="A38" s="30"/>
      <c r="B38" s="299"/>
      <c r="C38" s="300"/>
      <c r="D38" s="300"/>
      <c r="E38" s="300"/>
      <c r="F38" s="301"/>
    </row>
    <row r="39" spans="1:6" ht="18.75" customHeight="1" x14ac:dyDescent="0.15">
      <c r="A39" s="30"/>
      <c r="B39" s="299"/>
      <c r="C39" s="300"/>
      <c r="D39" s="300"/>
      <c r="E39" s="300"/>
      <c r="F39" s="301"/>
    </row>
    <row r="40" spans="1:6" ht="18.75" customHeight="1" x14ac:dyDescent="0.15">
      <c r="A40" s="30"/>
      <c r="B40" s="299"/>
      <c r="C40" s="300"/>
      <c r="D40" s="300"/>
      <c r="E40" s="300"/>
      <c r="F40" s="301"/>
    </row>
    <row r="41" spans="1:6" ht="18.75" customHeight="1" x14ac:dyDescent="0.15">
      <c r="A41" s="30"/>
      <c r="B41" s="299"/>
      <c r="C41" s="300"/>
      <c r="D41" s="300"/>
      <c r="E41" s="300"/>
      <c r="F41" s="301"/>
    </row>
    <row r="42" spans="1:6" ht="18.75" customHeight="1" x14ac:dyDescent="0.15">
      <c r="A42" s="30"/>
      <c r="B42" s="302"/>
      <c r="C42" s="303"/>
      <c r="D42" s="303"/>
      <c r="E42" s="303"/>
      <c r="F42" s="304"/>
    </row>
    <row r="43" spans="1:6" ht="18.75" customHeight="1" x14ac:dyDescent="0.15">
      <c r="A43" s="30" t="s">
        <v>5</v>
      </c>
      <c r="B43" s="4" t="s">
        <v>280</v>
      </c>
      <c r="C43" s="30"/>
      <c r="D43" s="30"/>
      <c r="E43" s="30"/>
      <c r="F43" s="30"/>
    </row>
    <row r="44" spans="1:6" ht="18.75" customHeight="1" x14ac:dyDescent="0.15">
      <c r="A44" s="30"/>
      <c r="B44" s="296"/>
      <c r="C44" s="297"/>
      <c r="D44" s="297"/>
      <c r="E44" s="297"/>
      <c r="F44" s="298"/>
    </row>
    <row r="45" spans="1:6" ht="18.75" customHeight="1" x14ac:dyDescent="0.15">
      <c r="A45" s="30"/>
      <c r="B45" s="299"/>
      <c r="C45" s="300"/>
      <c r="D45" s="300"/>
      <c r="E45" s="300"/>
      <c r="F45" s="301"/>
    </row>
    <row r="46" spans="1:6" ht="18.75" customHeight="1" x14ac:dyDescent="0.15">
      <c r="A46" s="30"/>
      <c r="B46" s="299"/>
      <c r="C46" s="300"/>
      <c r="D46" s="300"/>
      <c r="E46" s="300"/>
      <c r="F46" s="301"/>
    </row>
    <row r="47" spans="1:6" ht="18.75" customHeight="1" x14ac:dyDescent="0.15">
      <c r="A47" s="30"/>
      <c r="B47" s="299"/>
      <c r="C47" s="300"/>
      <c r="D47" s="300"/>
      <c r="E47" s="300"/>
      <c r="F47" s="301"/>
    </row>
    <row r="48" spans="1:6" ht="18.75" customHeight="1" x14ac:dyDescent="0.15">
      <c r="A48" s="30"/>
      <c r="B48" s="299"/>
      <c r="C48" s="300"/>
      <c r="D48" s="300"/>
      <c r="E48" s="300"/>
      <c r="F48" s="301"/>
    </row>
    <row r="49" spans="1:6" ht="18.75" customHeight="1" x14ac:dyDescent="0.15">
      <c r="A49" s="30"/>
      <c r="B49" s="299"/>
      <c r="C49" s="300"/>
      <c r="D49" s="300"/>
      <c r="E49" s="300"/>
      <c r="F49" s="301"/>
    </row>
    <row r="50" spans="1:6" ht="18.75" customHeight="1" x14ac:dyDescent="0.15">
      <c r="A50" s="30"/>
      <c r="B50" s="299"/>
      <c r="C50" s="300"/>
      <c r="D50" s="300"/>
      <c r="E50" s="300"/>
      <c r="F50" s="301"/>
    </row>
    <row r="51" spans="1:6" ht="18.75" customHeight="1" x14ac:dyDescent="0.15">
      <c r="A51" s="30"/>
      <c r="B51" s="299"/>
      <c r="C51" s="300"/>
      <c r="D51" s="300"/>
      <c r="E51" s="300"/>
      <c r="F51" s="301"/>
    </row>
    <row r="52" spans="1:6" ht="18.75" customHeight="1" x14ac:dyDescent="0.15">
      <c r="A52" s="30"/>
      <c r="B52" s="299"/>
      <c r="C52" s="300"/>
      <c r="D52" s="300"/>
      <c r="E52" s="300"/>
      <c r="F52" s="301"/>
    </row>
    <row r="53" spans="1:6" ht="18.75" customHeight="1" x14ac:dyDescent="0.15">
      <c r="A53" s="30"/>
      <c r="B53" s="299"/>
      <c r="C53" s="300"/>
      <c r="D53" s="300"/>
      <c r="E53" s="300"/>
      <c r="F53" s="301"/>
    </row>
    <row r="54" spans="1:6" ht="18.75" customHeight="1" x14ac:dyDescent="0.15">
      <c r="A54" s="30"/>
      <c r="B54" s="299"/>
      <c r="C54" s="300"/>
      <c r="D54" s="300"/>
      <c r="E54" s="300"/>
      <c r="F54" s="301"/>
    </row>
    <row r="55" spans="1:6" ht="18.75" customHeight="1" x14ac:dyDescent="0.15">
      <c r="A55" s="30"/>
      <c r="B55" s="299"/>
      <c r="C55" s="300"/>
      <c r="D55" s="300"/>
      <c r="E55" s="300"/>
      <c r="F55" s="301"/>
    </row>
    <row r="56" spans="1:6" ht="18.75" customHeight="1" x14ac:dyDescent="0.15">
      <c r="A56" s="30"/>
      <c r="B56" s="299"/>
      <c r="C56" s="300"/>
      <c r="D56" s="300"/>
      <c r="E56" s="300"/>
      <c r="F56" s="301"/>
    </row>
    <row r="57" spans="1:6" ht="18.75" customHeight="1" x14ac:dyDescent="0.15">
      <c r="A57" s="30"/>
      <c r="B57" s="299"/>
      <c r="C57" s="300"/>
      <c r="D57" s="300"/>
      <c r="E57" s="300"/>
      <c r="F57" s="301"/>
    </row>
    <row r="58" spans="1:6" ht="18.75" customHeight="1" x14ac:dyDescent="0.15">
      <c r="A58" s="30"/>
      <c r="B58" s="299"/>
      <c r="C58" s="300"/>
      <c r="D58" s="300"/>
      <c r="E58" s="300"/>
      <c r="F58" s="301"/>
    </row>
    <row r="59" spans="1:6" ht="18.75" customHeight="1" x14ac:dyDescent="0.15">
      <c r="A59" s="30"/>
      <c r="B59" s="299"/>
      <c r="C59" s="300"/>
      <c r="D59" s="300"/>
      <c r="E59" s="300"/>
      <c r="F59" s="301"/>
    </row>
    <row r="60" spans="1:6" ht="18.75" customHeight="1" x14ac:dyDescent="0.15">
      <c r="A60" s="30"/>
      <c r="B60" s="299"/>
      <c r="C60" s="300"/>
      <c r="D60" s="300"/>
      <c r="E60" s="300"/>
      <c r="F60" s="301"/>
    </row>
    <row r="61" spans="1:6" ht="18.75" customHeight="1" x14ac:dyDescent="0.15">
      <c r="A61" s="30"/>
      <c r="B61" s="299"/>
      <c r="C61" s="300"/>
      <c r="D61" s="300"/>
      <c r="E61" s="300"/>
      <c r="F61" s="301"/>
    </row>
    <row r="62" spans="1:6" ht="18.75" customHeight="1" x14ac:dyDescent="0.15">
      <c r="A62" s="30"/>
      <c r="B62" s="299"/>
      <c r="C62" s="300"/>
      <c r="D62" s="300"/>
      <c r="E62" s="300"/>
      <c r="F62" s="301"/>
    </row>
    <row r="63" spans="1:6" ht="18.75" customHeight="1" x14ac:dyDescent="0.15">
      <c r="A63" s="30"/>
      <c r="B63" s="299"/>
      <c r="C63" s="300"/>
      <c r="D63" s="300"/>
      <c r="E63" s="300"/>
      <c r="F63" s="301"/>
    </row>
    <row r="64" spans="1:6" ht="18.75" customHeight="1" x14ac:dyDescent="0.15">
      <c r="A64" s="30"/>
      <c r="B64" s="299"/>
      <c r="C64" s="300"/>
      <c r="D64" s="300"/>
      <c r="E64" s="300"/>
      <c r="F64" s="301"/>
    </row>
    <row r="65" spans="1:6" ht="18.75" customHeight="1" x14ac:dyDescent="0.15">
      <c r="A65" s="30"/>
      <c r="B65" s="299"/>
      <c r="C65" s="300"/>
      <c r="D65" s="300"/>
      <c r="E65" s="300"/>
      <c r="F65" s="301"/>
    </row>
    <row r="66" spans="1:6" ht="18.75" customHeight="1" x14ac:dyDescent="0.15">
      <c r="A66" s="30"/>
      <c r="B66" s="299"/>
      <c r="C66" s="300"/>
      <c r="D66" s="300"/>
      <c r="E66" s="300"/>
      <c r="F66" s="301"/>
    </row>
    <row r="67" spans="1:6" ht="18.75" customHeight="1" x14ac:dyDescent="0.15">
      <c r="A67" s="30"/>
      <c r="B67" s="299"/>
      <c r="C67" s="300"/>
      <c r="D67" s="300"/>
      <c r="E67" s="300"/>
      <c r="F67" s="301"/>
    </row>
    <row r="68" spans="1:6" ht="18.75" customHeight="1" x14ac:dyDescent="0.15">
      <c r="A68" s="30"/>
      <c r="B68" s="299"/>
      <c r="C68" s="300"/>
      <c r="D68" s="300"/>
      <c r="E68" s="300"/>
      <c r="F68" s="301"/>
    </row>
    <row r="69" spans="1:6" ht="18.75" customHeight="1" x14ac:dyDescent="0.15">
      <c r="A69" s="30"/>
      <c r="B69" s="299"/>
      <c r="C69" s="300"/>
      <c r="D69" s="300"/>
      <c r="E69" s="300"/>
      <c r="F69" s="301"/>
    </row>
    <row r="70" spans="1:6" ht="18.75" customHeight="1" x14ac:dyDescent="0.15">
      <c r="A70" s="30"/>
      <c r="B70" s="299"/>
      <c r="C70" s="300"/>
      <c r="D70" s="300"/>
      <c r="E70" s="300"/>
      <c r="F70" s="301"/>
    </row>
    <row r="71" spans="1:6" ht="18.75" customHeight="1" x14ac:dyDescent="0.15">
      <c r="A71" s="30"/>
      <c r="B71" s="299"/>
      <c r="C71" s="300"/>
      <c r="D71" s="300"/>
      <c r="E71" s="300"/>
      <c r="F71" s="301"/>
    </row>
    <row r="72" spans="1:6" ht="18.75" customHeight="1" x14ac:dyDescent="0.15">
      <c r="A72" s="30"/>
      <c r="B72" s="299"/>
      <c r="C72" s="300"/>
      <c r="D72" s="300"/>
      <c r="E72" s="300"/>
      <c r="F72" s="301"/>
    </row>
    <row r="73" spans="1:6" ht="18.75" customHeight="1" x14ac:dyDescent="0.15">
      <c r="A73" s="30"/>
      <c r="B73" s="299"/>
      <c r="C73" s="300"/>
      <c r="D73" s="300"/>
      <c r="E73" s="300"/>
      <c r="F73" s="301"/>
    </row>
    <row r="74" spans="1:6" ht="18.75" customHeight="1" x14ac:dyDescent="0.15">
      <c r="A74" s="30"/>
      <c r="B74" s="299"/>
      <c r="C74" s="300"/>
      <c r="D74" s="300"/>
      <c r="E74" s="300"/>
      <c r="F74" s="301"/>
    </row>
    <row r="75" spans="1:6" ht="18.75" customHeight="1" x14ac:dyDescent="0.15">
      <c r="A75" s="30"/>
      <c r="B75" s="299"/>
      <c r="C75" s="300"/>
      <c r="D75" s="300"/>
      <c r="E75" s="300"/>
      <c r="F75" s="301"/>
    </row>
    <row r="76" spans="1:6" ht="18.75" customHeight="1" x14ac:dyDescent="0.15">
      <c r="A76" s="30"/>
      <c r="B76" s="299"/>
      <c r="C76" s="300"/>
      <c r="D76" s="300"/>
      <c r="E76" s="300"/>
      <c r="F76" s="301"/>
    </row>
    <row r="77" spans="1:6" ht="18.75" customHeight="1" x14ac:dyDescent="0.15">
      <c r="A77" s="30"/>
      <c r="B77" s="299"/>
      <c r="C77" s="300"/>
      <c r="D77" s="300"/>
      <c r="E77" s="300"/>
      <c r="F77" s="301"/>
    </row>
    <row r="78" spans="1:6" ht="18.75" customHeight="1" x14ac:dyDescent="0.15">
      <c r="A78" s="30"/>
      <c r="B78" s="299"/>
      <c r="C78" s="300"/>
      <c r="D78" s="300"/>
      <c r="E78" s="300"/>
      <c r="F78" s="301"/>
    </row>
    <row r="79" spans="1:6" ht="18.75" customHeight="1" x14ac:dyDescent="0.15">
      <c r="A79" s="30"/>
      <c r="B79" s="299"/>
      <c r="C79" s="300"/>
      <c r="D79" s="300"/>
      <c r="E79" s="300"/>
      <c r="F79" s="301"/>
    </row>
    <row r="80" spans="1:6" ht="18.75" customHeight="1" x14ac:dyDescent="0.15">
      <c r="A80" s="30"/>
      <c r="B80" s="299"/>
      <c r="C80" s="300"/>
      <c r="D80" s="300"/>
      <c r="E80" s="300"/>
      <c r="F80" s="301"/>
    </row>
    <row r="81" spans="1:6" ht="18.75" customHeight="1" x14ac:dyDescent="0.15">
      <c r="A81" s="30"/>
      <c r="B81" s="299"/>
      <c r="C81" s="300"/>
      <c r="D81" s="300"/>
      <c r="E81" s="300"/>
      <c r="F81" s="301"/>
    </row>
    <row r="82" spans="1:6" ht="18.75" customHeight="1" x14ac:dyDescent="0.15">
      <c r="A82" s="30"/>
      <c r="B82" s="299"/>
      <c r="C82" s="300"/>
      <c r="D82" s="300"/>
      <c r="E82" s="300"/>
      <c r="F82" s="301"/>
    </row>
    <row r="83" spans="1:6" ht="18.75" customHeight="1" x14ac:dyDescent="0.15">
      <c r="A83" s="30"/>
      <c r="B83" s="302"/>
      <c r="C83" s="303"/>
      <c r="D83" s="303"/>
      <c r="E83" s="303"/>
      <c r="F83" s="304"/>
    </row>
    <row r="84" spans="1:6" ht="18.75" customHeight="1" x14ac:dyDescent="0.15">
      <c r="A84" s="4" t="s">
        <v>230</v>
      </c>
      <c r="B84" s="4" t="s">
        <v>281</v>
      </c>
      <c r="C84" s="4"/>
      <c r="D84" s="4"/>
      <c r="E84" s="4"/>
      <c r="F84" s="4"/>
    </row>
    <row r="85" spans="1:6" ht="18.75" customHeight="1" x14ac:dyDescent="0.15">
      <c r="A85" s="30"/>
      <c r="B85" s="296"/>
      <c r="C85" s="297"/>
      <c r="D85" s="297"/>
      <c r="E85" s="297"/>
      <c r="F85" s="298"/>
    </row>
    <row r="86" spans="1:6" ht="18.75" customHeight="1" x14ac:dyDescent="0.15">
      <c r="A86" s="30"/>
      <c r="B86" s="299"/>
      <c r="C86" s="300"/>
      <c r="D86" s="300"/>
      <c r="E86" s="300"/>
      <c r="F86" s="301"/>
    </row>
    <row r="87" spans="1:6" ht="18.75" customHeight="1" x14ac:dyDescent="0.15">
      <c r="A87" s="30"/>
      <c r="B87" s="299"/>
      <c r="C87" s="300"/>
      <c r="D87" s="300"/>
      <c r="E87" s="300"/>
      <c r="F87" s="301"/>
    </row>
    <row r="88" spans="1:6" ht="18.75" customHeight="1" x14ac:dyDescent="0.15">
      <c r="A88" s="30"/>
      <c r="B88" s="299"/>
      <c r="C88" s="300"/>
      <c r="D88" s="300"/>
      <c r="E88" s="300"/>
      <c r="F88" s="301"/>
    </row>
    <row r="89" spans="1:6" ht="18.75" customHeight="1" x14ac:dyDescent="0.15">
      <c r="A89" s="30"/>
      <c r="B89" s="299"/>
      <c r="C89" s="300"/>
      <c r="D89" s="300"/>
      <c r="E89" s="300"/>
      <c r="F89" s="301"/>
    </row>
    <row r="90" spans="1:6" ht="18.75" customHeight="1" x14ac:dyDescent="0.15">
      <c r="A90" s="30"/>
      <c r="B90" s="299"/>
      <c r="C90" s="300"/>
      <c r="D90" s="300"/>
      <c r="E90" s="300"/>
      <c r="F90" s="301"/>
    </row>
    <row r="91" spans="1:6" ht="18.75" customHeight="1" x14ac:dyDescent="0.15">
      <c r="A91" s="30"/>
      <c r="B91" s="299"/>
      <c r="C91" s="300"/>
      <c r="D91" s="300"/>
      <c r="E91" s="300"/>
      <c r="F91" s="301"/>
    </row>
    <row r="92" spans="1:6" ht="18.75" customHeight="1" x14ac:dyDescent="0.15">
      <c r="A92" s="30"/>
      <c r="B92" s="299"/>
      <c r="C92" s="300"/>
      <c r="D92" s="300"/>
      <c r="E92" s="300"/>
      <c r="F92" s="301"/>
    </row>
    <row r="93" spans="1:6" ht="18.75" customHeight="1" x14ac:dyDescent="0.15">
      <c r="A93" s="30"/>
      <c r="B93" s="299"/>
      <c r="C93" s="300"/>
      <c r="D93" s="300"/>
      <c r="E93" s="300"/>
      <c r="F93" s="301"/>
    </row>
    <row r="94" spans="1:6" ht="18.75" customHeight="1" x14ac:dyDescent="0.15">
      <c r="A94" s="30"/>
      <c r="B94" s="299"/>
      <c r="C94" s="300"/>
      <c r="D94" s="300"/>
      <c r="E94" s="300"/>
      <c r="F94" s="301"/>
    </row>
    <row r="95" spans="1:6" ht="18.75" customHeight="1" x14ac:dyDescent="0.15">
      <c r="A95" s="30"/>
      <c r="B95" s="299"/>
      <c r="C95" s="300"/>
      <c r="D95" s="300"/>
      <c r="E95" s="300"/>
      <c r="F95" s="301"/>
    </row>
    <row r="96" spans="1:6" ht="18.75" customHeight="1" x14ac:dyDescent="0.15">
      <c r="A96" s="30"/>
      <c r="B96" s="299"/>
      <c r="C96" s="300"/>
      <c r="D96" s="300"/>
      <c r="E96" s="300"/>
      <c r="F96" s="301"/>
    </row>
    <row r="97" spans="1:6" ht="18.75" customHeight="1" x14ac:dyDescent="0.15">
      <c r="A97" s="30"/>
      <c r="B97" s="299"/>
      <c r="C97" s="300"/>
      <c r="D97" s="300"/>
      <c r="E97" s="300"/>
      <c r="F97" s="301"/>
    </row>
    <row r="98" spans="1:6" ht="18.75" customHeight="1" x14ac:dyDescent="0.15">
      <c r="A98" s="30"/>
      <c r="B98" s="299"/>
      <c r="C98" s="300"/>
      <c r="D98" s="300"/>
      <c r="E98" s="300"/>
      <c r="F98" s="301"/>
    </row>
    <row r="99" spans="1:6" ht="18.75" customHeight="1" x14ac:dyDescent="0.15">
      <c r="A99" s="30"/>
      <c r="B99" s="299"/>
      <c r="C99" s="300"/>
      <c r="D99" s="300"/>
      <c r="E99" s="300"/>
      <c r="F99" s="301"/>
    </row>
    <row r="100" spans="1:6" ht="18.75" customHeight="1" x14ac:dyDescent="0.15">
      <c r="A100" s="30"/>
      <c r="B100" s="299"/>
      <c r="C100" s="300"/>
      <c r="D100" s="300"/>
      <c r="E100" s="300"/>
      <c r="F100" s="301"/>
    </row>
    <row r="101" spans="1:6" ht="18.75" customHeight="1" x14ac:dyDescent="0.15">
      <c r="A101" s="30"/>
      <c r="B101" s="299"/>
      <c r="C101" s="300"/>
      <c r="D101" s="300"/>
      <c r="E101" s="300"/>
      <c r="F101" s="301"/>
    </row>
    <row r="102" spans="1:6" ht="18.75" customHeight="1" x14ac:dyDescent="0.15">
      <c r="A102" s="30"/>
      <c r="B102" s="299"/>
      <c r="C102" s="300"/>
      <c r="D102" s="300"/>
      <c r="E102" s="300"/>
      <c r="F102" s="301"/>
    </row>
    <row r="103" spans="1:6" ht="18.75" customHeight="1" x14ac:dyDescent="0.15">
      <c r="A103" s="30"/>
      <c r="B103" s="299"/>
      <c r="C103" s="300"/>
      <c r="D103" s="300"/>
      <c r="E103" s="300"/>
      <c r="F103" s="301"/>
    </row>
    <row r="104" spans="1:6" ht="18.75" customHeight="1" x14ac:dyDescent="0.15">
      <c r="A104" s="30"/>
      <c r="B104" s="299"/>
      <c r="C104" s="300"/>
      <c r="D104" s="300"/>
      <c r="E104" s="300"/>
      <c r="F104" s="301"/>
    </row>
    <row r="105" spans="1:6" ht="18.75" customHeight="1" x14ac:dyDescent="0.15">
      <c r="A105" s="30"/>
      <c r="B105" s="299"/>
      <c r="C105" s="300"/>
      <c r="D105" s="300"/>
      <c r="E105" s="300"/>
      <c r="F105" s="301"/>
    </row>
    <row r="106" spans="1:6" ht="18.75" customHeight="1" x14ac:dyDescent="0.15">
      <c r="A106" s="30"/>
      <c r="B106" s="299"/>
      <c r="C106" s="300"/>
      <c r="D106" s="300"/>
      <c r="E106" s="300"/>
      <c r="F106" s="301"/>
    </row>
    <row r="107" spans="1:6" ht="18.75" customHeight="1" x14ac:dyDescent="0.15">
      <c r="A107" s="30"/>
      <c r="B107" s="299"/>
      <c r="C107" s="300"/>
      <c r="D107" s="300"/>
      <c r="E107" s="300"/>
      <c r="F107" s="301"/>
    </row>
    <row r="108" spans="1:6" ht="18.75" customHeight="1" x14ac:dyDescent="0.15">
      <c r="A108" s="30"/>
      <c r="B108" s="299"/>
      <c r="C108" s="300"/>
      <c r="D108" s="300"/>
      <c r="E108" s="300"/>
      <c r="F108" s="301"/>
    </row>
    <row r="109" spans="1:6" ht="18.75" customHeight="1" x14ac:dyDescent="0.15">
      <c r="A109" s="30"/>
      <c r="B109" s="299"/>
      <c r="C109" s="300"/>
      <c r="D109" s="300"/>
      <c r="E109" s="300"/>
      <c r="F109" s="301"/>
    </row>
    <row r="110" spans="1:6" ht="18.75" customHeight="1" x14ac:dyDescent="0.15">
      <c r="A110" s="30"/>
      <c r="B110" s="299"/>
      <c r="C110" s="300"/>
      <c r="D110" s="300"/>
      <c r="E110" s="300"/>
      <c r="F110" s="301"/>
    </row>
    <row r="111" spans="1:6" ht="18.75" customHeight="1" x14ac:dyDescent="0.15">
      <c r="A111" s="30"/>
      <c r="B111" s="299"/>
      <c r="C111" s="300"/>
      <c r="D111" s="300"/>
      <c r="E111" s="300"/>
      <c r="F111" s="301"/>
    </row>
    <row r="112" spans="1:6" ht="18.75" customHeight="1" x14ac:dyDescent="0.15">
      <c r="A112" s="30"/>
      <c r="B112" s="299"/>
      <c r="C112" s="300"/>
      <c r="D112" s="300"/>
      <c r="E112" s="300"/>
      <c r="F112" s="301"/>
    </row>
    <row r="113" spans="1:6" ht="18.75" customHeight="1" x14ac:dyDescent="0.15">
      <c r="A113" s="30"/>
      <c r="B113" s="299"/>
      <c r="C113" s="300"/>
      <c r="D113" s="300"/>
      <c r="E113" s="300"/>
      <c r="F113" s="301"/>
    </row>
    <row r="114" spans="1:6" ht="18.75" customHeight="1" x14ac:dyDescent="0.15">
      <c r="A114" s="30"/>
      <c r="B114" s="299"/>
      <c r="C114" s="300"/>
      <c r="D114" s="300"/>
      <c r="E114" s="300"/>
      <c r="F114" s="301"/>
    </row>
    <row r="115" spans="1:6" ht="18.75" customHeight="1" x14ac:dyDescent="0.15">
      <c r="A115" s="30"/>
      <c r="B115" s="299"/>
      <c r="C115" s="300"/>
      <c r="D115" s="300"/>
      <c r="E115" s="300"/>
      <c r="F115" s="301"/>
    </row>
    <row r="116" spans="1:6" ht="18.75" customHeight="1" x14ac:dyDescent="0.15">
      <c r="A116" s="30"/>
      <c r="B116" s="299"/>
      <c r="C116" s="300"/>
      <c r="D116" s="300"/>
      <c r="E116" s="300"/>
      <c r="F116" s="301"/>
    </row>
    <row r="117" spans="1:6" ht="18.75" customHeight="1" x14ac:dyDescent="0.15">
      <c r="A117" s="30"/>
      <c r="B117" s="299"/>
      <c r="C117" s="300"/>
      <c r="D117" s="300"/>
      <c r="E117" s="300"/>
      <c r="F117" s="301"/>
    </row>
    <row r="118" spans="1:6" ht="18.75" customHeight="1" x14ac:dyDescent="0.15">
      <c r="A118" s="30"/>
      <c r="B118" s="299"/>
      <c r="C118" s="300"/>
      <c r="D118" s="300"/>
      <c r="E118" s="300"/>
      <c r="F118" s="301"/>
    </row>
    <row r="119" spans="1:6" ht="18.75" customHeight="1" x14ac:dyDescent="0.15">
      <c r="A119" s="30"/>
      <c r="B119" s="299"/>
      <c r="C119" s="300"/>
      <c r="D119" s="300"/>
      <c r="E119" s="300"/>
      <c r="F119" s="301"/>
    </row>
    <row r="120" spans="1:6" ht="18.75" customHeight="1" x14ac:dyDescent="0.15">
      <c r="A120" s="30"/>
      <c r="B120" s="299"/>
      <c r="C120" s="300"/>
      <c r="D120" s="300"/>
      <c r="E120" s="300"/>
      <c r="F120" s="301"/>
    </row>
    <row r="121" spans="1:6" ht="18.75" customHeight="1" x14ac:dyDescent="0.15">
      <c r="A121" s="30"/>
      <c r="B121" s="299"/>
      <c r="C121" s="300"/>
      <c r="D121" s="300"/>
      <c r="E121" s="300"/>
      <c r="F121" s="301"/>
    </row>
    <row r="122" spans="1:6" ht="18.75" customHeight="1" x14ac:dyDescent="0.15">
      <c r="A122" s="30"/>
      <c r="B122" s="299"/>
      <c r="C122" s="300"/>
      <c r="D122" s="300"/>
      <c r="E122" s="300"/>
      <c r="F122" s="301"/>
    </row>
    <row r="123" spans="1:6" ht="18.75" customHeight="1" x14ac:dyDescent="0.15">
      <c r="A123" s="30"/>
      <c r="B123" s="299"/>
      <c r="C123" s="300"/>
      <c r="D123" s="300"/>
      <c r="E123" s="300"/>
      <c r="F123" s="301"/>
    </row>
    <row r="124" spans="1:6" ht="18.75" customHeight="1" x14ac:dyDescent="0.15">
      <c r="A124" s="30"/>
      <c r="B124" s="302"/>
      <c r="C124" s="303"/>
      <c r="D124" s="303"/>
      <c r="E124" s="303"/>
      <c r="F124" s="304"/>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EBF5EEF8131B74599B4BC2B68926199" ma:contentTypeVersion="10" ma:contentTypeDescription="新しいドキュメントを作成します。" ma:contentTypeScope="" ma:versionID="28b1bf29fe19934b3cee041fcb435db6">
  <xsd:schema xmlns:xsd="http://www.w3.org/2001/XMLSchema" xmlns:xs="http://www.w3.org/2001/XMLSchema" xmlns:p="http://schemas.microsoft.com/office/2006/metadata/properties" xmlns:ns2="2f2283d6-e2ca-4af6-9a8c-7abe42dd8b64" xmlns:ns3="2b7c0f63-c3f4-4391-b284-eac2794d5d41" targetNamespace="http://schemas.microsoft.com/office/2006/metadata/properties" ma:root="true" ma:fieldsID="205df5ca541daab64e012aabc3a8c6d8" ns2:_="" ns3:_="">
    <xsd:import namespace="2f2283d6-e2ca-4af6-9a8c-7abe42dd8b64"/>
    <xsd:import namespace="2b7c0f63-c3f4-4391-b284-eac2794d5d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2283d6-e2ca-4af6-9a8c-7abe42dd8b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7c0f63-c3f4-4391-b284-eac2794d5d41"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8E63F8B-D996-41CA-B836-34AA3ADE3C1F}">
  <ds:schemaRefs>
    <ds:schemaRef ds:uri="http://schemas.microsoft.com/office/infopath/2007/PartnerControls"/>
    <ds:schemaRef ds:uri="http://schemas.microsoft.com/office/2006/documentManagement/types"/>
    <ds:schemaRef ds:uri="http://purl.org/dc/elements/1.1/"/>
    <ds:schemaRef ds:uri="http://purl.org/dc/terms/"/>
    <ds:schemaRef ds:uri="2b7c0f63-c3f4-4391-b284-eac2794d5d41"/>
    <ds:schemaRef ds:uri="http://purl.org/dc/dcmitype/"/>
    <ds:schemaRef ds:uri="2f2283d6-e2ca-4af6-9a8c-7abe42dd8b64"/>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486037B1-AE27-40F7-9E32-CC0E5B990A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2283d6-e2ca-4af6-9a8c-7abe42dd8b64"/>
    <ds:schemaRef ds:uri="2b7c0f63-c3f4-4391-b284-eac2794d5d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5633AF6-4403-4A62-AE0E-1606B2EA8A7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9</vt:i4>
      </vt:variant>
    </vt:vector>
  </HeadingPairs>
  <TitlesOfParts>
    <vt:vector size="19" baseType="lpstr">
      <vt:lpstr>様式１　大学等概要</vt:lpstr>
      <vt:lpstr>様式２-1　プログラムを構成する授業科目（M）</vt:lpstr>
      <vt:lpstr>様式２-2　プログラムを構成する授業科目（E）</vt:lpstr>
      <vt:lpstr>様式２-3　プログラムを構成する授業科目（EI）</vt:lpstr>
      <vt:lpstr>様式２-4　プログラムを構成する授業科目（C）</vt:lpstr>
      <vt:lpstr>様式２-5　プログラムを構成する授業科目（B）</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'様式２-1　プログラムを構成する授業科目（M）'!Print_Area</vt:lpstr>
      <vt:lpstr>'様式２-2　プログラムを構成する授業科目（E）'!Print_Area</vt:lpstr>
      <vt:lpstr>'様式２-3　プログラムを構成する授業科目（EI）'!Print_Area</vt:lpstr>
      <vt:lpstr>'様式２-5　プログラムを構成する授業科目（B）'!Print_Area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教務係０１</cp:lastModifiedBy>
  <cp:revision/>
  <cp:lastPrinted>2022-07-07T00:47:33Z</cp:lastPrinted>
  <dcterms:created xsi:type="dcterms:W3CDTF">2011-06-14T05:32:50Z</dcterms:created>
  <dcterms:modified xsi:type="dcterms:W3CDTF">2022-07-07T01:02:54Z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0x010100EEBF5EEF8131B74599B4BC2B68926199</vt:lpwstr>
  </property>
</Properties>
</file>