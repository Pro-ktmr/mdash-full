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user0004\Desktop\教務係長業務\28_数理・データサイエンス\20220422_申請（0526修正）（0614修正）\06_20220614修正依頼\02_提出分\"/>
    </mc:Choice>
  </mc:AlternateContent>
  <bookViews>
    <workbookView xWindow="0" yWindow="0" windowWidth="30720" windowHeight="12768" tabRatio="885"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workbook>
</file>

<file path=xl/calcChain.xml><?xml version="1.0" encoding="utf-8"?>
<calcChain xmlns="http://schemas.openxmlformats.org/spreadsheetml/2006/main">
  <c r="Q10" i="40" l="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Q28" i="40"/>
  <c r="Q27" i="40"/>
  <c r="Q26" i="40"/>
  <c r="Q25" i="40"/>
  <c r="Q24" i="40"/>
  <c r="Q23" i="40"/>
  <c r="Q22" i="40"/>
  <c r="Q21" i="40"/>
  <c r="Q20" i="40"/>
  <c r="Q19" i="40"/>
  <c r="Q18" i="40"/>
  <c r="Q17" i="40"/>
  <c r="Q16" i="40"/>
  <c r="Q15" i="40"/>
  <c r="Q14" i="40"/>
  <c r="Q13" i="40"/>
  <c r="Q12" i="40"/>
  <c r="Q11" i="40"/>
  <c r="Q30" i="40" l="1"/>
  <c r="R30" i="40" s="1"/>
  <c r="C28" i="41" s="1"/>
  <c r="R10" i="40"/>
</calcChain>
</file>

<file path=xl/sharedStrings.xml><?xml version="1.0" encoding="utf-8"?>
<sst xmlns="http://schemas.openxmlformats.org/spreadsheetml/2006/main" count="368" uniqueCount="211">
  <si>
    <t>教員数</t>
    <rPh sb="0" eb="2">
      <t>キョウイン</t>
    </rPh>
    <rPh sb="2" eb="3">
      <t>スウ</t>
    </rPh>
    <phoneticPr fontId="2"/>
  </si>
  <si>
    <t>所属部署名</t>
    <rPh sb="0" eb="2">
      <t>ショゾク</t>
    </rPh>
    <rPh sb="2" eb="4">
      <t>ブショ</t>
    </rPh>
    <rPh sb="4" eb="5">
      <t>メイ</t>
    </rPh>
    <phoneticPr fontId="2"/>
  </si>
  <si>
    <t>担当者名</t>
    <rPh sb="0" eb="2">
      <t>タントウ</t>
    </rPh>
    <rPh sb="2" eb="3">
      <t>シャ</t>
    </rPh>
    <rPh sb="3" eb="4">
      <t>メイ</t>
    </rPh>
    <phoneticPr fontId="2"/>
  </si>
  <si>
    <t>電話番号</t>
  </si>
  <si>
    <t>E-mail</t>
  </si>
  <si>
    <t>（常勤）</t>
    <rPh sb="1" eb="3">
      <t>ジョウキン</t>
    </rPh>
    <phoneticPr fontId="2"/>
  </si>
  <si>
    <t>①</t>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</si>
  <si>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</si>
  <si>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</si>
  <si>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</si>
  <si>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</si>
  <si>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</si>
  <si>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</si>
  <si>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④</t>
    <phoneticPr fontId="2"/>
  </si>
  <si>
    <t>⑥</t>
    <phoneticPr fontId="2"/>
  </si>
  <si>
    <t>具体的な構成員</t>
    <rPh sb="0" eb="3">
      <t>グタイテキ</t>
    </rPh>
    <rPh sb="4" eb="7">
      <t>コウセイイン</t>
    </rPh>
    <phoneticPr fontId="2"/>
  </si>
  <si>
    <t>学校名</t>
    <rPh sb="0" eb="2">
      <t>ガッコウ</t>
    </rPh>
    <rPh sb="2" eb="3">
      <t>メイ</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</si>
  <si>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</si>
  <si>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</si>
  <si>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</si>
  <si>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</si>
  <si>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人</t>
  </si>
  <si>
    <t>人</t>
    <rPh sb="0" eb="1">
      <t>ニン</t>
    </rPh>
    <phoneticPr fontId="2"/>
  </si>
  <si>
    <t>（役職名）</t>
    <rPh sb="1" eb="4">
      <t>ヤクショクメイ</t>
    </rPh>
    <phoneticPr fontId="2"/>
  </si>
  <si>
    <t>⑩</t>
    <phoneticPr fontId="2"/>
  </si>
  <si>
    <t>様式１</t>
    <rPh sb="0" eb="2">
      <t>ヨウシキ</t>
    </rPh>
    <phoneticPr fontId="2"/>
  </si>
  <si>
    <t>履修者数・履修率の向上に向けた計画</t>
    <rPh sb="5" eb="7">
      <t>リシュウ</t>
    </rPh>
    <rPh sb="7" eb="8">
      <t>リツ</t>
    </rPh>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</si>
  <si>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</si>
  <si>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</si>
  <si>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</si>
  <si>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</si>
  <si>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</si>
  <si>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</si>
  <si>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</si>
  <si>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</si>
  <si>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</si>
  <si>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</si>
  <si>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</si>
  <si>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</si>
  <si>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</si>
  <si>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</si>
  <si>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</si>
  <si>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</si>
  <si>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</si>
  <si>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履修者数</t>
    <rPh sb="0" eb="2">
      <t>リシュウ</t>
    </rPh>
    <rPh sb="2" eb="3">
      <t>シャ</t>
    </rPh>
    <rPh sb="3" eb="4">
      <t>スウ</t>
    </rPh>
    <phoneticPr fontId="2"/>
  </si>
  <si>
    <t>所在地</t>
    <phoneticPr fontId="2"/>
  </si>
  <si>
    <t>５年次</t>
    <rPh sb="1" eb="2">
      <t>ネン</t>
    </rPh>
    <rPh sb="2" eb="3">
      <t>ツギ</t>
    </rPh>
    <phoneticPr fontId="2"/>
  </si>
  <si>
    <t>６年次</t>
    <rPh sb="1" eb="2">
      <t>ネン</t>
    </rPh>
    <rPh sb="2" eb="3">
      <t>ツギ</t>
    </rPh>
    <phoneticPr fontId="2"/>
  </si>
  <si>
    <t>②</t>
    <phoneticPr fontId="2"/>
  </si>
  <si>
    <t>大学等の設置者</t>
  </si>
  <si>
    <t>⑫</t>
    <phoneticPr fontId="2"/>
  </si>
  <si>
    <t>人</t>
    <rPh sb="0" eb="1">
      <t>ニン</t>
    </rPh>
    <phoneticPr fontId="2"/>
  </si>
  <si>
    <t>総数</t>
    <rPh sb="0" eb="2">
      <t>ソウスウ</t>
    </rPh>
    <phoneticPr fontId="2"/>
  </si>
  <si>
    <t>⑧</t>
    <phoneticPr fontId="2"/>
  </si>
  <si>
    <t>⑬</t>
    <phoneticPr fontId="2"/>
  </si>
  <si>
    <t>（役職名）</t>
    <rPh sb="1" eb="4">
      <t>ヤクショクメイ</t>
    </rPh>
    <phoneticPr fontId="2"/>
  </si>
  <si>
    <t>履修率</t>
    <rPh sb="0" eb="2">
      <t>リシュウ</t>
    </rPh>
    <rPh sb="2" eb="3">
      <t>リツ</t>
    </rPh>
    <phoneticPr fontId="2"/>
  </si>
  <si>
    <t>合　計</t>
    <phoneticPr fontId="2"/>
  </si>
  <si>
    <t>⑥</t>
    <phoneticPr fontId="2"/>
  </si>
  <si>
    <t>プログラムの開設年度</t>
    <rPh sb="6" eb="8">
      <t>カイセツ</t>
    </rPh>
    <rPh sb="8" eb="10">
      <t>ネンド</t>
    </rPh>
    <phoneticPr fontId="2"/>
  </si>
  <si>
    <t>⑨</t>
    <phoneticPr fontId="2"/>
  </si>
  <si>
    <t>⑭</t>
    <phoneticPr fontId="2"/>
  </si>
  <si>
    <t>履修者数
合計</t>
    <rPh sb="0" eb="2">
      <t>リシュウ</t>
    </rPh>
    <rPh sb="2" eb="3">
      <t>シャ</t>
    </rPh>
    <rPh sb="3" eb="4">
      <t>スウ</t>
    </rPh>
    <rPh sb="5" eb="7">
      <t>ゴウケイ</t>
    </rPh>
    <phoneticPr fontId="2"/>
  </si>
  <si>
    <t>様式３</t>
    <rPh sb="0" eb="2">
      <t>ヨウシキ</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</si>
  <si>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</si>
  <si>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</si>
  <si>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</si>
  <si>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プログラムを構成する授業科目について</t>
    <phoneticPr fontId="2"/>
  </si>
  <si>
    <t>収容
定員</t>
    <rPh sb="0" eb="2">
      <t>シュウヨウ</t>
    </rPh>
    <rPh sb="3" eb="5">
      <t>テイイン</t>
    </rPh>
    <phoneticPr fontId="2"/>
  </si>
  <si>
    <t>申請する認定プログラム</t>
    <rPh sb="0" eb="2">
      <t>シンセイ</t>
    </rPh>
    <rPh sb="4" eb="6">
      <t>ニンテイ</t>
    </rPh>
    <phoneticPr fontId="2"/>
  </si>
  <si>
    <t>プログラムの授業を教えている教員数</t>
    <rPh sb="6" eb="8">
      <t>ジュギョウ</t>
    </rPh>
    <rPh sb="9" eb="10">
      <t>オシ</t>
    </rPh>
    <rPh sb="14" eb="16">
      <t>キョウイン</t>
    </rPh>
    <rPh sb="16" eb="17">
      <t>スウ</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</si>
  <si>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</si>
  <si>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</si>
  <si>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様式５</t>
    <rPh sb="0" eb="2">
      <t>ヨウシキ</t>
    </rPh>
    <phoneticPr fontId="2"/>
  </si>
  <si>
    <t>（責任者名）</t>
    <rPh sb="1" eb="4">
      <t>セキニンシャ</t>
    </rPh>
    <rPh sb="4" eb="5">
      <t>メイ</t>
    </rPh>
    <phoneticPr fontId="2"/>
  </si>
  <si>
    <t>プログラムの運営責任者</t>
    <phoneticPr fontId="2"/>
  </si>
  <si>
    <t>⑪</t>
    <phoneticPr fontId="2"/>
  </si>
  <si>
    <t>全学部・学科の入学定員</t>
    <rPh sb="0" eb="1">
      <t>ゼン</t>
    </rPh>
    <rPh sb="4" eb="6">
      <t>ガッカ</t>
    </rPh>
    <rPh sb="7" eb="9">
      <t>ニュウガク</t>
    </rPh>
    <rPh sb="9" eb="11">
      <t>テイイン</t>
    </rPh>
    <phoneticPr fontId="2"/>
  </si>
  <si>
    <t>全学部・学科の学生数（学年別）</t>
    <rPh sb="0" eb="1">
      <t>ゼン</t>
    </rPh>
    <rPh sb="4" eb="6">
      <t>ガッカ</t>
    </rPh>
    <rPh sb="7" eb="10">
      <t>ガクセイスウ</t>
    </rPh>
    <rPh sb="11" eb="13">
      <t>ガクネン</t>
    </rPh>
    <rPh sb="13" eb="14">
      <t>ベツ</t>
    </rPh>
    <phoneticPr fontId="2"/>
  </si>
  <si>
    <t>学部・学科名称</t>
    <rPh sb="0" eb="2">
      <t>ガクブ</t>
    </rPh>
    <rPh sb="3" eb="5">
      <t>ガッカ</t>
    </rPh>
    <rPh sb="5" eb="7">
      <t>メイショウ</t>
    </rPh>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</si>
  <si>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</si>
  <si>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</si>
  <si>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授業時間内外で学習指導、質問を受け付ける具体的な仕組み</t>
    <rPh sb="20" eb="23">
      <t>グタイテキ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</si>
  <si>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</si>
  <si>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入学
定員</t>
    <rPh sb="0" eb="2">
      <t>ニュウガク</t>
    </rPh>
    <rPh sb="3" eb="5">
      <t>テイイン</t>
    </rPh>
    <phoneticPr fontId="2"/>
  </si>
  <si>
    <t>申請するプログラム名称</t>
    <rPh sb="0" eb="2">
      <t>シンセイ</t>
    </rPh>
    <rPh sb="9" eb="11">
      <t>メイショウ</t>
    </rPh>
    <phoneticPr fontId="2"/>
  </si>
  <si>
    <t>③</t>
  </si>
  <si>
    <t>設置形態</t>
    <phoneticPr fontId="2"/>
  </si>
  <si>
    <t>⑮</t>
    <phoneticPr fontId="2"/>
  </si>
  <si>
    <t>プログラムの履修者数等の実績について</t>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</si>
  <si>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</si>
  <si>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</si>
  <si>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</si>
  <si>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</si>
  <si>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</si>
  <si>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</si>
  <si>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年度</t>
    <rPh sb="0" eb="2">
      <t>ネンド</t>
    </rPh>
    <phoneticPr fontId="2"/>
  </si>
  <si>
    <t>⑦応用基礎レベルの申請の有無</t>
    <phoneticPr fontId="2"/>
  </si>
  <si>
    <t>連絡先</t>
  </si>
  <si>
    <t>①具体的な修了要件</t>
    <phoneticPr fontId="2"/>
  </si>
  <si>
    <t>授業科目</t>
    <rPh sb="0" eb="2">
      <t>ジュギョウ</t>
    </rPh>
    <rPh sb="2" eb="4">
      <t>カモク</t>
    </rPh>
    <phoneticPr fontId="2"/>
  </si>
  <si>
    <t>開講状況</t>
    <phoneticPr fontId="2"/>
  </si>
  <si>
    <t>授業に含まれている内容・要素</t>
    <phoneticPr fontId="2"/>
  </si>
  <si>
    <t>講義内容</t>
    <rPh sb="0" eb="2">
      <t>コウギ</t>
    </rPh>
    <rPh sb="2" eb="4">
      <t>ナイヨウ</t>
    </rPh>
    <phoneticPr fontId="2"/>
  </si>
  <si>
    <t>1-1</t>
    <phoneticPr fontId="2"/>
  </si>
  <si>
    <t>2-1</t>
    <phoneticPr fontId="2"/>
  </si>
  <si>
    <t>3-1</t>
    <phoneticPr fontId="2"/>
  </si>
  <si>
    <t>1-6</t>
  </si>
  <si>
    <t>3-2</t>
    <phoneticPr fontId="2"/>
  </si>
  <si>
    <t>（１）現在進行中の社会変化（第４次産業革命、Society 5.0、データ駆動型社会等）に深く寄与しているものであり、それが自らの生活と密接に結びついている</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</si>
  <si>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</si>
  <si>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</si>
  <si>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②教育プログラムの修了要件</t>
    <phoneticPr fontId="2"/>
  </si>
  <si>
    <t>年度</t>
    <rPh sb="0" eb="2">
      <t>ネンド</t>
    </rPh>
    <phoneticPr fontId="2"/>
  </si>
  <si>
    <t>　　　　　　　　　　　　　　　　　　　　　　　　　　　　　　　　　　　　　　　　　　　　　　　　　　　　　　　　　　　　　　　　　　　　　　　　　　　　　　　　　　　　　　　　　　　　　　　　　　　　　　　　　　　　　　　　　　　　　　　　　　　　　　　　　　　　　　　　　　　　　　　　　　　　　　　　　　　　　　　　　　　　　　　　　　　　　　　　　　　　　　　　　　　　　　　　　　　　　　　　　　　　　　　　　　　　　　　　　　　　　　　　　　　　　　　　　　　　　　　　　　　　　　　　　　　　　　　　　　　　　　　　　　　　　　　　　　　　　　　　　　　　　　　　　　　　　　　　　　　　　　　　　　　　　　　　　　　　　　　　　　　　　　　　　　　　　　　　　　　　　　　　　　　　　　　　　　　　　　　　　　　　　　　　　　　　　　　　　　　　　　　　　　　　　　　　　　　　　　　　　　　　　　　　　　　　　　　　　　　　　　　　　　　　　　　　　　　　　　　　　　　　　　　　　　　　　　　　　　　　　　　　　　　　　　　　　　　　　　　　　　　　　　　　　　　　　　　　　　　　　　　　　　　　　　　　　　　　　　　　　　　　　　　　　　　　　　　　　　　　　　　　　　　　　　　　　　　　　　　　　　　　　　　　　　　　　　　　　　　　　　　　　　　　　　　　　　　　　　　　　　　　　　　　　　　　　　　　　　　　　　　　　　　　　　　　　　　　　　　　　　　　　　　　　　　　　　　　　　　　　　　　　　　　　　　　　　　　　　　　　　　　　　　　　　　　　　　　　　　　　　　　　　　　　　　　　　　　　　　　　　　　　　　　　　　　　　</t>
    <phoneticPr fontId="2"/>
  </si>
  <si>
    <t>様式４</t>
    <rPh sb="0" eb="2">
      <t>ヨウシキ</t>
    </rPh>
    <phoneticPr fontId="2"/>
  </si>
  <si>
    <t>令和３年度実績</t>
    <rPh sb="0" eb="2">
      <t>レイワ</t>
    </rPh>
    <rPh sb="3" eb="5">
      <t>ネンド</t>
    </rPh>
    <rPh sb="5" eb="7">
      <t>ジッセキ</t>
    </rPh>
    <phoneticPr fontId="2"/>
  </si>
  <si>
    <t>令和４年度予定</t>
    <rPh sb="0" eb="2">
      <t>レイワ</t>
    </rPh>
    <rPh sb="3" eb="5">
      <t>ネンド</t>
    </rPh>
    <rPh sb="5" eb="7">
      <t>ヨテイ</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</si>
  <si>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</si>
  <si>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</si>
  <si>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</si>
  <si>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</si>
  <si>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</si>
  <si>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　　　　　　　　　　　　　　　　　　　　　　　　　　　　　　　　　　　　　　　　　　　　　　　　　　　　　　　　　　　　　　　　　　　　　　　　　</t>
    <phoneticPr fontId="2"/>
  </si>
  <si>
    <t>②自己点検・評価体制における意見等を公表しているアドレス</t>
    <phoneticPr fontId="2"/>
  </si>
  <si>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2"/>
  </si>
  <si>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2"/>
  </si>
  <si>
    <t>1-2</t>
    <phoneticPr fontId="2"/>
  </si>
  <si>
    <t>1-3</t>
    <phoneticPr fontId="2"/>
  </si>
  <si>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2"/>
  </si>
  <si>
    <t>1-4</t>
    <phoneticPr fontId="2"/>
  </si>
  <si>
    <t>1-5</t>
    <phoneticPr fontId="2"/>
  </si>
  <si>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2"/>
  </si>
  <si>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</si>
  <si>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2-2</t>
    <phoneticPr fontId="2"/>
  </si>
  <si>
    <t>2-3</t>
    <phoneticPr fontId="2"/>
  </si>
  <si>
    <t>⑧選択「４．オプション」の内容を含む授業科目</t>
    <rPh sb="13" eb="15">
      <t>ナイヨウ</t>
    </rPh>
    <rPh sb="16" eb="17">
      <t>フク</t>
    </rPh>
    <rPh sb="18" eb="20">
      <t>ジュギョウ</t>
    </rPh>
    <rPh sb="20" eb="22">
      <t>カモク</t>
    </rPh>
    <phoneticPr fontId="2"/>
  </si>
  <si>
    <t>1-6</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</si>
  <si>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</si>
  <si>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</si>
  <si>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必修</t>
    <rPh sb="0" eb="2">
      <t>ヒッシュウ</t>
    </rPh>
    <phoneticPr fontId="2"/>
  </si>
  <si>
    <t>単位数</t>
    <rPh sb="0" eb="3">
      <t>タンイスウ</t>
    </rPh>
    <phoneticPr fontId="2"/>
  </si>
  <si>
    <t>⑨プログラムを構成する授業の内容</t>
    <phoneticPr fontId="2"/>
  </si>
  <si>
    <t>⑩プログラムの学修成果（学生等が身に付けられる能力等）</t>
    <phoneticPr fontId="2"/>
  </si>
  <si>
    <t>⑪プログラムの授業内容等を公表しているアドレス</t>
    <phoneticPr fontId="2"/>
  </si>
  <si>
    <t>②履修者・修了者の実績</t>
    <rPh sb="1" eb="3">
      <t>リシュウ</t>
    </rPh>
    <rPh sb="3" eb="4">
      <t>シャ</t>
    </rPh>
    <rPh sb="5" eb="8">
      <t>シュウリョウシャ</t>
    </rPh>
    <rPh sb="9" eb="11">
      <t>ジッセキ</t>
    </rPh>
    <phoneticPr fontId="2"/>
  </si>
  <si>
    <t>選択項目</t>
    <rPh sb="0" eb="2">
      <t>センタク</t>
    </rPh>
    <rPh sb="2" eb="4">
      <t>コウモク</t>
    </rPh>
    <phoneticPr fontId="2"/>
  </si>
  <si>
    <t>①プログラム開設年度</t>
    <rPh sb="6" eb="8">
      <t>カイセツ</t>
    </rPh>
    <rPh sb="8" eb="10">
      <t>ネンド</t>
    </rPh>
    <phoneticPr fontId="2"/>
  </si>
  <si>
    <t>学部・学科によって、修了要件は相違しない</t>
  </si>
  <si>
    <t>情報処理</t>
    <phoneticPr fontId="2"/>
  </si>
  <si>
    <t>○</t>
  </si>
  <si>
    <t>全学開講</t>
  </si>
  <si>
    <t>デザイン工学演習Ⅰ</t>
    <phoneticPr fontId="2"/>
  </si>
  <si>
    <t>デザイン工学演習II</t>
    <phoneticPr fontId="2"/>
  </si>
  <si>
    <t>数学活用</t>
    <phoneticPr fontId="2"/>
  </si>
  <si>
    <t>社会科学II</t>
    <phoneticPr fontId="2"/>
  </si>
  <si>
    <t>4-1統計および数理基礎</t>
  </si>
  <si>
    <t>4‐2アルゴリズム基礎</t>
  </si>
  <si>
    <t>プログラミング基礎</t>
    <phoneticPr fontId="2"/>
  </si>
  <si>
    <t>4‐3データ構造とプログラミング基礎</t>
  </si>
  <si>
    <t>令和4年3月末時点で修了者はいない。</t>
    <phoneticPr fontId="2"/>
  </si>
  <si>
    <t>アンケート結果による理解度、学修成果状況及び学業成績等を参考データとして，学生の「分かりやすさ」の観点から講義の内容・実施方法を改善していく。</t>
    <rPh sb="0" eb="3">
      <t xml:space="preserve">ケイゾクテキニ </t>
    </rPh>
    <rPh sb="26" eb="27">
      <t xml:space="preserve">トウヲ </t>
    </rPh>
    <rPh sb="28" eb="30">
      <t xml:space="preserve">サンコウ </t>
    </rPh>
    <rPh sb="51" eb="53">
      <t xml:space="preserve">カイゼンヲ </t>
    </rPh>
    <phoneticPr fontId="2"/>
  </si>
  <si>
    <t>学内周知やHP等を通して，数理・データサイエンス・ＡＩ認定プログラムについて理解を深めてもらい，本プログラムを学ぶことの重要性や意義を理解させていく。</t>
    <rPh sb="0" eb="4">
      <t xml:space="preserve">ガクナイシュウチヤ </t>
    </rPh>
    <rPh sb="7" eb="8">
      <t xml:space="preserve">トウヲトオシテ </t>
    </rPh>
    <rPh sb="27" eb="29">
      <t xml:space="preserve">ニンテイプロｓグラムノ </t>
    </rPh>
    <rPh sb="38" eb="40">
      <t xml:space="preserve">リカイヲフカメテモライ </t>
    </rPh>
    <rPh sb="48" eb="49">
      <t xml:space="preserve">ホンプログラム </t>
    </rPh>
    <rPh sb="55" eb="56">
      <t xml:space="preserve">マナブコトノ </t>
    </rPh>
    <rPh sb="60" eb="63">
      <t xml:space="preserve">ジュウヨウセイヤ </t>
    </rPh>
    <rPh sb="64" eb="66">
      <t xml:space="preserve">イギヲ </t>
    </rPh>
    <rPh sb="67" eb="69">
      <t xml:space="preserve">リカイサセテイク。 </t>
    </rPh>
    <phoneticPr fontId="2"/>
  </si>
  <si>
    <t>高知工業高等専門学校自己点検評価委員会 数理・データサイエンス・AI 教育プログラム専門部会規則</t>
    <phoneticPr fontId="2"/>
  </si>
  <si>
    <t>デジタル社会の「読み・書き・そろばん」である数理・データサイエンス・AIの基礎的素養を全ての学生に対して修得させるとともに，意欲ある学生に対して自らの専門分野に応用できる力を修得させることを目的とした高知工業高等専門学校数理・データサイエンス・AI教育プログラムを改善・進化させるために高知工業高等専門学校自己点検評価委員会数理・データサイエンス・AI教育プログラム専門部会を設置。</t>
    <phoneticPr fontId="2"/>
  </si>
  <si>
    <t>教務主事　赤﨑達志
ソーシャルデザイン工学科長　赤松重則
アクティブラーニング教育センター長　山崎慎一
キャリア支援室長　藤田拓雄
教務主事補佐　岩﨑洋平
学生課長　徳弘靖人</t>
    <rPh sb="26" eb="28">
      <t xml:space="preserve">シゲノリ </t>
    </rPh>
    <rPh sb="83" eb="85">
      <t xml:space="preserve">トクヒロ </t>
    </rPh>
    <rPh sb="85" eb="87">
      <t xml:space="preserve">ヤスト </t>
    </rPh>
    <phoneticPr fontId="2"/>
  </si>
  <si>
    <t>高知工業高等専門学校</t>
    <rPh sb="0" eb="10">
      <t>コウチコウギョウコウトウセンモンガッコウ</t>
    </rPh>
    <phoneticPr fontId="2"/>
  </si>
  <si>
    <t>独立行政法人国立高等専門学校機構　理事長　谷口 功　</t>
    <rPh sb="0" eb="6">
      <t>ドクリツギョウセイホウジン</t>
    </rPh>
    <rPh sb="6" eb="16">
      <t>コクリツコウトウセンモンガッコウキコウ</t>
    </rPh>
    <rPh sb="17" eb="20">
      <t>リジチョウ</t>
    </rPh>
    <phoneticPr fontId="2"/>
  </si>
  <si>
    <t>高等専門学校</t>
  </si>
  <si>
    <t>高知県南国市物部乙２００−１</t>
    <phoneticPr fontId="2"/>
  </si>
  <si>
    <t>高知工業高等専門学校数理・データサイエンス・AI教育プログラム</t>
    <phoneticPr fontId="2"/>
  </si>
  <si>
    <t>無</t>
  </si>
  <si>
    <t>井瀬　潔</t>
    <phoneticPr fontId="2"/>
  </si>
  <si>
    <t>校長</t>
    <phoneticPr fontId="2"/>
  </si>
  <si>
    <t>自己点検評価委員会　数理・データサイエンス・AI専門部会</t>
    <phoneticPr fontId="2"/>
  </si>
  <si>
    <t>赤﨑　達志</t>
    <phoneticPr fontId="2"/>
  </si>
  <si>
    <t>教務主事</t>
    <phoneticPr fontId="2"/>
  </si>
  <si>
    <t>認定教育プログラム</t>
  </si>
  <si>
    <t>学生課教務係</t>
    <rPh sb="0" eb="3">
      <t>ガクセイカ</t>
    </rPh>
    <rPh sb="3" eb="6">
      <t>キョウムガカリ</t>
    </rPh>
    <phoneticPr fontId="2"/>
  </si>
  <si>
    <t>市村　竜也</t>
    <rPh sb="0" eb="2">
      <t>イチムラ</t>
    </rPh>
    <rPh sb="3" eb="5">
      <t>タツヤ</t>
    </rPh>
    <phoneticPr fontId="2"/>
  </si>
  <si>
    <t>kyomu@jm.kochi-ct.ac.jp</t>
    <phoneticPr fontId="2"/>
  </si>
  <si>
    <t>088-864-5622</t>
    <phoneticPr fontId="2"/>
  </si>
  <si>
    <t>ソーシャルデザイン工学科</t>
    <rPh sb="9" eb="12">
      <t>コウガクカ</t>
    </rPh>
    <phoneticPr fontId="2"/>
  </si>
  <si>
    <t>令和３</t>
    <phoneticPr fontId="2"/>
  </si>
  <si>
    <t>教務委員会及び自己点検評価委員会　数理・データサイエンス・AI専門部会</t>
    <rPh sb="0" eb="5">
      <t>キョウムイインカイ</t>
    </rPh>
    <rPh sb="5" eb="6">
      <t>オヨ</t>
    </rPh>
    <phoneticPr fontId="2"/>
  </si>
  <si>
    <t>全学必履修科目で開講しているので，申請対象となる 令和3年度1年生について，全対象科目の履修率は 1 0 0 % となっている。修得状況は，ICTを積極的に活用し，Google Classroom等を活用し，学習状況の把握に遅延が生じないように工夫している。</t>
    <rPh sb="3" eb="5">
      <t>リシュウ</t>
    </rPh>
    <phoneticPr fontId="2"/>
  </si>
  <si>
    <r>
      <t>各授業</t>
    </r>
    <r>
      <rPr>
        <sz val="12"/>
        <rFont val="MS PGothic"/>
        <family val="2"/>
        <charset val="128"/>
      </rPr>
      <t>担当者および教務委員会にて履修・単位取得の状況は把握されている。また，授業評価アンケー トを実施している。本アンケートを確認する範囲では， 受講した学生の理解度などは高く，学修成果があるように伺うことができる。
さらに，履修者の総合成績評価は学内の学生成績管理システムにて管理され，クラス担任や教員と情報共有している。</t>
    </r>
    <rPh sb="3" eb="5">
      <t xml:space="preserve">タントウ </t>
    </rPh>
    <rPh sb="147" eb="149">
      <t xml:space="preserve">タンニン </t>
    </rPh>
    <phoneticPr fontId="2"/>
  </si>
  <si>
    <t>本プログラムに関わる科目は、すべて第3学年以下に設定し、履修および修得を促す規則としている。</t>
    <phoneticPr fontId="2"/>
  </si>
  <si>
    <t>全学必履修科目で開講しているので，関係科目の学年ごとの履修率は1 0 0 % となっている。</t>
    <rPh sb="3" eb="5">
      <t>リシュウ</t>
    </rPh>
    <phoneticPr fontId="2"/>
  </si>
  <si>
    <t>教育プログラムの内容および手法について，学外参与会委員から高い評価を得ており、期待されている。</t>
    <rPh sb="20" eb="22">
      <t>ガクガイ</t>
    </rPh>
    <phoneticPr fontId="2"/>
  </si>
  <si>
    <r>
      <t>本プログラム履修学生に対して，授業評価アンケートを実施し，AL教育センターにおいて結果の集約・分析を行っている。また，アンケート集約結果は授業</t>
    </r>
    <r>
      <rPr>
        <sz val="12"/>
        <rFont val="MS PGothic"/>
        <family val="2"/>
        <charset val="128"/>
      </rPr>
      <t>担当教員と共有しており，学生からのアンケート結果に対する担当教員からのコメントを集約し，それらを取りまとめ，受講学生に公開している。さらに，アンケートは継続的に実施する予定である。これらを通して，教職員のみならず，学生も自分たちで授業への理解度等を客観的に見渡すことができる仕組みを構築する。</t>
    </r>
    <rPh sb="71" eb="73">
      <t xml:space="preserve">タントウ </t>
    </rPh>
    <rPh sb="97" eb="99">
      <t xml:space="preserve">タントウ </t>
    </rPh>
    <phoneticPr fontId="2"/>
  </si>
  <si>
    <t xml:space="preserve">進級の認定に必要な要件として、定める修得単位数の累計より，全コースともに第1学年では6単位，第2学年では9単位，第3学年にあっては、エネルギー・環境コース，ロボティクスコース，まちづくり・防災コース，新素材・生命コースでは9単位，情報セキュリティコースでは10単位を減じた単位数以上を修得していることとしている。本プログラムに関わる科目は、すべて第3学年以下で，必履修科目としており，履修および修得を促す規則となっている。これにより，全学生の履修率は100％となる。 </t>
    <rPh sb="181" eb="184">
      <t>ヒツリシュウ</t>
    </rPh>
    <phoneticPr fontId="2"/>
  </si>
  <si>
    <t>本プログラムを構成する全ての科目は全学必履修科目で開講しており，履修率は100％である。</t>
    <rPh sb="0" eb="1">
      <t>ホン</t>
    </rPh>
    <rPh sb="7" eb="9">
      <t>コウセイ</t>
    </rPh>
    <rPh sb="11" eb="12">
      <t>スベ</t>
    </rPh>
    <rPh sb="14" eb="16">
      <t>カモク</t>
    </rPh>
    <rPh sb="20" eb="22">
      <t>リシュウ</t>
    </rPh>
    <phoneticPr fontId="2"/>
  </si>
  <si>
    <t xml:space="preserve">本プログラムを構成する全ての科目は、全コース共通科目として，すべて第3学年以下の必履修科目として設定されている。このため，全学生が必ず履修することになっている。これにより，全学生の履修率が100％となる。 </t>
    <rPh sb="41" eb="43">
      <t>リシュウ</t>
    </rPh>
    <phoneticPr fontId="2"/>
  </si>
  <si>
    <t>各クラスに担任、副担任（サポート教員）を配置しており、手厚い学習支援体制をとっている。さらに，放課後に専攻科生がTAとして勉強指導する体制を構築している。また、1・2年生全員にノートPC（Chromebook）を貸与し，学生はGoogle Classroomでオンラインにより課題提出や質問できるサポート体制を構築している。</t>
    <rPh sb="20" eb="22">
      <t>ハイチ</t>
    </rPh>
    <rPh sb="30" eb="32">
      <t>ガクシュウ</t>
    </rPh>
    <rPh sb="137" eb="141">
      <t>カダイテイシュツ</t>
    </rPh>
    <phoneticPr fontId="2"/>
  </si>
  <si>
    <t>令和3年度から入学生全員にノートPC（Chromebook）を貸与しており，全ての学生はオンラインツールであるGoogle Classroomを利用している。
授業担当教員はGoogle Classroom上に各科目のクラスを作成し、オンラインで教員に質問・相談できる環境を構築しており、学生は授業時間外の自習時間に学習指導を受けたり，授業時間内で理解が不足した点を時間外でも質問できる体制をとっている。</t>
    <rPh sb="7" eb="10">
      <t>ニュウガクセイ</t>
    </rPh>
    <rPh sb="10" eb="12">
      <t>ゼンイン</t>
    </rPh>
    <rPh sb="72" eb="74">
      <t>リヨウ</t>
    </rPh>
    <rPh sb="80" eb="86">
      <t>ジュギョウタントウキョウイン</t>
    </rPh>
    <rPh sb="113" eb="115">
      <t>サクセイ</t>
    </rPh>
    <rPh sb="126" eb="128">
      <t>シツモン</t>
    </rPh>
    <rPh sb="147" eb="149">
      <t>ジュギョウ</t>
    </rPh>
    <rPh sb="153" eb="157">
      <t>ジシュウジカン</t>
    </rPh>
    <rPh sb="158" eb="162">
      <t>ガクシュウシドウ</t>
    </rPh>
    <rPh sb="163" eb="164">
      <t>ウ</t>
    </rPh>
    <rPh sb="168" eb="170">
      <t>ジュギョウ</t>
    </rPh>
    <rPh sb="170" eb="173">
      <t>ジカンナイ</t>
    </rPh>
    <rPh sb="174" eb="176">
      <t>リカイ</t>
    </rPh>
    <rPh sb="177" eb="179">
      <t>フソク</t>
    </rPh>
    <rPh sb="183" eb="186">
      <t>ジカンガイ</t>
    </rPh>
    <rPh sb="188" eb="190">
      <t>シツモン</t>
    </rPh>
    <rPh sb="193" eb="195">
      <t>タイセイ</t>
    </rPh>
    <phoneticPr fontId="2"/>
  </si>
  <si>
    <t>様式２</t>
    <phoneticPr fontId="2"/>
  </si>
  <si>
    <t>・インターネットとWeb「情報処理」（14回目）、情報検索・Web「情報処理」（16回目）、通信手段の歴史・インターネットの仕組みと様々なサービス「情報処理」（19回目）、社会における情報システム・情報社会の特徴と問題「情報処理」（20回目）、情報社会と個人・情報社会と技術者「情報処理」（21回目）</t>
    <rPh sb="21" eb="23">
      <t>カイメ</t>
    </rPh>
    <phoneticPr fontId="2"/>
  </si>
  <si>
    <t>・（情報セキュリティコース）①コースガイダンス「情報化社会と情報セキュリティ」「デザイン工学演習Ⅰ」（14回目），（エネルギー・環境コース）①「エネルギー・環境コースの概要」「デザイン工学演習Ⅰ」（2回目），③光通信の基礎技術「デザイン工学演習Ⅰ」(4,5回目)，（情報セキュリティコース）①コースガイダンス「情報化社会と情報セキュリティ」「デザイン工学演習Ⅰ」（14回目）</t>
    <phoneticPr fontId="2"/>
  </si>
  <si>
    <t>・情報検索・Web「情報処理」（16回目）、通信手段の歴史・インターネットの仕組みと様々なサービス「情報処理」（19回目）</t>
    <phoneticPr fontId="2"/>
  </si>
  <si>
    <t>・問題解決総合演習「情報処理」（29回目）
・（エネルギー・環境コース）「太陽電池の特性測定」「デザイン工学演習Ⅰ」（13回目）</t>
    <phoneticPr fontId="2"/>
  </si>
  <si>
    <t>・データベース「情報処理」（27回目）</t>
    <phoneticPr fontId="2"/>
  </si>
  <si>
    <t>・問題解決総合演習「情報処理」（29回目）
・（情報セキュリティコース）①コースガイダンス「情報化社会と情報セキュリティ」「デザイン工学演習Ⅰ」（14回目）</t>
    <phoneticPr fontId="2"/>
  </si>
  <si>
    <t>・情報検索・Web「情報処理」（16回目）、通信手段の歴史・インターネットの仕組みと様々なサービス「情報処理」（19回目），問題解決総合演習「情報処理」（29回目）
・（情報セキュリティコース）①コースガイダンス「情報化社会と情報セキュリティ」「デザイン工学演習Ⅰ」（14回目）
・情報セキュリティコース基礎演習:情報セキュリティ演習I〜III「デザイン工学演習II」（28～30回目）</t>
    <phoneticPr fontId="2"/>
  </si>
  <si>
    <t>・（情報セキュリティコース）①コースガイダンス「情報化社会と情報セキュリティ」「デザイン工学演習Ⅰ」（14回目）
・情報セキュリティコース基礎演習:情報セキュリティ演習I〜III「デザイン工学演習II」（28～30回目）</t>
    <phoneticPr fontId="2"/>
  </si>
  <si>
    <t>・問題解決総合演習「情報処理」（29回目）
・確率「数学活用」（1～7回目）、データの整理「数学活用」（8～11回目, 14回目, 15回目)
・戦後国際秩序とは「社会科学II」(22,23回目)，新型コロナ感染症の流行がもたらした国際社会の現状と展望「社会科学II」(28～30回目)
・（まちづくり・防災コース）桁橋の耐荷力評価とその分析「デザイン工学演習Ⅰ」（22～24回目）
・（新素材・生命コース）中和滴定課題「デザイン工学演習II」（22，23回目）</t>
    <rPh sb="26" eb="28">
      <t xml:space="preserve">スウガク </t>
    </rPh>
    <rPh sb="28" eb="30">
      <t xml:space="preserve">スガクカツヨウ </t>
    </rPh>
    <phoneticPr fontId="2"/>
  </si>
  <si>
    <t>・デジタル社会の「読み・書き・そろばん」である数理・データサイエンス・AIの基礎的素養を身につけ、自らの専門分野におけるデータ処理や解析に応用できること。
・地域や世界が抱える課題を理解し，その解決のために，自ら選択した特定領域の専門知識と他分野の知識，数理・データサイエンス・AIの素養を複合・融合したハイブリッド型の知識・技術を活用できること。</t>
    <phoneticPr fontId="2"/>
  </si>
  <si>
    <t>https://www.kochi-ct.ac.jp/mdash</t>
    <phoneticPr fontId="2"/>
  </si>
  <si>
    <t>・問題解決総合演習「情報処理」（29回目）
・確率「数学活用」（1～7回目）、データの整理「数学活用」（8～11, 14, 15回目)
・戦後国際秩序とは「社会科学II」(22,23回目)，新型コロナ感染症の流行がもたらした国際社会の現状と展望「社会科学II」(28～30回目)
・（まちづくり・防災コース）桁橋の耐荷力評価とその分析「デザイン工学演習Ⅰ」（22～24回目）
・（新素材・生命コース）中和滴定課題「デザイン工学演習II」（22，23回目）</t>
    <rPh sb="26" eb="28">
      <t xml:space="preserve">スウガク </t>
    </rPh>
    <rPh sb="28" eb="30">
      <t xml:space="preserve">スガクカツヨウ </t>
    </rPh>
    <rPh sb="35" eb="37">
      <t>カイメ</t>
    </rPh>
    <phoneticPr fontId="2"/>
  </si>
  <si>
    <t>・問題解決総合演習「情報処理」（29回目）
・確率「数学活用」（1～7回目）、データの整理「数学活用」（8～11, 14, 15回目)
・戦後国際秩序とは「社会科学II」(22,23回目)，新型コロナ感染症の流行がもたらした国際社会の現状と展望「社会科学II」(28～30回目)
・（まちづくり・防災コース）桁橋の耐荷力評価とその分析「デザイン工学演習Ⅰ」（22～24回目）
・（新素材・生命コース）中和滴定課題「デザイン工学演習II」（22，23回目）</t>
    <rPh sb="26" eb="28">
      <t xml:space="preserve">スウガク </t>
    </rPh>
    <rPh sb="28" eb="30">
      <t xml:space="preserve">スガクカツヨウ </t>
    </rPh>
    <rPh sb="35" eb="37">
      <t>カイメ</t>
    </rPh>
    <rPh sb="91" eb="93">
      <t>カイメ</t>
    </rPh>
    <phoneticPr fontId="2"/>
  </si>
  <si>
    <t>ソーシャルデザイン工学科の令和３年度以降入学生において, 本プログラムの対象科目（情報処理、デザイン工学演習Ⅰ、デザイン工学演習Ⅱ、プログラミング基礎、数学活用、社会科学Ⅱ）の単位を全て修得していること</t>
    <rPh sb="9" eb="12">
      <t>コウガクカ</t>
    </rPh>
    <rPh sb="13" eb="15">
      <t>レイワ</t>
    </rPh>
    <rPh sb="99" eb="100">
      <t>ホンタイショウタンイシュウトク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</si>
</sst>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ＭＳ Ｐゴシック"/>
      <family val="3"/>
      <charset val="128"/>
    </font>
    <font>
      <sz val="12"/>
      <name val="ＭＳ Ｐゴシック (本文)"/>
      <family val="3"/>
      <charset val="128"/>
    </font>
    <font>
      <sz val="12"/>
      <name val="MS PGothic"/>
      <family val="2"/>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07">
    <xf numFmtId="0" fontId="0" fillId="0" borderId="0" xfId="0">
      <alignment vertical="center"/>
    </xf>
    <xf numFmtId="0" fontId="3" fillId="0" borderId="0" xfId="0" applyFont="1">
      <alignment vertical="center"/>
    </xf>
    <xf numFmtId="0" fontId="5" fillId="0" borderId="0" xfId="0" applyFont="1">
      <alignment vertical="center"/>
    </xf>
    <xf numFmtId="0" fontId="3" fillId="0" borderId="5" xfId="0" applyFont="1" applyBorder="1">
      <alignment vertical="center"/>
    </xf>
    <xf numFmtId="0" fontId="4" fillId="0" borderId="0" xfId="0" applyFont="1">
      <alignment vertical="center"/>
    </xf>
    <xf numFmtId="0" fontId="6" fillId="0" borderId="10" xfId="0" applyFont="1" applyBorder="1" applyAlignment="1">
      <alignmen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8" xfId="0" applyFont="1" applyBorder="1" applyAlignment="1">
      <alignment vertical="top" wrapText="1"/>
    </xf>
    <xf numFmtId="0" fontId="3" fillId="0" borderId="16"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5" fillId="0" borderId="20" xfId="0" applyFont="1" applyBorder="1" applyAlignment="1">
      <alignment vertical="top" wrapText="1"/>
    </xf>
    <xf numFmtId="0" fontId="9" fillId="0" borderId="0" xfId="0" applyFont="1" applyAlignment="1">
      <alignment horizontal="center" vertical="center"/>
    </xf>
    <xf numFmtId="0" fontId="9" fillId="0" borderId="1" xfId="0" applyFont="1" applyBorder="1" applyAlignment="1">
      <alignment vertical="center" shrinkToFit="1"/>
    </xf>
    <xf numFmtId="0" fontId="11" fillId="0" borderId="0" xfId="0" applyFont="1">
      <alignment vertical="center"/>
    </xf>
    <xf numFmtId="0" fontId="12" fillId="0" borderId="0" xfId="0" applyFont="1">
      <alignment vertical="center"/>
    </xf>
    <xf numFmtId="0" fontId="11" fillId="0" borderId="0" xfId="0" applyFont="1" applyAlignment="1">
      <alignment vertical="center"/>
    </xf>
    <xf numFmtId="0" fontId="9" fillId="0" borderId="0" xfId="0" applyFont="1" applyBorder="1" applyAlignment="1">
      <alignment horizontal="center" vertical="center"/>
    </xf>
    <xf numFmtId="0" fontId="9" fillId="0" borderId="0" xfId="0" applyFont="1" applyBorder="1" applyAlignment="1">
      <alignment vertical="center" shrinkToFit="1"/>
    </xf>
    <xf numFmtId="0" fontId="4" fillId="0" borderId="0" xfId="0" applyFont="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3"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4" fillId="0" borderId="0" xfId="0" applyFont="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0" xfId="0" applyFont="1" applyBorder="1" applyAlignment="1">
      <alignment vertical="center" shrinkToFit="1"/>
    </xf>
    <xf numFmtId="176" fontId="4" fillId="0" borderId="24" xfId="0" applyNumberFormat="1"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9" fillId="0" borderId="0" xfId="0" applyFont="1" applyBorder="1" applyAlignment="1">
      <alignment vertical="center" shrinkToFit="1"/>
    </xf>
    <xf numFmtId="0" fontId="9" fillId="0" borderId="0" xfId="0" applyFont="1" applyFill="1">
      <alignment vertical="center"/>
    </xf>
    <xf numFmtId="0" fontId="9" fillId="0" borderId="10" xfId="0" applyFont="1" applyBorder="1" applyAlignment="1">
      <alignment vertical="center" shrinkToFit="1"/>
    </xf>
    <xf numFmtId="49" fontId="18" fillId="0" borderId="1" xfId="0" applyNumberFormat="1" applyFont="1" applyBorder="1" applyAlignment="1">
      <alignment horizontal="center" vertical="center"/>
    </xf>
    <xf numFmtId="0" fontId="9" fillId="0" borderId="0" xfId="0" applyFont="1" applyAlignment="1">
      <alignment vertical="center" shrinkToFit="1"/>
    </xf>
    <xf numFmtId="0" fontId="9" fillId="0" borderId="0" xfId="0" applyFont="1" applyAlignment="1">
      <alignment vertical="top" wrapText="1"/>
    </xf>
    <xf numFmtId="0" fontId="10" fillId="0" borderId="2" xfId="0" applyFont="1" applyBorder="1">
      <alignment vertical="center"/>
    </xf>
    <xf numFmtId="0" fontId="10"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9" fillId="0" borderId="44" xfId="0" applyFont="1" applyBorder="1" applyAlignment="1">
      <alignment horizontal="center" vertical="center" shrinkToFit="1"/>
    </xf>
    <xf numFmtId="0" fontId="9"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4" fillId="0" borderId="0" xfId="0" applyFont="1" applyAlignment="1">
      <alignment horizontal="left" vertical="center"/>
    </xf>
    <xf numFmtId="0" fontId="4" fillId="0" borderId="14"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10" xfId="0"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0" xfId="0" applyFont="1" applyAlignment="1">
      <alignment vertical="top" wrapText="1"/>
    </xf>
    <xf numFmtId="0" fontId="4" fillId="0" borderId="0" xfId="0" applyFont="1" applyAlignment="1">
      <alignment vertical="center" wrapText="1"/>
    </xf>
    <xf numFmtId="0" fontId="9" fillId="0" borderId="7" xfId="0" applyFont="1" applyBorder="1" applyAlignment="1">
      <alignment horizontal="center" vertical="center" wrapText="1" shrinkToFit="1"/>
    </xf>
    <xf numFmtId="9" fontId="9" fillId="0" borderId="8" xfId="0" applyNumberFormat="1" applyFont="1" applyBorder="1" applyAlignment="1">
      <alignment horizontal="center" vertical="center" wrapText="1" shrinkToFit="1"/>
    </xf>
    <xf numFmtId="0" fontId="9" fillId="0" borderId="8" xfId="0" applyFont="1" applyBorder="1" applyAlignment="1">
      <alignment horizontal="center" vertical="center" wrapText="1" shrinkToFit="1"/>
    </xf>
    <xf numFmtId="9" fontId="9" fillId="0" borderId="8" xfId="0" applyNumberFormat="1" applyFont="1" applyBorder="1" applyAlignment="1">
      <alignment horizontal="center" vertical="center" shrinkToFit="1"/>
    </xf>
    <xf numFmtId="0" fontId="9" fillId="0" borderId="9" xfId="0" applyFont="1" applyBorder="1" applyAlignment="1">
      <alignment horizontal="center" vertical="center" shrinkToFit="1"/>
    </xf>
    <xf numFmtId="9" fontId="9" fillId="0" borderId="45" xfId="0" applyNumberFormat="1" applyFont="1" applyBorder="1" applyAlignment="1">
      <alignment horizontal="center" vertical="center" shrinkToFit="1"/>
    </xf>
    <xf numFmtId="176" fontId="9" fillId="0" borderId="45" xfId="0" applyNumberFormat="1" applyFont="1" applyBorder="1" applyAlignment="1">
      <alignment horizontal="center" vertical="center" shrinkToFit="1"/>
    </xf>
    <xf numFmtId="0" fontId="9" fillId="0" borderId="46" xfId="0" applyFont="1" applyBorder="1" applyAlignment="1">
      <alignment horizontal="center" vertical="center" shrinkToFit="1"/>
    </xf>
    <xf numFmtId="0" fontId="3" fillId="0" borderId="0" xfId="0" applyFont="1" applyAlignment="1">
      <alignment vertical="center" wrapText="1"/>
    </xf>
    <xf numFmtId="0" fontId="5" fillId="0" borderId="0" xfId="0" applyFont="1" applyAlignment="1">
      <alignment vertical="top" shrinkToFit="1"/>
    </xf>
    <xf numFmtId="0" fontId="5" fillId="0" borderId="0" xfId="0" applyFont="1" applyAlignment="1">
      <alignment vertical="center" wrapText="1"/>
    </xf>
    <xf numFmtId="0" fontId="3" fillId="0" borderId="0" xfId="0" applyFont="1" applyAlignment="1">
      <alignment vertical="top" wrapText="1"/>
    </xf>
    <xf numFmtId="0" fontId="9" fillId="0" borderId="2" xfId="0" applyFont="1" applyBorder="1" applyAlignment="1">
      <alignment vertical="center"/>
    </xf>
    <xf numFmtId="0" fontId="9" fillId="0" borderId="3" xfId="0" applyFont="1" applyBorder="1" applyAlignment="1">
      <alignment vertical="center"/>
    </xf>
    <xf numFmtId="0" fontId="9"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23" xfId="0" applyFont="1" applyBorder="1" applyAlignment="1">
      <alignment horizontal="center" vertical="center" shrinkToFit="1"/>
    </xf>
    <xf numFmtId="0" fontId="4" fillId="0" borderId="0" xfId="0" applyFont="1" applyBorder="1" applyAlignment="1">
      <alignment vertical="center" shrinkToFit="1"/>
    </xf>
    <xf numFmtId="0" fontId="9" fillId="0" borderId="1" xfId="0" applyFont="1" applyBorder="1" applyAlignment="1">
      <alignment horizontal="center" vertical="center" shrinkToFit="1"/>
    </xf>
    <xf numFmtId="0" fontId="9" fillId="0" borderId="43" xfId="0" applyFont="1" applyBorder="1" applyAlignment="1">
      <alignment horizontal="center" vertical="center" shrinkToFit="1"/>
    </xf>
    <xf numFmtId="0" fontId="9" fillId="0" borderId="38" xfId="0" applyFont="1" applyBorder="1" applyAlignment="1">
      <alignment horizontal="center" vertical="center"/>
    </xf>
    <xf numFmtId="0" fontId="9" fillId="0" borderId="18" xfId="0" applyFont="1" applyBorder="1" applyAlignment="1">
      <alignment horizontal="center" vertical="center"/>
    </xf>
    <xf numFmtId="0" fontId="9" fillId="0" borderId="42" xfId="0" applyFont="1" applyBorder="1" applyAlignment="1">
      <alignment horizontal="center"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49" fontId="20" fillId="0" borderId="2" xfId="2" applyNumberFormat="1" applyFont="1" applyBorder="1" applyAlignment="1">
      <alignment vertical="center" shrinkToFit="1"/>
    </xf>
    <xf numFmtId="49" fontId="9" fillId="0" borderId="3" xfId="0" applyNumberFormat="1" applyFont="1" applyBorder="1" applyAlignment="1">
      <alignment vertical="center" shrinkToFit="1"/>
    </xf>
    <xf numFmtId="49" fontId="9" fillId="0" borderId="4" xfId="0" applyNumberFormat="1" applyFon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13" fillId="0" borderId="0" xfId="0" applyFont="1" applyAlignment="1">
      <alignment horizontal="center" vertical="center"/>
    </xf>
    <xf numFmtId="0" fontId="9" fillId="0" borderId="2" xfId="0" applyNumberFormat="1" applyFont="1" applyBorder="1" applyAlignment="1">
      <alignment horizontal="center" vertical="center"/>
    </xf>
    <xf numFmtId="0" fontId="9" fillId="0" borderId="4" xfId="0" applyNumberFormat="1"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176" fontId="9" fillId="0" borderId="2" xfId="0" applyNumberFormat="1" applyFont="1" applyBorder="1" applyAlignment="1">
      <alignment horizontal="center" vertical="center"/>
    </xf>
    <xf numFmtId="176" fontId="9" fillId="0" borderId="3" xfId="0" applyNumberFormat="1" applyFont="1" applyBorder="1" applyAlignment="1">
      <alignment horizontal="center" vertical="center"/>
    </xf>
    <xf numFmtId="176" fontId="9" fillId="0" borderId="4" xfId="0" applyNumberFormat="1" applyFont="1" applyBorder="1" applyAlignment="1">
      <alignment horizontal="center" vertical="center"/>
    </xf>
    <xf numFmtId="0" fontId="9" fillId="0" borderId="0" xfId="0" applyFont="1" applyBorder="1" applyAlignment="1">
      <alignment vertical="center" shrinkToFit="1"/>
    </xf>
    <xf numFmtId="0" fontId="9" fillId="0" borderId="37" xfId="0" applyFont="1" applyBorder="1" applyAlignment="1">
      <alignment vertical="center"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37"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38" xfId="0" applyFont="1" applyBorder="1" applyAlignment="1">
      <alignment horizontal="center" vertical="center" shrinkToFit="1"/>
    </xf>
    <xf numFmtId="0" fontId="10" fillId="0" borderId="44" xfId="0" applyFont="1" applyBorder="1" applyAlignment="1">
      <alignment vertical="center" wrapText="1" shrinkToFit="1"/>
    </xf>
    <xf numFmtId="0" fontId="10" fillId="0" borderId="45" xfId="0" applyFont="1" applyBorder="1" applyAlignment="1">
      <alignment vertical="center" shrinkToFit="1"/>
    </xf>
    <xf numFmtId="0" fontId="10" fillId="0" borderId="46" xfId="0" applyFont="1" applyBorder="1" applyAlignment="1">
      <alignment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10" fillId="0" borderId="37" xfId="0" applyFont="1" applyBorder="1" applyAlignment="1">
      <alignment vertical="center" wrapText="1" shrinkToFit="1"/>
    </xf>
    <xf numFmtId="0" fontId="10" fillId="0" borderId="39" xfId="0" applyFont="1" applyBorder="1" applyAlignment="1">
      <alignment vertical="center" shrinkToFit="1"/>
    </xf>
    <xf numFmtId="0" fontId="10" fillId="0" borderId="38" xfId="0" applyFont="1" applyBorder="1" applyAlignment="1">
      <alignment vertical="center" shrinkToFit="1"/>
    </xf>
    <xf numFmtId="0" fontId="10" fillId="0" borderId="6" xfId="0" applyFont="1" applyBorder="1" applyAlignment="1">
      <alignment vertical="center" wrapText="1" shrinkToFit="1"/>
    </xf>
    <xf numFmtId="0" fontId="10" fillId="0" borderId="6" xfId="0" applyFont="1" applyBorder="1" applyAlignment="1">
      <alignment vertical="center" shrinkToFit="1"/>
    </xf>
    <xf numFmtId="0" fontId="10" fillId="0" borderId="12" xfId="0" applyFont="1" applyBorder="1" applyAlignment="1">
      <alignment vertical="center" shrinkToFit="1"/>
    </xf>
    <xf numFmtId="0" fontId="20" fillId="0" borderId="32" xfId="0" applyFont="1" applyBorder="1" applyAlignment="1">
      <alignment vertical="center" wrapText="1"/>
    </xf>
    <xf numFmtId="0" fontId="10" fillId="0" borderId="37" xfId="0" applyFont="1" applyBorder="1" applyAlignment="1">
      <alignment horizontal="left" vertical="center" wrapText="1" shrinkToFit="1"/>
    </xf>
    <xf numFmtId="0" fontId="10" fillId="0" borderId="39" xfId="0" applyFont="1" applyBorder="1" applyAlignment="1">
      <alignment horizontal="left" vertical="center" shrinkToFit="1"/>
    </xf>
    <xf numFmtId="0" fontId="10" fillId="0" borderId="38" xfId="0" applyFont="1" applyBorder="1" applyAlignment="1">
      <alignment horizontal="left" vertical="center" shrinkToFit="1"/>
    </xf>
    <xf numFmtId="0" fontId="10" fillId="0" borderId="0" xfId="0" applyFont="1" applyBorder="1" applyAlignment="1">
      <alignment horizontal="left" vertical="center" wrapText="1" shrinkToFit="1"/>
    </xf>
    <xf numFmtId="0" fontId="10" fillId="0" borderId="0" xfId="0" applyFont="1" applyBorder="1" applyAlignment="1">
      <alignment horizontal="left" vertical="center" shrinkToFit="1"/>
    </xf>
    <xf numFmtId="0" fontId="10" fillId="0" borderId="10" xfId="0" applyFont="1" applyBorder="1" applyAlignment="1">
      <alignment horizontal="left" vertical="center" shrinkToFi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9" xfId="0" applyFont="1" applyBorder="1" applyAlignment="1">
      <alignment horizontal="left" vertical="center" wrapText="1" shrinkToFit="1"/>
    </xf>
    <xf numFmtId="0" fontId="10" fillId="0" borderId="38" xfId="0" applyFont="1" applyBorder="1" applyAlignment="1">
      <alignment horizontal="left" vertical="center" wrapText="1" shrinkToFit="1"/>
    </xf>
    <xf numFmtId="0" fontId="9" fillId="0" borderId="37" xfId="0" applyFont="1" applyBorder="1" applyAlignment="1">
      <alignment horizontal="center" vertical="center"/>
    </xf>
    <xf numFmtId="0" fontId="9" fillId="0" borderId="39" xfId="0" applyFont="1" applyBorder="1" applyAlignment="1">
      <alignment horizontal="center" vertical="center"/>
    </xf>
    <xf numFmtId="0" fontId="9" fillId="0" borderId="3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9" fillId="0" borderId="37"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42" xfId="0" applyFont="1" applyBorder="1" applyAlignment="1">
      <alignment horizontal="center" vertical="center"/>
    </xf>
    <xf numFmtId="0" fontId="9" fillId="0" borderId="0" xfId="0" applyFont="1" applyAlignment="1">
      <alignment vertical="center" wrapText="1"/>
    </xf>
    <xf numFmtId="0" fontId="9" fillId="0" borderId="40"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17" fillId="0" borderId="0" xfId="0" applyFont="1" applyAlignment="1">
      <alignment horizontal="center" vertical="center"/>
    </xf>
    <xf numFmtId="0" fontId="22" fillId="0" borderId="7" xfId="0" applyFont="1" applyBorder="1" applyAlignment="1">
      <alignment horizontal="left" vertical="top" wrapText="1" shrinkToFit="1"/>
    </xf>
    <xf numFmtId="0" fontId="10" fillId="0" borderId="22" xfId="0" applyFont="1" applyBorder="1" applyAlignment="1">
      <alignment horizontal="left" vertical="center" wrapText="1" shrinkToFit="1"/>
    </xf>
    <xf numFmtId="0" fontId="10" fillId="0" borderId="22" xfId="0" applyFont="1" applyBorder="1" applyAlignment="1">
      <alignment horizontal="left" vertical="center" shrinkToFit="1"/>
    </xf>
    <xf numFmtId="0" fontId="10" fillId="0" borderId="21" xfId="0" applyFont="1" applyBorder="1" applyAlignment="1">
      <alignment horizontal="left" vertical="center" shrinkToFit="1"/>
    </xf>
    <xf numFmtId="0" fontId="10" fillId="0" borderId="8" xfId="0" applyFont="1" applyBorder="1" applyAlignment="1">
      <alignment horizontal="left" vertical="center" wrapText="1" shrinkToFit="1"/>
    </xf>
    <xf numFmtId="0" fontId="10" fillId="0" borderId="8" xfId="0" applyFont="1" applyBorder="1" applyAlignment="1">
      <alignment horizontal="left" vertical="center" shrinkToFit="1"/>
    </xf>
    <xf numFmtId="0" fontId="10" fillId="0" borderId="9" xfId="0" applyFont="1" applyBorder="1" applyAlignment="1">
      <alignment horizontal="left" vertical="center" shrinkToFit="1"/>
    </xf>
    <xf numFmtId="0" fontId="10" fillId="0" borderId="6" xfId="0" applyFont="1" applyBorder="1" applyAlignment="1">
      <alignment horizontal="left" vertical="center" wrapText="1" shrinkToFit="1"/>
    </xf>
    <xf numFmtId="0" fontId="10" fillId="0" borderId="6" xfId="0" applyFont="1" applyBorder="1" applyAlignment="1">
      <alignment horizontal="left" vertical="center" shrinkToFit="1"/>
    </xf>
    <xf numFmtId="0" fontId="10" fillId="0" borderId="12" xfId="0" applyFont="1" applyBorder="1" applyAlignment="1">
      <alignment horizontal="left" vertical="center" shrinkToFit="1"/>
    </xf>
    <xf numFmtId="0" fontId="10" fillId="0" borderId="41" xfId="0" applyFont="1" applyBorder="1" applyAlignment="1">
      <alignment horizontal="left" vertical="center" wrapText="1" shrinkToFit="1"/>
    </xf>
    <xf numFmtId="0" fontId="10" fillId="0" borderId="41" xfId="0" applyFont="1" applyBorder="1" applyAlignment="1">
      <alignment horizontal="left" vertical="center" shrinkToFit="1"/>
    </xf>
    <xf numFmtId="0" fontId="10" fillId="0" borderId="42" xfId="0" applyFont="1" applyBorder="1" applyAlignment="1">
      <alignment horizontal="left" vertical="center" shrinkToFit="1"/>
    </xf>
    <xf numFmtId="0" fontId="9" fillId="0" borderId="40" xfId="0" applyFont="1" applyBorder="1" applyAlignment="1">
      <alignment vertical="center" shrinkToFit="1"/>
    </xf>
    <xf numFmtId="0" fontId="9" fillId="0" borderId="41" xfId="0" applyFont="1" applyBorder="1" applyAlignment="1">
      <alignment vertical="center" shrinkToFit="1"/>
    </xf>
    <xf numFmtId="0" fontId="9" fillId="0" borderId="42" xfId="0" applyFont="1" applyBorder="1" applyAlignment="1">
      <alignment vertical="center" shrinkToFit="1"/>
    </xf>
    <xf numFmtId="0" fontId="9" fillId="0" borderId="4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42" xfId="0" applyFont="1" applyBorder="1" applyAlignment="1">
      <alignment horizontal="center" vertical="center" shrinkToFi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10" fillId="0" borderId="7" xfId="0" applyFont="1" applyBorder="1" applyAlignment="1">
      <alignment vertical="center" wrapText="1" shrinkToFit="1"/>
    </xf>
    <xf numFmtId="0" fontId="10" fillId="0" borderId="8" xfId="0" applyFont="1" applyBorder="1" applyAlignment="1">
      <alignment vertical="center" shrinkToFit="1"/>
    </xf>
    <xf numFmtId="0" fontId="10" fillId="0" borderId="9" xfId="0" applyFont="1" applyBorder="1" applyAlignment="1">
      <alignment vertical="center" shrinkToFit="1"/>
    </xf>
    <xf numFmtId="0" fontId="10" fillId="0" borderId="5" xfId="0" applyFont="1" applyBorder="1" applyAlignment="1">
      <alignment vertical="center" shrinkToFit="1"/>
    </xf>
    <xf numFmtId="0" fontId="10" fillId="0" borderId="0" xfId="0" applyFont="1" applyBorder="1" applyAlignment="1">
      <alignment vertical="center" shrinkToFit="1"/>
    </xf>
    <xf numFmtId="0" fontId="10" fillId="0" borderId="10" xfId="0" applyFont="1" applyBorder="1" applyAlignment="1">
      <alignment vertical="center" shrinkToFit="1"/>
    </xf>
    <xf numFmtId="0" fontId="10" fillId="0" borderId="11" xfId="0" applyFont="1" applyBorder="1" applyAlignment="1">
      <alignment vertical="center" shrinkToFit="1"/>
    </xf>
    <xf numFmtId="0" fontId="0" fillId="0" borderId="0" xfId="0" applyFill="1">
      <alignment vertical="center"/>
    </xf>
    <xf numFmtId="0" fontId="10" fillId="0" borderId="0" xfId="0" applyFont="1" applyAlignment="1">
      <alignment horizontal="center" vertical="center"/>
    </xf>
    <xf numFmtId="0" fontId="3" fillId="0" borderId="0" xfId="0" applyFont="1" applyAlignment="1">
      <alignment horizontal="right" vertical="center"/>
    </xf>
    <xf numFmtId="0" fontId="14" fillId="0" borderId="0" xfId="0" applyFont="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4" fillId="0" borderId="14"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9" fillId="0" borderId="16" xfId="0" applyFont="1" applyBorder="1" applyAlignment="1">
      <alignment vertical="top" shrinkToFit="1"/>
    </xf>
    <xf numFmtId="0" fontId="9" fillId="0" borderId="22" xfId="0" applyFont="1" applyBorder="1" applyAlignment="1">
      <alignment vertical="top" shrinkToFit="1"/>
    </xf>
    <xf numFmtId="0" fontId="9" fillId="0" borderId="21"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4" xfId="0" applyFont="1" applyBorder="1" applyAlignment="1">
      <alignment vertical="center"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3" fillId="0" borderId="6" xfId="0" applyFont="1" applyBorder="1">
      <alignment vertical="center"/>
    </xf>
    <xf numFmtId="0" fontId="3" fillId="0" borderId="17" xfId="0" applyFont="1" applyBorder="1">
      <alignment vertical="center"/>
    </xf>
    <xf numFmtId="0" fontId="0" fillId="0" borderId="18" xfId="0" applyBorder="1">
      <alignment vertical="center"/>
    </xf>
    <xf numFmtId="0" fontId="9" fillId="0" borderId="19" xfId="0" applyFont="1" applyBorder="1" applyAlignment="1">
      <alignment vertical="top" wrapText="1" shrinkToFi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22" fillId="0" borderId="19" xfId="0" applyFont="1" applyBorder="1" applyAlignment="1">
      <alignment vertical="top" wrapText="1" shrinkToFit="1"/>
    </xf>
    <xf numFmtId="0" fontId="23" fillId="0" borderId="20" xfId="0" applyFont="1" applyBorder="1" applyAlignment="1">
      <alignment vertical="top" wrapText="1" shrinkToFit="1"/>
    </xf>
    <xf numFmtId="0" fontId="23" fillId="0" borderId="18"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1" fillId="0" borderId="19" xfId="0" applyFont="1" applyBorder="1" applyAlignment="1">
      <alignment vertical="center" wrapText="1"/>
    </xf>
    <xf numFmtId="0" fontId="3" fillId="0" borderId="20" xfId="0" applyFont="1" applyBorder="1" applyAlignment="1">
      <alignment vertical="center" wrapTex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6" zoomScaleNormal="100" zoomScaleSheetLayoutView="100" workbookViewId="0">
      <selection activeCell="N16" sqref="N16:S16"/>
    </sheetView>
  </sheetViews>
  <sheetFormatPr defaultColWidth="9" defaultRowHeight="18.75" customHeight="1"/>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6640625" style="14" customWidth="1"/>
    <col min="13" max="13" width="3.33203125" style="14" customWidth="1"/>
    <col min="14" max="14" width="4.44140625" style="14" customWidth="1"/>
    <col min="15" max="15" width="9" style="31"/>
    <col min="16" max="16384" width="9" style="13"/>
  </cols>
  <sheetData>
    <row r="1" spans="1:15" ht="24" customHeight="1">
      <c r="M1" s="138" t="s">
        <v>25</v>
      </c>
      <c r="N1" s="138"/>
    </row>
    <row r="2" spans="1:15" ht="24" customHeight="1">
      <c r="A2" s="142" t="s">
        <v>83</v>
      </c>
      <c r="B2" s="142"/>
      <c r="C2" s="142"/>
      <c r="D2" s="142"/>
      <c r="E2" s="142"/>
      <c r="F2" s="142"/>
      <c r="G2" s="142"/>
      <c r="H2" s="142"/>
      <c r="I2" s="142"/>
      <c r="J2" s="142"/>
      <c r="K2" s="142"/>
      <c r="L2" s="142"/>
      <c r="M2" s="142"/>
      <c r="N2" s="142"/>
    </row>
    <row r="3" spans="1:15" ht="24" customHeight="1"/>
    <row r="4" spans="1:15" ht="24" customHeight="1">
      <c r="A4" s="14" t="s">
        <v>6</v>
      </c>
      <c r="B4" s="15" t="s">
        <v>16</v>
      </c>
      <c r="C4" s="128" t="s">
        <v>166</v>
      </c>
      <c r="D4" s="129"/>
      <c r="E4" s="129"/>
      <c r="F4" s="129"/>
      <c r="G4" s="129"/>
      <c r="H4" s="129"/>
      <c r="I4" s="129"/>
      <c r="J4" s="129"/>
      <c r="K4" s="129"/>
      <c r="L4" s="129"/>
      <c r="M4" s="129"/>
      <c r="N4" s="130"/>
      <c r="O4" s="31" t="str">
        <f>IF(C4="","入力してください","")</f>
        <v/>
      </c>
    </row>
    <row r="5" spans="1:15" ht="7.5" customHeight="1">
      <c r="B5" s="15"/>
      <c r="C5" s="15"/>
      <c r="D5" s="15"/>
      <c r="E5" s="16"/>
      <c r="F5" s="35"/>
      <c r="G5" s="35"/>
      <c r="H5" s="35"/>
      <c r="I5" s="35"/>
      <c r="J5" s="35"/>
      <c r="K5" s="35"/>
      <c r="L5" s="35"/>
      <c r="M5" s="35"/>
      <c r="N5" s="35"/>
    </row>
    <row r="6" spans="1:15" ht="24" customHeight="1">
      <c r="A6" s="14" t="s">
        <v>48</v>
      </c>
      <c r="B6" s="15" t="s">
        <v>49</v>
      </c>
      <c r="C6" s="15"/>
      <c r="D6" s="128" t="s">
        <v>167</v>
      </c>
      <c r="E6" s="129"/>
      <c r="F6" s="129"/>
      <c r="G6" s="129"/>
      <c r="H6" s="130"/>
      <c r="I6" s="17" t="s">
        <v>86</v>
      </c>
      <c r="J6" s="35" t="s">
        <v>87</v>
      </c>
      <c r="K6" s="128" t="s">
        <v>168</v>
      </c>
      <c r="L6" s="129"/>
      <c r="M6" s="129"/>
      <c r="N6" s="130"/>
      <c r="O6" s="31" t="str">
        <f>IF(D6="","入力してください","")</f>
        <v/>
      </c>
    </row>
    <row r="7" spans="1:15" ht="7.5" customHeight="1">
      <c r="B7" s="15"/>
      <c r="C7" s="15"/>
      <c r="D7" s="15"/>
      <c r="E7" s="16"/>
      <c r="F7" s="35"/>
      <c r="G7" s="35"/>
      <c r="H7" s="35"/>
      <c r="I7" s="35"/>
      <c r="J7" s="35"/>
      <c r="K7" s="35"/>
      <c r="L7" s="35"/>
      <c r="M7" s="35"/>
      <c r="N7" s="35"/>
    </row>
    <row r="8" spans="1:15" ht="24" customHeight="1">
      <c r="A8" s="14" t="s">
        <v>13</v>
      </c>
      <c r="B8" s="15" t="s">
        <v>45</v>
      </c>
      <c r="C8" s="128" t="s">
        <v>169</v>
      </c>
      <c r="D8" s="129"/>
      <c r="E8" s="129"/>
      <c r="F8" s="129"/>
      <c r="G8" s="129"/>
      <c r="H8" s="129"/>
      <c r="I8" s="129"/>
      <c r="J8" s="129"/>
      <c r="K8" s="129"/>
      <c r="L8" s="129"/>
      <c r="M8" s="129"/>
      <c r="N8" s="130"/>
      <c r="O8" s="31" t="str">
        <f>IF(C8="","入力してください","")</f>
        <v/>
      </c>
    </row>
    <row r="9" spans="1:15" ht="7.5" customHeight="1">
      <c r="B9" s="15"/>
      <c r="C9" s="15"/>
      <c r="D9" s="15"/>
      <c r="E9" s="16"/>
      <c r="F9" s="35"/>
      <c r="G9" s="35"/>
      <c r="H9" s="35"/>
      <c r="I9" s="35"/>
      <c r="J9" s="35"/>
      <c r="K9" s="35"/>
      <c r="L9" s="35"/>
      <c r="M9" s="35"/>
      <c r="N9" s="35"/>
    </row>
    <row r="10" spans="1:15" ht="24" customHeight="1">
      <c r="A10" s="14" t="s">
        <v>11</v>
      </c>
      <c r="B10" s="15" t="s">
        <v>85</v>
      </c>
      <c r="C10" s="15"/>
      <c r="D10" s="15"/>
      <c r="E10" s="128" t="s">
        <v>170</v>
      </c>
      <c r="F10" s="129"/>
      <c r="G10" s="129"/>
      <c r="H10" s="129"/>
      <c r="I10" s="129"/>
      <c r="J10" s="129"/>
      <c r="K10" s="129"/>
      <c r="L10" s="129"/>
      <c r="M10" s="129"/>
      <c r="N10" s="130"/>
      <c r="O10" s="31" t="str">
        <f>IF(E10="","入力してください","")</f>
        <v/>
      </c>
    </row>
    <row r="11" spans="1:15" ht="7.5" customHeight="1">
      <c r="B11" s="16"/>
      <c r="C11" s="16"/>
      <c r="D11" s="16"/>
      <c r="E11" s="16"/>
      <c r="F11" s="35"/>
      <c r="G11" s="35"/>
      <c r="H11" s="35"/>
      <c r="I11" s="35"/>
      <c r="J11" s="35"/>
      <c r="K11" s="35"/>
      <c r="L11" s="35"/>
      <c r="M11" s="35"/>
      <c r="N11" s="35"/>
    </row>
    <row r="12" spans="1:15" ht="24" customHeight="1">
      <c r="A12" s="14" t="s">
        <v>58</v>
      </c>
      <c r="B12" s="16" t="s">
        <v>59</v>
      </c>
      <c r="C12" s="16"/>
      <c r="D12" s="16"/>
      <c r="E12" s="143" t="s">
        <v>183</v>
      </c>
      <c r="F12" s="144"/>
      <c r="G12" s="17" t="s">
        <v>96</v>
      </c>
      <c r="H12" s="14" t="s">
        <v>97</v>
      </c>
      <c r="N12" s="114" t="s">
        <v>171</v>
      </c>
      <c r="O12" s="31" t="str">
        <f>IF(E12="","入力してください","")</f>
        <v/>
      </c>
    </row>
    <row r="13" spans="1:15" ht="7.5" customHeight="1">
      <c r="B13" s="16"/>
      <c r="C13" s="16"/>
      <c r="D13" s="16"/>
      <c r="E13" s="16"/>
      <c r="F13" s="35"/>
      <c r="G13" s="35"/>
      <c r="H13" s="35"/>
      <c r="I13" s="35"/>
      <c r="J13" s="35"/>
      <c r="K13" s="35"/>
      <c r="L13" s="35"/>
      <c r="M13" s="35"/>
      <c r="N13" s="35"/>
    </row>
    <row r="14" spans="1:15" ht="24" customHeight="1">
      <c r="A14" s="14" t="s">
        <v>53</v>
      </c>
      <c r="B14" s="14" t="s">
        <v>0</v>
      </c>
      <c r="C14" s="139" t="s">
        <v>5</v>
      </c>
      <c r="D14" s="140"/>
      <c r="E14" s="131">
        <v>66</v>
      </c>
      <c r="F14" s="132"/>
      <c r="G14" s="18" t="s">
        <v>7</v>
      </c>
      <c r="I14" s="139" t="s">
        <v>8</v>
      </c>
      <c r="J14" s="140"/>
      <c r="K14" s="131">
        <v>38</v>
      </c>
      <c r="L14" s="141"/>
      <c r="M14" s="132"/>
      <c r="N14" s="19" t="s">
        <v>7</v>
      </c>
      <c r="O14" s="31" t="str">
        <f>IF(OR(E14="",K14=""),"入力してください","")</f>
        <v/>
      </c>
    </row>
    <row r="15" spans="1:15" ht="7.5" customHeight="1">
      <c r="F15" s="20"/>
      <c r="G15" s="20"/>
      <c r="H15" s="20"/>
      <c r="I15" s="20"/>
      <c r="J15" s="20"/>
      <c r="K15" s="20"/>
      <c r="L15" s="20"/>
      <c r="M15" s="19"/>
      <c r="N15" s="19"/>
    </row>
    <row r="16" spans="1:15" ht="24" customHeight="1">
      <c r="A16" s="14" t="s">
        <v>60</v>
      </c>
      <c r="B16" s="14" t="s">
        <v>70</v>
      </c>
      <c r="F16" s="20"/>
      <c r="G16" s="20"/>
      <c r="H16" s="20"/>
      <c r="I16" s="20"/>
      <c r="J16" s="20"/>
      <c r="K16" s="145">
        <v>29</v>
      </c>
      <c r="L16" s="146"/>
      <c r="M16" s="147"/>
      <c r="N16" s="19" t="s">
        <v>51</v>
      </c>
      <c r="O16" s="31" t="str">
        <f>IF(K16="","入力してください","")</f>
        <v/>
      </c>
    </row>
    <row r="17" spans="1:15" ht="7.5" customHeight="1">
      <c r="F17" s="20"/>
      <c r="G17" s="20"/>
      <c r="H17" s="20"/>
      <c r="I17" s="20"/>
      <c r="J17" s="20"/>
      <c r="K17" s="20"/>
      <c r="L17" s="20"/>
      <c r="M17" s="19"/>
      <c r="N17" s="19"/>
    </row>
    <row r="18" spans="1:15" ht="24" customHeight="1">
      <c r="A18" s="14" t="s">
        <v>24</v>
      </c>
      <c r="B18" s="14" t="s">
        <v>77</v>
      </c>
      <c r="E18" s="131">
        <v>160</v>
      </c>
      <c r="F18" s="132"/>
      <c r="G18" s="21" t="s">
        <v>21</v>
      </c>
      <c r="H18" s="20"/>
      <c r="K18" s="151"/>
      <c r="L18" s="151"/>
      <c r="M18" s="151"/>
      <c r="N18" s="151"/>
      <c r="O18" s="31" t="str">
        <f>IF(E18="","入力してください","")</f>
        <v/>
      </c>
    </row>
    <row r="19" spans="1:15" ht="7.5" customHeight="1">
      <c r="E19" s="10"/>
      <c r="F19" s="20"/>
      <c r="G19" s="20"/>
      <c r="L19" s="34"/>
      <c r="M19" s="34"/>
      <c r="N19" s="22"/>
    </row>
    <row r="20" spans="1:15" ht="24" customHeight="1">
      <c r="A20" s="14" t="s">
        <v>76</v>
      </c>
      <c r="B20" s="14" t="s">
        <v>78</v>
      </c>
      <c r="E20" s="10"/>
      <c r="F20" s="20"/>
      <c r="G20" s="20"/>
      <c r="H20" s="14" t="s">
        <v>52</v>
      </c>
      <c r="J20" s="148">
        <v>811</v>
      </c>
      <c r="K20" s="149"/>
      <c r="L20" s="150"/>
      <c r="M20" s="34" t="s">
        <v>51</v>
      </c>
      <c r="N20" s="22"/>
      <c r="O20" s="31" t="str">
        <f>IF(J20="","入力してください","")</f>
        <v/>
      </c>
    </row>
    <row r="21" spans="1:15" ht="7.5" customHeight="1">
      <c r="E21" s="10"/>
      <c r="F21" s="20"/>
      <c r="G21" s="20"/>
      <c r="L21" s="34"/>
      <c r="M21" s="34"/>
      <c r="N21" s="22"/>
    </row>
    <row r="22" spans="1:15" ht="24" customHeight="1">
      <c r="B22" s="29" t="s">
        <v>17</v>
      </c>
      <c r="C22" s="131">
        <v>179</v>
      </c>
      <c r="D22" s="132"/>
      <c r="E22" s="10" t="s">
        <v>22</v>
      </c>
      <c r="F22" s="20"/>
      <c r="G22" s="127" t="s">
        <v>18</v>
      </c>
      <c r="H22" s="127"/>
      <c r="I22" s="131">
        <v>161</v>
      </c>
      <c r="J22" s="132"/>
      <c r="K22" s="17" t="s">
        <v>22</v>
      </c>
      <c r="M22" s="34"/>
      <c r="N22" s="22"/>
    </row>
    <row r="23" spans="1:15" ht="7.5" customHeight="1">
      <c r="B23" s="29"/>
      <c r="C23" s="11"/>
      <c r="D23" s="11"/>
      <c r="E23" s="10"/>
      <c r="F23" s="20"/>
      <c r="G23" s="34"/>
      <c r="H23" s="34"/>
      <c r="I23" s="11"/>
      <c r="J23" s="11"/>
      <c r="K23" s="17"/>
      <c r="M23" s="34"/>
      <c r="N23" s="22"/>
    </row>
    <row r="24" spans="1:15" ht="24" customHeight="1">
      <c r="B24" s="29" t="s">
        <v>19</v>
      </c>
      <c r="C24" s="131">
        <v>166</v>
      </c>
      <c r="D24" s="132"/>
      <c r="E24" s="10" t="s">
        <v>22</v>
      </c>
      <c r="F24" s="20"/>
      <c r="G24" s="127" t="s">
        <v>20</v>
      </c>
      <c r="H24" s="127"/>
      <c r="I24" s="131">
        <v>145</v>
      </c>
      <c r="J24" s="132"/>
      <c r="K24" s="17" t="s">
        <v>22</v>
      </c>
      <c r="M24" s="34"/>
      <c r="N24" s="22"/>
    </row>
    <row r="25" spans="1:15" ht="7.5" customHeight="1">
      <c r="B25" s="29"/>
      <c r="C25" s="11"/>
      <c r="D25" s="11"/>
      <c r="E25" s="10"/>
      <c r="F25" s="20"/>
      <c r="G25" s="34"/>
      <c r="H25" s="34"/>
      <c r="I25" s="11"/>
      <c r="J25" s="11"/>
      <c r="K25" s="17"/>
      <c r="M25" s="34"/>
      <c r="N25" s="22"/>
    </row>
    <row r="26" spans="1:15" ht="24" customHeight="1">
      <c r="B26" s="29" t="s">
        <v>46</v>
      </c>
      <c r="C26" s="131">
        <v>160</v>
      </c>
      <c r="D26" s="132"/>
      <c r="E26" s="10" t="s">
        <v>7</v>
      </c>
      <c r="F26" s="20"/>
      <c r="G26" s="127" t="s">
        <v>47</v>
      </c>
      <c r="H26" s="127"/>
      <c r="I26" s="131">
        <v>0</v>
      </c>
      <c r="J26" s="132"/>
      <c r="K26" s="17" t="s">
        <v>7</v>
      </c>
      <c r="M26" s="34"/>
      <c r="N26" s="22"/>
    </row>
    <row r="27" spans="1:15" ht="7.5" customHeight="1">
      <c r="F27" s="20"/>
      <c r="G27" s="20"/>
      <c r="M27" s="23"/>
      <c r="N27" s="23"/>
    </row>
    <row r="28" spans="1:15" ht="24" customHeight="1">
      <c r="A28" s="14" t="s">
        <v>50</v>
      </c>
      <c r="B28" s="15" t="s">
        <v>75</v>
      </c>
      <c r="C28" s="15"/>
      <c r="D28" s="15"/>
      <c r="E28" s="15"/>
      <c r="F28" s="17"/>
      <c r="G28" s="35"/>
      <c r="H28" s="35"/>
      <c r="I28" s="35"/>
      <c r="J28" s="24"/>
      <c r="K28" s="24"/>
      <c r="L28" s="24"/>
      <c r="M28" s="24"/>
      <c r="N28" s="24"/>
    </row>
    <row r="29" spans="1:15" s="14" customFormat="1" ht="24" customHeight="1">
      <c r="B29" s="135" t="s">
        <v>74</v>
      </c>
      <c r="C29" s="135"/>
      <c r="D29" s="128" t="s">
        <v>172</v>
      </c>
      <c r="E29" s="129"/>
      <c r="F29" s="129"/>
      <c r="G29" s="136" t="s">
        <v>23</v>
      </c>
      <c r="H29" s="135"/>
      <c r="I29" s="137"/>
      <c r="J29" s="128" t="s">
        <v>173</v>
      </c>
      <c r="K29" s="129"/>
      <c r="L29" s="129"/>
      <c r="M29" s="129"/>
      <c r="N29" s="130"/>
      <c r="O29" s="31" t="str">
        <f>IF(OR(D29="",J29=""),"入力してください","")</f>
        <v/>
      </c>
    </row>
    <row r="30" spans="1:15" ht="7.5" customHeight="1">
      <c r="F30" s="20"/>
      <c r="G30" s="20"/>
      <c r="M30" s="23"/>
      <c r="N30" s="23"/>
    </row>
    <row r="31" spans="1:15" ht="24" customHeight="1">
      <c r="A31" s="14" t="s">
        <v>54</v>
      </c>
      <c r="B31" s="15" t="s">
        <v>80</v>
      </c>
      <c r="C31" s="15"/>
      <c r="D31" s="15"/>
      <c r="E31" s="15"/>
      <c r="F31" s="17"/>
      <c r="G31" s="24"/>
      <c r="H31" s="24"/>
      <c r="I31" s="24"/>
      <c r="J31" s="24"/>
      <c r="K31" s="24"/>
      <c r="L31" s="24"/>
      <c r="M31" s="24"/>
      <c r="N31" s="24"/>
    </row>
    <row r="32" spans="1:15" ht="24" customHeight="1">
      <c r="B32" s="128" t="s">
        <v>184</v>
      </c>
      <c r="C32" s="129"/>
      <c r="D32" s="129"/>
      <c r="E32" s="129"/>
      <c r="F32" s="129"/>
      <c r="G32" s="129"/>
      <c r="H32" s="129"/>
      <c r="I32" s="129"/>
      <c r="J32" s="129"/>
      <c r="K32" s="129"/>
      <c r="L32" s="129"/>
      <c r="M32" s="129"/>
      <c r="N32" s="130"/>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35" t="s">
        <v>74</v>
      </c>
      <c r="C34" s="135"/>
      <c r="D34" s="128" t="s">
        <v>175</v>
      </c>
      <c r="E34" s="129"/>
      <c r="F34" s="129"/>
      <c r="G34" s="136" t="s">
        <v>55</v>
      </c>
      <c r="H34" s="135"/>
      <c r="I34" s="137"/>
      <c r="J34" s="128" t="s">
        <v>176</v>
      </c>
      <c r="K34" s="129"/>
      <c r="L34" s="129"/>
      <c r="M34" s="129"/>
      <c r="N34" s="130"/>
      <c r="O34" s="31" t="str">
        <f>IF(OR(D34="",J34=""),"入力してください","")</f>
        <v/>
      </c>
    </row>
    <row r="35" spans="1:15" ht="7.5" customHeight="1">
      <c r="F35" s="35"/>
      <c r="G35" s="35"/>
      <c r="H35" s="35"/>
      <c r="I35" s="35"/>
      <c r="J35" s="35"/>
      <c r="K35" s="35"/>
      <c r="L35" s="35"/>
      <c r="M35" s="35"/>
      <c r="N35" s="35"/>
    </row>
    <row r="36" spans="1:15" ht="24" customHeight="1">
      <c r="A36" s="14" t="s">
        <v>61</v>
      </c>
      <c r="B36" s="14" t="s">
        <v>81</v>
      </c>
      <c r="M36" s="23"/>
      <c r="N36" s="23"/>
    </row>
    <row r="37" spans="1:15" ht="24" customHeight="1">
      <c r="B37" s="128" t="s">
        <v>174</v>
      </c>
      <c r="C37" s="129"/>
      <c r="D37" s="129"/>
      <c r="E37" s="129"/>
      <c r="F37" s="129"/>
      <c r="G37" s="129"/>
      <c r="H37" s="129"/>
      <c r="I37" s="129"/>
      <c r="J37" s="129"/>
      <c r="K37" s="129"/>
      <c r="L37" s="129"/>
      <c r="M37" s="129"/>
      <c r="N37" s="130"/>
      <c r="O37" s="31" t="str">
        <f>IF(B37="","入力してください","")</f>
        <v/>
      </c>
    </row>
    <row r="38" spans="1:15" ht="7.5" customHeight="1">
      <c r="F38" s="35"/>
      <c r="G38" s="35"/>
      <c r="H38" s="35"/>
      <c r="I38" s="35"/>
      <c r="J38" s="35"/>
      <c r="K38" s="35"/>
      <c r="L38" s="35"/>
      <c r="M38" s="35"/>
      <c r="N38" s="35"/>
    </row>
    <row r="39" spans="1:15" s="14" customFormat="1" ht="24" customHeight="1">
      <c r="B39" s="135" t="s">
        <v>74</v>
      </c>
      <c r="C39" s="135"/>
      <c r="D39" s="128" t="s">
        <v>175</v>
      </c>
      <c r="E39" s="129"/>
      <c r="F39" s="129"/>
      <c r="G39" s="136" t="s">
        <v>55</v>
      </c>
      <c r="H39" s="135"/>
      <c r="I39" s="137"/>
      <c r="J39" s="128" t="s">
        <v>176</v>
      </c>
      <c r="K39" s="129"/>
      <c r="L39" s="129"/>
      <c r="M39" s="129"/>
      <c r="N39" s="130"/>
      <c r="O39" s="31" t="str">
        <f>IF(OR(D39="",J39=""),"入力してください","")</f>
        <v/>
      </c>
    </row>
    <row r="40" spans="1:15" ht="7.5" customHeight="1">
      <c r="F40" s="35"/>
      <c r="G40" s="35"/>
      <c r="H40" s="35"/>
      <c r="I40" s="35"/>
      <c r="J40" s="35"/>
      <c r="K40" s="35"/>
      <c r="L40" s="35"/>
      <c r="M40" s="35"/>
      <c r="N40" s="35"/>
    </row>
    <row r="41" spans="1:15" ht="24" customHeight="1">
      <c r="A41" s="14" t="s">
        <v>88</v>
      </c>
      <c r="B41" s="71" t="s">
        <v>69</v>
      </c>
      <c r="E41" s="72"/>
      <c r="F41" s="128" t="s">
        <v>177</v>
      </c>
      <c r="G41" s="129"/>
      <c r="H41" s="129"/>
      <c r="I41" s="129"/>
      <c r="J41" s="129"/>
      <c r="K41" s="129"/>
      <c r="L41" s="129"/>
      <c r="M41" s="129"/>
      <c r="N41" s="130"/>
      <c r="O41" s="31" t="str">
        <f>IF(F41="","入力してください","")</f>
        <v/>
      </c>
    </row>
    <row r="42" spans="1:15" ht="7.5" customHeight="1">
      <c r="F42" s="35"/>
      <c r="G42" s="35"/>
      <c r="H42" s="35"/>
      <c r="I42" s="35"/>
      <c r="J42" s="35"/>
      <c r="K42" s="35"/>
      <c r="L42" s="35"/>
      <c r="M42" s="35"/>
      <c r="N42" s="35"/>
    </row>
    <row r="43" spans="1:15" ht="24" customHeight="1">
      <c r="A43" s="14" t="s">
        <v>98</v>
      </c>
    </row>
    <row r="44" spans="1:15" ht="24" customHeight="1">
      <c r="B44" s="30" t="s">
        <v>1</v>
      </c>
      <c r="C44" s="133" t="s">
        <v>178</v>
      </c>
      <c r="D44" s="134"/>
      <c r="E44" s="134"/>
      <c r="F44" s="134"/>
      <c r="G44" s="134"/>
      <c r="H44" s="134"/>
      <c r="I44" s="26" t="s">
        <v>2</v>
      </c>
      <c r="J44" s="27"/>
      <c r="K44" s="128" t="s">
        <v>179</v>
      </c>
      <c r="L44" s="129"/>
      <c r="M44" s="129"/>
      <c r="N44" s="130"/>
      <c r="O44" s="31" t="str">
        <f>IF(OR(C44="",K44=""),"入力してください","")</f>
        <v/>
      </c>
    </row>
    <row r="45" spans="1:15" ht="24" customHeight="1">
      <c r="B45" s="25" t="s">
        <v>4</v>
      </c>
      <c r="C45" s="121" t="s">
        <v>180</v>
      </c>
      <c r="D45" s="122"/>
      <c r="E45" s="122"/>
      <c r="F45" s="122"/>
      <c r="G45" s="122"/>
      <c r="H45" s="123"/>
      <c r="I45" s="26" t="s">
        <v>3</v>
      </c>
      <c r="J45" s="27"/>
      <c r="K45" s="124" t="s">
        <v>181</v>
      </c>
      <c r="L45" s="125"/>
      <c r="M45" s="125"/>
      <c r="N45" s="126"/>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2"/>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zoomScaleNormal="100" zoomScaleSheetLayoutView="100" workbookViewId="0">
      <selection activeCell="B6" sqref="B6:Z11"/>
    </sheetView>
  </sheetViews>
  <sheetFormatPr defaultColWidth="9" defaultRowHeight="18.75" customHeight="1"/>
  <cols>
    <col min="1" max="1" width="2.44140625" style="13" customWidth="1"/>
    <col min="2" max="2" width="27.6640625" style="13" customWidth="1"/>
    <col min="3" max="13" width="3.33203125" style="13" customWidth="1"/>
    <col min="14" max="14" width="8.77734375" style="13" customWidth="1"/>
    <col min="15" max="15" width="18.77734375" style="13" customWidth="1"/>
    <col min="16" max="19" width="3.33203125" style="13" customWidth="1"/>
    <col min="20" max="20" width="3.44140625" style="13" customWidth="1"/>
    <col min="21" max="26" width="3.33203125" style="13" customWidth="1"/>
    <col min="27" max="16384" width="9" style="13"/>
  </cols>
  <sheetData>
    <row r="1" spans="1:26" ht="15" customHeight="1">
      <c r="W1" s="238" t="s">
        <v>196</v>
      </c>
      <c r="X1" s="238"/>
      <c r="Y1" s="238"/>
      <c r="Z1" s="238"/>
    </row>
    <row r="2" spans="1:26" ht="18" customHeight="1">
      <c r="A2" s="207" t="s">
        <v>67</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99</v>
      </c>
      <c r="B4" s="29"/>
      <c r="C4" s="29"/>
      <c r="D4" s="29"/>
      <c r="E4" s="29"/>
      <c r="F4" s="29"/>
      <c r="G4" s="29"/>
      <c r="H4" s="15" t="s">
        <v>112</v>
      </c>
      <c r="I4" s="29"/>
      <c r="J4" s="29"/>
      <c r="K4" s="29"/>
      <c r="L4" s="29"/>
      <c r="M4" s="29"/>
      <c r="N4" s="29"/>
      <c r="O4" s="145" t="s">
        <v>148</v>
      </c>
      <c r="P4" s="146"/>
      <c r="Q4" s="146"/>
      <c r="R4" s="146"/>
      <c r="S4" s="146"/>
      <c r="T4" s="146"/>
      <c r="U4" s="146"/>
      <c r="V4" s="146"/>
      <c r="W4" s="146"/>
      <c r="X4" s="146"/>
      <c r="Y4" s="146"/>
      <c r="Z4" s="147"/>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08" t="s">
        <v>210</v>
      </c>
      <c r="C6" s="298"/>
      <c r="D6" s="298"/>
      <c r="E6" s="298"/>
      <c r="F6" s="298"/>
      <c r="G6" s="298"/>
      <c r="H6" s="298"/>
      <c r="I6" s="298"/>
      <c r="J6" s="298"/>
      <c r="K6" s="298"/>
      <c r="L6" s="298"/>
      <c r="M6" s="298"/>
      <c r="N6" s="298"/>
      <c r="O6" s="298"/>
      <c r="P6" s="298"/>
      <c r="Q6" s="298"/>
      <c r="R6" s="298"/>
      <c r="S6" s="298"/>
      <c r="T6" s="298"/>
      <c r="U6" s="298"/>
      <c r="V6" s="298"/>
      <c r="W6" s="298"/>
      <c r="X6" s="298"/>
      <c r="Y6" s="298"/>
      <c r="Z6" s="299"/>
    </row>
    <row r="7" spans="1:26" ht="18" customHeight="1">
      <c r="B7" s="300"/>
      <c r="C7" s="301"/>
      <c r="D7" s="301"/>
      <c r="E7" s="301"/>
      <c r="F7" s="301"/>
      <c r="G7" s="301"/>
      <c r="H7" s="301"/>
      <c r="I7" s="301"/>
      <c r="J7" s="301"/>
      <c r="K7" s="301"/>
      <c r="L7" s="301"/>
      <c r="M7" s="301"/>
      <c r="N7" s="301"/>
      <c r="O7" s="301"/>
      <c r="P7" s="301"/>
      <c r="Q7" s="301"/>
      <c r="R7" s="301"/>
      <c r="S7" s="301"/>
      <c r="T7" s="301"/>
      <c r="U7" s="301"/>
      <c r="V7" s="301"/>
      <c r="W7" s="301"/>
      <c r="X7" s="301"/>
      <c r="Y7" s="301"/>
      <c r="Z7" s="302"/>
    </row>
    <row r="8" spans="1:26" ht="18" customHeight="1">
      <c r="B8" s="300"/>
      <c r="C8" s="301"/>
      <c r="D8" s="301"/>
      <c r="E8" s="301"/>
      <c r="F8" s="301"/>
      <c r="G8" s="301"/>
      <c r="H8" s="301"/>
      <c r="I8" s="301"/>
      <c r="J8" s="301"/>
      <c r="K8" s="301"/>
      <c r="L8" s="301"/>
      <c r="M8" s="301"/>
      <c r="N8" s="301"/>
      <c r="O8" s="301"/>
      <c r="P8" s="301"/>
      <c r="Q8" s="301"/>
      <c r="R8" s="301"/>
      <c r="S8" s="301"/>
      <c r="T8" s="301"/>
      <c r="U8" s="301"/>
      <c r="V8" s="301"/>
      <c r="W8" s="301"/>
      <c r="X8" s="301"/>
      <c r="Y8" s="301"/>
      <c r="Z8" s="302"/>
    </row>
    <row r="9" spans="1:26" ht="18" customHeight="1">
      <c r="B9" s="300"/>
      <c r="C9" s="301"/>
      <c r="D9" s="301"/>
      <c r="E9" s="301"/>
      <c r="F9" s="301"/>
      <c r="G9" s="301"/>
      <c r="H9" s="301"/>
      <c r="I9" s="301"/>
      <c r="J9" s="301"/>
      <c r="K9" s="301"/>
      <c r="L9" s="301"/>
      <c r="M9" s="301"/>
      <c r="N9" s="301"/>
      <c r="O9" s="301"/>
      <c r="P9" s="301"/>
      <c r="Q9" s="301"/>
      <c r="R9" s="301"/>
      <c r="S9" s="301"/>
      <c r="T9" s="301"/>
      <c r="U9" s="301"/>
      <c r="V9" s="301"/>
      <c r="W9" s="301"/>
      <c r="X9" s="301"/>
      <c r="Y9" s="301"/>
      <c r="Z9" s="302"/>
    </row>
    <row r="10" spans="1:26" ht="18" customHeight="1">
      <c r="B10" s="300"/>
      <c r="C10" s="303"/>
      <c r="D10" s="303"/>
      <c r="E10" s="303"/>
      <c r="F10" s="303"/>
      <c r="G10" s="303"/>
      <c r="H10" s="303"/>
      <c r="I10" s="303"/>
      <c r="J10" s="303"/>
      <c r="K10" s="303"/>
      <c r="L10" s="303"/>
      <c r="M10" s="303"/>
      <c r="N10" s="303"/>
      <c r="O10" s="303"/>
      <c r="P10" s="303"/>
      <c r="Q10" s="303"/>
      <c r="R10" s="303"/>
      <c r="S10" s="303"/>
      <c r="T10" s="303"/>
      <c r="U10" s="303"/>
      <c r="V10" s="303"/>
      <c r="W10" s="303"/>
      <c r="X10" s="303"/>
      <c r="Y10" s="303"/>
      <c r="Z10" s="302"/>
    </row>
    <row r="11" spans="1:26" ht="18" customHeight="1">
      <c r="B11" s="304"/>
      <c r="C11" s="305"/>
      <c r="D11" s="305"/>
      <c r="E11" s="305"/>
      <c r="F11" s="305"/>
      <c r="G11" s="305"/>
      <c r="H11" s="305"/>
      <c r="I11" s="305"/>
      <c r="J11" s="305"/>
      <c r="K11" s="305"/>
      <c r="L11" s="305"/>
      <c r="M11" s="305"/>
      <c r="N11" s="305"/>
      <c r="O11" s="305"/>
      <c r="P11" s="305"/>
      <c r="Q11" s="305"/>
      <c r="R11" s="305"/>
      <c r="S11" s="305"/>
      <c r="T11" s="305"/>
      <c r="U11" s="305"/>
      <c r="V11" s="305"/>
      <c r="W11" s="305"/>
      <c r="X11" s="305"/>
      <c r="Y11" s="305"/>
      <c r="Z11" s="306"/>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03" t="s">
        <v>125</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6" ht="18" customHeight="1">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6" ht="18" customHeight="1">
      <c r="A15" s="14"/>
      <c r="B15" s="145" t="s">
        <v>100</v>
      </c>
      <c r="C15" s="146"/>
      <c r="D15" s="146"/>
      <c r="E15" s="146"/>
      <c r="F15" s="147"/>
      <c r="G15" s="30" t="s">
        <v>141</v>
      </c>
      <c r="H15" s="110" t="s">
        <v>140</v>
      </c>
      <c r="I15" s="146" t="s">
        <v>101</v>
      </c>
      <c r="J15" s="146"/>
      <c r="K15" s="146"/>
      <c r="L15" s="73" t="s">
        <v>104</v>
      </c>
      <c r="M15" s="73" t="s">
        <v>107</v>
      </c>
      <c r="N15" s="145" t="s">
        <v>100</v>
      </c>
      <c r="O15" s="146"/>
      <c r="P15" s="146"/>
      <c r="Q15" s="146"/>
      <c r="R15" s="146"/>
      <c r="S15" s="147"/>
      <c r="T15" s="30" t="s">
        <v>141</v>
      </c>
      <c r="U15" s="110" t="s">
        <v>140</v>
      </c>
      <c r="V15" s="146" t="s">
        <v>101</v>
      </c>
      <c r="W15" s="146"/>
      <c r="X15" s="146"/>
      <c r="Y15" s="73" t="s">
        <v>104</v>
      </c>
      <c r="Z15" s="73" t="s">
        <v>107</v>
      </c>
    </row>
    <row r="16" spans="1:26" ht="18" customHeight="1">
      <c r="A16" s="14"/>
      <c r="B16" s="194" t="s">
        <v>149</v>
      </c>
      <c r="C16" s="195"/>
      <c r="D16" s="195"/>
      <c r="E16" s="195"/>
      <c r="F16" s="196"/>
      <c r="G16" s="111">
        <v>2</v>
      </c>
      <c r="H16" s="111" t="s">
        <v>150</v>
      </c>
      <c r="I16" s="188" t="s">
        <v>151</v>
      </c>
      <c r="J16" s="189"/>
      <c r="K16" s="190"/>
      <c r="L16" s="111" t="s">
        <v>150</v>
      </c>
      <c r="M16" s="111"/>
      <c r="N16" s="152"/>
      <c r="O16" s="153"/>
      <c r="P16" s="153"/>
      <c r="Q16" s="153"/>
      <c r="R16" s="153"/>
      <c r="S16" s="154"/>
      <c r="T16" s="111"/>
      <c r="U16" s="111"/>
      <c r="V16" s="188"/>
      <c r="W16" s="189"/>
      <c r="X16" s="190"/>
      <c r="Y16" s="111"/>
      <c r="Z16" s="111"/>
    </row>
    <row r="17" spans="1:26" ht="18" customHeight="1">
      <c r="A17" s="14"/>
      <c r="B17" s="197" t="s">
        <v>152</v>
      </c>
      <c r="C17" s="198"/>
      <c r="D17" s="198"/>
      <c r="E17" s="198"/>
      <c r="F17" s="199"/>
      <c r="G17" s="112">
        <v>2</v>
      </c>
      <c r="H17" s="112" t="s">
        <v>150</v>
      </c>
      <c r="I17" s="191" t="s">
        <v>151</v>
      </c>
      <c r="J17" s="192"/>
      <c r="K17" s="193"/>
      <c r="L17" s="112"/>
      <c r="M17" s="112" t="s">
        <v>150</v>
      </c>
      <c r="N17" s="161"/>
      <c r="O17" s="162"/>
      <c r="P17" s="162"/>
      <c r="Q17" s="162"/>
      <c r="R17" s="162"/>
      <c r="S17" s="163"/>
      <c r="T17" s="112"/>
      <c r="U17" s="112"/>
      <c r="V17" s="191"/>
      <c r="W17" s="192"/>
      <c r="X17" s="193"/>
      <c r="Y17" s="112"/>
      <c r="Z17" s="112"/>
    </row>
    <row r="18" spans="1:26" ht="18" customHeight="1">
      <c r="A18" s="14"/>
      <c r="B18" s="197"/>
      <c r="C18" s="198"/>
      <c r="D18" s="198"/>
      <c r="E18" s="198"/>
      <c r="F18" s="199"/>
      <c r="G18" s="112"/>
      <c r="H18" s="112"/>
      <c r="I18" s="191"/>
      <c r="J18" s="192"/>
      <c r="K18" s="193"/>
      <c r="L18" s="112"/>
      <c r="M18" s="112"/>
      <c r="N18" s="161"/>
      <c r="O18" s="162"/>
      <c r="P18" s="162"/>
      <c r="Q18" s="162"/>
      <c r="R18" s="162"/>
      <c r="S18" s="163"/>
      <c r="T18" s="112"/>
      <c r="U18" s="112"/>
      <c r="V18" s="191"/>
      <c r="W18" s="192"/>
      <c r="X18" s="193"/>
      <c r="Y18" s="112"/>
      <c r="Z18" s="112"/>
    </row>
    <row r="19" spans="1:26" ht="18" customHeight="1">
      <c r="A19" s="14"/>
      <c r="B19" s="197"/>
      <c r="C19" s="198"/>
      <c r="D19" s="198"/>
      <c r="E19" s="198"/>
      <c r="F19" s="199"/>
      <c r="G19" s="112"/>
      <c r="H19" s="112"/>
      <c r="I19" s="191"/>
      <c r="J19" s="192"/>
      <c r="K19" s="193"/>
      <c r="L19" s="112"/>
      <c r="M19" s="112"/>
      <c r="N19" s="161"/>
      <c r="O19" s="162"/>
      <c r="P19" s="162"/>
      <c r="Q19" s="162"/>
      <c r="R19" s="162"/>
      <c r="S19" s="163"/>
      <c r="T19" s="112"/>
      <c r="U19" s="112"/>
      <c r="V19" s="191"/>
      <c r="W19" s="192"/>
      <c r="X19" s="193"/>
      <c r="Y19" s="112"/>
      <c r="Z19" s="112"/>
    </row>
    <row r="20" spans="1:26" ht="18" customHeight="1">
      <c r="A20" s="14"/>
      <c r="B20" s="197"/>
      <c r="C20" s="198"/>
      <c r="D20" s="198"/>
      <c r="E20" s="198"/>
      <c r="F20" s="199"/>
      <c r="G20" s="112"/>
      <c r="H20" s="112"/>
      <c r="I20" s="191"/>
      <c r="J20" s="192"/>
      <c r="K20" s="193"/>
      <c r="L20" s="112"/>
      <c r="M20" s="112"/>
      <c r="N20" s="161"/>
      <c r="O20" s="162"/>
      <c r="P20" s="162"/>
      <c r="Q20" s="162"/>
      <c r="R20" s="162"/>
      <c r="S20" s="163"/>
      <c r="T20" s="112"/>
      <c r="U20" s="112"/>
      <c r="V20" s="191"/>
      <c r="W20" s="192"/>
      <c r="X20" s="193"/>
      <c r="Y20" s="112"/>
      <c r="Z20" s="112"/>
    </row>
    <row r="21" spans="1:26" ht="18" customHeight="1">
      <c r="A21" s="29"/>
      <c r="B21" s="197"/>
      <c r="C21" s="198"/>
      <c r="D21" s="198"/>
      <c r="E21" s="198"/>
      <c r="F21" s="199"/>
      <c r="G21" s="112"/>
      <c r="H21" s="112"/>
      <c r="I21" s="191"/>
      <c r="J21" s="192"/>
      <c r="K21" s="193"/>
      <c r="L21" s="112"/>
      <c r="M21" s="112"/>
      <c r="N21" s="161"/>
      <c r="O21" s="162"/>
      <c r="P21" s="162"/>
      <c r="Q21" s="162"/>
      <c r="R21" s="162"/>
      <c r="S21" s="163"/>
      <c r="T21" s="112"/>
      <c r="U21" s="112"/>
      <c r="V21" s="191"/>
      <c r="W21" s="192"/>
      <c r="X21" s="193"/>
      <c r="Y21" s="112"/>
      <c r="Z21" s="112"/>
    </row>
    <row r="22" spans="1:26" ht="18" customHeight="1">
      <c r="A22" s="29"/>
      <c r="B22" s="204"/>
      <c r="C22" s="205"/>
      <c r="D22" s="205"/>
      <c r="E22" s="205"/>
      <c r="F22" s="206"/>
      <c r="G22" s="115"/>
      <c r="H22" s="115"/>
      <c r="I22" s="200"/>
      <c r="J22" s="201"/>
      <c r="K22" s="202"/>
      <c r="L22" s="115"/>
      <c r="M22" s="115"/>
      <c r="N22" s="221"/>
      <c r="O22" s="222"/>
      <c r="P22" s="222"/>
      <c r="Q22" s="222"/>
      <c r="R22" s="222"/>
      <c r="S22" s="223"/>
      <c r="T22" s="115"/>
      <c r="U22" s="115"/>
      <c r="V22" s="200"/>
      <c r="W22" s="201"/>
      <c r="X22" s="202"/>
      <c r="Y22" s="115"/>
      <c r="Z22" s="115"/>
    </row>
    <row r="23" spans="1:26" ht="7.5" customHeight="1">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c r="A24" s="203" t="s">
        <v>126</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c r="A26" s="14"/>
      <c r="B26" s="145" t="s">
        <v>100</v>
      </c>
      <c r="C26" s="146"/>
      <c r="D26" s="146"/>
      <c r="E26" s="146"/>
      <c r="F26" s="147"/>
      <c r="G26" s="30" t="s">
        <v>141</v>
      </c>
      <c r="H26" s="110" t="s">
        <v>140</v>
      </c>
      <c r="I26" s="146" t="s">
        <v>101</v>
      </c>
      <c r="J26" s="146"/>
      <c r="K26" s="146"/>
      <c r="L26" s="73" t="s">
        <v>127</v>
      </c>
      <c r="M26" s="73" t="s">
        <v>128</v>
      </c>
      <c r="N26" s="145" t="s">
        <v>100</v>
      </c>
      <c r="O26" s="146"/>
      <c r="P26" s="146"/>
      <c r="Q26" s="146"/>
      <c r="R26" s="146"/>
      <c r="S26" s="147"/>
      <c r="T26" s="30" t="s">
        <v>141</v>
      </c>
      <c r="U26" s="110" t="s">
        <v>140</v>
      </c>
      <c r="V26" s="146" t="s">
        <v>101</v>
      </c>
      <c r="W26" s="146"/>
      <c r="X26" s="146"/>
      <c r="Y26" s="73" t="s">
        <v>127</v>
      </c>
      <c r="Z26" s="73" t="s">
        <v>128</v>
      </c>
    </row>
    <row r="27" spans="1:26" ht="18" customHeight="1">
      <c r="A27" s="14"/>
      <c r="B27" s="194" t="s">
        <v>149</v>
      </c>
      <c r="C27" s="195"/>
      <c r="D27" s="195"/>
      <c r="E27" s="195"/>
      <c r="F27" s="196"/>
      <c r="G27" s="111">
        <v>2</v>
      </c>
      <c r="H27" s="111" t="s">
        <v>150</v>
      </c>
      <c r="I27" s="188" t="s">
        <v>151</v>
      </c>
      <c r="J27" s="189"/>
      <c r="K27" s="190"/>
      <c r="L27" s="111" t="s">
        <v>150</v>
      </c>
      <c r="M27" s="111" t="s">
        <v>150</v>
      </c>
      <c r="N27" s="152"/>
      <c r="O27" s="153"/>
      <c r="P27" s="153"/>
      <c r="Q27" s="153"/>
      <c r="R27" s="153"/>
      <c r="S27" s="154"/>
      <c r="T27" s="111"/>
      <c r="U27" s="111"/>
      <c r="V27" s="188"/>
      <c r="W27" s="189"/>
      <c r="X27" s="190"/>
      <c r="Y27" s="111"/>
      <c r="Z27" s="111"/>
    </row>
    <row r="28" spans="1:26" ht="18" customHeight="1">
      <c r="A28" s="14"/>
      <c r="B28" s="197" t="s">
        <v>153</v>
      </c>
      <c r="C28" s="198"/>
      <c r="D28" s="198"/>
      <c r="E28" s="198"/>
      <c r="F28" s="199"/>
      <c r="G28" s="112">
        <v>3</v>
      </c>
      <c r="H28" s="112" t="s">
        <v>150</v>
      </c>
      <c r="I28" s="191" t="s">
        <v>151</v>
      </c>
      <c r="J28" s="192"/>
      <c r="K28" s="193"/>
      <c r="L28" s="112"/>
      <c r="M28" s="112" t="s">
        <v>150</v>
      </c>
      <c r="N28" s="161"/>
      <c r="O28" s="162"/>
      <c r="P28" s="162"/>
      <c r="Q28" s="162"/>
      <c r="R28" s="162"/>
      <c r="S28" s="163"/>
      <c r="T28" s="112"/>
      <c r="U28" s="112"/>
      <c r="V28" s="191"/>
      <c r="W28" s="192"/>
      <c r="X28" s="193"/>
      <c r="Y28" s="112"/>
      <c r="Z28" s="112"/>
    </row>
    <row r="29" spans="1:26" ht="18" customHeight="1">
      <c r="A29" s="14"/>
      <c r="B29" s="197"/>
      <c r="C29" s="198"/>
      <c r="D29" s="198"/>
      <c r="E29" s="198"/>
      <c r="F29" s="199"/>
      <c r="G29" s="112"/>
      <c r="H29" s="112"/>
      <c r="I29" s="191"/>
      <c r="J29" s="192"/>
      <c r="K29" s="193"/>
      <c r="L29" s="112"/>
      <c r="M29" s="112"/>
      <c r="N29" s="161"/>
      <c r="O29" s="162"/>
      <c r="P29" s="162"/>
      <c r="Q29" s="162"/>
      <c r="R29" s="162"/>
      <c r="S29" s="163"/>
      <c r="T29" s="112"/>
      <c r="U29" s="112"/>
      <c r="V29" s="191"/>
      <c r="W29" s="192"/>
      <c r="X29" s="193"/>
      <c r="Y29" s="112"/>
      <c r="Z29" s="112"/>
    </row>
    <row r="30" spans="1:26" ht="18" customHeight="1">
      <c r="A30" s="14"/>
      <c r="B30" s="197"/>
      <c r="C30" s="198"/>
      <c r="D30" s="198"/>
      <c r="E30" s="198"/>
      <c r="F30" s="199"/>
      <c r="G30" s="112"/>
      <c r="H30" s="112"/>
      <c r="I30" s="191"/>
      <c r="J30" s="192"/>
      <c r="K30" s="193"/>
      <c r="L30" s="112"/>
      <c r="M30" s="112"/>
      <c r="N30" s="161"/>
      <c r="O30" s="162"/>
      <c r="P30" s="162"/>
      <c r="Q30" s="162"/>
      <c r="R30" s="162"/>
      <c r="S30" s="163"/>
      <c r="T30" s="112"/>
      <c r="U30" s="112"/>
      <c r="V30" s="191"/>
      <c r="W30" s="192"/>
      <c r="X30" s="193"/>
      <c r="Y30" s="112"/>
      <c r="Z30" s="112"/>
    </row>
    <row r="31" spans="1:26" ht="18" customHeight="1">
      <c r="A31" s="14"/>
      <c r="B31" s="197"/>
      <c r="C31" s="198"/>
      <c r="D31" s="198"/>
      <c r="E31" s="198"/>
      <c r="F31" s="199"/>
      <c r="G31" s="112"/>
      <c r="H31" s="112"/>
      <c r="I31" s="191"/>
      <c r="J31" s="192"/>
      <c r="K31" s="193"/>
      <c r="L31" s="112"/>
      <c r="M31" s="112"/>
      <c r="N31" s="161"/>
      <c r="O31" s="162"/>
      <c r="P31" s="162"/>
      <c r="Q31" s="162"/>
      <c r="R31" s="162"/>
      <c r="S31" s="163"/>
      <c r="T31" s="112"/>
      <c r="U31" s="112"/>
      <c r="V31" s="191"/>
      <c r="W31" s="192"/>
      <c r="X31" s="193"/>
      <c r="Y31" s="112"/>
      <c r="Z31" s="112"/>
    </row>
    <row r="32" spans="1:26" ht="18" customHeight="1">
      <c r="A32" s="14"/>
      <c r="B32" s="197"/>
      <c r="C32" s="198"/>
      <c r="D32" s="198"/>
      <c r="E32" s="198"/>
      <c r="F32" s="199"/>
      <c r="G32" s="112"/>
      <c r="H32" s="112"/>
      <c r="I32" s="191"/>
      <c r="J32" s="192"/>
      <c r="K32" s="193"/>
      <c r="L32" s="112"/>
      <c r="M32" s="112"/>
      <c r="N32" s="161"/>
      <c r="O32" s="162"/>
      <c r="P32" s="162"/>
      <c r="Q32" s="162"/>
      <c r="R32" s="162"/>
      <c r="S32" s="163"/>
      <c r="T32" s="112"/>
      <c r="U32" s="112"/>
      <c r="V32" s="191"/>
      <c r="W32" s="192"/>
      <c r="X32" s="193"/>
      <c r="Y32" s="112"/>
      <c r="Z32" s="112"/>
    </row>
    <row r="33" spans="1:26" ht="18" customHeight="1">
      <c r="A33" s="14"/>
      <c r="B33" s="204"/>
      <c r="C33" s="205"/>
      <c r="D33" s="205"/>
      <c r="E33" s="205"/>
      <c r="F33" s="206"/>
      <c r="G33" s="115"/>
      <c r="H33" s="115"/>
      <c r="I33" s="200"/>
      <c r="J33" s="201"/>
      <c r="K33" s="202"/>
      <c r="L33" s="115"/>
      <c r="M33" s="115"/>
      <c r="N33" s="221"/>
      <c r="O33" s="222"/>
      <c r="P33" s="222"/>
      <c r="Q33" s="222"/>
      <c r="R33" s="222"/>
      <c r="S33" s="223"/>
      <c r="T33" s="115"/>
      <c r="U33" s="115"/>
      <c r="V33" s="200"/>
      <c r="W33" s="201"/>
      <c r="X33" s="202"/>
      <c r="Y33" s="115"/>
      <c r="Z33" s="115"/>
    </row>
    <row r="34" spans="1:26" ht="7.5" customHeight="1">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c r="A35" s="203" t="s">
        <v>129</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c r="A37" s="14"/>
      <c r="B37" s="145" t="s">
        <v>100</v>
      </c>
      <c r="C37" s="146"/>
      <c r="D37" s="146"/>
      <c r="E37" s="146"/>
      <c r="F37" s="147"/>
      <c r="G37" s="30" t="s">
        <v>141</v>
      </c>
      <c r="H37" s="110" t="s">
        <v>140</v>
      </c>
      <c r="I37" s="145" t="s">
        <v>101</v>
      </c>
      <c r="J37" s="146"/>
      <c r="K37" s="147"/>
      <c r="L37" s="73" t="s">
        <v>130</v>
      </c>
      <c r="M37" s="73" t="s">
        <v>131</v>
      </c>
      <c r="N37" s="145" t="s">
        <v>100</v>
      </c>
      <c r="O37" s="146"/>
      <c r="P37" s="146"/>
      <c r="Q37" s="146"/>
      <c r="R37" s="146"/>
      <c r="S37" s="147"/>
      <c r="T37" s="30" t="s">
        <v>141</v>
      </c>
      <c r="U37" s="110" t="s">
        <v>140</v>
      </c>
      <c r="V37" s="145" t="s">
        <v>101</v>
      </c>
      <c r="W37" s="146"/>
      <c r="X37" s="147"/>
      <c r="Y37" s="73" t="s">
        <v>130</v>
      </c>
      <c r="Z37" s="73" t="s">
        <v>131</v>
      </c>
    </row>
    <row r="38" spans="1:26" ht="18" customHeight="1">
      <c r="A38" s="29"/>
      <c r="B38" s="194" t="s">
        <v>149</v>
      </c>
      <c r="C38" s="195"/>
      <c r="D38" s="195"/>
      <c r="E38" s="195"/>
      <c r="F38" s="196"/>
      <c r="G38" s="111">
        <v>2</v>
      </c>
      <c r="H38" s="111" t="s">
        <v>150</v>
      </c>
      <c r="I38" s="188" t="s">
        <v>151</v>
      </c>
      <c r="J38" s="189"/>
      <c r="K38" s="190"/>
      <c r="L38" s="111" t="s">
        <v>150</v>
      </c>
      <c r="M38" s="111" t="s">
        <v>150</v>
      </c>
      <c r="N38" s="152"/>
      <c r="O38" s="153"/>
      <c r="P38" s="153"/>
      <c r="Q38" s="153"/>
      <c r="R38" s="153"/>
      <c r="S38" s="154"/>
      <c r="T38" s="111"/>
      <c r="U38" s="111"/>
      <c r="V38" s="188"/>
      <c r="W38" s="189"/>
      <c r="X38" s="190"/>
      <c r="Y38" s="111"/>
      <c r="Z38" s="111"/>
    </row>
    <row r="39" spans="1:26" ht="18" customHeight="1">
      <c r="A39" s="29"/>
      <c r="B39" s="197" t="s">
        <v>152</v>
      </c>
      <c r="C39" s="198"/>
      <c r="D39" s="198"/>
      <c r="E39" s="198"/>
      <c r="F39" s="199"/>
      <c r="G39" s="112">
        <v>2</v>
      </c>
      <c r="H39" s="112" t="s">
        <v>150</v>
      </c>
      <c r="I39" s="191" t="s">
        <v>151</v>
      </c>
      <c r="J39" s="192"/>
      <c r="K39" s="193"/>
      <c r="L39" s="112"/>
      <c r="M39" s="112" t="s">
        <v>150</v>
      </c>
      <c r="N39" s="161"/>
      <c r="O39" s="162"/>
      <c r="P39" s="162"/>
      <c r="Q39" s="162"/>
      <c r="R39" s="162"/>
      <c r="S39" s="163"/>
      <c r="T39" s="112"/>
      <c r="U39" s="112"/>
      <c r="V39" s="191"/>
      <c r="W39" s="192"/>
      <c r="X39" s="193"/>
      <c r="Y39" s="112"/>
      <c r="Z39" s="112"/>
    </row>
    <row r="40" spans="1:26" ht="18" customHeight="1">
      <c r="A40" s="29"/>
      <c r="B40" s="197"/>
      <c r="C40" s="198"/>
      <c r="D40" s="198"/>
      <c r="E40" s="198"/>
      <c r="F40" s="199"/>
      <c r="G40" s="112"/>
      <c r="H40" s="112"/>
      <c r="I40" s="191"/>
      <c r="J40" s="192"/>
      <c r="K40" s="193"/>
      <c r="L40" s="112"/>
      <c r="M40" s="112"/>
      <c r="N40" s="161"/>
      <c r="O40" s="162"/>
      <c r="P40" s="162"/>
      <c r="Q40" s="162"/>
      <c r="R40" s="162"/>
      <c r="S40" s="163"/>
      <c r="T40" s="112"/>
      <c r="U40" s="112"/>
      <c r="V40" s="191"/>
      <c r="W40" s="192"/>
      <c r="X40" s="193"/>
      <c r="Y40" s="112"/>
      <c r="Z40" s="112"/>
    </row>
    <row r="41" spans="1:26" ht="18" customHeight="1">
      <c r="A41" s="29"/>
      <c r="B41" s="197"/>
      <c r="C41" s="198"/>
      <c r="D41" s="198"/>
      <c r="E41" s="198"/>
      <c r="F41" s="199"/>
      <c r="G41" s="112"/>
      <c r="H41" s="112"/>
      <c r="I41" s="191"/>
      <c r="J41" s="192"/>
      <c r="K41" s="193"/>
      <c r="L41" s="112"/>
      <c r="M41" s="112"/>
      <c r="N41" s="161"/>
      <c r="O41" s="162"/>
      <c r="P41" s="162"/>
      <c r="Q41" s="162"/>
      <c r="R41" s="162"/>
      <c r="S41" s="163"/>
      <c r="T41" s="112"/>
      <c r="U41" s="112"/>
      <c r="V41" s="191"/>
      <c r="W41" s="192"/>
      <c r="X41" s="193"/>
      <c r="Y41" s="112"/>
      <c r="Z41" s="112"/>
    </row>
    <row r="42" spans="1:26" ht="18" customHeight="1">
      <c r="A42" s="29"/>
      <c r="B42" s="197"/>
      <c r="C42" s="198"/>
      <c r="D42" s="198"/>
      <c r="E42" s="198"/>
      <c r="F42" s="199"/>
      <c r="G42" s="112"/>
      <c r="H42" s="112"/>
      <c r="I42" s="191"/>
      <c r="J42" s="192"/>
      <c r="K42" s="193"/>
      <c r="L42" s="112"/>
      <c r="M42" s="112"/>
      <c r="N42" s="161"/>
      <c r="O42" s="162"/>
      <c r="P42" s="162"/>
      <c r="Q42" s="162"/>
      <c r="R42" s="162"/>
      <c r="S42" s="163"/>
      <c r="T42" s="112"/>
      <c r="U42" s="112"/>
      <c r="V42" s="191"/>
      <c r="W42" s="192"/>
      <c r="X42" s="193"/>
      <c r="Y42" s="112"/>
      <c r="Z42" s="112"/>
    </row>
    <row r="43" spans="1:26" ht="18" customHeight="1">
      <c r="A43" s="29"/>
      <c r="B43" s="197"/>
      <c r="C43" s="198"/>
      <c r="D43" s="198"/>
      <c r="E43" s="198"/>
      <c r="F43" s="199"/>
      <c r="G43" s="112"/>
      <c r="H43" s="112"/>
      <c r="I43" s="191"/>
      <c r="J43" s="192"/>
      <c r="K43" s="193"/>
      <c r="L43" s="112"/>
      <c r="M43" s="112"/>
      <c r="N43" s="161"/>
      <c r="O43" s="162"/>
      <c r="P43" s="162"/>
      <c r="Q43" s="162"/>
      <c r="R43" s="162"/>
      <c r="S43" s="163"/>
      <c r="T43" s="112"/>
      <c r="U43" s="112"/>
      <c r="V43" s="191"/>
      <c r="W43" s="192"/>
      <c r="X43" s="193"/>
      <c r="Y43" s="112"/>
      <c r="Z43" s="112"/>
    </row>
    <row r="44" spans="1:26" ht="18" customHeight="1">
      <c r="A44" s="29"/>
      <c r="B44" s="204"/>
      <c r="C44" s="205"/>
      <c r="D44" s="205"/>
      <c r="E44" s="205"/>
      <c r="F44" s="206"/>
      <c r="G44" s="115"/>
      <c r="H44" s="115"/>
      <c r="I44" s="200"/>
      <c r="J44" s="201"/>
      <c r="K44" s="202"/>
      <c r="L44" s="115"/>
      <c r="M44" s="115"/>
      <c r="N44" s="221"/>
      <c r="O44" s="222"/>
      <c r="P44" s="222"/>
      <c r="Q44" s="222"/>
      <c r="R44" s="222"/>
      <c r="S44" s="223"/>
      <c r="T44" s="115"/>
      <c r="U44" s="115"/>
      <c r="V44" s="200"/>
      <c r="W44" s="201"/>
      <c r="X44" s="202"/>
      <c r="Y44" s="115"/>
      <c r="Z44" s="115"/>
    </row>
    <row r="45" spans="1:26" ht="7.5" customHeight="1">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c r="A46" s="203" t="s">
        <v>132</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c r="A48" s="14"/>
      <c r="B48" s="145" t="s">
        <v>100</v>
      </c>
      <c r="C48" s="146"/>
      <c r="D48" s="146"/>
      <c r="E48" s="146"/>
      <c r="F48" s="147"/>
      <c r="G48" s="30" t="s">
        <v>141</v>
      </c>
      <c r="H48" s="110" t="s">
        <v>140</v>
      </c>
      <c r="I48" s="145" t="s">
        <v>101</v>
      </c>
      <c r="J48" s="146"/>
      <c r="K48" s="147"/>
      <c r="L48" s="73" t="s">
        <v>106</v>
      </c>
      <c r="M48" s="73" t="s">
        <v>108</v>
      </c>
      <c r="N48" s="145" t="s">
        <v>100</v>
      </c>
      <c r="O48" s="146"/>
      <c r="P48" s="146"/>
      <c r="Q48" s="146"/>
      <c r="R48" s="146"/>
      <c r="S48" s="147"/>
      <c r="T48" s="30" t="s">
        <v>141</v>
      </c>
      <c r="U48" s="110" t="s">
        <v>140</v>
      </c>
      <c r="V48" s="145" t="s">
        <v>101</v>
      </c>
      <c r="W48" s="146"/>
      <c r="X48" s="147"/>
      <c r="Y48" s="73" t="s">
        <v>106</v>
      </c>
      <c r="Z48" s="73" t="s">
        <v>108</v>
      </c>
    </row>
    <row r="49" spans="1:26" ht="18" customHeight="1">
      <c r="A49" s="29"/>
      <c r="B49" s="194" t="s">
        <v>149</v>
      </c>
      <c r="C49" s="195"/>
      <c r="D49" s="195"/>
      <c r="E49" s="195"/>
      <c r="F49" s="196"/>
      <c r="G49" s="111">
        <v>2</v>
      </c>
      <c r="H49" s="111" t="s">
        <v>150</v>
      </c>
      <c r="I49" s="188" t="s">
        <v>151</v>
      </c>
      <c r="J49" s="189"/>
      <c r="K49" s="190"/>
      <c r="L49" s="111" t="s">
        <v>150</v>
      </c>
      <c r="M49" s="111"/>
      <c r="N49" s="152"/>
      <c r="O49" s="153"/>
      <c r="P49" s="153"/>
      <c r="Q49" s="153"/>
      <c r="R49" s="153"/>
      <c r="S49" s="154"/>
      <c r="T49" s="111"/>
      <c r="U49" s="111"/>
      <c r="V49" s="188"/>
      <c r="W49" s="189"/>
      <c r="X49" s="190"/>
      <c r="Y49" s="111"/>
      <c r="Z49" s="111"/>
    </row>
    <row r="50" spans="1:26" ht="18" customHeight="1">
      <c r="A50" s="29"/>
      <c r="B50" s="197" t="s">
        <v>152</v>
      </c>
      <c r="C50" s="198"/>
      <c r="D50" s="198"/>
      <c r="E50" s="198"/>
      <c r="F50" s="199"/>
      <c r="G50" s="112">
        <v>2</v>
      </c>
      <c r="H50" s="112" t="s">
        <v>150</v>
      </c>
      <c r="I50" s="191" t="s">
        <v>151</v>
      </c>
      <c r="J50" s="192"/>
      <c r="K50" s="193"/>
      <c r="L50" s="112" t="s">
        <v>150</v>
      </c>
      <c r="M50" s="112" t="s">
        <v>150</v>
      </c>
      <c r="N50" s="161"/>
      <c r="O50" s="162"/>
      <c r="P50" s="162"/>
      <c r="Q50" s="162"/>
      <c r="R50" s="162"/>
      <c r="S50" s="163"/>
      <c r="T50" s="112"/>
      <c r="U50" s="112"/>
      <c r="V50" s="191"/>
      <c r="W50" s="192"/>
      <c r="X50" s="193"/>
      <c r="Y50" s="112"/>
      <c r="Z50" s="112"/>
    </row>
    <row r="51" spans="1:26" ht="18" customHeight="1">
      <c r="A51" s="29"/>
      <c r="B51" s="197" t="s">
        <v>153</v>
      </c>
      <c r="C51" s="198"/>
      <c r="D51" s="198"/>
      <c r="E51" s="198"/>
      <c r="F51" s="199"/>
      <c r="G51" s="112">
        <v>3</v>
      </c>
      <c r="H51" s="112" t="s">
        <v>150</v>
      </c>
      <c r="I51" s="191" t="s">
        <v>151</v>
      </c>
      <c r="J51" s="192"/>
      <c r="K51" s="193"/>
      <c r="L51" s="112" t="s">
        <v>150</v>
      </c>
      <c r="M51" s="112" t="s">
        <v>150</v>
      </c>
      <c r="N51" s="161"/>
      <c r="O51" s="162"/>
      <c r="P51" s="162"/>
      <c r="Q51" s="162"/>
      <c r="R51" s="162"/>
      <c r="S51" s="163"/>
      <c r="T51" s="112"/>
      <c r="U51" s="112"/>
      <c r="V51" s="191"/>
      <c r="W51" s="192"/>
      <c r="X51" s="193"/>
      <c r="Y51" s="112"/>
      <c r="Z51" s="112"/>
    </row>
    <row r="52" spans="1:26" ht="18" customHeight="1">
      <c r="A52" s="29"/>
      <c r="B52" s="197"/>
      <c r="C52" s="198"/>
      <c r="D52" s="198"/>
      <c r="E52" s="198"/>
      <c r="F52" s="199"/>
      <c r="G52" s="112"/>
      <c r="H52" s="112"/>
      <c r="I52" s="191"/>
      <c r="J52" s="192"/>
      <c r="K52" s="193"/>
      <c r="L52" s="112"/>
      <c r="M52" s="112"/>
      <c r="N52" s="161"/>
      <c r="O52" s="162"/>
      <c r="P52" s="162"/>
      <c r="Q52" s="162"/>
      <c r="R52" s="162"/>
      <c r="S52" s="163"/>
      <c r="T52" s="112"/>
      <c r="U52" s="112"/>
      <c r="V52" s="191"/>
      <c r="W52" s="192"/>
      <c r="X52" s="193"/>
      <c r="Y52" s="112"/>
      <c r="Z52" s="112"/>
    </row>
    <row r="53" spans="1:26" ht="18" customHeight="1">
      <c r="A53" s="29"/>
      <c r="B53" s="197"/>
      <c r="C53" s="198"/>
      <c r="D53" s="198"/>
      <c r="E53" s="198"/>
      <c r="F53" s="199"/>
      <c r="G53" s="112"/>
      <c r="H53" s="112"/>
      <c r="I53" s="191"/>
      <c r="J53" s="192"/>
      <c r="K53" s="193"/>
      <c r="L53" s="112"/>
      <c r="M53" s="112"/>
      <c r="N53" s="161"/>
      <c r="O53" s="162"/>
      <c r="P53" s="162"/>
      <c r="Q53" s="162"/>
      <c r="R53" s="162"/>
      <c r="S53" s="163"/>
      <c r="T53" s="112"/>
      <c r="U53" s="112"/>
      <c r="V53" s="191"/>
      <c r="W53" s="192"/>
      <c r="X53" s="193"/>
      <c r="Y53" s="112"/>
      <c r="Z53" s="112"/>
    </row>
    <row r="54" spans="1:26" ht="18" customHeight="1">
      <c r="A54" s="29"/>
      <c r="B54" s="197"/>
      <c r="C54" s="198"/>
      <c r="D54" s="198"/>
      <c r="E54" s="198"/>
      <c r="F54" s="199"/>
      <c r="G54" s="112"/>
      <c r="H54" s="112"/>
      <c r="I54" s="191"/>
      <c r="J54" s="192"/>
      <c r="K54" s="193"/>
      <c r="L54" s="112"/>
      <c r="M54" s="112"/>
      <c r="N54" s="161"/>
      <c r="O54" s="162"/>
      <c r="P54" s="162"/>
      <c r="Q54" s="162"/>
      <c r="R54" s="162"/>
      <c r="S54" s="163"/>
      <c r="T54" s="112"/>
      <c r="U54" s="112"/>
      <c r="V54" s="191"/>
      <c r="W54" s="192"/>
      <c r="X54" s="193"/>
      <c r="Y54" s="112"/>
      <c r="Z54" s="112"/>
    </row>
    <row r="55" spans="1:26" ht="18" customHeight="1">
      <c r="A55" s="29"/>
      <c r="B55" s="204"/>
      <c r="C55" s="205"/>
      <c r="D55" s="205"/>
      <c r="E55" s="205"/>
      <c r="F55" s="206"/>
      <c r="G55" s="115"/>
      <c r="H55" s="115"/>
      <c r="I55" s="200"/>
      <c r="J55" s="201"/>
      <c r="K55" s="202"/>
      <c r="L55" s="115"/>
      <c r="M55" s="115"/>
      <c r="N55" s="221"/>
      <c r="O55" s="222"/>
      <c r="P55" s="222"/>
      <c r="Q55" s="222"/>
      <c r="R55" s="222"/>
      <c r="S55" s="223"/>
      <c r="T55" s="115"/>
      <c r="U55" s="115"/>
      <c r="V55" s="200"/>
      <c r="W55" s="201"/>
      <c r="X55" s="202"/>
      <c r="Y55" s="115"/>
      <c r="Z55" s="115"/>
    </row>
    <row r="56" spans="1:26" ht="7.5" customHeight="1">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c r="A57" s="203" t="s">
        <v>133</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c r="A59" s="14"/>
      <c r="B59" s="145" t="s">
        <v>100</v>
      </c>
      <c r="C59" s="146"/>
      <c r="D59" s="146"/>
      <c r="E59" s="147"/>
      <c r="F59" s="30" t="s">
        <v>141</v>
      </c>
      <c r="G59" s="110" t="s">
        <v>140</v>
      </c>
      <c r="H59" s="105" t="s">
        <v>101</v>
      </c>
      <c r="I59" s="106"/>
      <c r="J59" s="107"/>
      <c r="K59" s="73" t="s">
        <v>105</v>
      </c>
      <c r="L59" s="73" t="s">
        <v>134</v>
      </c>
      <c r="M59" s="73" t="s">
        <v>135</v>
      </c>
      <c r="N59" s="145" t="s">
        <v>100</v>
      </c>
      <c r="O59" s="146"/>
      <c r="P59" s="146"/>
      <c r="Q59" s="146"/>
      <c r="R59" s="147"/>
      <c r="S59" s="30" t="s">
        <v>141</v>
      </c>
      <c r="T59" s="110" t="s">
        <v>140</v>
      </c>
      <c r="U59" s="105" t="s">
        <v>101</v>
      </c>
      <c r="V59" s="106"/>
      <c r="W59" s="107"/>
      <c r="X59" s="73" t="s">
        <v>105</v>
      </c>
      <c r="Y59" s="73" t="s">
        <v>134</v>
      </c>
      <c r="Z59" s="73" t="s">
        <v>135</v>
      </c>
    </row>
    <row r="60" spans="1:26" ht="18" customHeight="1">
      <c r="A60" s="29"/>
      <c r="B60" s="152" t="s">
        <v>149</v>
      </c>
      <c r="C60" s="153"/>
      <c r="D60" s="153"/>
      <c r="E60" s="154"/>
      <c r="F60" s="111">
        <v>2</v>
      </c>
      <c r="G60" s="111" t="s">
        <v>150</v>
      </c>
      <c r="H60" s="188" t="s">
        <v>151</v>
      </c>
      <c r="I60" s="189"/>
      <c r="J60" s="190"/>
      <c r="K60" s="111" t="s">
        <v>150</v>
      </c>
      <c r="L60" s="111" t="s">
        <v>150</v>
      </c>
      <c r="M60" s="111" t="s">
        <v>150</v>
      </c>
      <c r="N60" s="152"/>
      <c r="O60" s="153"/>
      <c r="P60" s="153"/>
      <c r="Q60" s="153"/>
      <c r="R60" s="154"/>
      <c r="S60" s="111"/>
      <c r="T60" s="111"/>
      <c r="U60" s="188"/>
      <c r="V60" s="189"/>
      <c r="W60" s="190"/>
      <c r="X60" s="116"/>
      <c r="Y60" s="111"/>
      <c r="Z60" s="111"/>
    </row>
    <row r="61" spans="1:26" ht="18" customHeight="1">
      <c r="A61" s="29"/>
      <c r="B61" s="161" t="s">
        <v>154</v>
      </c>
      <c r="C61" s="162"/>
      <c r="D61" s="162"/>
      <c r="E61" s="163"/>
      <c r="F61" s="112">
        <v>2</v>
      </c>
      <c r="G61" s="112" t="s">
        <v>150</v>
      </c>
      <c r="H61" s="191" t="s">
        <v>151</v>
      </c>
      <c r="I61" s="192"/>
      <c r="J61" s="193"/>
      <c r="K61" s="112" t="s">
        <v>150</v>
      </c>
      <c r="L61" s="112" t="s">
        <v>150</v>
      </c>
      <c r="M61" s="112" t="s">
        <v>150</v>
      </c>
      <c r="N61" s="161"/>
      <c r="O61" s="162"/>
      <c r="P61" s="162"/>
      <c r="Q61" s="162"/>
      <c r="R61" s="163"/>
      <c r="S61" s="112"/>
      <c r="T61" s="112"/>
      <c r="U61" s="191"/>
      <c r="V61" s="192"/>
      <c r="W61" s="193"/>
      <c r="X61" s="117"/>
      <c r="Y61" s="112"/>
      <c r="Z61" s="112"/>
    </row>
    <row r="62" spans="1:26" ht="18" customHeight="1">
      <c r="A62" s="29"/>
      <c r="B62" s="161" t="s">
        <v>155</v>
      </c>
      <c r="C62" s="162"/>
      <c r="D62" s="162"/>
      <c r="E62" s="163"/>
      <c r="F62" s="112">
        <v>2</v>
      </c>
      <c r="G62" s="112" t="s">
        <v>150</v>
      </c>
      <c r="H62" s="191" t="s">
        <v>151</v>
      </c>
      <c r="I62" s="192"/>
      <c r="J62" s="193"/>
      <c r="K62" s="112" t="s">
        <v>150</v>
      </c>
      <c r="L62" s="112" t="s">
        <v>150</v>
      </c>
      <c r="M62" s="112" t="s">
        <v>150</v>
      </c>
      <c r="N62" s="161"/>
      <c r="O62" s="162"/>
      <c r="P62" s="162"/>
      <c r="Q62" s="162"/>
      <c r="R62" s="163"/>
      <c r="S62" s="112"/>
      <c r="T62" s="112"/>
      <c r="U62" s="191"/>
      <c r="V62" s="192"/>
      <c r="W62" s="193"/>
      <c r="X62" s="117"/>
      <c r="Y62" s="112"/>
      <c r="Z62" s="112"/>
    </row>
    <row r="63" spans="1:26" ht="18" customHeight="1">
      <c r="A63" s="29"/>
      <c r="B63" s="161" t="s">
        <v>152</v>
      </c>
      <c r="C63" s="162"/>
      <c r="D63" s="162"/>
      <c r="E63" s="163"/>
      <c r="F63" s="112">
        <v>2</v>
      </c>
      <c r="G63" s="112" t="s">
        <v>150</v>
      </c>
      <c r="H63" s="191" t="s">
        <v>151</v>
      </c>
      <c r="I63" s="192"/>
      <c r="J63" s="193"/>
      <c r="K63" s="112" t="s">
        <v>150</v>
      </c>
      <c r="L63" s="112" t="s">
        <v>150</v>
      </c>
      <c r="M63" s="112" t="s">
        <v>150</v>
      </c>
      <c r="N63" s="161"/>
      <c r="O63" s="162"/>
      <c r="P63" s="162"/>
      <c r="Q63" s="162"/>
      <c r="R63" s="163"/>
      <c r="S63" s="112"/>
      <c r="T63" s="112"/>
      <c r="U63" s="191"/>
      <c r="V63" s="192"/>
      <c r="W63" s="193"/>
      <c r="X63" s="117"/>
      <c r="Y63" s="112"/>
      <c r="Z63" s="112"/>
    </row>
    <row r="64" spans="1:26" ht="18" customHeight="1">
      <c r="A64" s="29"/>
      <c r="B64" s="161" t="s">
        <v>153</v>
      </c>
      <c r="C64" s="162"/>
      <c r="D64" s="162"/>
      <c r="E64" s="163"/>
      <c r="F64" s="112">
        <v>3</v>
      </c>
      <c r="G64" s="112" t="s">
        <v>150</v>
      </c>
      <c r="H64" s="191" t="s">
        <v>151</v>
      </c>
      <c r="I64" s="192"/>
      <c r="J64" s="193"/>
      <c r="K64" s="112" t="s">
        <v>150</v>
      </c>
      <c r="L64" s="112" t="s">
        <v>150</v>
      </c>
      <c r="M64" s="112" t="s">
        <v>150</v>
      </c>
      <c r="N64" s="161"/>
      <c r="O64" s="162"/>
      <c r="P64" s="162"/>
      <c r="Q64" s="162"/>
      <c r="R64" s="163"/>
      <c r="S64" s="112"/>
      <c r="T64" s="112"/>
      <c r="U64" s="191"/>
      <c r="V64" s="192"/>
      <c r="W64" s="193"/>
      <c r="X64" s="117"/>
      <c r="Y64" s="112"/>
      <c r="Z64" s="112"/>
    </row>
    <row r="65" spans="1:26" ht="18" customHeight="1">
      <c r="A65" s="29"/>
      <c r="B65" s="161"/>
      <c r="C65" s="162"/>
      <c r="D65" s="162"/>
      <c r="E65" s="163"/>
      <c r="F65" s="112"/>
      <c r="G65" s="112"/>
      <c r="H65" s="191"/>
      <c r="I65" s="192"/>
      <c r="J65" s="193"/>
      <c r="K65" s="117"/>
      <c r="L65" s="112"/>
      <c r="M65" s="112"/>
      <c r="N65" s="161"/>
      <c r="O65" s="162"/>
      <c r="P65" s="162"/>
      <c r="Q65" s="162"/>
      <c r="R65" s="163"/>
      <c r="S65" s="112"/>
      <c r="T65" s="112"/>
      <c r="U65" s="191"/>
      <c r="V65" s="192"/>
      <c r="W65" s="193"/>
      <c r="X65" s="117"/>
      <c r="Y65" s="112"/>
      <c r="Z65" s="112"/>
    </row>
    <row r="66" spans="1:26" ht="18" customHeight="1">
      <c r="A66" s="29"/>
      <c r="B66" s="221"/>
      <c r="C66" s="222"/>
      <c r="D66" s="222"/>
      <c r="E66" s="223"/>
      <c r="F66" s="115"/>
      <c r="G66" s="115"/>
      <c r="H66" s="200"/>
      <c r="I66" s="201"/>
      <c r="J66" s="202"/>
      <c r="K66" s="118"/>
      <c r="L66" s="115"/>
      <c r="M66" s="115"/>
      <c r="N66" s="221"/>
      <c r="O66" s="222"/>
      <c r="P66" s="222"/>
      <c r="Q66" s="222"/>
      <c r="R66" s="223"/>
      <c r="S66" s="115"/>
      <c r="T66" s="115"/>
      <c r="U66" s="200"/>
      <c r="V66" s="201"/>
      <c r="W66" s="202"/>
      <c r="X66" s="118"/>
      <c r="Y66" s="115"/>
      <c r="Z66" s="115"/>
    </row>
    <row r="67" spans="1:26" ht="7.5" customHeight="1">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45" t="s">
        <v>100</v>
      </c>
      <c r="C69" s="146"/>
      <c r="D69" s="146"/>
      <c r="E69" s="146"/>
      <c r="F69" s="147"/>
      <c r="G69" s="145" t="s">
        <v>146</v>
      </c>
      <c r="H69" s="146"/>
      <c r="I69" s="146"/>
      <c r="J69" s="146"/>
      <c r="K69" s="146"/>
      <c r="L69" s="146"/>
      <c r="M69" s="147"/>
      <c r="N69" s="227" t="s">
        <v>100</v>
      </c>
      <c r="O69" s="228"/>
      <c r="P69" s="228"/>
      <c r="Q69" s="228"/>
      <c r="R69" s="228"/>
      <c r="S69" s="229"/>
      <c r="T69" s="145" t="s">
        <v>146</v>
      </c>
      <c r="U69" s="146"/>
      <c r="V69" s="146"/>
      <c r="W69" s="146"/>
      <c r="X69" s="146"/>
      <c r="Y69" s="146"/>
      <c r="Z69" s="147"/>
    </row>
    <row r="70" spans="1:26" ht="18" customHeight="1">
      <c r="A70" s="29"/>
      <c r="B70" s="152" t="s">
        <v>154</v>
      </c>
      <c r="C70" s="153"/>
      <c r="D70" s="153"/>
      <c r="E70" s="153"/>
      <c r="F70" s="154"/>
      <c r="G70" s="155" t="s">
        <v>156</v>
      </c>
      <c r="H70" s="156"/>
      <c r="I70" s="156"/>
      <c r="J70" s="156"/>
      <c r="K70" s="156"/>
      <c r="L70" s="156"/>
      <c r="M70" s="157"/>
      <c r="N70" s="152"/>
      <c r="O70" s="153"/>
      <c r="P70" s="153"/>
      <c r="Q70" s="153"/>
      <c r="R70" s="153"/>
      <c r="S70" s="154"/>
      <c r="T70" s="155"/>
      <c r="U70" s="156"/>
      <c r="V70" s="156"/>
      <c r="W70" s="156"/>
      <c r="X70" s="156"/>
      <c r="Y70" s="156"/>
      <c r="Z70" s="157"/>
    </row>
    <row r="71" spans="1:26" ht="18" customHeight="1">
      <c r="A71" s="29"/>
      <c r="B71" s="161" t="s">
        <v>154</v>
      </c>
      <c r="C71" s="162"/>
      <c r="D71" s="162"/>
      <c r="E71" s="162"/>
      <c r="F71" s="163"/>
      <c r="G71" s="164" t="s">
        <v>157</v>
      </c>
      <c r="H71" s="165"/>
      <c r="I71" s="165"/>
      <c r="J71" s="165"/>
      <c r="K71" s="165"/>
      <c r="L71" s="165"/>
      <c r="M71" s="166"/>
      <c r="N71" s="161"/>
      <c r="O71" s="162"/>
      <c r="P71" s="162"/>
      <c r="Q71" s="162"/>
      <c r="R71" s="162"/>
      <c r="S71" s="163"/>
      <c r="T71" s="164"/>
      <c r="U71" s="165"/>
      <c r="V71" s="165"/>
      <c r="W71" s="165"/>
      <c r="X71" s="165"/>
      <c r="Y71" s="165"/>
      <c r="Z71" s="166"/>
    </row>
    <row r="72" spans="1:26" ht="18" customHeight="1">
      <c r="A72" s="29"/>
      <c r="B72" s="161" t="s">
        <v>158</v>
      </c>
      <c r="C72" s="162"/>
      <c r="D72" s="162"/>
      <c r="E72" s="162"/>
      <c r="F72" s="163"/>
      <c r="G72" s="164" t="s">
        <v>157</v>
      </c>
      <c r="H72" s="165"/>
      <c r="I72" s="165"/>
      <c r="J72" s="165"/>
      <c r="K72" s="165"/>
      <c r="L72" s="165"/>
      <c r="M72" s="166"/>
      <c r="N72" s="161"/>
      <c r="O72" s="162"/>
      <c r="P72" s="162"/>
      <c r="Q72" s="162"/>
      <c r="R72" s="162"/>
      <c r="S72" s="163"/>
      <c r="T72" s="164"/>
      <c r="U72" s="165"/>
      <c r="V72" s="165"/>
      <c r="W72" s="165"/>
      <c r="X72" s="165"/>
      <c r="Y72" s="165"/>
      <c r="Z72" s="166"/>
    </row>
    <row r="73" spans="1:26" ht="18" customHeight="1">
      <c r="A73" s="29"/>
      <c r="B73" s="161" t="s">
        <v>154</v>
      </c>
      <c r="C73" s="162"/>
      <c r="D73" s="162"/>
      <c r="E73" s="162"/>
      <c r="F73" s="163"/>
      <c r="G73" s="164" t="s">
        <v>159</v>
      </c>
      <c r="H73" s="165"/>
      <c r="I73" s="165"/>
      <c r="J73" s="165"/>
      <c r="K73" s="165"/>
      <c r="L73" s="165"/>
      <c r="M73" s="166"/>
      <c r="N73" s="161"/>
      <c r="O73" s="162"/>
      <c r="P73" s="162"/>
      <c r="Q73" s="162"/>
      <c r="R73" s="162"/>
      <c r="S73" s="163"/>
      <c r="T73" s="164"/>
      <c r="U73" s="165"/>
      <c r="V73" s="165"/>
      <c r="W73" s="165"/>
      <c r="X73" s="165"/>
      <c r="Y73" s="165"/>
      <c r="Z73" s="166"/>
    </row>
    <row r="74" spans="1:26" ht="18" customHeight="1">
      <c r="A74" s="29"/>
      <c r="B74" s="161" t="s">
        <v>158</v>
      </c>
      <c r="C74" s="162"/>
      <c r="D74" s="162"/>
      <c r="E74" s="162"/>
      <c r="F74" s="163"/>
      <c r="G74" s="164" t="s">
        <v>159</v>
      </c>
      <c r="H74" s="165"/>
      <c r="I74" s="165"/>
      <c r="J74" s="165"/>
      <c r="K74" s="165"/>
      <c r="L74" s="165"/>
      <c r="M74" s="166"/>
      <c r="N74" s="161"/>
      <c r="O74" s="162"/>
      <c r="P74" s="162"/>
      <c r="Q74" s="162"/>
      <c r="R74" s="162"/>
      <c r="S74" s="163"/>
      <c r="T74" s="164"/>
      <c r="U74" s="165"/>
      <c r="V74" s="165"/>
      <c r="W74" s="165"/>
      <c r="X74" s="165"/>
      <c r="Y74" s="165"/>
      <c r="Z74" s="166"/>
    </row>
    <row r="75" spans="1:26" ht="18" customHeight="1">
      <c r="A75" s="29"/>
      <c r="B75" s="161"/>
      <c r="C75" s="162"/>
      <c r="D75" s="162"/>
      <c r="E75" s="162"/>
      <c r="F75" s="163"/>
      <c r="G75" s="164"/>
      <c r="H75" s="165"/>
      <c r="I75" s="165"/>
      <c r="J75" s="165"/>
      <c r="K75" s="165"/>
      <c r="L75" s="165"/>
      <c r="M75" s="166"/>
      <c r="N75" s="161"/>
      <c r="O75" s="162"/>
      <c r="P75" s="162"/>
      <c r="Q75" s="162"/>
      <c r="R75" s="162"/>
      <c r="S75" s="163"/>
      <c r="T75" s="164"/>
      <c r="U75" s="165"/>
      <c r="V75" s="165"/>
      <c r="W75" s="165"/>
      <c r="X75" s="165"/>
      <c r="Y75" s="165"/>
      <c r="Z75" s="166"/>
    </row>
    <row r="76" spans="1:26" ht="18" customHeight="1">
      <c r="A76" s="29"/>
      <c r="B76" s="221"/>
      <c r="C76" s="222"/>
      <c r="D76" s="222"/>
      <c r="E76" s="222"/>
      <c r="F76" s="223"/>
      <c r="G76" s="224"/>
      <c r="H76" s="225"/>
      <c r="I76" s="225"/>
      <c r="J76" s="225"/>
      <c r="K76" s="225"/>
      <c r="L76" s="225"/>
      <c r="M76" s="226"/>
      <c r="N76" s="221"/>
      <c r="O76" s="222"/>
      <c r="P76" s="222"/>
      <c r="Q76" s="222"/>
      <c r="R76" s="222"/>
      <c r="S76" s="223"/>
      <c r="T76" s="224"/>
      <c r="U76" s="225"/>
      <c r="V76" s="225"/>
      <c r="W76" s="225"/>
      <c r="X76" s="225"/>
      <c r="Y76" s="225"/>
      <c r="Z76" s="226"/>
    </row>
    <row r="77" spans="1:26" ht="18" customHeight="1">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c r="A78" s="13" t="s">
        <v>142</v>
      </c>
    </row>
    <row r="79" spans="1:26" ht="18.75" customHeight="1">
      <c r="B79" s="76" t="s">
        <v>102</v>
      </c>
      <c r="C79" s="77"/>
      <c r="D79" s="184" t="s">
        <v>103</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c r="B80" s="169" t="s">
        <v>109</v>
      </c>
      <c r="C80" s="83" t="s">
        <v>104</v>
      </c>
      <c r="D80" s="178" t="s">
        <v>197</v>
      </c>
      <c r="E80" s="186"/>
      <c r="F80" s="186"/>
      <c r="G80" s="186"/>
      <c r="H80" s="186"/>
      <c r="I80" s="186"/>
      <c r="J80" s="186"/>
      <c r="K80" s="186"/>
      <c r="L80" s="186"/>
      <c r="M80" s="186"/>
      <c r="N80" s="186"/>
      <c r="O80" s="186"/>
      <c r="P80" s="186"/>
      <c r="Q80" s="186"/>
      <c r="R80" s="186"/>
      <c r="S80" s="186"/>
      <c r="T80" s="186"/>
      <c r="U80" s="186"/>
      <c r="V80" s="186"/>
      <c r="W80" s="186"/>
      <c r="X80" s="186"/>
      <c r="Y80" s="186"/>
      <c r="Z80" s="187"/>
    </row>
    <row r="81" spans="1:26" ht="78" customHeight="1">
      <c r="B81" s="170"/>
      <c r="C81" s="108" t="s">
        <v>137</v>
      </c>
      <c r="D81" s="209" t="s">
        <v>198</v>
      </c>
      <c r="E81" s="210"/>
      <c r="F81" s="210"/>
      <c r="G81" s="210"/>
      <c r="H81" s="210"/>
      <c r="I81" s="210"/>
      <c r="J81" s="210"/>
      <c r="K81" s="210"/>
      <c r="L81" s="210"/>
      <c r="M81" s="210"/>
      <c r="N81" s="210"/>
      <c r="O81" s="210"/>
      <c r="P81" s="210"/>
      <c r="Q81" s="210"/>
      <c r="R81" s="210"/>
      <c r="S81" s="210"/>
      <c r="T81" s="210"/>
      <c r="U81" s="210"/>
      <c r="V81" s="210"/>
      <c r="W81" s="210"/>
      <c r="X81" s="210"/>
      <c r="Y81" s="210"/>
      <c r="Z81" s="211"/>
    </row>
    <row r="82" spans="1:26" ht="78" customHeight="1">
      <c r="B82" s="167" t="s">
        <v>110</v>
      </c>
      <c r="C82" s="78" t="s">
        <v>127</v>
      </c>
      <c r="D82" s="212" t="s">
        <v>199</v>
      </c>
      <c r="E82" s="213"/>
      <c r="F82" s="213"/>
      <c r="G82" s="213"/>
      <c r="H82" s="213"/>
      <c r="I82" s="213"/>
      <c r="J82" s="213"/>
      <c r="K82" s="213"/>
      <c r="L82" s="213"/>
      <c r="M82" s="213"/>
      <c r="N82" s="213"/>
      <c r="O82" s="213"/>
      <c r="P82" s="213"/>
      <c r="Q82" s="213"/>
      <c r="R82" s="213"/>
      <c r="S82" s="213"/>
      <c r="T82" s="213"/>
      <c r="U82" s="213"/>
      <c r="V82" s="213"/>
      <c r="W82" s="213"/>
      <c r="X82" s="213"/>
      <c r="Y82" s="213"/>
      <c r="Z82" s="214"/>
    </row>
    <row r="83" spans="1:26" ht="78" customHeight="1">
      <c r="B83" s="168"/>
      <c r="C83" s="109" t="s">
        <v>128</v>
      </c>
      <c r="D83" s="218" t="s">
        <v>200</v>
      </c>
      <c r="E83" s="219"/>
      <c r="F83" s="219"/>
      <c r="G83" s="219"/>
      <c r="H83" s="219"/>
      <c r="I83" s="219"/>
      <c r="J83" s="219"/>
      <c r="K83" s="219"/>
      <c r="L83" s="219"/>
      <c r="M83" s="219"/>
      <c r="N83" s="219"/>
      <c r="O83" s="219"/>
      <c r="P83" s="219"/>
      <c r="Q83" s="219"/>
      <c r="R83" s="219"/>
      <c r="S83" s="219"/>
      <c r="T83" s="219"/>
      <c r="U83" s="219"/>
      <c r="V83" s="219"/>
      <c r="W83" s="219"/>
      <c r="X83" s="219"/>
      <c r="Y83" s="219"/>
      <c r="Z83" s="220"/>
    </row>
    <row r="84" spans="1:26" ht="66" customHeight="1">
      <c r="B84" s="167" t="s">
        <v>111</v>
      </c>
      <c r="C84" s="78" t="s">
        <v>130</v>
      </c>
      <c r="D84" s="178" t="s">
        <v>201</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168"/>
      <c r="C85" s="80" t="s">
        <v>131</v>
      </c>
      <c r="D85" s="215" t="s">
        <v>202</v>
      </c>
      <c r="E85" s="216"/>
      <c r="F85" s="216"/>
      <c r="G85" s="216"/>
      <c r="H85" s="216"/>
      <c r="I85" s="216"/>
      <c r="J85" s="216"/>
      <c r="K85" s="216"/>
      <c r="L85" s="216"/>
      <c r="M85" s="216"/>
      <c r="N85" s="216"/>
      <c r="O85" s="216"/>
      <c r="P85" s="216"/>
      <c r="Q85" s="216"/>
      <c r="R85" s="216"/>
      <c r="S85" s="216"/>
      <c r="T85" s="216"/>
      <c r="U85" s="216"/>
      <c r="V85" s="216"/>
      <c r="W85" s="216"/>
      <c r="X85" s="216"/>
      <c r="Y85" s="216"/>
      <c r="Z85" s="217"/>
    </row>
    <row r="86" spans="1:26" ht="76.5" customHeight="1">
      <c r="B86" s="169" t="s">
        <v>138</v>
      </c>
      <c r="C86" s="83" t="s">
        <v>106</v>
      </c>
      <c r="D86" s="178" t="s">
        <v>203</v>
      </c>
      <c r="E86" s="179"/>
      <c r="F86" s="179"/>
      <c r="G86" s="179"/>
      <c r="H86" s="179"/>
      <c r="I86" s="179"/>
      <c r="J86" s="179"/>
      <c r="K86" s="179"/>
      <c r="L86" s="179"/>
      <c r="M86" s="179"/>
      <c r="N86" s="179"/>
      <c r="O86" s="179"/>
      <c r="P86" s="179"/>
      <c r="Q86" s="179"/>
      <c r="R86" s="179"/>
      <c r="S86" s="179"/>
      <c r="T86" s="179"/>
      <c r="U86" s="179"/>
      <c r="V86" s="179"/>
      <c r="W86" s="179"/>
      <c r="X86" s="179"/>
      <c r="Y86" s="179"/>
      <c r="Z86" s="180"/>
    </row>
    <row r="87" spans="1:26" ht="66" customHeight="1">
      <c r="B87" s="177"/>
      <c r="C87" s="79" t="s">
        <v>108</v>
      </c>
      <c r="D87" s="181" t="s">
        <v>204</v>
      </c>
      <c r="E87" s="182"/>
      <c r="F87" s="182"/>
      <c r="G87" s="182"/>
      <c r="H87" s="182"/>
      <c r="I87" s="182"/>
      <c r="J87" s="182"/>
      <c r="K87" s="182"/>
      <c r="L87" s="182"/>
      <c r="M87" s="182"/>
      <c r="N87" s="182"/>
      <c r="O87" s="182"/>
      <c r="P87" s="182"/>
      <c r="Q87" s="182"/>
      <c r="R87" s="182"/>
      <c r="S87" s="182"/>
      <c r="T87" s="182"/>
      <c r="U87" s="182"/>
      <c r="V87" s="182"/>
      <c r="W87" s="182"/>
      <c r="X87" s="182"/>
      <c r="Y87" s="182"/>
      <c r="Z87" s="183"/>
    </row>
    <row r="88" spans="1:26" ht="114" customHeight="1">
      <c r="B88" s="169" t="s">
        <v>139</v>
      </c>
      <c r="C88" s="78" t="s">
        <v>105</v>
      </c>
      <c r="D88" s="171" t="s">
        <v>205</v>
      </c>
      <c r="E88" s="172"/>
      <c r="F88" s="172"/>
      <c r="G88" s="172"/>
      <c r="H88" s="172"/>
      <c r="I88" s="172"/>
      <c r="J88" s="172"/>
      <c r="K88" s="172"/>
      <c r="L88" s="172"/>
      <c r="M88" s="172"/>
      <c r="N88" s="172"/>
      <c r="O88" s="172"/>
      <c r="P88" s="172"/>
      <c r="Q88" s="172"/>
      <c r="R88" s="172"/>
      <c r="S88" s="172"/>
      <c r="T88" s="172"/>
      <c r="U88" s="172"/>
      <c r="V88" s="172"/>
      <c r="W88" s="172"/>
      <c r="X88" s="172"/>
      <c r="Y88" s="172"/>
      <c r="Z88" s="173"/>
    </row>
    <row r="89" spans="1:26" ht="99.75" customHeight="1">
      <c r="B89" s="170"/>
      <c r="C89" s="79" t="s">
        <v>134</v>
      </c>
      <c r="D89" s="158" t="s">
        <v>209</v>
      </c>
      <c r="E89" s="159"/>
      <c r="F89" s="159"/>
      <c r="G89" s="159"/>
      <c r="H89" s="159"/>
      <c r="I89" s="159"/>
      <c r="J89" s="159"/>
      <c r="K89" s="159"/>
      <c r="L89" s="159"/>
      <c r="M89" s="159"/>
      <c r="N89" s="159"/>
      <c r="O89" s="159"/>
      <c r="P89" s="159"/>
      <c r="Q89" s="159"/>
      <c r="R89" s="159"/>
      <c r="S89" s="159"/>
      <c r="T89" s="159"/>
      <c r="U89" s="159"/>
      <c r="V89" s="159"/>
      <c r="W89" s="159"/>
      <c r="X89" s="159"/>
      <c r="Y89" s="159"/>
      <c r="Z89" s="160"/>
    </row>
    <row r="90" spans="1:26" ht="105" customHeight="1">
      <c r="B90" s="168"/>
      <c r="C90" s="80" t="s">
        <v>135</v>
      </c>
      <c r="D90" s="174" t="s">
        <v>208</v>
      </c>
      <c r="E90" s="175"/>
      <c r="F90" s="175"/>
      <c r="G90" s="175"/>
      <c r="H90" s="175"/>
      <c r="I90" s="175"/>
      <c r="J90" s="175"/>
      <c r="K90" s="175"/>
      <c r="L90" s="175"/>
      <c r="M90" s="175"/>
      <c r="N90" s="175"/>
      <c r="O90" s="175"/>
      <c r="P90" s="175"/>
      <c r="Q90" s="175"/>
      <c r="R90" s="175"/>
      <c r="S90" s="175"/>
      <c r="T90" s="175"/>
      <c r="U90" s="175"/>
      <c r="V90" s="175"/>
      <c r="W90" s="175"/>
      <c r="X90" s="175"/>
      <c r="Y90" s="175"/>
      <c r="Z90" s="176"/>
    </row>
    <row r="91" spans="1:26" ht="6" customHeight="1"/>
    <row r="92" spans="1:26" ht="18.75" customHeight="1">
      <c r="A92" s="13" t="s">
        <v>143</v>
      </c>
    </row>
    <row r="93" spans="1:26" ht="23.25" customHeight="1">
      <c r="B93" s="230" t="s">
        <v>206</v>
      </c>
      <c r="C93" s="231"/>
      <c r="D93" s="231"/>
      <c r="E93" s="231"/>
      <c r="F93" s="231"/>
      <c r="G93" s="231"/>
      <c r="H93" s="231"/>
      <c r="I93" s="231"/>
      <c r="J93" s="231"/>
      <c r="K93" s="231"/>
      <c r="L93" s="231"/>
      <c r="M93" s="231"/>
      <c r="N93" s="231"/>
      <c r="O93" s="231"/>
      <c r="P93" s="231"/>
      <c r="Q93" s="231"/>
      <c r="R93" s="231"/>
      <c r="S93" s="231"/>
      <c r="T93" s="231"/>
      <c r="U93" s="231"/>
      <c r="V93" s="231"/>
      <c r="W93" s="231"/>
      <c r="X93" s="231"/>
      <c r="Y93" s="231"/>
      <c r="Z93" s="232"/>
    </row>
    <row r="94" spans="1:26" ht="22.5" customHeight="1">
      <c r="B94" s="233"/>
      <c r="C94" s="234"/>
      <c r="D94" s="234"/>
      <c r="E94" s="234"/>
      <c r="F94" s="234"/>
      <c r="G94" s="234"/>
      <c r="H94" s="234"/>
      <c r="I94" s="234"/>
      <c r="J94" s="234"/>
      <c r="K94" s="234"/>
      <c r="L94" s="234"/>
      <c r="M94" s="234"/>
      <c r="N94" s="234"/>
      <c r="O94" s="234"/>
      <c r="P94" s="234"/>
      <c r="Q94" s="234"/>
      <c r="R94" s="234"/>
      <c r="S94" s="234"/>
      <c r="T94" s="234"/>
      <c r="U94" s="234"/>
      <c r="V94" s="234"/>
      <c r="W94" s="234"/>
      <c r="X94" s="234"/>
      <c r="Y94" s="234"/>
      <c r="Z94" s="235"/>
    </row>
    <row r="95" spans="1:26" ht="23.25" customHeight="1">
      <c r="B95" s="236"/>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6"/>
    </row>
    <row r="96" spans="1:26" ht="6" customHeight="1"/>
    <row r="97" spans="1:26" ht="15" customHeight="1">
      <c r="A97" s="13" t="s">
        <v>144</v>
      </c>
    </row>
    <row r="98" spans="1:26" ht="20.25" customHeight="1">
      <c r="B98" s="237" t="s">
        <v>207</v>
      </c>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2"/>
  <dataValidations count="4">
    <dataValidation type="list" allowBlank="1" showInputMessage="1" showErrorMessage="1" sqref="Y16:Z22 Y27:Z33 H16:H22 H38:H44 Y38:Z44 Y49:Z55 Y60:Z66 U16:U22 L16:M22 U27:U33 H27:H33 U38:U44 L38:M44 U49:U55 H49:H55 T60:T66 L49:M55 K60:L64 M60:M66 G60:G66 L65:L66 L27:M33">
      <formula1>"○"</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U74:Z77 H70:M72 T70:T77 U70:Z71 G70:G77 H75:M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Q11" sqref="Q11"/>
    </sheetView>
  </sheetViews>
  <sheetFormatPr defaultColWidth="9" defaultRowHeight="18.75" customHeight="1"/>
  <cols>
    <col min="1" max="1" width="2.6640625" style="1" customWidth="1"/>
    <col min="2" max="2" width="30" style="1" customWidth="1"/>
    <col min="3" max="17" width="6.109375" style="1" customWidth="1"/>
    <col min="18" max="18" width="6.6640625" style="1" customWidth="1"/>
    <col min="19" max="16384" width="9" style="1"/>
  </cols>
  <sheetData>
    <row r="1" spans="1:20" ht="18" customHeight="1">
      <c r="F1" s="239" t="s">
        <v>63</v>
      </c>
      <c r="G1" s="239"/>
      <c r="H1" s="239"/>
      <c r="I1" s="239"/>
      <c r="J1" s="239"/>
      <c r="K1" s="239"/>
      <c r="L1" s="239"/>
      <c r="M1" s="239"/>
      <c r="N1" s="239"/>
      <c r="O1" s="239"/>
      <c r="P1" s="239"/>
      <c r="Q1" s="239"/>
      <c r="R1" s="239"/>
    </row>
    <row r="2" spans="1:20" ht="18" customHeight="1">
      <c r="A2" s="240" t="s">
        <v>89</v>
      </c>
      <c r="B2" s="240"/>
      <c r="C2" s="240"/>
      <c r="D2" s="240"/>
      <c r="E2" s="240"/>
      <c r="F2" s="240"/>
      <c r="G2" s="240"/>
      <c r="H2" s="240"/>
      <c r="I2" s="240"/>
      <c r="J2" s="240"/>
      <c r="K2" s="240"/>
      <c r="L2" s="240"/>
      <c r="M2" s="240"/>
      <c r="N2" s="240"/>
      <c r="O2" s="240"/>
      <c r="P2" s="240"/>
      <c r="Q2" s="240"/>
      <c r="R2" s="240"/>
      <c r="S2" s="4"/>
    </row>
    <row r="3" spans="1:20" ht="7.5" customHeight="1">
      <c r="A3" s="36"/>
      <c r="B3" s="36"/>
      <c r="C3" s="36"/>
      <c r="D3" s="36"/>
      <c r="E3" s="36"/>
      <c r="F3" s="36"/>
      <c r="G3" s="36"/>
      <c r="H3" s="36"/>
      <c r="I3" s="36"/>
      <c r="J3" s="36"/>
      <c r="K3" s="36"/>
      <c r="L3" s="36"/>
      <c r="M3" s="36"/>
      <c r="N3" s="36"/>
      <c r="O3" s="36"/>
      <c r="P3" s="36"/>
      <c r="Q3" s="36"/>
      <c r="R3" s="36"/>
    </row>
    <row r="4" spans="1:20" ht="18" customHeight="1">
      <c r="A4" s="4" t="s">
        <v>147</v>
      </c>
      <c r="B4" s="4"/>
      <c r="C4" s="241" t="str">
        <f>'様式１　大学等概要'!E12</f>
        <v>令和３</v>
      </c>
      <c r="D4" s="242"/>
      <c r="E4" s="36" t="s">
        <v>113</v>
      </c>
      <c r="F4" s="36"/>
      <c r="G4" s="36"/>
      <c r="H4" s="36"/>
      <c r="I4" s="36"/>
      <c r="J4" s="84"/>
      <c r="K4" s="36"/>
      <c r="L4" s="36"/>
      <c r="M4" s="113"/>
      <c r="N4" s="113"/>
      <c r="O4" s="113"/>
      <c r="P4" s="113"/>
      <c r="Q4" s="113"/>
      <c r="R4" s="113"/>
    </row>
    <row r="5" spans="1:20" ht="6" customHeight="1">
      <c r="A5" s="36"/>
      <c r="B5" s="36"/>
      <c r="C5" s="36"/>
      <c r="D5" s="36"/>
      <c r="E5" s="36"/>
      <c r="F5" s="36"/>
      <c r="G5" s="36"/>
      <c r="H5" s="36"/>
      <c r="I5" s="36"/>
      <c r="J5" s="36"/>
      <c r="K5" s="36"/>
      <c r="L5" s="36"/>
      <c r="M5" s="36"/>
      <c r="N5" s="36"/>
      <c r="O5" s="36"/>
      <c r="P5" s="36"/>
      <c r="Q5" s="36"/>
      <c r="R5" s="36"/>
    </row>
    <row r="6" spans="1:20" ht="18" customHeight="1">
      <c r="A6" s="4" t="s">
        <v>145</v>
      </c>
      <c r="B6" s="36"/>
      <c r="C6" s="36"/>
      <c r="D6" s="36"/>
      <c r="E6" s="36"/>
      <c r="F6" s="36"/>
      <c r="G6" s="36"/>
      <c r="H6" s="36"/>
      <c r="I6" s="36"/>
      <c r="J6" s="36"/>
      <c r="K6" s="36"/>
      <c r="L6" s="36"/>
      <c r="M6" s="36"/>
      <c r="N6" s="36"/>
      <c r="O6" s="36"/>
      <c r="P6" s="36"/>
      <c r="Q6" s="36"/>
      <c r="R6" s="36"/>
    </row>
    <row r="7" spans="1:20" ht="6" customHeight="1">
      <c r="A7" s="4"/>
      <c r="B7" s="36"/>
      <c r="C7" s="36"/>
      <c r="D7" s="36"/>
      <c r="E7" s="36"/>
      <c r="F7" s="36"/>
      <c r="G7" s="36"/>
      <c r="H7" s="36"/>
      <c r="I7" s="36"/>
      <c r="J7" s="36"/>
      <c r="K7" s="36"/>
      <c r="L7" s="36"/>
      <c r="M7" s="36"/>
      <c r="N7" s="36"/>
      <c r="O7" s="36"/>
      <c r="P7" s="36"/>
      <c r="Q7" s="36"/>
      <c r="R7" s="36"/>
    </row>
    <row r="8" spans="1:20" ht="18" customHeight="1">
      <c r="B8" s="243" t="s">
        <v>79</v>
      </c>
      <c r="C8" s="245" t="s">
        <v>84</v>
      </c>
      <c r="D8" s="247" t="s">
        <v>68</v>
      </c>
      <c r="E8" s="249" t="s">
        <v>90</v>
      </c>
      <c r="F8" s="249"/>
      <c r="G8" s="249" t="s">
        <v>91</v>
      </c>
      <c r="H8" s="249"/>
      <c r="I8" s="249" t="s">
        <v>92</v>
      </c>
      <c r="J8" s="249"/>
      <c r="K8" s="250" t="s">
        <v>93</v>
      </c>
      <c r="L8" s="251"/>
      <c r="M8" s="250" t="s">
        <v>94</v>
      </c>
      <c r="N8" s="251"/>
      <c r="O8" s="250" t="s">
        <v>95</v>
      </c>
      <c r="P8" s="251"/>
      <c r="Q8" s="252" t="s">
        <v>62</v>
      </c>
      <c r="R8" s="254" t="s">
        <v>56</v>
      </c>
      <c r="T8" s="32"/>
    </row>
    <row r="9" spans="1:20" ht="18" customHeight="1">
      <c r="A9" s="4"/>
      <c r="B9" s="244"/>
      <c r="C9" s="246"/>
      <c r="D9" s="248"/>
      <c r="E9" s="41" t="s">
        <v>44</v>
      </c>
      <c r="F9" s="42" t="s">
        <v>43</v>
      </c>
      <c r="G9" s="43" t="s">
        <v>44</v>
      </c>
      <c r="H9" s="44" t="s">
        <v>43</v>
      </c>
      <c r="I9" s="41" t="s">
        <v>44</v>
      </c>
      <c r="J9" s="42" t="s">
        <v>43</v>
      </c>
      <c r="K9" s="43" t="s">
        <v>44</v>
      </c>
      <c r="L9" s="44" t="s">
        <v>43</v>
      </c>
      <c r="M9" s="41" t="s">
        <v>44</v>
      </c>
      <c r="N9" s="42" t="s">
        <v>43</v>
      </c>
      <c r="O9" s="43" t="s">
        <v>44</v>
      </c>
      <c r="P9" s="44" t="s">
        <v>43</v>
      </c>
      <c r="Q9" s="253"/>
      <c r="R9" s="255"/>
      <c r="T9" s="32"/>
    </row>
    <row r="10" spans="1:20" ht="18" customHeight="1">
      <c r="A10" s="45"/>
      <c r="B10" s="85" t="s">
        <v>182</v>
      </c>
      <c r="C10" s="45">
        <v>160</v>
      </c>
      <c r="D10" s="46">
        <v>800</v>
      </c>
      <c r="E10" s="47">
        <v>170</v>
      </c>
      <c r="F10" s="48">
        <v>0</v>
      </c>
      <c r="G10" s="49"/>
      <c r="H10" s="50"/>
      <c r="I10" s="47"/>
      <c r="J10" s="48"/>
      <c r="K10" s="49"/>
      <c r="L10" s="50"/>
      <c r="M10" s="47"/>
      <c r="N10" s="48"/>
      <c r="O10" s="49"/>
      <c r="P10" s="50"/>
      <c r="Q10" s="51">
        <f>E10+G10+I10+K10+M10+O10</f>
        <v>170</v>
      </c>
      <c r="R10" s="52">
        <f>Q10/D10</f>
        <v>0.21249999999999999</v>
      </c>
    </row>
    <row r="11" spans="1:20" ht="18" customHeight="1">
      <c r="A11" s="45"/>
      <c r="B11" s="86"/>
      <c r="C11" s="61"/>
      <c r="D11" s="54"/>
      <c r="E11" s="55"/>
      <c r="F11" s="56"/>
      <c r="G11" s="57"/>
      <c r="H11" s="58"/>
      <c r="I11" s="55"/>
      <c r="J11" s="56"/>
      <c r="K11" s="57"/>
      <c r="L11" s="58"/>
      <c r="M11" s="55"/>
      <c r="N11" s="56"/>
      <c r="O11" s="57"/>
      <c r="P11" s="58"/>
      <c r="Q11" s="59">
        <f t="shared" ref="Q11:Q29" si="0">E11+G11+I11+K11+M11+O11</f>
        <v>0</v>
      </c>
      <c r="R11" s="60"/>
    </row>
    <row r="12" spans="1:20" ht="18" customHeight="1">
      <c r="A12" s="45"/>
      <c r="B12" s="86"/>
      <c r="C12" s="61"/>
      <c r="D12" s="54"/>
      <c r="E12" s="55"/>
      <c r="F12" s="56"/>
      <c r="G12" s="57"/>
      <c r="H12" s="58"/>
      <c r="I12" s="55"/>
      <c r="J12" s="56"/>
      <c r="K12" s="57"/>
      <c r="L12" s="58"/>
      <c r="M12" s="55"/>
      <c r="N12" s="56"/>
      <c r="O12" s="57"/>
      <c r="P12" s="58"/>
      <c r="Q12" s="59">
        <f t="shared" si="0"/>
        <v>0</v>
      </c>
      <c r="R12" s="60"/>
    </row>
    <row r="13" spans="1:20" ht="18" customHeight="1">
      <c r="A13" s="45"/>
      <c r="B13" s="86"/>
      <c r="C13" s="61"/>
      <c r="D13" s="54"/>
      <c r="E13" s="55"/>
      <c r="F13" s="56"/>
      <c r="G13" s="57"/>
      <c r="H13" s="58"/>
      <c r="I13" s="55"/>
      <c r="J13" s="56"/>
      <c r="K13" s="57"/>
      <c r="L13" s="58"/>
      <c r="M13" s="55"/>
      <c r="N13" s="56"/>
      <c r="O13" s="57"/>
      <c r="P13" s="58"/>
      <c r="Q13" s="59">
        <f t="shared" si="0"/>
        <v>0</v>
      </c>
      <c r="R13" s="60"/>
    </row>
    <row r="14" spans="1:20" ht="18" customHeight="1">
      <c r="A14" s="45"/>
      <c r="B14" s="86"/>
      <c r="C14" s="61"/>
      <c r="D14" s="54"/>
      <c r="E14" s="55"/>
      <c r="F14" s="56"/>
      <c r="G14" s="57"/>
      <c r="H14" s="58"/>
      <c r="I14" s="55"/>
      <c r="J14" s="56"/>
      <c r="K14" s="57"/>
      <c r="L14" s="58"/>
      <c r="M14" s="55"/>
      <c r="N14" s="56"/>
      <c r="O14" s="57"/>
      <c r="P14" s="58"/>
      <c r="Q14" s="59">
        <f t="shared" si="0"/>
        <v>0</v>
      </c>
      <c r="R14" s="60"/>
    </row>
    <row r="15" spans="1:20" ht="18" customHeight="1">
      <c r="A15" s="45"/>
      <c r="B15" s="86"/>
      <c r="C15" s="61"/>
      <c r="D15" s="54"/>
      <c r="E15" s="55"/>
      <c r="F15" s="56"/>
      <c r="G15" s="57"/>
      <c r="H15" s="58"/>
      <c r="I15" s="55"/>
      <c r="J15" s="56"/>
      <c r="K15" s="57"/>
      <c r="L15" s="58"/>
      <c r="M15" s="55"/>
      <c r="N15" s="56"/>
      <c r="O15" s="57"/>
      <c r="P15" s="58"/>
      <c r="Q15" s="59">
        <f t="shared" si="0"/>
        <v>0</v>
      </c>
      <c r="R15" s="60"/>
    </row>
    <row r="16" spans="1:20" ht="18" customHeight="1">
      <c r="A16" s="45"/>
      <c r="B16" s="86"/>
      <c r="C16" s="61"/>
      <c r="D16" s="54"/>
      <c r="E16" s="55"/>
      <c r="F16" s="56"/>
      <c r="G16" s="57"/>
      <c r="H16" s="58"/>
      <c r="I16" s="55"/>
      <c r="J16" s="56"/>
      <c r="K16" s="57"/>
      <c r="L16" s="58"/>
      <c r="M16" s="55"/>
      <c r="N16" s="56"/>
      <c r="O16" s="57"/>
      <c r="P16" s="58"/>
      <c r="Q16" s="59">
        <f t="shared" si="0"/>
        <v>0</v>
      </c>
      <c r="R16" s="60"/>
    </row>
    <row r="17" spans="1:18" ht="18" customHeight="1">
      <c r="A17" s="45"/>
      <c r="B17" s="86"/>
      <c r="C17" s="61"/>
      <c r="D17" s="54"/>
      <c r="E17" s="55"/>
      <c r="F17" s="56"/>
      <c r="G17" s="57"/>
      <c r="H17" s="58"/>
      <c r="I17" s="55"/>
      <c r="J17" s="56"/>
      <c r="K17" s="57"/>
      <c r="L17" s="58"/>
      <c r="M17" s="55"/>
      <c r="N17" s="56"/>
      <c r="O17" s="57"/>
      <c r="P17" s="58"/>
      <c r="Q17" s="59">
        <f t="shared" si="0"/>
        <v>0</v>
      </c>
      <c r="R17" s="60"/>
    </row>
    <row r="18" spans="1:18" ht="18" customHeight="1">
      <c r="A18" s="45"/>
      <c r="B18" s="86"/>
      <c r="C18" s="61"/>
      <c r="D18" s="54"/>
      <c r="E18" s="55"/>
      <c r="F18" s="56"/>
      <c r="G18" s="57"/>
      <c r="H18" s="58"/>
      <c r="I18" s="55"/>
      <c r="J18" s="56"/>
      <c r="K18" s="57"/>
      <c r="L18" s="58"/>
      <c r="M18" s="55"/>
      <c r="N18" s="56"/>
      <c r="O18" s="57"/>
      <c r="P18" s="58"/>
      <c r="Q18" s="59">
        <f>E18+G18+I18+K18+M18+O18</f>
        <v>0</v>
      </c>
      <c r="R18" s="60"/>
    </row>
    <row r="19" spans="1:18" ht="18" customHeight="1">
      <c r="A19" s="45"/>
      <c r="B19" s="86"/>
      <c r="C19" s="61"/>
      <c r="D19" s="54"/>
      <c r="E19" s="55"/>
      <c r="F19" s="56"/>
      <c r="G19" s="57"/>
      <c r="H19" s="58"/>
      <c r="I19" s="55"/>
      <c r="J19" s="56"/>
      <c r="K19" s="57"/>
      <c r="L19" s="58"/>
      <c r="M19" s="55"/>
      <c r="N19" s="56"/>
      <c r="O19" s="57"/>
      <c r="P19" s="58"/>
      <c r="Q19" s="59">
        <f t="shared" si="0"/>
        <v>0</v>
      </c>
      <c r="R19" s="60"/>
    </row>
    <row r="20" spans="1:18" ht="18" customHeight="1">
      <c r="A20" s="45"/>
      <c r="B20" s="86"/>
      <c r="C20" s="61"/>
      <c r="D20" s="54"/>
      <c r="E20" s="55"/>
      <c r="F20" s="56"/>
      <c r="G20" s="57"/>
      <c r="H20" s="58"/>
      <c r="I20" s="55"/>
      <c r="J20" s="56"/>
      <c r="K20" s="57"/>
      <c r="L20" s="58"/>
      <c r="M20" s="55"/>
      <c r="N20" s="56"/>
      <c r="O20" s="57"/>
      <c r="P20" s="58"/>
      <c r="Q20" s="59">
        <f t="shared" si="0"/>
        <v>0</v>
      </c>
      <c r="R20" s="60"/>
    </row>
    <row r="21" spans="1:18" ht="18" customHeight="1">
      <c r="A21" s="45"/>
      <c r="B21" s="86"/>
      <c r="C21" s="61"/>
      <c r="D21" s="54"/>
      <c r="E21" s="55"/>
      <c r="F21" s="56"/>
      <c r="G21" s="57"/>
      <c r="H21" s="58"/>
      <c r="I21" s="55"/>
      <c r="J21" s="56"/>
      <c r="K21" s="57"/>
      <c r="L21" s="58"/>
      <c r="M21" s="55"/>
      <c r="N21" s="56"/>
      <c r="O21" s="57"/>
      <c r="P21" s="58"/>
      <c r="Q21" s="59">
        <f t="shared" si="0"/>
        <v>0</v>
      </c>
      <c r="R21" s="60"/>
    </row>
    <row r="22" spans="1:18" ht="18" customHeight="1">
      <c r="A22" s="45"/>
      <c r="B22" s="86"/>
      <c r="C22" s="61"/>
      <c r="D22" s="54"/>
      <c r="E22" s="55"/>
      <c r="F22" s="56"/>
      <c r="G22" s="57"/>
      <c r="H22" s="58"/>
      <c r="I22" s="55"/>
      <c r="J22" s="56"/>
      <c r="K22" s="57"/>
      <c r="L22" s="58"/>
      <c r="M22" s="55"/>
      <c r="N22" s="56"/>
      <c r="O22" s="57"/>
      <c r="P22" s="58"/>
      <c r="Q22" s="59">
        <f t="shared" si="0"/>
        <v>0</v>
      </c>
      <c r="R22" s="60"/>
    </row>
    <row r="23" spans="1:18" ht="18" customHeight="1">
      <c r="A23" s="45"/>
      <c r="B23" s="86"/>
      <c r="C23" s="61"/>
      <c r="D23" s="54"/>
      <c r="E23" s="55"/>
      <c r="F23" s="56"/>
      <c r="G23" s="57"/>
      <c r="H23" s="58"/>
      <c r="I23" s="55"/>
      <c r="J23" s="56"/>
      <c r="K23" s="57"/>
      <c r="L23" s="58"/>
      <c r="M23" s="55"/>
      <c r="N23" s="56"/>
      <c r="O23" s="57"/>
      <c r="P23" s="58"/>
      <c r="Q23" s="59">
        <f t="shared" si="0"/>
        <v>0</v>
      </c>
      <c r="R23" s="60"/>
    </row>
    <row r="24" spans="1:18" ht="18" customHeight="1">
      <c r="A24" s="45"/>
      <c r="B24" s="86"/>
      <c r="C24" s="61"/>
      <c r="D24" s="54"/>
      <c r="E24" s="55"/>
      <c r="F24" s="56"/>
      <c r="G24" s="57"/>
      <c r="H24" s="58"/>
      <c r="I24" s="55"/>
      <c r="J24" s="56"/>
      <c r="K24" s="57"/>
      <c r="L24" s="58"/>
      <c r="M24" s="55"/>
      <c r="N24" s="56"/>
      <c r="O24" s="57"/>
      <c r="P24" s="58"/>
      <c r="Q24" s="59">
        <f t="shared" si="0"/>
        <v>0</v>
      </c>
      <c r="R24" s="60"/>
    </row>
    <row r="25" spans="1:18" ht="18" customHeight="1">
      <c r="A25" s="45"/>
      <c r="B25" s="86"/>
      <c r="C25" s="61"/>
      <c r="D25" s="54"/>
      <c r="E25" s="55"/>
      <c r="F25" s="56"/>
      <c r="G25" s="57"/>
      <c r="H25" s="58"/>
      <c r="I25" s="55"/>
      <c r="J25" s="56"/>
      <c r="K25" s="57"/>
      <c r="L25" s="58"/>
      <c r="M25" s="55"/>
      <c r="N25" s="56"/>
      <c r="O25" s="57"/>
      <c r="P25" s="58"/>
      <c r="Q25" s="59">
        <f t="shared" si="0"/>
        <v>0</v>
      </c>
      <c r="R25" s="60"/>
    </row>
    <row r="26" spans="1:18" ht="18" customHeight="1">
      <c r="A26" s="45"/>
      <c r="B26" s="86"/>
      <c r="C26" s="61"/>
      <c r="D26" s="54"/>
      <c r="E26" s="55"/>
      <c r="F26" s="56"/>
      <c r="G26" s="57"/>
      <c r="H26" s="58"/>
      <c r="I26" s="55"/>
      <c r="J26" s="56"/>
      <c r="K26" s="57"/>
      <c r="L26" s="58"/>
      <c r="M26" s="55"/>
      <c r="N26" s="56"/>
      <c r="O26" s="57"/>
      <c r="P26" s="58"/>
      <c r="Q26" s="59">
        <f t="shared" si="0"/>
        <v>0</v>
      </c>
      <c r="R26" s="60"/>
    </row>
    <row r="27" spans="1:18" ht="18" customHeight="1">
      <c r="A27" s="45"/>
      <c r="B27" s="86"/>
      <c r="C27" s="53"/>
      <c r="D27" s="54"/>
      <c r="E27" s="55"/>
      <c r="F27" s="56"/>
      <c r="G27" s="57"/>
      <c r="H27" s="58"/>
      <c r="I27" s="55"/>
      <c r="J27" s="56"/>
      <c r="K27" s="57"/>
      <c r="L27" s="58"/>
      <c r="M27" s="55"/>
      <c r="N27" s="56"/>
      <c r="O27" s="57"/>
      <c r="P27" s="58"/>
      <c r="Q27" s="59">
        <f t="shared" si="0"/>
        <v>0</v>
      </c>
      <c r="R27" s="60"/>
    </row>
    <row r="28" spans="1:18" ht="18" customHeight="1">
      <c r="A28" s="45"/>
      <c r="B28" s="86"/>
      <c r="C28" s="53"/>
      <c r="D28" s="54"/>
      <c r="E28" s="55"/>
      <c r="F28" s="56"/>
      <c r="G28" s="57"/>
      <c r="H28" s="58"/>
      <c r="I28" s="55"/>
      <c r="J28" s="56"/>
      <c r="K28" s="57"/>
      <c r="L28" s="58"/>
      <c r="M28" s="55"/>
      <c r="N28" s="56"/>
      <c r="O28" s="57"/>
      <c r="P28" s="58"/>
      <c r="Q28" s="59">
        <f t="shared" si="0"/>
        <v>0</v>
      </c>
      <c r="R28" s="60"/>
    </row>
    <row r="29" spans="1:18" ht="18" customHeight="1" thickBot="1">
      <c r="A29" s="45"/>
      <c r="B29" s="87"/>
      <c r="C29" s="88"/>
      <c r="D29" s="46"/>
      <c r="E29" s="47"/>
      <c r="F29" s="48"/>
      <c r="G29" s="49"/>
      <c r="H29" s="50"/>
      <c r="I29" s="47"/>
      <c r="J29" s="48"/>
      <c r="K29" s="49"/>
      <c r="L29" s="50"/>
      <c r="M29" s="47"/>
      <c r="N29" s="48"/>
      <c r="O29" s="49"/>
      <c r="P29" s="50"/>
      <c r="Q29" s="62">
        <f t="shared" si="0"/>
        <v>0</v>
      </c>
      <c r="R29" s="52"/>
    </row>
    <row r="30" spans="1:18" ht="18" customHeight="1" thickTop="1">
      <c r="B30" s="89" t="s">
        <v>57</v>
      </c>
      <c r="C30" s="90">
        <f t="shared" ref="C30:Q30" si="1">SUM(C10:C29)</f>
        <v>160</v>
      </c>
      <c r="D30" s="63">
        <f t="shared" si="1"/>
        <v>800</v>
      </c>
      <c r="E30" s="64">
        <f t="shared" si="1"/>
        <v>170</v>
      </c>
      <c r="F30" s="65">
        <f t="shared" si="1"/>
        <v>0</v>
      </c>
      <c r="G30" s="66">
        <f t="shared" si="1"/>
        <v>0</v>
      </c>
      <c r="H30" s="67">
        <f t="shared" si="1"/>
        <v>0</v>
      </c>
      <c r="I30" s="64">
        <f t="shared" si="1"/>
        <v>0</v>
      </c>
      <c r="J30" s="65">
        <f t="shared" si="1"/>
        <v>0</v>
      </c>
      <c r="K30" s="66">
        <f t="shared" si="1"/>
        <v>0</v>
      </c>
      <c r="L30" s="67">
        <f t="shared" si="1"/>
        <v>0</v>
      </c>
      <c r="M30" s="64">
        <f t="shared" si="1"/>
        <v>0</v>
      </c>
      <c r="N30" s="65">
        <f t="shared" si="1"/>
        <v>0</v>
      </c>
      <c r="O30" s="66">
        <f t="shared" si="1"/>
        <v>0</v>
      </c>
      <c r="P30" s="67">
        <f t="shared" si="1"/>
        <v>0</v>
      </c>
      <c r="Q30" s="68">
        <f t="shared" si="1"/>
        <v>170</v>
      </c>
      <c r="R30" s="69">
        <f>Q30/D30</f>
        <v>0.21249999999999999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2"/>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30" sqref="B30:J30"/>
    </sheetView>
  </sheetViews>
  <sheetFormatPr defaultColWidth="11.33203125" defaultRowHeight="18.75" customHeight="1"/>
  <cols>
    <col min="1" max="1" width="2.6640625" style="2" customWidth="1"/>
    <col min="2" max="2" width="16.6640625" style="1" customWidth="1"/>
    <col min="3" max="3" width="8.77734375" style="1" customWidth="1"/>
    <col min="4" max="4" width="2.109375" style="1" customWidth="1"/>
    <col min="5" max="5" width="16.6640625" style="1" customWidth="1"/>
    <col min="6" max="6" width="8.77734375" style="1" customWidth="1"/>
    <col min="7" max="7" width="2.109375" style="1" customWidth="1"/>
    <col min="8" max="8" width="16.6640625" style="1" customWidth="1"/>
    <col min="9" max="9" width="8.77734375" style="1" customWidth="1"/>
    <col min="10" max="10" width="2.109375" style="1" customWidth="1"/>
    <col min="11" max="11" width="11.33203125" style="31"/>
    <col min="12" max="16384" width="11.33203125" style="1"/>
  </cols>
  <sheetData>
    <row r="1" spans="1:11" ht="18.75" customHeight="1">
      <c r="A1" s="2" t="s">
        <v>114</v>
      </c>
      <c r="J1" s="39" t="s">
        <v>115</v>
      </c>
    </row>
    <row r="2" spans="1:11" ht="18.75" customHeight="1">
      <c r="A2" s="240" t="s">
        <v>64</v>
      </c>
      <c r="B2" s="240"/>
      <c r="C2" s="240"/>
      <c r="D2" s="240"/>
      <c r="E2" s="240"/>
      <c r="F2" s="240"/>
      <c r="G2" s="240"/>
      <c r="H2" s="240"/>
      <c r="I2" s="240"/>
      <c r="J2" s="240"/>
    </row>
    <row r="3" spans="1:11" ht="7.5" customHeight="1">
      <c r="B3" s="36"/>
      <c r="C3" s="36"/>
      <c r="D3" s="36"/>
      <c r="E3" s="36"/>
      <c r="F3" s="36"/>
      <c r="G3" s="36"/>
      <c r="H3" s="36"/>
      <c r="I3" s="36"/>
      <c r="J3" s="36"/>
    </row>
    <row r="4" spans="1:11" ht="18.75" customHeight="1">
      <c r="A4" s="1" t="s">
        <v>6</v>
      </c>
      <c r="B4" s="4" t="s">
        <v>72</v>
      </c>
      <c r="C4" s="4"/>
      <c r="D4" s="4"/>
      <c r="E4" s="4"/>
      <c r="F4" s="4"/>
      <c r="G4" s="4"/>
      <c r="H4" s="4"/>
      <c r="I4" s="36"/>
      <c r="J4" s="36"/>
    </row>
    <row r="5" spans="1:11" ht="18.75" customHeight="1">
      <c r="A5" s="1"/>
      <c r="B5" s="133" t="s">
        <v>163</v>
      </c>
      <c r="C5" s="134"/>
      <c r="D5" s="134"/>
      <c r="E5" s="134"/>
      <c r="F5" s="134"/>
      <c r="G5" s="134"/>
      <c r="H5" s="134"/>
      <c r="I5" s="134"/>
      <c r="J5" s="265"/>
      <c r="K5" s="31" t="str">
        <f>IF(B5="","入力してください","")</f>
        <v/>
      </c>
    </row>
    <row r="6" spans="1:11" ht="7.5" customHeight="1">
      <c r="B6" s="36"/>
      <c r="C6" s="36"/>
      <c r="D6" s="36"/>
      <c r="E6" s="36"/>
      <c r="F6" s="36"/>
      <c r="G6" s="36"/>
      <c r="H6" s="36"/>
      <c r="I6" s="36"/>
      <c r="J6" s="36"/>
    </row>
    <row r="7" spans="1:11" s="4" customFormat="1" ht="18.75" customHeight="1">
      <c r="A7" s="1" t="s">
        <v>9</v>
      </c>
      <c r="B7" s="1" t="s">
        <v>39</v>
      </c>
      <c r="C7" s="1"/>
      <c r="D7" s="1"/>
      <c r="E7" s="1"/>
      <c r="F7" s="1"/>
      <c r="G7" s="1"/>
      <c r="H7" s="1"/>
      <c r="I7" s="1"/>
      <c r="J7" s="1"/>
      <c r="K7" s="33"/>
    </row>
    <row r="8" spans="1:11" s="4" customFormat="1" ht="18.75" customHeight="1">
      <c r="A8" s="91"/>
      <c r="B8" s="266" t="s">
        <v>164</v>
      </c>
      <c r="C8" s="267"/>
      <c r="D8" s="267"/>
      <c r="E8" s="267"/>
      <c r="F8" s="267"/>
      <c r="G8" s="267"/>
      <c r="H8" s="267"/>
      <c r="I8" s="268"/>
      <c r="J8" s="269"/>
      <c r="K8" s="31" t="str">
        <f>IF(B8="","入力してください","")</f>
        <v/>
      </c>
    </row>
    <row r="9" spans="1:11" s="4" customFormat="1" ht="18.75" customHeight="1">
      <c r="A9" s="91"/>
      <c r="B9" s="259"/>
      <c r="C9" s="260"/>
      <c r="D9" s="260"/>
      <c r="E9" s="260"/>
      <c r="F9" s="260"/>
      <c r="G9" s="260"/>
      <c r="H9" s="260"/>
      <c r="I9" s="260"/>
      <c r="J9" s="261"/>
      <c r="K9" s="31"/>
    </row>
    <row r="10" spans="1:11" s="4" customFormat="1" ht="18.75" customHeight="1">
      <c r="A10" s="91"/>
      <c r="B10" s="259"/>
      <c r="C10" s="260"/>
      <c r="D10" s="260"/>
      <c r="E10" s="260"/>
      <c r="F10" s="260"/>
      <c r="G10" s="260"/>
      <c r="H10" s="260"/>
      <c r="I10" s="260"/>
      <c r="J10" s="261"/>
      <c r="K10" s="31"/>
    </row>
    <row r="11" spans="1:11" s="4" customFormat="1" ht="18.75" customHeight="1">
      <c r="A11" s="91"/>
      <c r="B11" s="259"/>
      <c r="C11" s="260"/>
      <c r="D11" s="260"/>
      <c r="E11" s="260"/>
      <c r="F11" s="260"/>
      <c r="G11" s="260"/>
      <c r="H11" s="260"/>
      <c r="I11" s="260"/>
      <c r="J11" s="261"/>
      <c r="K11" s="31"/>
    </row>
    <row r="12" spans="1:11" s="4" customFormat="1" ht="18.75" customHeight="1">
      <c r="A12" s="91"/>
      <c r="B12" s="262"/>
      <c r="C12" s="263"/>
      <c r="D12" s="263"/>
      <c r="E12" s="263"/>
      <c r="F12" s="263"/>
      <c r="G12" s="263"/>
      <c r="H12" s="263"/>
      <c r="I12" s="263"/>
      <c r="J12" s="264"/>
      <c r="K12" s="31"/>
    </row>
    <row r="13" spans="1:11" s="4" customFormat="1" ht="7.5" customHeight="1">
      <c r="A13" s="91"/>
      <c r="B13" s="91"/>
      <c r="C13" s="91"/>
      <c r="D13" s="91"/>
      <c r="E13" s="91"/>
      <c r="F13" s="91"/>
      <c r="G13" s="91"/>
      <c r="H13" s="91"/>
      <c r="I13" s="91"/>
      <c r="J13" s="91"/>
      <c r="K13" s="31"/>
    </row>
    <row r="14" spans="1:11" s="4" customFormat="1" ht="18.75" customHeight="1">
      <c r="A14" s="92" t="s">
        <v>10</v>
      </c>
      <c r="B14" s="92" t="s">
        <v>15</v>
      </c>
      <c r="C14" s="92"/>
      <c r="D14" s="92"/>
      <c r="E14" s="92"/>
      <c r="F14" s="92"/>
      <c r="G14" s="92"/>
      <c r="H14" s="92"/>
      <c r="I14" s="92"/>
      <c r="J14" s="92"/>
      <c r="K14" s="31"/>
    </row>
    <row r="15" spans="1:11" s="4" customFormat="1" ht="18.75" customHeight="1">
      <c r="A15" s="91"/>
      <c r="B15" s="266" t="s">
        <v>165</v>
      </c>
      <c r="C15" s="267"/>
      <c r="D15" s="267"/>
      <c r="E15" s="267"/>
      <c r="F15" s="267"/>
      <c r="G15" s="267"/>
      <c r="H15" s="267"/>
      <c r="I15" s="268"/>
      <c r="J15" s="269"/>
      <c r="K15" s="31" t="str">
        <f>IF(B15="","入力してください","")</f>
        <v/>
      </c>
    </row>
    <row r="16" spans="1:11" s="4" customFormat="1" ht="18.75" customHeight="1">
      <c r="A16" s="91"/>
      <c r="B16" s="259"/>
      <c r="C16" s="260"/>
      <c r="D16" s="260"/>
      <c r="E16" s="260"/>
      <c r="F16" s="260"/>
      <c r="G16" s="260"/>
      <c r="H16" s="260"/>
      <c r="I16" s="260"/>
      <c r="J16" s="261"/>
      <c r="K16" s="31"/>
    </row>
    <row r="17" spans="1:11" s="4" customFormat="1" ht="18.75" customHeight="1">
      <c r="A17" s="91"/>
      <c r="B17" s="259"/>
      <c r="C17" s="260"/>
      <c r="D17" s="260"/>
      <c r="E17" s="260"/>
      <c r="F17" s="260"/>
      <c r="G17" s="260"/>
      <c r="H17" s="260"/>
      <c r="I17" s="260"/>
      <c r="J17" s="261"/>
      <c r="K17" s="31"/>
    </row>
    <row r="18" spans="1:11" s="4" customFormat="1" ht="18.75" customHeight="1">
      <c r="A18" s="91"/>
      <c r="B18" s="259"/>
      <c r="C18" s="260"/>
      <c r="D18" s="260"/>
      <c r="E18" s="260"/>
      <c r="F18" s="260"/>
      <c r="G18" s="260"/>
      <c r="H18" s="260"/>
      <c r="I18" s="260"/>
      <c r="J18" s="261"/>
      <c r="K18" s="31"/>
    </row>
    <row r="19" spans="1:11" s="4" customFormat="1" ht="18.75" customHeight="1">
      <c r="A19" s="91"/>
      <c r="B19" s="259"/>
      <c r="C19" s="260"/>
      <c r="D19" s="260"/>
      <c r="E19" s="260"/>
      <c r="F19" s="260"/>
      <c r="G19" s="260"/>
      <c r="H19" s="260"/>
      <c r="I19" s="260"/>
      <c r="J19" s="261"/>
      <c r="K19" s="31"/>
    </row>
    <row r="20" spans="1:11" s="4" customFormat="1" ht="18.75" customHeight="1">
      <c r="A20" s="91"/>
      <c r="B20" s="259"/>
      <c r="C20" s="260"/>
      <c r="D20" s="260"/>
      <c r="E20" s="260"/>
      <c r="F20" s="260"/>
      <c r="G20" s="260"/>
      <c r="H20" s="260"/>
      <c r="I20" s="260"/>
      <c r="J20" s="261"/>
      <c r="K20" s="31"/>
    </row>
    <row r="21" spans="1:11" s="4" customFormat="1" ht="18.75" customHeight="1">
      <c r="A21" s="91"/>
      <c r="B21" s="259"/>
      <c r="C21" s="260"/>
      <c r="D21" s="260"/>
      <c r="E21" s="260"/>
      <c r="F21" s="260"/>
      <c r="G21" s="260"/>
      <c r="H21" s="260"/>
      <c r="I21" s="260"/>
      <c r="J21" s="261"/>
      <c r="K21" s="31"/>
    </row>
    <row r="22" spans="1:11" s="4" customFormat="1" ht="18.75" customHeight="1">
      <c r="A22" s="91"/>
      <c r="B22" s="259"/>
      <c r="C22" s="260"/>
      <c r="D22" s="260"/>
      <c r="E22" s="260"/>
      <c r="F22" s="260"/>
      <c r="G22" s="260"/>
      <c r="H22" s="260"/>
      <c r="I22" s="260"/>
      <c r="J22" s="261"/>
      <c r="K22" s="31"/>
    </row>
    <row r="23" spans="1:11" s="4" customFormat="1" ht="18.75" customHeight="1">
      <c r="A23" s="91"/>
      <c r="B23" s="259"/>
      <c r="C23" s="260"/>
      <c r="D23" s="260"/>
      <c r="E23" s="260"/>
      <c r="F23" s="260"/>
      <c r="G23" s="260"/>
      <c r="H23" s="260"/>
      <c r="I23" s="260"/>
      <c r="J23" s="261"/>
      <c r="K23" s="31"/>
    </row>
    <row r="24" spans="1:11" s="4" customFormat="1" ht="18.75" customHeight="1">
      <c r="A24" s="91"/>
      <c r="B24" s="259"/>
      <c r="C24" s="260"/>
      <c r="D24" s="260"/>
      <c r="E24" s="260"/>
      <c r="F24" s="260"/>
      <c r="G24" s="260"/>
      <c r="H24" s="260"/>
      <c r="I24" s="260"/>
      <c r="J24" s="261"/>
      <c r="K24" s="31"/>
    </row>
    <row r="25" spans="1:11" s="4" customFormat="1" ht="18.75" customHeight="1">
      <c r="A25" s="91"/>
      <c r="B25" s="262"/>
      <c r="C25" s="263"/>
      <c r="D25" s="263"/>
      <c r="E25" s="263"/>
      <c r="F25" s="263"/>
      <c r="G25" s="263"/>
      <c r="H25" s="263"/>
      <c r="I25" s="263"/>
      <c r="J25" s="264"/>
      <c r="K25" s="31"/>
    </row>
    <row r="26" spans="1:11" ht="7.5" customHeight="1">
      <c r="A26" s="37"/>
      <c r="B26" s="37"/>
      <c r="C26" s="37"/>
      <c r="D26" s="37"/>
      <c r="E26" s="37"/>
      <c r="F26" s="37"/>
      <c r="G26" s="37"/>
      <c r="H26" s="37"/>
      <c r="I26" s="37"/>
      <c r="J26" s="37"/>
    </row>
    <row r="27" spans="1:11" s="4" customFormat="1" ht="18.75" customHeight="1">
      <c r="A27" s="1" t="s">
        <v>13</v>
      </c>
      <c r="B27" s="1" t="s">
        <v>26</v>
      </c>
      <c r="C27" s="1"/>
      <c r="D27" s="1"/>
      <c r="E27" s="1"/>
      <c r="F27" s="1"/>
      <c r="G27" s="1"/>
      <c r="H27" s="1"/>
      <c r="I27" s="1"/>
      <c r="J27" s="1"/>
      <c r="K27" s="31"/>
    </row>
    <row r="28" spans="1:11" s="29" customFormat="1" ht="18.75" customHeight="1">
      <c r="B28" s="93" t="s">
        <v>116</v>
      </c>
      <c r="C28" s="94">
        <f>'様式３　履修者等数の実績'!R30</f>
        <v>0.21249999999999999</v>
      </c>
      <c r="D28" s="95"/>
      <c r="E28" s="95" t="s">
        <v>117</v>
      </c>
      <c r="F28" s="94">
        <v>0.4</v>
      </c>
      <c r="G28" s="95"/>
      <c r="H28" s="95" t="s">
        <v>118</v>
      </c>
      <c r="I28" s="96">
        <v>0.6</v>
      </c>
      <c r="J28" s="97"/>
      <c r="K28" s="31"/>
    </row>
    <row r="29" spans="1:11" s="29" customFormat="1" ht="18.75" customHeight="1">
      <c r="B29" s="81" t="s">
        <v>119</v>
      </c>
      <c r="C29" s="98">
        <v>0.8</v>
      </c>
      <c r="D29" s="82"/>
      <c r="E29" s="82" t="s">
        <v>120</v>
      </c>
      <c r="F29" s="98">
        <v>1</v>
      </c>
      <c r="G29" s="82"/>
      <c r="H29" s="82" t="s">
        <v>121</v>
      </c>
      <c r="I29" s="99">
        <f>'様式３　履修者等数の実績'!D30</f>
        <v>800</v>
      </c>
      <c r="J29" s="100"/>
      <c r="K29" s="33"/>
    </row>
    <row r="30" spans="1:11" s="4" customFormat="1" ht="18.75" customHeight="1">
      <c r="A30" s="1"/>
      <c r="B30" s="164" t="s">
        <v>122</v>
      </c>
      <c r="C30" s="165"/>
      <c r="D30" s="165"/>
      <c r="E30" s="165"/>
      <c r="F30" s="165"/>
      <c r="G30" s="165"/>
      <c r="H30" s="165"/>
      <c r="I30" s="165"/>
      <c r="J30" s="166"/>
      <c r="K30" s="33"/>
    </row>
    <row r="31" spans="1:11" s="4" customFormat="1" ht="18.75" customHeight="1">
      <c r="A31" s="1"/>
      <c r="B31" s="256" t="s">
        <v>192</v>
      </c>
      <c r="C31" s="257"/>
      <c r="D31" s="257"/>
      <c r="E31" s="257"/>
      <c r="F31" s="257"/>
      <c r="G31" s="257"/>
      <c r="H31" s="257"/>
      <c r="I31" s="257"/>
      <c r="J31" s="258"/>
      <c r="K31" s="33" t="str">
        <f>IF(B31="","入力してください","")</f>
        <v/>
      </c>
    </row>
    <row r="32" spans="1:11" s="4" customFormat="1" ht="18.75" customHeight="1">
      <c r="A32" s="1"/>
      <c r="B32" s="259"/>
      <c r="C32" s="260"/>
      <c r="D32" s="260"/>
      <c r="E32" s="260"/>
      <c r="F32" s="260"/>
      <c r="G32" s="260"/>
      <c r="H32" s="260"/>
      <c r="I32" s="260"/>
      <c r="J32" s="261"/>
      <c r="K32" s="33"/>
    </row>
    <row r="33" spans="1:11" s="4" customFormat="1" ht="18.75" customHeight="1">
      <c r="A33" s="1"/>
      <c r="B33" s="259"/>
      <c r="C33" s="260"/>
      <c r="D33" s="260"/>
      <c r="E33" s="260"/>
      <c r="F33" s="260"/>
      <c r="G33" s="260"/>
      <c r="H33" s="260"/>
      <c r="I33" s="260"/>
      <c r="J33" s="261"/>
      <c r="K33" s="33"/>
    </row>
    <row r="34" spans="1:11" s="4" customFormat="1" ht="18.75" customHeight="1">
      <c r="A34" s="1"/>
      <c r="B34" s="259"/>
      <c r="C34" s="260"/>
      <c r="D34" s="260"/>
      <c r="E34" s="260"/>
      <c r="F34" s="260"/>
      <c r="G34" s="260"/>
      <c r="H34" s="260"/>
      <c r="I34" s="260"/>
      <c r="J34" s="261"/>
      <c r="K34" s="33"/>
    </row>
    <row r="35" spans="1:11" s="4" customFormat="1" ht="18.75" customHeight="1">
      <c r="A35" s="1"/>
      <c r="B35" s="259"/>
      <c r="C35" s="260"/>
      <c r="D35" s="260"/>
      <c r="E35" s="260"/>
      <c r="F35" s="260"/>
      <c r="G35" s="260"/>
      <c r="H35" s="260"/>
      <c r="I35" s="260"/>
      <c r="J35" s="261"/>
      <c r="K35" s="33"/>
    </row>
    <row r="36" spans="1:11" s="4" customFormat="1" ht="18.75" customHeight="1">
      <c r="A36" s="1"/>
      <c r="B36" s="259"/>
      <c r="C36" s="260"/>
      <c r="D36" s="260"/>
      <c r="E36" s="260"/>
      <c r="F36" s="260"/>
      <c r="G36" s="260"/>
      <c r="H36" s="260"/>
      <c r="I36" s="260"/>
      <c r="J36" s="261"/>
      <c r="K36" s="33"/>
    </row>
    <row r="37" spans="1:11" s="4" customFormat="1" ht="18.75" customHeight="1">
      <c r="A37" s="1"/>
      <c r="B37" s="259"/>
      <c r="C37" s="260"/>
      <c r="D37" s="260"/>
      <c r="E37" s="260"/>
      <c r="F37" s="260"/>
      <c r="G37" s="260"/>
      <c r="H37" s="260"/>
      <c r="I37" s="260"/>
      <c r="J37" s="261"/>
      <c r="K37" s="33"/>
    </row>
    <row r="38" spans="1:11" s="4" customFormat="1" ht="18.75" customHeight="1">
      <c r="A38" s="1"/>
      <c r="B38" s="259"/>
      <c r="C38" s="260"/>
      <c r="D38" s="260"/>
      <c r="E38" s="260"/>
      <c r="F38" s="260"/>
      <c r="G38" s="260"/>
      <c r="H38" s="260"/>
      <c r="I38" s="260"/>
      <c r="J38" s="261"/>
      <c r="K38" s="33"/>
    </row>
    <row r="39" spans="1:11" s="4" customFormat="1" ht="18.75" customHeight="1">
      <c r="A39" s="1"/>
      <c r="B39" s="259"/>
      <c r="C39" s="260"/>
      <c r="D39" s="260"/>
      <c r="E39" s="260"/>
      <c r="F39" s="260"/>
      <c r="G39" s="260"/>
      <c r="H39" s="260"/>
      <c r="I39" s="260"/>
      <c r="J39" s="261"/>
      <c r="K39" s="33"/>
    </row>
    <row r="40" spans="1:11" s="4" customFormat="1" ht="18.75" customHeight="1">
      <c r="A40" s="1"/>
      <c r="B40" s="259"/>
      <c r="C40" s="260"/>
      <c r="D40" s="260"/>
      <c r="E40" s="260"/>
      <c r="F40" s="260"/>
      <c r="G40" s="260"/>
      <c r="H40" s="260"/>
      <c r="I40" s="260"/>
      <c r="J40" s="261"/>
      <c r="K40" s="33"/>
    </row>
    <row r="41" spans="1:11" s="4" customFormat="1" ht="18.75" customHeight="1">
      <c r="A41" s="1"/>
      <c r="B41" s="259"/>
      <c r="C41" s="260"/>
      <c r="D41" s="260"/>
      <c r="E41" s="260"/>
      <c r="F41" s="260"/>
      <c r="G41" s="260"/>
      <c r="H41" s="260"/>
      <c r="I41" s="260"/>
      <c r="J41" s="261"/>
      <c r="K41" s="33"/>
    </row>
    <row r="42" spans="1:11" s="4" customFormat="1" ht="18.75" customHeight="1">
      <c r="A42" s="1"/>
      <c r="B42" s="259"/>
      <c r="C42" s="260"/>
      <c r="D42" s="260"/>
      <c r="E42" s="260"/>
      <c r="F42" s="260"/>
      <c r="G42" s="260"/>
      <c r="H42" s="260"/>
      <c r="I42" s="260"/>
      <c r="J42" s="261"/>
      <c r="K42" s="33"/>
    </row>
    <row r="43" spans="1:11" ht="18.75" customHeight="1">
      <c r="A43" s="37"/>
      <c r="B43" s="259"/>
      <c r="C43" s="260"/>
      <c r="D43" s="260"/>
      <c r="E43" s="260"/>
      <c r="F43" s="260"/>
      <c r="G43" s="260"/>
      <c r="H43" s="260"/>
      <c r="I43" s="260"/>
      <c r="J43" s="261"/>
      <c r="K43" s="33"/>
    </row>
    <row r="44" spans="1:11" ht="18.75" customHeight="1">
      <c r="A44" s="37"/>
      <c r="B44" s="262"/>
      <c r="C44" s="263"/>
      <c r="D44" s="263"/>
      <c r="E44" s="263"/>
      <c r="F44" s="263"/>
      <c r="G44" s="263"/>
      <c r="H44" s="263"/>
      <c r="I44" s="263"/>
      <c r="J44" s="264"/>
    </row>
    <row r="45" spans="1:11" s="4" customFormat="1" ht="18.75" customHeight="1">
      <c r="A45" s="101" t="s">
        <v>11</v>
      </c>
      <c r="B45" s="1" t="s">
        <v>65</v>
      </c>
      <c r="C45" s="1"/>
      <c r="D45" s="1"/>
      <c r="E45" s="1"/>
      <c r="F45" s="1"/>
      <c r="G45" s="1"/>
      <c r="H45" s="1"/>
      <c r="I45" s="101"/>
      <c r="J45" s="101"/>
      <c r="K45" s="31"/>
    </row>
    <row r="46" spans="1:11" ht="18.75" customHeight="1">
      <c r="A46" s="37"/>
      <c r="B46" s="266" t="s">
        <v>191</v>
      </c>
      <c r="C46" s="267"/>
      <c r="D46" s="267"/>
      <c r="E46" s="267"/>
      <c r="F46" s="267"/>
      <c r="G46" s="267"/>
      <c r="H46" s="267"/>
      <c r="I46" s="267"/>
      <c r="J46" s="270"/>
      <c r="K46" s="31" t="str">
        <f>IF(B46="","入力してください","")</f>
        <v/>
      </c>
    </row>
    <row r="47" spans="1:11" ht="18.75" customHeight="1">
      <c r="A47" s="37"/>
      <c r="B47" s="271"/>
      <c r="C47" s="272"/>
      <c r="D47" s="272"/>
      <c r="E47" s="272"/>
      <c r="F47" s="272"/>
      <c r="G47" s="272"/>
      <c r="H47" s="272"/>
      <c r="I47" s="272"/>
      <c r="J47" s="273"/>
    </row>
    <row r="48" spans="1:11" ht="18.75" customHeight="1">
      <c r="A48" s="37"/>
      <c r="B48" s="271"/>
      <c r="C48" s="272"/>
      <c r="D48" s="272"/>
      <c r="E48" s="272"/>
      <c r="F48" s="272"/>
      <c r="G48" s="272"/>
      <c r="H48" s="272"/>
      <c r="I48" s="272"/>
      <c r="J48" s="273"/>
    </row>
    <row r="49" spans="1:10" ht="18.75" customHeight="1">
      <c r="A49" s="37"/>
      <c r="B49" s="271"/>
      <c r="C49" s="272"/>
      <c r="D49" s="272"/>
      <c r="E49" s="272"/>
      <c r="F49" s="272"/>
      <c r="G49" s="272"/>
      <c r="H49" s="272"/>
      <c r="I49" s="272"/>
      <c r="J49" s="273"/>
    </row>
    <row r="50" spans="1:10" ht="18.75" customHeight="1">
      <c r="A50" s="37"/>
      <c r="B50" s="271"/>
      <c r="C50" s="272"/>
      <c r="D50" s="272"/>
      <c r="E50" s="272"/>
      <c r="F50" s="272"/>
      <c r="G50" s="272"/>
      <c r="H50" s="272"/>
      <c r="I50" s="272"/>
      <c r="J50" s="273"/>
    </row>
    <row r="51" spans="1:10" ht="18.75" customHeight="1">
      <c r="A51" s="37"/>
      <c r="B51" s="271"/>
      <c r="C51" s="272"/>
      <c r="D51" s="272"/>
      <c r="E51" s="272"/>
      <c r="F51" s="272"/>
      <c r="G51" s="272"/>
      <c r="H51" s="272"/>
      <c r="I51" s="272"/>
      <c r="J51" s="273"/>
    </row>
    <row r="52" spans="1:10" ht="18.75" customHeight="1">
      <c r="A52" s="37"/>
      <c r="B52" s="271"/>
      <c r="C52" s="272"/>
      <c r="D52" s="272"/>
      <c r="E52" s="272"/>
      <c r="F52" s="272"/>
      <c r="G52" s="272"/>
      <c r="H52" s="272"/>
      <c r="I52" s="272"/>
      <c r="J52" s="273"/>
    </row>
    <row r="53" spans="1:10" ht="18.75" customHeight="1">
      <c r="A53" s="37"/>
      <c r="B53" s="271"/>
      <c r="C53" s="272"/>
      <c r="D53" s="272"/>
      <c r="E53" s="272"/>
      <c r="F53" s="272"/>
      <c r="G53" s="272"/>
      <c r="H53" s="272"/>
      <c r="I53" s="272"/>
      <c r="J53" s="273"/>
    </row>
    <row r="54" spans="1:10" ht="18.75" customHeight="1">
      <c r="A54" s="37"/>
      <c r="B54" s="271"/>
      <c r="C54" s="272"/>
      <c r="D54" s="272"/>
      <c r="E54" s="272"/>
      <c r="F54" s="272"/>
      <c r="G54" s="272"/>
      <c r="H54" s="272"/>
      <c r="I54" s="272"/>
      <c r="J54" s="273"/>
    </row>
    <row r="55" spans="1:10" ht="18.75" customHeight="1">
      <c r="A55" s="37"/>
      <c r="B55" s="271"/>
      <c r="C55" s="272"/>
      <c r="D55" s="272"/>
      <c r="E55" s="272"/>
      <c r="F55" s="272"/>
      <c r="G55" s="272"/>
      <c r="H55" s="272"/>
      <c r="I55" s="272"/>
      <c r="J55" s="273"/>
    </row>
    <row r="56" spans="1:10" ht="18.75" customHeight="1">
      <c r="A56" s="37"/>
      <c r="B56" s="271"/>
      <c r="C56" s="272"/>
      <c r="D56" s="272"/>
      <c r="E56" s="272"/>
      <c r="F56" s="272"/>
      <c r="G56" s="272"/>
      <c r="H56" s="272"/>
      <c r="I56" s="272"/>
      <c r="J56" s="273"/>
    </row>
    <row r="57" spans="1:10" ht="18.75" customHeight="1">
      <c r="A57" s="37"/>
      <c r="B57" s="271"/>
      <c r="C57" s="272"/>
      <c r="D57" s="272"/>
      <c r="E57" s="272"/>
      <c r="F57" s="272"/>
      <c r="G57" s="272"/>
      <c r="H57" s="272"/>
      <c r="I57" s="272"/>
      <c r="J57" s="273"/>
    </row>
    <row r="58" spans="1:10" ht="18.75" customHeight="1">
      <c r="A58" s="37"/>
      <c r="B58" s="271"/>
      <c r="C58" s="272"/>
      <c r="D58" s="272"/>
      <c r="E58" s="272"/>
      <c r="F58" s="272"/>
      <c r="G58" s="272"/>
      <c r="H58" s="272"/>
      <c r="I58" s="272"/>
      <c r="J58" s="273"/>
    </row>
    <row r="59" spans="1:10" ht="18.75" customHeight="1">
      <c r="A59" s="37"/>
      <c r="B59" s="271"/>
      <c r="C59" s="272"/>
      <c r="D59" s="272"/>
      <c r="E59" s="272"/>
      <c r="F59" s="272"/>
      <c r="G59" s="272"/>
      <c r="H59" s="272"/>
      <c r="I59" s="272"/>
      <c r="J59" s="273"/>
    </row>
    <row r="60" spans="1:10" ht="18.75" customHeight="1">
      <c r="A60" s="37"/>
      <c r="B60" s="271"/>
      <c r="C60" s="272"/>
      <c r="D60" s="272"/>
      <c r="E60" s="272"/>
      <c r="F60" s="272"/>
      <c r="G60" s="272"/>
      <c r="H60" s="272"/>
      <c r="I60" s="272"/>
      <c r="J60" s="273"/>
    </row>
    <row r="61" spans="1:10" ht="18.75" customHeight="1">
      <c r="A61" s="37"/>
      <c r="B61" s="271"/>
      <c r="C61" s="272"/>
      <c r="D61" s="272"/>
      <c r="E61" s="272"/>
      <c r="F61" s="272"/>
      <c r="G61" s="272"/>
      <c r="H61" s="272"/>
      <c r="I61" s="272"/>
      <c r="J61" s="273"/>
    </row>
    <row r="62" spans="1:10" ht="18.75" customHeight="1">
      <c r="A62" s="37"/>
      <c r="B62" s="271"/>
      <c r="C62" s="272"/>
      <c r="D62" s="272"/>
      <c r="E62" s="272"/>
      <c r="F62" s="272"/>
      <c r="G62" s="272"/>
      <c r="H62" s="272"/>
      <c r="I62" s="272"/>
      <c r="J62" s="273"/>
    </row>
    <row r="63" spans="1:10" ht="18.75" customHeight="1">
      <c r="A63" s="37"/>
      <c r="B63" s="271"/>
      <c r="C63" s="272"/>
      <c r="D63" s="272"/>
      <c r="E63" s="272"/>
      <c r="F63" s="272"/>
      <c r="G63" s="272"/>
      <c r="H63" s="272"/>
      <c r="I63" s="272"/>
      <c r="J63" s="273"/>
    </row>
    <row r="64" spans="1:10" ht="18.75" customHeight="1">
      <c r="A64" s="37"/>
      <c r="B64" s="271"/>
      <c r="C64" s="272"/>
      <c r="D64" s="272"/>
      <c r="E64" s="272"/>
      <c r="F64" s="272"/>
      <c r="G64" s="272"/>
      <c r="H64" s="272"/>
      <c r="I64" s="272"/>
      <c r="J64" s="273"/>
    </row>
    <row r="65" spans="1:11" ht="18.75" customHeight="1">
      <c r="A65" s="37"/>
      <c r="B65" s="271"/>
      <c r="C65" s="272"/>
      <c r="D65" s="272"/>
      <c r="E65" s="272"/>
      <c r="F65" s="272"/>
      <c r="G65" s="272"/>
      <c r="H65" s="272"/>
      <c r="I65" s="272"/>
      <c r="J65" s="273"/>
    </row>
    <row r="66" spans="1:11" ht="18.75" customHeight="1">
      <c r="A66" s="37"/>
      <c r="B66" s="274"/>
      <c r="C66" s="275"/>
      <c r="D66" s="275"/>
      <c r="E66" s="275"/>
      <c r="F66" s="275"/>
      <c r="G66" s="275"/>
      <c r="H66" s="275"/>
      <c r="I66" s="275"/>
      <c r="J66" s="276"/>
    </row>
    <row r="67" spans="1:11" ht="7.5" customHeight="1">
      <c r="A67" s="37"/>
      <c r="B67" s="37"/>
      <c r="C67" s="37"/>
      <c r="D67" s="37"/>
      <c r="E67" s="37"/>
      <c r="F67" s="37"/>
      <c r="G67" s="37"/>
      <c r="H67" s="37"/>
      <c r="I67" s="37"/>
      <c r="J67" s="37"/>
    </row>
    <row r="68" spans="1:11" s="4" customFormat="1" ht="18.75" customHeight="1">
      <c r="A68" s="1" t="s">
        <v>14</v>
      </c>
      <c r="B68" s="1" t="s">
        <v>71</v>
      </c>
      <c r="C68" s="1"/>
      <c r="D68" s="1"/>
      <c r="E68" s="1"/>
      <c r="F68" s="1"/>
      <c r="G68" s="1"/>
      <c r="H68" s="1"/>
      <c r="I68" s="1"/>
      <c r="J68" s="1"/>
      <c r="K68" s="31"/>
    </row>
    <row r="69" spans="1:11" s="4" customFormat="1" ht="18.75" customHeight="1">
      <c r="A69" s="1"/>
      <c r="B69" s="266" t="s">
        <v>193</v>
      </c>
      <c r="C69" s="267"/>
      <c r="D69" s="267"/>
      <c r="E69" s="267"/>
      <c r="F69" s="267"/>
      <c r="G69" s="267"/>
      <c r="H69" s="267"/>
      <c r="I69" s="268"/>
      <c r="J69" s="269"/>
      <c r="K69" s="33" t="str">
        <f>IF(B69="","入力してください","")</f>
        <v/>
      </c>
    </row>
    <row r="70" spans="1:11" s="4" customFormat="1" ht="18.75" customHeight="1">
      <c r="A70" s="1"/>
      <c r="B70" s="259"/>
      <c r="C70" s="260"/>
      <c r="D70" s="260"/>
      <c r="E70" s="260"/>
      <c r="F70" s="260"/>
      <c r="G70" s="260"/>
      <c r="H70" s="260"/>
      <c r="I70" s="260"/>
      <c r="J70" s="261"/>
      <c r="K70" s="33"/>
    </row>
    <row r="71" spans="1:11" s="4" customFormat="1" ht="18.75" customHeight="1">
      <c r="A71" s="1"/>
      <c r="B71" s="259"/>
      <c r="C71" s="260"/>
      <c r="D71" s="260"/>
      <c r="E71" s="260"/>
      <c r="F71" s="260"/>
      <c r="G71" s="260"/>
      <c r="H71" s="260"/>
      <c r="I71" s="260"/>
      <c r="J71" s="261"/>
      <c r="K71" s="33"/>
    </row>
    <row r="72" spans="1:11" s="4" customFormat="1" ht="18.75" customHeight="1">
      <c r="A72" s="1"/>
      <c r="B72" s="259"/>
      <c r="C72" s="260"/>
      <c r="D72" s="260"/>
      <c r="E72" s="260"/>
      <c r="F72" s="260"/>
      <c r="G72" s="260"/>
      <c r="H72" s="260"/>
      <c r="I72" s="260"/>
      <c r="J72" s="261"/>
      <c r="K72" s="33"/>
    </row>
    <row r="73" spans="1:11" s="4" customFormat="1" ht="18.75" customHeight="1">
      <c r="A73" s="1"/>
      <c r="B73" s="259"/>
      <c r="C73" s="260"/>
      <c r="D73" s="260"/>
      <c r="E73" s="260"/>
      <c r="F73" s="260"/>
      <c r="G73" s="260"/>
      <c r="H73" s="260"/>
      <c r="I73" s="260"/>
      <c r="J73" s="261"/>
      <c r="K73" s="33"/>
    </row>
    <row r="74" spans="1:11" s="4" customFormat="1" ht="18.75" customHeight="1">
      <c r="A74" s="1"/>
      <c r="B74" s="259"/>
      <c r="C74" s="260"/>
      <c r="D74" s="260"/>
      <c r="E74" s="260"/>
      <c r="F74" s="260"/>
      <c r="G74" s="260"/>
      <c r="H74" s="260"/>
      <c r="I74" s="260"/>
      <c r="J74" s="261"/>
      <c r="K74" s="33"/>
    </row>
    <row r="75" spans="1:11" s="4" customFormat="1" ht="18.75" customHeight="1">
      <c r="A75" s="1"/>
      <c r="B75" s="259"/>
      <c r="C75" s="260"/>
      <c r="D75" s="260"/>
      <c r="E75" s="260"/>
      <c r="F75" s="260"/>
      <c r="G75" s="260"/>
      <c r="H75" s="260"/>
      <c r="I75" s="260"/>
      <c r="J75" s="261"/>
      <c r="K75" s="33"/>
    </row>
    <row r="76" spans="1:11" s="4" customFormat="1" ht="18.75" customHeight="1">
      <c r="A76" s="1"/>
      <c r="B76" s="259"/>
      <c r="C76" s="260"/>
      <c r="D76" s="260"/>
      <c r="E76" s="260"/>
      <c r="F76" s="260"/>
      <c r="G76" s="260"/>
      <c r="H76" s="260"/>
      <c r="I76" s="260"/>
      <c r="J76" s="261"/>
      <c r="K76" s="33"/>
    </row>
    <row r="77" spans="1:11" s="4" customFormat="1" ht="18.75" customHeight="1">
      <c r="A77" s="1"/>
      <c r="B77" s="259"/>
      <c r="C77" s="260"/>
      <c r="D77" s="260"/>
      <c r="E77" s="260"/>
      <c r="F77" s="260"/>
      <c r="G77" s="260"/>
      <c r="H77" s="260"/>
      <c r="I77" s="260"/>
      <c r="J77" s="261"/>
      <c r="K77" s="33"/>
    </row>
    <row r="78" spans="1:11" s="4" customFormat="1" ht="18.75" customHeight="1">
      <c r="A78" s="1"/>
      <c r="B78" s="259"/>
      <c r="C78" s="260"/>
      <c r="D78" s="260"/>
      <c r="E78" s="260"/>
      <c r="F78" s="260"/>
      <c r="G78" s="260"/>
      <c r="H78" s="260"/>
      <c r="I78" s="260"/>
      <c r="J78" s="261"/>
      <c r="K78" s="33"/>
    </row>
    <row r="79" spans="1:11" s="4" customFormat="1" ht="18.75" customHeight="1">
      <c r="A79" s="1"/>
      <c r="B79" s="259"/>
      <c r="C79" s="260"/>
      <c r="D79" s="260"/>
      <c r="E79" s="260"/>
      <c r="F79" s="260"/>
      <c r="G79" s="260"/>
      <c r="H79" s="260"/>
      <c r="I79" s="260"/>
      <c r="J79" s="261"/>
      <c r="K79" s="33"/>
    </row>
    <row r="80" spans="1:11" s="4" customFormat="1" ht="18.75" customHeight="1">
      <c r="A80" s="1"/>
      <c r="B80" s="259"/>
      <c r="C80" s="260"/>
      <c r="D80" s="260"/>
      <c r="E80" s="260"/>
      <c r="F80" s="260"/>
      <c r="G80" s="260"/>
      <c r="H80" s="260"/>
      <c r="I80" s="260"/>
      <c r="J80" s="261"/>
      <c r="K80" s="33"/>
    </row>
    <row r="81" spans="1:11" s="4" customFormat="1" ht="18.75" customHeight="1">
      <c r="A81" s="1"/>
      <c r="B81" s="259"/>
      <c r="C81" s="260"/>
      <c r="D81" s="260"/>
      <c r="E81" s="260"/>
      <c r="F81" s="260"/>
      <c r="G81" s="260"/>
      <c r="H81" s="260"/>
      <c r="I81" s="260"/>
      <c r="J81" s="261"/>
      <c r="K81" s="33"/>
    </row>
    <row r="82" spans="1:11" s="4" customFormat="1" ht="18.75" customHeight="1">
      <c r="A82" s="1"/>
      <c r="B82" s="259"/>
      <c r="C82" s="260"/>
      <c r="D82" s="260"/>
      <c r="E82" s="260"/>
      <c r="F82" s="260"/>
      <c r="G82" s="260"/>
      <c r="H82" s="260"/>
      <c r="I82" s="260"/>
      <c r="J82" s="261"/>
      <c r="K82" s="33"/>
    </row>
    <row r="83" spans="1:11" s="4" customFormat="1" ht="18.75" customHeight="1">
      <c r="A83" s="1"/>
      <c r="B83" s="259"/>
      <c r="C83" s="260"/>
      <c r="D83" s="260"/>
      <c r="E83" s="260"/>
      <c r="F83" s="260"/>
      <c r="G83" s="260"/>
      <c r="H83" s="260"/>
      <c r="I83" s="260"/>
      <c r="J83" s="261"/>
      <c r="K83" s="33"/>
    </row>
    <row r="84" spans="1:11" s="4" customFormat="1" ht="18.75" customHeight="1">
      <c r="A84" s="1"/>
      <c r="B84" s="259"/>
      <c r="C84" s="260"/>
      <c r="D84" s="260"/>
      <c r="E84" s="260"/>
      <c r="F84" s="260"/>
      <c r="G84" s="260"/>
      <c r="H84" s="260"/>
      <c r="I84" s="260"/>
      <c r="J84" s="261"/>
      <c r="K84" s="33"/>
    </row>
    <row r="85" spans="1:11" ht="18.75" customHeight="1">
      <c r="A85" s="37"/>
      <c r="B85" s="259"/>
      <c r="C85" s="260"/>
      <c r="D85" s="260"/>
      <c r="E85" s="260"/>
      <c r="F85" s="260"/>
      <c r="G85" s="260"/>
      <c r="H85" s="260"/>
      <c r="I85" s="260"/>
      <c r="J85" s="261"/>
      <c r="K85" s="33"/>
    </row>
    <row r="86" spans="1:11" ht="18.75" customHeight="1">
      <c r="A86" s="37"/>
      <c r="B86" s="262"/>
      <c r="C86" s="263"/>
      <c r="D86" s="263"/>
      <c r="E86" s="263"/>
      <c r="F86" s="263"/>
      <c r="G86" s="263"/>
      <c r="H86" s="263"/>
      <c r="I86" s="263"/>
      <c r="J86" s="264"/>
      <c r="K86" s="33"/>
    </row>
    <row r="87" spans="1:11" ht="7.5" customHeight="1">
      <c r="A87" s="37"/>
      <c r="B87" s="37"/>
      <c r="C87" s="37"/>
      <c r="D87" s="37"/>
      <c r="E87" s="37"/>
      <c r="F87" s="37"/>
      <c r="G87" s="37"/>
      <c r="H87" s="37"/>
      <c r="I87" s="37"/>
      <c r="J87" s="37"/>
    </row>
    <row r="88" spans="1:11" s="4" customFormat="1" ht="18.75" customHeight="1">
      <c r="A88" s="1" t="s">
        <v>12</v>
      </c>
      <c r="B88" s="1" t="s">
        <v>27</v>
      </c>
      <c r="C88" s="1"/>
      <c r="D88" s="1"/>
      <c r="E88" s="1"/>
      <c r="F88" s="1"/>
      <c r="G88" s="1"/>
      <c r="H88" s="1"/>
      <c r="I88" s="1"/>
      <c r="J88" s="1"/>
      <c r="K88" s="31"/>
    </row>
    <row r="89" spans="1:11" s="4" customFormat="1" ht="18.75" customHeight="1">
      <c r="A89" s="1"/>
      <c r="B89" s="266" t="s">
        <v>194</v>
      </c>
      <c r="C89" s="267"/>
      <c r="D89" s="267"/>
      <c r="E89" s="267"/>
      <c r="F89" s="267"/>
      <c r="G89" s="267"/>
      <c r="H89" s="267"/>
      <c r="I89" s="268"/>
      <c r="J89" s="269"/>
      <c r="K89" s="31"/>
    </row>
    <row r="90" spans="1:11" s="4" customFormat="1" ht="18.75" customHeight="1">
      <c r="A90" s="1"/>
      <c r="B90" s="259"/>
      <c r="C90" s="260"/>
      <c r="D90" s="260"/>
      <c r="E90" s="260"/>
      <c r="F90" s="260"/>
      <c r="G90" s="260"/>
      <c r="H90" s="260"/>
      <c r="I90" s="260"/>
      <c r="J90" s="261"/>
      <c r="K90" s="33"/>
    </row>
    <row r="91" spans="1:11" s="4" customFormat="1" ht="18.75" customHeight="1">
      <c r="A91" s="1"/>
      <c r="B91" s="259"/>
      <c r="C91" s="260"/>
      <c r="D91" s="260"/>
      <c r="E91" s="260"/>
      <c r="F91" s="260"/>
      <c r="G91" s="260"/>
      <c r="H91" s="260"/>
      <c r="I91" s="260"/>
      <c r="J91" s="261"/>
      <c r="K91" s="33" t="str">
        <f>IF(B89="","入力してください","")</f>
        <v/>
      </c>
    </row>
    <row r="92" spans="1:11" s="4" customFormat="1" ht="18.75" customHeight="1">
      <c r="A92" s="1"/>
      <c r="B92" s="259"/>
      <c r="C92" s="260"/>
      <c r="D92" s="260"/>
      <c r="E92" s="260"/>
      <c r="F92" s="260"/>
      <c r="G92" s="260"/>
      <c r="H92" s="260"/>
      <c r="I92" s="260"/>
      <c r="J92" s="261"/>
      <c r="K92" s="33"/>
    </row>
    <row r="93" spans="1:11" s="4" customFormat="1" ht="18.75" customHeight="1">
      <c r="A93" s="1"/>
      <c r="B93" s="259"/>
      <c r="C93" s="260"/>
      <c r="D93" s="260"/>
      <c r="E93" s="260"/>
      <c r="F93" s="260"/>
      <c r="G93" s="260"/>
      <c r="H93" s="260"/>
      <c r="I93" s="260"/>
      <c r="J93" s="261"/>
      <c r="K93" s="33"/>
    </row>
    <row r="94" spans="1:11" s="4" customFormat="1" ht="18.75" customHeight="1">
      <c r="A94" s="1"/>
      <c r="B94" s="259"/>
      <c r="C94" s="260"/>
      <c r="D94" s="260"/>
      <c r="E94" s="260"/>
      <c r="F94" s="260"/>
      <c r="G94" s="260"/>
      <c r="H94" s="260"/>
      <c r="I94" s="260"/>
      <c r="J94" s="261"/>
      <c r="K94" s="33"/>
    </row>
    <row r="95" spans="1:11" s="4" customFormat="1" ht="18.75" customHeight="1">
      <c r="A95" s="1"/>
      <c r="B95" s="259"/>
      <c r="C95" s="260"/>
      <c r="D95" s="260"/>
      <c r="E95" s="260"/>
      <c r="F95" s="260"/>
      <c r="G95" s="260"/>
      <c r="H95" s="260"/>
      <c r="I95" s="260"/>
      <c r="J95" s="261"/>
      <c r="K95" s="33"/>
    </row>
    <row r="96" spans="1:11" s="4" customFormat="1" ht="18.75" customHeight="1">
      <c r="A96" s="1"/>
      <c r="B96" s="259"/>
      <c r="C96" s="260"/>
      <c r="D96" s="260"/>
      <c r="E96" s="260"/>
      <c r="F96" s="260"/>
      <c r="G96" s="260"/>
      <c r="H96" s="260"/>
      <c r="I96" s="260"/>
      <c r="J96" s="261"/>
      <c r="K96" s="33"/>
    </row>
    <row r="97" spans="1:11" s="4" customFormat="1" ht="18.75" customHeight="1">
      <c r="A97" s="1"/>
      <c r="B97" s="259"/>
      <c r="C97" s="260"/>
      <c r="D97" s="260"/>
      <c r="E97" s="260"/>
      <c r="F97" s="260"/>
      <c r="G97" s="260"/>
      <c r="H97" s="260"/>
      <c r="I97" s="260"/>
      <c r="J97" s="261"/>
      <c r="K97" s="33"/>
    </row>
    <row r="98" spans="1:11" s="4" customFormat="1" ht="18.75" customHeight="1">
      <c r="A98" s="1"/>
      <c r="B98" s="259"/>
      <c r="C98" s="260"/>
      <c r="D98" s="260"/>
      <c r="E98" s="260"/>
      <c r="F98" s="260"/>
      <c r="G98" s="260"/>
      <c r="H98" s="260"/>
      <c r="I98" s="260"/>
      <c r="J98" s="261"/>
      <c r="K98" s="33"/>
    </row>
    <row r="99" spans="1:11" s="4" customFormat="1" ht="18.75" customHeight="1">
      <c r="A99" s="1"/>
      <c r="B99" s="259"/>
      <c r="C99" s="260"/>
      <c r="D99" s="260"/>
      <c r="E99" s="260"/>
      <c r="F99" s="260"/>
      <c r="G99" s="260"/>
      <c r="H99" s="260"/>
      <c r="I99" s="260"/>
      <c r="J99" s="261"/>
      <c r="K99" s="33"/>
    </row>
    <row r="100" spans="1:11" s="4" customFormat="1" ht="18.75" customHeight="1">
      <c r="A100" s="1"/>
      <c r="B100" s="259"/>
      <c r="C100" s="260"/>
      <c r="D100" s="260"/>
      <c r="E100" s="260"/>
      <c r="F100" s="260"/>
      <c r="G100" s="260"/>
      <c r="H100" s="260"/>
      <c r="I100" s="260"/>
      <c r="J100" s="261"/>
      <c r="K100" s="33"/>
    </row>
    <row r="101" spans="1:11" s="4" customFormat="1" ht="18.75" customHeight="1">
      <c r="A101" s="1"/>
      <c r="B101" s="259"/>
      <c r="C101" s="260"/>
      <c r="D101" s="260"/>
      <c r="E101" s="260"/>
      <c r="F101" s="260"/>
      <c r="G101" s="260"/>
      <c r="H101" s="260"/>
      <c r="I101" s="260"/>
      <c r="J101" s="261"/>
      <c r="K101" s="33"/>
    </row>
    <row r="102" spans="1:11" s="4" customFormat="1" ht="18.75" customHeight="1">
      <c r="A102" s="1"/>
      <c r="B102" s="259"/>
      <c r="C102" s="260"/>
      <c r="D102" s="260"/>
      <c r="E102" s="260"/>
      <c r="F102" s="260"/>
      <c r="G102" s="260"/>
      <c r="H102" s="260"/>
      <c r="I102" s="260"/>
      <c r="J102" s="261"/>
      <c r="K102" s="33"/>
    </row>
    <row r="103" spans="1:11" s="4" customFormat="1" ht="18.75" customHeight="1">
      <c r="A103" s="1"/>
      <c r="B103" s="259"/>
      <c r="C103" s="260"/>
      <c r="D103" s="260"/>
      <c r="E103" s="260"/>
      <c r="F103" s="260"/>
      <c r="G103" s="260"/>
      <c r="H103" s="260"/>
      <c r="I103" s="260"/>
      <c r="J103" s="261"/>
      <c r="K103" s="33"/>
    </row>
    <row r="104" spans="1:11" s="4" customFormat="1" ht="18.75" customHeight="1">
      <c r="A104" s="1"/>
      <c r="B104" s="259"/>
      <c r="C104" s="260"/>
      <c r="D104" s="260"/>
      <c r="E104" s="260"/>
      <c r="F104" s="260"/>
      <c r="G104" s="260"/>
      <c r="H104" s="260"/>
      <c r="I104" s="260"/>
      <c r="J104" s="261"/>
      <c r="K104" s="33"/>
    </row>
    <row r="105" spans="1:11" s="4" customFormat="1" ht="18.75" customHeight="1">
      <c r="A105" s="1"/>
      <c r="B105" s="259"/>
      <c r="C105" s="260"/>
      <c r="D105" s="260"/>
      <c r="E105" s="260"/>
      <c r="F105" s="260"/>
      <c r="G105" s="260"/>
      <c r="H105" s="260"/>
      <c r="I105" s="260"/>
      <c r="J105" s="261"/>
      <c r="K105" s="33"/>
    </row>
    <row r="106" spans="1:11" s="4" customFormat="1" ht="18.75" customHeight="1">
      <c r="A106" s="1"/>
      <c r="B106" s="259"/>
      <c r="C106" s="260"/>
      <c r="D106" s="260"/>
      <c r="E106" s="260"/>
      <c r="F106" s="260"/>
      <c r="G106" s="260"/>
      <c r="H106" s="260"/>
      <c r="I106" s="260"/>
      <c r="J106" s="261"/>
      <c r="K106" s="33"/>
    </row>
    <row r="107" spans="1:11" ht="18.75" customHeight="1">
      <c r="A107" s="37"/>
      <c r="B107" s="259"/>
      <c r="C107" s="260"/>
      <c r="D107" s="260"/>
      <c r="E107" s="260"/>
      <c r="F107" s="260"/>
      <c r="G107" s="260"/>
      <c r="H107" s="260"/>
      <c r="I107" s="260"/>
      <c r="J107" s="261"/>
      <c r="K107" s="33"/>
    </row>
    <row r="108" spans="1:11" ht="18.75" customHeight="1">
      <c r="A108" s="37"/>
      <c r="B108" s="262"/>
      <c r="C108" s="263"/>
      <c r="D108" s="263"/>
      <c r="E108" s="263"/>
      <c r="F108" s="263"/>
      <c r="G108" s="263"/>
      <c r="H108" s="263"/>
      <c r="I108" s="263"/>
      <c r="J108" s="264"/>
      <c r="K108" s="33"/>
    </row>
    <row r="109" spans="1:11" ht="7.5" customHeight="1">
      <c r="A109" s="37"/>
      <c r="B109" s="37"/>
      <c r="C109" s="37"/>
      <c r="D109" s="37"/>
      <c r="E109" s="37"/>
      <c r="F109" s="37"/>
      <c r="G109" s="37"/>
      <c r="H109" s="37"/>
      <c r="I109" s="37"/>
      <c r="J109" s="37"/>
    </row>
    <row r="110" spans="1:11" s="4" customFormat="1" ht="18.75" customHeight="1">
      <c r="A110" s="1" t="s">
        <v>53</v>
      </c>
      <c r="B110" s="277" t="s">
        <v>82</v>
      </c>
      <c r="C110" s="277"/>
      <c r="D110" s="277"/>
      <c r="E110" s="277"/>
      <c r="F110" s="277"/>
      <c r="G110" s="277"/>
      <c r="H110" s="277"/>
      <c r="I110" s="277"/>
      <c r="J110" s="277"/>
      <c r="K110" s="31"/>
    </row>
    <row r="111" spans="1:11" ht="18.75" customHeight="1">
      <c r="A111" s="37"/>
      <c r="B111" s="266" t="s">
        <v>195</v>
      </c>
      <c r="C111" s="267"/>
      <c r="D111" s="267"/>
      <c r="E111" s="267"/>
      <c r="F111" s="267"/>
      <c r="G111" s="267"/>
      <c r="H111" s="267"/>
      <c r="I111" s="268"/>
      <c r="J111" s="269"/>
    </row>
    <row r="112" spans="1:11" ht="18.75" customHeight="1">
      <c r="A112" s="37"/>
      <c r="B112" s="259"/>
      <c r="C112" s="260"/>
      <c r="D112" s="260"/>
      <c r="E112" s="260"/>
      <c r="F112" s="260"/>
      <c r="G112" s="260"/>
      <c r="H112" s="260"/>
      <c r="I112" s="260"/>
      <c r="J112" s="261"/>
      <c r="K112" s="33"/>
    </row>
    <row r="113" spans="1:11" ht="18.75" customHeight="1">
      <c r="A113" s="37"/>
      <c r="B113" s="259"/>
      <c r="C113" s="260"/>
      <c r="D113" s="260"/>
      <c r="E113" s="260"/>
      <c r="F113" s="260"/>
      <c r="G113" s="260"/>
      <c r="H113" s="260"/>
      <c r="I113" s="260"/>
      <c r="J113" s="261"/>
      <c r="K113" s="31" t="str">
        <f>IF(B111="","入力してください","")</f>
        <v/>
      </c>
    </row>
    <row r="114" spans="1:11" ht="18.75" customHeight="1">
      <c r="A114" s="37"/>
      <c r="B114" s="259"/>
      <c r="C114" s="260"/>
      <c r="D114" s="260"/>
      <c r="E114" s="260"/>
      <c r="F114" s="260"/>
      <c r="G114" s="260"/>
      <c r="H114" s="260"/>
      <c r="I114" s="260"/>
      <c r="J114" s="261"/>
    </row>
    <row r="115" spans="1:11" ht="18.75" customHeight="1">
      <c r="A115" s="37"/>
      <c r="B115" s="259"/>
      <c r="C115" s="260"/>
      <c r="D115" s="260"/>
      <c r="E115" s="260"/>
      <c r="F115" s="260"/>
      <c r="G115" s="260"/>
      <c r="H115" s="260"/>
      <c r="I115" s="260"/>
      <c r="J115" s="261"/>
    </row>
    <row r="116" spans="1:11" ht="18.75" customHeight="1">
      <c r="A116" s="37"/>
      <c r="B116" s="259"/>
      <c r="C116" s="260"/>
      <c r="D116" s="260"/>
      <c r="E116" s="260"/>
      <c r="F116" s="260"/>
      <c r="G116" s="260"/>
      <c r="H116" s="260"/>
      <c r="I116" s="260"/>
      <c r="J116" s="261"/>
    </row>
    <row r="117" spans="1:11" ht="18.75" customHeight="1">
      <c r="A117" s="37"/>
      <c r="B117" s="259"/>
      <c r="C117" s="260"/>
      <c r="D117" s="260"/>
      <c r="E117" s="260"/>
      <c r="F117" s="260"/>
      <c r="G117" s="260"/>
      <c r="H117" s="260"/>
      <c r="I117" s="260"/>
      <c r="J117" s="261"/>
    </row>
    <row r="118" spans="1:11" ht="18.75" customHeight="1">
      <c r="A118" s="37"/>
      <c r="B118" s="259"/>
      <c r="C118" s="260"/>
      <c r="D118" s="260"/>
      <c r="E118" s="260"/>
      <c r="F118" s="260"/>
      <c r="G118" s="260"/>
      <c r="H118" s="260"/>
      <c r="I118" s="260"/>
      <c r="J118" s="261"/>
    </row>
    <row r="119" spans="1:11" ht="18.75" customHeight="1">
      <c r="A119" s="37"/>
      <c r="B119" s="259"/>
      <c r="C119" s="260"/>
      <c r="D119" s="260"/>
      <c r="E119" s="260"/>
      <c r="F119" s="260"/>
      <c r="G119" s="260"/>
      <c r="H119" s="260"/>
      <c r="I119" s="260"/>
      <c r="J119" s="261"/>
    </row>
    <row r="120" spans="1:11" ht="18.75" customHeight="1">
      <c r="A120" s="37"/>
      <c r="B120" s="259"/>
      <c r="C120" s="260"/>
      <c r="D120" s="260"/>
      <c r="E120" s="260"/>
      <c r="F120" s="260"/>
      <c r="G120" s="260"/>
      <c r="H120" s="260"/>
      <c r="I120" s="260"/>
      <c r="J120" s="261"/>
    </row>
    <row r="121" spans="1:11" ht="18.75" customHeight="1">
      <c r="A121" s="37"/>
      <c r="B121" s="259"/>
      <c r="C121" s="260"/>
      <c r="D121" s="260"/>
      <c r="E121" s="260"/>
      <c r="F121" s="260"/>
      <c r="G121" s="260"/>
      <c r="H121" s="260"/>
      <c r="I121" s="260"/>
      <c r="J121" s="261"/>
    </row>
    <row r="122" spans="1:11" ht="18.75" customHeight="1">
      <c r="A122" s="37"/>
      <c r="B122" s="259"/>
      <c r="C122" s="260"/>
      <c r="D122" s="260"/>
      <c r="E122" s="260"/>
      <c r="F122" s="260"/>
      <c r="G122" s="260"/>
      <c r="H122" s="260"/>
      <c r="I122" s="260"/>
      <c r="J122" s="261"/>
    </row>
    <row r="123" spans="1:11" ht="18.75" customHeight="1">
      <c r="A123" s="37"/>
      <c r="B123" s="259"/>
      <c r="C123" s="260"/>
      <c r="D123" s="260"/>
      <c r="E123" s="260"/>
      <c r="F123" s="260"/>
      <c r="G123" s="260"/>
      <c r="H123" s="260"/>
      <c r="I123" s="260"/>
      <c r="J123" s="261"/>
    </row>
    <row r="124" spans="1:11" ht="18.75" customHeight="1">
      <c r="A124" s="37"/>
      <c r="B124" s="259"/>
      <c r="C124" s="260"/>
      <c r="D124" s="260"/>
      <c r="E124" s="260"/>
      <c r="F124" s="260"/>
      <c r="G124" s="260"/>
      <c r="H124" s="260"/>
      <c r="I124" s="260"/>
      <c r="J124" s="261"/>
    </row>
    <row r="125" spans="1:11" ht="18.75" customHeight="1">
      <c r="A125" s="37"/>
      <c r="B125" s="259"/>
      <c r="C125" s="260"/>
      <c r="D125" s="260"/>
      <c r="E125" s="260"/>
      <c r="F125" s="260"/>
      <c r="G125" s="260"/>
      <c r="H125" s="260"/>
      <c r="I125" s="260"/>
      <c r="J125" s="261"/>
    </row>
    <row r="126" spans="1:11" ht="18.75" customHeight="1">
      <c r="A126" s="37"/>
      <c r="B126" s="259"/>
      <c r="C126" s="260"/>
      <c r="D126" s="260"/>
      <c r="E126" s="260"/>
      <c r="F126" s="260"/>
      <c r="G126" s="260"/>
      <c r="H126" s="260"/>
      <c r="I126" s="260"/>
      <c r="J126" s="261"/>
    </row>
    <row r="127" spans="1:11" ht="18.75" customHeight="1">
      <c r="A127" s="37"/>
      <c r="B127" s="259"/>
      <c r="C127" s="260"/>
      <c r="D127" s="260"/>
      <c r="E127" s="260"/>
      <c r="F127" s="260"/>
      <c r="G127" s="260"/>
      <c r="H127" s="260"/>
      <c r="I127" s="260"/>
      <c r="J127" s="261"/>
    </row>
    <row r="128" spans="1:11" ht="18.75" customHeight="1">
      <c r="A128" s="37"/>
      <c r="B128" s="259"/>
      <c r="C128" s="260"/>
      <c r="D128" s="260"/>
      <c r="E128" s="260"/>
      <c r="F128" s="260"/>
      <c r="G128" s="260"/>
      <c r="H128" s="260"/>
      <c r="I128" s="260"/>
      <c r="J128" s="261"/>
    </row>
    <row r="129" spans="1:10" ht="18.75" customHeight="1">
      <c r="A129" s="37"/>
      <c r="B129" s="262"/>
      <c r="C129" s="263"/>
      <c r="D129" s="263"/>
      <c r="E129" s="263"/>
      <c r="F129" s="263"/>
      <c r="G129" s="263"/>
      <c r="H129" s="263"/>
      <c r="I129" s="263"/>
      <c r="J129" s="264"/>
    </row>
    <row r="130" spans="1:10" ht="7.5" customHeight="1">
      <c r="A130" s="37"/>
      <c r="B130" s="102"/>
      <c r="C130" s="102"/>
      <c r="D130" s="102"/>
      <c r="E130" s="102"/>
      <c r="F130" s="102"/>
      <c r="G130" s="102"/>
      <c r="H130" s="102"/>
      <c r="I130" s="102"/>
      <c r="J130" s="102"/>
    </row>
    <row r="131" spans="1:10" ht="18.75" customHeight="1">
      <c r="A131" s="37"/>
      <c r="B131" s="37"/>
      <c r="C131" s="37"/>
      <c r="D131" s="37"/>
      <c r="E131" s="37"/>
      <c r="F131" s="37"/>
      <c r="G131" s="37"/>
      <c r="H131" s="37"/>
      <c r="I131" s="37"/>
      <c r="J131" s="37"/>
    </row>
    <row r="132" spans="1:10" ht="18.75" customHeight="1">
      <c r="A132" s="37"/>
      <c r="B132" s="37"/>
      <c r="C132" s="37"/>
      <c r="D132" s="37"/>
      <c r="E132" s="37"/>
      <c r="F132" s="37"/>
      <c r="G132" s="37"/>
      <c r="H132" s="37"/>
      <c r="I132" s="37"/>
      <c r="J132" s="37"/>
    </row>
    <row r="133" spans="1:10" ht="18.75" customHeight="1">
      <c r="A133" s="37"/>
      <c r="B133" s="37"/>
      <c r="C133" s="37"/>
      <c r="D133" s="37"/>
      <c r="E133" s="37"/>
      <c r="F133" s="37"/>
      <c r="G133" s="37"/>
      <c r="H133" s="37"/>
      <c r="I133" s="37"/>
      <c r="J133" s="37"/>
    </row>
    <row r="134" spans="1:10" ht="18.75" customHeight="1">
      <c r="A134" s="37"/>
      <c r="B134" s="37"/>
      <c r="C134" s="37"/>
      <c r="D134" s="37"/>
      <c r="E134" s="37"/>
      <c r="F134" s="37"/>
      <c r="G134" s="37"/>
      <c r="H134" s="37"/>
      <c r="I134" s="37"/>
      <c r="J134" s="37"/>
    </row>
    <row r="135" spans="1:10" ht="18.75" customHeight="1">
      <c r="A135" s="37"/>
      <c r="B135" s="37"/>
      <c r="C135" s="37"/>
      <c r="D135" s="37"/>
      <c r="E135" s="37"/>
      <c r="F135" s="37"/>
      <c r="G135" s="37"/>
      <c r="H135" s="37"/>
      <c r="I135" s="37"/>
      <c r="J135" s="37"/>
    </row>
    <row r="136" spans="1:10" ht="18.75" customHeight="1">
      <c r="A136" s="37"/>
      <c r="B136" s="37"/>
      <c r="C136" s="37"/>
      <c r="D136" s="37"/>
      <c r="E136" s="37"/>
      <c r="F136" s="37"/>
      <c r="G136" s="37"/>
      <c r="H136" s="37"/>
      <c r="I136" s="37"/>
      <c r="J136" s="37"/>
    </row>
    <row r="137" spans="1:10" ht="18.75" customHeight="1">
      <c r="A137" s="37"/>
      <c r="B137" s="37"/>
      <c r="C137" s="37"/>
      <c r="D137" s="37"/>
      <c r="E137" s="37"/>
      <c r="F137" s="37"/>
      <c r="G137" s="37"/>
      <c r="H137" s="37"/>
      <c r="I137" s="37"/>
      <c r="J137" s="37"/>
    </row>
    <row r="138" spans="1:10" ht="18.75" customHeight="1">
      <c r="A138" s="37"/>
      <c r="B138" s="37"/>
      <c r="C138" s="37"/>
      <c r="D138" s="37"/>
      <c r="E138" s="37"/>
      <c r="F138" s="37"/>
      <c r="G138" s="37"/>
      <c r="H138" s="37"/>
      <c r="I138" s="37"/>
      <c r="J138" s="37"/>
    </row>
    <row r="139" spans="1:10" ht="18.75" customHeight="1">
      <c r="A139" s="37"/>
      <c r="B139" s="37"/>
      <c r="C139" s="37"/>
      <c r="D139" s="37"/>
      <c r="E139" s="37"/>
      <c r="F139" s="37"/>
      <c r="G139" s="37"/>
      <c r="H139" s="37"/>
      <c r="I139" s="37"/>
      <c r="J139" s="37"/>
    </row>
    <row r="140" spans="1:10" ht="18.75" customHeight="1">
      <c r="A140" s="37"/>
      <c r="B140" s="37"/>
      <c r="C140" s="37"/>
      <c r="D140" s="37"/>
      <c r="E140" s="37"/>
      <c r="F140" s="37"/>
      <c r="G140" s="37"/>
      <c r="H140" s="37"/>
      <c r="I140" s="37"/>
      <c r="J140" s="37"/>
    </row>
    <row r="141" spans="1:10" ht="18.75" customHeight="1">
      <c r="A141" s="37"/>
      <c r="B141" s="37"/>
      <c r="C141" s="37"/>
      <c r="D141" s="37"/>
      <c r="E141" s="37"/>
      <c r="F141" s="37"/>
      <c r="G141" s="37"/>
      <c r="H141" s="37"/>
      <c r="I141" s="37"/>
      <c r="J141" s="37"/>
    </row>
    <row r="142" spans="1:10" ht="18.75" customHeight="1">
      <c r="A142" s="37"/>
      <c r="B142" s="37"/>
      <c r="C142" s="37"/>
      <c r="D142" s="37"/>
      <c r="E142" s="37"/>
      <c r="F142" s="37"/>
      <c r="G142" s="37"/>
      <c r="H142" s="37"/>
      <c r="I142" s="37"/>
      <c r="J142" s="37"/>
    </row>
    <row r="143" spans="1:10" ht="14.4">
      <c r="A143" s="37"/>
      <c r="B143" s="37"/>
      <c r="C143" s="37"/>
      <c r="D143" s="37"/>
      <c r="E143" s="37"/>
      <c r="F143" s="37"/>
      <c r="G143" s="37"/>
      <c r="H143" s="37"/>
      <c r="I143" s="37"/>
      <c r="J143" s="37"/>
    </row>
    <row r="144" spans="1:10" ht="7.5" customHeight="1">
      <c r="A144" s="103"/>
      <c r="B144" s="103"/>
      <c r="C144" s="103"/>
      <c r="D144" s="103"/>
      <c r="E144" s="103"/>
      <c r="F144" s="103"/>
      <c r="G144" s="103"/>
      <c r="H144" s="103"/>
      <c r="I144" s="103"/>
      <c r="J144" s="103"/>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2"/>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topLeftCell="A6" zoomScaleNormal="100" zoomScaleSheetLayoutView="85" workbookViewId="0">
      <selection activeCell="N16" sqref="N16:S16"/>
    </sheetView>
  </sheetViews>
  <sheetFormatPr defaultColWidth="11.33203125" defaultRowHeight="22.5" customHeight="1"/>
  <cols>
    <col min="1" max="3" width="2.6640625" style="1" customWidth="1"/>
    <col min="4" max="4" width="22.109375" style="1" customWidth="1"/>
    <col min="5" max="5" width="21.6640625" style="1" customWidth="1"/>
    <col min="6" max="7" width="7.664062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c r="A1" s="1" t="s">
        <v>123</v>
      </c>
      <c r="J1" s="39" t="s">
        <v>73</v>
      </c>
    </row>
    <row r="2" spans="1:11" ht="18.75" customHeight="1">
      <c r="A2" s="240" t="s">
        <v>42</v>
      </c>
      <c r="B2" s="240"/>
      <c r="C2" s="240"/>
      <c r="D2" s="240"/>
      <c r="E2" s="240"/>
      <c r="F2" s="240"/>
      <c r="G2" s="240"/>
      <c r="H2" s="240"/>
      <c r="I2" s="240"/>
      <c r="J2" s="240"/>
    </row>
    <row r="3" spans="1:11" ht="7.5" customHeight="1">
      <c r="A3" s="40"/>
      <c r="B3" s="40"/>
      <c r="C3" s="40"/>
      <c r="D3" s="40"/>
      <c r="E3" s="40"/>
      <c r="F3" s="40"/>
      <c r="G3" s="40"/>
      <c r="H3" s="40"/>
      <c r="I3" s="40"/>
      <c r="J3" s="40"/>
    </row>
    <row r="4" spans="1:11" ht="18.75" customHeight="1">
      <c r="A4" s="1" t="s">
        <v>6</v>
      </c>
      <c r="B4" s="4" t="s">
        <v>41</v>
      </c>
      <c r="C4" s="37"/>
      <c r="D4" s="37"/>
      <c r="E4" s="38"/>
      <c r="F4" s="38"/>
      <c r="G4" s="38"/>
      <c r="H4" s="38"/>
      <c r="I4" s="38"/>
      <c r="J4" s="38"/>
    </row>
    <row r="5" spans="1:11" ht="18.75" customHeight="1">
      <c r="B5" s="283" t="s">
        <v>38</v>
      </c>
      <c r="C5" s="284"/>
      <c r="D5" s="285"/>
      <c r="E5" s="286" t="s">
        <v>40</v>
      </c>
      <c r="F5" s="286"/>
      <c r="G5" s="286"/>
      <c r="H5" s="286"/>
      <c r="I5" s="286"/>
      <c r="J5" s="287"/>
    </row>
    <row r="6" spans="1:11" ht="18.75" customHeight="1">
      <c r="B6" s="3" t="s">
        <v>28</v>
      </c>
      <c r="C6" s="37"/>
      <c r="D6" s="7"/>
      <c r="I6" s="38"/>
      <c r="J6" s="5"/>
    </row>
    <row r="7" spans="1:11" ht="207" customHeight="1">
      <c r="B7" s="6"/>
      <c r="C7" s="288" t="s">
        <v>29</v>
      </c>
      <c r="D7" s="289"/>
      <c r="E7" s="290" t="s">
        <v>185</v>
      </c>
      <c r="F7" s="291"/>
      <c r="G7" s="291"/>
      <c r="H7" s="291"/>
      <c r="I7" s="291"/>
      <c r="J7" s="292"/>
      <c r="K7" s="31" t="str">
        <f>IF(E7="","入力してください","")</f>
        <v/>
      </c>
    </row>
    <row r="8" spans="1:11" ht="207" customHeight="1">
      <c r="B8" s="6"/>
      <c r="C8" s="278" t="s">
        <v>30</v>
      </c>
      <c r="D8" s="279"/>
      <c r="E8" s="280" t="s">
        <v>186</v>
      </c>
      <c r="F8" s="281"/>
      <c r="G8" s="281"/>
      <c r="H8" s="281"/>
      <c r="I8" s="281"/>
      <c r="J8" s="282"/>
      <c r="K8" s="31" t="str">
        <f>IF(E8="","入力してください","")</f>
        <v/>
      </c>
    </row>
    <row r="9" spans="1:11" ht="172.5" customHeight="1">
      <c r="B9" s="6"/>
      <c r="C9" s="288" t="s">
        <v>31</v>
      </c>
      <c r="D9" s="289"/>
      <c r="E9" s="280" t="s">
        <v>190</v>
      </c>
      <c r="F9" s="281"/>
      <c r="G9" s="281"/>
      <c r="H9" s="281"/>
      <c r="I9" s="281"/>
      <c r="J9" s="282"/>
      <c r="K9" s="31" t="str">
        <f>IF(E9="","入力してください","")</f>
        <v/>
      </c>
    </row>
    <row r="10" spans="1:11" ht="172.5" customHeight="1">
      <c r="B10" s="6"/>
      <c r="C10" s="288" t="s">
        <v>32</v>
      </c>
      <c r="D10" s="289"/>
      <c r="E10" s="280" t="s">
        <v>187</v>
      </c>
      <c r="F10" s="281"/>
      <c r="G10" s="281"/>
      <c r="H10" s="281"/>
      <c r="I10" s="281"/>
      <c r="J10" s="282"/>
      <c r="K10" s="31" t="str">
        <f t="shared" ref="K10:K14" si="0">IF(E10="","入力してください","")</f>
        <v/>
      </c>
    </row>
    <row r="11" spans="1:11" ht="172.5" customHeight="1">
      <c r="B11" s="6"/>
      <c r="C11" s="288" t="s">
        <v>33</v>
      </c>
      <c r="D11" s="289"/>
      <c r="E11" s="280" t="s">
        <v>188</v>
      </c>
      <c r="F11" s="281"/>
      <c r="G11" s="281"/>
      <c r="H11" s="281"/>
      <c r="I11" s="281"/>
      <c r="J11" s="282"/>
      <c r="K11" s="31" t="str">
        <f t="shared" si="0"/>
        <v/>
      </c>
    </row>
    <row r="12" spans="1:11" ht="18.75" customHeight="1">
      <c r="B12" s="9" t="s">
        <v>34</v>
      </c>
      <c r="C12" s="28"/>
      <c r="D12" s="8"/>
      <c r="E12" s="119"/>
      <c r="F12" s="119"/>
      <c r="G12" s="119"/>
      <c r="H12" s="119"/>
      <c r="I12" s="119"/>
      <c r="J12" s="120"/>
    </row>
    <row r="13" spans="1:11" ht="244.2" customHeight="1">
      <c r="B13" s="6"/>
      <c r="C13" s="288" t="s">
        <v>35</v>
      </c>
      <c r="D13" s="289"/>
      <c r="E13" s="281" t="s">
        <v>160</v>
      </c>
      <c r="F13" s="281"/>
      <c r="G13" s="281"/>
      <c r="H13" s="281"/>
      <c r="I13" s="281"/>
      <c r="J13" s="282"/>
      <c r="K13" s="31" t="str">
        <f t="shared" si="0"/>
        <v/>
      </c>
    </row>
    <row r="14" spans="1:11" ht="255" customHeight="1">
      <c r="B14" s="6"/>
      <c r="C14" s="288" t="s">
        <v>36</v>
      </c>
      <c r="D14" s="289"/>
      <c r="E14" s="281" t="s">
        <v>189</v>
      </c>
      <c r="F14" s="281"/>
      <c r="G14" s="281"/>
      <c r="H14" s="281"/>
      <c r="I14" s="281"/>
      <c r="J14" s="282"/>
      <c r="K14" s="31" t="str">
        <f t="shared" si="0"/>
        <v/>
      </c>
    </row>
    <row r="15" spans="1:11" ht="243" customHeight="1">
      <c r="B15" s="296" t="s">
        <v>37</v>
      </c>
      <c r="C15" s="297"/>
      <c r="D15" s="289"/>
      <c r="E15" s="281" t="s">
        <v>162</v>
      </c>
      <c r="F15" s="281"/>
      <c r="G15" s="281"/>
      <c r="H15" s="281"/>
      <c r="I15" s="281"/>
      <c r="J15" s="282"/>
      <c r="K15" s="31" t="str">
        <f>IF(E15="","入力してください","")</f>
        <v/>
      </c>
    </row>
    <row r="16" spans="1:11" ht="243" customHeight="1">
      <c r="A16" s="31"/>
      <c r="B16" s="293" t="s">
        <v>66</v>
      </c>
      <c r="C16" s="294"/>
      <c r="D16" s="295"/>
      <c r="E16" s="275" t="s">
        <v>161</v>
      </c>
      <c r="F16" s="275"/>
      <c r="G16" s="275"/>
      <c r="H16" s="275"/>
      <c r="I16" s="275"/>
      <c r="J16" s="276"/>
      <c r="K16" s="31" t="str">
        <f>IF(E16="","入力してください","")</f>
        <v/>
      </c>
    </row>
    <row r="17" spans="1:11" ht="7.5" customHeight="1">
      <c r="B17" s="37"/>
      <c r="C17" s="37"/>
      <c r="D17" s="37"/>
      <c r="E17" s="38"/>
      <c r="F17" s="38"/>
      <c r="G17" s="38"/>
      <c r="H17" s="38"/>
      <c r="I17" s="38"/>
      <c r="J17" s="38"/>
    </row>
    <row r="18" spans="1:11" ht="18.75" customHeight="1">
      <c r="A18" s="1" t="s">
        <v>124</v>
      </c>
      <c r="B18" s="4"/>
      <c r="C18" s="37"/>
      <c r="D18" s="37"/>
      <c r="E18" s="38"/>
      <c r="F18" s="92"/>
      <c r="G18" s="237" t="s">
        <v>207</v>
      </c>
      <c r="H18" s="237"/>
      <c r="I18" s="237"/>
      <c r="J18" s="237"/>
      <c r="K18" s="31" t="str">
        <f>IF(G18="","入力してください","")</f>
        <v/>
      </c>
    </row>
    <row r="19" spans="1:11" ht="22.5" customHeight="1">
      <c r="B19" s="37"/>
      <c r="C19" s="37"/>
      <c r="D19" s="37"/>
      <c r="E19" s="38"/>
      <c r="F19" s="38"/>
      <c r="G19" s="38"/>
      <c r="H19" s="38"/>
      <c r="I19" s="38"/>
      <c r="J19" s="38"/>
    </row>
    <row r="20" spans="1:11" ht="22.5" customHeight="1">
      <c r="B20" s="37"/>
      <c r="C20" s="37"/>
      <c r="D20" s="37"/>
      <c r="E20" s="38"/>
      <c r="F20" s="38"/>
      <c r="G20" s="38"/>
      <c r="H20" s="38"/>
      <c r="I20" s="38"/>
      <c r="J20" s="38"/>
    </row>
    <row r="21" spans="1:11" ht="22.5" customHeight="1">
      <c r="B21" s="37"/>
      <c r="C21" s="37"/>
      <c r="D21" s="37"/>
      <c r="E21" s="38"/>
      <c r="F21" s="38"/>
      <c r="G21" s="38"/>
      <c r="H21" s="38"/>
      <c r="I21" s="38"/>
      <c r="J21" s="38"/>
    </row>
    <row r="22" spans="1:11" ht="22.5" customHeight="1">
      <c r="B22" s="37"/>
      <c r="C22" s="37"/>
      <c r="D22" s="37"/>
      <c r="E22" s="38"/>
      <c r="F22" s="38"/>
      <c r="G22" s="38"/>
      <c r="H22" s="38"/>
      <c r="I22" s="38"/>
      <c r="J22" s="38"/>
    </row>
    <row r="23" spans="1:11" ht="22.5" customHeight="1">
      <c r="B23" s="37"/>
      <c r="C23" s="37"/>
      <c r="D23" s="37"/>
      <c r="E23" s="38"/>
      <c r="F23" s="38"/>
      <c r="G23" s="38"/>
      <c r="H23" s="38"/>
      <c r="I23" s="38"/>
      <c r="J23" s="38"/>
    </row>
    <row r="24" spans="1:11" ht="22.5" customHeight="1">
      <c r="B24" s="104"/>
      <c r="C24" s="104"/>
      <c r="D24" s="104"/>
      <c r="E24" s="104"/>
      <c r="F24" s="104"/>
      <c r="G24" s="104"/>
      <c r="H24" s="104"/>
      <c r="I24" s="104"/>
      <c r="J24" s="104"/>
    </row>
    <row r="25" spans="1:11" ht="22.5" customHeight="1">
      <c r="B25" s="104"/>
      <c r="C25" s="104"/>
      <c r="D25" s="104"/>
      <c r="E25" s="104"/>
      <c r="F25" s="104"/>
      <c r="G25" s="104"/>
      <c r="H25" s="104"/>
      <c r="I25" s="104"/>
      <c r="J25" s="104"/>
    </row>
    <row r="26" spans="1:11" ht="22.5" customHeight="1">
      <c r="B26" s="104"/>
      <c r="C26" s="104"/>
      <c r="D26" s="104"/>
      <c r="E26" s="104"/>
      <c r="F26" s="104"/>
      <c r="G26" s="104"/>
      <c r="H26" s="104"/>
      <c r="I26" s="104"/>
      <c r="J26" s="10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2"/>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g-user0004</cp:lastModifiedBy>
  <cp:lastPrinted>2022-05-26T03:13:32Z</cp:lastPrinted>
  <dcterms:created xsi:type="dcterms:W3CDTF">2011-06-14T05:32:50Z</dcterms:created>
  <dcterms:modified xsi:type="dcterms:W3CDTF">2022-06-16T04:21:33Z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