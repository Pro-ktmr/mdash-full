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教務\60-9-3 データサイエンス推進\文科省申請関係\R4文科省申請書\文科省アップロードデータ一式\01(麗澤大学)_リテラシー\"/>
    </mc:Choice>
  </mc:AlternateContent>
  <bookViews>
    <workbookView xWindow="-120" yWindow="-120" windowWidth="29040" windowHeight="15840" tabRatio="885" firstSheet="1" activeTab="4"/>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Q30" i="40" l="1"/>
  <c r="R30" i="40" s="1"/>
  <c r="C28" i="41" s="1"/>
  <c r="R10" i="40"/>
</calcChain>
</file>

<file path=xl/sharedStrings.xml><?xml version="1.0" encoding="utf-8"?>
<sst xmlns="http://schemas.openxmlformats.org/spreadsheetml/2006/main" count="347" uniqueCount="217">
  <si>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</si>
  <si>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</si>
  <si>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</si>
  <si>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</si>
  <si>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</si>
  <si>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</si>
  <si>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</si>
  <si>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</si>
  <si>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</si>
  <si>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</si>
  <si>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</si>
  <si>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</si>
  <si>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</si>
  <si>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</si>
  <si>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</si>
  <si>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</si>
  <si>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</si>
  <si>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</si>
  <si>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</si>
  <si>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</si>
  <si>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</si>
  <si>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</si>
  <si>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</si>
  <si>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</si>
  <si>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</si>
  <si>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</si>
  <si>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</si>
  <si>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</si>
  <si>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</si>
  <si>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</si>
  <si>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</si>
  <si>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</si>
  <si>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</si>
  <si>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</si>
  <si>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</si>
  <si>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</si>
  <si>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</si>
  <si>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</si>
  <si>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</si>
  <si>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</si>
  <si>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</si>
  <si>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</si>
  <si>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</si>
  <si>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</si>
  <si>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</si>
  <si>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</si>
  <si>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</si>
  <si>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</si>
  <si>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</si>
  <si>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</si>
  <si>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</si>
  <si>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</si>
  <si>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</si>
  <si>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</si>
  <si>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</si>
  <si>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</si>
  <si>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</si>
  <si>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</si>
  <si>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</si>
  <si>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</si>
  <si>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</si>
  <si>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</si>
  <si>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</si>
  <si>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</si>
  <si>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</si>
  <si>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</si>
  <si>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</si>
  <si>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</si>
  <si>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</si>
  <si>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</si>
  <si>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</si>
  <si>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</si>
  <si>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</si>
  <si>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</si>
  <si>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</si>
  <si>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</si>
  <si>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</si>
  <si>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</si>
  <si>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</si>
  <si>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</si>
  <si>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</si>
  <si>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</si>
  <si>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</si>
  <si>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</si>
  <si>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</si>
  <si>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</si>
  <si>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</si>
  <si>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</si>
  <si>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</si>
  <si>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</si>
  <si>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</si>
  <si>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</si>
  <si>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</si>
  <si>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</si>
  <si>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</si>
  <si>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</si>
  <si>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</si>
  <si>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</si>
  <si>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</si>
  <si>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</si>
  <si>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</si>
  <si>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</si>
  <si>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</si>
  <si>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</si>
  <si>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</si>
  <si>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</si>
  <si>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</si>
  <si>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</si>
  <si>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</si>
  <si>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</si>
  <si>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</si>
  <si>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</si>
  <si>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</si>
  <si>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</si>
  <si>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</si>
  <si>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</si>
  <si>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</si>
  <si>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</si>
  <si>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</si>
  <si>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</si>
  <si>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</si>
  <si>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</si>
  <si>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</si>
  <si>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</si>
  <si>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</si>
  <si>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</si>
  <si>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</si>
  <si>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</si>
  <si>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</si>
  <si>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</si>
  <si>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</si>
  <si>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</si>
  <si>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</si>
  <si>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</si>
  <si>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</si>
  <si>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</si>
  <si>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</si>
  <si>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</si>
  <si>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</si>
  <si>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</si>
  <si>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</si>
  <si>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</si>
  <si>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</si>
  <si>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</si>
  <si>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</si>
  <si>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</si>
  <si>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</si>
  <si>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</si>
  <si>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</si>
  <si>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麗澤大学</t>
    <rPh sb="0" eb="4">
      <t>レイタクダイガク</t>
    </rPh>
    <phoneticPr fontId="1"/>
  </si>
  <si>
    <t>学校法人　廣池学園</t>
    <rPh sb="0" eb="2">
      <t>ガッコウ</t>
    </rPh>
    <rPh sb="2" eb="4">
      <t>ホウジン</t>
    </rPh>
    <rPh sb="5" eb="7">
      <t>ヒロイケ</t>
    </rPh>
    <rPh sb="7" eb="9">
      <t>ガクエン</t>
    </rPh>
    <phoneticPr fontId="1"/>
  </si>
  <si>
    <t>私立大学</t>
  </si>
  <si>
    <t>千葉県柏市光ケ丘2丁目1-1</t>
    <phoneticPr fontId="1"/>
  </si>
  <si>
    <t>麗澤大学データサイエンスプログラム　リテラシーレベル</t>
    <rPh sb="0" eb="2">
      <t>レイタク</t>
    </rPh>
    <rPh sb="2" eb="4">
      <t>ダイガク</t>
    </rPh>
    <phoneticPr fontId="1"/>
  </si>
  <si>
    <t>無</t>
  </si>
  <si>
    <t>上村　昌司</t>
    <rPh sb="0" eb="2">
      <t>カミムラ</t>
    </rPh>
    <rPh sb="3" eb="5">
      <t>ショウジ</t>
    </rPh>
    <phoneticPr fontId="1"/>
  </si>
  <si>
    <t>認定教育プログラム</t>
  </si>
  <si>
    <t>教務・国際交流課</t>
    <rPh sb="0" eb="2">
      <t>キョウム</t>
    </rPh>
    <rPh sb="3" eb="5">
      <t>コクサイ</t>
    </rPh>
    <rPh sb="5" eb="8">
      <t>コウリュウカ</t>
    </rPh>
    <phoneticPr fontId="1"/>
  </si>
  <si>
    <t>鳥海　祥</t>
    <rPh sb="0" eb="2">
      <t>トリウミ</t>
    </rPh>
    <rPh sb="3" eb="4">
      <t>ショウ</t>
    </rPh>
    <phoneticPr fontId="1"/>
  </si>
  <si>
    <t>ds@reitaku-u.ac.jp</t>
    <phoneticPr fontId="1"/>
  </si>
  <si>
    <t>04-7173-3605</t>
    <phoneticPr fontId="1"/>
  </si>
  <si>
    <t>学部・学科によって、修了要件は相違しない</t>
  </si>
  <si>
    <t xml:space="preserve">
　オリエンテーション資料、履修案内、麗澤ポータルからのお知らせ、授業担当教員による案内など、様々な方法で周知をしており、学生が情報を受け取りやすい環境を整備している。</t>
    <phoneticPr fontId="1"/>
  </si>
  <si>
    <t xml:space="preserve">
　リテラシーレベルの認定科目である「AIビジネス入門」では、多くの学生が履修できるようにオンライン開講とした。また、本学ウェブサイトに履修に関する問い合わせフォームを置き、学生に対するサポート体制を構築している。</t>
    <phoneticPr fontId="1"/>
  </si>
  <si>
    <t xml:space="preserve">
　各授業ではGoogle ClassroomとMoodleを使用し、授業時間内外で教員へ質問をしたり、指導を受けたりする仕組みがある。</t>
    <phoneticPr fontId="1"/>
  </si>
  <si>
    <t>外国語学部</t>
    <rPh sb="0" eb="3">
      <t>ガイコクゴ</t>
    </rPh>
    <rPh sb="3" eb="5">
      <t>ガクブ</t>
    </rPh>
    <phoneticPr fontId="1"/>
  </si>
  <si>
    <t>経済学部</t>
    <rPh sb="0" eb="4">
      <t>ケイザイガクブ</t>
    </rPh>
    <phoneticPr fontId="1"/>
  </si>
  <si>
    <t>国際学部</t>
    <rPh sb="0" eb="2">
      <t>コクサイ</t>
    </rPh>
    <rPh sb="2" eb="4">
      <t>ガクブ</t>
    </rPh>
    <phoneticPr fontId="1"/>
  </si>
  <si>
    <t>次の条件１，２を満たすこと。
１．以下の3科目6単位を取得すること
AIビジネス入門 ／ 情報科学（経済学部、国際学部グローバルビジネス学科の学生）、または情報リテラシー（外国語学部、国際学部国際学科の学生）／ 統計学基礎、または統計学入門、または統計学A
２．以下の科目のうち1科目2単位以上を取得すること
データサイエンスの基礎、プログラミング、データベース、入門計量経済学、または入門計量経済学A、入門計量経済学B</t>
    <rPh sb="0" eb="1">
      <t>ツギ</t>
    </rPh>
    <phoneticPr fontId="1"/>
  </si>
  <si>
    <t>AIビジネス入門</t>
    <phoneticPr fontId="1"/>
  </si>
  <si>
    <t>全学開講</t>
  </si>
  <si>
    <t>○</t>
  </si>
  <si>
    <t>①AI・データサイエンスとは何か、AI・データサイエンスが社会でどのように活用されどのような新しい価値を生んでいるのかを理解する
②AIの進化が社会に及ぼす影響、現在のAIができること・できないことを理解する
③AI倫理やデータプライバシーに関する課題を理解する
④基本的なデータの扱い方を理解する</t>
    <phoneticPr fontId="1"/>
  </si>
  <si>
    <t>一部開講</t>
  </si>
  <si>
    <t>情報リテラシー</t>
    <phoneticPr fontId="1"/>
  </si>
  <si>
    <t>統計学基礎</t>
    <phoneticPr fontId="1"/>
  </si>
  <si>
    <t>統計学入門</t>
    <phoneticPr fontId="1"/>
  </si>
  <si>
    <t>統計学A</t>
    <phoneticPr fontId="1"/>
  </si>
  <si>
    <t>データサイエンスの基礎</t>
    <phoneticPr fontId="1"/>
  </si>
  <si>
    <t>プログラミング</t>
    <phoneticPr fontId="1"/>
  </si>
  <si>
    <t>データベース</t>
    <phoneticPr fontId="1"/>
  </si>
  <si>
    <t>入門計量経済学</t>
    <phoneticPr fontId="1"/>
  </si>
  <si>
    <t>入門計量経済学A</t>
    <phoneticPr fontId="1"/>
  </si>
  <si>
    <t>入門計量経済学B</t>
    <phoneticPr fontId="1"/>
  </si>
  <si>
    <t>4-1統計および数理基礎</t>
  </si>
  <si>
    <t>4‐3データ構造とプログラミング基礎</t>
  </si>
  <si>
    <t>統計学とは何か（統計学　第1回）、統計データの分類（統計学　第2回）、統計データの集計（統計学　第3回）
統計学とは何か（統計学入門　第1回）、統計データの分類（統計学入門　第2回）、統計データの集計（統計学入門　第3回）
統計学とは何か（統計学A　第1回）、統計データの分類（統計学A　第2回）、統計データの集計（統計学A　第3回）</t>
    <rPh sb="8" eb="11">
      <t>トウケイガク</t>
    </rPh>
    <rPh sb="12" eb="13">
      <t>ダイ</t>
    </rPh>
    <rPh sb="14" eb="15">
      <t>カイ</t>
    </rPh>
    <rPh sb="26" eb="29">
      <t>トウケイガク</t>
    </rPh>
    <rPh sb="30" eb="31">
      <t>ダイ</t>
    </rPh>
    <rPh sb="32" eb="33">
      <t>カイ</t>
    </rPh>
    <rPh sb="44" eb="47">
      <t>トウケイガク</t>
    </rPh>
    <rPh sb="48" eb="49">
      <t>ダイ</t>
    </rPh>
    <rPh sb="50" eb="51">
      <t>カイ</t>
    </rPh>
    <rPh sb="61" eb="64">
      <t>トウケイガク</t>
    </rPh>
    <rPh sb="64" eb="66">
      <t>ニュウモン</t>
    </rPh>
    <rPh sb="67" eb="68">
      <t>ダイ</t>
    </rPh>
    <rPh sb="69" eb="70">
      <t>カイ</t>
    </rPh>
    <rPh sb="81" eb="84">
      <t>トウケイガク</t>
    </rPh>
    <rPh sb="84" eb="86">
      <t>ニュウモン</t>
    </rPh>
    <rPh sb="87" eb="88">
      <t>ダイ</t>
    </rPh>
    <rPh sb="89" eb="90">
      <t>カイ</t>
    </rPh>
    <rPh sb="101" eb="104">
      <t>トウケイガク</t>
    </rPh>
    <rPh sb="104" eb="106">
      <t>ニュウモン</t>
    </rPh>
    <rPh sb="107" eb="108">
      <t>ダイ</t>
    </rPh>
    <rPh sb="109" eb="110">
      <t>カイ</t>
    </rPh>
    <phoneticPr fontId="1"/>
  </si>
  <si>
    <t>統計データの整理（統計学　第14回）
統計データの入手方法・統計データの整理（統計学入門　第12回）、推測統計・回帰分析（統計学入門　第13回）
統計データの整理（統計学A　第14回）</t>
    <rPh sb="9" eb="12">
      <t>トウケイガク</t>
    </rPh>
    <rPh sb="13" eb="14">
      <t>ダイ</t>
    </rPh>
    <rPh sb="16" eb="17">
      <t>カイ</t>
    </rPh>
    <rPh sb="39" eb="42">
      <t>トウケイガク</t>
    </rPh>
    <rPh sb="42" eb="44">
      <t>ニュウモン</t>
    </rPh>
    <rPh sb="45" eb="46">
      <t>ダイ</t>
    </rPh>
    <rPh sb="48" eb="49">
      <t>カイ</t>
    </rPh>
    <rPh sb="61" eb="64">
      <t>トウケイガク</t>
    </rPh>
    <rPh sb="64" eb="66">
      <t>ニュウモン</t>
    </rPh>
    <rPh sb="67" eb="68">
      <t>ダイ</t>
    </rPh>
    <rPh sb="70" eb="71">
      <t>カイ</t>
    </rPh>
    <rPh sb="82" eb="85">
      <t>トウケイガク</t>
    </rPh>
    <rPh sb="87" eb="88">
      <t>ダイ</t>
    </rPh>
    <rPh sb="90" eb="91">
      <t>カイ</t>
    </rPh>
    <phoneticPr fontId="1"/>
  </si>
  <si>
    <t>AIビジネスとプライバシーの課題（AIビジネス入門　第12回）
ネットワークと情報発信；プライバシーと著作権，肖像権（情報リテラシー　第6回）</t>
    <rPh sb="23" eb="25">
      <t>ニュウモン</t>
    </rPh>
    <rPh sb="26" eb="27">
      <t>ダイ</t>
    </rPh>
    <rPh sb="29" eb="30">
      <t>カイ</t>
    </rPh>
    <rPh sb="59" eb="61">
      <t>ジョウホウ</t>
    </rPh>
    <rPh sb="67" eb="68">
      <t>ダイ</t>
    </rPh>
    <rPh sb="69" eb="70">
      <t>カイ</t>
    </rPh>
    <phoneticPr fontId="1"/>
  </si>
  <si>
    <t>事例1-1: AIを用いたビジネス(ゲスト講師による特別講義1-1)（AIビジネス入門　第4回）
事例1-2: AIを用いたビジネス(ゲスト講師による特別講義1-2)（AIビジネス入門　第5回）
事例2-1: AIを用いたビジネス(ゲスト講師による特別講義2-1)（AIビジネス入門　第9回）
事例2-2: AIを用いたビジネス(ゲスト講師による特別講義2-2)（AIビジネス入門　第10回）</t>
    <rPh sb="44" eb="45">
      <t>ダイ</t>
    </rPh>
    <rPh sb="46" eb="47">
      <t>カイ</t>
    </rPh>
    <rPh sb="93" eb="94">
      <t>ダイ</t>
    </rPh>
    <rPh sb="95" eb="96">
      <t>カイ</t>
    </rPh>
    <rPh sb="142" eb="143">
      <t>ダイ</t>
    </rPh>
    <rPh sb="144" eb="145">
      <t>カイ</t>
    </rPh>
    <rPh sb="191" eb="192">
      <t>ダイ</t>
    </rPh>
    <rPh sb="194" eb="195">
      <t>カイ</t>
    </rPh>
    <phoneticPr fontId="1"/>
  </si>
  <si>
    <t>機械学習とは何か（AIビジネス入門　第6回）
ディープラーニングとは何か（AIビジネス入門　第7回）</t>
    <rPh sb="18" eb="19">
      <t>ダイ</t>
    </rPh>
    <rPh sb="20" eb="21">
      <t>カイ</t>
    </rPh>
    <rPh sb="46" eb="47">
      <t>ダイ</t>
    </rPh>
    <rPh sb="48" eb="49">
      <t>カイ</t>
    </rPh>
    <phoneticPr fontId="1"/>
  </si>
  <si>
    <t>AIと経済学（AIビジネス入門　第8回）</t>
    <rPh sb="16" eb="17">
      <t>ダイ</t>
    </rPh>
    <rPh sb="18" eb="19">
      <t>カイ</t>
    </rPh>
    <phoneticPr fontId="1"/>
  </si>
  <si>
    <t>AIと経営（AIビジネス入門　第3回）</t>
    <rPh sb="15" eb="16">
      <t>ダイ</t>
    </rPh>
    <rPh sb="17" eb="18">
      <t>カイ</t>
    </rPh>
    <phoneticPr fontId="1"/>
  </si>
  <si>
    <t>AIと社会科学（AIビジネス入門　第2回）</t>
    <rPh sb="17" eb="18">
      <t>ダイ</t>
    </rPh>
    <rPh sb="19" eb="20">
      <t>カイ</t>
    </rPh>
    <phoneticPr fontId="1"/>
  </si>
  <si>
    <t>オリエンテーション: AIとは何か？ AIの歴史と発展（AIビジネス入門　第1回）</t>
    <rPh sb="37" eb="38">
      <t>ダイ</t>
    </rPh>
    <rPh sb="39" eb="40">
      <t>カイ</t>
    </rPh>
    <phoneticPr fontId="1"/>
  </si>
  <si>
    <t>統計: 平均・標準偏差・標準化（情報科学　第10回）、統計: 相関・回帰・散布図（情報科学　第11回）、統計: 大量データとクロス集計(ピボットテーブル)（情報科学　第12回）
表計算ソフトExcelの基本 (1) 表の作成・Excelの基本機能（情報リテラシー　第11回）、表計算ソフトExcelの基本 (2) セル参照の基本と応用（情報リテラシー　第12回）、表計算ソフトExcelの基本 (3) グラフの作成とレポートでの利用（情報リテラシー　第13回）
演習①（統計学基礎　第7回）、演習②（統計学基礎　第12回）
演習①（統計学A　第7回）、演習②（統計学A　第12回）
演習①第1～6章の復習問題（統計学入門　第7回）、演習②第7～10章の復習問題（統計学入門　第14回）、演習③第1～10章の復習問題（期末試験対策）（統計学入門　第15回）</t>
    <rPh sb="16" eb="18">
      <t>ジョウホウ</t>
    </rPh>
    <rPh sb="18" eb="20">
      <t>カガク</t>
    </rPh>
    <rPh sb="21" eb="22">
      <t>ダイ</t>
    </rPh>
    <rPh sb="24" eb="25">
      <t>カイ</t>
    </rPh>
    <rPh sb="41" eb="43">
      <t>ジョウホウ</t>
    </rPh>
    <rPh sb="43" eb="45">
      <t>カガク</t>
    </rPh>
    <rPh sb="46" eb="47">
      <t>ダイ</t>
    </rPh>
    <rPh sb="49" eb="50">
      <t>カイ</t>
    </rPh>
    <rPh sb="78" eb="80">
      <t>ジョウホウ</t>
    </rPh>
    <rPh sb="80" eb="82">
      <t>カガク</t>
    </rPh>
    <rPh sb="83" eb="84">
      <t>ダイ</t>
    </rPh>
    <rPh sb="86" eb="87">
      <t>カイ</t>
    </rPh>
    <rPh sb="124" eb="126">
      <t>ジョウホウ</t>
    </rPh>
    <rPh sb="132" eb="133">
      <t>ダイ</t>
    </rPh>
    <rPh sb="135" eb="136">
      <t>カイ</t>
    </rPh>
    <rPh sb="168" eb="170">
      <t>ジョウホウ</t>
    </rPh>
    <rPh sb="176" eb="177">
      <t>ダイ</t>
    </rPh>
    <rPh sb="179" eb="180">
      <t>カイ</t>
    </rPh>
    <rPh sb="217" eb="219">
      <t>ジョウホウ</t>
    </rPh>
    <rPh sb="225" eb="226">
      <t>ダイ</t>
    </rPh>
    <rPh sb="228" eb="229">
      <t>カイ</t>
    </rPh>
    <rPh sb="235" eb="238">
      <t>トウケイガク</t>
    </rPh>
    <rPh sb="238" eb="240">
      <t>キソ</t>
    </rPh>
    <rPh sb="241" eb="242">
      <t>ダイ</t>
    </rPh>
    <rPh sb="243" eb="244">
      <t>カイ</t>
    </rPh>
    <rPh sb="250" eb="255">
      <t>トウケイガクキソ</t>
    </rPh>
    <rPh sb="256" eb="257">
      <t>ダイ</t>
    </rPh>
    <rPh sb="259" eb="260">
      <t>カイ</t>
    </rPh>
    <rPh sb="305" eb="308">
      <t>トウケイガク</t>
    </rPh>
    <rPh sb="308" eb="310">
      <t>ニュウモン</t>
    </rPh>
    <rPh sb="311" eb="312">
      <t>ダイ</t>
    </rPh>
    <rPh sb="313" eb="314">
      <t>カイ</t>
    </rPh>
    <rPh sb="331" eb="334">
      <t>トウケイガク</t>
    </rPh>
    <rPh sb="334" eb="336">
      <t>ニュウモン</t>
    </rPh>
    <rPh sb="337" eb="338">
      <t>ダイ</t>
    </rPh>
    <rPh sb="340" eb="341">
      <t>カイ</t>
    </rPh>
    <rPh sb="366" eb="371">
      <t>トウケイガクニュウモン</t>
    </rPh>
    <rPh sb="372" eb="373">
      <t>ダイ</t>
    </rPh>
    <rPh sb="375" eb="376">
      <t>カイ</t>
    </rPh>
    <phoneticPr fontId="1"/>
  </si>
  <si>
    <t>https://sites.google.com/ad.reitaku-u.ac.jp/data-science/</t>
    <phoneticPr fontId="1"/>
  </si>
  <si>
    <t xml:space="preserve">
　全授業で授業評価アンケートを取っており、学修成果（学生たちが授業を通じて力がついたもの、役にたったもの等）を担当教員が確認し、「自己評価・授業改善計画書」を作成、所属学部長のチェックを受け、PDCAサイクルの中で授業改善を行い、学修成果を高める努力を行っている。</t>
    <phoneticPr fontId="1"/>
  </si>
  <si>
    <t xml:space="preserve">
　令和3年度はまずはデータサイエンス科目をまとめ、プログラム化をすることで学生の履修モチベーションをあげることを目的として実施したが、令和4年度からは履修証明プログラムの修了者数を増やすため本プログラムの周知活動を充実させる。</t>
    <rPh sb="2" eb="4">
      <t>レイワ</t>
    </rPh>
    <rPh sb="68" eb="70">
      <t>レイワ</t>
    </rPh>
    <rPh sb="76" eb="78">
      <t>リシュウ</t>
    </rPh>
    <rPh sb="78" eb="80">
      <t>ショウメイ</t>
    </rPh>
    <rPh sb="86" eb="89">
      <t>シュウリョウシャ</t>
    </rPh>
    <rPh sb="89" eb="90">
      <t>スウ</t>
    </rPh>
    <rPh sb="91" eb="92">
      <t>フ</t>
    </rPh>
    <rPh sb="96" eb="97">
      <t>ホン</t>
    </rPh>
    <rPh sb="103" eb="105">
      <t>シュウチ</t>
    </rPh>
    <rPh sb="105" eb="107">
      <t>カツドウ</t>
    </rPh>
    <rPh sb="108" eb="110">
      <t>ジュウジツ</t>
    </rPh>
    <phoneticPr fontId="1"/>
  </si>
  <si>
    <t xml:space="preserve">
　現在のところ本プログラムの履修証明を受けた者の中から卒業生が出ていないため、評価材料がない。卒業生が出た後に、就職先等を調査する予定。</t>
    <phoneticPr fontId="1"/>
  </si>
  <si>
    <t xml:space="preserve">
　全学生対象アンケートを取り、どのようことがデータサイエンスを学ぶ障害になっているのかを分析し、学生たちが数理・データサイエンス・AIを「学ぶ楽しさ」「学ぶことの意義」を良く理解できるような方策を検討し、実施する。</t>
    <phoneticPr fontId="1"/>
  </si>
  <si>
    <t>4‐7データハンドリング</t>
  </si>
  <si>
    <t>4‐8データ活用実践（教師あり学習）</t>
  </si>
  <si>
    <t>情報科学</t>
    <rPh sb="2" eb="4">
      <t>カガク</t>
    </rPh>
    <phoneticPr fontId="1"/>
  </si>
  <si>
    <t>令和3</t>
    <rPh sb="0" eb="2">
      <t>レイワ</t>
    </rPh>
    <phoneticPr fontId="1"/>
  </si>
  <si>
    <t>データサイエンス教育推進室に関する内規</t>
    <phoneticPr fontId="1"/>
  </si>
  <si>
    <t xml:space="preserve">
　本学のデータサイエンス教育を推進し、データを活用し社会の課題を解決するとともに、新しい価値を創造できる人材を育成することを目的とする。</t>
    <phoneticPr fontId="1"/>
  </si>
  <si>
    <t xml:space="preserve">
室長　 　 上村 昌司（経済学部長　教授）  
副室長　 小塩 篤史（特任教授）
室員　 　 千葉 庄寿（外国学部長　教授）
　　　　　  野林 靖彦（国際学部長　教授）
　　　　    吉田 健一郎（准教授）
　　　　　　内藤 知加恵（助教）
　　　　　　横田 理宇（准教授）
　　　　　　池川 真里亜（助教）
　　　　　　土田 尚弘（准教授）
　　　　　　新井 優太（助教）
　　　　    中園 長新（准教授）
　　　　    清水 千弘（特任教授）</t>
    <rPh sb="1" eb="2">
      <t>シツ</t>
    </rPh>
    <rPh sb="26" eb="27">
      <t>シツ</t>
    </rPh>
    <rPh sb="42" eb="43">
      <t>シツ</t>
    </rPh>
    <rPh sb="77" eb="79">
      <t>コクサイ</t>
    </rPh>
    <rPh sb="120" eb="122">
      <t>ジョキョウ</t>
    </rPh>
    <rPh sb="136" eb="139">
      <t>ジュンキョウジュ</t>
    </rPh>
    <rPh sb="154" eb="156">
      <t>ジョキョウ</t>
    </rPh>
    <rPh sb="170" eb="173">
      <t>ジュンキョウジュ</t>
    </rPh>
    <rPh sb="187" eb="189">
      <t>ジョキョウ</t>
    </rPh>
    <phoneticPr fontId="1"/>
  </si>
  <si>
    <t>データサイエンス教育推進室長</t>
    <rPh sb="13" eb="14">
      <t>チョウ</t>
    </rPh>
    <phoneticPr fontId="1"/>
  </si>
  <si>
    <t>データサイエンス教育推進室</t>
    <phoneticPr fontId="1"/>
  </si>
  <si>
    <t xml:space="preserve">
　麗澤⼤学は、データサイエンス教育推進室を設置し、データサイエンスプログラムについて自己点検・評価し、その改善・進化の⽅策を検討・実施し、教育の質的充実に取り組んでいる。
　各科目の履修・修得状況については、WEB出欠登録システムを使い担当教員が把握し、管理している。またGoogle Classroomや教員用WEBシステムのWEB課題レポート機能を使い、受講者毎の課題への回答状況等を把握することができる。</t>
    <phoneticPr fontId="1"/>
  </si>
  <si>
    <t xml:space="preserve">
　学生からの授業改善アンケートをもとに各担当教員に自己評価・授業改善計画書を提出してもらい、毎年PDCAサイクルをまわす。
　また、プログラムの内容・水準を維持するために、データサイエンス教育推進室でFDを実施していく予定。
</t>
    <phoneticPr fontId="1"/>
  </si>
  <si>
    <t xml:space="preserve">
　実務家教員や企業に籍を置く客員教員による本プログラム内容・手法等への意見をデータサイエンス教育推進室長がまとめ、データサイエンス教育推進室で、より良いプログラムにするための材料として検討する。</t>
    <rPh sb="2" eb="5">
      <t>ジツムカ</t>
    </rPh>
    <rPh sb="5" eb="7">
      <t>キョウイン</t>
    </rPh>
    <rPh sb="8" eb="10">
      <t>キギョウ</t>
    </rPh>
    <rPh sb="11" eb="12">
      <t>セキ</t>
    </rPh>
    <rPh sb="13" eb="14">
      <t>オ</t>
    </rPh>
    <rPh sb="15" eb="19">
      <t>キャクインキョウイン</t>
    </rPh>
    <phoneticPr fontId="1"/>
  </si>
  <si>
    <t xml:space="preserve">
　全授業で授業評価アンケートを取っており、該当科目全体の履修学生の理解度、到達目標達成度をデータサイエンス教育推進室で点検する。個別の科目においては、学修成果と同様「自己評価・授業改善計画書」を用いて学生の内容の理解度を上げる努力を行っている。</t>
    <phoneticPr fontId="1"/>
  </si>
  <si>
    <t xml:space="preserve">
　各年度の履修者数の目標を以下のとおりとする。（（　）内は履修率。）
令和4年度　1,157名　（50％）
令和5年度　1,757名　（75％）
令和6年度　2,457名　（100％）※学部新設により入学定員100名増の700名予定
令和7年度　2,600名　（100％）
令和8年度　2,700名　（100％）
　本学ではデータサイエンスプログラム（リテラシーレベル）で指定している科目を1つでも履修した場合、本プログラム履修者と定義している。そして本プログラム指定科目には1年次に全学生が履修する科目が含まれるため本プログラムの履修率は1年次100%となる。
　しかし、令和3年度プログラム修了者は少ないため、令和4年度よりデータサイエンス教育推進室が中心となって本プログラムについての周知を行い、学生たちを励まし、プログラム修了者を増やしていく。また令和6年度に全学でカリキュラム改正を行い、リテラシーレベルをより修了しやすくしていく予定である。</t>
    <rPh sb="94" eb="96">
      <t>ガクブ</t>
    </rPh>
    <rPh sb="96" eb="98">
      <t>シンセツ</t>
    </rPh>
    <rPh sb="101" eb="105">
      <t>ニュウガクテイイン</t>
    </rPh>
    <rPh sb="108" eb="109">
      <t>メイ</t>
    </rPh>
    <rPh sb="109" eb="110">
      <t>ゾウ</t>
    </rPh>
    <rPh sb="114" eb="115">
      <t>メイ</t>
    </rPh>
    <rPh sb="115" eb="117">
      <t>ヨテイ</t>
    </rPh>
    <rPh sb="241" eb="243">
      <t>ネンジ</t>
    </rPh>
    <rPh sb="248" eb="250">
      <t>リシュウ</t>
    </rPh>
    <rPh sb="273" eb="275">
      <t>ネンジ</t>
    </rPh>
    <rPh sb="290" eb="292">
      <t>レイワ</t>
    </rPh>
    <rPh sb="293" eb="295">
      <t>ネンド</t>
    </rPh>
    <rPh sb="413" eb="415">
      <t>シュウリョウ</t>
    </rPh>
    <rPh sb="423" eb="425">
      <t>ヨテイ</t>
    </rPh>
    <phoneticPr fontId="1"/>
  </si>
  <si>
    <t xml:space="preserve">
　情報科学、情報リテラシーは全学生が履修する科目となっている。その他の本プログラム指定科目は選択科目であるが、なるべく各学部学科の必修科目と重ならないように科目配置を行っている。令和6年度には全学のカリキュラム改正にあわせて、より修了しやすいプログラムとしていく予定。</t>
    <rPh sb="19" eb="21">
      <t>リシュウ</t>
    </rPh>
    <rPh sb="23" eb="25">
      <t>カモク</t>
    </rPh>
    <rPh sb="36" eb="37">
      <t>ホン</t>
    </rPh>
    <rPh sb="42" eb="44">
      <t>シテイ</t>
    </rPh>
    <rPh sb="97" eb="99">
      <t>ゼンガク</t>
    </rPh>
    <rPh sb="106" eb="108">
      <t>カイセイ</t>
    </rPh>
    <rPh sb="116" eb="118">
      <t>シュウリョウ</t>
    </rPh>
    <phoneticPr fontId="1"/>
  </si>
  <si>
    <t xml:space="preserve">
　全学生対象に本学のデータサイエンスプログラムについてのアンケートを実施し、本プログラムの認知度やデータサイエンスへの興味等を分析している。その上で、全学生に対してどのような方策により推奨していくのが適切か検討し、実施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</si>
</sst>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2"/>
      <charset val="128"/>
      <scheme val="minor"/>
    </font>
    <font>
      <sz val="10"/>
      <name val="ＭＳ Ｐゴシック"/>
      <family val="3"/>
      <charset val="128"/>
      <scheme val="minor"/>
    </font>
    <font>
      <sz val="7"/>
      <name val="ＭＳ Ｐゴシック"/>
      <family val="2"/>
      <charset val="128"/>
      <scheme val="minor"/>
    </font>
    <font>
      <sz val="7"/>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176" fontId="3" fillId="2" borderId="5" xfId="0" applyNumberFormat="1" applyFont="1" applyFill="1" applyBorder="1" applyAlignment="1">
      <alignment vertical="center" shrinkToFit="1"/>
    </xf>
    <xf numFmtId="176" fontId="3" fillId="2" borderId="19" xfId="0" applyNumberFormat="1" applyFont="1" applyFill="1" applyBorder="1" applyAlignment="1">
      <alignment vertical="center" shrinkToFi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2" borderId="2" xfId="0" applyNumberFormat="1" applyFont="1" applyFill="1" applyBorder="1" applyAlignment="1">
      <alignment horizontal="center" vertical="center" shrinkToFit="1"/>
    </xf>
    <xf numFmtId="176" fontId="8" fillId="2" borderId="3" xfId="0" applyNumberFormat="1" applyFont="1" applyFill="1" applyBorder="1" applyAlignment="1">
      <alignment horizontal="center" vertical="center" shrinkToFit="1"/>
    </xf>
    <xf numFmtId="176" fontId="8" fillId="2" borderId="4" xfId="0" applyNumberFormat="1" applyFont="1" applyFill="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9" xfId="0" applyFont="1" applyBorder="1" applyAlignment="1">
      <alignment horizontal="left" vertical="center" wrapText="1" shrinkToFit="1"/>
    </xf>
    <xf numFmtId="0" fontId="8" fillId="0" borderId="0" xfId="0" applyFont="1" applyAlignment="1">
      <alignment vertical="center" wrapTex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4" fillId="0" borderId="19" xfId="0" applyFont="1" applyBorder="1" applyAlignment="1">
      <alignment vertical="center" wrapText="1" shrinkToFit="1"/>
    </xf>
    <xf numFmtId="0" fontId="24" fillId="0" borderId="20" xfId="0" applyFont="1" applyBorder="1" applyAlignment="1">
      <alignment vertical="center" shrinkToFit="1"/>
    </xf>
    <xf numFmtId="0" fontId="24" fillId="0" borderId="18" xfId="0" applyFont="1" applyBorder="1" applyAlignment="1">
      <alignment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23" fillId="0" borderId="39" xfId="0" applyFont="1" applyBorder="1" applyAlignment="1">
      <alignment vertical="center" wrapText="1" shrinkToFit="1"/>
    </xf>
    <xf numFmtId="0" fontId="24" fillId="0" borderId="39" xfId="0" applyFont="1" applyBorder="1" applyAlignment="1">
      <alignment vertical="center" shrinkToFit="1"/>
    </xf>
    <xf numFmtId="0" fontId="24" fillId="0" borderId="38" xfId="0" applyFont="1" applyBorder="1" applyAlignment="1">
      <alignment vertical="center" shrinkToFit="1"/>
    </xf>
    <xf numFmtId="0" fontId="25" fillId="0" borderId="6" xfId="0" applyFont="1" applyBorder="1" applyAlignment="1">
      <alignment vertical="center" wrapText="1" shrinkToFit="1"/>
    </xf>
    <xf numFmtId="0" fontId="26" fillId="0" borderId="6" xfId="0" applyFont="1" applyBorder="1" applyAlignment="1">
      <alignment vertical="center" shrinkToFit="1"/>
    </xf>
    <xf numFmtId="0" fontId="26" fillId="0" borderId="12" xfId="0" applyFont="1" applyBorder="1" applyAlignment="1">
      <alignment vertical="center" shrinkToFit="1"/>
    </xf>
    <xf numFmtId="0" fontId="21"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9"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s@reitaku-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ites.google.com/ad.reitaku-u.ac.jp/data-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sites.google.com/ad.reitaku-u.ac.jp/data-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4" zoomScaleNormal="100" zoomScaleSheetLayoutView="100" workbookViewId="0">
      <selection activeCell="H17" sqref="H17"/>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0" t="s">
        <v>25</v>
      </c>
      <c r="N1" s="140"/>
    </row>
    <row r="2" spans="1:15" ht="24" customHeight="1" x14ac:dyDescent="0.15">
      <c r="A2" s="146" t="s">
        <v>83</v>
      </c>
      <c r="B2" s="146"/>
      <c r="C2" s="146"/>
      <c r="D2" s="146"/>
      <c r="E2" s="146"/>
      <c r="F2" s="146"/>
      <c r="G2" s="146"/>
      <c r="H2" s="146"/>
      <c r="I2" s="146"/>
      <c r="J2" s="146"/>
      <c r="K2" s="146"/>
      <c r="L2" s="146"/>
      <c r="M2" s="146"/>
      <c r="N2" s="146"/>
    </row>
    <row r="3" spans="1:15" ht="24" customHeight="1" x14ac:dyDescent="0.15"/>
    <row r="4" spans="1:15" ht="24" customHeight="1" x14ac:dyDescent="0.15">
      <c r="A4" s="14" t="s">
        <v>6</v>
      </c>
      <c r="B4" s="15" t="s">
        <v>16</v>
      </c>
      <c r="C4" s="132" t="s">
        <v>149</v>
      </c>
      <c r="D4" s="133"/>
      <c r="E4" s="133"/>
      <c r="F4" s="133"/>
      <c r="G4" s="133"/>
      <c r="H4" s="133"/>
      <c r="I4" s="133"/>
      <c r="J4" s="133"/>
      <c r="K4" s="133"/>
      <c r="L4" s="133"/>
      <c r="M4" s="133"/>
      <c r="N4" s="139"/>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2" t="s">
        <v>150</v>
      </c>
      <c r="E6" s="133"/>
      <c r="F6" s="133"/>
      <c r="G6" s="133"/>
      <c r="H6" s="139"/>
      <c r="I6" s="17" t="s">
        <v>86</v>
      </c>
      <c r="J6" s="37" t="s">
        <v>87</v>
      </c>
      <c r="K6" s="132" t="s">
        <v>151</v>
      </c>
      <c r="L6" s="133"/>
      <c r="M6" s="133"/>
      <c r="N6" s="139"/>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2" t="s">
        <v>152</v>
      </c>
      <c r="D8" s="133"/>
      <c r="E8" s="133"/>
      <c r="F8" s="133"/>
      <c r="G8" s="133"/>
      <c r="H8" s="133"/>
      <c r="I8" s="133"/>
      <c r="J8" s="133"/>
      <c r="K8" s="133"/>
      <c r="L8" s="133"/>
      <c r="M8" s="133"/>
      <c r="N8" s="139"/>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2" t="s">
        <v>153</v>
      </c>
      <c r="F10" s="133"/>
      <c r="G10" s="133"/>
      <c r="H10" s="133"/>
      <c r="I10" s="133"/>
      <c r="J10" s="133"/>
      <c r="K10" s="133"/>
      <c r="L10" s="133"/>
      <c r="M10" s="133"/>
      <c r="N10" s="139"/>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7" t="s">
        <v>204</v>
      </c>
      <c r="F12" s="148"/>
      <c r="G12" s="17" t="s">
        <v>96</v>
      </c>
      <c r="H12" s="14" t="s">
        <v>97</v>
      </c>
      <c r="N12" s="117" t="s">
        <v>154</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1" t="s">
        <v>5</v>
      </c>
      <c r="D14" s="142"/>
      <c r="E14" s="136">
        <v>95</v>
      </c>
      <c r="F14" s="137"/>
      <c r="G14" s="18" t="s">
        <v>7</v>
      </c>
      <c r="I14" s="141" t="s">
        <v>8</v>
      </c>
      <c r="J14" s="142"/>
      <c r="K14" s="143">
        <v>59</v>
      </c>
      <c r="L14" s="144"/>
      <c r="M14" s="145"/>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24">
        <v>17</v>
      </c>
      <c r="L16" s="125"/>
      <c r="M16" s="126"/>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6">
        <v>600</v>
      </c>
      <c r="F18" s="137"/>
      <c r="G18" s="21" t="s">
        <v>21</v>
      </c>
      <c r="H18" s="20"/>
      <c r="K18" s="138"/>
      <c r="L18" s="138"/>
      <c r="M18" s="138"/>
      <c r="N18" s="138"/>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27">
        <v>2657</v>
      </c>
      <c r="K20" s="128"/>
      <c r="L20" s="129"/>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6">
        <v>557</v>
      </c>
      <c r="D22" s="137"/>
      <c r="E22" s="10" t="s">
        <v>22</v>
      </c>
      <c r="F22" s="20"/>
      <c r="G22" s="130" t="s">
        <v>18</v>
      </c>
      <c r="H22" s="130"/>
      <c r="I22" s="136">
        <v>678</v>
      </c>
      <c r="J22" s="137"/>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6">
        <v>685</v>
      </c>
      <c r="D24" s="137"/>
      <c r="E24" s="10" t="s">
        <v>22</v>
      </c>
      <c r="F24" s="20"/>
      <c r="G24" s="130" t="s">
        <v>20</v>
      </c>
      <c r="H24" s="130"/>
      <c r="I24" s="136">
        <v>737</v>
      </c>
      <c r="J24" s="137"/>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6">
        <v>0</v>
      </c>
      <c r="D26" s="137"/>
      <c r="E26" s="10" t="s">
        <v>7</v>
      </c>
      <c r="F26" s="20"/>
      <c r="G26" s="130" t="s">
        <v>47</v>
      </c>
      <c r="H26" s="130"/>
      <c r="I26" s="136">
        <v>0</v>
      </c>
      <c r="J26" s="137"/>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1" t="s">
        <v>74</v>
      </c>
      <c r="C29" s="131"/>
      <c r="D29" s="132" t="s">
        <v>155</v>
      </c>
      <c r="E29" s="133"/>
      <c r="F29" s="133"/>
      <c r="G29" s="134" t="s">
        <v>23</v>
      </c>
      <c r="H29" s="131"/>
      <c r="I29" s="135"/>
      <c r="J29" s="132" t="s">
        <v>208</v>
      </c>
      <c r="K29" s="133"/>
      <c r="L29" s="133"/>
      <c r="M29" s="133"/>
      <c r="N29" s="139"/>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2" t="s">
        <v>209</v>
      </c>
      <c r="C32" s="133"/>
      <c r="D32" s="133"/>
      <c r="E32" s="133"/>
      <c r="F32" s="133"/>
      <c r="G32" s="133"/>
      <c r="H32" s="133"/>
      <c r="I32" s="133"/>
      <c r="J32" s="133"/>
      <c r="K32" s="133"/>
      <c r="L32" s="133"/>
      <c r="M32" s="133"/>
      <c r="N32" s="139"/>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1" t="s">
        <v>74</v>
      </c>
      <c r="C34" s="131"/>
      <c r="D34" s="132" t="s">
        <v>155</v>
      </c>
      <c r="E34" s="133"/>
      <c r="F34" s="133"/>
      <c r="G34" s="134" t="s">
        <v>55</v>
      </c>
      <c r="H34" s="131"/>
      <c r="I34" s="135"/>
      <c r="J34" s="132" t="s">
        <v>208</v>
      </c>
      <c r="K34" s="133"/>
      <c r="L34" s="133"/>
      <c r="M34" s="133"/>
      <c r="N34" s="139"/>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2" t="s">
        <v>209</v>
      </c>
      <c r="C37" s="133"/>
      <c r="D37" s="133"/>
      <c r="E37" s="133"/>
      <c r="F37" s="133"/>
      <c r="G37" s="133"/>
      <c r="H37" s="133"/>
      <c r="I37" s="133"/>
      <c r="J37" s="133"/>
      <c r="K37" s="133"/>
      <c r="L37" s="133"/>
      <c r="M37" s="133"/>
      <c r="N37" s="139"/>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1" t="s">
        <v>74</v>
      </c>
      <c r="C39" s="131"/>
      <c r="D39" s="132" t="s">
        <v>155</v>
      </c>
      <c r="E39" s="133"/>
      <c r="F39" s="133"/>
      <c r="G39" s="134" t="s">
        <v>55</v>
      </c>
      <c r="H39" s="131"/>
      <c r="I39" s="135"/>
      <c r="J39" s="132" t="s">
        <v>208</v>
      </c>
      <c r="K39" s="133"/>
      <c r="L39" s="133"/>
      <c r="M39" s="133"/>
      <c r="N39" s="139"/>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2" t="s">
        <v>156</v>
      </c>
      <c r="G41" s="133"/>
      <c r="H41" s="133"/>
      <c r="I41" s="133"/>
      <c r="J41" s="133"/>
      <c r="K41" s="133"/>
      <c r="L41" s="133"/>
      <c r="M41" s="133"/>
      <c r="N41" s="139"/>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55" t="s">
        <v>157</v>
      </c>
      <c r="D44" s="156"/>
      <c r="E44" s="156"/>
      <c r="F44" s="156"/>
      <c r="G44" s="156"/>
      <c r="H44" s="156"/>
      <c r="I44" s="26" t="s">
        <v>2</v>
      </c>
      <c r="J44" s="27"/>
      <c r="K44" s="132" t="s">
        <v>158</v>
      </c>
      <c r="L44" s="133"/>
      <c r="M44" s="133"/>
      <c r="N44" s="139"/>
      <c r="O44" s="31" t="str">
        <f>IF(OR(C44="",K44=""),"入力してください","")</f>
        <v/>
      </c>
    </row>
    <row r="45" spans="1:15" ht="24" customHeight="1" x14ac:dyDescent="0.15">
      <c r="B45" s="25" t="s">
        <v>4</v>
      </c>
      <c r="C45" s="149" t="s">
        <v>159</v>
      </c>
      <c r="D45" s="150"/>
      <c r="E45" s="150"/>
      <c r="F45" s="150"/>
      <c r="G45" s="150"/>
      <c r="H45" s="151"/>
      <c r="I45" s="26" t="s">
        <v>3</v>
      </c>
      <c r="J45" s="27"/>
      <c r="K45" s="152" t="s">
        <v>160</v>
      </c>
      <c r="L45" s="153"/>
      <c r="M45" s="153"/>
      <c r="N45" s="154"/>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73" zoomScaleNormal="100" zoomScaleSheetLayoutView="100" workbookViewId="0">
      <selection activeCell="D81" sqref="D81:Z81"/>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81" t="s">
        <v>113</v>
      </c>
      <c r="X1" s="181"/>
      <c r="Y1" s="181"/>
      <c r="Z1" s="181"/>
    </row>
    <row r="2" spans="1:26" ht="18" customHeight="1" x14ac:dyDescent="0.15">
      <c r="A2" s="220" t="s">
        <v>67</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72" t="s">
        <v>161</v>
      </c>
      <c r="P4" s="173"/>
      <c r="Q4" s="173"/>
      <c r="R4" s="173"/>
      <c r="S4" s="173"/>
      <c r="T4" s="173"/>
      <c r="U4" s="173"/>
      <c r="V4" s="173"/>
      <c r="W4" s="173"/>
      <c r="X4" s="173"/>
      <c r="Y4" s="173"/>
      <c r="Z4" s="17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1" t="s">
        <v>168</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9" t="s">
        <v>126</v>
      </c>
      <c r="B13" s="219"/>
      <c r="C13" s="219"/>
      <c r="D13" s="219"/>
      <c r="E13" s="219"/>
      <c r="F13" s="219"/>
      <c r="G13" s="219"/>
      <c r="H13" s="219"/>
      <c r="I13" s="219"/>
      <c r="J13" s="219"/>
      <c r="K13" s="219"/>
      <c r="L13" s="219"/>
      <c r="M13" s="219"/>
      <c r="N13" s="219"/>
      <c r="O13" s="219"/>
      <c r="P13" s="219"/>
      <c r="Q13" s="219"/>
      <c r="R13" s="219"/>
      <c r="S13" s="219"/>
      <c r="T13" s="219"/>
      <c r="U13" s="219"/>
      <c r="V13" s="219"/>
      <c r="W13" s="219"/>
      <c r="X13" s="219"/>
      <c r="Y13" s="219"/>
      <c r="Z13" s="219"/>
    </row>
    <row r="14" spans="1:26" ht="18" customHeight="1" x14ac:dyDescent="0.15">
      <c r="A14" s="219"/>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row>
    <row r="15" spans="1:26" ht="18" customHeight="1" x14ac:dyDescent="0.15">
      <c r="A15" s="14"/>
      <c r="B15" s="172" t="s">
        <v>100</v>
      </c>
      <c r="C15" s="173"/>
      <c r="D15" s="173"/>
      <c r="E15" s="173"/>
      <c r="F15" s="174"/>
      <c r="G15" s="30" t="s">
        <v>142</v>
      </c>
      <c r="H15" s="112" t="s">
        <v>141</v>
      </c>
      <c r="I15" s="173" t="s">
        <v>101</v>
      </c>
      <c r="J15" s="173"/>
      <c r="K15" s="173"/>
      <c r="L15" s="75" t="s">
        <v>104</v>
      </c>
      <c r="M15" s="75" t="s">
        <v>107</v>
      </c>
      <c r="N15" s="172" t="s">
        <v>100</v>
      </c>
      <c r="O15" s="173"/>
      <c r="P15" s="173"/>
      <c r="Q15" s="173"/>
      <c r="R15" s="173"/>
      <c r="S15" s="174"/>
      <c r="T15" s="30" t="s">
        <v>142</v>
      </c>
      <c r="U15" s="112" t="s">
        <v>141</v>
      </c>
      <c r="V15" s="173" t="s">
        <v>101</v>
      </c>
      <c r="W15" s="173"/>
      <c r="X15" s="173"/>
      <c r="Y15" s="75" t="s">
        <v>104</v>
      </c>
      <c r="Z15" s="75" t="s">
        <v>107</v>
      </c>
    </row>
    <row r="16" spans="1:26" ht="18" customHeight="1" x14ac:dyDescent="0.15">
      <c r="A16" s="14"/>
      <c r="B16" s="182" t="s">
        <v>169</v>
      </c>
      <c r="C16" s="183"/>
      <c r="D16" s="183"/>
      <c r="E16" s="183"/>
      <c r="F16" s="184"/>
      <c r="G16" s="113">
        <v>2</v>
      </c>
      <c r="H16" s="113" t="s">
        <v>171</v>
      </c>
      <c r="I16" s="188" t="s">
        <v>170</v>
      </c>
      <c r="J16" s="189"/>
      <c r="K16" s="190"/>
      <c r="L16" s="113" t="s">
        <v>171</v>
      </c>
      <c r="M16" s="113" t="s">
        <v>171</v>
      </c>
      <c r="N16" s="157"/>
      <c r="O16" s="158"/>
      <c r="P16" s="158"/>
      <c r="Q16" s="158"/>
      <c r="R16" s="158"/>
      <c r="S16" s="159"/>
      <c r="T16" s="113"/>
      <c r="U16" s="113"/>
      <c r="V16" s="188"/>
      <c r="W16" s="189"/>
      <c r="X16" s="190"/>
      <c r="Y16" s="113"/>
      <c r="Z16" s="113"/>
    </row>
    <row r="17" spans="1:26" ht="18" customHeight="1" x14ac:dyDescent="0.15">
      <c r="A17" s="14"/>
      <c r="B17" s="175"/>
      <c r="C17" s="176"/>
      <c r="D17" s="176"/>
      <c r="E17" s="176"/>
      <c r="F17" s="177"/>
      <c r="G17" s="114"/>
      <c r="H17" s="114"/>
      <c r="I17" s="166"/>
      <c r="J17" s="167"/>
      <c r="K17" s="168"/>
      <c r="L17" s="114"/>
      <c r="M17" s="114"/>
      <c r="N17" s="160"/>
      <c r="O17" s="161"/>
      <c r="P17" s="161"/>
      <c r="Q17" s="161"/>
      <c r="R17" s="161"/>
      <c r="S17" s="162"/>
      <c r="T17" s="114"/>
      <c r="U17" s="114"/>
      <c r="V17" s="166"/>
      <c r="W17" s="167"/>
      <c r="X17" s="168"/>
      <c r="Y17" s="114"/>
      <c r="Z17" s="114"/>
    </row>
    <row r="18" spans="1:26" ht="18" customHeight="1" x14ac:dyDescent="0.15">
      <c r="A18" s="14"/>
      <c r="B18" s="175"/>
      <c r="C18" s="176"/>
      <c r="D18" s="176"/>
      <c r="E18" s="176"/>
      <c r="F18" s="177"/>
      <c r="G18" s="114"/>
      <c r="H18" s="114"/>
      <c r="I18" s="166"/>
      <c r="J18" s="167"/>
      <c r="K18" s="168"/>
      <c r="L18" s="114"/>
      <c r="M18" s="114"/>
      <c r="N18" s="160"/>
      <c r="O18" s="161"/>
      <c r="P18" s="161"/>
      <c r="Q18" s="161"/>
      <c r="R18" s="161"/>
      <c r="S18" s="162"/>
      <c r="T18" s="114"/>
      <c r="U18" s="114"/>
      <c r="V18" s="166"/>
      <c r="W18" s="167"/>
      <c r="X18" s="168"/>
      <c r="Y18" s="114"/>
      <c r="Z18" s="114"/>
    </row>
    <row r="19" spans="1:26" ht="18" customHeight="1" x14ac:dyDescent="0.15">
      <c r="A19" s="14"/>
      <c r="B19" s="175"/>
      <c r="C19" s="176"/>
      <c r="D19" s="176"/>
      <c r="E19" s="176"/>
      <c r="F19" s="177"/>
      <c r="G19" s="114"/>
      <c r="H19" s="114"/>
      <c r="I19" s="166"/>
      <c r="J19" s="167"/>
      <c r="K19" s="168"/>
      <c r="L19" s="114"/>
      <c r="M19" s="114"/>
      <c r="N19" s="160"/>
      <c r="O19" s="161"/>
      <c r="P19" s="161"/>
      <c r="Q19" s="161"/>
      <c r="R19" s="161"/>
      <c r="S19" s="162"/>
      <c r="T19" s="114"/>
      <c r="U19" s="114"/>
      <c r="V19" s="166"/>
      <c r="W19" s="167"/>
      <c r="X19" s="168"/>
      <c r="Y19" s="114"/>
      <c r="Z19" s="114"/>
    </row>
    <row r="20" spans="1:26" ht="18" customHeight="1" x14ac:dyDescent="0.15">
      <c r="A20" s="14"/>
      <c r="B20" s="175"/>
      <c r="C20" s="176"/>
      <c r="D20" s="176"/>
      <c r="E20" s="176"/>
      <c r="F20" s="177"/>
      <c r="G20" s="114"/>
      <c r="H20" s="114"/>
      <c r="I20" s="166"/>
      <c r="J20" s="167"/>
      <c r="K20" s="168"/>
      <c r="L20" s="114"/>
      <c r="M20" s="114"/>
      <c r="N20" s="160"/>
      <c r="O20" s="161"/>
      <c r="P20" s="161"/>
      <c r="Q20" s="161"/>
      <c r="R20" s="161"/>
      <c r="S20" s="162"/>
      <c r="T20" s="114"/>
      <c r="U20" s="114"/>
      <c r="V20" s="166"/>
      <c r="W20" s="167"/>
      <c r="X20" s="168"/>
      <c r="Y20" s="114"/>
      <c r="Z20" s="114"/>
    </row>
    <row r="21" spans="1:26" ht="18" customHeight="1" x14ac:dyDescent="0.15">
      <c r="A21" s="29"/>
      <c r="B21" s="175"/>
      <c r="C21" s="176"/>
      <c r="D21" s="176"/>
      <c r="E21" s="176"/>
      <c r="F21" s="177"/>
      <c r="G21" s="114"/>
      <c r="H21" s="114"/>
      <c r="I21" s="166"/>
      <c r="J21" s="167"/>
      <c r="K21" s="168"/>
      <c r="L21" s="114"/>
      <c r="M21" s="114"/>
      <c r="N21" s="160"/>
      <c r="O21" s="161"/>
      <c r="P21" s="161"/>
      <c r="Q21" s="161"/>
      <c r="R21" s="161"/>
      <c r="S21" s="162"/>
      <c r="T21" s="114"/>
      <c r="U21" s="114"/>
      <c r="V21" s="166"/>
      <c r="W21" s="167"/>
      <c r="X21" s="168"/>
      <c r="Y21" s="114"/>
      <c r="Z21" s="114"/>
    </row>
    <row r="22" spans="1:26" ht="18" customHeight="1" x14ac:dyDescent="0.15">
      <c r="A22" s="29"/>
      <c r="B22" s="178"/>
      <c r="C22" s="179"/>
      <c r="D22" s="179"/>
      <c r="E22" s="179"/>
      <c r="F22" s="180"/>
      <c r="G22" s="115"/>
      <c r="H22" s="115"/>
      <c r="I22" s="169"/>
      <c r="J22" s="170"/>
      <c r="K22" s="171"/>
      <c r="L22" s="121"/>
      <c r="M22" s="121"/>
      <c r="N22" s="163"/>
      <c r="O22" s="164"/>
      <c r="P22" s="164"/>
      <c r="Q22" s="164"/>
      <c r="R22" s="164"/>
      <c r="S22" s="165"/>
      <c r="T22" s="115"/>
      <c r="U22" s="115"/>
      <c r="V22" s="169"/>
      <c r="W22" s="170"/>
      <c r="X22" s="171"/>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9" t="s">
        <v>127</v>
      </c>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row>
    <row r="25" spans="1:26" ht="18" customHeight="1" x14ac:dyDescent="0.15">
      <c r="A25" s="219"/>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219"/>
      <c r="Z25" s="219"/>
    </row>
    <row r="26" spans="1:26" ht="18" customHeight="1" x14ac:dyDescent="0.15">
      <c r="A26" s="14"/>
      <c r="B26" s="172" t="s">
        <v>100</v>
      </c>
      <c r="C26" s="173"/>
      <c r="D26" s="173"/>
      <c r="E26" s="173"/>
      <c r="F26" s="174"/>
      <c r="G26" s="30" t="s">
        <v>142</v>
      </c>
      <c r="H26" s="112" t="s">
        <v>141</v>
      </c>
      <c r="I26" s="173" t="s">
        <v>101</v>
      </c>
      <c r="J26" s="173"/>
      <c r="K26" s="173"/>
      <c r="L26" s="75" t="s">
        <v>128</v>
      </c>
      <c r="M26" s="75" t="s">
        <v>129</v>
      </c>
      <c r="N26" s="172" t="s">
        <v>100</v>
      </c>
      <c r="O26" s="173"/>
      <c r="P26" s="173"/>
      <c r="Q26" s="173"/>
      <c r="R26" s="173"/>
      <c r="S26" s="174"/>
      <c r="T26" s="30" t="s">
        <v>142</v>
      </c>
      <c r="U26" s="112" t="s">
        <v>141</v>
      </c>
      <c r="V26" s="173" t="s">
        <v>101</v>
      </c>
      <c r="W26" s="173"/>
      <c r="X26" s="173"/>
      <c r="Y26" s="75" t="s">
        <v>128</v>
      </c>
      <c r="Z26" s="75" t="s">
        <v>129</v>
      </c>
    </row>
    <row r="27" spans="1:26" ht="18" customHeight="1" x14ac:dyDescent="0.15">
      <c r="A27" s="14"/>
      <c r="B27" s="182" t="s">
        <v>169</v>
      </c>
      <c r="C27" s="183"/>
      <c r="D27" s="183"/>
      <c r="E27" s="183"/>
      <c r="F27" s="184"/>
      <c r="G27" s="113">
        <v>2</v>
      </c>
      <c r="H27" s="113" t="s">
        <v>171</v>
      </c>
      <c r="I27" s="188" t="s">
        <v>170</v>
      </c>
      <c r="J27" s="189"/>
      <c r="K27" s="190"/>
      <c r="L27" s="113" t="s">
        <v>171</v>
      </c>
      <c r="M27" s="113" t="s">
        <v>171</v>
      </c>
      <c r="N27" s="157"/>
      <c r="O27" s="158"/>
      <c r="P27" s="158"/>
      <c r="Q27" s="158"/>
      <c r="R27" s="158"/>
      <c r="S27" s="159"/>
      <c r="T27" s="113"/>
      <c r="U27" s="113"/>
      <c r="V27" s="188"/>
      <c r="W27" s="189"/>
      <c r="X27" s="190"/>
      <c r="Y27" s="113"/>
      <c r="Z27" s="113"/>
    </row>
    <row r="28" spans="1:26" ht="18" customHeight="1" x14ac:dyDescent="0.15">
      <c r="A28" s="14"/>
      <c r="B28" s="175"/>
      <c r="C28" s="176"/>
      <c r="D28" s="176"/>
      <c r="E28" s="176"/>
      <c r="F28" s="177"/>
      <c r="G28" s="114"/>
      <c r="H28" s="114"/>
      <c r="I28" s="166"/>
      <c r="J28" s="167"/>
      <c r="K28" s="168"/>
      <c r="L28" s="114"/>
      <c r="M28" s="114"/>
      <c r="N28" s="160"/>
      <c r="O28" s="161"/>
      <c r="P28" s="161"/>
      <c r="Q28" s="161"/>
      <c r="R28" s="161"/>
      <c r="S28" s="162"/>
      <c r="T28" s="114"/>
      <c r="U28" s="114"/>
      <c r="V28" s="166"/>
      <c r="W28" s="167"/>
      <c r="X28" s="168"/>
      <c r="Y28" s="114"/>
      <c r="Z28" s="114"/>
    </row>
    <row r="29" spans="1:26" ht="18" customHeight="1" x14ac:dyDescent="0.15">
      <c r="A29" s="14"/>
      <c r="B29" s="175"/>
      <c r="C29" s="176"/>
      <c r="D29" s="176"/>
      <c r="E29" s="176"/>
      <c r="F29" s="177"/>
      <c r="G29" s="114"/>
      <c r="H29" s="114"/>
      <c r="I29" s="166"/>
      <c r="J29" s="167"/>
      <c r="K29" s="168"/>
      <c r="L29" s="114"/>
      <c r="M29" s="114"/>
      <c r="N29" s="160"/>
      <c r="O29" s="161"/>
      <c r="P29" s="161"/>
      <c r="Q29" s="161"/>
      <c r="R29" s="161"/>
      <c r="S29" s="162"/>
      <c r="T29" s="114"/>
      <c r="U29" s="114"/>
      <c r="V29" s="166"/>
      <c r="W29" s="167"/>
      <c r="X29" s="168"/>
      <c r="Y29" s="114"/>
      <c r="Z29" s="114"/>
    </row>
    <row r="30" spans="1:26" ht="18" customHeight="1" x14ac:dyDescent="0.15">
      <c r="A30" s="14"/>
      <c r="B30" s="175"/>
      <c r="C30" s="176"/>
      <c r="D30" s="176"/>
      <c r="E30" s="176"/>
      <c r="F30" s="177"/>
      <c r="G30" s="114"/>
      <c r="H30" s="114"/>
      <c r="I30" s="166"/>
      <c r="J30" s="167"/>
      <c r="K30" s="168"/>
      <c r="L30" s="114"/>
      <c r="M30" s="114"/>
      <c r="N30" s="160"/>
      <c r="O30" s="161"/>
      <c r="P30" s="161"/>
      <c r="Q30" s="161"/>
      <c r="R30" s="161"/>
      <c r="S30" s="162"/>
      <c r="T30" s="114"/>
      <c r="U30" s="114"/>
      <c r="V30" s="166"/>
      <c r="W30" s="167"/>
      <c r="X30" s="168"/>
      <c r="Y30" s="114"/>
      <c r="Z30" s="114"/>
    </row>
    <row r="31" spans="1:26" ht="18" customHeight="1" x14ac:dyDescent="0.15">
      <c r="A31" s="14"/>
      <c r="B31" s="175"/>
      <c r="C31" s="176"/>
      <c r="D31" s="176"/>
      <c r="E31" s="176"/>
      <c r="F31" s="177"/>
      <c r="G31" s="114"/>
      <c r="H31" s="114"/>
      <c r="I31" s="166"/>
      <c r="J31" s="167"/>
      <c r="K31" s="168"/>
      <c r="L31" s="114"/>
      <c r="M31" s="114"/>
      <c r="N31" s="160"/>
      <c r="O31" s="161"/>
      <c r="P31" s="161"/>
      <c r="Q31" s="161"/>
      <c r="R31" s="161"/>
      <c r="S31" s="162"/>
      <c r="T31" s="114"/>
      <c r="U31" s="114"/>
      <c r="V31" s="166"/>
      <c r="W31" s="167"/>
      <c r="X31" s="168"/>
      <c r="Y31" s="114"/>
      <c r="Z31" s="114"/>
    </row>
    <row r="32" spans="1:26" ht="18" customHeight="1" x14ac:dyDescent="0.15">
      <c r="A32" s="14"/>
      <c r="B32" s="175"/>
      <c r="C32" s="176"/>
      <c r="D32" s="176"/>
      <c r="E32" s="176"/>
      <c r="F32" s="177"/>
      <c r="G32" s="114"/>
      <c r="H32" s="114"/>
      <c r="I32" s="166"/>
      <c r="J32" s="167"/>
      <c r="K32" s="168"/>
      <c r="L32" s="114"/>
      <c r="M32" s="114"/>
      <c r="N32" s="160"/>
      <c r="O32" s="161"/>
      <c r="P32" s="161"/>
      <c r="Q32" s="161"/>
      <c r="R32" s="161"/>
      <c r="S32" s="162"/>
      <c r="T32" s="114"/>
      <c r="U32" s="114"/>
      <c r="V32" s="166"/>
      <c r="W32" s="167"/>
      <c r="X32" s="168"/>
      <c r="Y32" s="114"/>
      <c r="Z32" s="114"/>
    </row>
    <row r="33" spans="1:26" ht="18" customHeight="1" x14ac:dyDescent="0.15">
      <c r="A33" s="14"/>
      <c r="B33" s="178"/>
      <c r="C33" s="179"/>
      <c r="D33" s="179"/>
      <c r="E33" s="179"/>
      <c r="F33" s="180"/>
      <c r="G33" s="115"/>
      <c r="H33" s="115"/>
      <c r="I33" s="169"/>
      <c r="J33" s="170"/>
      <c r="K33" s="171"/>
      <c r="L33" s="121"/>
      <c r="M33" s="121"/>
      <c r="N33" s="163"/>
      <c r="O33" s="164"/>
      <c r="P33" s="164"/>
      <c r="Q33" s="164"/>
      <c r="R33" s="164"/>
      <c r="S33" s="165"/>
      <c r="T33" s="115"/>
      <c r="U33" s="115"/>
      <c r="V33" s="169"/>
      <c r="W33" s="170"/>
      <c r="X33" s="171"/>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9" t="s">
        <v>130</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row>
    <row r="36" spans="1:26" ht="18" customHeight="1" x14ac:dyDescent="0.15">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row>
    <row r="37" spans="1:26" ht="18" customHeight="1" x14ac:dyDescent="0.15">
      <c r="A37" s="14"/>
      <c r="B37" s="172" t="s">
        <v>100</v>
      </c>
      <c r="C37" s="173"/>
      <c r="D37" s="173"/>
      <c r="E37" s="173"/>
      <c r="F37" s="174"/>
      <c r="G37" s="30" t="s">
        <v>142</v>
      </c>
      <c r="H37" s="112" t="s">
        <v>141</v>
      </c>
      <c r="I37" s="172" t="s">
        <v>101</v>
      </c>
      <c r="J37" s="173"/>
      <c r="K37" s="174"/>
      <c r="L37" s="75" t="s">
        <v>131</v>
      </c>
      <c r="M37" s="75" t="s">
        <v>132</v>
      </c>
      <c r="N37" s="172" t="s">
        <v>100</v>
      </c>
      <c r="O37" s="173"/>
      <c r="P37" s="173"/>
      <c r="Q37" s="173"/>
      <c r="R37" s="173"/>
      <c r="S37" s="174"/>
      <c r="T37" s="30" t="s">
        <v>142</v>
      </c>
      <c r="U37" s="112" t="s">
        <v>141</v>
      </c>
      <c r="V37" s="172" t="s">
        <v>101</v>
      </c>
      <c r="W37" s="173"/>
      <c r="X37" s="174"/>
      <c r="Y37" s="75" t="s">
        <v>131</v>
      </c>
      <c r="Z37" s="75" t="s">
        <v>132</v>
      </c>
    </row>
    <row r="38" spans="1:26" ht="18" customHeight="1" x14ac:dyDescent="0.15">
      <c r="A38" s="29"/>
      <c r="B38" s="182" t="s">
        <v>169</v>
      </c>
      <c r="C38" s="183"/>
      <c r="D38" s="183"/>
      <c r="E38" s="183"/>
      <c r="F38" s="184"/>
      <c r="G38" s="113">
        <v>2</v>
      </c>
      <c r="H38" s="113" t="s">
        <v>171</v>
      </c>
      <c r="I38" s="188" t="s">
        <v>170</v>
      </c>
      <c r="J38" s="189"/>
      <c r="K38" s="190"/>
      <c r="L38" s="113" t="s">
        <v>171</v>
      </c>
      <c r="M38" s="113" t="s">
        <v>171</v>
      </c>
      <c r="N38" s="157"/>
      <c r="O38" s="158"/>
      <c r="P38" s="158"/>
      <c r="Q38" s="158"/>
      <c r="R38" s="158"/>
      <c r="S38" s="159"/>
      <c r="T38" s="113"/>
      <c r="U38" s="113"/>
      <c r="V38" s="188"/>
      <c r="W38" s="189"/>
      <c r="X38" s="190"/>
      <c r="Y38" s="113"/>
      <c r="Z38" s="113"/>
    </row>
    <row r="39" spans="1:26" ht="18" customHeight="1" x14ac:dyDescent="0.15">
      <c r="A39" s="29"/>
      <c r="B39" s="175"/>
      <c r="C39" s="176"/>
      <c r="D39" s="176"/>
      <c r="E39" s="176"/>
      <c r="F39" s="177"/>
      <c r="G39" s="114"/>
      <c r="H39" s="114"/>
      <c r="I39" s="166"/>
      <c r="J39" s="167"/>
      <c r="K39" s="168"/>
      <c r="L39" s="114"/>
      <c r="M39" s="114"/>
      <c r="N39" s="160"/>
      <c r="O39" s="161"/>
      <c r="P39" s="161"/>
      <c r="Q39" s="161"/>
      <c r="R39" s="161"/>
      <c r="S39" s="162"/>
      <c r="T39" s="114"/>
      <c r="U39" s="114"/>
      <c r="V39" s="166"/>
      <c r="W39" s="167"/>
      <c r="X39" s="168"/>
      <c r="Y39" s="114"/>
      <c r="Z39" s="114"/>
    </row>
    <row r="40" spans="1:26" ht="18" customHeight="1" x14ac:dyDescent="0.15">
      <c r="A40" s="29"/>
      <c r="B40" s="175"/>
      <c r="C40" s="176"/>
      <c r="D40" s="176"/>
      <c r="E40" s="176"/>
      <c r="F40" s="177"/>
      <c r="G40" s="114"/>
      <c r="H40" s="114"/>
      <c r="I40" s="166"/>
      <c r="J40" s="167"/>
      <c r="K40" s="168"/>
      <c r="L40" s="114"/>
      <c r="M40" s="114"/>
      <c r="N40" s="160"/>
      <c r="O40" s="161"/>
      <c r="P40" s="161"/>
      <c r="Q40" s="161"/>
      <c r="R40" s="161"/>
      <c r="S40" s="162"/>
      <c r="T40" s="114"/>
      <c r="U40" s="114"/>
      <c r="V40" s="166"/>
      <c r="W40" s="167"/>
      <c r="X40" s="168"/>
      <c r="Y40" s="114"/>
      <c r="Z40" s="114"/>
    </row>
    <row r="41" spans="1:26" ht="18" customHeight="1" x14ac:dyDescent="0.15">
      <c r="A41" s="29"/>
      <c r="B41" s="175"/>
      <c r="C41" s="176"/>
      <c r="D41" s="176"/>
      <c r="E41" s="176"/>
      <c r="F41" s="177"/>
      <c r="G41" s="114"/>
      <c r="H41" s="114"/>
      <c r="I41" s="166"/>
      <c r="J41" s="167"/>
      <c r="K41" s="168"/>
      <c r="L41" s="114"/>
      <c r="M41" s="114"/>
      <c r="N41" s="160"/>
      <c r="O41" s="161"/>
      <c r="P41" s="161"/>
      <c r="Q41" s="161"/>
      <c r="R41" s="161"/>
      <c r="S41" s="162"/>
      <c r="T41" s="114"/>
      <c r="U41" s="114"/>
      <c r="V41" s="166"/>
      <c r="W41" s="167"/>
      <c r="X41" s="168"/>
      <c r="Y41" s="114"/>
      <c r="Z41" s="114"/>
    </row>
    <row r="42" spans="1:26" ht="18" customHeight="1" x14ac:dyDescent="0.15">
      <c r="A42" s="29"/>
      <c r="B42" s="175"/>
      <c r="C42" s="176"/>
      <c r="D42" s="176"/>
      <c r="E42" s="176"/>
      <c r="F42" s="177"/>
      <c r="G42" s="114"/>
      <c r="H42" s="114"/>
      <c r="I42" s="166"/>
      <c r="J42" s="167"/>
      <c r="K42" s="168"/>
      <c r="L42" s="114"/>
      <c r="M42" s="114"/>
      <c r="N42" s="160"/>
      <c r="O42" s="161"/>
      <c r="P42" s="161"/>
      <c r="Q42" s="161"/>
      <c r="R42" s="161"/>
      <c r="S42" s="162"/>
      <c r="T42" s="114"/>
      <c r="U42" s="114"/>
      <c r="V42" s="166"/>
      <c r="W42" s="167"/>
      <c r="X42" s="168"/>
      <c r="Y42" s="114"/>
      <c r="Z42" s="114"/>
    </row>
    <row r="43" spans="1:26" ht="18" customHeight="1" x14ac:dyDescent="0.15">
      <c r="A43" s="29"/>
      <c r="B43" s="175"/>
      <c r="C43" s="176"/>
      <c r="D43" s="176"/>
      <c r="E43" s="176"/>
      <c r="F43" s="177"/>
      <c r="G43" s="114"/>
      <c r="H43" s="114"/>
      <c r="I43" s="166"/>
      <c r="J43" s="167"/>
      <c r="K43" s="168"/>
      <c r="L43" s="114"/>
      <c r="M43" s="114"/>
      <c r="N43" s="160"/>
      <c r="O43" s="161"/>
      <c r="P43" s="161"/>
      <c r="Q43" s="161"/>
      <c r="R43" s="161"/>
      <c r="S43" s="162"/>
      <c r="T43" s="114"/>
      <c r="U43" s="114"/>
      <c r="V43" s="166"/>
      <c r="W43" s="167"/>
      <c r="X43" s="168"/>
      <c r="Y43" s="114"/>
      <c r="Z43" s="114"/>
    </row>
    <row r="44" spans="1:26" ht="18" customHeight="1" x14ac:dyDescent="0.15">
      <c r="A44" s="29"/>
      <c r="B44" s="178"/>
      <c r="C44" s="179"/>
      <c r="D44" s="179"/>
      <c r="E44" s="179"/>
      <c r="F44" s="180"/>
      <c r="G44" s="115"/>
      <c r="H44" s="115"/>
      <c r="I44" s="169"/>
      <c r="J44" s="170"/>
      <c r="K44" s="171"/>
      <c r="L44" s="121"/>
      <c r="M44" s="121"/>
      <c r="N44" s="163"/>
      <c r="O44" s="164"/>
      <c r="P44" s="164"/>
      <c r="Q44" s="164"/>
      <c r="R44" s="164"/>
      <c r="S44" s="165"/>
      <c r="T44" s="115"/>
      <c r="U44" s="115"/>
      <c r="V44" s="169"/>
      <c r="W44" s="170"/>
      <c r="X44" s="171"/>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9" t="s">
        <v>133</v>
      </c>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spans="1:26" ht="18" customHeight="1" x14ac:dyDescent="0.15">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spans="1:26" ht="18" customHeight="1" x14ac:dyDescent="0.15">
      <c r="A48" s="14"/>
      <c r="B48" s="172" t="s">
        <v>100</v>
      </c>
      <c r="C48" s="173"/>
      <c r="D48" s="173"/>
      <c r="E48" s="173"/>
      <c r="F48" s="174"/>
      <c r="G48" s="30" t="s">
        <v>142</v>
      </c>
      <c r="H48" s="112" t="s">
        <v>141</v>
      </c>
      <c r="I48" s="172" t="s">
        <v>101</v>
      </c>
      <c r="J48" s="173"/>
      <c r="K48" s="174"/>
      <c r="L48" s="75" t="s">
        <v>106</v>
      </c>
      <c r="M48" s="75" t="s">
        <v>108</v>
      </c>
      <c r="N48" s="172" t="s">
        <v>100</v>
      </c>
      <c r="O48" s="173"/>
      <c r="P48" s="173"/>
      <c r="Q48" s="173"/>
      <c r="R48" s="173"/>
      <c r="S48" s="174"/>
      <c r="T48" s="30" t="s">
        <v>142</v>
      </c>
      <c r="U48" s="112" t="s">
        <v>141</v>
      </c>
      <c r="V48" s="172" t="s">
        <v>101</v>
      </c>
      <c r="W48" s="173"/>
      <c r="X48" s="174"/>
      <c r="Y48" s="75" t="s">
        <v>106</v>
      </c>
      <c r="Z48" s="75" t="s">
        <v>108</v>
      </c>
    </row>
    <row r="49" spans="1:26" ht="18" customHeight="1" x14ac:dyDescent="0.15">
      <c r="A49" s="29"/>
      <c r="B49" s="182" t="s">
        <v>169</v>
      </c>
      <c r="C49" s="183"/>
      <c r="D49" s="183"/>
      <c r="E49" s="183"/>
      <c r="F49" s="184"/>
      <c r="G49" s="113">
        <v>2</v>
      </c>
      <c r="H49" s="113" t="s">
        <v>171</v>
      </c>
      <c r="I49" s="188" t="s">
        <v>170</v>
      </c>
      <c r="J49" s="189"/>
      <c r="K49" s="190"/>
      <c r="L49" s="113" t="s">
        <v>171</v>
      </c>
      <c r="M49" s="113" t="s">
        <v>171</v>
      </c>
      <c r="N49" s="157"/>
      <c r="O49" s="158"/>
      <c r="P49" s="158"/>
      <c r="Q49" s="158"/>
      <c r="R49" s="158"/>
      <c r="S49" s="159"/>
      <c r="T49" s="113"/>
      <c r="U49" s="113"/>
      <c r="V49" s="188"/>
      <c r="W49" s="189"/>
      <c r="X49" s="190"/>
      <c r="Y49" s="113"/>
      <c r="Z49" s="113"/>
    </row>
    <row r="50" spans="1:26" ht="18" customHeight="1" x14ac:dyDescent="0.15">
      <c r="A50" s="29"/>
      <c r="B50" s="175" t="s">
        <v>174</v>
      </c>
      <c r="C50" s="176"/>
      <c r="D50" s="176"/>
      <c r="E50" s="176"/>
      <c r="F50" s="177"/>
      <c r="G50" s="114">
        <v>2</v>
      </c>
      <c r="H50" s="114"/>
      <c r="I50" s="166" t="s">
        <v>173</v>
      </c>
      <c r="J50" s="167"/>
      <c r="K50" s="168"/>
      <c r="L50" s="114" t="s">
        <v>171</v>
      </c>
      <c r="M50" s="114" t="s">
        <v>171</v>
      </c>
      <c r="N50" s="160"/>
      <c r="O50" s="161"/>
      <c r="P50" s="161"/>
      <c r="Q50" s="161"/>
      <c r="R50" s="161"/>
      <c r="S50" s="162"/>
      <c r="T50" s="114"/>
      <c r="U50" s="114"/>
      <c r="V50" s="166"/>
      <c r="W50" s="167"/>
      <c r="X50" s="168"/>
      <c r="Y50" s="114"/>
      <c r="Z50" s="114"/>
    </row>
    <row r="51" spans="1:26" ht="18" customHeight="1" x14ac:dyDescent="0.15">
      <c r="A51" s="29"/>
      <c r="B51" s="175"/>
      <c r="C51" s="176"/>
      <c r="D51" s="176"/>
      <c r="E51" s="176"/>
      <c r="F51" s="177"/>
      <c r="G51" s="114"/>
      <c r="H51" s="114"/>
      <c r="I51" s="166"/>
      <c r="J51" s="167"/>
      <c r="K51" s="168"/>
      <c r="L51" s="114"/>
      <c r="M51" s="114"/>
      <c r="N51" s="160"/>
      <c r="O51" s="161"/>
      <c r="P51" s="161"/>
      <c r="Q51" s="161"/>
      <c r="R51" s="161"/>
      <c r="S51" s="162"/>
      <c r="T51" s="114"/>
      <c r="U51" s="114"/>
      <c r="V51" s="166"/>
      <c r="W51" s="167"/>
      <c r="X51" s="168"/>
      <c r="Y51" s="114"/>
      <c r="Z51" s="114"/>
    </row>
    <row r="52" spans="1:26" ht="18" customHeight="1" x14ac:dyDescent="0.15">
      <c r="A52" s="29"/>
      <c r="B52" s="175"/>
      <c r="C52" s="176"/>
      <c r="D52" s="176"/>
      <c r="E52" s="176"/>
      <c r="F52" s="177"/>
      <c r="G52" s="114"/>
      <c r="H52" s="114"/>
      <c r="I52" s="166"/>
      <c r="J52" s="167"/>
      <c r="K52" s="168"/>
      <c r="L52" s="114"/>
      <c r="M52" s="114"/>
      <c r="N52" s="160"/>
      <c r="O52" s="161"/>
      <c r="P52" s="161"/>
      <c r="Q52" s="161"/>
      <c r="R52" s="161"/>
      <c r="S52" s="162"/>
      <c r="T52" s="114"/>
      <c r="U52" s="114"/>
      <c r="V52" s="166"/>
      <c r="W52" s="167"/>
      <c r="X52" s="168"/>
      <c r="Y52" s="114"/>
      <c r="Z52" s="114"/>
    </row>
    <row r="53" spans="1:26" ht="18" customHeight="1" x14ac:dyDescent="0.15">
      <c r="A53" s="29"/>
      <c r="B53" s="175"/>
      <c r="C53" s="176"/>
      <c r="D53" s="176"/>
      <c r="E53" s="176"/>
      <c r="F53" s="177"/>
      <c r="G53" s="114"/>
      <c r="H53" s="114"/>
      <c r="I53" s="166"/>
      <c r="J53" s="167"/>
      <c r="K53" s="168"/>
      <c r="L53" s="114"/>
      <c r="M53" s="114"/>
      <c r="N53" s="160"/>
      <c r="O53" s="161"/>
      <c r="P53" s="161"/>
      <c r="Q53" s="161"/>
      <c r="R53" s="161"/>
      <c r="S53" s="162"/>
      <c r="T53" s="114"/>
      <c r="U53" s="114"/>
      <c r="V53" s="166"/>
      <c r="W53" s="167"/>
      <c r="X53" s="168"/>
      <c r="Y53" s="114"/>
      <c r="Z53" s="114"/>
    </row>
    <row r="54" spans="1:26" ht="18" customHeight="1" x14ac:dyDescent="0.15">
      <c r="A54" s="29"/>
      <c r="B54" s="175"/>
      <c r="C54" s="176"/>
      <c r="D54" s="176"/>
      <c r="E54" s="176"/>
      <c r="F54" s="177"/>
      <c r="G54" s="114"/>
      <c r="H54" s="114"/>
      <c r="I54" s="166"/>
      <c r="J54" s="167"/>
      <c r="K54" s="168"/>
      <c r="L54" s="114"/>
      <c r="M54" s="114"/>
      <c r="N54" s="160"/>
      <c r="O54" s="161"/>
      <c r="P54" s="161"/>
      <c r="Q54" s="161"/>
      <c r="R54" s="161"/>
      <c r="S54" s="162"/>
      <c r="T54" s="114"/>
      <c r="U54" s="114"/>
      <c r="V54" s="166"/>
      <c r="W54" s="167"/>
      <c r="X54" s="168"/>
      <c r="Y54" s="114"/>
      <c r="Z54" s="114"/>
    </row>
    <row r="55" spans="1:26" ht="18" customHeight="1" x14ac:dyDescent="0.15">
      <c r="A55" s="29"/>
      <c r="B55" s="178"/>
      <c r="C55" s="179"/>
      <c r="D55" s="179"/>
      <c r="E55" s="179"/>
      <c r="F55" s="180"/>
      <c r="G55" s="115"/>
      <c r="H55" s="115"/>
      <c r="I55" s="169"/>
      <c r="J55" s="170"/>
      <c r="K55" s="171"/>
      <c r="L55" s="121"/>
      <c r="M55" s="121"/>
      <c r="N55" s="163"/>
      <c r="O55" s="164"/>
      <c r="P55" s="164"/>
      <c r="Q55" s="164"/>
      <c r="R55" s="164"/>
      <c r="S55" s="165"/>
      <c r="T55" s="115"/>
      <c r="U55" s="115"/>
      <c r="V55" s="169"/>
      <c r="W55" s="170"/>
      <c r="X55" s="171"/>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9" t="s">
        <v>134</v>
      </c>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spans="1:26" ht="18" customHeight="1" x14ac:dyDescent="0.15">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spans="1:26" ht="18" customHeight="1" x14ac:dyDescent="0.15">
      <c r="A59" s="14"/>
      <c r="B59" s="172" t="s">
        <v>100</v>
      </c>
      <c r="C59" s="173"/>
      <c r="D59" s="173"/>
      <c r="E59" s="174"/>
      <c r="F59" s="30" t="s">
        <v>142</v>
      </c>
      <c r="G59" s="112" t="s">
        <v>141</v>
      </c>
      <c r="H59" s="107" t="s">
        <v>101</v>
      </c>
      <c r="I59" s="108"/>
      <c r="J59" s="109"/>
      <c r="K59" s="75" t="s">
        <v>105</v>
      </c>
      <c r="L59" s="75" t="s">
        <v>135</v>
      </c>
      <c r="M59" s="75" t="s">
        <v>136</v>
      </c>
      <c r="N59" s="172" t="s">
        <v>100</v>
      </c>
      <c r="O59" s="173"/>
      <c r="P59" s="173"/>
      <c r="Q59" s="173"/>
      <c r="R59" s="174"/>
      <c r="S59" s="30" t="s">
        <v>142</v>
      </c>
      <c r="T59" s="112" t="s">
        <v>141</v>
      </c>
      <c r="U59" s="107" t="s">
        <v>101</v>
      </c>
      <c r="V59" s="108"/>
      <c r="W59" s="109"/>
      <c r="X59" s="75" t="s">
        <v>105</v>
      </c>
      <c r="Y59" s="75" t="s">
        <v>135</v>
      </c>
      <c r="Z59" s="75" t="s">
        <v>136</v>
      </c>
    </row>
    <row r="60" spans="1:26" ht="18" customHeight="1" x14ac:dyDescent="0.15">
      <c r="A60" s="29"/>
      <c r="B60" s="157" t="s">
        <v>174</v>
      </c>
      <c r="C60" s="158"/>
      <c r="D60" s="158"/>
      <c r="E60" s="159"/>
      <c r="F60" s="113">
        <v>2</v>
      </c>
      <c r="G60" s="113"/>
      <c r="H60" s="188" t="s">
        <v>173</v>
      </c>
      <c r="I60" s="189"/>
      <c r="J60" s="190"/>
      <c r="K60" s="120"/>
      <c r="L60" s="113"/>
      <c r="M60" s="113" t="s">
        <v>171</v>
      </c>
      <c r="N60" s="157"/>
      <c r="O60" s="158"/>
      <c r="P60" s="158"/>
      <c r="Q60" s="158"/>
      <c r="R60" s="159"/>
      <c r="S60" s="113"/>
      <c r="T60" s="113"/>
      <c r="U60" s="188"/>
      <c r="V60" s="189"/>
      <c r="W60" s="190"/>
      <c r="X60" s="120"/>
      <c r="Y60" s="113"/>
      <c r="Z60" s="113"/>
    </row>
    <row r="61" spans="1:26" ht="18" customHeight="1" x14ac:dyDescent="0.15">
      <c r="A61" s="29"/>
      <c r="B61" s="160" t="s">
        <v>203</v>
      </c>
      <c r="C61" s="161"/>
      <c r="D61" s="161"/>
      <c r="E61" s="162"/>
      <c r="F61" s="114">
        <v>2</v>
      </c>
      <c r="G61" s="114"/>
      <c r="H61" s="166" t="s">
        <v>173</v>
      </c>
      <c r="I61" s="167"/>
      <c r="J61" s="168"/>
      <c r="K61" s="118"/>
      <c r="L61" s="114"/>
      <c r="M61" s="114" t="s">
        <v>171</v>
      </c>
      <c r="N61" s="160"/>
      <c r="O61" s="161"/>
      <c r="P61" s="161"/>
      <c r="Q61" s="161"/>
      <c r="R61" s="162"/>
      <c r="S61" s="114"/>
      <c r="T61" s="114"/>
      <c r="U61" s="166"/>
      <c r="V61" s="167"/>
      <c r="W61" s="168"/>
      <c r="X61" s="118"/>
      <c r="Y61" s="114"/>
      <c r="Z61" s="114"/>
    </row>
    <row r="62" spans="1:26" ht="18" customHeight="1" x14ac:dyDescent="0.15">
      <c r="A62" s="29"/>
      <c r="B62" s="160" t="s">
        <v>175</v>
      </c>
      <c r="C62" s="161"/>
      <c r="D62" s="161"/>
      <c r="E62" s="162"/>
      <c r="F62" s="114">
        <v>2</v>
      </c>
      <c r="G62" s="114"/>
      <c r="H62" s="166" t="s">
        <v>173</v>
      </c>
      <c r="I62" s="167"/>
      <c r="J62" s="168"/>
      <c r="K62" s="114" t="s">
        <v>171</v>
      </c>
      <c r="L62" s="114" t="s">
        <v>171</v>
      </c>
      <c r="M62" s="114" t="s">
        <v>171</v>
      </c>
      <c r="N62" s="160"/>
      <c r="O62" s="161"/>
      <c r="P62" s="161"/>
      <c r="Q62" s="161"/>
      <c r="R62" s="162"/>
      <c r="S62" s="114"/>
      <c r="T62" s="114"/>
      <c r="U62" s="166"/>
      <c r="V62" s="167"/>
      <c r="W62" s="168"/>
      <c r="X62" s="118"/>
      <c r="Y62" s="114"/>
      <c r="Z62" s="114"/>
    </row>
    <row r="63" spans="1:26" ht="18" customHeight="1" x14ac:dyDescent="0.15">
      <c r="A63" s="29"/>
      <c r="B63" s="160" t="s">
        <v>176</v>
      </c>
      <c r="C63" s="161"/>
      <c r="D63" s="161"/>
      <c r="E63" s="162"/>
      <c r="F63" s="114">
        <v>2</v>
      </c>
      <c r="G63" s="114"/>
      <c r="H63" s="166" t="s">
        <v>173</v>
      </c>
      <c r="I63" s="167"/>
      <c r="J63" s="168"/>
      <c r="K63" s="114" t="s">
        <v>171</v>
      </c>
      <c r="L63" s="114" t="s">
        <v>171</v>
      </c>
      <c r="M63" s="114" t="s">
        <v>171</v>
      </c>
      <c r="N63" s="160"/>
      <c r="O63" s="161"/>
      <c r="P63" s="161"/>
      <c r="Q63" s="161"/>
      <c r="R63" s="162"/>
      <c r="S63" s="114"/>
      <c r="T63" s="114"/>
      <c r="U63" s="166"/>
      <c r="V63" s="167"/>
      <c r="W63" s="168"/>
      <c r="X63" s="118"/>
      <c r="Y63" s="114"/>
      <c r="Z63" s="114"/>
    </row>
    <row r="64" spans="1:26" ht="18" customHeight="1" x14ac:dyDescent="0.15">
      <c r="A64" s="29"/>
      <c r="B64" s="160" t="s">
        <v>177</v>
      </c>
      <c r="C64" s="161"/>
      <c r="D64" s="161"/>
      <c r="E64" s="162"/>
      <c r="F64" s="114">
        <v>2</v>
      </c>
      <c r="G64" s="114"/>
      <c r="H64" s="166" t="s">
        <v>173</v>
      </c>
      <c r="I64" s="167"/>
      <c r="J64" s="168"/>
      <c r="K64" s="114" t="s">
        <v>171</v>
      </c>
      <c r="L64" s="114" t="s">
        <v>171</v>
      </c>
      <c r="M64" s="114" t="s">
        <v>171</v>
      </c>
      <c r="N64" s="160"/>
      <c r="O64" s="161"/>
      <c r="P64" s="161"/>
      <c r="Q64" s="161"/>
      <c r="R64" s="162"/>
      <c r="S64" s="114"/>
      <c r="T64" s="114"/>
      <c r="U64" s="166"/>
      <c r="V64" s="167"/>
      <c r="W64" s="168"/>
      <c r="X64" s="118"/>
      <c r="Y64" s="114"/>
      <c r="Z64" s="114"/>
    </row>
    <row r="65" spans="1:26" ht="18" customHeight="1" x14ac:dyDescent="0.15">
      <c r="A65" s="29"/>
      <c r="B65" s="160"/>
      <c r="C65" s="161"/>
      <c r="D65" s="161"/>
      <c r="E65" s="162"/>
      <c r="F65" s="114"/>
      <c r="G65" s="114"/>
      <c r="H65" s="166"/>
      <c r="I65" s="167"/>
      <c r="J65" s="168"/>
      <c r="K65" s="118"/>
      <c r="L65" s="114"/>
      <c r="M65" s="114"/>
      <c r="N65" s="160"/>
      <c r="O65" s="161"/>
      <c r="P65" s="161"/>
      <c r="Q65" s="161"/>
      <c r="R65" s="162"/>
      <c r="S65" s="114"/>
      <c r="T65" s="114"/>
      <c r="U65" s="166"/>
      <c r="V65" s="167"/>
      <c r="W65" s="168"/>
      <c r="X65" s="118"/>
      <c r="Y65" s="114"/>
      <c r="Z65" s="114"/>
    </row>
    <row r="66" spans="1:26" ht="18" customHeight="1" x14ac:dyDescent="0.15">
      <c r="A66" s="29"/>
      <c r="B66" s="163"/>
      <c r="C66" s="164"/>
      <c r="D66" s="164"/>
      <c r="E66" s="165"/>
      <c r="F66" s="115"/>
      <c r="G66" s="115"/>
      <c r="H66" s="169"/>
      <c r="I66" s="170"/>
      <c r="J66" s="171"/>
      <c r="K66" s="119"/>
      <c r="L66" s="121"/>
      <c r="M66" s="121"/>
      <c r="N66" s="163"/>
      <c r="O66" s="164"/>
      <c r="P66" s="164"/>
      <c r="Q66" s="164"/>
      <c r="R66" s="165"/>
      <c r="S66" s="115"/>
      <c r="T66" s="115"/>
      <c r="U66" s="169"/>
      <c r="V66" s="170"/>
      <c r="W66" s="171"/>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137</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72" t="s">
        <v>100</v>
      </c>
      <c r="C69" s="173"/>
      <c r="D69" s="173"/>
      <c r="E69" s="173"/>
      <c r="F69" s="174"/>
      <c r="G69" s="172" t="s">
        <v>147</v>
      </c>
      <c r="H69" s="173"/>
      <c r="I69" s="173"/>
      <c r="J69" s="173"/>
      <c r="K69" s="173"/>
      <c r="L69" s="173"/>
      <c r="M69" s="174"/>
      <c r="N69" s="185" t="s">
        <v>100</v>
      </c>
      <c r="O69" s="186"/>
      <c r="P69" s="186"/>
      <c r="Q69" s="186"/>
      <c r="R69" s="186"/>
      <c r="S69" s="187"/>
      <c r="T69" s="172" t="s">
        <v>147</v>
      </c>
      <c r="U69" s="173"/>
      <c r="V69" s="173"/>
      <c r="W69" s="173"/>
      <c r="X69" s="173"/>
      <c r="Y69" s="173"/>
      <c r="Z69" s="174"/>
    </row>
    <row r="70" spans="1:26" ht="18" customHeight="1" x14ac:dyDescent="0.15">
      <c r="A70" s="29"/>
      <c r="B70" s="157" t="s">
        <v>178</v>
      </c>
      <c r="C70" s="158"/>
      <c r="D70" s="158"/>
      <c r="E70" s="158"/>
      <c r="F70" s="159"/>
      <c r="G70" s="231" t="s">
        <v>184</v>
      </c>
      <c r="H70" s="232"/>
      <c r="I70" s="232"/>
      <c r="J70" s="232"/>
      <c r="K70" s="232"/>
      <c r="L70" s="232"/>
      <c r="M70" s="233"/>
      <c r="N70" s="157"/>
      <c r="O70" s="158"/>
      <c r="P70" s="158"/>
      <c r="Q70" s="158"/>
      <c r="R70" s="158"/>
      <c r="S70" s="159"/>
      <c r="T70" s="231"/>
      <c r="U70" s="232"/>
      <c r="V70" s="232"/>
      <c r="W70" s="232"/>
      <c r="X70" s="232"/>
      <c r="Y70" s="232"/>
      <c r="Z70" s="233"/>
    </row>
    <row r="71" spans="1:26" ht="18" customHeight="1" x14ac:dyDescent="0.15">
      <c r="A71" s="29"/>
      <c r="B71" s="160" t="s">
        <v>179</v>
      </c>
      <c r="C71" s="161"/>
      <c r="D71" s="161"/>
      <c r="E71" s="161"/>
      <c r="F71" s="162"/>
      <c r="G71" s="206" t="s">
        <v>185</v>
      </c>
      <c r="H71" s="207"/>
      <c r="I71" s="207"/>
      <c r="J71" s="207"/>
      <c r="K71" s="207"/>
      <c r="L71" s="207"/>
      <c r="M71" s="208"/>
      <c r="N71" s="160"/>
      <c r="O71" s="161"/>
      <c r="P71" s="161"/>
      <c r="Q71" s="161"/>
      <c r="R71" s="161"/>
      <c r="S71" s="162"/>
      <c r="T71" s="206"/>
      <c r="U71" s="207"/>
      <c r="V71" s="207"/>
      <c r="W71" s="207"/>
      <c r="X71" s="207"/>
      <c r="Y71" s="207"/>
      <c r="Z71" s="208"/>
    </row>
    <row r="72" spans="1:26" ht="18" customHeight="1" x14ac:dyDescent="0.15">
      <c r="A72" s="29"/>
      <c r="B72" s="160" t="s">
        <v>180</v>
      </c>
      <c r="C72" s="161"/>
      <c r="D72" s="161"/>
      <c r="E72" s="161"/>
      <c r="F72" s="162"/>
      <c r="G72" s="206" t="s">
        <v>201</v>
      </c>
      <c r="H72" s="207"/>
      <c r="I72" s="207"/>
      <c r="J72" s="207"/>
      <c r="K72" s="207"/>
      <c r="L72" s="207"/>
      <c r="M72" s="208"/>
      <c r="N72" s="160"/>
      <c r="O72" s="161"/>
      <c r="P72" s="161"/>
      <c r="Q72" s="161"/>
      <c r="R72" s="161"/>
      <c r="S72" s="162"/>
      <c r="T72" s="206"/>
      <c r="U72" s="207"/>
      <c r="V72" s="207"/>
      <c r="W72" s="207"/>
      <c r="X72" s="207"/>
      <c r="Y72" s="207"/>
      <c r="Z72" s="208"/>
    </row>
    <row r="73" spans="1:26" ht="18" customHeight="1" x14ac:dyDescent="0.15">
      <c r="A73" s="29"/>
      <c r="B73" s="160" t="s">
        <v>181</v>
      </c>
      <c r="C73" s="161"/>
      <c r="D73" s="161"/>
      <c r="E73" s="161"/>
      <c r="F73" s="162"/>
      <c r="G73" s="206" t="s">
        <v>202</v>
      </c>
      <c r="H73" s="207"/>
      <c r="I73" s="207"/>
      <c r="J73" s="207"/>
      <c r="K73" s="207"/>
      <c r="L73" s="207"/>
      <c r="M73" s="208"/>
      <c r="N73" s="160"/>
      <c r="O73" s="161"/>
      <c r="P73" s="161"/>
      <c r="Q73" s="161"/>
      <c r="R73" s="161"/>
      <c r="S73" s="162"/>
      <c r="T73" s="206"/>
      <c r="U73" s="207"/>
      <c r="V73" s="207"/>
      <c r="W73" s="207"/>
      <c r="X73" s="207"/>
      <c r="Y73" s="207"/>
      <c r="Z73" s="208"/>
    </row>
    <row r="74" spans="1:26" ht="18" customHeight="1" x14ac:dyDescent="0.15">
      <c r="A74" s="29"/>
      <c r="B74" s="160" t="s">
        <v>182</v>
      </c>
      <c r="C74" s="161"/>
      <c r="D74" s="161"/>
      <c r="E74" s="161"/>
      <c r="F74" s="162"/>
      <c r="G74" s="206" t="s">
        <v>202</v>
      </c>
      <c r="H74" s="207"/>
      <c r="I74" s="207"/>
      <c r="J74" s="207"/>
      <c r="K74" s="207"/>
      <c r="L74" s="207"/>
      <c r="M74" s="208"/>
      <c r="N74" s="160"/>
      <c r="O74" s="161"/>
      <c r="P74" s="161"/>
      <c r="Q74" s="161"/>
      <c r="R74" s="161"/>
      <c r="S74" s="162"/>
      <c r="T74" s="206"/>
      <c r="U74" s="207"/>
      <c r="V74" s="207"/>
      <c r="W74" s="207"/>
      <c r="X74" s="207"/>
      <c r="Y74" s="207"/>
      <c r="Z74" s="208"/>
    </row>
    <row r="75" spans="1:26" ht="18" customHeight="1" x14ac:dyDescent="0.15">
      <c r="A75" s="29"/>
      <c r="B75" s="160" t="s">
        <v>183</v>
      </c>
      <c r="C75" s="161"/>
      <c r="D75" s="161"/>
      <c r="E75" s="161"/>
      <c r="F75" s="162"/>
      <c r="G75" s="206" t="s">
        <v>202</v>
      </c>
      <c r="H75" s="207"/>
      <c r="I75" s="207"/>
      <c r="J75" s="207"/>
      <c r="K75" s="207"/>
      <c r="L75" s="207"/>
      <c r="M75" s="208"/>
      <c r="N75" s="160"/>
      <c r="O75" s="161"/>
      <c r="P75" s="161"/>
      <c r="Q75" s="161"/>
      <c r="R75" s="161"/>
      <c r="S75" s="162"/>
      <c r="T75" s="206"/>
      <c r="U75" s="207"/>
      <c r="V75" s="207"/>
      <c r="W75" s="207"/>
      <c r="X75" s="207"/>
      <c r="Y75" s="207"/>
      <c r="Z75" s="208"/>
    </row>
    <row r="76" spans="1:26" ht="18" customHeight="1" x14ac:dyDescent="0.15">
      <c r="A76" s="29"/>
      <c r="B76" s="163"/>
      <c r="C76" s="164"/>
      <c r="D76" s="164"/>
      <c r="E76" s="164"/>
      <c r="F76" s="165"/>
      <c r="G76" s="203"/>
      <c r="H76" s="204"/>
      <c r="I76" s="204"/>
      <c r="J76" s="204"/>
      <c r="K76" s="204"/>
      <c r="L76" s="204"/>
      <c r="M76" s="205"/>
      <c r="N76" s="163"/>
      <c r="O76" s="164"/>
      <c r="P76" s="164"/>
      <c r="Q76" s="164"/>
      <c r="R76" s="164"/>
      <c r="S76" s="165"/>
      <c r="T76" s="203"/>
      <c r="U76" s="204"/>
      <c r="V76" s="204"/>
      <c r="W76" s="204"/>
      <c r="X76" s="204"/>
      <c r="Y76" s="204"/>
      <c r="Z76" s="205"/>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143</v>
      </c>
    </row>
    <row r="79" spans="1:26" ht="18.75" customHeight="1" x14ac:dyDescent="0.15">
      <c r="B79" s="78" t="s">
        <v>102</v>
      </c>
      <c r="C79" s="79"/>
      <c r="D79" s="251" t="s">
        <v>103</v>
      </c>
      <c r="E79" s="251"/>
      <c r="F79" s="251"/>
      <c r="G79" s="251"/>
      <c r="H79" s="251"/>
      <c r="I79" s="251"/>
      <c r="J79" s="251"/>
      <c r="K79" s="251"/>
      <c r="L79" s="251"/>
      <c r="M79" s="251"/>
      <c r="N79" s="251"/>
      <c r="O79" s="251"/>
      <c r="P79" s="251"/>
      <c r="Q79" s="251"/>
      <c r="R79" s="251"/>
      <c r="S79" s="251"/>
      <c r="T79" s="251"/>
      <c r="U79" s="251"/>
      <c r="V79" s="251"/>
      <c r="W79" s="251"/>
      <c r="X79" s="251"/>
      <c r="Y79" s="251"/>
      <c r="Z79" s="252"/>
    </row>
    <row r="80" spans="1:26" ht="78" customHeight="1" x14ac:dyDescent="0.15">
      <c r="B80" s="239" t="s">
        <v>109</v>
      </c>
      <c r="C80" s="85" t="s">
        <v>104</v>
      </c>
      <c r="D80" s="249" t="s">
        <v>194</v>
      </c>
      <c r="E80" s="249"/>
      <c r="F80" s="249"/>
      <c r="G80" s="249"/>
      <c r="H80" s="249"/>
      <c r="I80" s="249"/>
      <c r="J80" s="249"/>
      <c r="K80" s="249"/>
      <c r="L80" s="249"/>
      <c r="M80" s="249"/>
      <c r="N80" s="249"/>
      <c r="O80" s="249"/>
      <c r="P80" s="249"/>
      <c r="Q80" s="249"/>
      <c r="R80" s="249"/>
      <c r="S80" s="249"/>
      <c r="T80" s="249"/>
      <c r="U80" s="249"/>
      <c r="V80" s="249"/>
      <c r="W80" s="249"/>
      <c r="X80" s="249"/>
      <c r="Y80" s="249"/>
      <c r="Z80" s="250"/>
    </row>
    <row r="81" spans="1:26" ht="78" customHeight="1" x14ac:dyDescent="0.15">
      <c r="B81" s="240"/>
      <c r="C81" s="110" t="s">
        <v>138</v>
      </c>
      <c r="D81" s="209" t="s">
        <v>193</v>
      </c>
      <c r="E81" s="209"/>
      <c r="F81" s="209"/>
      <c r="G81" s="209"/>
      <c r="H81" s="209"/>
      <c r="I81" s="209"/>
      <c r="J81" s="209"/>
      <c r="K81" s="209"/>
      <c r="L81" s="209"/>
      <c r="M81" s="209"/>
      <c r="N81" s="209"/>
      <c r="O81" s="209"/>
      <c r="P81" s="209"/>
      <c r="Q81" s="209"/>
      <c r="R81" s="209"/>
      <c r="S81" s="209"/>
      <c r="T81" s="209"/>
      <c r="U81" s="209"/>
      <c r="V81" s="209"/>
      <c r="W81" s="209"/>
      <c r="X81" s="209"/>
      <c r="Y81" s="209"/>
      <c r="Z81" s="210"/>
    </row>
    <row r="82" spans="1:26" ht="78" customHeight="1" x14ac:dyDescent="0.15">
      <c r="B82" s="237" t="s">
        <v>110</v>
      </c>
      <c r="C82" s="80" t="s">
        <v>128</v>
      </c>
      <c r="D82" s="211" t="s">
        <v>192</v>
      </c>
      <c r="E82" s="211"/>
      <c r="F82" s="211"/>
      <c r="G82" s="211"/>
      <c r="H82" s="211"/>
      <c r="I82" s="211"/>
      <c r="J82" s="211"/>
      <c r="K82" s="211"/>
      <c r="L82" s="211"/>
      <c r="M82" s="211"/>
      <c r="N82" s="211"/>
      <c r="O82" s="211"/>
      <c r="P82" s="211"/>
      <c r="Q82" s="211"/>
      <c r="R82" s="211"/>
      <c r="S82" s="211"/>
      <c r="T82" s="211"/>
      <c r="U82" s="211"/>
      <c r="V82" s="211"/>
      <c r="W82" s="211"/>
      <c r="X82" s="211"/>
      <c r="Y82" s="211"/>
      <c r="Z82" s="212"/>
    </row>
    <row r="83" spans="1:26" ht="78" customHeight="1" x14ac:dyDescent="0.15">
      <c r="B83" s="238"/>
      <c r="C83" s="111" t="s">
        <v>129</v>
      </c>
      <c r="D83" s="216" t="s">
        <v>191</v>
      </c>
      <c r="E83" s="216"/>
      <c r="F83" s="216"/>
      <c r="G83" s="216"/>
      <c r="H83" s="216"/>
      <c r="I83" s="216"/>
      <c r="J83" s="216"/>
      <c r="K83" s="216"/>
      <c r="L83" s="216"/>
      <c r="M83" s="216"/>
      <c r="N83" s="216"/>
      <c r="O83" s="216"/>
      <c r="P83" s="216"/>
      <c r="Q83" s="216"/>
      <c r="R83" s="216"/>
      <c r="S83" s="216"/>
      <c r="T83" s="216"/>
      <c r="U83" s="216"/>
      <c r="V83" s="216"/>
      <c r="W83" s="216"/>
      <c r="X83" s="216"/>
      <c r="Y83" s="216"/>
      <c r="Z83" s="217"/>
    </row>
    <row r="84" spans="1:26" ht="66" customHeight="1" x14ac:dyDescent="0.15">
      <c r="B84" s="237" t="s">
        <v>111</v>
      </c>
      <c r="C84" s="80" t="s">
        <v>131</v>
      </c>
      <c r="D84" s="218" t="s">
        <v>190</v>
      </c>
      <c r="E84" s="211"/>
      <c r="F84" s="211"/>
      <c r="G84" s="211"/>
      <c r="H84" s="211"/>
      <c r="I84" s="211"/>
      <c r="J84" s="211"/>
      <c r="K84" s="211"/>
      <c r="L84" s="211"/>
      <c r="M84" s="211"/>
      <c r="N84" s="211"/>
      <c r="O84" s="211"/>
      <c r="P84" s="211"/>
      <c r="Q84" s="211"/>
      <c r="R84" s="211"/>
      <c r="S84" s="211"/>
      <c r="T84" s="211"/>
      <c r="U84" s="211"/>
      <c r="V84" s="211"/>
      <c r="W84" s="211"/>
      <c r="X84" s="211"/>
      <c r="Y84" s="211"/>
      <c r="Z84" s="212"/>
    </row>
    <row r="85" spans="1:26" ht="66" customHeight="1" x14ac:dyDescent="0.15">
      <c r="B85" s="238"/>
      <c r="C85" s="82" t="s">
        <v>132</v>
      </c>
      <c r="D85" s="213" t="s">
        <v>189</v>
      </c>
      <c r="E85" s="214"/>
      <c r="F85" s="214"/>
      <c r="G85" s="214"/>
      <c r="H85" s="214"/>
      <c r="I85" s="214"/>
      <c r="J85" s="214"/>
      <c r="K85" s="214"/>
      <c r="L85" s="214"/>
      <c r="M85" s="214"/>
      <c r="N85" s="214"/>
      <c r="O85" s="214"/>
      <c r="P85" s="214"/>
      <c r="Q85" s="214"/>
      <c r="R85" s="214"/>
      <c r="S85" s="214"/>
      <c r="T85" s="214"/>
      <c r="U85" s="214"/>
      <c r="V85" s="214"/>
      <c r="W85" s="214"/>
      <c r="X85" s="214"/>
      <c r="Y85" s="214"/>
      <c r="Z85" s="215"/>
    </row>
    <row r="86" spans="1:26" ht="66" customHeight="1" x14ac:dyDescent="0.15">
      <c r="B86" s="239" t="s">
        <v>139</v>
      </c>
      <c r="C86" s="85" t="s">
        <v>106</v>
      </c>
      <c r="D86" s="248" t="s">
        <v>188</v>
      </c>
      <c r="E86" s="249"/>
      <c r="F86" s="249"/>
      <c r="G86" s="249"/>
      <c r="H86" s="249"/>
      <c r="I86" s="249"/>
      <c r="J86" s="249"/>
      <c r="K86" s="249"/>
      <c r="L86" s="249"/>
      <c r="M86" s="249"/>
      <c r="N86" s="249"/>
      <c r="O86" s="249"/>
      <c r="P86" s="249"/>
      <c r="Q86" s="249"/>
      <c r="R86" s="249"/>
      <c r="S86" s="249"/>
      <c r="T86" s="249"/>
      <c r="U86" s="249"/>
      <c r="V86" s="249"/>
      <c r="W86" s="249"/>
      <c r="X86" s="249"/>
      <c r="Y86" s="249"/>
      <c r="Z86" s="250"/>
    </row>
    <row r="87" spans="1:26" ht="66" customHeight="1" x14ac:dyDescent="0.15">
      <c r="B87" s="247"/>
      <c r="C87" s="81" t="s">
        <v>108</v>
      </c>
      <c r="D87" s="248" t="s">
        <v>188</v>
      </c>
      <c r="E87" s="249"/>
      <c r="F87" s="249"/>
      <c r="G87" s="249"/>
      <c r="H87" s="249"/>
      <c r="I87" s="249"/>
      <c r="J87" s="249"/>
      <c r="K87" s="249"/>
      <c r="L87" s="249"/>
      <c r="M87" s="249"/>
      <c r="N87" s="249"/>
      <c r="O87" s="249"/>
      <c r="P87" s="249"/>
      <c r="Q87" s="249"/>
      <c r="R87" s="249"/>
      <c r="S87" s="249"/>
      <c r="T87" s="249"/>
      <c r="U87" s="249"/>
      <c r="V87" s="249"/>
      <c r="W87" s="249"/>
      <c r="X87" s="249"/>
      <c r="Y87" s="249"/>
      <c r="Z87" s="250"/>
    </row>
    <row r="88" spans="1:26" ht="66" customHeight="1" x14ac:dyDescent="0.15">
      <c r="B88" s="239" t="s">
        <v>140</v>
      </c>
      <c r="C88" s="80" t="s">
        <v>105</v>
      </c>
      <c r="D88" s="241" t="s">
        <v>186</v>
      </c>
      <c r="E88" s="242"/>
      <c r="F88" s="242"/>
      <c r="G88" s="242"/>
      <c r="H88" s="242"/>
      <c r="I88" s="242"/>
      <c r="J88" s="242"/>
      <c r="K88" s="242"/>
      <c r="L88" s="242"/>
      <c r="M88" s="242"/>
      <c r="N88" s="242"/>
      <c r="O88" s="242"/>
      <c r="P88" s="242"/>
      <c r="Q88" s="242"/>
      <c r="R88" s="242"/>
      <c r="S88" s="242"/>
      <c r="T88" s="242"/>
      <c r="U88" s="242"/>
      <c r="V88" s="242"/>
      <c r="W88" s="242"/>
      <c r="X88" s="242"/>
      <c r="Y88" s="242"/>
      <c r="Z88" s="243"/>
    </row>
    <row r="89" spans="1:26" ht="66" customHeight="1" x14ac:dyDescent="0.15">
      <c r="B89" s="240"/>
      <c r="C89" s="81" t="s">
        <v>135</v>
      </c>
      <c r="D89" s="234" t="s">
        <v>187</v>
      </c>
      <c r="E89" s="235"/>
      <c r="F89" s="235"/>
      <c r="G89" s="235"/>
      <c r="H89" s="235"/>
      <c r="I89" s="235"/>
      <c r="J89" s="235"/>
      <c r="K89" s="235"/>
      <c r="L89" s="235"/>
      <c r="M89" s="235"/>
      <c r="N89" s="235"/>
      <c r="O89" s="235"/>
      <c r="P89" s="235"/>
      <c r="Q89" s="235"/>
      <c r="R89" s="235"/>
      <c r="S89" s="235"/>
      <c r="T89" s="235"/>
      <c r="U89" s="235"/>
      <c r="V89" s="235"/>
      <c r="W89" s="235"/>
      <c r="X89" s="235"/>
      <c r="Y89" s="235"/>
      <c r="Z89" s="236"/>
    </row>
    <row r="90" spans="1:26" ht="66" customHeight="1" x14ac:dyDescent="0.15">
      <c r="B90" s="238"/>
      <c r="C90" s="82" t="s">
        <v>136</v>
      </c>
      <c r="D90" s="244" t="s">
        <v>195</v>
      </c>
      <c r="E90" s="245"/>
      <c r="F90" s="245"/>
      <c r="G90" s="245"/>
      <c r="H90" s="245"/>
      <c r="I90" s="245"/>
      <c r="J90" s="245"/>
      <c r="K90" s="245"/>
      <c r="L90" s="245"/>
      <c r="M90" s="245"/>
      <c r="N90" s="245"/>
      <c r="O90" s="245"/>
      <c r="P90" s="245"/>
      <c r="Q90" s="245"/>
      <c r="R90" s="245"/>
      <c r="S90" s="245"/>
      <c r="T90" s="245"/>
      <c r="U90" s="245"/>
      <c r="V90" s="245"/>
      <c r="W90" s="245"/>
      <c r="X90" s="245"/>
      <c r="Y90" s="245"/>
      <c r="Z90" s="246"/>
    </row>
    <row r="91" spans="1:26" ht="6" customHeight="1" x14ac:dyDescent="0.15"/>
    <row r="92" spans="1:26" ht="18.75" customHeight="1" x14ac:dyDescent="0.15">
      <c r="A92" s="13" t="s">
        <v>144</v>
      </c>
    </row>
    <row r="93" spans="1:26" ht="18.75" customHeight="1" x14ac:dyDescent="0.15">
      <c r="B93" s="191" t="s">
        <v>172</v>
      </c>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3"/>
    </row>
    <row r="94" spans="1:26" ht="18.75" customHeight="1" x14ac:dyDescent="0.15">
      <c r="B94" s="194"/>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6"/>
    </row>
    <row r="95" spans="1:26" ht="18.75" customHeight="1" x14ac:dyDescent="0.15">
      <c r="B95" s="197"/>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9"/>
    </row>
    <row r="96" spans="1:26" ht="6" customHeight="1" x14ac:dyDescent="0.15"/>
    <row r="97" spans="1:26" ht="15" customHeight="1" x14ac:dyDescent="0.15">
      <c r="A97" s="13" t="s">
        <v>145</v>
      </c>
    </row>
    <row r="98" spans="1:26" ht="15" customHeight="1" x14ac:dyDescent="0.15">
      <c r="B98" s="200" t="s">
        <v>196</v>
      </c>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2"/>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K62:K64">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topLeftCell="A13" zoomScaleNormal="100" zoomScaleSheetLayoutView="100" workbookViewId="0">
      <selection activeCell="F15" sqref="F15"/>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3" t="s">
        <v>63</v>
      </c>
      <c r="G1" s="253"/>
      <c r="H1" s="253"/>
      <c r="I1" s="253"/>
      <c r="J1" s="253"/>
      <c r="K1" s="253"/>
      <c r="L1" s="253"/>
      <c r="M1" s="253"/>
      <c r="N1" s="253"/>
      <c r="O1" s="253"/>
      <c r="P1" s="253"/>
      <c r="Q1" s="253"/>
      <c r="R1" s="253"/>
    </row>
    <row r="2" spans="1:20" ht="18" customHeight="1" x14ac:dyDescent="0.15">
      <c r="A2" s="254" t="s">
        <v>89</v>
      </c>
      <c r="B2" s="254"/>
      <c r="C2" s="254"/>
      <c r="D2" s="254"/>
      <c r="E2" s="254"/>
      <c r="F2" s="254"/>
      <c r="G2" s="254"/>
      <c r="H2" s="254"/>
      <c r="I2" s="254"/>
      <c r="J2" s="254"/>
      <c r="K2" s="254"/>
      <c r="L2" s="254"/>
      <c r="M2" s="254"/>
      <c r="N2" s="254"/>
      <c r="O2" s="254"/>
      <c r="P2" s="254"/>
      <c r="Q2" s="254"/>
      <c r="R2" s="254"/>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148</v>
      </c>
      <c r="B4" s="4"/>
      <c r="C4" s="255" t="str">
        <f>'様式１　大学等概要'!E12</f>
        <v>令和3</v>
      </c>
      <c r="D4" s="256"/>
      <c r="E4" s="38" t="s">
        <v>114</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146</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7" t="s">
        <v>79</v>
      </c>
      <c r="C8" s="259" t="s">
        <v>84</v>
      </c>
      <c r="D8" s="261" t="s">
        <v>68</v>
      </c>
      <c r="E8" s="263" t="s">
        <v>90</v>
      </c>
      <c r="F8" s="263"/>
      <c r="G8" s="263" t="s">
        <v>91</v>
      </c>
      <c r="H8" s="263"/>
      <c r="I8" s="263" t="s">
        <v>92</v>
      </c>
      <c r="J8" s="263"/>
      <c r="K8" s="264" t="s">
        <v>93</v>
      </c>
      <c r="L8" s="265"/>
      <c r="M8" s="264" t="s">
        <v>94</v>
      </c>
      <c r="N8" s="265"/>
      <c r="O8" s="264" t="s">
        <v>95</v>
      </c>
      <c r="P8" s="265"/>
      <c r="Q8" s="266" t="s">
        <v>62</v>
      </c>
      <c r="R8" s="268" t="s">
        <v>56</v>
      </c>
      <c r="T8" s="34"/>
    </row>
    <row r="9" spans="1:20" ht="18" customHeight="1" x14ac:dyDescent="0.15">
      <c r="A9" s="4"/>
      <c r="B9" s="258"/>
      <c r="C9" s="260"/>
      <c r="D9" s="262"/>
      <c r="E9" s="43" t="s">
        <v>44</v>
      </c>
      <c r="F9" s="44" t="s">
        <v>43</v>
      </c>
      <c r="G9" s="45" t="s">
        <v>44</v>
      </c>
      <c r="H9" s="46" t="s">
        <v>43</v>
      </c>
      <c r="I9" s="43" t="s">
        <v>44</v>
      </c>
      <c r="J9" s="44" t="s">
        <v>43</v>
      </c>
      <c r="K9" s="45" t="s">
        <v>44</v>
      </c>
      <c r="L9" s="46" t="s">
        <v>43</v>
      </c>
      <c r="M9" s="43" t="s">
        <v>44</v>
      </c>
      <c r="N9" s="44" t="s">
        <v>43</v>
      </c>
      <c r="O9" s="45" t="s">
        <v>44</v>
      </c>
      <c r="P9" s="46" t="s">
        <v>43</v>
      </c>
      <c r="Q9" s="267"/>
      <c r="R9" s="269"/>
      <c r="T9" s="34"/>
    </row>
    <row r="10" spans="1:20" ht="18" customHeight="1" x14ac:dyDescent="0.15">
      <c r="A10" s="47"/>
      <c r="B10" s="87" t="s">
        <v>165</v>
      </c>
      <c r="C10" s="47">
        <v>220</v>
      </c>
      <c r="D10" s="48">
        <v>880</v>
      </c>
      <c r="E10" s="122">
        <v>204</v>
      </c>
      <c r="F10" s="50">
        <v>0</v>
      </c>
      <c r="G10" s="51">
        <v>0</v>
      </c>
      <c r="H10" s="52">
        <v>0</v>
      </c>
      <c r="I10" s="49">
        <v>0</v>
      </c>
      <c r="J10" s="50">
        <v>0</v>
      </c>
      <c r="K10" s="51">
        <v>0</v>
      </c>
      <c r="L10" s="52">
        <v>0</v>
      </c>
      <c r="M10" s="49">
        <v>0</v>
      </c>
      <c r="N10" s="50">
        <v>0</v>
      </c>
      <c r="O10" s="51">
        <v>0</v>
      </c>
      <c r="P10" s="52">
        <v>0</v>
      </c>
      <c r="Q10" s="53">
        <f>E10+G10+I10+K10+M10+O10</f>
        <v>204</v>
      </c>
      <c r="R10" s="54">
        <f>Q10/D10</f>
        <v>0.23181818181818181</v>
      </c>
    </row>
    <row r="11" spans="1:20" ht="18" customHeight="1" x14ac:dyDescent="0.15">
      <c r="A11" s="47"/>
      <c r="B11" s="88" t="s">
        <v>166</v>
      </c>
      <c r="C11" s="63">
        <v>220</v>
      </c>
      <c r="D11" s="56">
        <v>880</v>
      </c>
      <c r="E11" s="123">
        <v>222</v>
      </c>
      <c r="F11" s="58">
        <v>6</v>
      </c>
      <c r="G11" s="59">
        <v>0</v>
      </c>
      <c r="H11" s="60">
        <v>0</v>
      </c>
      <c r="I11" s="57">
        <v>0</v>
      </c>
      <c r="J11" s="58">
        <v>0</v>
      </c>
      <c r="K11" s="59">
        <v>0</v>
      </c>
      <c r="L11" s="60">
        <v>0</v>
      </c>
      <c r="M11" s="57">
        <v>0</v>
      </c>
      <c r="N11" s="58">
        <v>0</v>
      </c>
      <c r="O11" s="59">
        <v>0</v>
      </c>
      <c r="P11" s="60">
        <v>0</v>
      </c>
      <c r="Q11" s="61">
        <f t="shared" ref="Q11:Q29" si="0">E11+G11+I11+K11+M11+O11</f>
        <v>222</v>
      </c>
      <c r="R11" s="62">
        <f t="shared" ref="R11:R29" si="1">Q11/D11</f>
        <v>0.25227272727272726</v>
      </c>
    </row>
    <row r="12" spans="1:20" ht="18" customHeight="1" x14ac:dyDescent="0.15">
      <c r="A12" s="47"/>
      <c r="B12" s="88" t="s">
        <v>167</v>
      </c>
      <c r="C12" s="63">
        <v>160</v>
      </c>
      <c r="D12" s="56">
        <v>640</v>
      </c>
      <c r="E12" s="123">
        <v>131</v>
      </c>
      <c r="F12" s="58">
        <v>0</v>
      </c>
      <c r="G12" s="59">
        <v>0</v>
      </c>
      <c r="H12" s="60">
        <v>0</v>
      </c>
      <c r="I12" s="57">
        <v>0</v>
      </c>
      <c r="J12" s="58">
        <v>0</v>
      </c>
      <c r="K12" s="59">
        <v>0</v>
      </c>
      <c r="L12" s="60">
        <v>0</v>
      </c>
      <c r="M12" s="57">
        <v>0</v>
      </c>
      <c r="N12" s="58">
        <v>0</v>
      </c>
      <c r="O12" s="59">
        <v>0</v>
      </c>
      <c r="P12" s="60">
        <v>0</v>
      </c>
      <c r="Q12" s="61">
        <f t="shared" si="0"/>
        <v>131</v>
      </c>
      <c r="R12" s="62">
        <f t="shared" si="1"/>
        <v>0.20468749999999999</v>
      </c>
    </row>
    <row r="13" spans="1:20" ht="18" customHeight="1" x14ac:dyDescent="0.15">
      <c r="A13" s="47"/>
      <c r="B13" s="88"/>
      <c r="C13" s="63"/>
      <c r="D13" s="56"/>
      <c r="E13" s="57"/>
      <c r="F13" s="58"/>
      <c r="G13" s="59"/>
      <c r="H13" s="60"/>
      <c r="I13" s="57"/>
      <c r="J13" s="58"/>
      <c r="K13" s="59"/>
      <c r="L13" s="60"/>
      <c r="M13" s="57"/>
      <c r="N13" s="58"/>
      <c r="O13" s="59"/>
      <c r="P13" s="60"/>
      <c r="Q13" s="61">
        <f t="shared" si="0"/>
        <v>0</v>
      </c>
      <c r="R13" s="62" t="e">
        <f t="shared" si="1"/>
        <v>#DIV/0!</v>
      </c>
    </row>
    <row r="14" spans="1:20" ht="18" customHeight="1" x14ac:dyDescent="0.15">
      <c r="A14" s="47"/>
      <c r="B14" s="88"/>
      <c r="C14" s="63"/>
      <c r="D14" s="56"/>
      <c r="E14" s="57"/>
      <c r="F14" s="58"/>
      <c r="G14" s="59"/>
      <c r="H14" s="60"/>
      <c r="I14" s="57"/>
      <c r="J14" s="58"/>
      <c r="K14" s="59"/>
      <c r="L14" s="60"/>
      <c r="M14" s="57"/>
      <c r="N14" s="58"/>
      <c r="O14" s="59"/>
      <c r="P14" s="60"/>
      <c r="Q14" s="61">
        <f t="shared" si="0"/>
        <v>0</v>
      </c>
      <c r="R14" s="62" t="e">
        <f t="shared" si="1"/>
        <v>#DIV/0!</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57</v>
      </c>
      <c r="C30" s="92">
        <f t="shared" ref="C30:Q30" si="2">SUM(C10:C29)</f>
        <v>600</v>
      </c>
      <c r="D30" s="65">
        <f t="shared" si="2"/>
        <v>2400</v>
      </c>
      <c r="E30" s="66">
        <f t="shared" si="2"/>
        <v>557</v>
      </c>
      <c r="F30" s="67">
        <f t="shared" si="2"/>
        <v>6</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557</v>
      </c>
      <c r="R30" s="71">
        <f>Q30/D30</f>
        <v>0.23208333333333334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112" zoomScaleNormal="100" zoomScaleSheetLayoutView="100" workbookViewId="0">
      <selection activeCell="K49" sqref="K49"/>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115</v>
      </c>
      <c r="J1" s="41" t="s">
        <v>116</v>
      </c>
    </row>
    <row r="2" spans="1:11" ht="18.75" customHeight="1" x14ac:dyDescent="0.15">
      <c r="A2" s="254" t="s">
        <v>64</v>
      </c>
      <c r="B2" s="254"/>
      <c r="C2" s="254"/>
      <c r="D2" s="254"/>
      <c r="E2" s="254"/>
      <c r="F2" s="254"/>
      <c r="G2" s="254"/>
      <c r="H2" s="254"/>
      <c r="I2" s="254"/>
      <c r="J2" s="254"/>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55" t="s">
        <v>205</v>
      </c>
      <c r="C5" s="156"/>
      <c r="D5" s="156"/>
      <c r="E5" s="156"/>
      <c r="F5" s="156"/>
      <c r="G5" s="156"/>
      <c r="H5" s="156"/>
      <c r="I5" s="156"/>
      <c r="J5" s="291"/>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3"/>
      <c r="B8" s="292" t="s">
        <v>206</v>
      </c>
      <c r="C8" s="271"/>
      <c r="D8" s="271"/>
      <c r="E8" s="271"/>
      <c r="F8" s="271"/>
      <c r="G8" s="271"/>
      <c r="H8" s="271"/>
      <c r="I8" s="279"/>
      <c r="J8" s="280"/>
      <c r="K8" s="31" t="str">
        <f>IF(B8="","入力してください","")</f>
        <v/>
      </c>
    </row>
    <row r="9" spans="1:11" s="4" customFormat="1" ht="18.75" customHeight="1" x14ac:dyDescent="0.15">
      <c r="A9" s="93"/>
      <c r="B9" s="281"/>
      <c r="C9" s="282"/>
      <c r="D9" s="282"/>
      <c r="E9" s="282"/>
      <c r="F9" s="282"/>
      <c r="G9" s="282"/>
      <c r="H9" s="282"/>
      <c r="I9" s="282"/>
      <c r="J9" s="283"/>
      <c r="K9" s="31"/>
    </row>
    <row r="10" spans="1:11" s="4" customFormat="1" ht="18.75" customHeight="1" x14ac:dyDescent="0.15">
      <c r="A10" s="93"/>
      <c r="B10" s="281"/>
      <c r="C10" s="282"/>
      <c r="D10" s="282"/>
      <c r="E10" s="282"/>
      <c r="F10" s="282"/>
      <c r="G10" s="282"/>
      <c r="H10" s="282"/>
      <c r="I10" s="282"/>
      <c r="J10" s="283"/>
      <c r="K10" s="31"/>
    </row>
    <row r="11" spans="1:11" s="4" customFormat="1" ht="18.75" customHeight="1" x14ac:dyDescent="0.15">
      <c r="A11" s="93"/>
      <c r="B11" s="281"/>
      <c r="C11" s="282"/>
      <c r="D11" s="282"/>
      <c r="E11" s="282"/>
      <c r="F11" s="282"/>
      <c r="G11" s="282"/>
      <c r="H11" s="282"/>
      <c r="I11" s="282"/>
      <c r="J11" s="283"/>
      <c r="K11" s="31"/>
    </row>
    <row r="12" spans="1:11" s="4" customFormat="1" ht="18.75" customHeight="1" x14ac:dyDescent="0.15">
      <c r="A12" s="93"/>
      <c r="B12" s="284"/>
      <c r="C12" s="285"/>
      <c r="D12" s="285"/>
      <c r="E12" s="285"/>
      <c r="F12" s="285"/>
      <c r="G12" s="285"/>
      <c r="H12" s="285"/>
      <c r="I12" s="285"/>
      <c r="J12" s="286"/>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8.75" customHeight="1" x14ac:dyDescent="0.15">
      <c r="A15" s="93"/>
      <c r="B15" s="292" t="s">
        <v>207</v>
      </c>
      <c r="C15" s="271"/>
      <c r="D15" s="271"/>
      <c r="E15" s="271"/>
      <c r="F15" s="271"/>
      <c r="G15" s="271"/>
      <c r="H15" s="271"/>
      <c r="I15" s="279"/>
      <c r="J15" s="280"/>
      <c r="K15" s="31" t="str">
        <f>IF(B15="","入力してください","")</f>
        <v/>
      </c>
    </row>
    <row r="16" spans="1:11" s="4" customFormat="1" ht="18.75" customHeight="1" x14ac:dyDescent="0.15">
      <c r="A16" s="93"/>
      <c r="B16" s="281"/>
      <c r="C16" s="282"/>
      <c r="D16" s="282"/>
      <c r="E16" s="282"/>
      <c r="F16" s="282"/>
      <c r="G16" s="282"/>
      <c r="H16" s="282"/>
      <c r="I16" s="282"/>
      <c r="J16" s="283"/>
      <c r="K16" s="31"/>
    </row>
    <row r="17" spans="1:11" s="4" customFormat="1" ht="18.75" customHeight="1" x14ac:dyDescent="0.15">
      <c r="A17" s="93"/>
      <c r="B17" s="281"/>
      <c r="C17" s="282"/>
      <c r="D17" s="282"/>
      <c r="E17" s="282"/>
      <c r="F17" s="282"/>
      <c r="G17" s="282"/>
      <c r="H17" s="282"/>
      <c r="I17" s="282"/>
      <c r="J17" s="283"/>
      <c r="K17" s="31"/>
    </row>
    <row r="18" spans="1:11" s="4" customFormat="1" ht="18.75" customHeight="1" x14ac:dyDescent="0.15">
      <c r="A18" s="93"/>
      <c r="B18" s="281"/>
      <c r="C18" s="282"/>
      <c r="D18" s="282"/>
      <c r="E18" s="282"/>
      <c r="F18" s="282"/>
      <c r="G18" s="282"/>
      <c r="H18" s="282"/>
      <c r="I18" s="282"/>
      <c r="J18" s="283"/>
      <c r="K18" s="31"/>
    </row>
    <row r="19" spans="1:11" s="4" customFormat="1" ht="18.75" customHeight="1" x14ac:dyDescent="0.15">
      <c r="A19" s="93"/>
      <c r="B19" s="281"/>
      <c r="C19" s="282"/>
      <c r="D19" s="282"/>
      <c r="E19" s="282"/>
      <c r="F19" s="282"/>
      <c r="G19" s="282"/>
      <c r="H19" s="282"/>
      <c r="I19" s="282"/>
      <c r="J19" s="283"/>
      <c r="K19" s="31"/>
    </row>
    <row r="20" spans="1:11" s="4" customFormat="1" ht="18.75" customHeight="1" x14ac:dyDescent="0.15">
      <c r="A20" s="93"/>
      <c r="B20" s="281"/>
      <c r="C20" s="282"/>
      <c r="D20" s="282"/>
      <c r="E20" s="282"/>
      <c r="F20" s="282"/>
      <c r="G20" s="282"/>
      <c r="H20" s="282"/>
      <c r="I20" s="282"/>
      <c r="J20" s="283"/>
      <c r="K20" s="31"/>
    </row>
    <row r="21" spans="1:11" s="4" customFormat="1" ht="18.75" customHeight="1" x14ac:dyDescent="0.15">
      <c r="A21" s="93"/>
      <c r="B21" s="281"/>
      <c r="C21" s="282"/>
      <c r="D21" s="282"/>
      <c r="E21" s="282"/>
      <c r="F21" s="282"/>
      <c r="G21" s="282"/>
      <c r="H21" s="282"/>
      <c r="I21" s="282"/>
      <c r="J21" s="283"/>
      <c r="K21" s="31"/>
    </row>
    <row r="22" spans="1:11" s="4" customFormat="1" ht="18.75" customHeight="1" x14ac:dyDescent="0.15">
      <c r="A22" s="93"/>
      <c r="B22" s="281"/>
      <c r="C22" s="282"/>
      <c r="D22" s="282"/>
      <c r="E22" s="282"/>
      <c r="F22" s="282"/>
      <c r="G22" s="282"/>
      <c r="H22" s="282"/>
      <c r="I22" s="282"/>
      <c r="J22" s="283"/>
      <c r="K22" s="31"/>
    </row>
    <row r="23" spans="1:11" s="4" customFormat="1" ht="18.75" customHeight="1" x14ac:dyDescent="0.15">
      <c r="A23" s="93"/>
      <c r="B23" s="281"/>
      <c r="C23" s="282"/>
      <c r="D23" s="282"/>
      <c r="E23" s="282"/>
      <c r="F23" s="282"/>
      <c r="G23" s="282"/>
      <c r="H23" s="282"/>
      <c r="I23" s="282"/>
      <c r="J23" s="283"/>
      <c r="K23" s="31"/>
    </row>
    <row r="24" spans="1:11" s="4" customFormat="1" ht="18.75" customHeight="1" x14ac:dyDescent="0.15">
      <c r="A24" s="93"/>
      <c r="B24" s="281"/>
      <c r="C24" s="282"/>
      <c r="D24" s="282"/>
      <c r="E24" s="282"/>
      <c r="F24" s="282"/>
      <c r="G24" s="282"/>
      <c r="H24" s="282"/>
      <c r="I24" s="282"/>
      <c r="J24" s="283"/>
      <c r="K24" s="31"/>
    </row>
    <row r="25" spans="1:11" s="4" customFormat="1" ht="18.75" customHeight="1" x14ac:dyDescent="0.15">
      <c r="A25" s="93"/>
      <c r="B25" s="284"/>
      <c r="C25" s="285"/>
      <c r="D25" s="285"/>
      <c r="E25" s="285"/>
      <c r="F25" s="285"/>
      <c r="G25" s="285"/>
      <c r="H25" s="285"/>
      <c r="I25" s="285"/>
      <c r="J25" s="286"/>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117</v>
      </c>
      <c r="C28" s="96">
        <f>'様式３　履修者等数の実績'!R30</f>
        <v>0.23208333333333334</v>
      </c>
      <c r="D28" s="97"/>
      <c r="E28" s="97" t="s">
        <v>118</v>
      </c>
      <c r="F28" s="96">
        <v>0.5</v>
      </c>
      <c r="G28" s="97"/>
      <c r="H28" s="97" t="s">
        <v>119</v>
      </c>
      <c r="I28" s="98">
        <v>0.75</v>
      </c>
      <c r="J28" s="99"/>
      <c r="K28" s="31"/>
    </row>
    <row r="29" spans="1:11" s="29" customFormat="1" ht="18.75" customHeight="1" x14ac:dyDescent="0.15">
      <c r="B29" s="83" t="s">
        <v>120</v>
      </c>
      <c r="C29" s="100">
        <v>1</v>
      </c>
      <c r="D29" s="84"/>
      <c r="E29" s="84" t="s">
        <v>121</v>
      </c>
      <c r="F29" s="100">
        <v>1</v>
      </c>
      <c r="G29" s="84"/>
      <c r="H29" s="84" t="s">
        <v>122</v>
      </c>
      <c r="I29" s="101">
        <f>'様式３　履修者等数の実績'!D30</f>
        <v>2400</v>
      </c>
      <c r="J29" s="102"/>
      <c r="K29" s="35"/>
    </row>
    <row r="30" spans="1:11" s="4" customFormat="1" ht="18.75" customHeight="1" x14ac:dyDescent="0.15">
      <c r="A30" s="1"/>
      <c r="B30" s="206" t="s">
        <v>123</v>
      </c>
      <c r="C30" s="207"/>
      <c r="D30" s="207"/>
      <c r="E30" s="207"/>
      <c r="F30" s="207"/>
      <c r="G30" s="207"/>
      <c r="H30" s="207"/>
      <c r="I30" s="207"/>
      <c r="J30" s="208"/>
      <c r="K30" s="35"/>
    </row>
    <row r="31" spans="1:11" s="4" customFormat="1" ht="18.75" customHeight="1" x14ac:dyDescent="0.15">
      <c r="A31" s="1"/>
      <c r="B31" s="288" t="s">
        <v>214</v>
      </c>
      <c r="C31" s="289"/>
      <c r="D31" s="289"/>
      <c r="E31" s="289"/>
      <c r="F31" s="289"/>
      <c r="G31" s="289"/>
      <c r="H31" s="289"/>
      <c r="I31" s="289"/>
      <c r="J31" s="290"/>
      <c r="K31" s="35"/>
    </row>
    <row r="32" spans="1:11" s="4" customFormat="1" ht="18.75" customHeight="1" x14ac:dyDescent="0.15">
      <c r="A32" s="1"/>
      <c r="B32" s="281"/>
      <c r="C32" s="282"/>
      <c r="D32" s="282"/>
      <c r="E32" s="282"/>
      <c r="F32" s="282"/>
      <c r="G32" s="282"/>
      <c r="H32" s="282"/>
      <c r="I32" s="282"/>
      <c r="J32" s="283"/>
      <c r="K32" s="35"/>
    </row>
    <row r="33" spans="1:11" s="4" customFormat="1" ht="18.75" customHeight="1" x14ac:dyDescent="0.15">
      <c r="A33" s="1"/>
      <c r="B33" s="281"/>
      <c r="C33" s="282"/>
      <c r="D33" s="282"/>
      <c r="E33" s="282"/>
      <c r="F33" s="282"/>
      <c r="G33" s="282"/>
      <c r="H33" s="282"/>
      <c r="I33" s="282"/>
      <c r="J33" s="283"/>
      <c r="K33" s="35"/>
    </row>
    <row r="34" spans="1:11" s="4" customFormat="1" ht="18.75" customHeight="1" x14ac:dyDescent="0.15">
      <c r="A34" s="1"/>
      <c r="B34" s="281"/>
      <c r="C34" s="282"/>
      <c r="D34" s="282"/>
      <c r="E34" s="282"/>
      <c r="F34" s="282"/>
      <c r="G34" s="282"/>
      <c r="H34" s="282"/>
      <c r="I34" s="282"/>
      <c r="J34" s="283"/>
      <c r="K34" s="35"/>
    </row>
    <row r="35" spans="1:11" s="4" customFormat="1" ht="18.75" customHeight="1" x14ac:dyDescent="0.15">
      <c r="A35" s="1"/>
      <c r="B35" s="281"/>
      <c r="C35" s="282"/>
      <c r="D35" s="282"/>
      <c r="E35" s="282"/>
      <c r="F35" s="282"/>
      <c r="G35" s="282"/>
      <c r="H35" s="282"/>
      <c r="I35" s="282"/>
      <c r="J35" s="283"/>
      <c r="K35" s="35"/>
    </row>
    <row r="36" spans="1:11" s="4" customFormat="1" ht="18.75" customHeight="1" x14ac:dyDescent="0.15">
      <c r="A36" s="1"/>
      <c r="B36" s="281"/>
      <c r="C36" s="282"/>
      <c r="D36" s="282"/>
      <c r="E36" s="282"/>
      <c r="F36" s="282"/>
      <c r="G36" s="282"/>
      <c r="H36" s="282"/>
      <c r="I36" s="282"/>
      <c r="J36" s="283"/>
      <c r="K36" s="35"/>
    </row>
    <row r="37" spans="1:11" s="4" customFormat="1" ht="18.75" customHeight="1" x14ac:dyDescent="0.15">
      <c r="A37" s="1"/>
      <c r="B37" s="281"/>
      <c r="C37" s="282"/>
      <c r="D37" s="282"/>
      <c r="E37" s="282"/>
      <c r="F37" s="282"/>
      <c r="G37" s="282"/>
      <c r="H37" s="282"/>
      <c r="I37" s="282"/>
      <c r="J37" s="283"/>
      <c r="K37" s="35"/>
    </row>
    <row r="38" spans="1:11" s="4" customFormat="1" ht="18.75" customHeight="1" x14ac:dyDescent="0.15">
      <c r="A38" s="1"/>
      <c r="B38" s="281"/>
      <c r="C38" s="282"/>
      <c r="D38" s="282"/>
      <c r="E38" s="282"/>
      <c r="F38" s="282"/>
      <c r="G38" s="282"/>
      <c r="H38" s="282"/>
      <c r="I38" s="282"/>
      <c r="J38" s="283"/>
      <c r="K38" s="35"/>
    </row>
    <row r="39" spans="1:11" s="4" customFormat="1" ht="18.75" customHeight="1" x14ac:dyDescent="0.15">
      <c r="A39" s="1"/>
      <c r="B39" s="281"/>
      <c r="C39" s="282"/>
      <c r="D39" s="282"/>
      <c r="E39" s="282"/>
      <c r="F39" s="282"/>
      <c r="G39" s="282"/>
      <c r="H39" s="282"/>
      <c r="I39" s="282"/>
      <c r="J39" s="283"/>
      <c r="K39" s="35"/>
    </row>
    <row r="40" spans="1:11" s="4" customFormat="1" ht="18.75" customHeight="1" x14ac:dyDescent="0.15">
      <c r="A40" s="1"/>
      <c r="B40" s="281"/>
      <c r="C40" s="282"/>
      <c r="D40" s="282"/>
      <c r="E40" s="282"/>
      <c r="F40" s="282"/>
      <c r="G40" s="282"/>
      <c r="H40" s="282"/>
      <c r="I40" s="282"/>
      <c r="J40" s="283"/>
      <c r="K40" s="35"/>
    </row>
    <row r="41" spans="1:11" s="4" customFormat="1" ht="18.75" customHeight="1" x14ac:dyDescent="0.15">
      <c r="A41" s="1"/>
      <c r="B41" s="281"/>
      <c r="C41" s="282"/>
      <c r="D41" s="282"/>
      <c r="E41" s="282"/>
      <c r="F41" s="282"/>
      <c r="G41" s="282"/>
      <c r="H41" s="282"/>
      <c r="I41" s="282"/>
      <c r="J41" s="283"/>
      <c r="K41" s="35"/>
    </row>
    <row r="42" spans="1:11" s="4" customFormat="1" ht="18.75" customHeight="1" x14ac:dyDescent="0.15">
      <c r="A42" s="1"/>
      <c r="B42" s="281"/>
      <c r="C42" s="282"/>
      <c r="D42" s="282"/>
      <c r="E42" s="282"/>
      <c r="F42" s="282"/>
      <c r="G42" s="282"/>
      <c r="H42" s="282"/>
      <c r="I42" s="282"/>
      <c r="J42" s="283"/>
      <c r="K42" s="35"/>
    </row>
    <row r="43" spans="1:11" ht="18.75" customHeight="1" x14ac:dyDescent="0.15">
      <c r="A43" s="39"/>
      <c r="B43" s="281"/>
      <c r="C43" s="282"/>
      <c r="D43" s="282"/>
      <c r="E43" s="282"/>
      <c r="F43" s="282"/>
      <c r="G43" s="282"/>
      <c r="H43" s="282"/>
      <c r="I43" s="282"/>
      <c r="J43" s="283"/>
      <c r="K43" s="35"/>
    </row>
    <row r="44" spans="1:11" ht="18.75" customHeight="1" x14ac:dyDescent="0.15">
      <c r="A44" s="39"/>
      <c r="B44" s="284"/>
      <c r="C44" s="285"/>
      <c r="D44" s="285"/>
      <c r="E44" s="285"/>
      <c r="F44" s="285"/>
      <c r="G44" s="285"/>
      <c r="H44" s="285"/>
      <c r="I44" s="285"/>
      <c r="J44" s="286"/>
    </row>
    <row r="45" spans="1:11" s="4" customFormat="1" ht="18.75" customHeight="1" x14ac:dyDescent="0.15">
      <c r="A45" s="103" t="s">
        <v>11</v>
      </c>
      <c r="B45" s="1" t="s">
        <v>65</v>
      </c>
      <c r="C45" s="1"/>
      <c r="D45" s="1"/>
      <c r="E45" s="1"/>
      <c r="F45" s="1"/>
      <c r="G45" s="1"/>
      <c r="H45" s="1"/>
      <c r="I45" s="103"/>
      <c r="J45" s="103"/>
      <c r="K45" s="31"/>
    </row>
    <row r="46" spans="1:11" ht="18.75" customHeight="1" x14ac:dyDescent="0.15">
      <c r="A46" s="39"/>
      <c r="B46" s="270" t="s">
        <v>215</v>
      </c>
      <c r="C46" s="271"/>
      <c r="D46" s="271"/>
      <c r="E46" s="271"/>
      <c r="F46" s="271"/>
      <c r="G46" s="271"/>
      <c r="H46" s="271"/>
      <c r="I46" s="271"/>
      <c r="J46" s="272"/>
      <c r="K46" s="31" t="str">
        <f>IF(B46="","入力してください","")</f>
        <v/>
      </c>
    </row>
    <row r="47" spans="1:11" ht="18.75" customHeight="1" x14ac:dyDescent="0.15">
      <c r="A47" s="39"/>
      <c r="B47" s="273"/>
      <c r="C47" s="274"/>
      <c r="D47" s="274"/>
      <c r="E47" s="274"/>
      <c r="F47" s="274"/>
      <c r="G47" s="274"/>
      <c r="H47" s="274"/>
      <c r="I47" s="274"/>
      <c r="J47" s="275"/>
    </row>
    <row r="48" spans="1:11" ht="18.75" customHeight="1" x14ac:dyDescent="0.15">
      <c r="A48" s="39"/>
      <c r="B48" s="273"/>
      <c r="C48" s="274"/>
      <c r="D48" s="274"/>
      <c r="E48" s="274"/>
      <c r="F48" s="274"/>
      <c r="G48" s="274"/>
      <c r="H48" s="274"/>
      <c r="I48" s="274"/>
      <c r="J48" s="275"/>
    </row>
    <row r="49" spans="1:10" ht="18.75" customHeight="1" x14ac:dyDescent="0.15">
      <c r="A49" s="39"/>
      <c r="B49" s="273"/>
      <c r="C49" s="274"/>
      <c r="D49" s="274"/>
      <c r="E49" s="274"/>
      <c r="F49" s="274"/>
      <c r="G49" s="274"/>
      <c r="H49" s="274"/>
      <c r="I49" s="274"/>
      <c r="J49" s="275"/>
    </row>
    <row r="50" spans="1:10" ht="18.75" customHeight="1" x14ac:dyDescent="0.15">
      <c r="A50" s="39"/>
      <c r="B50" s="273"/>
      <c r="C50" s="274"/>
      <c r="D50" s="274"/>
      <c r="E50" s="274"/>
      <c r="F50" s="274"/>
      <c r="G50" s="274"/>
      <c r="H50" s="274"/>
      <c r="I50" s="274"/>
      <c r="J50" s="275"/>
    </row>
    <row r="51" spans="1:10" ht="18.75" customHeight="1" x14ac:dyDescent="0.15">
      <c r="A51" s="39"/>
      <c r="B51" s="273"/>
      <c r="C51" s="274"/>
      <c r="D51" s="274"/>
      <c r="E51" s="274"/>
      <c r="F51" s="274"/>
      <c r="G51" s="274"/>
      <c r="H51" s="274"/>
      <c r="I51" s="274"/>
      <c r="J51" s="275"/>
    </row>
    <row r="52" spans="1:10" ht="18.75" customHeight="1" x14ac:dyDescent="0.15">
      <c r="A52" s="39"/>
      <c r="B52" s="273"/>
      <c r="C52" s="274"/>
      <c r="D52" s="274"/>
      <c r="E52" s="274"/>
      <c r="F52" s="274"/>
      <c r="G52" s="274"/>
      <c r="H52" s="274"/>
      <c r="I52" s="274"/>
      <c r="J52" s="275"/>
    </row>
    <row r="53" spans="1:10" ht="18.75" customHeight="1" x14ac:dyDescent="0.15">
      <c r="A53" s="39"/>
      <c r="B53" s="273"/>
      <c r="C53" s="274"/>
      <c r="D53" s="274"/>
      <c r="E53" s="274"/>
      <c r="F53" s="274"/>
      <c r="G53" s="274"/>
      <c r="H53" s="274"/>
      <c r="I53" s="274"/>
      <c r="J53" s="275"/>
    </row>
    <row r="54" spans="1:10" ht="18.75" customHeight="1" x14ac:dyDescent="0.15">
      <c r="A54" s="39"/>
      <c r="B54" s="273"/>
      <c r="C54" s="274"/>
      <c r="D54" s="274"/>
      <c r="E54" s="274"/>
      <c r="F54" s="274"/>
      <c r="G54" s="274"/>
      <c r="H54" s="274"/>
      <c r="I54" s="274"/>
      <c r="J54" s="275"/>
    </row>
    <row r="55" spans="1:10" ht="18.75" customHeight="1" x14ac:dyDescent="0.15">
      <c r="A55" s="39"/>
      <c r="B55" s="273"/>
      <c r="C55" s="274"/>
      <c r="D55" s="274"/>
      <c r="E55" s="274"/>
      <c r="F55" s="274"/>
      <c r="G55" s="274"/>
      <c r="H55" s="274"/>
      <c r="I55" s="274"/>
      <c r="J55" s="275"/>
    </row>
    <row r="56" spans="1:10" ht="18.75" customHeight="1" x14ac:dyDescent="0.15">
      <c r="A56" s="39"/>
      <c r="B56" s="273"/>
      <c r="C56" s="274"/>
      <c r="D56" s="274"/>
      <c r="E56" s="274"/>
      <c r="F56" s="274"/>
      <c r="G56" s="274"/>
      <c r="H56" s="274"/>
      <c r="I56" s="274"/>
      <c r="J56" s="275"/>
    </row>
    <row r="57" spans="1:10" ht="18.75" customHeight="1" x14ac:dyDescent="0.15">
      <c r="A57" s="39"/>
      <c r="B57" s="273"/>
      <c r="C57" s="274"/>
      <c r="D57" s="274"/>
      <c r="E57" s="274"/>
      <c r="F57" s="274"/>
      <c r="G57" s="274"/>
      <c r="H57" s="274"/>
      <c r="I57" s="274"/>
      <c r="J57" s="275"/>
    </row>
    <row r="58" spans="1:10" ht="18.75" customHeight="1" x14ac:dyDescent="0.15">
      <c r="A58" s="39"/>
      <c r="B58" s="273"/>
      <c r="C58" s="274"/>
      <c r="D58" s="274"/>
      <c r="E58" s="274"/>
      <c r="F58" s="274"/>
      <c r="G58" s="274"/>
      <c r="H58" s="274"/>
      <c r="I58" s="274"/>
      <c r="J58" s="275"/>
    </row>
    <row r="59" spans="1:10" ht="18.75" customHeight="1" x14ac:dyDescent="0.15">
      <c r="A59" s="39"/>
      <c r="B59" s="273"/>
      <c r="C59" s="274"/>
      <c r="D59" s="274"/>
      <c r="E59" s="274"/>
      <c r="F59" s="274"/>
      <c r="G59" s="274"/>
      <c r="H59" s="274"/>
      <c r="I59" s="274"/>
      <c r="J59" s="275"/>
    </row>
    <row r="60" spans="1:10" ht="18.75" customHeight="1" x14ac:dyDescent="0.15">
      <c r="A60" s="39"/>
      <c r="B60" s="273"/>
      <c r="C60" s="274"/>
      <c r="D60" s="274"/>
      <c r="E60" s="274"/>
      <c r="F60" s="274"/>
      <c r="G60" s="274"/>
      <c r="H60" s="274"/>
      <c r="I60" s="274"/>
      <c r="J60" s="275"/>
    </row>
    <row r="61" spans="1:10" ht="18.75" customHeight="1" x14ac:dyDescent="0.15">
      <c r="A61" s="39"/>
      <c r="B61" s="273"/>
      <c r="C61" s="274"/>
      <c r="D61" s="274"/>
      <c r="E61" s="274"/>
      <c r="F61" s="274"/>
      <c r="G61" s="274"/>
      <c r="H61" s="274"/>
      <c r="I61" s="274"/>
      <c r="J61" s="275"/>
    </row>
    <row r="62" spans="1:10" ht="18.75" customHeight="1" x14ac:dyDescent="0.15">
      <c r="A62" s="39"/>
      <c r="B62" s="273"/>
      <c r="C62" s="274"/>
      <c r="D62" s="274"/>
      <c r="E62" s="274"/>
      <c r="F62" s="274"/>
      <c r="G62" s="274"/>
      <c r="H62" s="274"/>
      <c r="I62" s="274"/>
      <c r="J62" s="275"/>
    </row>
    <row r="63" spans="1:10" ht="18.75" customHeight="1" x14ac:dyDescent="0.15">
      <c r="A63" s="39"/>
      <c r="B63" s="273"/>
      <c r="C63" s="274"/>
      <c r="D63" s="274"/>
      <c r="E63" s="274"/>
      <c r="F63" s="274"/>
      <c r="G63" s="274"/>
      <c r="H63" s="274"/>
      <c r="I63" s="274"/>
      <c r="J63" s="275"/>
    </row>
    <row r="64" spans="1:10" ht="18.75" customHeight="1" x14ac:dyDescent="0.15">
      <c r="A64" s="39"/>
      <c r="B64" s="273"/>
      <c r="C64" s="274"/>
      <c r="D64" s="274"/>
      <c r="E64" s="274"/>
      <c r="F64" s="274"/>
      <c r="G64" s="274"/>
      <c r="H64" s="274"/>
      <c r="I64" s="274"/>
      <c r="J64" s="275"/>
    </row>
    <row r="65" spans="1:11" ht="18.75" customHeight="1" x14ac:dyDescent="0.15">
      <c r="A65" s="39"/>
      <c r="B65" s="273"/>
      <c r="C65" s="274"/>
      <c r="D65" s="274"/>
      <c r="E65" s="274"/>
      <c r="F65" s="274"/>
      <c r="G65" s="274"/>
      <c r="H65" s="274"/>
      <c r="I65" s="274"/>
      <c r="J65" s="275"/>
    </row>
    <row r="66" spans="1:11" ht="18.75" customHeight="1" x14ac:dyDescent="0.15">
      <c r="A66" s="39"/>
      <c r="B66" s="276"/>
      <c r="C66" s="277"/>
      <c r="D66" s="277"/>
      <c r="E66" s="277"/>
      <c r="F66" s="277"/>
      <c r="G66" s="277"/>
      <c r="H66" s="277"/>
      <c r="I66" s="277"/>
      <c r="J66" s="278"/>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70" t="s">
        <v>162</v>
      </c>
      <c r="C69" s="271"/>
      <c r="D69" s="271"/>
      <c r="E69" s="271"/>
      <c r="F69" s="271"/>
      <c r="G69" s="271"/>
      <c r="H69" s="271"/>
      <c r="I69" s="279"/>
      <c r="J69" s="280"/>
      <c r="K69" s="35" t="str">
        <f>IF(B69="","入力してください","")</f>
        <v/>
      </c>
    </row>
    <row r="70" spans="1:11" s="4" customFormat="1" ht="18.75" customHeight="1" x14ac:dyDescent="0.15">
      <c r="A70" s="1"/>
      <c r="B70" s="281"/>
      <c r="C70" s="282"/>
      <c r="D70" s="282"/>
      <c r="E70" s="282"/>
      <c r="F70" s="282"/>
      <c r="G70" s="282"/>
      <c r="H70" s="282"/>
      <c r="I70" s="282"/>
      <c r="J70" s="283"/>
      <c r="K70" s="35"/>
    </row>
    <row r="71" spans="1:11" s="4" customFormat="1" ht="18.75" customHeight="1" x14ac:dyDescent="0.15">
      <c r="A71" s="1"/>
      <c r="B71" s="281"/>
      <c r="C71" s="282"/>
      <c r="D71" s="282"/>
      <c r="E71" s="282"/>
      <c r="F71" s="282"/>
      <c r="G71" s="282"/>
      <c r="H71" s="282"/>
      <c r="I71" s="282"/>
      <c r="J71" s="283"/>
      <c r="K71" s="35"/>
    </row>
    <row r="72" spans="1:11" s="4" customFormat="1" ht="18.75" customHeight="1" x14ac:dyDescent="0.15">
      <c r="A72" s="1"/>
      <c r="B72" s="281"/>
      <c r="C72" s="282"/>
      <c r="D72" s="282"/>
      <c r="E72" s="282"/>
      <c r="F72" s="282"/>
      <c r="G72" s="282"/>
      <c r="H72" s="282"/>
      <c r="I72" s="282"/>
      <c r="J72" s="283"/>
      <c r="K72" s="35"/>
    </row>
    <row r="73" spans="1:11" s="4" customFormat="1" ht="18.75" customHeight="1" x14ac:dyDescent="0.15">
      <c r="A73" s="1"/>
      <c r="B73" s="281"/>
      <c r="C73" s="282"/>
      <c r="D73" s="282"/>
      <c r="E73" s="282"/>
      <c r="F73" s="282"/>
      <c r="G73" s="282"/>
      <c r="H73" s="282"/>
      <c r="I73" s="282"/>
      <c r="J73" s="283"/>
      <c r="K73" s="35"/>
    </row>
    <row r="74" spans="1:11" s="4" customFormat="1" ht="18.75" customHeight="1" x14ac:dyDescent="0.15">
      <c r="A74" s="1"/>
      <c r="B74" s="281"/>
      <c r="C74" s="282"/>
      <c r="D74" s="282"/>
      <c r="E74" s="282"/>
      <c r="F74" s="282"/>
      <c r="G74" s="282"/>
      <c r="H74" s="282"/>
      <c r="I74" s="282"/>
      <c r="J74" s="283"/>
      <c r="K74" s="35"/>
    </row>
    <row r="75" spans="1:11" s="4" customFormat="1" ht="18.75" customHeight="1" x14ac:dyDescent="0.15">
      <c r="A75" s="1"/>
      <c r="B75" s="281"/>
      <c r="C75" s="282"/>
      <c r="D75" s="282"/>
      <c r="E75" s="282"/>
      <c r="F75" s="282"/>
      <c r="G75" s="282"/>
      <c r="H75" s="282"/>
      <c r="I75" s="282"/>
      <c r="J75" s="283"/>
      <c r="K75" s="35"/>
    </row>
    <row r="76" spans="1:11" s="4" customFormat="1" ht="18.75" customHeight="1" x14ac:dyDescent="0.15">
      <c r="A76" s="1"/>
      <c r="B76" s="281"/>
      <c r="C76" s="282"/>
      <c r="D76" s="282"/>
      <c r="E76" s="282"/>
      <c r="F76" s="282"/>
      <c r="G76" s="282"/>
      <c r="H76" s="282"/>
      <c r="I76" s="282"/>
      <c r="J76" s="283"/>
      <c r="K76" s="35"/>
    </row>
    <row r="77" spans="1:11" s="4" customFormat="1" ht="18.75" customHeight="1" x14ac:dyDescent="0.15">
      <c r="A77" s="1"/>
      <c r="B77" s="281"/>
      <c r="C77" s="282"/>
      <c r="D77" s="282"/>
      <c r="E77" s="282"/>
      <c r="F77" s="282"/>
      <c r="G77" s="282"/>
      <c r="H77" s="282"/>
      <c r="I77" s="282"/>
      <c r="J77" s="283"/>
      <c r="K77" s="35"/>
    </row>
    <row r="78" spans="1:11" s="4" customFormat="1" ht="18.75" customHeight="1" x14ac:dyDescent="0.15">
      <c r="A78" s="1"/>
      <c r="B78" s="281"/>
      <c r="C78" s="282"/>
      <c r="D78" s="282"/>
      <c r="E78" s="282"/>
      <c r="F78" s="282"/>
      <c r="G78" s="282"/>
      <c r="H78" s="282"/>
      <c r="I78" s="282"/>
      <c r="J78" s="283"/>
      <c r="K78" s="35"/>
    </row>
    <row r="79" spans="1:11" s="4" customFormat="1" ht="18.75" customHeight="1" x14ac:dyDescent="0.15">
      <c r="A79" s="1"/>
      <c r="B79" s="281"/>
      <c r="C79" s="282"/>
      <c r="D79" s="282"/>
      <c r="E79" s="282"/>
      <c r="F79" s="282"/>
      <c r="G79" s="282"/>
      <c r="H79" s="282"/>
      <c r="I79" s="282"/>
      <c r="J79" s="283"/>
      <c r="K79" s="35"/>
    </row>
    <row r="80" spans="1:11" s="4" customFormat="1" ht="18.75" customHeight="1" x14ac:dyDescent="0.15">
      <c r="A80" s="1"/>
      <c r="B80" s="281"/>
      <c r="C80" s="282"/>
      <c r="D80" s="282"/>
      <c r="E80" s="282"/>
      <c r="F80" s="282"/>
      <c r="G80" s="282"/>
      <c r="H80" s="282"/>
      <c r="I80" s="282"/>
      <c r="J80" s="283"/>
      <c r="K80" s="35"/>
    </row>
    <row r="81" spans="1:11" s="4" customFormat="1" ht="18.75" customHeight="1" x14ac:dyDescent="0.15">
      <c r="A81" s="1"/>
      <c r="B81" s="281"/>
      <c r="C81" s="282"/>
      <c r="D81" s="282"/>
      <c r="E81" s="282"/>
      <c r="F81" s="282"/>
      <c r="G81" s="282"/>
      <c r="H81" s="282"/>
      <c r="I81" s="282"/>
      <c r="J81" s="283"/>
      <c r="K81" s="35"/>
    </row>
    <row r="82" spans="1:11" s="4" customFormat="1" ht="18.75" customHeight="1" x14ac:dyDescent="0.15">
      <c r="A82" s="1"/>
      <c r="B82" s="281"/>
      <c r="C82" s="282"/>
      <c r="D82" s="282"/>
      <c r="E82" s="282"/>
      <c r="F82" s="282"/>
      <c r="G82" s="282"/>
      <c r="H82" s="282"/>
      <c r="I82" s="282"/>
      <c r="J82" s="283"/>
      <c r="K82" s="35"/>
    </row>
    <row r="83" spans="1:11" s="4" customFormat="1" ht="18.75" customHeight="1" x14ac:dyDescent="0.15">
      <c r="A83" s="1"/>
      <c r="B83" s="281"/>
      <c r="C83" s="282"/>
      <c r="D83" s="282"/>
      <c r="E83" s="282"/>
      <c r="F83" s="282"/>
      <c r="G83" s="282"/>
      <c r="H83" s="282"/>
      <c r="I83" s="282"/>
      <c r="J83" s="283"/>
      <c r="K83" s="35"/>
    </row>
    <row r="84" spans="1:11" s="4" customFormat="1" ht="18.75" customHeight="1" x14ac:dyDescent="0.15">
      <c r="A84" s="1"/>
      <c r="B84" s="281"/>
      <c r="C84" s="282"/>
      <c r="D84" s="282"/>
      <c r="E84" s="282"/>
      <c r="F84" s="282"/>
      <c r="G84" s="282"/>
      <c r="H84" s="282"/>
      <c r="I84" s="282"/>
      <c r="J84" s="283"/>
      <c r="K84" s="35"/>
    </row>
    <row r="85" spans="1:11" ht="18.75" customHeight="1" x14ac:dyDescent="0.15">
      <c r="A85" s="39"/>
      <c r="B85" s="281"/>
      <c r="C85" s="282"/>
      <c r="D85" s="282"/>
      <c r="E85" s="282"/>
      <c r="F85" s="282"/>
      <c r="G85" s="282"/>
      <c r="H85" s="282"/>
      <c r="I85" s="282"/>
      <c r="J85" s="283"/>
      <c r="K85" s="35"/>
    </row>
    <row r="86" spans="1:11" ht="18.75" customHeight="1" x14ac:dyDescent="0.15">
      <c r="A86" s="39"/>
      <c r="B86" s="284"/>
      <c r="C86" s="285"/>
      <c r="D86" s="285"/>
      <c r="E86" s="285"/>
      <c r="F86" s="285"/>
      <c r="G86" s="285"/>
      <c r="H86" s="285"/>
      <c r="I86" s="285"/>
      <c r="J86" s="286"/>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70" t="s">
        <v>163</v>
      </c>
      <c r="C89" s="271"/>
      <c r="D89" s="271"/>
      <c r="E89" s="271"/>
      <c r="F89" s="271"/>
      <c r="G89" s="271"/>
      <c r="H89" s="271"/>
      <c r="I89" s="279"/>
      <c r="J89" s="280"/>
      <c r="K89" s="31"/>
    </row>
    <row r="90" spans="1:11" s="4" customFormat="1" ht="18.75" customHeight="1" x14ac:dyDescent="0.15">
      <c r="A90" s="1"/>
      <c r="B90" s="281"/>
      <c r="C90" s="282"/>
      <c r="D90" s="282"/>
      <c r="E90" s="282"/>
      <c r="F90" s="282"/>
      <c r="G90" s="282"/>
      <c r="H90" s="282"/>
      <c r="I90" s="282"/>
      <c r="J90" s="283"/>
      <c r="K90" s="35"/>
    </row>
    <row r="91" spans="1:11" s="4" customFormat="1" ht="18.75" customHeight="1" x14ac:dyDescent="0.15">
      <c r="A91" s="1"/>
      <c r="B91" s="281"/>
      <c r="C91" s="282"/>
      <c r="D91" s="282"/>
      <c r="E91" s="282"/>
      <c r="F91" s="282"/>
      <c r="G91" s="282"/>
      <c r="H91" s="282"/>
      <c r="I91" s="282"/>
      <c r="J91" s="283"/>
      <c r="K91" s="35" t="str">
        <f>IF(B89="","入力してください","")</f>
        <v/>
      </c>
    </row>
    <row r="92" spans="1:11" s="4" customFormat="1" ht="18.75" customHeight="1" x14ac:dyDescent="0.15">
      <c r="A92" s="1"/>
      <c r="B92" s="281"/>
      <c r="C92" s="282"/>
      <c r="D92" s="282"/>
      <c r="E92" s="282"/>
      <c r="F92" s="282"/>
      <c r="G92" s="282"/>
      <c r="H92" s="282"/>
      <c r="I92" s="282"/>
      <c r="J92" s="283"/>
      <c r="K92" s="35"/>
    </row>
    <row r="93" spans="1:11" s="4" customFormat="1" ht="18.75" customHeight="1" x14ac:dyDescent="0.15">
      <c r="A93" s="1"/>
      <c r="B93" s="281"/>
      <c r="C93" s="282"/>
      <c r="D93" s="282"/>
      <c r="E93" s="282"/>
      <c r="F93" s="282"/>
      <c r="G93" s="282"/>
      <c r="H93" s="282"/>
      <c r="I93" s="282"/>
      <c r="J93" s="283"/>
      <c r="K93" s="35"/>
    </row>
    <row r="94" spans="1:11" s="4" customFormat="1" ht="18.75" customHeight="1" x14ac:dyDescent="0.15">
      <c r="A94" s="1"/>
      <c r="B94" s="281"/>
      <c r="C94" s="282"/>
      <c r="D94" s="282"/>
      <c r="E94" s="282"/>
      <c r="F94" s="282"/>
      <c r="G94" s="282"/>
      <c r="H94" s="282"/>
      <c r="I94" s="282"/>
      <c r="J94" s="283"/>
      <c r="K94" s="35"/>
    </row>
    <row r="95" spans="1:11" s="4" customFormat="1" ht="18.75" customHeight="1" x14ac:dyDescent="0.15">
      <c r="A95" s="1"/>
      <c r="B95" s="281"/>
      <c r="C95" s="282"/>
      <c r="D95" s="282"/>
      <c r="E95" s="282"/>
      <c r="F95" s="282"/>
      <c r="G95" s="282"/>
      <c r="H95" s="282"/>
      <c r="I95" s="282"/>
      <c r="J95" s="283"/>
      <c r="K95" s="35"/>
    </row>
    <row r="96" spans="1:11" s="4" customFormat="1" ht="18.75" customHeight="1" x14ac:dyDescent="0.15">
      <c r="A96" s="1"/>
      <c r="B96" s="281"/>
      <c r="C96" s="282"/>
      <c r="D96" s="282"/>
      <c r="E96" s="282"/>
      <c r="F96" s="282"/>
      <c r="G96" s="282"/>
      <c r="H96" s="282"/>
      <c r="I96" s="282"/>
      <c r="J96" s="283"/>
      <c r="K96" s="35"/>
    </row>
    <row r="97" spans="1:11" s="4" customFormat="1" ht="18.75" customHeight="1" x14ac:dyDescent="0.15">
      <c r="A97" s="1"/>
      <c r="B97" s="281"/>
      <c r="C97" s="282"/>
      <c r="D97" s="282"/>
      <c r="E97" s="282"/>
      <c r="F97" s="282"/>
      <c r="G97" s="282"/>
      <c r="H97" s="282"/>
      <c r="I97" s="282"/>
      <c r="J97" s="283"/>
      <c r="K97" s="35"/>
    </row>
    <row r="98" spans="1:11" s="4" customFormat="1" ht="18.75" customHeight="1" x14ac:dyDescent="0.15">
      <c r="A98" s="1"/>
      <c r="B98" s="281"/>
      <c r="C98" s="282"/>
      <c r="D98" s="282"/>
      <c r="E98" s="282"/>
      <c r="F98" s="282"/>
      <c r="G98" s="282"/>
      <c r="H98" s="282"/>
      <c r="I98" s="282"/>
      <c r="J98" s="283"/>
      <c r="K98" s="35"/>
    </row>
    <row r="99" spans="1:11" s="4" customFormat="1" ht="18.75" customHeight="1" x14ac:dyDescent="0.15">
      <c r="A99" s="1"/>
      <c r="B99" s="281"/>
      <c r="C99" s="282"/>
      <c r="D99" s="282"/>
      <c r="E99" s="282"/>
      <c r="F99" s="282"/>
      <c r="G99" s="282"/>
      <c r="H99" s="282"/>
      <c r="I99" s="282"/>
      <c r="J99" s="283"/>
      <c r="K99" s="35"/>
    </row>
    <row r="100" spans="1:11" s="4" customFormat="1" ht="18.75" customHeight="1" x14ac:dyDescent="0.15">
      <c r="A100" s="1"/>
      <c r="B100" s="281"/>
      <c r="C100" s="282"/>
      <c r="D100" s="282"/>
      <c r="E100" s="282"/>
      <c r="F100" s="282"/>
      <c r="G100" s="282"/>
      <c r="H100" s="282"/>
      <c r="I100" s="282"/>
      <c r="J100" s="283"/>
      <c r="K100" s="35"/>
    </row>
    <row r="101" spans="1:11" s="4" customFormat="1" ht="18.75" customHeight="1" x14ac:dyDescent="0.15">
      <c r="A101" s="1"/>
      <c r="B101" s="281"/>
      <c r="C101" s="282"/>
      <c r="D101" s="282"/>
      <c r="E101" s="282"/>
      <c r="F101" s="282"/>
      <c r="G101" s="282"/>
      <c r="H101" s="282"/>
      <c r="I101" s="282"/>
      <c r="J101" s="283"/>
      <c r="K101" s="35"/>
    </row>
    <row r="102" spans="1:11" s="4" customFormat="1" ht="18.75" customHeight="1" x14ac:dyDescent="0.15">
      <c r="A102" s="1"/>
      <c r="B102" s="281"/>
      <c r="C102" s="282"/>
      <c r="D102" s="282"/>
      <c r="E102" s="282"/>
      <c r="F102" s="282"/>
      <c r="G102" s="282"/>
      <c r="H102" s="282"/>
      <c r="I102" s="282"/>
      <c r="J102" s="283"/>
      <c r="K102" s="35"/>
    </row>
    <row r="103" spans="1:11" s="4" customFormat="1" ht="18.75" customHeight="1" x14ac:dyDescent="0.15">
      <c r="A103" s="1"/>
      <c r="B103" s="281"/>
      <c r="C103" s="282"/>
      <c r="D103" s="282"/>
      <c r="E103" s="282"/>
      <c r="F103" s="282"/>
      <c r="G103" s="282"/>
      <c r="H103" s="282"/>
      <c r="I103" s="282"/>
      <c r="J103" s="283"/>
      <c r="K103" s="35"/>
    </row>
    <row r="104" spans="1:11" s="4" customFormat="1" ht="18.75" customHeight="1" x14ac:dyDescent="0.15">
      <c r="A104" s="1"/>
      <c r="B104" s="281"/>
      <c r="C104" s="282"/>
      <c r="D104" s="282"/>
      <c r="E104" s="282"/>
      <c r="F104" s="282"/>
      <c r="G104" s="282"/>
      <c r="H104" s="282"/>
      <c r="I104" s="282"/>
      <c r="J104" s="283"/>
      <c r="K104" s="35"/>
    </row>
    <row r="105" spans="1:11" s="4" customFormat="1" ht="18.75" customHeight="1" x14ac:dyDescent="0.15">
      <c r="A105" s="1"/>
      <c r="B105" s="281"/>
      <c r="C105" s="282"/>
      <c r="D105" s="282"/>
      <c r="E105" s="282"/>
      <c r="F105" s="282"/>
      <c r="G105" s="282"/>
      <c r="H105" s="282"/>
      <c r="I105" s="282"/>
      <c r="J105" s="283"/>
      <c r="K105" s="35"/>
    </row>
    <row r="106" spans="1:11" s="4" customFormat="1" ht="18.75" customHeight="1" x14ac:dyDescent="0.15">
      <c r="A106" s="1"/>
      <c r="B106" s="281"/>
      <c r="C106" s="282"/>
      <c r="D106" s="282"/>
      <c r="E106" s="282"/>
      <c r="F106" s="282"/>
      <c r="G106" s="282"/>
      <c r="H106" s="282"/>
      <c r="I106" s="282"/>
      <c r="J106" s="283"/>
      <c r="K106" s="35"/>
    </row>
    <row r="107" spans="1:11" ht="18.75" customHeight="1" x14ac:dyDescent="0.15">
      <c r="A107" s="39"/>
      <c r="B107" s="281"/>
      <c r="C107" s="282"/>
      <c r="D107" s="282"/>
      <c r="E107" s="282"/>
      <c r="F107" s="282"/>
      <c r="G107" s="282"/>
      <c r="H107" s="282"/>
      <c r="I107" s="282"/>
      <c r="J107" s="283"/>
      <c r="K107" s="35"/>
    </row>
    <row r="108" spans="1:11" ht="18.75" customHeight="1" x14ac:dyDescent="0.15">
      <c r="A108" s="39"/>
      <c r="B108" s="284"/>
      <c r="C108" s="285"/>
      <c r="D108" s="285"/>
      <c r="E108" s="285"/>
      <c r="F108" s="285"/>
      <c r="G108" s="285"/>
      <c r="H108" s="285"/>
      <c r="I108" s="285"/>
      <c r="J108" s="286"/>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87" t="s">
        <v>82</v>
      </c>
      <c r="C110" s="287"/>
      <c r="D110" s="287"/>
      <c r="E110" s="287"/>
      <c r="F110" s="287"/>
      <c r="G110" s="287"/>
      <c r="H110" s="287"/>
      <c r="I110" s="287"/>
      <c r="J110" s="287"/>
      <c r="K110" s="31"/>
    </row>
    <row r="111" spans="1:11" ht="18.75" customHeight="1" x14ac:dyDescent="0.15">
      <c r="A111" s="39"/>
      <c r="B111" s="270" t="s">
        <v>164</v>
      </c>
      <c r="C111" s="271"/>
      <c r="D111" s="271"/>
      <c r="E111" s="271"/>
      <c r="F111" s="271"/>
      <c r="G111" s="271"/>
      <c r="H111" s="271"/>
      <c r="I111" s="279"/>
      <c r="J111" s="280"/>
    </row>
    <row r="112" spans="1:11" ht="18.75" customHeight="1" x14ac:dyDescent="0.15">
      <c r="A112" s="39"/>
      <c r="B112" s="281"/>
      <c r="C112" s="282"/>
      <c r="D112" s="282"/>
      <c r="E112" s="282"/>
      <c r="F112" s="282"/>
      <c r="G112" s="282"/>
      <c r="H112" s="282"/>
      <c r="I112" s="282"/>
      <c r="J112" s="283"/>
      <c r="K112" s="35"/>
    </row>
    <row r="113" spans="1:11" ht="18.75" customHeight="1" x14ac:dyDescent="0.15">
      <c r="A113" s="39"/>
      <c r="B113" s="281"/>
      <c r="C113" s="282"/>
      <c r="D113" s="282"/>
      <c r="E113" s="282"/>
      <c r="F113" s="282"/>
      <c r="G113" s="282"/>
      <c r="H113" s="282"/>
      <c r="I113" s="282"/>
      <c r="J113" s="283"/>
      <c r="K113" s="31" t="str">
        <f>IF(B111="","入力してください","")</f>
        <v/>
      </c>
    </row>
    <row r="114" spans="1:11" ht="18.75" customHeight="1" x14ac:dyDescent="0.15">
      <c r="A114" s="39"/>
      <c r="B114" s="281"/>
      <c r="C114" s="282"/>
      <c r="D114" s="282"/>
      <c r="E114" s="282"/>
      <c r="F114" s="282"/>
      <c r="G114" s="282"/>
      <c r="H114" s="282"/>
      <c r="I114" s="282"/>
      <c r="J114" s="283"/>
    </row>
    <row r="115" spans="1:11" ht="18.75" customHeight="1" x14ac:dyDescent="0.15">
      <c r="A115" s="39"/>
      <c r="B115" s="281"/>
      <c r="C115" s="282"/>
      <c r="D115" s="282"/>
      <c r="E115" s="282"/>
      <c r="F115" s="282"/>
      <c r="G115" s="282"/>
      <c r="H115" s="282"/>
      <c r="I115" s="282"/>
      <c r="J115" s="283"/>
    </row>
    <row r="116" spans="1:11" ht="18.75" customHeight="1" x14ac:dyDescent="0.15">
      <c r="A116" s="39"/>
      <c r="B116" s="281"/>
      <c r="C116" s="282"/>
      <c r="D116" s="282"/>
      <c r="E116" s="282"/>
      <c r="F116" s="282"/>
      <c r="G116" s="282"/>
      <c r="H116" s="282"/>
      <c r="I116" s="282"/>
      <c r="J116" s="283"/>
    </row>
    <row r="117" spans="1:11" ht="18.75" customHeight="1" x14ac:dyDescent="0.15">
      <c r="A117" s="39"/>
      <c r="B117" s="281"/>
      <c r="C117" s="282"/>
      <c r="D117" s="282"/>
      <c r="E117" s="282"/>
      <c r="F117" s="282"/>
      <c r="G117" s="282"/>
      <c r="H117" s="282"/>
      <c r="I117" s="282"/>
      <c r="J117" s="283"/>
    </row>
    <row r="118" spans="1:11" ht="18.75" customHeight="1" x14ac:dyDescent="0.15">
      <c r="A118" s="39"/>
      <c r="B118" s="281"/>
      <c r="C118" s="282"/>
      <c r="D118" s="282"/>
      <c r="E118" s="282"/>
      <c r="F118" s="282"/>
      <c r="G118" s="282"/>
      <c r="H118" s="282"/>
      <c r="I118" s="282"/>
      <c r="J118" s="283"/>
    </row>
    <row r="119" spans="1:11" ht="18.75" customHeight="1" x14ac:dyDescent="0.15">
      <c r="A119" s="39"/>
      <c r="B119" s="281"/>
      <c r="C119" s="282"/>
      <c r="D119" s="282"/>
      <c r="E119" s="282"/>
      <c r="F119" s="282"/>
      <c r="G119" s="282"/>
      <c r="H119" s="282"/>
      <c r="I119" s="282"/>
      <c r="J119" s="283"/>
    </row>
    <row r="120" spans="1:11" ht="18.75" customHeight="1" x14ac:dyDescent="0.15">
      <c r="A120" s="39"/>
      <c r="B120" s="281"/>
      <c r="C120" s="282"/>
      <c r="D120" s="282"/>
      <c r="E120" s="282"/>
      <c r="F120" s="282"/>
      <c r="G120" s="282"/>
      <c r="H120" s="282"/>
      <c r="I120" s="282"/>
      <c r="J120" s="283"/>
    </row>
    <row r="121" spans="1:11" ht="18.75" customHeight="1" x14ac:dyDescent="0.15">
      <c r="A121" s="39"/>
      <c r="B121" s="281"/>
      <c r="C121" s="282"/>
      <c r="D121" s="282"/>
      <c r="E121" s="282"/>
      <c r="F121" s="282"/>
      <c r="G121" s="282"/>
      <c r="H121" s="282"/>
      <c r="I121" s="282"/>
      <c r="J121" s="283"/>
    </row>
    <row r="122" spans="1:11" ht="18.75" customHeight="1" x14ac:dyDescent="0.15">
      <c r="A122" s="39"/>
      <c r="B122" s="281"/>
      <c r="C122" s="282"/>
      <c r="D122" s="282"/>
      <c r="E122" s="282"/>
      <c r="F122" s="282"/>
      <c r="G122" s="282"/>
      <c r="H122" s="282"/>
      <c r="I122" s="282"/>
      <c r="J122" s="283"/>
    </row>
    <row r="123" spans="1:11" ht="18.75" customHeight="1" x14ac:dyDescent="0.15">
      <c r="A123" s="39"/>
      <c r="B123" s="281"/>
      <c r="C123" s="282"/>
      <c r="D123" s="282"/>
      <c r="E123" s="282"/>
      <c r="F123" s="282"/>
      <c r="G123" s="282"/>
      <c r="H123" s="282"/>
      <c r="I123" s="282"/>
      <c r="J123" s="283"/>
    </row>
    <row r="124" spans="1:11" ht="18.75" customHeight="1" x14ac:dyDescent="0.15">
      <c r="A124" s="39"/>
      <c r="B124" s="281"/>
      <c r="C124" s="282"/>
      <c r="D124" s="282"/>
      <c r="E124" s="282"/>
      <c r="F124" s="282"/>
      <c r="G124" s="282"/>
      <c r="H124" s="282"/>
      <c r="I124" s="282"/>
      <c r="J124" s="283"/>
    </row>
    <row r="125" spans="1:11" ht="18.75" customHeight="1" x14ac:dyDescent="0.15">
      <c r="A125" s="39"/>
      <c r="B125" s="281"/>
      <c r="C125" s="282"/>
      <c r="D125" s="282"/>
      <c r="E125" s="282"/>
      <c r="F125" s="282"/>
      <c r="G125" s="282"/>
      <c r="H125" s="282"/>
      <c r="I125" s="282"/>
      <c r="J125" s="283"/>
    </row>
    <row r="126" spans="1:11" ht="18.75" customHeight="1" x14ac:dyDescent="0.15">
      <c r="A126" s="39"/>
      <c r="B126" s="281"/>
      <c r="C126" s="282"/>
      <c r="D126" s="282"/>
      <c r="E126" s="282"/>
      <c r="F126" s="282"/>
      <c r="G126" s="282"/>
      <c r="H126" s="282"/>
      <c r="I126" s="282"/>
      <c r="J126" s="283"/>
    </row>
    <row r="127" spans="1:11" ht="18.75" customHeight="1" x14ac:dyDescent="0.15">
      <c r="A127" s="39"/>
      <c r="B127" s="281"/>
      <c r="C127" s="282"/>
      <c r="D127" s="282"/>
      <c r="E127" s="282"/>
      <c r="F127" s="282"/>
      <c r="G127" s="282"/>
      <c r="H127" s="282"/>
      <c r="I127" s="282"/>
      <c r="J127" s="283"/>
    </row>
    <row r="128" spans="1:11" ht="18.75" customHeight="1" x14ac:dyDescent="0.15">
      <c r="A128" s="39"/>
      <c r="B128" s="281"/>
      <c r="C128" s="282"/>
      <c r="D128" s="282"/>
      <c r="E128" s="282"/>
      <c r="F128" s="282"/>
      <c r="G128" s="282"/>
      <c r="H128" s="282"/>
      <c r="I128" s="282"/>
      <c r="J128" s="283"/>
    </row>
    <row r="129" spans="1:10" ht="18.75" customHeight="1" x14ac:dyDescent="0.15">
      <c r="A129" s="39"/>
      <c r="B129" s="284"/>
      <c r="C129" s="285"/>
      <c r="D129" s="285"/>
      <c r="E129" s="285"/>
      <c r="F129" s="285"/>
      <c r="G129" s="285"/>
      <c r="H129" s="285"/>
      <c r="I129" s="285"/>
      <c r="J129" s="286"/>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tabSelected="1" view="pageBreakPreview" topLeftCell="A16" zoomScaleNormal="100" zoomScaleSheetLayoutView="100" workbookViewId="0">
      <selection activeCell="L11" sqref="L11"/>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124</v>
      </c>
      <c r="J1" s="41" t="s">
        <v>73</v>
      </c>
    </row>
    <row r="2" spans="1:11" ht="18.75" customHeight="1" x14ac:dyDescent="0.15">
      <c r="A2" s="254" t="s">
        <v>42</v>
      </c>
      <c r="B2" s="254"/>
      <c r="C2" s="254"/>
      <c r="D2" s="254"/>
      <c r="E2" s="254"/>
      <c r="F2" s="254"/>
      <c r="G2" s="254"/>
      <c r="H2" s="254"/>
      <c r="I2" s="254"/>
      <c r="J2" s="254"/>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08" t="s">
        <v>38</v>
      </c>
      <c r="C5" s="309"/>
      <c r="D5" s="310"/>
      <c r="E5" s="311" t="s">
        <v>40</v>
      </c>
      <c r="F5" s="311"/>
      <c r="G5" s="311"/>
      <c r="H5" s="311"/>
      <c r="I5" s="311"/>
      <c r="J5" s="312"/>
    </row>
    <row r="6" spans="1:11" ht="18.75" customHeight="1" x14ac:dyDescent="0.15">
      <c r="B6" s="3" t="s">
        <v>28</v>
      </c>
      <c r="C6" s="39"/>
      <c r="D6" s="7"/>
      <c r="I6" s="40"/>
      <c r="J6" s="5"/>
    </row>
    <row r="7" spans="1:11" ht="207" customHeight="1" x14ac:dyDescent="0.15">
      <c r="B7" s="6"/>
      <c r="C7" s="299" t="s">
        <v>29</v>
      </c>
      <c r="D7" s="300"/>
      <c r="E7" s="305" t="s">
        <v>210</v>
      </c>
      <c r="F7" s="301"/>
      <c r="G7" s="301"/>
      <c r="H7" s="301"/>
      <c r="I7" s="301"/>
      <c r="J7" s="302"/>
      <c r="K7" s="31" t="str">
        <f>IF(E7="","入力してください","")</f>
        <v/>
      </c>
    </row>
    <row r="8" spans="1:11" ht="207" customHeight="1" x14ac:dyDescent="0.15">
      <c r="B8" s="6"/>
      <c r="C8" s="306" t="s">
        <v>30</v>
      </c>
      <c r="D8" s="307"/>
      <c r="E8" s="305" t="s">
        <v>197</v>
      </c>
      <c r="F8" s="301"/>
      <c r="G8" s="301"/>
      <c r="H8" s="301"/>
      <c r="I8" s="301"/>
      <c r="J8" s="302"/>
      <c r="K8" s="31" t="str">
        <f>IF(E8="","入力してください","")</f>
        <v/>
      </c>
    </row>
    <row r="9" spans="1:11" ht="172.5" customHeight="1" x14ac:dyDescent="0.15">
      <c r="B9" s="6"/>
      <c r="C9" s="299" t="s">
        <v>31</v>
      </c>
      <c r="D9" s="300"/>
      <c r="E9" s="305" t="s">
        <v>213</v>
      </c>
      <c r="F9" s="301"/>
      <c r="G9" s="301"/>
      <c r="H9" s="301"/>
      <c r="I9" s="301"/>
      <c r="J9" s="302"/>
      <c r="K9" s="31" t="str">
        <f>IF(E9="","入力してください","")</f>
        <v/>
      </c>
    </row>
    <row r="10" spans="1:11" ht="172.5" customHeight="1" x14ac:dyDescent="0.15">
      <c r="B10" s="6"/>
      <c r="C10" s="299" t="s">
        <v>32</v>
      </c>
      <c r="D10" s="300"/>
      <c r="E10" s="305" t="s">
        <v>216</v>
      </c>
      <c r="F10" s="301"/>
      <c r="G10" s="301"/>
      <c r="H10" s="301"/>
      <c r="I10" s="301"/>
      <c r="J10" s="302"/>
      <c r="K10" s="31" t="str">
        <f t="shared" ref="K10:K14" si="0">IF(E10="","入力してください","")</f>
        <v/>
      </c>
    </row>
    <row r="11" spans="1:11" ht="172.5" customHeight="1" x14ac:dyDescent="0.15">
      <c r="B11" s="6"/>
      <c r="C11" s="299" t="s">
        <v>33</v>
      </c>
      <c r="D11" s="300"/>
      <c r="E11" s="305" t="s">
        <v>198</v>
      </c>
      <c r="F11" s="301"/>
      <c r="G11" s="301"/>
      <c r="H11" s="301"/>
      <c r="I11" s="301"/>
      <c r="J11" s="302"/>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299" t="s">
        <v>35</v>
      </c>
      <c r="D13" s="300"/>
      <c r="E13" s="301" t="s">
        <v>199</v>
      </c>
      <c r="F13" s="301"/>
      <c r="G13" s="301"/>
      <c r="H13" s="301"/>
      <c r="I13" s="301"/>
      <c r="J13" s="302"/>
      <c r="K13" s="31" t="str">
        <f t="shared" si="0"/>
        <v/>
      </c>
    </row>
    <row r="14" spans="1:11" ht="255" customHeight="1" x14ac:dyDescent="0.15">
      <c r="B14" s="6"/>
      <c r="C14" s="299" t="s">
        <v>36</v>
      </c>
      <c r="D14" s="300"/>
      <c r="E14" s="301" t="s">
        <v>212</v>
      </c>
      <c r="F14" s="301"/>
      <c r="G14" s="301"/>
      <c r="H14" s="301"/>
      <c r="I14" s="301"/>
      <c r="J14" s="302"/>
      <c r="K14" s="31" t="str">
        <f t="shared" si="0"/>
        <v/>
      </c>
    </row>
    <row r="15" spans="1:11" ht="243" customHeight="1" x14ac:dyDescent="0.15">
      <c r="B15" s="303" t="s">
        <v>37</v>
      </c>
      <c r="C15" s="304"/>
      <c r="D15" s="300"/>
      <c r="E15" s="301" t="s">
        <v>200</v>
      </c>
      <c r="F15" s="301"/>
      <c r="G15" s="301"/>
      <c r="H15" s="301"/>
      <c r="I15" s="301"/>
      <c r="J15" s="302"/>
      <c r="K15" s="31" t="str">
        <f>IF(E15="","入力してください","")</f>
        <v/>
      </c>
    </row>
    <row r="16" spans="1:11" ht="243" customHeight="1" x14ac:dyDescent="0.15">
      <c r="A16" s="31"/>
      <c r="B16" s="293" t="s">
        <v>66</v>
      </c>
      <c r="C16" s="294"/>
      <c r="D16" s="295"/>
      <c r="E16" s="277" t="s">
        <v>211</v>
      </c>
      <c r="F16" s="277"/>
      <c r="G16" s="277"/>
      <c r="H16" s="277"/>
      <c r="I16" s="277"/>
      <c r="J16" s="278"/>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125</v>
      </c>
      <c r="B18" s="4"/>
      <c r="C18" s="39"/>
      <c r="D18" s="39"/>
      <c r="E18" s="40"/>
      <c r="F18" s="94"/>
      <c r="G18" s="296" t="s">
        <v>196</v>
      </c>
      <c r="H18" s="297"/>
      <c r="I18" s="297"/>
      <c r="J18" s="298"/>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2022-04-26T08:05:44Z</cp:lastPrinted>
  <dcterms:created xsi:type="dcterms:W3CDTF">2011-06-14T05:32:50Z</dcterms:created>
  <dcterms:modified xsi:type="dcterms:W3CDTF">2022-05-19T01:56:44Z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