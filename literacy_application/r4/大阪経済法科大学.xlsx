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ile-sv\kyoumu\学長会議・理事長報告等\数理・データサイエンス・AI教育プログラム認定制度\令和4年度申請\作業\"/>
    </mc:Choice>
  </mc:AlternateContent>
  <bookViews>
    <workbookView xWindow="0" yWindow="0" windowWidth="28800" windowHeight="11835" tabRatio="885"/>
  </bookViews>
  <sheets>
    <sheet name="様式１　大学等概要" sheetId="8" r:id="rId1"/>
    <sheet name="様式２(経済学部)　プログラムを構成する授業科目" sheetId="39" r:id="rId2"/>
    <sheet name="様式２(経営学部)　プログラムを構成する授業科目" sheetId="44" r:id="rId3"/>
    <sheet name="様式２(法学部)　プログラムを構成する授業科目" sheetId="45" r:id="rId4"/>
    <sheet name="様式２(国際学部)　プログラムを構成する授業科目" sheetId="46" r:id="rId5"/>
    <sheet name="様式３　履修者等数の実績" sheetId="40" r:id="rId6"/>
    <sheet name="様式４　教育の質・履修者数を向上させるための体制・計画" sheetId="41" r:id="rId7"/>
    <sheet name="様式５　自己点検・評価" sheetId="42" r:id="rId8"/>
  </sheets>
  <definedNames>
    <definedName name="_xlnm._FilterDatabase" localSheetId="2" hidden="1">'様式２(経営学部)　プログラムを構成する授業科目'!#REF!</definedName>
    <definedName name="_xlnm._FilterDatabase" localSheetId="1" hidden="1">'様式２(経済学部)　プログラムを構成する授業科目'!#REF!</definedName>
    <definedName name="_xlnm._FilterDatabase" localSheetId="4" hidden="1">'様式２(国際学部)　プログラムを構成する授業科目'!#REF!</definedName>
    <definedName name="_xlnm._FilterDatabase" localSheetId="3" hidden="1">'様式２(法学部)　プログラムを構成する授業科目'!#REF!</definedName>
    <definedName name="_xlnm._FilterDatabase" localSheetId="5" hidden="1">'様式３　履修者等数の実績'!#REF!</definedName>
    <definedName name="_xlnm.Print_Area" localSheetId="0">'様式１　大学等概要'!$A$1:$N$45</definedName>
    <definedName name="_xlnm.Print_Area" localSheetId="2">'様式２(経営学部)　プログラムを構成する授業科目'!$A$1:$Z$98</definedName>
    <definedName name="_xlnm.Print_Area" localSheetId="1">'様式２(経済学部)　プログラムを構成する授業科目'!$A$1:$Z$98</definedName>
    <definedName name="_xlnm.Print_Area" localSheetId="4">'様式２(国際学部)　プログラムを構成する授業科目'!$A$1:$Z$98</definedName>
    <definedName name="_xlnm.Print_Area" localSheetId="3">'様式２(法学部)　プログラムを構成する授業科目'!$A$1:$Z$98</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10" i="40" l="1"/>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alcChain>
</file>

<file path=xl/sharedStrings.xml><?xml version="1.0" encoding="utf-8"?>
<sst xmlns="http://schemas.openxmlformats.org/spreadsheetml/2006/main" count="740" uniqueCount="206">
  <si>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</si>
  <si>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</si>
  <si>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</si>
  <si>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</si>
  <si>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大阪経済法科大学</t>
    <rPh sb="0" eb="8">
      <t>オオサカケイザイホウカダイガク</t>
    </rPh>
    <phoneticPr fontId="1"/>
  </si>
  <si>
    <t>②</t>
    <phoneticPr fontId="1"/>
  </si>
  <si>
    <t>大学等の設置者</t>
  </si>
  <si>
    <t>学校法人大阪経済法律学園</t>
    <rPh sb="0" eb="2">
      <t>ガッコウ</t>
    </rPh>
    <rPh sb="2" eb="4">
      <t>ホウジン</t>
    </rPh>
    <rPh sb="4" eb="6">
      <t>オオサカ</t>
    </rPh>
    <rPh sb="6" eb="8">
      <t>ケイザイ</t>
    </rPh>
    <rPh sb="8" eb="10">
      <t>ホウリツ</t>
    </rPh>
    <rPh sb="10" eb="12">
      <t>ガクエン</t>
    </rPh>
    <phoneticPr fontId="1"/>
  </si>
  <si>
    <t>③</t>
  </si>
  <si>
    <t>設置形態</t>
    <phoneticPr fontId="1"/>
  </si>
  <si>
    <t>私立大学</t>
  </si>
  <si>
    <t>④</t>
    <phoneticPr fontId="1"/>
  </si>
  <si>
    <t>所在地</t>
    <phoneticPr fontId="1"/>
  </si>
  <si>
    <t>大阪府八尾市楽音寺6-10</t>
    <phoneticPr fontId="1"/>
  </si>
  <si>
    <t>⑤</t>
    <phoneticPr fontId="1"/>
  </si>
  <si>
    <t>申請するプログラム名称</t>
    <rPh sb="0" eb="2">
      <t>シンセイ</t>
    </rPh>
    <rPh sb="9" eb="11">
      <t>メイショウ</t>
    </rPh>
    <phoneticPr fontId="1"/>
  </si>
  <si>
    <t>数理・データサイエンス・ＡＩ教育プログラム</t>
    <phoneticPr fontId="1"/>
  </si>
  <si>
    <t>⑥</t>
    <phoneticPr fontId="1"/>
  </si>
  <si>
    <t>プログラムの開設年度</t>
    <rPh sb="6" eb="8">
      <t>カイセツ</t>
    </rPh>
    <rPh sb="8" eb="10">
      <t>ネンド</t>
    </rPh>
    <phoneticPr fontId="1"/>
  </si>
  <si>
    <t>令和3</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</si>
  <si>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</si>
  <si>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</si>
  <si>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</si>
  <si>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</si>
  <si>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</si>
  <si>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</si>
  <si>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</si>
  <si>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</si>
  <si>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</si>
  <si>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</si>
  <si>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</si>
  <si>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</si>
  <si>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</si>
  <si>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</si>
  <si>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</si>
  <si>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</si>
  <si>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</si>
  <si>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</si>
  <si>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</si>
  <si>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</si>
  <si>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</si>
  <si>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</si>
  <si>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</si>
  <si>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</si>
  <si>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</si>
  <si>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呉原　志賢</t>
    <rPh sb="0" eb="2">
      <t>クレハラ</t>
    </rPh>
    <rPh sb="3" eb="4">
      <t>ココロザシ</t>
    </rPh>
    <rPh sb="4" eb="5">
      <t>ケン</t>
    </rPh>
    <phoneticPr fontId="1"/>
  </si>
  <si>
    <t>（役職名）</t>
    <rPh sb="1" eb="4">
      <t>ヤクショクメイ</t>
    </rPh>
    <phoneticPr fontId="1"/>
  </si>
  <si>
    <t>情報教育運営会議座長</t>
    <rPh sb="0" eb="2">
      <t>ジョウホウ</t>
    </rPh>
    <rPh sb="2" eb="4">
      <t>キョウイク</t>
    </rPh>
    <rPh sb="4" eb="6">
      <t>ウンエイ</t>
    </rPh>
    <rPh sb="6" eb="8">
      <t>カイギ</t>
    </rPh>
    <rPh sb="8" eb="10">
      <t>ザチョウ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</si>
  <si>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</si>
  <si>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</si>
  <si>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情報教育運営会議</t>
    <rPh sb="0" eb="2">
      <t>ジョウホウ</t>
    </rPh>
    <rPh sb="2" eb="4">
      <t>キョウイク</t>
    </rPh>
    <rPh sb="4" eb="6">
      <t>ウンエイ</t>
    </rPh>
    <rPh sb="6" eb="8">
      <t>カイギ</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</si>
  <si>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</si>
  <si>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</si>
  <si>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</si>
  <si>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</si>
  <si>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</si>
  <si>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</si>
  <si>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</si>
  <si>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教務課</t>
    <rPh sb="0" eb="3">
      <t>キョウムカ</t>
    </rPh>
    <phoneticPr fontId="1"/>
  </si>
  <si>
    <t>担当者名</t>
    <rPh sb="0" eb="2">
      <t>タントウ</t>
    </rPh>
    <rPh sb="2" eb="3">
      <t>シャ</t>
    </rPh>
    <rPh sb="3" eb="4">
      <t>メイ</t>
    </rPh>
    <phoneticPr fontId="1"/>
  </si>
  <si>
    <t>高田　恵一</t>
    <phoneticPr fontId="1"/>
  </si>
  <si>
    <t>E-mail</t>
  </si>
  <si>
    <t>kyoumu@keiho-u.ac.jp</t>
    <phoneticPr fontId="1"/>
  </si>
  <si>
    <t>電話番号</t>
  </si>
  <si>
    <t>072-920-7062</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</si>
  <si>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</si>
  <si>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</si>
  <si>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</si>
  <si>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</si>
  <si>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</si>
  <si>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本学経済学部の「数理・データサイエンス・ＡＩ教育プログラム」は、「データサイエンス基礎」（２単位）（経済学部専門教育科目）を履修し単位を取得することを修了要件とする。
※なお、令和3年度の「数理・データサイエンス・ＡＩ教育プログラム」は、「情報リテラシーⅡ」（２単位）（経済学部専門教育科目）を履修し単位を取得することを修了要件として実施。令和4年度からは、「情報リテラシーⅡ」を「データサイエンス基礎」に名称変更して実施している。</t>
    <rPh sb="88" eb="90">
      <t>レイワ</t>
    </rPh>
    <rPh sb="91" eb="93">
      <t>ネンド</t>
    </rPh>
    <rPh sb="120" eb="122">
      <t>ジョウホウ</t>
    </rPh>
    <rPh sb="147" eb="149">
      <t>リシュウ</t>
    </rPh>
    <rPh sb="150" eb="152">
      <t>タンイ</t>
    </rPh>
    <rPh sb="153" eb="155">
      <t>シュトク</t>
    </rPh>
    <rPh sb="160" eb="162">
      <t>シュウリョウ</t>
    </rPh>
    <rPh sb="162" eb="164">
      <t>ヨウケン</t>
    </rPh>
    <rPh sb="167" eb="169">
      <t>ジッシ</t>
    </rPh>
    <rPh sb="170" eb="172">
      <t>レイワ</t>
    </rPh>
    <rPh sb="173" eb="175">
      <t>ネンド</t>
    </rPh>
    <rPh sb="180" eb="182">
      <t>ジョウホウ</t>
    </rPh>
    <rPh sb="199" eb="201">
      <t>キソ</t>
    </rPh>
    <rPh sb="203" eb="205">
      <t>メイショウ</t>
    </rPh>
    <rPh sb="205" eb="207">
      <t>ヘンコウ</t>
    </rPh>
    <rPh sb="209" eb="211">
      <t>ジッシ</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</si>
  <si>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</si>
  <si>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</si>
  <si>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</si>
  <si>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</si>
  <si>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</si>
  <si>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</si>
  <si>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</si>
  <si>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データサイエンス基礎</t>
    <rPh sb="8" eb="10">
      <t>キソ</t>
    </rPh>
    <phoneticPr fontId="1"/>
  </si>
  <si>
    <t>一部開講</t>
  </si>
  <si>
    <t>○</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</si>
  <si>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</si>
  <si>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</si>
  <si>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</si>
  <si>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</si>
  <si>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</si>
  <si>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</si>
  <si>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</si>
  <si>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</si>
  <si>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</si>
  <si>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</si>
  <si>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</si>
  <si>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</si>
  <si>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</si>
  <si>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</si>
  <si>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</si>
  <si>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4‐4時系列データ解析</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</si>
  <si>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</si>
  <si>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</si>
  <si>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</si>
  <si>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</si>
  <si>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 xml:space="preserve">ビッグデータ、IoT、AI、ロボット、データ量の増加、計算機の処理性能の向上、第4次産業革命、Society 5.0、データ駆動型社会、複数技術を組み合わせたAIサービス、データを起点としたものの見方、人間の知的活動を起点としたものの見方「データサイエンス基礎」（第1回)
</t>
    <rPh sb="128" eb="130">
      <t>キソ</t>
    </rPh>
    <rPh sb="132" eb="133">
      <t>ダイ</t>
    </rPh>
    <rPh sb="134" eb="135">
      <t>カイ</t>
    </rPh>
    <phoneticPr fontId="1"/>
  </si>
  <si>
    <t>1-6</t>
    <phoneticPr fontId="1"/>
  </si>
  <si>
    <t>AI等を活用した新しいビジネスモデル、AI最新技術の活用例「データサイエンス基礎」(第13回)</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</si>
  <si>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</si>
  <si>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1次データ、2次データ、データのメタ化、構造化データ、非構造化データ、データ作成（ビッグデータとアノテーション）、データのオープン化「データサイエンス基礎」（第2回)</t>
    <phoneticPr fontId="1"/>
  </si>
  <si>
    <t>データ・AI活用領域の広がり、サービスなど「データサイエンス基礎」（第1回)
仮説検証、知識発見、原因究明など「データサイエンス基礎」(第4回)</t>
    <rPh sb="44" eb="46">
      <t>チシキ</t>
    </rPh>
    <rPh sb="46" eb="48">
      <t>ハッケン</t>
    </rPh>
    <rPh sb="49" eb="51">
      <t>ゲンイン</t>
    </rPh>
    <rPh sb="51" eb="53">
      <t>キュウメイ</t>
    </rPh>
    <rPh sb="68" eb="69">
      <t>ダイ</t>
    </rPh>
    <rPh sb="70" eb="71">
      <t>カイ</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</si>
  <si>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</si>
  <si>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データ解析、データ可視化「データサイエンス基礎」（第6回)
非構造化データ処理「データサイエンス基礎」（第13回）
特化型AIと汎用AI、今のAIで出来ることと出来ないこと、AIとビッグデータ「データサイエンス基礎」（第1回）</t>
    <rPh sb="52" eb="53">
      <t>ダイ</t>
    </rPh>
    <rPh sb="55" eb="56">
      <t>カイ</t>
    </rPh>
    <rPh sb="109" eb="110">
      <t>ダイ</t>
    </rPh>
    <rPh sb="111" eb="112">
      <t>カイ</t>
    </rPh>
    <phoneticPr fontId="1"/>
  </si>
  <si>
    <t>データサイエンスのサイクル「データサイエンス基礎」（第1回)
データ・AI利活用事例紹介「データサイエンス基礎」（第1回)</t>
    <phoneticPr fontId="1"/>
  </si>
  <si>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</si>
  <si>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Issues）、AI社会原則、データバイアス、アルゴリズムバイアス、AIサービスの責任論、データ・AI活用における負の事例紹介「データサイエンス基礎」（第13回)</t>
    <phoneticPr fontId="1"/>
  </si>
  <si>
    <t>情報セキュリティ、パスワード、悪意ある情報搾取、情報漏洩等によるセキュリティ事故の事例紹介「データサイエンス基礎」（第13回)</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</si>
  <si>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</si>
  <si>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データの種類、母集団と標本抽出「データサイエンス基礎」（第2回)
データの分布と代表値、代表値の性質の違い、クロス集計表、分割表、相関係数行列、散布図行列、データのばらつき、観測データに含まれる誤差の扱い「データサイエンス基礎」（第3,4,5,6,7回)
相関と因果「データサイエンス基礎」（第9回)</t>
    <phoneticPr fontId="1"/>
  </si>
  <si>
    <t xml:space="preserve">データ表現「データサイエンス基礎」（第3,4,5,6回)
データの比較、データの図表表現「データサイエンス基礎」（第6,7回)
不適切なグラフ表現「データサイエンス基礎」（第3,7回)
</t>
    <phoneticPr fontId="1"/>
  </si>
  <si>
    <t>データの並び替え、ランキング、データの集計（和、平均）、表形式のデータ「データサイエンス基礎」（第3,4,5,6回)
データ解析ツール「データサイエンス基礎」（第2～15回)</t>
    <phoneticPr fontId="1"/>
  </si>
  <si>
    <t>⑩プログラムの学修成果（学生等が身に付けられる能力等）</t>
    <phoneticPr fontId="1"/>
  </si>
  <si>
    <t>（１）社会におけるデータ・AI利用に関連し、社会で起きている変化・社会で活用されているデータについて説明できる、（２）データ・AIの活用領域、利活用のための技術・現場・最新動向について説明できる、（３）データリテラシーに関連し、データを読む・説明する・扱うことができる、（４）データ・AIを扱う・データを守る上での留意事項について説明できる。</t>
    <phoneticPr fontId="1"/>
  </si>
  <si>
    <t>⑪プログラムの授業内容等を公表しているアドレス</t>
    <phoneticPr fontId="1"/>
  </si>
  <si>
    <t>様式２－２</t>
    <phoneticPr fontId="1"/>
  </si>
  <si>
    <t>本学経営学部の「数理・データサイエンス・ＡＩ教育プログラム」は、「データサイエンス基礎」（２単位）（経営学部専門教育科目）を履修し単位を取得することを修了要件とする。
※なお、令和3年度の「数理・データサイエンス・ＡＩ教育プログラム」は、「情報リテラシーⅡ」（２単位）（経営学部専門教育科目）を履修し単位を取得することを修了要件として実施。令和4年度からは、「情報リテラシーⅡ」を「データサイエンス基礎」に名称変更して実施している。</t>
    <rPh sb="135" eb="137">
      <t>ケイエイ</t>
    </rPh>
    <phoneticPr fontId="1"/>
  </si>
  <si>
    <t>様式２－３</t>
    <phoneticPr fontId="1"/>
  </si>
  <si>
    <t>本学法学部の「数理・データサイエンス・ＡＩ教育プログラム」は、法学部で開講している「データサイエンス基礎」（２単位）（共通教育科目）を履修し単位を取得することを修了要件とする。
※なお、令和3年度の「数理・データサイエンス・ＡＩ教育プログラム」は、「情報リテラシーB」（２単位）（共通教育科目）を履修し単位を取得することを修了要件として実施。令和4年度からは、「情報リテラシーB」を「データサイエンス基礎」に名称変更して実施している。</t>
  </si>
  <si>
    <t>様式２－４</t>
    <phoneticPr fontId="1"/>
  </si>
  <si>
    <t>本学国際学部の「数理・データサイエンス・ＡＩ教育プログラム」は、「データサイエンス基礎」（２単位）（国際学部専門教育科目）を履修し単位を取得することを修了要件とする。
※なお、令和3年度の「数理・データサイエンス・ＡＩ教育プログラム」は、「情報リテラシーⅡ」（２単位）（国際学部専門教育科目）を履修し単位を取得することを修了要件として実施。令和4年度からは、「情報リテラシーⅡ」を「データサイエンス基礎」に名称変更して実施している。</t>
    <rPh sb="135" eb="137">
      <t>コクサイ</t>
    </rPh>
    <phoneticPr fontId="1"/>
  </si>
  <si>
    <t>様式３</t>
  </si>
  <si>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</si>
  <si>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</si>
  <si>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</si>
  <si>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</si>
  <si>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</si>
  <si>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</si>
  <si>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</si>
  <si>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</si>
  <si>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</si>
  <si>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</si>
  <si>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</si>
  <si>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</si>
  <si>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</si>
  <si>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</si>
  <si>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</si>
  <si>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</si>
  <si>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経済学部・経済学科</t>
    <rPh sb="0" eb="2">
      <t>ケイザイ</t>
    </rPh>
    <rPh sb="2" eb="4">
      <t>ガクブ</t>
    </rPh>
    <rPh sb="5" eb="7">
      <t>ケイザイ</t>
    </rPh>
    <rPh sb="7" eb="9">
      <t>ガッカ</t>
    </rPh>
    <phoneticPr fontId="1"/>
  </si>
  <si>
    <t>経済学部・経営学科</t>
    <rPh sb="0" eb="2">
      <t>ケイザイ</t>
    </rPh>
    <rPh sb="2" eb="4">
      <t>ガクブ</t>
    </rPh>
    <rPh sb="5" eb="7">
      <t>ケイエイ</t>
    </rPh>
    <rPh sb="7" eb="9">
      <t>ガッカ</t>
    </rPh>
    <phoneticPr fontId="1"/>
  </si>
  <si>
    <t>経営学部・経営学科</t>
    <rPh sb="0" eb="2">
      <t>ケイエイ</t>
    </rPh>
    <rPh sb="2" eb="4">
      <t>ガクブ</t>
    </rPh>
    <rPh sb="5" eb="7">
      <t>ケイエイ</t>
    </rPh>
    <rPh sb="7" eb="9">
      <t>ガッカ</t>
    </rPh>
    <phoneticPr fontId="1"/>
  </si>
  <si>
    <t>法学部・法律学科</t>
    <rPh sb="0" eb="3">
      <t>ホウガクブ</t>
    </rPh>
    <rPh sb="4" eb="6">
      <t>ホウリツ</t>
    </rPh>
    <rPh sb="6" eb="8">
      <t>ガッカ</t>
    </rPh>
    <phoneticPr fontId="1"/>
  </si>
  <si>
    <t>国際学部・国際学科</t>
    <rPh sb="0" eb="2">
      <t>コクサイ</t>
    </rPh>
    <rPh sb="2" eb="4">
      <t>ガクブ</t>
    </rPh>
    <rPh sb="5" eb="7">
      <t>コクサイ</t>
    </rPh>
    <rPh sb="7" eb="9">
      <t>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</si>
  <si>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</si>
  <si>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</si>
  <si>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</si>
  <si>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</si>
  <si>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</si>
  <si>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教務委員会規程</t>
    <rPh sb="0" eb="2">
      <t>キョウム</t>
    </rPh>
    <rPh sb="2" eb="5">
      <t>イインカイ</t>
    </rPh>
    <rPh sb="5" eb="7">
      <t>キテイ</t>
    </rPh>
    <phoneticPr fontId="1"/>
  </si>
  <si>
    <t>体制の目的</t>
    <rPh sb="0" eb="2">
      <t>タイセイ</t>
    </rPh>
    <rPh sb="3" eb="5">
      <t>モクテキ</t>
    </rPh>
    <phoneticPr fontId="1"/>
  </si>
  <si>
    <t>各学部DPで掲げる情報活用能力育成に向けて、AI戦略２０１９を踏まえた初級レベルの数理・データサイエンス・AI教育や、国家試験であるITパスポート準拠の情報教育を実践するため、2019年度に教務委員会のもとに情報教育運営会議を設置。同運営会議のもと、全学的な情報教育の編成・実施、教育内容の点検・評価・改善を行う。</t>
    <rPh sb="41" eb="43">
      <t>スウリ</t>
    </rPh>
    <rPh sb="92" eb="94">
      <t>ネンド</t>
    </rPh>
    <rPh sb="95" eb="97">
      <t>キョウム</t>
    </rPh>
    <rPh sb="97" eb="100">
      <t>イインカイ</t>
    </rPh>
    <rPh sb="104" eb="106">
      <t>ジョウホウ</t>
    </rPh>
    <rPh sb="106" eb="108">
      <t>キョウイク</t>
    </rPh>
    <rPh sb="108" eb="110">
      <t>ウンエイ</t>
    </rPh>
    <rPh sb="110" eb="112">
      <t>カイギ</t>
    </rPh>
    <rPh sb="113" eb="115">
      <t>セッチ</t>
    </rPh>
    <rPh sb="116" eb="117">
      <t>ドウ</t>
    </rPh>
    <rPh sb="117" eb="119">
      <t>ウンエイ</t>
    </rPh>
    <rPh sb="119" eb="121">
      <t>カイギ</t>
    </rPh>
    <rPh sb="125" eb="128">
      <t>ゼンガクテキ</t>
    </rPh>
    <rPh sb="129" eb="131">
      <t>ジョウホウ</t>
    </rPh>
    <rPh sb="131" eb="133">
      <t>キョウイク</t>
    </rPh>
    <rPh sb="140" eb="142">
      <t>キョウイク</t>
    </rPh>
    <rPh sb="142" eb="144">
      <t>ナイヨウ</t>
    </rPh>
    <rPh sb="145" eb="147">
      <t>テンケン</t>
    </rPh>
    <rPh sb="148" eb="150">
      <t>ヒョウカ</t>
    </rPh>
    <rPh sb="151" eb="153">
      <t>カイゼン</t>
    </rPh>
    <rPh sb="154" eb="155">
      <t>オコナ</t>
    </rPh>
    <phoneticPr fontId="1"/>
  </si>
  <si>
    <t>③</t>
    <phoneticPr fontId="1"/>
  </si>
  <si>
    <t>具体的な構成員</t>
    <rPh sb="0" eb="3">
      <t>グタイテキ</t>
    </rPh>
    <rPh sb="4" eb="7">
      <t>コウセイイン</t>
    </rPh>
    <phoneticPr fontId="1"/>
  </si>
  <si>
    <t>情報教育運営会議座長　国際学部長　教授　呉原 志賢
経済学部　教授　山木 和
経営学部　教授　津田 博
経営学部　教授　中川 隆広
経済学部　准教授 　崔 舜星
教務課　課長　高田 恵一</t>
    <rPh sb="0" eb="2">
      <t>ジョウホウ</t>
    </rPh>
    <rPh sb="2" eb="4">
      <t>キョウイク</t>
    </rPh>
    <rPh sb="4" eb="6">
      <t>ウンエイ</t>
    </rPh>
    <rPh sb="6" eb="8">
      <t>カイギ</t>
    </rPh>
    <rPh sb="8" eb="10">
      <t>ザチョウ</t>
    </rPh>
    <rPh sb="11" eb="13">
      <t>コクサイ</t>
    </rPh>
    <rPh sb="13" eb="15">
      <t>ガクブ</t>
    </rPh>
    <rPh sb="15" eb="16">
      <t>チョウ</t>
    </rPh>
    <rPh sb="17" eb="19">
      <t>キョウジュ</t>
    </rPh>
    <rPh sb="20" eb="21">
      <t>クレ</t>
    </rPh>
    <rPh sb="21" eb="22">
      <t>ハラ</t>
    </rPh>
    <rPh sb="26" eb="28">
      <t>ケイザイ</t>
    </rPh>
    <rPh sb="28" eb="30">
      <t>ガクブ</t>
    </rPh>
    <rPh sb="31" eb="33">
      <t>キョウジュ</t>
    </rPh>
    <rPh sb="39" eb="41">
      <t>ケイエイ</t>
    </rPh>
    <rPh sb="41" eb="43">
      <t>ガクブ</t>
    </rPh>
    <rPh sb="44" eb="46">
      <t>キョウジュ</t>
    </rPh>
    <rPh sb="66" eb="68">
      <t>ケイザイ</t>
    </rPh>
    <rPh sb="68" eb="70">
      <t>ガクブ</t>
    </rPh>
    <rPh sb="71" eb="74">
      <t>ジュンキョウジュ</t>
    </rPh>
    <rPh sb="76" eb="77">
      <t>サイ</t>
    </rPh>
    <rPh sb="78" eb="79">
      <t>シュン</t>
    </rPh>
    <rPh sb="79" eb="80">
      <t>ホシ</t>
    </rPh>
    <rPh sb="81" eb="84">
      <t>キョウムカ</t>
    </rPh>
    <rPh sb="85" eb="87">
      <t>カチョウ</t>
    </rPh>
    <rPh sb="88" eb="90">
      <t>タカダ</t>
    </rPh>
    <rPh sb="91" eb="93">
      <t>ケイイチ</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</si>
  <si>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</si>
  <si>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</si>
  <si>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</si>
  <si>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</si>
  <si>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</si>
  <si>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</si>
  <si>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</si>
  <si>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</si>
  <si>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学の数理・データサイエンス・AI教育プログラムを構成する「データサイエンス基礎」は、1年次の履修必須の科目（全1年生が履修を指定された科目）としており、全学部の1年生全員が履修する。令和3年度はパイロット的に全学部の一部クラスにて数理・データサイエンス・AI教育プログラムを実施したが、令和4年度からは、「データサイエンス基礎」の全クラスにおいて、同プログラムを実施することで、1年生全員が同プログラムを履修するようにする。以降も毎年度1年生全員が履修するため、4年後の令和7年度には留年生を除く全学生が同プログラムを履修することになる。</t>
    <rPh sb="77" eb="78">
      <t>ゼン</t>
    </rPh>
    <rPh sb="78" eb="80">
      <t>ガクブ</t>
    </rPh>
    <rPh sb="82" eb="84">
      <t>ネンセイ</t>
    </rPh>
    <rPh sb="84" eb="86">
      <t>ゼンイン</t>
    </rPh>
    <rPh sb="87" eb="89">
      <t>リシュウ</t>
    </rPh>
    <rPh sb="162" eb="164">
      <t>キソ</t>
    </rPh>
    <rPh sb="166" eb="167">
      <t>ゼン</t>
    </rPh>
    <rPh sb="175" eb="176">
      <t>ドウ</t>
    </rPh>
    <rPh sb="182" eb="184">
      <t>ジッシ</t>
    </rPh>
    <rPh sb="191" eb="193">
      <t>ネンセイ</t>
    </rPh>
    <rPh sb="193" eb="195">
      <t>ゼンイン</t>
    </rPh>
    <rPh sb="196" eb="197">
      <t>ドウ</t>
    </rPh>
    <rPh sb="203" eb="205">
      <t>リシュウ</t>
    </rPh>
    <rPh sb="213" eb="215">
      <t>イコウ</t>
    </rPh>
    <rPh sb="216" eb="219">
      <t>マイネンド</t>
    </rPh>
    <rPh sb="220" eb="222">
      <t>ネンセイ</t>
    </rPh>
    <rPh sb="222" eb="224">
      <t>ゼンイン</t>
    </rPh>
    <rPh sb="225" eb="227">
      <t>リシュウ</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</si>
  <si>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</si>
  <si>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上記④に記載のとおり、数理・データサイエンス・AI教育プログラムを構成する「データサイエンス基礎」については、全学部の全ての１年生が履修する制度（履修必須の科目）としている。そのため、全１年生が履修できるクラス数（令和4年度は21科目・クラス）を開講し、担当教員を編成する。</t>
    <rPh sb="132" eb="134">
      <t>ヘンセイ</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</si>
  <si>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</si>
  <si>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上記④に記載のとおり、数理・データサイエンス・AI教育プログラムを構成する「データサイエンス基礎」については、全学部の全ての１年生が履修する制度（履修必須の科目）であり、1年生には、当該科目を通じて、数理・データサイエンス・AI教育プログラムの意義や概要等について説明し、理解を促す。</t>
    <phoneticPr fontId="1"/>
  </si>
  <si>
    <t>⑦</t>
    <phoneticPr fontId="1"/>
  </si>
  <si>
    <t>できる限り多くの学生が履修・修得できるようなサポート体制</t>
    <rPh sb="26" eb="28">
      <t>タイセイ</t>
    </rPh>
    <phoneticPr fontId="1"/>
  </si>
  <si>
    <t>上記④に記載のとおり、数理・データサイエンス・AI教育プログラムを構成する「データサイエンス基礎」については、全学部の全ての１年生が履修する制度（履修必須の科目）であり、当該科目において、できる限り多くの学生が単位修得（合格）できるように、適切なクラスサイズでの授業実施や、予習・復習で活用できるように本学LMS（WEB)での授業資料の提供、図書館での課題作成のサポート等を実施している。</t>
    <rPh sb="120" eb="122">
      <t>テキセツ</t>
    </rPh>
    <rPh sb="131" eb="133">
      <t>ジュギョウ</t>
    </rPh>
    <rPh sb="133" eb="135">
      <t>ジッシ</t>
    </rPh>
    <rPh sb="137" eb="139">
      <t>ヨシュウ</t>
    </rPh>
    <rPh sb="140" eb="142">
      <t>フクシュウ</t>
    </rPh>
    <rPh sb="143" eb="145">
      <t>カツヨウ</t>
    </rPh>
    <phoneticPr fontId="1"/>
  </si>
  <si>
    <t>授業時間内外で学習指導、質問を受け付ける具体的な仕組み</t>
    <rPh sb="20" eb="23">
      <t>グタイテキ</t>
    </rPh>
    <phoneticPr fontId="1"/>
  </si>
  <si>
    <t>数理・データサイエンス・AI教育プログラムを構成する「データサイエンス基礎」では、各クラスに学生サポートスタッフを配備し、授業内で履修学生に学修指導を行う体制を整備している。また、授業の担当教員のメールアドレスを履修学生に伝え、授業外でも質問を受け付け、対応できるようにしている。</t>
  </si>
  <si>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</si>
  <si>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</si>
  <si>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</si>
  <si>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</si>
  <si>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</si>
  <si>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</si>
  <si>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</si>
  <si>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</si>
  <si>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令和3年度は、一部クラスでプログラムを実施し、結果、全学部1年生の3分の1強となる323名が履修し、うち313名が合格（修得）することとなった。以上の結果と経験を踏まえ、令和4年度からは全学部全1年生を対象にプログラムを実施することで、数理・データサイエンス・AI教育を広く展開する。</t>
    <rPh sb="7" eb="9">
      <t>イチブ</t>
    </rPh>
    <rPh sb="19" eb="21">
      <t>ジッシ</t>
    </rPh>
    <rPh sb="23" eb="25">
      <t>ケッカ</t>
    </rPh>
    <rPh sb="34" eb="35">
      <t>ブン</t>
    </rPh>
    <rPh sb="37" eb="38">
      <t>キョウ</t>
    </rPh>
    <rPh sb="44" eb="45">
      <t>メイ</t>
    </rPh>
    <rPh sb="55" eb="56">
      <t>メイ</t>
    </rPh>
    <rPh sb="57" eb="59">
      <t>ゴウカク</t>
    </rPh>
    <rPh sb="60" eb="62">
      <t>シュウトク</t>
    </rPh>
    <rPh sb="72" eb="74">
      <t>イジョウ</t>
    </rPh>
    <rPh sb="75" eb="77">
      <t>ケッカ</t>
    </rPh>
    <rPh sb="78" eb="80">
      <t>ケイケン</t>
    </rPh>
    <rPh sb="81" eb="82">
      <t>フ</t>
    </rPh>
    <rPh sb="101" eb="103">
      <t>タイショウ</t>
    </rPh>
    <rPh sb="110" eb="112">
      <t>ジッシ</t>
    </rPh>
    <rPh sb="118" eb="120">
      <t>スウリ</t>
    </rPh>
    <rPh sb="132" eb="134">
      <t>キョウイク</t>
    </rPh>
    <rPh sb="135" eb="136">
      <t>ヒロ</t>
    </rPh>
    <rPh sb="137" eb="139">
      <t>テンカイ</t>
    </rPh>
    <phoneticPr fontId="1"/>
  </si>
  <si>
    <t>学修成果</t>
    <rPh sb="0" eb="2">
      <t>ガクシュウ</t>
    </rPh>
    <rPh sb="2" eb="4">
      <t>セイカ</t>
    </rPh>
    <phoneticPr fontId="1"/>
  </si>
  <si>
    <t>情報教育運営会議を中心に、プログラムを構成する授業クラス毎のの合格率・出席率、秀、優、良、可、不可の割合いなど、客観的で定量的なデータを用いて学修成果を直接的に把握している。上述のとおり、令和3年度においては、プログラム履修者323名のうち313名が合格し、修得率97％となった。令和4年度においても、継続的な授業改善と丁寧な学修指導を行うことで、高い合格率の維持に努める。</t>
    <rPh sb="0" eb="8">
      <t>ジョウホウキョウイクウンエイカイギ</t>
    </rPh>
    <rPh sb="9" eb="11">
      <t>チュウシン</t>
    </rPh>
    <rPh sb="19" eb="21">
      <t>コウセイ</t>
    </rPh>
    <rPh sb="23" eb="25">
      <t>ジュギョウ</t>
    </rPh>
    <rPh sb="28" eb="29">
      <t>ゴト</t>
    </rPh>
    <rPh sb="31" eb="34">
      <t>ゴウカクリツ</t>
    </rPh>
    <rPh sb="35" eb="37">
      <t>シュッセキ</t>
    </rPh>
    <rPh sb="37" eb="38">
      <t>リツ</t>
    </rPh>
    <rPh sb="39" eb="40">
      <t>ヒデ</t>
    </rPh>
    <rPh sb="41" eb="42">
      <t>ユウ</t>
    </rPh>
    <rPh sb="43" eb="44">
      <t>リョウ</t>
    </rPh>
    <rPh sb="45" eb="46">
      <t>カ</t>
    </rPh>
    <rPh sb="47" eb="49">
      <t>フカ</t>
    </rPh>
    <rPh sb="50" eb="52">
      <t>ワリア</t>
    </rPh>
    <rPh sb="56" eb="59">
      <t>キャッカンテキ</t>
    </rPh>
    <rPh sb="60" eb="63">
      <t>テイリョウテキ</t>
    </rPh>
    <rPh sb="68" eb="69">
      <t>モチ</t>
    </rPh>
    <rPh sb="71" eb="73">
      <t>ガクシュウ</t>
    </rPh>
    <rPh sb="73" eb="75">
      <t>セイカ</t>
    </rPh>
    <rPh sb="76" eb="79">
      <t>チョクセツテキ</t>
    </rPh>
    <rPh sb="80" eb="82">
      <t>ハアク</t>
    </rPh>
    <rPh sb="87" eb="89">
      <t>ジョウジュツ</t>
    </rPh>
    <rPh sb="94" eb="96">
      <t>レイワ</t>
    </rPh>
    <rPh sb="97" eb="99">
      <t>ネンド</t>
    </rPh>
    <rPh sb="110" eb="112">
      <t>リシュウ</t>
    </rPh>
    <rPh sb="112" eb="113">
      <t>シャ</t>
    </rPh>
    <rPh sb="116" eb="117">
      <t>メイ</t>
    </rPh>
    <rPh sb="123" eb="124">
      <t>メイ</t>
    </rPh>
    <rPh sb="125" eb="127">
      <t>ゴウカク</t>
    </rPh>
    <rPh sb="129" eb="131">
      <t>シュウトク</t>
    </rPh>
    <rPh sb="131" eb="132">
      <t>リツ</t>
    </rPh>
    <rPh sb="140" eb="142">
      <t>レイワ</t>
    </rPh>
    <rPh sb="143" eb="145">
      <t>ネンド</t>
    </rPh>
    <rPh sb="151" eb="154">
      <t>ケイゾクテキ</t>
    </rPh>
    <rPh sb="155" eb="157">
      <t>ジュギョウ</t>
    </rPh>
    <rPh sb="157" eb="159">
      <t>カイゼン</t>
    </rPh>
    <rPh sb="160" eb="162">
      <t>テイネイ</t>
    </rPh>
    <rPh sb="163" eb="165">
      <t>ガクシュウ</t>
    </rPh>
    <rPh sb="165" eb="167">
      <t>シドウ</t>
    </rPh>
    <rPh sb="168" eb="169">
      <t>オコナ</t>
    </rPh>
    <rPh sb="174" eb="175">
      <t>タカ</t>
    </rPh>
    <rPh sb="176" eb="179">
      <t>ゴウカクリツ</t>
    </rPh>
    <rPh sb="180" eb="182">
      <t>イジ</t>
    </rPh>
    <rPh sb="183" eb="184">
      <t>ツト</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</si>
  <si>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</si>
  <si>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学では全科目に対して「授業・学修評価アンケート」を実施している。「この授業を受けて、新しい知識や技能、考え方が身につきましたか」の項目の分析により学生の主観的な理解度を把握している。令和3年度の同プログラム実施クラスの平均は、5点満点中4.5点（回答率78%、標準偏差0.78）であり、学生の主観評価においては高い理解度を確保できたと評価できる。また、自由記述欄においても、「いろんな技術を取得することができました。」、「コンピューターに関する技能を身につけることは現代社会において非常に重要である。」などの意見があった。</t>
    <rPh sb="0" eb="1">
      <t>ホン</t>
    </rPh>
    <rPh sb="4" eb="7">
      <t>ゼンカモク</t>
    </rPh>
    <rPh sb="8" eb="9">
      <t>タイ</t>
    </rPh>
    <rPh sb="26" eb="28">
      <t>ジッシ</t>
    </rPh>
    <rPh sb="74" eb="76">
      <t>ガクセイ</t>
    </rPh>
    <rPh sb="77" eb="79">
      <t>シュカン</t>
    </rPh>
    <rPh sb="79" eb="80">
      <t>テキ</t>
    </rPh>
    <rPh sb="81" eb="84">
      <t>リカイド</t>
    </rPh>
    <rPh sb="85" eb="87">
      <t>ハアク</t>
    </rPh>
    <rPh sb="92" eb="94">
      <t>レイワ</t>
    </rPh>
    <rPh sb="95" eb="97">
      <t>ネンド</t>
    </rPh>
    <rPh sb="98" eb="99">
      <t>ドウ</t>
    </rPh>
    <rPh sb="104" eb="106">
      <t>ジッシ</t>
    </rPh>
    <rPh sb="110" eb="112">
      <t>ヘイキン</t>
    </rPh>
    <rPh sb="115" eb="116">
      <t>テン</t>
    </rPh>
    <rPh sb="116" eb="118">
      <t>マンテン</t>
    </rPh>
    <rPh sb="118" eb="119">
      <t>チュウ</t>
    </rPh>
    <rPh sb="122" eb="123">
      <t>テン</t>
    </rPh>
    <rPh sb="124" eb="127">
      <t>カイトウリツ</t>
    </rPh>
    <rPh sb="131" eb="135">
      <t>ヒョウジュンヘンサ</t>
    </rPh>
    <rPh sb="144" eb="146">
      <t>ガクセイ</t>
    </rPh>
    <rPh sb="149" eb="151">
      <t>ヒョウカ</t>
    </rPh>
    <rPh sb="162" eb="164">
      <t>カクホ</t>
    </rPh>
    <rPh sb="168" eb="170">
      <t>ヒョウカ</t>
    </rPh>
    <rPh sb="177" eb="181">
      <t>ジユウキジュツ</t>
    </rPh>
    <rPh sb="181" eb="182">
      <t>ラン</t>
    </rPh>
    <rPh sb="255" eb="257">
      <t>イケン</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</si>
  <si>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</si>
  <si>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では全科目に対して「授業・学修評価アンケート」を実施している。「総合的に、この授業に満足していますか」の項目の分析により推奨度を評価している。令和3年度の同プログラム実施クラスの平均は、5点満点中4.4点（回答率78%、標準偏差0.84)であり、学生の主観評価においては他の学生に推奨できる水準に到達していると考えられる。</t>
    <rPh sb="0" eb="2">
      <t>ホンガク</t>
    </rPh>
    <rPh sb="4" eb="5">
      <t>ゼン</t>
    </rPh>
    <rPh sb="5" eb="7">
      <t>カモク</t>
    </rPh>
    <rPh sb="8" eb="9">
      <t>タイ</t>
    </rPh>
    <rPh sb="12" eb="14">
      <t>ジュギョウ</t>
    </rPh>
    <rPh sb="15" eb="17">
      <t>ガクシュウ</t>
    </rPh>
    <rPh sb="17" eb="19">
      <t>ヒョウカ</t>
    </rPh>
    <rPh sb="26" eb="28">
      <t>ジッシ</t>
    </rPh>
    <rPh sb="34" eb="36">
      <t>ソウゴウ</t>
    </rPh>
    <rPh sb="36" eb="37">
      <t>テキ</t>
    </rPh>
    <rPh sb="41" eb="43">
      <t>ジュギョウ</t>
    </rPh>
    <rPh sb="44" eb="46">
      <t>マンゾク</t>
    </rPh>
    <rPh sb="54" eb="56">
      <t>コウモク</t>
    </rPh>
    <rPh sb="57" eb="59">
      <t>ブンセキ</t>
    </rPh>
    <rPh sb="62" eb="64">
      <t>スイショウ</t>
    </rPh>
    <rPh sb="64" eb="65">
      <t>ド</t>
    </rPh>
    <rPh sb="66" eb="68">
      <t>ヒョウカ</t>
    </rPh>
    <rPh sb="73" eb="75">
      <t>レイワ</t>
    </rPh>
    <rPh sb="137" eb="138">
      <t>ホカ</t>
    </rPh>
    <rPh sb="139" eb="141">
      <t>ガクセイ</t>
    </rPh>
    <rPh sb="142" eb="144">
      <t>スイショウ</t>
    </rPh>
    <rPh sb="147" eb="149">
      <t>スイジュン</t>
    </rPh>
    <rPh sb="150" eb="152">
      <t>トウタツ</t>
    </rPh>
    <rPh sb="157" eb="158">
      <t>カンガ</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</si>
  <si>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</si>
  <si>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上述のとおり、令和3年度は、プログラムを構成する科目（「情報リテラシーⅡ」及び「情報リテラシーB」、令和4年度からは名称変更し、「データサイエンス基礎」）の一部クラスで実施したが、令和4年度からは全学部の1年生全員が履修する「データサイエンス基礎」の全クラスでプログラムを実施する。以降、毎年度全ての1年生が履修し、4年後の令和7年度には留年生を除く全学生が同プログラムを履修する計画である。</t>
    <rPh sb="0" eb="2">
      <t>ジョウジュツ</t>
    </rPh>
    <rPh sb="20" eb="22">
      <t>コウセイ</t>
    </rPh>
    <rPh sb="24" eb="26">
      <t>カモク</t>
    </rPh>
    <rPh sb="28" eb="30">
      <t>ジョウホウ</t>
    </rPh>
    <rPh sb="37" eb="38">
      <t>オヨ</t>
    </rPh>
    <rPh sb="40" eb="42">
      <t>ジョウホウ</t>
    </rPh>
    <rPh sb="50" eb="52">
      <t>レイワ</t>
    </rPh>
    <rPh sb="53" eb="55">
      <t>ネンド</t>
    </rPh>
    <rPh sb="58" eb="60">
      <t>メイショウ</t>
    </rPh>
    <rPh sb="60" eb="62">
      <t>ヘンコウ</t>
    </rPh>
    <rPh sb="73" eb="75">
      <t>キソ</t>
    </rPh>
    <rPh sb="78" eb="80">
      <t>イチブ</t>
    </rPh>
    <rPh sb="84" eb="86">
      <t>ジッシ</t>
    </rPh>
    <rPh sb="90" eb="92">
      <t>レイワ</t>
    </rPh>
    <rPh sb="93" eb="95">
      <t>ネンド</t>
    </rPh>
    <rPh sb="121" eb="123">
      <t>キソ</t>
    </rPh>
    <rPh sb="125" eb="126">
      <t>ゼン</t>
    </rPh>
    <rPh sb="136" eb="138">
      <t>ジッシ</t>
    </rPh>
    <rPh sb="141" eb="143">
      <t>イコウ</t>
    </rPh>
    <rPh sb="144" eb="147">
      <t>マイネンド</t>
    </rPh>
    <rPh sb="147" eb="148">
      <t>スベ</t>
    </rPh>
    <rPh sb="151" eb="153">
      <t>ネンセイ</t>
    </rPh>
    <rPh sb="154" eb="156">
      <t>リシュウ</t>
    </rPh>
    <rPh sb="159" eb="161">
      <t>ネンゴ</t>
    </rPh>
    <rPh sb="162" eb="164">
      <t>レイワ</t>
    </rPh>
    <rPh sb="165" eb="167">
      <t>ネンド</t>
    </rPh>
    <rPh sb="169" eb="171">
      <t>リュウネン</t>
    </rPh>
    <rPh sb="171" eb="172">
      <t>セイ</t>
    </rPh>
    <rPh sb="173" eb="174">
      <t>ノゾ</t>
    </rPh>
    <rPh sb="175" eb="176">
      <t>ゼン</t>
    </rPh>
    <rPh sb="176" eb="178">
      <t>ガクセイ</t>
    </rPh>
    <rPh sb="179" eb="180">
      <t>ドウ</t>
    </rPh>
    <rPh sb="186" eb="188">
      <t>リシュウ</t>
    </rPh>
    <rPh sb="190" eb="192">
      <t>ケイカク</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</si>
  <si>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</si>
  <si>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</si>
  <si>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令和3年度の秋学期から1年生を対象に実施したため、修了者は令和4年度時点で2年生であり、修了者の進路、活躍状況、企業等の評価についてはまだ存在しない。今後、卒業生が出た段階で、修了者の進路、活躍状況、企業等の評価等については可能な範囲で把握できるように努めたい。</t>
    <rPh sb="0" eb="1">
      <t>ホン</t>
    </rPh>
    <rPh sb="7" eb="9">
      <t>レイワ</t>
    </rPh>
    <rPh sb="10" eb="12">
      <t>ネンド</t>
    </rPh>
    <rPh sb="13" eb="16">
      <t>アキガッキ</t>
    </rPh>
    <rPh sb="19" eb="21">
      <t>ネンセイ</t>
    </rPh>
    <rPh sb="22" eb="24">
      <t>タイショウ</t>
    </rPh>
    <rPh sb="25" eb="27">
      <t>ジッシ</t>
    </rPh>
    <rPh sb="32" eb="35">
      <t>シュウリョウシャ</t>
    </rPh>
    <rPh sb="36" eb="38">
      <t>レイワ</t>
    </rPh>
    <rPh sb="39" eb="41">
      <t>ネンド</t>
    </rPh>
    <rPh sb="41" eb="43">
      <t>ジテン</t>
    </rPh>
    <rPh sb="45" eb="47">
      <t>ネンセイ</t>
    </rPh>
    <rPh sb="51" eb="54">
      <t>シュウリョウシャ</t>
    </rPh>
    <rPh sb="76" eb="78">
      <t>ソンザイ</t>
    </rPh>
    <rPh sb="82" eb="84">
      <t>コンゴ</t>
    </rPh>
    <rPh sb="85" eb="87">
      <t>ソツギョウ</t>
    </rPh>
    <rPh sb="87" eb="88">
      <t>セイ</t>
    </rPh>
    <rPh sb="89" eb="90">
      <t>デ</t>
    </rPh>
    <rPh sb="91" eb="93">
      <t>ダンカイ</t>
    </rPh>
    <rPh sb="95" eb="97">
      <t>シュウリョウ</t>
    </rPh>
    <rPh sb="97" eb="98">
      <t>シャ</t>
    </rPh>
    <rPh sb="99" eb="101">
      <t>シンロ</t>
    </rPh>
    <rPh sb="102" eb="104">
      <t>カツヤク</t>
    </rPh>
    <rPh sb="104" eb="106">
      <t>ジョウキョウ</t>
    </rPh>
    <rPh sb="107" eb="110">
      <t>キギョウナド</t>
    </rPh>
    <rPh sb="111" eb="113">
      <t>ヒョウカ</t>
    </rPh>
    <rPh sb="113" eb="114">
      <t>ナド</t>
    </rPh>
    <rPh sb="119" eb="121">
      <t>カノウ</t>
    </rPh>
    <rPh sb="122" eb="124">
      <t>ハンイ</t>
    </rPh>
    <rPh sb="125" eb="127">
      <t>ハアク</t>
    </rPh>
    <rPh sb="133" eb="134">
      <t>ツト</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</si>
  <si>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</si>
  <si>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教育プログラムを運営、点検、評価、改善する主体である情報教育運営会議の構成員には、企業出身の実務家教員も参加しており、産業界の視点を含めた教育プログラムの内容・手法等に関する意見交換や改善の取り組みを行っている。また、全学的な産業界との意見交換の機会があれば、同プログラムに対する意見を伺うことを検討する。</t>
    <rPh sb="0" eb="2">
      <t>キョウイク</t>
    </rPh>
    <rPh sb="8" eb="10">
      <t>ウンエイ</t>
    </rPh>
    <rPh sb="11" eb="13">
      <t>テンケン</t>
    </rPh>
    <rPh sb="14" eb="16">
      <t>ヒョウカ</t>
    </rPh>
    <rPh sb="17" eb="19">
      <t>カイゼン</t>
    </rPh>
    <rPh sb="21" eb="23">
      <t>シュタイ</t>
    </rPh>
    <rPh sb="26" eb="34">
      <t>ジョウホウキョウイクウンエイカイギ</t>
    </rPh>
    <rPh sb="35" eb="38">
      <t>コウセイイン</t>
    </rPh>
    <rPh sb="41" eb="43">
      <t>キギョウ</t>
    </rPh>
    <rPh sb="49" eb="51">
      <t>キョウイン</t>
    </rPh>
    <rPh sb="52" eb="54">
      <t>サンカ</t>
    </rPh>
    <rPh sb="59" eb="62">
      <t>サンギョウカイ</t>
    </rPh>
    <rPh sb="63" eb="65">
      <t>シテン</t>
    </rPh>
    <rPh sb="66" eb="67">
      <t>フク</t>
    </rPh>
    <rPh sb="69" eb="71">
      <t>キョウイク</t>
    </rPh>
    <rPh sb="77" eb="79">
      <t>ナイヨウ</t>
    </rPh>
    <rPh sb="80" eb="82">
      <t>シュホウ</t>
    </rPh>
    <rPh sb="82" eb="83">
      <t>ナド</t>
    </rPh>
    <rPh sb="84" eb="85">
      <t>カン</t>
    </rPh>
    <rPh sb="87" eb="89">
      <t>イケン</t>
    </rPh>
    <rPh sb="89" eb="91">
      <t>コウカン</t>
    </rPh>
    <rPh sb="92" eb="94">
      <t>カイゼン</t>
    </rPh>
    <rPh sb="95" eb="96">
      <t>ト</t>
    </rPh>
    <rPh sb="97" eb="98">
      <t>ク</t>
    </rPh>
    <rPh sb="100" eb="101">
      <t>オコナ</t>
    </rPh>
    <rPh sb="109" eb="112">
      <t>ゼンガクテキ</t>
    </rPh>
    <rPh sb="113" eb="116">
      <t>サンギョウカイ</t>
    </rPh>
    <rPh sb="118" eb="120">
      <t>イケン</t>
    </rPh>
    <rPh sb="120" eb="122">
      <t>コウカン</t>
    </rPh>
    <rPh sb="123" eb="125">
      <t>キカイ</t>
    </rPh>
    <rPh sb="130" eb="131">
      <t>ドウ</t>
    </rPh>
    <rPh sb="137" eb="138">
      <t>タイ</t>
    </rPh>
    <rPh sb="140" eb="142">
      <t>イケン</t>
    </rPh>
    <rPh sb="143" eb="144">
      <t>ウカガ</t>
    </rPh>
    <rPh sb="148" eb="150">
      <t>ケントウ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</si>
  <si>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</si>
  <si>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プログラムを構成する授業では、最新の内容や身近な事例も扱いつつ、座学だけでなく実際にソフトウエア（Excel等）を操作しデータ処理・分析を実施することで「学ぶ楽しさ」を喚起するような授業を展開している。また、背景となる、Society5.0に向けたAI戦略2019や、IT人材不足の現状（経済産業省のレポート）も説明することで、「意義」を理解させるように努めている。</t>
    <rPh sb="6" eb="8">
      <t>コウセイ</t>
    </rPh>
    <rPh sb="10" eb="12">
      <t>ジュギョウ</t>
    </rPh>
    <rPh sb="15" eb="17">
      <t>サイシン</t>
    </rPh>
    <rPh sb="18" eb="20">
      <t>ナイヨウ</t>
    </rPh>
    <rPh sb="21" eb="23">
      <t>ミジカ</t>
    </rPh>
    <rPh sb="24" eb="26">
      <t>ジレイ</t>
    </rPh>
    <rPh sb="27" eb="28">
      <t>アツカ</t>
    </rPh>
    <rPh sb="32" eb="34">
      <t>ザガク</t>
    </rPh>
    <rPh sb="39" eb="41">
      <t>ジッサイ</t>
    </rPh>
    <rPh sb="54" eb="55">
      <t>ナド</t>
    </rPh>
    <rPh sb="57" eb="59">
      <t>ソウサ</t>
    </rPh>
    <rPh sb="63" eb="65">
      <t>ショリ</t>
    </rPh>
    <rPh sb="66" eb="68">
      <t>ブンセキ</t>
    </rPh>
    <rPh sb="69" eb="71">
      <t>ジッシ</t>
    </rPh>
    <rPh sb="77" eb="78">
      <t>マナ</t>
    </rPh>
    <rPh sb="79" eb="80">
      <t>タノ</t>
    </rPh>
    <rPh sb="84" eb="86">
      <t>カンキ</t>
    </rPh>
    <rPh sb="91" eb="93">
      <t>ジュギョウ</t>
    </rPh>
    <rPh sb="94" eb="96">
      <t>テンカイ</t>
    </rPh>
    <rPh sb="104" eb="106">
      <t>ハイケイ</t>
    </rPh>
    <rPh sb="121" eb="122">
      <t>ム</t>
    </rPh>
    <rPh sb="126" eb="128">
      <t>センリャク</t>
    </rPh>
    <rPh sb="136" eb="138">
      <t>ジンザイ</t>
    </rPh>
    <rPh sb="138" eb="140">
      <t>フソク</t>
    </rPh>
    <rPh sb="141" eb="143">
      <t>ゲンジョウ</t>
    </rPh>
    <rPh sb="156" eb="158">
      <t>セツメイ</t>
    </rPh>
    <rPh sb="177" eb="178">
      <t>ツト</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</si>
  <si>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</si>
  <si>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全1年生が同プログラム科目を履修することから、全体の合格率・出席率、秀・優・良・可・不可、課題の成績等の定量的なデータ、及び「授業・学修評価アンケート」の分析、学生からの声、科目担当教員の授業改善報告書等の現場教員の声等を総合して、情報教育運営会議において、毎学期、授業の総括を行い、学修目標を落とすことなく、分かりやすい授業となるよう努めている。令和3年度は全学部の一部のクラスに対して同プログラムを実施したが、合格率は97%を超えることができた。令和4年度においても引き続き内容・水準を維持・向上させつつ、より「分かりやすい授業」とするため、令和3年度に用意したデータ処理・分析の動画教材（事前事後学修で利用可能）をさらに充実させる等の授業改善の取り組みを進める。</t>
    <rPh sb="0" eb="1">
      <t>ゼン</t>
    </rPh>
    <rPh sb="2" eb="4">
      <t>ネンセイ</t>
    </rPh>
    <rPh sb="5" eb="6">
      <t>ドウ</t>
    </rPh>
    <rPh sb="11" eb="13">
      <t>カモク</t>
    </rPh>
    <rPh sb="14" eb="16">
      <t>リシュウ</t>
    </rPh>
    <rPh sb="23" eb="25">
      <t>ゼンタイ</t>
    </rPh>
    <rPh sb="26" eb="29">
      <t>ゴウカクリツ</t>
    </rPh>
    <rPh sb="30" eb="33">
      <t>シュッセキリツ</t>
    </rPh>
    <rPh sb="34" eb="35">
      <t>シュウ</t>
    </rPh>
    <rPh sb="36" eb="37">
      <t>ユウ</t>
    </rPh>
    <rPh sb="38" eb="39">
      <t>リョウ</t>
    </rPh>
    <rPh sb="40" eb="41">
      <t>カ</t>
    </rPh>
    <rPh sb="42" eb="44">
      <t>フカ</t>
    </rPh>
    <rPh sb="50" eb="51">
      <t>ナド</t>
    </rPh>
    <rPh sb="52" eb="55">
      <t>テイリョウテキ</t>
    </rPh>
    <rPh sb="60" eb="61">
      <t>オヨ</t>
    </rPh>
    <rPh sb="77" eb="79">
      <t>ブンセキ</t>
    </rPh>
    <rPh sb="80" eb="82">
      <t>ガクセイ</t>
    </rPh>
    <rPh sb="85" eb="86">
      <t>コエ</t>
    </rPh>
    <rPh sb="87" eb="89">
      <t>カモク</t>
    </rPh>
    <rPh sb="89" eb="91">
      <t>タントウ</t>
    </rPh>
    <rPh sb="91" eb="93">
      <t>キョウイン</t>
    </rPh>
    <rPh sb="94" eb="96">
      <t>ジュギョウ</t>
    </rPh>
    <rPh sb="96" eb="98">
      <t>カイゼン</t>
    </rPh>
    <rPh sb="98" eb="101">
      <t>ホウコクショ</t>
    </rPh>
    <rPh sb="101" eb="102">
      <t>ナド</t>
    </rPh>
    <rPh sb="103" eb="105">
      <t>ゲンバ</t>
    </rPh>
    <rPh sb="105" eb="107">
      <t>キョウイン</t>
    </rPh>
    <rPh sb="108" eb="109">
      <t>コエ</t>
    </rPh>
    <rPh sb="109" eb="110">
      <t>ナド</t>
    </rPh>
    <rPh sb="111" eb="113">
      <t>ソウゴウ</t>
    </rPh>
    <rPh sb="116" eb="124">
      <t>ジョウホウキョウイクウンエイカイギ</t>
    </rPh>
    <rPh sb="129" eb="132">
      <t>マイガッキ</t>
    </rPh>
    <rPh sb="133" eb="135">
      <t>ジュギョウ</t>
    </rPh>
    <rPh sb="136" eb="138">
      <t>ソウカツ</t>
    </rPh>
    <rPh sb="139" eb="140">
      <t>オコナ</t>
    </rPh>
    <rPh sb="142" eb="144">
      <t>ガクシュウ</t>
    </rPh>
    <rPh sb="144" eb="146">
      <t>モクヒョウ</t>
    </rPh>
    <rPh sb="147" eb="148">
      <t>オ</t>
    </rPh>
    <rPh sb="155" eb="156">
      <t>ワ</t>
    </rPh>
    <rPh sb="161" eb="163">
      <t>ジュギョウ</t>
    </rPh>
    <rPh sb="168" eb="169">
      <t>ツト</t>
    </rPh>
    <rPh sb="174" eb="176">
      <t>レイワ</t>
    </rPh>
    <rPh sb="225" eb="227">
      <t>レイワ</t>
    </rPh>
    <rPh sb="228" eb="230">
      <t>ネンド</t>
    </rPh>
    <rPh sb="235" eb="236">
      <t>ヒ</t>
    </rPh>
    <rPh sb="237" eb="238">
      <t>ツヅ</t>
    </rPh>
    <rPh sb="239" eb="241">
      <t>ナイヨウ</t>
    </rPh>
    <rPh sb="242" eb="244">
      <t>スイジュン</t>
    </rPh>
    <rPh sb="245" eb="247">
      <t>イジ</t>
    </rPh>
    <rPh sb="248" eb="250">
      <t>コウジョウ</t>
    </rPh>
    <rPh sb="258" eb="259">
      <t>ワ</t>
    </rPh>
    <rPh sb="264" eb="266">
      <t>ジュギョウ</t>
    </rPh>
    <rPh sb="273" eb="275">
      <t>レイワ</t>
    </rPh>
    <rPh sb="276" eb="278">
      <t>ネンド</t>
    </rPh>
    <rPh sb="279" eb="281">
      <t>ヨウイ</t>
    </rPh>
    <rPh sb="286" eb="288">
      <t>ショリ</t>
    </rPh>
    <rPh sb="289" eb="291">
      <t>ブンセキ</t>
    </rPh>
    <rPh sb="292" eb="294">
      <t>ドウガ</t>
    </rPh>
    <rPh sb="294" eb="296">
      <t>キョウザイ</t>
    </rPh>
    <rPh sb="297" eb="301">
      <t>ジゼンジゴ</t>
    </rPh>
    <rPh sb="301" eb="303">
      <t>ガクシュウ</t>
    </rPh>
    <rPh sb="304" eb="306">
      <t>リヨウ</t>
    </rPh>
    <rPh sb="306" eb="308">
      <t>カノウ</t>
    </rPh>
    <rPh sb="313" eb="315">
      <t>ジュウジツ</t>
    </rPh>
    <rPh sb="318" eb="319">
      <t>ナド</t>
    </rPh>
    <rPh sb="320" eb="322">
      <t>ジュギョウ</t>
    </rPh>
    <rPh sb="322" eb="324">
      <t>カイゼン</t>
    </rPh>
    <rPh sb="325" eb="326">
      <t>ト</t>
    </rPh>
    <rPh sb="327" eb="328">
      <t>ク</t>
    </rPh>
    <rPh sb="330" eb="331">
      <t>スス</t>
    </rPh>
    <phoneticPr fontId="1"/>
  </si>
  <si>
    <t>②自己点検・評価体制における意見等を公表しているアドレス</t>
    <phoneticPr fontId="1"/>
  </si>
  <si>
    <t>https://www.keiho-u.ac.jp/faculty/info-education/</t>
    <phoneticPr fontId="1"/>
  </si>
  <si>
    <t>https://www.keiho-u.ac.jp/faculty/info-education/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</si>
</sst>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scheme val="minor"/>
    </font>
  </fonts>
  <fills count="2">
    <fill>
      <patternFill patternType="none"/>
    </fill>
    <fill>
      <patternFill patternType="gray125"/>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176" fontId="8" fillId="0" borderId="0" xfId="0" applyNumberFormat="1" applyFont="1" applyAlignment="1">
      <alignment vertical="center" wrapText="1"/>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24" fillId="0" borderId="0" xfId="0" applyFont="1">
      <alignment vertical="center"/>
    </xf>
    <xf numFmtId="0" fontId="24" fillId="0" borderId="1" xfId="0" applyFont="1" applyBorder="1" applyAlignment="1">
      <alignment horizontal="center" vertical="center" shrinkToFit="1"/>
    </xf>
    <xf numFmtId="0" fontId="24" fillId="0" borderId="0" xfId="0" applyFont="1" applyAlignment="1">
      <alignment horizontal="left" vertical="center"/>
    </xf>
    <xf numFmtId="0" fontId="24" fillId="0" borderId="0" xfId="0" applyFont="1" applyAlignment="1">
      <alignment vertical="center" shrinkToFit="1"/>
    </xf>
    <xf numFmtId="0" fontId="24" fillId="0" borderId="5" xfId="0" applyFont="1" applyBorder="1">
      <alignment vertical="center"/>
    </xf>
    <xf numFmtId="176" fontId="24" fillId="0" borderId="0" xfId="0" applyNumberFormat="1" applyFont="1" applyAlignment="1">
      <alignment vertical="center" wrapText="1"/>
    </xf>
    <xf numFmtId="176" fontId="24" fillId="0" borderId="5" xfId="0" applyNumberFormat="1" applyFont="1" applyBorder="1">
      <alignment vertical="center"/>
    </xf>
    <xf numFmtId="0" fontId="24" fillId="0" borderId="0" xfId="0" applyFont="1" applyAlignment="1">
      <alignment horizontal="center" vertical="center"/>
    </xf>
    <xf numFmtId="176" fontId="24" fillId="0" borderId="0" xfId="0" applyNumberFormat="1" applyFont="1">
      <alignment vertical="center"/>
    </xf>
    <xf numFmtId="176" fontId="24" fillId="0" borderId="3" xfId="0" applyNumberFormat="1" applyFont="1" applyBorder="1" applyAlignment="1">
      <alignment vertical="center" shrinkToFit="1"/>
    </xf>
    <xf numFmtId="176" fontId="24" fillId="0" borderId="0" xfId="0" applyNumberFormat="1" applyFont="1" applyAlignment="1">
      <alignment horizontal="left" vertical="center" wrapText="1"/>
    </xf>
    <xf numFmtId="0" fontId="24" fillId="0" borderId="6" xfId="0" applyFont="1" applyBorder="1" applyAlignment="1">
      <alignment vertical="center" shrinkToFit="1"/>
    </xf>
    <xf numFmtId="0" fontId="24" fillId="0" borderId="0" xfId="0" applyFont="1" applyAlignment="1">
      <alignment horizontal="center" vertical="center" shrinkToFit="1"/>
    </xf>
    <xf numFmtId="0" fontId="24" fillId="0" borderId="10" xfId="0" applyFont="1" applyBorder="1" applyAlignment="1">
      <alignment vertical="center" shrinkToFit="1"/>
    </xf>
    <xf numFmtId="0" fontId="24" fillId="0" borderId="1" xfId="0" applyFont="1" applyBorder="1" applyAlignment="1">
      <alignment vertical="center" shrinkToFit="1"/>
    </xf>
    <xf numFmtId="0" fontId="24" fillId="0" borderId="2" xfId="0" applyFont="1" applyBorder="1">
      <alignment vertical="center"/>
    </xf>
    <xf numFmtId="0" fontId="24" fillId="0" borderId="4" xfId="0" applyFont="1" applyBorder="1">
      <alignment vertical="center"/>
    </xf>
    <xf numFmtId="0" fontId="24" fillId="0" borderId="1" xfId="0" applyFont="1" applyBorder="1">
      <alignment vertical="center"/>
    </xf>
    <xf numFmtId="0" fontId="24" fillId="0" borderId="53" xfId="0" applyFont="1" applyBorder="1">
      <alignment vertical="center"/>
    </xf>
    <xf numFmtId="0" fontId="24" fillId="0" borderId="54" xfId="0" applyFont="1" applyBorder="1">
      <alignment vertical="center"/>
    </xf>
    <xf numFmtId="0" fontId="24" fillId="0" borderId="14" xfId="0" applyFont="1" applyBorder="1" applyAlignment="1">
      <alignment horizontal="left" vertical="center" shrinkToFit="1"/>
    </xf>
    <xf numFmtId="0" fontId="24" fillId="0" borderId="5" xfId="0" applyFont="1" applyBorder="1" applyAlignment="1">
      <alignment vertical="center" shrinkToFit="1"/>
    </xf>
    <xf numFmtId="176" fontId="24" fillId="0" borderId="5" xfId="0" applyNumberFormat="1" applyFont="1" applyBorder="1" applyAlignment="1">
      <alignment vertical="center" shrinkToFit="1"/>
    </xf>
    <xf numFmtId="176" fontId="24" fillId="0" borderId="31" xfId="0" applyNumberFormat="1" applyFont="1" applyBorder="1" applyAlignment="1">
      <alignment vertical="center" shrinkToFit="1"/>
    </xf>
    <xf numFmtId="0" fontId="24" fillId="0" borderId="23" xfId="0" applyFont="1" applyBorder="1" applyAlignment="1">
      <alignment horizontal="left" vertical="center" shrinkToFit="1"/>
    </xf>
    <xf numFmtId="0" fontId="24" fillId="0" borderId="20" xfId="0" applyFont="1" applyBorder="1" applyAlignment="1">
      <alignment vertical="center" shrinkToFit="1"/>
    </xf>
    <xf numFmtId="0" fontId="24" fillId="0" borderId="19" xfId="0" applyFont="1" applyBorder="1" applyAlignment="1">
      <alignment vertical="center" shrinkToFit="1"/>
    </xf>
    <xf numFmtId="176" fontId="24" fillId="0" borderId="19" xfId="0" applyNumberFormat="1" applyFont="1" applyBorder="1" applyAlignment="1">
      <alignment vertical="center" shrinkToFit="1"/>
    </xf>
    <xf numFmtId="176" fontId="24" fillId="0" borderId="33" xfId="0" applyNumberFormat="1" applyFont="1" applyBorder="1" applyAlignment="1">
      <alignment vertical="center" shrinkToFit="1"/>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24" fillId="0" borderId="0" xfId="0" applyFont="1" applyAlignment="1">
      <alignment horizontal="center" vertical="center"/>
    </xf>
    <xf numFmtId="0" fontId="24" fillId="0" borderId="0" xfId="0" applyFont="1" applyAlignment="1">
      <alignment horizontal="right" vertical="center" shrinkToFit="1"/>
    </xf>
    <xf numFmtId="0" fontId="24" fillId="0" borderId="2" xfId="0" applyFont="1" applyBorder="1" applyAlignment="1">
      <alignment horizontal="center" vertical="center" shrinkToFit="1"/>
    </xf>
    <xf numFmtId="0" fontId="24" fillId="0" borderId="3" xfId="0" applyFont="1" applyBorder="1" applyAlignment="1">
      <alignment horizontal="center" vertical="center" shrinkToFit="1"/>
    </xf>
    <xf numFmtId="0" fontId="24" fillId="0" borderId="5" xfId="0" applyFont="1" applyBorder="1" applyAlignment="1">
      <alignment horizontal="right" vertical="center" shrinkToFit="1"/>
    </xf>
    <xf numFmtId="0" fontId="24" fillId="0" borderId="10" xfId="0" applyFont="1" applyBorder="1" applyAlignment="1">
      <alignment horizontal="right" vertical="center" shrinkToFit="1"/>
    </xf>
    <xf numFmtId="176" fontId="24" fillId="0" borderId="2" xfId="0" applyNumberFormat="1" applyFont="1" applyBorder="1" applyAlignment="1">
      <alignment horizontal="center" vertical="center" shrinkToFit="1"/>
    </xf>
    <xf numFmtId="176" fontId="24" fillId="0" borderId="4" xfId="0" applyNumberFormat="1" applyFont="1" applyBorder="1" applyAlignment="1">
      <alignment horizontal="center" vertical="center" shrinkToFit="1"/>
    </xf>
    <xf numFmtId="0" fontId="24" fillId="0" borderId="0" xfId="0" applyFont="1" applyAlignment="1">
      <alignment vertical="center" shrinkToFit="1"/>
    </xf>
    <xf numFmtId="0" fontId="24" fillId="0" borderId="4" xfId="0"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24" fillId="0" borderId="3" xfId="0" applyNumberFormat="1" applyFont="1" applyBorder="1" applyAlignment="1">
      <alignment horizontal="center" vertical="center" shrinkToFit="1"/>
    </xf>
    <xf numFmtId="0" fontId="15" fillId="0" borderId="0" xfId="0" applyFont="1" applyAlignment="1">
      <alignment horizontal="center" vertical="center"/>
    </xf>
    <xf numFmtId="0" fontId="24" fillId="0" borderId="0" xfId="0" applyFont="1" applyAlignment="1">
      <alignment horizontal="right" vertical="center"/>
    </xf>
    <xf numFmtId="0" fontId="24" fillId="0" borderId="10" xfId="0" applyFont="1" applyBorder="1" applyAlignment="1">
      <alignment horizontal="right" vertical="center"/>
    </xf>
    <xf numFmtId="0" fontId="0" fillId="0" borderId="3" xfId="0" applyBorder="1" applyAlignment="1">
      <alignment vertical="center"/>
    </xf>
    <xf numFmtId="0" fontId="0" fillId="0" borderId="4" xfId="0" applyBorder="1" applyAlignment="1">
      <alignment vertical="center"/>
    </xf>
    <xf numFmtId="49" fontId="24" fillId="0" borderId="2" xfId="1" applyNumberFormat="1" applyFont="1" applyBorder="1" applyAlignment="1">
      <alignment horizontal="center" vertical="center" shrinkToFit="1"/>
    </xf>
    <xf numFmtId="49" fontId="24" fillId="0" borderId="3" xfId="1" applyNumberFormat="1" applyFont="1" applyBorder="1" applyAlignment="1">
      <alignment horizontal="center" vertical="center" shrinkToFit="1"/>
    </xf>
    <xf numFmtId="49" fontId="24" fillId="0" borderId="4" xfId="1" applyNumberFormat="1" applyFont="1" applyBorder="1" applyAlignment="1">
      <alignment horizontal="center" vertical="center" shrinkToFit="1"/>
    </xf>
    <xf numFmtId="0" fontId="24" fillId="0" borderId="2" xfId="0" applyFont="1" applyBorder="1" applyAlignment="1">
      <alignment vertical="center" shrinkToFit="1"/>
    </xf>
    <xf numFmtId="0" fontId="24" fillId="0" borderId="3"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0" xfId="0" applyFont="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19" fillId="0" borderId="0" xfId="0" applyFont="1" applyAlignment="1">
      <alignment horizontal="center" vertical="center"/>
    </xf>
    <xf numFmtId="0" fontId="24" fillId="0" borderId="7" xfId="0" applyFont="1" applyBorder="1" applyAlignment="1">
      <alignment horizontal="left" vertical="top" wrapText="1" shrinkToFit="1"/>
    </xf>
    <xf numFmtId="0" fontId="24" fillId="0" borderId="8" xfId="0" applyFont="1" applyBorder="1" applyAlignment="1">
      <alignment horizontal="left" vertical="top" wrapText="1" shrinkToFit="1"/>
    </xf>
    <xf numFmtId="0" fontId="24" fillId="0" borderId="9" xfId="0" applyFont="1" applyBorder="1" applyAlignment="1">
      <alignment horizontal="left" vertical="top" wrapText="1" shrinkToFit="1"/>
    </xf>
    <xf numFmtId="0" fontId="24" fillId="0" borderId="5" xfId="0" applyFont="1" applyBorder="1" applyAlignment="1">
      <alignment horizontal="left" vertical="top" wrapText="1" shrinkToFit="1"/>
    </xf>
    <xf numFmtId="0" fontId="24" fillId="0" borderId="0" xfId="0" applyFont="1" applyAlignment="1">
      <alignment horizontal="left" vertical="top" wrapText="1" shrinkToFit="1"/>
    </xf>
    <xf numFmtId="0" fontId="24" fillId="0" borderId="10" xfId="0" applyFont="1" applyBorder="1" applyAlignment="1">
      <alignment horizontal="left" vertical="top" wrapText="1" shrinkToFit="1"/>
    </xf>
    <xf numFmtId="0" fontId="24" fillId="0" borderId="11" xfId="0" applyFont="1" applyBorder="1" applyAlignment="1">
      <alignment horizontal="left" vertical="top" wrapText="1" shrinkToFit="1"/>
    </xf>
    <xf numFmtId="0" fontId="24" fillId="0" borderId="6" xfId="0" applyFont="1" applyBorder="1" applyAlignment="1">
      <alignment horizontal="left" vertical="top" wrapText="1" shrinkToFit="1"/>
    </xf>
    <xf numFmtId="0" fontId="24" fillId="0" borderId="12" xfId="0" applyFont="1" applyBorder="1" applyAlignment="1">
      <alignment horizontal="left" vertical="top" wrapText="1"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24"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9" xfId="0" applyFont="1" applyBorder="1" applyAlignment="1">
      <alignment vertical="top" wrapText="1" shrinkToFit="1"/>
    </xf>
    <xf numFmtId="0" fontId="24" fillId="0" borderId="5" xfId="0" applyFont="1" applyBorder="1" applyAlignment="1">
      <alignment vertical="top" wrapText="1" shrinkToFit="1"/>
    </xf>
    <xf numFmtId="0" fontId="24" fillId="0" borderId="0" xfId="0" applyFont="1" applyAlignment="1">
      <alignment vertical="top" wrapText="1" shrinkToFit="1"/>
    </xf>
    <xf numFmtId="0" fontId="24" fillId="0" borderId="10" xfId="0" applyFont="1" applyBorder="1" applyAlignment="1">
      <alignment vertical="top" wrapText="1" shrinkToFit="1"/>
    </xf>
    <xf numFmtId="0" fontId="24" fillId="0" borderId="11" xfId="0" applyFont="1" applyBorder="1" applyAlignment="1">
      <alignment vertical="top" wrapText="1" shrinkToFit="1"/>
    </xf>
    <xf numFmtId="0" fontId="24" fillId="0" borderId="6" xfId="0" applyFont="1" applyBorder="1" applyAlignment="1">
      <alignment vertical="top" wrapText="1" shrinkToFit="1"/>
    </xf>
    <xf numFmtId="0" fontId="24" fillId="0" borderId="12" xfId="0" applyFont="1" applyBorder="1" applyAlignment="1">
      <alignment vertical="top" wrapText="1" shrinkToFit="1"/>
    </xf>
    <xf numFmtId="0" fontId="24" fillId="0" borderId="8" xfId="0" applyFont="1" applyBorder="1" applyAlignment="1">
      <alignment vertical="top" shrinkToFit="1"/>
    </xf>
    <xf numFmtId="0" fontId="24" fillId="0" borderId="9"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0" xfId="0" applyFont="1" applyBorder="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2" fillId="0" borderId="6" xfId="0" applyFont="1" applyBorder="1" applyAlignment="1">
      <alignment vertical="center"/>
    </xf>
    <xf numFmtId="0" fontId="24" fillId="0" borderId="16" xfId="0" applyFont="1" applyBorder="1" applyAlignment="1">
      <alignment vertical="top" wrapText="1" shrinkToFit="1"/>
    </xf>
    <xf numFmtId="0" fontId="24" fillId="0" borderId="22" xfId="0" applyFont="1" applyBorder="1" applyAlignment="1">
      <alignment vertical="top" wrapText="1" shrinkToFit="1"/>
    </xf>
    <xf numFmtId="0" fontId="24" fillId="0" borderId="21" xfId="0" applyFont="1" applyBorder="1" applyAlignment="1">
      <alignment vertical="top" wrapText="1"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8" xfId="0" applyFont="1" applyBorder="1" applyAlignment="1">
      <alignment vertical="top" wrapText="1" shrinkToFit="1"/>
    </xf>
    <xf numFmtId="0" fontId="8" fillId="0" borderId="19" xfId="0" applyFont="1" applyBorder="1" applyAlignment="1">
      <alignment vertical="top"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eiho-u.ac.jp/faculty/info-educatio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keiho-u.ac.jp/faculty/info-educatio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eiho-u.ac.jp/faculty/info-educatio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eiho-u.ac.jp/faculty/info-educatio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keiho-u.ac.jp/faculty/info-edu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heetViews>
  <sheetFormatPr defaultColWidth="9" defaultRowHeight="18.95" customHeight="1" x14ac:dyDescent="0.15"/>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75" style="13" customWidth="1"/>
    <col min="13" max="13" width="3.375" style="13" customWidth="1"/>
    <col min="14" max="14" width="4.5" style="13" customWidth="1"/>
    <col min="15" max="15" width="9" style="21"/>
    <col min="16" max="16384" width="9" style="12"/>
  </cols>
  <sheetData>
    <row r="1" spans="1:15" ht="24" customHeight="1" x14ac:dyDescent="0.15">
      <c r="M1" s="149" t="s">
        <v>0</v>
      </c>
      <c r="N1" s="149"/>
    </row>
    <row r="2" spans="1:15" ht="24" customHeight="1" x14ac:dyDescent="0.15">
      <c r="A2" s="152" t="s">
        <v>1</v>
      </c>
      <c r="B2" s="152"/>
      <c r="C2" s="152"/>
      <c r="D2" s="152"/>
      <c r="E2" s="152"/>
      <c r="F2" s="152"/>
      <c r="G2" s="152"/>
      <c r="H2" s="152"/>
      <c r="I2" s="152"/>
      <c r="J2" s="152"/>
      <c r="K2" s="152"/>
      <c r="L2" s="152"/>
      <c r="M2" s="152"/>
      <c r="N2" s="152"/>
    </row>
    <row r="3" spans="1:15" ht="24" customHeight="1" x14ac:dyDescent="0.15"/>
    <row r="4" spans="1:15" ht="24" customHeight="1" x14ac:dyDescent="0.15">
      <c r="A4" s="13" t="s">
        <v>2</v>
      </c>
      <c r="B4" s="13" t="s">
        <v>3</v>
      </c>
      <c r="C4" s="146" t="s">
        <v>4</v>
      </c>
      <c r="D4" s="147"/>
      <c r="E4" s="147"/>
      <c r="F4" s="147"/>
      <c r="G4" s="147"/>
      <c r="H4" s="147"/>
      <c r="I4" s="147"/>
      <c r="J4" s="147"/>
      <c r="K4" s="147"/>
      <c r="L4" s="147"/>
      <c r="M4" s="147"/>
      <c r="N4" s="148"/>
      <c r="O4" s="21" t="str">
        <f>IF(C4="","入力してください","")</f>
        <v/>
      </c>
    </row>
    <row r="5" spans="1:15" ht="7.5" customHeight="1" x14ac:dyDescent="0.15">
      <c r="E5" s="14"/>
      <c r="F5" s="25"/>
      <c r="G5" s="25"/>
      <c r="H5" s="25"/>
      <c r="I5" s="25"/>
      <c r="J5" s="25"/>
      <c r="K5" s="25"/>
      <c r="L5" s="25"/>
      <c r="M5" s="25"/>
      <c r="N5" s="25"/>
    </row>
    <row r="6" spans="1:15" ht="24" customHeight="1" x14ac:dyDescent="0.15">
      <c r="A6" s="13" t="s">
        <v>5</v>
      </c>
      <c r="B6" s="13" t="s">
        <v>6</v>
      </c>
      <c r="D6" s="146" t="s">
        <v>7</v>
      </c>
      <c r="E6" s="147"/>
      <c r="F6" s="147"/>
      <c r="G6" s="147"/>
      <c r="H6" s="148"/>
      <c r="I6" s="13" t="s">
        <v>8</v>
      </c>
      <c r="J6" s="25" t="s">
        <v>9</v>
      </c>
      <c r="K6" s="146" t="s">
        <v>10</v>
      </c>
      <c r="L6" s="147"/>
      <c r="M6" s="147"/>
      <c r="N6" s="148"/>
      <c r="O6" s="21" t="str">
        <f>IF(D6="","入力してください","")</f>
        <v/>
      </c>
    </row>
    <row r="7" spans="1:15" ht="7.5" customHeight="1" x14ac:dyDescent="0.15">
      <c r="E7" s="14"/>
      <c r="F7" s="25"/>
      <c r="G7" s="25"/>
      <c r="H7" s="25"/>
      <c r="I7" s="25"/>
      <c r="J7" s="25"/>
      <c r="K7" s="25"/>
      <c r="L7" s="25"/>
      <c r="M7" s="25"/>
      <c r="N7" s="25"/>
    </row>
    <row r="8" spans="1:15" ht="24" customHeight="1" x14ac:dyDescent="0.15">
      <c r="A8" s="13" t="s">
        <v>11</v>
      </c>
      <c r="B8" s="13" t="s">
        <v>12</v>
      </c>
      <c r="C8" s="146" t="s">
        <v>13</v>
      </c>
      <c r="D8" s="147"/>
      <c r="E8" s="147"/>
      <c r="F8" s="147"/>
      <c r="G8" s="147"/>
      <c r="H8" s="147"/>
      <c r="I8" s="147"/>
      <c r="J8" s="147"/>
      <c r="K8" s="147"/>
      <c r="L8" s="147"/>
      <c r="M8" s="147"/>
      <c r="N8" s="148"/>
      <c r="O8" s="21" t="str">
        <f>IF(C8="","入力してください","")</f>
        <v/>
      </c>
    </row>
    <row r="9" spans="1:15" ht="7.5" customHeight="1" x14ac:dyDescent="0.15">
      <c r="E9" s="14"/>
      <c r="F9" s="25"/>
      <c r="G9" s="25"/>
      <c r="H9" s="25"/>
      <c r="I9" s="25"/>
      <c r="J9" s="25"/>
      <c r="K9" s="25"/>
      <c r="L9" s="25"/>
      <c r="M9" s="25"/>
      <c r="N9" s="25"/>
    </row>
    <row r="10" spans="1:15" ht="24" customHeight="1" x14ac:dyDescent="0.15">
      <c r="A10" s="13" t="s">
        <v>14</v>
      </c>
      <c r="B10" s="13" t="s">
        <v>15</v>
      </c>
      <c r="E10" s="146" t="s">
        <v>16</v>
      </c>
      <c r="F10" s="147"/>
      <c r="G10" s="147"/>
      <c r="H10" s="147"/>
      <c r="I10" s="147"/>
      <c r="J10" s="147"/>
      <c r="K10" s="147"/>
      <c r="L10" s="147"/>
      <c r="M10" s="147"/>
      <c r="N10" s="148"/>
      <c r="O10" s="21" t="str">
        <f>IF(E10="","入力してください","")</f>
        <v/>
      </c>
    </row>
    <row r="11" spans="1:15" ht="7.5" customHeight="1" x14ac:dyDescent="0.15">
      <c r="B11" s="14"/>
      <c r="C11" s="14"/>
      <c r="D11" s="14"/>
      <c r="E11" s="14"/>
      <c r="F11" s="25"/>
      <c r="G11" s="25"/>
      <c r="H11" s="25"/>
      <c r="I11" s="25"/>
      <c r="J11" s="25"/>
      <c r="K11" s="25"/>
      <c r="L11" s="25"/>
      <c r="M11" s="25"/>
      <c r="N11" s="25"/>
    </row>
    <row r="12" spans="1:15" ht="24" customHeight="1" x14ac:dyDescent="0.15">
      <c r="A12" s="13" t="s">
        <v>17</v>
      </c>
      <c r="B12" s="14" t="s">
        <v>18</v>
      </c>
      <c r="C12" s="14"/>
      <c r="D12" s="14"/>
      <c r="E12" s="130" t="s">
        <v>19</v>
      </c>
      <c r="F12" s="132"/>
      <c r="G12" s="101" t="s">
        <v>20</v>
      </c>
      <c r="H12" s="101" t="s">
        <v>21</v>
      </c>
      <c r="I12" s="101"/>
      <c r="J12" s="101"/>
      <c r="K12" s="101"/>
      <c r="L12" s="101"/>
      <c r="M12" s="101"/>
      <c r="N12" s="102" t="s">
        <v>22</v>
      </c>
      <c r="O12" s="21" t="str">
        <f>IF(E12="","入力してください","")</f>
        <v/>
      </c>
    </row>
    <row r="13" spans="1:15" ht="7.5" customHeight="1" x14ac:dyDescent="0.15">
      <c r="B13" s="14"/>
      <c r="C13" s="14"/>
      <c r="D13" s="14"/>
      <c r="E13" s="103"/>
      <c r="F13" s="104"/>
      <c r="G13" s="104"/>
      <c r="H13" s="104"/>
      <c r="I13" s="104"/>
      <c r="J13" s="104"/>
      <c r="K13" s="104"/>
      <c r="L13" s="104"/>
      <c r="M13" s="104"/>
      <c r="N13" s="104"/>
    </row>
    <row r="14" spans="1:15" ht="24" customHeight="1" x14ac:dyDescent="0.15">
      <c r="A14" s="13" t="s">
        <v>23</v>
      </c>
      <c r="B14" s="13" t="s">
        <v>24</v>
      </c>
      <c r="C14" s="149" t="s">
        <v>25</v>
      </c>
      <c r="D14" s="150"/>
      <c r="E14" s="142">
        <v>99</v>
      </c>
      <c r="F14" s="143"/>
      <c r="G14" s="105" t="s">
        <v>26</v>
      </c>
      <c r="H14" s="101"/>
      <c r="I14" s="153" t="s">
        <v>27</v>
      </c>
      <c r="J14" s="154"/>
      <c r="K14" s="142">
        <v>198</v>
      </c>
      <c r="L14" s="151"/>
      <c r="M14" s="143"/>
      <c r="N14" s="106" t="s">
        <v>26</v>
      </c>
      <c r="O14" s="21" t="str">
        <f>IF(OR(E14="",K14=""),"入力してください","")</f>
        <v/>
      </c>
    </row>
    <row r="15" spans="1:15" ht="7.5" customHeight="1" x14ac:dyDescent="0.15">
      <c r="E15" s="101"/>
      <c r="F15" s="101"/>
      <c r="G15" s="101"/>
      <c r="H15" s="101"/>
      <c r="I15" s="101"/>
      <c r="J15" s="101"/>
      <c r="K15" s="101"/>
      <c r="L15" s="101"/>
      <c r="M15" s="106"/>
      <c r="N15" s="106"/>
    </row>
    <row r="16" spans="1:15" ht="24" customHeight="1" x14ac:dyDescent="0.15">
      <c r="A16" s="13" t="s">
        <v>28</v>
      </c>
      <c r="B16" s="13" t="s">
        <v>29</v>
      </c>
      <c r="E16" s="101"/>
      <c r="F16" s="101"/>
      <c r="G16" s="101"/>
      <c r="H16" s="101"/>
      <c r="I16" s="101"/>
      <c r="J16" s="101"/>
      <c r="K16" s="130">
        <v>10</v>
      </c>
      <c r="L16" s="131"/>
      <c r="M16" s="132"/>
      <c r="N16" s="106" t="s">
        <v>26</v>
      </c>
      <c r="O16" s="21" t="str">
        <f>IF(K16="","入力してください","")</f>
        <v/>
      </c>
    </row>
    <row r="17" spans="1:15" ht="7.5" customHeight="1" x14ac:dyDescent="0.15">
      <c r="E17" s="101"/>
      <c r="F17" s="101"/>
      <c r="G17" s="101"/>
      <c r="H17" s="101"/>
      <c r="I17" s="101"/>
      <c r="J17" s="101"/>
      <c r="K17" s="101"/>
      <c r="L17" s="101"/>
      <c r="M17" s="106"/>
      <c r="N17" s="106"/>
    </row>
    <row r="18" spans="1:15" ht="24" customHeight="1" x14ac:dyDescent="0.15">
      <c r="A18" s="13" t="s">
        <v>30</v>
      </c>
      <c r="B18" s="13" t="s">
        <v>31</v>
      </c>
      <c r="E18" s="142">
        <v>860</v>
      </c>
      <c r="F18" s="143"/>
      <c r="G18" s="107" t="s">
        <v>32</v>
      </c>
      <c r="H18" s="101"/>
      <c r="I18" s="101"/>
      <c r="J18" s="101"/>
      <c r="K18" s="144"/>
      <c r="L18" s="144"/>
      <c r="M18" s="144"/>
      <c r="N18" s="144"/>
      <c r="O18" s="21" t="str">
        <f>IF(E18="","入力してください","")</f>
        <v/>
      </c>
    </row>
    <row r="19" spans="1:15" ht="7.5" customHeight="1" x14ac:dyDescent="0.15">
      <c r="E19" s="10"/>
      <c r="L19" s="19"/>
      <c r="M19" s="19"/>
      <c r="N19" s="15"/>
    </row>
    <row r="20" spans="1:15" ht="24" customHeight="1" x14ac:dyDescent="0.15">
      <c r="A20" s="13" t="s">
        <v>33</v>
      </c>
      <c r="B20" s="13" t="s">
        <v>34</v>
      </c>
      <c r="E20" s="10"/>
      <c r="H20" s="13" t="s">
        <v>35</v>
      </c>
      <c r="J20" s="133">
        <v>3665</v>
      </c>
      <c r="K20" s="134"/>
      <c r="L20" s="135"/>
      <c r="M20" s="19" t="s">
        <v>26</v>
      </c>
      <c r="N20" s="15"/>
      <c r="O20" s="21" t="str">
        <f>IF(J20="","入力してください","")</f>
        <v/>
      </c>
    </row>
    <row r="21" spans="1:15" ht="7.5" customHeight="1" x14ac:dyDescent="0.15">
      <c r="E21" s="10"/>
      <c r="L21" s="19"/>
      <c r="M21" s="19"/>
      <c r="N21" s="15"/>
    </row>
    <row r="22" spans="1:15" ht="24" customHeight="1" x14ac:dyDescent="0.15">
      <c r="B22" s="108" t="s">
        <v>36</v>
      </c>
      <c r="C22" s="142">
        <v>920</v>
      </c>
      <c r="D22" s="143"/>
      <c r="E22" s="109" t="s">
        <v>26</v>
      </c>
      <c r="F22" s="101"/>
      <c r="G22" s="136" t="s">
        <v>37</v>
      </c>
      <c r="H22" s="136"/>
      <c r="I22" s="142">
        <v>950</v>
      </c>
      <c r="J22" s="143"/>
      <c r="K22" s="101" t="s">
        <v>26</v>
      </c>
      <c r="L22" s="101"/>
      <c r="M22" s="108"/>
      <c r="N22" s="106"/>
    </row>
    <row r="23" spans="1:15" ht="7.5" customHeight="1" x14ac:dyDescent="0.15">
      <c r="B23" s="108"/>
      <c r="C23" s="110"/>
      <c r="D23" s="110"/>
      <c r="E23" s="109"/>
      <c r="F23" s="101"/>
      <c r="G23" s="108"/>
      <c r="H23" s="108"/>
      <c r="I23" s="110"/>
      <c r="J23" s="110"/>
      <c r="K23" s="101"/>
      <c r="L23" s="101"/>
      <c r="M23" s="108"/>
      <c r="N23" s="106"/>
    </row>
    <row r="24" spans="1:15" ht="24" customHeight="1" x14ac:dyDescent="0.15">
      <c r="B24" s="108" t="s">
        <v>38</v>
      </c>
      <c r="C24" s="142">
        <v>899</v>
      </c>
      <c r="D24" s="143"/>
      <c r="E24" s="109" t="s">
        <v>26</v>
      </c>
      <c r="F24" s="101"/>
      <c r="G24" s="136" t="s">
        <v>39</v>
      </c>
      <c r="H24" s="136"/>
      <c r="I24" s="142">
        <v>896</v>
      </c>
      <c r="J24" s="143"/>
      <c r="K24" s="101" t="s">
        <v>26</v>
      </c>
      <c r="L24" s="101"/>
      <c r="M24" s="108"/>
      <c r="N24" s="106"/>
    </row>
    <row r="25" spans="1:15" ht="7.5" customHeight="1" x14ac:dyDescent="0.15">
      <c r="B25" s="108"/>
      <c r="C25" s="110"/>
      <c r="D25" s="110"/>
      <c r="E25" s="109"/>
      <c r="F25" s="101"/>
      <c r="G25" s="108"/>
      <c r="H25" s="108"/>
      <c r="I25" s="110"/>
      <c r="J25" s="110"/>
      <c r="K25" s="101"/>
      <c r="L25" s="101"/>
      <c r="M25" s="108"/>
      <c r="N25" s="106"/>
    </row>
    <row r="26" spans="1:15" ht="24" customHeight="1" x14ac:dyDescent="0.15">
      <c r="B26" s="108" t="s">
        <v>40</v>
      </c>
      <c r="C26" s="142"/>
      <c r="D26" s="143"/>
      <c r="E26" s="109" t="s">
        <v>26</v>
      </c>
      <c r="F26" s="101"/>
      <c r="G26" s="136" t="s">
        <v>41</v>
      </c>
      <c r="H26" s="136"/>
      <c r="I26" s="142"/>
      <c r="J26" s="143"/>
      <c r="K26" s="101" t="s">
        <v>26</v>
      </c>
      <c r="L26" s="101"/>
      <c r="M26" s="108"/>
      <c r="N26" s="106"/>
    </row>
    <row r="27" spans="1:15" ht="7.5" customHeight="1" x14ac:dyDescent="0.15">
      <c r="B27" s="101"/>
      <c r="C27" s="101"/>
      <c r="D27" s="101"/>
      <c r="E27" s="101"/>
      <c r="F27" s="101"/>
      <c r="G27" s="101"/>
      <c r="H27" s="101"/>
      <c r="I27" s="101"/>
      <c r="J27" s="101"/>
      <c r="K27" s="101"/>
      <c r="L27" s="101"/>
      <c r="M27" s="111"/>
      <c r="N27" s="111"/>
    </row>
    <row r="28" spans="1:15" ht="24" customHeight="1" x14ac:dyDescent="0.15">
      <c r="A28" s="13" t="s">
        <v>42</v>
      </c>
      <c r="B28" s="101" t="s">
        <v>43</v>
      </c>
      <c r="C28" s="101"/>
      <c r="D28" s="101"/>
      <c r="E28" s="101"/>
      <c r="F28" s="101"/>
      <c r="G28" s="104"/>
      <c r="H28" s="104"/>
      <c r="I28" s="104"/>
      <c r="J28" s="112"/>
      <c r="K28" s="112"/>
      <c r="L28" s="112"/>
      <c r="M28" s="112"/>
      <c r="N28" s="112"/>
    </row>
    <row r="29" spans="1:15" s="13" customFormat="1" ht="24" customHeight="1" x14ac:dyDescent="0.15">
      <c r="B29" s="137" t="s">
        <v>44</v>
      </c>
      <c r="C29" s="137"/>
      <c r="D29" s="138" t="s">
        <v>45</v>
      </c>
      <c r="E29" s="139"/>
      <c r="F29" s="139"/>
      <c r="G29" s="140" t="s">
        <v>46</v>
      </c>
      <c r="H29" s="137"/>
      <c r="I29" s="141"/>
      <c r="J29" s="138" t="s">
        <v>47</v>
      </c>
      <c r="K29" s="139"/>
      <c r="L29" s="139"/>
      <c r="M29" s="139"/>
      <c r="N29" s="145"/>
      <c r="O29" s="21" t="str">
        <f>IF(OR(D29="",J29=""),"入力してください","")</f>
        <v/>
      </c>
    </row>
    <row r="30" spans="1:15" ht="7.5" customHeight="1" x14ac:dyDescent="0.15">
      <c r="B30" s="101"/>
      <c r="C30" s="101"/>
      <c r="D30" s="101"/>
      <c r="E30" s="101"/>
      <c r="F30" s="101"/>
      <c r="G30" s="101"/>
      <c r="H30" s="101"/>
      <c r="I30" s="101"/>
      <c r="J30" s="101"/>
      <c r="K30" s="101"/>
      <c r="L30" s="101"/>
      <c r="M30" s="111"/>
      <c r="N30" s="111"/>
    </row>
    <row r="31" spans="1:15" ht="24" customHeight="1" x14ac:dyDescent="0.15">
      <c r="A31" s="13" t="s">
        <v>48</v>
      </c>
      <c r="B31" s="101" t="s">
        <v>49</v>
      </c>
      <c r="C31" s="101"/>
      <c r="D31" s="101"/>
      <c r="E31" s="101"/>
      <c r="F31" s="101"/>
      <c r="G31" s="112"/>
      <c r="H31" s="112"/>
      <c r="I31" s="112"/>
      <c r="J31" s="112"/>
      <c r="K31" s="112"/>
      <c r="L31" s="112"/>
      <c r="M31" s="112"/>
      <c r="N31" s="112"/>
    </row>
    <row r="32" spans="1:15" ht="24" customHeight="1" x14ac:dyDescent="0.15">
      <c r="B32" s="138" t="s">
        <v>50</v>
      </c>
      <c r="C32" s="139"/>
      <c r="D32" s="139"/>
      <c r="E32" s="139"/>
      <c r="F32" s="139"/>
      <c r="G32" s="139"/>
      <c r="H32" s="139"/>
      <c r="I32" s="139"/>
      <c r="J32" s="139"/>
      <c r="K32" s="139"/>
      <c r="L32" s="139"/>
      <c r="M32" s="139"/>
      <c r="N32" s="145"/>
      <c r="O32" s="21" t="str">
        <f>IF(B32="","入力してください","")</f>
        <v/>
      </c>
    </row>
    <row r="33" spans="1:15" ht="7.5" customHeight="1" x14ac:dyDescent="0.15">
      <c r="B33" s="113"/>
      <c r="C33" s="113"/>
      <c r="D33" s="113"/>
      <c r="E33" s="113"/>
      <c r="F33" s="113"/>
      <c r="G33" s="113"/>
      <c r="H33" s="113"/>
      <c r="I33" s="113"/>
      <c r="J33" s="113"/>
      <c r="K33" s="113"/>
      <c r="L33" s="113"/>
      <c r="M33" s="113"/>
      <c r="N33" s="113"/>
    </row>
    <row r="34" spans="1:15" s="13" customFormat="1" ht="24" customHeight="1" x14ac:dyDescent="0.15">
      <c r="B34" s="137" t="s">
        <v>44</v>
      </c>
      <c r="C34" s="137"/>
      <c r="D34" s="138" t="s">
        <v>45</v>
      </c>
      <c r="E34" s="139"/>
      <c r="F34" s="139"/>
      <c r="G34" s="140" t="s">
        <v>46</v>
      </c>
      <c r="H34" s="137"/>
      <c r="I34" s="141"/>
      <c r="J34" s="138" t="s">
        <v>47</v>
      </c>
      <c r="K34" s="139"/>
      <c r="L34" s="139"/>
      <c r="M34" s="139"/>
      <c r="N34" s="145"/>
      <c r="O34" s="21" t="str">
        <f>IF(OR(D34="",J34=""),"入力してください","")</f>
        <v/>
      </c>
    </row>
    <row r="35" spans="1:15" ht="7.5" customHeight="1" x14ac:dyDescent="0.15">
      <c r="B35" s="101"/>
      <c r="C35" s="101"/>
      <c r="D35" s="101"/>
      <c r="E35" s="101"/>
      <c r="F35" s="104"/>
      <c r="G35" s="104"/>
      <c r="H35" s="104"/>
      <c r="I35" s="104"/>
      <c r="J35" s="104"/>
      <c r="K35" s="104"/>
      <c r="L35" s="104"/>
      <c r="M35" s="104"/>
      <c r="N35" s="104"/>
    </row>
    <row r="36" spans="1:15" ht="24" customHeight="1" x14ac:dyDescent="0.15">
      <c r="A36" s="13" t="s">
        <v>51</v>
      </c>
      <c r="B36" s="101" t="s">
        <v>52</v>
      </c>
      <c r="C36" s="101"/>
      <c r="D36" s="101"/>
      <c r="E36" s="101"/>
      <c r="F36" s="101"/>
      <c r="G36" s="101"/>
      <c r="H36" s="101"/>
      <c r="I36" s="101"/>
      <c r="J36" s="101"/>
      <c r="K36" s="101"/>
      <c r="L36" s="101"/>
      <c r="M36" s="111"/>
      <c r="N36" s="111"/>
    </row>
    <row r="37" spans="1:15" ht="24" customHeight="1" x14ac:dyDescent="0.15">
      <c r="B37" s="146" t="s">
        <v>50</v>
      </c>
      <c r="C37" s="147"/>
      <c r="D37" s="147"/>
      <c r="E37" s="147"/>
      <c r="F37" s="147"/>
      <c r="G37" s="147"/>
      <c r="H37" s="147"/>
      <c r="I37" s="147"/>
      <c r="J37" s="147"/>
      <c r="K37" s="147"/>
      <c r="L37" s="147"/>
      <c r="M37" s="147"/>
      <c r="N37" s="148"/>
      <c r="O37" s="21" t="str">
        <f>IF(B37="","入力してください","")</f>
        <v/>
      </c>
    </row>
    <row r="38" spans="1:15" ht="7.5" customHeight="1" x14ac:dyDescent="0.15">
      <c r="F38" s="25"/>
      <c r="G38" s="25"/>
      <c r="H38" s="25"/>
      <c r="I38" s="25"/>
      <c r="J38" s="25"/>
      <c r="K38" s="25"/>
      <c r="L38" s="25"/>
      <c r="M38" s="25"/>
      <c r="N38" s="25"/>
    </row>
    <row r="39" spans="1:15" s="13" customFormat="1" ht="24" customHeight="1" x14ac:dyDescent="0.15">
      <c r="B39" s="137" t="s">
        <v>44</v>
      </c>
      <c r="C39" s="137"/>
      <c r="D39" s="138" t="s">
        <v>45</v>
      </c>
      <c r="E39" s="139"/>
      <c r="F39" s="139"/>
      <c r="G39" s="140" t="s">
        <v>46</v>
      </c>
      <c r="H39" s="137"/>
      <c r="I39" s="141"/>
      <c r="J39" s="138" t="s">
        <v>47</v>
      </c>
      <c r="K39" s="139"/>
      <c r="L39" s="139"/>
      <c r="M39" s="139"/>
      <c r="N39" s="145"/>
      <c r="O39" s="21" t="str">
        <f>IF(OR(D39="",J39=""),"入力してください","")</f>
        <v/>
      </c>
    </row>
    <row r="40" spans="1:15" ht="7.5" customHeight="1" x14ac:dyDescent="0.15">
      <c r="B40" s="101"/>
      <c r="C40" s="101"/>
      <c r="D40" s="101"/>
      <c r="E40" s="101"/>
      <c r="F40" s="104"/>
      <c r="G40" s="104"/>
      <c r="H40" s="104"/>
      <c r="I40" s="104"/>
      <c r="J40" s="104"/>
      <c r="K40" s="104"/>
      <c r="L40" s="104"/>
      <c r="M40" s="104"/>
      <c r="N40" s="104"/>
    </row>
    <row r="41" spans="1:15" ht="24" customHeight="1" x14ac:dyDescent="0.15">
      <c r="A41" s="13" t="s">
        <v>53</v>
      </c>
      <c r="B41" s="101" t="s">
        <v>54</v>
      </c>
      <c r="C41" s="101"/>
      <c r="D41" s="101"/>
      <c r="E41" s="114"/>
      <c r="F41" s="138" t="s">
        <v>55</v>
      </c>
      <c r="G41" s="139"/>
      <c r="H41" s="139"/>
      <c r="I41" s="139"/>
      <c r="J41" s="139"/>
      <c r="K41" s="139"/>
      <c r="L41" s="139"/>
      <c r="M41" s="139"/>
      <c r="N41" s="145"/>
      <c r="O41" s="21" t="str">
        <f>IF(F41="","入力してください","")</f>
        <v/>
      </c>
    </row>
    <row r="42" spans="1:15" ht="7.5" customHeight="1" x14ac:dyDescent="0.15">
      <c r="B42" s="101"/>
      <c r="C42" s="101"/>
      <c r="D42" s="101"/>
      <c r="E42" s="101"/>
      <c r="F42" s="104"/>
      <c r="G42" s="104"/>
      <c r="H42" s="104"/>
      <c r="I42" s="104"/>
      <c r="J42" s="104"/>
      <c r="K42" s="104"/>
      <c r="L42" s="104"/>
      <c r="M42" s="104"/>
      <c r="N42" s="104"/>
    </row>
    <row r="43" spans="1:15" ht="24" customHeight="1" x14ac:dyDescent="0.15">
      <c r="A43" s="13" t="s">
        <v>56</v>
      </c>
      <c r="B43" s="101"/>
      <c r="C43" s="101"/>
      <c r="D43" s="101"/>
      <c r="E43" s="101"/>
      <c r="F43" s="101"/>
      <c r="G43" s="101"/>
      <c r="H43" s="101"/>
      <c r="I43" s="101"/>
      <c r="J43" s="101"/>
      <c r="K43" s="101"/>
      <c r="L43" s="101"/>
      <c r="M43" s="101"/>
      <c r="N43" s="101"/>
    </row>
    <row r="44" spans="1:15" ht="24" customHeight="1" x14ac:dyDescent="0.15">
      <c r="B44" s="115" t="s">
        <v>57</v>
      </c>
      <c r="C44" s="160" t="s">
        <v>58</v>
      </c>
      <c r="D44" s="161"/>
      <c r="E44" s="161"/>
      <c r="F44" s="161"/>
      <c r="G44" s="161"/>
      <c r="H44" s="161"/>
      <c r="I44" s="116" t="s">
        <v>59</v>
      </c>
      <c r="J44" s="117"/>
      <c r="K44" s="138" t="s">
        <v>60</v>
      </c>
      <c r="L44" s="139"/>
      <c r="M44" s="139"/>
      <c r="N44" s="145"/>
      <c r="O44" s="21" t="str">
        <f>IF(OR(C44="",K44=""),"入力してください","")</f>
        <v/>
      </c>
    </row>
    <row r="45" spans="1:15" ht="24" customHeight="1" x14ac:dyDescent="0.15">
      <c r="B45" s="118" t="s">
        <v>61</v>
      </c>
      <c r="C45" s="155" t="s">
        <v>62</v>
      </c>
      <c r="D45" s="155"/>
      <c r="E45" s="155"/>
      <c r="F45" s="155"/>
      <c r="G45" s="155"/>
      <c r="H45" s="156"/>
      <c r="I45" s="119" t="s">
        <v>63</v>
      </c>
      <c r="J45" s="120"/>
      <c r="K45" s="157" t="s">
        <v>64</v>
      </c>
      <c r="L45" s="158"/>
      <c r="M45" s="158"/>
      <c r="N45" s="159"/>
      <c r="O45" s="2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9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186" t="s">
        <v>65</v>
      </c>
      <c r="X1" s="186"/>
      <c r="Y1" s="186"/>
      <c r="Z1" s="186"/>
    </row>
    <row r="2" spans="1:26" ht="18" customHeight="1" x14ac:dyDescent="0.15">
      <c r="A2" s="227" t="s">
        <v>66</v>
      </c>
      <c r="B2" s="227"/>
      <c r="C2" s="227"/>
      <c r="D2" s="227"/>
      <c r="E2" s="227"/>
      <c r="F2" s="227"/>
      <c r="G2" s="227"/>
      <c r="H2" s="227"/>
      <c r="I2" s="227"/>
      <c r="J2" s="227"/>
      <c r="K2" s="227"/>
      <c r="L2" s="227"/>
      <c r="M2" s="227"/>
      <c r="N2" s="227"/>
      <c r="O2" s="227"/>
      <c r="P2" s="227"/>
      <c r="Q2" s="227"/>
      <c r="R2" s="227"/>
      <c r="S2" s="227"/>
      <c r="T2" s="227"/>
      <c r="U2" s="227"/>
      <c r="V2" s="227"/>
      <c r="W2" s="227"/>
      <c r="X2" s="227"/>
      <c r="Y2" s="227"/>
      <c r="Z2" s="227"/>
    </row>
    <row r="3" spans="1:26"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15">
      <c r="A4" s="12" t="s">
        <v>67</v>
      </c>
      <c r="B4" s="19"/>
      <c r="C4" s="19"/>
      <c r="D4" s="19"/>
      <c r="E4" s="19"/>
      <c r="F4" s="19"/>
      <c r="G4" s="19"/>
      <c r="H4" s="13" t="s">
        <v>68</v>
      </c>
      <c r="I4" s="19"/>
      <c r="J4" s="19"/>
      <c r="K4" s="19"/>
      <c r="L4" s="19"/>
      <c r="M4" s="19"/>
      <c r="N4" s="19"/>
      <c r="O4" s="177" t="s">
        <v>69</v>
      </c>
      <c r="P4" s="178"/>
      <c r="Q4" s="178"/>
      <c r="R4" s="178"/>
      <c r="S4" s="178"/>
      <c r="T4" s="178"/>
      <c r="U4" s="178"/>
      <c r="V4" s="178"/>
      <c r="W4" s="178"/>
      <c r="X4" s="178"/>
      <c r="Y4" s="178"/>
      <c r="Z4" s="179"/>
    </row>
    <row r="5" spans="1:26" ht="6" customHeight="1" x14ac:dyDescent="0.15">
      <c r="B5" s="19"/>
      <c r="C5" s="19"/>
      <c r="D5" s="19"/>
      <c r="E5" s="19"/>
      <c r="F5" s="19"/>
      <c r="G5" s="19"/>
      <c r="H5" s="19"/>
      <c r="I5" s="19"/>
      <c r="J5" s="19"/>
      <c r="K5" s="19"/>
      <c r="L5" s="19"/>
      <c r="M5" s="19"/>
      <c r="N5" s="19"/>
      <c r="O5" s="14"/>
      <c r="P5" s="19"/>
      <c r="Q5" s="19"/>
      <c r="R5" s="19"/>
      <c r="S5" s="19"/>
      <c r="T5" s="19"/>
      <c r="U5" s="19"/>
      <c r="V5" s="19"/>
      <c r="W5" s="19"/>
      <c r="X5" s="19"/>
      <c r="Y5" s="19"/>
      <c r="Z5" s="19"/>
    </row>
    <row r="6" spans="1:26" ht="18" customHeight="1" x14ac:dyDescent="0.15">
      <c r="B6" s="228" t="s">
        <v>70</v>
      </c>
      <c r="C6" s="229"/>
      <c r="D6" s="229"/>
      <c r="E6" s="229"/>
      <c r="F6" s="229"/>
      <c r="G6" s="229"/>
      <c r="H6" s="229"/>
      <c r="I6" s="229"/>
      <c r="J6" s="229"/>
      <c r="K6" s="229"/>
      <c r="L6" s="229"/>
      <c r="M6" s="229"/>
      <c r="N6" s="229"/>
      <c r="O6" s="229"/>
      <c r="P6" s="229"/>
      <c r="Q6" s="229"/>
      <c r="R6" s="229"/>
      <c r="S6" s="229"/>
      <c r="T6" s="229"/>
      <c r="U6" s="229"/>
      <c r="V6" s="229"/>
      <c r="W6" s="229"/>
      <c r="X6" s="229"/>
      <c r="Y6" s="229"/>
      <c r="Z6" s="230"/>
    </row>
    <row r="7" spans="1:26" ht="18" customHeight="1" x14ac:dyDescent="0.15">
      <c r="B7" s="231"/>
      <c r="C7" s="232"/>
      <c r="D7" s="232"/>
      <c r="E7" s="232"/>
      <c r="F7" s="232"/>
      <c r="G7" s="232"/>
      <c r="H7" s="232"/>
      <c r="I7" s="232"/>
      <c r="J7" s="232"/>
      <c r="K7" s="232"/>
      <c r="L7" s="232"/>
      <c r="M7" s="232"/>
      <c r="N7" s="232"/>
      <c r="O7" s="232"/>
      <c r="P7" s="232"/>
      <c r="Q7" s="232"/>
      <c r="R7" s="232"/>
      <c r="S7" s="232"/>
      <c r="T7" s="232"/>
      <c r="U7" s="232"/>
      <c r="V7" s="232"/>
      <c r="W7" s="232"/>
      <c r="X7" s="232"/>
      <c r="Y7" s="232"/>
      <c r="Z7" s="233"/>
    </row>
    <row r="8" spans="1:26" ht="18" customHeight="1" x14ac:dyDescent="0.15">
      <c r="B8" s="231"/>
      <c r="C8" s="232"/>
      <c r="D8" s="232"/>
      <c r="E8" s="232"/>
      <c r="F8" s="232"/>
      <c r="G8" s="232"/>
      <c r="H8" s="232"/>
      <c r="I8" s="232"/>
      <c r="J8" s="232"/>
      <c r="K8" s="232"/>
      <c r="L8" s="232"/>
      <c r="M8" s="232"/>
      <c r="N8" s="232"/>
      <c r="O8" s="232"/>
      <c r="P8" s="232"/>
      <c r="Q8" s="232"/>
      <c r="R8" s="232"/>
      <c r="S8" s="232"/>
      <c r="T8" s="232"/>
      <c r="U8" s="232"/>
      <c r="V8" s="232"/>
      <c r="W8" s="232"/>
      <c r="X8" s="232"/>
      <c r="Y8" s="232"/>
      <c r="Z8" s="233"/>
    </row>
    <row r="9" spans="1:26" ht="18" customHeight="1" x14ac:dyDescent="0.15">
      <c r="B9" s="231"/>
      <c r="C9" s="232"/>
      <c r="D9" s="232"/>
      <c r="E9" s="232"/>
      <c r="F9" s="232"/>
      <c r="G9" s="232"/>
      <c r="H9" s="232"/>
      <c r="I9" s="232"/>
      <c r="J9" s="232"/>
      <c r="K9" s="232"/>
      <c r="L9" s="232"/>
      <c r="M9" s="232"/>
      <c r="N9" s="232"/>
      <c r="O9" s="232"/>
      <c r="P9" s="232"/>
      <c r="Q9" s="232"/>
      <c r="R9" s="232"/>
      <c r="S9" s="232"/>
      <c r="T9" s="232"/>
      <c r="U9" s="232"/>
      <c r="V9" s="232"/>
      <c r="W9" s="232"/>
      <c r="X9" s="232"/>
      <c r="Y9" s="232"/>
      <c r="Z9" s="233"/>
    </row>
    <row r="10" spans="1:26" ht="18" customHeight="1" x14ac:dyDescent="0.15">
      <c r="B10" s="231"/>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3"/>
    </row>
    <row r="11" spans="1:26" ht="18" customHeight="1" x14ac:dyDescent="0.15">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6"/>
    </row>
    <row r="12" spans="1:26"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8" customHeight="1" x14ac:dyDescent="0.15">
      <c r="A13" s="226" t="s">
        <v>71</v>
      </c>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row>
    <row r="14" spans="1:26" ht="18" customHeight="1" x14ac:dyDescent="0.15">
      <c r="A14" s="226"/>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row>
    <row r="15" spans="1:26" ht="18" customHeight="1" x14ac:dyDescent="0.15">
      <c r="A15" s="13"/>
      <c r="B15" s="177" t="s">
        <v>72</v>
      </c>
      <c r="C15" s="178"/>
      <c r="D15" s="178"/>
      <c r="E15" s="178"/>
      <c r="F15" s="179"/>
      <c r="G15" s="20" t="s">
        <v>73</v>
      </c>
      <c r="H15" s="93" t="s">
        <v>74</v>
      </c>
      <c r="I15" s="178" t="s">
        <v>75</v>
      </c>
      <c r="J15" s="178"/>
      <c r="K15" s="178"/>
      <c r="L15" s="60" t="s">
        <v>76</v>
      </c>
      <c r="M15" s="60" t="s">
        <v>77</v>
      </c>
      <c r="N15" s="177" t="s">
        <v>72</v>
      </c>
      <c r="O15" s="178"/>
      <c r="P15" s="178"/>
      <c r="Q15" s="178"/>
      <c r="R15" s="178"/>
      <c r="S15" s="179"/>
      <c r="T15" s="20" t="s">
        <v>73</v>
      </c>
      <c r="U15" s="93" t="s">
        <v>74</v>
      </c>
      <c r="V15" s="178" t="s">
        <v>75</v>
      </c>
      <c r="W15" s="178"/>
      <c r="X15" s="178"/>
      <c r="Y15" s="60" t="s">
        <v>76</v>
      </c>
      <c r="Z15" s="60" t="s">
        <v>77</v>
      </c>
    </row>
    <row r="16" spans="1:26" ht="18" customHeight="1" x14ac:dyDescent="0.15">
      <c r="A16" s="13"/>
      <c r="B16" s="187" t="s">
        <v>78</v>
      </c>
      <c r="C16" s="188"/>
      <c r="D16" s="188"/>
      <c r="E16" s="188"/>
      <c r="F16" s="189"/>
      <c r="G16" s="94">
        <v>2</v>
      </c>
      <c r="H16" s="94" t="s">
        <v>80</v>
      </c>
      <c r="I16" s="223" t="s">
        <v>79</v>
      </c>
      <c r="J16" s="224"/>
      <c r="K16" s="225"/>
      <c r="L16" s="94" t="s">
        <v>80</v>
      </c>
      <c r="M16" s="94" t="s">
        <v>80</v>
      </c>
      <c r="N16" s="168"/>
      <c r="O16" s="169"/>
      <c r="P16" s="169"/>
      <c r="Q16" s="169"/>
      <c r="R16" s="169"/>
      <c r="S16" s="170"/>
      <c r="T16" s="94"/>
      <c r="U16" s="94"/>
      <c r="V16" s="223"/>
      <c r="W16" s="224"/>
      <c r="X16" s="225"/>
      <c r="Y16" s="94"/>
      <c r="Z16" s="94"/>
    </row>
    <row r="17" spans="1:26" ht="18" customHeight="1" x14ac:dyDescent="0.15">
      <c r="A17" s="13"/>
      <c r="B17" s="180"/>
      <c r="C17" s="181"/>
      <c r="D17" s="181"/>
      <c r="E17" s="181"/>
      <c r="F17" s="182"/>
      <c r="G17" s="95"/>
      <c r="H17" s="95"/>
      <c r="I17" s="165"/>
      <c r="J17" s="166"/>
      <c r="K17" s="167"/>
      <c r="L17" s="95"/>
      <c r="M17" s="95"/>
      <c r="N17" s="162"/>
      <c r="O17" s="163"/>
      <c r="P17" s="163"/>
      <c r="Q17" s="163"/>
      <c r="R17" s="163"/>
      <c r="S17" s="164"/>
      <c r="T17" s="95"/>
      <c r="U17" s="95"/>
      <c r="V17" s="165"/>
      <c r="W17" s="166"/>
      <c r="X17" s="167"/>
      <c r="Y17" s="95"/>
      <c r="Z17" s="95"/>
    </row>
    <row r="18" spans="1:26" ht="18" customHeight="1" x14ac:dyDescent="0.15">
      <c r="A18" s="13"/>
      <c r="B18" s="180"/>
      <c r="C18" s="181"/>
      <c r="D18" s="181"/>
      <c r="E18" s="181"/>
      <c r="F18" s="182"/>
      <c r="G18" s="95"/>
      <c r="H18" s="95"/>
      <c r="I18" s="165"/>
      <c r="J18" s="166"/>
      <c r="K18" s="167"/>
      <c r="L18" s="95"/>
      <c r="M18" s="95"/>
      <c r="N18" s="162"/>
      <c r="O18" s="163"/>
      <c r="P18" s="163"/>
      <c r="Q18" s="163"/>
      <c r="R18" s="163"/>
      <c r="S18" s="164"/>
      <c r="T18" s="95"/>
      <c r="U18" s="95"/>
      <c r="V18" s="165"/>
      <c r="W18" s="166"/>
      <c r="X18" s="167"/>
      <c r="Y18" s="95"/>
      <c r="Z18" s="95"/>
    </row>
    <row r="19" spans="1:26" ht="18" customHeight="1" x14ac:dyDescent="0.15">
      <c r="A19" s="13"/>
      <c r="B19" s="180"/>
      <c r="C19" s="181"/>
      <c r="D19" s="181"/>
      <c r="E19" s="181"/>
      <c r="F19" s="182"/>
      <c r="G19" s="95"/>
      <c r="H19" s="95"/>
      <c r="I19" s="165"/>
      <c r="J19" s="166"/>
      <c r="K19" s="167"/>
      <c r="L19" s="95"/>
      <c r="M19" s="95"/>
      <c r="N19" s="162"/>
      <c r="O19" s="163"/>
      <c r="P19" s="163"/>
      <c r="Q19" s="163"/>
      <c r="R19" s="163"/>
      <c r="S19" s="164"/>
      <c r="T19" s="95"/>
      <c r="U19" s="95"/>
      <c r="V19" s="165"/>
      <c r="W19" s="166"/>
      <c r="X19" s="167"/>
      <c r="Y19" s="95"/>
      <c r="Z19" s="95"/>
    </row>
    <row r="20" spans="1:26" ht="18" customHeight="1" x14ac:dyDescent="0.15">
      <c r="A20" s="13"/>
      <c r="B20" s="180"/>
      <c r="C20" s="181"/>
      <c r="D20" s="181"/>
      <c r="E20" s="181"/>
      <c r="F20" s="182"/>
      <c r="G20" s="95"/>
      <c r="H20" s="95"/>
      <c r="I20" s="165"/>
      <c r="J20" s="166"/>
      <c r="K20" s="167"/>
      <c r="L20" s="95"/>
      <c r="M20" s="95"/>
      <c r="N20" s="162"/>
      <c r="O20" s="163"/>
      <c r="P20" s="163"/>
      <c r="Q20" s="163"/>
      <c r="R20" s="163"/>
      <c r="S20" s="164"/>
      <c r="T20" s="95"/>
      <c r="U20" s="95"/>
      <c r="V20" s="165"/>
      <c r="W20" s="166"/>
      <c r="X20" s="167"/>
      <c r="Y20" s="95"/>
      <c r="Z20" s="95"/>
    </row>
    <row r="21" spans="1:26" ht="18" customHeight="1" x14ac:dyDescent="0.15">
      <c r="A21" s="19"/>
      <c r="B21" s="180"/>
      <c r="C21" s="181"/>
      <c r="D21" s="181"/>
      <c r="E21" s="181"/>
      <c r="F21" s="182"/>
      <c r="G21" s="95"/>
      <c r="H21" s="95"/>
      <c r="I21" s="165"/>
      <c r="J21" s="166"/>
      <c r="K21" s="167"/>
      <c r="L21" s="95"/>
      <c r="M21" s="95"/>
      <c r="N21" s="162"/>
      <c r="O21" s="163"/>
      <c r="P21" s="163"/>
      <c r="Q21" s="163"/>
      <c r="R21" s="163"/>
      <c r="S21" s="164"/>
      <c r="T21" s="95"/>
      <c r="U21" s="95"/>
      <c r="V21" s="165"/>
      <c r="W21" s="166"/>
      <c r="X21" s="167"/>
      <c r="Y21" s="95"/>
      <c r="Z21" s="95"/>
    </row>
    <row r="22" spans="1:26" ht="18" customHeight="1" x14ac:dyDescent="0.15">
      <c r="A22" s="19"/>
      <c r="B22" s="183"/>
      <c r="C22" s="184"/>
      <c r="D22" s="184"/>
      <c r="E22" s="184"/>
      <c r="F22" s="185"/>
      <c r="G22" s="96"/>
      <c r="H22" s="96"/>
      <c r="I22" s="174"/>
      <c r="J22" s="175"/>
      <c r="K22" s="176"/>
      <c r="L22" s="100"/>
      <c r="M22" s="100"/>
      <c r="N22" s="171"/>
      <c r="O22" s="172"/>
      <c r="P22" s="172"/>
      <c r="Q22" s="172"/>
      <c r="R22" s="172"/>
      <c r="S22" s="173"/>
      <c r="T22" s="96"/>
      <c r="U22" s="96"/>
      <c r="V22" s="174"/>
      <c r="W22" s="175"/>
      <c r="X22" s="176"/>
      <c r="Y22" s="100"/>
      <c r="Z22" s="100"/>
    </row>
    <row r="23" spans="1:26" ht="7.5" customHeight="1" x14ac:dyDescent="0.15">
      <c r="A23" s="19"/>
      <c r="B23" s="25"/>
      <c r="C23" s="25"/>
      <c r="D23" s="19"/>
      <c r="E23" s="19"/>
      <c r="F23" s="19"/>
      <c r="G23" s="19"/>
      <c r="H23" s="19"/>
      <c r="I23" s="19"/>
      <c r="J23" s="19"/>
      <c r="K23" s="19"/>
      <c r="L23" s="25"/>
      <c r="M23" s="25"/>
      <c r="N23" s="25"/>
      <c r="O23" s="25"/>
      <c r="P23" s="25"/>
      <c r="Q23" s="25"/>
      <c r="R23" s="25"/>
      <c r="S23" s="25"/>
      <c r="T23" s="25"/>
      <c r="U23" s="25"/>
      <c r="V23" s="25"/>
      <c r="W23" s="25"/>
      <c r="X23" s="25"/>
      <c r="Y23" s="25"/>
      <c r="Z23" s="19"/>
    </row>
    <row r="24" spans="1:26" ht="18" customHeight="1" x14ac:dyDescent="0.15">
      <c r="A24" s="226" t="s">
        <v>81</v>
      </c>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row>
    <row r="25" spans="1:26" ht="18" customHeight="1" x14ac:dyDescent="0.15">
      <c r="A25" s="226"/>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ht="18" customHeight="1" x14ac:dyDescent="0.15">
      <c r="A26" s="13"/>
      <c r="B26" s="177" t="s">
        <v>72</v>
      </c>
      <c r="C26" s="178"/>
      <c r="D26" s="178"/>
      <c r="E26" s="178"/>
      <c r="F26" s="179"/>
      <c r="G26" s="20" t="s">
        <v>73</v>
      </c>
      <c r="H26" s="93" t="s">
        <v>74</v>
      </c>
      <c r="I26" s="178" t="s">
        <v>75</v>
      </c>
      <c r="J26" s="178"/>
      <c r="K26" s="178"/>
      <c r="L26" s="60" t="s">
        <v>82</v>
      </c>
      <c r="M26" s="60" t="s">
        <v>83</v>
      </c>
      <c r="N26" s="177" t="s">
        <v>72</v>
      </c>
      <c r="O26" s="178"/>
      <c r="P26" s="178"/>
      <c r="Q26" s="178"/>
      <c r="R26" s="178"/>
      <c r="S26" s="179"/>
      <c r="T26" s="20" t="s">
        <v>73</v>
      </c>
      <c r="U26" s="93" t="s">
        <v>74</v>
      </c>
      <c r="V26" s="178" t="s">
        <v>75</v>
      </c>
      <c r="W26" s="178"/>
      <c r="X26" s="178"/>
      <c r="Y26" s="60" t="s">
        <v>82</v>
      </c>
      <c r="Z26" s="60" t="s">
        <v>83</v>
      </c>
    </row>
    <row r="27" spans="1:26" ht="18" customHeight="1" x14ac:dyDescent="0.15">
      <c r="A27" s="13"/>
      <c r="B27" s="187" t="s">
        <v>78</v>
      </c>
      <c r="C27" s="188"/>
      <c r="D27" s="188"/>
      <c r="E27" s="188"/>
      <c r="F27" s="189"/>
      <c r="G27" s="94">
        <v>2</v>
      </c>
      <c r="H27" s="94" t="s">
        <v>80</v>
      </c>
      <c r="I27" s="223" t="s">
        <v>79</v>
      </c>
      <c r="J27" s="224"/>
      <c r="K27" s="225"/>
      <c r="L27" s="94" t="s">
        <v>80</v>
      </c>
      <c r="M27" s="94" t="s">
        <v>80</v>
      </c>
      <c r="N27" s="168"/>
      <c r="O27" s="169"/>
      <c r="P27" s="169"/>
      <c r="Q27" s="169"/>
      <c r="R27" s="169"/>
      <c r="S27" s="170"/>
      <c r="T27" s="94"/>
      <c r="U27" s="94"/>
      <c r="V27" s="223"/>
      <c r="W27" s="224"/>
      <c r="X27" s="225"/>
      <c r="Y27" s="94"/>
      <c r="Z27" s="94"/>
    </row>
    <row r="28" spans="1:26" ht="18" customHeight="1" x14ac:dyDescent="0.15">
      <c r="A28" s="13"/>
      <c r="B28" s="180"/>
      <c r="C28" s="181"/>
      <c r="D28" s="181"/>
      <c r="E28" s="181"/>
      <c r="F28" s="182"/>
      <c r="G28" s="95"/>
      <c r="H28" s="95"/>
      <c r="I28" s="165"/>
      <c r="J28" s="166"/>
      <c r="K28" s="167"/>
      <c r="L28" s="95"/>
      <c r="M28" s="95"/>
      <c r="N28" s="162"/>
      <c r="O28" s="163"/>
      <c r="P28" s="163"/>
      <c r="Q28" s="163"/>
      <c r="R28" s="163"/>
      <c r="S28" s="164"/>
      <c r="T28" s="95"/>
      <c r="U28" s="95"/>
      <c r="V28" s="165"/>
      <c r="W28" s="166"/>
      <c r="X28" s="167"/>
      <c r="Y28" s="95"/>
      <c r="Z28" s="95"/>
    </row>
    <row r="29" spans="1:26" ht="18" customHeight="1" x14ac:dyDescent="0.15">
      <c r="A29" s="13"/>
      <c r="B29" s="180"/>
      <c r="C29" s="181"/>
      <c r="D29" s="181"/>
      <c r="E29" s="181"/>
      <c r="F29" s="182"/>
      <c r="G29" s="95"/>
      <c r="H29" s="95"/>
      <c r="I29" s="165"/>
      <c r="J29" s="166"/>
      <c r="K29" s="167"/>
      <c r="L29" s="95"/>
      <c r="M29" s="95"/>
      <c r="N29" s="162"/>
      <c r="O29" s="163"/>
      <c r="P29" s="163"/>
      <c r="Q29" s="163"/>
      <c r="R29" s="163"/>
      <c r="S29" s="164"/>
      <c r="T29" s="95"/>
      <c r="U29" s="95"/>
      <c r="V29" s="165"/>
      <c r="W29" s="166"/>
      <c r="X29" s="167"/>
      <c r="Y29" s="95"/>
      <c r="Z29" s="95"/>
    </row>
    <row r="30" spans="1:26" ht="18" customHeight="1" x14ac:dyDescent="0.15">
      <c r="A30" s="13"/>
      <c r="B30" s="180"/>
      <c r="C30" s="181"/>
      <c r="D30" s="181"/>
      <c r="E30" s="181"/>
      <c r="F30" s="182"/>
      <c r="G30" s="95"/>
      <c r="H30" s="95"/>
      <c r="I30" s="165"/>
      <c r="J30" s="166"/>
      <c r="K30" s="167"/>
      <c r="L30" s="95"/>
      <c r="M30" s="95"/>
      <c r="N30" s="162"/>
      <c r="O30" s="163"/>
      <c r="P30" s="163"/>
      <c r="Q30" s="163"/>
      <c r="R30" s="163"/>
      <c r="S30" s="164"/>
      <c r="T30" s="95"/>
      <c r="U30" s="95"/>
      <c r="V30" s="165"/>
      <c r="W30" s="166"/>
      <c r="X30" s="167"/>
      <c r="Y30" s="95"/>
      <c r="Z30" s="95"/>
    </row>
    <row r="31" spans="1:26" ht="18" customHeight="1" x14ac:dyDescent="0.15">
      <c r="A31" s="13"/>
      <c r="B31" s="180"/>
      <c r="C31" s="181"/>
      <c r="D31" s="181"/>
      <c r="E31" s="181"/>
      <c r="F31" s="182"/>
      <c r="G31" s="95"/>
      <c r="H31" s="95"/>
      <c r="I31" s="165"/>
      <c r="J31" s="166"/>
      <c r="K31" s="167"/>
      <c r="L31" s="95"/>
      <c r="M31" s="95"/>
      <c r="N31" s="162"/>
      <c r="O31" s="163"/>
      <c r="P31" s="163"/>
      <c r="Q31" s="163"/>
      <c r="R31" s="163"/>
      <c r="S31" s="164"/>
      <c r="T31" s="95"/>
      <c r="U31" s="95"/>
      <c r="V31" s="165"/>
      <c r="W31" s="166"/>
      <c r="X31" s="167"/>
      <c r="Y31" s="95"/>
      <c r="Z31" s="95"/>
    </row>
    <row r="32" spans="1:26" ht="18" customHeight="1" x14ac:dyDescent="0.15">
      <c r="A32" s="13"/>
      <c r="B32" s="180"/>
      <c r="C32" s="181"/>
      <c r="D32" s="181"/>
      <c r="E32" s="181"/>
      <c r="F32" s="182"/>
      <c r="G32" s="95"/>
      <c r="H32" s="95"/>
      <c r="I32" s="165"/>
      <c r="J32" s="166"/>
      <c r="K32" s="167"/>
      <c r="L32" s="95"/>
      <c r="M32" s="95"/>
      <c r="N32" s="162"/>
      <c r="O32" s="163"/>
      <c r="P32" s="163"/>
      <c r="Q32" s="163"/>
      <c r="R32" s="163"/>
      <c r="S32" s="164"/>
      <c r="T32" s="95"/>
      <c r="U32" s="95"/>
      <c r="V32" s="165"/>
      <c r="W32" s="166"/>
      <c r="X32" s="167"/>
      <c r="Y32" s="95"/>
      <c r="Z32" s="95"/>
    </row>
    <row r="33" spans="1:26" ht="18" customHeight="1" x14ac:dyDescent="0.15">
      <c r="A33" s="13"/>
      <c r="B33" s="183"/>
      <c r="C33" s="184"/>
      <c r="D33" s="184"/>
      <c r="E33" s="184"/>
      <c r="F33" s="185"/>
      <c r="G33" s="96"/>
      <c r="H33" s="96"/>
      <c r="I33" s="174"/>
      <c r="J33" s="175"/>
      <c r="K33" s="176"/>
      <c r="L33" s="100"/>
      <c r="M33" s="100"/>
      <c r="N33" s="171"/>
      <c r="O33" s="172"/>
      <c r="P33" s="172"/>
      <c r="Q33" s="172"/>
      <c r="R33" s="172"/>
      <c r="S33" s="173"/>
      <c r="T33" s="96"/>
      <c r="U33" s="96"/>
      <c r="V33" s="174"/>
      <c r="W33" s="175"/>
      <c r="X33" s="176"/>
      <c r="Y33" s="100"/>
      <c r="Z33" s="100"/>
    </row>
    <row r="34" spans="1:26" ht="7.5" customHeight="1" x14ac:dyDescent="0.15">
      <c r="A34" s="19"/>
      <c r="B34" s="25"/>
      <c r="C34" s="25"/>
      <c r="D34" s="19"/>
      <c r="E34" s="19"/>
      <c r="F34" s="19"/>
      <c r="G34" s="19"/>
      <c r="H34" s="19"/>
      <c r="I34" s="19"/>
      <c r="J34" s="19"/>
      <c r="K34" s="19"/>
      <c r="L34" s="25"/>
      <c r="M34" s="25"/>
      <c r="N34" s="25"/>
      <c r="O34" s="25"/>
      <c r="P34" s="25"/>
      <c r="Q34" s="25"/>
      <c r="R34" s="25"/>
      <c r="S34" s="25"/>
      <c r="T34" s="25"/>
      <c r="U34" s="25"/>
      <c r="V34" s="25"/>
      <c r="W34" s="25"/>
      <c r="X34" s="25"/>
      <c r="Y34" s="25"/>
      <c r="Z34" s="19"/>
    </row>
    <row r="35" spans="1:26" ht="18" customHeight="1" x14ac:dyDescent="0.15">
      <c r="A35" s="226" t="s">
        <v>84</v>
      </c>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row>
    <row r="36" spans="1:26" ht="18" customHeight="1" x14ac:dyDescent="0.15">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row>
    <row r="37" spans="1:26" ht="18" customHeight="1" x14ac:dyDescent="0.15">
      <c r="A37" s="13"/>
      <c r="B37" s="177" t="s">
        <v>72</v>
      </c>
      <c r="C37" s="178"/>
      <c r="D37" s="178"/>
      <c r="E37" s="178"/>
      <c r="F37" s="179"/>
      <c r="G37" s="20" t="s">
        <v>73</v>
      </c>
      <c r="H37" s="93" t="s">
        <v>74</v>
      </c>
      <c r="I37" s="177" t="s">
        <v>75</v>
      </c>
      <c r="J37" s="178"/>
      <c r="K37" s="179"/>
      <c r="L37" s="60" t="s">
        <v>85</v>
      </c>
      <c r="M37" s="60" t="s">
        <v>86</v>
      </c>
      <c r="N37" s="177" t="s">
        <v>72</v>
      </c>
      <c r="O37" s="178"/>
      <c r="P37" s="178"/>
      <c r="Q37" s="178"/>
      <c r="R37" s="178"/>
      <c r="S37" s="179"/>
      <c r="T37" s="20" t="s">
        <v>73</v>
      </c>
      <c r="U37" s="93" t="s">
        <v>74</v>
      </c>
      <c r="V37" s="177" t="s">
        <v>75</v>
      </c>
      <c r="W37" s="178"/>
      <c r="X37" s="179"/>
      <c r="Y37" s="60" t="s">
        <v>85</v>
      </c>
      <c r="Z37" s="60" t="s">
        <v>86</v>
      </c>
    </row>
    <row r="38" spans="1:26" ht="18" customHeight="1" x14ac:dyDescent="0.15">
      <c r="A38" s="19"/>
      <c r="B38" s="187" t="s">
        <v>78</v>
      </c>
      <c r="C38" s="188"/>
      <c r="D38" s="188"/>
      <c r="E38" s="188"/>
      <c r="F38" s="189"/>
      <c r="G38" s="94">
        <v>2</v>
      </c>
      <c r="H38" s="94" t="s">
        <v>80</v>
      </c>
      <c r="I38" s="223" t="s">
        <v>79</v>
      </c>
      <c r="J38" s="224"/>
      <c r="K38" s="225"/>
      <c r="L38" s="94" t="s">
        <v>80</v>
      </c>
      <c r="M38" s="94" t="s">
        <v>80</v>
      </c>
      <c r="N38" s="168"/>
      <c r="O38" s="169"/>
      <c r="P38" s="169"/>
      <c r="Q38" s="169"/>
      <c r="R38" s="169"/>
      <c r="S38" s="170"/>
      <c r="T38" s="94"/>
      <c r="U38" s="94"/>
      <c r="V38" s="223"/>
      <c r="W38" s="224"/>
      <c r="X38" s="225"/>
      <c r="Y38" s="94"/>
      <c r="Z38" s="94"/>
    </row>
    <row r="39" spans="1:26" ht="18" customHeight="1" x14ac:dyDescent="0.15">
      <c r="A39" s="19"/>
      <c r="B39" s="180"/>
      <c r="C39" s="181"/>
      <c r="D39" s="181"/>
      <c r="E39" s="181"/>
      <c r="F39" s="182"/>
      <c r="G39" s="95"/>
      <c r="H39" s="95"/>
      <c r="I39" s="165"/>
      <c r="J39" s="166"/>
      <c r="K39" s="167"/>
      <c r="L39" s="95"/>
      <c r="M39" s="95"/>
      <c r="N39" s="162"/>
      <c r="O39" s="163"/>
      <c r="P39" s="163"/>
      <c r="Q39" s="163"/>
      <c r="R39" s="163"/>
      <c r="S39" s="164"/>
      <c r="T39" s="95"/>
      <c r="U39" s="95"/>
      <c r="V39" s="165"/>
      <c r="W39" s="166"/>
      <c r="X39" s="167"/>
      <c r="Y39" s="95"/>
      <c r="Z39" s="95"/>
    </row>
    <row r="40" spans="1:26" ht="18" customHeight="1" x14ac:dyDescent="0.15">
      <c r="A40" s="19"/>
      <c r="B40" s="180"/>
      <c r="C40" s="181"/>
      <c r="D40" s="181"/>
      <c r="E40" s="181"/>
      <c r="F40" s="182"/>
      <c r="G40" s="95"/>
      <c r="H40" s="95"/>
      <c r="I40" s="165"/>
      <c r="J40" s="166"/>
      <c r="K40" s="167"/>
      <c r="L40" s="95"/>
      <c r="M40" s="95"/>
      <c r="N40" s="162"/>
      <c r="O40" s="163"/>
      <c r="P40" s="163"/>
      <c r="Q40" s="163"/>
      <c r="R40" s="163"/>
      <c r="S40" s="164"/>
      <c r="T40" s="95"/>
      <c r="U40" s="95"/>
      <c r="V40" s="165"/>
      <c r="W40" s="166"/>
      <c r="X40" s="167"/>
      <c r="Y40" s="95"/>
      <c r="Z40" s="95"/>
    </row>
    <row r="41" spans="1:26" ht="18" customHeight="1" x14ac:dyDescent="0.15">
      <c r="A41" s="19"/>
      <c r="B41" s="180"/>
      <c r="C41" s="181"/>
      <c r="D41" s="181"/>
      <c r="E41" s="181"/>
      <c r="F41" s="182"/>
      <c r="G41" s="95"/>
      <c r="H41" s="95"/>
      <c r="I41" s="165"/>
      <c r="J41" s="166"/>
      <c r="K41" s="167"/>
      <c r="L41" s="95"/>
      <c r="M41" s="95"/>
      <c r="N41" s="162"/>
      <c r="O41" s="163"/>
      <c r="P41" s="163"/>
      <c r="Q41" s="163"/>
      <c r="R41" s="163"/>
      <c r="S41" s="164"/>
      <c r="T41" s="95"/>
      <c r="U41" s="95"/>
      <c r="V41" s="165"/>
      <c r="W41" s="166"/>
      <c r="X41" s="167"/>
      <c r="Y41" s="95"/>
      <c r="Z41" s="95"/>
    </row>
    <row r="42" spans="1:26" ht="18" customHeight="1" x14ac:dyDescent="0.15">
      <c r="A42" s="19"/>
      <c r="B42" s="180"/>
      <c r="C42" s="181"/>
      <c r="D42" s="181"/>
      <c r="E42" s="181"/>
      <c r="F42" s="182"/>
      <c r="G42" s="95"/>
      <c r="H42" s="95"/>
      <c r="I42" s="165"/>
      <c r="J42" s="166"/>
      <c r="K42" s="167"/>
      <c r="L42" s="95"/>
      <c r="M42" s="95"/>
      <c r="N42" s="162"/>
      <c r="O42" s="163"/>
      <c r="P42" s="163"/>
      <c r="Q42" s="163"/>
      <c r="R42" s="163"/>
      <c r="S42" s="164"/>
      <c r="T42" s="95"/>
      <c r="U42" s="95"/>
      <c r="V42" s="165"/>
      <c r="W42" s="166"/>
      <c r="X42" s="167"/>
      <c r="Y42" s="95"/>
      <c r="Z42" s="95"/>
    </row>
    <row r="43" spans="1:26" ht="18" customHeight="1" x14ac:dyDescent="0.15">
      <c r="A43" s="19"/>
      <c r="B43" s="180"/>
      <c r="C43" s="181"/>
      <c r="D43" s="181"/>
      <c r="E43" s="181"/>
      <c r="F43" s="182"/>
      <c r="G43" s="95"/>
      <c r="H43" s="95"/>
      <c r="I43" s="165"/>
      <c r="J43" s="166"/>
      <c r="K43" s="167"/>
      <c r="L43" s="95"/>
      <c r="M43" s="95"/>
      <c r="N43" s="162"/>
      <c r="O43" s="163"/>
      <c r="P43" s="163"/>
      <c r="Q43" s="163"/>
      <c r="R43" s="163"/>
      <c r="S43" s="164"/>
      <c r="T43" s="95"/>
      <c r="U43" s="95"/>
      <c r="V43" s="165"/>
      <c r="W43" s="166"/>
      <c r="X43" s="167"/>
      <c r="Y43" s="95"/>
      <c r="Z43" s="95"/>
    </row>
    <row r="44" spans="1:26" ht="18" customHeight="1" x14ac:dyDescent="0.15">
      <c r="A44" s="19"/>
      <c r="B44" s="183"/>
      <c r="C44" s="184"/>
      <c r="D44" s="184"/>
      <c r="E44" s="184"/>
      <c r="F44" s="185"/>
      <c r="G44" s="96"/>
      <c r="H44" s="96"/>
      <c r="I44" s="174"/>
      <c r="J44" s="175"/>
      <c r="K44" s="176"/>
      <c r="L44" s="100"/>
      <c r="M44" s="100"/>
      <c r="N44" s="171"/>
      <c r="O44" s="172"/>
      <c r="P44" s="172"/>
      <c r="Q44" s="172"/>
      <c r="R44" s="172"/>
      <c r="S44" s="173"/>
      <c r="T44" s="96"/>
      <c r="U44" s="96"/>
      <c r="V44" s="174"/>
      <c r="W44" s="175"/>
      <c r="X44" s="176"/>
      <c r="Y44" s="100"/>
      <c r="Z44" s="100"/>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26" t="s">
        <v>87</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ht="18" customHeight="1" x14ac:dyDescent="0.15">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ht="18" customHeight="1" x14ac:dyDescent="0.15">
      <c r="A48" s="13"/>
      <c r="B48" s="177" t="s">
        <v>72</v>
      </c>
      <c r="C48" s="178"/>
      <c r="D48" s="178"/>
      <c r="E48" s="178"/>
      <c r="F48" s="179"/>
      <c r="G48" s="20" t="s">
        <v>73</v>
      </c>
      <c r="H48" s="93" t="s">
        <v>74</v>
      </c>
      <c r="I48" s="177" t="s">
        <v>75</v>
      </c>
      <c r="J48" s="178"/>
      <c r="K48" s="179"/>
      <c r="L48" s="60" t="s">
        <v>88</v>
      </c>
      <c r="M48" s="60" t="s">
        <v>89</v>
      </c>
      <c r="N48" s="177" t="s">
        <v>72</v>
      </c>
      <c r="O48" s="178"/>
      <c r="P48" s="178"/>
      <c r="Q48" s="178"/>
      <c r="R48" s="178"/>
      <c r="S48" s="179"/>
      <c r="T48" s="20" t="s">
        <v>73</v>
      </c>
      <c r="U48" s="93" t="s">
        <v>74</v>
      </c>
      <c r="V48" s="177" t="s">
        <v>75</v>
      </c>
      <c r="W48" s="178"/>
      <c r="X48" s="179"/>
      <c r="Y48" s="60" t="s">
        <v>88</v>
      </c>
      <c r="Z48" s="60" t="s">
        <v>89</v>
      </c>
    </row>
    <row r="49" spans="1:26" ht="18" customHeight="1" x14ac:dyDescent="0.15">
      <c r="A49" s="19"/>
      <c r="B49" s="187" t="s">
        <v>78</v>
      </c>
      <c r="C49" s="188"/>
      <c r="D49" s="188"/>
      <c r="E49" s="188"/>
      <c r="F49" s="189"/>
      <c r="G49" s="94">
        <v>2</v>
      </c>
      <c r="H49" s="94" t="s">
        <v>80</v>
      </c>
      <c r="I49" s="223" t="s">
        <v>79</v>
      </c>
      <c r="J49" s="224"/>
      <c r="K49" s="225"/>
      <c r="L49" s="94" t="s">
        <v>80</v>
      </c>
      <c r="M49" s="94" t="s">
        <v>80</v>
      </c>
      <c r="N49" s="168"/>
      <c r="O49" s="169"/>
      <c r="P49" s="169"/>
      <c r="Q49" s="169"/>
      <c r="R49" s="169"/>
      <c r="S49" s="170"/>
      <c r="T49" s="94"/>
      <c r="U49" s="94"/>
      <c r="V49" s="223"/>
      <c r="W49" s="224"/>
      <c r="X49" s="225"/>
      <c r="Y49" s="94"/>
      <c r="Z49" s="94"/>
    </row>
    <row r="50" spans="1:26" ht="18" customHeight="1" x14ac:dyDescent="0.15">
      <c r="A50" s="19"/>
      <c r="B50" s="180"/>
      <c r="C50" s="181"/>
      <c r="D50" s="181"/>
      <c r="E50" s="181"/>
      <c r="F50" s="182"/>
      <c r="G50" s="95"/>
      <c r="H50" s="95"/>
      <c r="I50" s="165"/>
      <c r="J50" s="166"/>
      <c r="K50" s="167"/>
      <c r="L50" s="95"/>
      <c r="M50" s="95"/>
      <c r="N50" s="162"/>
      <c r="O50" s="163"/>
      <c r="P50" s="163"/>
      <c r="Q50" s="163"/>
      <c r="R50" s="163"/>
      <c r="S50" s="164"/>
      <c r="T50" s="95"/>
      <c r="U50" s="95"/>
      <c r="V50" s="165"/>
      <c r="W50" s="166"/>
      <c r="X50" s="167"/>
      <c r="Y50" s="95"/>
      <c r="Z50" s="95"/>
    </row>
    <row r="51" spans="1:26" ht="18" customHeight="1" x14ac:dyDescent="0.15">
      <c r="A51" s="19"/>
      <c r="B51" s="180"/>
      <c r="C51" s="181"/>
      <c r="D51" s="181"/>
      <c r="E51" s="181"/>
      <c r="F51" s="182"/>
      <c r="G51" s="95"/>
      <c r="H51" s="95"/>
      <c r="I51" s="165"/>
      <c r="J51" s="166"/>
      <c r="K51" s="167"/>
      <c r="L51" s="95"/>
      <c r="M51" s="95"/>
      <c r="N51" s="162"/>
      <c r="O51" s="163"/>
      <c r="P51" s="163"/>
      <c r="Q51" s="163"/>
      <c r="R51" s="163"/>
      <c r="S51" s="164"/>
      <c r="T51" s="95"/>
      <c r="U51" s="95"/>
      <c r="V51" s="165"/>
      <c r="W51" s="166"/>
      <c r="X51" s="167"/>
      <c r="Y51" s="95"/>
      <c r="Z51" s="95"/>
    </row>
    <row r="52" spans="1:26" ht="18" customHeight="1" x14ac:dyDescent="0.15">
      <c r="A52" s="19"/>
      <c r="B52" s="180"/>
      <c r="C52" s="181"/>
      <c r="D52" s="181"/>
      <c r="E52" s="181"/>
      <c r="F52" s="182"/>
      <c r="G52" s="95"/>
      <c r="H52" s="95"/>
      <c r="I52" s="165"/>
      <c r="J52" s="166"/>
      <c r="K52" s="167"/>
      <c r="L52" s="95"/>
      <c r="M52" s="95"/>
      <c r="N52" s="162"/>
      <c r="O52" s="163"/>
      <c r="P52" s="163"/>
      <c r="Q52" s="163"/>
      <c r="R52" s="163"/>
      <c r="S52" s="164"/>
      <c r="T52" s="95"/>
      <c r="U52" s="95"/>
      <c r="V52" s="165"/>
      <c r="W52" s="166"/>
      <c r="X52" s="167"/>
      <c r="Y52" s="95"/>
      <c r="Z52" s="95"/>
    </row>
    <row r="53" spans="1:26" ht="18" customHeight="1" x14ac:dyDescent="0.15">
      <c r="A53" s="19"/>
      <c r="B53" s="180"/>
      <c r="C53" s="181"/>
      <c r="D53" s="181"/>
      <c r="E53" s="181"/>
      <c r="F53" s="182"/>
      <c r="G53" s="95"/>
      <c r="H53" s="95"/>
      <c r="I53" s="165"/>
      <c r="J53" s="166"/>
      <c r="K53" s="167"/>
      <c r="L53" s="95"/>
      <c r="M53" s="95"/>
      <c r="N53" s="162"/>
      <c r="O53" s="163"/>
      <c r="P53" s="163"/>
      <c r="Q53" s="163"/>
      <c r="R53" s="163"/>
      <c r="S53" s="164"/>
      <c r="T53" s="95"/>
      <c r="U53" s="95"/>
      <c r="V53" s="165"/>
      <c r="W53" s="166"/>
      <c r="X53" s="167"/>
      <c r="Y53" s="95"/>
      <c r="Z53" s="95"/>
    </row>
    <row r="54" spans="1:26" ht="18" customHeight="1" x14ac:dyDescent="0.15">
      <c r="A54" s="19"/>
      <c r="B54" s="180"/>
      <c r="C54" s="181"/>
      <c r="D54" s="181"/>
      <c r="E54" s="181"/>
      <c r="F54" s="182"/>
      <c r="G54" s="95"/>
      <c r="H54" s="95"/>
      <c r="I54" s="165"/>
      <c r="J54" s="166"/>
      <c r="K54" s="167"/>
      <c r="L54" s="95"/>
      <c r="M54" s="95"/>
      <c r="N54" s="162"/>
      <c r="O54" s="163"/>
      <c r="P54" s="163"/>
      <c r="Q54" s="163"/>
      <c r="R54" s="163"/>
      <c r="S54" s="164"/>
      <c r="T54" s="95"/>
      <c r="U54" s="95"/>
      <c r="V54" s="165"/>
      <c r="W54" s="166"/>
      <c r="X54" s="167"/>
      <c r="Y54" s="95"/>
      <c r="Z54" s="95"/>
    </row>
    <row r="55" spans="1:26" ht="18" customHeight="1" x14ac:dyDescent="0.15">
      <c r="A55" s="19"/>
      <c r="B55" s="183"/>
      <c r="C55" s="184"/>
      <c r="D55" s="184"/>
      <c r="E55" s="184"/>
      <c r="F55" s="185"/>
      <c r="G55" s="96"/>
      <c r="H55" s="96"/>
      <c r="I55" s="174"/>
      <c r="J55" s="175"/>
      <c r="K55" s="176"/>
      <c r="L55" s="100"/>
      <c r="M55" s="100"/>
      <c r="N55" s="171"/>
      <c r="O55" s="172"/>
      <c r="P55" s="172"/>
      <c r="Q55" s="172"/>
      <c r="R55" s="172"/>
      <c r="S55" s="173"/>
      <c r="T55" s="96"/>
      <c r="U55" s="96"/>
      <c r="V55" s="174"/>
      <c r="W55" s="175"/>
      <c r="X55" s="176"/>
      <c r="Y55" s="100"/>
      <c r="Z55" s="100"/>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26" t="s">
        <v>90</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row>
    <row r="58" spans="1:26" ht="18" customHeight="1" x14ac:dyDescent="0.15">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row>
    <row r="59" spans="1:26" ht="18" customHeight="1" x14ac:dyDescent="0.15">
      <c r="A59" s="13"/>
      <c r="B59" s="177" t="s">
        <v>72</v>
      </c>
      <c r="C59" s="178"/>
      <c r="D59" s="178"/>
      <c r="E59" s="179"/>
      <c r="F59" s="20" t="s">
        <v>73</v>
      </c>
      <c r="G59" s="93" t="s">
        <v>74</v>
      </c>
      <c r="H59" s="16" t="s">
        <v>75</v>
      </c>
      <c r="I59" s="90"/>
      <c r="J59" s="17"/>
      <c r="K59" s="60" t="s">
        <v>91</v>
      </c>
      <c r="L59" s="60" t="s">
        <v>92</v>
      </c>
      <c r="M59" s="60" t="s">
        <v>93</v>
      </c>
      <c r="N59" s="177" t="s">
        <v>72</v>
      </c>
      <c r="O59" s="178"/>
      <c r="P59" s="178"/>
      <c r="Q59" s="178"/>
      <c r="R59" s="179"/>
      <c r="S59" s="20" t="s">
        <v>73</v>
      </c>
      <c r="T59" s="93" t="s">
        <v>74</v>
      </c>
      <c r="U59" s="16" t="s">
        <v>75</v>
      </c>
      <c r="V59" s="90"/>
      <c r="W59" s="17"/>
      <c r="X59" s="60" t="s">
        <v>91</v>
      </c>
      <c r="Y59" s="60" t="s">
        <v>92</v>
      </c>
      <c r="Z59" s="60" t="s">
        <v>93</v>
      </c>
    </row>
    <row r="60" spans="1:26" ht="18" customHeight="1" x14ac:dyDescent="0.15">
      <c r="A60" s="19"/>
      <c r="B60" s="162" t="s">
        <v>78</v>
      </c>
      <c r="C60" s="163"/>
      <c r="D60" s="163"/>
      <c r="E60" s="164"/>
      <c r="F60" s="95">
        <v>2</v>
      </c>
      <c r="G60" s="94" t="s">
        <v>80</v>
      </c>
      <c r="H60" s="165" t="s">
        <v>79</v>
      </c>
      <c r="I60" s="166"/>
      <c r="J60" s="167"/>
      <c r="K60" s="95" t="s">
        <v>80</v>
      </c>
      <c r="L60" s="95" t="s">
        <v>80</v>
      </c>
      <c r="M60" s="95" t="s">
        <v>80</v>
      </c>
      <c r="N60" s="168"/>
      <c r="O60" s="169"/>
      <c r="P60" s="169"/>
      <c r="Q60" s="169"/>
      <c r="R60" s="170"/>
      <c r="S60" s="94"/>
      <c r="T60" s="94"/>
      <c r="U60" s="223"/>
      <c r="V60" s="224"/>
      <c r="W60" s="225"/>
      <c r="X60" s="99"/>
      <c r="Y60" s="94"/>
      <c r="Z60" s="94"/>
    </row>
    <row r="61" spans="1:26" ht="18" customHeight="1" x14ac:dyDescent="0.15">
      <c r="A61" s="19"/>
      <c r="B61" s="162"/>
      <c r="C61" s="163"/>
      <c r="D61" s="163"/>
      <c r="E61" s="164"/>
      <c r="F61" s="95"/>
      <c r="G61" s="95"/>
      <c r="H61" s="165"/>
      <c r="I61" s="166"/>
      <c r="J61" s="167"/>
      <c r="K61" s="97"/>
      <c r="L61" s="95"/>
      <c r="M61" s="95"/>
      <c r="N61" s="162"/>
      <c r="O61" s="163"/>
      <c r="P61" s="163"/>
      <c r="Q61" s="163"/>
      <c r="R61" s="164"/>
      <c r="S61" s="95"/>
      <c r="T61" s="95"/>
      <c r="U61" s="165"/>
      <c r="V61" s="166"/>
      <c r="W61" s="167"/>
      <c r="X61" s="97"/>
      <c r="Y61" s="95"/>
      <c r="Z61" s="95"/>
    </row>
    <row r="62" spans="1:26" ht="18" customHeight="1" x14ac:dyDescent="0.15">
      <c r="A62" s="19"/>
      <c r="B62" s="162"/>
      <c r="C62" s="163"/>
      <c r="D62" s="163"/>
      <c r="E62" s="164"/>
      <c r="F62" s="95"/>
      <c r="G62" s="95"/>
      <c r="H62" s="165"/>
      <c r="I62" s="166"/>
      <c r="J62" s="167"/>
      <c r="K62" s="97"/>
      <c r="L62" s="95"/>
      <c r="M62" s="95"/>
      <c r="N62" s="162"/>
      <c r="O62" s="163"/>
      <c r="P62" s="163"/>
      <c r="Q62" s="163"/>
      <c r="R62" s="164"/>
      <c r="S62" s="95"/>
      <c r="T62" s="95"/>
      <c r="U62" s="165"/>
      <c r="V62" s="166"/>
      <c r="W62" s="167"/>
      <c r="X62" s="97"/>
      <c r="Y62" s="95"/>
      <c r="Z62" s="95"/>
    </row>
    <row r="63" spans="1:26" ht="18" customHeight="1" x14ac:dyDescent="0.15">
      <c r="A63" s="19"/>
      <c r="B63" s="162"/>
      <c r="C63" s="163"/>
      <c r="D63" s="163"/>
      <c r="E63" s="164"/>
      <c r="F63" s="95"/>
      <c r="G63" s="95"/>
      <c r="H63" s="165"/>
      <c r="I63" s="166"/>
      <c r="J63" s="167"/>
      <c r="K63" s="97"/>
      <c r="L63" s="95"/>
      <c r="M63" s="95"/>
      <c r="N63" s="162"/>
      <c r="O63" s="163"/>
      <c r="P63" s="163"/>
      <c r="Q63" s="163"/>
      <c r="R63" s="164"/>
      <c r="S63" s="95"/>
      <c r="T63" s="95"/>
      <c r="U63" s="165"/>
      <c r="V63" s="166"/>
      <c r="W63" s="167"/>
      <c r="X63" s="97"/>
      <c r="Y63" s="95"/>
      <c r="Z63" s="95"/>
    </row>
    <row r="64" spans="1:26" ht="18" customHeight="1" x14ac:dyDescent="0.15">
      <c r="A64" s="19"/>
      <c r="B64" s="162"/>
      <c r="C64" s="163"/>
      <c r="D64" s="163"/>
      <c r="E64" s="164"/>
      <c r="F64" s="95"/>
      <c r="G64" s="95"/>
      <c r="H64" s="165"/>
      <c r="I64" s="166"/>
      <c r="J64" s="167"/>
      <c r="K64" s="97"/>
      <c r="L64" s="95"/>
      <c r="M64" s="95"/>
      <c r="N64" s="162"/>
      <c r="O64" s="163"/>
      <c r="P64" s="163"/>
      <c r="Q64" s="163"/>
      <c r="R64" s="164"/>
      <c r="S64" s="95"/>
      <c r="T64" s="95"/>
      <c r="U64" s="165"/>
      <c r="V64" s="166"/>
      <c r="W64" s="167"/>
      <c r="X64" s="97"/>
      <c r="Y64" s="95"/>
      <c r="Z64" s="95"/>
    </row>
    <row r="65" spans="1:26" ht="18" customHeight="1" x14ac:dyDescent="0.15">
      <c r="A65" s="19"/>
      <c r="B65" s="162"/>
      <c r="C65" s="163"/>
      <c r="D65" s="163"/>
      <c r="E65" s="164"/>
      <c r="F65" s="95"/>
      <c r="G65" s="95"/>
      <c r="H65" s="165"/>
      <c r="I65" s="166"/>
      <c r="J65" s="167"/>
      <c r="K65" s="97"/>
      <c r="L65" s="95"/>
      <c r="M65" s="95"/>
      <c r="N65" s="162"/>
      <c r="O65" s="163"/>
      <c r="P65" s="163"/>
      <c r="Q65" s="163"/>
      <c r="R65" s="164"/>
      <c r="S65" s="95"/>
      <c r="T65" s="95"/>
      <c r="U65" s="165"/>
      <c r="V65" s="166"/>
      <c r="W65" s="167"/>
      <c r="X65" s="97"/>
      <c r="Y65" s="95"/>
      <c r="Z65" s="95"/>
    </row>
    <row r="66" spans="1:26" ht="18" customHeight="1" x14ac:dyDescent="0.15">
      <c r="A66" s="19"/>
      <c r="B66" s="171"/>
      <c r="C66" s="172"/>
      <c r="D66" s="172"/>
      <c r="E66" s="173"/>
      <c r="F66" s="96"/>
      <c r="G66" s="96"/>
      <c r="H66" s="174"/>
      <c r="I66" s="175"/>
      <c r="J66" s="176"/>
      <c r="K66" s="98"/>
      <c r="L66" s="100"/>
      <c r="M66" s="100"/>
      <c r="N66" s="171"/>
      <c r="O66" s="172"/>
      <c r="P66" s="172"/>
      <c r="Q66" s="172"/>
      <c r="R66" s="173"/>
      <c r="S66" s="96"/>
      <c r="T66" s="96"/>
      <c r="U66" s="174"/>
      <c r="V66" s="175"/>
      <c r="W66" s="176"/>
      <c r="X66" s="98"/>
      <c r="Y66" s="100"/>
      <c r="Z66" s="100"/>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3" t="s">
        <v>94</v>
      </c>
      <c r="B68" s="13"/>
      <c r="C68" s="13"/>
      <c r="D68" s="13"/>
      <c r="E68" s="13"/>
      <c r="F68" s="13"/>
      <c r="G68" s="13"/>
      <c r="H68" s="13"/>
      <c r="I68" s="13"/>
      <c r="J68" s="13"/>
      <c r="K68" s="13"/>
      <c r="L68" s="19"/>
      <c r="M68" s="19"/>
      <c r="N68" s="19"/>
      <c r="O68" s="19"/>
      <c r="P68" s="19"/>
      <c r="Q68" s="19"/>
      <c r="R68" s="19"/>
      <c r="S68" s="19"/>
      <c r="T68" s="19"/>
      <c r="U68" s="19"/>
      <c r="V68" s="19"/>
      <c r="W68" s="19"/>
      <c r="X68" s="19"/>
      <c r="Y68" s="19"/>
      <c r="Z68" s="19"/>
    </row>
    <row r="69" spans="1:26" ht="18" customHeight="1" x14ac:dyDescent="0.15">
      <c r="A69" s="13"/>
      <c r="B69" s="177" t="s">
        <v>72</v>
      </c>
      <c r="C69" s="178"/>
      <c r="D69" s="178"/>
      <c r="E69" s="178"/>
      <c r="F69" s="179"/>
      <c r="G69" s="177" t="s">
        <v>95</v>
      </c>
      <c r="H69" s="178"/>
      <c r="I69" s="178"/>
      <c r="J69" s="178"/>
      <c r="K69" s="178"/>
      <c r="L69" s="178"/>
      <c r="M69" s="179"/>
      <c r="N69" s="190" t="s">
        <v>72</v>
      </c>
      <c r="O69" s="191"/>
      <c r="P69" s="191"/>
      <c r="Q69" s="191"/>
      <c r="R69" s="191"/>
      <c r="S69" s="192"/>
      <c r="T69" s="177" t="s">
        <v>95</v>
      </c>
      <c r="U69" s="178"/>
      <c r="V69" s="178"/>
      <c r="W69" s="178"/>
      <c r="X69" s="178"/>
      <c r="Y69" s="178"/>
      <c r="Z69" s="179"/>
    </row>
    <row r="70" spans="1:26" ht="18" customHeight="1" x14ac:dyDescent="0.15">
      <c r="A70" s="19"/>
      <c r="B70" s="168" t="s">
        <v>78</v>
      </c>
      <c r="C70" s="169"/>
      <c r="D70" s="169"/>
      <c r="E70" s="169"/>
      <c r="F70" s="170"/>
      <c r="G70" s="237" t="s">
        <v>96</v>
      </c>
      <c r="H70" s="238"/>
      <c r="I70" s="238"/>
      <c r="J70" s="238"/>
      <c r="K70" s="238"/>
      <c r="L70" s="238"/>
      <c r="M70" s="239"/>
      <c r="N70" s="168"/>
      <c r="O70" s="169"/>
      <c r="P70" s="169"/>
      <c r="Q70" s="169"/>
      <c r="R70" s="169"/>
      <c r="S70" s="170"/>
      <c r="T70" s="237"/>
      <c r="U70" s="238"/>
      <c r="V70" s="238"/>
      <c r="W70" s="238"/>
      <c r="X70" s="238"/>
      <c r="Y70" s="238"/>
      <c r="Z70" s="239"/>
    </row>
    <row r="71" spans="1:26" ht="18" customHeight="1" x14ac:dyDescent="0.15">
      <c r="A71" s="19"/>
      <c r="B71" s="162"/>
      <c r="C71" s="163"/>
      <c r="D71" s="163"/>
      <c r="E71" s="163"/>
      <c r="F71" s="164"/>
      <c r="G71" s="208"/>
      <c r="H71" s="209"/>
      <c r="I71" s="209"/>
      <c r="J71" s="209"/>
      <c r="K71" s="209"/>
      <c r="L71" s="209"/>
      <c r="M71" s="210"/>
      <c r="N71" s="162"/>
      <c r="O71" s="163"/>
      <c r="P71" s="163"/>
      <c r="Q71" s="163"/>
      <c r="R71" s="163"/>
      <c r="S71" s="164"/>
      <c r="T71" s="208"/>
      <c r="U71" s="209"/>
      <c r="V71" s="209"/>
      <c r="W71" s="209"/>
      <c r="X71" s="209"/>
      <c r="Y71" s="209"/>
      <c r="Z71" s="210"/>
    </row>
    <row r="72" spans="1:26" ht="18" customHeight="1" x14ac:dyDescent="0.15">
      <c r="A72" s="19"/>
      <c r="B72" s="162"/>
      <c r="C72" s="163"/>
      <c r="D72" s="163"/>
      <c r="E72" s="163"/>
      <c r="F72" s="164"/>
      <c r="G72" s="208"/>
      <c r="H72" s="209"/>
      <c r="I72" s="209"/>
      <c r="J72" s="209"/>
      <c r="K72" s="209"/>
      <c r="L72" s="209"/>
      <c r="M72" s="210"/>
      <c r="N72" s="162"/>
      <c r="O72" s="163"/>
      <c r="P72" s="163"/>
      <c r="Q72" s="163"/>
      <c r="R72" s="163"/>
      <c r="S72" s="164"/>
      <c r="T72" s="208"/>
      <c r="U72" s="209"/>
      <c r="V72" s="209"/>
      <c r="W72" s="209"/>
      <c r="X72" s="209"/>
      <c r="Y72" s="209"/>
      <c r="Z72" s="210"/>
    </row>
    <row r="73" spans="1:26" ht="18" customHeight="1" x14ac:dyDescent="0.15">
      <c r="A73" s="19"/>
      <c r="B73" s="162"/>
      <c r="C73" s="163"/>
      <c r="D73" s="163"/>
      <c r="E73" s="163"/>
      <c r="F73" s="164"/>
      <c r="G73" s="208"/>
      <c r="H73" s="209"/>
      <c r="I73" s="209"/>
      <c r="J73" s="209"/>
      <c r="K73" s="209"/>
      <c r="L73" s="209"/>
      <c r="M73" s="210"/>
      <c r="N73" s="162"/>
      <c r="O73" s="163"/>
      <c r="P73" s="163"/>
      <c r="Q73" s="163"/>
      <c r="R73" s="163"/>
      <c r="S73" s="164"/>
      <c r="T73" s="208"/>
      <c r="U73" s="209"/>
      <c r="V73" s="209"/>
      <c r="W73" s="209"/>
      <c r="X73" s="209"/>
      <c r="Y73" s="209"/>
      <c r="Z73" s="210"/>
    </row>
    <row r="74" spans="1:26" ht="18" customHeight="1" x14ac:dyDescent="0.15">
      <c r="A74" s="19"/>
      <c r="B74" s="162"/>
      <c r="C74" s="163"/>
      <c r="D74" s="163"/>
      <c r="E74" s="163"/>
      <c r="F74" s="164"/>
      <c r="G74" s="208"/>
      <c r="H74" s="209"/>
      <c r="I74" s="209"/>
      <c r="J74" s="209"/>
      <c r="K74" s="209"/>
      <c r="L74" s="209"/>
      <c r="M74" s="210"/>
      <c r="N74" s="162"/>
      <c r="O74" s="163"/>
      <c r="P74" s="163"/>
      <c r="Q74" s="163"/>
      <c r="R74" s="163"/>
      <c r="S74" s="164"/>
      <c r="T74" s="208"/>
      <c r="U74" s="209"/>
      <c r="V74" s="209"/>
      <c r="W74" s="209"/>
      <c r="X74" s="209"/>
      <c r="Y74" s="209"/>
      <c r="Z74" s="210"/>
    </row>
    <row r="75" spans="1:26" ht="18" customHeight="1" x14ac:dyDescent="0.15">
      <c r="A75" s="19"/>
      <c r="B75" s="162"/>
      <c r="C75" s="163"/>
      <c r="D75" s="163"/>
      <c r="E75" s="163"/>
      <c r="F75" s="164"/>
      <c r="G75" s="208"/>
      <c r="H75" s="209"/>
      <c r="I75" s="209"/>
      <c r="J75" s="209"/>
      <c r="K75" s="209"/>
      <c r="L75" s="209"/>
      <c r="M75" s="210"/>
      <c r="N75" s="162"/>
      <c r="O75" s="163"/>
      <c r="P75" s="163"/>
      <c r="Q75" s="163"/>
      <c r="R75" s="163"/>
      <c r="S75" s="164"/>
      <c r="T75" s="208"/>
      <c r="U75" s="209"/>
      <c r="V75" s="209"/>
      <c r="W75" s="209"/>
      <c r="X75" s="209"/>
      <c r="Y75" s="209"/>
      <c r="Z75" s="210"/>
    </row>
    <row r="76" spans="1:26" ht="18" customHeight="1" x14ac:dyDescent="0.15">
      <c r="A76" s="19"/>
      <c r="B76" s="171"/>
      <c r="C76" s="172"/>
      <c r="D76" s="172"/>
      <c r="E76" s="172"/>
      <c r="F76" s="173"/>
      <c r="G76" s="205"/>
      <c r="H76" s="206"/>
      <c r="I76" s="206"/>
      <c r="J76" s="206"/>
      <c r="K76" s="206"/>
      <c r="L76" s="206"/>
      <c r="M76" s="207"/>
      <c r="N76" s="171"/>
      <c r="O76" s="172"/>
      <c r="P76" s="172"/>
      <c r="Q76" s="172"/>
      <c r="R76" s="172"/>
      <c r="S76" s="173"/>
      <c r="T76" s="205"/>
      <c r="U76" s="206"/>
      <c r="V76" s="206"/>
      <c r="W76" s="206"/>
      <c r="X76" s="206"/>
      <c r="Y76" s="206"/>
      <c r="Z76" s="207"/>
    </row>
    <row r="77" spans="1:26" ht="18" customHeight="1" x14ac:dyDescent="0.15">
      <c r="A77" s="19"/>
      <c r="B77" s="25"/>
      <c r="C77" s="25"/>
      <c r="D77" s="25"/>
      <c r="E77" s="25"/>
      <c r="F77" s="25"/>
      <c r="G77" s="11"/>
      <c r="H77" s="11"/>
      <c r="I77" s="11"/>
      <c r="J77" s="11"/>
      <c r="K77" s="11"/>
      <c r="L77" s="11"/>
      <c r="M77" s="11"/>
      <c r="N77" s="25"/>
      <c r="O77" s="25"/>
      <c r="P77" s="25"/>
      <c r="Q77" s="25"/>
      <c r="R77" s="25"/>
      <c r="S77" s="25"/>
      <c r="T77" s="11"/>
      <c r="U77" s="11"/>
      <c r="V77" s="11"/>
      <c r="W77" s="11"/>
      <c r="X77" s="11"/>
      <c r="Y77" s="11"/>
      <c r="Z77" s="11"/>
    </row>
    <row r="78" spans="1:26" ht="18.95" customHeight="1" x14ac:dyDescent="0.15">
      <c r="A78" s="12" t="s">
        <v>97</v>
      </c>
    </row>
    <row r="79" spans="1:26" ht="18.95" customHeight="1" x14ac:dyDescent="0.15">
      <c r="B79" s="62" t="s">
        <v>98</v>
      </c>
      <c r="C79" s="63"/>
      <c r="D79" s="260" t="s">
        <v>99</v>
      </c>
      <c r="E79" s="260"/>
      <c r="F79" s="260"/>
      <c r="G79" s="260"/>
      <c r="H79" s="260"/>
      <c r="I79" s="260"/>
      <c r="J79" s="260"/>
      <c r="K79" s="260"/>
      <c r="L79" s="260"/>
      <c r="M79" s="260"/>
      <c r="N79" s="260"/>
      <c r="O79" s="260"/>
      <c r="P79" s="260"/>
      <c r="Q79" s="260"/>
      <c r="R79" s="260"/>
      <c r="S79" s="260"/>
      <c r="T79" s="260"/>
      <c r="U79" s="260"/>
      <c r="V79" s="260"/>
      <c r="W79" s="260"/>
      <c r="X79" s="260"/>
      <c r="Y79" s="260"/>
      <c r="Z79" s="261"/>
    </row>
    <row r="80" spans="1:26" ht="78" customHeight="1" x14ac:dyDescent="0.15">
      <c r="B80" s="245" t="s">
        <v>100</v>
      </c>
      <c r="C80" s="69" t="s">
        <v>76</v>
      </c>
      <c r="D80" s="254" t="s">
        <v>101</v>
      </c>
      <c r="E80" s="255"/>
      <c r="F80" s="255"/>
      <c r="G80" s="255"/>
      <c r="H80" s="255"/>
      <c r="I80" s="255"/>
      <c r="J80" s="255"/>
      <c r="K80" s="255"/>
      <c r="L80" s="255"/>
      <c r="M80" s="255"/>
      <c r="N80" s="255"/>
      <c r="O80" s="255"/>
      <c r="P80" s="255"/>
      <c r="Q80" s="255"/>
      <c r="R80" s="255"/>
      <c r="S80" s="255"/>
      <c r="T80" s="255"/>
      <c r="U80" s="255"/>
      <c r="V80" s="255"/>
      <c r="W80" s="255"/>
      <c r="X80" s="255"/>
      <c r="Y80" s="255"/>
      <c r="Z80" s="256"/>
    </row>
    <row r="81" spans="1:26" ht="78" customHeight="1" x14ac:dyDescent="0.15">
      <c r="B81" s="246"/>
      <c r="C81" s="91" t="s">
        <v>102</v>
      </c>
      <c r="D81" s="211" t="s">
        <v>103</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243" t="s">
        <v>104</v>
      </c>
      <c r="C82" s="64" t="s">
        <v>82</v>
      </c>
      <c r="D82" s="214" t="s">
        <v>105</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244"/>
      <c r="C83" s="92" t="s">
        <v>83</v>
      </c>
      <c r="D83" s="220" t="s">
        <v>106</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243" t="s">
        <v>107</v>
      </c>
      <c r="C84" s="64" t="s">
        <v>85</v>
      </c>
      <c r="D84" s="214" t="s">
        <v>108</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244"/>
      <c r="C85" s="66" t="s">
        <v>86</v>
      </c>
      <c r="D85" s="217" t="s">
        <v>109</v>
      </c>
      <c r="E85" s="218"/>
      <c r="F85" s="218"/>
      <c r="G85" s="218"/>
      <c r="H85" s="218"/>
      <c r="I85" s="218"/>
      <c r="J85" s="218"/>
      <c r="K85" s="218"/>
      <c r="L85" s="218"/>
      <c r="M85" s="218"/>
      <c r="N85" s="218"/>
      <c r="O85" s="218"/>
      <c r="P85" s="218"/>
      <c r="Q85" s="218"/>
      <c r="R85" s="218"/>
      <c r="S85" s="218"/>
      <c r="T85" s="218"/>
      <c r="U85" s="218"/>
      <c r="V85" s="218"/>
      <c r="W85" s="218"/>
      <c r="X85" s="218"/>
      <c r="Y85" s="218"/>
      <c r="Z85" s="219"/>
    </row>
    <row r="86" spans="1:26" ht="66" customHeight="1" x14ac:dyDescent="0.15">
      <c r="B86" s="245" t="s">
        <v>110</v>
      </c>
      <c r="C86" s="69" t="s">
        <v>88</v>
      </c>
      <c r="D86" s="254" t="s">
        <v>111</v>
      </c>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ht="66" customHeight="1" x14ac:dyDescent="0.15">
      <c r="B87" s="253"/>
      <c r="C87" s="65" t="s">
        <v>89</v>
      </c>
      <c r="D87" s="257" t="s">
        <v>112</v>
      </c>
      <c r="E87" s="258"/>
      <c r="F87" s="258"/>
      <c r="G87" s="258"/>
      <c r="H87" s="258"/>
      <c r="I87" s="258"/>
      <c r="J87" s="258"/>
      <c r="K87" s="258"/>
      <c r="L87" s="258"/>
      <c r="M87" s="258"/>
      <c r="N87" s="258"/>
      <c r="O87" s="258"/>
      <c r="P87" s="258"/>
      <c r="Q87" s="258"/>
      <c r="R87" s="258"/>
      <c r="S87" s="258"/>
      <c r="T87" s="258"/>
      <c r="U87" s="258"/>
      <c r="V87" s="258"/>
      <c r="W87" s="258"/>
      <c r="X87" s="258"/>
      <c r="Y87" s="258"/>
      <c r="Z87" s="259"/>
    </row>
    <row r="88" spans="1:26" ht="66" customHeight="1" x14ac:dyDescent="0.15">
      <c r="B88" s="245" t="s">
        <v>113</v>
      </c>
      <c r="C88" s="64" t="s">
        <v>91</v>
      </c>
      <c r="D88" s="247" t="s">
        <v>114</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65" t="s">
        <v>92</v>
      </c>
      <c r="D89" s="240" t="s">
        <v>115</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66" t="s">
        <v>93</v>
      </c>
      <c r="D90" s="250" t="s">
        <v>116</v>
      </c>
      <c r="E90" s="251"/>
      <c r="F90" s="251"/>
      <c r="G90" s="251"/>
      <c r="H90" s="251"/>
      <c r="I90" s="251"/>
      <c r="J90" s="251"/>
      <c r="K90" s="251"/>
      <c r="L90" s="251"/>
      <c r="M90" s="251"/>
      <c r="N90" s="251"/>
      <c r="O90" s="251"/>
      <c r="P90" s="251"/>
      <c r="Q90" s="251"/>
      <c r="R90" s="251"/>
      <c r="S90" s="251"/>
      <c r="T90" s="251"/>
      <c r="U90" s="251"/>
      <c r="V90" s="251"/>
      <c r="W90" s="251"/>
      <c r="X90" s="251"/>
      <c r="Y90" s="251"/>
      <c r="Z90" s="252"/>
    </row>
    <row r="91" spans="1:26" ht="6" customHeight="1" x14ac:dyDescent="0.15"/>
    <row r="92" spans="1:26" ht="18.95" customHeight="1" x14ac:dyDescent="0.15">
      <c r="A92" s="12" t="s">
        <v>117</v>
      </c>
    </row>
    <row r="93" spans="1:26" ht="18.95" customHeight="1" x14ac:dyDescent="0.15">
      <c r="B93" s="193" t="s">
        <v>118</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95" customHeight="1" x14ac:dyDescent="0.15">
      <c r="B94" s="196"/>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8"/>
    </row>
    <row r="95" spans="1:26" ht="18.95" customHeight="1" x14ac:dyDescent="0.15">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6" customHeight="1" x14ac:dyDescent="0.15"/>
    <row r="97" spans="1:26" ht="15" customHeight="1" x14ac:dyDescent="0.15">
      <c r="A97" s="12" t="s">
        <v>119</v>
      </c>
    </row>
    <row r="98" spans="1:26" ht="15" customHeight="1" x14ac:dyDescent="0.15">
      <c r="B98" s="202" t="s">
        <v>205</v>
      </c>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4"/>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5:Z85"/>
    <mergeCell ref="D83:Z83"/>
    <mergeCell ref="D84:Z84"/>
    <mergeCell ref="B75:F75"/>
    <mergeCell ref="G75:M75"/>
    <mergeCell ref="N75:S75"/>
    <mergeCell ref="T75:Z75"/>
    <mergeCell ref="B76:F76"/>
    <mergeCell ref="G76:M76"/>
    <mergeCell ref="N76:S76"/>
    <mergeCell ref="B69:F69"/>
    <mergeCell ref="G69:M69"/>
    <mergeCell ref="N69:S69"/>
    <mergeCell ref="H61:J61"/>
    <mergeCell ref="B93:Z95"/>
    <mergeCell ref="B98:Z98"/>
    <mergeCell ref="T76:Z76"/>
    <mergeCell ref="B71:F71"/>
    <mergeCell ref="G71:M71"/>
    <mergeCell ref="N71:S71"/>
    <mergeCell ref="T71:Z71"/>
    <mergeCell ref="B74:F74"/>
    <mergeCell ref="G74:M74"/>
    <mergeCell ref="N74:S74"/>
    <mergeCell ref="T74:Z74"/>
    <mergeCell ref="B72:F72"/>
    <mergeCell ref="B61:E61"/>
    <mergeCell ref="B62:E62"/>
    <mergeCell ref="B63:E63"/>
    <mergeCell ref="B64:E64"/>
    <mergeCell ref="B65:E65"/>
    <mergeCell ref="B66:E66"/>
    <mergeCell ref="D81:Z81"/>
    <mergeCell ref="D82:Z82"/>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B60:E60"/>
    <mergeCell ref="H60:J60"/>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K60 H27:H33 Y38:Z44 H38:H44 Y49:Z55 Y60:Z66 H49:H55 H16:H22 U16:U22 T60:T66 U27:U33 L27:M33 U38:U44 L38:M44 U49:U55 L49:M55 L60:M66 G60:G66">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9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186" t="s">
        <v>120</v>
      </c>
      <c r="X1" s="186"/>
      <c r="Y1" s="186"/>
      <c r="Z1" s="186"/>
    </row>
    <row r="2" spans="1:26" ht="18" customHeight="1" x14ac:dyDescent="0.15">
      <c r="A2" s="227" t="s">
        <v>66</v>
      </c>
      <c r="B2" s="227"/>
      <c r="C2" s="227"/>
      <c r="D2" s="227"/>
      <c r="E2" s="227"/>
      <c r="F2" s="227"/>
      <c r="G2" s="227"/>
      <c r="H2" s="227"/>
      <c r="I2" s="227"/>
      <c r="J2" s="227"/>
      <c r="K2" s="227"/>
      <c r="L2" s="227"/>
      <c r="M2" s="227"/>
      <c r="N2" s="227"/>
      <c r="O2" s="227"/>
      <c r="P2" s="227"/>
      <c r="Q2" s="227"/>
      <c r="R2" s="227"/>
      <c r="S2" s="227"/>
      <c r="T2" s="227"/>
      <c r="U2" s="227"/>
      <c r="V2" s="227"/>
      <c r="W2" s="227"/>
      <c r="X2" s="227"/>
      <c r="Y2" s="227"/>
      <c r="Z2" s="227"/>
    </row>
    <row r="3" spans="1:26"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15">
      <c r="A4" s="12" t="s">
        <v>67</v>
      </c>
      <c r="B4" s="19"/>
      <c r="C4" s="19"/>
      <c r="D4" s="19"/>
      <c r="E4" s="19"/>
      <c r="F4" s="19"/>
      <c r="G4" s="19"/>
      <c r="H4" s="13" t="s">
        <v>68</v>
      </c>
      <c r="I4" s="19"/>
      <c r="J4" s="19"/>
      <c r="K4" s="19"/>
      <c r="L4" s="19"/>
      <c r="M4" s="19"/>
      <c r="N4" s="19"/>
      <c r="O4" s="130" t="s">
        <v>69</v>
      </c>
      <c r="P4" s="131"/>
      <c r="Q4" s="131"/>
      <c r="R4" s="131"/>
      <c r="S4" s="131"/>
      <c r="T4" s="131"/>
      <c r="U4" s="131"/>
      <c r="V4" s="131"/>
      <c r="W4" s="131"/>
      <c r="X4" s="131"/>
      <c r="Y4" s="131"/>
      <c r="Z4" s="132"/>
    </row>
    <row r="5" spans="1:26" ht="6" customHeight="1" x14ac:dyDescent="0.15">
      <c r="B5" s="19"/>
      <c r="C5" s="19"/>
      <c r="D5" s="19"/>
      <c r="E5" s="19"/>
      <c r="F5" s="19"/>
      <c r="G5" s="19"/>
      <c r="H5" s="19"/>
      <c r="I5" s="19"/>
      <c r="J5" s="19"/>
      <c r="K5" s="19"/>
      <c r="L5" s="19"/>
      <c r="M5" s="19"/>
      <c r="N5" s="19"/>
      <c r="O5" s="14"/>
      <c r="P5" s="19"/>
      <c r="Q5" s="19"/>
      <c r="R5" s="19"/>
      <c r="S5" s="19"/>
      <c r="T5" s="19"/>
      <c r="U5" s="19"/>
      <c r="V5" s="19"/>
      <c r="W5" s="19"/>
      <c r="X5" s="19"/>
      <c r="Y5" s="19"/>
      <c r="Z5" s="19"/>
    </row>
    <row r="6" spans="1:26" ht="18" customHeight="1" x14ac:dyDescent="0.15">
      <c r="B6" s="228" t="s">
        <v>121</v>
      </c>
      <c r="C6" s="229"/>
      <c r="D6" s="229"/>
      <c r="E6" s="229"/>
      <c r="F6" s="229"/>
      <c r="G6" s="229"/>
      <c r="H6" s="229"/>
      <c r="I6" s="229"/>
      <c r="J6" s="229"/>
      <c r="K6" s="229"/>
      <c r="L6" s="229"/>
      <c r="M6" s="229"/>
      <c r="N6" s="229"/>
      <c r="O6" s="229"/>
      <c r="P6" s="229"/>
      <c r="Q6" s="229"/>
      <c r="R6" s="229"/>
      <c r="S6" s="229"/>
      <c r="T6" s="229"/>
      <c r="U6" s="229"/>
      <c r="V6" s="229"/>
      <c r="W6" s="229"/>
      <c r="X6" s="229"/>
      <c r="Y6" s="229"/>
      <c r="Z6" s="230"/>
    </row>
    <row r="7" spans="1:26" ht="18" customHeight="1" x14ac:dyDescent="0.15">
      <c r="B7" s="231"/>
      <c r="C7" s="232"/>
      <c r="D7" s="232"/>
      <c r="E7" s="232"/>
      <c r="F7" s="232"/>
      <c r="G7" s="232"/>
      <c r="H7" s="232"/>
      <c r="I7" s="232"/>
      <c r="J7" s="232"/>
      <c r="K7" s="232"/>
      <c r="L7" s="232"/>
      <c r="M7" s="232"/>
      <c r="N7" s="232"/>
      <c r="O7" s="232"/>
      <c r="P7" s="232"/>
      <c r="Q7" s="232"/>
      <c r="R7" s="232"/>
      <c r="S7" s="232"/>
      <c r="T7" s="232"/>
      <c r="U7" s="232"/>
      <c r="V7" s="232"/>
      <c r="W7" s="232"/>
      <c r="X7" s="232"/>
      <c r="Y7" s="232"/>
      <c r="Z7" s="233"/>
    </row>
    <row r="8" spans="1:26" ht="18" customHeight="1" x14ac:dyDescent="0.15">
      <c r="B8" s="231"/>
      <c r="C8" s="232"/>
      <c r="D8" s="232"/>
      <c r="E8" s="232"/>
      <c r="F8" s="232"/>
      <c r="G8" s="232"/>
      <c r="H8" s="232"/>
      <c r="I8" s="232"/>
      <c r="J8" s="232"/>
      <c r="K8" s="232"/>
      <c r="L8" s="232"/>
      <c r="M8" s="232"/>
      <c r="N8" s="232"/>
      <c r="O8" s="232"/>
      <c r="P8" s="232"/>
      <c r="Q8" s="232"/>
      <c r="R8" s="232"/>
      <c r="S8" s="232"/>
      <c r="T8" s="232"/>
      <c r="U8" s="232"/>
      <c r="V8" s="232"/>
      <c r="W8" s="232"/>
      <c r="X8" s="232"/>
      <c r="Y8" s="232"/>
      <c r="Z8" s="233"/>
    </row>
    <row r="9" spans="1:26" ht="18" customHeight="1" x14ac:dyDescent="0.15">
      <c r="B9" s="231"/>
      <c r="C9" s="232"/>
      <c r="D9" s="232"/>
      <c r="E9" s="232"/>
      <c r="F9" s="232"/>
      <c r="G9" s="232"/>
      <c r="H9" s="232"/>
      <c r="I9" s="232"/>
      <c r="J9" s="232"/>
      <c r="K9" s="232"/>
      <c r="L9" s="232"/>
      <c r="M9" s="232"/>
      <c r="N9" s="232"/>
      <c r="O9" s="232"/>
      <c r="P9" s="232"/>
      <c r="Q9" s="232"/>
      <c r="R9" s="232"/>
      <c r="S9" s="232"/>
      <c r="T9" s="232"/>
      <c r="U9" s="232"/>
      <c r="V9" s="232"/>
      <c r="W9" s="232"/>
      <c r="X9" s="232"/>
      <c r="Y9" s="232"/>
      <c r="Z9" s="233"/>
    </row>
    <row r="10" spans="1:26" ht="18" customHeight="1" x14ac:dyDescent="0.15">
      <c r="B10" s="231"/>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3"/>
    </row>
    <row r="11" spans="1:26" ht="18" customHeight="1" x14ac:dyDescent="0.15">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6"/>
    </row>
    <row r="12" spans="1:26"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8" customHeight="1" x14ac:dyDescent="0.15">
      <c r="A13" s="226" t="s">
        <v>71</v>
      </c>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row>
    <row r="14" spans="1:26" ht="18" customHeight="1" x14ac:dyDescent="0.15">
      <c r="A14" s="226"/>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row>
    <row r="15" spans="1:26" ht="18" customHeight="1" x14ac:dyDescent="0.15">
      <c r="A15" s="13"/>
      <c r="B15" s="177" t="s">
        <v>72</v>
      </c>
      <c r="C15" s="178"/>
      <c r="D15" s="178"/>
      <c r="E15" s="178"/>
      <c r="F15" s="179"/>
      <c r="G15" s="20" t="s">
        <v>73</v>
      </c>
      <c r="H15" s="93" t="s">
        <v>74</v>
      </c>
      <c r="I15" s="178" t="s">
        <v>75</v>
      </c>
      <c r="J15" s="178"/>
      <c r="K15" s="178"/>
      <c r="L15" s="60" t="s">
        <v>76</v>
      </c>
      <c r="M15" s="60" t="s">
        <v>77</v>
      </c>
      <c r="N15" s="177" t="s">
        <v>72</v>
      </c>
      <c r="O15" s="178"/>
      <c r="P15" s="178"/>
      <c r="Q15" s="178"/>
      <c r="R15" s="178"/>
      <c r="S15" s="179"/>
      <c r="T15" s="20" t="s">
        <v>73</v>
      </c>
      <c r="U15" s="93" t="s">
        <v>74</v>
      </c>
      <c r="V15" s="178" t="s">
        <v>75</v>
      </c>
      <c r="W15" s="178"/>
      <c r="X15" s="178"/>
      <c r="Y15" s="60" t="s">
        <v>76</v>
      </c>
      <c r="Z15" s="60" t="s">
        <v>77</v>
      </c>
    </row>
    <row r="16" spans="1:26" ht="18" customHeight="1" x14ac:dyDescent="0.15">
      <c r="A16" s="13"/>
      <c r="B16" s="187" t="s">
        <v>78</v>
      </c>
      <c r="C16" s="188"/>
      <c r="D16" s="188"/>
      <c r="E16" s="188"/>
      <c r="F16" s="189"/>
      <c r="G16" s="94">
        <v>2</v>
      </c>
      <c r="H16" s="94" t="s">
        <v>80</v>
      </c>
      <c r="I16" s="223" t="s">
        <v>79</v>
      </c>
      <c r="J16" s="224"/>
      <c r="K16" s="225"/>
      <c r="L16" s="94" t="s">
        <v>80</v>
      </c>
      <c r="M16" s="94" t="s">
        <v>80</v>
      </c>
      <c r="N16" s="168"/>
      <c r="O16" s="169"/>
      <c r="P16" s="169"/>
      <c r="Q16" s="169"/>
      <c r="R16" s="169"/>
      <c r="S16" s="170"/>
      <c r="T16" s="94"/>
      <c r="U16" s="94"/>
      <c r="V16" s="223"/>
      <c r="W16" s="224"/>
      <c r="X16" s="225"/>
      <c r="Y16" s="94"/>
      <c r="Z16" s="94"/>
    </row>
    <row r="17" spans="1:26" ht="18" customHeight="1" x14ac:dyDescent="0.15">
      <c r="A17" s="13"/>
      <c r="B17" s="180"/>
      <c r="C17" s="181"/>
      <c r="D17" s="181"/>
      <c r="E17" s="181"/>
      <c r="F17" s="182"/>
      <c r="G17" s="95"/>
      <c r="H17" s="95"/>
      <c r="I17" s="165"/>
      <c r="J17" s="166"/>
      <c r="K17" s="167"/>
      <c r="L17" s="95"/>
      <c r="M17" s="95"/>
      <c r="N17" s="162"/>
      <c r="O17" s="163"/>
      <c r="P17" s="163"/>
      <c r="Q17" s="163"/>
      <c r="R17" s="163"/>
      <c r="S17" s="164"/>
      <c r="T17" s="95"/>
      <c r="U17" s="95"/>
      <c r="V17" s="165"/>
      <c r="W17" s="166"/>
      <c r="X17" s="167"/>
      <c r="Y17" s="95"/>
      <c r="Z17" s="95"/>
    </row>
    <row r="18" spans="1:26" ht="18" customHeight="1" x14ac:dyDescent="0.15">
      <c r="A18" s="13"/>
      <c r="B18" s="180"/>
      <c r="C18" s="181"/>
      <c r="D18" s="181"/>
      <c r="E18" s="181"/>
      <c r="F18" s="182"/>
      <c r="G18" s="95"/>
      <c r="H18" s="95"/>
      <c r="I18" s="165"/>
      <c r="J18" s="166"/>
      <c r="K18" s="167"/>
      <c r="L18" s="95"/>
      <c r="M18" s="95"/>
      <c r="N18" s="162"/>
      <c r="O18" s="163"/>
      <c r="P18" s="163"/>
      <c r="Q18" s="163"/>
      <c r="R18" s="163"/>
      <c r="S18" s="164"/>
      <c r="T18" s="95"/>
      <c r="U18" s="95"/>
      <c r="V18" s="165"/>
      <c r="W18" s="166"/>
      <c r="X18" s="167"/>
      <c r="Y18" s="95"/>
      <c r="Z18" s="95"/>
    </row>
    <row r="19" spans="1:26" ht="18" customHeight="1" x14ac:dyDescent="0.15">
      <c r="A19" s="13"/>
      <c r="B19" s="180"/>
      <c r="C19" s="181"/>
      <c r="D19" s="181"/>
      <c r="E19" s="181"/>
      <c r="F19" s="182"/>
      <c r="G19" s="95"/>
      <c r="H19" s="95"/>
      <c r="I19" s="165"/>
      <c r="J19" s="166"/>
      <c r="K19" s="167"/>
      <c r="L19" s="95"/>
      <c r="M19" s="95"/>
      <c r="N19" s="162"/>
      <c r="O19" s="163"/>
      <c r="P19" s="163"/>
      <c r="Q19" s="163"/>
      <c r="R19" s="163"/>
      <c r="S19" s="164"/>
      <c r="T19" s="95"/>
      <c r="U19" s="95"/>
      <c r="V19" s="165"/>
      <c r="W19" s="166"/>
      <c r="X19" s="167"/>
      <c r="Y19" s="95"/>
      <c r="Z19" s="95"/>
    </row>
    <row r="20" spans="1:26" ht="18" customHeight="1" x14ac:dyDescent="0.15">
      <c r="A20" s="13"/>
      <c r="B20" s="180"/>
      <c r="C20" s="181"/>
      <c r="D20" s="181"/>
      <c r="E20" s="181"/>
      <c r="F20" s="182"/>
      <c r="G20" s="95"/>
      <c r="H20" s="95"/>
      <c r="I20" s="165"/>
      <c r="J20" s="166"/>
      <c r="K20" s="167"/>
      <c r="L20" s="95"/>
      <c r="M20" s="95"/>
      <c r="N20" s="162"/>
      <c r="O20" s="163"/>
      <c r="P20" s="163"/>
      <c r="Q20" s="163"/>
      <c r="R20" s="163"/>
      <c r="S20" s="164"/>
      <c r="T20" s="95"/>
      <c r="U20" s="95"/>
      <c r="V20" s="165"/>
      <c r="W20" s="166"/>
      <c r="X20" s="167"/>
      <c r="Y20" s="95"/>
      <c r="Z20" s="95"/>
    </row>
    <row r="21" spans="1:26" ht="18" customHeight="1" x14ac:dyDescent="0.15">
      <c r="A21" s="19"/>
      <c r="B21" s="180"/>
      <c r="C21" s="181"/>
      <c r="D21" s="181"/>
      <c r="E21" s="181"/>
      <c r="F21" s="182"/>
      <c r="G21" s="95"/>
      <c r="H21" s="95"/>
      <c r="I21" s="165"/>
      <c r="J21" s="166"/>
      <c r="K21" s="167"/>
      <c r="L21" s="95"/>
      <c r="M21" s="95"/>
      <c r="N21" s="162"/>
      <c r="O21" s="163"/>
      <c r="P21" s="163"/>
      <c r="Q21" s="163"/>
      <c r="R21" s="163"/>
      <c r="S21" s="164"/>
      <c r="T21" s="95"/>
      <c r="U21" s="95"/>
      <c r="V21" s="165"/>
      <c r="W21" s="166"/>
      <c r="X21" s="167"/>
      <c r="Y21" s="95"/>
      <c r="Z21" s="95"/>
    </row>
    <row r="22" spans="1:26" ht="18" customHeight="1" x14ac:dyDescent="0.15">
      <c r="A22" s="19"/>
      <c r="B22" s="183"/>
      <c r="C22" s="184"/>
      <c r="D22" s="184"/>
      <c r="E22" s="184"/>
      <c r="F22" s="185"/>
      <c r="G22" s="96"/>
      <c r="H22" s="96"/>
      <c r="I22" s="174"/>
      <c r="J22" s="175"/>
      <c r="K22" s="176"/>
      <c r="L22" s="100"/>
      <c r="M22" s="100"/>
      <c r="N22" s="171"/>
      <c r="O22" s="172"/>
      <c r="P22" s="172"/>
      <c r="Q22" s="172"/>
      <c r="R22" s="172"/>
      <c r="S22" s="173"/>
      <c r="T22" s="96"/>
      <c r="U22" s="96"/>
      <c r="V22" s="174"/>
      <c r="W22" s="175"/>
      <c r="X22" s="176"/>
      <c r="Y22" s="100"/>
      <c r="Z22" s="100"/>
    </row>
    <row r="23" spans="1:26" ht="7.5" customHeight="1" x14ac:dyDescent="0.15">
      <c r="A23" s="19"/>
      <c r="B23" s="25"/>
      <c r="C23" s="25"/>
      <c r="D23" s="19"/>
      <c r="E23" s="19"/>
      <c r="F23" s="19"/>
      <c r="G23" s="19"/>
      <c r="H23" s="19"/>
      <c r="I23" s="19"/>
      <c r="J23" s="19"/>
      <c r="K23" s="19"/>
      <c r="L23" s="25"/>
      <c r="M23" s="25"/>
      <c r="N23" s="25"/>
      <c r="O23" s="25"/>
      <c r="P23" s="25"/>
      <c r="Q23" s="25"/>
      <c r="R23" s="25"/>
      <c r="S23" s="25"/>
      <c r="T23" s="25"/>
      <c r="U23" s="25"/>
      <c r="V23" s="25"/>
      <c r="W23" s="25"/>
      <c r="X23" s="25"/>
      <c r="Y23" s="25"/>
      <c r="Z23" s="19"/>
    </row>
    <row r="24" spans="1:26" ht="18" customHeight="1" x14ac:dyDescent="0.15">
      <c r="A24" s="226" t="s">
        <v>81</v>
      </c>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row>
    <row r="25" spans="1:26" ht="18" customHeight="1" x14ac:dyDescent="0.15">
      <c r="A25" s="226"/>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ht="18" customHeight="1" x14ac:dyDescent="0.15">
      <c r="A26" s="13"/>
      <c r="B26" s="177" t="s">
        <v>72</v>
      </c>
      <c r="C26" s="178"/>
      <c r="D26" s="178"/>
      <c r="E26" s="178"/>
      <c r="F26" s="179"/>
      <c r="G26" s="20" t="s">
        <v>73</v>
      </c>
      <c r="H26" s="93" t="s">
        <v>74</v>
      </c>
      <c r="I26" s="178" t="s">
        <v>75</v>
      </c>
      <c r="J26" s="178"/>
      <c r="K26" s="178"/>
      <c r="L26" s="60" t="s">
        <v>82</v>
      </c>
      <c r="M26" s="60" t="s">
        <v>83</v>
      </c>
      <c r="N26" s="177" t="s">
        <v>72</v>
      </c>
      <c r="O26" s="178"/>
      <c r="P26" s="178"/>
      <c r="Q26" s="178"/>
      <c r="R26" s="178"/>
      <c r="S26" s="179"/>
      <c r="T26" s="20" t="s">
        <v>73</v>
      </c>
      <c r="U26" s="93" t="s">
        <v>74</v>
      </c>
      <c r="V26" s="178" t="s">
        <v>75</v>
      </c>
      <c r="W26" s="178"/>
      <c r="X26" s="178"/>
      <c r="Y26" s="60" t="s">
        <v>82</v>
      </c>
      <c r="Z26" s="60" t="s">
        <v>83</v>
      </c>
    </row>
    <row r="27" spans="1:26" ht="18" customHeight="1" x14ac:dyDescent="0.15">
      <c r="A27" s="13"/>
      <c r="B27" s="187" t="s">
        <v>78</v>
      </c>
      <c r="C27" s="188"/>
      <c r="D27" s="188"/>
      <c r="E27" s="188"/>
      <c r="F27" s="189"/>
      <c r="G27" s="94">
        <v>2</v>
      </c>
      <c r="H27" s="94" t="s">
        <v>80</v>
      </c>
      <c r="I27" s="223" t="s">
        <v>79</v>
      </c>
      <c r="J27" s="224"/>
      <c r="K27" s="225"/>
      <c r="L27" s="94" t="s">
        <v>80</v>
      </c>
      <c r="M27" s="94" t="s">
        <v>80</v>
      </c>
      <c r="N27" s="168"/>
      <c r="O27" s="169"/>
      <c r="P27" s="169"/>
      <c r="Q27" s="169"/>
      <c r="R27" s="169"/>
      <c r="S27" s="170"/>
      <c r="T27" s="94"/>
      <c r="U27" s="94"/>
      <c r="V27" s="223"/>
      <c r="W27" s="224"/>
      <c r="X27" s="225"/>
      <c r="Y27" s="94"/>
      <c r="Z27" s="94"/>
    </row>
    <row r="28" spans="1:26" ht="18" customHeight="1" x14ac:dyDescent="0.15">
      <c r="A28" s="13"/>
      <c r="B28" s="180"/>
      <c r="C28" s="181"/>
      <c r="D28" s="181"/>
      <c r="E28" s="181"/>
      <c r="F28" s="182"/>
      <c r="G28" s="95"/>
      <c r="H28" s="95"/>
      <c r="I28" s="165"/>
      <c r="J28" s="166"/>
      <c r="K28" s="167"/>
      <c r="L28" s="95"/>
      <c r="M28" s="95"/>
      <c r="N28" s="162"/>
      <c r="O28" s="163"/>
      <c r="P28" s="163"/>
      <c r="Q28" s="163"/>
      <c r="R28" s="163"/>
      <c r="S28" s="164"/>
      <c r="T28" s="95"/>
      <c r="U28" s="95"/>
      <c r="V28" s="165"/>
      <c r="W28" s="166"/>
      <c r="X28" s="167"/>
      <c r="Y28" s="95"/>
      <c r="Z28" s="95"/>
    </row>
    <row r="29" spans="1:26" ht="18" customHeight="1" x14ac:dyDescent="0.15">
      <c r="A29" s="13"/>
      <c r="B29" s="180"/>
      <c r="C29" s="181"/>
      <c r="D29" s="181"/>
      <c r="E29" s="181"/>
      <c r="F29" s="182"/>
      <c r="G29" s="95"/>
      <c r="H29" s="95"/>
      <c r="I29" s="165"/>
      <c r="J29" s="166"/>
      <c r="K29" s="167"/>
      <c r="L29" s="95"/>
      <c r="M29" s="95"/>
      <c r="N29" s="162"/>
      <c r="O29" s="163"/>
      <c r="P29" s="163"/>
      <c r="Q29" s="163"/>
      <c r="R29" s="163"/>
      <c r="S29" s="164"/>
      <c r="T29" s="95"/>
      <c r="U29" s="95"/>
      <c r="V29" s="165"/>
      <c r="W29" s="166"/>
      <c r="X29" s="167"/>
      <c r="Y29" s="95"/>
      <c r="Z29" s="95"/>
    </row>
    <row r="30" spans="1:26" ht="18" customHeight="1" x14ac:dyDescent="0.15">
      <c r="A30" s="13"/>
      <c r="B30" s="180"/>
      <c r="C30" s="181"/>
      <c r="D30" s="181"/>
      <c r="E30" s="181"/>
      <c r="F30" s="182"/>
      <c r="G30" s="95"/>
      <c r="H30" s="95"/>
      <c r="I30" s="165"/>
      <c r="J30" s="166"/>
      <c r="K30" s="167"/>
      <c r="L30" s="95"/>
      <c r="M30" s="95"/>
      <c r="N30" s="162"/>
      <c r="O30" s="163"/>
      <c r="P30" s="163"/>
      <c r="Q30" s="163"/>
      <c r="R30" s="163"/>
      <c r="S30" s="164"/>
      <c r="T30" s="95"/>
      <c r="U30" s="95"/>
      <c r="V30" s="165"/>
      <c r="W30" s="166"/>
      <c r="X30" s="167"/>
      <c r="Y30" s="95"/>
      <c r="Z30" s="95"/>
    </row>
    <row r="31" spans="1:26" ht="18" customHeight="1" x14ac:dyDescent="0.15">
      <c r="A31" s="13"/>
      <c r="B31" s="180"/>
      <c r="C31" s="181"/>
      <c r="D31" s="181"/>
      <c r="E31" s="181"/>
      <c r="F31" s="182"/>
      <c r="G31" s="95"/>
      <c r="H31" s="95"/>
      <c r="I31" s="165"/>
      <c r="J31" s="166"/>
      <c r="K31" s="167"/>
      <c r="L31" s="95"/>
      <c r="M31" s="95"/>
      <c r="N31" s="162"/>
      <c r="O31" s="163"/>
      <c r="P31" s="163"/>
      <c r="Q31" s="163"/>
      <c r="R31" s="163"/>
      <c r="S31" s="164"/>
      <c r="T31" s="95"/>
      <c r="U31" s="95"/>
      <c r="V31" s="165"/>
      <c r="W31" s="166"/>
      <c r="X31" s="167"/>
      <c r="Y31" s="95"/>
      <c r="Z31" s="95"/>
    </row>
    <row r="32" spans="1:26" ht="18" customHeight="1" x14ac:dyDescent="0.15">
      <c r="A32" s="13"/>
      <c r="B32" s="180"/>
      <c r="C32" s="181"/>
      <c r="D32" s="181"/>
      <c r="E32" s="181"/>
      <c r="F32" s="182"/>
      <c r="G32" s="95"/>
      <c r="H32" s="95"/>
      <c r="I32" s="165"/>
      <c r="J32" s="166"/>
      <c r="K32" s="167"/>
      <c r="L32" s="95"/>
      <c r="M32" s="95"/>
      <c r="N32" s="162"/>
      <c r="O32" s="163"/>
      <c r="P32" s="163"/>
      <c r="Q32" s="163"/>
      <c r="R32" s="163"/>
      <c r="S32" s="164"/>
      <c r="T32" s="95"/>
      <c r="U32" s="95"/>
      <c r="V32" s="165"/>
      <c r="W32" s="166"/>
      <c r="X32" s="167"/>
      <c r="Y32" s="95"/>
      <c r="Z32" s="95"/>
    </row>
    <row r="33" spans="1:26" ht="18" customHeight="1" x14ac:dyDescent="0.15">
      <c r="A33" s="13"/>
      <c r="B33" s="183"/>
      <c r="C33" s="184"/>
      <c r="D33" s="184"/>
      <c r="E33" s="184"/>
      <c r="F33" s="185"/>
      <c r="G33" s="96"/>
      <c r="H33" s="96"/>
      <c r="I33" s="174"/>
      <c r="J33" s="175"/>
      <c r="K33" s="176"/>
      <c r="L33" s="100"/>
      <c r="M33" s="100"/>
      <c r="N33" s="171"/>
      <c r="O33" s="172"/>
      <c r="P33" s="172"/>
      <c r="Q33" s="172"/>
      <c r="R33" s="172"/>
      <c r="S33" s="173"/>
      <c r="T33" s="96"/>
      <c r="U33" s="96"/>
      <c r="V33" s="174"/>
      <c r="W33" s="175"/>
      <c r="X33" s="176"/>
      <c r="Y33" s="100"/>
      <c r="Z33" s="100"/>
    </row>
    <row r="34" spans="1:26" ht="7.5" customHeight="1" x14ac:dyDescent="0.15">
      <c r="A34" s="19"/>
      <c r="B34" s="25"/>
      <c r="C34" s="25"/>
      <c r="D34" s="19"/>
      <c r="E34" s="19"/>
      <c r="F34" s="19"/>
      <c r="G34" s="19"/>
      <c r="H34" s="19"/>
      <c r="I34" s="19"/>
      <c r="J34" s="19"/>
      <c r="K34" s="19"/>
      <c r="L34" s="25"/>
      <c r="M34" s="25"/>
      <c r="N34" s="25"/>
      <c r="O34" s="25"/>
      <c r="P34" s="25"/>
      <c r="Q34" s="25"/>
      <c r="R34" s="25"/>
      <c r="S34" s="25"/>
      <c r="T34" s="25"/>
      <c r="U34" s="25"/>
      <c r="V34" s="25"/>
      <c r="W34" s="25"/>
      <c r="X34" s="25"/>
      <c r="Y34" s="25"/>
      <c r="Z34" s="19"/>
    </row>
    <row r="35" spans="1:26" ht="18" customHeight="1" x14ac:dyDescent="0.15">
      <c r="A35" s="226" t="s">
        <v>84</v>
      </c>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row>
    <row r="36" spans="1:26" ht="18" customHeight="1" x14ac:dyDescent="0.15">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row>
    <row r="37" spans="1:26" ht="18" customHeight="1" x14ac:dyDescent="0.15">
      <c r="A37" s="13"/>
      <c r="B37" s="177" t="s">
        <v>72</v>
      </c>
      <c r="C37" s="178"/>
      <c r="D37" s="178"/>
      <c r="E37" s="178"/>
      <c r="F37" s="179"/>
      <c r="G37" s="20" t="s">
        <v>73</v>
      </c>
      <c r="H37" s="93" t="s">
        <v>74</v>
      </c>
      <c r="I37" s="177" t="s">
        <v>75</v>
      </c>
      <c r="J37" s="178"/>
      <c r="K37" s="179"/>
      <c r="L37" s="60" t="s">
        <v>85</v>
      </c>
      <c r="M37" s="60" t="s">
        <v>86</v>
      </c>
      <c r="N37" s="177" t="s">
        <v>72</v>
      </c>
      <c r="O37" s="178"/>
      <c r="P37" s="178"/>
      <c r="Q37" s="178"/>
      <c r="R37" s="178"/>
      <c r="S37" s="179"/>
      <c r="T37" s="20" t="s">
        <v>73</v>
      </c>
      <c r="U37" s="93" t="s">
        <v>74</v>
      </c>
      <c r="V37" s="177" t="s">
        <v>75</v>
      </c>
      <c r="W37" s="178"/>
      <c r="X37" s="179"/>
      <c r="Y37" s="60" t="s">
        <v>85</v>
      </c>
      <c r="Z37" s="60" t="s">
        <v>86</v>
      </c>
    </row>
    <row r="38" spans="1:26" ht="18" customHeight="1" x14ac:dyDescent="0.15">
      <c r="A38" s="19"/>
      <c r="B38" s="187" t="s">
        <v>78</v>
      </c>
      <c r="C38" s="188"/>
      <c r="D38" s="188"/>
      <c r="E38" s="188"/>
      <c r="F38" s="189"/>
      <c r="G38" s="94">
        <v>2</v>
      </c>
      <c r="H38" s="94" t="s">
        <v>80</v>
      </c>
      <c r="I38" s="223" t="s">
        <v>79</v>
      </c>
      <c r="J38" s="224"/>
      <c r="K38" s="225"/>
      <c r="L38" s="94" t="s">
        <v>80</v>
      </c>
      <c r="M38" s="94" t="s">
        <v>80</v>
      </c>
      <c r="N38" s="168"/>
      <c r="O38" s="169"/>
      <c r="P38" s="169"/>
      <c r="Q38" s="169"/>
      <c r="R38" s="169"/>
      <c r="S38" s="170"/>
      <c r="T38" s="94"/>
      <c r="U38" s="94"/>
      <c r="V38" s="223"/>
      <c r="W38" s="224"/>
      <c r="X38" s="225"/>
      <c r="Y38" s="94"/>
      <c r="Z38" s="94"/>
    </row>
    <row r="39" spans="1:26" ht="18" customHeight="1" x14ac:dyDescent="0.15">
      <c r="A39" s="19"/>
      <c r="B39" s="180"/>
      <c r="C39" s="181"/>
      <c r="D39" s="181"/>
      <c r="E39" s="181"/>
      <c r="F39" s="182"/>
      <c r="G39" s="95"/>
      <c r="H39" s="95"/>
      <c r="I39" s="165"/>
      <c r="J39" s="166"/>
      <c r="K39" s="167"/>
      <c r="L39" s="95"/>
      <c r="M39" s="95"/>
      <c r="N39" s="162"/>
      <c r="O39" s="163"/>
      <c r="P39" s="163"/>
      <c r="Q39" s="163"/>
      <c r="R39" s="163"/>
      <c r="S39" s="164"/>
      <c r="T39" s="95"/>
      <c r="U39" s="95"/>
      <c r="V39" s="165"/>
      <c r="W39" s="166"/>
      <c r="X39" s="167"/>
      <c r="Y39" s="95"/>
      <c r="Z39" s="95"/>
    </row>
    <row r="40" spans="1:26" ht="18" customHeight="1" x14ac:dyDescent="0.15">
      <c r="A40" s="19"/>
      <c r="B40" s="180"/>
      <c r="C40" s="181"/>
      <c r="D40" s="181"/>
      <c r="E40" s="181"/>
      <c r="F40" s="182"/>
      <c r="G40" s="95"/>
      <c r="H40" s="95"/>
      <c r="I40" s="165"/>
      <c r="J40" s="166"/>
      <c r="K40" s="167"/>
      <c r="L40" s="95"/>
      <c r="M40" s="95"/>
      <c r="N40" s="162"/>
      <c r="O40" s="163"/>
      <c r="P40" s="163"/>
      <c r="Q40" s="163"/>
      <c r="R40" s="163"/>
      <c r="S40" s="164"/>
      <c r="T40" s="95"/>
      <c r="U40" s="95"/>
      <c r="V40" s="165"/>
      <c r="W40" s="166"/>
      <c r="X40" s="167"/>
      <c r="Y40" s="95"/>
      <c r="Z40" s="95"/>
    </row>
    <row r="41" spans="1:26" ht="18" customHeight="1" x14ac:dyDescent="0.15">
      <c r="A41" s="19"/>
      <c r="B41" s="180"/>
      <c r="C41" s="181"/>
      <c r="D41" s="181"/>
      <c r="E41" s="181"/>
      <c r="F41" s="182"/>
      <c r="G41" s="95"/>
      <c r="H41" s="95"/>
      <c r="I41" s="165"/>
      <c r="J41" s="166"/>
      <c r="K41" s="167"/>
      <c r="L41" s="95"/>
      <c r="M41" s="95"/>
      <c r="N41" s="162"/>
      <c r="O41" s="163"/>
      <c r="P41" s="163"/>
      <c r="Q41" s="163"/>
      <c r="R41" s="163"/>
      <c r="S41" s="164"/>
      <c r="T41" s="95"/>
      <c r="U41" s="95"/>
      <c r="V41" s="165"/>
      <c r="W41" s="166"/>
      <c r="X41" s="167"/>
      <c r="Y41" s="95"/>
      <c r="Z41" s="95"/>
    </row>
    <row r="42" spans="1:26" ht="18" customHeight="1" x14ac:dyDescent="0.15">
      <c r="A42" s="19"/>
      <c r="B42" s="180"/>
      <c r="C42" s="181"/>
      <c r="D42" s="181"/>
      <c r="E42" s="181"/>
      <c r="F42" s="182"/>
      <c r="G42" s="95"/>
      <c r="H42" s="95"/>
      <c r="I42" s="165"/>
      <c r="J42" s="166"/>
      <c r="K42" s="167"/>
      <c r="L42" s="95"/>
      <c r="M42" s="95"/>
      <c r="N42" s="162"/>
      <c r="O42" s="163"/>
      <c r="P42" s="163"/>
      <c r="Q42" s="163"/>
      <c r="R42" s="163"/>
      <c r="S42" s="164"/>
      <c r="T42" s="95"/>
      <c r="U42" s="95"/>
      <c r="V42" s="165"/>
      <c r="W42" s="166"/>
      <c r="X42" s="167"/>
      <c r="Y42" s="95"/>
      <c r="Z42" s="95"/>
    </row>
    <row r="43" spans="1:26" ht="18" customHeight="1" x14ac:dyDescent="0.15">
      <c r="A43" s="19"/>
      <c r="B43" s="180"/>
      <c r="C43" s="181"/>
      <c r="D43" s="181"/>
      <c r="E43" s="181"/>
      <c r="F43" s="182"/>
      <c r="G43" s="95"/>
      <c r="H43" s="95"/>
      <c r="I43" s="165"/>
      <c r="J43" s="166"/>
      <c r="K43" s="167"/>
      <c r="L43" s="95"/>
      <c r="M43" s="95"/>
      <c r="N43" s="162"/>
      <c r="O43" s="163"/>
      <c r="P43" s="163"/>
      <c r="Q43" s="163"/>
      <c r="R43" s="163"/>
      <c r="S43" s="164"/>
      <c r="T43" s="95"/>
      <c r="U43" s="95"/>
      <c r="V43" s="165"/>
      <c r="W43" s="166"/>
      <c r="X43" s="167"/>
      <c r="Y43" s="95"/>
      <c r="Z43" s="95"/>
    </row>
    <row r="44" spans="1:26" ht="18" customHeight="1" x14ac:dyDescent="0.15">
      <c r="A44" s="19"/>
      <c r="B44" s="183"/>
      <c r="C44" s="184"/>
      <c r="D44" s="184"/>
      <c r="E44" s="184"/>
      <c r="F44" s="185"/>
      <c r="G44" s="96"/>
      <c r="H44" s="96"/>
      <c r="I44" s="174"/>
      <c r="J44" s="175"/>
      <c r="K44" s="176"/>
      <c r="L44" s="100"/>
      <c r="M44" s="100"/>
      <c r="N44" s="171"/>
      <c r="O44" s="172"/>
      <c r="P44" s="172"/>
      <c r="Q44" s="172"/>
      <c r="R44" s="172"/>
      <c r="S44" s="173"/>
      <c r="T44" s="96"/>
      <c r="U44" s="96"/>
      <c r="V44" s="174"/>
      <c r="W44" s="175"/>
      <c r="X44" s="176"/>
      <c r="Y44" s="100"/>
      <c r="Z44" s="100"/>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26" t="s">
        <v>87</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ht="18" customHeight="1" x14ac:dyDescent="0.15">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ht="18" customHeight="1" x14ac:dyDescent="0.15">
      <c r="A48" s="13"/>
      <c r="B48" s="177" t="s">
        <v>72</v>
      </c>
      <c r="C48" s="178"/>
      <c r="D48" s="178"/>
      <c r="E48" s="178"/>
      <c r="F48" s="179"/>
      <c r="G48" s="20" t="s">
        <v>73</v>
      </c>
      <c r="H48" s="93" t="s">
        <v>74</v>
      </c>
      <c r="I48" s="177" t="s">
        <v>75</v>
      </c>
      <c r="J48" s="178"/>
      <c r="K48" s="179"/>
      <c r="L48" s="60" t="s">
        <v>88</v>
      </c>
      <c r="M48" s="60" t="s">
        <v>89</v>
      </c>
      <c r="N48" s="177" t="s">
        <v>72</v>
      </c>
      <c r="O48" s="178"/>
      <c r="P48" s="178"/>
      <c r="Q48" s="178"/>
      <c r="R48" s="178"/>
      <c r="S48" s="179"/>
      <c r="T48" s="20" t="s">
        <v>73</v>
      </c>
      <c r="U48" s="93" t="s">
        <v>74</v>
      </c>
      <c r="V48" s="177" t="s">
        <v>75</v>
      </c>
      <c r="W48" s="178"/>
      <c r="X48" s="179"/>
      <c r="Y48" s="60" t="s">
        <v>88</v>
      </c>
      <c r="Z48" s="60" t="s">
        <v>89</v>
      </c>
    </row>
    <row r="49" spans="1:26" ht="18" customHeight="1" x14ac:dyDescent="0.15">
      <c r="A49" s="19"/>
      <c r="B49" s="187" t="s">
        <v>78</v>
      </c>
      <c r="C49" s="188"/>
      <c r="D49" s="188"/>
      <c r="E49" s="188"/>
      <c r="F49" s="189"/>
      <c r="G49" s="94">
        <v>2</v>
      </c>
      <c r="H49" s="94" t="s">
        <v>80</v>
      </c>
      <c r="I49" s="223" t="s">
        <v>79</v>
      </c>
      <c r="J49" s="224"/>
      <c r="K49" s="225"/>
      <c r="L49" s="94" t="s">
        <v>80</v>
      </c>
      <c r="M49" s="94" t="s">
        <v>80</v>
      </c>
      <c r="N49" s="168"/>
      <c r="O49" s="169"/>
      <c r="P49" s="169"/>
      <c r="Q49" s="169"/>
      <c r="R49" s="169"/>
      <c r="S49" s="170"/>
      <c r="T49" s="94"/>
      <c r="U49" s="94"/>
      <c r="V49" s="223"/>
      <c r="W49" s="224"/>
      <c r="X49" s="225"/>
      <c r="Y49" s="94"/>
      <c r="Z49" s="94"/>
    </row>
    <row r="50" spans="1:26" ht="18" customHeight="1" x14ac:dyDescent="0.15">
      <c r="A50" s="19"/>
      <c r="B50" s="180"/>
      <c r="C50" s="181"/>
      <c r="D50" s="181"/>
      <c r="E50" s="181"/>
      <c r="F50" s="182"/>
      <c r="G50" s="95"/>
      <c r="H50" s="95"/>
      <c r="I50" s="165"/>
      <c r="J50" s="166"/>
      <c r="K50" s="167"/>
      <c r="L50" s="95"/>
      <c r="M50" s="95"/>
      <c r="N50" s="162"/>
      <c r="O50" s="163"/>
      <c r="P50" s="163"/>
      <c r="Q50" s="163"/>
      <c r="R50" s="163"/>
      <c r="S50" s="164"/>
      <c r="T50" s="95"/>
      <c r="U50" s="95"/>
      <c r="V50" s="165"/>
      <c r="W50" s="166"/>
      <c r="X50" s="167"/>
      <c r="Y50" s="95"/>
      <c r="Z50" s="95"/>
    </row>
    <row r="51" spans="1:26" ht="18" customHeight="1" x14ac:dyDescent="0.15">
      <c r="A51" s="19"/>
      <c r="B51" s="180"/>
      <c r="C51" s="181"/>
      <c r="D51" s="181"/>
      <c r="E51" s="181"/>
      <c r="F51" s="182"/>
      <c r="G51" s="95"/>
      <c r="H51" s="95"/>
      <c r="I51" s="165"/>
      <c r="J51" s="166"/>
      <c r="K51" s="167"/>
      <c r="L51" s="95"/>
      <c r="M51" s="95"/>
      <c r="N51" s="162"/>
      <c r="O51" s="163"/>
      <c r="P51" s="163"/>
      <c r="Q51" s="163"/>
      <c r="R51" s="163"/>
      <c r="S51" s="164"/>
      <c r="T51" s="95"/>
      <c r="U51" s="95"/>
      <c r="V51" s="165"/>
      <c r="W51" s="166"/>
      <c r="X51" s="167"/>
      <c r="Y51" s="95"/>
      <c r="Z51" s="95"/>
    </row>
    <row r="52" spans="1:26" ht="18" customHeight="1" x14ac:dyDescent="0.15">
      <c r="A52" s="19"/>
      <c r="B52" s="180"/>
      <c r="C52" s="181"/>
      <c r="D52" s="181"/>
      <c r="E52" s="181"/>
      <c r="F52" s="182"/>
      <c r="G52" s="95"/>
      <c r="H52" s="95"/>
      <c r="I52" s="165"/>
      <c r="J52" s="166"/>
      <c r="K52" s="167"/>
      <c r="L52" s="95"/>
      <c r="M52" s="95"/>
      <c r="N52" s="162"/>
      <c r="O52" s="163"/>
      <c r="P52" s="163"/>
      <c r="Q52" s="163"/>
      <c r="R52" s="163"/>
      <c r="S52" s="164"/>
      <c r="T52" s="95"/>
      <c r="U52" s="95"/>
      <c r="V52" s="165"/>
      <c r="W52" s="166"/>
      <c r="X52" s="167"/>
      <c r="Y52" s="95"/>
      <c r="Z52" s="95"/>
    </row>
    <row r="53" spans="1:26" ht="18" customHeight="1" x14ac:dyDescent="0.15">
      <c r="A53" s="19"/>
      <c r="B53" s="180"/>
      <c r="C53" s="181"/>
      <c r="D53" s="181"/>
      <c r="E53" s="181"/>
      <c r="F53" s="182"/>
      <c r="G53" s="95"/>
      <c r="H53" s="95"/>
      <c r="I53" s="165"/>
      <c r="J53" s="166"/>
      <c r="K53" s="167"/>
      <c r="L53" s="95"/>
      <c r="M53" s="95"/>
      <c r="N53" s="162"/>
      <c r="O53" s="163"/>
      <c r="P53" s="163"/>
      <c r="Q53" s="163"/>
      <c r="R53" s="163"/>
      <c r="S53" s="164"/>
      <c r="T53" s="95"/>
      <c r="U53" s="95"/>
      <c r="V53" s="165"/>
      <c r="W53" s="166"/>
      <c r="X53" s="167"/>
      <c r="Y53" s="95"/>
      <c r="Z53" s="95"/>
    </row>
    <row r="54" spans="1:26" ht="18" customHeight="1" x14ac:dyDescent="0.15">
      <c r="A54" s="19"/>
      <c r="B54" s="180"/>
      <c r="C54" s="181"/>
      <c r="D54" s="181"/>
      <c r="E54" s="181"/>
      <c r="F54" s="182"/>
      <c r="G54" s="95"/>
      <c r="H54" s="95"/>
      <c r="I54" s="165"/>
      <c r="J54" s="166"/>
      <c r="K54" s="167"/>
      <c r="L54" s="95"/>
      <c r="M54" s="95"/>
      <c r="N54" s="162"/>
      <c r="O54" s="163"/>
      <c r="P54" s="163"/>
      <c r="Q54" s="163"/>
      <c r="R54" s="163"/>
      <c r="S54" s="164"/>
      <c r="T54" s="95"/>
      <c r="U54" s="95"/>
      <c r="V54" s="165"/>
      <c r="W54" s="166"/>
      <c r="X54" s="167"/>
      <c r="Y54" s="95"/>
      <c r="Z54" s="95"/>
    </row>
    <row r="55" spans="1:26" ht="18" customHeight="1" x14ac:dyDescent="0.15">
      <c r="A55" s="19"/>
      <c r="B55" s="183"/>
      <c r="C55" s="184"/>
      <c r="D55" s="184"/>
      <c r="E55" s="184"/>
      <c r="F55" s="185"/>
      <c r="G55" s="96"/>
      <c r="H55" s="96"/>
      <c r="I55" s="174"/>
      <c r="J55" s="175"/>
      <c r="K55" s="176"/>
      <c r="L55" s="100"/>
      <c r="M55" s="100"/>
      <c r="N55" s="171"/>
      <c r="O55" s="172"/>
      <c r="P55" s="172"/>
      <c r="Q55" s="172"/>
      <c r="R55" s="172"/>
      <c r="S55" s="173"/>
      <c r="T55" s="96"/>
      <c r="U55" s="96"/>
      <c r="V55" s="174"/>
      <c r="W55" s="175"/>
      <c r="X55" s="176"/>
      <c r="Y55" s="100"/>
      <c r="Z55" s="100"/>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26" t="s">
        <v>90</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row>
    <row r="58" spans="1:26" ht="18" customHeight="1" x14ac:dyDescent="0.15">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row>
    <row r="59" spans="1:26" ht="18" customHeight="1" x14ac:dyDescent="0.15">
      <c r="A59" s="13"/>
      <c r="B59" s="177" t="s">
        <v>72</v>
      </c>
      <c r="C59" s="178"/>
      <c r="D59" s="178"/>
      <c r="E59" s="179"/>
      <c r="F59" s="20" t="s">
        <v>73</v>
      </c>
      <c r="G59" s="93" t="s">
        <v>74</v>
      </c>
      <c r="H59" s="16" t="s">
        <v>75</v>
      </c>
      <c r="I59" s="90"/>
      <c r="J59" s="17"/>
      <c r="K59" s="60" t="s">
        <v>91</v>
      </c>
      <c r="L59" s="60" t="s">
        <v>92</v>
      </c>
      <c r="M59" s="60" t="s">
        <v>93</v>
      </c>
      <c r="N59" s="177" t="s">
        <v>72</v>
      </c>
      <c r="O59" s="178"/>
      <c r="P59" s="178"/>
      <c r="Q59" s="178"/>
      <c r="R59" s="179"/>
      <c r="S59" s="20" t="s">
        <v>73</v>
      </c>
      <c r="T59" s="93" t="s">
        <v>74</v>
      </c>
      <c r="U59" s="16" t="s">
        <v>75</v>
      </c>
      <c r="V59" s="90"/>
      <c r="W59" s="17"/>
      <c r="X59" s="60" t="s">
        <v>91</v>
      </c>
      <c r="Y59" s="60" t="s">
        <v>92</v>
      </c>
      <c r="Z59" s="60" t="s">
        <v>93</v>
      </c>
    </row>
    <row r="60" spans="1:26" ht="18" customHeight="1" x14ac:dyDescent="0.15">
      <c r="A60" s="19"/>
      <c r="B60" s="162" t="s">
        <v>78</v>
      </c>
      <c r="C60" s="163"/>
      <c r="D60" s="163"/>
      <c r="E60" s="164"/>
      <c r="F60" s="95">
        <v>2</v>
      </c>
      <c r="G60" s="94" t="s">
        <v>80</v>
      </c>
      <c r="H60" s="165" t="s">
        <v>79</v>
      </c>
      <c r="I60" s="166"/>
      <c r="J60" s="167"/>
      <c r="K60" s="95" t="s">
        <v>80</v>
      </c>
      <c r="L60" s="95" t="s">
        <v>80</v>
      </c>
      <c r="M60" s="95" t="s">
        <v>80</v>
      </c>
      <c r="N60" s="168"/>
      <c r="O60" s="169"/>
      <c r="P60" s="169"/>
      <c r="Q60" s="169"/>
      <c r="R60" s="170"/>
      <c r="S60" s="94"/>
      <c r="T60" s="94"/>
      <c r="U60" s="223"/>
      <c r="V60" s="224"/>
      <c r="W60" s="225"/>
      <c r="X60" s="99"/>
      <c r="Y60" s="94"/>
      <c r="Z60" s="94"/>
    </row>
    <row r="61" spans="1:26" ht="18" customHeight="1" x14ac:dyDescent="0.15">
      <c r="A61" s="19"/>
      <c r="B61" s="162"/>
      <c r="C61" s="163"/>
      <c r="D61" s="163"/>
      <c r="E61" s="164"/>
      <c r="F61" s="95"/>
      <c r="G61" s="95"/>
      <c r="H61" s="165"/>
      <c r="I61" s="166"/>
      <c r="J61" s="167"/>
      <c r="K61" s="97"/>
      <c r="L61" s="95"/>
      <c r="M61" s="95"/>
      <c r="N61" s="162"/>
      <c r="O61" s="163"/>
      <c r="P61" s="163"/>
      <c r="Q61" s="163"/>
      <c r="R61" s="164"/>
      <c r="S61" s="95"/>
      <c r="T61" s="95"/>
      <c r="U61" s="165"/>
      <c r="V61" s="166"/>
      <c r="W61" s="167"/>
      <c r="X61" s="97"/>
      <c r="Y61" s="95"/>
      <c r="Z61" s="95"/>
    </row>
    <row r="62" spans="1:26" ht="18" customHeight="1" x14ac:dyDescent="0.15">
      <c r="A62" s="19"/>
      <c r="B62" s="162"/>
      <c r="C62" s="163"/>
      <c r="D62" s="163"/>
      <c r="E62" s="164"/>
      <c r="F62" s="95"/>
      <c r="G62" s="95"/>
      <c r="H62" s="165"/>
      <c r="I62" s="166"/>
      <c r="J62" s="167"/>
      <c r="K62" s="97"/>
      <c r="L62" s="95"/>
      <c r="M62" s="95"/>
      <c r="N62" s="162"/>
      <c r="O62" s="163"/>
      <c r="P62" s="163"/>
      <c r="Q62" s="163"/>
      <c r="R62" s="164"/>
      <c r="S62" s="95"/>
      <c r="T62" s="95"/>
      <c r="U62" s="165"/>
      <c r="V62" s="166"/>
      <c r="W62" s="167"/>
      <c r="X62" s="97"/>
      <c r="Y62" s="95"/>
      <c r="Z62" s="95"/>
    </row>
    <row r="63" spans="1:26" ht="18" customHeight="1" x14ac:dyDescent="0.15">
      <c r="A63" s="19"/>
      <c r="B63" s="162"/>
      <c r="C63" s="163"/>
      <c r="D63" s="163"/>
      <c r="E63" s="164"/>
      <c r="F63" s="95"/>
      <c r="G63" s="95"/>
      <c r="H63" s="165"/>
      <c r="I63" s="166"/>
      <c r="J63" s="167"/>
      <c r="K63" s="97"/>
      <c r="L63" s="95"/>
      <c r="M63" s="95"/>
      <c r="N63" s="162"/>
      <c r="O63" s="163"/>
      <c r="P63" s="163"/>
      <c r="Q63" s="163"/>
      <c r="R63" s="164"/>
      <c r="S63" s="95"/>
      <c r="T63" s="95"/>
      <c r="U63" s="165"/>
      <c r="V63" s="166"/>
      <c r="W63" s="167"/>
      <c r="X63" s="97"/>
      <c r="Y63" s="95"/>
      <c r="Z63" s="95"/>
    </row>
    <row r="64" spans="1:26" ht="18" customHeight="1" x14ac:dyDescent="0.15">
      <c r="A64" s="19"/>
      <c r="B64" s="162"/>
      <c r="C64" s="163"/>
      <c r="D64" s="163"/>
      <c r="E64" s="164"/>
      <c r="F64" s="95"/>
      <c r="G64" s="95"/>
      <c r="H64" s="165"/>
      <c r="I64" s="166"/>
      <c r="J64" s="167"/>
      <c r="K64" s="97"/>
      <c r="L64" s="95"/>
      <c r="M64" s="95"/>
      <c r="N64" s="162"/>
      <c r="O64" s="163"/>
      <c r="P64" s="163"/>
      <c r="Q64" s="163"/>
      <c r="R64" s="164"/>
      <c r="S64" s="95"/>
      <c r="T64" s="95"/>
      <c r="U64" s="165"/>
      <c r="V64" s="166"/>
      <c r="W64" s="167"/>
      <c r="X64" s="97"/>
      <c r="Y64" s="95"/>
      <c r="Z64" s="95"/>
    </row>
    <row r="65" spans="1:26" ht="18" customHeight="1" x14ac:dyDescent="0.15">
      <c r="A65" s="19"/>
      <c r="B65" s="162"/>
      <c r="C65" s="163"/>
      <c r="D65" s="163"/>
      <c r="E65" s="164"/>
      <c r="F65" s="95"/>
      <c r="G65" s="95"/>
      <c r="H65" s="165"/>
      <c r="I65" s="166"/>
      <c r="J65" s="167"/>
      <c r="K65" s="97"/>
      <c r="L65" s="95"/>
      <c r="M65" s="95"/>
      <c r="N65" s="162"/>
      <c r="O65" s="163"/>
      <c r="P65" s="163"/>
      <c r="Q65" s="163"/>
      <c r="R65" s="164"/>
      <c r="S65" s="95"/>
      <c r="T65" s="95"/>
      <c r="U65" s="165"/>
      <c r="V65" s="166"/>
      <c r="W65" s="167"/>
      <c r="X65" s="97"/>
      <c r="Y65" s="95"/>
      <c r="Z65" s="95"/>
    </row>
    <row r="66" spans="1:26" ht="18" customHeight="1" x14ac:dyDescent="0.15">
      <c r="A66" s="19"/>
      <c r="B66" s="171"/>
      <c r="C66" s="172"/>
      <c r="D66" s="172"/>
      <c r="E66" s="173"/>
      <c r="F66" s="96"/>
      <c r="G66" s="96"/>
      <c r="H66" s="174"/>
      <c r="I66" s="175"/>
      <c r="J66" s="176"/>
      <c r="K66" s="98"/>
      <c r="L66" s="100"/>
      <c r="M66" s="100"/>
      <c r="N66" s="171"/>
      <c r="O66" s="172"/>
      <c r="P66" s="172"/>
      <c r="Q66" s="172"/>
      <c r="R66" s="173"/>
      <c r="S66" s="96"/>
      <c r="T66" s="96"/>
      <c r="U66" s="174"/>
      <c r="V66" s="175"/>
      <c r="W66" s="176"/>
      <c r="X66" s="98"/>
      <c r="Y66" s="100"/>
      <c r="Z66" s="100"/>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3" t="s">
        <v>94</v>
      </c>
      <c r="B68" s="13"/>
      <c r="C68" s="13"/>
      <c r="D68" s="13"/>
      <c r="E68" s="13"/>
      <c r="F68" s="13"/>
      <c r="G68" s="13"/>
      <c r="H68" s="13"/>
      <c r="I68" s="13"/>
      <c r="J68" s="13"/>
      <c r="K68" s="13"/>
      <c r="L68" s="19"/>
      <c r="M68" s="19"/>
      <c r="N68" s="19"/>
      <c r="O68" s="19"/>
      <c r="P68" s="19"/>
      <c r="Q68" s="19"/>
      <c r="R68" s="19"/>
      <c r="S68" s="19"/>
      <c r="T68" s="19"/>
      <c r="U68" s="19"/>
      <c r="V68" s="19"/>
      <c r="W68" s="19"/>
      <c r="X68" s="19"/>
      <c r="Y68" s="19"/>
      <c r="Z68" s="19"/>
    </row>
    <row r="69" spans="1:26" ht="18" customHeight="1" x14ac:dyDescent="0.15">
      <c r="A69" s="13"/>
      <c r="B69" s="177" t="s">
        <v>72</v>
      </c>
      <c r="C69" s="178"/>
      <c r="D69" s="178"/>
      <c r="E69" s="178"/>
      <c r="F69" s="179"/>
      <c r="G69" s="177" t="s">
        <v>95</v>
      </c>
      <c r="H69" s="178"/>
      <c r="I69" s="178"/>
      <c r="J69" s="178"/>
      <c r="K69" s="178"/>
      <c r="L69" s="178"/>
      <c r="M69" s="179"/>
      <c r="N69" s="190" t="s">
        <v>72</v>
      </c>
      <c r="O69" s="191"/>
      <c r="P69" s="191"/>
      <c r="Q69" s="191"/>
      <c r="R69" s="191"/>
      <c r="S69" s="192"/>
      <c r="T69" s="177" t="s">
        <v>95</v>
      </c>
      <c r="U69" s="178"/>
      <c r="V69" s="178"/>
      <c r="W69" s="178"/>
      <c r="X69" s="178"/>
      <c r="Y69" s="178"/>
      <c r="Z69" s="179"/>
    </row>
    <row r="70" spans="1:26" ht="18" customHeight="1" x14ac:dyDescent="0.15">
      <c r="A70" s="19"/>
      <c r="B70" s="168" t="s">
        <v>78</v>
      </c>
      <c r="C70" s="169"/>
      <c r="D70" s="169"/>
      <c r="E70" s="169"/>
      <c r="F70" s="170"/>
      <c r="G70" s="237" t="s">
        <v>96</v>
      </c>
      <c r="H70" s="238"/>
      <c r="I70" s="238"/>
      <c r="J70" s="238"/>
      <c r="K70" s="238"/>
      <c r="L70" s="238"/>
      <c r="M70" s="239"/>
      <c r="N70" s="168"/>
      <c r="O70" s="169"/>
      <c r="P70" s="169"/>
      <c r="Q70" s="169"/>
      <c r="R70" s="169"/>
      <c r="S70" s="170"/>
      <c r="T70" s="237"/>
      <c r="U70" s="238"/>
      <c r="V70" s="238"/>
      <c r="W70" s="238"/>
      <c r="X70" s="238"/>
      <c r="Y70" s="238"/>
      <c r="Z70" s="239"/>
    </row>
    <row r="71" spans="1:26" ht="18" customHeight="1" x14ac:dyDescent="0.15">
      <c r="A71" s="19"/>
      <c r="B71" s="162"/>
      <c r="C71" s="163"/>
      <c r="D71" s="163"/>
      <c r="E71" s="163"/>
      <c r="F71" s="164"/>
      <c r="G71" s="208"/>
      <c r="H71" s="209"/>
      <c r="I71" s="209"/>
      <c r="J71" s="209"/>
      <c r="K71" s="209"/>
      <c r="L71" s="209"/>
      <c r="M71" s="210"/>
      <c r="N71" s="162"/>
      <c r="O71" s="163"/>
      <c r="P71" s="163"/>
      <c r="Q71" s="163"/>
      <c r="R71" s="163"/>
      <c r="S71" s="164"/>
      <c r="T71" s="208"/>
      <c r="U71" s="209"/>
      <c r="V71" s="209"/>
      <c r="W71" s="209"/>
      <c r="X71" s="209"/>
      <c r="Y71" s="209"/>
      <c r="Z71" s="210"/>
    </row>
    <row r="72" spans="1:26" ht="18" customHeight="1" x14ac:dyDescent="0.15">
      <c r="A72" s="19"/>
      <c r="B72" s="162"/>
      <c r="C72" s="163"/>
      <c r="D72" s="163"/>
      <c r="E72" s="163"/>
      <c r="F72" s="164"/>
      <c r="G72" s="208"/>
      <c r="H72" s="209"/>
      <c r="I72" s="209"/>
      <c r="J72" s="209"/>
      <c r="K72" s="209"/>
      <c r="L72" s="209"/>
      <c r="M72" s="210"/>
      <c r="N72" s="162"/>
      <c r="O72" s="163"/>
      <c r="P72" s="163"/>
      <c r="Q72" s="163"/>
      <c r="R72" s="163"/>
      <c r="S72" s="164"/>
      <c r="T72" s="208"/>
      <c r="U72" s="209"/>
      <c r="V72" s="209"/>
      <c r="W72" s="209"/>
      <c r="X72" s="209"/>
      <c r="Y72" s="209"/>
      <c r="Z72" s="210"/>
    </row>
    <row r="73" spans="1:26" ht="18" customHeight="1" x14ac:dyDescent="0.15">
      <c r="A73" s="19"/>
      <c r="B73" s="162"/>
      <c r="C73" s="163"/>
      <c r="D73" s="163"/>
      <c r="E73" s="163"/>
      <c r="F73" s="164"/>
      <c r="G73" s="208"/>
      <c r="H73" s="209"/>
      <c r="I73" s="209"/>
      <c r="J73" s="209"/>
      <c r="K73" s="209"/>
      <c r="L73" s="209"/>
      <c r="M73" s="210"/>
      <c r="N73" s="162"/>
      <c r="O73" s="163"/>
      <c r="P73" s="163"/>
      <c r="Q73" s="163"/>
      <c r="R73" s="163"/>
      <c r="S73" s="164"/>
      <c r="T73" s="208"/>
      <c r="U73" s="209"/>
      <c r="V73" s="209"/>
      <c r="W73" s="209"/>
      <c r="X73" s="209"/>
      <c r="Y73" s="209"/>
      <c r="Z73" s="210"/>
    </row>
    <row r="74" spans="1:26" ht="18" customHeight="1" x14ac:dyDescent="0.15">
      <c r="A74" s="19"/>
      <c r="B74" s="162"/>
      <c r="C74" s="163"/>
      <c r="D74" s="163"/>
      <c r="E74" s="163"/>
      <c r="F74" s="164"/>
      <c r="G74" s="208"/>
      <c r="H74" s="209"/>
      <c r="I74" s="209"/>
      <c r="J74" s="209"/>
      <c r="K74" s="209"/>
      <c r="L74" s="209"/>
      <c r="M74" s="210"/>
      <c r="N74" s="162"/>
      <c r="O74" s="163"/>
      <c r="P74" s="163"/>
      <c r="Q74" s="163"/>
      <c r="R74" s="163"/>
      <c r="S74" s="164"/>
      <c r="T74" s="208"/>
      <c r="U74" s="209"/>
      <c r="V74" s="209"/>
      <c r="W74" s="209"/>
      <c r="X74" s="209"/>
      <c r="Y74" s="209"/>
      <c r="Z74" s="210"/>
    </row>
    <row r="75" spans="1:26" ht="18" customHeight="1" x14ac:dyDescent="0.15">
      <c r="A75" s="19"/>
      <c r="B75" s="162"/>
      <c r="C75" s="163"/>
      <c r="D75" s="163"/>
      <c r="E75" s="163"/>
      <c r="F75" s="164"/>
      <c r="G75" s="208"/>
      <c r="H75" s="209"/>
      <c r="I75" s="209"/>
      <c r="J75" s="209"/>
      <c r="K75" s="209"/>
      <c r="L75" s="209"/>
      <c r="M75" s="210"/>
      <c r="N75" s="162"/>
      <c r="O75" s="163"/>
      <c r="P75" s="163"/>
      <c r="Q75" s="163"/>
      <c r="R75" s="163"/>
      <c r="S75" s="164"/>
      <c r="T75" s="208"/>
      <c r="U75" s="209"/>
      <c r="V75" s="209"/>
      <c r="W75" s="209"/>
      <c r="X75" s="209"/>
      <c r="Y75" s="209"/>
      <c r="Z75" s="210"/>
    </row>
    <row r="76" spans="1:26" ht="18" customHeight="1" x14ac:dyDescent="0.15">
      <c r="A76" s="19"/>
      <c r="B76" s="171"/>
      <c r="C76" s="172"/>
      <c r="D76" s="172"/>
      <c r="E76" s="172"/>
      <c r="F76" s="173"/>
      <c r="G76" s="205"/>
      <c r="H76" s="206"/>
      <c r="I76" s="206"/>
      <c r="J76" s="206"/>
      <c r="K76" s="206"/>
      <c r="L76" s="206"/>
      <c r="M76" s="207"/>
      <c r="N76" s="171"/>
      <c r="O76" s="172"/>
      <c r="P76" s="172"/>
      <c r="Q76" s="172"/>
      <c r="R76" s="172"/>
      <c r="S76" s="173"/>
      <c r="T76" s="205"/>
      <c r="U76" s="206"/>
      <c r="V76" s="206"/>
      <c r="W76" s="206"/>
      <c r="X76" s="206"/>
      <c r="Y76" s="206"/>
      <c r="Z76" s="207"/>
    </row>
    <row r="77" spans="1:26" ht="18" customHeight="1" x14ac:dyDescent="0.15">
      <c r="A77" s="19"/>
      <c r="B77" s="25"/>
      <c r="C77" s="25"/>
      <c r="D77" s="25"/>
      <c r="E77" s="25"/>
      <c r="F77" s="25"/>
      <c r="G77" s="11"/>
      <c r="H77" s="11"/>
      <c r="I77" s="11"/>
      <c r="J77" s="11"/>
      <c r="K77" s="11"/>
      <c r="L77" s="11"/>
      <c r="M77" s="11"/>
      <c r="N77" s="25"/>
      <c r="O77" s="25"/>
      <c r="P77" s="25"/>
      <c r="Q77" s="25"/>
      <c r="R77" s="25"/>
      <c r="S77" s="25"/>
      <c r="T77" s="11"/>
      <c r="U77" s="11"/>
      <c r="V77" s="11"/>
      <c r="W77" s="11"/>
      <c r="X77" s="11"/>
      <c r="Y77" s="11"/>
      <c r="Z77" s="11"/>
    </row>
    <row r="78" spans="1:26" ht="18.95" customHeight="1" x14ac:dyDescent="0.15">
      <c r="A78" s="12" t="s">
        <v>97</v>
      </c>
    </row>
    <row r="79" spans="1:26" ht="18.95" customHeight="1" x14ac:dyDescent="0.15">
      <c r="B79" s="62" t="s">
        <v>98</v>
      </c>
      <c r="C79" s="63"/>
      <c r="D79" s="260" t="s">
        <v>99</v>
      </c>
      <c r="E79" s="260"/>
      <c r="F79" s="260"/>
      <c r="G79" s="260"/>
      <c r="H79" s="260"/>
      <c r="I79" s="260"/>
      <c r="J79" s="260"/>
      <c r="K79" s="260"/>
      <c r="L79" s="260"/>
      <c r="M79" s="260"/>
      <c r="N79" s="260"/>
      <c r="O79" s="260"/>
      <c r="P79" s="260"/>
      <c r="Q79" s="260"/>
      <c r="R79" s="260"/>
      <c r="S79" s="260"/>
      <c r="T79" s="260"/>
      <c r="U79" s="260"/>
      <c r="V79" s="260"/>
      <c r="W79" s="260"/>
      <c r="X79" s="260"/>
      <c r="Y79" s="260"/>
      <c r="Z79" s="261"/>
    </row>
    <row r="80" spans="1:26" ht="78" customHeight="1" x14ac:dyDescent="0.15">
      <c r="B80" s="245" t="s">
        <v>100</v>
      </c>
      <c r="C80" s="69" t="s">
        <v>76</v>
      </c>
      <c r="D80" s="254" t="s">
        <v>101</v>
      </c>
      <c r="E80" s="255"/>
      <c r="F80" s="255"/>
      <c r="G80" s="255"/>
      <c r="H80" s="255"/>
      <c r="I80" s="255"/>
      <c r="J80" s="255"/>
      <c r="K80" s="255"/>
      <c r="L80" s="255"/>
      <c r="M80" s="255"/>
      <c r="N80" s="255"/>
      <c r="O80" s="255"/>
      <c r="P80" s="255"/>
      <c r="Q80" s="255"/>
      <c r="R80" s="255"/>
      <c r="S80" s="255"/>
      <c r="T80" s="255"/>
      <c r="U80" s="255"/>
      <c r="V80" s="255"/>
      <c r="W80" s="255"/>
      <c r="X80" s="255"/>
      <c r="Y80" s="255"/>
      <c r="Z80" s="256"/>
    </row>
    <row r="81" spans="1:26" ht="78" customHeight="1" x14ac:dyDescent="0.15">
      <c r="B81" s="246"/>
      <c r="C81" s="91" t="s">
        <v>102</v>
      </c>
      <c r="D81" s="211" t="s">
        <v>103</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243" t="s">
        <v>104</v>
      </c>
      <c r="C82" s="64" t="s">
        <v>82</v>
      </c>
      <c r="D82" s="214" t="s">
        <v>105</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244"/>
      <c r="C83" s="92" t="s">
        <v>83</v>
      </c>
      <c r="D83" s="220" t="s">
        <v>106</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243" t="s">
        <v>107</v>
      </c>
      <c r="C84" s="64" t="s">
        <v>85</v>
      </c>
      <c r="D84" s="214" t="s">
        <v>108</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244"/>
      <c r="C85" s="66" t="s">
        <v>86</v>
      </c>
      <c r="D85" s="217" t="s">
        <v>109</v>
      </c>
      <c r="E85" s="218"/>
      <c r="F85" s="218"/>
      <c r="G85" s="218"/>
      <c r="H85" s="218"/>
      <c r="I85" s="218"/>
      <c r="J85" s="218"/>
      <c r="K85" s="218"/>
      <c r="L85" s="218"/>
      <c r="M85" s="218"/>
      <c r="N85" s="218"/>
      <c r="O85" s="218"/>
      <c r="P85" s="218"/>
      <c r="Q85" s="218"/>
      <c r="R85" s="218"/>
      <c r="S85" s="218"/>
      <c r="T85" s="218"/>
      <c r="U85" s="218"/>
      <c r="V85" s="218"/>
      <c r="W85" s="218"/>
      <c r="X85" s="218"/>
      <c r="Y85" s="218"/>
      <c r="Z85" s="219"/>
    </row>
    <row r="86" spans="1:26" ht="66" customHeight="1" x14ac:dyDescent="0.15">
      <c r="B86" s="245" t="s">
        <v>110</v>
      </c>
      <c r="C86" s="69" t="s">
        <v>88</v>
      </c>
      <c r="D86" s="254" t="s">
        <v>111</v>
      </c>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ht="66" customHeight="1" x14ac:dyDescent="0.15">
      <c r="B87" s="253"/>
      <c r="C87" s="65" t="s">
        <v>89</v>
      </c>
      <c r="D87" s="257" t="s">
        <v>112</v>
      </c>
      <c r="E87" s="258"/>
      <c r="F87" s="258"/>
      <c r="G87" s="258"/>
      <c r="H87" s="258"/>
      <c r="I87" s="258"/>
      <c r="J87" s="258"/>
      <c r="K87" s="258"/>
      <c r="L87" s="258"/>
      <c r="M87" s="258"/>
      <c r="N87" s="258"/>
      <c r="O87" s="258"/>
      <c r="P87" s="258"/>
      <c r="Q87" s="258"/>
      <c r="R87" s="258"/>
      <c r="S87" s="258"/>
      <c r="T87" s="258"/>
      <c r="U87" s="258"/>
      <c r="V87" s="258"/>
      <c r="W87" s="258"/>
      <c r="X87" s="258"/>
      <c r="Y87" s="258"/>
      <c r="Z87" s="259"/>
    </row>
    <row r="88" spans="1:26" ht="66" customHeight="1" x14ac:dyDescent="0.15">
      <c r="B88" s="245" t="s">
        <v>113</v>
      </c>
      <c r="C88" s="64" t="s">
        <v>91</v>
      </c>
      <c r="D88" s="247" t="s">
        <v>114</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65" t="s">
        <v>92</v>
      </c>
      <c r="D89" s="240" t="s">
        <v>115</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66" t="s">
        <v>93</v>
      </c>
      <c r="D90" s="250" t="s">
        <v>116</v>
      </c>
      <c r="E90" s="251"/>
      <c r="F90" s="251"/>
      <c r="G90" s="251"/>
      <c r="H90" s="251"/>
      <c r="I90" s="251"/>
      <c r="J90" s="251"/>
      <c r="K90" s="251"/>
      <c r="L90" s="251"/>
      <c r="M90" s="251"/>
      <c r="N90" s="251"/>
      <c r="O90" s="251"/>
      <c r="P90" s="251"/>
      <c r="Q90" s="251"/>
      <c r="R90" s="251"/>
      <c r="S90" s="251"/>
      <c r="T90" s="251"/>
      <c r="U90" s="251"/>
      <c r="V90" s="251"/>
      <c r="W90" s="251"/>
      <c r="X90" s="251"/>
      <c r="Y90" s="251"/>
      <c r="Z90" s="252"/>
    </row>
    <row r="91" spans="1:26" ht="6" customHeight="1" x14ac:dyDescent="0.15"/>
    <row r="92" spans="1:26" ht="18.95" customHeight="1" x14ac:dyDescent="0.15">
      <c r="A92" s="12" t="s">
        <v>117</v>
      </c>
    </row>
    <row r="93" spans="1:26" ht="18.95" customHeight="1" x14ac:dyDescent="0.15">
      <c r="B93" s="193" t="s">
        <v>118</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95" customHeight="1" x14ac:dyDescent="0.15">
      <c r="B94" s="196"/>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8"/>
    </row>
    <row r="95" spans="1:26" ht="18.95" customHeight="1" x14ac:dyDescent="0.15">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6" customHeight="1" x14ac:dyDescent="0.15"/>
    <row r="97" spans="1:26" ht="15" customHeight="1" x14ac:dyDescent="0.15">
      <c r="A97" s="12" t="s">
        <v>119</v>
      </c>
    </row>
    <row r="98" spans="1:26" ht="15" customHeight="1" x14ac:dyDescent="0.15">
      <c r="B98" s="202" t="s">
        <v>205</v>
      </c>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Y16:Z22 L16:M22 Y27:Z33 H16:H22 H27:H33 Y38:Z44 H38:H44 Y49:Z55 Y60:Z66 H49:H55 K60 U16:U22 T60:T66 U27:U33 L27:M33 U38:U44 L38:M44 U49:U55 L49:M55 L60:M66 G60:G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9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186" t="s">
        <v>122</v>
      </c>
      <c r="X1" s="186"/>
      <c r="Y1" s="186"/>
      <c r="Z1" s="186"/>
    </row>
    <row r="2" spans="1:26" ht="18" customHeight="1" x14ac:dyDescent="0.15">
      <c r="A2" s="227" t="s">
        <v>66</v>
      </c>
      <c r="B2" s="227"/>
      <c r="C2" s="227"/>
      <c r="D2" s="227"/>
      <c r="E2" s="227"/>
      <c r="F2" s="227"/>
      <c r="G2" s="227"/>
      <c r="H2" s="227"/>
      <c r="I2" s="227"/>
      <c r="J2" s="227"/>
      <c r="K2" s="227"/>
      <c r="L2" s="227"/>
      <c r="M2" s="227"/>
      <c r="N2" s="227"/>
      <c r="O2" s="227"/>
      <c r="P2" s="227"/>
      <c r="Q2" s="227"/>
      <c r="R2" s="227"/>
      <c r="S2" s="227"/>
      <c r="T2" s="227"/>
      <c r="U2" s="227"/>
      <c r="V2" s="227"/>
      <c r="W2" s="227"/>
      <c r="X2" s="227"/>
      <c r="Y2" s="227"/>
      <c r="Z2" s="227"/>
    </row>
    <row r="3" spans="1:26"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15">
      <c r="A4" s="12" t="s">
        <v>67</v>
      </c>
      <c r="B4" s="19"/>
      <c r="C4" s="19"/>
      <c r="D4" s="19"/>
      <c r="E4" s="19"/>
      <c r="F4" s="19"/>
      <c r="G4" s="19"/>
      <c r="H4" s="13" t="s">
        <v>68</v>
      </c>
      <c r="I4" s="19"/>
      <c r="J4" s="19"/>
      <c r="K4" s="19"/>
      <c r="L4" s="19"/>
      <c r="M4" s="19"/>
      <c r="N4" s="19"/>
      <c r="O4" s="177" t="s">
        <v>69</v>
      </c>
      <c r="P4" s="178"/>
      <c r="Q4" s="178"/>
      <c r="R4" s="178"/>
      <c r="S4" s="178"/>
      <c r="T4" s="178"/>
      <c r="U4" s="178"/>
      <c r="V4" s="178"/>
      <c r="W4" s="178"/>
      <c r="X4" s="178"/>
      <c r="Y4" s="178"/>
      <c r="Z4" s="179"/>
    </row>
    <row r="5" spans="1:26" ht="6" customHeight="1" x14ac:dyDescent="0.15">
      <c r="B5" s="19"/>
      <c r="C5" s="19"/>
      <c r="D5" s="19"/>
      <c r="E5" s="19"/>
      <c r="F5" s="19"/>
      <c r="G5" s="19"/>
      <c r="H5" s="19"/>
      <c r="I5" s="19"/>
      <c r="J5" s="19"/>
      <c r="K5" s="19"/>
      <c r="L5" s="19"/>
      <c r="M5" s="19"/>
      <c r="N5" s="19"/>
      <c r="O5" s="14"/>
      <c r="P5" s="19"/>
      <c r="Q5" s="19"/>
      <c r="R5" s="19"/>
      <c r="S5" s="19"/>
      <c r="T5" s="19"/>
      <c r="U5" s="19"/>
      <c r="V5" s="19"/>
      <c r="W5" s="19"/>
      <c r="X5" s="19"/>
      <c r="Y5" s="19"/>
      <c r="Z5" s="19"/>
    </row>
    <row r="6" spans="1:26" ht="18" customHeight="1" x14ac:dyDescent="0.15">
      <c r="B6" s="262" t="s">
        <v>123</v>
      </c>
      <c r="C6" s="263"/>
      <c r="D6" s="263"/>
      <c r="E6" s="263"/>
      <c r="F6" s="263"/>
      <c r="G6" s="263"/>
      <c r="H6" s="263"/>
      <c r="I6" s="263"/>
      <c r="J6" s="263"/>
      <c r="K6" s="263"/>
      <c r="L6" s="263"/>
      <c r="M6" s="263"/>
      <c r="N6" s="263"/>
      <c r="O6" s="263"/>
      <c r="P6" s="263"/>
      <c r="Q6" s="263"/>
      <c r="R6" s="263"/>
      <c r="S6" s="263"/>
      <c r="T6" s="263"/>
      <c r="U6" s="263"/>
      <c r="V6" s="263"/>
      <c r="W6" s="263"/>
      <c r="X6" s="263"/>
      <c r="Y6" s="263"/>
      <c r="Z6" s="264"/>
    </row>
    <row r="7" spans="1:26" ht="18" customHeight="1" x14ac:dyDescent="0.15">
      <c r="B7" s="265"/>
      <c r="C7" s="266"/>
      <c r="D7" s="266"/>
      <c r="E7" s="266"/>
      <c r="F7" s="266"/>
      <c r="G7" s="266"/>
      <c r="H7" s="266"/>
      <c r="I7" s="266"/>
      <c r="J7" s="266"/>
      <c r="K7" s="266"/>
      <c r="L7" s="266"/>
      <c r="M7" s="266"/>
      <c r="N7" s="266"/>
      <c r="O7" s="266"/>
      <c r="P7" s="266"/>
      <c r="Q7" s="266"/>
      <c r="R7" s="266"/>
      <c r="S7" s="266"/>
      <c r="T7" s="266"/>
      <c r="U7" s="266"/>
      <c r="V7" s="266"/>
      <c r="W7" s="266"/>
      <c r="X7" s="266"/>
      <c r="Y7" s="266"/>
      <c r="Z7" s="267"/>
    </row>
    <row r="8" spans="1:26" ht="18" customHeight="1" x14ac:dyDescent="0.15">
      <c r="B8" s="265"/>
      <c r="C8" s="266"/>
      <c r="D8" s="266"/>
      <c r="E8" s="266"/>
      <c r="F8" s="266"/>
      <c r="G8" s="266"/>
      <c r="H8" s="266"/>
      <c r="I8" s="266"/>
      <c r="J8" s="266"/>
      <c r="K8" s="266"/>
      <c r="L8" s="266"/>
      <c r="M8" s="266"/>
      <c r="N8" s="266"/>
      <c r="O8" s="266"/>
      <c r="P8" s="266"/>
      <c r="Q8" s="266"/>
      <c r="R8" s="266"/>
      <c r="S8" s="266"/>
      <c r="T8" s="266"/>
      <c r="U8" s="266"/>
      <c r="V8" s="266"/>
      <c r="W8" s="266"/>
      <c r="X8" s="266"/>
      <c r="Y8" s="266"/>
      <c r="Z8" s="267"/>
    </row>
    <row r="9" spans="1:26" ht="18" customHeight="1" x14ac:dyDescent="0.15">
      <c r="B9" s="265"/>
      <c r="C9" s="266"/>
      <c r="D9" s="266"/>
      <c r="E9" s="266"/>
      <c r="F9" s="266"/>
      <c r="G9" s="266"/>
      <c r="H9" s="266"/>
      <c r="I9" s="266"/>
      <c r="J9" s="266"/>
      <c r="K9" s="266"/>
      <c r="L9" s="266"/>
      <c r="M9" s="266"/>
      <c r="N9" s="266"/>
      <c r="O9" s="266"/>
      <c r="P9" s="266"/>
      <c r="Q9" s="266"/>
      <c r="R9" s="266"/>
      <c r="S9" s="266"/>
      <c r="T9" s="266"/>
      <c r="U9" s="266"/>
      <c r="V9" s="266"/>
      <c r="W9" s="266"/>
      <c r="X9" s="266"/>
      <c r="Y9" s="266"/>
      <c r="Z9" s="267"/>
    </row>
    <row r="10" spans="1:26" ht="18" customHeight="1" x14ac:dyDescent="0.15">
      <c r="B10" s="265"/>
      <c r="C10" s="266"/>
      <c r="D10" s="266"/>
      <c r="E10" s="266"/>
      <c r="F10" s="266"/>
      <c r="G10" s="266"/>
      <c r="H10" s="266"/>
      <c r="I10" s="266"/>
      <c r="J10" s="266"/>
      <c r="K10" s="266"/>
      <c r="L10" s="266"/>
      <c r="M10" s="266"/>
      <c r="N10" s="266"/>
      <c r="O10" s="266"/>
      <c r="P10" s="266"/>
      <c r="Q10" s="266"/>
      <c r="R10" s="266"/>
      <c r="S10" s="266"/>
      <c r="T10" s="266"/>
      <c r="U10" s="266"/>
      <c r="V10" s="266"/>
      <c r="W10" s="266"/>
      <c r="X10" s="266"/>
      <c r="Y10" s="266"/>
      <c r="Z10" s="267"/>
    </row>
    <row r="11" spans="1:26" ht="18" customHeight="1" x14ac:dyDescent="0.15">
      <c r="B11" s="268"/>
      <c r="C11" s="269"/>
      <c r="D11" s="269"/>
      <c r="E11" s="269"/>
      <c r="F11" s="269"/>
      <c r="G11" s="269"/>
      <c r="H11" s="269"/>
      <c r="I11" s="269"/>
      <c r="J11" s="269"/>
      <c r="K11" s="269"/>
      <c r="L11" s="269"/>
      <c r="M11" s="269"/>
      <c r="N11" s="269"/>
      <c r="O11" s="269"/>
      <c r="P11" s="269"/>
      <c r="Q11" s="269"/>
      <c r="R11" s="269"/>
      <c r="S11" s="269"/>
      <c r="T11" s="269"/>
      <c r="U11" s="269"/>
      <c r="V11" s="269"/>
      <c r="W11" s="269"/>
      <c r="X11" s="269"/>
      <c r="Y11" s="269"/>
      <c r="Z11" s="270"/>
    </row>
    <row r="12" spans="1:26"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8" customHeight="1" x14ac:dyDescent="0.15">
      <c r="A13" s="226" t="s">
        <v>71</v>
      </c>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row>
    <row r="14" spans="1:26" ht="18" customHeight="1" x14ac:dyDescent="0.15">
      <c r="A14" s="226"/>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row>
    <row r="15" spans="1:26" ht="18" customHeight="1" x14ac:dyDescent="0.15">
      <c r="A15" s="13"/>
      <c r="B15" s="177" t="s">
        <v>72</v>
      </c>
      <c r="C15" s="178"/>
      <c r="D15" s="178"/>
      <c r="E15" s="178"/>
      <c r="F15" s="179"/>
      <c r="G15" s="20" t="s">
        <v>73</v>
      </c>
      <c r="H15" s="93" t="s">
        <v>74</v>
      </c>
      <c r="I15" s="178" t="s">
        <v>75</v>
      </c>
      <c r="J15" s="178"/>
      <c r="K15" s="178"/>
      <c r="L15" s="60" t="s">
        <v>76</v>
      </c>
      <c r="M15" s="60" t="s">
        <v>77</v>
      </c>
      <c r="N15" s="177" t="s">
        <v>72</v>
      </c>
      <c r="O15" s="178"/>
      <c r="P15" s="178"/>
      <c r="Q15" s="178"/>
      <c r="R15" s="178"/>
      <c r="S15" s="179"/>
      <c r="T15" s="20" t="s">
        <v>73</v>
      </c>
      <c r="U15" s="93" t="s">
        <v>74</v>
      </c>
      <c r="V15" s="178" t="s">
        <v>75</v>
      </c>
      <c r="W15" s="178"/>
      <c r="X15" s="178"/>
      <c r="Y15" s="60" t="s">
        <v>76</v>
      </c>
      <c r="Z15" s="60" t="s">
        <v>77</v>
      </c>
    </row>
    <row r="16" spans="1:26" ht="18" customHeight="1" x14ac:dyDescent="0.15">
      <c r="A16" s="13"/>
      <c r="B16" s="187" t="s">
        <v>78</v>
      </c>
      <c r="C16" s="188"/>
      <c r="D16" s="188"/>
      <c r="E16" s="188"/>
      <c r="F16" s="189"/>
      <c r="G16" s="94">
        <v>2</v>
      </c>
      <c r="H16" s="94" t="s">
        <v>80</v>
      </c>
      <c r="I16" s="223" t="s">
        <v>79</v>
      </c>
      <c r="J16" s="224"/>
      <c r="K16" s="225"/>
      <c r="L16" s="94" t="s">
        <v>80</v>
      </c>
      <c r="M16" s="94" t="s">
        <v>80</v>
      </c>
      <c r="N16" s="168"/>
      <c r="O16" s="169"/>
      <c r="P16" s="169"/>
      <c r="Q16" s="169"/>
      <c r="R16" s="169"/>
      <c r="S16" s="170"/>
      <c r="T16" s="94"/>
      <c r="U16" s="94"/>
      <c r="V16" s="223"/>
      <c r="W16" s="224"/>
      <c r="X16" s="225"/>
      <c r="Y16" s="94"/>
      <c r="Z16" s="94"/>
    </row>
    <row r="17" spans="1:26" ht="18" customHeight="1" x14ac:dyDescent="0.15">
      <c r="A17" s="13"/>
      <c r="B17" s="180"/>
      <c r="C17" s="181"/>
      <c r="D17" s="181"/>
      <c r="E17" s="181"/>
      <c r="F17" s="182"/>
      <c r="G17" s="95"/>
      <c r="H17" s="95"/>
      <c r="I17" s="165"/>
      <c r="J17" s="166"/>
      <c r="K17" s="167"/>
      <c r="L17" s="95"/>
      <c r="M17" s="95"/>
      <c r="N17" s="162"/>
      <c r="O17" s="163"/>
      <c r="P17" s="163"/>
      <c r="Q17" s="163"/>
      <c r="R17" s="163"/>
      <c r="S17" s="164"/>
      <c r="T17" s="95"/>
      <c r="U17" s="95"/>
      <c r="V17" s="165"/>
      <c r="W17" s="166"/>
      <c r="X17" s="167"/>
      <c r="Y17" s="95"/>
      <c r="Z17" s="95"/>
    </row>
    <row r="18" spans="1:26" ht="18" customHeight="1" x14ac:dyDescent="0.15">
      <c r="A18" s="13"/>
      <c r="B18" s="180"/>
      <c r="C18" s="181"/>
      <c r="D18" s="181"/>
      <c r="E18" s="181"/>
      <c r="F18" s="182"/>
      <c r="G18" s="95"/>
      <c r="H18" s="95"/>
      <c r="I18" s="165"/>
      <c r="J18" s="166"/>
      <c r="K18" s="167"/>
      <c r="L18" s="95"/>
      <c r="M18" s="95"/>
      <c r="N18" s="162"/>
      <c r="O18" s="163"/>
      <c r="P18" s="163"/>
      <c r="Q18" s="163"/>
      <c r="R18" s="163"/>
      <c r="S18" s="164"/>
      <c r="T18" s="95"/>
      <c r="U18" s="95"/>
      <c r="V18" s="165"/>
      <c r="W18" s="166"/>
      <c r="X18" s="167"/>
      <c r="Y18" s="95"/>
      <c r="Z18" s="95"/>
    </row>
    <row r="19" spans="1:26" ht="18" customHeight="1" x14ac:dyDescent="0.15">
      <c r="A19" s="13"/>
      <c r="B19" s="180"/>
      <c r="C19" s="181"/>
      <c r="D19" s="181"/>
      <c r="E19" s="181"/>
      <c r="F19" s="182"/>
      <c r="G19" s="95"/>
      <c r="H19" s="95"/>
      <c r="I19" s="165"/>
      <c r="J19" s="166"/>
      <c r="K19" s="167"/>
      <c r="L19" s="95"/>
      <c r="M19" s="95"/>
      <c r="N19" s="162"/>
      <c r="O19" s="163"/>
      <c r="P19" s="163"/>
      <c r="Q19" s="163"/>
      <c r="R19" s="163"/>
      <c r="S19" s="164"/>
      <c r="T19" s="95"/>
      <c r="U19" s="95"/>
      <c r="V19" s="165"/>
      <c r="W19" s="166"/>
      <c r="X19" s="167"/>
      <c r="Y19" s="95"/>
      <c r="Z19" s="95"/>
    </row>
    <row r="20" spans="1:26" ht="18" customHeight="1" x14ac:dyDescent="0.15">
      <c r="A20" s="13"/>
      <c r="B20" s="180"/>
      <c r="C20" s="181"/>
      <c r="D20" s="181"/>
      <c r="E20" s="181"/>
      <c r="F20" s="182"/>
      <c r="G20" s="95"/>
      <c r="H20" s="95"/>
      <c r="I20" s="165"/>
      <c r="J20" s="166"/>
      <c r="K20" s="167"/>
      <c r="L20" s="95"/>
      <c r="M20" s="95"/>
      <c r="N20" s="162"/>
      <c r="O20" s="163"/>
      <c r="P20" s="163"/>
      <c r="Q20" s="163"/>
      <c r="R20" s="163"/>
      <c r="S20" s="164"/>
      <c r="T20" s="95"/>
      <c r="U20" s="95"/>
      <c r="V20" s="165"/>
      <c r="W20" s="166"/>
      <c r="X20" s="167"/>
      <c r="Y20" s="95"/>
      <c r="Z20" s="95"/>
    </row>
    <row r="21" spans="1:26" ht="18" customHeight="1" x14ac:dyDescent="0.15">
      <c r="A21" s="19"/>
      <c r="B21" s="180"/>
      <c r="C21" s="181"/>
      <c r="D21" s="181"/>
      <c r="E21" s="181"/>
      <c r="F21" s="182"/>
      <c r="G21" s="95"/>
      <c r="H21" s="95"/>
      <c r="I21" s="165"/>
      <c r="J21" s="166"/>
      <c r="K21" s="167"/>
      <c r="L21" s="95"/>
      <c r="M21" s="95"/>
      <c r="N21" s="162"/>
      <c r="O21" s="163"/>
      <c r="P21" s="163"/>
      <c r="Q21" s="163"/>
      <c r="R21" s="163"/>
      <c r="S21" s="164"/>
      <c r="T21" s="95"/>
      <c r="U21" s="95"/>
      <c r="V21" s="165"/>
      <c r="W21" s="166"/>
      <c r="X21" s="167"/>
      <c r="Y21" s="95"/>
      <c r="Z21" s="95"/>
    </row>
    <row r="22" spans="1:26" ht="18" customHeight="1" x14ac:dyDescent="0.15">
      <c r="A22" s="19"/>
      <c r="B22" s="183"/>
      <c r="C22" s="184"/>
      <c r="D22" s="184"/>
      <c r="E22" s="184"/>
      <c r="F22" s="185"/>
      <c r="G22" s="96"/>
      <c r="H22" s="96"/>
      <c r="I22" s="174"/>
      <c r="J22" s="175"/>
      <c r="K22" s="176"/>
      <c r="L22" s="100"/>
      <c r="M22" s="100"/>
      <c r="N22" s="171"/>
      <c r="O22" s="172"/>
      <c r="P22" s="172"/>
      <c r="Q22" s="172"/>
      <c r="R22" s="172"/>
      <c r="S22" s="173"/>
      <c r="T22" s="96"/>
      <c r="U22" s="96"/>
      <c r="V22" s="174"/>
      <c r="W22" s="175"/>
      <c r="X22" s="176"/>
      <c r="Y22" s="100"/>
      <c r="Z22" s="100"/>
    </row>
    <row r="23" spans="1:26" ht="7.5" customHeight="1" x14ac:dyDescent="0.15">
      <c r="A23" s="19"/>
      <c r="B23" s="25"/>
      <c r="C23" s="25"/>
      <c r="D23" s="19"/>
      <c r="E23" s="19"/>
      <c r="F23" s="19"/>
      <c r="G23" s="19"/>
      <c r="H23" s="19"/>
      <c r="I23" s="19"/>
      <c r="J23" s="19"/>
      <c r="K23" s="19"/>
      <c r="L23" s="25"/>
      <c r="M23" s="25"/>
      <c r="N23" s="25"/>
      <c r="O23" s="25"/>
      <c r="P23" s="25"/>
      <c r="Q23" s="25"/>
      <c r="R23" s="25"/>
      <c r="S23" s="25"/>
      <c r="T23" s="25"/>
      <c r="U23" s="25"/>
      <c r="V23" s="25"/>
      <c r="W23" s="25"/>
      <c r="X23" s="25"/>
      <c r="Y23" s="25"/>
      <c r="Z23" s="19"/>
    </row>
    <row r="24" spans="1:26" ht="18" customHeight="1" x14ac:dyDescent="0.15">
      <c r="A24" s="226" t="s">
        <v>81</v>
      </c>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row>
    <row r="25" spans="1:26" ht="18" customHeight="1" x14ac:dyDescent="0.15">
      <c r="A25" s="226"/>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ht="18" customHeight="1" x14ac:dyDescent="0.15">
      <c r="A26" s="13"/>
      <c r="B26" s="177" t="s">
        <v>72</v>
      </c>
      <c r="C26" s="178"/>
      <c r="D26" s="178"/>
      <c r="E26" s="178"/>
      <c r="F26" s="179"/>
      <c r="G26" s="20" t="s">
        <v>73</v>
      </c>
      <c r="H26" s="93" t="s">
        <v>74</v>
      </c>
      <c r="I26" s="178" t="s">
        <v>75</v>
      </c>
      <c r="J26" s="178"/>
      <c r="K26" s="178"/>
      <c r="L26" s="60" t="s">
        <v>82</v>
      </c>
      <c r="M26" s="60" t="s">
        <v>83</v>
      </c>
      <c r="N26" s="177" t="s">
        <v>72</v>
      </c>
      <c r="O26" s="178"/>
      <c r="P26" s="178"/>
      <c r="Q26" s="178"/>
      <c r="R26" s="178"/>
      <c r="S26" s="179"/>
      <c r="T26" s="20" t="s">
        <v>73</v>
      </c>
      <c r="U26" s="93" t="s">
        <v>74</v>
      </c>
      <c r="V26" s="178" t="s">
        <v>75</v>
      </c>
      <c r="W26" s="178"/>
      <c r="X26" s="178"/>
      <c r="Y26" s="60" t="s">
        <v>82</v>
      </c>
      <c r="Z26" s="60" t="s">
        <v>83</v>
      </c>
    </row>
    <row r="27" spans="1:26" ht="18" customHeight="1" x14ac:dyDescent="0.15">
      <c r="A27" s="13"/>
      <c r="B27" s="187" t="s">
        <v>78</v>
      </c>
      <c r="C27" s="188"/>
      <c r="D27" s="188"/>
      <c r="E27" s="188"/>
      <c r="F27" s="189"/>
      <c r="G27" s="94">
        <v>2</v>
      </c>
      <c r="H27" s="94" t="s">
        <v>80</v>
      </c>
      <c r="I27" s="223" t="s">
        <v>79</v>
      </c>
      <c r="J27" s="224"/>
      <c r="K27" s="225"/>
      <c r="L27" s="94" t="s">
        <v>80</v>
      </c>
      <c r="M27" s="94" t="s">
        <v>80</v>
      </c>
      <c r="N27" s="168"/>
      <c r="O27" s="169"/>
      <c r="P27" s="169"/>
      <c r="Q27" s="169"/>
      <c r="R27" s="169"/>
      <c r="S27" s="170"/>
      <c r="T27" s="94"/>
      <c r="U27" s="94"/>
      <c r="V27" s="223"/>
      <c r="W27" s="224"/>
      <c r="X27" s="225"/>
      <c r="Y27" s="94"/>
      <c r="Z27" s="94"/>
    </row>
    <row r="28" spans="1:26" ht="18" customHeight="1" x14ac:dyDescent="0.15">
      <c r="A28" s="13"/>
      <c r="B28" s="180"/>
      <c r="C28" s="181"/>
      <c r="D28" s="181"/>
      <c r="E28" s="181"/>
      <c r="F28" s="182"/>
      <c r="G28" s="95"/>
      <c r="H28" s="95"/>
      <c r="I28" s="165"/>
      <c r="J28" s="166"/>
      <c r="K28" s="167"/>
      <c r="L28" s="95"/>
      <c r="M28" s="95"/>
      <c r="N28" s="162"/>
      <c r="O28" s="163"/>
      <c r="P28" s="163"/>
      <c r="Q28" s="163"/>
      <c r="R28" s="163"/>
      <c r="S28" s="164"/>
      <c r="T28" s="95"/>
      <c r="U28" s="95"/>
      <c r="V28" s="165"/>
      <c r="W28" s="166"/>
      <c r="X28" s="167"/>
      <c r="Y28" s="95"/>
      <c r="Z28" s="95"/>
    </row>
    <row r="29" spans="1:26" ht="18" customHeight="1" x14ac:dyDescent="0.15">
      <c r="A29" s="13"/>
      <c r="B29" s="180"/>
      <c r="C29" s="181"/>
      <c r="D29" s="181"/>
      <c r="E29" s="181"/>
      <c r="F29" s="182"/>
      <c r="G29" s="95"/>
      <c r="H29" s="95"/>
      <c r="I29" s="165"/>
      <c r="J29" s="166"/>
      <c r="K29" s="167"/>
      <c r="L29" s="95"/>
      <c r="M29" s="95"/>
      <c r="N29" s="162"/>
      <c r="O29" s="163"/>
      <c r="P29" s="163"/>
      <c r="Q29" s="163"/>
      <c r="R29" s="163"/>
      <c r="S29" s="164"/>
      <c r="T29" s="95"/>
      <c r="U29" s="95"/>
      <c r="V29" s="165"/>
      <c r="W29" s="166"/>
      <c r="X29" s="167"/>
      <c r="Y29" s="95"/>
      <c r="Z29" s="95"/>
    </row>
    <row r="30" spans="1:26" ht="18" customHeight="1" x14ac:dyDescent="0.15">
      <c r="A30" s="13"/>
      <c r="B30" s="180"/>
      <c r="C30" s="181"/>
      <c r="D30" s="181"/>
      <c r="E30" s="181"/>
      <c r="F30" s="182"/>
      <c r="G30" s="95"/>
      <c r="H30" s="95"/>
      <c r="I30" s="165"/>
      <c r="J30" s="166"/>
      <c r="K30" s="167"/>
      <c r="L30" s="95"/>
      <c r="M30" s="95"/>
      <c r="N30" s="162"/>
      <c r="O30" s="163"/>
      <c r="P30" s="163"/>
      <c r="Q30" s="163"/>
      <c r="R30" s="163"/>
      <c r="S30" s="164"/>
      <c r="T30" s="95"/>
      <c r="U30" s="95"/>
      <c r="V30" s="165"/>
      <c r="W30" s="166"/>
      <c r="X30" s="167"/>
      <c r="Y30" s="95"/>
      <c r="Z30" s="95"/>
    </row>
    <row r="31" spans="1:26" ht="18" customHeight="1" x14ac:dyDescent="0.15">
      <c r="A31" s="13"/>
      <c r="B31" s="180"/>
      <c r="C31" s="181"/>
      <c r="D31" s="181"/>
      <c r="E31" s="181"/>
      <c r="F31" s="182"/>
      <c r="G31" s="95"/>
      <c r="H31" s="95"/>
      <c r="I31" s="165"/>
      <c r="J31" s="166"/>
      <c r="K31" s="167"/>
      <c r="L31" s="95"/>
      <c r="M31" s="95"/>
      <c r="N31" s="162"/>
      <c r="O31" s="163"/>
      <c r="P31" s="163"/>
      <c r="Q31" s="163"/>
      <c r="R31" s="163"/>
      <c r="S31" s="164"/>
      <c r="T31" s="95"/>
      <c r="U31" s="95"/>
      <c r="V31" s="165"/>
      <c r="W31" s="166"/>
      <c r="X31" s="167"/>
      <c r="Y31" s="95"/>
      <c r="Z31" s="95"/>
    </row>
    <row r="32" spans="1:26" ht="18" customHeight="1" x14ac:dyDescent="0.15">
      <c r="A32" s="13"/>
      <c r="B32" s="180"/>
      <c r="C32" s="181"/>
      <c r="D32" s="181"/>
      <c r="E32" s="181"/>
      <c r="F32" s="182"/>
      <c r="G32" s="95"/>
      <c r="H32" s="95"/>
      <c r="I32" s="165"/>
      <c r="J32" s="166"/>
      <c r="K32" s="167"/>
      <c r="L32" s="95"/>
      <c r="M32" s="95"/>
      <c r="N32" s="162"/>
      <c r="O32" s="163"/>
      <c r="P32" s="163"/>
      <c r="Q32" s="163"/>
      <c r="R32" s="163"/>
      <c r="S32" s="164"/>
      <c r="T32" s="95"/>
      <c r="U32" s="95"/>
      <c r="V32" s="165"/>
      <c r="W32" s="166"/>
      <c r="X32" s="167"/>
      <c r="Y32" s="95"/>
      <c r="Z32" s="95"/>
    </row>
    <row r="33" spans="1:26" ht="18" customHeight="1" x14ac:dyDescent="0.15">
      <c r="A33" s="13"/>
      <c r="B33" s="183"/>
      <c r="C33" s="184"/>
      <c r="D33" s="184"/>
      <c r="E33" s="184"/>
      <c r="F33" s="185"/>
      <c r="G33" s="96"/>
      <c r="H33" s="96"/>
      <c r="I33" s="174"/>
      <c r="J33" s="175"/>
      <c r="K33" s="176"/>
      <c r="L33" s="100"/>
      <c r="M33" s="100"/>
      <c r="N33" s="171"/>
      <c r="O33" s="172"/>
      <c r="P33" s="172"/>
      <c r="Q33" s="172"/>
      <c r="R33" s="172"/>
      <c r="S33" s="173"/>
      <c r="T33" s="96"/>
      <c r="U33" s="96"/>
      <c r="V33" s="174"/>
      <c r="W33" s="175"/>
      <c r="X33" s="176"/>
      <c r="Y33" s="100"/>
      <c r="Z33" s="100"/>
    </row>
    <row r="34" spans="1:26" ht="7.5" customHeight="1" x14ac:dyDescent="0.15">
      <c r="A34" s="19"/>
      <c r="B34" s="25"/>
      <c r="C34" s="25"/>
      <c r="D34" s="19"/>
      <c r="E34" s="19"/>
      <c r="F34" s="19"/>
      <c r="G34" s="19"/>
      <c r="H34" s="19"/>
      <c r="I34" s="19"/>
      <c r="J34" s="19"/>
      <c r="K34" s="19"/>
      <c r="L34" s="25"/>
      <c r="M34" s="25"/>
      <c r="N34" s="25"/>
      <c r="O34" s="25"/>
      <c r="P34" s="25"/>
      <c r="Q34" s="25"/>
      <c r="R34" s="25"/>
      <c r="S34" s="25"/>
      <c r="T34" s="25"/>
      <c r="U34" s="25"/>
      <c r="V34" s="25"/>
      <c r="W34" s="25"/>
      <c r="X34" s="25"/>
      <c r="Y34" s="25"/>
      <c r="Z34" s="19"/>
    </row>
    <row r="35" spans="1:26" ht="18" customHeight="1" x14ac:dyDescent="0.15">
      <c r="A35" s="226" t="s">
        <v>84</v>
      </c>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row>
    <row r="36" spans="1:26" ht="18" customHeight="1" x14ac:dyDescent="0.15">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row>
    <row r="37" spans="1:26" ht="18" customHeight="1" x14ac:dyDescent="0.15">
      <c r="A37" s="13"/>
      <c r="B37" s="177" t="s">
        <v>72</v>
      </c>
      <c r="C37" s="178"/>
      <c r="D37" s="178"/>
      <c r="E37" s="178"/>
      <c r="F37" s="179"/>
      <c r="G37" s="20" t="s">
        <v>73</v>
      </c>
      <c r="H37" s="93" t="s">
        <v>74</v>
      </c>
      <c r="I37" s="177" t="s">
        <v>75</v>
      </c>
      <c r="J37" s="178"/>
      <c r="K37" s="179"/>
      <c r="L37" s="60" t="s">
        <v>85</v>
      </c>
      <c r="M37" s="60" t="s">
        <v>86</v>
      </c>
      <c r="N37" s="177" t="s">
        <v>72</v>
      </c>
      <c r="O37" s="178"/>
      <c r="P37" s="178"/>
      <c r="Q37" s="178"/>
      <c r="R37" s="178"/>
      <c r="S37" s="179"/>
      <c r="T37" s="20" t="s">
        <v>73</v>
      </c>
      <c r="U37" s="93" t="s">
        <v>74</v>
      </c>
      <c r="V37" s="177" t="s">
        <v>75</v>
      </c>
      <c r="W37" s="178"/>
      <c r="X37" s="179"/>
      <c r="Y37" s="60" t="s">
        <v>85</v>
      </c>
      <c r="Z37" s="60" t="s">
        <v>86</v>
      </c>
    </row>
    <row r="38" spans="1:26" ht="18" customHeight="1" x14ac:dyDescent="0.15">
      <c r="A38" s="19"/>
      <c r="B38" s="187" t="s">
        <v>78</v>
      </c>
      <c r="C38" s="188"/>
      <c r="D38" s="188"/>
      <c r="E38" s="188"/>
      <c r="F38" s="189"/>
      <c r="G38" s="94">
        <v>2</v>
      </c>
      <c r="H38" s="94" t="s">
        <v>80</v>
      </c>
      <c r="I38" s="223" t="s">
        <v>79</v>
      </c>
      <c r="J38" s="224"/>
      <c r="K38" s="225"/>
      <c r="L38" s="94" t="s">
        <v>80</v>
      </c>
      <c r="M38" s="94" t="s">
        <v>80</v>
      </c>
      <c r="N38" s="168"/>
      <c r="O38" s="169"/>
      <c r="P38" s="169"/>
      <c r="Q38" s="169"/>
      <c r="R38" s="169"/>
      <c r="S38" s="170"/>
      <c r="T38" s="94"/>
      <c r="U38" s="94"/>
      <c r="V38" s="223"/>
      <c r="W38" s="224"/>
      <c r="X38" s="225"/>
      <c r="Y38" s="94"/>
      <c r="Z38" s="94"/>
    </row>
    <row r="39" spans="1:26" ht="18" customHeight="1" x14ac:dyDescent="0.15">
      <c r="A39" s="19"/>
      <c r="B39" s="180"/>
      <c r="C39" s="181"/>
      <c r="D39" s="181"/>
      <c r="E39" s="181"/>
      <c r="F39" s="182"/>
      <c r="G39" s="95"/>
      <c r="H39" s="95"/>
      <c r="I39" s="165"/>
      <c r="J39" s="166"/>
      <c r="K39" s="167"/>
      <c r="L39" s="95"/>
      <c r="M39" s="95"/>
      <c r="N39" s="162"/>
      <c r="O39" s="163"/>
      <c r="P39" s="163"/>
      <c r="Q39" s="163"/>
      <c r="R39" s="163"/>
      <c r="S39" s="164"/>
      <c r="T39" s="95"/>
      <c r="U39" s="95"/>
      <c r="V39" s="165"/>
      <c r="W39" s="166"/>
      <c r="X39" s="167"/>
      <c r="Y39" s="95"/>
      <c r="Z39" s="95"/>
    </row>
    <row r="40" spans="1:26" ht="18" customHeight="1" x14ac:dyDescent="0.15">
      <c r="A40" s="19"/>
      <c r="B40" s="180"/>
      <c r="C40" s="181"/>
      <c r="D40" s="181"/>
      <c r="E40" s="181"/>
      <c r="F40" s="182"/>
      <c r="G40" s="95"/>
      <c r="H40" s="95"/>
      <c r="I40" s="165"/>
      <c r="J40" s="166"/>
      <c r="K40" s="167"/>
      <c r="L40" s="95"/>
      <c r="M40" s="95"/>
      <c r="N40" s="162"/>
      <c r="O40" s="163"/>
      <c r="P40" s="163"/>
      <c r="Q40" s="163"/>
      <c r="R40" s="163"/>
      <c r="S40" s="164"/>
      <c r="T40" s="95"/>
      <c r="U40" s="95"/>
      <c r="V40" s="165"/>
      <c r="W40" s="166"/>
      <c r="X40" s="167"/>
      <c r="Y40" s="95"/>
      <c r="Z40" s="95"/>
    </row>
    <row r="41" spans="1:26" ht="18" customHeight="1" x14ac:dyDescent="0.15">
      <c r="A41" s="19"/>
      <c r="B41" s="180"/>
      <c r="C41" s="181"/>
      <c r="D41" s="181"/>
      <c r="E41" s="181"/>
      <c r="F41" s="182"/>
      <c r="G41" s="95"/>
      <c r="H41" s="95"/>
      <c r="I41" s="165"/>
      <c r="J41" s="166"/>
      <c r="K41" s="167"/>
      <c r="L41" s="95"/>
      <c r="M41" s="95"/>
      <c r="N41" s="162"/>
      <c r="O41" s="163"/>
      <c r="P41" s="163"/>
      <c r="Q41" s="163"/>
      <c r="R41" s="163"/>
      <c r="S41" s="164"/>
      <c r="T41" s="95"/>
      <c r="U41" s="95"/>
      <c r="V41" s="165"/>
      <c r="W41" s="166"/>
      <c r="X41" s="167"/>
      <c r="Y41" s="95"/>
      <c r="Z41" s="95"/>
    </row>
    <row r="42" spans="1:26" ht="18" customHeight="1" x14ac:dyDescent="0.15">
      <c r="A42" s="19"/>
      <c r="B42" s="180"/>
      <c r="C42" s="181"/>
      <c r="D42" s="181"/>
      <c r="E42" s="181"/>
      <c r="F42" s="182"/>
      <c r="G42" s="95"/>
      <c r="H42" s="95"/>
      <c r="I42" s="165"/>
      <c r="J42" s="166"/>
      <c r="K42" s="167"/>
      <c r="L42" s="95"/>
      <c r="M42" s="95"/>
      <c r="N42" s="162"/>
      <c r="O42" s="163"/>
      <c r="P42" s="163"/>
      <c r="Q42" s="163"/>
      <c r="R42" s="163"/>
      <c r="S42" s="164"/>
      <c r="T42" s="95"/>
      <c r="U42" s="95"/>
      <c r="V42" s="165"/>
      <c r="W42" s="166"/>
      <c r="X42" s="167"/>
      <c r="Y42" s="95"/>
      <c r="Z42" s="95"/>
    </row>
    <row r="43" spans="1:26" ht="18" customHeight="1" x14ac:dyDescent="0.15">
      <c r="A43" s="19"/>
      <c r="B43" s="180"/>
      <c r="C43" s="181"/>
      <c r="D43" s="181"/>
      <c r="E43" s="181"/>
      <c r="F43" s="182"/>
      <c r="G43" s="95"/>
      <c r="H43" s="95"/>
      <c r="I43" s="165"/>
      <c r="J43" s="166"/>
      <c r="K43" s="167"/>
      <c r="L43" s="95"/>
      <c r="M43" s="95"/>
      <c r="N43" s="162"/>
      <c r="O43" s="163"/>
      <c r="P43" s="163"/>
      <c r="Q43" s="163"/>
      <c r="R43" s="163"/>
      <c r="S43" s="164"/>
      <c r="T43" s="95"/>
      <c r="U43" s="95"/>
      <c r="V43" s="165"/>
      <c r="W43" s="166"/>
      <c r="X43" s="167"/>
      <c r="Y43" s="95"/>
      <c r="Z43" s="95"/>
    </row>
    <row r="44" spans="1:26" ht="18" customHeight="1" x14ac:dyDescent="0.15">
      <c r="A44" s="19"/>
      <c r="B44" s="183"/>
      <c r="C44" s="184"/>
      <c r="D44" s="184"/>
      <c r="E44" s="184"/>
      <c r="F44" s="185"/>
      <c r="G44" s="96"/>
      <c r="H44" s="96"/>
      <c r="I44" s="174"/>
      <c r="J44" s="175"/>
      <c r="K44" s="176"/>
      <c r="L44" s="100"/>
      <c r="M44" s="100"/>
      <c r="N44" s="171"/>
      <c r="O44" s="172"/>
      <c r="P44" s="172"/>
      <c r="Q44" s="172"/>
      <c r="R44" s="172"/>
      <c r="S44" s="173"/>
      <c r="T44" s="96"/>
      <c r="U44" s="96"/>
      <c r="V44" s="174"/>
      <c r="W44" s="175"/>
      <c r="X44" s="176"/>
      <c r="Y44" s="100"/>
      <c r="Z44" s="100"/>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26" t="s">
        <v>87</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ht="18" customHeight="1" x14ac:dyDescent="0.15">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ht="18" customHeight="1" x14ac:dyDescent="0.15">
      <c r="A48" s="13"/>
      <c r="B48" s="177" t="s">
        <v>72</v>
      </c>
      <c r="C48" s="178"/>
      <c r="D48" s="178"/>
      <c r="E48" s="178"/>
      <c r="F48" s="179"/>
      <c r="G48" s="20" t="s">
        <v>73</v>
      </c>
      <c r="H48" s="93" t="s">
        <v>74</v>
      </c>
      <c r="I48" s="177" t="s">
        <v>75</v>
      </c>
      <c r="J48" s="178"/>
      <c r="K48" s="179"/>
      <c r="L48" s="60" t="s">
        <v>88</v>
      </c>
      <c r="M48" s="60" t="s">
        <v>89</v>
      </c>
      <c r="N48" s="177" t="s">
        <v>72</v>
      </c>
      <c r="O48" s="178"/>
      <c r="P48" s="178"/>
      <c r="Q48" s="178"/>
      <c r="R48" s="178"/>
      <c r="S48" s="179"/>
      <c r="T48" s="20" t="s">
        <v>73</v>
      </c>
      <c r="U48" s="93" t="s">
        <v>74</v>
      </c>
      <c r="V48" s="177" t="s">
        <v>75</v>
      </c>
      <c r="W48" s="178"/>
      <c r="X48" s="179"/>
      <c r="Y48" s="60" t="s">
        <v>88</v>
      </c>
      <c r="Z48" s="60" t="s">
        <v>89</v>
      </c>
    </row>
    <row r="49" spans="1:26" ht="18" customHeight="1" x14ac:dyDescent="0.15">
      <c r="A49" s="19"/>
      <c r="B49" s="187" t="s">
        <v>78</v>
      </c>
      <c r="C49" s="188"/>
      <c r="D49" s="188"/>
      <c r="E49" s="188"/>
      <c r="F49" s="189"/>
      <c r="G49" s="94">
        <v>2</v>
      </c>
      <c r="H49" s="94" t="s">
        <v>80</v>
      </c>
      <c r="I49" s="223" t="s">
        <v>79</v>
      </c>
      <c r="J49" s="224"/>
      <c r="K49" s="225"/>
      <c r="L49" s="94" t="s">
        <v>80</v>
      </c>
      <c r="M49" s="94" t="s">
        <v>80</v>
      </c>
      <c r="N49" s="168"/>
      <c r="O49" s="169"/>
      <c r="P49" s="169"/>
      <c r="Q49" s="169"/>
      <c r="R49" s="169"/>
      <c r="S49" s="170"/>
      <c r="T49" s="94"/>
      <c r="U49" s="94"/>
      <c r="V49" s="223"/>
      <c r="W49" s="224"/>
      <c r="X49" s="225"/>
      <c r="Y49" s="94"/>
      <c r="Z49" s="94"/>
    </row>
    <row r="50" spans="1:26" ht="18" customHeight="1" x14ac:dyDescent="0.15">
      <c r="A50" s="19"/>
      <c r="B50" s="180"/>
      <c r="C50" s="181"/>
      <c r="D50" s="181"/>
      <c r="E50" s="181"/>
      <c r="F50" s="182"/>
      <c r="G50" s="95"/>
      <c r="H50" s="95"/>
      <c r="I50" s="165"/>
      <c r="J50" s="166"/>
      <c r="K50" s="167"/>
      <c r="L50" s="95"/>
      <c r="M50" s="95"/>
      <c r="N50" s="162"/>
      <c r="O50" s="163"/>
      <c r="P50" s="163"/>
      <c r="Q50" s="163"/>
      <c r="R50" s="163"/>
      <c r="S50" s="164"/>
      <c r="T50" s="95"/>
      <c r="U50" s="95"/>
      <c r="V50" s="165"/>
      <c r="W50" s="166"/>
      <c r="X50" s="167"/>
      <c r="Y50" s="95"/>
      <c r="Z50" s="95"/>
    </row>
    <row r="51" spans="1:26" ht="18" customHeight="1" x14ac:dyDescent="0.15">
      <c r="A51" s="19"/>
      <c r="B51" s="180"/>
      <c r="C51" s="181"/>
      <c r="D51" s="181"/>
      <c r="E51" s="181"/>
      <c r="F51" s="182"/>
      <c r="G51" s="95"/>
      <c r="H51" s="95"/>
      <c r="I51" s="165"/>
      <c r="J51" s="166"/>
      <c r="K51" s="167"/>
      <c r="L51" s="95"/>
      <c r="M51" s="95"/>
      <c r="N51" s="162"/>
      <c r="O51" s="163"/>
      <c r="P51" s="163"/>
      <c r="Q51" s="163"/>
      <c r="R51" s="163"/>
      <c r="S51" s="164"/>
      <c r="T51" s="95"/>
      <c r="U51" s="95"/>
      <c r="V51" s="165"/>
      <c r="W51" s="166"/>
      <c r="X51" s="167"/>
      <c r="Y51" s="95"/>
      <c r="Z51" s="95"/>
    </row>
    <row r="52" spans="1:26" ht="18" customHeight="1" x14ac:dyDescent="0.15">
      <c r="A52" s="19"/>
      <c r="B52" s="180"/>
      <c r="C52" s="181"/>
      <c r="D52" s="181"/>
      <c r="E52" s="181"/>
      <c r="F52" s="182"/>
      <c r="G52" s="95"/>
      <c r="H52" s="95"/>
      <c r="I52" s="165"/>
      <c r="J52" s="166"/>
      <c r="K52" s="167"/>
      <c r="L52" s="95"/>
      <c r="M52" s="95"/>
      <c r="N52" s="162"/>
      <c r="O52" s="163"/>
      <c r="P52" s="163"/>
      <c r="Q52" s="163"/>
      <c r="R52" s="163"/>
      <c r="S52" s="164"/>
      <c r="T52" s="95"/>
      <c r="U52" s="95"/>
      <c r="V52" s="165"/>
      <c r="W52" s="166"/>
      <c r="X52" s="167"/>
      <c r="Y52" s="95"/>
      <c r="Z52" s="95"/>
    </row>
    <row r="53" spans="1:26" ht="18" customHeight="1" x14ac:dyDescent="0.15">
      <c r="A53" s="19"/>
      <c r="B53" s="180"/>
      <c r="C53" s="181"/>
      <c r="D53" s="181"/>
      <c r="E53" s="181"/>
      <c r="F53" s="182"/>
      <c r="G53" s="95"/>
      <c r="H53" s="95"/>
      <c r="I53" s="165"/>
      <c r="J53" s="166"/>
      <c r="K53" s="167"/>
      <c r="L53" s="95"/>
      <c r="M53" s="95"/>
      <c r="N53" s="162"/>
      <c r="O53" s="163"/>
      <c r="P53" s="163"/>
      <c r="Q53" s="163"/>
      <c r="R53" s="163"/>
      <c r="S53" s="164"/>
      <c r="T53" s="95"/>
      <c r="U53" s="95"/>
      <c r="V53" s="165"/>
      <c r="W53" s="166"/>
      <c r="X53" s="167"/>
      <c r="Y53" s="95"/>
      <c r="Z53" s="95"/>
    </row>
    <row r="54" spans="1:26" ht="18" customHeight="1" x14ac:dyDescent="0.15">
      <c r="A54" s="19"/>
      <c r="B54" s="180"/>
      <c r="C54" s="181"/>
      <c r="D54" s="181"/>
      <c r="E54" s="181"/>
      <c r="F54" s="182"/>
      <c r="G54" s="95"/>
      <c r="H54" s="95"/>
      <c r="I54" s="165"/>
      <c r="J54" s="166"/>
      <c r="K54" s="167"/>
      <c r="L54" s="95"/>
      <c r="M54" s="95"/>
      <c r="N54" s="162"/>
      <c r="O54" s="163"/>
      <c r="P54" s="163"/>
      <c r="Q54" s="163"/>
      <c r="R54" s="163"/>
      <c r="S54" s="164"/>
      <c r="T54" s="95"/>
      <c r="U54" s="95"/>
      <c r="V54" s="165"/>
      <c r="W54" s="166"/>
      <c r="X54" s="167"/>
      <c r="Y54" s="95"/>
      <c r="Z54" s="95"/>
    </row>
    <row r="55" spans="1:26" ht="18" customHeight="1" x14ac:dyDescent="0.15">
      <c r="A55" s="19"/>
      <c r="B55" s="183"/>
      <c r="C55" s="184"/>
      <c r="D55" s="184"/>
      <c r="E55" s="184"/>
      <c r="F55" s="185"/>
      <c r="G55" s="96"/>
      <c r="H55" s="96"/>
      <c r="I55" s="174"/>
      <c r="J55" s="175"/>
      <c r="K55" s="176"/>
      <c r="L55" s="100"/>
      <c r="M55" s="100"/>
      <c r="N55" s="171"/>
      <c r="O55" s="172"/>
      <c r="P55" s="172"/>
      <c r="Q55" s="172"/>
      <c r="R55" s="172"/>
      <c r="S55" s="173"/>
      <c r="T55" s="96"/>
      <c r="U55" s="96"/>
      <c r="V55" s="174"/>
      <c r="W55" s="175"/>
      <c r="X55" s="176"/>
      <c r="Y55" s="100"/>
      <c r="Z55" s="100"/>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26" t="s">
        <v>90</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row>
    <row r="58" spans="1:26" ht="18" customHeight="1" x14ac:dyDescent="0.15">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row>
    <row r="59" spans="1:26" ht="18" customHeight="1" x14ac:dyDescent="0.15">
      <c r="A59" s="13"/>
      <c r="B59" s="177" t="s">
        <v>72</v>
      </c>
      <c r="C59" s="178"/>
      <c r="D59" s="178"/>
      <c r="E59" s="179"/>
      <c r="F59" s="20" t="s">
        <v>73</v>
      </c>
      <c r="G59" s="93" t="s">
        <v>74</v>
      </c>
      <c r="H59" s="16" t="s">
        <v>75</v>
      </c>
      <c r="I59" s="90"/>
      <c r="J59" s="17"/>
      <c r="K59" s="60" t="s">
        <v>91</v>
      </c>
      <c r="L59" s="60" t="s">
        <v>92</v>
      </c>
      <c r="M59" s="60" t="s">
        <v>93</v>
      </c>
      <c r="N59" s="177" t="s">
        <v>72</v>
      </c>
      <c r="O59" s="178"/>
      <c r="P59" s="178"/>
      <c r="Q59" s="178"/>
      <c r="R59" s="179"/>
      <c r="S59" s="20" t="s">
        <v>73</v>
      </c>
      <c r="T59" s="93" t="s">
        <v>74</v>
      </c>
      <c r="U59" s="16" t="s">
        <v>75</v>
      </c>
      <c r="V59" s="90"/>
      <c r="W59" s="17"/>
      <c r="X59" s="60" t="s">
        <v>91</v>
      </c>
      <c r="Y59" s="60" t="s">
        <v>92</v>
      </c>
      <c r="Z59" s="60" t="s">
        <v>93</v>
      </c>
    </row>
    <row r="60" spans="1:26" ht="18" customHeight="1" x14ac:dyDescent="0.15">
      <c r="A60" s="19"/>
      <c r="B60" s="162" t="s">
        <v>78</v>
      </c>
      <c r="C60" s="163"/>
      <c r="D60" s="163"/>
      <c r="E60" s="164"/>
      <c r="F60" s="95">
        <v>2</v>
      </c>
      <c r="G60" s="94" t="s">
        <v>80</v>
      </c>
      <c r="H60" s="165" t="s">
        <v>79</v>
      </c>
      <c r="I60" s="166"/>
      <c r="J60" s="167"/>
      <c r="K60" s="95" t="s">
        <v>80</v>
      </c>
      <c r="L60" s="95" t="s">
        <v>80</v>
      </c>
      <c r="M60" s="95" t="s">
        <v>80</v>
      </c>
      <c r="N60" s="168"/>
      <c r="O60" s="169"/>
      <c r="P60" s="169"/>
      <c r="Q60" s="169"/>
      <c r="R60" s="170"/>
      <c r="S60" s="94"/>
      <c r="T60" s="94"/>
      <c r="U60" s="223"/>
      <c r="V60" s="224"/>
      <c r="W60" s="225"/>
      <c r="X60" s="99"/>
      <c r="Y60" s="94"/>
      <c r="Z60" s="94"/>
    </row>
    <row r="61" spans="1:26" ht="18" customHeight="1" x14ac:dyDescent="0.15">
      <c r="A61" s="19"/>
      <c r="B61" s="162"/>
      <c r="C61" s="163"/>
      <c r="D61" s="163"/>
      <c r="E61" s="164"/>
      <c r="F61" s="95"/>
      <c r="G61" s="95"/>
      <c r="H61" s="165"/>
      <c r="I61" s="166"/>
      <c r="J61" s="167"/>
      <c r="K61" s="97"/>
      <c r="L61" s="95"/>
      <c r="M61" s="95"/>
      <c r="N61" s="162"/>
      <c r="O61" s="163"/>
      <c r="P61" s="163"/>
      <c r="Q61" s="163"/>
      <c r="R61" s="164"/>
      <c r="S61" s="95"/>
      <c r="T61" s="95"/>
      <c r="U61" s="165"/>
      <c r="V61" s="166"/>
      <c r="W61" s="167"/>
      <c r="X61" s="97"/>
      <c r="Y61" s="95"/>
      <c r="Z61" s="95"/>
    </row>
    <row r="62" spans="1:26" ht="18" customHeight="1" x14ac:dyDescent="0.15">
      <c r="A62" s="19"/>
      <c r="B62" s="162"/>
      <c r="C62" s="163"/>
      <c r="D62" s="163"/>
      <c r="E62" s="164"/>
      <c r="F62" s="95"/>
      <c r="G62" s="95"/>
      <c r="H62" s="165"/>
      <c r="I62" s="166"/>
      <c r="J62" s="167"/>
      <c r="K62" s="97"/>
      <c r="L62" s="95"/>
      <c r="M62" s="95"/>
      <c r="N62" s="162"/>
      <c r="O62" s="163"/>
      <c r="P62" s="163"/>
      <c r="Q62" s="163"/>
      <c r="R62" s="164"/>
      <c r="S62" s="95"/>
      <c r="T62" s="95"/>
      <c r="U62" s="165"/>
      <c r="V62" s="166"/>
      <c r="W62" s="167"/>
      <c r="X62" s="97"/>
      <c r="Y62" s="95"/>
      <c r="Z62" s="95"/>
    </row>
    <row r="63" spans="1:26" ht="18" customHeight="1" x14ac:dyDescent="0.15">
      <c r="A63" s="19"/>
      <c r="B63" s="162"/>
      <c r="C63" s="163"/>
      <c r="D63" s="163"/>
      <c r="E63" s="164"/>
      <c r="F63" s="95"/>
      <c r="G63" s="95"/>
      <c r="H63" s="165"/>
      <c r="I63" s="166"/>
      <c r="J63" s="167"/>
      <c r="K63" s="97"/>
      <c r="L63" s="95"/>
      <c r="M63" s="95"/>
      <c r="N63" s="162"/>
      <c r="O63" s="163"/>
      <c r="P63" s="163"/>
      <c r="Q63" s="163"/>
      <c r="R63" s="164"/>
      <c r="S63" s="95"/>
      <c r="T63" s="95"/>
      <c r="U63" s="165"/>
      <c r="V63" s="166"/>
      <c r="W63" s="167"/>
      <c r="X63" s="97"/>
      <c r="Y63" s="95"/>
      <c r="Z63" s="95"/>
    </row>
    <row r="64" spans="1:26" ht="18" customHeight="1" x14ac:dyDescent="0.15">
      <c r="A64" s="19"/>
      <c r="B64" s="162"/>
      <c r="C64" s="163"/>
      <c r="D64" s="163"/>
      <c r="E64" s="164"/>
      <c r="F64" s="95"/>
      <c r="G64" s="95"/>
      <c r="H64" s="165"/>
      <c r="I64" s="166"/>
      <c r="J64" s="167"/>
      <c r="K64" s="97"/>
      <c r="L64" s="95"/>
      <c r="M64" s="95"/>
      <c r="N64" s="162"/>
      <c r="O64" s="163"/>
      <c r="P64" s="163"/>
      <c r="Q64" s="163"/>
      <c r="R64" s="164"/>
      <c r="S64" s="95"/>
      <c r="T64" s="95"/>
      <c r="U64" s="165"/>
      <c r="V64" s="166"/>
      <c r="W64" s="167"/>
      <c r="X64" s="97"/>
      <c r="Y64" s="95"/>
      <c r="Z64" s="95"/>
    </row>
    <row r="65" spans="1:26" ht="18" customHeight="1" x14ac:dyDescent="0.15">
      <c r="A65" s="19"/>
      <c r="B65" s="162"/>
      <c r="C65" s="163"/>
      <c r="D65" s="163"/>
      <c r="E65" s="164"/>
      <c r="F65" s="95"/>
      <c r="G65" s="95"/>
      <c r="H65" s="165"/>
      <c r="I65" s="166"/>
      <c r="J65" s="167"/>
      <c r="K65" s="97"/>
      <c r="L65" s="95"/>
      <c r="M65" s="95"/>
      <c r="N65" s="162"/>
      <c r="O65" s="163"/>
      <c r="P65" s="163"/>
      <c r="Q65" s="163"/>
      <c r="R65" s="164"/>
      <c r="S65" s="95"/>
      <c r="T65" s="95"/>
      <c r="U65" s="165"/>
      <c r="V65" s="166"/>
      <c r="W65" s="167"/>
      <c r="X65" s="97"/>
      <c r="Y65" s="95"/>
      <c r="Z65" s="95"/>
    </row>
    <row r="66" spans="1:26" ht="18" customHeight="1" x14ac:dyDescent="0.15">
      <c r="A66" s="19"/>
      <c r="B66" s="171"/>
      <c r="C66" s="172"/>
      <c r="D66" s="172"/>
      <c r="E66" s="173"/>
      <c r="F66" s="96"/>
      <c r="G66" s="96"/>
      <c r="H66" s="174"/>
      <c r="I66" s="175"/>
      <c r="J66" s="176"/>
      <c r="K66" s="98"/>
      <c r="L66" s="100"/>
      <c r="M66" s="100"/>
      <c r="N66" s="171"/>
      <c r="O66" s="172"/>
      <c r="P66" s="172"/>
      <c r="Q66" s="172"/>
      <c r="R66" s="173"/>
      <c r="S66" s="96"/>
      <c r="T66" s="96"/>
      <c r="U66" s="174"/>
      <c r="V66" s="175"/>
      <c r="W66" s="176"/>
      <c r="X66" s="98"/>
      <c r="Y66" s="100"/>
      <c r="Z66" s="100"/>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3" t="s">
        <v>94</v>
      </c>
      <c r="B68" s="13"/>
      <c r="C68" s="13"/>
      <c r="D68" s="13"/>
      <c r="E68" s="13"/>
      <c r="F68" s="13"/>
      <c r="G68" s="13"/>
      <c r="H68" s="13"/>
      <c r="I68" s="13"/>
      <c r="J68" s="13"/>
      <c r="K68" s="13"/>
      <c r="L68" s="19"/>
      <c r="M68" s="19"/>
      <c r="N68" s="19"/>
      <c r="O68" s="19"/>
      <c r="P68" s="19"/>
      <c r="Q68" s="19"/>
      <c r="R68" s="19"/>
      <c r="S68" s="19"/>
      <c r="T68" s="19"/>
      <c r="U68" s="19"/>
      <c r="V68" s="19"/>
      <c r="W68" s="19"/>
      <c r="X68" s="19"/>
      <c r="Y68" s="19"/>
      <c r="Z68" s="19"/>
    </row>
    <row r="69" spans="1:26" ht="18" customHeight="1" x14ac:dyDescent="0.15">
      <c r="A69" s="13"/>
      <c r="B69" s="177" t="s">
        <v>72</v>
      </c>
      <c r="C69" s="178"/>
      <c r="D69" s="178"/>
      <c r="E69" s="178"/>
      <c r="F69" s="179"/>
      <c r="G69" s="177" t="s">
        <v>95</v>
      </c>
      <c r="H69" s="178"/>
      <c r="I69" s="178"/>
      <c r="J69" s="178"/>
      <c r="K69" s="178"/>
      <c r="L69" s="178"/>
      <c r="M69" s="179"/>
      <c r="N69" s="190" t="s">
        <v>72</v>
      </c>
      <c r="O69" s="191"/>
      <c r="P69" s="191"/>
      <c r="Q69" s="191"/>
      <c r="R69" s="191"/>
      <c r="S69" s="192"/>
      <c r="T69" s="177" t="s">
        <v>95</v>
      </c>
      <c r="U69" s="178"/>
      <c r="V69" s="178"/>
      <c r="W69" s="178"/>
      <c r="X69" s="178"/>
      <c r="Y69" s="178"/>
      <c r="Z69" s="179"/>
    </row>
    <row r="70" spans="1:26" ht="18" customHeight="1" x14ac:dyDescent="0.15">
      <c r="A70" s="19"/>
      <c r="B70" s="168" t="s">
        <v>78</v>
      </c>
      <c r="C70" s="169"/>
      <c r="D70" s="169"/>
      <c r="E70" s="169"/>
      <c r="F70" s="170"/>
      <c r="G70" s="237" t="s">
        <v>96</v>
      </c>
      <c r="H70" s="238"/>
      <c r="I70" s="238"/>
      <c r="J70" s="238"/>
      <c r="K70" s="238"/>
      <c r="L70" s="238"/>
      <c r="M70" s="239"/>
      <c r="N70" s="168"/>
      <c r="O70" s="169"/>
      <c r="P70" s="169"/>
      <c r="Q70" s="169"/>
      <c r="R70" s="169"/>
      <c r="S70" s="170"/>
      <c r="T70" s="237"/>
      <c r="U70" s="238"/>
      <c r="V70" s="238"/>
      <c r="W70" s="238"/>
      <c r="X70" s="238"/>
      <c r="Y70" s="238"/>
      <c r="Z70" s="239"/>
    </row>
    <row r="71" spans="1:26" ht="18" customHeight="1" x14ac:dyDescent="0.15">
      <c r="A71" s="19"/>
      <c r="B71" s="162"/>
      <c r="C71" s="163"/>
      <c r="D71" s="163"/>
      <c r="E71" s="163"/>
      <c r="F71" s="164"/>
      <c r="G71" s="208"/>
      <c r="H71" s="209"/>
      <c r="I71" s="209"/>
      <c r="J71" s="209"/>
      <c r="K71" s="209"/>
      <c r="L71" s="209"/>
      <c r="M71" s="210"/>
      <c r="N71" s="162"/>
      <c r="O71" s="163"/>
      <c r="P71" s="163"/>
      <c r="Q71" s="163"/>
      <c r="R71" s="163"/>
      <c r="S71" s="164"/>
      <c r="T71" s="208"/>
      <c r="U71" s="209"/>
      <c r="V71" s="209"/>
      <c r="W71" s="209"/>
      <c r="X71" s="209"/>
      <c r="Y71" s="209"/>
      <c r="Z71" s="210"/>
    </row>
    <row r="72" spans="1:26" ht="18" customHeight="1" x14ac:dyDescent="0.15">
      <c r="A72" s="19"/>
      <c r="B72" s="162"/>
      <c r="C72" s="163"/>
      <c r="D72" s="163"/>
      <c r="E72" s="163"/>
      <c r="F72" s="164"/>
      <c r="G72" s="208"/>
      <c r="H72" s="209"/>
      <c r="I72" s="209"/>
      <c r="J72" s="209"/>
      <c r="K72" s="209"/>
      <c r="L72" s="209"/>
      <c r="M72" s="210"/>
      <c r="N72" s="162"/>
      <c r="O72" s="163"/>
      <c r="P72" s="163"/>
      <c r="Q72" s="163"/>
      <c r="R72" s="163"/>
      <c r="S72" s="164"/>
      <c r="T72" s="208"/>
      <c r="U72" s="209"/>
      <c r="V72" s="209"/>
      <c r="W72" s="209"/>
      <c r="X72" s="209"/>
      <c r="Y72" s="209"/>
      <c r="Z72" s="210"/>
    </row>
    <row r="73" spans="1:26" ht="18" customHeight="1" x14ac:dyDescent="0.15">
      <c r="A73" s="19"/>
      <c r="B73" s="162"/>
      <c r="C73" s="163"/>
      <c r="D73" s="163"/>
      <c r="E73" s="163"/>
      <c r="F73" s="164"/>
      <c r="G73" s="208"/>
      <c r="H73" s="209"/>
      <c r="I73" s="209"/>
      <c r="J73" s="209"/>
      <c r="K73" s="209"/>
      <c r="L73" s="209"/>
      <c r="M73" s="210"/>
      <c r="N73" s="162"/>
      <c r="O73" s="163"/>
      <c r="P73" s="163"/>
      <c r="Q73" s="163"/>
      <c r="R73" s="163"/>
      <c r="S73" s="164"/>
      <c r="T73" s="208"/>
      <c r="U73" s="209"/>
      <c r="V73" s="209"/>
      <c r="W73" s="209"/>
      <c r="X73" s="209"/>
      <c r="Y73" s="209"/>
      <c r="Z73" s="210"/>
    </row>
    <row r="74" spans="1:26" ht="18" customHeight="1" x14ac:dyDescent="0.15">
      <c r="A74" s="19"/>
      <c r="B74" s="162"/>
      <c r="C74" s="163"/>
      <c r="D74" s="163"/>
      <c r="E74" s="163"/>
      <c r="F74" s="164"/>
      <c r="G74" s="208"/>
      <c r="H74" s="209"/>
      <c r="I74" s="209"/>
      <c r="J74" s="209"/>
      <c r="K74" s="209"/>
      <c r="L74" s="209"/>
      <c r="M74" s="210"/>
      <c r="N74" s="162"/>
      <c r="O74" s="163"/>
      <c r="P74" s="163"/>
      <c r="Q74" s="163"/>
      <c r="R74" s="163"/>
      <c r="S74" s="164"/>
      <c r="T74" s="208"/>
      <c r="U74" s="209"/>
      <c r="V74" s="209"/>
      <c r="W74" s="209"/>
      <c r="X74" s="209"/>
      <c r="Y74" s="209"/>
      <c r="Z74" s="210"/>
    </row>
    <row r="75" spans="1:26" ht="18" customHeight="1" x14ac:dyDescent="0.15">
      <c r="A75" s="19"/>
      <c r="B75" s="162"/>
      <c r="C75" s="163"/>
      <c r="D75" s="163"/>
      <c r="E75" s="163"/>
      <c r="F75" s="164"/>
      <c r="G75" s="208"/>
      <c r="H75" s="209"/>
      <c r="I75" s="209"/>
      <c r="J75" s="209"/>
      <c r="K75" s="209"/>
      <c r="L75" s="209"/>
      <c r="M75" s="210"/>
      <c r="N75" s="162"/>
      <c r="O75" s="163"/>
      <c r="P75" s="163"/>
      <c r="Q75" s="163"/>
      <c r="R75" s="163"/>
      <c r="S75" s="164"/>
      <c r="T75" s="208"/>
      <c r="U75" s="209"/>
      <c r="V75" s="209"/>
      <c r="W75" s="209"/>
      <c r="X75" s="209"/>
      <c r="Y75" s="209"/>
      <c r="Z75" s="210"/>
    </row>
    <row r="76" spans="1:26" ht="18" customHeight="1" x14ac:dyDescent="0.15">
      <c r="A76" s="19"/>
      <c r="B76" s="171"/>
      <c r="C76" s="172"/>
      <c r="D76" s="172"/>
      <c r="E76" s="172"/>
      <c r="F76" s="173"/>
      <c r="G76" s="205"/>
      <c r="H76" s="206"/>
      <c r="I76" s="206"/>
      <c r="J76" s="206"/>
      <c r="K76" s="206"/>
      <c r="L76" s="206"/>
      <c r="M76" s="207"/>
      <c r="N76" s="171"/>
      <c r="O76" s="172"/>
      <c r="P76" s="172"/>
      <c r="Q76" s="172"/>
      <c r="R76" s="172"/>
      <c r="S76" s="173"/>
      <c r="T76" s="205"/>
      <c r="U76" s="206"/>
      <c r="V76" s="206"/>
      <c r="W76" s="206"/>
      <c r="X76" s="206"/>
      <c r="Y76" s="206"/>
      <c r="Z76" s="207"/>
    </row>
    <row r="77" spans="1:26" ht="18" customHeight="1" x14ac:dyDescent="0.15">
      <c r="A77" s="19"/>
      <c r="B77" s="25"/>
      <c r="C77" s="25"/>
      <c r="D77" s="25"/>
      <c r="E77" s="25"/>
      <c r="F77" s="25"/>
      <c r="G77" s="11"/>
      <c r="H77" s="11"/>
      <c r="I77" s="11"/>
      <c r="J77" s="11"/>
      <c r="K77" s="11"/>
      <c r="L77" s="11"/>
      <c r="M77" s="11"/>
      <c r="N77" s="25"/>
      <c r="O77" s="25"/>
      <c r="P77" s="25"/>
      <c r="Q77" s="25"/>
      <c r="R77" s="25"/>
      <c r="S77" s="25"/>
      <c r="T77" s="11"/>
      <c r="U77" s="11"/>
      <c r="V77" s="11"/>
      <c r="W77" s="11"/>
      <c r="X77" s="11"/>
      <c r="Y77" s="11"/>
      <c r="Z77" s="11"/>
    </row>
    <row r="78" spans="1:26" ht="18.95" customHeight="1" x14ac:dyDescent="0.15">
      <c r="A78" s="12" t="s">
        <v>97</v>
      </c>
    </row>
    <row r="79" spans="1:26" ht="18.95" customHeight="1" x14ac:dyDescent="0.15">
      <c r="B79" s="62" t="s">
        <v>98</v>
      </c>
      <c r="C79" s="63"/>
      <c r="D79" s="260" t="s">
        <v>99</v>
      </c>
      <c r="E79" s="260"/>
      <c r="F79" s="260"/>
      <c r="G79" s="260"/>
      <c r="H79" s="260"/>
      <c r="I79" s="260"/>
      <c r="J79" s="260"/>
      <c r="K79" s="260"/>
      <c r="L79" s="260"/>
      <c r="M79" s="260"/>
      <c r="N79" s="260"/>
      <c r="O79" s="260"/>
      <c r="P79" s="260"/>
      <c r="Q79" s="260"/>
      <c r="R79" s="260"/>
      <c r="S79" s="260"/>
      <c r="T79" s="260"/>
      <c r="U79" s="260"/>
      <c r="V79" s="260"/>
      <c r="W79" s="260"/>
      <c r="X79" s="260"/>
      <c r="Y79" s="260"/>
      <c r="Z79" s="261"/>
    </row>
    <row r="80" spans="1:26" ht="78" customHeight="1" x14ac:dyDescent="0.15">
      <c r="B80" s="245" t="s">
        <v>100</v>
      </c>
      <c r="C80" s="69" t="s">
        <v>76</v>
      </c>
      <c r="D80" s="254" t="s">
        <v>101</v>
      </c>
      <c r="E80" s="255"/>
      <c r="F80" s="255"/>
      <c r="G80" s="255"/>
      <c r="H80" s="255"/>
      <c r="I80" s="255"/>
      <c r="J80" s="255"/>
      <c r="K80" s="255"/>
      <c r="L80" s="255"/>
      <c r="M80" s="255"/>
      <c r="N80" s="255"/>
      <c r="O80" s="255"/>
      <c r="P80" s="255"/>
      <c r="Q80" s="255"/>
      <c r="R80" s="255"/>
      <c r="S80" s="255"/>
      <c r="T80" s="255"/>
      <c r="U80" s="255"/>
      <c r="V80" s="255"/>
      <c r="W80" s="255"/>
      <c r="X80" s="255"/>
      <c r="Y80" s="255"/>
      <c r="Z80" s="256"/>
    </row>
    <row r="81" spans="1:26" ht="78" customHeight="1" x14ac:dyDescent="0.15">
      <c r="B81" s="246"/>
      <c r="C81" s="91" t="s">
        <v>102</v>
      </c>
      <c r="D81" s="211" t="s">
        <v>103</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243" t="s">
        <v>104</v>
      </c>
      <c r="C82" s="64" t="s">
        <v>82</v>
      </c>
      <c r="D82" s="214" t="s">
        <v>105</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244"/>
      <c r="C83" s="92" t="s">
        <v>83</v>
      </c>
      <c r="D83" s="220" t="s">
        <v>106</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243" t="s">
        <v>107</v>
      </c>
      <c r="C84" s="64" t="s">
        <v>85</v>
      </c>
      <c r="D84" s="214" t="s">
        <v>108</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244"/>
      <c r="C85" s="66" t="s">
        <v>86</v>
      </c>
      <c r="D85" s="217" t="s">
        <v>109</v>
      </c>
      <c r="E85" s="218"/>
      <c r="F85" s="218"/>
      <c r="G85" s="218"/>
      <c r="H85" s="218"/>
      <c r="I85" s="218"/>
      <c r="J85" s="218"/>
      <c r="K85" s="218"/>
      <c r="L85" s="218"/>
      <c r="M85" s="218"/>
      <c r="N85" s="218"/>
      <c r="O85" s="218"/>
      <c r="P85" s="218"/>
      <c r="Q85" s="218"/>
      <c r="R85" s="218"/>
      <c r="S85" s="218"/>
      <c r="T85" s="218"/>
      <c r="U85" s="218"/>
      <c r="V85" s="218"/>
      <c r="W85" s="218"/>
      <c r="X85" s="218"/>
      <c r="Y85" s="218"/>
      <c r="Z85" s="219"/>
    </row>
    <row r="86" spans="1:26" ht="66" customHeight="1" x14ac:dyDescent="0.15">
      <c r="B86" s="245" t="s">
        <v>110</v>
      </c>
      <c r="C86" s="69" t="s">
        <v>88</v>
      </c>
      <c r="D86" s="254" t="s">
        <v>111</v>
      </c>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ht="66" customHeight="1" x14ac:dyDescent="0.15">
      <c r="B87" s="253"/>
      <c r="C87" s="65" t="s">
        <v>89</v>
      </c>
      <c r="D87" s="257" t="s">
        <v>112</v>
      </c>
      <c r="E87" s="258"/>
      <c r="F87" s="258"/>
      <c r="G87" s="258"/>
      <c r="H87" s="258"/>
      <c r="I87" s="258"/>
      <c r="J87" s="258"/>
      <c r="K87" s="258"/>
      <c r="L87" s="258"/>
      <c r="M87" s="258"/>
      <c r="N87" s="258"/>
      <c r="O87" s="258"/>
      <c r="P87" s="258"/>
      <c r="Q87" s="258"/>
      <c r="R87" s="258"/>
      <c r="S87" s="258"/>
      <c r="T87" s="258"/>
      <c r="U87" s="258"/>
      <c r="V87" s="258"/>
      <c r="W87" s="258"/>
      <c r="X87" s="258"/>
      <c r="Y87" s="258"/>
      <c r="Z87" s="259"/>
    </row>
    <row r="88" spans="1:26" ht="66" customHeight="1" x14ac:dyDescent="0.15">
      <c r="B88" s="245" t="s">
        <v>113</v>
      </c>
      <c r="C88" s="64" t="s">
        <v>91</v>
      </c>
      <c r="D88" s="247" t="s">
        <v>114</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65" t="s">
        <v>92</v>
      </c>
      <c r="D89" s="240" t="s">
        <v>115</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66" t="s">
        <v>93</v>
      </c>
      <c r="D90" s="250" t="s">
        <v>116</v>
      </c>
      <c r="E90" s="251"/>
      <c r="F90" s="251"/>
      <c r="G90" s="251"/>
      <c r="H90" s="251"/>
      <c r="I90" s="251"/>
      <c r="J90" s="251"/>
      <c r="K90" s="251"/>
      <c r="L90" s="251"/>
      <c r="M90" s="251"/>
      <c r="N90" s="251"/>
      <c r="O90" s="251"/>
      <c r="P90" s="251"/>
      <c r="Q90" s="251"/>
      <c r="R90" s="251"/>
      <c r="S90" s="251"/>
      <c r="T90" s="251"/>
      <c r="U90" s="251"/>
      <c r="V90" s="251"/>
      <c r="W90" s="251"/>
      <c r="X90" s="251"/>
      <c r="Y90" s="251"/>
      <c r="Z90" s="252"/>
    </row>
    <row r="91" spans="1:26" ht="6" customHeight="1" x14ac:dyDescent="0.15"/>
    <row r="92" spans="1:26" ht="18.95" customHeight="1" x14ac:dyDescent="0.15">
      <c r="A92" s="12" t="s">
        <v>117</v>
      </c>
    </row>
    <row r="93" spans="1:26" ht="18.95" customHeight="1" x14ac:dyDescent="0.15">
      <c r="B93" s="193" t="s">
        <v>118</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95" customHeight="1" x14ac:dyDescent="0.15">
      <c r="B94" s="196"/>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8"/>
    </row>
    <row r="95" spans="1:26" ht="18.95" customHeight="1" x14ac:dyDescent="0.15">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6" customHeight="1" x14ac:dyDescent="0.15"/>
    <row r="97" spans="1:26" ht="15" customHeight="1" x14ac:dyDescent="0.15">
      <c r="A97" s="12" t="s">
        <v>119</v>
      </c>
    </row>
    <row r="98" spans="1:26" ht="15" customHeight="1" x14ac:dyDescent="0.15">
      <c r="B98" s="202" t="s">
        <v>205</v>
      </c>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H16:H22 H27:H33 Y38:Z44 H38:H44 Y49:Z55 Y60:Z66 H49:H55 K60 U16:U22 T60:T66 U27:U33 L27:M33 U38:U44 L38:M44 U49:U55 L49:M55 L60:M66 G60:G66">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9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186" t="s">
        <v>124</v>
      </c>
      <c r="X1" s="186"/>
      <c r="Y1" s="186"/>
      <c r="Z1" s="186"/>
    </row>
    <row r="2" spans="1:26" ht="18" customHeight="1" x14ac:dyDescent="0.15">
      <c r="A2" s="227" t="s">
        <v>66</v>
      </c>
      <c r="B2" s="227"/>
      <c r="C2" s="227"/>
      <c r="D2" s="227"/>
      <c r="E2" s="227"/>
      <c r="F2" s="227"/>
      <c r="G2" s="227"/>
      <c r="H2" s="227"/>
      <c r="I2" s="227"/>
      <c r="J2" s="227"/>
      <c r="K2" s="227"/>
      <c r="L2" s="227"/>
      <c r="M2" s="227"/>
      <c r="N2" s="227"/>
      <c r="O2" s="227"/>
      <c r="P2" s="227"/>
      <c r="Q2" s="227"/>
      <c r="R2" s="227"/>
      <c r="S2" s="227"/>
      <c r="T2" s="227"/>
      <c r="U2" s="227"/>
      <c r="V2" s="227"/>
      <c r="W2" s="227"/>
      <c r="X2" s="227"/>
      <c r="Y2" s="227"/>
      <c r="Z2" s="227"/>
    </row>
    <row r="3" spans="1:26"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15">
      <c r="A4" s="12" t="s">
        <v>67</v>
      </c>
      <c r="B4" s="19"/>
      <c r="C4" s="19"/>
      <c r="D4" s="19"/>
      <c r="E4" s="19"/>
      <c r="F4" s="19"/>
      <c r="G4" s="19"/>
      <c r="H4" s="13" t="s">
        <v>68</v>
      </c>
      <c r="I4" s="19"/>
      <c r="J4" s="19"/>
      <c r="K4" s="19"/>
      <c r="L4" s="19"/>
      <c r="M4" s="19"/>
      <c r="N4" s="19"/>
      <c r="O4" s="177" t="s">
        <v>69</v>
      </c>
      <c r="P4" s="178"/>
      <c r="Q4" s="178"/>
      <c r="R4" s="178"/>
      <c r="S4" s="178"/>
      <c r="T4" s="178"/>
      <c r="U4" s="178"/>
      <c r="V4" s="178"/>
      <c r="W4" s="178"/>
      <c r="X4" s="178"/>
      <c r="Y4" s="178"/>
      <c r="Z4" s="179"/>
    </row>
    <row r="5" spans="1:26" ht="6" customHeight="1" x14ac:dyDescent="0.15">
      <c r="B5" s="19"/>
      <c r="C5" s="19"/>
      <c r="D5" s="19"/>
      <c r="E5" s="19"/>
      <c r="F5" s="19"/>
      <c r="G5" s="19"/>
      <c r="H5" s="19"/>
      <c r="I5" s="19"/>
      <c r="J5" s="19"/>
      <c r="K5" s="19"/>
      <c r="L5" s="19"/>
      <c r="M5" s="19"/>
      <c r="N5" s="19"/>
      <c r="O5" s="14"/>
      <c r="P5" s="19"/>
      <c r="Q5" s="19"/>
      <c r="R5" s="19"/>
      <c r="S5" s="19"/>
      <c r="T5" s="19"/>
      <c r="U5" s="19"/>
      <c r="V5" s="19"/>
      <c r="W5" s="19"/>
      <c r="X5" s="19"/>
      <c r="Y5" s="19"/>
      <c r="Z5" s="19"/>
    </row>
    <row r="6" spans="1:26" ht="18" customHeight="1" x14ac:dyDescent="0.15">
      <c r="B6" s="262" t="s">
        <v>125</v>
      </c>
      <c r="C6" s="263"/>
      <c r="D6" s="263"/>
      <c r="E6" s="263"/>
      <c r="F6" s="263"/>
      <c r="G6" s="263"/>
      <c r="H6" s="263"/>
      <c r="I6" s="263"/>
      <c r="J6" s="263"/>
      <c r="K6" s="263"/>
      <c r="L6" s="263"/>
      <c r="M6" s="263"/>
      <c r="N6" s="263"/>
      <c r="O6" s="263"/>
      <c r="P6" s="263"/>
      <c r="Q6" s="263"/>
      <c r="R6" s="263"/>
      <c r="S6" s="263"/>
      <c r="T6" s="263"/>
      <c r="U6" s="263"/>
      <c r="V6" s="263"/>
      <c r="W6" s="263"/>
      <c r="X6" s="263"/>
      <c r="Y6" s="263"/>
      <c r="Z6" s="264"/>
    </row>
    <row r="7" spans="1:26" ht="18" customHeight="1" x14ac:dyDescent="0.15">
      <c r="B7" s="265"/>
      <c r="C7" s="266"/>
      <c r="D7" s="266"/>
      <c r="E7" s="266"/>
      <c r="F7" s="266"/>
      <c r="G7" s="266"/>
      <c r="H7" s="266"/>
      <c r="I7" s="266"/>
      <c r="J7" s="266"/>
      <c r="K7" s="266"/>
      <c r="L7" s="266"/>
      <c r="M7" s="266"/>
      <c r="N7" s="266"/>
      <c r="O7" s="266"/>
      <c r="P7" s="266"/>
      <c r="Q7" s="266"/>
      <c r="R7" s="266"/>
      <c r="S7" s="266"/>
      <c r="T7" s="266"/>
      <c r="U7" s="266"/>
      <c r="V7" s="266"/>
      <c r="W7" s="266"/>
      <c r="X7" s="266"/>
      <c r="Y7" s="266"/>
      <c r="Z7" s="267"/>
    </row>
    <row r="8" spans="1:26" ht="18" customHeight="1" x14ac:dyDescent="0.15">
      <c r="B8" s="265"/>
      <c r="C8" s="266"/>
      <c r="D8" s="266"/>
      <c r="E8" s="266"/>
      <c r="F8" s="266"/>
      <c r="G8" s="266"/>
      <c r="H8" s="266"/>
      <c r="I8" s="266"/>
      <c r="J8" s="266"/>
      <c r="K8" s="266"/>
      <c r="L8" s="266"/>
      <c r="M8" s="266"/>
      <c r="N8" s="266"/>
      <c r="O8" s="266"/>
      <c r="P8" s="266"/>
      <c r="Q8" s="266"/>
      <c r="R8" s="266"/>
      <c r="S8" s="266"/>
      <c r="T8" s="266"/>
      <c r="U8" s="266"/>
      <c r="V8" s="266"/>
      <c r="W8" s="266"/>
      <c r="X8" s="266"/>
      <c r="Y8" s="266"/>
      <c r="Z8" s="267"/>
    </row>
    <row r="9" spans="1:26" ht="18" customHeight="1" x14ac:dyDescent="0.15">
      <c r="B9" s="265"/>
      <c r="C9" s="266"/>
      <c r="D9" s="266"/>
      <c r="E9" s="266"/>
      <c r="F9" s="266"/>
      <c r="G9" s="266"/>
      <c r="H9" s="266"/>
      <c r="I9" s="266"/>
      <c r="J9" s="266"/>
      <c r="K9" s="266"/>
      <c r="L9" s="266"/>
      <c r="M9" s="266"/>
      <c r="N9" s="266"/>
      <c r="O9" s="266"/>
      <c r="P9" s="266"/>
      <c r="Q9" s="266"/>
      <c r="R9" s="266"/>
      <c r="S9" s="266"/>
      <c r="T9" s="266"/>
      <c r="U9" s="266"/>
      <c r="V9" s="266"/>
      <c r="W9" s="266"/>
      <c r="X9" s="266"/>
      <c r="Y9" s="266"/>
      <c r="Z9" s="267"/>
    </row>
    <row r="10" spans="1:26" ht="18" customHeight="1" x14ac:dyDescent="0.15">
      <c r="B10" s="265"/>
      <c r="C10" s="266"/>
      <c r="D10" s="266"/>
      <c r="E10" s="266"/>
      <c r="F10" s="266"/>
      <c r="G10" s="266"/>
      <c r="H10" s="266"/>
      <c r="I10" s="266"/>
      <c r="J10" s="266"/>
      <c r="K10" s="266"/>
      <c r="L10" s="266"/>
      <c r="M10" s="266"/>
      <c r="N10" s="266"/>
      <c r="O10" s="266"/>
      <c r="P10" s="266"/>
      <c r="Q10" s="266"/>
      <c r="R10" s="266"/>
      <c r="S10" s="266"/>
      <c r="T10" s="266"/>
      <c r="U10" s="266"/>
      <c r="V10" s="266"/>
      <c r="W10" s="266"/>
      <c r="X10" s="266"/>
      <c r="Y10" s="266"/>
      <c r="Z10" s="267"/>
    </row>
    <row r="11" spans="1:26" ht="18" customHeight="1" x14ac:dyDescent="0.15">
      <c r="B11" s="268"/>
      <c r="C11" s="269"/>
      <c r="D11" s="269"/>
      <c r="E11" s="269"/>
      <c r="F11" s="269"/>
      <c r="G11" s="269"/>
      <c r="H11" s="269"/>
      <c r="I11" s="269"/>
      <c r="J11" s="269"/>
      <c r="K11" s="269"/>
      <c r="L11" s="269"/>
      <c r="M11" s="269"/>
      <c r="N11" s="269"/>
      <c r="O11" s="269"/>
      <c r="P11" s="269"/>
      <c r="Q11" s="269"/>
      <c r="R11" s="269"/>
      <c r="S11" s="269"/>
      <c r="T11" s="269"/>
      <c r="U11" s="269"/>
      <c r="V11" s="269"/>
      <c r="W11" s="269"/>
      <c r="X11" s="269"/>
      <c r="Y11" s="269"/>
      <c r="Z11" s="270"/>
    </row>
    <row r="12" spans="1:26"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8" customHeight="1" x14ac:dyDescent="0.15">
      <c r="A13" s="226" t="s">
        <v>71</v>
      </c>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row>
    <row r="14" spans="1:26" ht="18" customHeight="1" x14ac:dyDescent="0.15">
      <c r="A14" s="226"/>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row>
    <row r="15" spans="1:26" ht="18" customHeight="1" x14ac:dyDescent="0.15">
      <c r="A15" s="13"/>
      <c r="B15" s="177" t="s">
        <v>72</v>
      </c>
      <c r="C15" s="178"/>
      <c r="D15" s="178"/>
      <c r="E15" s="178"/>
      <c r="F15" s="179"/>
      <c r="G15" s="20" t="s">
        <v>73</v>
      </c>
      <c r="H15" s="93" t="s">
        <v>74</v>
      </c>
      <c r="I15" s="178" t="s">
        <v>75</v>
      </c>
      <c r="J15" s="178"/>
      <c r="K15" s="178"/>
      <c r="L15" s="60" t="s">
        <v>76</v>
      </c>
      <c r="M15" s="60" t="s">
        <v>77</v>
      </c>
      <c r="N15" s="177" t="s">
        <v>72</v>
      </c>
      <c r="O15" s="178"/>
      <c r="P15" s="178"/>
      <c r="Q15" s="178"/>
      <c r="R15" s="178"/>
      <c r="S15" s="179"/>
      <c r="T15" s="20" t="s">
        <v>73</v>
      </c>
      <c r="U15" s="93" t="s">
        <v>74</v>
      </c>
      <c r="V15" s="178" t="s">
        <v>75</v>
      </c>
      <c r="W15" s="178"/>
      <c r="X15" s="178"/>
      <c r="Y15" s="60" t="s">
        <v>76</v>
      </c>
      <c r="Z15" s="60" t="s">
        <v>77</v>
      </c>
    </row>
    <row r="16" spans="1:26" ht="18" customHeight="1" x14ac:dyDescent="0.15">
      <c r="A16" s="13"/>
      <c r="B16" s="187" t="s">
        <v>78</v>
      </c>
      <c r="C16" s="188"/>
      <c r="D16" s="188"/>
      <c r="E16" s="188"/>
      <c r="F16" s="189"/>
      <c r="G16" s="94">
        <v>2</v>
      </c>
      <c r="H16" s="94" t="s">
        <v>80</v>
      </c>
      <c r="I16" s="223" t="s">
        <v>79</v>
      </c>
      <c r="J16" s="224"/>
      <c r="K16" s="225"/>
      <c r="L16" s="94" t="s">
        <v>80</v>
      </c>
      <c r="M16" s="94" t="s">
        <v>80</v>
      </c>
      <c r="N16" s="168"/>
      <c r="O16" s="169"/>
      <c r="P16" s="169"/>
      <c r="Q16" s="169"/>
      <c r="R16" s="169"/>
      <c r="S16" s="170"/>
      <c r="T16" s="94"/>
      <c r="U16" s="94"/>
      <c r="V16" s="223"/>
      <c r="W16" s="224"/>
      <c r="X16" s="225"/>
      <c r="Y16" s="94"/>
      <c r="Z16" s="94"/>
    </row>
    <row r="17" spans="1:26" ht="18" customHeight="1" x14ac:dyDescent="0.15">
      <c r="A17" s="13"/>
      <c r="B17" s="180"/>
      <c r="C17" s="181"/>
      <c r="D17" s="181"/>
      <c r="E17" s="181"/>
      <c r="F17" s="182"/>
      <c r="G17" s="95"/>
      <c r="H17" s="95"/>
      <c r="I17" s="165"/>
      <c r="J17" s="166"/>
      <c r="K17" s="167"/>
      <c r="L17" s="95"/>
      <c r="M17" s="95"/>
      <c r="N17" s="162"/>
      <c r="O17" s="163"/>
      <c r="P17" s="163"/>
      <c r="Q17" s="163"/>
      <c r="R17" s="163"/>
      <c r="S17" s="164"/>
      <c r="T17" s="95"/>
      <c r="U17" s="95"/>
      <c r="V17" s="165"/>
      <c r="W17" s="166"/>
      <c r="X17" s="167"/>
      <c r="Y17" s="95"/>
      <c r="Z17" s="95"/>
    </row>
    <row r="18" spans="1:26" ht="18" customHeight="1" x14ac:dyDescent="0.15">
      <c r="A18" s="13"/>
      <c r="B18" s="180"/>
      <c r="C18" s="181"/>
      <c r="D18" s="181"/>
      <c r="E18" s="181"/>
      <c r="F18" s="182"/>
      <c r="G18" s="95"/>
      <c r="H18" s="95"/>
      <c r="I18" s="165"/>
      <c r="J18" s="166"/>
      <c r="K18" s="167"/>
      <c r="L18" s="95"/>
      <c r="M18" s="95"/>
      <c r="N18" s="162"/>
      <c r="O18" s="163"/>
      <c r="P18" s="163"/>
      <c r="Q18" s="163"/>
      <c r="R18" s="163"/>
      <c r="S18" s="164"/>
      <c r="T18" s="95"/>
      <c r="U18" s="95"/>
      <c r="V18" s="165"/>
      <c r="W18" s="166"/>
      <c r="X18" s="167"/>
      <c r="Y18" s="95"/>
      <c r="Z18" s="95"/>
    </row>
    <row r="19" spans="1:26" ht="18" customHeight="1" x14ac:dyDescent="0.15">
      <c r="A19" s="13"/>
      <c r="B19" s="180"/>
      <c r="C19" s="181"/>
      <c r="D19" s="181"/>
      <c r="E19" s="181"/>
      <c r="F19" s="182"/>
      <c r="G19" s="95"/>
      <c r="H19" s="95"/>
      <c r="I19" s="165"/>
      <c r="J19" s="166"/>
      <c r="K19" s="167"/>
      <c r="L19" s="95"/>
      <c r="M19" s="95"/>
      <c r="N19" s="162"/>
      <c r="O19" s="163"/>
      <c r="P19" s="163"/>
      <c r="Q19" s="163"/>
      <c r="R19" s="163"/>
      <c r="S19" s="164"/>
      <c r="T19" s="95"/>
      <c r="U19" s="95"/>
      <c r="V19" s="165"/>
      <c r="W19" s="166"/>
      <c r="X19" s="167"/>
      <c r="Y19" s="95"/>
      <c r="Z19" s="95"/>
    </row>
    <row r="20" spans="1:26" ht="18" customHeight="1" x14ac:dyDescent="0.15">
      <c r="A20" s="13"/>
      <c r="B20" s="180"/>
      <c r="C20" s="181"/>
      <c r="D20" s="181"/>
      <c r="E20" s="181"/>
      <c r="F20" s="182"/>
      <c r="G20" s="95"/>
      <c r="H20" s="95"/>
      <c r="I20" s="165"/>
      <c r="J20" s="166"/>
      <c r="K20" s="167"/>
      <c r="L20" s="95"/>
      <c r="M20" s="95"/>
      <c r="N20" s="162"/>
      <c r="O20" s="163"/>
      <c r="P20" s="163"/>
      <c r="Q20" s="163"/>
      <c r="R20" s="163"/>
      <c r="S20" s="164"/>
      <c r="T20" s="95"/>
      <c r="U20" s="95"/>
      <c r="V20" s="165"/>
      <c r="W20" s="166"/>
      <c r="X20" s="167"/>
      <c r="Y20" s="95"/>
      <c r="Z20" s="95"/>
    </row>
    <row r="21" spans="1:26" ht="18" customHeight="1" x14ac:dyDescent="0.15">
      <c r="A21" s="19"/>
      <c r="B21" s="180"/>
      <c r="C21" s="181"/>
      <c r="D21" s="181"/>
      <c r="E21" s="181"/>
      <c r="F21" s="182"/>
      <c r="G21" s="95"/>
      <c r="H21" s="95"/>
      <c r="I21" s="165"/>
      <c r="J21" s="166"/>
      <c r="K21" s="167"/>
      <c r="L21" s="95"/>
      <c r="M21" s="95"/>
      <c r="N21" s="162"/>
      <c r="O21" s="163"/>
      <c r="P21" s="163"/>
      <c r="Q21" s="163"/>
      <c r="R21" s="163"/>
      <c r="S21" s="164"/>
      <c r="T21" s="95"/>
      <c r="U21" s="95"/>
      <c r="V21" s="165"/>
      <c r="W21" s="166"/>
      <c r="X21" s="167"/>
      <c r="Y21" s="95"/>
      <c r="Z21" s="95"/>
    </row>
    <row r="22" spans="1:26" ht="18" customHeight="1" x14ac:dyDescent="0.15">
      <c r="A22" s="19"/>
      <c r="B22" s="183"/>
      <c r="C22" s="184"/>
      <c r="D22" s="184"/>
      <c r="E22" s="184"/>
      <c r="F22" s="185"/>
      <c r="G22" s="96"/>
      <c r="H22" s="96"/>
      <c r="I22" s="174"/>
      <c r="J22" s="175"/>
      <c r="K22" s="176"/>
      <c r="L22" s="100"/>
      <c r="M22" s="100"/>
      <c r="N22" s="171"/>
      <c r="O22" s="172"/>
      <c r="P22" s="172"/>
      <c r="Q22" s="172"/>
      <c r="R22" s="172"/>
      <c r="S22" s="173"/>
      <c r="T22" s="96"/>
      <c r="U22" s="96"/>
      <c r="V22" s="174"/>
      <c r="W22" s="175"/>
      <c r="X22" s="176"/>
      <c r="Y22" s="100"/>
      <c r="Z22" s="100"/>
    </row>
    <row r="23" spans="1:26" ht="7.5" customHeight="1" x14ac:dyDescent="0.15">
      <c r="A23" s="19"/>
      <c r="B23" s="25"/>
      <c r="C23" s="25"/>
      <c r="D23" s="19"/>
      <c r="E23" s="19"/>
      <c r="F23" s="19"/>
      <c r="G23" s="19"/>
      <c r="H23" s="19"/>
      <c r="I23" s="19"/>
      <c r="J23" s="19"/>
      <c r="K23" s="19"/>
      <c r="L23" s="25"/>
      <c r="M23" s="25"/>
      <c r="N23" s="25"/>
      <c r="O23" s="25"/>
      <c r="P23" s="25"/>
      <c r="Q23" s="25"/>
      <c r="R23" s="25"/>
      <c r="S23" s="25"/>
      <c r="T23" s="25"/>
      <c r="U23" s="25"/>
      <c r="V23" s="25"/>
      <c r="W23" s="25"/>
      <c r="X23" s="25"/>
      <c r="Y23" s="25"/>
      <c r="Z23" s="19"/>
    </row>
    <row r="24" spans="1:26" ht="18" customHeight="1" x14ac:dyDescent="0.15">
      <c r="A24" s="226" t="s">
        <v>81</v>
      </c>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row>
    <row r="25" spans="1:26" ht="18" customHeight="1" x14ac:dyDescent="0.15">
      <c r="A25" s="226"/>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ht="18" customHeight="1" x14ac:dyDescent="0.15">
      <c r="A26" s="13"/>
      <c r="B26" s="177" t="s">
        <v>72</v>
      </c>
      <c r="C26" s="178"/>
      <c r="D26" s="178"/>
      <c r="E26" s="178"/>
      <c r="F26" s="179"/>
      <c r="G26" s="20" t="s">
        <v>73</v>
      </c>
      <c r="H26" s="93" t="s">
        <v>74</v>
      </c>
      <c r="I26" s="178" t="s">
        <v>75</v>
      </c>
      <c r="J26" s="178"/>
      <c r="K26" s="178"/>
      <c r="L26" s="60" t="s">
        <v>82</v>
      </c>
      <c r="M26" s="60" t="s">
        <v>83</v>
      </c>
      <c r="N26" s="177" t="s">
        <v>72</v>
      </c>
      <c r="O26" s="178"/>
      <c r="P26" s="178"/>
      <c r="Q26" s="178"/>
      <c r="R26" s="178"/>
      <c r="S26" s="179"/>
      <c r="T26" s="20" t="s">
        <v>73</v>
      </c>
      <c r="U26" s="93" t="s">
        <v>74</v>
      </c>
      <c r="V26" s="178" t="s">
        <v>75</v>
      </c>
      <c r="W26" s="178"/>
      <c r="X26" s="178"/>
      <c r="Y26" s="60" t="s">
        <v>82</v>
      </c>
      <c r="Z26" s="60" t="s">
        <v>83</v>
      </c>
    </row>
    <row r="27" spans="1:26" ht="18" customHeight="1" x14ac:dyDescent="0.15">
      <c r="A27" s="13"/>
      <c r="B27" s="187" t="s">
        <v>78</v>
      </c>
      <c r="C27" s="188"/>
      <c r="D27" s="188"/>
      <c r="E27" s="188"/>
      <c r="F27" s="189"/>
      <c r="G27" s="94">
        <v>2</v>
      </c>
      <c r="H27" s="94" t="s">
        <v>80</v>
      </c>
      <c r="I27" s="223" t="s">
        <v>79</v>
      </c>
      <c r="J27" s="224"/>
      <c r="K27" s="225"/>
      <c r="L27" s="94" t="s">
        <v>80</v>
      </c>
      <c r="M27" s="94" t="s">
        <v>80</v>
      </c>
      <c r="N27" s="168"/>
      <c r="O27" s="169"/>
      <c r="P27" s="169"/>
      <c r="Q27" s="169"/>
      <c r="R27" s="169"/>
      <c r="S27" s="170"/>
      <c r="T27" s="94"/>
      <c r="U27" s="94"/>
      <c r="V27" s="223"/>
      <c r="W27" s="224"/>
      <c r="X27" s="225"/>
      <c r="Y27" s="94"/>
      <c r="Z27" s="94"/>
    </row>
    <row r="28" spans="1:26" ht="18" customHeight="1" x14ac:dyDescent="0.15">
      <c r="A28" s="13"/>
      <c r="B28" s="180"/>
      <c r="C28" s="181"/>
      <c r="D28" s="181"/>
      <c r="E28" s="181"/>
      <c r="F28" s="182"/>
      <c r="G28" s="95"/>
      <c r="H28" s="95"/>
      <c r="I28" s="165"/>
      <c r="J28" s="166"/>
      <c r="K28" s="167"/>
      <c r="L28" s="95"/>
      <c r="M28" s="95"/>
      <c r="N28" s="162"/>
      <c r="O28" s="163"/>
      <c r="P28" s="163"/>
      <c r="Q28" s="163"/>
      <c r="R28" s="163"/>
      <c r="S28" s="164"/>
      <c r="T28" s="95"/>
      <c r="U28" s="95"/>
      <c r="V28" s="165"/>
      <c r="W28" s="166"/>
      <c r="X28" s="167"/>
      <c r="Y28" s="95"/>
      <c r="Z28" s="95"/>
    </row>
    <row r="29" spans="1:26" ht="18" customHeight="1" x14ac:dyDescent="0.15">
      <c r="A29" s="13"/>
      <c r="B29" s="180"/>
      <c r="C29" s="181"/>
      <c r="D29" s="181"/>
      <c r="E29" s="181"/>
      <c r="F29" s="182"/>
      <c r="G29" s="95"/>
      <c r="H29" s="95"/>
      <c r="I29" s="165"/>
      <c r="J29" s="166"/>
      <c r="K29" s="167"/>
      <c r="L29" s="95"/>
      <c r="M29" s="95"/>
      <c r="N29" s="162"/>
      <c r="O29" s="163"/>
      <c r="P29" s="163"/>
      <c r="Q29" s="163"/>
      <c r="R29" s="163"/>
      <c r="S29" s="164"/>
      <c r="T29" s="95"/>
      <c r="U29" s="95"/>
      <c r="V29" s="165"/>
      <c r="W29" s="166"/>
      <c r="X29" s="167"/>
      <c r="Y29" s="95"/>
      <c r="Z29" s="95"/>
    </row>
    <row r="30" spans="1:26" ht="18" customHeight="1" x14ac:dyDescent="0.15">
      <c r="A30" s="13"/>
      <c r="B30" s="180"/>
      <c r="C30" s="181"/>
      <c r="D30" s="181"/>
      <c r="E30" s="181"/>
      <c r="F30" s="182"/>
      <c r="G30" s="95"/>
      <c r="H30" s="95"/>
      <c r="I30" s="165"/>
      <c r="J30" s="166"/>
      <c r="K30" s="167"/>
      <c r="L30" s="95"/>
      <c r="M30" s="95"/>
      <c r="N30" s="162"/>
      <c r="O30" s="163"/>
      <c r="P30" s="163"/>
      <c r="Q30" s="163"/>
      <c r="R30" s="163"/>
      <c r="S30" s="164"/>
      <c r="T30" s="95"/>
      <c r="U30" s="95"/>
      <c r="V30" s="165"/>
      <c r="W30" s="166"/>
      <c r="X30" s="167"/>
      <c r="Y30" s="95"/>
      <c r="Z30" s="95"/>
    </row>
    <row r="31" spans="1:26" ht="18" customHeight="1" x14ac:dyDescent="0.15">
      <c r="A31" s="13"/>
      <c r="B31" s="180"/>
      <c r="C31" s="181"/>
      <c r="D31" s="181"/>
      <c r="E31" s="181"/>
      <c r="F31" s="182"/>
      <c r="G31" s="95"/>
      <c r="H31" s="95"/>
      <c r="I31" s="165"/>
      <c r="J31" s="166"/>
      <c r="K31" s="167"/>
      <c r="L31" s="95"/>
      <c r="M31" s="95"/>
      <c r="N31" s="162"/>
      <c r="O31" s="163"/>
      <c r="P31" s="163"/>
      <c r="Q31" s="163"/>
      <c r="R31" s="163"/>
      <c r="S31" s="164"/>
      <c r="T31" s="95"/>
      <c r="U31" s="95"/>
      <c r="V31" s="165"/>
      <c r="W31" s="166"/>
      <c r="X31" s="167"/>
      <c r="Y31" s="95"/>
      <c r="Z31" s="95"/>
    </row>
    <row r="32" spans="1:26" ht="18" customHeight="1" x14ac:dyDescent="0.15">
      <c r="A32" s="13"/>
      <c r="B32" s="180"/>
      <c r="C32" s="181"/>
      <c r="D32" s="181"/>
      <c r="E32" s="181"/>
      <c r="F32" s="182"/>
      <c r="G32" s="95"/>
      <c r="H32" s="95"/>
      <c r="I32" s="165"/>
      <c r="J32" s="166"/>
      <c r="K32" s="167"/>
      <c r="L32" s="95"/>
      <c r="M32" s="95"/>
      <c r="N32" s="162"/>
      <c r="O32" s="163"/>
      <c r="P32" s="163"/>
      <c r="Q32" s="163"/>
      <c r="R32" s="163"/>
      <c r="S32" s="164"/>
      <c r="T32" s="95"/>
      <c r="U32" s="95"/>
      <c r="V32" s="165"/>
      <c r="W32" s="166"/>
      <c r="X32" s="167"/>
      <c r="Y32" s="95"/>
      <c r="Z32" s="95"/>
    </row>
    <row r="33" spans="1:26" ht="18" customHeight="1" x14ac:dyDescent="0.15">
      <c r="A33" s="13"/>
      <c r="B33" s="183"/>
      <c r="C33" s="184"/>
      <c r="D33" s="184"/>
      <c r="E33" s="184"/>
      <c r="F33" s="185"/>
      <c r="G33" s="96"/>
      <c r="H33" s="96"/>
      <c r="I33" s="174"/>
      <c r="J33" s="175"/>
      <c r="K33" s="176"/>
      <c r="L33" s="100"/>
      <c r="M33" s="100"/>
      <c r="N33" s="171"/>
      <c r="O33" s="172"/>
      <c r="P33" s="172"/>
      <c r="Q33" s="172"/>
      <c r="R33" s="172"/>
      <c r="S33" s="173"/>
      <c r="T33" s="96"/>
      <c r="U33" s="96"/>
      <c r="V33" s="174"/>
      <c r="W33" s="175"/>
      <c r="X33" s="176"/>
      <c r="Y33" s="100"/>
      <c r="Z33" s="100"/>
    </row>
    <row r="34" spans="1:26" ht="7.5" customHeight="1" x14ac:dyDescent="0.15">
      <c r="A34" s="19"/>
      <c r="B34" s="25"/>
      <c r="C34" s="25"/>
      <c r="D34" s="19"/>
      <c r="E34" s="19"/>
      <c r="F34" s="19"/>
      <c r="G34" s="19"/>
      <c r="H34" s="19"/>
      <c r="I34" s="19"/>
      <c r="J34" s="19"/>
      <c r="K34" s="19"/>
      <c r="L34" s="25"/>
      <c r="M34" s="25"/>
      <c r="N34" s="25"/>
      <c r="O34" s="25"/>
      <c r="P34" s="25"/>
      <c r="Q34" s="25"/>
      <c r="R34" s="25"/>
      <c r="S34" s="25"/>
      <c r="T34" s="25"/>
      <c r="U34" s="25"/>
      <c r="V34" s="25"/>
      <c r="W34" s="25"/>
      <c r="X34" s="25"/>
      <c r="Y34" s="25"/>
      <c r="Z34" s="19"/>
    </row>
    <row r="35" spans="1:26" ht="18" customHeight="1" x14ac:dyDescent="0.15">
      <c r="A35" s="226" t="s">
        <v>84</v>
      </c>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26"/>
      <c r="Z35" s="226"/>
    </row>
    <row r="36" spans="1:26" ht="18" customHeight="1" x14ac:dyDescent="0.15">
      <c r="A36" s="226"/>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6"/>
      <c r="Z36" s="226"/>
    </row>
    <row r="37" spans="1:26" ht="18" customHeight="1" x14ac:dyDescent="0.15">
      <c r="A37" s="13"/>
      <c r="B37" s="177" t="s">
        <v>72</v>
      </c>
      <c r="C37" s="178"/>
      <c r="D37" s="178"/>
      <c r="E37" s="178"/>
      <c r="F37" s="179"/>
      <c r="G37" s="20" t="s">
        <v>73</v>
      </c>
      <c r="H37" s="93" t="s">
        <v>74</v>
      </c>
      <c r="I37" s="177" t="s">
        <v>75</v>
      </c>
      <c r="J37" s="178"/>
      <c r="K37" s="179"/>
      <c r="L37" s="60" t="s">
        <v>85</v>
      </c>
      <c r="M37" s="60" t="s">
        <v>86</v>
      </c>
      <c r="N37" s="177" t="s">
        <v>72</v>
      </c>
      <c r="O37" s="178"/>
      <c r="P37" s="178"/>
      <c r="Q37" s="178"/>
      <c r="R37" s="178"/>
      <c r="S37" s="179"/>
      <c r="T37" s="20" t="s">
        <v>73</v>
      </c>
      <c r="U37" s="93" t="s">
        <v>74</v>
      </c>
      <c r="V37" s="177" t="s">
        <v>75</v>
      </c>
      <c r="W37" s="178"/>
      <c r="X37" s="179"/>
      <c r="Y37" s="60" t="s">
        <v>85</v>
      </c>
      <c r="Z37" s="60" t="s">
        <v>86</v>
      </c>
    </row>
    <row r="38" spans="1:26" ht="18" customHeight="1" x14ac:dyDescent="0.15">
      <c r="A38" s="19"/>
      <c r="B38" s="187" t="s">
        <v>78</v>
      </c>
      <c r="C38" s="188"/>
      <c r="D38" s="188"/>
      <c r="E38" s="188"/>
      <c r="F38" s="189"/>
      <c r="G38" s="94">
        <v>2</v>
      </c>
      <c r="H38" s="94" t="s">
        <v>80</v>
      </c>
      <c r="I38" s="223" t="s">
        <v>79</v>
      </c>
      <c r="J38" s="224"/>
      <c r="K38" s="225"/>
      <c r="L38" s="94" t="s">
        <v>80</v>
      </c>
      <c r="M38" s="94" t="s">
        <v>80</v>
      </c>
      <c r="N38" s="168"/>
      <c r="O38" s="169"/>
      <c r="P38" s="169"/>
      <c r="Q38" s="169"/>
      <c r="R38" s="169"/>
      <c r="S38" s="170"/>
      <c r="T38" s="94"/>
      <c r="U38" s="94"/>
      <c r="V38" s="223"/>
      <c r="W38" s="224"/>
      <c r="X38" s="225"/>
      <c r="Y38" s="94"/>
      <c r="Z38" s="94"/>
    </row>
    <row r="39" spans="1:26" ht="18" customHeight="1" x14ac:dyDescent="0.15">
      <c r="A39" s="19"/>
      <c r="B39" s="180"/>
      <c r="C39" s="181"/>
      <c r="D39" s="181"/>
      <c r="E39" s="181"/>
      <c r="F39" s="182"/>
      <c r="G39" s="95"/>
      <c r="H39" s="95"/>
      <c r="I39" s="165"/>
      <c r="J39" s="166"/>
      <c r="K39" s="167"/>
      <c r="L39" s="95"/>
      <c r="M39" s="95"/>
      <c r="N39" s="162"/>
      <c r="O39" s="163"/>
      <c r="P39" s="163"/>
      <c r="Q39" s="163"/>
      <c r="R39" s="163"/>
      <c r="S39" s="164"/>
      <c r="T39" s="95"/>
      <c r="U39" s="95"/>
      <c r="V39" s="165"/>
      <c r="W39" s="166"/>
      <c r="X39" s="167"/>
      <c r="Y39" s="95"/>
      <c r="Z39" s="95"/>
    </row>
    <row r="40" spans="1:26" ht="18" customHeight="1" x14ac:dyDescent="0.15">
      <c r="A40" s="19"/>
      <c r="B40" s="180"/>
      <c r="C40" s="181"/>
      <c r="D40" s="181"/>
      <c r="E40" s="181"/>
      <c r="F40" s="182"/>
      <c r="G40" s="95"/>
      <c r="H40" s="95"/>
      <c r="I40" s="165"/>
      <c r="J40" s="166"/>
      <c r="K40" s="167"/>
      <c r="L40" s="95"/>
      <c r="M40" s="95"/>
      <c r="N40" s="162"/>
      <c r="O40" s="163"/>
      <c r="P40" s="163"/>
      <c r="Q40" s="163"/>
      <c r="R40" s="163"/>
      <c r="S40" s="164"/>
      <c r="T40" s="95"/>
      <c r="U40" s="95"/>
      <c r="V40" s="165"/>
      <c r="W40" s="166"/>
      <c r="X40" s="167"/>
      <c r="Y40" s="95"/>
      <c r="Z40" s="95"/>
    </row>
    <row r="41" spans="1:26" ht="18" customHeight="1" x14ac:dyDescent="0.15">
      <c r="A41" s="19"/>
      <c r="B41" s="180"/>
      <c r="C41" s="181"/>
      <c r="D41" s="181"/>
      <c r="E41" s="181"/>
      <c r="F41" s="182"/>
      <c r="G41" s="95"/>
      <c r="H41" s="95"/>
      <c r="I41" s="165"/>
      <c r="J41" s="166"/>
      <c r="K41" s="167"/>
      <c r="L41" s="95"/>
      <c r="M41" s="95"/>
      <c r="N41" s="162"/>
      <c r="O41" s="163"/>
      <c r="P41" s="163"/>
      <c r="Q41" s="163"/>
      <c r="R41" s="163"/>
      <c r="S41" s="164"/>
      <c r="T41" s="95"/>
      <c r="U41" s="95"/>
      <c r="V41" s="165"/>
      <c r="W41" s="166"/>
      <c r="X41" s="167"/>
      <c r="Y41" s="95"/>
      <c r="Z41" s="95"/>
    </row>
    <row r="42" spans="1:26" ht="18" customHeight="1" x14ac:dyDescent="0.15">
      <c r="A42" s="19"/>
      <c r="B42" s="180"/>
      <c r="C42" s="181"/>
      <c r="D42" s="181"/>
      <c r="E42" s="181"/>
      <c r="F42" s="182"/>
      <c r="G42" s="95"/>
      <c r="H42" s="95"/>
      <c r="I42" s="165"/>
      <c r="J42" s="166"/>
      <c r="K42" s="167"/>
      <c r="L42" s="95"/>
      <c r="M42" s="95"/>
      <c r="N42" s="162"/>
      <c r="O42" s="163"/>
      <c r="P42" s="163"/>
      <c r="Q42" s="163"/>
      <c r="R42" s="163"/>
      <c r="S42" s="164"/>
      <c r="T42" s="95"/>
      <c r="U42" s="95"/>
      <c r="V42" s="165"/>
      <c r="W42" s="166"/>
      <c r="X42" s="167"/>
      <c r="Y42" s="95"/>
      <c r="Z42" s="95"/>
    </row>
    <row r="43" spans="1:26" ht="18" customHeight="1" x14ac:dyDescent="0.15">
      <c r="A43" s="19"/>
      <c r="B43" s="180"/>
      <c r="C43" s="181"/>
      <c r="D43" s="181"/>
      <c r="E43" s="181"/>
      <c r="F43" s="182"/>
      <c r="G43" s="95"/>
      <c r="H43" s="95"/>
      <c r="I43" s="165"/>
      <c r="J43" s="166"/>
      <c r="K43" s="167"/>
      <c r="L43" s="95"/>
      <c r="M43" s="95"/>
      <c r="N43" s="162"/>
      <c r="O43" s="163"/>
      <c r="P43" s="163"/>
      <c r="Q43" s="163"/>
      <c r="R43" s="163"/>
      <c r="S43" s="164"/>
      <c r="T43" s="95"/>
      <c r="U43" s="95"/>
      <c r="V43" s="165"/>
      <c r="W43" s="166"/>
      <c r="X43" s="167"/>
      <c r="Y43" s="95"/>
      <c r="Z43" s="95"/>
    </row>
    <row r="44" spans="1:26" ht="18" customHeight="1" x14ac:dyDescent="0.15">
      <c r="A44" s="19"/>
      <c r="B44" s="183"/>
      <c r="C44" s="184"/>
      <c r="D44" s="184"/>
      <c r="E44" s="184"/>
      <c r="F44" s="185"/>
      <c r="G44" s="96"/>
      <c r="H44" s="96"/>
      <c r="I44" s="174"/>
      <c r="J44" s="175"/>
      <c r="K44" s="176"/>
      <c r="L44" s="100"/>
      <c r="M44" s="100"/>
      <c r="N44" s="171"/>
      <c r="O44" s="172"/>
      <c r="P44" s="172"/>
      <c r="Q44" s="172"/>
      <c r="R44" s="172"/>
      <c r="S44" s="173"/>
      <c r="T44" s="96"/>
      <c r="U44" s="96"/>
      <c r="V44" s="174"/>
      <c r="W44" s="175"/>
      <c r="X44" s="176"/>
      <c r="Y44" s="100"/>
      <c r="Z44" s="100"/>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226" t="s">
        <v>87</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ht="18" customHeight="1" x14ac:dyDescent="0.15">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ht="18" customHeight="1" x14ac:dyDescent="0.15">
      <c r="A48" s="13"/>
      <c r="B48" s="177" t="s">
        <v>72</v>
      </c>
      <c r="C48" s="178"/>
      <c r="D48" s="178"/>
      <c r="E48" s="178"/>
      <c r="F48" s="179"/>
      <c r="G48" s="20" t="s">
        <v>73</v>
      </c>
      <c r="H48" s="93" t="s">
        <v>74</v>
      </c>
      <c r="I48" s="177" t="s">
        <v>75</v>
      </c>
      <c r="J48" s="178"/>
      <c r="K48" s="179"/>
      <c r="L48" s="60" t="s">
        <v>88</v>
      </c>
      <c r="M48" s="60" t="s">
        <v>89</v>
      </c>
      <c r="N48" s="177" t="s">
        <v>72</v>
      </c>
      <c r="O48" s="178"/>
      <c r="P48" s="178"/>
      <c r="Q48" s="178"/>
      <c r="R48" s="178"/>
      <c r="S48" s="179"/>
      <c r="T48" s="20" t="s">
        <v>73</v>
      </c>
      <c r="U48" s="93" t="s">
        <v>74</v>
      </c>
      <c r="V48" s="177" t="s">
        <v>75</v>
      </c>
      <c r="W48" s="178"/>
      <c r="X48" s="179"/>
      <c r="Y48" s="60" t="s">
        <v>88</v>
      </c>
      <c r="Z48" s="60" t="s">
        <v>89</v>
      </c>
    </row>
    <row r="49" spans="1:26" ht="18" customHeight="1" x14ac:dyDescent="0.15">
      <c r="A49" s="19"/>
      <c r="B49" s="187" t="s">
        <v>78</v>
      </c>
      <c r="C49" s="188"/>
      <c r="D49" s="188"/>
      <c r="E49" s="188"/>
      <c r="F49" s="189"/>
      <c r="G49" s="94">
        <v>2</v>
      </c>
      <c r="H49" s="94" t="s">
        <v>80</v>
      </c>
      <c r="I49" s="223" t="s">
        <v>79</v>
      </c>
      <c r="J49" s="224"/>
      <c r="K49" s="225"/>
      <c r="L49" s="94" t="s">
        <v>80</v>
      </c>
      <c r="M49" s="94" t="s">
        <v>80</v>
      </c>
      <c r="N49" s="168"/>
      <c r="O49" s="169"/>
      <c r="P49" s="169"/>
      <c r="Q49" s="169"/>
      <c r="R49" s="169"/>
      <c r="S49" s="170"/>
      <c r="T49" s="94"/>
      <c r="U49" s="94"/>
      <c r="V49" s="223"/>
      <c r="W49" s="224"/>
      <c r="X49" s="225"/>
      <c r="Y49" s="94"/>
      <c r="Z49" s="94"/>
    </row>
    <row r="50" spans="1:26" ht="18" customHeight="1" x14ac:dyDescent="0.15">
      <c r="A50" s="19"/>
      <c r="B50" s="180"/>
      <c r="C50" s="181"/>
      <c r="D50" s="181"/>
      <c r="E50" s="181"/>
      <c r="F50" s="182"/>
      <c r="G50" s="95"/>
      <c r="H50" s="95"/>
      <c r="I50" s="165"/>
      <c r="J50" s="166"/>
      <c r="K50" s="167"/>
      <c r="L50" s="95"/>
      <c r="M50" s="95"/>
      <c r="N50" s="162"/>
      <c r="O50" s="163"/>
      <c r="P50" s="163"/>
      <c r="Q50" s="163"/>
      <c r="R50" s="163"/>
      <c r="S50" s="164"/>
      <c r="T50" s="95"/>
      <c r="U50" s="95"/>
      <c r="V50" s="165"/>
      <c r="W50" s="166"/>
      <c r="X50" s="167"/>
      <c r="Y50" s="95"/>
      <c r="Z50" s="95"/>
    </row>
    <row r="51" spans="1:26" ht="18" customHeight="1" x14ac:dyDescent="0.15">
      <c r="A51" s="19"/>
      <c r="B51" s="180"/>
      <c r="C51" s="181"/>
      <c r="D51" s="181"/>
      <c r="E51" s="181"/>
      <c r="F51" s="182"/>
      <c r="G51" s="95"/>
      <c r="H51" s="95"/>
      <c r="I51" s="165"/>
      <c r="J51" s="166"/>
      <c r="K51" s="167"/>
      <c r="L51" s="95"/>
      <c r="M51" s="95"/>
      <c r="N51" s="162"/>
      <c r="O51" s="163"/>
      <c r="P51" s="163"/>
      <c r="Q51" s="163"/>
      <c r="R51" s="163"/>
      <c r="S51" s="164"/>
      <c r="T51" s="95"/>
      <c r="U51" s="95"/>
      <c r="V51" s="165"/>
      <c r="W51" s="166"/>
      <c r="X51" s="167"/>
      <c r="Y51" s="95"/>
      <c r="Z51" s="95"/>
    </row>
    <row r="52" spans="1:26" ht="18" customHeight="1" x14ac:dyDescent="0.15">
      <c r="A52" s="19"/>
      <c r="B52" s="180"/>
      <c r="C52" s="181"/>
      <c r="D52" s="181"/>
      <c r="E52" s="181"/>
      <c r="F52" s="182"/>
      <c r="G52" s="95"/>
      <c r="H52" s="95"/>
      <c r="I52" s="165"/>
      <c r="J52" s="166"/>
      <c r="K52" s="167"/>
      <c r="L52" s="95"/>
      <c r="M52" s="95"/>
      <c r="N52" s="162"/>
      <c r="O52" s="163"/>
      <c r="P52" s="163"/>
      <c r="Q52" s="163"/>
      <c r="R52" s="163"/>
      <c r="S52" s="164"/>
      <c r="T52" s="95"/>
      <c r="U52" s="95"/>
      <c r="V52" s="165"/>
      <c r="W52" s="166"/>
      <c r="X52" s="167"/>
      <c r="Y52" s="95"/>
      <c r="Z52" s="95"/>
    </row>
    <row r="53" spans="1:26" ht="18" customHeight="1" x14ac:dyDescent="0.15">
      <c r="A53" s="19"/>
      <c r="B53" s="180"/>
      <c r="C53" s="181"/>
      <c r="D53" s="181"/>
      <c r="E53" s="181"/>
      <c r="F53" s="182"/>
      <c r="G53" s="95"/>
      <c r="H53" s="95"/>
      <c r="I53" s="165"/>
      <c r="J53" s="166"/>
      <c r="K53" s="167"/>
      <c r="L53" s="95"/>
      <c r="M53" s="95"/>
      <c r="N53" s="162"/>
      <c r="O53" s="163"/>
      <c r="P53" s="163"/>
      <c r="Q53" s="163"/>
      <c r="R53" s="163"/>
      <c r="S53" s="164"/>
      <c r="T53" s="95"/>
      <c r="U53" s="95"/>
      <c r="V53" s="165"/>
      <c r="W53" s="166"/>
      <c r="X53" s="167"/>
      <c r="Y53" s="95"/>
      <c r="Z53" s="95"/>
    </row>
    <row r="54" spans="1:26" ht="18" customHeight="1" x14ac:dyDescent="0.15">
      <c r="A54" s="19"/>
      <c r="B54" s="180"/>
      <c r="C54" s="181"/>
      <c r="D54" s="181"/>
      <c r="E54" s="181"/>
      <c r="F54" s="182"/>
      <c r="G54" s="95"/>
      <c r="H54" s="95"/>
      <c r="I54" s="165"/>
      <c r="J54" s="166"/>
      <c r="K54" s="167"/>
      <c r="L54" s="95"/>
      <c r="M54" s="95"/>
      <c r="N54" s="162"/>
      <c r="O54" s="163"/>
      <c r="P54" s="163"/>
      <c r="Q54" s="163"/>
      <c r="R54" s="163"/>
      <c r="S54" s="164"/>
      <c r="T54" s="95"/>
      <c r="U54" s="95"/>
      <c r="V54" s="165"/>
      <c r="W54" s="166"/>
      <c r="X54" s="167"/>
      <c r="Y54" s="95"/>
      <c r="Z54" s="95"/>
    </row>
    <row r="55" spans="1:26" ht="18" customHeight="1" x14ac:dyDescent="0.15">
      <c r="A55" s="19"/>
      <c r="B55" s="183"/>
      <c r="C55" s="184"/>
      <c r="D55" s="184"/>
      <c r="E55" s="184"/>
      <c r="F55" s="185"/>
      <c r="G55" s="96"/>
      <c r="H55" s="96"/>
      <c r="I55" s="174"/>
      <c r="J55" s="175"/>
      <c r="K55" s="176"/>
      <c r="L55" s="100"/>
      <c r="M55" s="100"/>
      <c r="N55" s="171"/>
      <c r="O55" s="172"/>
      <c r="P55" s="172"/>
      <c r="Q55" s="172"/>
      <c r="R55" s="172"/>
      <c r="S55" s="173"/>
      <c r="T55" s="96"/>
      <c r="U55" s="96"/>
      <c r="V55" s="174"/>
      <c r="W55" s="175"/>
      <c r="X55" s="176"/>
      <c r="Y55" s="100"/>
      <c r="Z55" s="100"/>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226" t="s">
        <v>90</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row>
    <row r="58" spans="1:26" ht="18" customHeight="1" x14ac:dyDescent="0.15">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row>
    <row r="59" spans="1:26" ht="18" customHeight="1" x14ac:dyDescent="0.15">
      <c r="A59" s="13"/>
      <c r="B59" s="177" t="s">
        <v>72</v>
      </c>
      <c r="C59" s="178"/>
      <c r="D59" s="178"/>
      <c r="E59" s="179"/>
      <c r="F59" s="20" t="s">
        <v>73</v>
      </c>
      <c r="G59" s="93" t="s">
        <v>74</v>
      </c>
      <c r="H59" s="16" t="s">
        <v>75</v>
      </c>
      <c r="I59" s="90"/>
      <c r="J59" s="17"/>
      <c r="K59" s="60" t="s">
        <v>91</v>
      </c>
      <c r="L59" s="60" t="s">
        <v>92</v>
      </c>
      <c r="M59" s="60" t="s">
        <v>93</v>
      </c>
      <c r="N59" s="177" t="s">
        <v>72</v>
      </c>
      <c r="O59" s="178"/>
      <c r="P59" s="178"/>
      <c r="Q59" s="178"/>
      <c r="R59" s="179"/>
      <c r="S59" s="20" t="s">
        <v>73</v>
      </c>
      <c r="T59" s="93" t="s">
        <v>74</v>
      </c>
      <c r="U59" s="16" t="s">
        <v>75</v>
      </c>
      <c r="V59" s="90"/>
      <c r="W59" s="17"/>
      <c r="X59" s="60" t="s">
        <v>91</v>
      </c>
      <c r="Y59" s="60" t="s">
        <v>92</v>
      </c>
      <c r="Z59" s="60" t="s">
        <v>93</v>
      </c>
    </row>
    <row r="60" spans="1:26" ht="18" customHeight="1" x14ac:dyDescent="0.15">
      <c r="A60" s="19"/>
      <c r="B60" s="162" t="s">
        <v>78</v>
      </c>
      <c r="C60" s="163"/>
      <c r="D60" s="163"/>
      <c r="E60" s="164"/>
      <c r="F60" s="95">
        <v>2</v>
      </c>
      <c r="G60" s="94" t="s">
        <v>80</v>
      </c>
      <c r="H60" s="165" t="s">
        <v>79</v>
      </c>
      <c r="I60" s="166"/>
      <c r="J60" s="167"/>
      <c r="K60" s="95" t="s">
        <v>80</v>
      </c>
      <c r="L60" s="95" t="s">
        <v>80</v>
      </c>
      <c r="M60" s="95" t="s">
        <v>80</v>
      </c>
      <c r="N60" s="168"/>
      <c r="O60" s="169"/>
      <c r="P60" s="169"/>
      <c r="Q60" s="169"/>
      <c r="R60" s="170"/>
      <c r="S60" s="94"/>
      <c r="T60" s="94"/>
      <c r="U60" s="223"/>
      <c r="V60" s="224"/>
      <c r="W60" s="225"/>
      <c r="X60" s="99"/>
      <c r="Y60" s="94"/>
      <c r="Z60" s="94"/>
    </row>
    <row r="61" spans="1:26" ht="18" customHeight="1" x14ac:dyDescent="0.15">
      <c r="A61" s="19"/>
      <c r="B61" s="162"/>
      <c r="C61" s="163"/>
      <c r="D61" s="163"/>
      <c r="E61" s="164"/>
      <c r="F61" s="95"/>
      <c r="G61" s="95"/>
      <c r="H61" s="165"/>
      <c r="I61" s="166"/>
      <c r="J61" s="167"/>
      <c r="K61" s="97"/>
      <c r="L61" s="95"/>
      <c r="M61" s="95"/>
      <c r="N61" s="162"/>
      <c r="O61" s="163"/>
      <c r="P61" s="163"/>
      <c r="Q61" s="163"/>
      <c r="R61" s="164"/>
      <c r="S61" s="95"/>
      <c r="T61" s="95"/>
      <c r="U61" s="165"/>
      <c r="V61" s="166"/>
      <c r="W61" s="167"/>
      <c r="X61" s="97"/>
      <c r="Y61" s="95"/>
      <c r="Z61" s="95"/>
    </row>
    <row r="62" spans="1:26" ht="18" customHeight="1" x14ac:dyDescent="0.15">
      <c r="A62" s="19"/>
      <c r="B62" s="162"/>
      <c r="C62" s="163"/>
      <c r="D62" s="163"/>
      <c r="E62" s="164"/>
      <c r="F62" s="95"/>
      <c r="G62" s="95"/>
      <c r="H62" s="165"/>
      <c r="I62" s="166"/>
      <c r="J62" s="167"/>
      <c r="K62" s="97"/>
      <c r="L62" s="95"/>
      <c r="M62" s="95"/>
      <c r="N62" s="162"/>
      <c r="O62" s="163"/>
      <c r="P62" s="163"/>
      <c r="Q62" s="163"/>
      <c r="R62" s="164"/>
      <c r="S62" s="95"/>
      <c r="T62" s="95"/>
      <c r="U62" s="165"/>
      <c r="V62" s="166"/>
      <c r="W62" s="167"/>
      <c r="X62" s="97"/>
      <c r="Y62" s="95"/>
      <c r="Z62" s="95"/>
    </row>
    <row r="63" spans="1:26" ht="18" customHeight="1" x14ac:dyDescent="0.15">
      <c r="A63" s="19"/>
      <c r="B63" s="162"/>
      <c r="C63" s="163"/>
      <c r="D63" s="163"/>
      <c r="E63" s="164"/>
      <c r="F63" s="95"/>
      <c r="G63" s="95"/>
      <c r="H63" s="165"/>
      <c r="I63" s="166"/>
      <c r="J63" s="167"/>
      <c r="K63" s="97"/>
      <c r="L63" s="95"/>
      <c r="M63" s="95"/>
      <c r="N63" s="162"/>
      <c r="O63" s="163"/>
      <c r="P63" s="163"/>
      <c r="Q63" s="163"/>
      <c r="R63" s="164"/>
      <c r="S63" s="95"/>
      <c r="T63" s="95"/>
      <c r="U63" s="165"/>
      <c r="V63" s="166"/>
      <c r="W63" s="167"/>
      <c r="X63" s="97"/>
      <c r="Y63" s="95"/>
      <c r="Z63" s="95"/>
    </row>
    <row r="64" spans="1:26" ht="18" customHeight="1" x14ac:dyDescent="0.15">
      <c r="A64" s="19"/>
      <c r="B64" s="162"/>
      <c r="C64" s="163"/>
      <c r="D64" s="163"/>
      <c r="E64" s="164"/>
      <c r="F64" s="95"/>
      <c r="G64" s="95"/>
      <c r="H64" s="165"/>
      <c r="I64" s="166"/>
      <c r="J64" s="167"/>
      <c r="K64" s="97"/>
      <c r="L64" s="95"/>
      <c r="M64" s="95"/>
      <c r="N64" s="162"/>
      <c r="O64" s="163"/>
      <c r="P64" s="163"/>
      <c r="Q64" s="163"/>
      <c r="R64" s="164"/>
      <c r="S64" s="95"/>
      <c r="T64" s="95"/>
      <c r="U64" s="165"/>
      <c r="V64" s="166"/>
      <c r="W64" s="167"/>
      <c r="X64" s="97"/>
      <c r="Y64" s="95"/>
      <c r="Z64" s="95"/>
    </row>
    <row r="65" spans="1:26" ht="18" customHeight="1" x14ac:dyDescent="0.15">
      <c r="A65" s="19"/>
      <c r="B65" s="162"/>
      <c r="C65" s="163"/>
      <c r="D65" s="163"/>
      <c r="E65" s="164"/>
      <c r="F65" s="95"/>
      <c r="G65" s="95"/>
      <c r="H65" s="165"/>
      <c r="I65" s="166"/>
      <c r="J65" s="167"/>
      <c r="K65" s="97"/>
      <c r="L65" s="95"/>
      <c r="M65" s="95"/>
      <c r="N65" s="162"/>
      <c r="O65" s="163"/>
      <c r="P65" s="163"/>
      <c r="Q65" s="163"/>
      <c r="R65" s="164"/>
      <c r="S65" s="95"/>
      <c r="T65" s="95"/>
      <c r="U65" s="165"/>
      <c r="V65" s="166"/>
      <c r="W65" s="167"/>
      <c r="X65" s="97"/>
      <c r="Y65" s="95"/>
      <c r="Z65" s="95"/>
    </row>
    <row r="66" spans="1:26" ht="18" customHeight="1" x14ac:dyDescent="0.15">
      <c r="A66" s="19"/>
      <c r="B66" s="171"/>
      <c r="C66" s="172"/>
      <c r="D66" s="172"/>
      <c r="E66" s="173"/>
      <c r="F66" s="96"/>
      <c r="G66" s="96"/>
      <c r="H66" s="174"/>
      <c r="I66" s="175"/>
      <c r="J66" s="176"/>
      <c r="K66" s="98"/>
      <c r="L66" s="100"/>
      <c r="M66" s="100"/>
      <c r="N66" s="171"/>
      <c r="O66" s="172"/>
      <c r="P66" s="172"/>
      <c r="Q66" s="172"/>
      <c r="R66" s="173"/>
      <c r="S66" s="96"/>
      <c r="T66" s="96"/>
      <c r="U66" s="174"/>
      <c r="V66" s="175"/>
      <c r="W66" s="176"/>
      <c r="X66" s="98"/>
      <c r="Y66" s="100"/>
      <c r="Z66" s="100"/>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13" t="s">
        <v>94</v>
      </c>
      <c r="B68" s="13"/>
      <c r="C68" s="13"/>
      <c r="D68" s="13"/>
      <c r="E68" s="13"/>
      <c r="F68" s="13"/>
      <c r="G68" s="13"/>
      <c r="H68" s="13"/>
      <c r="I68" s="13"/>
      <c r="J68" s="13"/>
      <c r="K68" s="13"/>
      <c r="L68" s="19"/>
      <c r="M68" s="19"/>
      <c r="N68" s="19"/>
      <c r="O68" s="19"/>
      <c r="P68" s="19"/>
      <c r="Q68" s="19"/>
      <c r="R68" s="19"/>
      <c r="S68" s="19"/>
      <c r="T68" s="19"/>
      <c r="U68" s="19"/>
      <c r="V68" s="19"/>
      <c r="W68" s="19"/>
      <c r="X68" s="19"/>
      <c r="Y68" s="19"/>
      <c r="Z68" s="19"/>
    </row>
    <row r="69" spans="1:26" ht="18" customHeight="1" x14ac:dyDescent="0.15">
      <c r="A69" s="13"/>
      <c r="B69" s="177" t="s">
        <v>72</v>
      </c>
      <c r="C69" s="178"/>
      <c r="D69" s="178"/>
      <c r="E69" s="178"/>
      <c r="F69" s="179"/>
      <c r="G69" s="177" t="s">
        <v>95</v>
      </c>
      <c r="H69" s="178"/>
      <c r="I69" s="178"/>
      <c r="J69" s="178"/>
      <c r="K69" s="178"/>
      <c r="L69" s="178"/>
      <c r="M69" s="179"/>
      <c r="N69" s="190" t="s">
        <v>72</v>
      </c>
      <c r="O69" s="191"/>
      <c r="P69" s="191"/>
      <c r="Q69" s="191"/>
      <c r="R69" s="191"/>
      <c r="S69" s="192"/>
      <c r="T69" s="177" t="s">
        <v>95</v>
      </c>
      <c r="U69" s="178"/>
      <c r="V69" s="178"/>
      <c r="W69" s="178"/>
      <c r="X69" s="178"/>
      <c r="Y69" s="178"/>
      <c r="Z69" s="179"/>
    </row>
    <row r="70" spans="1:26" ht="18" customHeight="1" x14ac:dyDescent="0.15">
      <c r="A70" s="19"/>
      <c r="B70" s="168" t="s">
        <v>78</v>
      </c>
      <c r="C70" s="169"/>
      <c r="D70" s="169"/>
      <c r="E70" s="169"/>
      <c r="F70" s="170"/>
      <c r="G70" s="237" t="s">
        <v>96</v>
      </c>
      <c r="H70" s="238"/>
      <c r="I70" s="238"/>
      <c r="J70" s="238"/>
      <c r="K70" s="238"/>
      <c r="L70" s="238"/>
      <c r="M70" s="239"/>
      <c r="N70" s="168"/>
      <c r="O70" s="169"/>
      <c r="P70" s="169"/>
      <c r="Q70" s="169"/>
      <c r="R70" s="169"/>
      <c r="S70" s="170"/>
      <c r="T70" s="237"/>
      <c r="U70" s="238"/>
      <c r="V70" s="238"/>
      <c r="W70" s="238"/>
      <c r="X70" s="238"/>
      <c r="Y70" s="238"/>
      <c r="Z70" s="239"/>
    </row>
    <row r="71" spans="1:26" ht="18" customHeight="1" x14ac:dyDescent="0.15">
      <c r="A71" s="19"/>
      <c r="B71" s="162"/>
      <c r="C71" s="163"/>
      <c r="D71" s="163"/>
      <c r="E71" s="163"/>
      <c r="F71" s="164"/>
      <c r="G71" s="208"/>
      <c r="H71" s="209"/>
      <c r="I71" s="209"/>
      <c r="J71" s="209"/>
      <c r="K71" s="209"/>
      <c r="L71" s="209"/>
      <c r="M71" s="210"/>
      <c r="N71" s="162"/>
      <c r="O71" s="163"/>
      <c r="P71" s="163"/>
      <c r="Q71" s="163"/>
      <c r="R71" s="163"/>
      <c r="S71" s="164"/>
      <c r="T71" s="208"/>
      <c r="U71" s="209"/>
      <c r="V71" s="209"/>
      <c r="W71" s="209"/>
      <c r="X71" s="209"/>
      <c r="Y71" s="209"/>
      <c r="Z71" s="210"/>
    </row>
    <row r="72" spans="1:26" ht="18" customHeight="1" x14ac:dyDescent="0.15">
      <c r="A72" s="19"/>
      <c r="B72" s="162"/>
      <c r="C72" s="163"/>
      <c r="D72" s="163"/>
      <c r="E72" s="163"/>
      <c r="F72" s="164"/>
      <c r="G72" s="208"/>
      <c r="H72" s="209"/>
      <c r="I72" s="209"/>
      <c r="J72" s="209"/>
      <c r="K72" s="209"/>
      <c r="L72" s="209"/>
      <c r="M72" s="210"/>
      <c r="N72" s="162"/>
      <c r="O72" s="163"/>
      <c r="P72" s="163"/>
      <c r="Q72" s="163"/>
      <c r="R72" s="163"/>
      <c r="S72" s="164"/>
      <c r="T72" s="208"/>
      <c r="U72" s="209"/>
      <c r="V72" s="209"/>
      <c r="W72" s="209"/>
      <c r="X72" s="209"/>
      <c r="Y72" s="209"/>
      <c r="Z72" s="210"/>
    </row>
    <row r="73" spans="1:26" ht="18" customHeight="1" x14ac:dyDescent="0.15">
      <c r="A73" s="19"/>
      <c r="B73" s="162"/>
      <c r="C73" s="163"/>
      <c r="D73" s="163"/>
      <c r="E73" s="163"/>
      <c r="F73" s="164"/>
      <c r="G73" s="208"/>
      <c r="H73" s="209"/>
      <c r="I73" s="209"/>
      <c r="J73" s="209"/>
      <c r="K73" s="209"/>
      <c r="L73" s="209"/>
      <c r="M73" s="210"/>
      <c r="N73" s="162"/>
      <c r="O73" s="163"/>
      <c r="P73" s="163"/>
      <c r="Q73" s="163"/>
      <c r="R73" s="163"/>
      <c r="S73" s="164"/>
      <c r="T73" s="208"/>
      <c r="U73" s="209"/>
      <c r="V73" s="209"/>
      <c r="W73" s="209"/>
      <c r="X73" s="209"/>
      <c r="Y73" s="209"/>
      <c r="Z73" s="210"/>
    </row>
    <row r="74" spans="1:26" ht="18" customHeight="1" x14ac:dyDescent="0.15">
      <c r="A74" s="19"/>
      <c r="B74" s="162"/>
      <c r="C74" s="163"/>
      <c r="D74" s="163"/>
      <c r="E74" s="163"/>
      <c r="F74" s="164"/>
      <c r="G74" s="208"/>
      <c r="H74" s="209"/>
      <c r="I74" s="209"/>
      <c r="J74" s="209"/>
      <c r="K74" s="209"/>
      <c r="L74" s="209"/>
      <c r="M74" s="210"/>
      <c r="N74" s="162"/>
      <c r="O74" s="163"/>
      <c r="P74" s="163"/>
      <c r="Q74" s="163"/>
      <c r="R74" s="163"/>
      <c r="S74" s="164"/>
      <c r="T74" s="208"/>
      <c r="U74" s="209"/>
      <c r="V74" s="209"/>
      <c r="W74" s="209"/>
      <c r="X74" s="209"/>
      <c r="Y74" s="209"/>
      <c r="Z74" s="210"/>
    </row>
    <row r="75" spans="1:26" ht="18" customHeight="1" x14ac:dyDescent="0.15">
      <c r="A75" s="19"/>
      <c r="B75" s="162"/>
      <c r="C75" s="163"/>
      <c r="D75" s="163"/>
      <c r="E75" s="163"/>
      <c r="F75" s="164"/>
      <c r="G75" s="208"/>
      <c r="H75" s="209"/>
      <c r="I75" s="209"/>
      <c r="J75" s="209"/>
      <c r="K75" s="209"/>
      <c r="L75" s="209"/>
      <c r="M75" s="210"/>
      <c r="N75" s="162"/>
      <c r="O75" s="163"/>
      <c r="P75" s="163"/>
      <c r="Q75" s="163"/>
      <c r="R75" s="163"/>
      <c r="S75" s="164"/>
      <c r="T75" s="208"/>
      <c r="U75" s="209"/>
      <c r="V75" s="209"/>
      <c r="W75" s="209"/>
      <c r="X75" s="209"/>
      <c r="Y75" s="209"/>
      <c r="Z75" s="210"/>
    </row>
    <row r="76" spans="1:26" ht="18" customHeight="1" x14ac:dyDescent="0.15">
      <c r="A76" s="19"/>
      <c r="B76" s="171"/>
      <c r="C76" s="172"/>
      <c r="D76" s="172"/>
      <c r="E76" s="172"/>
      <c r="F76" s="173"/>
      <c r="G76" s="205"/>
      <c r="H76" s="206"/>
      <c r="I76" s="206"/>
      <c r="J76" s="206"/>
      <c r="K76" s="206"/>
      <c r="L76" s="206"/>
      <c r="M76" s="207"/>
      <c r="N76" s="171"/>
      <c r="O76" s="172"/>
      <c r="P76" s="172"/>
      <c r="Q76" s="172"/>
      <c r="R76" s="172"/>
      <c r="S76" s="173"/>
      <c r="T76" s="205"/>
      <c r="U76" s="206"/>
      <c r="V76" s="206"/>
      <c r="W76" s="206"/>
      <c r="X76" s="206"/>
      <c r="Y76" s="206"/>
      <c r="Z76" s="207"/>
    </row>
    <row r="77" spans="1:26" ht="18" customHeight="1" x14ac:dyDescent="0.15">
      <c r="A77" s="19"/>
      <c r="B77" s="25"/>
      <c r="C77" s="25"/>
      <c r="D77" s="25"/>
      <c r="E77" s="25"/>
      <c r="F77" s="25"/>
      <c r="G77" s="11"/>
      <c r="H77" s="11"/>
      <c r="I77" s="11"/>
      <c r="J77" s="11"/>
      <c r="K77" s="11"/>
      <c r="L77" s="11"/>
      <c r="M77" s="11"/>
      <c r="N77" s="25"/>
      <c r="O77" s="25"/>
      <c r="P77" s="25"/>
      <c r="Q77" s="25"/>
      <c r="R77" s="25"/>
      <c r="S77" s="25"/>
      <c r="T77" s="11"/>
      <c r="U77" s="11"/>
      <c r="V77" s="11"/>
      <c r="W77" s="11"/>
      <c r="X77" s="11"/>
      <c r="Y77" s="11"/>
      <c r="Z77" s="11"/>
    </row>
    <row r="78" spans="1:26" ht="18.95" customHeight="1" x14ac:dyDescent="0.15">
      <c r="A78" s="12" t="s">
        <v>97</v>
      </c>
    </row>
    <row r="79" spans="1:26" ht="18.95" customHeight="1" x14ac:dyDescent="0.15">
      <c r="B79" s="62" t="s">
        <v>98</v>
      </c>
      <c r="C79" s="63"/>
      <c r="D79" s="260" t="s">
        <v>99</v>
      </c>
      <c r="E79" s="260"/>
      <c r="F79" s="260"/>
      <c r="G79" s="260"/>
      <c r="H79" s="260"/>
      <c r="I79" s="260"/>
      <c r="J79" s="260"/>
      <c r="K79" s="260"/>
      <c r="L79" s="260"/>
      <c r="M79" s="260"/>
      <c r="N79" s="260"/>
      <c r="O79" s="260"/>
      <c r="P79" s="260"/>
      <c r="Q79" s="260"/>
      <c r="R79" s="260"/>
      <c r="S79" s="260"/>
      <c r="T79" s="260"/>
      <c r="U79" s="260"/>
      <c r="V79" s="260"/>
      <c r="W79" s="260"/>
      <c r="X79" s="260"/>
      <c r="Y79" s="260"/>
      <c r="Z79" s="261"/>
    </row>
    <row r="80" spans="1:26" ht="78" customHeight="1" x14ac:dyDescent="0.15">
      <c r="B80" s="245" t="s">
        <v>100</v>
      </c>
      <c r="C80" s="69" t="s">
        <v>76</v>
      </c>
      <c r="D80" s="254" t="s">
        <v>101</v>
      </c>
      <c r="E80" s="255"/>
      <c r="F80" s="255"/>
      <c r="G80" s="255"/>
      <c r="H80" s="255"/>
      <c r="I80" s="255"/>
      <c r="J80" s="255"/>
      <c r="K80" s="255"/>
      <c r="L80" s="255"/>
      <c r="M80" s="255"/>
      <c r="N80" s="255"/>
      <c r="O80" s="255"/>
      <c r="P80" s="255"/>
      <c r="Q80" s="255"/>
      <c r="R80" s="255"/>
      <c r="S80" s="255"/>
      <c r="T80" s="255"/>
      <c r="U80" s="255"/>
      <c r="V80" s="255"/>
      <c r="W80" s="255"/>
      <c r="X80" s="255"/>
      <c r="Y80" s="255"/>
      <c r="Z80" s="256"/>
    </row>
    <row r="81" spans="1:26" ht="78" customHeight="1" x14ac:dyDescent="0.15">
      <c r="B81" s="246"/>
      <c r="C81" s="91" t="s">
        <v>102</v>
      </c>
      <c r="D81" s="211" t="s">
        <v>103</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243" t="s">
        <v>104</v>
      </c>
      <c r="C82" s="64" t="s">
        <v>82</v>
      </c>
      <c r="D82" s="214" t="s">
        <v>105</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244"/>
      <c r="C83" s="92" t="s">
        <v>83</v>
      </c>
      <c r="D83" s="220" t="s">
        <v>106</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243" t="s">
        <v>107</v>
      </c>
      <c r="C84" s="64" t="s">
        <v>85</v>
      </c>
      <c r="D84" s="214" t="s">
        <v>108</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244"/>
      <c r="C85" s="66" t="s">
        <v>86</v>
      </c>
      <c r="D85" s="217" t="s">
        <v>109</v>
      </c>
      <c r="E85" s="218"/>
      <c r="F85" s="218"/>
      <c r="G85" s="218"/>
      <c r="H85" s="218"/>
      <c r="I85" s="218"/>
      <c r="J85" s="218"/>
      <c r="K85" s="218"/>
      <c r="L85" s="218"/>
      <c r="M85" s="218"/>
      <c r="N85" s="218"/>
      <c r="O85" s="218"/>
      <c r="P85" s="218"/>
      <c r="Q85" s="218"/>
      <c r="R85" s="218"/>
      <c r="S85" s="218"/>
      <c r="T85" s="218"/>
      <c r="U85" s="218"/>
      <c r="V85" s="218"/>
      <c r="W85" s="218"/>
      <c r="X85" s="218"/>
      <c r="Y85" s="218"/>
      <c r="Z85" s="219"/>
    </row>
    <row r="86" spans="1:26" ht="66" customHeight="1" x14ac:dyDescent="0.15">
      <c r="B86" s="245" t="s">
        <v>110</v>
      </c>
      <c r="C86" s="69" t="s">
        <v>88</v>
      </c>
      <c r="D86" s="254" t="s">
        <v>111</v>
      </c>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ht="66" customHeight="1" x14ac:dyDescent="0.15">
      <c r="B87" s="253"/>
      <c r="C87" s="65" t="s">
        <v>89</v>
      </c>
      <c r="D87" s="257" t="s">
        <v>112</v>
      </c>
      <c r="E87" s="258"/>
      <c r="F87" s="258"/>
      <c r="G87" s="258"/>
      <c r="H87" s="258"/>
      <c r="I87" s="258"/>
      <c r="J87" s="258"/>
      <c r="K87" s="258"/>
      <c r="L87" s="258"/>
      <c r="M87" s="258"/>
      <c r="N87" s="258"/>
      <c r="O87" s="258"/>
      <c r="P87" s="258"/>
      <c r="Q87" s="258"/>
      <c r="R87" s="258"/>
      <c r="S87" s="258"/>
      <c r="T87" s="258"/>
      <c r="U87" s="258"/>
      <c r="V87" s="258"/>
      <c r="W87" s="258"/>
      <c r="X87" s="258"/>
      <c r="Y87" s="258"/>
      <c r="Z87" s="259"/>
    </row>
    <row r="88" spans="1:26" ht="66" customHeight="1" x14ac:dyDescent="0.15">
      <c r="B88" s="245" t="s">
        <v>113</v>
      </c>
      <c r="C88" s="64" t="s">
        <v>91</v>
      </c>
      <c r="D88" s="247" t="s">
        <v>114</v>
      </c>
      <c r="E88" s="248"/>
      <c r="F88" s="248"/>
      <c r="G88" s="248"/>
      <c r="H88" s="248"/>
      <c r="I88" s="248"/>
      <c r="J88" s="248"/>
      <c r="K88" s="248"/>
      <c r="L88" s="248"/>
      <c r="M88" s="248"/>
      <c r="N88" s="248"/>
      <c r="O88" s="248"/>
      <c r="P88" s="248"/>
      <c r="Q88" s="248"/>
      <c r="R88" s="248"/>
      <c r="S88" s="248"/>
      <c r="T88" s="248"/>
      <c r="U88" s="248"/>
      <c r="V88" s="248"/>
      <c r="W88" s="248"/>
      <c r="X88" s="248"/>
      <c r="Y88" s="248"/>
      <c r="Z88" s="249"/>
    </row>
    <row r="89" spans="1:26" ht="66" customHeight="1" x14ac:dyDescent="0.15">
      <c r="B89" s="246"/>
      <c r="C89" s="65" t="s">
        <v>92</v>
      </c>
      <c r="D89" s="240" t="s">
        <v>115</v>
      </c>
      <c r="E89" s="241"/>
      <c r="F89" s="241"/>
      <c r="G89" s="241"/>
      <c r="H89" s="241"/>
      <c r="I89" s="241"/>
      <c r="J89" s="241"/>
      <c r="K89" s="241"/>
      <c r="L89" s="241"/>
      <c r="M89" s="241"/>
      <c r="N89" s="241"/>
      <c r="O89" s="241"/>
      <c r="P89" s="241"/>
      <c r="Q89" s="241"/>
      <c r="R89" s="241"/>
      <c r="S89" s="241"/>
      <c r="T89" s="241"/>
      <c r="U89" s="241"/>
      <c r="V89" s="241"/>
      <c r="W89" s="241"/>
      <c r="X89" s="241"/>
      <c r="Y89" s="241"/>
      <c r="Z89" s="242"/>
    </row>
    <row r="90" spans="1:26" ht="66" customHeight="1" x14ac:dyDescent="0.15">
      <c r="B90" s="244"/>
      <c r="C90" s="66" t="s">
        <v>93</v>
      </c>
      <c r="D90" s="250" t="s">
        <v>116</v>
      </c>
      <c r="E90" s="251"/>
      <c r="F90" s="251"/>
      <c r="G90" s="251"/>
      <c r="H90" s="251"/>
      <c r="I90" s="251"/>
      <c r="J90" s="251"/>
      <c r="K90" s="251"/>
      <c r="L90" s="251"/>
      <c r="M90" s="251"/>
      <c r="N90" s="251"/>
      <c r="O90" s="251"/>
      <c r="P90" s="251"/>
      <c r="Q90" s="251"/>
      <c r="R90" s="251"/>
      <c r="S90" s="251"/>
      <c r="T90" s="251"/>
      <c r="U90" s="251"/>
      <c r="V90" s="251"/>
      <c r="W90" s="251"/>
      <c r="X90" s="251"/>
      <c r="Y90" s="251"/>
      <c r="Z90" s="252"/>
    </row>
    <row r="91" spans="1:26" ht="6" customHeight="1" x14ac:dyDescent="0.15"/>
    <row r="92" spans="1:26" ht="18.95" customHeight="1" x14ac:dyDescent="0.15">
      <c r="A92" s="12" t="s">
        <v>117</v>
      </c>
    </row>
    <row r="93" spans="1:26" ht="18.95" customHeight="1" x14ac:dyDescent="0.15">
      <c r="B93" s="193" t="s">
        <v>118</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95" customHeight="1" x14ac:dyDescent="0.15">
      <c r="B94" s="196"/>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8"/>
    </row>
    <row r="95" spans="1:26" ht="18.95" customHeight="1" x14ac:dyDescent="0.15">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6" customHeight="1" x14ac:dyDescent="0.15"/>
    <row r="97" spans="1:26" ht="15" customHeight="1" x14ac:dyDescent="0.15">
      <c r="A97" s="12" t="s">
        <v>119</v>
      </c>
    </row>
    <row r="98" spans="1:26" ht="15" customHeight="1" x14ac:dyDescent="0.15">
      <c r="B98" s="202" t="s">
        <v>205</v>
      </c>
      <c r="C98" s="203"/>
      <c r="D98" s="203"/>
      <c r="E98" s="203"/>
      <c r="F98" s="203"/>
      <c r="G98" s="203"/>
      <c r="H98" s="203"/>
      <c r="I98" s="203"/>
      <c r="J98" s="203"/>
      <c r="K98" s="203"/>
      <c r="L98" s="203"/>
      <c r="M98" s="203"/>
      <c r="N98" s="203"/>
      <c r="O98" s="203"/>
      <c r="P98" s="203"/>
      <c r="Q98" s="203"/>
      <c r="R98" s="203"/>
      <c r="S98" s="203"/>
      <c r="T98" s="203"/>
      <c r="U98" s="203"/>
      <c r="V98" s="203"/>
      <c r="W98" s="203"/>
      <c r="X98" s="203"/>
      <c r="Y98" s="203"/>
      <c r="Z98" s="20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H16:H22 H27:H33 Y38:Z44 H38:H44 Y49:Z55 Y60:Z66 H49:H55 K60 U16:U22 T60:T66 U27:U33 L27:M33 U38:U44 L38:M44 U49:U55 L49:M55 L60:M66 G60:G66">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heetViews>
  <sheetFormatPr defaultColWidth="9" defaultRowHeight="18.9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71" t="s">
        <v>126</v>
      </c>
      <c r="G1" s="271"/>
      <c r="H1" s="271"/>
      <c r="I1" s="271"/>
      <c r="J1" s="271"/>
      <c r="K1" s="271"/>
      <c r="L1" s="271"/>
      <c r="M1" s="271"/>
      <c r="N1" s="271"/>
      <c r="O1" s="271"/>
      <c r="P1" s="271"/>
      <c r="Q1" s="271"/>
      <c r="R1" s="271"/>
    </row>
    <row r="2" spans="1:20" ht="18" customHeight="1" x14ac:dyDescent="0.15">
      <c r="A2" s="272" t="s">
        <v>127</v>
      </c>
      <c r="B2" s="272"/>
      <c r="C2" s="272"/>
      <c r="D2" s="272"/>
      <c r="E2" s="272"/>
      <c r="F2" s="272"/>
      <c r="G2" s="272"/>
      <c r="H2" s="272"/>
      <c r="I2" s="272"/>
      <c r="J2" s="272"/>
      <c r="K2" s="272"/>
      <c r="L2" s="272"/>
      <c r="M2" s="272"/>
      <c r="N2" s="272"/>
      <c r="O2" s="272"/>
      <c r="P2" s="272"/>
      <c r="Q2" s="272"/>
      <c r="R2" s="272"/>
      <c r="S2" s="4"/>
    </row>
    <row r="3" spans="1:20" ht="7.5" customHeight="1" x14ac:dyDescent="0.15">
      <c r="A3" s="26"/>
      <c r="B3" s="26"/>
      <c r="C3" s="26"/>
      <c r="D3" s="26"/>
      <c r="E3" s="26"/>
      <c r="F3" s="26"/>
      <c r="G3" s="26"/>
      <c r="H3" s="26"/>
      <c r="I3" s="26"/>
      <c r="J3" s="26"/>
      <c r="K3" s="26"/>
      <c r="L3" s="26"/>
      <c r="M3" s="26"/>
      <c r="N3" s="26"/>
      <c r="O3" s="26"/>
      <c r="P3" s="26"/>
      <c r="Q3" s="26"/>
      <c r="R3" s="26"/>
    </row>
    <row r="4" spans="1:20" ht="18" customHeight="1" x14ac:dyDescent="0.15">
      <c r="A4" s="4" t="s">
        <v>128</v>
      </c>
      <c r="B4" s="4"/>
      <c r="C4" s="273" t="str">
        <f>'様式１　大学等概要'!E12</f>
        <v>令和3</v>
      </c>
      <c r="D4" s="274"/>
      <c r="E4" s="26" t="s">
        <v>20</v>
      </c>
      <c r="F4" s="26"/>
      <c r="G4" s="26"/>
      <c r="H4" s="26"/>
      <c r="I4" s="26"/>
      <c r="J4" s="70"/>
      <c r="K4" s="26"/>
      <c r="L4" s="26"/>
      <c r="M4" s="35"/>
      <c r="N4" s="35"/>
      <c r="O4" s="35"/>
      <c r="P4" s="35"/>
      <c r="Q4" s="35"/>
      <c r="R4" s="35"/>
    </row>
    <row r="5" spans="1:20" ht="6" customHeight="1" x14ac:dyDescent="0.15">
      <c r="A5" s="26"/>
      <c r="B5" s="26"/>
      <c r="C5" s="26"/>
      <c r="D5" s="26"/>
      <c r="E5" s="26"/>
      <c r="F5" s="26"/>
      <c r="G5" s="26"/>
      <c r="H5" s="26"/>
      <c r="I5" s="26"/>
      <c r="J5" s="26"/>
      <c r="K5" s="26"/>
      <c r="L5" s="26"/>
      <c r="M5" s="26"/>
      <c r="N5" s="26"/>
      <c r="O5" s="26"/>
      <c r="P5" s="26"/>
      <c r="Q5" s="26"/>
      <c r="R5" s="26"/>
    </row>
    <row r="6" spans="1:20" ht="18" customHeight="1" x14ac:dyDescent="0.15">
      <c r="A6" s="4" t="s">
        <v>129</v>
      </c>
      <c r="B6" s="26"/>
      <c r="C6" s="26"/>
      <c r="D6" s="26"/>
      <c r="E6" s="26"/>
      <c r="F6" s="26"/>
      <c r="G6" s="26"/>
      <c r="H6" s="26"/>
      <c r="I6" s="26"/>
      <c r="J6" s="26"/>
      <c r="K6" s="26"/>
      <c r="L6" s="26"/>
      <c r="M6" s="26"/>
      <c r="N6" s="26"/>
      <c r="O6" s="26"/>
      <c r="P6" s="26"/>
      <c r="Q6" s="26"/>
      <c r="R6" s="26"/>
    </row>
    <row r="7" spans="1:20" ht="6" customHeight="1" x14ac:dyDescent="0.15">
      <c r="A7" s="4"/>
      <c r="B7" s="26"/>
      <c r="C7" s="26"/>
      <c r="D7" s="26"/>
      <c r="E7" s="26"/>
      <c r="F7" s="26"/>
      <c r="G7" s="26"/>
      <c r="H7" s="26"/>
      <c r="I7" s="26"/>
      <c r="J7" s="26"/>
      <c r="K7" s="26"/>
      <c r="L7" s="26"/>
      <c r="M7" s="26"/>
      <c r="N7" s="26"/>
      <c r="O7" s="26"/>
      <c r="P7" s="26"/>
      <c r="Q7" s="26"/>
      <c r="R7" s="26"/>
    </row>
    <row r="8" spans="1:20" ht="18" customHeight="1" x14ac:dyDescent="0.15">
      <c r="B8" s="275" t="s">
        <v>130</v>
      </c>
      <c r="C8" s="277" t="s">
        <v>131</v>
      </c>
      <c r="D8" s="279" t="s">
        <v>132</v>
      </c>
      <c r="E8" s="281" t="s">
        <v>133</v>
      </c>
      <c r="F8" s="281"/>
      <c r="G8" s="281" t="s">
        <v>134</v>
      </c>
      <c r="H8" s="281"/>
      <c r="I8" s="281" t="s">
        <v>135</v>
      </c>
      <c r="J8" s="281"/>
      <c r="K8" s="282" t="s">
        <v>136</v>
      </c>
      <c r="L8" s="283"/>
      <c r="M8" s="282" t="s">
        <v>137</v>
      </c>
      <c r="N8" s="283"/>
      <c r="O8" s="282" t="s">
        <v>138</v>
      </c>
      <c r="P8" s="283"/>
      <c r="Q8" s="284" t="s">
        <v>139</v>
      </c>
      <c r="R8" s="286" t="s">
        <v>140</v>
      </c>
      <c r="T8" s="24"/>
    </row>
    <row r="9" spans="1:20" ht="18" customHeight="1" x14ac:dyDescent="0.15">
      <c r="A9" s="4"/>
      <c r="B9" s="276"/>
      <c r="C9" s="278"/>
      <c r="D9" s="280"/>
      <c r="E9" s="31" t="s">
        <v>141</v>
      </c>
      <c r="F9" s="32" t="s">
        <v>142</v>
      </c>
      <c r="G9" s="33" t="s">
        <v>141</v>
      </c>
      <c r="H9" s="34" t="s">
        <v>142</v>
      </c>
      <c r="I9" s="31" t="s">
        <v>141</v>
      </c>
      <c r="J9" s="32" t="s">
        <v>142</v>
      </c>
      <c r="K9" s="33" t="s">
        <v>141</v>
      </c>
      <c r="L9" s="34" t="s">
        <v>142</v>
      </c>
      <c r="M9" s="31" t="s">
        <v>141</v>
      </c>
      <c r="N9" s="32" t="s">
        <v>142</v>
      </c>
      <c r="O9" s="33" t="s">
        <v>141</v>
      </c>
      <c r="P9" s="34" t="s">
        <v>142</v>
      </c>
      <c r="Q9" s="285"/>
      <c r="R9" s="287"/>
      <c r="T9" s="24"/>
    </row>
    <row r="10" spans="1:20" ht="18" customHeight="1" x14ac:dyDescent="0.15">
      <c r="A10" s="35"/>
      <c r="B10" s="121" t="s">
        <v>143</v>
      </c>
      <c r="C10" s="104">
        <v>200</v>
      </c>
      <c r="D10" s="122">
        <v>760</v>
      </c>
      <c r="E10" s="123">
        <v>102</v>
      </c>
      <c r="F10" s="124">
        <v>99</v>
      </c>
      <c r="G10" s="39"/>
      <c r="H10" s="40"/>
      <c r="I10" s="37"/>
      <c r="J10" s="38"/>
      <c r="K10" s="39"/>
      <c r="L10" s="40"/>
      <c r="M10" s="37"/>
      <c r="N10" s="38"/>
      <c r="O10" s="39"/>
      <c r="P10" s="40"/>
      <c r="Q10" s="41">
        <f>E10+G10+I10+K10+M10+O10</f>
        <v>102</v>
      </c>
      <c r="R10" s="42">
        <f>Q10/D10</f>
        <v>0.13421052631578947</v>
      </c>
    </row>
    <row r="11" spans="1:20" ht="18" customHeight="1" x14ac:dyDescent="0.15">
      <c r="A11" s="35"/>
      <c r="B11" s="125" t="s">
        <v>144</v>
      </c>
      <c r="C11" s="126">
        <v>0</v>
      </c>
      <c r="D11" s="127">
        <v>160</v>
      </c>
      <c r="E11" s="128">
        <v>0</v>
      </c>
      <c r="F11" s="129">
        <v>0</v>
      </c>
      <c r="G11" s="47"/>
      <c r="H11" s="48"/>
      <c r="I11" s="45"/>
      <c r="J11" s="46"/>
      <c r="K11" s="47"/>
      <c r="L11" s="48"/>
      <c r="M11" s="45"/>
      <c r="N11" s="46"/>
      <c r="O11" s="47"/>
      <c r="P11" s="48"/>
      <c r="Q11" s="49">
        <f t="shared" ref="Q11:Q29" si="0">E11+G11+I11+K11+M11+O11</f>
        <v>0</v>
      </c>
      <c r="R11" s="50">
        <f t="shared" ref="R11:R29" si="1">Q11/D11</f>
        <v>0</v>
      </c>
    </row>
    <row r="12" spans="1:20" ht="18" customHeight="1" x14ac:dyDescent="0.15">
      <c r="A12" s="35"/>
      <c r="B12" s="125" t="s">
        <v>145</v>
      </c>
      <c r="C12" s="126">
        <v>200</v>
      </c>
      <c r="D12" s="127">
        <v>600</v>
      </c>
      <c r="E12" s="128">
        <v>97</v>
      </c>
      <c r="F12" s="129">
        <v>94</v>
      </c>
      <c r="G12" s="47"/>
      <c r="H12" s="48"/>
      <c r="I12" s="45"/>
      <c r="J12" s="46"/>
      <c r="K12" s="47"/>
      <c r="L12" s="48"/>
      <c r="M12" s="45"/>
      <c r="N12" s="46"/>
      <c r="O12" s="47"/>
      <c r="P12" s="48"/>
      <c r="Q12" s="49">
        <f t="shared" si="0"/>
        <v>97</v>
      </c>
      <c r="R12" s="50">
        <f t="shared" si="1"/>
        <v>0.16166666666666665</v>
      </c>
    </row>
    <row r="13" spans="1:20" ht="18" customHeight="1" x14ac:dyDescent="0.15">
      <c r="A13" s="35"/>
      <c r="B13" s="125" t="s">
        <v>146</v>
      </c>
      <c r="C13" s="126">
        <v>260</v>
      </c>
      <c r="D13" s="127">
        <v>1040</v>
      </c>
      <c r="E13" s="128">
        <v>97</v>
      </c>
      <c r="F13" s="129">
        <v>94</v>
      </c>
      <c r="G13" s="47"/>
      <c r="H13" s="48"/>
      <c r="I13" s="45"/>
      <c r="J13" s="46"/>
      <c r="K13" s="47"/>
      <c r="L13" s="48"/>
      <c r="M13" s="45"/>
      <c r="N13" s="46"/>
      <c r="O13" s="47"/>
      <c r="P13" s="48"/>
      <c r="Q13" s="49">
        <f t="shared" si="0"/>
        <v>97</v>
      </c>
      <c r="R13" s="50">
        <f t="shared" si="1"/>
        <v>9.3269230769230771E-2</v>
      </c>
    </row>
    <row r="14" spans="1:20" ht="18" customHeight="1" x14ac:dyDescent="0.15">
      <c r="A14" s="35"/>
      <c r="B14" s="125" t="s">
        <v>147</v>
      </c>
      <c r="C14" s="126">
        <v>200</v>
      </c>
      <c r="D14" s="127">
        <v>680</v>
      </c>
      <c r="E14" s="128">
        <v>27</v>
      </c>
      <c r="F14" s="129">
        <v>26</v>
      </c>
      <c r="G14" s="47"/>
      <c r="H14" s="48"/>
      <c r="I14" s="45"/>
      <c r="J14" s="46"/>
      <c r="K14" s="47"/>
      <c r="L14" s="48"/>
      <c r="M14" s="45"/>
      <c r="N14" s="46"/>
      <c r="O14" s="47"/>
      <c r="P14" s="48"/>
      <c r="Q14" s="49">
        <f t="shared" si="0"/>
        <v>27</v>
      </c>
      <c r="R14" s="50">
        <f t="shared" si="1"/>
        <v>3.9705882352941174E-2</v>
      </c>
    </row>
    <row r="15" spans="1:20" ht="18" customHeight="1" x14ac:dyDescent="0.15">
      <c r="A15" s="35"/>
      <c r="B15" s="71"/>
      <c r="C15" s="51"/>
      <c r="D15" s="44"/>
      <c r="E15" s="45"/>
      <c r="F15" s="46"/>
      <c r="G15" s="47"/>
      <c r="H15" s="48"/>
      <c r="I15" s="45"/>
      <c r="J15" s="46"/>
      <c r="K15" s="47"/>
      <c r="L15" s="48"/>
      <c r="M15" s="45"/>
      <c r="N15" s="46"/>
      <c r="O15" s="47"/>
      <c r="P15" s="48"/>
      <c r="Q15" s="49">
        <f t="shared" si="0"/>
        <v>0</v>
      </c>
      <c r="R15" s="50" t="e">
        <f t="shared" si="1"/>
        <v>#DIV/0!</v>
      </c>
    </row>
    <row r="16" spans="1:20" ht="18" customHeight="1" x14ac:dyDescent="0.15">
      <c r="A16" s="35"/>
      <c r="B16" s="71"/>
      <c r="C16" s="51"/>
      <c r="D16" s="44"/>
      <c r="E16" s="45"/>
      <c r="F16" s="46"/>
      <c r="G16" s="47"/>
      <c r="H16" s="48"/>
      <c r="I16" s="45"/>
      <c r="J16" s="46"/>
      <c r="K16" s="47"/>
      <c r="L16" s="48"/>
      <c r="M16" s="45"/>
      <c r="N16" s="46"/>
      <c r="O16" s="47"/>
      <c r="P16" s="48"/>
      <c r="Q16" s="49">
        <f t="shared" si="0"/>
        <v>0</v>
      </c>
      <c r="R16" s="50" t="e">
        <f t="shared" si="1"/>
        <v>#DIV/0!</v>
      </c>
    </row>
    <row r="17" spans="1:18" ht="18" customHeight="1" x14ac:dyDescent="0.15">
      <c r="A17" s="35"/>
      <c r="B17" s="71"/>
      <c r="C17" s="51"/>
      <c r="D17" s="44"/>
      <c r="E17" s="45"/>
      <c r="F17" s="46"/>
      <c r="G17" s="47"/>
      <c r="H17" s="48"/>
      <c r="I17" s="45"/>
      <c r="J17" s="46"/>
      <c r="K17" s="47"/>
      <c r="L17" s="48"/>
      <c r="M17" s="45"/>
      <c r="N17" s="46"/>
      <c r="O17" s="47"/>
      <c r="P17" s="48"/>
      <c r="Q17" s="49">
        <f t="shared" si="0"/>
        <v>0</v>
      </c>
      <c r="R17" s="50" t="e">
        <f t="shared" si="1"/>
        <v>#DIV/0!</v>
      </c>
    </row>
    <row r="18" spans="1:18" ht="18" customHeight="1" x14ac:dyDescent="0.15">
      <c r="A18" s="35"/>
      <c r="B18" s="71"/>
      <c r="C18" s="51"/>
      <c r="D18" s="44"/>
      <c r="E18" s="45"/>
      <c r="F18" s="46"/>
      <c r="G18" s="47"/>
      <c r="H18" s="48"/>
      <c r="I18" s="45"/>
      <c r="J18" s="46"/>
      <c r="K18" s="47"/>
      <c r="L18" s="48"/>
      <c r="M18" s="45"/>
      <c r="N18" s="46"/>
      <c r="O18" s="47"/>
      <c r="P18" s="48"/>
      <c r="Q18" s="49">
        <f>E18+G18+I18+K18+M18+O18</f>
        <v>0</v>
      </c>
      <c r="R18" s="50" t="e">
        <f t="shared" si="1"/>
        <v>#DIV/0!</v>
      </c>
    </row>
    <row r="19" spans="1:18" ht="18" customHeight="1" x14ac:dyDescent="0.15">
      <c r="A19" s="35"/>
      <c r="B19" s="71"/>
      <c r="C19" s="51"/>
      <c r="D19" s="44"/>
      <c r="E19" s="45"/>
      <c r="F19" s="46"/>
      <c r="G19" s="47"/>
      <c r="H19" s="48"/>
      <c r="I19" s="45"/>
      <c r="J19" s="46"/>
      <c r="K19" s="47"/>
      <c r="L19" s="48"/>
      <c r="M19" s="45"/>
      <c r="N19" s="46"/>
      <c r="O19" s="47"/>
      <c r="P19" s="48"/>
      <c r="Q19" s="49">
        <f t="shared" si="0"/>
        <v>0</v>
      </c>
      <c r="R19" s="50" t="e">
        <f t="shared" si="1"/>
        <v>#DIV/0!</v>
      </c>
    </row>
    <row r="20" spans="1:18" ht="18" customHeight="1" x14ac:dyDescent="0.15">
      <c r="A20" s="35"/>
      <c r="B20" s="71"/>
      <c r="C20" s="51"/>
      <c r="D20" s="44"/>
      <c r="E20" s="45"/>
      <c r="F20" s="46"/>
      <c r="G20" s="47"/>
      <c r="H20" s="48"/>
      <c r="I20" s="45"/>
      <c r="J20" s="46"/>
      <c r="K20" s="47"/>
      <c r="L20" s="48"/>
      <c r="M20" s="45"/>
      <c r="N20" s="46"/>
      <c r="O20" s="47"/>
      <c r="P20" s="48"/>
      <c r="Q20" s="49">
        <f t="shared" si="0"/>
        <v>0</v>
      </c>
      <c r="R20" s="50" t="e">
        <f t="shared" si="1"/>
        <v>#DIV/0!</v>
      </c>
    </row>
    <row r="21" spans="1:18" ht="18" customHeight="1" x14ac:dyDescent="0.15">
      <c r="A21" s="35"/>
      <c r="B21" s="71"/>
      <c r="C21" s="51"/>
      <c r="D21" s="44"/>
      <c r="E21" s="45"/>
      <c r="F21" s="46"/>
      <c r="G21" s="47"/>
      <c r="H21" s="48"/>
      <c r="I21" s="45"/>
      <c r="J21" s="46"/>
      <c r="K21" s="47"/>
      <c r="L21" s="48"/>
      <c r="M21" s="45"/>
      <c r="N21" s="46"/>
      <c r="O21" s="47"/>
      <c r="P21" s="48"/>
      <c r="Q21" s="49">
        <f t="shared" si="0"/>
        <v>0</v>
      </c>
      <c r="R21" s="50" t="e">
        <f t="shared" si="1"/>
        <v>#DIV/0!</v>
      </c>
    </row>
    <row r="22" spans="1:18" ht="18" customHeight="1" x14ac:dyDescent="0.15">
      <c r="A22" s="35"/>
      <c r="B22" s="71"/>
      <c r="C22" s="51"/>
      <c r="D22" s="44"/>
      <c r="E22" s="45"/>
      <c r="F22" s="46"/>
      <c r="G22" s="47"/>
      <c r="H22" s="48"/>
      <c r="I22" s="45"/>
      <c r="J22" s="46"/>
      <c r="K22" s="47"/>
      <c r="L22" s="48"/>
      <c r="M22" s="45"/>
      <c r="N22" s="46"/>
      <c r="O22" s="47"/>
      <c r="P22" s="48"/>
      <c r="Q22" s="49">
        <f t="shared" si="0"/>
        <v>0</v>
      </c>
      <c r="R22" s="50" t="e">
        <f t="shared" si="1"/>
        <v>#DIV/0!</v>
      </c>
    </row>
    <row r="23" spans="1:18" ht="18" customHeight="1" x14ac:dyDescent="0.15">
      <c r="A23" s="35"/>
      <c r="B23" s="71"/>
      <c r="C23" s="51"/>
      <c r="D23" s="44"/>
      <c r="E23" s="45"/>
      <c r="F23" s="46"/>
      <c r="G23" s="47"/>
      <c r="H23" s="48"/>
      <c r="I23" s="45"/>
      <c r="J23" s="46"/>
      <c r="K23" s="47"/>
      <c r="L23" s="48"/>
      <c r="M23" s="45"/>
      <c r="N23" s="46"/>
      <c r="O23" s="47"/>
      <c r="P23" s="48"/>
      <c r="Q23" s="49">
        <f t="shared" si="0"/>
        <v>0</v>
      </c>
      <c r="R23" s="50" t="e">
        <f t="shared" si="1"/>
        <v>#DIV/0!</v>
      </c>
    </row>
    <row r="24" spans="1:18" ht="18" customHeight="1" x14ac:dyDescent="0.15">
      <c r="A24" s="35"/>
      <c r="B24" s="71"/>
      <c r="C24" s="51"/>
      <c r="D24" s="44"/>
      <c r="E24" s="45"/>
      <c r="F24" s="46"/>
      <c r="G24" s="47"/>
      <c r="H24" s="48"/>
      <c r="I24" s="45"/>
      <c r="J24" s="46"/>
      <c r="K24" s="47"/>
      <c r="L24" s="48"/>
      <c r="M24" s="45"/>
      <c r="N24" s="46"/>
      <c r="O24" s="47"/>
      <c r="P24" s="48"/>
      <c r="Q24" s="49">
        <f t="shared" si="0"/>
        <v>0</v>
      </c>
      <c r="R24" s="50" t="e">
        <f t="shared" si="1"/>
        <v>#DIV/0!</v>
      </c>
    </row>
    <row r="25" spans="1:18" ht="18" customHeight="1" x14ac:dyDescent="0.15">
      <c r="A25" s="35"/>
      <c r="B25" s="71"/>
      <c r="C25" s="51"/>
      <c r="D25" s="44"/>
      <c r="E25" s="45"/>
      <c r="F25" s="46"/>
      <c r="G25" s="47"/>
      <c r="H25" s="48"/>
      <c r="I25" s="45"/>
      <c r="J25" s="46"/>
      <c r="K25" s="47"/>
      <c r="L25" s="48"/>
      <c r="M25" s="45"/>
      <c r="N25" s="46"/>
      <c r="O25" s="47"/>
      <c r="P25" s="48"/>
      <c r="Q25" s="49">
        <f t="shared" si="0"/>
        <v>0</v>
      </c>
      <c r="R25" s="50" t="e">
        <f t="shared" si="1"/>
        <v>#DIV/0!</v>
      </c>
    </row>
    <row r="26" spans="1:18" ht="18" customHeight="1" x14ac:dyDescent="0.15">
      <c r="A26" s="35"/>
      <c r="B26" s="71"/>
      <c r="C26" s="51"/>
      <c r="D26" s="44"/>
      <c r="E26" s="45"/>
      <c r="F26" s="46"/>
      <c r="G26" s="47"/>
      <c r="H26" s="48"/>
      <c r="I26" s="45"/>
      <c r="J26" s="46"/>
      <c r="K26" s="47"/>
      <c r="L26" s="48"/>
      <c r="M26" s="45"/>
      <c r="N26" s="46"/>
      <c r="O26" s="47"/>
      <c r="P26" s="48"/>
      <c r="Q26" s="49">
        <f t="shared" si="0"/>
        <v>0</v>
      </c>
      <c r="R26" s="50" t="e">
        <f t="shared" si="1"/>
        <v>#DIV/0!</v>
      </c>
    </row>
    <row r="27" spans="1:18" ht="18" customHeight="1" x14ac:dyDescent="0.15">
      <c r="A27" s="35"/>
      <c r="B27" s="71"/>
      <c r="C27" s="43"/>
      <c r="D27" s="44"/>
      <c r="E27" s="45"/>
      <c r="F27" s="46"/>
      <c r="G27" s="47"/>
      <c r="H27" s="48"/>
      <c r="I27" s="45"/>
      <c r="J27" s="46"/>
      <c r="K27" s="47"/>
      <c r="L27" s="48"/>
      <c r="M27" s="45"/>
      <c r="N27" s="46"/>
      <c r="O27" s="47"/>
      <c r="P27" s="48"/>
      <c r="Q27" s="49">
        <f t="shared" si="0"/>
        <v>0</v>
      </c>
      <c r="R27" s="50" t="e">
        <f t="shared" si="1"/>
        <v>#DIV/0!</v>
      </c>
    </row>
    <row r="28" spans="1:18" ht="18" customHeight="1" x14ac:dyDescent="0.15">
      <c r="A28" s="35"/>
      <c r="B28" s="71"/>
      <c r="C28" s="43"/>
      <c r="D28" s="44"/>
      <c r="E28" s="45"/>
      <c r="F28" s="46"/>
      <c r="G28" s="47"/>
      <c r="H28" s="48"/>
      <c r="I28" s="45"/>
      <c r="J28" s="46"/>
      <c r="K28" s="47"/>
      <c r="L28" s="48"/>
      <c r="M28" s="45"/>
      <c r="N28" s="46"/>
      <c r="O28" s="47"/>
      <c r="P28" s="48"/>
      <c r="Q28" s="49">
        <f t="shared" si="0"/>
        <v>0</v>
      </c>
      <c r="R28" s="50" t="e">
        <f t="shared" si="1"/>
        <v>#DIV/0!</v>
      </c>
    </row>
    <row r="29" spans="1:18" ht="18" customHeight="1" thickBot="1" x14ac:dyDescent="0.2">
      <c r="A29" s="35"/>
      <c r="B29" s="72"/>
      <c r="C29" s="73"/>
      <c r="D29" s="36"/>
      <c r="E29" s="37"/>
      <c r="F29" s="38"/>
      <c r="G29" s="39"/>
      <c r="H29" s="40"/>
      <c r="I29" s="37"/>
      <c r="J29" s="38"/>
      <c r="K29" s="39"/>
      <c r="L29" s="40"/>
      <c r="M29" s="37"/>
      <c r="N29" s="38"/>
      <c r="O29" s="39"/>
      <c r="P29" s="40"/>
      <c r="Q29" s="52">
        <f t="shared" si="0"/>
        <v>0</v>
      </c>
      <c r="R29" s="42" t="e">
        <f t="shared" si="1"/>
        <v>#DIV/0!</v>
      </c>
    </row>
    <row r="30" spans="1:18" ht="18" customHeight="1" thickTop="1" x14ac:dyDescent="0.15">
      <c r="B30" s="74" t="s">
        <v>148</v>
      </c>
      <c r="C30" s="75">
        <f t="shared" ref="C30:Q30" si="2">SUM(C10:C29)</f>
        <v>860</v>
      </c>
      <c r="D30" s="53">
        <f t="shared" si="2"/>
        <v>3240</v>
      </c>
      <c r="E30" s="54">
        <f t="shared" si="2"/>
        <v>323</v>
      </c>
      <c r="F30" s="55">
        <f t="shared" si="2"/>
        <v>313</v>
      </c>
      <c r="G30" s="56">
        <f t="shared" si="2"/>
        <v>0</v>
      </c>
      <c r="H30" s="57">
        <f t="shared" si="2"/>
        <v>0</v>
      </c>
      <c r="I30" s="54">
        <f t="shared" si="2"/>
        <v>0</v>
      </c>
      <c r="J30" s="55">
        <f t="shared" si="2"/>
        <v>0</v>
      </c>
      <c r="K30" s="56">
        <f t="shared" si="2"/>
        <v>0</v>
      </c>
      <c r="L30" s="57">
        <f t="shared" si="2"/>
        <v>0</v>
      </c>
      <c r="M30" s="54">
        <f t="shared" si="2"/>
        <v>0</v>
      </c>
      <c r="N30" s="55">
        <f t="shared" si="2"/>
        <v>0</v>
      </c>
      <c r="O30" s="56">
        <f t="shared" si="2"/>
        <v>0</v>
      </c>
      <c r="P30" s="57">
        <f t="shared" si="2"/>
        <v>0</v>
      </c>
      <c r="Q30" s="58">
        <f t="shared" si="2"/>
        <v>323</v>
      </c>
      <c r="R30" s="59">
        <f>Q30/D30</f>
        <v>9.9691358024691354E-2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heetViews>
  <sheetFormatPr defaultColWidth="11.375" defaultRowHeight="18.9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1"/>
    <col min="12" max="16384" width="11.375" style="1"/>
  </cols>
  <sheetData>
    <row r="1" spans="1:11" ht="18.95" customHeight="1" x14ac:dyDescent="0.15">
      <c r="A1" s="2" t="s">
        <v>149</v>
      </c>
      <c r="J1" s="29" t="s">
        <v>150</v>
      </c>
    </row>
    <row r="2" spans="1:11" ht="18.95" customHeight="1" x14ac:dyDescent="0.15">
      <c r="A2" s="272" t="s">
        <v>151</v>
      </c>
      <c r="B2" s="272"/>
      <c r="C2" s="272"/>
      <c r="D2" s="272"/>
      <c r="E2" s="272"/>
      <c r="F2" s="272"/>
      <c r="G2" s="272"/>
      <c r="H2" s="272"/>
      <c r="I2" s="272"/>
      <c r="J2" s="272"/>
    </row>
    <row r="3" spans="1:11" ht="7.5" customHeight="1" x14ac:dyDescent="0.15">
      <c r="B3" s="26"/>
      <c r="C3" s="26"/>
      <c r="D3" s="26"/>
      <c r="E3" s="26"/>
      <c r="F3" s="26"/>
      <c r="G3" s="26"/>
      <c r="H3" s="26"/>
      <c r="I3" s="26"/>
      <c r="J3" s="26"/>
    </row>
    <row r="4" spans="1:11" ht="18.95" customHeight="1" x14ac:dyDescent="0.15">
      <c r="A4" s="1" t="s">
        <v>2</v>
      </c>
      <c r="B4" s="4" t="s">
        <v>152</v>
      </c>
      <c r="C4" s="4"/>
      <c r="D4" s="4"/>
      <c r="E4" s="4"/>
      <c r="F4" s="4"/>
      <c r="G4" s="4"/>
      <c r="H4" s="4"/>
      <c r="I4" s="26"/>
      <c r="J4" s="26"/>
    </row>
    <row r="5" spans="1:11" ht="18.95" customHeight="1" x14ac:dyDescent="0.15">
      <c r="A5" s="1"/>
      <c r="B5" s="309" t="s">
        <v>153</v>
      </c>
      <c r="C5" s="310"/>
      <c r="D5" s="310"/>
      <c r="E5" s="310"/>
      <c r="F5" s="310"/>
      <c r="G5" s="310"/>
      <c r="H5" s="310"/>
      <c r="I5" s="310"/>
      <c r="J5" s="311"/>
      <c r="K5" s="21" t="str">
        <f>IF(B5="","入力してください","")</f>
        <v/>
      </c>
    </row>
    <row r="6" spans="1:11" ht="7.5" customHeight="1" x14ac:dyDescent="0.15">
      <c r="B6" s="26"/>
      <c r="C6" s="26"/>
      <c r="D6" s="26"/>
      <c r="E6" s="26"/>
      <c r="F6" s="26"/>
      <c r="G6" s="26"/>
      <c r="H6" s="26"/>
      <c r="I6" s="26"/>
      <c r="J6" s="26"/>
    </row>
    <row r="7" spans="1:11" s="4" customFormat="1" ht="18.95" customHeight="1" x14ac:dyDescent="0.15">
      <c r="A7" s="1" t="s">
        <v>5</v>
      </c>
      <c r="B7" s="1" t="s">
        <v>154</v>
      </c>
      <c r="C7" s="1"/>
      <c r="D7" s="1"/>
      <c r="E7" s="1"/>
      <c r="F7" s="1"/>
      <c r="G7" s="1"/>
      <c r="H7" s="1"/>
      <c r="I7" s="1"/>
      <c r="J7" s="1"/>
      <c r="K7" s="21"/>
    </row>
    <row r="8" spans="1:11" s="4" customFormat="1" ht="18.95" customHeight="1" x14ac:dyDescent="0.15">
      <c r="A8" s="76"/>
      <c r="B8" s="288" t="s">
        <v>155</v>
      </c>
      <c r="C8" s="289"/>
      <c r="D8" s="289"/>
      <c r="E8" s="289"/>
      <c r="F8" s="289"/>
      <c r="G8" s="289"/>
      <c r="H8" s="289"/>
      <c r="I8" s="297"/>
      <c r="J8" s="298"/>
      <c r="K8" s="21" t="str">
        <f>IF(B8="","入力してください","")</f>
        <v/>
      </c>
    </row>
    <row r="9" spans="1:11" s="4" customFormat="1" ht="18.95" customHeight="1" x14ac:dyDescent="0.15">
      <c r="A9" s="76"/>
      <c r="B9" s="299"/>
      <c r="C9" s="300"/>
      <c r="D9" s="300"/>
      <c r="E9" s="300"/>
      <c r="F9" s="300"/>
      <c r="G9" s="300"/>
      <c r="H9" s="300"/>
      <c r="I9" s="300"/>
      <c r="J9" s="301"/>
      <c r="K9" s="21"/>
    </row>
    <row r="10" spans="1:11" s="4" customFormat="1" ht="18.95" customHeight="1" x14ac:dyDescent="0.15">
      <c r="A10" s="76"/>
      <c r="B10" s="299"/>
      <c r="C10" s="300"/>
      <c r="D10" s="300"/>
      <c r="E10" s="300"/>
      <c r="F10" s="300"/>
      <c r="G10" s="300"/>
      <c r="H10" s="300"/>
      <c r="I10" s="300"/>
      <c r="J10" s="301"/>
      <c r="K10" s="21"/>
    </row>
    <row r="11" spans="1:11" s="4" customFormat="1" ht="18.95" customHeight="1" x14ac:dyDescent="0.15">
      <c r="A11" s="76"/>
      <c r="B11" s="299"/>
      <c r="C11" s="300"/>
      <c r="D11" s="300"/>
      <c r="E11" s="300"/>
      <c r="F11" s="300"/>
      <c r="G11" s="300"/>
      <c r="H11" s="300"/>
      <c r="I11" s="300"/>
      <c r="J11" s="301"/>
      <c r="K11" s="21"/>
    </row>
    <row r="12" spans="1:11" s="4" customFormat="1" ht="18.95" customHeight="1" x14ac:dyDescent="0.15">
      <c r="A12" s="76"/>
      <c r="B12" s="302"/>
      <c r="C12" s="303"/>
      <c r="D12" s="303"/>
      <c r="E12" s="303"/>
      <c r="F12" s="303"/>
      <c r="G12" s="303"/>
      <c r="H12" s="303"/>
      <c r="I12" s="303"/>
      <c r="J12" s="304"/>
      <c r="K12" s="21"/>
    </row>
    <row r="13" spans="1:11" s="4" customFormat="1" ht="7.5" customHeight="1" x14ac:dyDescent="0.15">
      <c r="A13" s="76"/>
      <c r="B13" s="76"/>
      <c r="C13" s="76"/>
      <c r="D13" s="76"/>
      <c r="E13" s="76"/>
      <c r="F13" s="76"/>
      <c r="G13" s="76"/>
      <c r="H13" s="76"/>
      <c r="I13" s="76"/>
      <c r="J13" s="76"/>
      <c r="K13" s="21"/>
    </row>
    <row r="14" spans="1:11" s="4" customFormat="1" ht="18.95" customHeight="1" x14ac:dyDescent="0.15">
      <c r="A14" s="77" t="s">
        <v>156</v>
      </c>
      <c r="B14" s="77" t="s">
        <v>157</v>
      </c>
      <c r="C14" s="77"/>
      <c r="D14" s="77"/>
      <c r="E14" s="77"/>
      <c r="F14" s="77"/>
      <c r="G14" s="77"/>
      <c r="H14" s="77"/>
      <c r="I14" s="77"/>
      <c r="J14" s="77"/>
      <c r="K14" s="21"/>
    </row>
    <row r="15" spans="1:11" s="4" customFormat="1" ht="18.95" customHeight="1" x14ac:dyDescent="0.15">
      <c r="A15" s="76"/>
      <c r="B15" s="288" t="s">
        <v>158</v>
      </c>
      <c r="C15" s="289"/>
      <c r="D15" s="289"/>
      <c r="E15" s="289"/>
      <c r="F15" s="289"/>
      <c r="G15" s="289"/>
      <c r="H15" s="289"/>
      <c r="I15" s="297"/>
      <c r="J15" s="298"/>
      <c r="K15" s="21" t="str">
        <f>IF(B15="","入力してください","")</f>
        <v/>
      </c>
    </row>
    <row r="16" spans="1:11" s="4" customFormat="1" ht="18.95" customHeight="1" x14ac:dyDescent="0.15">
      <c r="A16" s="76"/>
      <c r="B16" s="299"/>
      <c r="C16" s="300"/>
      <c r="D16" s="300"/>
      <c r="E16" s="300"/>
      <c r="F16" s="300"/>
      <c r="G16" s="300"/>
      <c r="H16" s="300"/>
      <c r="I16" s="300"/>
      <c r="J16" s="301"/>
      <c r="K16" s="21"/>
    </row>
    <row r="17" spans="1:11" s="4" customFormat="1" ht="18.95" customHeight="1" x14ac:dyDescent="0.15">
      <c r="A17" s="76"/>
      <c r="B17" s="299"/>
      <c r="C17" s="300"/>
      <c r="D17" s="300"/>
      <c r="E17" s="300"/>
      <c r="F17" s="300"/>
      <c r="G17" s="300"/>
      <c r="H17" s="300"/>
      <c r="I17" s="300"/>
      <c r="J17" s="301"/>
      <c r="K17" s="21"/>
    </row>
    <row r="18" spans="1:11" s="4" customFormat="1" ht="18.95" customHeight="1" x14ac:dyDescent="0.15">
      <c r="A18" s="76"/>
      <c r="B18" s="299"/>
      <c r="C18" s="300"/>
      <c r="D18" s="300"/>
      <c r="E18" s="300"/>
      <c r="F18" s="300"/>
      <c r="G18" s="300"/>
      <c r="H18" s="300"/>
      <c r="I18" s="300"/>
      <c r="J18" s="301"/>
      <c r="K18" s="21"/>
    </row>
    <row r="19" spans="1:11" s="4" customFormat="1" ht="18.95" customHeight="1" x14ac:dyDescent="0.15">
      <c r="A19" s="76"/>
      <c r="B19" s="299"/>
      <c r="C19" s="300"/>
      <c r="D19" s="300"/>
      <c r="E19" s="300"/>
      <c r="F19" s="300"/>
      <c r="G19" s="300"/>
      <c r="H19" s="300"/>
      <c r="I19" s="300"/>
      <c r="J19" s="301"/>
      <c r="K19" s="21"/>
    </row>
    <row r="20" spans="1:11" s="4" customFormat="1" ht="18.95" customHeight="1" x14ac:dyDescent="0.15">
      <c r="A20" s="76"/>
      <c r="B20" s="299"/>
      <c r="C20" s="300"/>
      <c r="D20" s="300"/>
      <c r="E20" s="300"/>
      <c r="F20" s="300"/>
      <c r="G20" s="300"/>
      <c r="H20" s="300"/>
      <c r="I20" s="300"/>
      <c r="J20" s="301"/>
      <c r="K20" s="21"/>
    </row>
    <row r="21" spans="1:11" s="4" customFormat="1" ht="18.95" customHeight="1" x14ac:dyDescent="0.15">
      <c r="A21" s="76"/>
      <c r="B21" s="299"/>
      <c r="C21" s="300"/>
      <c r="D21" s="300"/>
      <c r="E21" s="300"/>
      <c r="F21" s="300"/>
      <c r="G21" s="300"/>
      <c r="H21" s="300"/>
      <c r="I21" s="300"/>
      <c r="J21" s="301"/>
      <c r="K21" s="21"/>
    </row>
    <row r="22" spans="1:11" s="4" customFormat="1" ht="18.95" customHeight="1" x14ac:dyDescent="0.15">
      <c r="A22" s="76"/>
      <c r="B22" s="299"/>
      <c r="C22" s="300"/>
      <c r="D22" s="300"/>
      <c r="E22" s="300"/>
      <c r="F22" s="300"/>
      <c r="G22" s="300"/>
      <c r="H22" s="300"/>
      <c r="I22" s="300"/>
      <c r="J22" s="301"/>
      <c r="K22" s="21"/>
    </row>
    <row r="23" spans="1:11" s="4" customFormat="1" ht="18.95" customHeight="1" x14ac:dyDescent="0.15">
      <c r="A23" s="76"/>
      <c r="B23" s="299"/>
      <c r="C23" s="300"/>
      <c r="D23" s="300"/>
      <c r="E23" s="300"/>
      <c r="F23" s="300"/>
      <c r="G23" s="300"/>
      <c r="H23" s="300"/>
      <c r="I23" s="300"/>
      <c r="J23" s="301"/>
      <c r="K23" s="21"/>
    </row>
    <row r="24" spans="1:11" s="4" customFormat="1" ht="18.95" customHeight="1" x14ac:dyDescent="0.15">
      <c r="A24" s="76"/>
      <c r="B24" s="299"/>
      <c r="C24" s="300"/>
      <c r="D24" s="300"/>
      <c r="E24" s="300"/>
      <c r="F24" s="300"/>
      <c r="G24" s="300"/>
      <c r="H24" s="300"/>
      <c r="I24" s="300"/>
      <c r="J24" s="301"/>
      <c r="K24" s="21"/>
    </row>
    <row r="25" spans="1:11" s="4" customFormat="1" ht="18.95" customHeight="1" x14ac:dyDescent="0.15">
      <c r="A25" s="76"/>
      <c r="B25" s="302"/>
      <c r="C25" s="303"/>
      <c r="D25" s="303"/>
      <c r="E25" s="303"/>
      <c r="F25" s="303"/>
      <c r="G25" s="303"/>
      <c r="H25" s="303"/>
      <c r="I25" s="303"/>
      <c r="J25" s="304"/>
      <c r="K25" s="21"/>
    </row>
    <row r="26" spans="1:11" ht="7.5" customHeight="1" x14ac:dyDescent="0.15">
      <c r="A26" s="27"/>
      <c r="B26" s="27"/>
      <c r="C26" s="27"/>
      <c r="D26" s="27"/>
      <c r="E26" s="27"/>
      <c r="F26" s="27"/>
      <c r="G26" s="27"/>
      <c r="H26" s="27"/>
      <c r="I26" s="27"/>
      <c r="J26" s="27"/>
    </row>
    <row r="27" spans="1:11" s="4" customFormat="1" ht="18.95" customHeight="1" x14ac:dyDescent="0.15">
      <c r="A27" s="1" t="s">
        <v>11</v>
      </c>
      <c r="B27" s="1" t="s">
        <v>159</v>
      </c>
      <c r="C27" s="1"/>
      <c r="D27" s="1"/>
      <c r="E27" s="1"/>
      <c r="F27" s="1"/>
      <c r="G27" s="1"/>
      <c r="H27" s="1"/>
      <c r="I27" s="1"/>
      <c r="J27" s="1"/>
      <c r="K27" s="21"/>
    </row>
    <row r="28" spans="1:11" s="19" customFormat="1" ht="18.95" customHeight="1" x14ac:dyDescent="0.15">
      <c r="B28" s="78" t="s">
        <v>160</v>
      </c>
      <c r="C28" s="79">
        <f>'様式３　履修者等数の実績'!R30</f>
        <v>9.9691358024691354E-2</v>
      </c>
      <c r="D28" s="80"/>
      <c r="E28" s="80" t="s">
        <v>161</v>
      </c>
      <c r="F28" s="79">
        <v>0.35</v>
      </c>
      <c r="G28" s="80"/>
      <c r="H28" s="80" t="s">
        <v>162</v>
      </c>
      <c r="I28" s="81">
        <v>0.6</v>
      </c>
      <c r="J28" s="82"/>
      <c r="K28" s="21"/>
    </row>
    <row r="29" spans="1:11" s="19" customFormat="1" ht="18.95" customHeight="1" x14ac:dyDescent="0.15">
      <c r="B29" s="67" t="s">
        <v>163</v>
      </c>
      <c r="C29" s="83">
        <v>0.85</v>
      </c>
      <c r="D29" s="68"/>
      <c r="E29" s="68" t="s">
        <v>164</v>
      </c>
      <c r="F29" s="83">
        <v>1</v>
      </c>
      <c r="G29" s="68"/>
      <c r="H29" s="68" t="s">
        <v>165</v>
      </c>
      <c r="I29" s="84">
        <f>'様式３　履修者等数の実績'!D30</f>
        <v>3240</v>
      </c>
      <c r="J29" s="85"/>
      <c r="K29" s="21"/>
    </row>
    <row r="30" spans="1:11" s="4" customFormat="1" ht="18.95" customHeight="1" x14ac:dyDescent="0.15">
      <c r="A30" s="1"/>
      <c r="B30" s="208" t="s">
        <v>166</v>
      </c>
      <c r="C30" s="209"/>
      <c r="D30" s="209"/>
      <c r="E30" s="209"/>
      <c r="F30" s="209"/>
      <c r="G30" s="209"/>
      <c r="H30" s="209"/>
      <c r="I30" s="209"/>
      <c r="J30" s="210"/>
      <c r="K30" s="21"/>
    </row>
    <row r="31" spans="1:11" s="4" customFormat="1" ht="18.95" customHeight="1" x14ac:dyDescent="0.15">
      <c r="A31" s="1"/>
      <c r="B31" s="306" t="s">
        <v>167</v>
      </c>
      <c r="C31" s="307"/>
      <c r="D31" s="307"/>
      <c r="E31" s="307"/>
      <c r="F31" s="307"/>
      <c r="G31" s="307"/>
      <c r="H31" s="307"/>
      <c r="I31" s="307"/>
      <c r="J31" s="308"/>
      <c r="K31" s="21" t="str">
        <f>IF(B31="","入力してください","")</f>
        <v/>
      </c>
    </row>
    <row r="32" spans="1:11" s="4" customFormat="1" ht="18.95" customHeight="1" x14ac:dyDescent="0.15">
      <c r="A32" s="1"/>
      <c r="B32" s="291"/>
      <c r="C32" s="292"/>
      <c r="D32" s="292"/>
      <c r="E32" s="292"/>
      <c r="F32" s="292"/>
      <c r="G32" s="292"/>
      <c r="H32" s="292"/>
      <c r="I32" s="292"/>
      <c r="J32" s="293"/>
      <c r="K32" s="21"/>
    </row>
    <row r="33" spans="1:11" s="4" customFormat="1" ht="18.95" customHeight="1" x14ac:dyDescent="0.15">
      <c r="A33" s="1"/>
      <c r="B33" s="291"/>
      <c r="C33" s="292"/>
      <c r="D33" s="292"/>
      <c r="E33" s="292"/>
      <c r="F33" s="292"/>
      <c r="G33" s="292"/>
      <c r="H33" s="292"/>
      <c r="I33" s="292"/>
      <c r="J33" s="293"/>
      <c r="K33" s="21"/>
    </row>
    <row r="34" spans="1:11" s="4" customFormat="1" ht="18.95" customHeight="1" x14ac:dyDescent="0.15">
      <c r="A34" s="1"/>
      <c r="B34" s="291"/>
      <c r="C34" s="292"/>
      <c r="D34" s="292"/>
      <c r="E34" s="292"/>
      <c r="F34" s="292"/>
      <c r="G34" s="292"/>
      <c r="H34" s="292"/>
      <c r="I34" s="292"/>
      <c r="J34" s="293"/>
      <c r="K34" s="21"/>
    </row>
    <row r="35" spans="1:11" s="4" customFormat="1" ht="18.95" customHeight="1" x14ac:dyDescent="0.15">
      <c r="A35" s="1"/>
      <c r="B35" s="291"/>
      <c r="C35" s="292"/>
      <c r="D35" s="292"/>
      <c r="E35" s="292"/>
      <c r="F35" s="292"/>
      <c r="G35" s="292"/>
      <c r="H35" s="292"/>
      <c r="I35" s="292"/>
      <c r="J35" s="293"/>
      <c r="K35" s="21"/>
    </row>
    <row r="36" spans="1:11" s="4" customFormat="1" ht="18.95" customHeight="1" x14ac:dyDescent="0.15">
      <c r="A36" s="1"/>
      <c r="B36" s="291"/>
      <c r="C36" s="292"/>
      <c r="D36" s="292"/>
      <c r="E36" s="292"/>
      <c r="F36" s="292"/>
      <c r="G36" s="292"/>
      <c r="H36" s="292"/>
      <c r="I36" s="292"/>
      <c r="J36" s="293"/>
      <c r="K36" s="21"/>
    </row>
    <row r="37" spans="1:11" s="4" customFormat="1" ht="18.95" customHeight="1" x14ac:dyDescent="0.15">
      <c r="A37" s="1"/>
      <c r="B37" s="291"/>
      <c r="C37" s="292"/>
      <c r="D37" s="292"/>
      <c r="E37" s="292"/>
      <c r="F37" s="292"/>
      <c r="G37" s="292"/>
      <c r="H37" s="292"/>
      <c r="I37" s="292"/>
      <c r="J37" s="293"/>
      <c r="K37" s="21"/>
    </row>
    <row r="38" spans="1:11" s="4" customFormat="1" ht="18.95" customHeight="1" x14ac:dyDescent="0.15">
      <c r="A38" s="1"/>
      <c r="B38" s="291"/>
      <c r="C38" s="292"/>
      <c r="D38" s="292"/>
      <c r="E38" s="292"/>
      <c r="F38" s="292"/>
      <c r="G38" s="292"/>
      <c r="H38" s="292"/>
      <c r="I38" s="292"/>
      <c r="J38" s="293"/>
      <c r="K38" s="21"/>
    </row>
    <row r="39" spans="1:11" s="4" customFormat="1" ht="18.95" customHeight="1" x14ac:dyDescent="0.15">
      <c r="A39" s="1"/>
      <c r="B39" s="291"/>
      <c r="C39" s="292"/>
      <c r="D39" s="292"/>
      <c r="E39" s="292"/>
      <c r="F39" s="292"/>
      <c r="G39" s="292"/>
      <c r="H39" s="292"/>
      <c r="I39" s="292"/>
      <c r="J39" s="293"/>
      <c r="K39" s="21"/>
    </row>
    <row r="40" spans="1:11" s="4" customFormat="1" ht="18.95" customHeight="1" x14ac:dyDescent="0.15">
      <c r="A40" s="1"/>
      <c r="B40" s="291"/>
      <c r="C40" s="292"/>
      <c r="D40" s="292"/>
      <c r="E40" s="292"/>
      <c r="F40" s="292"/>
      <c r="G40" s="292"/>
      <c r="H40" s="292"/>
      <c r="I40" s="292"/>
      <c r="J40" s="293"/>
      <c r="K40" s="21"/>
    </row>
    <row r="41" spans="1:11" s="4" customFormat="1" ht="18.95" customHeight="1" x14ac:dyDescent="0.15">
      <c r="A41" s="1"/>
      <c r="B41" s="291"/>
      <c r="C41" s="292"/>
      <c r="D41" s="292"/>
      <c r="E41" s="292"/>
      <c r="F41" s="292"/>
      <c r="G41" s="292"/>
      <c r="H41" s="292"/>
      <c r="I41" s="292"/>
      <c r="J41" s="293"/>
      <c r="K41" s="21"/>
    </row>
    <row r="42" spans="1:11" s="4" customFormat="1" ht="18.95" customHeight="1" x14ac:dyDescent="0.15">
      <c r="A42" s="1"/>
      <c r="B42" s="291"/>
      <c r="C42" s="292"/>
      <c r="D42" s="292"/>
      <c r="E42" s="292"/>
      <c r="F42" s="292"/>
      <c r="G42" s="292"/>
      <c r="H42" s="292"/>
      <c r="I42" s="292"/>
      <c r="J42" s="293"/>
      <c r="K42" s="21"/>
    </row>
    <row r="43" spans="1:11" ht="18.95" customHeight="1" x14ac:dyDescent="0.15">
      <c r="A43" s="27"/>
      <c r="B43" s="291"/>
      <c r="C43" s="292"/>
      <c r="D43" s="292"/>
      <c r="E43" s="292"/>
      <c r="F43" s="292"/>
      <c r="G43" s="292"/>
      <c r="H43" s="292"/>
      <c r="I43" s="292"/>
      <c r="J43" s="293"/>
    </row>
    <row r="44" spans="1:11" ht="18.95" customHeight="1" x14ac:dyDescent="0.15">
      <c r="A44" s="27"/>
      <c r="B44" s="294"/>
      <c r="C44" s="295"/>
      <c r="D44" s="295"/>
      <c r="E44" s="295"/>
      <c r="F44" s="295"/>
      <c r="G44" s="295"/>
      <c r="H44" s="295"/>
      <c r="I44" s="295"/>
      <c r="J44" s="296"/>
    </row>
    <row r="45" spans="1:11" s="4" customFormat="1" ht="18.95" customHeight="1" x14ac:dyDescent="0.15">
      <c r="A45" s="86" t="s">
        <v>14</v>
      </c>
      <c r="B45" s="1" t="s">
        <v>168</v>
      </c>
      <c r="C45" s="1"/>
      <c r="D45" s="1"/>
      <c r="E45" s="1"/>
      <c r="F45" s="1"/>
      <c r="G45" s="1"/>
      <c r="H45" s="1"/>
      <c r="I45" s="86"/>
      <c r="J45" s="86"/>
      <c r="K45" s="21"/>
    </row>
    <row r="46" spans="1:11" ht="18.95" customHeight="1" x14ac:dyDescent="0.15">
      <c r="A46" s="27"/>
      <c r="B46" s="288" t="s">
        <v>169</v>
      </c>
      <c r="C46" s="289"/>
      <c r="D46" s="289"/>
      <c r="E46" s="289"/>
      <c r="F46" s="289"/>
      <c r="G46" s="289"/>
      <c r="H46" s="289"/>
      <c r="I46" s="289"/>
      <c r="J46" s="290"/>
      <c r="K46" s="21" t="str">
        <f>IF(B46="","入力してください","")</f>
        <v/>
      </c>
    </row>
    <row r="47" spans="1:11" ht="18.95" customHeight="1" x14ac:dyDescent="0.15">
      <c r="A47" s="27"/>
      <c r="B47" s="291"/>
      <c r="C47" s="292"/>
      <c r="D47" s="292"/>
      <c r="E47" s="292"/>
      <c r="F47" s="292"/>
      <c r="G47" s="292"/>
      <c r="H47" s="292"/>
      <c r="I47" s="292"/>
      <c r="J47" s="293"/>
    </row>
    <row r="48" spans="1:11" ht="18.95" customHeight="1" x14ac:dyDescent="0.15">
      <c r="A48" s="27"/>
      <c r="B48" s="291"/>
      <c r="C48" s="292"/>
      <c r="D48" s="292"/>
      <c r="E48" s="292"/>
      <c r="F48" s="292"/>
      <c r="G48" s="292"/>
      <c r="H48" s="292"/>
      <c r="I48" s="292"/>
      <c r="J48" s="293"/>
    </row>
    <row r="49" spans="1:10" ht="18.95" customHeight="1" x14ac:dyDescent="0.15">
      <c r="A49" s="27"/>
      <c r="B49" s="291"/>
      <c r="C49" s="292"/>
      <c r="D49" s="292"/>
      <c r="E49" s="292"/>
      <c r="F49" s="292"/>
      <c r="G49" s="292"/>
      <c r="H49" s="292"/>
      <c r="I49" s="292"/>
      <c r="J49" s="293"/>
    </row>
    <row r="50" spans="1:10" ht="18.95" customHeight="1" x14ac:dyDescent="0.15">
      <c r="A50" s="27"/>
      <c r="B50" s="291"/>
      <c r="C50" s="292"/>
      <c r="D50" s="292"/>
      <c r="E50" s="292"/>
      <c r="F50" s="292"/>
      <c r="G50" s="292"/>
      <c r="H50" s="292"/>
      <c r="I50" s="292"/>
      <c r="J50" s="293"/>
    </row>
    <row r="51" spans="1:10" ht="18.95" customHeight="1" x14ac:dyDescent="0.15">
      <c r="A51" s="27"/>
      <c r="B51" s="291"/>
      <c r="C51" s="292"/>
      <c r="D51" s="292"/>
      <c r="E51" s="292"/>
      <c r="F51" s="292"/>
      <c r="G51" s="292"/>
      <c r="H51" s="292"/>
      <c r="I51" s="292"/>
      <c r="J51" s="293"/>
    </row>
    <row r="52" spans="1:10" ht="18.95" customHeight="1" x14ac:dyDescent="0.15">
      <c r="A52" s="27"/>
      <c r="B52" s="291"/>
      <c r="C52" s="292"/>
      <c r="D52" s="292"/>
      <c r="E52" s="292"/>
      <c r="F52" s="292"/>
      <c r="G52" s="292"/>
      <c r="H52" s="292"/>
      <c r="I52" s="292"/>
      <c r="J52" s="293"/>
    </row>
    <row r="53" spans="1:10" ht="18.95" customHeight="1" x14ac:dyDescent="0.15">
      <c r="A53" s="27"/>
      <c r="B53" s="291"/>
      <c r="C53" s="292"/>
      <c r="D53" s="292"/>
      <c r="E53" s="292"/>
      <c r="F53" s="292"/>
      <c r="G53" s="292"/>
      <c r="H53" s="292"/>
      <c r="I53" s="292"/>
      <c r="J53" s="293"/>
    </row>
    <row r="54" spans="1:10" ht="18.95" customHeight="1" x14ac:dyDescent="0.15">
      <c r="A54" s="27"/>
      <c r="B54" s="291"/>
      <c r="C54" s="292"/>
      <c r="D54" s="292"/>
      <c r="E54" s="292"/>
      <c r="F54" s="292"/>
      <c r="G54" s="292"/>
      <c r="H54" s="292"/>
      <c r="I54" s="292"/>
      <c r="J54" s="293"/>
    </row>
    <row r="55" spans="1:10" ht="18.95" customHeight="1" x14ac:dyDescent="0.15">
      <c r="A55" s="27"/>
      <c r="B55" s="291"/>
      <c r="C55" s="292"/>
      <c r="D55" s="292"/>
      <c r="E55" s="292"/>
      <c r="F55" s="292"/>
      <c r="G55" s="292"/>
      <c r="H55" s="292"/>
      <c r="I55" s="292"/>
      <c r="J55" s="293"/>
    </row>
    <row r="56" spans="1:10" ht="18.95" customHeight="1" x14ac:dyDescent="0.15">
      <c r="A56" s="27"/>
      <c r="B56" s="291"/>
      <c r="C56" s="292"/>
      <c r="D56" s="292"/>
      <c r="E56" s="292"/>
      <c r="F56" s="292"/>
      <c r="G56" s="292"/>
      <c r="H56" s="292"/>
      <c r="I56" s="292"/>
      <c r="J56" s="293"/>
    </row>
    <row r="57" spans="1:10" ht="18.95" customHeight="1" x14ac:dyDescent="0.15">
      <c r="A57" s="27"/>
      <c r="B57" s="291"/>
      <c r="C57" s="292"/>
      <c r="D57" s="292"/>
      <c r="E57" s="292"/>
      <c r="F57" s="292"/>
      <c r="G57" s="292"/>
      <c r="H57" s="292"/>
      <c r="I57" s="292"/>
      <c r="J57" s="293"/>
    </row>
    <row r="58" spans="1:10" ht="18.95" customHeight="1" x14ac:dyDescent="0.15">
      <c r="A58" s="27"/>
      <c r="B58" s="291"/>
      <c r="C58" s="292"/>
      <c r="D58" s="292"/>
      <c r="E58" s="292"/>
      <c r="F58" s="292"/>
      <c r="G58" s="292"/>
      <c r="H58" s="292"/>
      <c r="I58" s="292"/>
      <c r="J58" s="293"/>
    </row>
    <row r="59" spans="1:10" ht="18.95" customHeight="1" x14ac:dyDescent="0.15">
      <c r="A59" s="27"/>
      <c r="B59" s="291"/>
      <c r="C59" s="292"/>
      <c r="D59" s="292"/>
      <c r="E59" s="292"/>
      <c r="F59" s="292"/>
      <c r="G59" s="292"/>
      <c r="H59" s="292"/>
      <c r="I59" s="292"/>
      <c r="J59" s="293"/>
    </row>
    <row r="60" spans="1:10" ht="18.95" customHeight="1" x14ac:dyDescent="0.15">
      <c r="A60" s="27"/>
      <c r="B60" s="291"/>
      <c r="C60" s="292"/>
      <c r="D60" s="292"/>
      <c r="E60" s="292"/>
      <c r="F60" s="292"/>
      <c r="G60" s="292"/>
      <c r="H60" s="292"/>
      <c r="I60" s="292"/>
      <c r="J60" s="293"/>
    </row>
    <row r="61" spans="1:10" ht="18.95" customHeight="1" x14ac:dyDescent="0.15">
      <c r="A61" s="27"/>
      <c r="B61" s="291"/>
      <c r="C61" s="292"/>
      <c r="D61" s="292"/>
      <c r="E61" s="292"/>
      <c r="F61" s="292"/>
      <c r="G61" s="292"/>
      <c r="H61" s="292"/>
      <c r="I61" s="292"/>
      <c r="J61" s="293"/>
    </row>
    <row r="62" spans="1:10" ht="18.95" customHeight="1" x14ac:dyDescent="0.15">
      <c r="A62" s="27"/>
      <c r="B62" s="291"/>
      <c r="C62" s="292"/>
      <c r="D62" s="292"/>
      <c r="E62" s="292"/>
      <c r="F62" s="292"/>
      <c r="G62" s="292"/>
      <c r="H62" s="292"/>
      <c r="I62" s="292"/>
      <c r="J62" s="293"/>
    </row>
    <row r="63" spans="1:10" ht="18.95" customHeight="1" x14ac:dyDescent="0.15">
      <c r="A63" s="27"/>
      <c r="B63" s="291"/>
      <c r="C63" s="292"/>
      <c r="D63" s="292"/>
      <c r="E63" s="292"/>
      <c r="F63" s="292"/>
      <c r="G63" s="292"/>
      <c r="H63" s="292"/>
      <c r="I63" s="292"/>
      <c r="J63" s="293"/>
    </row>
    <row r="64" spans="1:10" ht="18.95" customHeight="1" x14ac:dyDescent="0.15">
      <c r="A64" s="27"/>
      <c r="B64" s="291"/>
      <c r="C64" s="292"/>
      <c r="D64" s="292"/>
      <c r="E64" s="292"/>
      <c r="F64" s="292"/>
      <c r="G64" s="292"/>
      <c r="H64" s="292"/>
      <c r="I64" s="292"/>
      <c r="J64" s="293"/>
    </row>
    <row r="65" spans="1:11" ht="18.95" customHeight="1" x14ac:dyDescent="0.15">
      <c r="A65" s="27"/>
      <c r="B65" s="291"/>
      <c r="C65" s="292"/>
      <c r="D65" s="292"/>
      <c r="E65" s="292"/>
      <c r="F65" s="292"/>
      <c r="G65" s="292"/>
      <c r="H65" s="292"/>
      <c r="I65" s="292"/>
      <c r="J65" s="293"/>
    </row>
    <row r="66" spans="1:11" ht="18.95" customHeight="1" x14ac:dyDescent="0.15">
      <c r="A66" s="27"/>
      <c r="B66" s="294"/>
      <c r="C66" s="295"/>
      <c r="D66" s="295"/>
      <c r="E66" s="295"/>
      <c r="F66" s="295"/>
      <c r="G66" s="295"/>
      <c r="H66" s="295"/>
      <c r="I66" s="295"/>
      <c r="J66" s="296"/>
    </row>
    <row r="67" spans="1:11" ht="7.5" customHeight="1" x14ac:dyDescent="0.15">
      <c r="A67" s="27"/>
      <c r="B67" s="27"/>
      <c r="C67" s="27"/>
      <c r="D67" s="27"/>
      <c r="E67" s="27"/>
      <c r="F67" s="27"/>
      <c r="G67" s="27"/>
      <c r="H67" s="27"/>
      <c r="I67" s="27"/>
      <c r="J67" s="27"/>
    </row>
    <row r="68" spans="1:11" s="4" customFormat="1" ht="18.95" customHeight="1" x14ac:dyDescent="0.15">
      <c r="A68" s="1" t="s">
        <v>17</v>
      </c>
      <c r="B68" s="1" t="s">
        <v>170</v>
      </c>
      <c r="C68" s="1"/>
      <c r="D68" s="1"/>
      <c r="E68" s="1"/>
      <c r="F68" s="1"/>
      <c r="G68" s="1"/>
      <c r="H68" s="1"/>
      <c r="I68" s="1"/>
      <c r="J68" s="1"/>
      <c r="K68" s="21"/>
    </row>
    <row r="69" spans="1:11" s="4" customFormat="1" ht="18.95" customHeight="1" x14ac:dyDescent="0.15">
      <c r="A69" s="1"/>
      <c r="B69" s="288" t="s">
        <v>171</v>
      </c>
      <c r="C69" s="289"/>
      <c r="D69" s="289"/>
      <c r="E69" s="289"/>
      <c r="F69" s="289"/>
      <c r="G69" s="289"/>
      <c r="H69" s="289"/>
      <c r="I69" s="297"/>
      <c r="J69" s="298"/>
      <c r="K69" s="21" t="str">
        <f>IF(B69="","入力してください","")</f>
        <v/>
      </c>
    </row>
    <row r="70" spans="1:11" s="4" customFormat="1" ht="18.95" customHeight="1" x14ac:dyDescent="0.15">
      <c r="A70" s="1"/>
      <c r="B70" s="299"/>
      <c r="C70" s="300"/>
      <c r="D70" s="300"/>
      <c r="E70" s="300"/>
      <c r="F70" s="300"/>
      <c r="G70" s="300"/>
      <c r="H70" s="300"/>
      <c r="I70" s="300"/>
      <c r="J70" s="301"/>
      <c r="K70" s="21"/>
    </row>
    <row r="71" spans="1:11" s="4" customFormat="1" ht="18.95" customHeight="1" x14ac:dyDescent="0.15">
      <c r="A71" s="1"/>
      <c r="B71" s="299"/>
      <c r="C71" s="300"/>
      <c r="D71" s="300"/>
      <c r="E71" s="300"/>
      <c r="F71" s="300"/>
      <c r="G71" s="300"/>
      <c r="H71" s="300"/>
      <c r="I71" s="300"/>
      <c r="J71" s="301"/>
      <c r="K71" s="21"/>
    </row>
    <row r="72" spans="1:11" s="4" customFormat="1" ht="18.95" customHeight="1" x14ac:dyDescent="0.15">
      <c r="A72" s="1"/>
      <c r="B72" s="299"/>
      <c r="C72" s="300"/>
      <c r="D72" s="300"/>
      <c r="E72" s="300"/>
      <c r="F72" s="300"/>
      <c r="G72" s="300"/>
      <c r="H72" s="300"/>
      <c r="I72" s="300"/>
      <c r="J72" s="301"/>
      <c r="K72" s="21"/>
    </row>
    <row r="73" spans="1:11" s="4" customFormat="1" ht="18.95" customHeight="1" x14ac:dyDescent="0.15">
      <c r="A73" s="1"/>
      <c r="B73" s="299"/>
      <c r="C73" s="300"/>
      <c r="D73" s="300"/>
      <c r="E73" s="300"/>
      <c r="F73" s="300"/>
      <c r="G73" s="300"/>
      <c r="H73" s="300"/>
      <c r="I73" s="300"/>
      <c r="J73" s="301"/>
      <c r="K73" s="21"/>
    </row>
    <row r="74" spans="1:11" s="4" customFormat="1" ht="18.95" customHeight="1" x14ac:dyDescent="0.15">
      <c r="A74" s="1"/>
      <c r="B74" s="299"/>
      <c r="C74" s="300"/>
      <c r="D74" s="300"/>
      <c r="E74" s="300"/>
      <c r="F74" s="300"/>
      <c r="G74" s="300"/>
      <c r="H74" s="300"/>
      <c r="I74" s="300"/>
      <c r="J74" s="301"/>
      <c r="K74" s="21"/>
    </row>
    <row r="75" spans="1:11" s="4" customFormat="1" ht="18.95" customHeight="1" x14ac:dyDescent="0.15">
      <c r="A75" s="1"/>
      <c r="B75" s="299"/>
      <c r="C75" s="300"/>
      <c r="D75" s="300"/>
      <c r="E75" s="300"/>
      <c r="F75" s="300"/>
      <c r="G75" s="300"/>
      <c r="H75" s="300"/>
      <c r="I75" s="300"/>
      <c r="J75" s="301"/>
      <c r="K75" s="21"/>
    </row>
    <row r="76" spans="1:11" s="4" customFormat="1" ht="18.95" customHeight="1" x14ac:dyDescent="0.15">
      <c r="A76" s="1"/>
      <c r="B76" s="299"/>
      <c r="C76" s="300"/>
      <c r="D76" s="300"/>
      <c r="E76" s="300"/>
      <c r="F76" s="300"/>
      <c r="G76" s="300"/>
      <c r="H76" s="300"/>
      <c r="I76" s="300"/>
      <c r="J76" s="301"/>
      <c r="K76" s="21"/>
    </row>
    <row r="77" spans="1:11" s="4" customFormat="1" ht="18.95" customHeight="1" x14ac:dyDescent="0.15">
      <c r="A77" s="1"/>
      <c r="B77" s="299"/>
      <c r="C77" s="300"/>
      <c r="D77" s="300"/>
      <c r="E77" s="300"/>
      <c r="F77" s="300"/>
      <c r="G77" s="300"/>
      <c r="H77" s="300"/>
      <c r="I77" s="300"/>
      <c r="J77" s="301"/>
      <c r="K77" s="21"/>
    </row>
    <row r="78" spans="1:11" s="4" customFormat="1" ht="18.95" customHeight="1" x14ac:dyDescent="0.15">
      <c r="A78" s="1"/>
      <c r="B78" s="299"/>
      <c r="C78" s="300"/>
      <c r="D78" s="300"/>
      <c r="E78" s="300"/>
      <c r="F78" s="300"/>
      <c r="G78" s="300"/>
      <c r="H78" s="300"/>
      <c r="I78" s="300"/>
      <c r="J78" s="301"/>
      <c r="K78" s="21"/>
    </row>
    <row r="79" spans="1:11" s="4" customFormat="1" ht="18.95" customHeight="1" x14ac:dyDescent="0.15">
      <c r="A79" s="1"/>
      <c r="B79" s="299"/>
      <c r="C79" s="300"/>
      <c r="D79" s="300"/>
      <c r="E79" s="300"/>
      <c r="F79" s="300"/>
      <c r="G79" s="300"/>
      <c r="H79" s="300"/>
      <c r="I79" s="300"/>
      <c r="J79" s="301"/>
      <c r="K79" s="21"/>
    </row>
    <row r="80" spans="1:11" s="4" customFormat="1" ht="18.95" customHeight="1" x14ac:dyDescent="0.15">
      <c r="A80" s="1"/>
      <c r="B80" s="299"/>
      <c r="C80" s="300"/>
      <c r="D80" s="300"/>
      <c r="E80" s="300"/>
      <c r="F80" s="300"/>
      <c r="G80" s="300"/>
      <c r="H80" s="300"/>
      <c r="I80" s="300"/>
      <c r="J80" s="301"/>
      <c r="K80" s="21"/>
    </row>
    <row r="81" spans="1:11" s="4" customFormat="1" ht="18.95" customHeight="1" x14ac:dyDescent="0.15">
      <c r="A81" s="1"/>
      <c r="B81" s="299"/>
      <c r="C81" s="300"/>
      <c r="D81" s="300"/>
      <c r="E81" s="300"/>
      <c r="F81" s="300"/>
      <c r="G81" s="300"/>
      <c r="H81" s="300"/>
      <c r="I81" s="300"/>
      <c r="J81" s="301"/>
      <c r="K81" s="21"/>
    </row>
    <row r="82" spans="1:11" s="4" customFormat="1" ht="18.95" customHeight="1" x14ac:dyDescent="0.15">
      <c r="A82" s="1"/>
      <c r="B82" s="299"/>
      <c r="C82" s="300"/>
      <c r="D82" s="300"/>
      <c r="E82" s="300"/>
      <c r="F82" s="300"/>
      <c r="G82" s="300"/>
      <c r="H82" s="300"/>
      <c r="I82" s="300"/>
      <c r="J82" s="301"/>
      <c r="K82" s="21"/>
    </row>
    <row r="83" spans="1:11" s="4" customFormat="1" ht="18.95" customHeight="1" x14ac:dyDescent="0.15">
      <c r="A83" s="1"/>
      <c r="B83" s="299"/>
      <c r="C83" s="300"/>
      <c r="D83" s="300"/>
      <c r="E83" s="300"/>
      <c r="F83" s="300"/>
      <c r="G83" s="300"/>
      <c r="H83" s="300"/>
      <c r="I83" s="300"/>
      <c r="J83" s="301"/>
      <c r="K83" s="21"/>
    </row>
    <row r="84" spans="1:11" s="4" customFormat="1" ht="18.95" customHeight="1" x14ac:dyDescent="0.15">
      <c r="A84" s="1"/>
      <c r="B84" s="299"/>
      <c r="C84" s="300"/>
      <c r="D84" s="300"/>
      <c r="E84" s="300"/>
      <c r="F84" s="300"/>
      <c r="G84" s="300"/>
      <c r="H84" s="300"/>
      <c r="I84" s="300"/>
      <c r="J84" s="301"/>
      <c r="K84" s="21"/>
    </row>
    <row r="85" spans="1:11" ht="18.95" customHeight="1" x14ac:dyDescent="0.15">
      <c r="A85" s="27"/>
      <c r="B85" s="299"/>
      <c r="C85" s="300"/>
      <c r="D85" s="300"/>
      <c r="E85" s="300"/>
      <c r="F85" s="300"/>
      <c r="G85" s="300"/>
      <c r="H85" s="300"/>
      <c r="I85" s="300"/>
      <c r="J85" s="301"/>
    </row>
    <row r="86" spans="1:11" ht="18.95" customHeight="1" x14ac:dyDescent="0.15">
      <c r="A86" s="27"/>
      <c r="B86" s="302"/>
      <c r="C86" s="303"/>
      <c r="D86" s="303"/>
      <c r="E86" s="303"/>
      <c r="F86" s="303"/>
      <c r="G86" s="303"/>
      <c r="H86" s="303"/>
      <c r="I86" s="303"/>
      <c r="J86" s="304"/>
    </row>
    <row r="87" spans="1:11" ht="7.5" customHeight="1" x14ac:dyDescent="0.15">
      <c r="A87" s="27"/>
      <c r="B87" s="27"/>
      <c r="C87" s="27"/>
      <c r="D87" s="27"/>
      <c r="E87" s="27"/>
      <c r="F87" s="27"/>
      <c r="G87" s="27"/>
      <c r="H87" s="27"/>
      <c r="I87" s="27"/>
      <c r="J87" s="27"/>
    </row>
    <row r="88" spans="1:11" s="4" customFormat="1" ht="18.95" customHeight="1" x14ac:dyDescent="0.15">
      <c r="A88" s="1" t="s">
        <v>172</v>
      </c>
      <c r="B88" s="1" t="s">
        <v>173</v>
      </c>
      <c r="C88" s="1"/>
      <c r="D88" s="1"/>
      <c r="E88" s="1"/>
      <c r="F88" s="1"/>
      <c r="G88" s="1"/>
      <c r="H88" s="1"/>
      <c r="I88" s="1"/>
      <c r="J88" s="1"/>
      <c r="K88" s="21"/>
    </row>
    <row r="89" spans="1:11" s="4" customFormat="1" ht="18.95" customHeight="1" x14ac:dyDescent="0.15">
      <c r="A89" s="1"/>
      <c r="B89" s="288" t="s">
        <v>174</v>
      </c>
      <c r="C89" s="289"/>
      <c r="D89" s="289"/>
      <c r="E89" s="289"/>
      <c r="F89" s="289"/>
      <c r="G89" s="289"/>
      <c r="H89" s="289"/>
      <c r="I89" s="297"/>
      <c r="J89" s="298"/>
      <c r="K89" s="21"/>
    </row>
    <row r="90" spans="1:11" s="4" customFormat="1" ht="18.95" customHeight="1" x14ac:dyDescent="0.15">
      <c r="A90" s="1"/>
      <c r="B90" s="299"/>
      <c r="C90" s="300"/>
      <c r="D90" s="300"/>
      <c r="E90" s="300"/>
      <c r="F90" s="300"/>
      <c r="G90" s="300"/>
      <c r="H90" s="300"/>
      <c r="I90" s="300"/>
      <c r="J90" s="301"/>
      <c r="K90" s="21"/>
    </row>
    <row r="91" spans="1:11" s="4" customFormat="1" ht="18.95" customHeight="1" x14ac:dyDescent="0.15">
      <c r="A91" s="1"/>
      <c r="B91" s="299"/>
      <c r="C91" s="300"/>
      <c r="D91" s="300"/>
      <c r="E91" s="300"/>
      <c r="F91" s="300"/>
      <c r="G91" s="300"/>
      <c r="H91" s="300"/>
      <c r="I91" s="300"/>
      <c r="J91" s="301"/>
      <c r="K91" s="21" t="str">
        <f>IF(B89="","入力してください","")</f>
        <v/>
      </c>
    </row>
    <row r="92" spans="1:11" s="4" customFormat="1" ht="18.95" customHeight="1" x14ac:dyDescent="0.15">
      <c r="A92" s="1"/>
      <c r="B92" s="299"/>
      <c r="C92" s="300"/>
      <c r="D92" s="300"/>
      <c r="E92" s="300"/>
      <c r="F92" s="300"/>
      <c r="G92" s="300"/>
      <c r="H92" s="300"/>
      <c r="I92" s="300"/>
      <c r="J92" s="301"/>
      <c r="K92" s="21"/>
    </row>
    <row r="93" spans="1:11" s="4" customFormat="1" ht="18.95" customHeight="1" x14ac:dyDescent="0.15">
      <c r="A93" s="1"/>
      <c r="B93" s="299"/>
      <c r="C93" s="300"/>
      <c r="D93" s="300"/>
      <c r="E93" s="300"/>
      <c r="F93" s="300"/>
      <c r="G93" s="300"/>
      <c r="H93" s="300"/>
      <c r="I93" s="300"/>
      <c r="J93" s="301"/>
      <c r="K93" s="21"/>
    </row>
    <row r="94" spans="1:11" s="4" customFormat="1" ht="18.95" customHeight="1" x14ac:dyDescent="0.15">
      <c r="A94" s="1"/>
      <c r="B94" s="299"/>
      <c r="C94" s="300"/>
      <c r="D94" s="300"/>
      <c r="E94" s="300"/>
      <c r="F94" s="300"/>
      <c r="G94" s="300"/>
      <c r="H94" s="300"/>
      <c r="I94" s="300"/>
      <c r="J94" s="301"/>
      <c r="K94" s="21"/>
    </row>
    <row r="95" spans="1:11" s="4" customFormat="1" ht="18.95" customHeight="1" x14ac:dyDescent="0.15">
      <c r="A95" s="1"/>
      <c r="B95" s="299"/>
      <c r="C95" s="300"/>
      <c r="D95" s="300"/>
      <c r="E95" s="300"/>
      <c r="F95" s="300"/>
      <c r="G95" s="300"/>
      <c r="H95" s="300"/>
      <c r="I95" s="300"/>
      <c r="J95" s="301"/>
      <c r="K95" s="21"/>
    </row>
    <row r="96" spans="1:11" s="4" customFormat="1" ht="18.95" customHeight="1" x14ac:dyDescent="0.15">
      <c r="A96" s="1"/>
      <c r="B96" s="299"/>
      <c r="C96" s="300"/>
      <c r="D96" s="300"/>
      <c r="E96" s="300"/>
      <c r="F96" s="300"/>
      <c r="G96" s="300"/>
      <c r="H96" s="300"/>
      <c r="I96" s="300"/>
      <c r="J96" s="301"/>
      <c r="K96" s="21"/>
    </row>
    <row r="97" spans="1:11" s="4" customFormat="1" ht="18.95" customHeight="1" x14ac:dyDescent="0.15">
      <c r="A97" s="1"/>
      <c r="B97" s="299"/>
      <c r="C97" s="300"/>
      <c r="D97" s="300"/>
      <c r="E97" s="300"/>
      <c r="F97" s="300"/>
      <c r="G97" s="300"/>
      <c r="H97" s="300"/>
      <c r="I97" s="300"/>
      <c r="J97" s="301"/>
      <c r="K97" s="21"/>
    </row>
    <row r="98" spans="1:11" s="4" customFormat="1" ht="18.95" customHeight="1" x14ac:dyDescent="0.15">
      <c r="A98" s="1"/>
      <c r="B98" s="299"/>
      <c r="C98" s="300"/>
      <c r="D98" s="300"/>
      <c r="E98" s="300"/>
      <c r="F98" s="300"/>
      <c r="G98" s="300"/>
      <c r="H98" s="300"/>
      <c r="I98" s="300"/>
      <c r="J98" s="301"/>
      <c r="K98" s="21"/>
    </row>
    <row r="99" spans="1:11" s="4" customFormat="1" ht="18.95" customHeight="1" x14ac:dyDescent="0.15">
      <c r="A99" s="1"/>
      <c r="B99" s="299"/>
      <c r="C99" s="300"/>
      <c r="D99" s="300"/>
      <c r="E99" s="300"/>
      <c r="F99" s="300"/>
      <c r="G99" s="300"/>
      <c r="H99" s="300"/>
      <c r="I99" s="300"/>
      <c r="J99" s="301"/>
      <c r="K99" s="21"/>
    </row>
    <row r="100" spans="1:11" s="4" customFormat="1" ht="18.95" customHeight="1" x14ac:dyDescent="0.15">
      <c r="A100" s="1"/>
      <c r="B100" s="299"/>
      <c r="C100" s="300"/>
      <c r="D100" s="300"/>
      <c r="E100" s="300"/>
      <c r="F100" s="300"/>
      <c r="G100" s="300"/>
      <c r="H100" s="300"/>
      <c r="I100" s="300"/>
      <c r="J100" s="301"/>
      <c r="K100" s="21"/>
    </row>
    <row r="101" spans="1:11" s="4" customFormat="1" ht="18.95" customHeight="1" x14ac:dyDescent="0.15">
      <c r="A101" s="1"/>
      <c r="B101" s="299"/>
      <c r="C101" s="300"/>
      <c r="D101" s="300"/>
      <c r="E101" s="300"/>
      <c r="F101" s="300"/>
      <c r="G101" s="300"/>
      <c r="H101" s="300"/>
      <c r="I101" s="300"/>
      <c r="J101" s="301"/>
      <c r="K101" s="21"/>
    </row>
    <row r="102" spans="1:11" s="4" customFormat="1" ht="18.95" customHeight="1" x14ac:dyDescent="0.15">
      <c r="A102" s="1"/>
      <c r="B102" s="299"/>
      <c r="C102" s="300"/>
      <c r="D102" s="300"/>
      <c r="E102" s="300"/>
      <c r="F102" s="300"/>
      <c r="G102" s="300"/>
      <c r="H102" s="300"/>
      <c r="I102" s="300"/>
      <c r="J102" s="301"/>
      <c r="K102" s="21"/>
    </row>
    <row r="103" spans="1:11" s="4" customFormat="1" ht="18.95" customHeight="1" x14ac:dyDescent="0.15">
      <c r="A103" s="1"/>
      <c r="B103" s="299"/>
      <c r="C103" s="300"/>
      <c r="D103" s="300"/>
      <c r="E103" s="300"/>
      <c r="F103" s="300"/>
      <c r="G103" s="300"/>
      <c r="H103" s="300"/>
      <c r="I103" s="300"/>
      <c r="J103" s="301"/>
      <c r="K103" s="21"/>
    </row>
    <row r="104" spans="1:11" s="4" customFormat="1" ht="18.95" customHeight="1" x14ac:dyDescent="0.15">
      <c r="A104" s="1"/>
      <c r="B104" s="299"/>
      <c r="C104" s="300"/>
      <c r="D104" s="300"/>
      <c r="E104" s="300"/>
      <c r="F104" s="300"/>
      <c r="G104" s="300"/>
      <c r="H104" s="300"/>
      <c r="I104" s="300"/>
      <c r="J104" s="301"/>
      <c r="K104" s="21"/>
    </row>
    <row r="105" spans="1:11" s="4" customFormat="1" ht="18.95" customHeight="1" x14ac:dyDescent="0.15">
      <c r="A105" s="1"/>
      <c r="B105" s="299"/>
      <c r="C105" s="300"/>
      <c r="D105" s="300"/>
      <c r="E105" s="300"/>
      <c r="F105" s="300"/>
      <c r="G105" s="300"/>
      <c r="H105" s="300"/>
      <c r="I105" s="300"/>
      <c r="J105" s="301"/>
      <c r="K105" s="21"/>
    </row>
    <row r="106" spans="1:11" s="4" customFormat="1" ht="18.95" customHeight="1" x14ac:dyDescent="0.15">
      <c r="A106" s="1"/>
      <c r="B106" s="299"/>
      <c r="C106" s="300"/>
      <c r="D106" s="300"/>
      <c r="E106" s="300"/>
      <c r="F106" s="300"/>
      <c r="G106" s="300"/>
      <c r="H106" s="300"/>
      <c r="I106" s="300"/>
      <c r="J106" s="301"/>
      <c r="K106" s="21"/>
    </row>
    <row r="107" spans="1:11" ht="18.95" customHeight="1" x14ac:dyDescent="0.15">
      <c r="A107" s="27"/>
      <c r="B107" s="299"/>
      <c r="C107" s="300"/>
      <c r="D107" s="300"/>
      <c r="E107" s="300"/>
      <c r="F107" s="300"/>
      <c r="G107" s="300"/>
      <c r="H107" s="300"/>
      <c r="I107" s="300"/>
      <c r="J107" s="301"/>
    </row>
    <row r="108" spans="1:11" ht="18.95" customHeight="1" x14ac:dyDescent="0.15">
      <c r="A108" s="27"/>
      <c r="B108" s="302"/>
      <c r="C108" s="303"/>
      <c r="D108" s="303"/>
      <c r="E108" s="303"/>
      <c r="F108" s="303"/>
      <c r="G108" s="303"/>
      <c r="H108" s="303"/>
      <c r="I108" s="303"/>
      <c r="J108" s="304"/>
    </row>
    <row r="109" spans="1:11" ht="7.5" customHeight="1" x14ac:dyDescent="0.15">
      <c r="A109" s="27"/>
      <c r="B109" s="27"/>
      <c r="C109" s="27"/>
      <c r="D109" s="27"/>
      <c r="E109" s="27"/>
      <c r="F109" s="27"/>
      <c r="G109" s="27"/>
      <c r="H109" s="27"/>
      <c r="I109" s="27"/>
      <c r="J109" s="27"/>
    </row>
    <row r="110" spans="1:11" s="4" customFormat="1" ht="18.95" customHeight="1" x14ac:dyDescent="0.15">
      <c r="A110" s="1" t="s">
        <v>23</v>
      </c>
      <c r="B110" s="305" t="s">
        <v>175</v>
      </c>
      <c r="C110" s="305"/>
      <c r="D110" s="305"/>
      <c r="E110" s="305"/>
      <c r="F110" s="305"/>
      <c r="G110" s="305"/>
      <c r="H110" s="305"/>
      <c r="I110" s="305"/>
      <c r="J110" s="305"/>
      <c r="K110" s="21"/>
    </row>
    <row r="111" spans="1:11" ht="18.95" customHeight="1" x14ac:dyDescent="0.15">
      <c r="A111" s="27"/>
      <c r="B111" s="288" t="s">
        <v>176</v>
      </c>
      <c r="C111" s="289"/>
      <c r="D111" s="289"/>
      <c r="E111" s="289"/>
      <c r="F111" s="289"/>
      <c r="G111" s="289"/>
      <c r="H111" s="289"/>
      <c r="I111" s="297"/>
      <c r="J111" s="298"/>
    </row>
    <row r="112" spans="1:11" ht="18.95" customHeight="1" x14ac:dyDescent="0.15">
      <c r="A112" s="27"/>
      <c r="B112" s="299"/>
      <c r="C112" s="300"/>
      <c r="D112" s="300"/>
      <c r="E112" s="300"/>
      <c r="F112" s="300"/>
      <c r="G112" s="300"/>
      <c r="H112" s="300"/>
      <c r="I112" s="300"/>
      <c r="J112" s="301"/>
    </row>
    <row r="113" spans="1:11" ht="18.95" customHeight="1" x14ac:dyDescent="0.15">
      <c r="A113" s="27"/>
      <c r="B113" s="299"/>
      <c r="C113" s="300"/>
      <c r="D113" s="300"/>
      <c r="E113" s="300"/>
      <c r="F113" s="300"/>
      <c r="G113" s="300"/>
      <c r="H113" s="300"/>
      <c r="I113" s="300"/>
      <c r="J113" s="301"/>
      <c r="K113" s="21" t="str">
        <f>IF(B111="","入力してください","")</f>
        <v/>
      </c>
    </row>
    <row r="114" spans="1:11" ht="18.95" customHeight="1" x14ac:dyDescent="0.15">
      <c r="A114" s="27"/>
      <c r="B114" s="299"/>
      <c r="C114" s="300"/>
      <c r="D114" s="300"/>
      <c r="E114" s="300"/>
      <c r="F114" s="300"/>
      <c r="G114" s="300"/>
      <c r="H114" s="300"/>
      <c r="I114" s="300"/>
      <c r="J114" s="301"/>
    </row>
    <row r="115" spans="1:11" ht="18.95" customHeight="1" x14ac:dyDescent="0.15">
      <c r="A115" s="27"/>
      <c r="B115" s="299"/>
      <c r="C115" s="300"/>
      <c r="D115" s="300"/>
      <c r="E115" s="300"/>
      <c r="F115" s="300"/>
      <c r="G115" s="300"/>
      <c r="H115" s="300"/>
      <c r="I115" s="300"/>
      <c r="J115" s="301"/>
    </row>
    <row r="116" spans="1:11" ht="18.95" customHeight="1" x14ac:dyDescent="0.15">
      <c r="A116" s="27"/>
      <c r="B116" s="299"/>
      <c r="C116" s="300"/>
      <c r="D116" s="300"/>
      <c r="E116" s="300"/>
      <c r="F116" s="300"/>
      <c r="G116" s="300"/>
      <c r="H116" s="300"/>
      <c r="I116" s="300"/>
      <c r="J116" s="301"/>
    </row>
    <row r="117" spans="1:11" ht="18.95" customHeight="1" x14ac:dyDescent="0.15">
      <c r="A117" s="27"/>
      <c r="B117" s="299"/>
      <c r="C117" s="300"/>
      <c r="D117" s="300"/>
      <c r="E117" s="300"/>
      <c r="F117" s="300"/>
      <c r="G117" s="300"/>
      <c r="H117" s="300"/>
      <c r="I117" s="300"/>
      <c r="J117" s="301"/>
    </row>
    <row r="118" spans="1:11" ht="18.95" customHeight="1" x14ac:dyDescent="0.15">
      <c r="A118" s="27"/>
      <c r="B118" s="299"/>
      <c r="C118" s="300"/>
      <c r="D118" s="300"/>
      <c r="E118" s="300"/>
      <c r="F118" s="300"/>
      <c r="G118" s="300"/>
      <c r="H118" s="300"/>
      <c r="I118" s="300"/>
      <c r="J118" s="301"/>
    </row>
    <row r="119" spans="1:11" ht="18.95" customHeight="1" x14ac:dyDescent="0.15">
      <c r="A119" s="27"/>
      <c r="B119" s="299"/>
      <c r="C119" s="300"/>
      <c r="D119" s="300"/>
      <c r="E119" s="300"/>
      <c r="F119" s="300"/>
      <c r="G119" s="300"/>
      <c r="H119" s="300"/>
      <c r="I119" s="300"/>
      <c r="J119" s="301"/>
    </row>
    <row r="120" spans="1:11" ht="18.95" customHeight="1" x14ac:dyDescent="0.15">
      <c r="A120" s="27"/>
      <c r="B120" s="299"/>
      <c r="C120" s="300"/>
      <c r="D120" s="300"/>
      <c r="E120" s="300"/>
      <c r="F120" s="300"/>
      <c r="G120" s="300"/>
      <c r="H120" s="300"/>
      <c r="I120" s="300"/>
      <c r="J120" s="301"/>
    </row>
    <row r="121" spans="1:11" ht="18.95" customHeight="1" x14ac:dyDescent="0.15">
      <c r="A121" s="27"/>
      <c r="B121" s="299"/>
      <c r="C121" s="300"/>
      <c r="D121" s="300"/>
      <c r="E121" s="300"/>
      <c r="F121" s="300"/>
      <c r="G121" s="300"/>
      <c r="H121" s="300"/>
      <c r="I121" s="300"/>
      <c r="J121" s="301"/>
    </row>
    <row r="122" spans="1:11" ht="18.95" customHeight="1" x14ac:dyDescent="0.15">
      <c r="A122" s="27"/>
      <c r="B122" s="299"/>
      <c r="C122" s="300"/>
      <c r="D122" s="300"/>
      <c r="E122" s="300"/>
      <c r="F122" s="300"/>
      <c r="G122" s="300"/>
      <c r="H122" s="300"/>
      <c r="I122" s="300"/>
      <c r="J122" s="301"/>
    </row>
    <row r="123" spans="1:11" ht="18.95" customHeight="1" x14ac:dyDescent="0.15">
      <c r="A123" s="27"/>
      <c r="B123" s="299"/>
      <c r="C123" s="300"/>
      <c r="D123" s="300"/>
      <c r="E123" s="300"/>
      <c r="F123" s="300"/>
      <c r="G123" s="300"/>
      <c r="H123" s="300"/>
      <c r="I123" s="300"/>
      <c r="J123" s="301"/>
    </row>
    <row r="124" spans="1:11" ht="18.95" customHeight="1" x14ac:dyDescent="0.15">
      <c r="A124" s="27"/>
      <c r="B124" s="299"/>
      <c r="C124" s="300"/>
      <c r="D124" s="300"/>
      <c r="E124" s="300"/>
      <c r="F124" s="300"/>
      <c r="G124" s="300"/>
      <c r="H124" s="300"/>
      <c r="I124" s="300"/>
      <c r="J124" s="301"/>
    </row>
    <row r="125" spans="1:11" ht="18.95" customHeight="1" x14ac:dyDescent="0.15">
      <c r="A125" s="27"/>
      <c r="B125" s="299"/>
      <c r="C125" s="300"/>
      <c r="D125" s="300"/>
      <c r="E125" s="300"/>
      <c r="F125" s="300"/>
      <c r="G125" s="300"/>
      <c r="H125" s="300"/>
      <c r="I125" s="300"/>
      <c r="J125" s="301"/>
    </row>
    <row r="126" spans="1:11" ht="18.95" customHeight="1" x14ac:dyDescent="0.15">
      <c r="A126" s="27"/>
      <c r="B126" s="299"/>
      <c r="C126" s="300"/>
      <c r="D126" s="300"/>
      <c r="E126" s="300"/>
      <c r="F126" s="300"/>
      <c r="G126" s="300"/>
      <c r="H126" s="300"/>
      <c r="I126" s="300"/>
      <c r="J126" s="301"/>
    </row>
    <row r="127" spans="1:11" ht="18.95" customHeight="1" x14ac:dyDescent="0.15">
      <c r="A127" s="27"/>
      <c r="B127" s="299"/>
      <c r="C127" s="300"/>
      <c r="D127" s="300"/>
      <c r="E127" s="300"/>
      <c r="F127" s="300"/>
      <c r="G127" s="300"/>
      <c r="H127" s="300"/>
      <c r="I127" s="300"/>
      <c r="J127" s="301"/>
    </row>
    <row r="128" spans="1:11" ht="18.95" customHeight="1" x14ac:dyDescent="0.15">
      <c r="A128" s="27"/>
      <c r="B128" s="299"/>
      <c r="C128" s="300"/>
      <c r="D128" s="300"/>
      <c r="E128" s="300"/>
      <c r="F128" s="300"/>
      <c r="G128" s="300"/>
      <c r="H128" s="300"/>
      <c r="I128" s="300"/>
      <c r="J128" s="301"/>
    </row>
    <row r="129" spans="1:10" ht="18.95" customHeight="1" x14ac:dyDescent="0.15">
      <c r="A129" s="27"/>
      <c r="B129" s="302"/>
      <c r="C129" s="303"/>
      <c r="D129" s="303"/>
      <c r="E129" s="303"/>
      <c r="F129" s="303"/>
      <c r="G129" s="303"/>
      <c r="H129" s="303"/>
      <c r="I129" s="303"/>
      <c r="J129" s="304"/>
    </row>
    <row r="130" spans="1:10" ht="7.5" customHeight="1" x14ac:dyDescent="0.15">
      <c r="A130" s="27"/>
      <c r="B130" s="87"/>
      <c r="C130" s="87"/>
      <c r="D130" s="87"/>
      <c r="E130" s="87"/>
      <c r="F130" s="87"/>
      <c r="G130" s="87"/>
      <c r="H130" s="87"/>
      <c r="I130" s="87"/>
      <c r="J130" s="87"/>
    </row>
    <row r="131" spans="1:10" ht="18.95" customHeight="1" x14ac:dyDescent="0.15">
      <c r="A131" s="27"/>
      <c r="B131" s="27"/>
      <c r="C131" s="27"/>
      <c r="D131" s="27"/>
      <c r="E131" s="27"/>
      <c r="F131" s="27"/>
      <c r="G131" s="27"/>
      <c r="H131" s="27"/>
      <c r="I131" s="27"/>
      <c r="J131" s="27"/>
    </row>
    <row r="132" spans="1:10" ht="18.95" customHeight="1" x14ac:dyDescent="0.15">
      <c r="A132" s="27"/>
      <c r="B132" s="27"/>
      <c r="C132" s="27"/>
      <c r="D132" s="27"/>
      <c r="E132" s="27"/>
      <c r="F132" s="27"/>
      <c r="G132" s="27"/>
      <c r="H132" s="27"/>
      <c r="I132" s="27"/>
      <c r="J132" s="27"/>
    </row>
    <row r="133" spans="1:10" ht="18.95" customHeight="1" x14ac:dyDescent="0.15">
      <c r="A133" s="27"/>
      <c r="B133" s="27"/>
      <c r="C133" s="27"/>
      <c r="D133" s="27"/>
      <c r="E133" s="27"/>
      <c r="F133" s="27"/>
      <c r="G133" s="27"/>
      <c r="H133" s="27"/>
      <c r="I133" s="27"/>
      <c r="J133" s="27"/>
    </row>
    <row r="134" spans="1:10" ht="18.95" customHeight="1" x14ac:dyDescent="0.15">
      <c r="A134" s="27"/>
      <c r="B134" s="27"/>
      <c r="C134" s="27"/>
      <c r="D134" s="27"/>
      <c r="E134" s="27"/>
      <c r="F134" s="27"/>
      <c r="G134" s="27"/>
      <c r="H134" s="27"/>
      <c r="I134" s="27"/>
      <c r="J134" s="27"/>
    </row>
    <row r="135" spans="1:10" ht="18.95" customHeight="1" x14ac:dyDescent="0.15">
      <c r="A135" s="27"/>
      <c r="B135" s="27"/>
      <c r="C135" s="27"/>
      <c r="D135" s="27"/>
      <c r="E135" s="27"/>
      <c r="F135" s="27"/>
      <c r="G135" s="27"/>
      <c r="H135" s="27"/>
      <c r="I135" s="27"/>
      <c r="J135" s="27"/>
    </row>
    <row r="136" spans="1:10" ht="18.95" customHeight="1" x14ac:dyDescent="0.15">
      <c r="A136" s="27"/>
      <c r="B136" s="27"/>
      <c r="C136" s="27"/>
      <c r="D136" s="27"/>
      <c r="E136" s="27"/>
      <c r="F136" s="27"/>
      <c r="G136" s="27"/>
      <c r="H136" s="27"/>
      <c r="I136" s="27"/>
      <c r="J136" s="27"/>
    </row>
    <row r="137" spans="1:10" ht="18.95" customHeight="1" x14ac:dyDescent="0.15">
      <c r="A137" s="27"/>
      <c r="B137" s="27"/>
      <c r="C137" s="27"/>
      <c r="D137" s="27"/>
      <c r="E137" s="27"/>
      <c r="F137" s="27"/>
      <c r="G137" s="27"/>
      <c r="H137" s="27"/>
      <c r="I137" s="27"/>
      <c r="J137" s="27"/>
    </row>
    <row r="138" spans="1:10" ht="18.95" customHeight="1" x14ac:dyDescent="0.15">
      <c r="A138" s="27"/>
      <c r="B138" s="27"/>
      <c r="C138" s="27"/>
      <c r="D138" s="27"/>
      <c r="E138" s="27"/>
      <c r="F138" s="27"/>
      <c r="G138" s="27"/>
      <c r="H138" s="27"/>
      <c r="I138" s="27"/>
      <c r="J138" s="27"/>
    </row>
    <row r="139" spans="1:10" ht="18.95" customHeight="1" x14ac:dyDescent="0.15">
      <c r="A139" s="27"/>
      <c r="B139" s="27"/>
      <c r="C139" s="27"/>
      <c r="D139" s="27"/>
      <c r="E139" s="27"/>
      <c r="F139" s="27"/>
      <c r="G139" s="27"/>
      <c r="H139" s="27"/>
      <c r="I139" s="27"/>
      <c r="J139" s="27"/>
    </row>
    <row r="140" spans="1:10" ht="18.95" customHeight="1" x14ac:dyDescent="0.15">
      <c r="A140" s="27"/>
      <c r="B140" s="27"/>
      <c r="C140" s="27"/>
      <c r="D140" s="27"/>
      <c r="E140" s="27"/>
      <c r="F140" s="27"/>
      <c r="G140" s="27"/>
      <c r="H140" s="27"/>
      <c r="I140" s="27"/>
      <c r="J140" s="27"/>
    </row>
    <row r="141" spans="1:10" ht="18.95" customHeight="1" x14ac:dyDescent="0.15">
      <c r="A141" s="27"/>
      <c r="B141" s="27"/>
      <c r="C141" s="27"/>
      <c r="D141" s="27"/>
      <c r="E141" s="27"/>
      <c r="F141" s="27"/>
      <c r="G141" s="27"/>
      <c r="H141" s="27"/>
      <c r="I141" s="27"/>
      <c r="J141" s="27"/>
    </row>
    <row r="142" spans="1:10" ht="18.95" customHeight="1" x14ac:dyDescent="0.15">
      <c r="A142" s="27"/>
      <c r="B142" s="27"/>
      <c r="C142" s="27"/>
      <c r="D142" s="27"/>
      <c r="E142" s="27"/>
      <c r="F142" s="27"/>
      <c r="G142" s="27"/>
      <c r="H142" s="27"/>
      <c r="I142" s="27"/>
      <c r="J142" s="27"/>
    </row>
    <row r="143" spans="1:10" ht="14.25" x14ac:dyDescent="0.15">
      <c r="A143" s="27"/>
      <c r="B143" s="27"/>
      <c r="C143" s="27"/>
      <c r="D143" s="27"/>
      <c r="E143" s="27"/>
      <c r="F143" s="27"/>
      <c r="G143" s="27"/>
      <c r="H143" s="27"/>
      <c r="I143" s="27"/>
      <c r="J143" s="27"/>
    </row>
    <row r="144" spans="1:10" ht="7.5" customHeight="1" x14ac:dyDescent="0.15">
      <c r="A144" s="88"/>
      <c r="B144" s="88"/>
      <c r="C144" s="88"/>
      <c r="D144" s="88"/>
      <c r="E144" s="88"/>
      <c r="F144" s="88"/>
      <c r="G144" s="88"/>
      <c r="H144" s="88"/>
      <c r="I144" s="88"/>
      <c r="J144" s="88"/>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zoomScale="90" zoomScaleNormal="90" zoomScaleSheetLayoutView="90" workbookViewId="0"/>
  </sheetViews>
  <sheetFormatPr defaultColWidth="11.375" defaultRowHeight="22.7"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1" customWidth="1"/>
    <col min="12" max="16384" width="11.375" style="1"/>
  </cols>
  <sheetData>
    <row r="1" spans="1:11" ht="18.95" customHeight="1" x14ac:dyDescent="0.15">
      <c r="A1" s="1" t="s">
        <v>177</v>
      </c>
      <c r="J1" s="29" t="s">
        <v>178</v>
      </c>
    </row>
    <row r="2" spans="1:11" ht="18.95" customHeight="1" x14ac:dyDescent="0.15">
      <c r="A2" s="272" t="s">
        <v>179</v>
      </c>
      <c r="B2" s="272"/>
      <c r="C2" s="272"/>
      <c r="D2" s="272"/>
      <c r="E2" s="272"/>
      <c r="F2" s="272"/>
      <c r="G2" s="272"/>
      <c r="H2" s="272"/>
      <c r="I2" s="272"/>
      <c r="J2" s="272"/>
    </row>
    <row r="3" spans="1:11" ht="7.5" customHeight="1" x14ac:dyDescent="0.15">
      <c r="A3" s="30"/>
      <c r="B3" s="30"/>
      <c r="C3" s="30"/>
      <c r="D3" s="30"/>
      <c r="E3" s="30"/>
      <c r="F3" s="30"/>
      <c r="G3" s="30"/>
      <c r="H3" s="30"/>
      <c r="I3" s="30"/>
      <c r="J3" s="30"/>
    </row>
    <row r="4" spans="1:11" ht="18.95" customHeight="1" x14ac:dyDescent="0.15">
      <c r="A4" s="1" t="s">
        <v>2</v>
      </c>
      <c r="B4" s="4" t="s">
        <v>180</v>
      </c>
      <c r="C4" s="27"/>
      <c r="D4" s="27"/>
      <c r="E4" s="28"/>
      <c r="F4" s="28"/>
      <c r="G4" s="28"/>
      <c r="H4" s="28"/>
      <c r="I4" s="28"/>
      <c r="J4" s="28"/>
    </row>
    <row r="5" spans="1:11" ht="18.95" customHeight="1" x14ac:dyDescent="0.15">
      <c r="B5" s="331" t="s">
        <v>181</v>
      </c>
      <c r="C5" s="332"/>
      <c r="D5" s="333"/>
      <c r="E5" s="334" t="s">
        <v>182</v>
      </c>
      <c r="F5" s="334"/>
      <c r="G5" s="334"/>
      <c r="H5" s="334"/>
      <c r="I5" s="334"/>
      <c r="J5" s="335"/>
    </row>
    <row r="6" spans="1:11" ht="18.95" customHeight="1" x14ac:dyDescent="0.15">
      <c r="B6" s="3" t="s">
        <v>183</v>
      </c>
      <c r="C6" s="27"/>
      <c r="D6" s="7"/>
      <c r="I6" s="28"/>
      <c r="J6" s="5"/>
    </row>
    <row r="7" spans="1:11" ht="207" customHeight="1" x14ac:dyDescent="0.15">
      <c r="B7" s="6"/>
      <c r="C7" s="320" t="s">
        <v>184</v>
      </c>
      <c r="D7" s="321"/>
      <c r="E7" s="328" t="s">
        <v>185</v>
      </c>
      <c r="F7" s="322"/>
      <c r="G7" s="322"/>
      <c r="H7" s="322"/>
      <c r="I7" s="322"/>
      <c r="J7" s="327"/>
      <c r="K7" s="21" t="str">
        <f>IF(E7="","入力してください","")</f>
        <v/>
      </c>
    </row>
    <row r="8" spans="1:11" ht="207" customHeight="1" x14ac:dyDescent="0.15">
      <c r="B8" s="6"/>
      <c r="C8" s="329" t="s">
        <v>186</v>
      </c>
      <c r="D8" s="330"/>
      <c r="E8" s="328" t="s">
        <v>187</v>
      </c>
      <c r="F8" s="322"/>
      <c r="G8" s="322"/>
      <c r="H8" s="322"/>
      <c r="I8" s="322"/>
      <c r="J8" s="327"/>
      <c r="K8" s="21" t="str">
        <f>IF(E8="","入力してください","")</f>
        <v/>
      </c>
    </row>
    <row r="9" spans="1:11" ht="172.5" customHeight="1" x14ac:dyDescent="0.15">
      <c r="B9" s="6"/>
      <c r="C9" s="320" t="s">
        <v>188</v>
      </c>
      <c r="D9" s="321"/>
      <c r="E9" s="328" t="s">
        <v>189</v>
      </c>
      <c r="F9" s="322"/>
      <c r="G9" s="322"/>
      <c r="H9" s="322"/>
      <c r="I9" s="322"/>
      <c r="J9" s="327"/>
      <c r="K9" s="21" t="str">
        <f>IF(E9="","入力してください","")</f>
        <v/>
      </c>
    </row>
    <row r="10" spans="1:11" ht="172.5" customHeight="1" x14ac:dyDescent="0.15">
      <c r="B10" s="6"/>
      <c r="C10" s="320" t="s">
        <v>190</v>
      </c>
      <c r="D10" s="321"/>
      <c r="E10" s="328" t="s">
        <v>191</v>
      </c>
      <c r="F10" s="322"/>
      <c r="G10" s="322"/>
      <c r="H10" s="322"/>
      <c r="I10" s="322"/>
      <c r="J10" s="327"/>
      <c r="K10" s="21" t="str">
        <f t="shared" ref="K10:K14" si="0">IF(E10="","入力してください","")</f>
        <v/>
      </c>
    </row>
    <row r="11" spans="1:11" ht="172.5" customHeight="1" x14ac:dyDescent="0.15">
      <c r="B11" s="6"/>
      <c r="C11" s="320" t="s">
        <v>192</v>
      </c>
      <c r="D11" s="321"/>
      <c r="E11" s="328" t="s">
        <v>193</v>
      </c>
      <c r="F11" s="322"/>
      <c r="G11" s="322"/>
      <c r="H11" s="322"/>
      <c r="I11" s="322"/>
      <c r="J11" s="327"/>
      <c r="K11" s="21" t="str">
        <f t="shared" si="0"/>
        <v/>
      </c>
    </row>
    <row r="12" spans="1:11" ht="18.95" customHeight="1" x14ac:dyDescent="0.15">
      <c r="B12" s="9" t="s">
        <v>194</v>
      </c>
      <c r="C12" s="18"/>
      <c r="D12" s="8"/>
      <c r="E12" s="22"/>
      <c r="F12" s="22"/>
      <c r="G12" s="22"/>
      <c r="H12" s="22"/>
      <c r="I12" s="22"/>
      <c r="J12" s="23"/>
    </row>
    <row r="13" spans="1:11" ht="244.15" customHeight="1" x14ac:dyDescent="0.15">
      <c r="B13" s="6"/>
      <c r="C13" s="320" t="s">
        <v>195</v>
      </c>
      <c r="D13" s="321"/>
      <c r="E13" s="322" t="s">
        <v>196</v>
      </c>
      <c r="F13" s="323"/>
      <c r="G13" s="323"/>
      <c r="H13" s="323"/>
      <c r="I13" s="323"/>
      <c r="J13" s="324"/>
      <c r="K13" s="21" t="str">
        <f t="shared" si="0"/>
        <v/>
      </c>
    </row>
    <row r="14" spans="1:11" ht="255" customHeight="1" x14ac:dyDescent="0.15">
      <c r="B14" s="6"/>
      <c r="C14" s="320" t="s">
        <v>197</v>
      </c>
      <c r="D14" s="321"/>
      <c r="E14" s="322" t="s">
        <v>198</v>
      </c>
      <c r="F14" s="323"/>
      <c r="G14" s="323"/>
      <c r="H14" s="323"/>
      <c r="I14" s="323"/>
      <c r="J14" s="324"/>
      <c r="K14" s="21" t="str">
        <f t="shared" si="0"/>
        <v/>
      </c>
    </row>
    <row r="15" spans="1:11" ht="243" customHeight="1" x14ac:dyDescent="0.15">
      <c r="B15" s="325" t="s">
        <v>199</v>
      </c>
      <c r="C15" s="326"/>
      <c r="D15" s="321"/>
      <c r="E15" s="322" t="s">
        <v>200</v>
      </c>
      <c r="F15" s="322"/>
      <c r="G15" s="322"/>
      <c r="H15" s="322"/>
      <c r="I15" s="322"/>
      <c r="J15" s="327"/>
      <c r="K15" s="21" t="str">
        <f>IF(E15="","入力してください","")</f>
        <v/>
      </c>
    </row>
    <row r="16" spans="1:11" ht="243" customHeight="1" x14ac:dyDescent="0.15">
      <c r="A16" s="21"/>
      <c r="B16" s="312" t="s">
        <v>201</v>
      </c>
      <c r="C16" s="313"/>
      <c r="D16" s="314"/>
      <c r="E16" s="315" t="s">
        <v>202</v>
      </c>
      <c r="F16" s="315"/>
      <c r="G16" s="315"/>
      <c r="H16" s="315"/>
      <c r="I16" s="315"/>
      <c r="J16" s="316"/>
      <c r="K16" s="21" t="str">
        <f>IF(E16="","入力してください","")</f>
        <v/>
      </c>
    </row>
    <row r="17" spans="1:11" ht="7.5" customHeight="1" x14ac:dyDescent="0.15">
      <c r="B17" s="27"/>
      <c r="C17" s="27"/>
      <c r="D17" s="27"/>
      <c r="E17" s="28"/>
      <c r="F17" s="28"/>
      <c r="G17" s="28"/>
      <c r="H17" s="28"/>
      <c r="I17" s="28"/>
      <c r="J17" s="28"/>
    </row>
    <row r="18" spans="1:11" ht="18.95" customHeight="1" x14ac:dyDescent="0.15">
      <c r="A18" s="1" t="s">
        <v>203</v>
      </c>
      <c r="B18" s="4"/>
      <c r="C18" s="27"/>
      <c r="D18" s="27"/>
      <c r="E18" s="28"/>
      <c r="F18" s="77"/>
      <c r="G18" s="317" t="s">
        <v>204</v>
      </c>
      <c r="H18" s="318"/>
      <c r="I18" s="318"/>
      <c r="J18" s="319"/>
      <c r="K18" s="21" t="str">
        <f>IF(G18="","入力してください","")</f>
        <v/>
      </c>
    </row>
    <row r="19" spans="1:11" ht="22.7" customHeight="1" x14ac:dyDescent="0.15">
      <c r="B19" s="27"/>
      <c r="C19" s="27"/>
      <c r="D19" s="27"/>
      <c r="E19" s="28"/>
      <c r="F19" s="28"/>
      <c r="G19" s="28"/>
      <c r="H19" s="28"/>
      <c r="I19" s="28"/>
      <c r="J19" s="28"/>
    </row>
    <row r="20" spans="1:11" ht="22.7" customHeight="1" x14ac:dyDescent="0.15">
      <c r="B20" s="27"/>
      <c r="C20" s="27"/>
      <c r="D20" s="27"/>
      <c r="E20" s="28"/>
      <c r="F20" s="28"/>
      <c r="G20" s="28"/>
      <c r="H20" s="28"/>
      <c r="I20" s="28"/>
      <c r="J20" s="28"/>
    </row>
    <row r="21" spans="1:11" ht="22.7" customHeight="1" x14ac:dyDescent="0.15">
      <c r="B21" s="27"/>
      <c r="C21" s="27"/>
      <c r="D21" s="27"/>
      <c r="E21" s="28"/>
      <c r="F21" s="28"/>
      <c r="G21" s="28"/>
      <c r="H21" s="28"/>
      <c r="I21" s="28"/>
      <c r="J21" s="28"/>
    </row>
    <row r="22" spans="1:11" ht="22.7" customHeight="1" x14ac:dyDescent="0.15">
      <c r="B22" s="27"/>
      <c r="C22" s="27"/>
      <c r="D22" s="27"/>
      <c r="E22" s="28"/>
      <c r="F22" s="28"/>
      <c r="G22" s="28"/>
      <c r="H22" s="28"/>
      <c r="I22" s="28"/>
      <c r="J22" s="28"/>
    </row>
    <row r="23" spans="1:11" ht="22.7" customHeight="1" x14ac:dyDescent="0.15">
      <c r="B23" s="27"/>
      <c r="C23" s="27"/>
      <c r="D23" s="27"/>
      <c r="E23" s="28"/>
      <c r="F23" s="28"/>
      <c r="G23" s="28"/>
      <c r="H23" s="28"/>
      <c r="I23" s="28"/>
      <c r="J23" s="28"/>
    </row>
    <row r="24" spans="1:11" ht="22.7" customHeight="1" x14ac:dyDescent="0.15">
      <c r="B24" s="89"/>
      <c r="C24" s="89"/>
      <c r="D24" s="89"/>
      <c r="E24" s="89"/>
      <c r="F24" s="89"/>
      <c r="G24" s="89"/>
      <c r="H24" s="89"/>
      <c r="I24" s="89"/>
      <c r="J24" s="89"/>
    </row>
    <row r="25" spans="1:11" ht="22.7" customHeight="1" x14ac:dyDescent="0.15">
      <c r="B25" s="89"/>
      <c r="C25" s="89"/>
      <c r="D25" s="89"/>
      <c r="E25" s="89"/>
      <c r="F25" s="89"/>
      <c r="G25" s="89"/>
      <c r="H25" s="89"/>
      <c r="I25" s="89"/>
      <c r="J25" s="89"/>
    </row>
    <row r="26" spans="1:11" ht="22.7" customHeight="1" x14ac:dyDescent="0.15">
      <c r="B26" s="89"/>
      <c r="C26" s="89"/>
      <c r="D26" s="89"/>
      <c r="E26" s="89"/>
      <c r="F26" s="89"/>
      <c r="G26" s="89"/>
      <c r="H26" s="89"/>
      <c r="I26" s="89"/>
      <c r="J26" s="89"/>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7FDB61959DBCD468B50A4FB87744EFE" ma:contentTypeVersion="2" ma:contentTypeDescription="新しいドキュメントを作成します。" ma:contentTypeScope="" ma:versionID="70bf3403500aa2182219cf479ce82031">
  <xsd:schema xmlns:xsd="http://www.w3.org/2001/XMLSchema" xmlns:xs="http://www.w3.org/2001/XMLSchema" xmlns:p="http://schemas.microsoft.com/office/2006/metadata/properties" xmlns:ns2="cad10834-1151-4725-b3cb-c7e2e21de18b" targetNamespace="http://schemas.microsoft.com/office/2006/metadata/properties" ma:root="true" ma:fieldsID="d222eb7dd2d7df1dc47a80bd4a09098b" ns2:_="">
    <xsd:import namespace="cad10834-1151-4725-b3cb-c7e2e21de18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d10834-1151-4725-b3cb-c7e2e21de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847572-F5F7-48A5-B588-47E89E7FDA00}">
  <ds:schemaRefs>
    <ds:schemaRef ds:uri="http://purl.org/dc/elements/1.1/"/>
    <ds:schemaRef ds:uri="http://schemas.microsoft.com/office/2006/metadata/properties"/>
    <ds:schemaRef ds:uri="cad10834-1151-4725-b3cb-c7e2e21de18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E81E2B76-2B8B-492E-8E22-7CCDB3823CD4}">
  <ds:schemaRefs>
    <ds:schemaRef ds:uri="http://schemas.microsoft.com/sharepoint/v3/contenttype/forms"/>
  </ds:schemaRefs>
</ds:datastoreItem>
</file>

<file path=customXml/itemProps3.xml><?xml version="1.0" encoding="utf-8"?>
<ds:datastoreItem xmlns:ds="http://schemas.openxmlformats.org/officeDocument/2006/customXml" ds:itemID="{C78E2B63-8B39-498C-A262-9C7526BDF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d10834-1151-4725-b3cb-c7e2e21de1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様式２(経済学部)　プログラムを構成する授業科目</vt:lpstr>
      <vt:lpstr>様式２(経営学部)　プログラムを構成する授業科目</vt:lpstr>
      <vt:lpstr>様式２(法学部)　プログラムを構成する授業科目</vt:lpstr>
      <vt:lpstr>様式２(国際学部)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'様式２(経営学部)　プログラムを構成する授業科目'!Print_Area</vt:lpstr>
      <vt:lpstr>'様式２(経済学部)　プログラムを構成する授業科目'!Print_Area</vt:lpstr>
      <vt:lpstr>'様式２(国際学部)　プログラムを構成する授業科目'!Print_Area</vt:lpstr>
      <vt:lpstr>'様式２(法学部)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高田 恵一</cp:lastModifiedBy>
  <cp:revision/>
  <cp:lastPrinted>2022-05-17T09:26:48Z</cp:lastPrinted>
  <dcterms:created xsi:type="dcterms:W3CDTF">2011-06-14T05:32:50Z</dcterms:created>
  <dcterms:modified xsi:type="dcterms:W3CDTF">2022-05-17T09:27:31Z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0x01010047FDB61959DBCD468B50A4FB87744EFE</vt:lpwstr>
  </property>
</Properties>
</file>