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172.16.2.122\学生課-教務係\00-24.高専機構関係\R4\02.数理・データサイエンス・AI教育プログラム認定制度（リテラシーレベル）\05.申請データ修正②（to文科省（R4.5.25））\"/>
    </mc:Choice>
  </mc:AlternateContent>
  <xr:revisionPtr revIDLastSave="0" documentId="13_ncr:1_{BBD2A13B-57DC-4FC2-A532-B2EDD09A2E8C}" xr6:coauthVersionLast="36" xr6:coauthVersionMax="36" xr10:uidLastSave="{00000000-0000-0000-0000-000000000000}"/>
  <bookViews>
    <workbookView xWindow="0" yWindow="0" windowWidth="26820" windowHeight="15705" tabRatio="885" xr2:uid="{00000000-000D-0000-FFFF-FFFF00000000}"/>
  </bookViews>
  <sheets>
    <sheet name="様式１　大学等概要" sheetId="8" r:id="rId1"/>
    <sheet name="様式２-1　プログラムを構成する授業科目" sheetId="39" r:id="rId2"/>
    <sheet name="様式２-2　プログラムを構成する授業科目" sheetId="44" r:id="rId3"/>
    <sheet name="様式２-3　プログラムを構成する授業科目" sheetId="45" r:id="rId4"/>
    <sheet name="様式２-4　プログラムを構成する授業科目 " sheetId="46" r:id="rId5"/>
    <sheet name="様式２-5　プログラムを構成する授業科目 " sheetId="47" r:id="rId6"/>
    <sheet name="様式３　履修者等数の実績" sheetId="40" r:id="rId7"/>
    <sheet name="様式４　教育の質・履修者数を向上させるための体制・計画" sheetId="41" r:id="rId8"/>
    <sheet name="様式５　自己点検・評価" sheetId="42" r:id="rId9"/>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'様式２-3　プログラムを構成する授業科目'!#REF!</definedName>
    <definedName name="_xlnm._FilterDatabase" localSheetId="4" hidden="1">'様式２-4　プログラムを構成する授業科目 '!#REF!</definedName>
    <definedName name="_xlnm._FilterDatabase" localSheetId="5" hidden="1">'様式２-5　プログラムを構成する授業科目 '!#REF!</definedName>
    <definedName name="_xlnm._FilterDatabase" localSheetId="6"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'様式２-3　プログラムを構成する授業科目'!$A$1:$Z$98</definedName>
    <definedName name="_xlnm.Print_Area" localSheetId="4">'様式２-4　プログラムを構成する授業科目 '!$A$1:$Z$98</definedName>
    <definedName name="_xlnm.Print_Area" localSheetId="5">'様式２-5　プログラムを構成する授業科目 '!$A$1:$Z$98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s="1"/>
  <c r="R30" i="40" l="1"/>
  <c r="C28" i="41" s="1"/>
  <c r="R10" i="40"/>
</calcChain>
</file>

<file path=xl/sharedStrings.xml><?xml version="1.0" encoding="utf-8"?>
<sst xmlns="http://schemas.openxmlformats.org/spreadsheetml/2006/main" count="1064" uniqueCount="275">
  <si>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</si>
  <si>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</si>
  <si>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</si>
  <si>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</si>
  <si>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</si>
  <si>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</si>
  <si>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</si>
  <si>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</si>
  <si>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</si>
  <si>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</si>
  <si>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</si>
  <si>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</si>
  <si>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</si>
  <si>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</si>
  <si>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</si>
  <si>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</si>
  <si>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</si>
  <si>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</si>
  <si>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</si>
  <si>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</si>
  <si>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</si>
  <si>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</si>
  <si>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</si>
  <si>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</si>
  <si>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</si>
  <si>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</si>
  <si>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</si>
  <si>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</si>
  <si>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</si>
  <si>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</si>
  <si>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</si>
  <si>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</si>
  <si>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</si>
  <si>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</si>
  <si>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</si>
  <si>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</si>
  <si>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</si>
  <si>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</si>
  <si>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</si>
  <si>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</si>
  <si>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</si>
  <si>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</si>
  <si>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</si>
  <si>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</si>
  <si>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</si>
  <si>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</si>
  <si>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</si>
  <si>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</si>
  <si>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</si>
  <si>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</si>
  <si>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</si>
  <si>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</si>
  <si>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</si>
  <si>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</si>
  <si>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</si>
  <si>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</si>
  <si>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</si>
  <si>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</si>
  <si>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</si>
  <si>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</si>
  <si>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</si>
  <si>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</si>
  <si>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</si>
  <si>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</si>
  <si>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</si>
  <si>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</si>
  <si>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</si>
  <si>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</si>
  <si>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</si>
  <si>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</si>
  <si>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</si>
  <si>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</si>
  <si>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</si>
  <si>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</si>
  <si>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</si>
  <si>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</si>
  <si>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</si>
  <si>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</si>
  <si>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</si>
  <si>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</si>
  <si>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</si>
  <si>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</si>
  <si>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</si>
  <si>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</si>
  <si>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</si>
  <si>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</si>
  <si>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</si>
  <si>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</si>
  <si>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</si>
  <si>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</si>
  <si>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</si>
  <si>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</si>
  <si>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</si>
  <si>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</si>
  <si>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</si>
  <si>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</si>
  <si>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</si>
  <si>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</si>
  <si>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</si>
  <si>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</si>
  <si>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</si>
  <si>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</si>
  <si>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</si>
  <si>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</si>
  <si>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</si>
  <si>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</si>
  <si>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</si>
  <si>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</si>
  <si>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</si>
  <si>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</si>
  <si>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</si>
  <si>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</si>
  <si>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</si>
  <si>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</si>
  <si>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</si>
  <si>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</si>
  <si>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</si>
  <si>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</si>
  <si>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</si>
  <si>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</si>
  <si>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</si>
  <si>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</si>
  <si>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</si>
  <si>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</si>
  <si>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</si>
  <si>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</si>
  <si>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</si>
  <si>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</si>
  <si>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</si>
  <si>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</si>
  <si>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</si>
  <si>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</si>
  <si>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</si>
  <si>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</si>
  <si>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</si>
  <si>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</si>
  <si>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</si>
  <si>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</si>
  <si>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</si>
  <si>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</si>
  <si>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</si>
  <si>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</si>
  <si>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</si>
  <si>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</si>
  <si>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</si>
  <si>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</si>
  <si>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</si>
  <si>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</si>
  <si>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鹿児島工業高等専門学校</t>
    <rPh sb="0" eb="3">
      <t>カゴシマ</t>
    </rPh>
    <rPh sb="3" eb="5">
      <t>コウギョウ</t>
    </rPh>
    <rPh sb="5" eb="7">
      <t>コウトウ</t>
    </rPh>
    <rPh sb="7" eb="9">
      <t>センモン</t>
    </rPh>
    <rPh sb="9" eb="11">
      <t>ガッコウ</t>
    </rPh>
    <phoneticPr fontId="1"/>
  </si>
  <si>
    <t>独立行政法人国立高等専門学校機構</t>
    <phoneticPr fontId="1"/>
  </si>
  <si>
    <t>高等専門学校</t>
  </si>
  <si>
    <t>鹿児島県霧島市隼人町真孝1460-1</t>
    <rPh sb="0" eb="3">
      <t>カゴシマ</t>
    </rPh>
    <rPh sb="3" eb="4">
      <t>ケン</t>
    </rPh>
    <rPh sb="4" eb="7">
      <t>キリシマシ</t>
    </rPh>
    <rPh sb="7" eb="10">
      <t>ハヤトチョウ</t>
    </rPh>
    <rPh sb="10" eb="12">
      <t>シンコウ</t>
    </rPh>
    <phoneticPr fontId="1"/>
  </si>
  <si>
    <t>鹿児島工業高等専門学校 数理・データサイエンス・AI教育プログラム</t>
    <phoneticPr fontId="1"/>
  </si>
  <si>
    <t>平成30年度</t>
    <phoneticPr fontId="1"/>
  </si>
  <si>
    <t>無</t>
  </si>
  <si>
    <t>氷室　昭三</t>
    <rPh sb="0" eb="2">
      <t>ヒムロ</t>
    </rPh>
    <rPh sb="3" eb="5">
      <t>ショウゾウ</t>
    </rPh>
    <phoneticPr fontId="1"/>
  </si>
  <si>
    <t>校長</t>
    <rPh sb="0" eb="2">
      <t>コウチョウ</t>
    </rPh>
    <phoneticPr fontId="1"/>
  </si>
  <si>
    <t>教務委員会</t>
    <rPh sb="0" eb="2">
      <t>キョウム</t>
    </rPh>
    <rPh sb="2" eb="5">
      <t>イインカイ</t>
    </rPh>
    <phoneticPr fontId="1"/>
  </si>
  <si>
    <t>松田　信彦</t>
    <rPh sb="0" eb="2">
      <t>マツダ</t>
    </rPh>
    <rPh sb="3" eb="5">
      <t>ノブヒコ</t>
    </rPh>
    <phoneticPr fontId="1"/>
  </si>
  <si>
    <t>教務主事</t>
    <rPh sb="0" eb="2">
      <t>キョウム</t>
    </rPh>
    <rPh sb="2" eb="4">
      <t>シュジ</t>
    </rPh>
    <phoneticPr fontId="1"/>
  </si>
  <si>
    <t>自己点検・評価委員会</t>
    <rPh sb="0" eb="2">
      <t>ジコ</t>
    </rPh>
    <rPh sb="2" eb="4">
      <t>テンケン</t>
    </rPh>
    <rPh sb="5" eb="7">
      <t>ヒョウカ</t>
    </rPh>
    <rPh sb="7" eb="10">
      <t>イインカイ</t>
    </rPh>
    <phoneticPr fontId="1"/>
  </si>
  <si>
    <t>岸田　一也</t>
    <rPh sb="0" eb="2">
      <t>キシダ</t>
    </rPh>
    <rPh sb="3" eb="5">
      <t>カズヤ</t>
    </rPh>
    <phoneticPr fontId="1"/>
  </si>
  <si>
    <t>総務企画主事</t>
    <rPh sb="0" eb="2">
      <t>ソウム</t>
    </rPh>
    <rPh sb="2" eb="4">
      <t>キカク</t>
    </rPh>
    <rPh sb="4" eb="6">
      <t>シュジ</t>
    </rPh>
    <phoneticPr fontId="1"/>
  </si>
  <si>
    <t>認定教育プログラム</t>
  </si>
  <si>
    <t>学生課教務係</t>
    <rPh sb="0" eb="2">
      <t>ガクセイ</t>
    </rPh>
    <rPh sb="2" eb="3">
      <t>カ</t>
    </rPh>
    <rPh sb="3" eb="5">
      <t>キョウム</t>
    </rPh>
    <rPh sb="5" eb="6">
      <t>カカリ</t>
    </rPh>
    <phoneticPr fontId="1"/>
  </si>
  <si>
    <t>kyomu@kagoshima-ct.ac.jp</t>
  </si>
  <si>
    <t>柳詰　豪</t>
    <rPh sb="0" eb="2">
      <t>ヤナヅメ</t>
    </rPh>
    <rPh sb="3" eb="4">
      <t>ツヨシ</t>
    </rPh>
    <phoneticPr fontId="1"/>
  </si>
  <si>
    <t>0995-42-9014</t>
  </si>
  <si>
    <t>学部・学科によって、修了要件は相違する</t>
  </si>
  <si>
    <t>機械工学科（工業）</t>
    <rPh sb="0" eb="2">
      <t>キカイ</t>
    </rPh>
    <rPh sb="2" eb="5">
      <t>コウガッカ</t>
    </rPh>
    <rPh sb="6" eb="8">
      <t>コウギョウ</t>
    </rPh>
    <phoneticPr fontId="1"/>
  </si>
  <si>
    <t>電気電子工学科（工業）</t>
    <rPh sb="0" eb="2">
      <t>デンキ</t>
    </rPh>
    <rPh sb="2" eb="4">
      <t>デンシ</t>
    </rPh>
    <rPh sb="4" eb="7">
      <t>コウガッカ</t>
    </rPh>
    <rPh sb="8" eb="10">
      <t>コウギョウ</t>
    </rPh>
    <phoneticPr fontId="1"/>
  </si>
  <si>
    <t>電子制御工学科（工業）</t>
    <rPh sb="0" eb="2">
      <t>デンシ</t>
    </rPh>
    <rPh sb="2" eb="4">
      <t>セイギョ</t>
    </rPh>
    <rPh sb="4" eb="7">
      <t>コウガッカ</t>
    </rPh>
    <rPh sb="8" eb="10">
      <t>コウギョウ</t>
    </rPh>
    <phoneticPr fontId="1"/>
  </si>
  <si>
    <t>情報工学科（工業）</t>
    <rPh sb="0" eb="2">
      <t>ジョウホウ</t>
    </rPh>
    <rPh sb="2" eb="5">
      <t>コウガッカ</t>
    </rPh>
    <rPh sb="6" eb="8">
      <t>コウギョウ</t>
    </rPh>
    <phoneticPr fontId="1"/>
  </si>
  <si>
    <t>都市環境デザイン工学科（工業）</t>
    <rPh sb="0" eb="2">
      <t>トシ</t>
    </rPh>
    <rPh sb="2" eb="4">
      <t>カンキョウ</t>
    </rPh>
    <rPh sb="8" eb="11">
      <t>コウガッカ</t>
    </rPh>
    <rPh sb="12" eb="14">
      <t>コウギョウ</t>
    </rPh>
    <phoneticPr fontId="1"/>
  </si>
  <si>
    <t>鹿児島工業高等専門学校教務委員会規則</t>
    <phoneticPr fontId="1"/>
  </si>
  <si>
    <t>　デジタル社会の「読み・書き・そろばん」である数理・データサイエンス・ＡＩの基礎的素養を全ての学生に対して修得させることを目的とし、教務委員会において数理・データサイエンス・AI教育プログラムを推進・改善させる。また、自己点検・評価委員会においてカリキュラムや授業内容の点検および評価を行う。</t>
    <phoneticPr fontId="1"/>
  </si>
  <si>
    <t>教務委員会は、次のに掲げる者をもって組織する。
(1) 教務主事及び教務主事補
(2) 学科から推薦された教員 各１名
(3) 一般教育科から推薦された教員 １名
(4) 学生課長
(5) その他校長が必要と認めた者</t>
    <phoneticPr fontId="1"/>
  </si>
  <si>
    <t xml:space="preserve">  本校では、プログラム実施科目として、一部を除き、全員が履修する科目（必修科目、自動選択科目）を配置している。また、選択科目から実施科目を配置している学科もあるが、その場合、学科と協力しながら実施科目履修の重要性について、学生へ理解を図っていく。</t>
    <phoneticPr fontId="1"/>
  </si>
  <si>
    <t>　本プログラムについて、希望する学生は、全ての実施科目を履修できる体制となっている。</t>
    <phoneticPr fontId="1"/>
  </si>
  <si>
    <t>　本プログラムについて、ホームページ上で周知（記載）し、併せてホームルーム等で学生へ周知している。</t>
    <phoneticPr fontId="1"/>
  </si>
  <si>
    <t>　本プログラムについて、全ての学生が履修できる体制（システム）として配置しているが、万が一単位未修得となった場合においても、再試験、再評価などで履修できる体制をとっている。
　なお、対面授業が難しい場合は、Moodleを利活用した遠隔授業で対応し、全学的な学習支援を行っている。</t>
    <phoneticPr fontId="1"/>
  </si>
  <si>
    <t>　低学年（1～2年生）のクラスについては、クラス担任及び副担任（2名/学年）が連携し、3年生以上についても、クラス担任及び学科長が連携し、目的に合わせた学生支援体制を構築している。
　また、授業時間外でも、学生がいつでも教員へ質問や相談等が出来るよう各教員のオフィスアワーを公開している。</t>
    <phoneticPr fontId="1"/>
  </si>
  <si>
    <t>https://www.kagoshima-ct.ac.jp/disclosure/</t>
    <phoneticPr fontId="1"/>
  </si>
  <si>
    <t>様式２－１</t>
    <phoneticPr fontId="1"/>
  </si>
  <si>
    <t>様式２－２</t>
    <phoneticPr fontId="1"/>
  </si>
  <si>
    <t>様式２－４</t>
    <phoneticPr fontId="1"/>
  </si>
  <si>
    <t>様式２－３</t>
    <phoneticPr fontId="1"/>
  </si>
  <si>
    <t>様式２－５</t>
    <phoneticPr fontId="1"/>
  </si>
  <si>
    <t>技術倫理総論</t>
    <phoneticPr fontId="1"/>
  </si>
  <si>
    <t>全学開講</t>
  </si>
  <si>
    <t>国語Ⅰ</t>
    <phoneticPr fontId="1"/>
  </si>
  <si>
    <t>○</t>
  </si>
  <si>
    <t>創造実習</t>
    <phoneticPr fontId="1"/>
  </si>
  <si>
    <t>情報基礎</t>
    <phoneticPr fontId="1"/>
  </si>
  <si>
    <t>工学実験</t>
    <phoneticPr fontId="1"/>
  </si>
  <si>
    <t>創造実習Ⅱ</t>
    <phoneticPr fontId="1"/>
  </si>
  <si>
    <t>情報基礎</t>
    <phoneticPr fontId="1"/>
  </si>
  <si>
    <t>電気電子工学実験Ⅰ</t>
    <phoneticPr fontId="1"/>
  </si>
  <si>
    <t>○</t>
    <phoneticPr fontId="1"/>
  </si>
  <si>
    <t>創造設計Ⅰ</t>
    <phoneticPr fontId="1"/>
  </si>
  <si>
    <t>電子制御工学基礎</t>
    <phoneticPr fontId="1"/>
  </si>
  <si>
    <t>工学実験Ⅰ</t>
    <phoneticPr fontId="1"/>
  </si>
  <si>
    <t>システム設計学</t>
    <phoneticPr fontId="1"/>
  </si>
  <si>
    <t>コンピュータリテラシ</t>
    <phoneticPr fontId="1"/>
  </si>
  <si>
    <t>景観設計</t>
    <phoneticPr fontId="1"/>
  </si>
  <si>
    <t>情報処理Ⅰ</t>
    <phoneticPr fontId="1"/>
  </si>
  <si>
    <t>都市環境デザイン工学概論</t>
    <phoneticPr fontId="1"/>
  </si>
  <si>
    <t>土質工学実験</t>
    <phoneticPr fontId="1"/>
  </si>
  <si>
    <t>材料学実験</t>
    <phoneticPr fontId="1"/>
  </si>
  <si>
    <t>・デジタル社会の「読み・書き・そろばん」である数理・データサイエンス・AIの基礎的素養を身につけ、自らの専門分野に応用できる。
・社会情勢や社会での実例を学び、人間中心の適切な判断ができ、学修した知識やスキル等を説明、活用できる。
・データや情報の取り扱い、発信、保護等に必要な原則、法規および倫理に則った行動ができる。
・データを利活用するための様々な手法について身につけ、適切に取り扱うことができる。</t>
    <phoneticPr fontId="1"/>
  </si>
  <si>
    <t>https://www.kagoshima-ct.ac.jp/data-program/</t>
    <phoneticPr fontId="1"/>
  </si>
  <si>
    <t>　本校は、令和2年度にNECと包括連携協定を結び、共同で学生を教育する体制を整えた。その中で、令和2年度は1～2年生を対象にNECの技術者による「生体認証に関する講演会」を実施し、学生には非常に好評であった。また、図書館と女子寮に「顔認証システム」を導入し、学校生活の中で最先端の技術に触れる機会を設け、データサイエンスを身近に体験できるよう工夫している。その他、NECと共同でAI研究会を立ち上げ、最先端の技術を積極的に学べる機会を設けた。
　令和3年度は、NECへ「特別インターンシップ」を開設していただき、クラウドやセキュリティについて最先端の技術を学べる機会を設けた。また、1年生を対象に「ウェアラブル端末」を用いた感情分析と授業評価に関する実証実験を実施し、低学年からデータサイエンスを学ぶ機会を設けた。</t>
    <rPh sb="1" eb="3">
      <t>ホンコウ</t>
    </rPh>
    <rPh sb="5" eb="7">
      <t>レイワ</t>
    </rPh>
    <rPh sb="8" eb="10">
      <t>ネンド</t>
    </rPh>
    <rPh sb="15" eb="17">
      <t>ホウカツ</t>
    </rPh>
    <rPh sb="17" eb="19">
      <t>レンケイ</t>
    </rPh>
    <rPh sb="19" eb="21">
      <t>キョウテイ</t>
    </rPh>
    <rPh sb="22" eb="23">
      <t>ムス</t>
    </rPh>
    <rPh sb="25" eb="27">
      <t>キョウドウ</t>
    </rPh>
    <rPh sb="28" eb="30">
      <t>ガクセイ</t>
    </rPh>
    <rPh sb="31" eb="33">
      <t>キョウイク</t>
    </rPh>
    <rPh sb="35" eb="37">
      <t>タイセイ</t>
    </rPh>
    <rPh sb="38" eb="39">
      <t>トトノ</t>
    </rPh>
    <rPh sb="44" eb="45">
      <t>ナカ</t>
    </rPh>
    <rPh sb="47" eb="49">
      <t>レイワ</t>
    </rPh>
    <rPh sb="50" eb="52">
      <t>ネンド</t>
    </rPh>
    <rPh sb="56" eb="58">
      <t>ネンセイ</t>
    </rPh>
    <rPh sb="59" eb="61">
      <t>タイショウ</t>
    </rPh>
    <rPh sb="66" eb="69">
      <t>ギジュツシャ</t>
    </rPh>
    <rPh sb="73" eb="75">
      <t>セイタイ</t>
    </rPh>
    <rPh sb="75" eb="77">
      <t>ニンショウ</t>
    </rPh>
    <rPh sb="78" eb="79">
      <t>カン</t>
    </rPh>
    <rPh sb="81" eb="83">
      <t>コウエン</t>
    </rPh>
    <rPh sb="83" eb="84">
      <t>カイ</t>
    </rPh>
    <rPh sb="86" eb="88">
      <t>ジッシ</t>
    </rPh>
    <rPh sb="90" eb="92">
      <t>ガクセイ</t>
    </rPh>
    <rPh sb="94" eb="96">
      <t>ヒジョウ</t>
    </rPh>
    <rPh sb="97" eb="99">
      <t>コウヒョウ</t>
    </rPh>
    <rPh sb="107" eb="110">
      <t>トショカン</t>
    </rPh>
    <rPh sb="111" eb="113">
      <t>ジョシ</t>
    </rPh>
    <rPh sb="113" eb="114">
      <t>リョウ</t>
    </rPh>
    <rPh sb="116" eb="117">
      <t>カオ</t>
    </rPh>
    <rPh sb="117" eb="119">
      <t>ニンショウ</t>
    </rPh>
    <rPh sb="125" eb="127">
      <t>ドウニュウ</t>
    </rPh>
    <rPh sb="129" eb="131">
      <t>ガッコウ</t>
    </rPh>
    <rPh sb="131" eb="133">
      <t>セイカツ</t>
    </rPh>
    <rPh sb="134" eb="135">
      <t>ナカ</t>
    </rPh>
    <rPh sb="136" eb="139">
      <t>サイセンタン</t>
    </rPh>
    <rPh sb="140" eb="142">
      <t>ギジュツ</t>
    </rPh>
    <rPh sb="143" eb="144">
      <t>フ</t>
    </rPh>
    <rPh sb="146" eb="148">
      <t>キカイ</t>
    </rPh>
    <rPh sb="149" eb="150">
      <t>モウ</t>
    </rPh>
    <rPh sb="161" eb="163">
      <t>ミジカ</t>
    </rPh>
    <rPh sb="164" eb="166">
      <t>タイケン</t>
    </rPh>
    <rPh sb="171" eb="173">
      <t>クフウ</t>
    </rPh>
    <rPh sb="180" eb="181">
      <t>ホカ</t>
    </rPh>
    <rPh sb="186" eb="188">
      <t>キョウドウ</t>
    </rPh>
    <rPh sb="191" eb="194">
      <t>ケンキュウカイ</t>
    </rPh>
    <rPh sb="195" eb="196">
      <t>タ</t>
    </rPh>
    <rPh sb="197" eb="198">
      <t>ア</t>
    </rPh>
    <rPh sb="200" eb="203">
      <t>サイセンタン</t>
    </rPh>
    <rPh sb="204" eb="206">
      <t>ギジュツ</t>
    </rPh>
    <rPh sb="207" eb="210">
      <t>セッキョクテキ</t>
    </rPh>
    <rPh sb="211" eb="212">
      <t>マナ</t>
    </rPh>
    <rPh sb="214" eb="216">
      <t>キカイ</t>
    </rPh>
    <rPh sb="217" eb="218">
      <t>モウ</t>
    </rPh>
    <rPh sb="235" eb="237">
      <t>トクベツ</t>
    </rPh>
    <rPh sb="247" eb="249">
      <t>カイセツ</t>
    </rPh>
    <rPh sb="271" eb="274">
      <t>サイセンタン</t>
    </rPh>
    <rPh sb="275" eb="277">
      <t>ギジュツ</t>
    </rPh>
    <rPh sb="278" eb="279">
      <t>マナ</t>
    </rPh>
    <rPh sb="281" eb="283">
      <t>キカイ</t>
    </rPh>
    <rPh sb="284" eb="285">
      <t>モウ</t>
    </rPh>
    <rPh sb="292" eb="294">
      <t>ネンセイ</t>
    </rPh>
    <rPh sb="295" eb="297">
      <t>タイショウ</t>
    </rPh>
    <rPh sb="305" eb="307">
      <t>タンマツ</t>
    </rPh>
    <rPh sb="309" eb="310">
      <t>モチ</t>
    </rPh>
    <rPh sb="312" eb="314">
      <t>カンジョウ</t>
    </rPh>
    <rPh sb="314" eb="316">
      <t>ブンセキ</t>
    </rPh>
    <rPh sb="317" eb="319">
      <t>ジュギョウ</t>
    </rPh>
    <rPh sb="319" eb="321">
      <t>ヒョウカ</t>
    </rPh>
    <rPh sb="322" eb="323">
      <t>カン</t>
    </rPh>
    <rPh sb="325" eb="327">
      <t>ジッショウ</t>
    </rPh>
    <rPh sb="327" eb="329">
      <t>ジッケン</t>
    </rPh>
    <rPh sb="330" eb="332">
      <t>ジッシ</t>
    </rPh>
    <rPh sb="334" eb="337">
      <t>テイガクネン</t>
    </rPh>
    <rPh sb="348" eb="349">
      <t>マナ</t>
    </rPh>
    <rPh sb="350" eb="352">
      <t>キカイ</t>
    </rPh>
    <rPh sb="353" eb="354">
      <t>モウ</t>
    </rPh>
    <phoneticPr fontId="1"/>
  </si>
  <si>
    <t>　本校では、年に2回授業アンケートを実施し、授業内容について学生の意見を把握し、授業改善に繋げている。また、授業力アップアクティビティを実施し、教員に対しLMS（ラーニング・マネジメント・システム）のより効果的な活用の仕方について学習機会を設け、授業時間以外での学習支援サポートを強化している。
　令和3年度には、教員の資質向上を図る目的で、NECから孝忠大輔氏を招き、データサイエンスやＡＩ教育に関する講演を実施した。</t>
    <rPh sb="1" eb="3">
      <t>ホンコウ</t>
    </rPh>
    <rPh sb="6" eb="7">
      <t>ネン</t>
    </rPh>
    <rPh sb="9" eb="10">
      <t>カイ</t>
    </rPh>
    <rPh sb="10" eb="12">
      <t>ジュギョウ</t>
    </rPh>
    <rPh sb="18" eb="20">
      <t>ジッシ</t>
    </rPh>
    <rPh sb="22" eb="24">
      <t>ジュギョウ</t>
    </rPh>
    <rPh sb="24" eb="26">
      <t>ナイヨウ</t>
    </rPh>
    <rPh sb="30" eb="32">
      <t>ガクセイ</t>
    </rPh>
    <rPh sb="33" eb="35">
      <t>イケン</t>
    </rPh>
    <rPh sb="36" eb="38">
      <t>ハアク</t>
    </rPh>
    <rPh sb="40" eb="42">
      <t>ジュギョウ</t>
    </rPh>
    <rPh sb="42" eb="44">
      <t>カイゼン</t>
    </rPh>
    <rPh sb="45" eb="46">
      <t>ツナ</t>
    </rPh>
    <rPh sb="54" eb="56">
      <t>ジュギョウ</t>
    </rPh>
    <rPh sb="56" eb="57">
      <t>リョク</t>
    </rPh>
    <rPh sb="68" eb="70">
      <t>ジッシ</t>
    </rPh>
    <rPh sb="72" eb="74">
      <t>キョウイン</t>
    </rPh>
    <rPh sb="75" eb="76">
      <t>タイ</t>
    </rPh>
    <rPh sb="102" eb="104">
      <t>コウカ</t>
    </rPh>
    <rPh sb="104" eb="105">
      <t>テキ</t>
    </rPh>
    <rPh sb="106" eb="108">
      <t>カツヨウ</t>
    </rPh>
    <rPh sb="109" eb="111">
      <t>シカタ</t>
    </rPh>
    <rPh sb="115" eb="117">
      <t>ガクシュウ</t>
    </rPh>
    <rPh sb="117" eb="119">
      <t>キカイ</t>
    </rPh>
    <rPh sb="120" eb="121">
      <t>モウ</t>
    </rPh>
    <rPh sb="123" eb="125">
      <t>ジュギョウ</t>
    </rPh>
    <rPh sb="125" eb="127">
      <t>ジカン</t>
    </rPh>
    <rPh sb="127" eb="129">
      <t>イガイ</t>
    </rPh>
    <rPh sb="131" eb="133">
      <t>ガクシュウ</t>
    </rPh>
    <rPh sb="133" eb="135">
      <t>シエン</t>
    </rPh>
    <rPh sb="140" eb="142">
      <t>キョウカ</t>
    </rPh>
    <rPh sb="149" eb="151">
      <t>レイワ</t>
    </rPh>
    <rPh sb="152" eb="154">
      <t>ネンド</t>
    </rPh>
    <rPh sb="180" eb="181">
      <t>シ</t>
    </rPh>
    <rPh sb="182" eb="183">
      <t>マネ</t>
    </rPh>
    <rPh sb="198" eb="199">
      <t>カン</t>
    </rPh>
    <rPh sb="201" eb="203">
      <t>コウエン</t>
    </rPh>
    <rPh sb="204" eb="206">
      <t>ジッシ</t>
    </rPh>
    <phoneticPr fontId="1"/>
  </si>
  <si>
    <t>　例年、外部評価委員会を実施し、学校運営及び教育プログラム等について意見を伺っている。また、鹿児島高専テクノクラブ（KTC）会員様（県内企業約100社）とは、常時交流を深め、連携教育等を通じ、本校の教育改善に協力をいただいている。</t>
    <rPh sb="1" eb="3">
      <t>レイネン</t>
    </rPh>
    <rPh sb="4" eb="6">
      <t>ガイブ</t>
    </rPh>
    <rPh sb="6" eb="8">
      <t>ヒョウカ</t>
    </rPh>
    <rPh sb="8" eb="11">
      <t>イインカイ</t>
    </rPh>
    <rPh sb="12" eb="14">
      <t>ジッシ</t>
    </rPh>
    <rPh sb="16" eb="18">
      <t>ガッコウ</t>
    </rPh>
    <rPh sb="18" eb="20">
      <t>ウンエイ</t>
    </rPh>
    <rPh sb="20" eb="21">
      <t>オヨ</t>
    </rPh>
    <rPh sb="22" eb="24">
      <t>キョウイク</t>
    </rPh>
    <rPh sb="29" eb="30">
      <t>トウ</t>
    </rPh>
    <rPh sb="34" eb="36">
      <t>イケン</t>
    </rPh>
    <rPh sb="37" eb="38">
      <t>ウカガ</t>
    </rPh>
    <rPh sb="46" eb="49">
      <t>カゴシマ</t>
    </rPh>
    <rPh sb="49" eb="51">
      <t>コウセン</t>
    </rPh>
    <rPh sb="62" eb="64">
      <t>カイイン</t>
    </rPh>
    <rPh sb="64" eb="65">
      <t>サマ</t>
    </rPh>
    <rPh sb="66" eb="68">
      <t>ケンナイ</t>
    </rPh>
    <rPh sb="68" eb="70">
      <t>キギョウ</t>
    </rPh>
    <rPh sb="70" eb="71">
      <t>ヤク</t>
    </rPh>
    <rPh sb="74" eb="75">
      <t>シャ</t>
    </rPh>
    <rPh sb="79" eb="81">
      <t>ジョウジ</t>
    </rPh>
    <rPh sb="81" eb="83">
      <t>コウリュウ</t>
    </rPh>
    <rPh sb="84" eb="85">
      <t>フカ</t>
    </rPh>
    <rPh sb="87" eb="89">
      <t>レンケイ</t>
    </rPh>
    <rPh sb="89" eb="91">
      <t>キョウイク</t>
    </rPh>
    <rPh sb="91" eb="92">
      <t>トウ</t>
    </rPh>
    <rPh sb="93" eb="94">
      <t>ツウ</t>
    </rPh>
    <rPh sb="96" eb="98">
      <t>ホンコウ</t>
    </rPh>
    <rPh sb="99" eb="101">
      <t>キョウイク</t>
    </rPh>
    <rPh sb="101" eb="103">
      <t>カイゼン</t>
    </rPh>
    <rPh sb="104" eb="106">
      <t>キョウリョク</t>
    </rPh>
    <phoneticPr fontId="1"/>
  </si>
  <si>
    <t>　実施科目については、22科目中21科目は全員が履修すべき科目として配置しており、残り1科目は選択科目として配置している。
　修得状況については、例年、概ね95％以上の学生が修得しており、未修得者ついても、再履修、再試験等で修得している。</t>
    <rPh sb="1" eb="3">
      <t>ジッシ</t>
    </rPh>
    <rPh sb="17" eb="19">
      <t>ゼンイン</t>
    </rPh>
    <rPh sb="22" eb="24">
      <t>カモク</t>
    </rPh>
    <rPh sb="26" eb="28">
      <t>カモク</t>
    </rPh>
    <rPh sb="29" eb="31">
      <t>センタク</t>
    </rPh>
    <rPh sb="34" eb="36">
      <t>ハイチ</t>
    </rPh>
    <rPh sb="47" eb="49">
      <t>ハイチ</t>
    </rPh>
    <rPh sb="54" eb="56">
      <t>レイワ</t>
    </rPh>
    <rPh sb="57" eb="59">
      <t>ネンセイ</t>
    </rPh>
    <rPh sb="73" eb="75">
      <t>レイネン</t>
    </rPh>
    <rPh sb="76" eb="77">
      <t>オオム</t>
    </rPh>
    <rPh sb="84" eb="86">
      <t>ガクセイ</t>
    </rPh>
    <phoneticPr fontId="1"/>
  </si>
  <si>
    <t>　1年次から5年次まで実施科目を配置しており、入学から卒業まで当該プログラムを実施している。上述のとおり、再履修、再試験を含めほぼ100％の学生が全ての実施科目を修得している。</t>
    <rPh sb="2" eb="3">
      <t>ネン</t>
    </rPh>
    <rPh sb="3" eb="4">
      <t>ジ</t>
    </rPh>
    <rPh sb="7" eb="8">
      <t>ネン</t>
    </rPh>
    <rPh sb="8" eb="9">
      <t>ジ</t>
    </rPh>
    <rPh sb="16" eb="18">
      <t>ハイチ</t>
    </rPh>
    <rPh sb="23" eb="25">
      <t>ニュウガク</t>
    </rPh>
    <rPh sb="27" eb="29">
      <t>ソツギョウ</t>
    </rPh>
    <rPh sb="31" eb="33">
      <t>トウガイ</t>
    </rPh>
    <rPh sb="39" eb="41">
      <t>ジッシ</t>
    </rPh>
    <rPh sb="46" eb="48">
      <t>ジョウジュツ</t>
    </rPh>
    <rPh sb="53" eb="54">
      <t>サイ</t>
    </rPh>
    <rPh sb="54" eb="56">
      <t>リシュウ</t>
    </rPh>
    <rPh sb="57" eb="60">
      <t>サイシケン</t>
    </rPh>
    <rPh sb="61" eb="62">
      <t>フク</t>
    </rPh>
    <rPh sb="70" eb="72">
      <t>ガクセイ</t>
    </rPh>
    <rPh sb="76" eb="78">
      <t>ジッシ</t>
    </rPh>
    <rPh sb="81" eb="83">
      <t>シュウトク</t>
    </rPh>
    <phoneticPr fontId="1"/>
  </si>
  <si>
    <t>　例年、期末試験期間内に「授業アンケート」を実施し、学生の満足度を確認している。アンケート結果については、教務委員会で報告され、今後の学校運営等に活用している。</t>
    <rPh sb="1" eb="3">
      <t>レイネン</t>
    </rPh>
    <rPh sb="4" eb="6">
      <t>キマツ</t>
    </rPh>
    <rPh sb="6" eb="8">
      <t>シケン</t>
    </rPh>
    <rPh sb="8" eb="10">
      <t>キカン</t>
    </rPh>
    <rPh sb="10" eb="11">
      <t>ナイ</t>
    </rPh>
    <rPh sb="13" eb="15">
      <t>ジュギョウ</t>
    </rPh>
    <rPh sb="22" eb="24">
      <t>ジッシ</t>
    </rPh>
    <rPh sb="26" eb="28">
      <t>ガクセイ</t>
    </rPh>
    <rPh sb="29" eb="32">
      <t>マンゾクド</t>
    </rPh>
    <rPh sb="33" eb="35">
      <t>カクニン</t>
    </rPh>
    <rPh sb="45" eb="47">
      <t>ケッカ</t>
    </rPh>
    <rPh sb="53" eb="55">
      <t>キョウム</t>
    </rPh>
    <rPh sb="55" eb="58">
      <t>イインカイ</t>
    </rPh>
    <rPh sb="59" eb="61">
      <t>ホウコク</t>
    </rPh>
    <rPh sb="64" eb="66">
      <t>コンゴ</t>
    </rPh>
    <rPh sb="67" eb="69">
      <t>ガッコウ</t>
    </rPh>
    <rPh sb="69" eb="71">
      <t>ウンエイ</t>
    </rPh>
    <rPh sb="71" eb="72">
      <t>トウ</t>
    </rPh>
    <rPh sb="73" eb="75">
      <t>カツヨウ</t>
    </rPh>
    <phoneticPr fontId="1"/>
  </si>
  <si>
    <t>　実施科目について、本校では全員が履修する科目として配置（22科目中21科目）しているため、他の学生に推奨するという状況は発生しない。選択科目（1科目）についても、授業アンケートの満足度調査の結果を活用し、後輩たちへ履修をうながしていく。
　授業アンケートにおいて、「あなたはこの授業を受けていない友人にこの授業をすすめますか？」という質問項目を設けており、アンケート結果を分析しながら、今後の履修について活用していく。</t>
    <rPh sb="1" eb="3">
      <t>ジッシ</t>
    </rPh>
    <rPh sb="3" eb="5">
      <t>カモク</t>
    </rPh>
    <rPh sb="10" eb="12">
      <t>ホンコウ</t>
    </rPh>
    <rPh sb="14" eb="16">
      <t>ゼンイン</t>
    </rPh>
    <rPh sb="17" eb="19">
      <t>リシュウ</t>
    </rPh>
    <rPh sb="21" eb="23">
      <t>カモク</t>
    </rPh>
    <rPh sb="26" eb="28">
      <t>ハイチ</t>
    </rPh>
    <rPh sb="46" eb="47">
      <t>タ</t>
    </rPh>
    <rPh sb="48" eb="50">
      <t>ガクセイ</t>
    </rPh>
    <rPh sb="51" eb="53">
      <t>スイショウ</t>
    </rPh>
    <rPh sb="58" eb="60">
      <t>ジョウキョウ</t>
    </rPh>
    <rPh sb="61" eb="63">
      <t>ハッセイ</t>
    </rPh>
    <rPh sb="67" eb="69">
      <t>センタク</t>
    </rPh>
    <rPh sb="69" eb="71">
      <t>カモク</t>
    </rPh>
    <rPh sb="73" eb="75">
      <t>カモク</t>
    </rPh>
    <rPh sb="82" eb="84">
      <t>ジュギョウ</t>
    </rPh>
    <rPh sb="90" eb="92">
      <t>マンゾク</t>
    </rPh>
    <rPh sb="92" eb="93">
      <t>ド</t>
    </rPh>
    <rPh sb="93" eb="95">
      <t>チョウサ</t>
    </rPh>
    <rPh sb="96" eb="98">
      <t>ケッカ</t>
    </rPh>
    <rPh sb="99" eb="101">
      <t>カツヨウ</t>
    </rPh>
    <rPh sb="103" eb="105">
      <t>コウハイ</t>
    </rPh>
    <rPh sb="108" eb="110">
      <t>リシュウ</t>
    </rPh>
    <rPh sb="121" eb="123">
      <t>ジュギョウ</t>
    </rPh>
    <rPh sb="140" eb="142">
      <t>ジュギョウ</t>
    </rPh>
    <rPh sb="143" eb="144">
      <t>ウ</t>
    </rPh>
    <rPh sb="149" eb="151">
      <t>ユウジン</t>
    </rPh>
    <rPh sb="154" eb="156">
      <t>ジュギョウ</t>
    </rPh>
    <rPh sb="168" eb="170">
      <t>シツモン</t>
    </rPh>
    <rPh sb="170" eb="172">
      <t>コウモク</t>
    </rPh>
    <rPh sb="173" eb="174">
      <t>モウ</t>
    </rPh>
    <rPh sb="184" eb="186">
      <t>ケッカ</t>
    </rPh>
    <rPh sb="187" eb="189">
      <t>ブンセキ</t>
    </rPh>
    <rPh sb="194" eb="196">
      <t>コンゴ</t>
    </rPh>
    <rPh sb="197" eb="199">
      <t>リシュウ</t>
    </rPh>
    <rPh sb="203" eb="205">
      <t>カツヨウ</t>
    </rPh>
    <phoneticPr fontId="1"/>
  </si>
  <si>
    <t>　実施科目については、全員が履修する科目と選択科目の2種類の科目を配置している。選択科目については、専門学科と協力し実施科目の重要性について、学生へ理解を図っていく。</t>
    <rPh sb="1" eb="3">
      <t>ジッシ</t>
    </rPh>
    <rPh sb="3" eb="5">
      <t>カモク</t>
    </rPh>
    <rPh sb="21" eb="23">
      <t>センタク</t>
    </rPh>
    <rPh sb="23" eb="25">
      <t>カモク</t>
    </rPh>
    <rPh sb="27" eb="29">
      <t>シュルイ</t>
    </rPh>
    <rPh sb="30" eb="32">
      <t>カモク</t>
    </rPh>
    <rPh sb="50" eb="52">
      <t>センモン</t>
    </rPh>
    <phoneticPr fontId="1"/>
  </si>
  <si>
    <t>　令和4年3月時点で教育プログラムの修了者はいないが、令和3年度卒業生（就職者115名）の内訳は、製造業58％、情報通信業11％、建設業9％、電気・ガス5％、運輸業2％、その他15％となった。卒業生に対する企業からの評価は、概ね好評で、求人数は1学科あたり約300社から600社となっている。県内企業からは、もっと県内就職者を増やしてほしい旨要望をいただいている。</t>
    <rPh sb="1" eb="3">
      <t>レイワ</t>
    </rPh>
    <rPh sb="4" eb="5">
      <t>ネン</t>
    </rPh>
    <rPh sb="6" eb="7">
      <t>ガツ</t>
    </rPh>
    <rPh sb="7" eb="9">
      <t>ジテン</t>
    </rPh>
    <rPh sb="10" eb="12">
      <t>キョウイク</t>
    </rPh>
    <rPh sb="18" eb="20">
      <t>シュウリョウ</t>
    </rPh>
    <rPh sb="20" eb="21">
      <t>シャ</t>
    </rPh>
    <rPh sb="27" eb="29">
      <t>レイワ</t>
    </rPh>
    <rPh sb="30" eb="32">
      <t>ネンド</t>
    </rPh>
    <rPh sb="32" eb="34">
      <t>ソツギョウ</t>
    </rPh>
    <rPh sb="34" eb="35">
      <t>セイ</t>
    </rPh>
    <rPh sb="36" eb="38">
      <t>シュウショク</t>
    </rPh>
    <rPh sb="38" eb="39">
      <t>シャ</t>
    </rPh>
    <rPh sb="42" eb="43">
      <t>メイ</t>
    </rPh>
    <rPh sb="45" eb="47">
      <t>ウチワケ</t>
    </rPh>
    <rPh sb="49" eb="52">
      <t>セイゾウギョウ</t>
    </rPh>
    <rPh sb="56" eb="58">
      <t>ジョウホウ</t>
    </rPh>
    <rPh sb="58" eb="60">
      <t>ツウシン</t>
    </rPh>
    <rPh sb="60" eb="61">
      <t>ギョウ</t>
    </rPh>
    <rPh sb="65" eb="68">
      <t>ケンセツギョウ</t>
    </rPh>
    <rPh sb="71" eb="73">
      <t>デンキ</t>
    </rPh>
    <rPh sb="79" eb="82">
      <t>ウンユギョウ</t>
    </rPh>
    <rPh sb="87" eb="88">
      <t>タ</t>
    </rPh>
    <rPh sb="96" eb="99">
      <t>ソツギョウセイ</t>
    </rPh>
    <rPh sb="100" eb="101">
      <t>タイ</t>
    </rPh>
    <rPh sb="103" eb="105">
      <t>キギョウ</t>
    </rPh>
    <rPh sb="108" eb="110">
      <t>ヒョウカ</t>
    </rPh>
    <rPh sb="112" eb="113">
      <t>オオム</t>
    </rPh>
    <rPh sb="114" eb="116">
      <t>コウヒョウ</t>
    </rPh>
    <rPh sb="118" eb="121">
      <t>キュウジンスウ</t>
    </rPh>
    <rPh sb="123" eb="125">
      <t>ガッカ</t>
    </rPh>
    <rPh sb="128" eb="129">
      <t>ヤク</t>
    </rPh>
    <rPh sb="132" eb="133">
      <t>シャ</t>
    </rPh>
    <rPh sb="138" eb="139">
      <t>シャ</t>
    </rPh>
    <rPh sb="146" eb="148">
      <t>ケンナイ</t>
    </rPh>
    <rPh sb="148" eb="150">
      <t>キギョウ</t>
    </rPh>
    <rPh sb="157" eb="159">
      <t>ケンナイ</t>
    </rPh>
    <rPh sb="159" eb="161">
      <t>シュウショク</t>
    </rPh>
    <rPh sb="161" eb="162">
      <t>シャ</t>
    </rPh>
    <rPh sb="163" eb="164">
      <t>フ</t>
    </rPh>
    <rPh sb="170" eb="171">
      <t>ムネ</t>
    </rPh>
    <rPh sb="171" eb="173">
      <t>ヨウボウ</t>
    </rPh>
    <phoneticPr fontId="1"/>
  </si>
  <si>
    <t>・卒業認定に必要な単位を修得すること。
・機械工学科の学生は、次に掲げる授業科目を全て修得すること。
　技術倫理総論（5年生）、国語Ⅰ（1年生）、情報基礎（1年生）、工学実験（4年生）、創造実習（4年生）</t>
    <rPh sb="21" eb="23">
      <t>キカイ</t>
    </rPh>
    <rPh sb="23" eb="26">
      <t>コウガッカ</t>
    </rPh>
    <rPh sb="60" eb="61">
      <t>ネン</t>
    </rPh>
    <rPh sb="61" eb="62">
      <t>セイ</t>
    </rPh>
    <phoneticPr fontId="1"/>
  </si>
  <si>
    <t>・卒業認定に必要な単位を修得すること。
・電子制御工学科の学生は、次に掲げる授業科目を全て修得すること。
　技術倫理総論（5年生）、国語Ⅰ（1年生）、電子制御工学基礎（1年生）、工学実験Ⅰ（3年生）、創造設計Ⅰ（3年生）</t>
    <rPh sb="21" eb="23">
      <t>デンシ</t>
    </rPh>
    <rPh sb="23" eb="25">
      <t>セイギョ</t>
    </rPh>
    <phoneticPr fontId="1"/>
  </si>
  <si>
    <t>・卒業認定に必要な単位を修得すること。
・情報工学科の学生は、次に掲げる授業科目を全て修得すること。
　技術倫理総論（5年生）、国語Ⅰ（1年生）、コンピュータリテラシ（1年生）、工学実験Ⅰ（2年生）、システム設計学（5年生）</t>
    <rPh sb="21" eb="23">
      <t>ジョウホウ</t>
    </rPh>
    <phoneticPr fontId="1"/>
  </si>
  <si>
    <t>・卒業認定に必要な単位を修得すること。
・電気電子工学科の学生は、次に掲げる授業科目を全て修得すること。
　技術倫理総論（5年生）、国語Ⅰ（1年生）、情報基礎（1年生）、電気電子工学実験Ⅰ（2年生）、創造実習Ⅱ（4年生）</t>
    <rPh sb="21" eb="23">
      <t>デンキ</t>
    </rPh>
    <rPh sb="23" eb="25">
      <t>デンシ</t>
    </rPh>
    <phoneticPr fontId="1"/>
  </si>
  <si>
    <t>・卒業認定に必要な単位を修得すること。
・都市環境デザイン工学科の学生は、次に掲げる授業科目を全て修得すること。
　技術倫理総論（5年生）、国語Ⅰ（1年生）、情報処理Ⅰ（1年生）、都市環境デザイン工学概論（1年生）、土質工学実験（3年生）、材料学実験（3年生）、景観設計（5年生）</t>
    <rPh sb="21" eb="23">
      <t>トシ</t>
    </rPh>
    <rPh sb="23" eb="25">
      <t>カンキョウ</t>
    </rPh>
    <phoneticPr fontId="1"/>
  </si>
  <si>
    <t>一部開講</t>
  </si>
  <si>
    <t>　現在のデジタル社会（Society5.0等)において、特にインターネット社会の現状を正しく把握し、メディアの変化に伴う情報・データの変化や、インターネット時代とそれ以前の情報発信・伝達の方法の違いを理解し、広く日常生活や社会活動に及ぼす影響について考える。
　技術倫理総論（10回目）、国語Ⅰ（4～6回目）、創造実習（1～2回目）</t>
    <rPh sb="140" eb="142">
      <t>カイメ</t>
    </rPh>
    <rPh sb="144" eb="146">
      <t>コクゴ</t>
    </rPh>
    <rPh sb="151" eb="153">
      <t>カイメ</t>
    </rPh>
    <rPh sb="155" eb="157">
      <t>ソウゾウ</t>
    </rPh>
    <rPh sb="157" eb="159">
      <t>ジッシュウ</t>
    </rPh>
    <rPh sb="163" eb="165">
      <t>カイメ</t>
    </rPh>
    <phoneticPr fontId="1"/>
  </si>
  <si>
    <t>　現在進行中のデータ社会の変化について触れながら、現代社会で求められる技術者の役割について学ぶ。
　技術倫理総論（2～3回目、10回目）、国語Ⅰ（4～6回目）、創造実習（1～2回目）</t>
    <rPh sb="19" eb="20">
      <t>フ</t>
    </rPh>
    <rPh sb="65" eb="67">
      <t>カイメ</t>
    </rPh>
    <phoneticPr fontId="1"/>
  </si>
  <si>
    <t>　工学の世界では多種多様なデータを取り扱うため、それを処理するための基本的なツールとしてMicrosoft Excelに代表される表計算ソフトや各種プログラムの使い方や活用法について学ぶ。
　情報基礎（5～7回目）、創造実習（3、9回目）</t>
    <rPh sb="96" eb="98">
      <t>ジョウホウ</t>
    </rPh>
    <rPh sb="98" eb="100">
      <t>キソ</t>
    </rPh>
    <rPh sb="104" eb="106">
      <t>カイメ</t>
    </rPh>
    <rPh sb="108" eb="110">
      <t>ソウゾウ</t>
    </rPh>
    <rPh sb="110" eb="112">
      <t>ジッシュウ</t>
    </rPh>
    <rPh sb="116" eb="118">
      <t>カイメ</t>
    </rPh>
    <phoneticPr fontId="1"/>
  </si>
  <si>
    <t>　低学年では主にツールの使い方を学習し、高学年では取得したデータをどのように取り扱うかグループで議論し、統計的な手法を織り交ぜながら取得したデータの利用方法について学ぶ。　
　情報基礎（5～7回目）、創造実習（2～3回目）</t>
    <rPh sb="82" eb="83">
      <t>マナ</t>
    </rPh>
    <rPh sb="108" eb="110">
      <t>カイメ</t>
    </rPh>
    <phoneticPr fontId="1"/>
  </si>
  <si>
    <t>　インターネットにおける情報発信は誰でもすぐに公表できるため、情報やデータは淘汰されず大量に出回るという、技術的・倫理的な問題について認識し、その中で、正しくデータを収集し、取り扱っていくのかについて理解を深める。
　技術倫理総論（10回目）、国語Ⅰ（4～6回目）</t>
    <phoneticPr fontId="1"/>
  </si>
  <si>
    <t>　現代社会において、ビッグデータやAIが、自動運転技術やキャリアコンサルタントの現場でどのように活用されているのかを学ぶ。
　技術倫理総論（10回目）、国語Ⅰ（4～6回目）</t>
    <phoneticPr fontId="1"/>
  </si>
  <si>
    <t xml:space="preserve">  現在のデジタル社会（Society5.0等)において、インターネット時代における情報発信の問題点や情報の非物質性について理解し、広く日常生活や社会活動に及ぼす影響、さらには個人情報保護や守秘義務の重要性を学ぶ。
　技術倫理総論（5、10回目）、国語Ⅰ（4～6回目）、情報基礎（14回目）、創造実習（1回目）</t>
    <rPh sb="120" eb="122">
      <t>カイメ</t>
    </rPh>
    <rPh sb="135" eb="137">
      <t>ジョウホウ</t>
    </rPh>
    <rPh sb="137" eb="139">
      <t>キソ</t>
    </rPh>
    <rPh sb="142" eb="144">
      <t>カイメ</t>
    </rPh>
    <rPh sb="146" eb="148">
      <t>ソウゾウ</t>
    </rPh>
    <rPh sb="148" eb="150">
      <t>ジッシュウ</t>
    </rPh>
    <rPh sb="152" eb="154">
      <t>カイメ</t>
    </rPh>
    <phoneticPr fontId="1"/>
  </si>
  <si>
    <t>　ビッグデータとVR、AR、そしてAIの３つの情報新技術について概観し、それぞれどのような注意と対策を払うべきかを学ぶ。
　技術倫理総論（10回目）、国語Ⅰ（4～6回目）、情報基礎（14回目）、創造実習（1回目）</t>
    <phoneticPr fontId="1"/>
  </si>
  <si>
    <t>　低学年で学修してきたExcelでのデータの処理方法、関数の扱い方、グラフの作成法を利用し、熱・材料・工作・流体・制御の各分野の実験から得られたデータを表やグラフの形で可視化しデータの特徴を把握する方法を実習する。
　工学実験（前期14～15回目）</t>
    <rPh sb="109" eb="111">
      <t>コウガク</t>
    </rPh>
    <rPh sb="111" eb="113">
      <t>ジッケン</t>
    </rPh>
    <rPh sb="121" eb="123">
      <t>カイメ</t>
    </rPh>
    <phoneticPr fontId="1"/>
  </si>
  <si>
    <t>　実験はグループワークで実施し、各分野の実験からデータの取得、整理、可視化を行い、データ・現象の特徴を捉える方法を学ぶ。得られた成果について、レポートを作成する前段階においてグループ内外で議論することで、整理の方法や理解の定着を図る。
　工学実験（後期10～11回目）</t>
    <phoneticPr fontId="1"/>
  </si>
  <si>
    <t>　機械工学の分野において実際に起こりうる代表的な現象を見ながら、実データを測定・取得し、それを整理・説明する一連の流れを体験することで、数理・データサイエンスの基本的な活用方法について理解する。
　工学実験（前期1、6、10、14、15回目）</t>
    <phoneticPr fontId="1"/>
  </si>
  <si>
    <t>　現在のデジタル社会（Society5.0等)において、特にインターネット社会の現状を正しく把握し、メディアの変化に伴う情報・データの変化や、インターネット時代とそれ以前の情報発信・伝達の方法の違いを理解し、広く日常生活や社会活動に及ぼす影響について考える。
　技術倫理総論（10回目）、国語Ⅰ（4～6回目）、創造設計Ⅰ（1回目）、電子制御工学基礎（6～7回目）</t>
    <rPh sb="166" eb="168">
      <t>デンシ</t>
    </rPh>
    <rPh sb="168" eb="170">
      <t>セイギョ</t>
    </rPh>
    <rPh sb="170" eb="172">
      <t>コウガク</t>
    </rPh>
    <rPh sb="172" eb="174">
      <t>キソ</t>
    </rPh>
    <rPh sb="178" eb="180">
      <t>カイメ</t>
    </rPh>
    <phoneticPr fontId="1"/>
  </si>
  <si>
    <t>　現在進行中のデータ社会の変化について触れながら、現代社会で求められる技術者の役割について学ぶ。
　技術倫理総論（2～3回目、10回目）、国語Ⅰ（4～6回目）、創造設計Ⅰ（1回目）、電子制御工学基礎（6～7回目）</t>
    <rPh sb="19" eb="20">
      <t>フ</t>
    </rPh>
    <rPh sb="65" eb="67">
      <t>カイメ</t>
    </rPh>
    <phoneticPr fontId="1"/>
  </si>
  <si>
    <t>　工学の世界では多種多様なデータを取り扱うため、それを処理するための基本的なツールとしてMicrosoft Excelに代表される表計算ソフトや各種プログラムの使い方や活用法について学ぶ。
　電子制御工学基礎（9～14回目）、創造設計Ⅰ（5、14回目）</t>
    <rPh sb="96" eb="98">
      <t>デンシ</t>
    </rPh>
    <rPh sb="98" eb="100">
      <t>セイギョ</t>
    </rPh>
    <rPh sb="100" eb="102">
      <t>コウガク</t>
    </rPh>
    <rPh sb="102" eb="104">
      <t>キソ</t>
    </rPh>
    <rPh sb="109" eb="111">
      <t>カイメ</t>
    </rPh>
    <rPh sb="113" eb="115">
      <t>ソウゾウ</t>
    </rPh>
    <rPh sb="115" eb="117">
      <t>セッケイ</t>
    </rPh>
    <rPh sb="123" eb="125">
      <t>カイメ</t>
    </rPh>
    <phoneticPr fontId="1"/>
  </si>
  <si>
    <t>　低学年では主にツールの使い方を学習し、高学年では取得したデータをどのように取り扱うかグループで議論し、統計的な手法を織り交ぜながら取得したデータの利用方法について学ぶ。　
　電子制御工学基礎（9～14回目）、創造設計Ⅰ（14回目）</t>
    <rPh sb="82" eb="83">
      <t>マナ</t>
    </rPh>
    <phoneticPr fontId="1"/>
  </si>
  <si>
    <t>　インターネットにおける情報発信は誰でもすぐに公表できるため、情報やデータは淘汰されず大量に出回るという、技術的・倫理的な問題について認識し、その中で、正しくデータを収集し、取り扱っていくのかについて理解を深める。
　技術倫理総論（10回目）、国語Ⅰ（4～6回目）、電子制御工学基礎（2～3回目、6～7回目）</t>
    <rPh sb="133" eb="141">
      <t>デンシセイギョコウガクキソ</t>
    </rPh>
    <rPh sb="145" eb="147">
      <t>カイメ</t>
    </rPh>
    <rPh sb="151" eb="153">
      <t>カイメ</t>
    </rPh>
    <phoneticPr fontId="1"/>
  </si>
  <si>
    <t>　現代社会において、ビッグデータやAIが、自動運転技術やキャリアコンサルタントの現場でどのように活用されているのかを学ぶ。
　技術倫理総論（10回目）、国語Ⅰ（4～6回目）、電子制御工学基礎（2～3回目、6～7回目）</t>
    <phoneticPr fontId="1"/>
  </si>
  <si>
    <t xml:space="preserve">  現在のデジタル社会（Society5.0等)において、インターネット時代における情報発信の問題点や情報の非物質性について理解し、広く日常生活や社会活動に及ぼす影響、さらには個人情報保護や守秘義務の重要性を学ぶ。
　技術倫理総論（5、10回目）、国語Ⅰ（4～6回目）、電子制御工学基礎（6～7回目）、創造設計Ⅰ（1回目）</t>
    <rPh sb="120" eb="122">
      <t>カイメ</t>
    </rPh>
    <rPh sb="151" eb="153">
      <t>ソウゾウ</t>
    </rPh>
    <rPh sb="153" eb="155">
      <t>セッケイ</t>
    </rPh>
    <rPh sb="158" eb="160">
      <t>カイメ</t>
    </rPh>
    <phoneticPr fontId="1"/>
  </si>
  <si>
    <t>　ビッグデータとVR、AR、そしてAIの３つの情報新技術について概観し、それぞれどのような注意と対策を払うべきかを学ぶ。
　技術倫理総論（10回目）、国語Ⅰ（4～6回目）、電子制御工学基礎（6～7回目）、創造設計Ⅰ（1回目）</t>
    <phoneticPr fontId="1"/>
  </si>
  <si>
    <t xml:space="preserve">  低学年で学修してきたExcelでのデータの処理方法、関数の扱い方、グラフの作成法を利用し、機械制御・電気回路・電子回路・電子制御の各分野の実験から得られたデータを表やグラフの形で可視化しデータの特徴を把握する方法を実習する。
　工学実験Ⅰ（16～18回目、23～28回目）</t>
    <rPh sb="116" eb="118">
      <t>コウガク</t>
    </rPh>
    <rPh sb="118" eb="120">
      <t>ジッケン</t>
    </rPh>
    <phoneticPr fontId="1"/>
  </si>
  <si>
    <t xml:space="preserve">  実験はグループワークで実施し、各分野の実験からデータの取得、整理、可視化を行い、データ・現象の特徴を捉える方法を学ぶ。また、得られた成果について、レポートを作成する前段階においてグループ内外で議論することで、整理の方法や理解の定着を図る。
　工学実験Ⅰ（16～18回目、23～28回目）</t>
    <phoneticPr fontId="1"/>
  </si>
  <si>
    <t>　電子制御工学の分野において実際に起こりうる代表的な現象を見ながら、実データを測定・取得し、それを整理・説明する一連の流れを体験することで、数理・データサイエンスの基本的な活用方法について理解する。
　工学実験Ⅰ（16～18回目、23～28回目）</t>
    <phoneticPr fontId="1"/>
  </si>
  <si>
    <t>　現在のデジタル社会（Society5.0等)において、特にインターネット社会の現状を正しく把握し、メディアの変化に伴う情報・データの変化や、インターネット時代とそれ以前の情報発信・伝達の方法の違いを理解し、広く日常生活や社会活動に及ぼす影響について考える。
　技術倫理総論（10回目）、国語Ⅰ（4～6回目）、システム設計学（1～3回目）</t>
    <rPh sb="159" eb="161">
      <t>セッケイ</t>
    </rPh>
    <rPh sb="161" eb="162">
      <t>ガク</t>
    </rPh>
    <phoneticPr fontId="1"/>
  </si>
  <si>
    <t xml:space="preserve">  現在進行中のデータ社会の変化についてふれながら、現代社会で求められる技術者の役割について学ぶ。システム設計学においては、PBL形式で昨今のデータ共有ツールを模した開発課題の実装を通して、現在の社会的変化を技術的な側面から理解する。
　技術倫理総論（2～3回目、10回目）、国語Ⅰ（4～6回目）、システム設計学（4～14回目）</t>
    <rPh sb="134" eb="136">
      <t>カイメ</t>
    </rPh>
    <phoneticPr fontId="1"/>
  </si>
  <si>
    <t xml:space="preserve">  データの集積と活用は情報技術の根幹であり、未来を担う学生たちにはデータを集積し活用するための基本的な技術を習得することが望まれている。コンピュータリテラシにおいては、オフィススイーツを使って実際のデータを用いたデータの可視化などの活用方法について学ぶ。
　コンピュータリテラシ（3～13回目）、システム設計学（1～3回目）</t>
    <rPh sb="145" eb="147">
      <t>カイメ</t>
    </rPh>
    <rPh sb="153" eb="155">
      <t>セッケイ</t>
    </rPh>
    <rPh sb="155" eb="156">
      <t>ガク</t>
    </rPh>
    <rPh sb="160" eb="162">
      <t>カイメ</t>
    </rPh>
    <phoneticPr fontId="1"/>
  </si>
  <si>
    <t xml:space="preserve">  システム設計学においては、開発課題として与えるデータ共有ツールの開発を通して、蓄積されたデータを社会的に活用するために必要な要件を検討する。
　コンピュータリテラシ（14回目）、システム設計学（4～14回目）</t>
    <phoneticPr fontId="1"/>
  </si>
  <si>
    <t xml:space="preserve">  現在のデジタル社会（Society5.0等)において、インターネット時代における情報発信の問題点や情報の非物質性について理解し、広く日常生活や社会活動に及ぼす影響、さらには個人情報保護や守秘義務の重要性を学ぶ。
　技術倫理総論（5、10回目）、国語Ⅰ（4～6回目）、コンピュータリテラシ（1回目）、システム設計学（1回目）</t>
    <rPh sb="120" eb="122">
      <t>カイメ</t>
    </rPh>
    <rPh sb="147" eb="149">
      <t>カイメ</t>
    </rPh>
    <rPh sb="155" eb="157">
      <t>セッケイ</t>
    </rPh>
    <rPh sb="157" eb="158">
      <t>ガク</t>
    </rPh>
    <rPh sb="160" eb="162">
      <t>カイメ</t>
    </rPh>
    <phoneticPr fontId="1"/>
  </si>
  <si>
    <t>　ビッグデータとVR、AR、そしてAIの３つの情報新技術について概観し、それぞれどのような注意と対策を払うべきかを学ぶ。コンピュータリテラシにおいては、インターネットを活用したデータ収集の方法やその取捨選択の指針について学ぶ。また、個人の情報を守るためのセキュリティや加害者や被害者にならないための留意事項について検討する。システム設計学においては、認証機能と認可機能の実装を通して、情報セキュリティを守る技術の具体例を学ぶ。
　技術倫理総論（10回目）、国語Ⅰ（4～6回目）、コンピュータリテラシ（1回目）、システム設計学（1回目）</t>
    <phoneticPr fontId="1"/>
  </si>
  <si>
    <t xml:space="preserve">  電気的な物理量を題材にして、測定および、測定値の分析を行う。
　工学実験Ⅰ（2～14回目）</t>
    <rPh sb="34" eb="36">
      <t>コウガク</t>
    </rPh>
    <rPh sb="36" eb="38">
      <t>ジッケン</t>
    </rPh>
    <rPh sb="44" eb="46">
      <t>カイメ</t>
    </rPh>
    <phoneticPr fontId="1"/>
  </si>
  <si>
    <t xml:space="preserve">  観測した値と観測時の回路のパラメータとの関係・傾向を、データを整理・分析することで読み取り、それを客観的に説明する能力を養う。
　工学実験Ⅰ（2～14回目）</t>
    <phoneticPr fontId="1"/>
  </si>
  <si>
    <t>得られた実データは、実験の目的と関連させて整理・統計処理する。また、データを整理するとともに、グラフ等を用いた可視化も行い、複数の方法でデータを分析、取り扱う方法を実践的に学ぶ。
　工学実験Ⅰ（2～14回目）</t>
    <phoneticPr fontId="1"/>
  </si>
  <si>
    <t xml:space="preserve">  現在のデジタル社会（Society5.0等)において、特にインターネット社会の現状を正しく把握し、メディアの変化に伴う情報・データの変化や、インターネット時代とそれ以前の情報発信・伝達の方法の違いを理解し、広く日常生活や社会活動に及ぼす影響について考える。　
　技術倫理総論（10回目）、国語Ⅰ（4～6回目）、景観設計（1、4回目）</t>
    <rPh sb="157" eb="159">
      <t>ケイカン</t>
    </rPh>
    <rPh sb="159" eb="161">
      <t>セッケイ</t>
    </rPh>
    <rPh sb="165" eb="167">
      <t>カイメ</t>
    </rPh>
    <phoneticPr fontId="1"/>
  </si>
  <si>
    <t>　現在進行中のデータ社会の変化についてふれながら、現代社会で求められる技術者の役割について学ぶ。また、専門科目では、現代のデジタル社会における都市の在り方について学び、グループワークを通して意見交換を行う。
　技術倫理総論（2～3回目、10回目）、国語Ⅰ（4～6回目）、景観設計（1、4回目）</t>
    <rPh sb="120" eb="122">
      <t>カイメ</t>
    </rPh>
    <phoneticPr fontId="1"/>
  </si>
  <si>
    <t>　現代社会における情報処理の必要性を認識し、ネットワーク基礎知識を身に付ける。具体的にはWWWブラウザによる情報収集と著作権、電子メール、パスワード(セキュリティ)の重要性、ネットワークの構造(WAN とLAN)、サーバとクライアントの概念と役割等について理解する。
　情報処理Ⅰ（1回目、6～9回目）、都市環境デザイン工学概論（21回目）、景観設計（6回目）</t>
    <rPh sb="135" eb="137">
      <t>ジョウホウ</t>
    </rPh>
    <rPh sb="137" eb="139">
      <t>ショリ</t>
    </rPh>
    <rPh sb="142" eb="144">
      <t>カイメ</t>
    </rPh>
    <rPh sb="148" eb="150">
      <t>カイメ</t>
    </rPh>
    <rPh sb="152" eb="154">
      <t>トシ</t>
    </rPh>
    <rPh sb="154" eb="156">
      <t>カンキョウ</t>
    </rPh>
    <rPh sb="160" eb="162">
      <t>コウガク</t>
    </rPh>
    <rPh sb="162" eb="164">
      <t>ガイロン</t>
    </rPh>
    <rPh sb="167" eb="169">
      <t>カイメ</t>
    </rPh>
    <rPh sb="171" eb="173">
      <t>ケイカン</t>
    </rPh>
    <rPh sb="173" eb="175">
      <t>セッケイ</t>
    </rPh>
    <rPh sb="177" eb="179">
      <t>カイメ</t>
    </rPh>
    <phoneticPr fontId="1"/>
  </si>
  <si>
    <t>　都市に関する様々な実データの活用方法について学び、具体的な街づくりの提案に活用する。
　情報処理Ⅰ（7～8回目）、都市環境デザイン工学概論（21回目）、景観設計（6回目）</t>
    <phoneticPr fontId="1"/>
  </si>
  <si>
    <r>
      <t>　現在のデジタル社会（Society5.0等)において、インターネット時代における情報発信の問題点や情報の非物質性について理解し、広く日常生活や社会活動に及ぼす影響、さらには個人情報保護や守秘義務の重要性を学ぶ。
　</t>
    </r>
    <r>
      <rPr>
        <sz val="10"/>
        <rFont val="ＭＳ Ｐゴシック"/>
        <family val="3"/>
        <charset val="128"/>
        <scheme val="minor"/>
      </rPr>
      <t>技術倫理総論（5、10回目）、国語Ⅰ（4～6回目）、情報処理Ⅰ（1、6回目）、都市環境デザイン工学概論（6、15回目）、景観設計（6回目）</t>
    </r>
    <rPh sb="134" eb="136">
      <t>ジョウホウ</t>
    </rPh>
    <rPh sb="136" eb="138">
      <t>ショリ</t>
    </rPh>
    <rPh sb="143" eb="145">
      <t>カイメ</t>
    </rPh>
    <rPh sb="147" eb="149">
      <t>トシ</t>
    </rPh>
    <rPh sb="149" eb="151">
      <t>カンキョウ</t>
    </rPh>
    <rPh sb="155" eb="157">
      <t>コウガク</t>
    </rPh>
    <rPh sb="157" eb="159">
      <t>ガイロン</t>
    </rPh>
    <rPh sb="164" eb="166">
      <t>カイメ</t>
    </rPh>
    <rPh sb="168" eb="170">
      <t>ケイカン</t>
    </rPh>
    <rPh sb="170" eb="172">
      <t>セッケイ</t>
    </rPh>
    <rPh sb="174" eb="176">
      <t>カイメ</t>
    </rPh>
    <phoneticPr fontId="1"/>
  </si>
  <si>
    <r>
      <t>　ビッグデータとVR,AR,そしてAIの３つの情報新技術について概観し、それぞれどのような注意と対策を払うべきかを学ぶ。また、専門分野を通じて、情報の活用にあたっての留意事項について学ぶ。
　</t>
    </r>
    <r>
      <rPr>
        <sz val="10"/>
        <rFont val="ＭＳ Ｐゴシック"/>
        <family val="3"/>
        <charset val="128"/>
        <scheme val="minor"/>
      </rPr>
      <t>技術倫理総論（10回目）、国語Ⅰ（4～6回目）、情報処理Ⅰ（1、6回目）、都市環境デザイン工学概論（6、15回目）、景観設計（6回目）</t>
    </r>
    <rPh sb="129" eb="131">
      <t>カイメ</t>
    </rPh>
    <rPh sb="150" eb="152">
      <t>カイメ</t>
    </rPh>
    <phoneticPr fontId="1"/>
  </si>
  <si>
    <t>　建設関連で特に重要な土およびコンクリートに関係する実験を通じて、得られたデータを適切に評価・利用する方法について学ぶ。
　土質工学実験（2～20回目）、材料学実験（3～11回目、22～30回目）</t>
    <rPh sb="62" eb="64">
      <t>ドシツ</t>
    </rPh>
    <rPh sb="64" eb="66">
      <t>コウガク</t>
    </rPh>
    <rPh sb="66" eb="68">
      <t>ジッケン</t>
    </rPh>
    <rPh sb="73" eb="75">
      <t>カイメ</t>
    </rPh>
    <rPh sb="77" eb="79">
      <t>ザイリョウ</t>
    </rPh>
    <rPh sb="79" eb="80">
      <t>ガク</t>
    </rPh>
    <rPh sb="80" eb="82">
      <t>ジッケン</t>
    </rPh>
    <rPh sb="87" eb="89">
      <t>カイメ</t>
    </rPh>
    <rPh sb="95" eb="97">
      <t>カイメ</t>
    </rPh>
    <phoneticPr fontId="1"/>
  </si>
  <si>
    <t>　試験機器を用いた土およびコンクリートの目的別の試験方法とデータの取得方法について理解する。
　土質工学実験（2～20回目）、材料学実験（3～11回目、22～30回目）</t>
    <rPh sb="81" eb="83">
      <t>カイメ</t>
    </rPh>
    <phoneticPr fontId="1"/>
  </si>
  <si>
    <t>　実験によって得られたデータを整理し、PCを用いて表やグラフにまとめ、それらについて考察することにより、実験データの活用方法や統計処理について実践的に学ぶ。
　土質工学実験（2～20回目）、材料学実験（3～11回目、22～30回目）</t>
    <rPh sb="113" eb="115">
      <t>カイメ</t>
    </rPh>
    <phoneticPr fontId="1"/>
  </si>
  <si>
    <t>　現在のデジタル社会（Society5.0等)において、特にインターネット社会の現状を正しく把握し、メディアの変化に伴う情報・データの変化や、インターネット時代とそれ以前の情報発信・伝達の方法の違いを理解し、広く日常生活や社会活動に及ぼす影響について考える。
　技術倫理総論（10回目）、国語Ⅰ（4～6回目）、創造実習Ⅱ（1～2回目）</t>
    <phoneticPr fontId="1"/>
  </si>
  <si>
    <t>　現在進行中のデータ社会の変化について触れながら、現代社会で求められる技術者の役割について学ぶ。
　技術倫理総論（2～3回目、10回目）、国語Ⅰ（4～6回目）、創造実習Ⅱ（1～2回目）</t>
    <rPh sb="19" eb="20">
      <t>フ</t>
    </rPh>
    <rPh sb="65" eb="67">
      <t>カイメ</t>
    </rPh>
    <phoneticPr fontId="1"/>
  </si>
  <si>
    <t xml:space="preserve">  低学年の科目である情報基礎では、表計算ソフトを用いることによって身近なデータや大規模に収集されるデータなど様々なデータの管理・活用が可能となることを学び、主なツールとしてMicrosoft Excelの扱い方を学習する。
　情報基礎（10～11回目）、創造実習Ⅱ（3回目）
　</t>
    <rPh sb="114" eb="116">
      <t>ジョウホウ</t>
    </rPh>
    <rPh sb="116" eb="118">
      <t>キソ</t>
    </rPh>
    <rPh sb="124" eb="126">
      <t>カイメ</t>
    </rPh>
    <rPh sb="128" eb="130">
      <t>ソウゾウ</t>
    </rPh>
    <rPh sb="130" eb="132">
      <t>ジッシュウ</t>
    </rPh>
    <rPh sb="135" eb="137">
      <t>カイメ</t>
    </rPh>
    <phoneticPr fontId="1"/>
  </si>
  <si>
    <t xml:space="preserve">  工学の世界では多種多様なデータを取り扱うため、それを処理するための基本的なツールとしてMicrosoft Excelに代表される表計算ソフトや各種プログラムの使い方や活用法の学習は必須であると言える。低学年では主にツールの使い方を学習し、高学年では取得したデータをどのように取り扱うかをグループで議論し、統計的な手法を織り交ぜながら取得したデータを利用する方法について学ぶ。
　　情報基礎（10～11回目）、創造実習Ⅱ（3回目）</t>
    <phoneticPr fontId="1"/>
  </si>
  <si>
    <t xml:space="preserve">  現在のデジタル社会（Society5.0等)において、インターネット時代における情報発信の問題点や情報の非物質性について理解し、広く日常生活や社会活動に及ぼす影響、さらには個人情報保護や守秘義務の重要性を学ぶ。
　技術倫理総論（5、10回目）、国語Ⅰ（4～6回目）、情報基礎（1、7回目）、創造実習Ⅱ（1～2回目）</t>
    <rPh sb="135" eb="137">
      <t>ジョウホウ</t>
    </rPh>
    <rPh sb="137" eb="139">
      <t>キソ</t>
    </rPh>
    <rPh sb="143" eb="145">
      <t>カイメ</t>
    </rPh>
    <rPh sb="147" eb="149">
      <t>ソウゾウ</t>
    </rPh>
    <rPh sb="149" eb="151">
      <t>ジッシュウ</t>
    </rPh>
    <rPh sb="156" eb="158">
      <t>カイメ</t>
    </rPh>
    <phoneticPr fontId="1"/>
  </si>
  <si>
    <t>　ビッグデータとVR、AR、そしてAIの３つの情報新技術について概観し、それぞれどのような注意と対策を払うべきかを学ぶ。
　技術倫理総論（10回目）、国語Ⅰ（4～6回目）、情報基礎（1、7回目）、創造実習Ⅱ（1～2回目）</t>
    <phoneticPr fontId="1"/>
  </si>
  <si>
    <t xml:space="preserve">  電気電子工学実験Ⅰでは,学生が学修してきたExcelでのデータの処理方法、関数の扱い方、グラフの作成法を利用し、以下の実験を行う。
　電気電子工学実験Ⅰ（9～12回目）</t>
    <rPh sb="69" eb="71">
      <t>デンキ</t>
    </rPh>
    <rPh sb="71" eb="73">
      <t>デンシ</t>
    </rPh>
    <rPh sb="73" eb="75">
      <t>コウガク</t>
    </rPh>
    <rPh sb="75" eb="77">
      <t>ジッケン</t>
    </rPh>
    <rPh sb="83" eb="85">
      <t>カイメ</t>
    </rPh>
    <phoneticPr fontId="1"/>
  </si>
  <si>
    <t>テスターや直流・交流の電圧計・電流計各種を用いる基礎的な値の測定、オシロスコープを用いた交流回路の電圧・電流波形の観測・測定、直流回路に対する分圧・分流，テブナンの法則を適用し，各部の電流・電圧・抵抗の予測値を算出・測定を行う。またRLCの直列，並列回路における位相を考慮した電圧・電流の値を予想して計測し、RLC直列共振現象の原理に即した特性測定を行う。
　電気電子工学実験Ⅰ（2～3回目）</t>
    <phoneticPr fontId="1"/>
  </si>
  <si>
    <t xml:space="preserve">  各分野の実験から得られたデータを表やグラフの形で可視化しデータの特徴を把握する方法を実習する。簡単なI／Oを含む回路につながるマイコンを動作させるためのプログラムを作成し、数理・データサイエンス・ＡＩの基本的な活用ができる能力を身につける。
　電気電子工学実験Ⅰ（11～12回目）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</si>
</sst>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0" xfId="0" applyFont="1" applyFill="1" applyAlignment="1">
      <alignment horizontal="center" vertical="center"/>
    </xf>
    <xf numFmtId="0" fontId="8" fillId="0" borderId="0" xfId="0" applyFont="1" applyFill="1" applyAlignment="1">
      <alignment vertical="center"/>
    </xf>
    <xf numFmtId="0" fontId="8" fillId="0" borderId="0" xfId="0" applyFont="1" applyFill="1" applyAlignment="1">
      <alignment horizontal="left" vertical="center"/>
    </xf>
    <xf numFmtId="0" fontId="8" fillId="0" borderId="1" xfId="0" applyFont="1" applyFill="1" applyBorder="1" applyAlignment="1">
      <alignment vertical="center" shrinkToFit="1"/>
    </xf>
    <xf numFmtId="0" fontId="22" fillId="0" borderId="4" xfId="0" applyFont="1" applyFill="1" applyBorder="1" applyAlignment="1">
      <alignment horizontal="center" vertical="center" shrinkToFit="1"/>
    </xf>
    <xf numFmtId="49" fontId="20" fillId="0" borderId="1" xfId="0" applyNumberFormat="1" applyFont="1" applyFill="1" applyBorder="1" applyAlignment="1">
      <alignment horizontal="center" vertical="center"/>
    </xf>
    <xf numFmtId="0" fontId="8" fillId="0" borderId="14" xfId="0" applyFont="1" applyFill="1" applyBorder="1" applyAlignment="1">
      <alignment horizontal="center" vertical="center" shrinkToFit="1"/>
    </xf>
    <xf numFmtId="0" fontId="8" fillId="0" borderId="23" xfId="0" applyFont="1" applyFill="1" applyBorder="1" applyAlignment="1">
      <alignment horizontal="center" vertical="center" shrinkToFit="1"/>
    </xf>
    <xf numFmtId="0" fontId="8" fillId="0" borderId="13" xfId="0" applyFont="1" applyFill="1" applyBorder="1" applyAlignment="1">
      <alignment horizontal="center" vertical="center" shrinkToFit="1"/>
    </xf>
    <xf numFmtId="0" fontId="8" fillId="0" borderId="43" xfId="0" applyFont="1" applyFill="1" applyBorder="1" applyAlignment="1">
      <alignment horizontal="center" vertical="center" shrinkToFit="1"/>
    </xf>
    <xf numFmtId="0" fontId="8" fillId="0" borderId="0" xfId="0" applyFont="1" applyFill="1" applyAlignment="1">
      <alignment vertical="center" shrinkToFit="1"/>
    </xf>
    <xf numFmtId="0" fontId="8" fillId="0" borderId="0" xfId="0" applyFont="1" applyFill="1" applyAlignment="1">
      <alignment vertical="top" wrapText="1"/>
    </xf>
    <xf numFmtId="0" fontId="8" fillId="0" borderId="53" xfId="0" applyFont="1" applyFill="1" applyBorder="1" applyAlignment="1">
      <alignment horizontal="center" vertical="center" shrinkToFit="1"/>
    </xf>
    <xf numFmtId="0" fontId="8" fillId="0" borderId="2" xfId="0" applyFont="1" applyFill="1" applyBorder="1" applyAlignment="1">
      <alignment vertical="center"/>
    </xf>
    <xf numFmtId="0" fontId="8" fillId="0" borderId="3" xfId="0" applyFont="1" applyFill="1" applyBorder="1" applyAlignment="1">
      <alignment vertical="center"/>
    </xf>
    <xf numFmtId="0" fontId="8" fillId="0" borderId="4" xfId="0" applyFont="1" applyFill="1" applyBorder="1" applyAlignment="1">
      <alignment vertical="center"/>
    </xf>
    <xf numFmtId="0" fontId="8" fillId="0" borderId="0" xfId="0" applyFont="1" applyFill="1" applyBorder="1" applyAlignment="1">
      <alignment vertical="center" shrinkToFit="1"/>
    </xf>
    <xf numFmtId="0" fontId="8" fillId="0" borderId="0" xfId="0" applyFont="1" applyFill="1" applyBorder="1" applyAlignment="1">
      <alignment horizontal="center" vertical="center" shrinkToFit="1"/>
    </xf>
    <xf numFmtId="49" fontId="20" fillId="0" borderId="51" xfId="0" applyNumberFormat="1" applyFont="1" applyFill="1" applyBorder="1" applyAlignment="1">
      <alignment horizontal="center" vertical="center"/>
    </xf>
    <xf numFmtId="49" fontId="20" fillId="0" borderId="52" xfId="0" applyNumberFormat="1" applyFont="1" applyFill="1" applyBorder="1" applyAlignment="1">
      <alignment horizontal="center" vertical="center"/>
    </xf>
    <xf numFmtId="49" fontId="20" fillId="0" borderId="47" xfId="0" applyNumberFormat="1" applyFont="1" applyFill="1" applyBorder="1" applyAlignment="1">
      <alignment horizontal="center" vertical="center"/>
    </xf>
    <xf numFmtId="49" fontId="20" fillId="0" borderId="29" xfId="0" applyNumberFormat="1" applyFont="1" applyFill="1" applyBorder="1" applyAlignment="1">
      <alignment horizontal="center" vertical="center"/>
    </xf>
    <xf numFmtId="49" fontId="20" fillId="0" borderId="50" xfId="0" applyNumberFormat="1" applyFont="1" applyFill="1" applyBorder="1" applyAlignment="1">
      <alignment horizontal="center" vertical="center"/>
    </xf>
    <xf numFmtId="49" fontId="20" fillId="0" borderId="33" xfId="0" applyNumberFormat="1" applyFont="1" applyFill="1" applyBorder="1" applyAlignment="1">
      <alignment horizontal="center" vertical="center"/>
    </xf>
    <xf numFmtId="0" fontId="8" fillId="0" borderId="15" xfId="0" applyFont="1" applyFill="1" applyBorder="1" applyAlignment="1">
      <alignment horizontal="center" vertical="center" shrinkToFit="1"/>
    </xf>
    <xf numFmtId="0" fontId="8" fillId="0" borderId="38"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38" xfId="0" applyFont="1" applyFill="1" applyBorder="1" applyAlignment="1">
      <alignment horizontal="center" vertical="center"/>
    </xf>
    <xf numFmtId="0" fontId="8" fillId="0" borderId="0" xfId="0" applyFont="1" applyFill="1" applyAlignment="1">
      <alignment horizontal="center" vertical="center"/>
    </xf>
    <xf numFmtId="0" fontId="8" fillId="0" borderId="2" xfId="0" applyFont="1" applyFill="1" applyBorder="1">
      <alignment vertical="center"/>
    </xf>
    <xf numFmtId="0" fontId="8" fillId="0" borderId="4" xfId="0" applyFont="1" applyFill="1" applyBorder="1">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8"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Fill="1" applyBorder="1" applyAlignment="1">
      <alignment vertical="center" shrinkToFit="1"/>
    </xf>
    <xf numFmtId="0" fontId="8" fillId="0" borderId="39" xfId="0" applyFont="1" applyFill="1" applyBorder="1" applyAlignment="1">
      <alignment vertical="center" shrinkToFit="1"/>
    </xf>
    <xf numFmtId="0" fontId="8" fillId="0" borderId="38" xfId="0" applyFont="1" applyFill="1" applyBorder="1" applyAlignment="1">
      <alignment vertical="center" shrinkToFit="1"/>
    </xf>
    <xf numFmtId="0" fontId="8" fillId="0" borderId="19" xfId="0" applyFont="1" applyFill="1" applyBorder="1" applyAlignment="1">
      <alignment vertical="center"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8" fillId="0" borderId="40" xfId="0" applyFont="1" applyFill="1" applyBorder="1" applyAlignment="1">
      <alignment vertical="center" shrinkToFit="1"/>
    </xf>
    <xf numFmtId="0" fontId="8" fillId="0" borderId="41" xfId="0" applyFont="1" applyFill="1" applyBorder="1" applyAlignment="1">
      <alignment vertical="center" shrinkToFit="1"/>
    </xf>
    <xf numFmtId="0" fontId="8" fillId="0" borderId="42" xfId="0" applyFont="1" applyFill="1" applyBorder="1" applyAlignment="1">
      <alignment vertical="center" shrinkToFit="1"/>
    </xf>
    <xf numFmtId="0" fontId="8" fillId="0" borderId="19"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40" xfId="0" applyFont="1" applyFill="1" applyBorder="1" applyAlignment="1">
      <alignment horizontal="center" vertical="center"/>
    </xf>
    <xf numFmtId="0" fontId="8" fillId="0" borderId="41"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19" xfId="0" applyFont="1" applyFill="1" applyBorder="1" applyAlignment="1">
      <alignment horizontal="left" vertical="center"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8" fillId="0" borderId="40" xfId="0" applyFont="1" applyFill="1" applyBorder="1" applyAlignment="1">
      <alignment horizontal="left" vertical="center" shrinkToFit="1"/>
    </xf>
    <xf numFmtId="0" fontId="8" fillId="0" borderId="41" xfId="0" applyFont="1" applyFill="1" applyBorder="1" applyAlignment="1">
      <alignment horizontal="left" vertical="center" shrinkToFit="1"/>
    </xf>
    <xf numFmtId="0" fontId="8" fillId="0" borderId="42" xfId="0" applyFont="1" applyFill="1" applyBorder="1" applyAlignment="1">
      <alignment horizontal="left" vertical="center" shrinkToFit="1"/>
    </xf>
    <xf numFmtId="0" fontId="8" fillId="0" borderId="0" xfId="0" applyFont="1" applyFill="1" applyAlignment="1">
      <alignment horizontal="center" vertical="center"/>
    </xf>
    <xf numFmtId="0" fontId="8" fillId="0" borderId="37" xfId="0" applyFont="1" applyFill="1" applyBorder="1" applyAlignment="1">
      <alignment horizontal="left" vertical="center"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7"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37" xfId="0" applyFont="1" applyFill="1" applyBorder="1" applyAlignment="1">
      <alignment horizontal="center" vertical="center"/>
    </xf>
    <xf numFmtId="0" fontId="8" fillId="0" borderId="39" xfId="0" applyFont="1" applyFill="1" applyBorder="1" applyAlignment="1">
      <alignment horizontal="center" vertical="center"/>
    </xf>
    <xf numFmtId="0" fontId="8" fillId="0" borderId="38" xfId="0" applyFont="1" applyFill="1" applyBorder="1" applyAlignment="1">
      <alignment horizontal="center" vertical="center"/>
    </xf>
    <xf numFmtId="0" fontId="23" fillId="0" borderId="7" xfId="0" applyFont="1" applyFill="1" applyBorder="1" applyAlignment="1">
      <alignment vertical="center" wrapText="1" shrinkToFit="1"/>
    </xf>
    <xf numFmtId="0" fontId="23" fillId="0" borderId="8" xfId="0" applyFont="1" applyFill="1" applyBorder="1" applyAlignment="1">
      <alignment vertical="center" shrinkToFit="1"/>
    </xf>
    <xf numFmtId="0" fontId="23" fillId="0" borderId="9" xfId="0" applyFont="1" applyFill="1" applyBorder="1" applyAlignment="1">
      <alignment vertical="center" shrinkToFit="1"/>
    </xf>
    <xf numFmtId="0" fontId="23" fillId="0" borderId="5" xfId="0" applyFont="1" applyFill="1" applyBorder="1" applyAlignment="1">
      <alignment vertical="center" shrinkToFit="1"/>
    </xf>
    <xf numFmtId="0" fontId="23" fillId="0" borderId="0" xfId="0" applyFont="1" applyFill="1" applyBorder="1" applyAlignment="1">
      <alignment vertical="center" shrinkToFit="1"/>
    </xf>
    <xf numFmtId="0" fontId="23" fillId="0" borderId="10" xfId="0" applyFont="1" applyFill="1" applyBorder="1" applyAlignment="1">
      <alignment vertical="center" shrinkToFit="1"/>
    </xf>
    <xf numFmtId="0" fontId="23" fillId="0" borderId="11" xfId="0" applyFont="1" applyFill="1" applyBorder="1" applyAlignment="1">
      <alignment vertical="center" shrinkToFit="1"/>
    </xf>
    <xf numFmtId="0" fontId="23" fillId="0" borderId="6" xfId="0" applyFont="1" applyFill="1" applyBorder="1" applyAlignment="1">
      <alignment vertical="center" shrinkToFit="1"/>
    </xf>
    <xf numFmtId="0" fontId="23" fillId="0" borderId="12" xfId="0" applyFont="1" applyFill="1" applyBorder="1" applyAlignment="1">
      <alignment vertical="center" shrinkToFit="1"/>
    </xf>
    <xf numFmtId="0" fontId="18" fillId="0" borderId="2" xfId="2"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8" fillId="0" borderId="40" xfId="0" applyFont="1" applyFill="1" applyBorder="1" applyAlignment="1">
      <alignment horizontal="center" vertical="center" shrinkToFit="1"/>
    </xf>
    <xf numFmtId="0" fontId="8" fillId="0" borderId="41" xfId="0" applyFont="1" applyFill="1" applyBorder="1" applyAlignment="1">
      <alignment horizontal="center" vertical="center" shrinkToFit="1"/>
    </xf>
    <xf numFmtId="0" fontId="8" fillId="0" borderId="42" xfId="0" applyFont="1" applyFill="1" applyBorder="1" applyAlignment="1">
      <alignment horizontal="center" vertical="center" shrinkToFit="1"/>
    </xf>
    <xf numFmtId="0" fontId="8" fillId="0" borderId="19" xfId="0" applyFont="1" applyFill="1" applyBorder="1" applyAlignment="1">
      <alignment horizontal="center" vertical="center" shrinkToFit="1"/>
    </xf>
    <xf numFmtId="0" fontId="8" fillId="0" borderId="20" xfId="0" applyFont="1" applyFill="1" applyBorder="1" applyAlignment="1">
      <alignment horizontal="center" vertical="center" shrinkToFit="1"/>
    </xf>
    <xf numFmtId="0" fontId="8" fillId="0" borderId="18" xfId="0" applyFont="1" applyFill="1" applyBorder="1" applyAlignment="1">
      <alignment horizontal="center" vertical="center" shrinkToFit="1"/>
    </xf>
    <xf numFmtId="0" fontId="8" fillId="0" borderId="22" xfId="0" applyFont="1" applyFill="1" applyBorder="1" applyAlignment="1">
      <alignment horizontal="left" vertical="center" wrapText="1" shrinkToFit="1"/>
    </xf>
    <xf numFmtId="0" fontId="8" fillId="0" borderId="22" xfId="0" applyFont="1" applyFill="1" applyBorder="1" applyAlignment="1">
      <alignment horizontal="left" vertical="center" shrinkToFit="1"/>
    </xf>
    <xf numFmtId="0" fontId="8" fillId="0" borderId="21" xfId="0" applyFont="1" applyFill="1" applyBorder="1" applyAlignment="1">
      <alignment horizontal="left" vertical="center" shrinkToFit="1"/>
    </xf>
    <xf numFmtId="0" fontId="8" fillId="0" borderId="39" xfId="0" applyFont="1" applyFill="1" applyBorder="1" applyAlignment="1">
      <alignment horizontal="left" vertical="center" wrapText="1" shrinkToFit="1"/>
    </xf>
    <xf numFmtId="0" fontId="8" fillId="0" borderId="38" xfId="0" applyFont="1" applyFill="1" applyBorder="1" applyAlignment="1">
      <alignment horizontal="left" vertical="center" wrapText="1" shrinkToFit="1"/>
    </xf>
    <xf numFmtId="0" fontId="8" fillId="0" borderId="6" xfId="0" applyFont="1" applyFill="1" applyBorder="1" applyAlignment="1">
      <alignment horizontal="left" vertical="center" wrapText="1" shrinkToFit="1"/>
    </xf>
    <xf numFmtId="0" fontId="8" fillId="0" borderId="12" xfId="0" applyFont="1" applyFill="1" applyBorder="1" applyAlignment="1">
      <alignment horizontal="left" vertical="center" wrapText="1" shrinkToFit="1"/>
    </xf>
    <xf numFmtId="0" fontId="8" fillId="0" borderId="41" xfId="0" applyFont="1" applyFill="1" applyBorder="1" applyAlignment="1">
      <alignment horizontal="left" vertical="center" wrapText="1" shrinkToFit="1"/>
    </xf>
    <xf numFmtId="0" fontId="8" fillId="0" borderId="42" xfId="0" applyFont="1" applyFill="1" applyBorder="1" applyAlignment="1">
      <alignment horizontal="left" vertical="center" wrapText="1" shrinkToFit="1"/>
    </xf>
    <xf numFmtId="0" fontId="8" fillId="0" borderId="16" xfId="0" applyFont="1" applyFill="1" applyBorder="1" applyAlignment="1">
      <alignment horizontal="center" vertical="center"/>
    </xf>
    <xf numFmtId="0" fontId="8" fillId="0" borderId="22" xfId="0" applyFont="1" applyFill="1" applyBorder="1" applyAlignment="1">
      <alignment horizontal="center" vertical="center"/>
    </xf>
    <xf numFmtId="0" fontId="8" fillId="0" borderId="21" xfId="0" applyFont="1" applyFill="1" applyBorder="1" applyAlignment="1">
      <alignment horizontal="center" vertical="center"/>
    </xf>
    <xf numFmtId="0" fontId="8" fillId="0" borderId="16" xfId="0" applyFont="1" applyFill="1" applyBorder="1" applyAlignment="1">
      <alignment horizontal="left" vertical="center" shrinkToFit="1"/>
    </xf>
    <xf numFmtId="0" fontId="8" fillId="0" borderId="0" xfId="0" applyFont="1" applyFill="1" applyAlignment="1">
      <alignment vertical="center" wrapText="1"/>
    </xf>
    <xf numFmtId="0" fontId="19" fillId="0" borderId="0" xfId="0" applyFont="1" applyFill="1" applyAlignment="1">
      <alignment horizontal="center" vertical="center"/>
    </xf>
    <xf numFmtId="0" fontId="8" fillId="0" borderId="7" xfId="0" applyFont="1" applyFill="1" applyBorder="1" applyAlignment="1">
      <alignment horizontal="left" vertical="top" wrapText="1" shrinkToFit="1"/>
    </xf>
    <xf numFmtId="0" fontId="8" fillId="0" borderId="8" xfId="0" applyFont="1" applyFill="1" applyBorder="1" applyAlignment="1">
      <alignment horizontal="left" vertical="top" shrinkToFit="1"/>
    </xf>
    <xf numFmtId="0" fontId="8" fillId="0" borderId="9" xfId="0" applyFont="1" applyFill="1" applyBorder="1" applyAlignment="1">
      <alignment horizontal="left" vertical="top" shrinkToFit="1"/>
    </xf>
    <xf numFmtId="0" fontId="8" fillId="0" borderId="5" xfId="0" applyFont="1" applyFill="1" applyBorder="1" applyAlignment="1">
      <alignment horizontal="left" vertical="top" shrinkToFit="1"/>
    </xf>
    <xf numFmtId="0" fontId="8" fillId="0" borderId="0" xfId="0" applyFont="1" applyFill="1" applyBorder="1" applyAlignment="1">
      <alignment horizontal="left" vertical="top" shrinkToFit="1"/>
    </xf>
    <xf numFmtId="0" fontId="8" fillId="0" borderId="10" xfId="0" applyFont="1" applyFill="1" applyBorder="1" applyAlignment="1">
      <alignment horizontal="left" vertical="top" shrinkToFit="1"/>
    </xf>
    <xf numFmtId="0" fontId="8" fillId="0" borderId="0" xfId="0" applyFont="1" applyFill="1" applyAlignment="1">
      <alignment horizontal="left" vertical="top" shrinkToFit="1"/>
    </xf>
    <xf numFmtId="0" fontId="8" fillId="0" borderId="11" xfId="0" applyFont="1" applyFill="1" applyBorder="1" applyAlignment="1">
      <alignment horizontal="left" vertical="top" shrinkToFit="1"/>
    </xf>
    <xf numFmtId="0" fontId="8" fillId="0" borderId="6" xfId="0" applyFont="1" applyFill="1" applyBorder="1" applyAlignment="1">
      <alignment horizontal="left" vertical="top" shrinkToFit="1"/>
    </xf>
    <xf numFmtId="0" fontId="8" fillId="0" borderId="12" xfId="0" applyFont="1" applyFill="1" applyBorder="1" applyAlignment="1">
      <alignment horizontal="left" vertical="top" shrinkToFit="1"/>
    </xf>
    <xf numFmtId="0" fontId="8" fillId="0" borderId="37" xfId="0" applyFont="1" applyFill="1" applyBorder="1" applyAlignment="1">
      <alignment horizontal="center" vertical="center" shrinkToFit="1"/>
    </xf>
    <xf numFmtId="0" fontId="8" fillId="0" borderId="39" xfId="0" applyFont="1" applyFill="1" applyBorder="1" applyAlignment="1">
      <alignment horizontal="center" vertical="center" shrinkToFit="1"/>
    </xf>
    <xf numFmtId="0" fontId="8" fillId="0" borderId="38" xfId="0" applyFont="1" applyFill="1" applyBorder="1" applyAlignment="1">
      <alignment horizontal="center" vertical="center" shrinkToFit="1"/>
    </xf>
    <xf numFmtId="0" fontId="8" fillId="0" borderId="19" xfId="0" applyFont="1" applyFill="1" applyBorder="1" applyAlignment="1">
      <alignment vertical="center" wrapText="1" shrinkToFit="1"/>
    </xf>
    <xf numFmtId="0" fontId="8" fillId="0" borderId="20" xfId="0" applyFont="1" applyFill="1" applyBorder="1" applyAlignment="1">
      <alignment vertical="center" wrapText="1" shrinkToFit="1"/>
    </xf>
    <xf numFmtId="0" fontId="8" fillId="0" borderId="18" xfId="0" applyFont="1" applyFill="1" applyBorder="1" applyAlignment="1">
      <alignment vertical="center" wrapText="1" shrinkToFit="1"/>
    </xf>
    <xf numFmtId="0" fontId="21" fillId="0" borderId="48" xfId="0" applyFont="1" applyFill="1" applyBorder="1" applyAlignment="1">
      <alignment vertical="center" wrapText="1"/>
    </xf>
    <xf numFmtId="0" fontId="21" fillId="0" borderId="49" xfId="0" applyFont="1" applyFill="1" applyBorder="1" applyAlignment="1">
      <alignment vertical="center" wrapText="1"/>
    </xf>
    <xf numFmtId="0" fontId="21" fillId="0" borderId="32" xfId="0" applyFont="1" applyFill="1" applyBorder="1" applyAlignment="1">
      <alignment vertical="center" wrapText="1"/>
    </xf>
    <xf numFmtId="0" fontId="8" fillId="0" borderId="39" xfId="0" applyFont="1" applyFill="1" applyBorder="1" applyAlignment="1">
      <alignment vertical="center" wrapText="1" shrinkToFit="1"/>
    </xf>
    <xf numFmtId="0" fontId="8" fillId="0" borderId="38" xfId="0" applyFont="1" applyFill="1" applyBorder="1" applyAlignment="1">
      <alignment vertical="center" wrapText="1" shrinkToFit="1"/>
    </xf>
    <xf numFmtId="0" fontId="8" fillId="0" borderId="6" xfId="0" applyFont="1" applyFill="1" applyBorder="1" applyAlignment="1">
      <alignment vertical="center" wrapText="1" shrinkToFit="1"/>
    </xf>
    <xf numFmtId="0" fontId="8" fillId="0" borderId="12" xfId="0" applyFont="1" applyFill="1" applyBorder="1" applyAlignment="1">
      <alignment vertical="center" wrapText="1" shrinkToFit="1"/>
    </xf>
    <xf numFmtId="0" fontId="8" fillId="0" borderId="8" xfId="0" applyFont="1" applyFill="1" applyBorder="1" applyAlignment="1">
      <alignment horizontal="left" vertical="center" wrapText="1" shrinkToFit="1"/>
    </xf>
    <xf numFmtId="0" fontId="8" fillId="0" borderId="9" xfId="0" applyFont="1" applyFill="1" applyBorder="1" applyAlignment="1">
      <alignment horizontal="left" vertical="center" wrapText="1" shrinkToFit="1"/>
    </xf>
    <xf numFmtId="0" fontId="8" fillId="0" borderId="20" xfId="0" applyFont="1" applyFill="1" applyBorder="1" applyAlignment="1">
      <alignment horizontal="left" vertical="center" wrapText="1" shrinkToFit="1"/>
    </xf>
    <xf numFmtId="0" fontId="8" fillId="0" borderId="18" xfId="0" applyFont="1" applyFill="1" applyBorder="1" applyAlignment="1">
      <alignment horizontal="left" vertical="center" wrapText="1" shrinkToFit="1"/>
    </xf>
    <xf numFmtId="0" fontId="23" fillId="0" borderId="19" xfId="0" applyFont="1" applyFill="1" applyBorder="1" applyAlignment="1">
      <alignment vertical="center" wrapText="1" shrinkToFit="1"/>
    </xf>
    <xf numFmtId="0" fontId="23" fillId="0" borderId="20" xfId="0" applyFont="1" applyFill="1" applyBorder="1" applyAlignment="1">
      <alignment vertical="center" wrapText="1" shrinkToFit="1"/>
    </xf>
    <xf numFmtId="0" fontId="23" fillId="0" borderId="18" xfId="0" applyFont="1" applyFill="1" applyBorder="1" applyAlignment="1">
      <alignment vertical="center" wrapText="1" shrinkToFit="1"/>
    </xf>
    <xf numFmtId="0" fontId="8" fillId="0" borderId="21" xfId="0" applyFont="1" applyFill="1" applyBorder="1" applyAlignment="1">
      <alignment horizontal="left" vertical="center" wrapText="1" shrinkToFit="1"/>
    </xf>
    <xf numFmtId="0" fontId="20" fillId="0" borderId="20" xfId="0" applyFont="1" applyFill="1" applyBorder="1" applyAlignment="1">
      <alignment horizontal="left" vertical="center" wrapText="1" shrinkToFit="1"/>
    </xf>
    <xf numFmtId="0" fontId="20" fillId="0" borderId="18" xfId="0" applyFont="1" applyFill="1" applyBorder="1" applyAlignment="1">
      <alignment horizontal="left" vertical="center" wrapText="1"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Fill="1" applyBorder="1" applyAlignment="1">
      <alignment vertical="top" wrapText="1" shrinkToFit="1"/>
    </xf>
    <xf numFmtId="0" fontId="8" fillId="0" borderId="12" xfId="0" applyFont="1" applyFill="1" applyBorder="1" applyAlignment="1">
      <alignment vertical="top" wrapText="1" shrinkToFi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xf numFmtId="0" fontId="8" fillId="0" borderId="22" xfId="0" applyFont="1" applyFill="1" applyBorder="1" applyAlignment="1">
      <alignment vertical="top" wrapText="1" shrinkToFit="1"/>
    </xf>
    <xf numFmtId="0" fontId="8" fillId="0" borderId="21" xfId="0" applyFont="1" applyFill="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Fill="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agoshima-ct.ac.jp/data-progra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kagoshima-ct.ac.jp/data-progra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agoshima-ct.ac.jp/data-progra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agoshima-ct.ac.jp/data-progra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agoshima-ct.ac.jp/data-progra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kagoshima-ct.ac.jp/disclos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sheetPr>
  <dimension ref="A1:O45"/>
  <sheetViews>
    <sheetView tabSelected="1" view="pageBreakPreview" zoomScaleNormal="100" zoomScaleSheetLayoutView="100" workbookViewId="0">
      <selection activeCell="B1" sqref="B1"/>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9" t="s">
        <v>25</v>
      </c>
      <c r="N1" s="149"/>
    </row>
    <row r="2" spans="1:15" ht="24" customHeight="1" x14ac:dyDescent="0.15">
      <c r="A2" s="153" t="s">
        <v>83</v>
      </c>
      <c r="B2" s="153"/>
      <c r="C2" s="153"/>
      <c r="D2" s="153"/>
      <c r="E2" s="153"/>
      <c r="F2" s="153"/>
      <c r="G2" s="153"/>
      <c r="H2" s="153"/>
      <c r="I2" s="153"/>
      <c r="J2" s="153"/>
      <c r="K2" s="153"/>
      <c r="L2" s="153"/>
      <c r="M2" s="153"/>
      <c r="N2" s="153"/>
    </row>
    <row r="3" spans="1:15" ht="24" customHeight="1" x14ac:dyDescent="0.15"/>
    <row r="4" spans="1:15" ht="24" customHeight="1" x14ac:dyDescent="0.15">
      <c r="A4" s="14" t="s">
        <v>6</v>
      </c>
      <c r="B4" s="15" t="s">
        <v>16</v>
      </c>
      <c r="C4" s="141" t="s">
        <v>148</v>
      </c>
      <c r="D4" s="142"/>
      <c r="E4" s="142"/>
      <c r="F4" s="142"/>
      <c r="G4" s="142"/>
      <c r="H4" s="142"/>
      <c r="I4" s="142"/>
      <c r="J4" s="142"/>
      <c r="K4" s="142"/>
      <c r="L4" s="142"/>
      <c r="M4" s="142"/>
      <c r="N4" s="148"/>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41" t="s">
        <v>149</v>
      </c>
      <c r="E6" s="142"/>
      <c r="F6" s="142"/>
      <c r="G6" s="142"/>
      <c r="H6" s="148"/>
      <c r="I6" s="17" t="s">
        <v>86</v>
      </c>
      <c r="J6" s="37" t="s">
        <v>87</v>
      </c>
      <c r="K6" s="141" t="s">
        <v>150</v>
      </c>
      <c r="L6" s="142"/>
      <c r="M6" s="142"/>
      <c r="N6" s="148"/>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41" t="s">
        <v>151</v>
      </c>
      <c r="D8" s="142"/>
      <c r="E8" s="142"/>
      <c r="F8" s="142"/>
      <c r="G8" s="142"/>
      <c r="H8" s="142"/>
      <c r="I8" s="142"/>
      <c r="J8" s="142"/>
      <c r="K8" s="142"/>
      <c r="L8" s="142"/>
      <c r="M8" s="142"/>
      <c r="N8" s="148"/>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41" t="s">
        <v>152</v>
      </c>
      <c r="F10" s="142"/>
      <c r="G10" s="142"/>
      <c r="H10" s="142"/>
      <c r="I10" s="142"/>
      <c r="J10" s="142"/>
      <c r="K10" s="142"/>
      <c r="L10" s="142"/>
      <c r="M10" s="142"/>
      <c r="N10" s="148"/>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54" t="s">
        <v>153</v>
      </c>
      <c r="F12" s="155"/>
      <c r="G12" s="17" t="s">
        <v>96</v>
      </c>
      <c r="H12" s="14" t="s">
        <v>97</v>
      </c>
      <c r="N12" s="98" t="s">
        <v>154</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50" t="s">
        <v>5</v>
      </c>
      <c r="D14" s="151"/>
      <c r="E14" s="145">
        <v>69</v>
      </c>
      <c r="F14" s="146"/>
      <c r="G14" s="18" t="s">
        <v>7</v>
      </c>
      <c r="I14" s="150" t="s">
        <v>8</v>
      </c>
      <c r="J14" s="151"/>
      <c r="K14" s="145">
        <v>57</v>
      </c>
      <c r="L14" s="152"/>
      <c r="M14" s="146"/>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33">
        <v>36</v>
      </c>
      <c r="L16" s="134"/>
      <c r="M16" s="135"/>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45">
        <v>200</v>
      </c>
      <c r="F18" s="146"/>
      <c r="G18" s="21" t="s">
        <v>21</v>
      </c>
      <c r="H18" s="20"/>
      <c r="K18" s="147"/>
      <c r="L18" s="147"/>
      <c r="M18" s="147"/>
      <c r="N18" s="147"/>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36">
        <v>1038</v>
      </c>
      <c r="K20" s="137"/>
      <c r="L20" s="138"/>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45">
        <v>212</v>
      </c>
      <c r="D22" s="146"/>
      <c r="E22" s="10" t="s">
        <v>22</v>
      </c>
      <c r="F22" s="20"/>
      <c r="G22" s="139" t="s">
        <v>18</v>
      </c>
      <c r="H22" s="139"/>
      <c r="I22" s="145">
        <v>205</v>
      </c>
      <c r="J22" s="146"/>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45">
        <v>216</v>
      </c>
      <c r="D24" s="146"/>
      <c r="E24" s="10" t="s">
        <v>22</v>
      </c>
      <c r="F24" s="20"/>
      <c r="G24" s="139" t="s">
        <v>20</v>
      </c>
      <c r="H24" s="139"/>
      <c r="I24" s="145">
        <v>210</v>
      </c>
      <c r="J24" s="146"/>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45">
        <v>195</v>
      </c>
      <c r="D26" s="146"/>
      <c r="E26" s="10" t="s">
        <v>7</v>
      </c>
      <c r="F26" s="20"/>
      <c r="G26" s="139" t="s">
        <v>47</v>
      </c>
      <c r="H26" s="139"/>
      <c r="I26" s="145"/>
      <c r="J26" s="146"/>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40" t="s">
        <v>74</v>
      </c>
      <c r="C29" s="140"/>
      <c r="D29" s="141" t="s">
        <v>155</v>
      </c>
      <c r="E29" s="142"/>
      <c r="F29" s="142"/>
      <c r="G29" s="143" t="s">
        <v>23</v>
      </c>
      <c r="H29" s="140"/>
      <c r="I29" s="144"/>
      <c r="J29" s="141" t="s">
        <v>156</v>
      </c>
      <c r="K29" s="142"/>
      <c r="L29" s="142"/>
      <c r="M29" s="142"/>
      <c r="N29" s="148"/>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41" t="s">
        <v>157</v>
      </c>
      <c r="C32" s="142"/>
      <c r="D32" s="142"/>
      <c r="E32" s="142"/>
      <c r="F32" s="142"/>
      <c r="G32" s="142"/>
      <c r="H32" s="142"/>
      <c r="I32" s="142"/>
      <c r="J32" s="142"/>
      <c r="K32" s="142"/>
      <c r="L32" s="142"/>
      <c r="M32" s="142"/>
      <c r="N32" s="148"/>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0" t="s">
        <v>74</v>
      </c>
      <c r="C34" s="140"/>
      <c r="D34" s="141" t="s">
        <v>158</v>
      </c>
      <c r="E34" s="142"/>
      <c r="F34" s="142"/>
      <c r="G34" s="143" t="s">
        <v>55</v>
      </c>
      <c r="H34" s="140"/>
      <c r="I34" s="144"/>
      <c r="J34" s="141" t="s">
        <v>159</v>
      </c>
      <c r="K34" s="142"/>
      <c r="L34" s="142"/>
      <c r="M34" s="142"/>
      <c r="N34" s="148"/>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41" t="s">
        <v>160</v>
      </c>
      <c r="C37" s="142"/>
      <c r="D37" s="142"/>
      <c r="E37" s="142"/>
      <c r="F37" s="142"/>
      <c r="G37" s="142"/>
      <c r="H37" s="142"/>
      <c r="I37" s="142"/>
      <c r="J37" s="142"/>
      <c r="K37" s="142"/>
      <c r="L37" s="142"/>
      <c r="M37" s="142"/>
      <c r="N37" s="148"/>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0" t="s">
        <v>74</v>
      </c>
      <c r="C39" s="140"/>
      <c r="D39" s="141" t="s">
        <v>161</v>
      </c>
      <c r="E39" s="142"/>
      <c r="F39" s="142"/>
      <c r="G39" s="143" t="s">
        <v>55</v>
      </c>
      <c r="H39" s="140"/>
      <c r="I39" s="144"/>
      <c r="J39" s="141" t="s">
        <v>162</v>
      </c>
      <c r="K39" s="142"/>
      <c r="L39" s="142"/>
      <c r="M39" s="142"/>
      <c r="N39" s="148"/>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2" t="s">
        <v>69</v>
      </c>
      <c r="E41" s="73"/>
      <c r="F41" s="141" t="s">
        <v>163</v>
      </c>
      <c r="G41" s="142"/>
      <c r="H41" s="142"/>
      <c r="I41" s="142"/>
      <c r="J41" s="142"/>
      <c r="K41" s="142"/>
      <c r="L41" s="142"/>
      <c r="M41" s="142"/>
      <c r="N41" s="148"/>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62" t="s">
        <v>164</v>
      </c>
      <c r="D44" s="163"/>
      <c r="E44" s="163"/>
      <c r="F44" s="163"/>
      <c r="G44" s="163"/>
      <c r="H44" s="163"/>
      <c r="I44" s="26" t="s">
        <v>2</v>
      </c>
      <c r="J44" s="27"/>
      <c r="K44" s="141" t="s">
        <v>166</v>
      </c>
      <c r="L44" s="142"/>
      <c r="M44" s="142"/>
      <c r="N44" s="148"/>
      <c r="O44" s="31" t="str">
        <f>IF(OR(C44="",K44=""),"入力してください","")</f>
        <v/>
      </c>
    </row>
    <row r="45" spans="1:15" ht="24" customHeight="1" x14ac:dyDescent="0.15">
      <c r="B45" s="25" t="s">
        <v>4</v>
      </c>
      <c r="C45" s="156" t="s">
        <v>165</v>
      </c>
      <c r="D45" s="157"/>
      <c r="E45" s="157"/>
      <c r="F45" s="157"/>
      <c r="G45" s="157"/>
      <c r="H45" s="158"/>
      <c r="I45" s="26" t="s">
        <v>3</v>
      </c>
      <c r="J45" s="27"/>
      <c r="K45" s="159" t="s">
        <v>167</v>
      </c>
      <c r="L45" s="160"/>
      <c r="M45" s="160"/>
      <c r="N45" s="161"/>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tabColor rgb="FFCCFFFF"/>
  </sheetPr>
  <dimension ref="A1:Z98"/>
  <sheetViews>
    <sheetView showZeros="0" view="pageBreakPreview" zoomScaleNormal="100" zoomScaleSheetLayoutView="100" workbookViewId="0">
      <selection activeCell="A2" sqref="A2:Z2"/>
    </sheetView>
  </sheetViews>
  <sheetFormatPr defaultColWidth="9" defaultRowHeight="18.75" customHeight="1" x14ac:dyDescent="0.15"/>
  <cols>
    <col min="1" max="1" width="2.5" style="72" customWidth="1"/>
    <col min="2" max="2" width="27.75" style="72" customWidth="1"/>
    <col min="3" max="13" width="3.375" style="72" customWidth="1"/>
    <col min="14" max="14" width="8.875" style="72" customWidth="1"/>
    <col min="15" max="15" width="18.875" style="72" customWidth="1"/>
    <col min="16" max="19" width="3.375" style="72" customWidth="1"/>
    <col min="20" max="20" width="3.5" style="72" customWidth="1"/>
    <col min="21" max="26" width="3.375" style="72" customWidth="1"/>
    <col min="27" max="16384" width="9" style="72"/>
  </cols>
  <sheetData>
    <row r="1" spans="1:26" ht="15" customHeight="1" x14ac:dyDescent="0.15">
      <c r="W1" s="188" t="s">
        <v>183</v>
      </c>
      <c r="X1" s="188"/>
      <c r="Y1" s="188"/>
      <c r="Z1" s="188"/>
    </row>
    <row r="2" spans="1:26" ht="18" customHeight="1" x14ac:dyDescent="0.15">
      <c r="A2" s="230" t="s">
        <v>67</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99"/>
      <c r="C3" s="99"/>
      <c r="D3" s="99"/>
      <c r="E3" s="99"/>
      <c r="F3" s="99"/>
      <c r="G3" s="99"/>
      <c r="H3" s="99"/>
      <c r="I3" s="99"/>
      <c r="J3" s="99"/>
      <c r="K3" s="99"/>
      <c r="L3" s="99"/>
      <c r="M3" s="99"/>
      <c r="N3" s="99"/>
      <c r="O3" s="99"/>
      <c r="P3" s="99"/>
      <c r="Q3" s="99"/>
      <c r="R3" s="99"/>
      <c r="S3" s="99"/>
      <c r="T3" s="99"/>
      <c r="U3" s="99"/>
      <c r="V3" s="99"/>
      <c r="W3" s="99"/>
      <c r="X3" s="99"/>
      <c r="Y3" s="99"/>
      <c r="Z3" s="99"/>
    </row>
    <row r="4" spans="1:26" ht="18" customHeight="1" x14ac:dyDescent="0.15">
      <c r="A4" s="72" t="s">
        <v>99</v>
      </c>
      <c r="B4" s="99"/>
      <c r="C4" s="99"/>
      <c r="D4" s="99"/>
      <c r="E4" s="99"/>
      <c r="F4" s="99"/>
      <c r="G4" s="99"/>
      <c r="H4" s="100" t="s">
        <v>112</v>
      </c>
      <c r="I4" s="99"/>
      <c r="J4" s="99"/>
      <c r="K4" s="99"/>
      <c r="L4" s="99"/>
      <c r="M4" s="99"/>
      <c r="N4" s="99"/>
      <c r="O4" s="179" t="s">
        <v>168</v>
      </c>
      <c r="P4" s="180"/>
      <c r="Q4" s="180"/>
      <c r="R4" s="180"/>
      <c r="S4" s="180"/>
      <c r="T4" s="180"/>
      <c r="U4" s="180"/>
      <c r="V4" s="180"/>
      <c r="W4" s="180"/>
      <c r="X4" s="180"/>
      <c r="Y4" s="180"/>
      <c r="Z4" s="181"/>
    </row>
    <row r="5" spans="1:26" ht="6" customHeight="1" x14ac:dyDescent="0.15">
      <c r="B5" s="99"/>
      <c r="C5" s="99"/>
      <c r="D5" s="99"/>
      <c r="E5" s="99"/>
      <c r="F5" s="99"/>
      <c r="G5" s="99"/>
      <c r="H5" s="99"/>
      <c r="I5" s="99"/>
      <c r="J5" s="99"/>
      <c r="K5" s="99"/>
      <c r="L5" s="99"/>
      <c r="M5" s="99"/>
      <c r="N5" s="99"/>
      <c r="O5" s="101"/>
      <c r="P5" s="99"/>
      <c r="Q5" s="99"/>
      <c r="R5" s="99"/>
      <c r="S5" s="99"/>
      <c r="T5" s="99"/>
      <c r="U5" s="99"/>
      <c r="V5" s="99"/>
      <c r="W5" s="99"/>
      <c r="X5" s="99"/>
      <c r="Y5" s="99"/>
      <c r="Z5" s="99"/>
    </row>
    <row r="6" spans="1:26" ht="18" customHeight="1" x14ac:dyDescent="0.15">
      <c r="B6" s="231" t="s">
        <v>220</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6"/>
    </row>
    <row r="11" spans="1:26" ht="18" customHeight="1" x14ac:dyDescent="0.15">
      <c r="B11" s="238"/>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40"/>
    </row>
    <row r="12" spans="1:26" ht="7.5" customHeight="1" x14ac:dyDescent="0.15">
      <c r="B12" s="99"/>
      <c r="C12" s="99"/>
      <c r="D12" s="99"/>
      <c r="E12" s="99"/>
      <c r="F12" s="99"/>
      <c r="G12" s="99"/>
      <c r="H12" s="99"/>
      <c r="I12" s="99"/>
      <c r="J12" s="99"/>
      <c r="K12" s="99"/>
      <c r="L12" s="99"/>
      <c r="M12" s="99"/>
      <c r="N12" s="99"/>
      <c r="O12" s="99"/>
      <c r="P12" s="99"/>
      <c r="Q12" s="99"/>
      <c r="R12" s="99"/>
      <c r="S12" s="99"/>
      <c r="T12" s="99"/>
      <c r="U12" s="99"/>
      <c r="V12" s="99"/>
      <c r="W12" s="99"/>
      <c r="X12" s="99"/>
      <c r="Y12" s="99"/>
      <c r="Z12" s="9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B15" s="179" t="s">
        <v>100</v>
      </c>
      <c r="C15" s="180"/>
      <c r="D15" s="180"/>
      <c r="E15" s="180"/>
      <c r="F15" s="181"/>
      <c r="G15" s="102" t="s">
        <v>141</v>
      </c>
      <c r="H15" s="103" t="s">
        <v>140</v>
      </c>
      <c r="I15" s="180" t="s">
        <v>101</v>
      </c>
      <c r="J15" s="180"/>
      <c r="K15" s="180"/>
      <c r="L15" s="104" t="s">
        <v>104</v>
      </c>
      <c r="M15" s="104" t="s">
        <v>107</v>
      </c>
      <c r="N15" s="179" t="s">
        <v>100</v>
      </c>
      <c r="O15" s="180"/>
      <c r="P15" s="180"/>
      <c r="Q15" s="180"/>
      <c r="R15" s="180"/>
      <c r="S15" s="181"/>
      <c r="T15" s="102" t="s">
        <v>141</v>
      </c>
      <c r="U15" s="103" t="s">
        <v>140</v>
      </c>
      <c r="V15" s="180" t="s">
        <v>101</v>
      </c>
      <c r="W15" s="180"/>
      <c r="X15" s="180"/>
      <c r="Y15" s="104" t="s">
        <v>104</v>
      </c>
      <c r="Z15" s="104" t="s">
        <v>107</v>
      </c>
    </row>
    <row r="16" spans="1:26" ht="18" customHeight="1" x14ac:dyDescent="0.15">
      <c r="B16" s="189" t="s">
        <v>188</v>
      </c>
      <c r="C16" s="190"/>
      <c r="D16" s="190"/>
      <c r="E16" s="190"/>
      <c r="F16" s="191"/>
      <c r="G16" s="105">
        <v>2</v>
      </c>
      <c r="H16" s="105" t="s">
        <v>191</v>
      </c>
      <c r="I16" s="195" t="s">
        <v>189</v>
      </c>
      <c r="J16" s="196"/>
      <c r="K16" s="197"/>
      <c r="L16" s="105" t="s">
        <v>191</v>
      </c>
      <c r="M16" s="105" t="s">
        <v>191</v>
      </c>
      <c r="N16" s="164"/>
      <c r="O16" s="165"/>
      <c r="P16" s="165"/>
      <c r="Q16" s="165"/>
      <c r="R16" s="165"/>
      <c r="S16" s="166"/>
      <c r="T16" s="105"/>
      <c r="U16" s="105"/>
      <c r="V16" s="195"/>
      <c r="W16" s="196"/>
      <c r="X16" s="197"/>
      <c r="Y16" s="105"/>
      <c r="Z16" s="105"/>
    </row>
    <row r="17" spans="1:26" ht="18" customHeight="1" x14ac:dyDescent="0.15">
      <c r="B17" s="182" t="s">
        <v>190</v>
      </c>
      <c r="C17" s="183"/>
      <c r="D17" s="183"/>
      <c r="E17" s="183"/>
      <c r="F17" s="184"/>
      <c r="G17" s="106">
        <v>2</v>
      </c>
      <c r="H17" s="106" t="s">
        <v>191</v>
      </c>
      <c r="I17" s="173" t="s">
        <v>189</v>
      </c>
      <c r="J17" s="174"/>
      <c r="K17" s="175"/>
      <c r="L17" s="106" t="s">
        <v>191</v>
      </c>
      <c r="M17" s="106" t="s">
        <v>191</v>
      </c>
      <c r="N17" s="167"/>
      <c r="O17" s="168"/>
      <c r="P17" s="168"/>
      <c r="Q17" s="168"/>
      <c r="R17" s="168"/>
      <c r="S17" s="169"/>
      <c r="T17" s="106"/>
      <c r="U17" s="106"/>
      <c r="V17" s="173"/>
      <c r="W17" s="174"/>
      <c r="X17" s="175"/>
      <c r="Y17" s="106"/>
      <c r="Z17" s="106"/>
    </row>
    <row r="18" spans="1:26" ht="18" customHeight="1" x14ac:dyDescent="0.15">
      <c r="B18" s="182" t="s">
        <v>192</v>
      </c>
      <c r="C18" s="183"/>
      <c r="D18" s="183"/>
      <c r="E18" s="183"/>
      <c r="F18" s="184"/>
      <c r="G18" s="106">
        <v>1</v>
      </c>
      <c r="H18" s="106" t="s">
        <v>191</v>
      </c>
      <c r="I18" s="173" t="s">
        <v>225</v>
      </c>
      <c r="J18" s="174"/>
      <c r="K18" s="175"/>
      <c r="L18" s="106"/>
      <c r="M18" s="106" t="s">
        <v>191</v>
      </c>
      <c r="N18" s="167"/>
      <c r="O18" s="168"/>
      <c r="P18" s="168"/>
      <c r="Q18" s="168"/>
      <c r="R18" s="168"/>
      <c r="S18" s="169"/>
      <c r="T18" s="106"/>
      <c r="U18" s="106"/>
      <c r="V18" s="173"/>
      <c r="W18" s="174"/>
      <c r="X18" s="175"/>
      <c r="Y18" s="106"/>
      <c r="Z18" s="106"/>
    </row>
    <row r="19" spans="1:26" ht="18" customHeight="1" x14ac:dyDescent="0.15">
      <c r="B19" s="182"/>
      <c r="C19" s="183"/>
      <c r="D19" s="183"/>
      <c r="E19" s="183"/>
      <c r="F19" s="184"/>
      <c r="G19" s="106"/>
      <c r="H19" s="106"/>
      <c r="I19" s="173"/>
      <c r="J19" s="174"/>
      <c r="K19" s="175"/>
      <c r="L19" s="106"/>
      <c r="M19" s="106"/>
      <c r="N19" s="167"/>
      <c r="O19" s="168"/>
      <c r="P19" s="168"/>
      <c r="Q19" s="168"/>
      <c r="R19" s="168"/>
      <c r="S19" s="169"/>
      <c r="T19" s="106"/>
      <c r="U19" s="106"/>
      <c r="V19" s="173"/>
      <c r="W19" s="174"/>
      <c r="X19" s="175"/>
      <c r="Y19" s="106"/>
      <c r="Z19" s="106"/>
    </row>
    <row r="20" spans="1:26" ht="18" customHeight="1" x14ac:dyDescent="0.15">
      <c r="B20" s="182"/>
      <c r="C20" s="183"/>
      <c r="D20" s="183"/>
      <c r="E20" s="183"/>
      <c r="F20" s="184"/>
      <c r="G20" s="106"/>
      <c r="H20" s="106"/>
      <c r="I20" s="173"/>
      <c r="J20" s="174"/>
      <c r="K20" s="175"/>
      <c r="L20" s="106"/>
      <c r="M20" s="106"/>
      <c r="N20" s="167"/>
      <c r="O20" s="168"/>
      <c r="P20" s="168"/>
      <c r="Q20" s="168"/>
      <c r="R20" s="168"/>
      <c r="S20" s="169"/>
      <c r="T20" s="106"/>
      <c r="U20" s="106"/>
      <c r="V20" s="173"/>
      <c r="W20" s="174"/>
      <c r="X20" s="175"/>
      <c r="Y20" s="106"/>
      <c r="Z20" s="106"/>
    </row>
    <row r="21" spans="1:26" ht="18" customHeight="1" x14ac:dyDescent="0.15">
      <c r="A21" s="99"/>
      <c r="B21" s="182"/>
      <c r="C21" s="183"/>
      <c r="D21" s="183"/>
      <c r="E21" s="183"/>
      <c r="F21" s="184"/>
      <c r="G21" s="106"/>
      <c r="H21" s="106"/>
      <c r="I21" s="173"/>
      <c r="J21" s="174"/>
      <c r="K21" s="175"/>
      <c r="L21" s="106"/>
      <c r="M21" s="106"/>
      <c r="N21" s="167"/>
      <c r="O21" s="168"/>
      <c r="P21" s="168"/>
      <c r="Q21" s="168"/>
      <c r="R21" s="168"/>
      <c r="S21" s="169"/>
      <c r="T21" s="106"/>
      <c r="U21" s="106"/>
      <c r="V21" s="173"/>
      <c r="W21" s="174"/>
      <c r="X21" s="175"/>
      <c r="Y21" s="106"/>
      <c r="Z21" s="106"/>
    </row>
    <row r="22" spans="1:26" ht="18" customHeight="1" x14ac:dyDescent="0.15">
      <c r="A22" s="99"/>
      <c r="B22" s="185"/>
      <c r="C22" s="186"/>
      <c r="D22" s="186"/>
      <c r="E22" s="186"/>
      <c r="F22" s="187"/>
      <c r="G22" s="107"/>
      <c r="H22" s="107"/>
      <c r="I22" s="176"/>
      <c r="J22" s="177"/>
      <c r="K22" s="178"/>
      <c r="L22" s="108"/>
      <c r="M22" s="108"/>
      <c r="N22" s="170"/>
      <c r="O22" s="171"/>
      <c r="P22" s="171"/>
      <c r="Q22" s="171"/>
      <c r="R22" s="171"/>
      <c r="S22" s="172"/>
      <c r="T22" s="107"/>
      <c r="U22" s="107"/>
      <c r="V22" s="176"/>
      <c r="W22" s="177"/>
      <c r="X22" s="178"/>
      <c r="Y22" s="108"/>
      <c r="Z22" s="108"/>
    </row>
    <row r="23" spans="1:26" ht="7.5" customHeight="1" x14ac:dyDescent="0.15">
      <c r="A23" s="99"/>
      <c r="B23" s="109"/>
      <c r="C23" s="109"/>
      <c r="D23" s="99"/>
      <c r="E23" s="99"/>
      <c r="F23" s="99"/>
      <c r="G23" s="99"/>
      <c r="H23" s="99"/>
      <c r="I23" s="99"/>
      <c r="J23" s="99"/>
      <c r="K23" s="99"/>
      <c r="L23" s="109"/>
      <c r="M23" s="109"/>
      <c r="N23" s="109"/>
      <c r="O23" s="109"/>
      <c r="P23" s="109"/>
      <c r="Q23" s="109"/>
      <c r="R23" s="109"/>
      <c r="S23" s="109"/>
      <c r="T23" s="109"/>
      <c r="U23" s="109"/>
      <c r="V23" s="109"/>
      <c r="W23" s="109"/>
      <c r="X23" s="109"/>
      <c r="Y23" s="109"/>
      <c r="Z23" s="9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B26" s="179" t="s">
        <v>100</v>
      </c>
      <c r="C26" s="180"/>
      <c r="D26" s="180"/>
      <c r="E26" s="180"/>
      <c r="F26" s="181"/>
      <c r="G26" s="102" t="s">
        <v>141</v>
      </c>
      <c r="H26" s="103" t="s">
        <v>140</v>
      </c>
      <c r="I26" s="180" t="s">
        <v>101</v>
      </c>
      <c r="J26" s="180"/>
      <c r="K26" s="180"/>
      <c r="L26" s="104" t="s">
        <v>127</v>
      </c>
      <c r="M26" s="104" t="s">
        <v>128</v>
      </c>
      <c r="N26" s="179" t="s">
        <v>100</v>
      </c>
      <c r="O26" s="180"/>
      <c r="P26" s="180"/>
      <c r="Q26" s="180"/>
      <c r="R26" s="180"/>
      <c r="S26" s="181"/>
      <c r="T26" s="102" t="s">
        <v>141</v>
      </c>
      <c r="U26" s="103" t="s">
        <v>140</v>
      </c>
      <c r="V26" s="180" t="s">
        <v>101</v>
      </c>
      <c r="W26" s="180"/>
      <c r="X26" s="180"/>
      <c r="Y26" s="104" t="s">
        <v>127</v>
      </c>
      <c r="Z26" s="104" t="s">
        <v>128</v>
      </c>
    </row>
    <row r="27" spans="1:26" ht="18" customHeight="1" x14ac:dyDescent="0.15">
      <c r="B27" s="189" t="s">
        <v>193</v>
      </c>
      <c r="C27" s="190"/>
      <c r="D27" s="190"/>
      <c r="E27" s="190"/>
      <c r="F27" s="191"/>
      <c r="G27" s="105">
        <v>1</v>
      </c>
      <c r="H27" s="105" t="s">
        <v>191</v>
      </c>
      <c r="I27" s="195" t="s">
        <v>225</v>
      </c>
      <c r="J27" s="196"/>
      <c r="K27" s="197"/>
      <c r="L27" s="105" t="s">
        <v>191</v>
      </c>
      <c r="M27" s="105" t="s">
        <v>191</v>
      </c>
      <c r="N27" s="164"/>
      <c r="O27" s="165"/>
      <c r="P27" s="165"/>
      <c r="Q27" s="165"/>
      <c r="R27" s="165"/>
      <c r="S27" s="166"/>
      <c r="T27" s="105"/>
      <c r="U27" s="105"/>
      <c r="V27" s="195"/>
      <c r="W27" s="196"/>
      <c r="X27" s="197"/>
      <c r="Y27" s="105"/>
      <c r="Z27" s="105"/>
    </row>
    <row r="28" spans="1:26" ht="18" customHeight="1" x14ac:dyDescent="0.15">
      <c r="B28" s="182" t="s">
        <v>192</v>
      </c>
      <c r="C28" s="183"/>
      <c r="D28" s="183"/>
      <c r="E28" s="183"/>
      <c r="F28" s="184"/>
      <c r="G28" s="106">
        <v>1</v>
      </c>
      <c r="H28" s="106" t="s">
        <v>191</v>
      </c>
      <c r="I28" s="173" t="s">
        <v>225</v>
      </c>
      <c r="J28" s="174"/>
      <c r="K28" s="175"/>
      <c r="L28" s="106"/>
      <c r="M28" s="106" t="s">
        <v>191</v>
      </c>
      <c r="N28" s="167"/>
      <c r="O28" s="168"/>
      <c r="P28" s="168"/>
      <c r="Q28" s="168"/>
      <c r="R28" s="168"/>
      <c r="S28" s="169"/>
      <c r="T28" s="106"/>
      <c r="U28" s="106"/>
      <c r="V28" s="173"/>
      <c r="W28" s="174"/>
      <c r="X28" s="175"/>
      <c r="Y28" s="106"/>
      <c r="Z28" s="106"/>
    </row>
    <row r="29" spans="1:26" ht="18" customHeight="1" x14ac:dyDescent="0.15">
      <c r="B29" s="182"/>
      <c r="C29" s="183"/>
      <c r="D29" s="183"/>
      <c r="E29" s="183"/>
      <c r="F29" s="184"/>
      <c r="G29" s="106"/>
      <c r="H29" s="106"/>
      <c r="I29" s="173"/>
      <c r="J29" s="174"/>
      <c r="K29" s="175"/>
      <c r="L29" s="106"/>
      <c r="M29" s="106"/>
      <c r="N29" s="167"/>
      <c r="O29" s="168"/>
      <c r="P29" s="168"/>
      <c r="Q29" s="168"/>
      <c r="R29" s="168"/>
      <c r="S29" s="169"/>
      <c r="T29" s="106"/>
      <c r="U29" s="106"/>
      <c r="V29" s="173"/>
      <c r="W29" s="174"/>
      <c r="X29" s="175"/>
      <c r="Y29" s="106"/>
      <c r="Z29" s="106"/>
    </row>
    <row r="30" spans="1:26" ht="18" customHeight="1" x14ac:dyDescent="0.15">
      <c r="B30" s="182"/>
      <c r="C30" s="183"/>
      <c r="D30" s="183"/>
      <c r="E30" s="183"/>
      <c r="F30" s="184"/>
      <c r="G30" s="106"/>
      <c r="H30" s="106"/>
      <c r="I30" s="173"/>
      <c r="J30" s="174"/>
      <c r="K30" s="175"/>
      <c r="L30" s="106"/>
      <c r="M30" s="106"/>
      <c r="N30" s="167"/>
      <c r="O30" s="168"/>
      <c r="P30" s="168"/>
      <c r="Q30" s="168"/>
      <c r="R30" s="168"/>
      <c r="S30" s="169"/>
      <c r="T30" s="106"/>
      <c r="U30" s="106"/>
      <c r="V30" s="173"/>
      <c r="W30" s="174"/>
      <c r="X30" s="175"/>
      <c r="Y30" s="106"/>
      <c r="Z30" s="106"/>
    </row>
    <row r="31" spans="1:26" ht="18" customHeight="1" x14ac:dyDescent="0.15">
      <c r="B31" s="182"/>
      <c r="C31" s="183"/>
      <c r="D31" s="183"/>
      <c r="E31" s="183"/>
      <c r="F31" s="184"/>
      <c r="G31" s="106"/>
      <c r="H31" s="106"/>
      <c r="I31" s="173"/>
      <c r="J31" s="174"/>
      <c r="K31" s="175"/>
      <c r="L31" s="106"/>
      <c r="M31" s="106"/>
      <c r="N31" s="167"/>
      <c r="O31" s="168"/>
      <c r="P31" s="168"/>
      <c r="Q31" s="168"/>
      <c r="R31" s="168"/>
      <c r="S31" s="169"/>
      <c r="T31" s="106"/>
      <c r="U31" s="106"/>
      <c r="V31" s="173"/>
      <c r="W31" s="174"/>
      <c r="X31" s="175"/>
      <c r="Y31" s="106"/>
      <c r="Z31" s="106"/>
    </row>
    <row r="32" spans="1:26" ht="18" customHeight="1" x14ac:dyDescent="0.15">
      <c r="B32" s="182"/>
      <c r="C32" s="183"/>
      <c r="D32" s="183"/>
      <c r="E32" s="183"/>
      <c r="F32" s="184"/>
      <c r="G32" s="106"/>
      <c r="H32" s="106"/>
      <c r="I32" s="173"/>
      <c r="J32" s="174"/>
      <c r="K32" s="175"/>
      <c r="L32" s="106"/>
      <c r="M32" s="106"/>
      <c r="N32" s="167"/>
      <c r="O32" s="168"/>
      <c r="P32" s="168"/>
      <c r="Q32" s="168"/>
      <c r="R32" s="168"/>
      <c r="S32" s="169"/>
      <c r="T32" s="106"/>
      <c r="U32" s="106"/>
      <c r="V32" s="173"/>
      <c r="W32" s="174"/>
      <c r="X32" s="175"/>
      <c r="Y32" s="106"/>
      <c r="Z32" s="106"/>
    </row>
    <row r="33" spans="1:26" ht="18" customHeight="1" x14ac:dyDescent="0.15">
      <c r="B33" s="185"/>
      <c r="C33" s="186"/>
      <c r="D33" s="186"/>
      <c r="E33" s="186"/>
      <c r="F33" s="187"/>
      <c r="G33" s="107"/>
      <c r="H33" s="107"/>
      <c r="I33" s="176"/>
      <c r="J33" s="177"/>
      <c r="K33" s="178"/>
      <c r="L33" s="108"/>
      <c r="M33" s="108"/>
      <c r="N33" s="170"/>
      <c r="O33" s="171"/>
      <c r="P33" s="171"/>
      <c r="Q33" s="171"/>
      <c r="R33" s="171"/>
      <c r="S33" s="172"/>
      <c r="T33" s="107"/>
      <c r="U33" s="107"/>
      <c r="V33" s="176"/>
      <c r="W33" s="177"/>
      <c r="X33" s="178"/>
      <c r="Y33" s="108"/>
      <c r="Z33" s="108"/>
    </row>
    <row r="34" spans="1:26" ht="7.5" customHeight="1" x14ac:dyDescent="0.15">
      <c r="A34" s="99"/>
      <c r="B34" s="109"/>
      <c r="C34" s="109"/>
      <c r="D34" s="99"/>
      <c r="E34" s="99"/>
      <c r="F34" s="99"/>
      <c r="G34" s="99"/>
      <c r="H34" s="99"/>
      <c r="I34" s="99"/>
      <c r="J34" s="99"/>
      <c r="K34" s="99"/>
      <c r="L34" s="109"/>
      <c r="M34" s="109"/>
      <c r="N34" s="109"/>
      <c r="O34" s="109"/>
      <c r="P34" s="109"/>
      <c r="Q34" s="109"/>
      <c r="R34" s="109"/>
      <c r="S34" s="109"/>
      <c r="T34" s="109"/>
      <c r="U34" s="109"/>
      <c r="V34" s="109"/>
      <c r="W34" s="109"/>
      <c r="X34" s="109"/>
      <c r="Y34" s="109"/>
      <c r="Z34" s="9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B37" s="179" t="s">
        <v>100</v>
      </c>
      <c r="C37" s="180"/>
      <c r="D37" s="180"/>
      <c r="E37" s="180"/>
      <c r="F37" s="181"/>
      <c r="G37" s="102" t="s">
        <v>141</v>
      </c>
      <c r="H37" s="103" t="s">
        <v>140</v>
      </c>
      <c r="I37" s="179" t="s">
        <v>101</v>
      </c>
      <c r="J37" s="180"/>
      <c r="K37" s="181"/>
      <c r="L37" s="104" t="s">
        <v>130</v>
      </c>
      <c r="M37" s="104" t="s">
        <v>131</v>
      </c>
      <c r="N37" s="179" t="s">
        <v>100</v>
      </c>
      <c r="O37" s="180"/>
      <c r="P37" s="180"/>
      <c r="Q37" s="180"/>
      <c r="R37" s="180"/>
      <c r="S37" s="181"/>
      <c r="T37" s="102" t="s">
        <v>141</v>
      </c>
      <c r="U37" s="103" t="s">
        <v>140</v>
      </c>
      <c r="V37" s="179" t="s">
        <v>101</v>
      </c>
      <c r="W37" s="180"/>
      <c r="X37" s="181"/>
      <c r="Y37" s="104" t="s">
        <v>130</v>
      </c>
      <c r="Z37" s="104" t="s">
        <v>131</v>
      </c>
    </row>
    <row r="38" spans="1:26" ht="18" customHeight="1" x14ac:dyDescent="0.15">
      <c r="A38" s="99"/>
      <c r="B38" s="189" t="s">
        <v>188</v>
      </c>
      <c r="C38" s="190"/>
      <c r="D38" s="190"/>
      <c r="E38" s="190"/>
      <c r="F38" s="191"/>
      <c r="G38" s="105">
        <v>2</v>
      </c>
      <c r="H38" s="105" t="s">
        <v>191</v>
      </c>
      <c r="I38" s="195" t="s">
        <v>189</v>
      </c>
      <c r="J38" s="196"/>
      <c r="K38" s="197"/>
      <c r="L38" s="105" t="s">
        <v>191</v>
      </c>
      <c r="M38" s="105" t="s">
        <v>191</v>
      </c>
      <c r="N38" s="164"/>
      <c r="O38" s="165"/>
      <c r="P38" s="165"/>
      <c r="Q38" s="165"/>
      <c r="R38" s="165"/>
      <c r="S38" s="166"/>
      <c r="T38" s="105"/>
      <c r="U38" s="105"/>
      <c r="V38" s="195"/>
      <c r="W38" s="196"/>
      <c r="X38" s="197"/>
      <c r="Y38" s="105"/>
      <c r="Z38" s="105"/>
    </row>
    <row r="39" spans="1:26" ht="18" customHeight="1" x14ac:dyDescent="0.15">
      <c r="A39" s="99"/>
      <c r="B39" s="182" t="s">
        <v>190</v>
      </c>
      <c r="C39" s="183"/>
      <c r="D39" s="183"/>
      <c r="E39" s="183"/>
      <c r="F39" s="184"/>
      <c r="G39" s="106">
        <v>2</v>
      </c>
      <c r="H39" s="106" t="s">
        <v>191</v>
      </c>
      <c r="I39" s="173" t="s">
        <v>189</v>
      </c>
      <c r="J39" s="174"/>
      <c r="K39" s="175"/>
      <c r="L39" s="106" t="s">
        <v>191</v>
      </c>
      <c r="M39" s="106" t="s">
        <v>191</v>
      </c>
      <c r="N39" s="167"/>
      <c r="O39" s="168"/>
      <c r="P39" s="168"/>
      <c r="Q39" s="168"/>
      <c r="R39" s="168"/>
      <c r="S39" s="169"/>
      <c r="T39" s="106"/>
      <c r="U39" s="106"/>
      <c r="V39" s="173"/>
      <c r="W39" s="174"/>
      <c r="X39" s="175"/>
      <c r="Y39" s="106"/>
      <c r="Z39" s="106"/>
    </row>
    <row r="40" spans="1:26" ht="18" customHeight="1" x14ac:dyDescent="0.15">
      <c r="A40" s="99"/>
      <c r="B40" s="182"/>
      <c r="C40" s="183"/>
      <c r="D40" s="183"/>
      <c r="E40" s="183"/>
      <c r="F40" s="184"/>
      <c r="G40" s="106"/>
      <c r="H40" s="106"/>
      <c r="I40" s="173"/>
      <c r="J40" s="174"/>
      <c r="K40" s="175"/>
      <c r="L40" s="106"/>
      <c r="M40" s="106"/>
      <c r="N40" s="167"/>
      <c r="O40" s="168"/>
      <c r="P40" s="168"/>
      <c r="Q40" s="168"/>
      <c r="R40" s="168"/>
      <c r="S40" s="169"/>
      <c r="T40" s="106"/>
      <c r="U40" s="106"/>
      <c r="V40" s="173"/>
      <c r="W40" s="174"/>
      <c r="X40" s="175"/>
      <c r="Y40" s="106"/>
      <c r="Z40" s="106"/>
    </row>
    <row r="41" spans="1:26" ht="18" customHeight="1" x14ac:dyDescent="0.15">
      <c r="A41" s="99"/>
      <c r="B41" s="182"/>
      <c r="C41" s="183"/>
      <c r="D41" s="183"/>
      <c r="E41" s="183"/>
      <c r="F41" s="184"/>
      <c r="G41" s="106"/>
      <c r="H41" s="106"/>
      <c r="I41" s="173"/>
      <c r="J41" s="174"/>
      <c r="K41" s="175"/>
      <c r="L41" s="106"/>
      <c r="M41" s="106"/>
      <c r="N41" s="167"/>
      <c r="O41" s="168"/>
      <c r="P41" s="168"/>
      <c r="Q41" s="168"/>
      <c r="R41" s="168"/>
      <c r="S41" s="169"/>
      <c r="T41" s="106"/>
      <c r="U41" s="106"/>
      <c r="V41" s="173"/>
      <c r="W41" s="174"/>
      <c r="X41" s="175"/>
      <c r="Y41" s="106"/>
      <c r="Z41" s="106"/>
    </row>
    <row r="42" spans="1:26" ht="18" customHeight="1" x14ac:dyDescent="0.15">
      <c r="A42" s="99"/>
      <c r="B42" s="182"/>
      <c r="C42" s="183"/>
      <c r="D42" s="183"/>
      <c r="E42" s="183"/>
      <c r="F42" s="184"/>
      <c r="G42" s="106"/>
      <c r="H42" s="106"/>
      <c r="I42" s="173"/>
      <c r="J42" s="174"/>
      <c r="K42" s="175"/>
      <c r="L42" s="106"/>
      <c r="M42" s="106"/>
      <c r="N42" s="167"/>
      <c r="O42" s="168"/>
      <c r="P42" s="168"/>
      <c r="Q42" s="168"/>
      <c r="R42" s="168"/>
      <c r="S42" s="169"/>
      <c r="T42" s="106"/>
      <c r="U42" s="106"/>
      <c r="V42" s="173"/>
      <c r="W42" s="174"/>
      <c r="X42" s="175"/>
      <c r="Y42" s="106"/>
      <c r="Z42" s="106"/>
    </row>
    <row r="43" spans="1:26" ht="18" customHeight="1" x14ac:dyDescent="0.15">
      <c r="A43" s="99"/>
      <c r="B43" s="182"/>
      <c r="C43" s="183"/>
      <c r="D43" s="183"/>
      <c r="E43" s="183"/>
      <c r="F43" s="184"/>
      <c r="G43" s="106"/>
      <c r="H43" s="106"/>
      <c r="I43" s="173"/>
      <c r="J43" s="174"/>
      <c r="K43" s="175"/>
      <c r="L43" s="106"/>
      <c r="M43" s="106"/>
      <c r="N43" s="167"/>
      <c r="O43" s="168"/>
      <c r="P43" s="168"/>
      <c r="Q43" s="168"/>
      <c r="R43" s="168"/>
      <c r="S43" s="169"/>
      <c r="T43" s="106"/>
      <c r="U43" s="106"/>
      <c r="V43" s="173"/>
      <c r="W43" s="174"/>
      <c r="X43" s="175"/>
      <c r="Y43" s="106"/>
      <c r="Z43" s="106"/>
    </row>
    <row r="44" spans="1:26" ht="18" customHeight="1" x14ac:dyDescent="0.15">
      <c r="A44" s="99"/>
      <c r="B44" s="185"/>
      <c r="C44" s="186"/>
      <c r="D44" s="186"/>
      <c r="E44" s="186"/>
      <c r="F44" s="187"/>
      <c r="G44" s="107"/>
      <c r="H44" s="107"/>
      <c r="I44" s="176"/>
      <c r="J44" s="177"/>
      <c r="K44" s="178"/>
      <c r="L44" s="108"/>
      <c r="M44" s="108"/>
      <c r="N44" s="170"/>
      <c r="O44" s="171"/>
      <c r="P44" s="171"/>
      <c r="Q44" s="171"/>
      <c r="R44" s="171"/>
      <c r="S44" s="172"/>
      <c r="T44" s="107"/>
      <c r="U44" s="107"/>
      <c r="V44" s="176"/>
      <c r="W44" s="177"/>
      <c r="X44" s="178"/>
      <c r="Y44" s="108"/>
      <c r="Z44" s="108"/>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B48" s="179" t="s">
        <v>100</v>
      </c>
      <c r="C48" s="180"/>
      <c r="D48" s="180"/>
      <c r="E48" s="180"/>
      <c r="F48" s="181"/>
      <c r="G48" s="102" t="s">
        <v>141</v>
      </c>
      <c r="H48" s="103" t="s">
        <v>140</v>
      </c>
      <c r="I48" s="179" t="s">
        <v>101</v>
      </c>
      <c r="J48" s="180"/>
      <c r="K48" s="181"/>
      <c r="L48" s="104" t="s">
        <v>106</v>
      </c>
      <c r="M48" s="104" t="s">
        <v>108</v>
      </c>
      <c r="N48" s="179" t="s">
        <v>100</v>
      </c>
      <c r="O48" s="180"/>
      <c r="P48" s="180"/>
      <c r="Q48" s="180"/>
      <c r="R48" s="180"/>
      <c r="S48" s="181"/>
      <c r="T48" s="102" t="s">
        <v>141</v>
      </c>
      <c r="U48" s="103" t="s">
        <v>140</v>
      </c>
      <c r="V48" s="179" t="s">
        <v>101</v>
      </c>
      <c r="W48" s="180"/>
      <c r="X48" s="181"/>
      <c r="Y48" s="104" t="s">
        <v>106</v>
      </c>
      <c r="Z48" s="104" t="s">
        <v>108</v>
      </c>
    </row>
    <row r="49" spans="1:26" ht="18" customHeight="1" x14ac:dyDescent="0.15">
      <c r="A49" s="99"/>
      <c r="B49" s="189" t="s">
        <v>188</v>
      </c>
      <c r="C49" s="190"/>
      <c r="D49" s="190"/>
      <c r="E49" s="190"/>
      <c r="F49" s="191"/>
      <c r="G49" s="105">
        <v>2</v>
      </c>
      <c r="H49" s="105" t="s">
        <v>191</v>
      </c>
      <c r="I49" s="195" t="s">
        <v>189</v>
      </c>
      <c r="J49" s="196"/>
      <c r="K49" s="197"/>
      <c r="L49" s="105" t="s">
        <v>191</v>
      </c>
      <c r="M49" s="105" t="s">
        <v>191</v>
      </c>
      <c r="N49" s="164"/>
      <c r="O49" s="165"/>
      <c r="P49" s="165"/>
      <c r="Q49" s="165"/>
      <c r="R49" s="165"/>
      <c r="S49" s="166"/>
      <c r="T49" s="105"/>
      <c r="U49" s="105"/>
      <c r="V49" s="195"/>
      <c r="W49" s="196"/>
      <c r="X49" s="197"/>
      <c r="Y49" s="105"/>
      <c r="Z49" s="105"/>
    </row>
    <row r="50" spans="1:26" ht="18" customHeight="1" x14ac:dyDescent="0.15">
      <c r="A50" s="99"/>
      <c r="B50" s="228" t="s">
        <v>190</v>
      </c>
      <c r="C50" s="217"/>
      <c r="D50" s="217"/>
      <c r="E50" s="217"/>
      <c r="F50" s="218"/>
      <c r="G50" s="111">
        <v>2</v>
      </c>
      <c r="H50" s="111" t="s">
        <v>191</v>
      </c>
      <c r="I50" s="225" t="s">
        <v>189</v>
      </c>
      <c r="J50" s="226"/>
      <c r="K50" s="227"/>
      <c r="L50" s="106" t="s">
        <v>191</v>
      </c>
      <c r="M50" s="106" t="s">
        <v>191</v>
      </c>
      <c r="N50" s="167"/>
      <c r="O50" s="168"/>
      <c r="P50" s="168"/>
      <c r="Q50" s="168"/>
      <c r="R50" s="168"/>
      <c r="S50" s="169"/>
      <c r="T50" s="106"/>
      <c r="U50" s="106"/>
      <c r="V50" s="173"/>
      <c r="W50" s="174"/>
      <c r="X50" s="175"/>
      <c r="Y50" s="106"/>
      <c r="Z50" s="106"/>
    </row>
    <row r="51" spans="1:26" ht="18" customHeight="1" x14ac:dyDescent="0.15">
      <c r="A51" s="99"/>
      <c r="B51" s="182" t="s">
        <v>193</v>
      </c>
      <c r="C51" s="183"/>
      <c r="D51" s="183"/>
      <c r="E51" s="183"/>
      <c r="F51" s="184"/>
      <c r="G51" s="106">
        <v>1</v>
      </c>
      <c r="H51" s="106" t="s">
        <v>191</v>
      </c>
      <c r="I51" s="173" t="s">
        <v>225</v>
      </c>
      <c r="J51" s="174"/>
      <c r="K51" s="175"/>
      <c r="L51" s="106" t="s">
        <v>191</v>
      </c>
      <c r="M51" s="106" t="s">
        <v>191</v>
      </c>
      <c r="N51" s="167"/>
      <c r="O51" s="168"/>
      <c r="P51" s="168"/>
      <c r="Q51" s="168"/>
      <c r="R51" s="168"/>
      <c r="S51" s="169"/>
      <c r="T51" s="106"/>
      <c r="U51" s="106"/>
      <c r="V51" s="173"/>
      <c r="W51" s="174"/>
      <c r="X51" s="175"/>
      <c r="Y51" s="106"/>
      <c r="Z51" s="106"/>
    </row>
    <row r="52" spans="1:26" ht="18" customHeight="1" x14ac:dyDescent="0.15">
      <c r="A52" s="99"/>
      <c r="B52" s="182" t="s">
        <v>192</v>
      </c>
      <c r="C52" s="183"/>
      <c r="D52" s="183"/>
      <c r="E52" s="183"/>
      <c r="F52" s="184"/>
      <c r="G52" s="106">
        <v>1</v>
      </c>
      <c r="H52" s="106" t="s">
        <v>191</v>
      </c>
      <c r="I52" s="173" t="s">
        <v>225</v>
      </c>
      <c r="J52" s="174"/>
      <c r="K52" s="175"/>
      <c r="L52" s="106" t="s">
        <v>191</v>
      </c>
      <c r="M52" s="106" t="s">
        <v>191</v>
      </c>
      <c r="N52" s="167"/>
      <c r="O52" s="168"/>
      <c r="P52" s="168"/>
      <c r="Q52" s="168"/>
      <c r="R52" s="168"/>
      <c r="S52" s="169"/>
      <c r="T52" s="106"/>
      <c r="U52" s="106"/>
      <c r="V52" s="173"/>
      <c r="W52" s="174"/>
      <c r="X52" s="175"/>
      <c r="Y52" s="106"/>
      <c r="Z52" s="106"/>
    </row>
    <row r="53" spans="1:26" ht="18" customHeight="1" x14ac:dyDescent="0.15">
      <c r="A53" s="99"/>
      <c r="B53" s="182"/>
      <c r="C53" s="183"/>
      <c r="D53" s="183"/>
      <c r="E53" s="183"/>
      <c r="F53" s="184"/>
      <c r="G53" s="106"/>
      <c r="H53" s="106"/>
      <c r="I53" s="173"/>
      <c r="J53" s="174"/>
      <c r="K53" s="175"/>
      <c r="L53" s="106"/>
      <c r="M53" s="106"/>
      <c r="N53" s="167"/>
      <c r="O53" s="168"/>
      <c r="P53" s="168"/>
      <c r="Q53" s="168"/>
      <c r="R53" s="168"/>
      <c r="S53" s="169"/>
      <c r="T53" s="106"/>
      <c r="U53" s="106"/>
      <c r="V53" s="173"/>
      <c r="W53" s="174"/>
      <c r="X53" s="175"/>
      <c r="Y53" s="106"/>
      <c r="Z53" s="106"/>
    </row>
    <row r="54" spans="1:26" ht="18" customHeight="1" x14ac:dyDescent="0.15">
      <c r="A54" s="99"/>
      <c r="B54" s="182"/>
      <c r="C54" s="183"/>
      <c r="D54" s="183"/>
      <c r="E54" s="183"/>
      <c r="F54" s="184"/>
      <c r="G54" s="106"/>
      <c r="H54" s="106"/>
      <c r="I54" s="173"/>
      <c r="J54" s="174"/>
      <c r="K54" s="175"/>
      <c r="L54" s="106"/>
      <c r="M54" s="106"/>
      <c r="N54" s="167"/>
      <c r="O54" s="168"/>
      <c r="P54" s="168"/>
      <c r="Q54" s="168"/>
      <c r="R54" s="168"/>
      <c r="S54" s="169"/>
      <c r="T54" s="106"/>
      <c r="U54" s="106"/>
      <c r="V54" s="173"/>
      <c r="W54" s="174"/>
      <c r="X54" s="175"/>
      <c r="Y54" s="106"/>
      <c r="Z54" s="106"/>
    </row>
    <row r="55" spans="1:26" ht="18" customHeight="1" x14ac:dyDescent="0.15">
      <c r="A55" s="99"/>
      <c r="B55" s="185"/>
      <c r="C55" s="186"/>
      <c r="D55" s="186"/>
      <c r="E55" s="186"/>
      <c r="F55" s="187"/>
      <c r="G55" s="107"/>
      <c r="H55" s="107"/>
      <c r="I55" s="176"/>
      <c r="J55" s="177"/>
      <c r="K55" s="178"/>
      <c r="L55" s="108"/>
      <c r="M55" s="108"/>
      <c r="N55" s="170"/>
      <c r="O55" s="171"/>
      <c r="P55" s="171"/>
      <c r="Q55" s="171"/>
      <c r="R55" s="171"/>
      <c r="S55" s="172"/>
      <c r="T55" s="107"/>
      <c r="U55" s="107"/>
      <c r="V55" s="176"/>
      <c r="W55" s="177"/>
      <c r="X55" s="178"/>
      <c r="Y55" s="108"/>
      <c r="Z55" s="108"/>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B59" s="179" t="s">
        <v>100</v>
      </c>
      <c r="C59" s="180"/>
      <c r="D59" s="180"/>
      <c r="E59" s="181"/>
      <c r="F59" s="102" t="s">
        <v>141</v>
      </c>
      <c r="G59" s="103" t="s">
        <v>140</v>
      </c>
      <c r="H59" s="112" t="s">
        <v>101</v>
      </c>
      <c r="I59" s="113"/>
      <c r="J59" s="114"/>
      <c r="K59" s="104" t="s">
        <v>105</v>
      </c>
      <c r="L59" s="104" t="s">
        <v>134</v>
      </c>
      <c r="M59" s="104" t="s">
        <v>135</v>
      </c>
      <c r="N59" s="179" t="s">
        <v>100</v>
      </c>
      <c r="O59" s="180"/>
      <c r="P59" s="180"/>
      <c r="Q59" s="180"/>
      <c r="R59" s="181"/>
      <c r="S59" s="102" t="s">
        <v>141</v>
      </c>
      <c r="T59" s="103" t="s">
        <v>140</v>
      </c>
      <c r="U59" s="112" t="s">
        <v>101</v>
      </c>
      <c r="V59" s="113"/>
      <c r="W59" s="114"/>
      <c r="X59" s="104" t="s">
        <v>105</v>
      </c>
      <c r="Y59" s="104" t="s">
        <v>134</v>
      </c>
      <c r="Z59" s="104" t="s">
        <v>135</v>
      </c>
    </row>
    <row r="60" spans="1:26" ht="18" customHeight="1" x14ac:dyDescent="0.15">
      <c r="A60" s="99"/>
      <c r="B60" s="164" t="s">
        <v>194</v>
      </c>
      <c r="C60" s="165"/>
      <c r="D60" s="165"/>
      <c r="E60" s="166"/>
      <c r="F60" s="105">
        <v>3</v>
      </c>
      <c r="G60" s="105" t="s">
        <v>191</v>
      </c>
      <c r="H60" s="195" t="s">
        <v>225</v>
      </c>
      <c r="I60" s="196"/>
      <c r="J60" s="197"/>
      <c r="K60" s="105" t="s">
        <v>191</v>
      </c>
      <c r="L60" s="105" t="s">
        <v>191</v>
      </c>
      <c r="M60" s="105" t="s">
        <v>191</v>
      </c>
      <c r="N60" s="164"/>
      <c r="O60" s="165"/>
      <c r="P60" s="165"/>
      <c r="Q60" s="165"/>
      <c r="R60" s="166"/>
      <c r="S60" s="105"/>
      <c r="T60" s="105"/>
      <c r="U60" s="195"/>
      <c r="V60" s="196"/>
      <c r="W60" s="197"/>
      <c r="X60" s="124"/>
      <c r="Y60" s="105"/>
      <c r="Z60" s="105"/>
    </row>
    <row r="61" spans="1:26" ht="18" customHeight="1" x14ac:dyDescent="0.15">
      <c r="A61" s="99"/>
      <c r="B61" s="167"/>
      <c r="C61" s="168"/>
      <c r="D61" s="168"/>
      <c r="E61" s="169"/>
      <c r="F61" s="106"/>
      <c r="G61" s="106"/>
      <c r="H61" s="173"/>
      <c r="I61" s="174"/>
      <c r="J61" s="175"/>
      <c r="K61" s="125"/>
      <c r="L61" s="106"/>
      <c r="M61" s="106"/>
      <c r="N61" s="167"/>
      <c r="O61" s="168"/>
      <c r="P61" s="168"/>
      <c r="Q61" s="168"/>
      <c r="R61" s="169"/>
      <c r="S61" s="106"/>
      <c r="T61" s="106"/>
      <c r="U61" s="173"/>
      <c r="V61" s="174"/>
      <c r="W61" s="175"/>
      <c r="X61" s="125"/>
      <c r="Y61" s="106"/>
      <c r="Z61" s="106"/>
    </row>
    <row r="62" spans="1:26" ht="18" customHeight="1" x14ac:dyDescent="0.15">
      <c r="A62" s="99"/>
      <c r="B62" s="167"/>
      <c r="C62" s="168"/>
      <c r="D62" s="168"/>
      <c r="E62" s="169"/>
      <c r="F62" s="106"/>
      <c r="G62" s="106"/>
      <c r="H62" s="173"/>
      <c r="I62" s="174"/>
      <c r="J62" s="175"/>
      <c r="K62" s="125"/>
      <c r="L62" s="106"/>
      <c r="M62" s="106"/>
      <c r="N62" s="167"/>
      <c r="O62" s="168"/>
      <c r="P62" s="168"/>
      <c r="Q62" s="168"/>
      <c r="R62" s="169"/>
      <c r="S62" s="106"/>
      <c r="T62" s="106"/>
      <c r="U62" s="173"/>
      <c r="V62" s="174"/>
      <c r="W62" s="175"/>
      <c r="X62" s="125"/>
      <c r="Y62" s="106"/>
      <c r="Z62" s="106"/>
    </row>
    <row r="63" spans="1:26" ht="18" customHeight="1" x14ac:dyDescent="0.15">
      <c r="A63" s="99"/>
      <c r="B63" s="167"/>
      <c r="C63" s="168"/>
      <c r="D63" s="168"/>
      <c r="E63" s="169"/>
      <c r="F63" s="106"/>
      <c r="G63" s="106"/>
      <c r="H63" s="173"/>
      <c r="I63" s="174"/>
      <c r="J63" s="175"/>
      <c r="K63" s="125"/>
      <c r="L63" s="106"/>
      <c r="M63" s="106"/>
      <c r="N63" s="167"/>
      <c r="O63" s="168"/>
      <c r="P63" s="168"/>
      <c r="Q63" s="168"/>
      <c r="R63" s="169"/>
      <c r="S63" s="106"/>
      <c r="T63" s="106"/>
      <c r="U63" s="173"/>
      <c r="V63" s="174"/>
      <c r="W63" s="175"/>
      <c r="X63" s="125"/>
      <c r="Y63" s="106"/>
      <c r="Z63" s="106"/>
    </row>
    <row r="64" spans="1:26" ht="18" customHeight="1" x14ac:dyDescent="0.15">
      <c r="A64" s="99"/>
      <c r="B64" s="167"/>
      <c r="C64" s="168"/>
      <c r="D64" s="168"/>
      <c r="E64" s="169"/>
      <c r="F64" s="106"/>
      <c r="G64" s="106"/>
      <c r="H64" s="173"/>
      <c r="I64" s="174"/>
      <c r="J64" s="175"/>
      <c r="K64" s="125"/>
      <c r="L64" s="106"/>
      <c r="M64" s="106"/>
      <c r="N64" s="167"/>
      <c r="O64" s="168"/>
      <c r="P64" s="168"/>
      <c r="Q64" s="168"/>
      <c r="R64" s="169"/>
      <c r="S64" s="106"/>
      <c r="T64" s="106"/>
      <c r="U64" s="173"/>
      <c r="V64" s="174"/>
      <c r="W64" s="175"/>
      <c r="X64" s="125"/>
      <c r="Y64" s="106"/>
      <c r="Z64" s="106"/>
    </row>
    <row r="65" spans="1:26" ht="18" customHeight="1" x14ac:dyDescent="0.15">
      <c r="A65" s="99"/>
      <c r="B65" s="167"/>
      <c r="C65" s="168"/>
      <c r="D65" s="168"/>
      <c r="E65" s="169"/>
      <c r="F65" s="106"/>
      <c r="G65" s="106"/>
      <c r="H65" s="173"/>
      <c r="I65" s="174"/>
      <c r="J65" s="175"/>
      <c r="K65" s="125"/>
      <c r="L65" s="106"/>
      <c r="M65" s="106"/>
      <c r="N65" s="167"/>
      <c r="O65" s="168"/>
      <c r="P65" s="168"/>
      <c r="Q65" s="168"/>
      <c r="R65" s="169"/>
      <c r="S65" s="106"/>
      <c r="T65" s="106"/>
      <c r="U65" s="173"/>
      <c r="V65" s="174"/>
      <c r="W65" s="175"/>
      <c r="X65" s="125"/>
      <c r="Y65" s="106"/>
      <c r="Z65" s="106"/>
    </row>
    <row r="66" spans="1:26" ht="18" customHeight="1" x14ac:dyDescent="0.15">
      <c r="A66" s="99"/>
      <c r="B66" s="170"/>
      <c r="C66" s="171"/>
      <c r="D66" s="171"/>
      <c r="E66" s="172"/>
      <c r="F66" s="107"/>
      <c r="G66" s="107"/>
      <c r="H66" s="176"/>
      <c r="I66" s="177"/>
      <c r="J66" s="178"/>
      <c r="K66" s="126"/>
      <c r="L66" s="108"/>
      <c r="M66" s="108"/>
      <c r="N66" s="170"/>
      <c r="O66" s="171"/>
      <c r="P66" s="171"/>
      <c r="Q66" s="171"/>
      <c r="R66" s="172"/>
      <c r="S66" s="107"/>
      <c r="T66" s="107"/>
      <c r="U66" s="176"/>
      <c r="V66" s="177"/>
      <c r="W66" s="178"/>
      <c r="X66" s="126"/>
      <c r="Y66" s="108"/>
      <c r="Z66" s="108"/>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2" t="s">
        <v>136</v>
      </c>
      <c r="L68" s="99"/>
      <c r="M68" s="99"/>
      <c r="N68" s="99"/>
      <c r="O68" s="99"/>
      <c r="P68" s="99"/>
      <c r="Q68" s="99"/>
      <c r="R68" s="99"/>
      <c r="S68" s="99"/>
      <c r="T68" s="99"/>
      <c r="U68" s="99"/>
      <c r="V68" s="99"/>
      <c r="W68" s="99"/>
      <c r="X68" s="99"/>
      <c r="Y68" s="99"/>
      <c r="Z68" s="99"/>
    </row>
    <row r="69" spans="1:26" ht="18" customHeight="1" x14ac:dyDescent="0.15">
      <c r="B69" s="179" t="s">
        <v>100</v>
      </c>
      <c r="C69" s="180"/>
      <c r="D69" s="180"/>
      <c r="E69" s="180"/>
      <c r="F69" s="181"/>
      <c r="G69" s="179" t="s">
        <v>146</v>
      </c>
      <c r="H69" s="180"/>
      <c r="I69" s="180"/>
      <c r="J69" s="180"/>
      <c r="K69" s="180"/>
      <c r="L69" s="180"/>
      <c r="M69" s="181"/>
      <c r="N69" s="192" t="s">
        <v>100</v>
      </c>
      <c r="O69" s="193"/>
      <c r="P69" s="193"/>
      <c r="Q69" s="193"/>
      <c r="R69" s="193"/>
      <c r="S69" s="194"/>
      <c r="T69" s="179" t="s">
        <v>146</v>
      </c>
      <c r="U69" s="180"/>
      <c r="V69" s="180"/>
      <c r="W69" s="180"/>
      <c r="X69" s="180"/>
      <c r="Y69" s="180"/>
      <c r="Z69" s="181"/>
    </row>
    <row r="70" spans="1:26" ht="18" customHeight="1" x14ac:dyDescent="0.15">
      <c r="A70" s="99"/>
      <c r="B70" s="164"/>
      <c r="C70" s="165"/>
      <c r="D70" s="165"/>
      <c r="E70" s="165"/>
      <c r="F70" s="166"/>
      <c r="G70" s="241"/>
      <c r="H70" s="242"/>
      <c r="I70" s="242"/>
      <c r="J70" s="242"/>
      <c r="K70" s="242"/>
      <c r="L70" s="242"/>
      <c r="M70" s="243"/>
      <c r="N70" s="164"/>
      <c r="O70" s="165"/>
      <c r="P70" s="165"/>
      <c r="Q70" s="165"/>
      <c r="R70" s="165"/>
      <c r="S70" s="166"/>
      <c r="T70" s="241"/>
      <c r="U70" s="242"/>
      <c r="V70" s="242"/>
      <c r="W70" s="242"/>
      <c r="X70" s="242"/>
      <c r="Y70" s="242"/>
      <c r="Z70" s="243"/>
    </row>
    <row r="71" spans="1:26" ht="18" customHeight="1" x14ac:dyDescent="0.15">
      <c r="A71" s="99"/>
      <c r="B71" s="167"/>
      <c r="C71" s="168"/>
      <c r="D71" s="168"/>
      <c r="E71" s="168"/>
      <c r="F71" s="169"/>
      <c r="G71" s="213"/>
      <c r="H71" s="214"/>
      <c r="I71" s="214"/>
      <c r="J71" s="214"/>
      <c r="K71" s="214"/>
      <c r="L71" s="214"/>
      <c r="M71" s="215"/>
      <c r="N71" s="167"/>
      <c r="O71" s="168"/>
      <c r="P71" s="168"/>
      <c r="Q71" s="168"/>
      <c r="R71" s="168"/>
      <c r="S71" s="169"/>
      <c r="T71" s="213"/>
      <c r="U71" s="214"/>
      <c r="V71" s="214"/>
      <c r="W71" s="214"/>
      <c r="X71" s="214"/>
      <c r="Y71" s="214"/>
      <c r="Z71" s="215"/>
    </row>
    <row r="72" spans="1:26" ht="18" customHeight="1" x14ac:dyDescent="0.15">
      <c r="A72" s="99"/>
      <c r="B72" s="167"/>
      <c r="C72" s="168"/>
      <c r="D72" s="168"/>
      <c r="E72" s="168"/>
      <c r="F72" s="169"/>
      <c r="G72" s="213"/>
      <c r="H72" s="214"/>
      <c r="I72" s="214"/>
      <c r="J72" s="214"/>
      <c r="K72" s="214"/>
      <c r="L72" s="214"/>
      <c r="M72" s="215"/>
      <c r="N72" s="167"/>
      <c r="O72" s="168"/>
      <c r="P72" s="168"/>
      <c r="Q72" s="168"/>
      <c r="R72" s="168"/>
      <c r="S72" s="169"/>
      <c r="T72" s="213"/>
      <c r="U72" s="214"/>
      <c r="V72" s="214"/>
      <c r="W72" s="214"/>
      <c r="X72" s="214"/>
      <c r="Y72" s="214"/>
      <c r="Z72" s="215"/>
    </row>
    <row r="73" spans="1:26" ht="18" customHeight="1" x14ac:dyDescent="0.15">
      <c r="A73" s="99"/>
      <c r="B73" s="167"/>
      <c r="C73" s="168"/>
      <c r="D73" s="168"/>
      <c r="E73" s="168"/>
      <c r="F73" s="169"/>
      <c r="G73" s="213"/>
      <c r="H73" s="214"/>
      <c r="I73" s="214"/>
      <c r="J73" s="214"/>
      <c r="K73" s="214"/>
      <c r="L73" s="214"/>
      <c r="M73" s="215"/>
      <c r="N73" s="167"/>
      <c r="O73" s="168"/>
      <c r="P73" s="168"/>
      <c r="Q73" s="168"/>
      <c r="R73" s="168"/>
      <c r="S73" s="169"/>
      <c r="T73" s="213"/>
      <c r="U73" s="214"/>
      <c r="V73" s="214"/>
      <c r="W73" s="214"/>
      <c r="X73" s="214"/>
      <c r="Y73" s="214"/>
      <c r="Z73" s="215"/>
    </row>
    <row r="74" spans="1:26" ht="18" customHeight="1" x14ac:dyDescent="0.15">
      <c r="A74" s="99"/>
      <c r="B74" s="167"/>
      <c r="C74" s="168"/>
      <c r="D74" s="168"/>
      <c r="E74" s="168"/>
      <c r="F74" s="169"/>
      <c r="G74" s="213"/>
      <c r="H74" s="214"/>
      <c r="I74" s="214"/>
      <c r="J74" s="214"/>
      <c r="K74" s="214"/>
      <c r="L74" s="214"/>
      <c r="M74" s="215"/>
      <c r="N74" s="167"/>
      <c r="O74" s="168"/>
      <c r="P74" s="168"/>
      <c r="Q74" s="168"/>
      <c r="R74" s="168"/>
      <c r="S74" s="169"/>
      <c r="T74" s="213"/>
      <c r="U74" s="214"/>
      <c r="V74" s="214"/>
      <c r="W74" s="214"/>
      <c r="X74" s="214"/>
      <c r="Y74" s="214"/>
      <c r="Z74" s="215"/>
    </row>
    <row r="75" spans="1:26" ht="18" customHeight="1" x14ac:dyDescent="0.15">
      <c r="A75" s="99"/>
      <c r="B75" s="167"/>
      <c r="C75" s="168"/>
      <c r="D75" s="168"/>
      <c r="E75" s="168"/>
      <c r="F75" s="169"/>
      <c r="G75" s="213"/>
      <c r="H75" s="214"/>
      <c r="I75" s="214"/>
      <c r="J75" s="214"/>
      <c r="K75" s="214"/>
      <c r="L75" s="214"/>
      <c r="M75" s="215"/>
      <c r="N75" s="167"/>
      <c r="O75" s="168"/>
      <c r="P75" s="168"/>
      <c r="Q75" s="168"/>
      <c r="R75" s="168"/>
      <c r="S75" s="169"/>
      <c r="T75" s="213"/>
      <c r="U75" s="214"/>
      <c r="V75" s="214"/>
      <c r="W75" s="214"/>
      <c r="X75" s="214"/>
      <c r="Y75" s="214"/>
      <c r="Z75" s="215"/>
    </row>
    <row r="76" spans="1:26" ht="18" customHeight="1" x14ac:dyDescent="0.15">
      <c r="A76" s="99"/>
      <c r="B76" s="170"/>
      <c r="C76" s="171"/>
      <c r="D76" s="171"/>
      <c r="E76" s="171"/>
      <c r="F76" s="172"/>
      <c r="G76" s="210"/>
      <c r="H76" s="211"/>
      <c r="I76" s="211"/>
      <c r="J76" s="211"/>
      <c r="K76" s="211"/>
      <c r="L76" s="211"/>
      <c r="M76" s="212"/>
      <c r="N76" s="170"/>
      <c r="O76" s="171"/>
      <c r="P76" s="171"/>
      <c r="Q76" s="171"/>
      <c r="R76" s="171"/>
      <c r="S76" s="172"/>
      <c r="T76" s="210"/>
      <c r="U76" s="211"/>
      <c r="V76" s="211"/>
      <c r="W76" s="211"/>
      <c r="X76" s="211"/>
      <c r="Y76" s="211"/>
      <c r="Z76" s="212"/>
    </row>
    <row r="77" spans="1:26" ht="18" customHeight="1" x14ac:dyDescent="0.15">
      <c r="A77" s="99"/>
      <c r="B77" s="115"/>
      <c r="C77" s="115"/>
      <c r="D77" s="115"/>
      <c r="E77" s="115"/>
      <c r="F77" s="115"/>
      <c r="G77" s="116"/>
      <c r="H77" s="116"/>
      <c r="I77" s="116"/>
      <c r="J77" s="116"/>
      <c r="K77" s="116"/>
      <c r="L77" s="116"/>
      <c r="M77" s="116"/>
      <c r="N77" s="115"/>
      <c r="O77" s="115"/>
      <c r="P77" s="115"/>
      <c r="Q77" s="115"/>
      <c r="R77" s="115"/>
      <c r="S77" s="115"/>
      <c r="T77" s="116"/>
      <c r="U77" s="116"/>
      <c r="V77" s="116"/>
      <c r="W77" s="116"/>
      <c r="X77" s="116"/>
      <c r="Y77" s="116"/>
      <c r="Z77" s="116"/>
    </row>
    <row r="78" spans="1:26" ht="18.75" customHeight="1" x14ac:dyDescent="0.15">
      <c r="A78" s="72" t="s">
        <v>142</v>
      </c>
    </row>
    <row r="79" spans="1:26" ht="18.75" customHeight="1" x14ac:dyDescent="0.15">
      <c r="B79" s="131" t="s">
        <v>102</v>
      </c>
      <c r="C79" s="132"/>
      <c r="D79" s="180" t="s">
        <v>103</v>
      </c>
      <c r="E79" s="180"/>
      <c r="F79" s="180"/>
      <c r="G79" s="180"/>
      <c r="H79" s="180"/>
      <c r="I79" s="180"/>
      <c r="J79" s="180"/>
      <c r="K79" s="180"/>
      <c r="L79" s="180"/>
      <c r="M79" s="180"/>
      <c r="N79" s="180"/>
      <c r="O79" s="180"/>
      <c r="P79" s="180"/>
      <c r="Q79" s="180"/>
      <c r="R79" s="180"/>
      <c r="S79" s="180"/>
      <c r="T79" s="180"/>
      <c r="U79" s="180"/>
      <c r="V79" s="180"/>
      <c r="W79" s="180"/>
      <c r="X79" s="180"/>
      <c r="Y79" s="180"/>
      <c r="Z79" s="181"/>
    </row>
    <row r="80" spans="1:26" ht="78" customHeight="1" x14ac:dyDescent="0.15">
      <c r="B80" s="247" t="s">
        <v>109</v>
      </c>
      <c r="C80" s="117" t="s">
        <v>104</v>
      </c>
      <c r="D80" s="254" t="s">
        <v>226</v>
      </c>
      <c r="E80" s="254"/>
      <c r="F80" s="254"/>
      <c r="G80" s="254"/>
      <c r="H80" s="254"/>
      <c r="I80" s="254"/>
      <c r="J80" s="254"/>
      <c r="K80" s="254"/>
      <c r="L80" s="254"/>
      <c r="M80" s="254"/>
      <c r="N80" s="254"/>
      <c r="O80" s="254"/>
      <c r="P80" s="254"/>
      <c r="Q80" s="254"/>
      <c r="R80" s="254"/>
      <c r="S80" s="254"/>
      <c r="T80" s="254"/>
      <c r="U80" s="254"/>
      <c r="V80" s="254"/>
      <c r="W80" s="254"/>
      <c r="X80" s="254"/>
      <c r="Y80" s="254"/>
      <c r="Z80" s="255"/>
    </row>
    <row r="81" spans="1:26" ht="78" customHeight="1" x14ac:dyDescent="0.15">
      <c r="B81" s="249"/>
      <c r="C81" s="118" t="s">
        <v>137</v>
      </c>
      <c r="D81" s="216" t="s">
        <v>227</v>
      </c>
      <c r="E81" s="217"/>
      <c r="F81" s="217"/>
      <c r="G81" s="217"/>
      <c r="H81" s="217"/>
      <c r="I81" s="217"/>
      <c r="J81" s="217"/>
      <c r="K81" s="217"/>
      <c r="L81" s="217"/>
      <c r="M81" s="217"/>
      <c r="N81" s="217"/>
      <c r="O81" s="217"/>
      <c r="P81" s="217"/>
      <c r="Q81" s="217"/>
      <c r="R81" s="217"/>
      <c r="S81" s="217"/>
      <c r="T81" s="217"/>
      <c r="U81" s="217"/>
      <c r="V81" s="217"/>
      <c r="W81" s="217"/>
      <c r="X81" s="217"/>
      <c r="Y81" s="217"/>
      <c r="Z81" s="218"/>
    </row>
    <row r="82" spans="1:26" ht="78" customHeight="1" x14ac:dyDescent="0.15">
      <c r="B82" s="247" t="s">
        <v>110</v>
      </c>
      <c r="C82" s="119" t="s">
        <v>127</v>
      </c>
      <c r="D82" s="219" t="s">
        <v>228</v>
      </c>
      <c r="E82" s="219"/>
      <c r="F82" s="219"/>
      <c r="G82" s="219"/>
      <c r="H82" s="219"/>
      <c r="I82" s="219"/>
      <c r="J82" s="219"/>
      <c r="K82" s="219"/>
      <c r="L82" s="219"/>
      <c r="M82" s="219"/>
      <c r="N82" s="219"/>
      <c r="O82" s="219"/>
      <c r="P82" s="219"/>
      <c r="Q82" s="219"/>
      <c r="R82" s="219"/>
      <c r="S82" s="219"/>
      <c r="T82" s="219"/>
      <c r="U82" s="219"/>
      <c r="V82" s="219"/>
      <c r="W82" s="219"/>
      <c r="X82" s="219"/>
      <c r="Y82" s="219"/>
      <c r="Z82" s="220"/>
    </row>
    <row r="83" spans="1:26" ht="78" customHeight="1" x14ac:dyDescent="0.15">
      <c r="B83" s="248"/>
      <c r="C83" s="120" t="s">
        <v>128</v>
      </c>
      <c r="D83" s="223" t="s">
        <v>229</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247" t="s">
        <v>111</v>
      </c>
      <c r="C84" s="119" t="s">
        <v>130</v>
      </c>
      <c r="D84" s="219" t="s">
        <v>230</v>
      </c>
      <c r="E84" s="219"/>
      <c r="F84" s="219"/>
      <c r="G84" s="219"/>
      <c r="H84" s="219"/>
      <c r="I84" s="219"/>
      <c r="J84" s="219"/>
      <c r="K84" s="219"/>
      <c r="L84" s="219"/>
      <c r="M84" s="219"/>
      <c r="N84" s="219"/>
      <c r="O84" s="219"/>
      <c r="P84" s="219"/>
      <c r="Q84" s="219"/>
      <c r="R84" s="219"/>
      <c r="S84" s="219"/>
      <c r="T84" s="219"/>
      <c r="U84" s="219"/>
      <c r="V84" s="219"/>
      <c r="W84" s="219"/>
      <c r="X84" s="219"/>
      <c r="Y84" s="219"/>
      <c r="Z84" s="220"/>
    </row>
    <row r="85" spans="1:26" ht="66" customHeight="1" x14ac:dyDescent="0.15">
      <c r="B85" s="248"/>
      <c r="C85" s="121" t="s">
        <v>131</v>
      </c>
      <c r="D85" s="221" t="s">
        <v>231</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6" ht="66" customHeight="1" x14ac:dyDescent="0.15">
      <c r="B86" s="247" t="s">
        <v>138</v>
      </c>
      <c r="C86" s="117" t="s">
        <v>106</v>
      </c>
      <c r="D86" s="254" t="s">
        <v>232</v>
      </c>
      <c r="E86" s="254"/>
      <c r="F86" s="254"/>
      <c r="G86" s="254"/>
      <c r="H86" s="254"/>
      <c r="I86" s="254"/>
      <c r="J86" s="254"/>
      <c r="K86" s="254"/>
      <c r="L86" s="254"/>
      <c r="M86" s="254"/>
      <c r="N86" s="254"/>
      <c r="O86" s="254"/>
      <c r="P86" s="254"/>
      <c r="Q86" s="254"/>
      <c r="R86" s="254"/>
      <c r="S86" s="254"/>
      <c r="T86" s="254"/>
      <c r="U86" s="254"/>
      <c r="V86" s="254"/>
      <c r="W86" s="254"/>
      <c r="X86" s="254"/>
      <c r="Y86" s="254"/>
      <c r="Z86" s="255"/>
    </row>
    <row r="87" spans="1:26" ht="66" customHeight="1" x14ac:dyDescent="0.15">
      <c r="B87" s="249"/>
      <c r="C87" s="122" t="s">
        <v>108</v>
      </c>
      <c r="D87" s="256" t="s">
        <v>233</v>
      </c>
      <c r="E87" s="256"/>
      <c r="F87" s="256"/>
      <c r="G87" s="256"/>
      <c r="H87" s="256"/>
      <c r="I87" s="256"/>
      <c r="J87" s="256"/>
      <c r="K87" s="256"/>
      <c r="L87" s="256"/>
      <c r="M87" s="256"/>
      <c r="N87" s="256"/>
      <c r="O87" s="256"/>
      <c r="P87" s="256"/>
      <c r="Q87" s="256"/>
      <c r="R87" s="256"/>
      <c r="S87" s="256"/>
      <c r="T87" s="256"/>
      <c r="U87" s="256"/>
      <c r="V87" s="256"/>
      <c r="W87" s="256"/>
      <c r="X87" s="256"/>
      <c r="Y87" s="256"/>
      <c r="Z87" s="257"/>
    </row>
    <row r="88" spans="1:26" ht="66" customHeight="1" x14ac:dyDescent="0.15">
      <c r="B88" s="247" t="s">
        <v>139</v>
      </c>
      <c r="C88" s="119" t="s">
        <v>105</v>
      </c>
      <c r="D88" s="250" t="s">
        <v>234</v>
      </c>
      <c r="E88" s="250"/>
      <c r="F88" s="250"/>
      <c r="G88" s="250"/>
      <c r="H88" s="250"/>
      <c r="I88" s="250"/>
      <c r="J88" s="250"/>
      <c r="K88" s="250"/>
      <c r="L88" s="250"/>
      <c r="M88" s="250"/>
      <c r="N88" s="250"/>
      <c r="O88" s="250"/>
      <c r="P88" s="250"/>
      <c r="Q88" s="250"/>
      <c r="R88" s="250"/>
      <c r="S88" s="250"/>
      <c r="T88" s="250"/>
      <c r="U88" s="250"/>
      <c r="V88" s="250"/>
      <c r="W88" s="250"/>
      <c r="X88" s="250"/>
      <c r="Y88" s="250"/>
      <c r="Z88" s="251"/>
    </row>
    <row r="89" spans="1:26" ht="66" customHeight="1" x14ac:dyDescent="0.15">
      <c r="B89" s="249"/>
      <c r="C89" s="122" t="s">
        <v>134</v>
      </c>
      <c r="D89" s="244" t="s">
        <v>235</v>
      </c>
      <c r="E89" s="245"/>
      <c r="F89" s="245"/>
      <c r="G89" s="245"/>
      <c r="H89" s="245"/>
      <c r="I89" s="245"/>
      <c r="J89" s="245"/>
      <c r="K89" s="245"/>
      <c r="L89" s="245"/>
      <c r="M89" s="245"/>
      <c r="N89" s="245"/>
      <c r="O89" s="245"/>
      <c r="P89" s="245"/>
      <c r="Q89" s="245"/>
      <c r="R89" s="245"/>
      <c r="S89" s="245"/>
      <c r="T89" s="245"/>
      <c r="U89" s="245"/>
      <c r="V89" s="245"/>
      <c r="W89" s="245"/>
      <c r="X89" s="245"/>
      <c r="Y89" s="245"/>
      <c r="Z89" s="246"/>
    </row>
    <row r="90" spans="1:26" ht="66" customHeight="1" x14ac:dyDescent="0.15">
      <c r="B90" s="248"/>
      <c r="C90" s="121" t="s">
        <v>135</v>
      </c>
      <c r="D90" s="252" t="s">
        <v>236</v>
      </c>
      <c r="E90" s="252"/>
      <c r="F90" s="252"/>
      <c r="G90" s="252"/>
      <c r="H90" s="252"/>
      <c r="I90" s="252"/>
      <c r="J90" s="252"/>
      <c r="K90" s="252"/>
      <c r="L90" s="252"/>
      <c r="M90" s="252"/>
      <c r="N90" s="252"/>
      <c r="O90" s="252"/>
      <c r="P90" s="252"/>
      <c r="Q90" s="252"/>
      <c r="R90" s="252"/>
      <c r="S90" s="252"/>
      <c r="T90" s="252"/>
      <c r="U90" s="252"/>
      <c r="V90" s="252"/>
      <c r="W90" s="252"/>
      <c r="X90" s="252"/>
      <c r="Y90" s="252"/>
      <c r="Z90" s="253"/>
    </row>
    <row r="91" spans="1:26" ht="6" customHeight="1" x14ac:dyDescent="0.15"/>
    <row r="92" spans="1:26" ht="18.75" customHeight="1" x14ac:dyDescent="0.15">
      <c r="A92" s="72" t="s">
        <v>143</v>
      </c>
    </row>
    <row r="93" spans="1:26" ht="18.75" customHeight="1" x14ac:dyDescent="0.15">
      <c r="B93" s="198" t="s">
        <v>209</v>
      </c>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200"/>
    </row>
    <row r="94" spans="1:26" ht="18.75" customHeight="1" x14ac:dyDescent="0.15">
      <c r="B94" s="201"/>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3"/>
    </row>
    <row r="95" spans="1:26" ht="18.75" customHeight="1" x14ac:dyDescent="0.15">
      <c r="B95" s="204"/>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6"/>
    </row>
    <row r="96" spans="1:26" ht="6" customHeight="1" x14ac:dyDescent="0.15"/>
    <row r="97" spans="1:26" ht="15" customHeight="1" x14ac:dyDescent="0.15">
      <c r="A97" s="72" t="s">
        <v>144</v>
      </c>
    </row>
    <row r="98" spans="1:26" ht="15" customHeight="1" x14ac:dyDescent="0.15">
      <c r="B98" s="207" t="s">
        <v>210</v>
      </c>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9"/>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T60:T66 U38:U44 H38:H44 U49:U55 G60:G66 H49:H55 K60" xr:uid="{4C0986EB-3601-4249-85F7-B678A400A117}">
      <formula1>"○"</formula1>
    </dataValidation>
    <dataValidation type="list" allowBlank="1" showInputMessage="1" showErrorMessage="1" sqref="Z23 Z34 D34:K34 D23:K23 V16:V22 I16:I22 V27:V33 I27:I33 V38:V44 H60:H66 V49:V55 I38:I44 U60:U66 I49:I55"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F1C8B2DD-F772-402A-95E4-0769AF73A24D}"/>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4A10-17E1-4334-9044-66C5CA165E3F}">
  <sheetPr>
    <tabColor rgb="FFCCFFFF"/>
  </sheetPr>
  <dimension ref="A1:Z98"/>
  <sheetViews>
    <sheetView showZeros="0" view="pageBreakPreview" zoomScaleNormal="100" zoomScaleSheetLayoutView="100" workbookViewId="0">
      <selection activeCell="B6" sqref="B6:Z11"/>
    </sheetView>
  </sheetViews>
  <sheetFormatPr defaultColWidth="9" defaultRowHeight="18.75" customHeight="1" x14ac:dyDescent="0.15"/>
  <cols>
    <col min="1" max="1" width="2.5" style="72" customWidth="1"/>
    <col min="2" max="2" width="27.75" style="72" customWidth="1"/>
    <col min="3" max="13" width="3.375" style="72" customWidth="1"/>
    <col min="14" max="14" width="8.875" style="72" customWidth="1"/>
    <col min="15" max="15" width="18.875" style="72" customWidth="1"/>
    <col min="16" max="19" width="3.375" style="72" customWidth="1"/>
    <col min="20" max="20" width="3.5" style="72" customWidth="1"/>
    <col min="21" max="26" width="3.375" style="72" customWidth="1"/>
    <col min="27" max="16384" width="9" style="72"/>
  </cols>
  <sheetData>
    <row r="1" spans="1:26" ht="15" customHeight="1" x14ac:dyDescent="0.15">
      <c r="W1" s="188" t="s">
        <v>184</v>
      </c>
      <c r="X1" s="188"/>
      <c r="Y1" s="188"/>
      <c r="Z1" s="188"/>
    </row>
    <row r="2" spans="1:26" ht="18" customHeight="1" x14ac:dyDescent="0.15">
      <c r="A2" s="230" t="s">
        <v>67</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130"/>
      <c r="C3" s="130"/>
      <c r="D3" s="130"/>
      <c r="E3" s="130"/>
      <c r="F3" s="130"/>
      <c r="G3" s="130"/>
      <c r="H3" s="130"/>
      <c r="I3" s="130"/>
      <c r="J3" s="130"/>
      <c r="K3" s="130"/>
      <c r="L3" s="130"/>
      <c r="M3" s="130"/>
      <c r="N3" s="130"/>
      <c r="O3" s="130"/>
      <c r="P3" s="130"/>
      <c r="Q3" s="130"/>
      <c r="R3" s="130"/>
      <c r="S3" s="130"/>
      <c r="T3" s="130"/>
      <c r="U3" s="130"/>
      <c r="V3" s="130"/>
      <c r="W3" s="130"/>
      <c r="X3" s="130"/>
      <c r="Y3" s="130"/>
      <c r="Z3" s="130"/>
    </row>
    <row r="4" spans="1:26" ht="18" customHeight="1" x14ac:dyDescent="0.15">
      <c r="A4" s="72" t="s">
        <v>99</v>
      </c>
      <c r="B4" s="130"/>
      <c r="C4" s="130"/>
      <c r="D4" s="130"/>
      <c r="E4" s="130"/>
      <c r="F4" s="130"/>
      <c r="G4" s="130"/>
      <c r="H4" s="100" t="s">
        <v>112</v>
      </c>
      <c r="I4" s="130"/>
      <c r="J4" s="130"/>
      <c r="K4" s="130"/>
      <c r="L4" s="130"/>
      <c r="M4" s="130"/>
      <c r="N4" s="130"/>
      <c r="O4" s="179" t="s">
        <v>168</v>
      </c>
      <c r="P4" s="180"/>
      <c r="Q4" s="180"/>
      <c r="R4" s="180"/>
      <c r="S4" s="180"/>
      <c r="T4" s="180"/>
      <c r="U4" s="180"/>
      <c r="V4" s="180"/>
      <c r="W4" s="180"/>
      <c r="X4" s="180"/>
      <c r="Y4" s="180"/>
      <c r="Z4" s="181"/>
    </row>
    <row r="5" spans="1:26" ht="6" customHeight="1" x14ac:dyDescent="0.15">
      <c r="B5" s="130"/>
      <c r="C5" s="130"/>
      <c r="D5" s="130"/>
      <c r="E5" s="130"/>
      <c r="F5" s="130"/>
      <c r="G5" s="130"/>
      <c r="H5" s="130"/>
      <c r="I5" s="130"/>
      <c r="J5" s="130"/>
      <c r="K5" s="130"/>
      <c r="L5" s="130"/>
      <c r="M5" s="130"/>
      <c r="N5" s="130"/>
      <c r="O5" s="101"/>
      <c r="P5" s="130"/>
      <c r="Q5" s="130"/>
      <c r="R5" s="130"/>
      <c r="S5" s="130"/>
      <c r="T5" s="130"/>
      <c r="U5" s="130"/>
      <c r="V5" s="130"/>
      <c r="W5" s="130"/>
      <c r="X5" s="130"/>
      <c r="Y5" s="130"/>
      <c r="Z5" s="130"/>
    </row>
    <row r="6" spans="1:26" ht="18" customHeight="1" x14ac:dyDescent="0.15">
      <c r="B6" s="231" t="s">
        <v>223</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6"/>
    </row>
    <row r="11" spans="1:26" ht="18" customHeight="1" x14ac:dyDescent="0.15">
      <c r="B11" s="238"/>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40"/>
    </row>
    <row r="12" spans="1:26" ht="7.5" customHeight="1" x14ac:dyDescent="0.15">
      <c r="B12" s="130"/>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B15" s="179" t="s">
        <v>100</v>
      </c>
      <c r="C15" s="180"/>
      <c r="D15" s="180"/>
      <c r="E15" s="180"/>
      <c r="F15" s="181"/>
      <c r="G15" s="102" t="s">
        <v>141</v>
      </c>
      <c r="H15" s="103" t="s">
        <v>140</v>
      </c>
      <c r="I15" s="180" t="s">
        <v>101</v>
      </c>
      <c r="J15" s="180"/>
      <c r="K15" s="180"/>
      <c r="L15" s="104" t="s">
        <v>104</v>
      </c>
      <c r="M15" s="104" t="s">
        <v>107</v>
      </c>
      <c r="N15" s="179" t="s">
        <v>100</v>
      </c>
      <c r="O15" s="180"/>
      <c r="P15" s="180"/>
      <c r="Q15" s="180"/>
      <c r="R15" s="180"/>
      <c r="S15" s="181"/>
      <c r="T15" s="102" t="s">
        <v>141</v>
      </c>
      <c r="U15" s="103" t="s">
        <v>140</v>
      </c>
      <c r="V15" s="180" t="s">
        <v>101</v>
      </c>
      <c r="W15" s="180"/>
      <c r="X15" s="180"/>
      <c r="Y15" s="104" t="s">
        <v>104</v>
      </c>
      <c r="Z15" s="104" t="s">
        <v>107</v>
      </c>
    </row>
    <row r="16" spans="1:26" ht="18" customHeight="1" x14ac:dyDescent="0.15">
      <c r="B16" s="189" t="s">
        <v>188</v>
      </c>
      <c r="C16" s="190"/>
      <c r="D16" s="190"/>
      <c r="E16" s="190"/>
      <c r="F16" s="191"/>
      <c r="G16" s="105">
        <v>2</v>
      </c>
      <c r="H16" s="105" t="s">
        <v>191</v>
      </c>
      <c r="I16" s="195" t="s">
        <v>189</v>
      </c>
      <c r="J16" s="196"/>
      <c r="K16" s="197"/>
      <c r="L16" s="105" t="s">
        <v>191</v>
      </c>
      <c r="M16" s="105" t="s">
        <v>191</v>
      </c>
      <c r="N16" s="164"/>
      <c r="O16" s="165"/>
      <c r="P16" s="165"/>
      <c r="Q16" s="165"/>
      <c r="R16" s="165"/>
      <c r="S16" s="166"/>
      <c r="T16" s="105"/>
      <c r="U16" s="105"/>
      <c r="V16" s="195"/>
      <c r="W16" s="196"/>
      <c r="X16" s="197"/>
      <c r="Y16" s="105"/>
      <c r="Z16" s="105"/>
    </row>
    <row r="17" spans="1:26" ht="18" customHeight="1" x14ac:dyDescent="0.15">
      <c r="B17" s="182" t="s">
        <v>190</v>
      </c>
      <c r="C17" s="183"/>
      <c r="D17" s="183"/>
      <c r="E17" s="183"/>
      <c r="F17" s="184"/>
      <c r="G17" s="106">
        <v>2</v>
      </c>
      <c r="H17" s="106" t="s">
        <v>191</v>
      </c>
      <c r="I17" s="173" t="s">
        <v>189</v>
      </c>
      <c r="J17" s="174"/>
      <c r="K17" s="175"/>
      <c r="L17" s="106" t="s">
        <v>191</v>
      </c>
      <c r="M17" s="106" t="s">
        <v>191</v>
      </c>
      <c r="N17" s="167"/>
      <c r="O17" s="168"/>
      <c r="P17" s="168"/>
      <c r="Q17" s="168"/>
      <c r="R17" s="168"/>
      <c r="S17" s="169"/>
      <c r="T17" s="106"/>
      <c r="U17" s="106"/>
      <c r="V17" s="173"/>
      <c r="W17" s="174"/>
      <c r="X17" s="175"/>
      <c r="Y17" s="106"/>
      <c r="Z17" s="106"/>
    </row>
    <row r="18" spans="1:26" ht="18" customHeight="1" x14ac:dyDescent="0.15">
      <c r="B18" s="182" t="s">
        <v>195</v>
      </c>
      <c r="C18" s="183"/>
      <c r="D18" s="183"/>
      <c r="E18" s="183"/>
      <c r="F18" s="184"/>
      <c r="G18" s="106">
        <v>2</v>
      </c>
      <c r="H18" s="106" t="s">
        <v>191</v>
      </c>
      <c r="I18" s="173" t="s">
        <v>225</v>
      </c>
      <c r="J18" s="174"/>
      <c r="K18" s="175"/>
      <c r="L18" s="106"/>
      <c r="M18" s="106" t="s">
        <v>191</v>
      </c>
      <c r="N18" s="167"/>
      <c r="O18" s="168"/>
      <c r="P18" s="168"/>
      <c r="Q18" s="168"/>
      <c r="R18" s="168"/>
      <c r="S18" s="169"/>
      <c r="T18" s="106"/>
      <c r="U18" s="106"/>
      <c r="V18" s="173"/>
      <c r="W18" s="174"/>
      <c r="X18" s="175"/>
      <c r="Y18" s="106"/>
      <c r="Z18" s="106"/>
    </row>
    <row r="19" spans="1:26" ht="18" customHeight="1" x14ac:dyDescent="0.15">
      <c r="B19" s="182"/>
      <c r="C19" s="183"/>
      <c r="D19" s="183"/>
      <c r="E19" s="183"/>
      <c r="F19" s="184"/>
      <c r="G19" s="106"/>
      <c r="H19" s="106"/>
      <c r="I19" s="173"/>
      <c r="J19" s="174"/>
      <c r="K19" s="175"/>
      <c r="L19" s="106"/>
      <c r="M19" s="106"/>
      <c r="N19" s="167"/>
      <c r="O19" s="168"/>
      <c r="P19" s="168"/>
      <c r="Q19" s="168"/>
      <c r="R19" s="168"/>
      <c r="S19" s="169"/>
      <c r="T19" s="106"/>
      <c r="U19" s="106"/>
      <c r="V19" s="173"/>
      <c r="W19" s="174"/>
      <c r="X19" s="175"/>
      <c r="Y19" s="106"/>
      <c r="Z19" s="106"/>
    </row>
    <row r="20" spans="1:26" ht="18" customHeight="1" x14ac:dyDescent="0.15">
      <c r="B20" s="182"/>
      <c r="C20" s="183"/>
      <c r="D20" s="183"/>
      <c r="E20" s="183"/>
      <c r="F20" s="184"/>
      <c r="G20" s="106"/>
      <c r="H20" s="106"/>
      <c r="I20" s="173"/>
      <c r="J20" s="174"/>
      <c r="K20" s="175"/>
      <c r="L20" s="106"/>
      <c r="M20" s="106"/>
      <c r="N20" s="167"/>
      <c r="O20" s="168"/>
      <c r="P20" s="168"/>
      <c r="Q20" s="168"/>
      <c r="R20" s="168"/>
      <c r="S20" s="169"/>
      <c r="T20" s="106"/>
      <c r="U20" s="106"/>
      <c r="V20" s="173"/>
      <c r="W20" s="174"/>
      <c r="X20" s="175"/>
      <c r="Y20" s="106"/>
      <c r="Z20" s="106"/>
    </row>
    <row r="21" spans="1:26" ht="18" customHeight="1" x14ac:dyDescent="0.15">
      <c r="A21" s="130"/>
      <c r="B21" s="182"/>
      <c r="C21" s="183"/>
      <c r="D21" s="183"/>
      <c r="E21" s="183"/>
      <c r="F21" s="184"/>
      <c r="G21" s="106"/>
      <c r="H21" s="106"/>
      <c r="I21" s="173"/>
      <c r="J21" s="174"/>
      <c r="K21" s="175"/>
      <c r="L21" s="106"/>
      <c r="M21" s="106"/>
      <c r="N21" s="167"/>
      <c r="O21" s="168"/>
      <c r="P21" s="168"/>
      <c r="Q21" s="168"/>
      <c r="R21" s="168"/>
      <c r="S21" s="169"/>
      <c r="T21" s="106"/>
      <c r="U21" s="106"/>
      <c r="V21" s="173"/>
      <c r="W21" s="174"/>
      <c r="X21" s="175"/>
      <c r="Y21" s="106"/>
      <c r="Z21" s="106"/>
    </row>
    <row r="22" spans="1:26" ht="18" customHeight="1" x14ac:dyDescent="0.15">
      <c r="A22" s="130"/>
      <c r="B22" s="185"/>
      <c r="C22" s="186"/>
      <c r="D22" s="186"/>
      <c r="E22" s="186"/>
      <c r="F22" s="187"/>
      <c r="G22" s="107"/>
      <c r="H22" s="107"/>
      <c r="I22" s="176"/>
      <c r="J22" s="177"/>
      <c r="K22" s="178"/>
      <c r="L22" s="108"/>
      <c r="M22" s="108"/>
      <c r="N22" s="170"/>
      <c r="O22" s="171"/>
      <c r="P22" s="171"/>
      <c r="Q22" s="171"/>
      <c r="R22" s="171"/>
      <c r="S22" s="172"/>
      <c r="T22" s="107"/>
      <c r="U22" s="107"/>
      <c r="V22" s="176"/>
      <c r="W22" s="177"/>
      <c r="X22" s="178"/>
      <c r="Y22" s="108"/>
      <c r="Z22" s="108"/>
    </row>
    <row r="23" spans="1:26" ht="7.5" customHeight="1" x14ac:dyDescent="0.15">
      <c r="A23" s="130"/>
      <c r="B23" s="109"/>
      <c r="C23" s="109"/>
      <c r="D23" s="130"/>
      <c r="E23" s="130"/>
      <c r="F23" s="130"/>
      <c r="G23" s="130"/>
      <c r="H23" s="130"/>
      <c r="I23" s="130"/>
      <c r="J23" s="130"/>
      <c r="K23" s="130"/>
      <c r="L23" s="109"/>
      <c r="M23" s="109"/>
      <c r="N23" s="109"/>
      <c r="O23" s="109"/>
      <c r="P23" s="109"/>
      <c r="Q23" s="109"/>
      <c r="R23" s="109"/>
      <c r="S23" s="109"/>
      <c r="T23" s="109"/>
      <c r="U23" s="109"/>
      <c r="V23" s="109"/>
      <c r="W23" s="109"/>
      <c r="X23" s="109"/>
      <c r="Y23" s="109"/>
      <c r="Z23" s="130"/>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B26" s="179" t="s">
        <v>100</v>
      </c>
      <c r="C26" s="180"/>
      <c r="D26" s="180"/>
      <c r="E26" s="180"/>
      <c r="F26" s="181"/>
      <c r="G26" s="102" t="s">
        <v>141</v>
      </c>
      <c r="H26" s="103" t="s">
        <v>140</v>
      </c>
      <c r="I26" s="180" t="s">
        <v>101</v>
      </c>
      <c r="J26" s="180"/>
      <c r="K26" s="180"/>
      <c r="L26" s="104" t="s">
        <v>127</v>
      </c>
      <c r="M26" s="104" t="s">
        <v>128</v>
      </c>
      <c r="N26" s="179" t="s">
        <v>100</v>
      </c>
      <c r="O26" s="180"/>
      <c r="P26" s="180"/>
      <c r="Q26" s="180"/>
      <c r="R26" s="180"/>
      <c r="S26" s="181"/>
      <c r="T26" s="102" t="s">
        <v>141</v>
      </c>
      <c r="U26" s="103" t="s">
        <v>140</v>
      </c>
      <c r="V26" s="180" t="s">
        <v>101</v>
      </c>
      <c r="W26" s="180"/>
      <c r="X26" s="180"/>
      <c r="Y26" s="104" t="s">
        <v>127</v>
      </c>
      <c r="Z26" s="104" t="s">
        <v>128</v>
      </c>
    </row>
    <row r="27" spans="1:26" ht="18" customHeight="1" x14ac:dyDescent="0.15">
      <c r="B27" s="189" t="s">
        <v>196</v>
      </c>
      <c r="C27" s="190"/>
      <c r="D27" s="190"/>
      <c r="E27" s="190"/>
      <c r="F27" s="191"/>
      <c r="G27" s="105">
        <v>1</v>
      </c>
      <c r="H27" s="105" t="s">
        <v>191</v>
      </c>
      <c r="I27" s="195" t="s">
        <v>225</v>
      </c>
      <c r="J27" s="196"/>
      <c r="K27" s="197"/>
      <c r="L27" s="105" t="s">
        <v>191</v>
      </c>
      <c r="M27" s="105" t="s">
        <v>191</v>
      </c>
      <c r="N27" s="164"/>
      <c r="O27" s="165"/>
      <c r="P27" s="165"/>
      <c r="Q27" s="165"/>
      <c r="R27" s="165"/>
      <c r="S27" s="166"/>
      <c r="T27" s="105"/>
      <c r="U27" s="105"/>
      <c r="V27" s="195"/>
      <c r="W27" s="196"/>
      <c r="X27" s="197"/>
      <c r="Y27" s="105"/>
      <c r="Z27" s="105"/>
    </row>
    <row r="28" spans="1:26" ht="18" customHeight="1" x14ac:dyDescent="0.15">
      <c r="B28" s="182" t="s">
        <v>195</v>
      </c>
      <c r="C28" s="183"/>
      <c r="D28" s="183"/>
      <c r="E28" s="183"/>
      <c r="F28" s="184"/>
      <c r="G28" s="106">
        <v>2</v>
      </c>
      <c r="H28" s="106" t="s">
        <v>191</v>
      </c>
      <c r="I28" s="173" t="s">
        <v>225</v>
      </c>
      <c r="J28" s="174"/>
      <c r="K28" s="175"/>
      <c r="L28" s="106" t="s">
        <v>191</v>
      </c>
      <c r="M28" s="106" t="s">
        <v>191</v>
      </c>
      <c r="N28" s="167"/>
      <c r="O28" s="168"/>
      <c r="P28" s="168"/>
      <c r="Q28" s="168"/>
      <c r="R28" s="168"/>
      <c r="S28" s="169"/>
      <c r="T28" s="106"/>
      <c r="U28" s="106"/>
      <c r="V28" s="173"/>
      <c r="W28" s="174"/>
      <c r="X28" s="175"/>
      <c r="Y28" s="106"/>
      <c r="Z28" s="106"/>
    </row>
    <row r="29" spans="1:26" ht="18" customHeight="1" x14ac:dyDescent="0.15">
      <c r="B29" s="182"/>
      <c r="C29" s="183"/>
      <c r="D29" s="183"/>
      <c r="E29" s="183"/>
      <c r="F29" s="184"/>
      <c r="G29" s="106"/>
      <c r="H29" s="106"/>
      <c r="I29" s="173"/>
      <c r="J29" s="174"/>
      <c r="K29" s="175"/>
      <c r="L29" s="106"/>
      <c r="M29" s="106"/>
      <c r="N29" s="167"/>
      <c r="O29" s="168"/>
      <c r="P29" s="168"/>
      <c r="Q29" s="168"/>
      <c r="R29" s="168"/>
      <c r="S29" s="169"/>
      <c r="T29" s="106"/>
      <c r="U29" s="106"/>
      <c r="V29" s="173"/>
      <c r="W29" s="174"/>
      <c r="X29" s="175"/>
      <c r="Y29" s="106"/>
      <c r="Z29" s="106"/>
    </row>
    <row r="30" spans="1:26" ht="18" customHeight="1" x14ac:dyDescent="0.15">
      <c r="B30" s="182"/>
      <c r="C30" s="183"/>
      <c r="D30" s="183"/>
      <c r="E30" s="183"/>
      <c r="F30" s="184"/>
      <c r="G30" s="106"/>
      <c r="H30" s="106"/>
      <c r="I30" s="173"/>
      <c r="J30" s="174"/>
      <c r="K30" s="175"/>
      <c r="L30" s="106"/>
      <c r="M30" s="106"/>
      <c r="N30" s="167"/>
      <c r="O30" s="168"/>
      <c r="P30" s="168"/>
      <c r="Q30" s="168"/>
      <c r="R30" s="168"/>
      <c r="S30" s="169"/>
      <c r="T30" s="106"/>
      <c r="U30" s="106"/>
      <c r="V30" s="173"/>
      <c r="W30" s="174"/>
      <c r="X30" s="175"/>
      <c r="Y30" s="106"/>
      <c r="Z30" s="106"/>
    </row>
    <row r="31" spans="1:26" ht="18" customHeight="1" x14ac:dyDescent="0.15">
      <c r="B31" s="182"/>
      <c r="C31" s="183"/>
      <c r="D31" s="183"/>
      <c r="E31" s="183"/>
      <c r="F31" s="184"/>
      <c r="G31" s="106"/>
      <c r="H31" s="106"/>
      <c r="I31" s="173"/>
      <c r="J31" s="174"/>
      <c r="K31" s="175"/>
      <c r="L31" s="106"/>
      <c r="M31" s="106"/>
      <c r="N31" s="167"/>
      <c r="O31" s="168"/>
      <c r="P31" s="168"/>
      <c r="Q31" s="168"/>
      <c r="R31" s="168"/>
      <c r="S31" s="169"/>
      <c r="T31" s="106"/>
      <c r="U31" s="106"/>
      <c r="V31" s="173"/>
      <c r="W31" s="174"/>
      <c r="X31" s="175"/>
      <c r="Y31" s="106"/>
      <c r="Z31" s="106"/>
    </row>
    <row r="32" spans="1:26" ht="18" customHeight="1" x14ac:dyDescent="0.15">
      <c r="B32" s="182"/>
      <c r="C32" s="183"/>
      <c r="D32" s="183"/>
      <c r="E32" s="183"/>
      <c r="F32" s="184"/>
      <c r="G32" s="106"/>
      <c r="H32" s="106"/>
      <c r="I32" s="173"/>
      <c r="J32" s="174"/>
      <c r="K32" s="175"/>
      <c r="L32" s="106"/>
      <c r="M32" s="106"/>
      <c r="N32" s="167"/>
      <c r="O32" s="168"/>
      <c r="P32" s="168"/>
      <c r="Q32" s="168"/>
      <c r="R32" s="168"/>
      <c r="S32" s="169"/>
      <c r="T32" s="106"/>
      <c r="U32" s="106"/>
      <c r="V32" s="173"/>
      <c r="W32" s="174"/>
      <c r="X32" s="175"/>
      <c r="Y32" s="106"/>
      <c r="Z32" s="106"/>
    </row>
    <row r="33" spans="1:26" ht="18" customHeight="1" x14ac:dyDescent="0.15">
      <c r="B33" s="185"/>
      <c r="C33" s="186"/>
      <c r="D33" s="186"/>
      <c r="E33" s="186"/>
      <c r="F33" s="187"/>
      <c r="G33" s="107"/>
      <c r="H33" s="107"/>
      <c r="I33" s="176"/>
      <c r="J33" s="177"/>
      <c r="K33" s="178"/>
      <c r="L33" s="108"/>
      <c r="M33" s="108"/>
      <c r="N33" s="170"/>
      <c r="O33" s="171"/>
      <c r="P33" s="171"/>
      <c r="Q33" s="171"/>
      <c r="R33" s="171"/>
      <c r="S33" s="172"/>
      <c r="T33" s="107"/>
      <c r="U33" s="107"/>
      <c r="V33" s="176"/>
      <c r="W33" s="177"/>
      <c r="X33" s="178"/>
      <c r="Y33" s="108"/>
      <c r="Z33" s="108"/>
    </row>
    <row r="34" spans="1:26" ht="7.5" customHeight="1" x14ac:dyDescent="0.15">
      <c r="A34" s="130"/>
      <c r="B34" s="109"/>
      <c r="C34" s="109"/>
      <c r="D34" s="130"/>
      <c r="E34" s="130"/>
      <c r="F34" s="130"/>
      <c r="G34" s="130"/>
      <c r="H34" s="130"/>
      <c r="I34" s="130"/>
      <c r="J34" s="130"/>
      <c r="K34" s="130"/>
      <c r="L34" s="109"/>
      <c r="M34" s="109"/>
      <c r="N34" s="109"/>
      <c r="O34" s="109"/>
      <c r="P34" s="109"/>
      <c r="Q34" s="109"/>
      <c r="R34" s="109"/>
      <c r="S34" s="109"/>
      <c r="T34" s="109"/>
      <c r="U34" s="109"/>
      <c r="V34" s="109"/>
      <c r="W34" s="109"/>
      <c r="X34" s="109"/>
      <c r="Y34" s="109"/>
      <c r="Z34" s="130"/>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B37" s="179" t="s">
        <v>100</v>
      </c>
      <c r="C37" s="180"/>
      <c r="D37" s="180"/>
      <c r="E37" s="180"/>
      <c r="F37" s="181"/>
      <c r="G37" s="102" t="s">
        <v>141</v>
      </c>
      <c r="H37" s="103" t="s">
        <v>140</v>
      </c>
      <c r="I37" s="179" t="s">
        <v>101</v>
      </c>
      <c r="J37" s="180"/>
      <c r="K37" s="181"/>
      <c r="L37" s="104" t="s">
        <v>130</v>
      </c>
      <c r="M37" s="104" t="s">
        <v>131</v>
      </c>
      <c r="N37" s="179" t="s">
        <v>100</v>
      </c>
      <c r="O37" s="180"/>
      <c r="P37" s="180"/>
      <c r="Q37" s="180"/>
      <c r="R37" s="180"/>
      <c r="S37" s="181"/>
      <c r="T37" s="102" t="s">
        <v>141</v>
      </c>
      <c r="U37" s="103" t="s">
        <v>140</v>
      </c>
      <c r="V37" s="179" t="s">
        <v>101</v>
      </c>
      <c r="W37" s="180"/>
      <c r="X37" s="181"/>
      <c r="Y37" s="104" t="s">
        <v>130</v>
      </c>
      <c r="Z37" s="104" t="s">
        <v>131</v>
      </c>
    </row>
    <row r="38" spans="1:26" ht="18" customHeight="1" x14ac:dyDescent="0.15">
      <c r="A38" s="130"/>
      <c r="B38" s="189" t="s">
        <v>188</v>
      </c>
      <c r="C38" s="190"/>
      <c r="D38" s="190"/>
      <c r="E38" s="190"/>
      <c r="F38" s="191"/>
      <c r="G38" s="105">
        <v>2</v>
      </c>
      <c r="H38" s="105" t="s">
        <v>191</v>
      </c>
      <c r="I38" s="195" t="s">
        <v>189</v>
      </c>
      <c r="J38" s="196"/>
      <c r="K38" s="197"/>
      <c r="L38" s="105" t="s">
        <v>191</v>
      </c>
      <c r="M38" s="105" t="s">
        <v>191</v>
      </c>
      <c r="N38" s="164"/>
      <c r="O38" s="165"/>
      <c r="P38" s="165"/>
      <c r="Q38" s="165"/>
      <c r="R38" s="165"/>
      <c r="S38" s="166"/>
      <c r="T38" s="105"/>
      <c r="U38" s="105"/>
      <c r="V38" s="195"/>
      <c r="W38" s="196"/>
      <c r="X38" s="197"/>
      <c r="Y38" s="105"/>
      <c r="Z38" s="105"/>
    </row>
    <row r="39" spans="1:26" ht="18" customHeight="1" x14ac:dyDescent="0.15">
      <c r="A39" s="130"/>
      <c r="B39" s="182" t="s">
        <v>190</v>
      </c>
      <c r="C39" s="183"/>
      <c r="D39" s="183"/>
      <c r="E39" s="183"/>
      <c r="F39" s="184"/>
      <c r="G39" s="106">
        <v>2</v>
      </c>
      <c r="H39" s="106" t="s">
        <v>191</v>
      </c>
      <c r="I39" s="173" t="s">
        <v>189</v>
      </c>
      <c r="J39" s="174"/>
      <c r="K39" s="175"/>
      <c r="L39" s="106" t="s">
        <v>191</v>
      </c>
      <c r="M39" s="106" t="s">
        <v>191</v>
      </c>
      <c r="N39" s="167"/>
      <c r="O39" s="168"/>
      <c r="P39" s="168"/>
      <c r="Q39" s="168"/>
      <c r="R39" s="168"/>
      <c r="S39" s="169"/>
      <c r="T39" s="106"/>
      <c r="U39" s="106"/>
      <c r="V39" s="173"/>
      <c r="W39" s="174"/>
      <c r="X39" s="175"/>
      <c r="Y39" s="106"/>
      <c r="Z39" s="106"/>
    </row>
    <row r="40" spans="1:26" ht="18" customHeight="1" x14ac:dyDescent="0.15">
      <c r="A40" s="130"/>
      <c r="B40" s="182"/>
      <c r="C40" s="183"/>
      <c r="D40" s="183"/>
      <c r="E40" s="183"/>
      <c r="F40" s="184"/>
      <c r="G40" s="106"/>
      <c r="H40" s="106"/>
      <c r="I40" s="173"/>
      <c r="J40" s="174"/>
      <c r="K40" s="175"/>
      <c r="L40" s="106"/>
      <c r="M40" s="106"/>
      <c r="N40" s="167"/>
      <c r="O40" s="168"/>
      <c r="P40" s="168"/>
      <c r="Q40" s="168"/>
      <c r="R40" s="168"/>
      <c r="S40" s="169"/>
      <c r="T40" s="106"/>
      <c r="U40" s="106"/>
      <c r="V40" s="173"/>
      <c r="W40" s="174"/>
      <c r="X40" s="175"/>
      <c r="Y40" s="106"/>
      <c r="Z40" s="106"/>
    </row>
    <row r="41" spans="1:26" ht="18" customHeight="1" x14ac:dyDescent="0.15">
      <c r="A41" s="130"/>
      <c r="B41" s="182"/>
      <c r="C41" s="183"/>
      <c r="D41" s="183"/>
      <c r="E41" s="183"/>
      <c r="F41" s="184"/>
      <c r="G41" s="106"/>
      <c r="H41" s="106"/>
      <c r="I41" s="173"/>
      <c r="J41" s="174"/>
      <c r="K41" s="175"/>
      <c r="L41" s="106"/>
      <c r="M41" s="106"/>
      <c r="N41" s="167"/>
      <c r="O41" s="168"/>
      <c r="P41" s="168"/>
      <c r="Q41" s="168"/>
      <c r="R41" s="168"/>
      <c r="S41" s="169"/>
      <c r="T41" s="106"/>
      <c r="U41" s="106"/>
      <c r="V41" s="173"/>
      <c r="W41" s="174"/>
      <c r="X41" s="175"/>
      <c r="Y41" s="106"/>
      <c r="Z41" s="106"/>
    </row>
    <row r="42" spans="1:26" ht="18" customHeight="1" x14ac:dyDescent="0.15">
      <c r="A42" s="130"/>
      <c r="B42" s="182"/>
      <c r="C42" s="183"/>
      <c r="D42" s="183"/>
      <c r="E42" s="183"/>
      <c r="F42" s="184"/>
      <c r="G42" s="106"/>
      <c r="H42" s="106"/>
      <c r="I42" s="173"/>
      <c r="J42" s="174"/>
      <c r="K42" s="175"/>
      <c r="L42" s="106"/>
      <c r="M42" s="106"/>
      <c r="N42" s="167"/>
      <c r="O42" s="168"/>
      <c r="P42" s="168"/>
      <c r="Q42" s="168"/>
      <c r="R42" s="168"/>
      <c r="S42" s="169"/>
      <c r="T42" s="106"/>
      <c r="U42" s="106"/>
      <c r="V42" s="173"/>
      <c r="W42" s="174"/>
      <c r="X42" s="175"/>
      <c r="Y42" s="106"/>
      <c r="Z42" s="106"/>
    </row>
    <row r="43" spans="1:26" ht="18" customHeight="1" x14ac:dyDescent="0.15">
      <c r="A43" s="130"/>
      <c r="B43" s="182"/>
      <c r="C43" s="183"/>
      <c r="D43" s="183"/>
      <c r="E43" s="183"/>
      <c r="F43" s="184"/>
      <c r="G43" s="106"/>
      <c r="H43" s="106"/>
      <c r="I43" s="173"/>
      <c r="J43" s="174"/>
      <c r="K43" s="175"/>
      <c r="L43" s="106"/>
      <c r="M43" s="106"/>
      <c r="N43" s="167"/>
      <c r="O43" s="168"/>
      <c r="P43" s="168"/>
      <c r="Q43" s="168"/>
      <c r="R43" s="168"/>
      <c r="S43" s="169"/>
      <c r="T43" s="106"/>
      <c r="U43" s="106"/>
      <c r="V43" s="173"/>
      <c r="W43" s="174"/>
      <c r="X43" s="175"/>
      <c r="Y43" s="106"/>
      <c r="Z43" s="106"/>
    </row>
    <row r="44" spans="1:26" ht="18" customHeight="1" x14ac:dyDescent="0.15">
      <c r="A44" s="130"/>
      <c r="B44" s="185"/>
      <c r="C44" s="186"/>
      <c r="D44" s="186"/>
      <c r="E44" s="186"/>
      <c r="F44" s="187"/>
      <c r="G44" s="107"/>
      <c r="H44" s="107"/>
      <c r="I44" s="176"/>
      <c r="J44" s="177"/>
      <c r="K44" s="178"/>
      <c r="L44" s="108"/>
      <c r="M44" s="108"/>
      <c r="N44" s="170"/>
      <c r="O44" s="171"/>
      <c r="P44" s="171"/>
      <c r="Q44" s="171"/>
      <c r="R44" s="171"/>
      <c r="S44" s="172"/>
      <c r="T44" s="107"/>
      <c r="U44" s="107"/>
      <c r="V44" s="176"/>
      <c r="W44" s="177"/>
      <c r="X44" s="178"/>
      <c r="Y44" s="108"/>
      <c r="Z44" s="108"/>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B48" s="179" t="s">
        <v>100</v>
      </c>
      <c r="C48" s="180"/>
      <c r="D48" s="180"/>
      <c r="E48" s="180"/>
      <c r="F48" s="181"/>
      <c r="G48" s="102" t="s">
        <v>141</v>
      </c>
      <c r="H48" s="103" t="s">
        <v>140</v>
      </c>
      <c r="I48" s="179" t="s">
        <v>101</v>
      </c>
      <c r="J48" s="180"/>
      <c r="K48" s="181"/>
      <c r="L48" s="104" t="s">
        <v>106</v>
      </c>
      <c r="M48" s="104" t="s">
        <v>108</v>
      </c>
      <c r="N48" s="179" t="s">
        <v>100</v>
      </c>
      <c r="O48" s="180"/>
      <c r="P48" s="180"/>
      <c r="Q48" s="180"/>
      <c r="R48" s="180"/>
      <c r="S48" s="181"/>
      <c r="T48" s="102" t="s">
        <v>141</v>
      </c>
      <c r="U48" s="103" t="s">
        <v>140</v>
      </c>
      <c r="V48" s="179" t="s">
        <v>101</v>
      </c>
      <c r="W48" s="180"/>
      <c r="X48" s="181"/>
      <c r="Y48" s="104" t="s">
        <v>106</v>
      </c>
      <c r="Z48" s="104" t="s">
        <v>108</v>
      </c>
    </row>
    <row r="49" spans="1:26" ht="18" customHeight="1" x14ac:dyDescent="0.15">
      <c r="A49" s="130"/>
      <c r="B49" s="189" t="s">
        <v>188</v>
      </c>
      <c r="C49" s="190"/>
      <c r="D49" s="190"/>
      <c r="E49" s="190"/>
      <c r="F49" s="191"/>
      <c r="G49" s="105">
        <v>2</v>
      </c>
      <c r="H49" s="105" t="s">
        <v>191</v>
      </c>
      <c r="I49" s="195" t="s">
        <v>189</v>
      </c>
      <c r="J49" s="196"/>
      <c r="K49" s="197"/>
      <c r="L49" s="105" t="s">
        <v>191</v>
      </c>
      <c r="M49" s="105" t="s">
        <v>191</v>
      </c>
      <c r="N49" s="164"/>
      <c r="O49" s="165"/>
      <c r="P49" s="165"/>
      <c r="Q49" s="165"/>
      <c r="R49" s="165"/>
      <c r="S49" s="166"/>
      <c r="T49" s="105"/>
      <c r="U49" s="105"/>
      <c r="V49" s="195"/>
      <c r="W49" s="196"/>
      <c r="X49" s="197"/>
      <c r="Y49" s="105"/>
      <c r="Z49" s="105"/>
    </row>
    <row r="50" spans="1:26" ht="18" customHeight="1" x14ac:dyDescent="0.15">
      <c r="A50" s="130"/>
      <c r="B50" s="228" t="s">
        <v>190</v>
      </c>
      <c r="C50" s="217"/>
      <c r="D50" s="217"/>
      <c r="E50" s="217"/>
      <c r="F50" s="218"/>
      <c r="G50" s="111">
        <v>2</v>
      </c>
      <c r="H50" s="111" t="s">
        <v>191</v>
      </c>
      <c r="I50" s="225" t="s">
        <v>189</v>
      </c>
      <c r="J50" s="226"/>
      <c r="K50" s="227"/>
      <c r="L50" s="111" t="s">
        <v>191</v>
      </c>
      <c r="M50" s="111" t="s">
        <v>191</v>
      </c>
      <c r="N50" s="167"/>
      <c r="O50" s="168"/>
      <c r="P50" s="168"/>
      <c r="Q50" s="168"/>
      <c r="R50" s="168"/>
      <c r="S50" s="169"/>
      <c r="T50" s="106"/>
      <c r="U50" s="106"/>
      <c r="V50" s="173"/>
      <c r="W50" s="174"/>
      <c r="X50" s="175"/>
      <c r="Y50" s="106"/>
      <c r="Z50" s="106"/>
    </row>
    <row r="51" spans="1:26" ht="18" customHeight="1" x14ac:dyDescent="0.15">
      <c r="A51" s="130"/>
      <c r="B51" s="182" t="s">
        <v>196</v>
      </c>
      <c r="C51" s="183"/>
      <c r="D51" s="183"/>
      <c r="E51" s="183"/>
      <c r="F51" s="184"/>
      <c r="G51" s="106">
        <v>1</v>
      </c>
      <c r="H51" s="106" t="s">
        <v>191</v>
      </c>
      <c r="I51" s="173" t="s">
        <v>225</v>
      </c>
      <c r="J51" s="174"/>
      <c r="K51" s="175"/>
      <c r="L51" s="106" t="s">
        <v>191</v>
      </c>
      <c r="M51" s="106" t="s">
        <v>191</v>
      </c>
      <c r="N51" s="167"/>
      <c r="O51" s="168"/>
      <c r="P51" s="168"/>
      <c r="Q51" s="168"/>
      <c r="R51" s="168"/>
      <c r="S51" s="169"/>
      <c r="T51" s="106"/>
      <c r="U51" s="106"/>
      <c r="V51" s="173"/>
      <c r="W51" s="174"/>
      <c r="X51" s="175"/>
      <c r="Y51" s="106"/>
      <c r="Z51" s="106"/>
    </row>
    <row r="52" spans="1:26" ht="18" customHeight="1" x14ac:dyDescent="0.15">
      <c r="A52" s="130"/>
      <c r="B52" s="182" t="s">
        <v>195</v>
      </c>
      <c r="C52" s="183"/>
      <c r="D52" s="183"/>
      <c r="E52" s="183"/>
      <c r="F52" s="184"/>
      <c r="G52" s="106">
        <v>2</v>
      </c>
      <c r="H52" s="106" t="s">
        <v>191</v>
      </c>
      <c r="I52" s="173" t="s">
        <v>225</v>
      </c>
      <c r="J52" s="174"/>
      <c r="K52" s="175"/>
      <c r="L52" s="106" t="s">
        <v>191</v>
      </c>
      <c r="M52" s="106" t="s">
        <v>191</v>
      </c>
      <c r="N52" s="167"/>
      <c r="O52" s="168"/>
      <c r="P52" s="168"/>
      <c r="Q52" s="168"/>
      <c r="R52" s="168"/>
      <c r="S52" s="169"/>
      <c r="T52" s="106"/>
      <c r="U52" s="106"/>
      <c r="V52" s="173"/>
      <c r="W52" s="174"/>
      <c r="X52" s="175"/>
      <c r="Y52" s="106"/>
      <c r="Z52" s="106"/>
    </row>
    <row r="53" spans="1:26" ht="18" customHeight="1" x14ac:dyDescent="0.15">
      <c r="A53" s="130"/>
      <c r="B53" s="182"/>
      <c r="C53" s="183"/>
      <c r="D53" s="183"/>
      <c r="E53" s="183"/>
      <c r="F53" s="184"/>
      <c r="G53" s="106"/>
      <c r="H53" s="106"/>
      <c r="I53" s="173"/>
      <c r="J53" s="174"/>
      <c r="K53" s="175"/>
      <c r="L53" s="106"/>
      <c r="M53" s="106"/>
      <c r="N53" s="167"/>
      <c r="O53" s="168"/>
      <c r="P53" s="168"/>
      <c r="Q53" s="168"/>
      <c r="R53" s="168"/>
      <c r="S53" s="169"/>
      <c r="T53" s="106"/>
      <c r="U53" s="106"/>
      <c r="V53" s="173"/>
      <c r="W53" s="174"/>
      <c r="X53" s="175"/>
      <c r="Y53" s="106"/>
      <c r="Z53" s="106"/>
    </row>
    <row r="54" spans="1:26" ht="18" customHeight="1" x14ac:dyDescent="0.15">
      <c r="A54" s="130"/>
      <c r="B54" s="182"/>
      <c r="C54" s="183"/>
      <c r="D54" s="183"/>
      <c r="E54" s="183"/>
      <c r="F54" s="184"/>
      <c r="G54" s="106"/>
      <c r="H54" s="106"/>
      <c r="I54" s="173"/>
      <c r="J54" s="174"/>
      <c r="K54" s="175"/>
      <c r="L54" s="106"/>
      <c r="M54" s="106"/>
      <c r="N54" s="167"/>
      <c r="O54" s="168"/>
      <c r="P54" s="168"/>
      <c r="Q54" s="168"/>
      <c r="R54" s="168"/>
      <c r="S54" s="169"/>
      <c r="T54" s="106"/>
      <c r="U54" s="106"/>
      <c r="V54" s="173"/>
      <c r="W54" s="174"/>
      <c r="X54" s="175"/>
      <c r="Y54" s="106"/>
      <c r="Z54" s="106"/>
    </row>
    <row r="55" spans="1:26" ht="18" customHeight="1" x14ac:dyDescent="0.15">
      <c r="A55" s="130"/>
      <c r="B55" s="185"/>
      <c r="C55" s="186"/>
      <c r="D55" s="186"/>
      <c r="E55" s="186"/>
      <c r="F55" s="187"/>
      <c r="G55" s="107"/>
      <c r="H55" s="107"/>
      <c r="I55" s="176"/>
      <c r="J55" s="177"/>
      <c r="K55" s="178"/>
      <c r="L55" s="108"/>
      <c r="M55" s="108"/>
      <c r="N55" s="170"/>
      <c r="O55" s="171"/>
      <c r="P55" s="171"/>
      <c r="Q55" s="171"/>
      <c r="R55" s="171"/>
      <c r="S55" s="172"/>
      <c r="T55" s="107"/>
      <c r="U55" s="107"/>
      <c r="V55" s="176"/>
      <c r="W55" s="177"/>
      <c r="X55" s="178"/>
      <c r="Y55" s="108"/>
      <c r="Z55" s="108"/>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B59" s="179" t="s">
        <v>100</v>
      </c>
      <c r="C59" s="180"/>
      <c r="D59" s="180"/>
      <c r="E59" s="181"/>
      <c r="F59" s="102" t="s">
        <v>141</v>
      </c>
      <c r="G59" s="103" t="s">
        <v>140</v>
      </c>
      <c r="H59" s="112" t="s">
        <v>101</v>
      </c>
      <c r="I59" s="113"/>
      <c r="J59" s="114"/>
      <c r="K59" s="104" t="s">
        <v>105</v>
      </c>
      <c r="L59" s="104" t="s">
        <v>134</v>
      </c>
      <c r="M59" s="104" t="s">
        <v>135</v>
      </c>
      <c r="N59" s="179" t="s">
        <v>100</v>
      </c>
      <c r="O59" s="180"/>
      <c r="P59" s="180"/>
      <c r="Q59" s="180"/>
      <c r="R59" s="181"/>
      <c r="S59" s="102" t="s">
        <v>141</v>
      </c>
      <c r="T59" s="103" t="s">
        <v>140</v>
      </c>
      <c r="U59" s="112" t="s">
        <v>101</v>
      </c>
      <c r="V59" s="113"/>
      <c r="W59" s="114"/>
      <c r="X59" s="104" t="s">
        <v>105</v>
      </c>
      <c r="Y59" s="104" t="s">
        <v>134</v>
      </c>
      <c r="Z59" s="104" t="s">
        <v>135</v>
      </c>
    </row>
    <row r="60" spans="1:26" ht="18" customHeight="1" x14ac:dyDescent="0.15">
      <c r="A60" s="130"/>
      <c r="B60" s="164" t="s">
        <v>197</v>
      </c>
      <c r="C60" s="165"/>
      <c r="D60" s="165"/>
      <c r="E60" s="166"/>
      <c r="F60" s="105">
        <v>2</v>
      </c>
      <c r="G60" s="105" t="s">
        <v>191</v>
      </c>
      <c r="H60" s="195" t="s">
        <v>225</v>
      </c>
      <c r="I60" s="196"/>
      <c r="J60" s="197"/>
      <c r="K60" s="105" t="s">
        <v>198</v>
      </c>
      <c r="L60" s="105" t="s">
        <v>198</v>
      </c>
      <c r="M60" s="105" t="s">
        <v>198</v>
      </c>
      <c r="N60" s="164"/>
      <c r="O60" s="165"/>
      <c r="P60" s="165"/>
      <c r="Q60" s="165"/>
      <c r="R60" s="166"/>
      <c r="S60" s="105"/>
      <c r="T60" s="105"/>
      <c r="U60" s="195"/>
      <c r="V60" s="196"/>
      <c r="W60" s="197"/>
      <c r="X60" s="129"/>
      <c r="Y60" s="105"/>
      <c r="Z60" s="105"/>
    </row>
    <row r="61" spans="1:26" ht="18" customHeight="1" x14ac:dyDescent="0.15">
      <c r="A61" s="130"/>
      <c r="B61" s="167"/>
      <c r="C61" s="168"/>
      <c r="D61" s="168"/>
      <c r="E61" s="169"/>
      <c r="F61" s="106"/>
      <c r="G61" s="106"/>
      <c r="H61" s="173"/>
      <c r="I61" s="174"/>
      <c r="J61" s="175"/>
      <c r="K61" s="127"/>
      <c r="L61" s="106"/>
      <c r="M61" s="106"/>
      <c r="N61" s="167"/>
      <c r="O61" s="168"/>
      <c r="P61" s="168"/>
      <c r="Q61" s="168"/>
      <c r="R61" s="169"/>
      <c r="S61" s="106"/>
      <c r="T61" s="106"/>
      <c r="U61" s="173"/>
      <c r="V61" s="174"/>
      <c r="W61" s="175"/>
      <c r="X61" s="127"/>
      <c r="Y61" s="106"/>
      <c r="Z61" s="106"/>
    </row>
    <row r="62" spans="1:26" ht="18" customHeight="1" x14ac:dyDescent="0.15">
      <c r="A62" s="130"/>
      <c r="B62" s="167"/>
      <c r="C62" s="168"/>
      <c r="D62" s="168"/>
      <c r="E62" s="169"/>
      <c r="F62" s="106"/>
      <c r="G62" s="106"/>
      <c r="H62" s="173"/>
      <c r="I62" s="174"/>
      <c r="J62" s="175"/>
      <c r="K62" s="127"/>
      <c r="L62" s="106"/>
      <c r="M62" s="106"/>
      <c r="N62" s="167"/>
      <c r="O62" s="168"/>
      <c r="P62" s="168"/>
      <c r="Q62" s="168"/>
      <c r="R62" s="169"/>
      <c r="S62" s="106"/>
      <c r="T62" s="106"/>
      <c r="U62" s="173"/>
      <c r="V62" s="174"/>
      <c r="W62" s="175"/>
      <c r="X62" s="127"/>
      <c r="Y62" s="106"/>
      <c r="Z62" s="106"/>
    </row>
    <row r="63" spans="1:26" ht="18" customHeight="1" x14ac:dyDescent="0.15">
      <c r="A63" s="130"/>
      <c r="B63" s="167"/>
      <c r="C63" s="168"/>
      <c r="D63" s="168"/>
      <c r="E63" s="169"/>
      <c r="F63" s="106"/>
      <c r="G63" s="106"/>
      <c r="H63" s="173"/>
      <c r="I63" s="174"/>
      <c r="J63" s="175"/>
      <c r="K63" s="127"/>
      <c r="L63" s="106"/>
      <c r="M63" s="106"/>
      <c r="N63" s="167"/>
      <c r="O63" s="168"/>
      <c r="P63" s="168"/>
      <c r="Q63" s="168"/>
      <c r="R63" s="169"/>
      <c r="S63" s="106"/>
      <c r="T63" s="106"/>
      <c r="U63" s="173"/>
      <c r="V63" s="174"/>
      <c r="W63" s="175"/>
      <c r="X63" s="127"/>
      <c r="Y63" s="106"/>
      <c r="Z63" s="106"/>
    </row>
    <row r="64" spans="1:26" ht="18" customHeight="1" x14ac:dyDescent="0.15">
      <c r="A64" s="130"/>
      <c r="B64" s="167"/>
      <c r="C64" s="168"/>
      <c r="D64" s="168"/>
      <c r="E64" s="169"/>
      <c r="F64" s="106"/>
      <c r="G64" s="106"/>
      <c r="H64" s="173"/>
      <c r="I64" s="174"/>
      <c r="J64" s="175"/>
      <c r="K64" s="127"/>
      <c r="L64" s="106"/>
      <c r="M64" s="106"/>
      <c r="N64" s="167"/>
      <c r="O64" s="168"/>
      <c r="P64" s="168"/>
      <c r="Q64" s="168"/>
      <c r="R64" s="169"/>
      <c r="S64" s="106"/>
      <c r="T64" s="106"/>
      <c r="U64" s="173"/>
      <c r="V64" s="174"/>
      <c r="W64" s="175"/>
      <c r="X64" s="127"/>
      <c r="Y64" s="106"/>
      <c r="Z64" s="106"/>
    </row>
    <row r="65" spans="1:26" ht="18" customHeight="1" x14ac:dyDescent="0.15">
      <c r="A65" s="130"/>
      <c r="B65" s="167"/>
      <c r="C65" s="168"/>
      <c r="D65" s="168"/>
      <c r="E65" s="169"/>
      <c r="F65" s="106"/>
      <c r="G65" s="106"/>
      <c r="H65" s="173"/>
      <c r="I65" s="174"/>
      <c r="J65" s="175"/>
      <c r="K65" s="127"/>
      <c r="L65" s="106"/>
      <c r="M65" s="106"/>
      <c r="N65" s="167"/>
      <c r="O65" s="168"/>
      <c r="P65" s="168"/>
      <c r="Q65" s="168"/>
      <c r="R65" s="169"/>
      <c r="S65" s="106"/>
      <c r="T65" s="106"/>
      <c r="U65" s="173"/>
      <c r="V65" s="174"/>
      <c r="W65" s="175"/>
      <c r="X65" s="127"/>
      <c r="Y65" s="106"/>
      <c r="Z65" s="106"/>
    </row>
    <row r="66" spans="1:26" ht="18" customHeight="1" x14ac:dyDescent="0.15">
      <c r="A66" s="130"/>
      <c r="B66" s="170"/>
      <c r="C66" s="171"/>
      <c r="D66" s="171"/>
      <c r="E66" s="172"/>
      <c r="F66" s="107"/>
      <c r="G66" s="107"/>
      <c r="H66" s="176"/>
      <c r="I66" s="177"/>
      <c r="J66" s="178"/>
      <c r="K66" s="128"/>
      <c r="L66" s="108"/>
      <c r="M66" s="108"/>
      <c r="N66" s="170"/>
      <c r="O66" s="171"/>
      <c r="P66" s="171"/>
      <c r="Q66" s="171"/>
      <c r="R66" s="172"/>
      <c r="S66" s="107"/>
      <c r="T66" s="107"/>
      <c r="U66" s="176"/>
      <c r="V66" s="177"/>
      <c r="W66" s="178"/>
      <c r="X66" s="128"/>
      <c r="Y66" s="108"/>
      <c r="Z66" s="108"/>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2" t="s">
        <v>136</v>
      </c>
      <c r="L68" s="130"/>
      <c r="M68" s="130"/>
      <c r="N68" s="130"/>
      <c r="O68" s="130"/>
      <c r="P68" s="130"/>
      <c r="Q68" s="130"/>
      <c r="R68" s="130"/>
      <c r="S68" s="130"/>
      <c r="T68" s="130"/>
      <c r="U68" s="130"/>
      <c r="V68" s="130"/>
      <c r="W68" s="130"/>
      <c r="X68" s="130"/>
      <c r="Y68" s="130"/>
      <c r="Z68" s="130"/>
    </row>
    <row r="69" spans="1:26" ht="18" customHeight="1" x14ac:dyDescent="0.15">
      <c r="B69" s="179" t="s">
        <v>100</v>
      </c>
      <c r="C69" s="180"/>
      <c r="D69" s="180"/>
      <c r="E69" s="180"/>
      <c r="F69" s="181"/>
      <c r="G69" s="179" t="s">
        <v>146</v>
      </c>
      <c r="H69" s="180"/>
      <c r="I69" s="180"/>
      <c r="J69" s="180"/>
      <c r="K69" s="180"/>
      <c r="L69" s="180"/>
      <c r="M69" s="181"/>
      <c r="N69" s="192" t="s">
        <v>100</v>
      </c>
      <c r="O69" s="193"/>
      <c r="P69" s="193"/>
      <c r="Q69" s="193"/>
      <c r="R69" s="193"/>
      <c r="S69" s="194"/>
      <c r="T69" s="179" t="s">
        <v>146</v>
      </c>
      <c r="U69" s="180"/>
      <c r="V69" s="180"/>
      <c r="W69" s="180"/>
      <c r="X69" s="180"/>
      <c r="Y69" s="180"/>
      <c r="Z69" s="181"/>
    </row>
    <row r="70" spans="1:26" ht="18" customHeight="1" x14ac:dyDescent="0.15">
      <c r="A70" s="130"/>
      <c r="B70" s="164"/>
      <c r="C70" s="165"/>
      <c r="D70" s="165"/>
      <c r="E70" s="165"/>
      <c r="F70" s="166"/>
      <c r="G70" s="241"/>
      <c r="H70" s="242"/>
      <c r="I70" s="242"/>
      <c r="J70" s="242"/>
      <c r="K70" s="242"/>
      <c r="L70" s="242"/>
      <c r="M70" s="243"/>
      <c r="N70" s="164"/>
      <c r="O70" s="165"/>
      <c r="P70" s="165"/>
      <c r="Q70" s="165"/>
      <c r="R70" s="165"/>
      <c r="S70" s="166"/>
      <c r="T70" s="241"/>
      <c r="U70" s="242"/>
      <c r="V70" s="242"/>
      <c r="W70" s="242"/>
      <c r="X70" s="242"/>
      <c r="Y70" s="242"/>
      <c r="Z70" s="243"/>
    </row>
    <row r="71" spans="1:26" ht="18" customHeight="1" x14ac:dyDescent="0.15">
      <c r="A71" s="130"/>
      <c r="B71" s="167"/>
      <c r="C71" s="168"/>
      <c r="D71" s="168"/>
      <c r="E71" s="168"/>
      <c r="F71" s="169"/>
      <c r="G71" s="213"/>
      <c r="H71" s="214"/>
      <c r="I71" s="214"/>
      <c r="J71" s="214"/>
      <c r="K71" s="214"/>
      <c r="L71" s="214"/>
      <c r="M71" s="215"/>
      <c r="N71" s="167"/>
      <c r="O71" s="168"/>
      <c r="P71" s="168"/>
      <c r="Q71" s="168"/>
      <c r="R71" s="168"/>
      <c r="S71" s="169"/>
      <c r="T71" s="213"/>
      <c r="U71" s="214"/>
      <c r="V71" s="214"/>
      <c r="W71" s="214"/>
      <c r="X71" s="214"/>
      <c r="Y71" s="214"/>
      <c r="Z71" s="215"/>
    </row>
    <row r="72" spans="1:26" ht="18" customHeight="1" x14ac:dyDescent="0.15">
      <c r="A72" s="130"/>
      <c r="B72" s="167"/>
      <c r="C72" s="168"/>
      <c r="D72" s="168"/>
      <c r="E72" s="168"/>
      <c r="F72" s="169"/>
      <c r="G72" s="213"/>
      <c r="H72" s="214"/>
      <c r="I72" s="214"/>
      <c r="J72" s="214"/>
      <c r="K72" s="214"/>
      <c r="L72" s="214"/>
      <c r="M72" s="215"/>
      <c r="N72" s="167"/>
      <c r="O72" s="168"/>
      <c r="P72" s="168"/>
      <c r="Q72" s="168"/>
      <c r="R72" s="168"/>
      <c r="S72" s="169"/>
      <c r="T72" s="213"/>
      <c r="U72" s="214"/>
      <c r="V72" s="214"/>
      <c r="W72" s="214"/>
      <c r="X72" s="214"/>
      <c r="Y72" s="214"/>
      <c r="Z72" s="215"/>
    </row>
    <row r="73" spans="1:26" ht="18" customHeight="1" x14ac:dyDescent="0.15">
      <c r="A73" s="130"/>
      <c r="B73" s="167"/>
      <c r="C73" s="168"/>
      <c r="D73" s="168"/>
      <c r="E73" s="168"/>
      <c r="F73" s="169"/>
      <c r="G73" s="213"/>
      <c r="H73" s="214"/>
      <c r="I73" s="214"/>
      <c r="J73" s="214"/>
      <c r="K73" s="214"/>
      <c r="L73" s="214"/>
      <c r="M73" s="215"/>
      <c r="N73" s="167"/>
      <c r="O73" s="168"/>
      <c r="P73" s="168"/>
      <c r="Q73" s="168"/>
      <c r="R73" s="168"/>
      <c r="S73" s="169"/>
      <c r="T73" s="213"/>
      <c r="U73" s="214"/>
      <c r="V73" s="214"/>
      <c r="W73" s="214"/>
      <c r="X73" s="214"/>
      <c r="Y73" s="214"/>
      <c r="Z73" s="215"/>
    </row>
    <row r="74" spans="1:26" ht="18" customHeight="1" x14ac:dyDescent="0.15">
      <c r="A74" s="130"/>
      <c r="B74" s="167"/>
      <c r="C74" s="168"/>
      <c r="D74" s="168"/>
      <c r="E74" s="168"/>
      <c r="F74" s="169"/>
      <c r="G74" s="213"/>
      <c r="H74" s="214"/>
      <c r="I74" s="214"/>
      <c r="J74" s="214"/>
      <c r="K74" s="214"/>
      <c r="L74" s="214"/>
      <c r="M74" s="215"/>
      <c r="N74" s="167"/>
      <c r="O74" s="168"/>
      <c r="P74" s="168"/>
      <c r="Q74" s="168"/>
      <c r="R74" s="168"/>
      <c r="S74" s="169"/>
      <c r="T74" s="213"/>
      <c r="U74" s="214"/>
      <c r="V74" s="214"/>
      <c r="W74" s="214"/>
      <c r="X74" s="214"/>
      <c r="Y74" s="214"/>
      <c r="Z74" s="215"/>
    </row>
    <row r="75" spans="1:26" ht="18" customHeight="1" x14ac:dyDescent="0.15">
      <c r="A75" s="130"/>
      <c r="B75" s="167"/>
      <c r="C75" s="168"/>
      <c r="D75" s="168"/>
      <c r="E75" s="168"/>
      <c r="F75" s="169"/>
      <c r="G75" s="213"/>
      <c r="H75" s="214"/>
      <c r="I75" s="214"/>
      <c r="J75" s="214"/>
      <c r="K75" s="214"/>
      <c r="L75" s="214"/>
      <c r="M75" s="215"/>
      <c r="N75" s="167"/>
      <c r="O75" s="168"/>
      <c r="P75" s="168"/>
      <c r="Q75" s="168"/>
      <c r="R75" s="168"/>
      <c r="S75" s="169"/>
      <c r="T75" s="213"/>
      <c r="U75" s="214"/>
      <c r="V75" s="214"/>
      <c r="W75" s="214"/>
      <c r="X75" s="214"/>
      <c r="Y75" s="214"/>
      <c r="Z75" s="215"/>
    </row>
    <row r="76" spans="1:26" ht="18" customHeight="1" x14ac:dyDescent="0.15">
      <c r="A76" s="130"/>
      <c r="B76" s="170"/>
      <c r="C76" s="171"/>
      <c r="D76" s="171"/>
      <c r="E76" s="171"/>
      <c r="F76" s="172"/>
      <c r="G76" s="210"/>
      <c r="H76" s="211"/>
      <c r="I76" s="211"/>
      <c r="J76" s="211"/>
      <c r="K76" s="211"/>
      <c r="L76" s="211"/>
      <c r="M76" s="212"/>
      <c r="N76" s="170"/>
      <c r="O76" s="171"/>
      <c r="P76" s="171"/>
      <c r="Q76" s="171"/>
      <c r="R76" s="171"/>
      <c r="S76" s="172"/>
      <c r="T76" s="210"/>
      <c r="U76" s="211"/>
      <c r="V76" s="211"/>
      <c r="W76" s="211"/>
      <c r="X76" s="211"/>
      <c r="Y76" s="211"/>
      <c r="Z76" s="212"/>
    </row>
    <row r="77" spans="1:26" ht="18" customHeight="1" x14ac:dyDescent="0.15">
      <c r="A77" s="130"/>
      <c r="B77" s="115"/>
      <c r="C77" s="115"/>
      <c r="D77" s="115"/>
      <c r="E77" s="115"/>
      <c r="F77" s="115"/>
      <c r="G77" s="116"/>
      <c r="H77" s="116"/>
      <c r="I77" s="116"/>
      <c r="J77" s="116"/>
      <c r="K77" s="116"/>
      <c r="L77" s="116"/>
      <c r="M77" s="116"/>
      <c r="N77" s="115"/>
      <c r="O77" s="115"/>
      <c r="P77" s="115"/>
      <c r="Q77" s="115"/>
      <c r="R77" s="115"/>
      <c r="S77" s="115"/>
      <c r="T77" s="116"/>
      <c r="U77" s="116"/>
      <c r="V77" s="116"/>
      <c r="W77" s="116"/>
      <c r="X77" s="116"/>
      <c r="Y77" s="116"/>
      <c r="Z77" s="116"/>
    </row>
    <row r="78" spans="1:26" ht="18.75" customHeight="1" x14ac:dyDescent="0.15">
      <c r="A78" s="72" t="s">
        <v>142</v>
      </c>
    </row>
    <row r="79" spans="1:26" ht="18.75" customHeight="1" x14ac:dyDescent="0.15">
      <c r="B79" s="131" t="s">
        <v>102</v>
      </c>
      <c r="C79" s="132"/>
      <c r="D79" s="180" t="s">
        <v>103</v>
      </c>
      <c r="E79" s="180"/>
      <c r="F79" s="180"/>
      <c r="G79" s="180"/>
      <c r="H79" s="180"/>
      <c r="I79" s="180"/>
      <c r="J79" s="180"/>
      <c r="K79" s="180"/>
      <c r="L79" s="180"/>
      <c r="M79" s="180"/>
      <c r="N79" s="180"/>
      <c r="O79" s="180"/>
      <c r="P79" s="180"/>
      <c r="Q79" s="180"/>
      <c r="R79" s="180"/>
      <c r="S79" s="180"/>
      <c r="T79" s="180"/>
      <c r="U79" s="180"/>
      <c r="V79" s="180"/>
      <c r="W79" s="180"/>
      <c r="X79" s="180"/>
      <c r="Y79" s="180"/>
      <c r="Z79" s="181"/>
    </row>
    <row r="80" spans="1:26" ht="78" customHeight="1" x14ac:dyDescent="0.15">
      <c r="B80" s="247" t="s">
        <v>109</v>
      </c>
      <c r="C80" s="117" t="s">
        <v>104</v>
      </c>
      <c r="D80" s="254" t="s">
        <v>266</v>
      </c>
      <c r="E80" s="254"/>
      <c r="F80" s="254"/>
      <c r="G80" s="254"/>
      <c r="H80" s="254"/>
      <c r="I80" s="254"/>
      <c r="J80" s="254"/>
      <c r="K80" s="254"/>
      <c r="L80" s="254"/>
      <c r="M80" s="254"/>
      <c r="N80" s="254"/>
      <c r="O80" s="254"/>
      <c r="P80" s="254"/>
      <c r="Q80" s="254"/>
      <c r="R80" s="254"/>
      <c r="S80" s="254"/>
      <c r="T80" s="254"/>
      <c r="U80" s="254"/>
      <c r="V80" s="254"/>
      <c r="W80" s="254"/>
      <c r="X80" s="254"/>
      <c r="Y80" s="254"/>
      <c r="Z80" s="255"/>
    </row>
    <row r="81" spans="1:26" ht="78" customHeight="1" x14ac:dyDescent="0.15">
      <c r="B81" s="249"/>
      <c r="C81" s="118" t="s">
        <v>137</v>
      </c>
      <c r="D81" s="216" t="s">
        <v>267</v>
      </c>
      <c r="E81" s="217"/>
      <c r="F81" s="217"/>
      <c r="G81" s="217"/>
      <c r="H81" s="217"/>
      <c r="I81" s="217"/>
      <c r="J81" s="217"/>
      <c r="K81" s="217"/>
      <c r="L81" s="217"/>
      <c r="M81" s="217"/>
      <c r="N81" s="217"/>
      <c r="O81" s="217"/>
      <c r="P81" s="217"/>
      <c r="Q81" s="217"/>
      <c r="R81" s="217"/>
      <c r="S81" s="217"/>
      <c r="T81" s="217"/>
      <c r="U81" s="217"/>
      <c r="V81" s="217"/>
      <c r="W81" s="217"/>
      <c r="X81" s="217"/>
      <c r="Y81" s="217"/>
      <c r="Z81" s="218"/>
    </row>
    <row r="82" spans="1:26" ht="78" customHeight="1" x14ac:dyDescent="0.15">
      <c r="B82" s="247" t="s">
        <v>110</v>
      </c>
      <c r="C82" s="119" t="s">
        <v>127</v>
      </c>
      <c r="D82" s="219" t="s">
        <v>268</v>
      </c>
      <c r="E82" s="219"/>
      <c r="F82" s="219"/>
      <c r="G82" s="219"/>
      <c r="H82" s="219"/>
      <c r="I82" s="219"/>
      <c r="J82" s="219"/>
      <c r="K82" s="219"/>
      <c r="L82" s="219"/>
      <c r="M82" s="219"/>
      <c r="N82" s="219"/>
      <c r="O82" s="219"/>
      <c r="P82" s="219"/>
      <c r="Q82" s="219"/>
      <c r="R82" s="219"/>
      <c r="S82" s="219"/>
      <c r="T82" s="219"/>
      <c r="U82" s="219"/>
      <c r="V82" s="219"/>
      <c r="W82" s="219"/>
      <c r="X82" s="219"/>
      <c r="Y82" s="219"/>
      <c r="Z82" s="220"/>
    </row>
    <row r="83" spans="1:26" ht="78" customHeight="1" x14ac:dyDescent="0.15">
      <c r="B83" s="248"/>
      <c r="C83" s="120" t="s">
        <v>128</v>
      </c>
      <c r="D83" s="223" t="s">
        <v>269</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247" t="s">
        <v>111</v>
      </c>
      <c r="C84" s="119" t="s">
        <v>130</v>
      </c>
      <c r="D84" s="219" t="s">
        <v>230</v>
      </c>
      <c r="E84" s="219"/>
      <c r="F84" s="219"/>
      <c r="G84" s="219"/>
      <c r="H84" s="219"/>
      <c r="I84" s="219"/>
      <c r="J84" s="219"/>
      <c r="K84" s="219"/>
      <c r="L84" s="219"/>
      <c r="M84" s="219"/>
      <c r="N84" s="219"/>
      <c r="O84" s="219"/>
      <c r="P84" s="219"/>
      <c r="Q84" s="219"/>
      <c r="R84" s="219"/>
      <c r="S84" s="219"/>
      <c r="T84" s="219"/>
      <c r="U84" s="219"/>
      <c r="V84" s="219"/>
      <c r="W84" s="219"/>
      <c r="X84" s="219"/>
      <c r="Y84" s="219"/>
      <c r="Z84" s="220"/>
    </row>
    <row r="85" spans="1:26" ht="66" customHeight="1" x14ac:dyDescent="0.15">
      <c r="B85" s="248"/>
      <c r="C85" s="121" t="s">
        <v>131</v>
      </c>
      <c r="D85" s="221" t="s">
        <v>231</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6" ht="66" customHeight="1" x14ac:dyDescent="0.15">
      <c r="B86" s="247" t="s">
        <v>138</v>
      </c>
      <c r="C86" s="117" t="s">
        <v>106</v>
      </c>
      <c r="D86" s="254" t="s">
        <v>270</v>
      </c>
      <c r="E86" s="254"/>
      <c r="F86" s="254"/>
      <c r="G86" s="254"/>
      <c r="H86" s="254"/>
      <c r="I86" s="254"/>
      <c r="J86" s="254"/>
      <c r="K86" s="254"/>
      <c r="L86" s="254"/>
      <c r="M86" s="254"/>
      <c r="N86" s="254"/>
      <c r="O86" s="254"/>
      <c r="P86" s="254"/>
      <c r="Q86" s="254"/>
      <c r="R86" s="254"/>
      <c r="S86" s="254"/>
      <c r="T86" s="254"/>
      <c r="U86" s="254"/>
      <c r="V86" s="254"/>
      <c r="W86" s="254"/>
      <c r="X86" s="254"/>
      <c r="Y86" s="254"/>
      <c r="Z86" s="255"/>
    </row>
    <row r="87" spans="1:26" ht="66" customHeight="1" x14ac:dyDescent="0.15">
      <c r="B87" s="249"/>
      <c r="C87" s="122" t="s">
        <v>108</v>
      </c>
      <c r="D87" s="256" t="s">
        <v>271</v>
      </c>
      <c r="E87" s="256"/>
      <c r="F87" s="256"/>
      <c r="G87" s="256"/>
      <c r="H87" s="256"/>
      <c r="I87" s="256"/>
      <c r="J87" s="256"/>
      <c r="K87" s="256"/>
      <c r="L87" s="256"/>
      <c r="M87" s="256"/>
      <c r="N87" s="256"/>
      <c r="O87" s="256"/>
      <c r="P87" s="256"/>
      <c r="Q87" s="256"/>
      <c r="R87" s="256"/>
      <c r="S87" s="256"/>
      <c r="T87" s="256"/>
      <c r="U87" s="256"/>
      <c r="V87" s="256"/>
      <c r="W87" s="256"/>
      <c r="X87" s="256"/>
      <c r="Y87" s="256"/>
      <c r="Z87" s="257"/>
    </row>
    <row r="88" spans="1:26" ht="66" customHeight="1" x14ac:dyDescent="0.15">
      <c r="B88" s="247" t="s">
        <v>139</v>
      </c>
      <c r="C88" s="119" t="s">
        <v>105</v>
      </c>
      <c r="D88" s="250" t="s">
        <v>272</v>
      </c>
      <c r="E88" s="250"/>
      <c r="F88" s="250"/>
      <c r="G88" s="250"/>
      <c r="H88" s="250"/>
      <c r="I88" s="250"/>
      <c r="J88" s="250"/>
      <c r="K88" s="250"/>
      <c r="L88" s="250"/>
      <c r="M88" s="250"/>
      <c r="N88" s="250"/>
      <c r="O88" s="250"/>
      <c r="P88" s="250"/>
      <c r="Q88" s="250"/>
      <c r="R88" s="250"/>
      <c r="S88" s="250"/>
      <c r="T88" s="250"/>
      <c r="U88" s="250"/>
      <c r="V88" s="250"/>
      <c r="W88" s="250"/>
      <c r="X88" s="250"/>
      <c r="Y88" s="250"/>
      <c r="Z88" s="251"/>
    </row>
    <row r="89" spans="1:26" ht="66" customHeight="1" x14ac:dyDescent="0.15">
      <c r="B89" s="249"/>
      <c r="C89" s="122" t="s">
        <v>134</v>
      </c>
      <c r="D89" s="258" t="s">
        <v>273</v>
      </c>
      <c r="E89" s="259"/>
      <c r="F89" s="259"/>
      <c r="G89" s="259"/>
      <c r="H89" s="259"/>
      <c r="I89" s="259"/>
      <c r="J89" s="259"/>
      <c r="K89" s="259"/>
      <c r="L89" s="259"/>
      <c r="M89" s="259"/>
      <c r="N89" s="259"/>
      <c r="O89" s="259"/>
      <c r="P89" s="259"/>
      <c r="Q89" s="259"/>
      <c r="R89" s="259"/>
      <c r="S89" s="259"/>
      <c r="T89" s="259"/>
      <c r="U89" s="259"/>
      <c r="V89" s="259"/>
      <c r="W89" s="259"/>
      <c r="X89" s="259"/>
      <c r="Y89" s="259"/>
      <c r="Z89" s="260"/>
    </row>
    <row r="90" spans="1:26" ht="66" customHeight="1" x14ac:dyDescent="0.15">
      <c r="B90" s="248"/>
      <c r="C90" s="121" t="s">
        <v>135</v>
      </c>
      <c r="D90" s="252" t="s">
        <v>274</v>
      </c>
      <c r="E90" s="252"/>
      <c r="F90" s="252"/>
      <c r="G90" s="252"/>
      <c r="H90" s="252"/>
      <c r="I90" s="252"/>
      <c r="J90" s="252"/>
      <c r="K90" s="252"/>
      <c r="L90" s="252"/>
      <c r="M90" s="252"/>
      <c r="N90" s="252"/>
      <c r="O90" s="252"/>
      <c r="P90" s="252"/>
      <c r="Q90" s="252"/>
      <c r="R90" s="252"/>
      <c r="S90" s="252"/>
      <c r="T90" s="252"/>
      <c r="U90" s="252"/>
      <c r="V90" s="252"/>
      <c r="W90" s="252"/>
      <c r="X90" s="252"/>
      <c r="Y90" s="252"/>
      <c r="Z90" s="253"/>
    </row>
    <row r="91" spans="1:26" ht="6" customHeight="1" x14ac:dyDescent="0.15"/>
    <row r="92" spans="1:26" ht="18.75" customHeight="1" x14ac:dyDescent="0.15">
      <c r="A92" s="72" t="s">
        <v>143</v>
      </c>
    </row>
    <row r="93" spans="1:26" ht="18.75" customHeight="1" x14ac:dyDescent="0.15">
      <c r="B93" s="198" t="s">
        <v>209</v>
      </c>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200"/>
    </row>
    <row r="94" spans="1:26" ht="18.75" customHeight="1" x14ac:dyDescent="0.15">
      <c r="B94" s="201"/>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3"/>
    </row>
    <row r="95" spans="1:26" ht="18.75" customHeight="1" x14ac:dyDescent="0.15">
      <c r="B95" s="204"/>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6"/>
    </row>
    <row r="96" spans="1:26" ht="6" customHeight="1" x14ac:dyDescent="0.15"/>
    <row r="97" spans="1:26" ht="15" customHeight="1" x14ac:dyDescent="0.15">
      <c r="A97" s="72" t="s">
        <v>144</v>
      </c>
    </row>
    <row r="98" spans="1:26" ht="15" customHeight="1" x14ac:dyDescent="0.15">
      <c r="B98" s="207" t="s">
        <v>210</v>
      </c>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9"/>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C3984D18-20CB-40E4-B657-F898692091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4E62BBE0-9428-4B0A-AD80-BD69FFAAD925}">
      <formula1>"学部・学科によって、修了要件は相違する,学部・学科によって、修了要件は相違しない"</formula1>
    </dataValidation>
    <dataValidation type="list" allowBlank="1" showInputMessage="1" showErrorMessage="1" sqref="Z23 Z34 D34:K34 D23:K23 V16:V22 H60:H66 V27:V33 I27:I33 V38:V44 I16:I22 V49:V55 I38:I44 U60:U66 I49:I55" xr:uid="{D2FCB3B3-DA7E-4931-9F98-7B421603E1A2}">
      <formula1>"全学開講,一部開講"</formula1>
    </dataValidation>
    <dataValidation type="list" allowBlank="1" showInputMessage="1" showErrorMessage="1" sqref="Y16:Z22 H16:H22 Y27:Z33 L27:M33 H38:H44 Y38:Z44 H49:H55 Y49:Z55 Y60:Z66 K60 T60:T66 U16:U22 H27:H33 U27:U33 L16:M22 U38:U44 L38:M44 U49:U55 G60:G66 L49:M55 L60:M66" xr:uid="{57DF193A-E67A-47B3-B096-EC3F1EC1FC47}">
      <formula1>"○"</formula1>
    </dataValidation>
  </dataValidations>
  <hyperlinks>
    <hyperlink ref="B98" r:id="rId1" xr:uid="{AD919404-59A8-4D88-8C4C-1A340E0CB626}"/>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431C-76C6-4E08-884B-C405B7A9F26C}">
  <sheetPr>
    <tabColor rgb="FFCCFFFF"/>
  </sheetPr>
  <dimension ref="A1:Z98"/>
  <sheetViews>
    <sheetView showZeros="0" view="pageBreakPreview" zoomScaleNormal="100" zoomScaleSheetLayoutView="100" workbookViewId="0">
      <selection activeCell="N16" sqref="N16:S16"/>
    </sheetView>
  </sheetViews>
  <sheetFormatPr defaultColWidth="9" defaultRowHeight="18.75" customHeight="1" x14ac:dyDescent="0.15"/>
  <cols>
    <col min="1" max="1" width="2.5" style="72" customWidth="1"/>
    <col min="2" max="2" width="27.75" style="72" customWidth="1"/>
    <col min="3" max="13" width="3.375" style="72" customWidth="1"/>
    <col min="14" max="14" width="8.875" style="72" customWidth="1"/>
    <col min="15" max="15" width="18.875" style="72" customWidth="1"/>
    <col min="16" max="19" width="3.375" style="72" customWidth="1"/>
    <col min="20" max="20" width="3.5" style="72" customWidth="1"/>
    <col min="21" max="26" width="3.375" style="72" customWidth="1"/>
    <col min="27" max="16384" width="9" style="72"/>
  </cols>
  <sheetData>
    <row r="1" spans="1:26" ht="15" customHeight="1" x14ac:dyDescent="0.15">
      <c r="W1" s="188" t="s">
        <v>186</v>
      </c>
      <c r="X1" s="188"/>
      <c r="Y1" s="188"/>
      <c r="Z1" s="188"/>
    </row>
    <row r="2" spans="1:26" ht="18" customHeight="1" x14ac:dyDescent="0.15">
      <c r="A2" s="230" t="s">
        <v>67</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99"/>
      <c r="C3" s="99"/>
      <c r="D3" s="99"/>
      <c r="E3" s="99"/>
      <c r="F3" s="99"/>
      <c r="G3" s="99"/>
      <c r="H3" s="99"/>
      <c r="I3" s="99"/>
      <c r="J3" s="99"/>
      <c r="K3" s="99"/>
      <c r="L3" s="99"/>
      <c r="M3" s="99"/>
      <c r="N3" s="99"/>
      <c r="O3" s="99"/>
      <c r="P3" s="99"/>
      <c r="Q3" s="99"/>
      <c r="R3" s="99"/>
      <c r="S3" s="99"/>
      <c r="T3" s="99"/>
      <c r="U3" s="99"/>
      <c r="V3" s="99"/>
      <c r="W3" s="99"/>
      <c r="X3" s="99"/>
      <c r="Y3" s="99"/>
      <c r="Z3" s="99"/>
    </row>
    <row r="4" spans="1:26" ht="18" customHeight="1" x14ac:dyDescent="0.15">
      <c r="A4" s="72" t="s">
        <v>99</v>
      </c>
      <c r="B4" s="99"/>
      <c r="C4" s="99"/>
      <c r="D4" s="99"/>
      <c r="E4" s="99"/>
      <c r="F4" s="99"/>
      <c r="G4" s="99"/>
      <c r="H4" s="100" t="s">
        <v>112</v>
      </c>
      <c r="I4" s="99"/>
      <c r="J4" s="99"/>
      <c r="K4" s="99"/>
      <c r="L4" s="99"/>
      <c r="M4" s="99"/>
      <c r="N4" s="99"/>
      <c r="O4" s="179" t="s">
        <v>168</v>
      </c>
      <c r="P4" s="180"/>
      <c r="Q4" s="180"/>
      <c r="R4" s="180"/>
      <c r="S4" s="180"/>
      <c r="T4" s="180"/>
      <c r="U4" s="180"/>
      <c r="V4" s="180"/>
      <c r="W4" s="180"/>
      <c r="X4" s="180"/>
      <c r="Y4" s="180"/>
      <c r="Z4" s="181"/>
    </row>
    <row r="5" spans="1:26" ht="6" customHeight="1" x14ac:dyDescent="0.15">
      <c r="B5" s="99"/>
      <c r="C5" s="99"/>
      <c r="D5" s="99"/>
      <c r="E5" s="99"/>
      <c r="F5" s="99"/>
      <c r="G5" s="99"/>
      <c r="H5" s="99"/>
      <c r="I5" s="99"/>
      <c r="J5" s="99"/>
      <c r="K5" s="99"/>
      <c r="L5" s="99"/>
      <c r="M5" s="99"/>
      <c r="N5" s="99"/>
      <c r="O5" s="101"/>
      <c r="P5" s="99"/>
      <c r="Q5" s="99"/>
      <c r="R5" s="99"/>
      <c r="S5" s="99"/>
      <c r="T5" s="99"/>
      <c r="U5" s="99"/>
      <c r="V5" s="99"/>
      <c r="W5" s="99"/>
      <c r="X5" s="99"/>
      <c r="Y5" s="99"/>
      <c r="Z5" s="99"/>
    </row>
    <row r="6" spans="1:26" ht="18" customHeight="1" x14ac:dyDescent="0.15">
      <c r="B6" s="231" t="s">
        <v>221</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6"/>
    </row>
    <row r="11" spans="1:26" ht="18" customHeight="1" x14ac:dyDescent="0.15">
      <c r="B11" s="238"/>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40"/>
    </row>
    <row r="12" spans="1:26" ht="7.5" customHeight="1" x14ac:dyDescent="0.15">
      <c r="B12" s="99"/>
      <c r="C12" s="99"/>
      <c r="D12" s="99"/>
      <c r="E12" s="99"/>
      <c r="F12" s="99"/>
      <c r="G12" s="99"/>
      <c r="H12" s="99"/>
      <c r="I12" s="99"/>
      <c r="J12" s="99"/>
      <c r="K12" s="99"/>
      <c r="L12" s="99"/>
      <c r="M12" s="99"/>
      <c r="N12" s="99"/>
      <c r="O12" s="99"/>
      <c r="P12" s="99"/>
      <c r="Q12" s="99"/>
      <c r="R12" s="99"/>
      <c r="S12" s="99"/>
      <c r="T12" s="99"/>
      <c r="U12" s="99"/>
      <c r="V12" s="99"/>
      <c r="W12" s="99"/>
      <c r="X12" s="99"/>
      <c r="Y12" s="99"/>
      <c r="Z12" s="9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B15" s="179" t="s">
        <v>100</v>
      </c>
      <c r="C15" s="180"/>
      <c r="D15" s="180"/>
      <c r="E15" s="180"/>
      <c r="F15" s="181"/>
      <c r="G15" s="102" t="s">
        <v>141</v>
      </c>
      <c r="H15" s="103" t="s">
        <v>140</v>
      </c>
      <c r="I15" s="180" t="s">
        <v>101</v>
      </c>
      <c r="J15" s="180"/>
      <c r="K15" s="180"/>
      <c r="L15" s="104" t="s">
        <v>104</v>
      </c>
      <c r="M15" s="104" t="s">
        <v>107</v>
      </c>
      <c r="N15" s="179" t="s">
        <v>100</v>
      </c>
      <c r="O15" s="180"/>
      <c r="P15" s="180"/>
      <c r="Q15" s="180"/>
      <c r="R15" s="180"/>
      <c r="S15" s="181"/>
      <c r="T15" s="102" t="s">
        <v>141</v>
      </c>
      <c r="U15" s="103" t="s">
        <v>140</v>
      </c>
      <c r="V15" s="180" t="s">
        <v>101</v>
      </c>
      <c r="W15" s="180"/>
      <c r="X15" s="180"/>
      <c r="Y15" s="104" t="s">
        <v>104</v>
      </c>
      <c r="Z15" s="104" t="s">
        <v>107</v>
      </c>
    </row>
    <row r="16" spans="1:26" ht="18" customHeight="1" x14ac:dyDescent="0.15">
      <c r="B16" s="189" t="s">
        <v>188</v>
      </c>
      <c r="C16" s="190"/>
      <c r="D16" s="190"/>
      <c r="E16" s="190"/>
      <c r="F16" s="191"/>
      <c r="G16" s="105">
        <v>2</v>
      </c>
      <c r="H16" s="105" t="s">
        <v>191</v>
      </c>
      <c r="I16" s="195" t="s">
        <v>189</v>
      </c>
      <c r="J16" s="196"/>
      <c r="K16" s="197"/>
      <c r="L16" s="105" t="s">
        <v>191</v>
      </c>
      <c r="M16" s="105" t="s">
        <v>191</v>
      </c>
      <c r="N16" s="164"/>
      <c r="O16" s="165"/>
      <c r="P16" s="165"/>
      <c r="Q16" s="165"/>
      <c r="R16" s="165"/>
      <c r="S16" s="166"/>
      <c r="T16" s="105"/>
      <c r="U16" s="105"/>
      <c r="V16" s="195"/>
      <c r="W16" s="196"/>
      <c r="X16" s="197"/>
      <c r="Y16" s="105"/>
      <c r="Z16" s="105"/>
    </row>
    <row r="17" spans="1:26" ht="18" customHeight="1" x14ac:dyDescent="0.15">
      <c r="B17" s="182" t="s">
        <v>190</v>
      </c>
      <c r="C17" s="183"/>
      <c r="D17" s="183"/>
      <c r="E17" s="183"/>
      <c r="F17" s="184"/>
      <c r="G17" s="106">
        <v>2</v>
      </c>
      <c r="H17" s="106" t="s">
        <v>191</v>
      </c>
      <c r="I17" s="173" t="s">
        <v>189</v>
      </c>
      <c r="J17" s="174"/>
      <c r="K17" s="175"/>
      <c r="L17" s="106" t="s">
        <v>191</v>
      </c>
      <c r="M17" s="106" t="s">
        <v>191</v>
      </c>
      <c r="N17" s="167"/>
      <c r="O17" s="168"/>
      <c r="P17" s="168"/>
      <c r="Q17" s="168"/>
      <c r="R17" s="168"/>
      <c r="S17" s="169"/>
      <c r="T17" s="106"/>
      <c r="U17" s="106"/>
      <c r="V17" s="173"/>
      <c r="W17" s="174"/>
      <c r="X17" s="175"/>
      <c r="Y17" s="106"/>
      <c r="Z17" s="106"/>
    </row>
    <row r="18" spans="1:26" ht="18" customHeight="1" x14ac:dyDescent="0.15">
      <c r="B18" s="182" t="s">
        <v>199</v>
      </c>
      <c r="C18" s="183"/>
      <c r="D18" s="183"/>
      <c r="E18" s="183"/>
      <c r="F18" s="184"/>
      <c r="G18" s="106">
        <v>2</v>
      </c>
      <c r="H18" s="106" t="s">
        <v>191</v>
      </c>
      <c r="I18" s="173" t="s">
        <v>225</v>
      </c>
      <c r="J18" s="174"/>
      <c r="K18" s="175"/>
      <c r="L18" s="106"/>
      <c r="M18" s="106" t="s">
        <v>191</v>
      </c>
      <c r="N18" s="167"/>
      <c r="O18" s="168"/>
      <c r="P18" s="168"/>
      <c r="Q18" s="168"/>
      <c r="R18" s="168"/>
      <c r="S18" s="169"/>
      <c r="T18" s="106"/>
      <c r="U18" s="106"/>
      <c r="V18" s="173"/>
      <c r="W18" s="174"/>
      <c r="X18" s="175"/>
      <c r="Y18" s="106"/>
      <c r="Z18" s="106"/>
    </row>
    <row r="19" spans="1:26" ht="18" customHeight="1" x14ac:dyDescent="0.15">
      <c r="B19" s="182" t="s">
        <v>200</v>
      </c>
      <c r="C19" s="183"/>
      <c r="D19" s="183"/>
      <c r="E19" s="183"/>
      <c r="F19" s="184"/>
      <c r="G19" s="106">
        <v>1</v>
      </c>
      <c r="H19" s="106" t="s">
        <v>191</v>
      </c>
      <c r="I19" s="173" t="s">
        <v>225</v>
      </c>
      <c r="J19" s="174"/>
      <c r="K19" s="175"/>
      <c r="L19" s="106"/>
      <c r="M19" s="106" t="s">
        <v>191</v>
      </c>
      <c r="N19" s="167"/>
      <c r="O19" s="168"/>
      <c r="P19" s="168"/>
      <c r="Q19" s="168"/>
      <c r="R19" s="168"/>
      <c r="S19" s="169"/>
      <c r="T19" s="106"/>
      <c r="U19" s="106"/>
      <c r="V19" s="173"/>
      <c r="W19" s="174"/>
      <c r="X19" s="175"/>
      <c r="Y19" s="106"/>
      <c r="Z19" s="106"/>
    </row>
    <row r="20" spans="1:26" ht="18" customHeight="1" x14ac:dyDescent="0.15">
      <c r="B20" s="182"/>
      <c r="C20" s="183"/>
      <c r="D20" s="183"/>
      <c r="E20" s="183"/>
      <c r="F20" s="184"/>
      <c r="G20" s="106"/>
      <c r="H20" s="106"/>
      <c r="I20" s="173"/>
      <c r="J20" s="174"/>
      <c r="K20" s="175"/>
      <c r="L20" s="106"/>
      <c r="M20" s="106"/>
      <c r="N20" s="167"/>
      <c r="O20" s="168"/>
      <c r="P20" s="168"/>
      <c r="Q20" s="168"/>
      <c r="R20" s="168"/>
      <c r="S20" s="169"/>
      <c r="T20" s="106"/>
      <c r="U20" s="106"/>
      <c r="V20" s="173"/>
      <c r="W20" s="174"/>
      <c r="X20" s="175"/>
      <c r="Y20" s="106"/>
      <c r="Z20" s="106"/>
    </row>
    <row r="21" spans="1:26" ht="18" customHeight="1" x14ac:dyDescent="0.15">
      <c r="A21" s="99"/>
      <c r="B21" s="182"/>
      <c r="C21" s="183"/>
      <c r="D21" s="183"/>
      <c r="E21" s="183"/>
      <c r="F21" s="184"/>
      <c r="G21" s="106"/>
      <c r="H21" s="106"/>
      <c r="I21" s="173"/>
      <c r="J21" s="174"/>
      <c r="K21" s="175"/>
      <c r="L21" s="106"/>
      <c r="M21" s="106"/>
      <c r="N21" s="167"/>
      <c r="O21" s="168"/>
      <c r="P21" s="168"/>
      <c r="Q21" s="168"/>
      <c r="R21" s="168"/>
      <c r="S21" s="169"/>
      <c r="T21" s="106"/>
      <c r="U21" s="106"/>
      <c r="V21" s="173"/>
      <c r="W21" s="174"/>
      <c r="X21" s="175"/>
      <c r="Y21" s="106"/>
      <c r="Z21" s="106"/>
    </row>
    <row r="22" spans="1:26" ht="18" customHeight="1" x14ac:dyDescent="0.15">
      <c r="A22" s="99"/>
      <c r="B22" s="185"/>
      <c r="C22" s="186"/>
      <c r="D22" s="186"/>
      <c r="E22" s="186"/>
      <c r="F22" s="187"/>
      <c r="G22" s="107"/>
      <c r="H22" s="107"/>
      <c r="I22" s="176"/>
      <c r="J22" s="177"/>
      <c r="K22" s="178"/>
      <c r="L22" s="108"/>
      <c r="M22" s="108"/>
      <c r="N22" s="170"/>
      <c r="O22" s="171"/>
      <c r="P22" s="171"/>
      <c r="Q22" s="171"/>
      <c r="R22" s="171"/>
      <c r="S22" s="172"/>
      <c r="T22" s="107"/>
      <c r="U22" s="107"/>
      <c r="V22" s="176"/>
      <c r="W22" s="177"/>
      <c r="X22" s="178"/>
      <c r="Y22" s="108"/>
      <c r="Z22" s="108"/>
    </row>
    <row r="23" spans="1:26" ht="7.5" customHeight="1" x14ac:dyDescent="0.15">
      <c r="A23" s="99"/>
      <c r="B23" s="109"/>
      <c r="C23" s="109"/>
      <c r="D23" s="99"/>
      <c r="E23" s="99"/>
      <c r="F23" s="99"/>
      <c r="G23" s="99"/>
      <c r="H23" s="99"/>
      <c r="I23" s="99"/>
      <c r="J23" s="99"/>
      <c r="K23" s="99"/>
      <c r="L23" s="109"/>
      <c r="M23" s="109"/>
      <c r="N23" s="109"/>
      <c r="O23" s="109"/>
      <c r="P23" s="109"/>
      <c r="Q23" s="109"/>
      <c r="R23" s="109"/>
      <c r="S23" s="109"/>
      <c r="T23" s="109"/>
      <c r="U23" s="109"/>
      <c r="V23" s="109"/>
      <c r="W23" s="109"/>
      <c r="X23" s="109"/>
      <c r="Y23" s="109"/>
      <c r="Z23" s="9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B26" s="179" t="s">
        <v>100</v>
      </c>
      <c r="C26" s="180"/>
      <c r="D26" s="180"/>
      <c r="E26" s="180"/>
      <c r="F26" s="181"/>
      <c r="G26" s="102" t="s">
        <v>141</v>
      </c>
      <c r="H26" s="103" t="s">
        <v>140</v>
      </c>
      <c r="I26" s="180" t="s">
        <v>101</v>
      </c>
      <c r="J26" s="180"/>
      <c r="K26" s="180"/>
      <c r="L26" s="104" t="s">
        <v>127</v>
      </c>
      <c r="M26" s="104" t="s">
        <v>128</v>
      </c>
      <c r="N26" s="179" t="s">
        <v>100</v>
      </c>
      <c r="O26" s="180"/>
      <c r="P26" s="180"/>
      <c r="Q26" s="180"/>
      <c r="R26" s="180"/>
      <c r="S26" s="181"/>
      <c r="T26" s="102" t="s">
        <v>141</v>
      </c>
      <c r="U26" s="103" t="s">
        <v>140</v>
      </c>
      <c r="V26" s="180" t="s">
        <v>101</v>
      </c>
      <c r="W26" s="180"/>
      <c r="X26" s="180"/>
      <c r="Y26" s="104" t="s">
        <v>127</v>
      </c>
      <c r="Z26" s="104" t="s">
        <v>128</v>
      </c>
    </row>
    <row r="27" spans="1:26" ht="18" customHeight="1" x14ac:dyDescent="0.15">
      <c r="B27" s="182" t="s">
        <v>200</v>
      </c>
      <c r="C27" s="183"/>
      <c r="D27" s="183"/>
      <c r="E27" s="183"/>
      <c r="F27" s="184"/>
      <c r="G27" s="106">
        <v>1</v>
      </c>
      <c r="H27" s="106" t="s">
        <v>191</v>
      </c>
      <c r="I27" s="173" t="s">
        <v>225</v>
      </c>
      <c r="J27" s="174"/>
      <c r="K27" s="175"/>
      <c r="L27" s="106" t="s">
        <v>191</v>
      </c>
      <c r="M27" s="106" t="s">
        <v>191</v>
      </c>
      <c r="N27" s="164"/>
      <c r="O27" s="165"/>
      <c r="P27" s="165"/>
      <c r="Q27" s="165"/>
      <c r="R27" s="165"/>
      <c r="S27" s="166"/>
      <c r="T27" s="105"/>
      <c r="U27" s="105"/>
      <c r="V27" s="195"/>
      <c r="W27" s="196"/>
      <c r="X27" s="197"/>
      <c r="Y27" s="105"/>
      <c r="Z27" s="105"/>
    </row>
    <row r="28" spans="1:26" ht="18" customHeight="1" x14ac:dyDescent="0.15">
      <c r="B28" s="182" t="s">
        <v>199</v>
      </c>
      <c r="C28" s="183"/>
      <c r="D28" s="183"/>
      <c r="E28" s="183"/>
      <c r="F28" s="184"/>
      <c r="G28" s="106">
        <v>2</v>
      </c>
      <c r="H28" s="106" t="s">
        <v>191</v>
      </c>
      <c r="I28" s="173" t="s">
        <v>225</v>
      </c>
      <c r="J28" s="174"/>
      <c r="K28" s="175"/>
      <c r="L28" s="106" t="s">
        <v>191</v>
      </c>
      <c r="M28" s="106" t="s">
        <v>191</v>
      </c>
      <c r="N28" s="167"/>
      <c r="O28" s="168"/>
      <c r="P28" s="168"/>
      <c r="Q28" s="168"/>
      <c r="R28" s="168"/>
      <c r="S28" s="169"/>
      <c r="T28" s="106"/>
      <c r="U28" s="106"/>
      <c r="V28" s="173"/>
      <c r="W28" s="174"/>
      <c r="X28" s="175"/>
      <c r="Y28" s="106"/>
      <c r="Z28" s="106"/>
    </row>
    <row r="29" spans="1:26" ht="18" customHeight="1" x14ac:dyDescent="0.15">
      <c r="B29" s="182"/>
      <c r="C29" s="183"/>
      <c r="D29" s="183"/>
      <c r="E29" s="183"/>
      <c r="F29" s="184"/>
      <c r="G29" s="106"/>
      <c r="H29" s="106"/>
      <c r="I29" s="173"/>
      <c r="J29" s="174"/>
      <c r="K29" s="175"/>
      <c r="L29" s="106"/>
      <c r="M29" s="106"/>
      <c r="N29" s="167"/>
      <c r="O29" s="168"/>
      <c r="P29" s="168"/>
      <c r="Q29" s="168"/>
      <c r="R29" s="168"/>
      <c r="S29" s="169"/>
      <c r="T29" s="106"/>
      <c r="U29" s="106"/>
      <c r="V29" s="173"/>
      <c r="W29" s="174"/>
      <c r="X29" s="175"/>
      <c r="Y29" s="106"/>
      <c r="Z29" s="106"/>
    </row>
    <row r="30" spans="1:26" ht="18" customHeight="1" x14ac:dyDescent="0.15">
      <c r="B30" s="182"/>
      <c r="C30" s="183"/>
      <c r="D30" s="183"/>
      <c r="E30" s="183"/>
      <c r="F30" s="184"/>
      <c r="G30" s="106"/>
      <c r="H30" s="106"/>
      <c r="I30" s="173"/>
      <c r="J30" s="174"/>
      <c r="K30" s="175"/>
      <c r="L30" s="106"/>
      <c r="M30" s="106"/>
      <c r="N30" s="167"/>
      <c r="O30" s="168"/>
      <c r="P30" s="168"/>
      <c r="Q30" s="168"/>
      <c r="R30" s="168"/>
      <c r="S30" s="169"/>
      <c r="T30" s="106"/>
      <c r="U30" s="106"/>
      <c r="V30" s="173"/>
      <c r="W30" s="174"/>
      <c r="X30" s="175"/>
      <c r="Y30" s="106"/>
      <c r="Z30" s="106"/>
    </row>
    <row r="31" spans="1:26" ht="18" customHeight="1" x14ac:dyDescent="0.15">
      <c r="B31" s="182"/>
      <c r="C31" s="183"/>
      <c r="D31" s="183"/>
      <c r="E31" s="183"/>
      <c r="F31" s="184"/>
      <c r="G31" s="106"/>
      <c r="H31" s="106"/>
      <c r="I31" s="173"/>
      <c r="J31" s="174"/>
      <c r="K31" s="175"/>
      <c r="L31" s="106"/>
      <c r="M31" s="106"/>
      <c r="N31" s="167"/>
      <c r="O31" s="168"/>
      <c r="P31" s="168"/>
      <c r="Q31" s="168"/>
      <c r="R31" s="168"/>
      <c r="S31" s="169"/>
      <c r="T31" s="106"/>
      <c r="U31" s="106"/>
      <c r="V31" s="173"/>
      <c r="W31" s="174"/>
      <c r="X31" s="175"/>
      <c r="Y31" s="106"/>
      <c r="Z31" s="106"/>
    </row>
    <row r="32" spans="1:26" ht="18" customHeight="1" x14ac:dyDescent="0.15">
      <c r="B32" s="182"/>
      <c r="C32" s="183"/>
      <c r="D32" s="183"/>
      <c r="E32" s="183"/>
      <c r="F32" s="184"/>
      <c r="G32" s="106"/>
      <c r="H32" s="106"/>
      <c r="I32" s="173"/>
      <c r="J32" s="174"/>
      <c r="K32" s="175"/>
      <c r="L32" s="106"/>
      <c r="M32" s="106"/>
      <c r="N32" s="167"/>
      <c r="O32" s="168"/>
      <c r="P32" s="168"/>
      <c r="Q32" s="168"/>
      <c r="R32" s="168"/>
      <c r="S32" s="169"/>
      <c r="T32" s="106"/>
      <c r="U32" s="106"/>
      <c r="V32" s="173"/>
      <c r="W32" s="174"/>
      <c r="X32" s="175"/>
      <c r="Y32" s="106"/>
      <c r="Z32" s="106"/>
    </row>
    <row r="33" spans="1:26" ht="18" customHeight="1" x14ac:dyDescent="0.15">
      <c r="B33" s="185"/>
      <c r="C33" s="186"/>
      <c r="D33" s="186"/>
      <c r="E33" s="186"/>
      <c r="F33" s="187"/>
      <c r="G33" s="107"/>
      <c r="H33" s="107"/>
      <c r="I33" s="176"/>
      <c r="J33" s="177"/>
      <c r="K33" s="178"/>
      <c r="L33" s="108"/>
      <c r="M33" s="108"/>
      <c r="N33" s="170"/>
      <c r="O33" s="171"/>
      <c r="P33" s="171"/>
      <c r="Q33" s="171"/>
      <c r="R33" s="171"/>
      <c r="S33" s="172"/>
      <c r="T33" s="107"/>
      <c r="U33" s="107"/>
      <c r="V33" s="176"/>
      <c r="W33" s="177"/>
      <c r="X33" s="178"/>
      <c r="Y33" s="108"/>
      <c r="Z33" s="108"/>
    </row>
    <row r="34" spans="1:26" ht="7.5" customHeight="1" x14ac:dyDescent="0.15">
      <c r="A34" s="99"/>
      <c r="B34" s="109"/>
      <c r="C34" s="109"/>
      <c r="D34" s="99"/>
      <c r="E34" s="99"/>
      <c r="F34" s="99"/>
      <c r="G34" s="99"/>
      <c r="H34" s="99"/>
      <c r="I34" s="99"/>
      <c r="J34" s="99"/>
      <c r="K34" s="99"/>
      <c r="L34" s="109"/>
      <c r="M34" s="109"/>
      <c r="N34" s="109"/>
      <c r="O34" s="109"/>
      <c r="P34" s="109"/>
      <c r="Q34" s="109"/>
      <c r="R34" s="109"/>
      <c r="S34" s="109"/>
      <c r="T34" s="109"/>
      <c r="U34" s="109"/>
      <c r="V34" s="109"/>
      <c r="W34" s="109"/>
      <c r="X34" s="109"/>
      <c r="Y34" s="109"/>
      <c r="Z34" s="9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B37" s="179" t="s">
        <v>100</v>
      </c>
      <c r="C37" s="180"/>
      <c r="D37" s="180"/>
      <c r="E37" s="180"/>
      <c r="F37" s="181"/>
      <c r="G37" s="102" t="s">
        <v>141</v>
      </c>
      <c r="H37" s="103" t="s">
        <v>140</v>
      </c>
      <c r="I37" s="179" t="s">
        <v>101</v>
      </c>
      <c r="J37" s="180"/>
      <c r="K37" s="181"/>
      <c r="L37" s="104" t="s">
        <v>130</v>
      </c>
      <c r="M37" s="104" t="s">
        <v>131</v>
      </c>
      <c r="N37" s="179" t="s">
        <v>100</v>
      </c>
      <c r="O37" s="180"/>
      <c r="P37" s="180"/>
      <c r="Q37" s="180"/>
      <c r="R37" s="180"/>
      <c r="S37" s="181"/>
      <c r="T37" s="102" t="s">
        <v>141</v>
      </c>
      <c r="U37" s="103" t="s">
        <v>140</v>
      </c>
      <c r="V37" s="179" t="s">
        <v>101</v>
      </c>
      <c r="W37" s="180"/>
      <c r="X37" s="181"/>
      <c r="Y37" s="104" t="s">
        <v>130</v>
      </c>
      <c r="Z37" s="104" t="s">
        <v>131</v>
      </c>
    </row>
    <row r="38" spans="1:26" ht="18" customHeight="1" x14ac:dyDescent="0.15">
      <c r="A38" s="99"/>
      <c r="B38" s="189" t="s">
        <v>188</v>
      </c>
      <c r="C38" s="190"/>
      <c r="D38" s="190"/>
      <c r="E38" s="190"/>
      <c r="F38" s="191"/>
      <c r="G38" s="105">
        <v>2</v>
      </c>
      <c r="H38" s="105" t="s">
        <v>191</v>
      </c>
      <c r="I38" s="195" t="s">
        <v>189</v>
      </c>
      <c r="J38" s="196"/>
      <c r="K38" s="197"/>
      <c r="L38" s="105" t="s">
        <v>191</v>
      </c>
      <c r="M38" s="105" t="s">
        <v>191</v>
      </c>
      <c r="N38" s="164"/>
      <c r="O38" s="165"/>
      <c r="P38" s="165"/>
      <c r="Q38" s="165"/>
      <c r="R38" s="165"/>
      <c r="S38" s="166"/>
      <c r="T38" s="105"/>
      <c r="U38" s="105"/>
      <c r="V38" s="195"/>
      <c r="W38" s="196"/>
      <c r="X38" s="197"/>
      <c r="Y38" s="105"/>
      <c r="Z38" s="105"/>
    </row>
    <row r="39" spans="1:26" ht="18" customHeight="1" x14ac:dyDescent="0.15">
      <c r="A39" s="99"/>
      <c r="B39" s="182" t="s">
        <v>190</v>
      </c>
      <c r="C39" s="183"/>
      <c r="D39" s="183"/>
      <c r="E39" s="183"/>
      <c r="F39" s="184"/>
      <c r="G39" s="106">
        <v>2</v>
      </c>
      <c r="H39" s="106" t="s">
        <v>191</v>
      </c>
      <c r="I39" s="173" t="s">
        <v>189</v>
      </c>
      <c r="J39" s="174"/>
      <c r="K39" s="175"/>
      <c r="L39" s="106" t="s">
        <v>191</v>
      </c>
      <c r="M39" s="106" t="s">
        <v>191</v>
      </c>
      <c r="N39" s="167"/>
      <c r="O39" s="168"/>
      <c r="P39" s="168"/>
      <c r="Q39" s="168"/>
      <c r="R39" s="168"/>
      <c r="S39" s="169"/>
      <c r="T39" s="106"/>
      <c r="U39" s="106"/>
      <c r="V39" s="173"/>
      <c r="W39" s="174"/>
      <c r="X39" s="175"/>
      <c r="Y39" s="106"/>
      <c r="Z39" s="106"/>
    </row>
    <row r="40" spans="1:26" ht="18" customHeight="1" x14ac:dyDescent="0.15">
      <c r="A40" s="99"/>
      <c r="B40" s="182" t="s">
        <v>200</v>
      </c>
      <c r="C40" s="183"/>
      <c r="D40" s="183"/>
      <c r="E40" s="183"/>
      <c r="F40" s="184"/>
      <c r="G40" s="106">
        <v>1</v>
      </c>
      <c r="H40" s="106" t="s">
        <v>191</v>
      </c>
      <c r="I40" s="173" t="s">
        <v>225</v>
      </c>
      <c r="J40" s="174"/>
      <c r="K40" s="175"/>
      <c r="L40" s="106" t="s">
        <v>191</v>
      </c>
      <c r="M40" s="106" t="s">
        <v>191</v>
      </c>
      <c r="N40" s="167"/>
      <c r="O40" s="168"/>
      <c r="P40" s="168"/>
      <c r="Q40" s="168"/>
      <c r="R40" s="168"/>
      <c r="S40" s="169"/>
      <c r="T40" s="106"/>
      <c r="U40" s="106"/>
      <c r="V40" s="173"/>
      <c r="W40" s="174"/>
      <c r="X40" s="175"/>
      <c r="Y40" s="106"/>
      <c r="Z40" s="106"/>
    </row>
    <row r="41" spans="1:26" ht="18" customHeight="1" x14ac:dyDescent="0.15">
      <c r="A41" s="99"/>
      <c r="B41" s="182"/>
      <c r="C41" s="183"/>
      <c r="D41" s="183"/>
      <c r="E41" s="183"/>
      <c r="F41" s="184"/>
      <c r="G41" s="106"/>
      <c r="H41" s="106"/>
      <c r="I41" s="173"/>
      <c r="J41" s="174"/>
      <c r="K41" s="175"/>
      <c r="L41" s="106"/>
      <c r="M41" s="106"/>
      <c r="N41" s="167"/>
      <c r="O41" s="168"/>
      <c r="P41" s="168"/>
      <c r="Q41" s="168"/>
      <c r="R41" s="168"/>
      <c r="S41" s="169"/>
      <c r="T41" s="106"/>
      <c r="U41" s="106"/>
      <c r="V41" s="173"/>
      <c r="W41" s="174"/>
      <c r="X41" s="175"/>
      <c r="Y41" s="106"/>
      <c r="Z41" s="106"/>
    </row>
    <row r="42" spans="1:26" ht="18" customHeight="1" x14ac:dyDescent="0.15">
      <c r="A42" s="99"/>
      <c r="B42" s="182"/>
      <c r="C42" s="183"/>
      <c r="D42" s="183"/>
      <c r="E42" s="183"/>
      <c r="F42" s="184"/>
      <c r="G42" s="106"/>
      <c r="H42" s="106"/>
      <c r="I42" s="173"/>
      <c r="J42" s="174"/>
      <c r="K42" s="175"/>
      <c r="L42" s="106"/>
      <c r="M42" s="106"/>
      <c r="N42" s="167"/>
      <c r="O42" s="168"/>
      <c r="P42" s="168"/>
      <c r="Q42" s="168"/>
      <c r="R42" s="168"/>
      <c r="S42" s="169"/>
      <c r="T42" s="106"/>
      <c r="U42" s="106"/>
      <c r="V42" s="173"/>
      <c r="W42" s="174"/>
      <c r="X42" s="175"/>
      <c r="Y42" s="106"/>
      <c r="Z42" s="106"/>
    </row>
    <row r="43" spans="1:26" ht="18" customHeight="1" x14ac:dyDescent="0.15">
      <c r="A43" s="99"/>
      <c r="B43" s="182"/>
      <c r="C43" s="183"/>
      <c r="D43" s="183"/>
      <c r="E43" s="183"/>
      <c r="F43" s="184"/>
      <c r="G43" s="106"/>
      <c r="H43" s="106"/>
      <c r="I43" s="173"/>
      <c r="J43" s="174"/>
      <c r="K43" s="175"/>
      <c r="L43" s="106"/>
      <c r="M43" s="106"/>
      <c r="N43" s="167"/>
      <c r="O43" s="168"/>
      <c r="P43" s="168"/>
      <c r="Q43" s="168"/>
      <c r="R43" s="168"/>
      <c r="S43" s="169"/>
      <c r="T43" s="106"/>
      <c r="U43" s="106"/>
      <c r="V43" s="173"/>
      <c r="W43" s="174"/>
      <c r="X43" s="175"/>
      <c r="Y43" s="106"/>
      <c r="Z43" s="106"/>
    </row>
    <row r="44" spans="1:26" ht="18" customHeight="1" x14ac:dyDescent="0.15">
      <c r="A44" s="99"/>
      <c r="B44" s="185"/>
      <c r="C44" s="186"/>
      <c r="D44" s="186"/>
      <c r="E44" s="186"/>
      <c r="F44" s="187"/>
      <c r="G44" s="107"/>
      <c r="H44" s="107"/>
      <c r="I44" s="176"/>
      <c r="J44" s="177"/>
      <c r="K44" s="178"/>
      <c r="L44" s="108"/>
      <c r="M44" s="108"/>
      <c r="N44" s="170"/>
      <c r="O44" s="171"/>
      <c r="P44" s="171"/>
      <c r="Q44" s="171"/>
      <c r="R44" s="171"/>
      <c r="S44" s="172"/>
      <c r="T44" s="107"/>
      <c r="U44" s="107"/>
      <c r="V44" s="176"/>
      <c r="W44" s="177"/>
      <c r="X44" s="178"/>
      <c r="Y44" s="108"/>
      <c r="Z44" s="108"/>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B48" s="179" t="s">
        <v>100</v>
      </c>
      <c r="C48" s="180"/>
      <c r="D48" s="180"/>
      <c r="E48" s="180"/>
      <c r="F48" s="181"/>
      <c r="G48" s="102" t="s">
        <v>141</v>
      </c>
      <c r="H48" s="103" t="s">
        <v>140</v>
      </c>
      <c r="I48" s="179" t="s">
        <v>101</v>
      </c>
      <c r="J48" s="180"/>
      <c r="K48" s="181"/>
      <c r="L48" s="104" t="s">
        <v>106</v>
      </c>
      <c r="M48" s="104" t="s">
        <v>108</v>
      </c>
      <c r="N48" s="179" t="s">
        <v>100</v>
      </c>
      <c r="O48" s="180"/>
      <c r="P48" s="180"/>
      <c r="Q48" s="180"/>
      <c r="R48" s="180"/>
      <c r="S48" s="181"/>
      <c r="T48" s="102" t="s">
        <v>141</v>
      </c>
      <c r="U48" s="103" t="s">
        <v>140</v>
      </c>
      <c r="V48" s="179" t="s">
        <v>101</v>
      </c>
      <c r="W48" s="180"/>
      <c r="X48" s="181"/>
      <c r="Y48" s="104" t="s">
        <v>106</v>
      </c>
      <c r="Z48" s="104" t="s">
        <v>108</v>
      </c>
    </row>
    <row r="49" spans="1:26" ht="18" customHeight="1" x14ac:dyDescent="0.15">
      <c r="A49" s="99"/>
      <c r="B49" s="189" t="s">
        <v>188</v>
      </c>
      <c r="C49" s="190"/>
      <c r="D49" s="190"/>
      <c r="E49" s="190"/>
      <c r="F49" s="191"/>
      <c r="G49" s="105">
        <v>2</v>
      </c>
      <c r="H49" s="105" t="s">
        <v>191</v>
      </c>
      <c r="I49" s="195" t="s">
        <v>189</v>
      </c>
      <c r="J49" s="196"/>
      <c r="K49" s="197"/>
      <c r="L49" s="105" t="s">
        <v>191</v>
      </c>
      <c r="M49" s="105" t="s">
        <v>191</v>
      </c>
      <c r="N49" s="164"/>
      <c r="O49" s="165"/>
      <c r="P49" s="165"/>
      <c r="Q49" s="165"/>
      <c r="R49" s="165"/>
      <c r="S49" s="166"/>
      <c r="T49" s="105"/>
      <c r="U49" s="105"/>
      <c r="V49" s="195"/>
      <c r="W49" s="196"/>
      <c r="X49" s="197"/>
      <c r="Y49" s="105"/>
      <c r="Z49" s="105"/>
    </row>
    <row r="50" spans="1:26" ht="18" customHeight="1" x14ac:dyDescent="0.15">
      <c r="A50" s="99"/>
      <c r="B50" s="228" t="s">
        <v>190</v>
      </c>
      <c r="C50" s="217"/>
      <c r="D50" s="217"/>
      <c r="E50" s="217"/>
      <c r="F50" s="218"/>
      <c r="G50" s="111">
        <v>2</v>
      </c>
      <c r="H50" s="111" t="s">
        <v>191</v>
      </c>
      <c r="I50" s="225" t="s">
        <v>189</v>
      </c>
      <c r="J50" s="226"/>
      <c r="K50" s="227"/>
      <c r="L50" s="111" t="s">
        <v>191</v>
      </c>
      <c r="M50" s="111" t="s">
        <v>191</v>
      </c>
      <c r="N50" s="167"/>
      <c r="O50" s="168"/>
      <c r="P50" s="168"/>
      <c r="Q50" s="168"/>
      <c r="R50" s="168"/>
      <c r="S50" s="169"/>
      <c r="T50" s="106"/>
      <c r="U50" s="106"/>
      <c r="V50" s="173"/>
      <c r="W50" s="174"/>
      <c r="X50" s="175"/>
      <c r="Y50" s="106"/>
      <c r="Z50" s="106"/>
    </row>
    <row r="51" spans="1:26" ht="18" customHeight="1" x14ac:dyDescent="0.15">
      <c r="A51" s="99"/>
      <c r="B51" s="182" t="s">
        <v>200</v>
      </c>
      <c r="C51" s="183"/>
      <c r="D51" s="183"/>
      <c r="E51" s="183"/>
      <c r="F51" s="184"/>
      <c r="G51" s="106">
        <v>1</v>
      </c>
      <c r="H51" s="106" t="s">
        <v>191</v>
      </c>
      <c r="I51" s="173" t="s">
        <v>225</v>
      </c>
      <c r="J51" s="174"/>
      <c r="K51" s="175"/>
      <c r="L51" s="106" t="s">
        <v>191</v>
      </c>
      <c r="M51" s="106" t="s">
        <v>191</v>
      </c>
      <c r="N51" s="167"/>
      <c r="O51" s="168"/>
      <c r="P51" s="168"/>
      <c r="Q51" s="168"/>
      <c r="R51" s="168"/>
      <c r="S51" s="169"/>
      <c r="T51" s="106"/>
      <c r="U51" s="106"/>
      <c r="V51" s="173"/>
      <c r="W51" s="174"/>
      <c r="X51" s="175"/>
      <c r="Y51" s="106"/>
      <c r="Z51" s="106"/>
    </row>
    <row r="52" spans="1:26" ht="18" customHeight="1" x14ac:dyDescent="0.15">
      <c r="A52" s="99"/>
      <c r="B52" s="182" t="s">
        <v>199</v>
      </c>
      <c r="C52" s="183"/>
      <c r="D52" s="183"/>
      <c r="E52" s="183"/>
      <c r="F52" s="184"/>
      <c r="G52" s="106">
        <v>2</v>
      </c>
      <c r="H52" s="106" t="s">
        <v>191</v>
      </c>
      <c r="I52" s="173" t="s">
        <v>225</v>
      </c>
      <c r="J52" s="174"/>
      <c r="K52" s="175"/>
      <c r="L52" s="106" t="s">
        <v>191</v>
      </c>
      <c r="M52" s="106" t="s">
        <v>191</v>
      </c>
      <c r="N52" s="167"/>
      <c r="O52" s="168"/>
      <c r="P52" s="168"/>
      <c r="Q52" s="168"/>
      <c r="R52" s="168"/>
      <c r="S52" s="169"/>
      <c r="T52" s="106"/>
      <c r="U52" s="106"/>
      <c r="V52" s="173"/>
      <c r="W52" s="174"/>
      <c r="X52" s="175"/>
      <c r="Y52" s="106"/>
      <c r="Z52" s="106"/>
    </row>
    <row r="53" spans="1:26" ht="18" customHeight="1" x14ac:dyDescent="0.15">
      <c r="A53" s="99"/>
      <c r="B53" s="182"/>
      <c r="C53" s="183"/>
      <c r="D53" s="183"/>
      <c r="E53" s="183"/>
      <c r="F53" s="184"/>
      <c r="G53" s="106"/>
      <c r="H53" s="106"/>
      <c r="I53" s="173"/>
      <c r="J53" s="174"/>
      <c r="K53" s="175"/>
      <c r="L53" s="106"/>
      <c r="M53" s="106"/>
      <c r="N53" s="167"/>
      <c r="O53" s="168"/>
      <c r="P53" s="168"/>
      <c r="Q53" s="168"/>
      <c r="R53" s="168"/>
      <c r="S53" s="169"/>
      <c r="T53" s="106"/>
      <c r="U53" s="106"/>
      <c r="V53" s="173"/>
      <c r="W53" s="174"/>
      <c r="X53" s="175"/>
      <c r="Y53" s="106"/>
      <c r="Z53" s="106"/>
    </row>
    <row r="54" spans="1:26" ht="18" customHeight="1" x14ac:dyDescent="0.15">
      <c r="A54" s="99"/>
      <c r="B54" s="182"/>
      <c r="C54" s="183"/>
      <c r="D54" s="183"/>
      <c r="E54" s="183"/>
      <c r="F54" s="184"/>
      <c r="G54" s="106"/>
      <c r="H54" s="106"/>
      <c r="I54" s="173"/>
      <c r="J54" s="174"/>
      <c r="K54" s="175"/>
      <c r="L54" s="106"/>
      <c r="M54" s="106"/>
      <c r="N54" s="167"/>
      <c r="O54" s="168"/>
      <c r="P54" s="168"/>
      <c r="Q54" s="168"/>
      <c r="R54" s="168"/>
      <c r="S54" s="169"/>
      <c r="T54" s="106"/>
      <c r="U54" s="106"/>
      <c r="V54" s="173"/>
      <c r="W54" s="174"/>
      <c r="X54" s="175"/>
      <c r="Y54" s="106"/>
      <c r="Z54" s="106"/>
    </row>
    <row r="55" spans="1:26" ht="18" customHeight="1" x14ac:dyDescent="0.15">
      <c r="A55" s="99"/>
      <c r="B55" s="185"/>
      <c r="C55" s="186"/>
      <c r="D55" s="186"/>
      <c r="E55" s="186"/>
      <c r="F55" s="187"/>
      <c r="G55" s="107"/>
      <c r="H55" s="107"/>
      <c r="I55" s="176"/>
      <c r="J55" s="177"/>
      <c r="K55" s="178"/>
      <c r="L55" s="108"/>
      <c r="M55" s="108"/>
      <c r="N55" s="170"/>
      <c r="O55" s="171"/>
      <c r="P55" s="171"/>
      <c r="Q55" s="171"/>
      <c r="R55" s="171"/>
      <c r="S55" s="172"/>
      <c r="T55" s="107"/>
      <c r="U55" s="107"/>
      <c r="V55" s="176"/>
      <c r="W55" s="177"/>
      <c r="X55" s="178"/>
      <c r="Y55" s="108"/>
      <c r="Z55" s="108"/>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B59" s="179" t="s">
        <v>100</v>
      </c>
      <c r="C59" s="180"/>
      <c r="D59" s="180"/>
      <c r="E59" s="181"/>
      <c r="F59" s="102" t="s">
        <v>141</v>
      </c>
      <c r="G59" s="103" t="s">
        <v>140</v>
      </c>
      <c r="H59" s="112" t="s">
        <v>101</v>
      </c>
      <c r="I59" s="113"/>
      <c r="J59" s="114"/>
      <c r="K59" s="104" t="s">
        <v>105</v>
      </c>
      <c r="L59" s="104" t="s">
        <v>134</v>
      </c>
      <c r="M59" s="104" t="s">
        <v>135</v>
      </c>
      <c r="N59" s="179" t="s">
        <v>100</v>
      </c>
      <c r="O59" s="180"/>
      <c r="P59" s="180"/>
      <c r="Q59" s="180"/>
      <c r="R59" s="181"/>
      <c r="S59" s="102" t="s">
        <v>141</v>
      </c>
      <c r="T59" s="103" t="s">
        <v>140</v>
      </c>
      <c r="U59" s="112" t="s">
        <v>101</v>
      </c>
      <c r="V59" s="113"/>
      <c r="W59" s="114"/>
      <c r="X59" s="104" t="s">
        <v>105</v>
      </c>
      <c r="Y59" s="104" t="s">
        <v>134</v>
      </c>
      <c r="Z59" s="104" t="s">
        <v>135</v>
      </c>
    </row>
    <row r="60" spans="1:26" ht="18" customHeight="1" x14ac:dyDescent="0.15">
      <c r="A60" s="99"/>
      <c r="B60" s="164" t="s">
        <v>201</v>
      </c>
      <c r="C60" s="165"/>
      <c r="D60" s="165"/>
      <c r="E60" s="166"/>
      <c r="F60" s="105">
        <v>4</v>
      </c>
      <c r="G60" s="105" t="s">
        <v>191</v>
      </c>
      <c r="H60" s="195" t="s">
        <v>225</v>
      </c>
      <c r="I60" s="196"/>
      <c r="J60" s="197"/>
      <c r="K60" s="106" t="s">
        <v>191</v>
      </c>
      <c r="L60" s="106" t="s">
        <v>191</v>
      </c>
      <c r="M60" s="106" t="s">
        <v>191</v>
      </c>
      <c r="N60" s="164"/>
      <c r="O60" s="165"/>
      <c r="P60" s="165"/>
      <c r="Q60" s="165"/>
      <c r="R60" s="166"/>
      <c r="S60" s="105"/>
      <c r="T60" s="105"/>
      <c r="U60" s="195"/>
      <c r="V60" s="196"/>
      <c r="W60" s="197"/>
      <c r="X60" s="124"/>
      <c r="Y60" s="105"/>
      <c r="Z60" s="105"/>
    </row>
    <row r="61" spans="1:26" ht="18" customHeight="1" x14ac:dyDescent="0.15">
      <c r="A61" s="99"/>
      <c r="B61" s="167"/>
      <c r="C61" s="168"/>
      <c r="D61" s="168"/>
      <c r="E61" s="169"/>
      <c r="F61" s="106"/>
      <c r="G61" s="106"/>
      <c r="H61" s="173"/>
      <c r="I61" s="174"/>
      <c r="J61" s="175"/>
      <c r="K61" s="125"/>
      <c r="L61" s="106"/>
      <c r="M61" s="106"/>
      <c r="N61" s="167"/>
      <c r="O61" s="168"/>
      <c r="P61" s="168"/>
      <c r="Q61" s="168"/>
      <c r="R61" s="169"/>
      <c r="S61" s="106"/>
      <c r="T61" s="106"/>
      <c r="U61" s="173"/>
      <c r="V61" s="174"/>
      <c r="W61" s="175"/>
      <c r="X61" s="125"/>
      <c r="Y61" s="106"/>
      <c r="Z61" s="106"/>
    </row>
    <row r="62" spans="1:26" ht="18" customHeight="1" x14ac:dyDescent="0.15">
      <c r="A62" s="99"/>
      <c r="B62" s="167"/>
      <c r="C62" s="168"/>
      <c r="D62" s="168"/>
      <c r="E62" s="169"/>
      <c r="F62" s="106"/>
      <c r="G62" s="106"/>
      <c r="H62" s="173"/>
      <c r="I62" s="174"/>
      <c r="J62" s="175"/>
      <c r="K62" s="125"/>
      <c r="L62" s="106"/>
      <c r="M62" s="106"/>
      <c r="N62" s="167"/>
      <c r="O62" s="168"/>
      <c r="P62" s="168"/>
      <c r="Q62" s="168"/>
      <c r="R62" s="169"/>
      <c r="S62" s="106"/>
      <c r="T62" s="106"/>
      <c r="U62" s="173"/>
      <c r="V62" s="174"/>
      <c r="W62" s="175"/>
      <c r="X62" s="125"/>
      <c r="Y62" s="106"/>
      <c r="Z62" s="106"/>
    </row>
    <row r="63" spans="1:26" ht="18" customHeight="1" x14ac:dyDescent="0.15">
      <c r="A63" s="99"/>
      <c r="B63" s="167"/>
      <c r="C63" s="168"/>
      <c r="D63" s="168"/>
      <c r="E63" s="169"/>
      <c r="F63" s="106"/>
      <c r="G63" s="106"/>
      <c r="H63" s="173"/>
      <c r="I63" s="174"/>
      <c r="J63" s="175"/>
      <c r="K63" s="125"/>
      <c r="L63" s="106"/>
      <c r="M63" s="106"/>
      <c r="N63" s="167"/>
      <c r="O63" s="168"/>
      <c r="P63" s="168"/>
      <c r="Q63" s="168"/>
      <c r="R63" s="169"/>
      <c r="S63" s="106"/>
      <c r="T63" s="106"/>
      <c r="U63" s="173"/>
      <c r="V63" s="174"/>
      <c r="W63" s="175"/>
      <c r="X63" s="125"/>
      <c r="Y63" s="106"/>
      <c r="Z63" s="106"/>
    </row>
    <row r="64" spans="1:26" ht="18" customHeight="1" x14ac:dyDescent="0.15">
      <c r="A64" s="99"/>
      <c r="B64" s="167"/>
      <c r="C64" s="168"/>
      <c r="D64" s="168"/>
      <c r="E64" s="169"/>
      <c r="F64" s="106"/>
      <c r="G64" s="106"/>
      <c r="H64" s="173"/>
      <c r="I64" s="174"/>
      <c r="J64" s="175"/>
      <c r="K64" s="125"/>
      <c r="L64" s="106"/>
      <c r="M64" s="106"/>
      <c r="N64" s="167"/>
      <c r="O64" s="168"/>
      <c r="P64" s="168"/>
      <c r="Q64" s="168"/>
      <c r="R64" s="169"/>
      <c r="S64" s="106"/>
      <c r="T64" s="106"/>
      <c r="U64" s="173"/>
      <c r="V64" s="174"/>
      <c r="W64" s="175"/>
      <c r="X64" s="125"/>
      <c r="Y64" s="106"/>
      <c r="Z64" s="106"/>
    </row>
    <row r="65" spans="1:26" ht="18" customHeight="1" x14ac:dyDescent="0.15">
      <c r="A65" s="99"/>
      <c r="B65" s="167"/>
      <c r="C65" s="168"/>
      <c r="D65" s="168"/>
      <c r="E65" s="169"/>
      <c r="F65" s="106"/>
      <c r="G65" s="106"/>
      <c r="H65" s="173"/>
      <c r="I65" s="174"/>
      <c r="J65" s="175"/>
      <c r="K65" s="125"/>
      <c r="L65" s="106"/>
      <c r="M65" s="106"/>
      <c r="N65" s="167"/>
      <c r="O65" s="168"/>
      <c r="P65" s="168"/>
      <c r="Q65" s="168"/>
      <c r="R65" s="169"/>
      <c r="S65" s="106"/>
      <c r="T65" s="106"/>
      <c r="U65" s="173"/>
      <c r="V65" s="174"/>
      <c r="W65" s="175"/>
      <c r="X65" s="125"/>
      <c r="Y65" s="106"/>
      <c r="Z65" s="106"/>
    </row>
    <row r="66" spans="1:26" ht="18" customHeight="1" x14ac:dyDescent="0.15">
      <c r="A66" s="99"/>
      <c r="B66" s="170"/>
      <c r="C66" s="171"/>
      <c r="D66" s="171"/>
      <c r="E66" s="172"/>
      <c r="F66" s="107"/>
      <c r="G66" s="107"/>
      <c r="H66" s="176"/>
      <c r="I66" s="177"/>
      <c r="J66" s="178"/>
      <c r="K66" s="126"/>
      <c r="L66" s="108"/>
      <c r="M66" s="108"/>
      <c r="N66" s="170"/>
      <c r="O66" s="171"/>
      <c r="P66" s="171"/>
      <c r="Q66" s="171"/>
      <c r="R66" s="172"/>
      <c r="S66" s="107"/>
      <c r="T66" s="107"/>
      <c r="U66" s="176"/>
      <c r="V66" s="177"/>
      <c r="W66" s="178"/>
      <c r="X66" s="126"/>
      <c r="Y66" s="108"/>
      <c r="Z66" s="108"/>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2" t="s">
        <v>136</v>
      </c>
      <c r="L68" s="99"/>
      <c r="M68" s="99"/>
      <c r="N68" s="99"/>
      <c r="O68" s="99"/>
      <c r="P68" s="99"/>
      <c r="Q68" s="99"/>
      <c r="R68" s="99"/>
      <c r="S68" s="99"/>
      <c r="T68" s="99"/>
      <c r="U68" s="99"/>
      <c r="V68" s="99"/>
      <c r="W68" s="99"/>
      <c r="X68" s="99"/>
      <c r="Y68" s="99"/>
      <c r="Z68" s="99"/>
    </row>
    <row r="69" spans="1:26" ht="18" customHeight="1" x14ac:dyDescent="0.15">
      <c r="B69" s="179" t="s">
        <v>100</v>
      </c>
      <c r="C69" s="180"/>
      <c r="D69" s="180"/>
      <c r="E69" s="180"/>
      <c r="F69" s="181"/>
      <c r="G69" s="179" t="s">
        <v>146</v>
      </c>
      <c r="H69" s="180"/>
      <c r="I69" s="180"/>
      <c r="J69" s="180"/>
      <c r="K69" s="180"/>
      <c r="L69" s="180"/>
      <c r="M69" s="181"/>
      <c r="N69" s="192" t="s">
        <v>100</v>
      </c>
      <c r="O69" s="193"/>
      <c r="P69" s="193"/>
      <c r="Q69" s="193"/>
      <c r="R69" s="193"/>
      <c r="S69" s="194"/>
      <c r="T69" s="179" t="s">
        <v>146</v>
      </c>
      <c r="U69" s="180"/>
      <c r="V69" s="180"/>
      <c r="W69" s="180"/>
      <c r="X69" s="180"/>
      <c r="Y69" s="180"/>
      <c r="Z69" s="181"/>
    </row>
    <row r="70" spans="1:26" ht="18" customHeight="1" x14ac:dyDescent="0.15">
      <c r="A70" s="99"/>
      <c r="B70" s="164"/>
      <c r="C70" s="165"/>
      <c r="D70" s="165"/>
      <c r="E70" s="165"/>
      <c r="F70" s="166"/>
      <c r="G70" s="241"/>
      <c r="H70" s="242"/>
      <c r="I70" s="242"/>
      <c r="J70" s="242"/>
      <c r="K70" s="242"/>
      <c r="L70" s="242"/>
      <c r="M70" s="243"/>
      <c r="N70" s="164"/>
      <c r="O70" s="165"/>
      <c r="P70" s="165"/>
      <c r="Q70" s="165"/>
      <c r="R70" s="165"/>
      <c r="S70" s="166"/>
      <c r="T70" s="241"/>
      <c r="U70" s="242"/>
      <c r="V70" s="242"/>
      <c r="W70" s="242"/>
      <c r="X70" s="242"/>
      <c r="Y70" s="242"/>
      <c r="Z70" s="243"/>
    </row>
    <row r="71" spans="1:26" ht="18" customHeight="1" x14ac:dyDescent="0.15">
      <c r="A71" s="99"/>
      <c r="B71" s="167"/>
      <c r="C71" s="168"/>
      <c r="D71" s="168"/>
      <c r="E71" s="168"/>
      <c r="F71" s="169"/>
      <c r="G71" s="213"/>
      <c r="H71" s="214"/>
      <c r="I71" s="214"/>
      <c r="J71" s="214"/>
      <c r="K71" s="214"/>
      <c r="L71" s="214"/>
      <c r="M71" s="215"/>
      <c r="N71" s="167"/>
      <c r="O71" s="168"/>
      <c r="P71" s="168"/>
      <c r="Q71" s="168"/>
      <c r="R71" s="168"/>
      <c r="S71" s="169"/>
      <c r="T71" s="213"/>
      <c r="U71" s="214"/>
      <c r="V71" s="214"/>
      <c r="W71" s="214"/>
      <c r="X71" s="214"/>
      <c r="Y71" s="214"/>
      <c r="Z71" s="215"/>
    </row>
    <row r="72" spans="1:26" ht="18" customHeight="1" x14ac:dyDescent="0.15">
      <c r="A72" s="99"/>
      <c r="B72" s="167"/>
      <c r="C72" s="168"/>
      <c r="D72" s="168"/>
      <c r="E72" s="168"/>
      <c r="F72" s="169"/>
      <c r="G72" s="213"/>
      <c r="H72" s="214"/>
      <c r="I72" s="214"/>
      <c r="J72" s="214"/>
      <c r="K72" s="214"/>
      <c r="L72" s="214"/>
      <c r="M72" s="215"/>
      <c r="N72" s="167"/>
      <c r="O72" s="168"/>
      <c r="P72" s="168"/>
      <c r="Q72" s="168"/>
      <c r="R72" s="168"/>
      <c r="S72" s="169"/>
      <c r="T72" s="213"/>
      <c r="U72" s="214"/>
      <c r="V72" s="214"/>
      <c r="W72" s="214"/>
      <c r="X72" s="214"/>
      <c r="Y72" s="214"/>
      <c r="Z72" s="215"/>
    </row>
    <row r="73" spans="1:26" ht="18" customHeight="1" x14ac:dyDescent="0.15">
      <c r="A73" s="99"/>
      <c r="B73" s="167"/>
      <c r="C73" s="168"/>
      <c r="D73" s="168"/>
      <c r="E73" s="168"/>
      <c r="F73" s="169"/>
      <c r="G73" s="213"/>
      <c r="H73" s="214"/>
      <c r="I73" s="214"/>
      <c r="J73" s="214"/>
      <c r="K73" s="214"/>
      <c r="L73" s="214"/>
      <c r="M73" s="215"/>
      <c r="N73" s="167"/>
      <c r="O73" s="168"/>
      <c r="P73" s="168"/>
      <c r="Q73" s="168"/>
      <c r="R73" s="168"/>
      <c r="S73" s="169"/>
      <c r="T73" s="213"/>
      <c r="U73" s="214"/>
      <c r="V73" s="214"/>
      <c r="W73" s="214"/>
      <c r="X73" s="214"/>
      <c r="Y73" s="214"/>
      <c r="Z73" s="215"/>
    </row>
    <row r="74" spans="1:26" ht="18" customHeight="1" x14ac:dyDescent="0.15">
      <c r="A74" s="99"/>
      <c r="B74" s="167"/>
      <c r="C74" s="168"/>
      <c r="D74" s="168"/>
      <c r="E74" s="168"/>
      <c r="F74" s="169"/>
      <c r="G74" s="213"/>
      <c r="H74" s="214"/>
      <c r="I74" s="214"/>
      <c r="J74" s="214"/>
      <c r="K74" s="214"/>
      <c r="L74" s="214"/>
      <c r="M74" s="215"/>
      <c r="N74" s="167"/>
      <c r="O74" s="168"/>
      <c r="P74" s="168"/>
      <c r="Q74" s="168"/>
      <c r="R74" s="168"/>
      <c r="S74" s="169"/>
      <c r="T74" s="213"/>
      <c r="U74" s="214"/>
      <c r="V74" s="214"/>
      <c r="W74" s="214"/>
      <c r="X74" s="214"/>
      <c r="Y74" s="214"/>
      <c r="Z74" s="215"/>
    </row>
    <row r="75" spans="1:26" ht="18" customHeight="1" x14ac:dyDescent="0.15">
      <c r="A75" s="99"/>
      <c r="B75" s="167"/>
      <c r="C75" s="168"/>
      <c r="D75" s="168"/>
      <c r="E75" s="168"/>
      <c r="F75" s="169"/>
      <c r="G75" s="213"/>
      <c r="H75" s="214"/>
      <c r="I75" s="214"/>
      <c r="J75" s="214"/>
      <c r="K75" s="214"/>
      <c r="L75" s="214"/>
      <c r="M75" s="215"/>
      <c r="N75" s="167"/>
      <c r="O75" s="168"/>
      <c r="P75" s="168"/>
      <c r="Q75" s="168"/>
      <c r="R75" s="168"/>
      <c r="S75" s="169"/>
      <c r="T75" s="213"/>
      <c r="U75" s="214"/>
      <c r="V75" s="214"/>
      <c r="W75" s="214"/>
      <c r="X75" s="214"/>
      <c r="Y75" s="214"/>
      <c r="Z75" s="215"/>
    </row>
    <row r="76" spans="1:26" ht="18" customHeight="1" x14ac:dyDescent="0.15">
      <c r="A76" s="99"/>
      <c r="B76" s="170"/>
      <c r="C76" s="171"/>
      <c r="D76" s="171"/>
      <c r="E76" s="171"/>
      <c r="F76" s="172"/>
      <c r="G76" s="210"/>
      <c r="H76" s="211"/>
      <c r="I76" s="211"/>
      <c r="J76" s="211"/>
      <c r="K76" s="211"/>
      <c r="L76" s="211"/>
      <c r="M76" s="212"/>
      <c r="N76" s="170"/>
      <c r="O76" s="171"/>
      <c r="P76" s="171"/>
      <c r="Q76" s="171"/>
      <c r="R76" s="171"/>
      <c r="S76" s="172"/>
      <c r="T76" s="210"/>
      <c r="U76" s="211"/>
      <c r="V76" s="211"/>
      <c r="W76" s="211"/>
      <c r="X76" s="211"/>
      <c r="Y76" s="211"/>
      <c r="Z76" s="212"/>
    </row>
    <row r="77" spans="1:26" ht="18" customHeight="1" x14ac:dyDescent="0.15">
      <c r="A77" s="99"/>
      <c r="B77" s="115"/>
      <c r="C77" s="115"/>
      <c r="D77" s="115"/>
      <c r="E77" s="115"/>
      <c r="F77" s="115"/>
      <c r="G77" s="116"/>
      <c r="H77" s="116"/>
      <c r="I77" s="116"/>
      <c r="J77" s="116"/>
      <c r="K77" s="116"/>
      <c r="L77" s="116"/>
      <c r="M77" s="116"/>
      <c r="N77" s="115"/>
      <c r="O77" s="115"/>
      <c r="P77" s="115"/>
      <c r="Q77" s="115"/>
      <c r="R77" s="115"/>
      <c r="S77" s="115"/>
      <c r="T77" s="116"/>
      <c r="U77" s="116"/>
      <c r="V77" s="116"/>
      <c r="W77" s="116"/>
      <c r="X77" s="116"/>
      <c r="Y77" s="116"/>
      <c r="Z77" s="116"/>
    </row>
    <row r="78" spans="1:26" ht="18.75" customHeight="1" x14ac:dyDescent="0.15">
      <c r="A78" s="72" t="s">
        <v>142</v>
      </c>
    </row>
    <row r="79" spans="1:26" ht="18.75" customHeight="1" x14ac:dyDescent="0.15">
      <c r="B79" s="131" t="s">
        <v>102</v>
      </c>
      <c r="C79" s="132"/>
      <c r="D79" s="180" t="s">
        <v>103</v>
      </c>
      <c r="E79" s="180"/>
      <c r="F79" s="180"/>
      <c r="G79" s="180"/>
      <c r="H79" s="180"/>
      <c r="I79" s="180"/>
      <c r="J79" s="180"/>
      <c r="K79" s="180"/>
      <c r="L79" s="180"/>
      <c r="M79" s="180"/>
      <c r="N79" s="180"/>
      <c r="O79" s="180"/>
      <c r="P79" s="180"/>
      <c r="Q79" s="180"/>
      <c r="R79" s="180"/>
      <c r="S79" s="180"/>
      <c r="T79" s="180"/>
      <c r="U79" s="180"/>
      <c r="V79" s="180"/>
      <c r="W79" s="180"/>
      <c r="X79" s="180"/>
      <c r="Y79" s="180"/>
      <c r="Z79" s="181"/>
    </row>
    <row r="80" spans="1:26" ht="78" customHeight="1" x14ac:dyDescent="0.15">
      <c r="B80" s="247" t="s">
        <v>109</v>
      </c>
      <c r="C80" s="117" t="s">
        <v>104</v>
      </c>
      <c r="D80" s="254" t="s">
        <v>237</v>
      </c>
      <c r="E80" s="254"/>
      <c r="F80" s="254"/>
      <c r="G80" s="254"/>
      <c r="H80" s="254"/>
      <c r="I80" s="254"/>
      <c r="J80" s="254"/>
      <c r="K80" s="254"/>
      <c r="L80" s="254"/>
      <c r="M80" s="254"/>
      <c r="N80" s="254"/>
      <c r="O80" s="254"/>
      <c r="P80" s="254"/>
      <c r="Q80" s="254"/>
      <c r="R80" s="254"/>
      <c r="S80" s="254"/>
      <c r="T80" s="254"/>
      <c r="U80" s="254"/>
      <c r="V80" s="254"/>
      <c r="W80" s="254"/>
      <c r="X80" s="254"/>
      <c r="Y80" s="254"/>
      <c r="Z80" s="255"/>
    </row>
    <row r="81" spans="1:26" ht="78" customHeight="1" x14ac:dyDescent="0.15">
      <c r="B81" s="249"/>
      <c r="C81" s="118" t="s">
        <v>137</v>
      </c>
      <c r="D81" s="216" t="s">
        <v>238</v>
      </c>
      <c r="E81" s="217"/>
      <c r="F81" s="217"/>
      <c r="G81" s="217"/>
      <c r="H81" s="217"/>
      <c r="I81" s="217"/>
      <c r="J81" s="217"/>
      <c r="K81" s="217"/>
      <c r="L81" s="217"/>
      <c r="M81" s="217"/>
      <c r="N81" s="217"/>
      <c r="O81" s="217"/>
      <c r="P81" s="217"/>
      <c r="Q81" s="217"/>
      <c r="R81" s="217"/>
      <c r="S81" s="217"/>
      <c r="T81" s="217"/>
      <c r="U81" s="217"/>
      <c r="V81" s="217"/>
      <c r="W81" s="217"/>
      <c r="X81" s="217"/>
      <c r="Y81" s="217"/>
      <c r="Z81" s="218"/>
    </row>
    <row r="82" spans="1:26" ht="78" customHeight="1" x14ac:dyDescent="0.15">
      <c r="B82" s="247" t="s">
        <v>110</v>
      </c>
      <c r="C82" s="119" t="s">
        <v>127</v>
      </c>
      <c r="D82" s="219" t="s">
        <v>239</v>
      </c>
      <c r="E82" s="219"/>
      <c r="F82" s="219"/>
      <c r="G82" s="219"/>
      <c r="H82" s="219"/>
      <c r="I82" s="219"/>
      <c r="J82" s="219"/>
      <c r="K82" s="219"/>
      <c r="L82" s="219"/>
      <c r="M82" s="219"/>
      <c r="N82" s="219"/>
      <c r="O82" s="219"/>
      <c r="P82" s="219"/>
      <c r="Q82" s="219"/>
      <c r="R82" s="219"/>
      <c r="S82" s="219"/>
      <c r="T82" s="219"/>
      <c r="U82" s="219"/>
      <c r="V82" s="219"/>
      <c r="W82" s="219"/>
      <c r="X82" s="219"/>
      <c r="Y82" s="219"/>
      <c r="Z82" s="220"/>
    </row>
    <row r="83" spans="1:26" ht="78" customHeight="1" x14ac:dyDescent="0.15">
      <c r="B83" s="248"/>
      <c r="C83" s="120" t="s">
        <v>128</v>
      </c>
      <c r="D83" s="223" t="s">
        <v>240</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247" t="s">
        <v>111</v>
      </c>
      <c r="C84" s="119" t="s">
        <v>130</v>
      </c>
      <c r="D84" s="219" t="s">
        <v>241</v>
      </c>
      <c r="E84" s="219"/>
      <c r="F84" s="219"/>
      <c r="G84" s="219"/>
      <c r="H84" s="219"/>
      <c r="I84" s="219"/>
      <c r="J84" s="219"/>
      <c r="K84" s="219"/>
      <c r="L84" s="219"/>
      <c r="M84" s="219"/>
      <c r="N84" s="219"/>
      <c r="O84" s="219"/>
      <c r="P84" s="219"/>
      <c r="Q84" s="219"/>
      <c r="R84" s="219"/>
      <c r="S84" s="219"/>
      <c r="T84" s="219"/>
      <c r="U84" s="219"/>
      <c r="V84" s="219"/>
      <c r="W84" s="219"/>
      <c r="X84" s="219"/>
      <c r="Y84" s="219"/>
      <c r="Z84" s="220"/>
    </row>
    <row r="85" spans="1:26" ht="66" customHeight="1" x14ac:dyDescent="0.15">
      <c r="B85" s="248"/>
      <c r="C85" s="121" t="s">
        <v>131</v>
      </c>
      <c r="D85" s="221" t="s">
        <v>242</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6" ht="66" customHeight="1" x14ac:dyDescent="0.15">
      <c r="B86" s="247" t="s">
        <v>138</v>
      </c>
      <c r="C86" s="117" t="s">
        <v>106</v>
      </c>
      <c r="D86" s="254" t="s">
        <v>243</v>
      </c>
      <c r="E86" s="254"/>
      <c r="F86" s="254"/>
      <c r="G86" s="254"/>
      <c r="H86" s="254"/>
      <c r="I86" s="254"/>
      <c r="J86" s="254"/>
      <c r="K86" s="254"/>
      <c r="L86" s="254"/>
      <c r="M86" s="254"/>
      <c r="N86" s="254"/>
      <c r="O86" s="254"/>
      <c r="P86" s="254"/>
      <c r="Q86" s="254"/>
      <c r="R86" s="254"/>
      <c r="S86" s="254"/>
      <c r="T86" s="254"/>
      <c r="U86" s="254"/>
      <c r="V86" s="254"/>
      <c r="W86" s="254"/>
      <c r="X86" s="254"/>
      <c r="Y86" s="254"/>
      <c r="Z86" s="255"/>
    </row>
    <row r="87" spans="1:26" ht="66" customHeight="1" x14ac:dyDescent="0.15">
      <c r="B87" s="249"/>
      <c r="C87" s="122" t="s">
        <v>108</v>
      </c>
      <c r="D87" s="256" t="s">
        <v>244</v>
      </c>
      <c r="E87" s="256"/>
      <c r="F87" s="256"/>
      <c r="G87" s="256"/>
      <c r="H87" s="256"/>
      <c r="I87" s="256"/>
      <c r="J87" s="256"/>
      <c r="K87" s="256"/>
      <c r="L87" s="256"/>
      <c r="M87" s="256"/>
      <c r="N87" s="256"/>
      <c r="O87" s="256"/>
      <c r="P87" s="256"/>
      <c r="Q87" s="256"/>
      <c r="R87" s="256"/>
      <c r="S87" s="256"/>
      <c r="T87" s="256"/>
      <c r="U87" s="256"/>
      <c r="V87" s="256"/>
      <c r="W87" s="256"/>
      <c r="X87" s="256"/>
      <c r="Y87" s="256"/>
      <c r="Z87" s="257"/>
    </row>
    <row r="88" spans="1:26" ht="66" customHeight="1" x14ac:dyDescent="0.15">
      <c r="B88" s="247" t="s">
        <v>139</v>
      </c>
      <c r="C88" s="119" t="s">
        <v>105</v>
      </c>
      <c r="D88" s="250" t="s">
        <v>245</v>
      </c>
      <c r="E88" s="250"/>
      <c r="F88" s="250"/>
      <c r="G88" s="250"/>
      <c r="H88" s="250"/>
      <c r="I88" s="250"/>
      <c r="J88" s="250"/>
      <c r="K88" s="250"/>
      <c r="L88" s="250"/>
      <c r="M88" s="250"/>
      <c r="N88" s="250"/>
      <c r="O88" s="250"/>
      <c r="P88" s="250"/>
      <c r="Q88" s="250"/>
      <c r="R88" s="250"/>
      <c r="S88" s="250"/>
      <c r="T88" s="250"/>
      <c r="U88" s="250"/>
      <c r="V88" s="250"/>
      <c r="W88" s="250"/>
      <c r="X88" s="250"/>
      <c r="Y88" s="250"/>
      <c r="Z88" s="251"/>
    </row>
    <row r="89" spans="1:26" ht="66" customHeight="1" x14ac:dyDescent="0.15">
      <c r="B89" s="249"/>
      <c r="C89" s="122" t="s">
        <v>134</v>
      </c>
      <c r="D89" s="244" t="s">
        <v>246</v>
      </c>
      <c r="E89" s="245"/>
      <c r="F89" s="245"/>
      <c r="G89" s="245"/>
      <c r="H89" s="245"/>
      <c r="I89" s="245"/>
      <c r="J89" s="245"/>
      <c r="K89" s="245"/>
      <c r="L89" s="245"/>
      <c r="M89" s="245"/>
      <c r="N89" s="245"/>
      <c r="O89" s="245"/>
      <c r="P89" s="245"/>
      <c r="Q89" s="245"/>
      <c r="R89" s="245"/>
      <c r="S89" s="245"/>
      <c r="T89" s="245"/>
      <c r="U89" s="245"/>
      <c r="V89" s="245"/>
      <c r="W89" s="245"/>
      <c r="X89" s="245"/>
      <c r="Y89" s="245"/>
      <c r="Z89" s="246"/>
    </row>
    <row r="90" spans="1:26" ht="66" customHeight="1" x14ac:dyDescent="0.15">
      <c r="B90" s="248"/>
      <c r="C90" s="121" t="s">
        <v>135</v>
      </c>
      <c r="D90" s="252" t="s">
        <v>247</v>
      </c>
      <c r="E90" s="252"/>
      <c r="F90" s="252"/>
      <c r="G90" s="252"/>
      <c r="H90" s="252"/>
      <c r="I90" s="252"/>
      <c r="J90" s="252"/>
      <c r="K90" s="252"/>
      <c r="L90" s="252"/>
      <c r="M90" s="252"/>
      <c r="N90" s="252"/>
      <c r="O90" s="252"/>
      <c r="P90" s="252"/>
      <c r="Q90" s="252"/>
      <c r="R90" s="252"/>
      <c r="S90" s="252"/>
      <c r="T90" s="252"/>
      <c r="U90" s="252"/>
      <c r="V90" s="252"/>
      <c r="W90" s="252"/>
      <c r="X90" s="252"/>
      <c r="Y90" s="252"/>
      <c r="Z90" s="253"/>
    </row>
    <row r="91" spans="1:26" ht="6" customHeight="1" x14ac:dyDescent="0.15"/>
    <row r="92" spans="1:26" ht="18.75" customHeight="1" x14ac:dyDescent="0.15">
      <c r="A92" s="72" t="s">
        <v>143</v>
      </c>
    </row>
    <row r="93" spans="1:26" ht="18.75" customHeight="1" x14ac:dyDescent="0.15">
      <c r="B93" s="198" t="s">
        <v>209</v>
      </c>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200"/>
    </row>
    <row r="94" spans="1:26" ht="18.75" customHeight="1" x14ac:dyDescent="0.15">
      <c r="B94" s="201"/>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3"/>
    </row>
    <row r="95" spans="1:26" ht="18.75" customHeight="1" x14ac:dyDescent="0.15">
      <c r="B95" s="204"/>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6"/>
    </row>
    <row r="96" spans="1:26" ht="6" customHeight="1" x14ac:dyDescent="0.15"/>
    <row r="97" spans="1:26" ht="15" customHeight="1" x14ac:dyDescent="0.15">
      <c r="A97" s="72" t="s">
        <v>144</v>
      </c>
    </row>
    <row r="98" spans="1:26" ht="15" customHeight="1" x14ac:dyDescent="0.15">
      <c r="B98" s="207" t="s">
        <v>210</v>
      </c>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9"/>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H16:H22 Y27:Z33 Y38:Z44 Y49:Z55 Y60:Z66 K60:L60 T60:T66 U16:U22 L16:M22 U27:U33 L27:M33 U38:U44 H38:H44 U49:U55 G60:G66 H27:H33 L38:M44 L49:M55 H49:H55 M60:M66 L61:L66" xr:uid="{869010A8-C703-4739-86F9-B54C7E17B22E}">
      <formula1>"○"</formula1>
    </dataValidation>
    <dataValidation type="list" allowBlank="1" showInputMessage="1" showErrorMessage="1" sqref="Z23 Z34 D34:K34 D23:K23 V16:V22 H60:H66 V27:V33 I16:I22 V38:V44 I27:I33 V49:V55 I38:I44 U60:U66 I49:I55" xr:uid="{356AD530-B0E0-46CD-8BD8-7E6F7A8A2C26}">
      <formula1>"全学開講,一部開講"</formula1>
    </dataValidation>
    <dataValidation type="list" allowBlank="1" showInputMessage="1" showErrorMessage="1" sqref="O4" xr:uid="{CDD91920-E6F4-4694-93C3-E0459D900B0B}">
      <formula1>"学部・学科によって、修了要件は相違する,学部・学科によって、修了要件は相違しない"</formula1>
    </dataValidation>
    <dataValidation type="list" allowBlank="1" showInputMessage="1" showErrorMessage="1" sqref="H74:M77 G70:G77 H70:M71 T70:T77 U70:Z71 U74:Z77" xr:uid="{655EA38D-DE13-4D3E-A7B3-79D769428E3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B6FCC564-1BA4-4EA0-9628-1AB4C03130C3}"/>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1557-CC51-4DD9-A1D2-7C0BE067D041}">
  <sheetPr>
    <tabColor rgb="FFCCFFFF"/>
  </sheetPr>
  <dimension ref="A1:Z98"/>
  <sheetViews>
    <sheetView showZeros="0" view="pageBreakPreview" zoomScaleNormal="100" zoomScaleSheetLayoutView="100" workbookViewId="0">
      <selection activeCell="N28" sqref="N28:S28"/>
    </sheetView>
  </sheetViews>
  <sheetFormatPr defaultColWidth="9" defaultRowHeight="18.75" customHeight="1" x14ac:dyDescent="0.15"/>
  <cols>
    <col min="1" max="1" width="2.5" style="72" customWidth="1"/>
    <col min="2" max="2" width="27.75" style="72" customWidth="1"/>
    <col min="3" max="13" width="3.375" style="72" customWidth="1"/>
    <col min="14" max="14" width="8.875" style="72" customWidth="1"/>
    <col min="15" max="15" width="18.875" style="72" customWidth="1"/>
    <col min="16" max="19" width="3.375" style="72" customWidth="1"/>
    <col min="20" max="20" width="3.5" style="72" customWidth="1"/>
    <col min="21" max="26" width="3.375" style="72" customWidth="1"/>
    <col min="27" max="16384" width="9" style="72"/>
  </cols>
  <sheetData>
    <row r="1" spans="1:26" ht="15" customHeight="1" x14ac:dyDescent="0.15">
      <c r="W1" s="188" t="s">
        <v>185</v>
      </c>
      <c r="X1" s="188"/>
      <c r="Y1" s="188"/>
      <c r="Z1" s="188"/>
    </row>
    <row r="2" spans="1:26" ht="18" customHeight="1" x14ac:dyDescent="0.15">
      <c r="A2" s="230" t="s">
        <v>67</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99"/>
      <c r="C3" s="99"/>
      <c r="D3" s="99"/>
      <c r="E3" s="99"/>
      <c r="F3" s="99"/>
      <c r="G3" s="99"/>
      <c r="H3" s="99"/>
      <c r="I3" s="99"/>
      <c r="J3" s="99"/>
      <c r="K3" s="99"/>
      <c r="L3" s="99"/>
      <c r="M3" s="99"/>
      <c r="N3" s="99"/>
      <c r="O3" s="99"/>
      <c r="P3" s="99"/>
      <c r="Q3" s="99"/>
      <c r="R3" s="99"/>
      <c r="S3" s="99"/>
      <c r="T3" s="99"/>
      <c r="U3" s="99"/>
      <c r="V3" s="99"/>
      <c r="W3" s="99"/>
      <c r="X3" s="99"/>
      <c r="Y3" s="99"/>
      <c r="Z3" s="99"/>
    </row>
    <row r="4" spans="1:26" ht="18" customHeight="1" x14ac:dyDescent="0.15">
      <c r="A4" s="72" t="s">
        <v>99</v>
      </c>
      <c r="B4" s="99"/>
      <c r="C4" s="99"/>
      <c r="D4" s="99"/>
      <c r="E4" s="99"/>
      <c r="F4" s="99"/>
      <c r="G4" s="99"/>
      <c r="H4" s="100" t="s">
        <v>112</v>
      </c>
      <c r="I4" s="99"/>
      <c r="J4" s="99"/>
      <c r="K4" s="99"/>
      <c r="L4" s="99"/>
      <c r="M4" s="99"/>
      <c r="N4" s="99"/>
      <c r="O4" s="179" t="s">
        <v>168</v>
      </c>
      <c r="P4" s="180"/>
      <c r="Q4" s="180"/>
      <c r="R4" s="180"/>
      <c r="S4" s="180"/>
      <c r="T4" s="180"/>
      <c r="U4" s="180"/>
      <c r="V4" s="180"/>
      <c r="W4" s="180"/>
      <c r="X4" s="180"/>
      <c r="Y4" s="180"/>
      <c r="Z4" s="181"/>
    </row>
    <row r="5" spans="1:26" ht="6" customHeight="1" x14ac:dyDescent="0.15">
      <c r="B5" s="99"/>
      <c r="C5" s="99"/>
      <c r="D5" s="99"/>
      <c r="E5" s="99"/>
      <c r="F5" s="99"/>
      <c r="G5" s="99"/>
      <c r="H5" s="99"/>
      <c r="I5" s="99"/>
      <c r="J5" s="99"/>
      <c r="K5" s="99"/>
      <c r="L5" s="99"/>
      <c r="M5" s="99"/>
      <c r="N5" s="99"/>
      <c r="O5" s="101"/>
      <c r="P5" s="99"/>
      <c r="Q5" s="99"/>
      <c r="R5" s="99"/>
      <c r="S5" s="99"/>
      <c r="T5" s="99"/>
      <c r="U5" s="99"/>
      <c r="V5" s="99"/>
      <c r="W5" s="99"/>
      <c r="X5" s="99"/>
      <c r="Y5" s="99"/>
      <c r="Z5" s="99"/>
    </row>
    <row r="6" spans="1:26" ht="18" customHeight="1" x14ac:dyDescent="0.15">
      <c r="B6" s="231" t="s">
        <v>222</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6"/>
    </row>
    <row r="11" spans="1:26" ht="18" customHeight="1" x14ac:dyDescent="0.15">
      <c r="B11" s="238"/>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40"/>
    </row>
    <row r="12" spans="1:26" ht="7.5" customHeight="1" x14ac:dyDescent="0.15">
      <c r="B12" s="99"/>
      <c r="C12" s="99"/>
      <c r="D12" s="99"/>
      <c r="E12" s="99"/>
      <c r="F12" s="99"/>
      <c r="G12" s="99"/>
      <c r="H12" s="99"/>
      <c r="I12" s="99"/>
      <c r="J12" s="99"/>
      <c r="K12" s="99"/>
      <c r="L12" s="99"/>
      <c r="M12" s="99"/>
      <c r="N12" s="99"/>
      <c r="O12" s="99"/>
      <c r="P12" s="99"/>
      <c r="Q12" s="99"/>
      <c r="R12" s="99"/>
      <c r="S12" s="99"/>
      <c r="T12" s="99"/>
      <c r="U12" s="99"/>
      <c r="V12" s="99"/>
      <c r="W12" s="99"/>
      <c r="X12" s="99"/>
      <c r="Y12" s="99"/>
      <c r="Z12" s="9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B15" s="179" t="s">
        <v>100</v>
      </c>
      <c r="C15" s="180"/>
      <c r="D15" s="180"/>
      <c r="E15" s="180"/>
      <c r="F15" s="181"/>
      <c r="G15" s="102" t="s">
        <v>141</v>
      </c>
      <c r="H15" s="103" t="s">
        <v>140</v>
      </c>
      <c r="I15" s="180" t="s">
        <v>101</v>
      </c>
      <c r="J15" s="180"/>
      <c r="K15" s="180"/>
      <c r="L15" s="104" t="s">
        <v>104</v>
      </c>
      <c r="M15" s="104" t="s">
        <v>107</v>
      </c>
      <c r="N15" s="179" t="s">
        <v>100</v>
      </c>
      <c r="O15" s="180"/>
      <c r="P15" s="180"/>
      <c r="Q15" s="180"/>
      <c r="R15" s="180"/>
      <c r="S15" s="181"/>
      <c r="T15" s="102" t="s">
        <v>141</v>
      </c>
      <c r="U15" s="103" t="s">
        <v>140</v>
      </c>
      <c r="V15" s="180" t="s">
        <v>101</v>
      </c>
      <c r="W15" s="180"/>
      <c r="X15" s="180"/>
      <c r="Y15" s="104" t="s">
        <v>104</v>
      </c>
      <c r="Z15" s="104" t="s">
        <v>107</v>
      </c>
    </row>
    <row r="16" spans="1:26" ht="18" customHeight="1" x14ac:dyDescent="0.15">
      <c r="B16" s="189" t="s">
        <v>188</v>
      </c>
      <c r="C16" s="190"/>
      <c r="D16" s="190"/>
      <c r="E16" s="190"/>
      <c r="F16" s="191"/>
      <c r="G16" s="105">
        <v>2</v>
      </c>
      <c r="H16" s="105" t="s">
        <v>191</v>
      </c>
      <c r="I16" s="195" t="s">
        <v>189</v>
      </c>
      <c r="J16" s="196"/>
      <c r="K16" s="197"/>
      <c r="L16" s="105" t="s">
        <v>191</v>
      </c>
      <c r="M16" s="105" t="s">
        <v>191</v>
      </c>
      <c r="N16" s="164"/>
      <c r="O16" s="165"/>
      <c r="P16" s="165"/>
      <c r="Q16" s="165"/>
      <c r="R16" s="165"/>
      <c r="S16" s="166"/>
      <c r="T16" s="105"/>
      <c r="U16" s="105"/>
      <c r="V16" s="195"/>
      <c r="W16" s="196"/>
      <c r="X16" s="197"/>
      <c r="Y16" s="105"/>
      <c r="Z16" s="105"/>
    </row>
    <row r="17" spans="1:26" ht="18" customHeight="1" x14ac:dyDescent="0.15">
      <c r="B17" s="182" t="s">
        <v>190</v>
      </c>
      <c r="C17" s="183"/>
      <c r="D17" s="183"/>
      <c r="E17" s="183"/>
      <c r="F17" s="184"/>
      <c r="G17" s="106">
        <v>2</v>
      </c>
      <c r="H17" s="106" t="s">
        <v>191</v>
      </c>
      <c r="I17" s="173" t="s">
        <v>189</v>
      </c>
      <c r="J17" s="174"/>
      <c r="K17" s="175"/>
      <c r="L17" s="106" t="s">
        <v>191</v>
      </c>
      <c r="M17" s="106" t="s">
        <v>191</v>
      </c>
      <c r="N17" s="167"/>
      <c r="O17" s="168"/>
      <c r="P17" s="168"/>
      <c r="Q17" s="168"/>
      <c r="R17" s="168"/>
      <c r="S17" s="169"/>
      <c r="T17" s="106"/>
      <c r="U17" s="106"/>
      <c r="V17" s="173"/>
      <c r="W17" s="174"/>
      <c r="X17" s="175"/>
      <c r="Y17" s="106"/>
      <c r="Z17" s="106"/>
    </row>
    <row r="18" spans="1:26" ht="18" customHeight="1" x14ac:dyDescent="0.15">
      <c r="B18" s="182" t="s">
        <v>202</v>
      </c>
      <c r="C18" s="183"/>
      <c r="D18" s="183"/>
      <c r="E18" s="183"/>
      <c r="F18" s="184"/>
      <c r="G18" s="106">
        <v>2</v>
      </c>
      <c r="H18" s="106" t="s">
        <v>191</v>
      </c>
      <c r="I18" s="173" t="s">
        <v>225</v>
      </c>
      <c r="J18" s="174"/>
      <c r="K18" s="175"/>
      <c r="L18" s="106"/>
      <c r="M18" s="106" t="s">
        <v>191</v>
      </c>
      <c r="N18" s="167"/>
      <c r="O18" s="168"/>
      <c r="P18" s="168"/>
      <c r="Q18" s="168"/>
      <c r="R18" s="168"/>
      <c r="S18" s="169"/>
      <c r="T18" s="106"/>
      <c r="U18" s="106"/>
      <c r="V18" s="173"/>
      <c r="W18" s="174"/>
      <c r="X18" s="175"/>
      <c r="Y18" s="106"/>
      <c r="Z18" s="106"/>
    </row>
    <row r="19" spans="1:26" ht="18" customHeight="1" x14ac:dyDescent="0.15">
      <c r="B19" s="182"/>
      <c r="C19" s="183"/>
      <c r="D19" s="183"/>
      <c r="E19" s="183"/>
      <c r="F19" s="184"/>
      <c r="G19" s="106"/>
      <c r="H19" s="106"/>
      <c r="I19" s="173"/>
      <c r="J19" s="174"/>
      <c r="K19" s="175"/>
      <c r="L19" s="106"/>
      <c r="M19" s="106"/>
      <c r="N19" s="167"/>
      <c r="O19" s="168"/>
      <c r="P19" s="168"/>
      <c r="Q19" s="168"/>
      <c r="R19" s="168"/>
      <c r="S19" s="169"/>
      <c r="T19" s="106"/>
      <c r="U19" s="106"/>
      <c r="V19" s="173"/>
      <c r="W19" s="174"/>
      <c r="X19" s="175"/>
      <c r="Y19" s="106"/>
      <c r="Z19" s="106"/>
    </row>
    <row r="20" spans="1:26" ht="18" customHeight="1" x14ac:dyDescent="0.15">
      <c r="B20" s="182"/>
      <c r="C20" s="183"/>
      <c r="D20" s="183"/>
      <c r="E20" s="183"/>
      <c r="F20" s="184"/>
      <c r="G20" s="106"/>
      <c r="H20" s="106"/>
      <c r="I20" s="173"/>
      <c r="J20" s="174"/>
      <c r="K20" s="175"/>
      <c r="L20" s="106"/>
      <c r="M20" s="106"/>
      <c r="N20" s="167"/>
      <c r="O20" s="168"/>
      <c r="P20" s="168"/>
      <c r="Q20" s="168"/>
      <c r="R20" s="168"/>
      <c r="S20" s="169"/>
      <c r="T20" s="106"/>
      <c r="U20" s="106"/>
      <c r="V20" s="173"/>
      <c r="W20" s="174"/>
      <c r="X20" s="175"/>
      <c r="Y20" s="106"/>
      <c r="Z20" s="106"/>
    </row>
    <row r="21" spans="1:26" ht="18" customHeight="1" x14ac:dyDescent="0.15">
      <c r="A21" s="99"/>
      <c r="B21" s="182"/>
      <c r="C21" s="183"/>
      <c r="D21" s="183"/>
      <c r="E21" s="183"/>
      <c r="F21" s="184"/>
      <c r="G21" s="106"/>
      <c r="H21" s="106"/>
      <c r="I21" s="173"/>
      <c r="J21" s="174"/>
      <c r="K21" s="175"/>
      <c r="L21" s="106"/>
      <c r="M21" s="106"/>
      <c r="N21" s="167"/>
      <c r="O21" s="168"/>
      <c r="P21" s="168"/>
      <c r="Q21" s="168"/>
      <c r="R21" s="168"/>
      <c r="S21" s="169"/>
      <c r="T21" s="106"/>
      <c r="U21" s="106"/>
      <c r="V21" s="173"/>
      <c r="W21" s="174"/>
      <c r="X21" s="175"/>
      <c r="Y21" s="106"/>
      <c r="Z21" s="106"/>
    </row>
    <row r="22" spans="1:26" ht="18" customHeight="1" x14ac:dyDescent="0.15">
      <c r="A22" s="99"/>
      <c r="B22" s="185"/>
      <c r="C22" s="186"/>
      <c r="D22" s="186"/>
      <c r="E22" s="186"/>
      <c r="F22" s="187"/>
      <c r="G22" s="107"/>
      <c r="H22" s="107"/>
      <c r="I22" s="176"/>
      <c r="J22" s="177"/>
      <c r="K22" s="178"/>
      <c r="L22" s="108"/>
      <c r="M22" s="108"/>
      <c r="N22" s="170"/>
      <c r="O22" s="171"/>
      <c r="P22" s="171"/>
      <c r="Q22" s="171"/>
      <c r="R22" s="171"/>
      <c r="S22" s="172"/>
      <c r="T22" s="107"/>
      <c r="U22" s="107"/>
      <c r="V22" s="176"/>
      <c r="W22" s="177"/>
      <c r="X22" s="178"/>
      <c r="Y22" s="108"/>
      <c r="Z22" s="108"/>
    </row>
    <row r="23" spans="1:26" ht="7.5" customHeight="1" x14ac:dyDescent="0.15">
      <c r="A23" s="99"/>
      <c r="B23" s="109"/>
      <c r="C23" s="109"/>
      <c r="D23" s="99"/>
      <c r="E23" s="99"/>
      <c r="F23" s="99"/>
      <c r="G23" s="99"/>
      <c r="H23" s="99"/>
      <c r="I23" s="99"/>
      <c r="J23" s="99"/>
      <c r="K23" s="99"/>
      <c r="L23" s="109"/>
      <c r="M23" s="109"/>
      <c r="N23" s="109"/>
      <c r="O23" s="109"/>
      <c r="P23" s="109"/>
      <c r="Q23" s="109"/>
      <c r="R23" s="109"/>
      <c r="S23" s="109"/>
      <c r="T23" s="109"/>
      <c r="U23" s="109"/>
      <c r="V23" s="109"/>
      <c r="W23" s="109"/>
      <c r="X23" s="109"/>
      <c r="Y23" s="109"/>
      <c r="Z23" s="9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B26" s="179" t="s">
        <v>100</v>
      </c>
      <c r="C26" s="180"/>
      <c r="D26" s="180"/>
      <c r="E26" s="180"/>
      <c r="F26" s="181"/>
      <c r="G26" s="102" t="s">
        <v>141</v>
      </c>
      <c r="H26" s="103" t="s">
        <v>140</v>
      </c>
      <c r="I26" s="180" t="s">
        <v>101</v>
      </c>
      <c r="J26" s="180"/>
      <c r="K26" s="180"/>
      <c r="L26" s="104" t="s">
        <v>127</v>
      </c>
      <c r="M26" s="104" t="s">
        <v>128</v>
      </c>
      <c r="N26" s="179" t="s">
        <v>100</v>
      </c>
      <c r="O26" s="180"/>
      <c r="P26" s="180"/>
      <c r="Q26" s="180"/>
      <c r="R26" s="180"/>
      <c r="S26" s="181"/>
      <c r="T26" s="102" t="s">
        <v>141</v>
      </c>
      <c r="U26" s="103" t="s">
        <v>140</v>
      </c>
      <c r="V26" s="180" t="s">
        <v>101</v>
      </c>
      <c r="W26" s="180"/>
      <c r="X26" s="180"/>
      <c r="Y26" s="104" t="s">
        <v>127</v>
      </c>
      <c r="Z26" s="104" t="s">
        <v>128</v>
      </c>
    </row>
    <row r="27" spans="1:26" ht="18" customHeight="1" x14ac:dyDescent="0.15">
      <c r="B27" s="189" t="s">
        <v>203</v>
      </c>
      <c r="C27" s="190"/>
      <c r="D27" s="190"/>
      <c r="E27" s="190"/>
      <c r="F27" s="191"/>
      <c r="G27" s="105">
        <v>1</v>
      </c>
      <c r="H27" s="105" t="s">
        <v>191</v>
      </c>
      <c r="I27" s="195" t="s">
        <v>225</v>
      </c>
      <c r="J27" s="196"/>
      <c r="K27" s="197"/>
      <c r="L27" s="105" t="s">
        <v>191</v>
      </c>
      <c r="M27" s="105" t="s">
        <v>191</v>
      </c>
      <c r="N27" s="164"/>
      <c r="O27" s="165"/>
      <c r="P27" s="165"/>
      <c r="Q27" s="165"/>
      <c r="R27" s="165"/>
      <c r="S27" s="166"/>
      <c r="T27" s="105"/>
      <c r="U27" s="105"/>
      <c r="V27" s="195"/>
      <c r="W27" s="196"/>
      <c r="X27" s="197"/>
      <c r="Y27" s="105"/>
      <c r="Z27" s="105"/>
    </row>
    <row r="28" spans="1:26" ht="18" customHeight="1" x14ac:dyDescent="0.15">
      <c r="B28" s="182" t="s">
        <v>202</v>
      </c>
      <c r="C28" s="183"/>
      <c r="D28" s="183"/>
      <c r="E28" s="183"/>
      <c r="F28" s="184"/>
      <c r="G28" s="106">
        <v>2</v>
      </c>
      <c r="H28" s="106" t="s">
        <v>191</v>
      </c>
      <c r="I28" s="173" t="s">
        <v>225</v>
      </c>
      <c r="J28" s="174"/>
      <c r="K28" s="175"/>
      <c r="L28" s="106" t="s">
        <v>191</v>
      </c>
      <c r="M28" s="106" t="s">
        <v>191</v>
      </c>
      <c r="N28" s="167"/>
      <c r="O28" s="168"/>
      <c r="P28" s="168"/>
      <c r="Q28" s="168"/>
      <c r="R28" s="168"/>
      <c r="S28" s="169"/>
      <c r="T28" s="106"/>
      <c r="U28" s="106"/>
      <c r="V28" s="173"/>
      <c r="W28" s="174"/>
      <c r="X28" s="175"/>
      <c r="Y28" s="106"/>
      <c r="Z28" s="106"/>
    </row>
    <row r="29" spans="1:26" ht="18" customHeight="1" x14ac:dyDescent="0.15">
      <c r="B29" s="182"/>
      <c r="C29" s="183"/>
      <c r="D29" s="183"/>
      <c r="E29" s="183"/>
      <c r="F29" s="184"/>
      <c r="G29" s="106"/>
      <c r="H29" s="106"/>
      <c r="I29" s="173"/>
      <c r="J29" s="174"/>
      <c r="K29" s="175"/>
      <c r="L29" s="106"/>
      <c r="M29" s="106"/>
      <c r="N29" s="167"/>
      <c r="O29" s="168"/>
      <c r="P29" s="168"/>
      <c r="Q29" s="168"/>
      <c r="R29" s="168"/>
      <c r="S29" s="169"/>
      <c r="T29" s="106"/>
      <c r="U29" s="106"/>
      <c r="V29" s="173"/>
      <c r="W29" s="174"/>
      <c r="X29" s="175"/>
      <c r="Y29" s="106"/>
      <c r="Z29" s="106"/>
    </row>
    <row r="30" spans="1:26" ht="18" customHeight="1" x14ac:dyDescent="0.15">
      <c r="B30" s="182"/>
      <c r="C30" s="183"/>
      <c r="D30" s="183"/>
      <c r="E30" s="183"/>
      <c r="F30" s="184"/>
      <c r="G30" s="106"/>
      <c r="H30" s="106"/>
      <c r="I30" s="173"/>
      <c r="J30" s="174"/>
      <c r="K30" s="175"/>
      <c r="L30" s="106"/>
      <c r="M30" s="106"/>
      <c r="N30" s="167"/>
      <c r="O30" s="168"/>
      <c r="P30" s="168"/>
      <c r="Q30" s="168"/>
      <c r="R30" s="168"/>
      <c r="S30" s="169"/>
      <c r="T30" s="106"/>
      <c r="U30" s="106"/>
      <c r="V30" s="173"/>
      <c r="W30" s="174"/>
      <c r="X30" s="175"/>
      <c r="Y30" s="106"/>
      <c r="Z30" s="106"/>
    </row>
    <row r="31" spans="1:26" ht="18" customHeight="1" x14ac:dyDescent="0.15">
      <c r="B31" s="182"/>
      <c r="C31" s="183"/>
      <c r="D31" s="183"/>
      <c r="E31" s="183"/>
      <c r="F31" s="184"/>
      <c r="G31" s="106"/>
      <c r="H31" s="106"/>
      <c r="I31" s="173"/>
      <c r="J31" s="174"/>
      <c r="K31" s="175"/>
      <c r="L31" s="106"/>
      <c r="M31" s="106"/>
      <c r="N31" s="167"/>
      <c r="O31" s="168"/>
      <c r="P31" s="168"/>
      <c r="Q31" s="168"/>
      <c r="R31" s="168"/>
      <c r="S31" s="169"/>
      <c r="T31" s="106"/>
      <c r="U31" s="106"/>
      <c r="V31" s="173"/>
      <c r="W31" s="174"/>
      <c r="X31" s="175"/>
      <c r="Y31" s="106"/>
      <c r="Z31" s="106"/>
    </row>
    <row r="32" spans="1:26" ht="18" customHeight="1" x14ac:dyDescent="0.15">
      <c r="B32" s="182"/>
      <c r="C32" s="183"/>
      <c r="D32" s="183"/>
      <c r="E32" s="183"/>
      <c r="F32" s="184"/>
      <c r="G32" s="106"/>
      <c r="H32" s="106"/>
      <c r="I32" s="173"/>
      <c r="J32" s="174"/>
      <c r="K32" s="175"/>
      <c r="L32" s="106"/>
      <c r="M32" s="106"/>
      <c r="N32" s="167"/>
      <c r="O32" s="168"/>
      <c r="P32" s="168"/>
      <c r="Q32" s="168"/>
      <c r="R32" s="168"/>
      <c r="S32" s="169"/>
      <c r="T32" s="106"/>
      <c r="U32" s="106"/>
      <c r="V32" s="173"/>
      <c r="W32" s="174"/>
      <c r="X32" s="175"/>
      <c r="Y32" s="106"/>
      <c r="Z32" s="106"/>
    </row>
    <row r="33" spans="1:26" ht="18" customHeight="1" x14ac:dyDescent="0.15">
      <c r="B33" s="185"/>
      <c r="C33" s="186"/>
      <c r="D33" s="186"/>
      <c r="E33" s="186"/>
      <c r="F33" s="187"/>
      <c r="G33" s="107"/>
      <c r="H33" s="107"/>
      <c r="I33" s="176"/>
      <c r="J33" s="177"/>
      <c r="K33" s="178"/>
      <c r="L33" s="108"/>
      <c r="M33" s="108"/>
      <c r="N33" s="170"/>
      <c r="O33" s="171"/>
      <c r="P33" s="171"/>
      <c r="Q33" s="171"/>
      <c r="R33" s="171"/>
      <c r="S33" s="172"/>
      <c r="T33" s="107"/>
      <c r="U33" s="107"/>
      <c r="V33" s="176"/>
      <c r="W33" s="177"/>
      <c r="X33" s="178"/>
      <c r="Y33" s="108"/>
      <c r="Z33" s="108"/>
    </row>
    <row r="34" spans="1:26" ht="7.5" customHeight="1" x14ac:dyDescent="0.15">
      <c r="A34" s="99"/>
      <c r="B34" s="109"/>
      <c r="C34" s="109"/>
      <c r="D34" s="99"/>
      <c r="E34" s="99"/>
      <c r="F34" s="99"/>
      <c r="G34" s="99"/>
      <c r="H34" s="99"/>
      <c r="I34" s="99"/>
      <c r="J34" s="99"/>
      <c r="K34" s="99"/>
      <c r="L34" s="109"/>
      <c r="M34" s="109"/>
      <c r="N34" s="109"/>
      <c r="O34" s="109"/>
      <c r="P34" s="109"/>
      <c r="Q34" s="109"/>
      <c r="R34" s="109"/>
      <c r="S34" s="109"/>
      <c r="T34" s="109"/>
      <c r="U34" s="109"/>
      <c r="V34" s="109"/>
      <c r="W34" s="109"/>
      <c r="X34" s="109"/>
      <c r="Y34" s="109"/>
      <c r="Z34" s="9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B37" s="179" t="s">
        <v>100</v>
      </c>
      <c r="C37" s="180"/>
      <c r="D37" s="180"/>
      <c r="E37" s="180"/>
      <c r="F37" s="181"/>
      <c r="G37" s="102" t="s">
        <v>141</v>
      </c>
      <c r="H37" s="103" t="s">
        <v>140</v>
      </c>
      <c r="I37" s="179" t="s">
        <v>101</v>
      </c>
      <c r="J37" s="180"/>
      <c r="K37" s="181"/>
      <c r="L37" s="104" t="s">
        <v>130</v>
      </c>
      <c r="M37" s="104" t="s">
        <v>131</v>
      </c>
      <c r="N37" s="179" t="s">
        <v>100</v>
      </c>
      <c r="O37" s="180"/>
      <c r="P37" s="180"/>
      <c r="Q37" s="180"/>
      <c r="R37" s="180"/>
      <c r="S37" s="181"/>
      <c r="T37" s="102" t="s">
        <v>141</v>
      </c>
      <c r="U37" s="103" t="s">
        <v>140</v>
      </c>
      <c r="V37" s="179" t="s">
        <v>101</v>
      </c>
      <c r="W37" s="180"/>
      <c r="X37" s="181"/>
      <c r="Y37" s="104" t="s">
        <v>130</v>
      </c>
      <c r="Z37" s="104" t="s">
        <v>131</v>
      </c>
    </row>
    <row r="38" spans="1:26" ht="18" customHeight="1" x14ac:dyDescent="0.15">
      <c r="A38" s="99"/>
      <c r="B38" s="189" t="s">
        <v>188</v>
      </c>
      <c r="C38" s="190"/>
      <c r="D38" s="190"/>
      <c r="E38" s="190"/>
      <c r="F38" s="191"/>
      <c r="G38" s="105">
        <v>2</v>
      </c>
      <c r="H38" s="105" t="s">
        <v>191</v>
      </c>
      <c r="I38" s="195" t="s">
        <v>189</v>
      </c>
      <c r="J38" s="196"/>
      <c r="K38" s="197"/>
      <c r="L38" s="105" t="s">
        <v>191</v>
      </c>
      <c r="M38" s="105" t="s">
        <v>191</v>
      </c>
      <c r="N38" s="164"/>
      <c r="O38" s="165"/>
      <c r="P38" s="165"/>
      <c r="Q38" s="165"/>
      <c r="R38" s="165"/>
      <c r="S38" s="166"/>
      <c r="T38" s="105"/>
      <c r="U38" s="105"/>
      <c r="V38" s="195"/>
      <c r="W38" s="196"/>
      <c r="X38" s="197"/>
      <c r="Y38" s="105"/>
      <c r="Z38" s="105"/>
    </row>
    <row r="39" spans="1:26" ht="18" customHeight="1" x14ac:dyDescent="0.15">
      <c r="A39" s="99"/>
      <c r="B39" s="182" t="s">
        <v>190</v>
      </c>
      <c r="C39" s="183"/>
      <c r="D39" s="183"/>
      <c r="E39" s="183"/>
      <c r="F39" s="184"/>
      <c r="G39" s="106">
        <v>2</v>
      </c>
      <c r="H39" s="106" t="s">
        <v>191</v>
      </c>
      <c r="I39" s="173" t="s">
        <v>189</v>
      </c>
      <c r="J39" s="174"/>
      <c r="K39" s="175"/>
      <c r="L39" s="106" t="s">
        <v>191</v>
      </c>
      <c r="M39" s="106" t="s">
        <v>191</v>
      </c>
      <c r="N39" s="167"/>
      <c r="O39" s="168"/>
      <c r="P39" s="168"/>
      <c r="Q39" s="168"/>
      <c r="R39" s="168"/>
      <c r="S39" s="169"/>
      <c r="T39" s="106"/>
      <c r="U39" s="106"/>
      <c r="V39" s="173"/>
      <c r="W39" s="174"/>
      <c r="X39" s="175"/>
      <c r="Y39" s="106"/>
      <c r="Z39" s="106"/>
    </row>
    <row r="40" spans="1:26" ht="18" customHeight="1" x14ac:dyDescent="0.15">
      <c r="A40" s="99"/>
      <c r="B40" s="182"/>
      <c r="C40" s="183"/>
      <c r="D40" s="183"/>
      <c r="E40" s="183"/>
      <c r="F40" s="184"/>
      <c r="G40" s="106"/>
      <c r="H40" s="106"/>
      <c r="I40" s="173"/>
      <c r="J40" s="174"/>
      <c r="K40" s="175"/>
      <c r="L40" s="106"/>
      <c r="M40" s="106"/>
      <c r="N40" s="167"/>
      <c r="O40" s="168"/>
      <c r="P40" s="168"/>
      <c r="Q40" s="168"/>
      <c r="R40" s="168"/>
      <c r="S40" s="169"/>
      <c r="T40" s="106"/>
      <c r="U40" s="106"/>
      <c r="V40" s="173"/>
      <c r="W40" s="174"/>
      <c r="X40" s="175"/>
      <c r="Y40" s="106"/>
      <c r="Z40" s="106"/>
    </row>
    <row r="41" spans="1:26" ht="18" customHeight="1" x14ac:dyDescent="0.15">
      <c r="A41" s="99"/>
      <c r="B41" s="182"/>
      <c r="C41" s="183"/>
      <c r="D41" s="183"/>
      <c r="E41" s="183"/>
      <c r="F41" s="184"/>
      <c r="G41" s="106"/>
      <c r="H41" s="106"/>
      <c r="I41" s="173"/>
      <c r="J41" s="174"/>
      <c r="K41" s="175"/>
      <c r="L41" s="106"/>
      <c r="M41" s="106"/>
      <c r="N41" s="167"/>
      <c r="O41" s="168"/>
      <c r="P41" s="168"/>
      <c r="Q41" s="168"/>
      <c r="R41" s="168"/>
      <c r="S41" s="169"/>
      <c r="T41" s="106"/>
      <c r="U41" s="106"/>
      <c r="V41" s="173"/>
      <c r="W41" s="174"/>
      <c r="X41" s="175"/>
      <c r="Y41" s="106"/>
      <c r="Z41" s="106"/>
    </row>
    <row r="42" spans="1:26" ht="18" customHeight="1" x14ac:dyDescent="0.15">
      <c r="A42" s="99"/>
      <c r="B42" s="182"/>
      <c r="C42" s="183"/>
      <c r="D42" s="183"/>
      <c r="E42" s="183"/>
      <c r="F42" s="184"/>
      <c r="G42" s="106"/>
      <c r="H42" s="106"/>
      <c r="I42" s="173"/>
      <c r="J42" s="174"/>
      <c r="K42" s="175"/>
      <c r="L42" s="106"/>
      <c r="M42" s="106"/>
      <c r="N42" s="167"/>
      <c r="O42" s="168"/>
      <c r="P42" s="168"/>
      <c r="Q42" s="168"/>
      <c r="R42" s="168"/>
      <c r="S42" s="169"/>
      <c r="T42" s="106"/>
      <c r="U42" s="106"/>
      <c r="V42" s="173"/>
      <c r="W42" s="174"/>
      <c r="X42" s="175"/>
      <c r="Y42" s="106"/>
      <c r="Z42" s="106"/>
    </row>
    <row r="43" spans="1:26" ht="18" customHeight="1" x14ac:dyDescent="0.15">
      <c r="A43" s="99"/>
      <c r="B43" s="182"/>
      <c r="C43" s="183"/>
      <c r="D43" s="183"/>
      <c r="E43" s="183"/>
      <c r="F43" s="184"/>
      <c r="G43" s="106"/>
      <c r="H43" s="106"/>
      <c r="I43" s="173"/>
      <c r="J43" s="174"/>
      <c r="K43" s="175"/>
      <c r="L43" s="106"/>
      <c r="M43" s="106"/>
      <c r="N43" s="167"/>
      <c r="O43" s="168"/>
      <c r="P43" s="168"/>
      <c r="Q43" s="168"/>
      <c r="R43" s="168"/>
      <c r="S43" s="169"/>
      <c r="T43" s="106"/>
      <c r="U43" s="106"/>
      <c r="V43" s="173"/>
      <c r="W43" s="174"/>
      <c r="X43" s="175"/>
      <c r="Y43" s="106"/>
      <c r="Z43" s="106"/>
    </row>
    <row r="44" spans="1:26" ht="18" customHeight="1" x14ac:dyDescent="0.15">
      <c r="A44" s="99"/>
      <c r="B44" s="185"/>
      <c r="C44" s="186"/>
      <c r="D44" s="186"/>
      <c r="E44" s="186"/>
      <c r="F44" s="187"/>
      <c r="G44" s="107"/>
      <c r="H44" s="107"/>
      <c r="I44" s="176"/>
      <c r="J44" s="177"/>
      <c r="K44" s="178"/>
      <c r="L44" s="108"/>
      <c r="M44" s="108"/>
      <c r="N44" s="170"/>
      <c r="O44" s="171"/>
      <c r="P44" s="171"/>
      <c r="Q44" s="171"/>
      <c r="R44" s="171"/>
      <c r="S44" s="172"/>
      <c r="T44" s="107"/>
      <c r="U44" s="107"/>
      <c r="V44" s="176"/>
      <c r="W44" s="177"/>
      <c r="X44" s="178"/>
      <c r="Y44" s="108"/>
      <c r="Z44" s="108"/>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B48" s="179" t="s">
        <v>100</v>
      </c>
      <c r="C48" s="180"/>
      <c r="D48" s="180"/>
      <c r="E48" s="180"/>
      <c r="F48" s="181"/>
      <c r="G48" s="102" t="s">
        <v>141</v>
      </c>
      <c r="H48" s="103" t="s">
        <v>140</v>
      </c>
      <c r="I48" s="179" t="s">
        <v>101</v>
      </c>
      <c r="J48" s="180"/>
      <c r="K48" s="181"/>
      <c r="L48" s="104" t="s">
        <v>106</v>
      </c>
      <c r="M48" s="104" t="s">
        <v>108</v>
      </c>
      <c r="N48" s="179" t="s">
        <v>100</v>
      </c>
      <c r="O48" s="180"/>
      <c r="P48" s="180"/>
      <c r="Q48" s="180"/>
      <c r="R48" s="180"/>
      <c r="S48" s="181"/>
      <c r="T48" s="102" t="s">
        <v>141</v>
      </c>
      <c r="U48" s="103" t="s">
        <v>140</v>
      </c>
      <c r="V48" s="179" t="s">
        <v>101</v>
      </c>
      <c r="W48" s="180"/>
      <c r="X48" s="181"/>
      <c r="Y48" s="104" t="s">
        <v>106</v>
      </c>
      <c r="Z48" s="104" t="s">
        <v>108</v>
      </c>
    </row>
    <row r="49" spans="1:26" ht="18" customHeight="1" x14ac:dyDescent="0.15">
      <c r="A49" s="99"/>
      <c r="B49" s="189" t="s">
        <v>188</v>
      </c>
      <c r="C49" s="190"/>
      <c r="D49" s="190"/>
      <c r="E49" s="190"/>
      <c r="F49" s="191"/>
      <c r="G49" s="105">
        <v>2</v>
      </c>
      <c r="H49" s="105" t="s">
        <v>191</v>
      </c>
      <c r="I49" s="195" t="s">
        <v>189</v>
      </c>
      <c r="J49" s="196"/>
      <c r="K49" s="197"/>
      <c r="L49" s="105" t="s">
        <v>191</v>
      </c>
      <c r="M49" s="105" t="s">
        <v>191</v>
      </c>
      <c r="N49" s="164"/>
      <c r="O49" s="165"/>
      <c r="P49" s="165"/>
      <c r="Q49" s="165"/>
      <c r="R49" s="165"/>
      <c r="S49" s="166"/>
      <c r="T49" s="105"/>
      <c r="U49" s="105"/>
      <c r="V49" s="195"/>
      <c r="W49" s="196"/>
      <c r="X49" s="197"/>
      <c r="Y49" s="105"/>
      <c r="Z49" s="105"/>
    </row>
    <row r="50" spans="1:26" ht="18" customHeight="1" x14ac:dyDescent="0.15">
      <c r="A50" s="99"/>
      <c r="B50" s="228" t="s">
        <v>190</v>
      </c>
      <c r="C50" s="217"/>
      <c r="D50" s="217"/>
      <c r="E50" s="217"/>
      <c r="F50" s="218"/>
      <c r="G50" s="111">
        <v>2</v>
      </c>
      <c r="H50" s="111" t="s">
        <v>191</v>
      </c>
      <c r="I50" s="225" t="s">
        <v>189</v>
      </c>
      <c r="J50" s="226"/>
      <c r="K50" s="227"/>
      <c r="L50" s="111" t="s">
        <v>191</v>
      </c>
      <c r="M50" s="111" t="s">
        <v>191</v>
      </c>
      <c r="N50" s="167"/>
      <c r="O50" s="168"/>
      <c r="P50" s="168"/>
      <c r="Q50" s="168"/>
      <c r="R50" s="168"/>
      <c r="S50" s="169"/>
      <c r="T50" s="106"/>
      <c r="U50" s="106"/>
      <c r="V50" s="173"/>
      <c r="W50" s="174"/>
      <c r="X50" s="175"/>
      <c r="Y50" s="106"/>
      <c r="Z50" s="106"/>
    </row>
    <row r="51" spans="1:26" ht="18" customHeight="1" x14ac:dyDescent="0.15">
      <c r="A51" s="99"/>
      <c r="B51" s="182" t="s">
        <v>203</v>
      </c>
      <c r="C51" s="183"/>
      <c r="D51" s="183"/>
      <c r="E51" s="183"/>
      <c r="F51" s="184"/>
      <c r="G51" s="106">
        <v>1</v>
      </c>
      <c r="H51" s="106" t="s">
        <v>191</v>
      </c>
      <c r="I51" s="173" t="s">
        <v>225</v>
      </c>
      <c r="J51" s="174"/>
      <c r="K51" s="175"/>
      <c r="L51" s="106" t="s">
        <v>191</v>
      </c>
      <c r="M51" s="106" t="s">
        <v>191</v>
      </c>
      <c r="N51" s="167"/>
      <c r="O51" s="168"/>
      <c r="P51" s="168"/>
      <c r="Q51" s="168"/>
      <c r="R51" s="168"/>
      <c r="S51" s="169"/>
      <c r="T51" s="106"/>
      <c r="U51" s="106"/>
      <c r="V51" s="173"/>
      <c r="W51" s="174"/>
      <c r="X51" s="175"/>
      <c r="Y51" s="106"/>
      <c r="Z51" s="106"/>
    </row>
    <row r="52" spans="1:26" ht="18" customHeight="1" x14ac:dyDescent="0.15">
      <c r="A52" s="99"/>
      <c r="B52" s="182" t="s">
        <v>202</v>
      </c>
      <c r="C52" s="183"/>
      <c r="D52" s="183"/>
      <c r="E52" s="183"/>
      <c r="F52" s="184"/>
      <c r="G52" s="106">
        <v>2</v>
      </c>
      <c r="H52" s="106" t="s">
        <v>191</v>
      </c>
      <c r="I52" s="173" t="s">
        <v>225</v>
      </c>
      <c r="J52" s="174"/>
      <c r="K52" s="175"/>
      <c r="L52" s="106" t="s">
        <v>191</v>
      </c>
      <c r="M52" s="106" t="s">
        <v>191</v>
      </c>
      <c r="N52" s="167"/>
      <c r="O52" s="168"/>
      <c r="P52" s="168"/>
      <c r="Q52" s="168"/>
      <c r="R52" s="168"/>
      <c r="S52" s="169"/>
      <c r="T52" s="106"/>
      <c r="U52" s="106"/>
      <c r="V52" s="173"/>
      <c r="W52" s="174"/>
      <c r="X52" s="175"/>
      <c r="Y52" s="106"/>
      <c r="Z52" s="106"/>
    </row>
    <row r="53" spans="1:26" ht="18" customHeight="1" x14ac:dyDescent="0.15">
      <c r="A53" s="99"/>
      <c r="B53" s="182"/>
      <c r="C53" s="183"/>
      <c r="D53" s="183"/>
      <c r="E53" s="183"/>
      <c r="F53" s="184"/>
      <c r="G53" s="106"/>
      <c r="H53" s="106"/>
      <c r="I53" s="173"/>
      <c r="J53" s="174"/>
      <c r="K53" s="175"/>
      <c r="L53" s="106"/>
      <c r="M53" s="106"/>
      <c r="N53" s="167"/>
      <c r="O53" s="168"/>
      <c r="P53" s="168"/>
      <c r="Q53" s="168"/>
      <c r="R53" s="168"/>
      <c r="S53" s="169"/>
      <c r="T53" s="106"/>
      <c r="U53" s="106"/>
      <c r="V53" s="173"/>
      <c r="W53" s="174"/>
      <c r="X53" s="175"/>
      <c r="Y53" s="106"/>
      <c r="Z53" s="106"/>
    </row>
    <row r="54" spans="1:26" ht="18" customHeight="1" x14ac:dyDescent="0.15">
      <c r="A54" s="99"/>
      <c r="B54" s="182"/>
      <c r="C54" s="183"/>
      <c r="D54" s="183"/>
      <c r="E54" s="183"/>
      <c r="F54" s="184"/>
      <c r="G54" s="106"/>
      <c r="H54" s="106"/>
      <c r="I54" s="173"/>
      <c r="J54" s="174"/>
      <c r="K54" s="175"/>
      <c r="L54" s="106"/>
      <c r="M54" s="106"/>
      <c r="N54" s="167"/>
      <c r="O54" s="168"/>
      <c r="P54" s="168"/>
      <c r="Q54" s="168"/>
      <c r="R54" s="168"/>
      <c r="S54" s="169"/>
      <c r="T54" s="106"/>
      <c r="U54" s="106"/>
      <c r="V54" s="173"/>
      <c r="W54" s="174"/>
      <c r="X54" s="175"/>
      <c r="Y54" s="106"/>
      <c r="Z54" s="106"/>
    </row>
    <row r="55" spans="1:26" ht="18" customHeight="1" x14ac:dyDescent="0.15">
      <c r="A55" s="99"/>
      <c r="B55" s="185"/>
      <c r="C55" s="186"/>
      <c r="D55" s="186"/>
      <c r="E55" s="186"/>
      <c r="F55" s="187"/>
      <c r="G55" s="107"/>
      <c r="H55" s="107"/>
      <c r="I55" s="176"/>
      <c r="J55" s="177"/>
      <c r="K55" s="178"/>
      <c r="L55" s="108"/>
      <c r="M55" s="108"/>
      <c r="N55" s="170"/>
      <c r="O55" s="171"/>
      <c r="P55" s="171"/>
      <c r="Q55" s="171"/>
      <c r="R55" s="171"/>
      <c r="S55" s="172"/>
      <c r="T55" s="107"/>
      <c r="U55" s="107"/>
      <c r="V55" s="176"/>
      <c r="W55" s="177"/>
      <c r="X55" s="178"/>
      <c r="Y55" s="108"/>
      <c r="Z55" s="108"/>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B59" s="179" t="s">
        <v>100</v>
      </c>
      <c r="C59" s="180"/>
      <c r="D59" s="180"/>
      <c r="E59" s="181"/>
      <c r="F59" s="102" t="s">
        <v>141</v>
      </c>
      <c r="G59" s="103" t="s">
        <v>140</v>
      </c>
      <c r="H59" s="112" t="s">
        <v>101</v>
      </c>
      <c r="I59" s="113"/>
      <c r="J59" s="114"/>
      <c r="K59" s="104" t="s">
        <v>105</v>
      </c>
      <c r="L59" s="104" t="s">
        <v>134</v>
      </c>
      <c r="M59" s="104" t="s">
        <v>135</v>
      </c>
      <c r="N59" s="179" t="s">
        <v>100</v>
      </c>
      <c r="O59" s="180"/>
      <c r="P59" s="180"/>
      <c r="Q59" s="180"/>
      <c r="R59" s="181"/>
      <c r="S59" s="102" t="s">
        <v>141</v>
      </c>
      <c r="T59" s="103" t="s">
        <v>140</v>
      </c>
      <c r="U59" s="112" t="s">
        <v>101</v>
      </c>
      <c r="V59" s="113"/>
      <c r="W59" s="114"/>
      <c r="X59" s="104" t="s">
        <v>105</v>
      </c>
      <c r="Y59" s="104" t="s">
        <v>134</v>
      </c>
      <c r="Z59" s="104" t="s">
        <v>135</v>
      </c>
    </row>
    <row r="60" spans="1:26" ht="18" customHeight="1" x14ac:dyDescent="0.15">
      <c r="A60" s="99"/>
      <c r="B60" s="164" t="s">
        <v>201</v>
      </c>
      <c r="C60" s="165"/>
      <c r="D60" s="165"/>
      <c r="E60" s="166"/>
      <c r="F60" s="105">
        <v>2</v>
      </c>
      <c r="G60" s="105" t="s">
        <v>191</v>
      </c>
      <c r="H60" s="195" t="s">
        <v>225</v>
      </c>
      <c r="I60" s="196"/>
      <c r="J60" s="197"/>
      <c r="K60" s="105" t="s">
        <v>191</v>
      </c>
      <c r="L60" s="105" t="s">
        <v>191</v>
      </c>
      <c r="M60" s="105" t="s">
        <v>191</v>
      </c>
      <c r="N60" s="164"/>
      <c r="O60" s="165"/>
      <c r="P60" s="165"/>
      <c r="Q60" s="165"/>
      <c r="R60" s="166"/>
      <c r="S60" s="105"/>
      <c r="T60" s="105"/>
      <c r="U60" s="195"/>
      <c r="V60" s="196"/>
      <c r="W60" s="197"/>
      <c r="X60" s="124"/>
      <c r="Y60" s="105"/>
      <c r="Z60" s="105"/>
    </row>
    <row r="61" spans="1:26" ht="18" customHeight="1" x14ac:dyDescent="0.15">
      <c r="A61" s="99"/>
      <c r="B61" s="167"/>
      <c r="C61" s="168"/>
      <c r="D61" s="168"/>
      <c r="E61" s="169"/>
      <c r="F61" s="106"/>
      <c r="G61" s="106"/>
      <c r="H61" s="173"/>
      <c r="I61" s="174"/>
      <c r="J61" s="175"/>
      <c r="K61" s="125"/>
      <c r="L61" s="106"/>
      <c r="M61" s="106"/>
      <c r="N61" s="167"/>
      <c r="O61" s="168"/>
      <c r="P61" s="168"/>
      <c r="Q61" s="168"/>
      <c r="R61" s="169"/>
      <c r="S61" s="106"/>
      <c r="T61" s="106"/>
      <c r="U61" s="173"/>
      <c r="V61" s="174"/>
      <c r="W61" s="175"/>
      <c r="X61" s="125"/>
      <c r="Y61" s="106"/>
      <c r="Z61" s="106"/>
    </row>
    <row r="62" spans="1:26" ht="18" customHeight="1" x14ac:dyDescent="0.15">
      <c r="A62" s="99"/>
      <c r="B62" s="167"/>
      <c r="C62" s="168"/>
      <c r="D62" s="168"/>
      <c r="E62" s="169"/>
      <c r="F62" s="106"/>
      <c r="G62" s="106"/>
      <c r="H62" s="173"/>
      <c r="I62" s="174"/>
      <c r="J62" s="175"/>
      <c r="K62" s="125"/>
      <c r="L62" s="106"/>
      <c r="M62" s="106"/>
      <c r="N62" s="167"/>
      <c r="O62" s="168"/>
      <c r="P62" s="168"/>
      <c r="Q62" s="168"/>
      <c r="R62" s="169"/>
      <c r="S62" s="106"/>
      <c r="T62" s="106"/>
      <c r="U62" s="173"/>
      <c r="V62" s="174"/>
      <c r="W62" s="175"/>
      <c r="X62" s="125"/>
      <c r="Y62" s="106"/>
      <c r="Z62" s="106"/>
    </row>
    <row r="63" spans="1:26" ht="18" customHeight="1" x14ac:dyDescent="0.15">
      <c r="A63" s="99"/>
      <c r="B63" s="167"/>
      <c r="C63" s="168"/>
      <c r="D63" s="168"/>
      <c r="E63" s="169"/>
      <c r="F63" s="106"/>
      <c r="G63" s="106"/>
      <c r="H63" s="173"/>
      <c r="I63" s="174"/>
      <c r="J63" s="175"/>
      <c r="K63" s="125"/>
      <c r="L63" s="106"/>
      <c r="M63" s="106"/>
      <c r="N63" s="167"/>
      <c r="O63" s="168"/>
      <c r="P63" s="168"/>
      <c r="Q63" s="168"/>
      <c r="R63" s="169"/>
      <c r="S63" s="106"/>
      <c r="T63" s="106"/>
      <c r="U63" s="173"/>
      <c r="V63" s="174"/>
      <c r="W63" s="175"/>
      <c r="X63" s="125"/>
      <c r="Y63" s="106"/>
      <c r="Z63" s="106"/>
    </row>
    <row r="64" spans="1:26" ht="18" customHeight="1" x14ac:dyDescent="0.15">
      <c r="A64" s="99"/>
      <c r="B64" s="167"/>
      <c r="C64" s="168"/>
      <c r="D64" s="168"/>
      <c r="E64" s="169"/>
      <c r="F64" s="106"/>
      <c r="G64" s="106"/>
      <c r="H64" s="173"/>
      <c r="I64" s="174"/>
      <c r="J64" s="175"/>
      <c r="K64" s="125"/>
      <c r="L64" s="106"/>
      <c r="M64" s="106"/>
      <c r="N64" s="167"/>
      <c r="O64" s="168"/>
      <c r="P64" s="168"/>
      <c r="Q64" s="168"/>
      <c r="R64" s="169"/>
      <c r="S64" s="106"/>
      <c r="T64" s="106"/>
      <c r="U64" s="173"/>
      <c r="V64" s="174"/>
      <c r="W64" s="175"/>
      <c r="X64" s="125"/>
      <c r="Y64" s="106"/>
      <c r="Z64" s="106"/>
    </row>
    <row r="65" spans="1:26" ht="18" customHeight="1" x14ac:dyDescent="0.15">
      <c r="A65" s="99"/>
      <c r="B65" s="167"/>
      <c r="C65" s="168"/>
      <c r="D65" s="168"/>
      <c r="E65" s="169"/>
      <c r="F65" s="106"/>
      <c r="G65" s="106"/>
      <c r="H65" s="173"/>
      <c r="I65" s="174"/>
      <c r="J65" s="175"/>
      <c r="K65" s="125"/>
      <c r="L65" s="106"/>
      <c r="M65" s="106"/>
      <c r="N65" s="167"/>
      <c r="O65" s="168"/>
      <c r="P65" s="168"/>
      <c r="Q65" s="168"/>
      <c r="R65" s="169"/>
      <c r="S65" s="106"/>
      <c r="T65" s="106"/>
      <c r="U65" s="173"/>
      <c r="V65" s="174"/>
      <c r="W65" s="175"/>
      <c r="X65" s="125"/>
      <c r="Y65" s="106"/>
      <c r="Z65" s="106"/>
    </row>
    <row r="66" spans="1:26" ht="18" customHeight="1" x14ac:dyDescent="0.15">
      <c r="A66" s="99"/>
      <c r="B66" s="170"/>
      <c r="C66" s="171"/>
      <c r="D66" s="171"/>
      <c r="E66" s="172"/>
      <c r="F66" s="107"/>
      <c r="G66" s="107"/>
      <c r="H66" s="176"/>
      <c r="I66" s="177"/>
      <c r="J66" s="178"/>
      <c r="K66" s="126"/>
      <c r="L66" s="108"/>
      <c r="M66" s="108"/>
      <c r="N66" s="170"/>
      <c r="O66" s="171"/>
      <c r="P66" s="171"/>
      <c r="Q66" s="171"/>
      <c r="R66" s="172"/>
      <c r="S66" s="107"/>
      <c r="T66" s="107"/>
      <c r="U66" s="176"/>
      <c r="V66" s="177"/>
      <c r="W66" s="178"/>
      <c r="X66" s="126"/>
      <c r="Y66" s="108"/>
      <c r="Z66" s="108"/>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2" t="s">
        <v>136</v>
      </c>
      <c r="L68" s="99"/>
      <c r="M68" s="99"/>
      <c r="N68" s="99"/>
      <c r="O68" s="99"/>
      <c r="P68" s="99"/>
      <c r="Q68" s="99"/>
      <c r="R68" s="99"/>
      <c r="S68" s="99"/>
      <c r="T68" s="99"/>
      <c r="U68" s="99"/>
      <c r="V68" s="99"/>
      <c r="W68" s="99"/>
      <c r="X68" s="99"/>
      <c r="Y68" s="99"/>
      <c r="Z68" s="99"/>
    </row>
    <row r="69" spans="1:26" ht="18" customHeight="1" x14ac:dyDescent="0.15">
      <c r="B69" s="179" t="s">
        <v>100</v>
      </c>
      <c r="C69" s="180"/>
      <c r="D69" s="180"/>
      <c r="E69" s="180"/>
      <c r="F69" s="181"/>
      <c r="G69" s="179" t="s">
        <v>146</v>
      </c>
      <c r="H69" s="180"/>
      <c r="I69" s="180"/>
      <c r="J69" s="180"/>
      <c r="K69" s="180"/>
      <c r="L69" s="180"/>
      <c r="M69" s="181"/>
      <c r="N69" s="192" t="s">
        <v>100</v>
      </c>
      <c r="O69" s="193"/>
      <c r="P69" s="193"/>
      <c r="Q69" s="193"/>
      <c r="R69" s="193"/>
      <c r="S69" s="194"/>
      <c r="T69" s="179" t="s">
        <v>146</v>
      </c>
      <c r="U69" s="180"/>
      <c r="V69" s="180"/>
      <c r="W69" s="180"/>
      <c r="X69" s="180"/>
      <c r="Y69" s="180"/>
      <c r="Z69" s="181"/>
    </row>
    <row r="70" spans="1:26" ht="18" customHeight="1" x14ac:dyDescent="0.15">
      <c r="A70" s="99"/>
      <c r="B70" s="164"/>
      <c r="C70" s="165"/>
      <c r="D70" s="165"/>
      <c r="E70" s="165"/>
      <c r="F70" s="166"/>
      <c r="G70" s="241"/>
      <c r="H70" s="242"/>
      <c r="I70" s="242"/>
      <c r="J70" s="242"/>
      <c r="K70" s="242"/>
      <c r="L70" s="242"/>
      <c r="M70" s="243"/>
      <c r="N70" s="164"/>
      <c r="O70" s="165"/>
      <c r="P70" s="165"/>
      <c r="Q70" s="165"/>
      <c r="R70" s="165"/>
      <c r="S70" s="166"/>
      <c r="T70" s="241"/>
      <c r="U70" s="242"/>
      <c r="V70" s="242"/>
      <c r="W70" s="242"/>
      <c r="X70" s="242"/>
      <c r="Y70" s="242"/>
      <c r="Z70" s="243"/>
    </row>
    <row r="71" spans="1:26" ht="18" customHeight="1" x14ac:dyDescent="0.15">
      <c r="A71" s="99"/>
      <c r="B71" s="167"/>
      <c r="C71" s="168"/>
      <c r="D71" s="168"/>
      <c r="E71" s="168"/>
      <c r="F71" s="169"/>
      <c r="G71" s="213"/>
      <c r="H71" s="214"/>
      <c r="I71" s="214"/>
      <c r="J71" s="214"/>
      <c r="K71" s="214"/>
      <c r="L71" s="214"/>
      <c r="M71" s="215"/>
      <c r="N71" s="167"/>
      <c r="O71" s="168"/>
      <c r="P71" s="168"/>
      <c r="Q71" s="168"/>
      <c r="R71" s="168"/>
      <c r="S71" s="169"/>
      <c r="T71" s="213"/>
      <c r="U71" s="214"/>
      <c r="V71" s="214"/>
      <c r="W71" s="214"/>
      <c r="X71" s="214"/>
      <c r="Y71" s="214"/>
      <c r="Z71" s="215"/>
    </row>
    <row r="72" spans="1:26" ht="18" customHeight="1" x14ac:dyDescent="0.15">
      <c r="A72" s="99"/>
      <c r="B72" s="167"/>
      <c r="C72" s="168"/>
      <c r="D72" s="168"/>
      <c r="E72" s="168"/>
      <c r="F72" s="169"/>
      <c r="G72" s="213"/>
      <c r="H72" s="214"/>
      <c r="I72" s="214"/>
      <c r="J72" s="214"/>
      <c r="K72" s="214"/>
      <c r="L72" s="214"/>
      <c r="M72" s="215"/>
      <c r="N72" s="167"/>
      <c r="O72" s="168"/>
      <c r="P72" s="168"/>
      <c r="Q72" s="168"/>
      <c r="R72" s="168"/>
      <c r="S72" s="169"/>
      <c r="T72" s="213"/>
      <c r="U72" s="214"/>
      <c r="V72" s="214"/>
      <c r="W72" s="214"/>
      <c r="X72" s="214"/>
      <c r="Y72" s="214"/>
      <c r="Z72" s="215"/>
    </row>
    <row r="73" spans="1:26" ht="18" customHeight="1" x14ac:dyDescent="0.15">
      <c r="A73" s="99"/>
      <c r="B73" s="167"/>
      <c r="C73" s="168"/>
      <c r="D73" s="168"/>
      <c r="E73" s="168"/>
      <c r="F73" s="169"/>
      <c r="G73" s="213"/>
      <c r="H73" s="214"/>
      <c r="I73" s="214"/>
      <c r="J73" s="214"/>
      <c r="K73" s="214"/>
      <c r="L73" s="214"/>
      <c r="M73" s="215"/>
      <c r="N73" s="167"/>
      <c r="O73" s="168"/>
      <c r="P73" s="168"/>
      <c r="Q73" s="168"/>
      <c r="R73" s="168"/>
      <c r="S73" s="169"/>
      <c r="T73" s="213"/>
      <c r="U73" s="214"/>
      <c r="V73" s="214"/>
      <c r="W73" s="214"/>
      <c r="X73" s="214"/>
      <c r="Y73" s="214"/>
      <c r="Z73" s="215"/>
    </row>
    <row r="74" spans="1:26" ht="18" customHeight="1" x14ac:dyDescent="0.15">
      <c r="A74" s="99"/>
      <c r="B74" s="167"/>
      <c r="C74" s="168"/>
      <c r="D74" s="168"/>
      <c r="E74" s="168"/>
      <c r="F74" s="169"/>
      <c r="G74" s="213"/>
      <c r="H74" s="214"/>
      <c r="I74" s="214"/>
      <c r="J74" s="214"/>
      <c r="K74" s="214"/>
      <c r="L74" s="214"/>
      <c r="M74" s="215"/>
      <c r="N74" s="167"/>
      <c r="O74" s="168"/>
      <c r="P74" s="168"/>
      <c r="Q74" s="168"/>
      <c r="R74" s="168"/>
      <c r="S74" s="169"/>
      <c r="T74" s="213"/>
      <c r="U74" s="214"/>
      <c r="V74" s="214"/>
      <c r="W74" s="214"/>
      <c r="X74" s="214"/>
      <c r="Y74" s="214"/>
      <c r="Z74" s="215"/>
    </row>
    <row r="75" spans="1:26" ht="18" customHeight="1" x14ac:dyDescent="0.15">
      <c r="A75" s="99"/>
      <c r="B75" s="167"/>
      <c r="C75" s="168"/>
      <c r="D75" s="168"/>
      <c r="E75" s="168"/>
      <c r="F75" s="169"/>
      <c r="G75" s="213"/>
      <c r="H75" s="214"/>
      <c r="I75" s="214"/>
      <c r="J75" s="214"/>
      <c r="K75" s="214"/>
      <c r="L75" s="214"/>
      <c r="M75" s="215"/>
      <c r="N75" s="167"/>
      <c r="O75" s="168"/>
      <c r="P75" s="168"/>
      <c r="Q75" s="168"/>
      <c r="R75" s="168"/>
      <c r="S75" s="169"/>
      <c r="T75" s="213"/>
      <c r="U75" s="214"/>
      <c r="V75" s="214"/>
      <c r="W75" s="214"/>
      <c r="X75" s="214"/>
      <c r="Y75" s="214"/>
      <c r="Z75" s="215"/>
    </row>
    <row r="76" spans="1:26" ht="18" customHeight="1" x14ac:dyDescent="0.15">
      <c r="A76" s="99"/>
      <c r="B76" s="170"/>
      <c r="C76" s="171"/>
      <c r="D76" s="171"/>
      <c r="E76" s="171"/>
      <c r="F76" s="172"/>
      <c r="G76" s="210"/>
      <c r="H76" s="211"/>
      <c r="I76" s="211"/>
      <c r="J76" s="211"/>
      <c r="K76" s="211"/>
      <c r="L76" s="211"/>
      <c r="M76" s="212"/>
      <c r="N76" s="170"/>
      <c r="O76" s="171"/>
      <c r="P76" s="171"/>
      <c r="Q76" s="171"/>
      <c r="R76" s="171"/>
      <c r="S76" s="172"/>
      <c r="T76" s="210"/>
      <c r="U76" s="211"/>
      <c r="V76" s="211"/>
      <c r="W76" s="211"/>
      <c r="X76" s="211"/>
      <c r="Y76" s="211"/>
      <c r="Z76" s="212"/>
    </row>
    <row r="77" spans="1:26" ht="18" customHeight="1" x14ac:dyDescent="0.15">
      <c r="A77" s="99"/>
      <c r="B77" s="115"/>
      <c r="C77" s="115"/>
      <c r="D77" s="115"/>
      <c r="E77" s="115"/>
      <c r="F77" s="115"/>
      <c r="G77" s="116"/>
      <c r="H77" s="116"/>
      <c r="I77" s="116"/>
      <c r="J77" s="116"/>
      <c r="K77" s="116"/>
      <c r="L77" s="116"/>
      <c r="M77" s="116"/>
      <c r="N77" s="115"/>
      <c r="O77" s="115"/>
      <c r="P77" s="115"/>
      <c r="Q77" s="115"/>
      <c r="R77" s="115"/>
      <c r="S77" s="115"/>
      <c r="T77" s="116"/>
      <c r="U77" s="116"/>
      <c r="V77" s="116"/>
      <c r="W77" s="116"/>
      <c r="X77" s="116"/>
      <c r="Y77" s="116"/>
      <c r="Z77" s="116"/>
    </row>
    <row r="78" spans="1:26" ht="18.75" customHeight="1" x14ac:dyDescent="0.15">
      <c r="A78" s="72" t="s">
        <v>142</v>
      </c>
    </row>
    <row r="79" spans="1:26" ht="18.75" customHeight="1" x14ac:dyDescent="0.15">
      <c r="B79" s="131" t="s">
        <v>102</v>
      </c>
      <c r="C79" s="132"/>
      <c r="D79" s="180" t="s">
        <v>103</v>
      </c>
      <c r="E79" s="180"/>
      <c r="F79" s="180"/>
      <c r="G79" s="180"/>
      <c r="H79" s="180"/>
      <c r="I79" s="180"/>
      <c r="J79" s="180"/>
      <c r="K79" s="180"/>
      <c r="L79" s="180"/>
      <c r="M79" s="180"/>
      <c r="N79" s="180"/>
      <c r="O79" s="180"/>
      <c r="P79" s="180"/>
      <c r="Q79" s="180"/>
      <c r="R79" s="180"/>
      <c r="S79" s="180"/>
      <c r="T79" s="180"/>
      <c r="U79" s="180"/>
      <c r="V79" s="180"/>
      <c r="W79" s="180"/>
      <c r="X79" s="180"/>
      <c r="Y79" s="180"/>
      <c r="Z79" s="181"/>
    </row>
    <row r="80" spans="1:26" ht="78" customHeight="1" x14ac:dyDescent="0.15">
      <c r="B80" s="247" t="s">
        <v>109</v>
      </c>
      <c r="C80" s="117" t="s">
        <v>104</v>
      </c>
      <c r="D80" s="254" t="s">
        <v>248</v>
      </c>
      <c r="E80" s="254"/>
      <c r="F80" s="254"/>
      <c r="G80" s="254"/>
      <c r="H80" s="254"/>
      <c r="I80" s="254"/>
      <c r="J80" s="254"/>
      <c r="K80" s="254"/>
      <c r="L80" s="254"/>
      <c r="M80" s="254"/>
      <c r="N80" s="254"/>
      <c r="O80" s="254"/>
      <c r="P80" s="254"/>
      <c r="Q80" s="254"/>
      <c r="R80" s="254"/>
      <c r="S80" s="254"/>
      <c r="T80" s="254"/>
      <c r="U80" s="254"/>
      <c r="V80" s="254"/>
      <c r="W80" s="254"/>
      <c r="X80" s="254"/>
      <c r="Y80" s="254"/>
      <c r="Z80" s="255"/>
    </row>
    <row r="81" spans="1:26" ht="78" customHeight="1" x14ac:dyDescent="0.15">
      <c r="B81" s="249"/>
      <c r="C81" s="118" t="s">
        <v>137</v>
      </c>
      <c r="D81" s="216" t="s">
        <v>249</v>
      </c>
      <c r="E81" s="216"/>
      <c r="F81" s="216"/>
      <c r="G81" s="216"/>
      <c r="H81" s="216"/>
      <c r="I81" s="216"/>
      <c r="J81" s="216"/>
      <c r="K81" s="216"/>
      <c r="L81" s="216"/>
      <c r="M81" s="216"/>
      <c r="N81" s="216"/>
      <c r="O81" s="216"/>
      <c r="P81" s="216"/>
      <c r="Q81" s="216"/>
      <c r="R81" s="216"/>
      <c r="S81" s="216"/>
      <c r="T81" s="216"/>
      <c r="U81" s="216"/>
      <c r="V81" s="216"/>
      <c r="W81" s="216"/>
      <c r="X81" s="216"/>
      <c r="Y81" s="216"/>
      <c r="Z81" s="261"/>
    </row>
    <row r="82" spans="1:26" ht="78" customHeight="1" x14ac:dyDescent="0.15">
      <c r="B82" s="247" t="s">
        <v>110</v>
      </c>
      <c r="C82" s="119" t="s">
        <v>127</v>
      </c>
      <c r="D82" s="219" t="s">
        <v>250</v>
      </c>
      <c r="E82" s="219"/>
      <c r="F82" s="219"/>
      <c r="G82" s="219"/>
      <c r="H82" s="219"/>
      <c r="I82" s="219"/>
      <c r="J82" s="219"/>
      <c r="K82" s="219"/>
      <c r="L82" s="219"/>
      <c r="M82" s="219"/>
      <c r="N82" s="219"/>
      <c r="O82" s="219"/>
      <c r="P82" s="219"/>
      <c r="Q82" s="219"/>
      <c r="R82" s="219"/>
      <c r="S82" s="219"/>
      <c r="T82" s="219"/>
      <c r="U82" s="219"/>
      <c r="V82" s="219"/>
      <c r="W82" s="219"/>
      <c r="X82" s="219"/>
      <c r="Y82" s="219"/>
      <c r="Z82" s="220"/>
    </row>
    <row r="83" spans="1:26" ht="78" customHeight="1" x14ac:dyDescent="0.15">
      <c r="B83" s="248"/>
      <c r="C83" s="120" t="s">
        <v>128</v>
      </c>
      <c r="D83" s="223" t="s">
        <v>251</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247" t="s">
        <v>111</v>
      </c>
      <c r="C84" s="119" t="s">
        <v>130</v>
      </c>
      <c r="D84" s="219" t="s">
        <v>230</v>
      </c>
      <c r="E84" s="219"/>
      <c r="F84" s="219"/>
      <c r="G84" s="219"/>
      <c r="H84" s="219"/>
      <c r="I84" s="219"/>
      <c r="J84" s="219"/>
      <c r="K84" s="219"/>
      <c r="L84" s="219"/>
      <c r="M84" s="219"/>
      <c r="N84" s="219"/>
      <c r="O84" s="219"/>
      <c r="P84" s="219"/>
      <c r="Q84" s="219"/>
      <c r="R84" s="219"/>
      <c r="S84" s="219"/>
      <c r="T84" s="219"/>
      <c r="U84" s="219"/>
      <c r="V84" s="219"/>
      <c r="W84" s="219"/>
      <c r="X84" s="219"/>
      <c r="Y84" s="219"/>
      <c r="Z84" s="220"/>
    </row>
    <row r="85" spans="1:26" ht="66" customHeight="1" x14ac:dyDescent="0.15">
      <c r="B85" s="248"/>
      <c r="C85" s="121" t="s">
        <v>131</v>
      </c>
      <c r="D85" s="221" t="s">
        <v>231</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6" ht="66" customHeight="1" x14ac:dyDescent="0.15">
      <c r="B86" s="247" t="s">
        <v>138</v>
      </c>
      <c r="C86" s="117" t="s">
        <v>106</v>
      </c>
      <c r="D86" s="254" t="s">
        <v>252</v>
      </c>
      <c r="E86" s="254"/>
      <c r="F86" s="254"/>
      <c r="G86" s="254"/>
      <c r="H86" s="254"/>
      <c r="I86" s="254"/>
      <c r="J86" s="254"/>
      <c r="K86" s="254"/>
      <c r="L86" s="254"/>
      <c r="M86" s="254"/>
      <c r="N86" s="254"/>
      <c r="O86" s="254"/>
      <c r="P86" s="254"/>
      <c r="Q86" s="254"/>
      <c r="R86" s="254"/>
      <c r="S86" s="254"/>
      <c r="T86" s="254"/>
      <c r="U86" s="254"/>
      <c r="V86" s="254"/>
      <c r="W86" s="254"/>
      <c r="X86" s="254"/>
      <c r="Y86" s="254"/>
      <c r="Z86" s="255"/>
    </row>
    <row r="87" spans="1:26" ht="66" customHeight="1" x14ac:dyDescent="0.15">
      <c r="B87" s="249"/>
      <c r="C87" s="122" t="s">
        <v>108</v>
      </c>
      <c r="D87" s="262" t="s">
        <v>253</v>
      </c>
      <c r="E87" s="262"/>
      <c r="F87" s="262"/>
      <c r="G87" s="262"/>
      <c r="H87" s="262"/>
      <c r="I87" s="262"/>
      <c r="J87" s="262"/>
      <c r="K87" s="262"/>
      <c r="L87" s="262"/>
      <c r="M87" s="262"/>
      <c r="N87" s="262"/>
      <c r="O87" s="262"/>
      <c r="P87" s="262"/>
      <c r="Q87" s="262"/>
      <c r="R87" s="262"/>
      <c r="S87" s="262"/>
      <c r="T87" s="262"/>
      <c r="U87" s="262"/>
      <c r="V87" s="262"/>
      <c r="W87" s="262"/>
      <c r="X87" s="262"/>
      <c r="Y87" s="262"/>
      <c r="Z87" s="263"/>
    </row>
    <row r="88" spans="1:26" ht="66" customHeight="1" x14ac:dyDescent="0.15">
      <c r="B88" s="247" t="s">
        <v>139</v>
      </c>
      <c r="C88" s="119" t="s">
        <v>105</v>
      </c>
      <c r="D88" s="250" t="s">
        <v>254</v>
      </c>
      <c r="E88" s="250"/>
      <c r="F88" s="250"/>
      <c r="G88" s="250"/>
      <c r="H88" s="250"/>
      <c r="I88" s="250"/>
      <c r="J88" s="250"/>
      <c r="K88" s="250"/>
      <c r="L88" s="250"/>
      <c r="M88" s="250"/>
      <c r="N88" s="250"/>
      <c r="O88" s="250"/>
      <c r="P88" s="250"/>
      <c r="Q88" s="250"/>
      <c r="R88" s="250"/>
      <c r="S88" s="250"/>
      <c r="T88" s="250"/>
      <c r="U88" s="250"/>
      <c r="V88" s="250"/>
      <c r="W88" s="250"/>
      <c r="X88" s="250"/>
      <c r="Y88" s="250"/>
      <c r="Z88" s="251"/>
    </row>
    <row r="89" spans="1:26" ht="66" customHeight="1" x14ac:dyDescent="0.15">
      <c r="B89" s="249"/>
      <c r="C89" s="122" t="s">
        <v>134</v>
      </c>
      <c r="D89" s="252" t="s">
        <v>255</v>
      </c>
      <c r="E89" s="252"/>
      <c r="F89" s="252"/>
      <c r="G89" s="252"/>
      <c r="H89" s="252"/>
      <c r="I89" s="252"/>
      <c r="J89" s="252"/>
      <c r="K89" s="252"/>
      <c r="L89" s="252"/>
      <c r="M89" s="252"/>
      <c r="N89" s="252"/>
      <c r="O89" s="252"/>
      <c r="P89" s="252"/>
      <c r="Q89" s="252"/>
      <c r="R89" s="252"/>
      <c r="S89" s="252"/>
      <c r="T89" s="252"/>
      <c r="U89" s="252"/>
      <c r="V89" s="252"/>
      <c r="W89" s="252"/>
      <c r="X89" s="252"/>
      <c r="Y89" s="252"/>
      <c r="Z89" s="253"/>
    </row>
    <row r="90" spans="1:26" ht="66" customHeight="1" x14ac:dyDescent="0.15">
      <c r="B90" s="248"/>
      <c r="C90" s="121" t="s">
        <v>135</v>
      </c>
      <c r="D90" s="252" t="s">
        <v>256</v>
      </c>
      <c r="E90" s="252"/>
      <c r="F90" s="252"/>
      <c r="G90" s="252"/>
      <c r="H90" s="252"/>
      <c r="I90" s="252"/>
      <c r="J90" s="252"/>
      <c r="K90" s="252"/>
      <c r="L90" s="252"/>
      <c r="M90" s="252"/>
      <c r="N90" s="252"/>
      <c r="O90" s="252"/>
      <c r="P90" s="252"/>
      <c r="Q90" s="252"/>
      <c r="R90" s="252"/>
      <c r="S90" s="252"/>
      <c r="T90" s="252"/>
      <c r="U90" s="252"/>
      <c r="V90" s="252"/>
      <c r="W90" s="252"/>
      <c r="X90" s="252"/>
      <c r="Y90" s="252"/>
      <c r="Z90" s="253"/>
    </row>
    <row r="91" spans="1:26" ht="6" customHeight="1" x14ac:dyDescent="0.15"/>
    <row r="92" spans="1:26" ht="18.75" customHeight="1" x14ac:dyDescent="0.15">
      <c r="A92" s="72" t="s">
        <v>143</v>
      </c>
    </row>
    <row r="93" spans="1:26" ht="18.75" customHeight="1" x14ac:dyDescent="0.15">
      <c r="B93" s="198" t="s">
        <v>209</v>
      </c>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200"/>
    </row>
    <row r="94" spans="1:26" ht="18.75" customHeight="1" x14ac:dyDescent="0.15">
      <c r="B94" s="201"/>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3"/>
    </row>
    <row r="95" spans="1:26" ht="18.75" customHeight="1" x14ac:dyDescent="0.15">
      <c r="B95" s="204"/>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6"/>
    </row>
    <row r="96" spans="1:26" ht="6" customHeight="1" x14ac:dyDescent="0.15"/>
    <row r="97" spans="1:26" ht="15" customHeight="1" x14ac:dyDescent="0.15">
      <c r="A97" s="72" t="s">
        <v>144</v>
      </c>
    </row>
    <row r="98" spans="1:26" ht="15" customHeight="1" x14ac:dyDescent="0.15">
      <c r="B98" s="207" t="s">
        <v>210</v>
      </c>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9"/>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C3ECFD5D-0906-40D5-BB57-7150464FCA4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AC21EFC-2DBD-4983-9F89-BB886B18137E}">
      <formula1>"学部・学科によって、修了要件は相違する,学部・学科によって、修了要件は相違しない"</formula1>
    </dataValidation>
    <dataValidation type="list" allowBlank="1" showInputMessage="1" showErrorMessage="1" sqref="Z23 Z34 D34:K34 D23:K23 V16:V22 H60:H66 V27:V33 I27:I33 V38:V44 I16:I22 V49:V55 I38:I44 U60:U66 I49:I55" xr:uid="{28694EA4-5E48-4F5D-91C1-7F6298994C2C}">
      <formula1>"全学開講,一部開講"</formula1>
    </dataValidation>
    <dataValidation type="list" allowBlank="1" showInputMessage="1" showErrorMessage="1" sqref="Y16:Z22 H16:H22 Y27:Z33 L27:M33 H38:H44 Y38:Z44 L49:M55 Y49:Z55 Y60:Z66 K60 T60:T66 U16:U22 H27:H33 U27:U33 L16:M22 U38:U44 L38:M44 U49:U55 G60:G66 H49:H55 L60:M66" xr:uid="{08E0851E-C4CA-4BAA-B09B-8CA5BEC9A0E9}">
      <formula1>"○"</formula1>
    </dataValidation>
  </dataValidations>
  <hyperlinks>
    <hyperlink ref="B98" r:id="rId1" xr:uid="{169983D0-3B06-400D-87A1-991ADFAA0B2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507-91EC-4DF7-88E1-EE2C9734CD7C}">
  <sheetPr>
    <tabColor rgb="FFCCFFFF"/>
  </sheetPr>
  <dimension ref="A1:Z98"/>
  <sheetViews>
    <sheetView showZeros="0" view="pageBreakPreview" zoomScaleNormal="100" zoomScaleSheetLayoutView="100" workbookViewId="0">
      <selection activeCell="N15" sqref="N15:S15"/>
    </sheetView>
  </sheetViews>
  <sheetFormatPr defaultColWidth="9" defaultRowHeight="18.75" customHeight="1" x14ac:dyDescent="0.15"/>
  <cols>
    <col min="1" max="1" width="2.5" style="72" customWidth="1"/>
    <col min="2" max="2" width="27.75" style="72" customWidth="1"/>
    <col min="3" max="13" width="3.375" style="72" customWidth="1"/>
    <col min="14" max="14" width="8.875" style="72" customWidth="1"/>
    <col min="15" max="15" width="18.875" style="72" customWidth="1"/>
    <col min="16" max="19" width="3.375" style="72" customWidth="1"/>
    <col min="20" max="20" width="3.5" style="72" customWidth="1"/>
    <col min="21" max="26" width="3.375" style="72" customWidth="1"/>
    <col min="27" max="16384" width="9" style="72"/>
  </cols>
  <sheetData>
    <row r="1" spans="1:26" ht="15" customHeight="1" x14ac:dyDescent="0.15">
      <c r="W1" s="188" t="s">
        <v>187</v>
      </c>
      <c r="X1" s="188"/>
      <c r="Y1" s="188"/>
      <c r="Z1" s="188"/>
    </row>
    <row r="2" spans="1:26" ht="18" customHeight="1" x14ac:dyDescent="0.15">
      <c r="A2" s="230" t="s">
        <v>67</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99"/>
      <c r="C3" s="99"/>
      <c r="D3" s="99"/>
      <c r="E3" s="99"/>
      <c r="F3" s="99"/>
      <c r="G3" s="99"/>
      <c r="H3" s="99"/>
      <c r="I3" s="99"/>
      <c r="J3" s="99"/>
      <c r="K3" s="99"/>
      <c r="L3" s="99"/>
      <c r="M3" s="99"/>
      <c r="N3" s="99"/>
      <c r="O3" s="99"/>
      <c r="P3" s="99"/>
      <c r="Q3" s="99"/>
      <c r="R3" s="99"/>
      <c r="S3" s="99"/>
      <c r="T3" s="99"/>
      <c r="U3" s="99"/>
      <c r="V3" s="99"/>
      <c r="W3" s="99"/>
      <c r="X3" s="99"/>
      <c r="Y3" s="99"/>
      <c r="Z3" s="99"/>
    </row>
    <row r="4" spans="1:26" ht="18" customHeight="1" x14ac:dyDescent="0.15">
      <c r="A4" s="72" t="s">
        <v>99</v>
      </c>
      <c r="B4" s="99"/>
      <c r="C4" s="99"/>
      <c r="D4" s="99"/>
      <c r="E4" s="99"/>
      <c r="F4" s="99"/>
      <c r="G4" s="99"/>
      <c r="H4" s="100" t="s">
        <v>112</v>
      </c>
      <c r="I4" s="99"/>
      <c r="J4" s="99"/>
      <c r="K4" s="99"/>
      <c r="L4" s="99"/>
      <c r="M4" s="99"/>
      <c r="N4" s="99"/>
      <c r="O4" s="179" t="s">
        <v>168</v>
      </c>
      <c r="P4" s="180"/>
      <c r="Q4" s="180"/>
      <c r="R4" s="180"/>
      <c r="S4" s="180"/>
      <c r="T4" s="180"/>
      <c r="U4" s="180"/>
      <c r="V4" s="180"/>
      <c r="W4" s="180"/>
      <c r="X4" s="180"/>
      <c r="Y4" s="180"/>
      <c r="Z4" s="181"/>
    </row>
    <row r="5" spans="1:26" ht="6" customHeight="1" x14ac:dyDescent="0.15">
      <c r="B5" s="99"/>
      <c r="C5" s="99"/>
      <c r="D5" s="99"/>
      <c r="E5" s="99"/>
      <c r="F5" s="99"/>
      <c r="G5" s="99"/>
      <c r="H5" s="99"/>
      <c r="I5" s="99"/>
      <c r="J5" s="99"/>
      <c r="K5" s="99"/>
      <c r="L5" s="99"/>
      <c r="M5" s="99"/>
      <c r="N5" s="99"/>
      <c r="O5" s="101"/>
      <c r="P5" s="99"/>
      <c r="Q5" s="99"/>
      <c r="R5" s="99"/>
      <c r="S5" s="99"/>
      <c r="T5" s="99"/>
      <c r="U5" s="99"/>
      <c r="V5" s="99"/>
      <c r="W5" s="99"/>
      <c r="X5" s="99"/>
      <c r="Y5" s="99"/>
      <c r="Z5" s="99"/>
    </row>
    <row r="6" spans="1:26" ht="18" customHeight="1" x14ac:dyDescent="0.15">
      <c r="B6" s="231" t="s">
        <v>224</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6"/>
    </row>
    <row r="11" spans="1:26" ht="18" customHeight="1" x14ac:dyDescent="0.15">
      <c r="B11" s="238"/>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40"/>
    </row>
    <row r="12" spans="1:26" ht="7.5" customHeight="1" x14ac:dyDescent="0.15">
      <c r="B12" s="99"/>
      <c r="C12" s="99"/>
      <c r="D12" s="99"/>
      <c r="E12" s="99"/>
      <c r="F12" s="99"/>
      <c r="G12" s="99"/>
      <c r="H12" s="99"/>
      <c r="I12" s="99"/>
      <c r="J12" s="99"/>
      <c r="K12" s="99"/>
      <c r="L12" s="99"/>
      <c r="M12" s="99"/>
      <c r="N12" s="99"/>
      <c r="O12" s="99"/>
      <c r="P12" s="99"/>
      <c r="Q12" s="99"/>
      <c r="R12" s="99"/>
      <c r="S12" s="99"/>
      <c r="T12" s="99"/>
      <c r="U12" s="99"/>
      <c r="V12" s="99"/>
      <c r="W12" s="99"/>
      <c r="X12" s="99"/>
      <c r="Y12" s="99"/>
      <c r="Z12" s="99"/>
    </row>
    <row r="13" spans="1:26" ht="18" customHeight="1" x14ac:dyDescent="0.15">
      <c r="A13" s="229" t="s">
        <v>125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B15" s="179" t="s">
        <v>100</v>
      </c>
      <c r="C15" s="180"/>
      <c r="D15" s="180"/>
      <c r="E15" s="180"/>
      <c r="F15" s="181"/>
      <c r="G15" s="102" t="s">
        <v>141</v>
      </c>
      <c r="H15" s="103" t="s">
        <v>140</v>
      </c>
      <c r="I15" s="180" t="s">
        <v>101</v>
      </c>
      <c r="J15" s="180"/>
      <c r="K15" s="180"/>
      <c r="L15" s="104" t="s">
        <v>104</v>
      </c>
      <c r="M15" s="104" t="s">
        <v>107</v>
      </c>
      <c r="N15" s="179" t="s">
        <v>100</v>
      </c>
      <c r="O15" s="180"/>
      <c r="P15" s="180"/>
      <c r="Q15" s="180"/>
      <c r="R15" s="180"/>
      <c r="S15" s="181"/>
      <c r="T15" s="102" t="s">
        <v>141</v>
      </c>
      <c r="U15" s="103" t="s">
        <v>140</v>
      </c>
      <c r="V15" s="180" t="s">
        <v>101</v>
      </c>
      <c r="W15" s="180"/>
      <c r="X15" s="180"/>
      <c r="Y15" s="104" t="s">
        <v>104</v>
      </c>
      <c r="Z15" s="104" t="s">
        <v>107</v>
      </c>
    </row>
    <row r="16" spans="1:26" ht="18" customHeight="1" x14ac:dyDescent="0.15">
      <c r="B16" s="189" t="s">
        <v>188</v>
      </c>
      <c r="C16" s="190"/>
      <c r="D16" s="190"/>
      <c r="E16" s="190"/>
      <c r="F16" s="191"/>
      <c r="G16" s="105">
        <v>2</v>
      </c>
      <c r="H16" s="105" t="s">
        <v>191</v>
      </c>
      <c r="I16" s="195" t="s">
        <v>189</v>
      </c>
      <c r="J16" s="196"/>
      <c r="K16" s="197"/>
      <c r="L16" s="105" t="s">
        <v>191</v>
      </c>
      <c r="M16" s="105" t="s">
        <v>191</v>
      </c>
      <c r="N16" s="164"/>
      <c r="O16" s="165"/>
      <c r="P16" s="165"/>
      <c r="Q16" s="165"/>
      <c r="R16" s="165"/>
      <c r="S16" s="166"/>
      <c r="T16" s="105"/>
      <c r="U16" s="105"/>
      <c r="V16" s="195"/>
      <c r="W16" s="196"/>
      <c r="X16" s="197"/>
      <c r="Y16" s="105"/>
      <c r="Z16" s="105"/>
    </row>
    <row r="17" spans="1:26" ht="18" customHeight="1" x14ac:dyDescent="0.15">
      <c r="B17" s="182" t="s">
        <v>190</v>
      </c>
      <c r="C17" s="183"/>
      <c r="D17" s="183"/>
      <c r="E17" s="183"/>
      <c r="F17" s="184"/>
      <c r="G17" s="106">
        <v>2</v>
      </c>
      <c r="H17" s="106" t="s">
        <v>191</v>
      </c>
      <c r="I17" s="173" t="s">
        <v>189</v>
      </c>
      <c r="J17" s="174"/>
      <c r="K17" s="175"/>
      <c r="L17" s="106" t="s">
        <v>191</v>
      </c>
      <c r="M17" s="106" t="s">
        <v>191</v>
      </c>
      <c r="N17" s="167"/>
      <c r="O17" s="168"/>
      <c r="P17" s="168"/>
      <c r="Q17" s="168"/>
      <c r="R17" s="168"/>
      <c r="S17" s="169"/>
      <c r="T17" s="106"/>
      <c r="U17" s="106"/>
      <c r="V17" s="173"/>
      <c r="W17" s="174"/>
      <c r="X17" s="175"/>
      <c r="Y17" s="106"/>
      <c r="Z17" s="106"/>
    </row>
    <row r="18" spans="1:26" ht="18" customHeight="1" x14ac:dyDescent="0.15">
      <c r="B18" s="182" t="s">
        <v>204</v>
      </c>
      <c r="C18" s="183"/>
      <c r="D18" s="183"/>
      <c r="E18" s="183"/>
      <c r="F18" s="184"/>
      <c r="G18" s="106">
        <v>2</v>
      </c>
      <c r="H18" s="106" t="s">
        <v>191</v>
      </c>
      <c r="I18" s="173" t="s">
        <v>225</v>
      </c>
      <c r="J18" s="174"/>
      <c r="K18" s="175"/>
      <c r="L18" s="106"/>
      <c r="M18" s="106" t="s">
        <v>191</v>
      </c>
      <c r="N18" s="167"/>
      <c r="O18" s="168"/>
      <c r="P18" s="168"/>
      <c r="Q18" s="168"/>
      <c r="R18" s="168"/>
      <c r="S18" s="169"/>
      <c r="T18" s="106"/>
      <c r="U18" s="106"/>
      <c r="V18" s="173"/>
      <c r="W18" s="174"/>
      <c r="X18" s="175"/>
      <c r="Y18" s="106"/>
      <c r="Z18" s="106"/>
    </row>
    <row r="19" spans="1:26" ht="18" customHeight="1" x14ac:dyDescent="0.15">
      <c r="B19" s="182"/>
      <c r="C19" s="183"/>
      <c r="D19" s="183"/>
      <c r="E19" s="183"/>
      <c r="F19" s="184"/>
      <c r="G19" s="106"/>
      <c r="H19" s="106"/>
      <c r="I19" s="173"/>
      <c r="J19" s="174"/>
      <c r="K19" s="175"/>
      <c r="L19" s="106"/>
      <c r="M19" s="106"/>
      <c r="N19" s="167"/>
      <c r="O19" s="168"/>
      <c r="P19" s="168"/>
      <c r="Q19" s="168"/>
      <c r="R19" s="168"/>
      <c r="S19" s="169"/>
      <c r="T19" s="106"/>
      <c r="U19" s="106"/>
      <c r="V19" s="173"/>
      <c r="W19" s="174"/>
      <c r="X19" s="175"/>
      <c r="Y19" s="106"/>
      <c r="Z19" s="106"/>
    </row>
    <row r="20" spans="1:26" ht="18" customHeight="1" x14ac:dyDescent="0.15">
      <c r="B20" s="182"/>
      <c r="C20" s="183"/>
      <c r="D20" s="183"/>
      <c r="E20" s="183"/>
      <c r="F20" s="184"/>
      <c r="G20" s="106"/>
      <c r="H20" s="106"/>
      <c r="I20" s="173"/>
      <c r="J20" s="174"/>
      <c r="K20" s="175"/>
      <c r="L20" s="106"/>
      <c r="M20" s="106"/>
      <c r="N20" s="167"/>
      <c r="O20" s="168"/>
      <c r="P20" s="168"/>
      <c r="Q20" s="168"/>
      <c r="R20" s="168"/>
      <c r="S20" s="169"/>
      <c r="T20" s="106"/>
      <c r="U20" s="106"/>
      <c r="V20" s="173"/>
      <c r="W20" s="174"/>
      <c r="X20" s="175"/>
      <c r="Y20" s="106"/>
      <c r="Z20" s="106"/>
    </row>
    <row r="21" spans="1:26" ht="18" customHeight="1" x14ac:dyDescent="0.15">
      <c r="A21" s="99"/>
      <c r="B21" s="182"/>
      <c r="C21" s="183"/>
      <c r="D21" s="183"/>
      <c r="E21" s="183"/>
      <c r="F21" s="184"/>
      <c r="G21" s="106"/>
      <c r="H21" s="106"/>
      <c r="I21" s="173"/>
      <c r="J21" s="174"/>
      <c r="K21" s="175"/>
      <c r="L21" s="106"/>
      <c r="M21" s="106"/>
      <c r="N21" s="167"/>
      <c r="O21" s="168"/>
      <c r="P21" s="168"/>
      <c r="Q21" s="168"/>
      <c r="R21" s="168"/>
      <c r="S21" s="169"/>
      <c r="T21" s="106"/>
      <c r="U21" s="106"/>
      <c r="V21" s="173"/>
      <c r="W21" s="174"/>
      <c r="X21" s="175"/>
      <c r="Y21" s="106"/>
      <c r="Z21" s="106"/>
    </row>
    <row r="22" spans="1:26" ht="18" customHeight="1" x14ac:dyDescent="0.15">
      <c r="A22" s="99"/>
      <c r="B22" s="185"/>
      <c r="C22" s="186"/>
      <c r="D22" s="186"/>
      <c r="E22" s="186"/>
      <c r="F22" s="187"/>
      <c r="G22" s="107"/>
      <c r="H22" s="107"/>
      <c r="I22" s="176"/>
      <c r="J22" s="177"/>
      <c r="K22" s="178"/>
      <c r="L22" s="108"/>
      <c r="M22" s="108"/>
      <c r="N22" s="170"/>
      <c r="O22" s="171"/>
      <c r="P22" s="171"/>
      <c r="Q22" s="171"/>
      <c r="R22" s="171"/>
      <c r="S22" s="172"/>
      <c r="T22" s="107"/>
      <c r="U22" s="107"/>
      <c r="V22" s="176"/>
      <c r="W22" s="177"/>
      <c r="X22" s="178"/>
      <c r="Y22" s="108"/>
      <c r="Z22" s="108"/>
    </row>
    <row r="23" spans="1:26" ht="7.5" customHeight="1" x14ac:dyDescent="0.15">
      <c r="A23" s="99"/>
      <c r="B23" s="109"/>
      <c r="C23" s="109"/>
      <c r="D23" s="99"/>
      <c r="E23" s="99"/>
      <c r="F23" s="99"/>
      <c r="G23" s="99"/>
      <c r="H23" s="99"/>
      <c r="I23" s="99"/>
      <c r="J23" s="99"/>
      <c r="K23" s="99"/>
      <c r="L23" s="109"/>
      <c r="M23" s="109"/>
      <c r="N23" s="109"/>
      <c r="O23" s="109"/>
      <c r="P23" s="109"/>
      <c r="Q23" s="109"/>
      <c r="R23" s="109"/>
      <c r="S23" s="109"/>
      <c r="T23" s="109"/>
      <c r="U23" s="109"/>
      <c r="V23" s="109"/>
      <c r="W23" s="109"/>
      <c r="X23" s="109"/>
      <c r="Y23" s="109"/>
      <c r="Z23" s="99"/>
    </row>
    <row r="24" spans="1:26" ht="18" customHeight="1" x14ac:dyDescent="0.15">
      <c r="A24" s="229" t="s">
        <v>126</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B26" s="179" t="s">
        <v>100</v>
      </c>
      <c r="C26" s="180"/>
      <c r="D26" s="180"/>
      <c r="E26" s="180"/>
      <c r="F26" s="181"/>
      <c r="G26" s="102" t="s">
        <v>141</v>
      </c>
      <c r="H26" s="103" t="s">
        <v>140</v>
      </c>
      <c r="I26" s="180" t="s">
        <v>101</v>
      </c>
      <c r="J26" s="180"/>
      <c r="K26" s="180"/>
      <c r="L26" s="104" t="s">
        <v>127</v>
      </c>
      <c r="M26" s="104" t="s">
        <v>128</v>
      </c>
      <c r="N26" s="179" t="s">
        <v>100</v>
      </c>
      <c r="O26" s="180"/>
      <c r="P26" s="180"/>
      <c r="Q26" s="180"/>
      <c r="R26" s="180"/>
      <c r="S26" s="181"/>
      <c r="T26" s="102" t="s">
        <v>141</v>
      </c>
      <c r="U26" s="103" t="s">
        <v>140</v>
      </c>
      <c r="V26" s="180" t="s">
        <v>101</v>
      </c>
      <c r="W26" s="180"/>
      <c r="X26" s="180"/>
      <c r="Y26" s="104" t="s">
        <v>127</v>
      </c>
      <c r="Z26" s="104" t="s">
        <v>128</v>
      </c>
    </row>
    <row r="27" spans="1:26" ht="18" customHeight="1" x14ac:dyDescent="0.15">
      <c r="B27" s="189" t="s">
        <v>205</v>
      </c>
      <c r="C27" s="190"/>
      <c r="D27" s="190"/>
      <c r="E27" s="190"/>
      <c r="F27" s="191"/>
      <c r="G27" s="105">
        <v>2</v>
      </c>
      <c r="H27" s="105" t="s">
        <v>191</v>
      </c>
      <c r="I27" s="195" t="s">
        <v>225</v>
      </c>
      <c r="J27" s="196"/>
      <c r="K27" s="197"/>
      <c r="L27" s="105" t="s">
        <v>191</v>
      </c>
      <c r="M27" s="105" t="s">
        <v>191</v>
      </c>
      <c r="N27" s="164"/>
      <c r="O27" s="165"/>
      <c r="P27" s="165"/>
      <c r="Q27" s="165"/>
      <c r="R27" s="165"/>
      <c r="S27" s="166"/>
      <c r="T27" s="105"/>
      <c r="U27" s="105"/>
      <c r="V27" s="195"/>
      <c r="W27" s="196"/>
      <c r="X27" s="197"/>
      <c r="Y27" s="105"/>
      <c r="Z27" s="105"/>
    </row>
    <row r="28" spans="1:26" ht="18" customHeight="1" x14ac:dyDescent="0.15">
      <c r="B28" s="182" t="s">
        <v>206</v>
      </c>
      <c r="C28" s="183"/>
      <c r="D28" s="183"/>
      <c r="E28" s="183"/>
      <c r="F28" s="184"/>
      <c r="G28" s="106">
        <v>2</v>
      </c>
      <c r="H28" s="106" t="s">
        <v>191</v>
      </c>
      <c r="I28" s="173" t="s">
        <v>225</v>
      </c>
      <c r="J28" s="174"/>
      <c r="K28" s="175"/>
      <c r="L28" s="106" t="s">
        <v>191</v>
      </c>
      <c r="M28" s="106" t="s">
        <v>191</v>
      </c>
      <c r="N28" s="167"/>
      <c r="O28" s="168"/>
      <c r="P28" s="168"/>
      <c r="Q28" s="168"/>
      <c r="R28" s="168"/>
      <c r="S28" s="169"/>
      <c r="T28" s="106"/>
      <c r="U28" s="106"/>
      <c r="V28" s="173"/>
      <c r="W28" s="174"/>
      <c r="X28" s="175"/>
      <c r="Y28" s="106"/>
      <c r="Z28" s="106"/>
    </row>
    <row r="29" spans="1:26" ht="18" customHeight="1" x14ac:dyDescent="0.15">
      <c r="B29" s="182" t="s">
        <v>204</v>
      </c>
      <c r="C29" s="183"/>
      <c r="D29" s="183"/>
      <c r="E29" s="183"/>
      <c r="F29" s="184"/>
      <c r="G29" s="106">
        <v>2</v>
      </c>
      <c r="H29" s="106" t="s">
        <v>191</v>
      </c>
      <c r="I29" s="173" t="s">
        <v>225</v>
      </c>
      <c r="J29" s="174"/>
      <c r="K29" s="175"/>
      <c r="L29" s="106" t="s">
        <v>191</v>
      </c>
      <c r="M29" s="106" t="s">
        <v>191</v>
      </c>
      <c r="N29" s="167"/>
      <c r="O29" s="168"/>
      <c r="P29" s="168"/>
      <c r="Q29" s="168"/>
      <c r="R29" s="168"/>
      <c r="S29" s="169"/>
      <c r="T29" s="106"/>
      <c r="U29" s="106"/>
      <c r="V29" s="173"/>
      <c r="W29" s="174"/>
      <c r="X29" s="175"/>
      <c r="Y29" s="106"/>
      <c r="Z29" s="106"/>
    </row>
    <row r="30" spans="1:26" ht="18" customHeight="1" x14ac:dyDescent="0.15">
      <c r="B30" s="182"/>
      <c r="C30" s="183"/>
      <c r="D30" s="183"/>
      <c r="E30" s="183"/>
      <c r="F30" s="184"/>
      <c r="G30" s="106"/>
      <c r="H30" s="106"/>
      <c r="I30" s="173"/>
      <c r="J30" s="174"/>
      <c r="K30" s="175"/>
      <c r="L30" s="106"/>
      <c r="M30" s="106"/>
      <c r="N30" s="167"/>
      <c r="O30" s="168"/>
      <c r="P30" s="168"/>
      <c r="Q30" s="168"/>
      <c r="R30" s="168"/>
      <c r="S30" s="169"/>
      <c r="T30" s="106"/>
      <c r="U30" s="106"/>
      <c r="V30" s="173"/>
      <c r="W30" s="174"/>
      <c r="X30" s="175"/>
      <c r="Y30" s="106"/>
      <c r="Z30" s="106"/>
    </row>
    <row r="31" spans="1:26" ht="18" customHeight="1" x14ac:dyDescent="0.15">
      <c r="B31" s="182"/>
      <c r="C31" s="183"/>
      <c r="D31" s="183"/>
      <c r="E31" s="183"/>
      <c r="F31" s="184"/>
      <c r="G31" s="106"/>
      <c r="H31" s="106"/>
      <c r="I31" s="173"/>
      <c r="J31" s="174"/>
      <c r="K31" s="175"/>
      <c r="L31" s="106"/>
      <c r="M31" s="106"/>
      <c r="N31" s="167"/>
      <c r="O31" s="168"/>
      <c r="P31" s="168"/>
      <c r="Q31" s="168"/>
      <c r="R31" s="168"/>
      <c r="S31" s="169"/>
      <c r="T31" s="106"/>
      <c r="U31" s="106"/>
      <c r="V31" s="173"/>
      <c r="W31" s="174"/>
      <c r="X31" s="175"/>
      <c r="Y31" s="106"/>
      <c r="Z31" s="106"/>
    </row>
    <row r="32" spans="1:26" ht="18" customHeight="1" x14ac:dyDescent="0.15">
      <c r="B32" s="182"/>
      <c r="C32" s="183"/>
      <c r="D32" s="183"/>
      <c r="E32" s="183"/>
      <c r="F32" s="184"/>
      <c r="G32" s="106"/>
      <c r="H32" s="106"/>
      <c r="I32" s="173"/>
      <c r="J32" s="174"/>
      <c r="K32" s="175"/>
      <c r="L32" s="106"/>
      <c r="M32" s="106"/>
      <c r="N32" s="167"/>
      <c r="O32" s="168"/>
      <c r="P32" s="168"/>
      <c r="Q32" s="168"/>
      <c r="R32" s="168"/>
      <c r="S32" s="169"/>
      <c r="T32" s="106"/>
      <c r="U32" s="106"/>
      <c r="V32" s="173"/>
      <c r="W32" s="174"/>
      <c r="X32" s="175"/>
      <c r="Y32" s="106"/>
      <c r="Z32" s="106"/>
    </row>
    <row r="33" spans="1:26" ht="18" customHeight="1" x14ac:dyDescent="0.15">
      <c r="B33" s="185"/>
      <c r="C33" s="186"/>
      <c r="D33" s="186"/>
      <c r="E33" s="186"/>
      <c r="F33" s="187"/>
      <c r="G33" s="107"/>
      <c r="H33" s="107"/>
      <c r="I33" s="176"/>
      <c r="J33" s="177"/>
      <c r="K33" s="178"/>
      <c r="L33" s="108"/>
      <c r="M33" s="108"/>
      <c r="N33" s="170"/>
      <c r="O33" s="171"/>
      <c r="P33" s="171"/>
      <c r="Q33" s="171"/>
      <c r="R33" s="171"/>
      <c r="S33" s="172"/>
      <c r="T33" s="107"/>
      <c r="U33" s="107"/>
      <c r="V33" s="176"/>
      <c r="W33" s="177"/>
      <c r="X33" s="178"/>
      <c r="Y33" s="108"/>
      <c r="Z33" s="108"/>
    </row>
    <row r="34" spans="1:26" ht="7.5" customHeight="1" x14ac:dyDescent="0.15">
      <c r="A34" s="99"/>
      <c r="B34" s="109"/>
      <c r="C34" s="109"/>
      <c r="D34" s="99"/>
      <c r="E34" s="99"/>
      <c r="F34" s="99"/>
      <c r="G34" s="99"/>
      <c r="H34" s="99"/>
      <c r="I34" s="99"/>
      <c r="J34" s="99"/>
      <c r="K34" s="99"/>
      <c r="L34" s="109"/>
      <c r="M34" s="109"/>
      <c r="N34" s="109"/>
      <c r="O34" s="109"/>
      <c r="P34" s="109"/>
      <c r="Q34" s="109"/>
      <c r="R34" s="109"/>
      <c r="S34" s="109"/>
      <c r="T34" s="109"/>
      <c r="U34" s="109"/>
      <c r="V34" s="109"/>
      <c r="W34" s="109"/>
      <c r="X34" s="109"/>
      <c r="Y34" s="109"/>
      <c r="Z34" s="99"/>
    </row>
    <row r="35" spans="1:26" ht="18" customHeight="1" x14ac:dyDescent="0.15">
      <c r="A35" s="229" t="s">
        <v>129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B37" s="179" t="s">
        <v>100</v>
      </c>
      <c r="C37" s="180"/>
      <c r="D37" s="180"/>
      <c r="E37" s="180"/>
      <c r="F37" s="181"/>
      <c r="G37" s="102" t="s">
        <v>141</v>
      </c>
      <c r="H37" s="103" t="s">
        <v>140</v>
      </c>
      <c r="I37" s="179" t="s">
        <v>101</v>
      </c>
      <c r="J37" s="180"/>
      <c r="K37" s="181"/>
      <c r="L37" s="104" t="s">
        <v>130</v>
      </c>
      <c r="M37" s="104" t="s">
        <v>131</v>
      </c>
      <c r="N37" s="179" t="s">
        <v>100</v>
      </c>
      <c r="O37" s="180"/>
      <c r="P37" s="180"/>
      <c r="Q37" s="180"/>
      <c r="R37" s="180"/>
      <c r="S37" s="181"/>
      <c r="T37" s="102" t="s">
        <v>141</v>
      </c>
      <c r="U37" s="103" t="s">
        <v>140</v>
      </c>
      <c r="V37" s="179" t="s">
        <v>101</v>
      </c>
      <c r="W37" s="180"/>
      <c r="X37" s="181"/>
      <c r="Y37" s="104" t="s">
        <v>130</v>
      </c>
      <c r="Z37" s="104" t="s">
        <v>131</v>
      </c>
    </row>
    <row r="38" spans="1:26" ht="18" customHeight="1" x14ac:dyDescent="0.15">
      <c r="A38" s="99"/>
      <c r="B38" s="189" t="s">
        <v>188</v>
      </c>
      <c r="C38" s="190"/>
      <c r="D38" s="190"/>
      <c r="E38" s="190"/>
      <c r="F38" s="191"/>
      <c r="G38" s="105">
        <v>2</v>
      </c>
      <c r="H38" s="105" t="s">
        <v>191</v>
      </c>
      <c r="I38" s="195" t="s">
        <v>189</v>
      </c>
      <c r="J38" s="196"/>
      <c r="K38" s="197"/>
      <c r="L38" s="105" t="s">
        <v>191</v>
      </c>
      <c r="M38" s="105" t="s">
        <v>191</v>
      </c>
      <c r="N38" s="164"/>
      <c r="O38" s="165"/>
      <c r="P38" s="165"/>
      <c r="Q38" s="165"/>
      <c r="R38" s="165"/>
      <c r="S38" s="166"/>
      <c r="T38" s="105"/>
      <c r="U38" s="105"/>
      <c r="V38" s="195"/>
      <c r="W38" s="196"/>
      <c r="X38" s="197"/>
      <c r="Y38" s="105"/>
      <c r="Z38" s="105"/>
    </row>
    <row r="39" spans="1:26" ht="18" customHeight="1" x14ac:dyDescent="0.15">
      <c r="A39" s="99"/>
      <c r="B39" s="182" t="s">
        <v>190</v>
      </c>
      <c r="C39" s="183"/>
      <c r="D39" s="183"/>
      <c r="E39" s="183"/>
      <c r="F39" s="184"/>
      <c r="G39" s="106">
        <v>2</v>
      </c>
      <c r="H39" s="106" t="s">
        <v>191</v>
      </c>
      <c r="I39" s="173" t="s">
        <v>189</v>
      </c>
      <c r="J39" s="174"/>
      <c r="K39" s="175"/>
      <c r="L39" s="106" t="s">
        <v>191</v>
      </c>
      <c r="M39" s="106" t="s">
        <v>191</v>
      </c>
      <c r="N39" s="167"/>
      <c r="O39" s="168"/>
      <c r="P39" s="168"/>
      <c r="Q39" s="168"/>
      <c r="R39" s="168"/>
      <c r="S39" s="169"/>
      <c r="T39" s="106"/>
      <c r="U39" s="106"/>
      <c r="V39" s="173"/>
      <c r="W39" s="174"/>
      <c r="X39" s="175"/>
      <c r="Y39" s="106"/>
      <c r="Z39" s="106"/>
    </row>
    <row r="40" spans="1:26" ht="18" customHeight="1" x14ac:dyDescent="0.15">
      <c r="A40" s="99"/>
      <c r="B40" s="182"/>
      <c r="C40" s="183"/>
      <c r="D40" s="183"/>
      <c r="E40" s="183"/>
      <c r="F40" s="184"/>
      <c r="G40" s="106"/>
      <c r="H40" s="106"/>
      <c r="I40" s="173"/>
      <c r="J40" s="174"/>
      <c r="K40" s="175"/>
      <c r="L40" s="106"/>
      <c r="M40" s="106"/>
      <c r="N40" s="167"/>
      <c r="O40" s="168"/>
      <c r="P40" s="168"/>
      <c r="Q40" s="168"/>
      <c r="R40" s="168"/>
      <c r="S40" s="169"/>
      <c r="T40" s="106"/>
      <c r="U40" s="106"/>
      <c r="V40" s="173"/>
      <c r="W40" s="174"/>
      <c r="X40" s="175"/>
      <c r="Y40" s="106"/>
      <c r="Z40" s="106"/>
    </row>
    <row r="41" spans="1:26" ht="18" customHeight="1" x14ac:dyDescent="0.15">
      <c r="A41" s="99"/>
      <c r="B41" s="182"/>
      <c r="C41" s="183"/>
      <c r="D41" s="183"/>
      <c r="E41" s="183"/>
      <c r="F41" s="184"/>
      <c r="G41" s="106"/>
      <c r="H41" s="106"/>
      <c r="I41" s="173"/>
      <c r="J41" s="174"/>
      <c r="K41" s="175"/>
      <c r="L41" s="106"/>
      <c r="M41" s="106"/>
      <c r="N41" s="167"/>
      <c r="O41" s="168"/>
      <c r="P41" s="168"/>
      <c r="Q41" s="168"/>
      <c r="R41" s="168"/>
      <c r="S41" s="169"/>
      <c r="T41" s="106"/>
      <c r="U41" s="106"/>
      <c r="V41" s="173"/>
      <c r="W41" s="174"/>
      <c r="X41" s="175"/>
      <c r="Y41" s="106"/>
      <c r="Z41" s="106"/>
    </row>
    <row r="42" spans="1:26" ht="18" customHeight="1" x14ac:dyDescent="0.15">
      <c r="A42" s="99"/>
      <c r="B42" s="182"/>
      <c r="C42" s="183"/>
      <c r="D42" s="183"/>
      <c r="E42" s="183"/>
      <c r="F42" s="184"/>
      <c r="G42" s="106"/>
      <c r="H42" s="106"/>
      <c r="I42" s="173"/>
      <c r="J42" s="174"/>
      <c r="K42" s="175"/>
      <c r="L42" s="106"/>
      <c r="M42" s="106"/>
      <c r="N42" s="167"/>
      <c r="O42" s="168"/>
      <c r="P42" s="168"/>
      <c r="Q42" s="168"/>
      <c r="R42" s="168"/>
      <c r="S42" s="169"/>
      <c r="T42" s="106"/>
      <c r="U42" s="106"/>
      <c r="V42" s="173"/>
      <c r="W42" s="174"/>
      <c r="X42" s="175"/>
      <c r="Y42" s="106"/>
      <c r="Z42" s="106"/>
    </row>
    <row r="43" spans="1:26" ht="18" customHeight="1" x14ac:dyDescent="0.15">
      <c r="A43" s="99"/>
      <c r="B43" s="182"/>
      <c r="C43" s="183"/>
      <c r="D43" s="183"/>
      <c r="E43" s="183"/>
      <c r="F43" s="184"/>
      <c r="G43" s="106"/>
      <c r="H43" s="106"/>
      <c r="I43" s="173"/>
      <c r="J43" s="174"/>
      <c r="K43" s="175"/>
      <c r="L43" s="106"/>
      <c r="M43" s="106"/>
      <c r="N43" s="167"/>
      <c r="O43" s="168"/>
      <c r="P43" s="168"/>
      <c r="Q43" s="168"/>
      <c r="R43" s="168"/>
      <c r="S43" s="169"/>
      <c r="T43" s="106"/>
      <c r="U43" s="106"/>
      <c r="V43" s="173"/>
      <c r="W43" s="174"/>
      <c r="X43" s="175"/>
      <c r="Y43" s="106"/>
      <c r="Z43" s="106"/>
    </row>
    <row r="44" spans="1:26" ht="18" customHeight="1" x14ac:dyDescent="0.15">
      <c r="A44" s="99"/>
      <c r="B44" s="185"/>
      <c r="C44" s="186"/>
      <c r="D44" s="186"/>
      <c r="E44" s="186"/>
      <c r="F44" s="187"/>
      <c r="G44" s="107"/>
      <c r="H44" s="107"/>
      <c r="I44" s="176"/>
      <c r="J44" s="177"/>
      <c r="K44" s="178"/>
      <c r="L44" s="108"/>
      <c r="M44" s="108"/>
      <c r="N44" s="170"/>
      <c r="O44" s="171"/>
      <c r="P44" s="171"/>
      <c r="Q44" s="171"/>
      <c r="R44" s="171"/>
      <c r="S44" s="172"/>
      <c r="T44" s="107"/>
      <c r="U44" s="107"/>
      <c r="V44" s="176"/>
      <c r="W44" s="177"/>
      <c r="X44" s="178"/>
      <c r="Y44" s="108"/>
      <c r="Z44" s="108"/>
    </row>
    <row r="45" spans="1:26" ht="7.5" customHeight="1" x14ac:dyDescent="0.15">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6" ht="18" customHeight="1" x14ac:dyDescent="0.15">
      <c r="A46" s="229" t="s">
        <v>132</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B48" s="179" t="s">
        <v>100</v>
      </c>
      <c r="C48" s="180"/>
      <c r="D48" s="180"/>
      <c r="E48" s="180"/>
      <c r="F48" s="181"/>
      <c r="G48" s="102" t="s">
        <v>141</v>
      </c>
      <c r="H48" s="103" t="s">
        <v>140</v>
      </c>
      <c r="I48" s="179" t="s">
        <v>101</v>
      </c>
      <c r="J48" s="180"/>
      <c r="K48" s="181"/>
      <c r="L48" s="104" t="s">
        <v>106</v>
      </c>
      <c r="M48" s="104" t="s">
        <v>108</v>
      </c>
      <c r="N48" s="179" t="s">
        <v>100</v>
      </c>
      <c r="O48" s="180"/>
      <c r="P48" s="180"/>
      <c r="Q48" s="180"/>
      <c r="R48" s="180"/>
      <c r="S48" s="181"/>
      <c r="T48" s="102" t="s">
        <v>141</v>
      </c>
      <c r="U48" s="103" t="s">
        <v>140</v>
      </c>
      <c r="V48" s="179" t="s">
        <v>101</v>
      </c>
      <c r="W48" s="180"/>
      <c r="X48" s="181"/>
      <c r="Y48" s="104" t="s">
        <v>106</v>
      </c>
      <c r="Z48" s="104" t="s">
        <v>108</v>
      </c>
    </row>
    <row r="49" spans="1:26" ht="18" customHeight="1" x14ac:dyDescent="0.15">
      <c r="A49" s="99"/>
      <c r="B49" s="189" t="s">
        <v>188</v>
      </c>
      <c r="C49" s="190"/>
      <c r="D49" s="190"/>
      <c r="E49" s="190"/>
      <c r="F49" s="191"/>
      <c r="G49" s="105">
        <v>2</v>
      </c>
      <c r="H49" s="105" t="s">
        <v>191</v>
      </c>
      <c r="I49" s="195" t="s">
        <v>189</v>
      </c>
      <c r="J49" s="196"/>
      <c r="K49" s="197"/>
      <c r="L49" s="105" t="s">
        <v>191</v>
      </c>
      <c r="M49" s="105" t="s">
        <v>191</v>
      </c>
      <c r="N49" s="164"/>
      <c r="O49" s="165"/>
      <c r="P49" s="165"/>
      <c r="Q49" s="165"/>
      <c r="R49" s="165"/>
      <c r="S49" s="166"/>
      <c r="T49" s="105"/>
      <c r="U49" s="105"/>
      <c r="V49" s="195"/>
      <c r="W49" s="196"/>
      <c r="X49" s="197"/>
      <c r="Y49" s="105"/>
      <c r="Z49" s="105"/>
    </row>
    <row r="50" spans="1:26" ht="18" customHeight="1" x14ac:dyDescent="0.15">
      <c r="A50" s="99"/>
      <c r="B50" s="228" t="s">
        <v>190</v>
      </c>
      <c r="C50" s="217"/>
      <c r="D50" s="217"/>
      <c r="E50" s="217"/>
      <c r="F50" s="218"/>
      <c r="G50" s="111">
        <v>2</v>
      </c>
      <c r="H50" s="111" t="s">
        <v>191</v>
      </c>
      <c r="I50" s="225" t="s">
        <v>189</v>
      </c>
      <c r="J50" s="226"/>
      <c r="K50" s="227"/>
      <c r="L50" s="111" t="s">
        <v>191</v>
      </c>
      <c r="M50" s="111" t="s">
        <v>191</v>
      </c>
      <c r="N50" s="167"/>
      <c r="O50" s="168"/>
      <c r="P50" s="168"/>
      <c r="Q50" s="168"/>
      <c r="R50" s="168"/>
      <c r="S50" s="169"/>
      <c r="T50" s="106"/>
      <c r="U50" s="106"/>
      <c r="V50" s="173"/>
      <c r="W50" s="174"/>
      <c r="X50" s="175"/>
      <c r="Y50" s="106"/>
      <c r="Z50" s="106"/>
    </row>
    <row r="51" spans="1:26" ht="18" customHeight="1" x14ac:dyDescent="0.15">
      <c r="A51" s="99"/>
      <c r="B51" s="182" t="s">
        <v>205</v>
      </c>
      <c r="C51" s="183"/>
      <c r="D51" s="183"/>
      <c r="E51" s="183"/>
      <c r="F51" s="184"/>
      <c r="G51" s="106">
        <v>2</v>
      </c>
      <c r="H51" s="106" t="s">
        <v>191</v>
      </c>
      <c r="I51" s="173" t="s">
        <v>225</v>
      </c>
      <c r="J51" s="174"/>
      <c r="K51" s="175"/>
      <c r="L51" s="106" t="s">
        <v>191</v>
      </c>
      <c r="M51" s="106" t="s">
        <v>191</v>
      </c>
      <c r="N51" s="167"/>
      <c r="O51" s="168"/>
      <c r="P51" s="168"/>
      <c r="Q51" s="168"/>
      <c r="R51" s="168"/>
      <c r="S51" s="169"/>
      <c r="T51" s="106"/>
      <c r="U51" s="106"/>
      <c r="V51" s="173"/>
      <c r="W51" s="174"/>
      <c r="X51" s="175"/>
      <c r="Y51" s="106"/>
      <c r="Z51" s="106"/>
    </row>
    <row r="52" spans="1:26" ht="18" customHeight="1" x14ac:dyDescent="0.15">
      <c r="A52" s="99"/>
      <c r="B52" s="182" t="s">
        <v>206</v>
      </c>
      <c r="C52" s="183"/>
      <c r="D52" s="183"/>
      <c r="E52" s="183"/>
      <c r="F52" s="184"/>
      <c r="G52" s="106">
        <v>2</v>
      </c>
      <c r="H52" s="106" t="s">
        <v>191</v>
      </c>
      <c r="I52" s="173" t="s">
        <v>225</v>
      </c>
      <c r="J52" s="174"/>
      <c r="K52" s="175"/>
      <c r="L52" s="106" t="s">
        <v>191</v>
      </c>
      <c r="M52" s="106" t="s">
        <v>191</v>
      </c>
      <c r="N52" s="167"/>
      <c r="O52" s="168"/>
      <c r="P52" s="168"/>
      <c r="Q52" s="168"/>
      <c r="R52" s="168"/>
      <c r="S52" s="169"/>
      <c r="T52" s="106"/>
      <c r="U52" s="106"/>
      <c r="V52" s="173"/>
      <c r="W52" s="174"/>
      <c r="X52" s="175"/>
      <c r="Y52" s="106"/>
      <c r="Z52" s="106"/>
    </row>
    <row r="53" spans="1:26" ht="18" customHeight="1" x14ac:dyDescent="0.15">
      <c r="A53" s="99"/>
      <c r="B53" s="182" t="s">
        <v>204</v>
      </c>
      <c r="C53" s="183"/>
      <c r="D53" s="183"/>
      <c r="E53" s="183"/>
      <c r="F53" s="184"/>
      <c r="G53" s="106">
        <v>2</v>
      </c>
      <c r="H53" s="106" t="s">
        <v>191</v>
      </c>
      <c r="I53" s="173" t="s">
        <v>225</v>
      </c>
      <c r="J53" s="174"/>
      <c r="K53" s="175"/>
      <c r="L53" s="106" t="s">
        <v>191</v>
      </c>
      <c r="M53" s="106" t="s">
        <v>191</v>
      </c>
      <c r="N53" s="167"/>
      <c r="O53" s="168"/>
      <c r="P53" s="168"/>
      <c r="Q53" s="168"/>
      <c r="R53" s="168"/>
      <c r="S53" s="169"/>
      <c r="T53" s="106"/>
      <c r="U53" s="106"/>
      <c r="V53" s="173"/>
      <c r="W53" s="174"/>
      <c r="X53" s="175"/>
      <c r="Y53" s="106"/>
      <c r="Z53" s="106"/>
    </row>
    <row r="54" spans="1:26" ht="18" customHeight="1" x14ac:dyDescent="0.15">
      <c r="A54" s="99"/>
      <c r="B54" s="182"/>
      <c r="C54" s="183"/>
      <c r="D54" s="183"/>
      <c r="E54" s="183"/>
      <c r="F54" s="184"/>
      <c r="G54" s="106"/>
      <c r="H54" s="106"/>
      <c r="I54" s="173"/>
      <c r="J54" s="174"/>
      <c r="K54" s="175"/>
      <c r="L54" s="106"/>
      <c r="M54" s="106"/>
      <c r="N54" s="167"/>
      <c r="O54" s="168"/>
      <c r="P54" s="168"/>
      <c r="Q54" s="168"/>
      <c r="R54" s="168"/>
      <c r="S54" s="169"/>
      <c r="T54" s="106"/>
      <c r="U54" s="106"/>
      <c r="V54" s="173"/>
      <c r="W54" s="174"/>
      <c r="X54" s="175"/>
      <c r="Y54" s="106"/>
      <c r="Z54" s="106"/>
    </row>
    <row r="55" spans="1:26" ht="18" customHeight="1" x14ac:dyDescent="0.15">
      <c r="A55" s="99"/>
      <c r="B55" s="185"/>
      <c r="C55" s="186"/>
      <c r="D55" s="186"/>
      <c r="E55" s="186"/>
      <c r="F55" s="187"/>
      <c r="G55" s="107"/>
      <c r="H55" s="107"/>
      <c r="I55" s="176"/>
      <c r="J55" s="177"/>
      <c r="K55" s="178"/>
      <c r="L55" s="108"/>
      <c r="M55" s="108"/>
      <c r="N55" s="170"/>
      <c r="O55" s="171"/>
      <c r="P55" s="171"/>
      <c r="Q55" s="171"/>
      <c r="R55" s="171"/>
      <c r="S55" s="172"/>
      <c r="T55" s="107"/>
      <c r="U55" s="107"/>
      <c r="V55" s="176"/>
      <c r="W55" s="177"/>
      <c r="X55" s="178"/>
      <c r="Y55" s="108"/>
      <c r="Z55" s="108"/>
    </row>
    <row r="56" spans="1:26" ht="7.5" customHeight="1" x14ac:dyDescent="0.15">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6" ht="18" customHeight="1" x14ac:dyDescent="0.15">
      <c r="A57" s="229" t="s">
        <v>133</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B59" s="179" t="s">
        <v>100</v>
      </c>
      <c r="C59" s="180"/>
      <c r="D59" s="180"/>
      <c r="E59" s="181"/>
      <c r="F59" s="102" t="s">
        <v>141</v>
      </c>
      <c r="G59" s="103" t="s">
        <v>140</v>
      </c>
      <c r="H59" s="112" t="s">
        <v>101</v>
      </c>
      <c r="I59" s="113"/>
      <c r="J59" s="114"/>
      <c r="K59" s="104" t="s">
        <v>105</v>
      </c>
      <c r="L59" s="104" t="s">
        <v>134</v>
      </c>
      <c r="M59" s="104" t="s">
        <v>135</v>
      </c>
      <c r="N59" s="179" t="s">
        <v>100</v>
      </c>
      <c r="O59" s="180"/>
      <c r="P59" s="180"/>
      <c r="Q59" s="180"/>
      <c r="R59" s="181"/>
      <c r="S59" s="102" t="s">
        <v>141</v>
      </c>
      <c r="T59" s="103" t="s">
        <v>140</v>
      </c>
      <c r="U59" s="112" t="s">
        <v>101</v>
      </c>
      <c r="V59" s="113"/>
      <c r="W59" s="114"/>
      <c r="X59" s="104" t="s">
        <v>105</v>
      </c>
      <c r="Y59" s="104" t="s">
        <v>134</v>
      </c>
      <c r="Z59" s="104" t="s">
        <v>135</v>
      </c>
    </row>
    <row r="60" spans="1:26" ht="18" customHeight="1" x14ac:dyDescent="0.15">
      <c r="A60" s="99"/>
      <c r="B60" s="164" t="s">
        <v>207</v>
      </c>
      <c r="C60" s="165"/>
      <c r="D60" s="165"/>
      <c r="E60" s="166"/>
      <c r="F60" s="105">
        <v>1.5</v>
      </c>
      <c r="G60" s="105" t="s">
        <v>191</v>
      </c>
      <c r="H60" s="195" t="s">
        <v>225</v>
      </c>
      <c r="I60" s="196"/>
      <c r="J60" s="197"/>
      <c r="K60" s="123" t="s">
        <v>191</v>
      </c>
      <c r="L60" s="123" t="s">
        <v>191</v>
      </c>
      <c r="M60" s="123" t="s">
        <v>191</v>
      </c>
      <c r="N60" s="164"/>
      <c r="O60" s="165"/>
      <c r="P60" s="165"/>
      <c r="Q60" s="165"/>
      <c r="R60" s="166"/>
      <c r="S60" s="105"/>
      <c r="T60" s="105"/>
      <c r="U60" s="195"/>
      <c r="V60" s="196"/>
      <c r="W60" s="197"/>
      <c r="X60" s="124"/>
      <c r="Y60" s="105"/>
      <c r="Z60" s="105"/>
    </row>
    <row r="61" spans="1:26" ht="18" customHeight="1" x14ac:dyDescent="0.15">
      <c r="A61" s="99"/>
      <c r="B61" s="167" t="s">
        <v>208</v>
      </c>
      <c r="C61" s="168"/>
      <c r="D61" s="168"/>
      <c r="E61" s="169"/>
      <c r="F61" s="106">
        <v>1.5</v>
      </c>
      <c r="G61" s="106" t="s">
        <v>191</v>
      </c>
      <c r="H61" s="173" t="s">
        <v>225</v>
      </c>
      <c r="I61" s="174"/>
      <c r="J61" s="175"/>
      <c r="K61" s="106" t="s">
        <v>191</v>
      </c>
      <c r="L61" s="106" t="s">
        <v>191</v>
      </c>
      <c r="M61" s="106" t="s">
        <v>191</v>
      </c>
      <c r="N61" s="167"/>
      <c r="O61" s="168"/>
      <c r="P61" s="168"/>
      <c r="Q61" s="168"/>
      <c r="R61" s="169"/>
      <c r="S61" s="106"/>
      <c r="T61" s="106"/>
      <c r="U61" s="173"/>
      <c r="V61" s="174"/>
      <c r="W61" s="175"/>
      <c r="X61" s="125"/>
      <c r="Y61" s="106"/>
      <c r="Z61" s="106"/>
    </row>
    <row r="62" spans="1:26" ht="18" customHeight="1" x14ac:dyDescent="0.15">
      <c r="A62" s="99"/>
      <c r="B62" s="167"/>
      <c r="C62" s="168"/>
      <c r="D62" s="168"/>
      <c r="E62" s="169"/>
      <c r="F62" s="106"/>
      <c r="G62" s="106"/>
      <c r="H62" s="173"/>
      <c r="I62" s="174"/>
      <c r="J62" s="175"/>
      <c r="K62" s="125"/>
      <c r="L62" s="106"/>
      <c r="M62" s="106"/>
      <c r="N62" s="167"/>
      <c r="O62" s="168"/>
      <c r="P62" s="168"/>
      <c r="Q62" s="168"/>
      <c r="R62" s="169"/>
      <c r="S62" s="106"/>
      <c r="T62" s="106"/>
      <c r="U62" s="173"/>
      <c r="V62" s="174"/>
      <c r="W62" s="175"/>
      <c r="X62" s="125"/>
      <c r="Y62" s="106"/>
      <c r="Z62" s="106"/>
    </row>
    <row r="63" spans="1:26" ht="18" customHeight="1" x14ac:dyDescent="0.15">
      <c r="A63" s="99"/>
      <c r="B63" s="167"/>
      <c r="C63" s="168"/>
      <c r="D63" s="168"/>
      <c r="E63" s="169"/>
      <c r="F63" s="106"/>
      <c r="G63" s="106"/>
      <c r="H63" s="173"/>
      <c r="I63" s="174"/>
      <c r="J63" s="175"/>
      <c r="K63" s="125"/>
      <c r="L63" s="106"/>
      <c r="M63" s="106"/>
      <c r="N63" s="167"/>
      <c r="O63" s="168"/>
      <c r="P63" s="168"/>
      <c r="Q63" s="168"/>
      <c r="R63" s="169"/>
      <c r="S63" s="106"/>
      <c r="T63" s="106"/>
      <c r="U63" s="173"/>
      <c r="V63" s="174"/>
      <c r="W63" s="175"/>
      <c r="X63" s="125"/>
      <c r="Y63" s="106"/>
      <c r="Z63" s="106"/>
    </row>
    <row r="64" spans="1:26" ht="18" customHeight="1" x14ac:dyDescent="0.15">
      <c r="A64" s="99"/>
      <c r="B64" s="167"/>
      <c r="C64" s="168"/>
      <c r="D64" s="168"/>
      <c r="E64" s="169"/>
      <c r="F64" s="106"/>
      <c r="G64" s="106"/>
      <c r="H64" s="173"/>
      <c r="I64" s="174"/>
      <c r="J64" s="175"/>
      <c r="K64" s="125"/>
      <c r="L64" s="106"/>
      <c r="M64" s="106"/>
      <c r="N64" s="167"/>
      <c r="O64" s="168"/>
      <c r="P64" s="168"/>
      <c r="Q64" s="168"/>
      <c r="R64" s="169"/>
      <c r="S64" s="106"/>
      <c r="T64" s="106"/>
      <c r="U64" s="173"/>
      <c r="V64" s="174"/>
      <c r="W64" s="175"/>
      <c r="X64" s="125"/>
      <c r="Y64" s="106"/>
      <c r="Z64" s="106"/>
    </row>
    <row r="65" spans="1:26" ht="18" customHeight="1" x14ac:dyDescent="0.15">
      <c r="A65" s="99"/>
      <c r="B65" s="167"/>
      <c r="C65" s="168"/>
      <c r="D65" s="168"/>
      <c r="E65" s="169"/>
      <c r="F65" s="106"/>
      <c r="G65" s="106"/>
      <c r="H65" s="173"/>
      <c r="I65" s="174"/>
      <c r="J65" s="175"/>
      <c r="K65" s="125"/>
      <c r="L65" s="106"/>
      <c r="M65" s="106"/>
      <c r="N65" s="167"/>
      <c r="O65" s="168"/>
      <c r="P65" s="168"/>
      <c r="Q65" s="168"/>
      <c r="R65" s="169"/>
      <c r="S65" s="106"/>
      <c r="T65" s="106"/>
      <c r="U65" s="173"/>
      <c r="V65" s="174"/>
      <c r="W65" s="175"/>
      <c r="X65" s="125"/>
      <c r="Y65" s="106"/>
      <c r="Z65" s="106"/>
    </row>
    <row r="66" spans="1:26" ht="18" customHeight="1" x14ac:dyDescent="0.15">
      <c r="A66" s="99"/>
      <c r="B66" s="170"/>
      <c r="C66" s="171"/>
      <c r="D66" s="171"/>
      <c r="E66" s="172"/>
      <c r="F66" s="107"/>
      <c r="G66" s="107"/>
      <c r="H66" s="176"/>
      <c r="I66" s="177"/>
      <c r="J66" s="178"/>
      <c r="K66" s="126"/>
      <c r="L66" s="108"/>
      <c r="M66" s="108"/>
      <c r="N66" s="170"/>
      <c r="O66" s="171"/>
      <c r="P66" s="171"/>
      <c r="Q66" s="171"/>
      <c r="R66" s="172"/>
      <c r="S66" s="107"/>
      <c r="T66" s="107"/>
      <c r="U66" s="176"/>
      <c r="V66" s="177"/>
      <c r="W66" s="178"/>
      <c r="X66" s="126"/>
      <c r="Y66" s="108"/>
      <c r="Z66" s="108"/>
    </row>
    <row r="67" spans="1:26" ht="7.5" customHeight="1" x14ac:dyDescent="0.15">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6" ht="18" customHeight="1" x14ac:dyDescent="0.15">
      <c r="A68" s="72" t="s">
        <v>136</v>
      </c>
      <c r="L68" s="99"/>
      <c r="M68" s="99"/>
      <c r="N68" s="99"/>
      <c r="O68" s="99"/>
      <c r="P68" s="99"/>
      <c r="Q68" s="99"/>
      <c r="R68" s="99"/>
      <c r="S68" s="99"/>
      <c r="T68" s="99"/>
      <c r="U68" s="99"/>
      <c r="V68" s="99"/>
      <c r="W68" s="99"/>
      <c r="X68" s="99"/>
      <c r="Y68" s="99"/>
      <c r="Z68" s="99"/>
    </row>
    <row r="69" spans="1:26" ht="18" customHeight="1" x14ac:dyDescent="0.15">
      <c r="B69" s="179" t="s">
        <v>100</v>
      </c>
      <c r="C69" s="180"/>
      <c r="D69" s="180"/>
      <c r="E69" s="180"/>
      <c r="F69" s="181"/>
      <c r="G69" s="179" t="s">
        <v>146</v>
      </c>
      <c r="H69" s="180"/>
      <c r="I69" s="180"/>
      <c r="J69" s="180"/>
      <c r="K69" s="180"/>
      <c r="L69" s="180"/>
      <c r="M69" s="181"/>
      <c r="N69" s="192" t="s">
        <v>100</v>
      </c>
      <c r="O69" s="193"/>
      <c r="P69" s="193"/>
      <c r="Q69" s="193"/>
      <c r="R69" s="193"/>
      <c r="S69" s="194"/>
      <c r="T69" s="179" t="s">
        <v>146</v>
      </c>
      <c r="U69" s="180"/>
      <c r="V69" s="180"/>
      <c r="W69" s="180"/>
      <c r="X69" s="180"/>
      <c r="Y69" s="180"/>
      <c r="Z69" s="181"/>
    </row>
    <row r="70" spans="1:26" ht="18" customHeight="1" x14ac:dyDescent="0.15">
      <c r="A70" s="99"/>
      <c r="B70" s="164"/>
      <c r="C70" s="165"/>
      <c r="D70" s="165"/>
      <c r="E70" s="165"/>
      <c r="F70" s="166"/>
      <c r="G70" s="241"/>
      <c r="H70" s="242"/>
      <c r="I70" s="242"/>
      <c r="J70" s="242"/>
      <c r="K70" s="242"/>
      <c r="L70" s="242"/>
      <c r="M70" s="243"/>
      <c r="N70" s="164"/>
      <c r="O70" s="165"/>
      <c r="P70" s="165"/>
      <c r="Q70" s="165"/>
      <c r="R70" s="165"/>
      <c r="S70" s="166"/>
      <c r="T70" s="241"/>
      <c r="U70" s="242"/>
      <c r="V70" s="242"/>
      <c r="W70" s="242"/>
      <c r="X70" s="242"/>
      <c r="Y70" s="242"/>
      <c r="Z70" s="243"/>
    </row>
    <row r="71" spans="1:26" ht="18" customHeight="1" x14ac:dyDescent="0.15">
      <c r="A71" s="99"/>
      <c r="B71" s="167"/>
      <c r="C71" s="168"/>
      <c r="D71" s="168"/>
      <c r="E71" s="168"/>
      <c r="F71" s="169"/>
      <c r="G71" s="213"/>
      <c r="H71" s="214"/>
      <c r="I71" s="214"/>
      <c r="J71" s="214"/>
      <c r="K71" s="214"/>
      <c r="L71" s="214"/>
      <c r="M71" s="215"/>
      <c r="N71" s="167"/>
      <c r="O71" s="168"/>
      <c r="P71" s="168"/>
      <c r="Q71" s="168"/>
      <c r="R71" s="168"/>
      <c r="S71" s="169"/>
      <c r="T71" s="213"/>
      <c r="U71" s="214"/>
      <c r="V71" s="214"/>
      <c r="W71" s="214"/>
      <c r="X71" s="214"/>
      <c r="Y71" s="214"/>
      <c r="Z71" s="215"/>
    </row>
    <row r="72" spans="1:26" ht="18" customHeight="1" x14ac:dyDescent="0.15">
      <c r="A72" s="99"/>
      <c r="B72" s="167"/>
      <c r="C72" s="168"/>
      <c r="D72" s="168"/>
      <c r="E72" s="168"/>
      <c r="F72" s="169"/>
      <c r="G72" s="213"/>
      <c r="H72" s="214"/>
      <c r="I72" s="214"/>
      <c r="J72" s="214"/>
      <c r="K72" s="214"/>
      <c r="L72" s="214"/>
      <c r="M72" s="215"/>
      <c r="N72" s="167"/>
      <c r="O72" s="168"/>
      <c r="P72" s="168"/>
      <c r="Q72" s="168"/>
      <c r="R72" s="168"/>
      <c r="S72" s="169"/>
      <c r="T72" s="213"/>
      <c r="U72" s="214"/>
      <c r="V72" s="214"/>
      <c r="W72" s="214"/>
      <c r="X72" s="214"/>
      <c r="Y72" s="214"/>
      <c r="Z72" s="215"/>
    </row>
    <row r="73" spans="1:26" ht="18" customHeight="1" x14ac:dyDescent="0.15">
      <c r="A73" s="99"/>
      <c r="B73" s="167"/>
      <c r="C73" s="168"/>
      <c r="D73" s="168"/>
      <c r="E73" s="168"/>
      <c r="F73" s="169"/>
      <c r="G73" s="213"/>
      <c r="H73" s="214"/>
      <c r="I73" s="214"/>
      <c r="J73" s="214"/>
      <c r="K73" s="214"/>
      <c r="L73" s="214"/>
      <c r="M73" s="215"/>
      <c r="N73" s="167"/>
      <c r="O73" s="168"/>
      <c r="P73" s="168"/>
      <c r="Q73" s="168"/>
      <c r="R73" s="168"/>
      <c r="S73" s="169"/>
      <c r="T73" s="213"/>
      <c r="U73" s="214"/>
      <c r="V73" s="214"/>
      <c r="W73" s="214"/>
      <c r="X73" s="214"/>
      <c r="Y73" s="214"/>
      <c r="Z73" s="215"/>
    </row>
    <row r="74" spans="1:26" ht="18" customHeight="1" x14ac:dyDescent="0.15">
      <c r="A74" s="99"/>
      <c r="B74" s="167"/>
      <c r="C74" s="168"/>
      <c r="D74" s="168"/>
      <c r="E74" s="168"/>
      <c r="F74" s="169"/>
      <c r="G74" s="213"/>
      <c r="H74" s="214"/>
      <c r="I74" s="214"/>
      <c r="J74" s="214"/>
      <c r="K74" s="214"/>
      <c r="L74" s="214"/>
      <c r="M74" s="215"/>
      <c r="N74" s="167"/>
      <c r="O74" s="168"/>
      <c r="P74" s="168"/>
      <c r="Q74" s="168"/>
      <c r="R74" s="168"/>
      <c r="S74" s="169"/>
      <c r="T74" s="213"/>
      <c r="U74" s="214"/>
      <c r="V74" s="214"/>
      <c r="W74" s="214"/>
      <c r="X74" s="214"/>
      <c r="Y74" s="214"/>
      <c r="Z74" s="215"/>
    </row>
    <row r="75" spans="1:26" ht="18" customHeight="1" x14ac:dyDescent="0.15">
      <c r="A75" s="99"/>
      <c r="B75" s="167"/>
      <c r="C75" s="168"/>
      <c r="D75" s="168"/>
      <c r="E75" s="168"/>
      <c r="F75" s="169"/>
      <c r="G75" s="213"/>
      <c r="H75" s="214"/>
      <c r="I75" s="214"/>
      <c r="J75" s="214"/>
      <c r="K75" s="214"/>
      <c r="L75" s="214"/>
      <c r="M75" s="215"/>
      <c r="N75" s="167"/>
      <c r="O75" s="168"/>
      <c r="P75" s="168"/>
      <c r="Q75" s="168"/>
      <c r="R75" s="168"/>
      <c r="S75" s="169"/>
      <c r="T75" s="213"/>
      <c r="U75" s="214"/>
      <c r="V75" s="214"/>
      <c r="W75" s="214"/>
      <c r="X75" s="214"/>
      <c r="Y75" s="214"/>
      <c r="Z75" s="215"/>
    </row>
    <row r="76" spans="1:26" ht="18" customHeight="1" x14ac:dyDescent="0.15">
      <c r="A76" s="99"/>
      <c r="B76" s="170"/>
      <c r="C76" s="171"/>
      <c r="D76" s="171"/>
      <c r="E76" s="171"/>
      <c r="F76" s="172"/>
      <c r="G76" s="210"/>
      <c r="H76" s="211"/>
      <c r="I76" s="211"/>
      <c r="J76" s="211"/>
      <c r="K76" s="211"/>
      <c r="L76" s="211"/>
      <c r="M76" s="212"/>
      <c r="N76" s="170"/>
      <c r="O76" s="171"/>
      <c r="P76" s="171"/>
      <c r="Q76" s="171"/>
      <c r="R76" s="171"/>
      <c r="S76" s="172"/>
      <c r="T76" s="210"/>
      <c r="U76" s="211"/>
      <c r="V76" s="211"/>
      <c r="W76" s="211"/>
      <c r="X76" s="211"/>
      <c r="Y76" s="211"/>
      <c r="Z76" s="212"/>
    </row>
    <row r="77" spans="1:26" ht="18" customHeight="1" x14ac:dyDescent="0.15">
      <c r="A77" s="99"/>
      <c r="B77" s="115"/>
      <c r="C77" s="115"/>
      <c r="D77" s="115"/>
      <c r="E77" s="115"/>
      <c r="F77" s="115"/>
      <c r="G77" s="116"/>
      <c r="H77" s="116"/>
      <c r="I77" s="116"/>
      <c r="J77" s="116"/>
      <c r="K77" s="116"/>
      <c r="L77" s="116"/>
      <c r="M77" s="116"/>
      <c r="N77" s="115"/>
      <c r="O77" s="115"/>
      <c r="P77" s="115"/>
      <c r="Q77" s="115"/>
      <c r="R77" s="115"/>
      <c r="S77" s="115"/>
      <c r="T77" s="116"/>
      <c r="U77" s="116"/>
      <c r="V77" s="116"/>
      <c r="W77" s="116"/>
      <c r="X77" s="116"/>
      <c r="Y77" s="116"/>
      <c r="Z77" s="116"/>
    </row>
    <row r="78" spans="1:26" ht="18.75" customHeight="1" x14ac:dyDescent="0.15">
      <c r="A78" s="72" t="s">
        <v>142</v>
      </c>
    </row>
    <row r="79" spans="1:26" ht="18.75" customHeight="1" x14ac:dyDescent="0.15">
      <c r="B79" s="131" t="s">
        <v>102</v>
      </c>
      <c r="C79" s="132"/>
      <c r="D79" s="180" t="s">
        <v>103</v>
      </c>
      <c r="E79" s="180"/>
      <c r="F79" s="180"/>
      <c r="G79" s="180"/>
      <c r="H79" s="180"/>
      <c r="I79" s="180"/>
      <c r="J79" s="180"/>
      <c r="K79" s="180"/>
      <c r="L79" s="180"/>
      <c r="M79" s="180"/>
      <c r="N79" s="180"/>
      <c r="O79" s="180"/>
      <c r="P79" s="180"/>
      <c r="Q79" s="180"/>
      <c r="R79" s="180"/>
      <c r="S79" s="180"/>
      <c r="T79" s="180"/>
      <c r="U79" s="180"/>
      <c r="V79" s="180"/>
      <c r="W79" s="180"/>
      <c r="X79" s="180"/>
      <c r="Y79" s="180"/>
      <c r="Z79" s="181"/>
    </row>
    <row r="80" spans="1:26" ht="78" customHeight="1" x14ac:dyDescent="0.15">
      <c r="B80" s="247" t="s">
        <v>109</v>
      </c>
      <c r="C80" s="117" t="s">
        <v>104</v>
      </c>
      <c r="D80" s="254" t="s">
        <v>257</v>
      </c>
      <c r="E80" s="254"/>
      <c r="F80" s="254"/>
      <c r="G80" s="254"/>
      <c r="H80" s="254"/>
      <c r="I80" s="254"/>
      <c r="J80" s="254"/>
      <c r="K80" s="254"/>
      <c r="L80" s="254"/>
      <c r="M80" s="254"/>
      <c r="N80" s="254"/>
      <c r="O80" s="254"/>
      <c r="P80" s="254"/>
      <c r="Q80" s="254"/>
      <c r="R80" s="254"/>
      <c r="S80" s="254"/>
      <c r="T80" s="254"/>
      <c r="U80" s="254"/>
      <c r="V80" s="254"/>
      <c r="W80" s="254"/>
      <c r="X80" s="254"/>
      <c r="Y80" s="254"/>
      <c r="Z80" s="255"/>
    </row>
    <row r="81" spans="1:26" ht="78" customHeight="1" x14ac:dyDescent="0.15">
      <c r="B81" s="249"/>
      <c r="C81" s="118" t="s">
        <v>137</v>
      </c>
      <c r="D81" s="216" t="s">
        <v>258</v>
      </c>
      <c r="E81" s="216"/>
      <c r="F81" s="216"/>
      <c r="G81" s="216"/>
      <c r="H81" s="216"/>
      <c r="I81" s="216"/>
      <c r="J81" s="216"/>
      <c r="K81" s="216"/>
      <c r="L81" s="216"/>
      <c r="M81" s="216"/>
      <c r="N81" s="216"/>
      <c r="O81" s="216"/>
      <c r="P81" s="216"/>
      <c r="Q81" s="216"/>
      <c r="R81" s="216"/>
      <c r="S81" s="216"/>
      <c r="T81" s="216"/>
      <c r="U81" s="216"/>
      <c r="V81" s="216"/>
      <c r="W81" s="216"/>
      <c r="X81" s="216"/>
      <c r="Y81" s="216"/>
      <c r="Z81" s="261"/>
    </row>
    <row r="82" spans="1:26" ht="78" customHeight="1" x14ac:dyDescent="0.15">
      <c r="B82" s="247" t="s">
        <v>110</v>
      </c>
      <c r="C82" s="119" t="s">
        <v>127</v>
      </c>
      <c r="D82" s="219" t="s">
        <v>259</v>
      </c>
      <c r="E82" s="219"/>
      <c r="F82" s="219"/>
      <c r="G82" s="219"/>
      <c r="H82" s="219"/>
      <c r="I82" s="219"/>
      <c r="J82" s="219"/>
      <c r="K82" s="219"/>
      <c r="L82" s="219"/>
      <c r="M82" s="219"/>
      <c r="N82" s="219"/>
      <c r="O82" s="219"/>
      <c r="P82" s="219"/>
      <c r="Q82" s="219"/>
      <c r="R82" s="219"/>
      <c r="S82" s="219"/>
      <c r="T82" s="219"/>
      <c r="U82" s="219"/>
      <c r="V82" s="219"/>
      <c r="W82" s="219"/>
      <c r="X82" s="219"/>
      <c r="Y82" s="219"/>
      <c r="Z82" s="220"/>
    </row>
    <row r="83" spans="1:26" ht="78" customHeight="1" x14ac:dyDescent="0.15">
      <c r="B83" s="248"/>
      <c r="C83" s="120" t="s">
        <v>128</v>
      </c>
      <c r="D83" s="223" t="s">
        <v>260</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247" t="s">
        <v>111</v>
      </c>
      <c r="C84" s="119" t="s">
        <v>130</v>
      </c>
      <c r="D84" s="219" t="s">
        <v>230</v>
      </c>
      <c r="E84" s="219"/>
      <c r="F84" s="219"/>
      <c r="G84" s="219"/>
      <c r="H84" s="219"/>
      <c r="I84" s="219"/>
      <c r="J84" s="219"/>
      <c r="K84" s="219"/>
      <c r="L84" s="219"/>
      <c r="M84" s="219"/>
      <c r="N84" s="219"/>
      <c r="O84" s="219"/>
      <c r="P84" s="219"/>
      <c r="Q84" s="219"/>
      <c r="R84" s="219"/>
      <c r="S84" s="219"/>
      <c r="T84" s="219"/>
      <c r="U84" s="219"/>
      <c r="V84" s="219"/>
      <c r="W84" s="219"/>
      <c r="X84" s="219"/>
      <c r="Y84" s="219"/>
      <c r="Z84" s="220"/>
    </row>
    <row r="85" spans="1:26" ht="66" customHeight="1" x14ac:dyDescent="0.15">
      <c r="B85" s="248"/>
      <c r="C85" s="121" t="s">
        <v>131</v>
      </c>
      <c r="D85" s="221" t="s">
        <v>231</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6" ht="66" customHeight="1" x14ac:dyDescent="0.15">
      <c r="B86" s="247" t="s">
        <v>138</v>
      </c>
      <c r="C86" s="117" t="s">
        <v>106</v>
      </c>
      <c r="D86" s="254" t="s">
        <v>261</v>
      </c>
      <c r="E86" s="254"/>
      <c r="F86" s="254"/>
      <c r="G86" s="254"/>
      <c r="H86" s="254"/>
      <c r="I86" s="254"/>
      <c r="J86" s="254"/>
      <c r="K86" s="254"/>
      <c r="L86" s="254"/>
      <c r="M86" s="254"/>
      <c r="N86" s="254"/>
      <c r="O86" s="254"/>
      <c r="P86" s="254"/>
      <c r="Q86" s="254"/>
      <c r="R86" s="254"/>
      <c r="S86" s="254"/>
      <c r="T86" s="254"/>
      <c r="U86" s="254"/>
      <c r="V86" s="254"/>
      <c r="W86" s="254"/>
      <c r="X86" s="254"/>
      <c r="Y86" s="254"/>
      <c r="Z86" s="255"/>
    </row>
    <row r="87" spans="1:26" ht="66" customHeight="1" x14ac:dyDescent="0.15">
      <c r="B87" s="249"/>
      <c r="C87" s="122" t="s">
        <v>108</v>
      </c>
      <c r="D87" s="256" t="s">
        <v>262</v>
      </c>
      <c r="E87" s="256"/>
      <c r="F87" s="256"/>
      <c r="G87" s="256"/>
      <c r="H87" s="256"/>
      <c r="I87" s="256"/>
      <c r="J87" s="256"/>
      <c r="K87" s="256"/>
      <c r="L87" s="256"/>
      <c r="M87" s="256"/>
      <c r="N87" s="256"/>
      <c r="O87" s="256"/>
      <c r="P87" s="256"/>
      <c r="Q87" s="256"/>
      <c r="R87" s="256"/>
      <c r="S87" s="256"/>
      <c r="T87" s="256"/>
      <c r="U87" s="256"/>
      <c r="V87" s="256"/>
      <c r="W87" s="256"/>
      <c r="X87" s="256"/>
      <c r="Y87" s="256"/>
      <c r="Z87" s="257"/>
    </row>
    <row r="88" spans="1:26" ht="66" customHeight="1" x14ac:dyDescent="0.15">
      <c r="B88" s="247" t="s">
        <v>139</v>
      </c>
      <c r="C88" s="119" t="s">
        <v>105</v>
      </c>
      <c r="D88" s="250" t="s">
        <v>263</v>
      </c>
      <c r="E88" s="250"/>
      <c r="F88" s="250"/>
      <c r="G88" s="250"/>
      <c r="H88" s="250"/>
      <c r="I88" s="250"/>
      <c r="J88" s="250"/>
      <c r="K88" s="250"/>
      <c r="L88" s="250"/>
      <c r="M88" s="250"/>
      <c r="N88" s="250"/>
      <c r="O88" s="250"/>
      <c r="P88" s="250"/>
      <c r="Q88" s="250"/>
      <c r="R88" s="250"/>
      <c r="S88" s="250"/>
      <c r="T88" s="250"/>
      <c r="U88" s="250"/>
      <c r="V88" s="250"/>
      <c r="W88" s="250"/>
      <c r="X88" s="250"/>
      <c r="Y88" s="250"/>
      <c r="Z88" s="251"/>
    </row>
    <row r="89" spans="1:26" ht="66" customHeight="1" x14ac:dyDescent="0.15">
      <c r="B89" s="249"/>
      <c r="C89" s="122" t="s">
        <v>134</v>
      </c>
      <c r="D89" s="244" t="s">
        <v>264</v>
      </c>
      <c r="E89" s="245"/>
      <c r="F89" s="245"/>
      <c r="G89" s="245"/>
      <c r="H89" s="245"/>
      <c r="I89" s="245"/>
      <c r="J89" s="245"/>
      <c r="K89" s="245"/>
      <c r="L89" s="245"/>
      <c r="M89" s="245"/>
      <c r="N89" s="245"/>
      <c r="O89" s="245"/>
      <c r="P89" s="245"/>
      <c r="Q89" s="245"/>
      <c r="R89" s="245"/>
      <c r="S89" s="245"/>
      <c r="T89" s="245"/>
      <c r="U89" s="245"/>
      <c r="V89" s="245"/>
      <c r="W89" s="245"/>
      <c r="X89" s="245"/>
      <c r="Y89" s="245"/>
      <c r="Z89" s="246"/>
    </row>
    <row r="90" spans="1:26" ht="66" customHeight="1" x14ac:dyDescent="0.15">
      <c r="B90" s="248"/>
      <c r="C90" s="121" t="s">
        <v>135</v>
      </c>
      <c r="D90" s="252" t="s">
        <v>265</v>
      </c>
      <c r="E90" s="252"/>
      <c r="F90" s="252"/>
      <c r="G90" s="252"/>
      <c r="H90" s="252"/>
      <c r="I90" s="252"/>
      <c r="J90" s="252"/>
      <c r="K90" s="252"/>
      <c r="L90" s="252"/>
      <c r="M90" s="252"/>
      <c r="N90" s="252"/>
      <c r="O90" s="252"/>
      <c r="P90" s="252"/>
      <c r="Q90" s="252"/>
      <c r="R90" s="252"/>
      <c r="S90" s="252"/>
      <c r="T90" s="252"/>
      <c r="U90" s="252"/>
      <c r="V90" s="252"/>
      <c r="W90" s="252"/>
      <c r="X90" s="252"/>
      <c r="Y90" s="252"/>
      <c r="Z90" s="253"/>
    </row>
    <row r="91" spans="1:26" ht="6" customHeight="1" x14ac:dyDescent="0.15"/>
    <row r="92" spans="1:26" ht="18.75" customHeight="1" x14ac:dyDescent="0.15">
      <c r="A92" s="72" t="s">
        <v>143</v>
      </c>
    </row>
    <row r="93" spans="1:26" ht="18.75" customHeight="1" x14ac:dyDescent="0.15">
      <c r="B93" s="198" t="s">
        <v>209</v>
      </c>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200"/>
    </row>
    <row r="94" spans="1:26" ht="18.75" customHeight="1" x14ac:dyDescent="0.15">
      <c r="B94" s="201"/>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3"/>
    </row>
    <row r="95" spans="1:26" ht="18.75" customHeight="1" x14ac:dyDescent="0.15">
      <c r="B95" s="204"/>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6"/>
    </row>
    <row r="96" spans="1:26" ht="6" customHeight="1" x14ac:dyDescent="0.15"/>
    <row r="97" spans="1:26" ht="15" customHeight="1" x14ac:dyDescent="0.15">
      <c r="A97" s="72" t="s">
        <v>144</v>
      </c>
    </row>
    <row r="98" spans="1:26" ht="15" customHeight="1" x14ac:dyDescent="0.15">
      <c r="B98" s="207" t="s">
        <v>210</v>
      </c>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9"/>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H16:H22 Y27:Z33 L27:M33 H38:H44 Y38:Z44 Y49:Z55 Y60:Z66 K60:K61 T60:T66 U16:U22 H27:H33 U27:U33 L16:M22 U38:U44 L38:M44 U49:U55 G60:G66 L49:M55 H49:H55 L60:M66" xr:uid="{F51B1E95-6114-4D2D-8461-90F6B796E67B}">
      <formula1>"○"</formula1>
    </dataValidation>
    <dataValidation type="list" allowBlank="1" showInputMessage="1" showErrorMessage="1" sqref="Z23 Z34 D34:K34 D23:K23 V16:V22 H60:H66 V27:V33 I27:I33 V38:V44 I16:I22 V49:V55 I38:I44 U60:U66 I49:I55" xr:uid="{85C886B8-3FB3-42EC-921A-942A9EA5617D}">
      <formula1>"全学開講,一部開講"</formula1>
    </dataValidation>
    <dataValidation type="list" allowBlank="1" showInputMessage="1" showErrorMessage="1" sqref="O4" xr:uid="{85F92739-7F67-4FD9-8D07-DA60D6DB1CB5}">
      <formula1>"学部・学科によって、修了要件は相違する,学部・学科によって、修了要件は相違しない"</formula1>
    </dataValidation>
    <dataValidation type="list" allowBlank="1" showInputMessage="1" showErrorMessage="1" sqref="H74:M77 G70:G77 H70:M71 T70:T77 U70:Z71 U74:Z77" xr:uid="{15E6781A-9727-4F0F-B22B-ECEFDC855E2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BF6D2C0-EF36-4638-97B0-CA3D77057EB2}"/>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tabColor rgb="FFCCFFFF"/>
  </sheetPr>
  <dimension ref="A1:T30"/>
  <sheetViews>
    <sheetView view="pageBreakPreview" zoomScaleNormal="100" zoomScaleSheetLayoutView="100" workbookViewId="0">
      <selection activeCell="O110" sqref="O110"/>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64" t="s">
        <v>63</v>
      </c>
      <c r="G1" s="264"/>
      <c r="H1" s="264"/>
      <c r="I1" s="264"/>
      <c r="J1" s="264"/>
      <c r="K1" s="264"/>
      <c r="L1" s="264"/>
      <c r="M1" s="264"/>
      <c r="N1" s="264"/>
      <c r="O1" s="264"/>
      <c r="P1" s="264"/>
      <c r="Q1" s="264"/>
      <c r="R1" s="264"/>
    </row>
    <row r="2" spans="1:20" ht="18" customHeight="1" x14ac:dyDescent="0.15">
      <c r="A2" s="265" t="s">
        <v>89</v>
      </c>
      <c r="B2" s="265"/>
      <c r="C2" s="265"/>
      <c r="D2" s="265"/>
      <c r="E2" s="265"/>
      <c r="F2" s="265"/>
      <c r="G2" s="265"/>
      <c r="H2" s="265"/>
      <c r="I2" s="265"/>
      <c r="J2" s="265"/>
      <c r="K2" s="265"/>
      <c r="L2" s="265"/>
      <c r="M2" s="265"/>
      <c r="N2" s="265"/>
      <c r="O2" s="265"/>
      <c r="P2" s="265"/>
      <c r="Q2" s="265"/>
      <c r="R2" s="265"/>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66" t="str">
        <f>'様式１　大学等概要'!E12</f>
        <v>平成30年度</v>
      </c>
      <c r="D4" s="267"/>
      <c r="E4" s="38" t="s">
        <v>113</v>
      </c>
      <c r="F4" s="38"/>
      <c r="G4" s="38"/>
      <c r="H4" s="38"/>
      <c r="I4" s="38"/>
      <c r="J4" s="76"/>
      <c r="K4" s="38"/>
      <c r="L4" s="38"/>
      <c r="M4" s="97"/>
      <c r="N4" s="97"/>
      <c r="O4" s="97"/>
      <c r="P4" s="97"/>
      <c r="Q4" s="97"/>
      <c r="R4" s="97"/>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68" t="s">
        <v>79</v>
      </c>
      <c r="C8" s="270" t="s">
        <v>84</v>
      </c>
      <c r="D8" s="272" t="s">
        <v>68</v>
      </c>
      <c r="E8" s="274" t="s">
        <v>90</v>
      </c>
      <c r="F8" s="274"/>
      <c r="G8" s="274" t="s">
        <v>91</v>
      </c>
      <c r="H8" s="274"/>
      <c r="I8" s="274" t="s">
        <v>92</v>
      </c>
      <c r="J8" s="274"/>
      <c r="K8" s="275" t="s">
        <v>93</v>
      </c>
      <c r="L8" s="276"/>
      <c r="M8" s="275" t="s">
        <v>94</v>
      </c>
      <c r="N8" s="276"/>
      <c r="O8" s="275" t="s">
        <v>95</v>
      </c>
      <c r="P8" s="276"/>
      <c r="Q8" s="277" t="s">
        <v>62</v>
      </c>
      <c r="R8" s="279" t="s">
        <v>56</v>
      </c>
      <c r="T8" s="34"/>
    </row>
    <row r="9" spans="1:20" ht="18" customHeight="1" x14ac:dyDescent="0.15">
      <c r="A9" s="4"/>
      <c r="B9" s="269"/>
      <c r="C9" s="271"/>
      <c r="D9" s="273"/>
      <c r="E9" s="43" t="s">
        <v>44</v>
      </c>
      <c r="F9" s="44" t="s">
        <v>43</v>
      </c>
      <c r="G9" s="45" t="s">
        <v>44</v>
      </c>
      <c r="H9" s="46" t="s">
        <v>43</v>
      </c>
      <c r="I9" s="43" t="s">
        <v>44</v>
      </c>
      <c r="J9" s="44" t="s">
        <v>43</v>
      </c>
      <c r="K9" s="45" t="s">
        <v>44</v>
      </c>
      <c r="L9" s="46" t="s">
        <v>43</v>
      </c>
      <c r="M9" s="43" t="s">
        <v>44</v>
      </c>
      <c r="N9" s="44" t="s">
        <v>43</v>
      </c>
      <c r="O9" s="45" t="s">
        <v>44</v>
      </c>
      <c r="P9" s="46" t="s">
        <v>43</v>
      </c>
      <c r="Q9" s="278"/>
      <c r="R9" s="280"/>
      <c r="T9" s="34"/>
    </row>
    <row r="10" spans="1:20" ht="18" customHeight="1" x14ac:dyDescent="0.15">
      <c r="A10" s="47"/>
      <c r="B10" s="77" t="s">
        <v>169</v>
      </c>
      <c r="C10" s="47">
        <v>40</v>
      </c>
      <c r="D10" s="48">
        <v>200</v>
      </c>
      <c r="E10" s="49">
        <v>42</v>
      </c>
      <c r="F10" s="50">
        <v>0</v>
      </c>
      <c r="G10" s="51">
        <v>44</v>
      </c>
      <c r="H10" s="52">
        <v>0</v>
      </c>
      <c r="I10" s="49">
        <v>43</v>
      </c>
      <c r="J10" s="50">
        <v>0</v>
      </c>
      <c r="K10" s="51">
        <v>44</v>
      </c>
      <c r="L10" s="52">
        <v>0</v>
      </c>
      <c r="M10" s="49"/>
      <c r="N10" s="50"/>
      <c r="O10" s="51"/>
      <c r="P10" s="52"/>
      <c r="Q10" s="53">
        <f>E10+G10+I10+K10+M10+O10</f>
        <v>173</v>
      </c>
      <c r="R10" s="54">
        <f>Q10/D10</f>
        <v>0.86499999999999999</v>
      </c>
    </row>
    <row r="11" spans="1:20" ht="18" customHeight="1" x14ac:dyDescent="0.15">
      <c r="A11" s="47"/>
      <c r="B11" s="78" t="s">
        <v>170</v>
      </c>
      <c r="C11" s="63">
        <v>40</v>
      </c>
      <c r="D11" s="56">
        <v>200</v>
      </c>
      <c r="E11" s="57">
        <v>44</v>
      </c>
      <c r="F11" s="58">
        <v>0</v>
      </c>
      <c r="G11" s="59">
        <v>43</v>
      </c>
      <c r="H11" s="60">
        <v>0</v>
      </c>
      <c r="I11" s="57">
        <v>42</v>
      </c>
      <c r="J11" s="58">
        <v>0</v>
      </c>
      <c r="K11" s="59">
        <v>43</v>
      </c>
      <c r="L11" s="60">
        <v>0</v>
      </c>
      <c r="M11" s="57"/>
      <c r="N11" s="58"/>
      <c r="O11" s="59"/>
      <c r="P11" s="60"/>
      <c r="Q11" s="61">
        <f t="shared" ref="Q11:Q29" si="0">E11+G11+I11+K11+M11+O11</f>
        <v>172</v>
      </c>
      <c r="R11" s="62">
        <f t="shared" ref="R11:R29" si="1">Q11/D11</f>
        <v>0.86</v>
      </c>
    </row>
    <row r="12" spans="1:20" ht="18" customHeight="1" x14ac:dyDescent="0.15">
      <c r="A12" s="47"/>
      <c r="B12" s="78" t="s">
        <v>171</v>
      </c>
      <c r="C12" s="63">
        <v>40</v>
      </c>
      <c r="D12" s="56">
        <v>200</v>
      </c>
      <c r="E12" s="57">
        <v>42</v>
      </c>
      <c r="F12" s="58">
        <v>0</v>
      </c>
      <c r="G12" s="59">
        <v>43</v>
      </c>
      <c r="H12" s="60">
        <v>0</v>
      </c>
      <c r="I12" s="57">
        <v>43</v>
      </c>
      <c r="J12" s="58">
        <v>0</v>
      </c>
      <c r="K12" s="59">
        <v>41</v>
      </c>
      <c r="L12" s="60">
        <v>0</v>
      </c>
      <c r="M12" s="57"/>
      <c r="N12" s="58"/>
      <c r="O12" s="59"/>
      <c r="P12" s="60"/>
      <c r="Q12" s="61">
        <f t="shared" si="0"/>
        <v>169</v>
      </c>
      <c r="R12" s="62">
        <f t="shared" si="1"/>
        <v>0.84499999999999997</v>
      </c>
    </row>
    <row r="13" spans="1:20" ht="18" customHeight="1" x14ac:dyDescent="0.15">
      <c r="A13" s="47"/>
      <c r="B13" s="78" t="s">
        <v>172</v>
      </c>
      <c r="C13" s="63">
        <v>40</v>
      </c>
      <c r="D13" s="56">
        <v>200</v>
      </c>
      <c r="E13" s="57">
        <v>42</v>
      </c>
      <c r="F13" s="58">
        <v>0</v>
      </c>
      <c r="G13" s="59">
        <v>42</v>
      </c>
      <c r="H13" s="60">
        <v>0</v>
      </c>
      <c r="I13" s="57">
        <v>43</v>
      </c>
      <c r="J13" s="58">
        <v>0</v>
      </c>
      <c r="K13" s="59">
        <v>44</v>
      </c>
      <c r="L13" s="60">
        <v>0</v>
      </c>
      <c r="M13" s="57"/>
      <c r="N13" s="58"/>
      <c r="O13" s="59"/>
      <c r="P13" s="60"/>
      <c r="Q13" s="61">
        <f t="shared" si="0"/>
        <v>171</v>
      </c>
      <c r="R13" s="62">
        <f t="shared" si="1"/>
        <v>0.85499999999999998</v>
      </c>
    </row>
    <row r="14" spans="1:20" ht="18" customHeight="1" x14ac:dyDescent="0.15">
      <c r="A14" s="47"/>
      <c r="B14" s="78" t="s">
        <v>173</v>
      </c>
      <c r="C14" s="63">
        <v>40</v>
      </c>
      <c r="D14" s="56">
        <v>200</v>
      </c>
      <c r="E14" s="57">
        <v>42</v>
      </c>
      <c r="F14" s="58">
        <v>0</v>
      </c>
      <c r="G14" s="59">
        <v>40</v>
      </c>
      <c r="H14" s="60">
        <v>0</v>
      </c>
      <c r="I14" s="57">
        <v>42</v>
      </c>
      <c r="J14" s="58">
        <v>0</v>
      </c>
      <c r="K14" s="59">
        <v>42</v>
      </c>
      <c r="L14" s="60">
        <v>0</v>
      </c>
      <c r="M14" s="57"/>
      <c r="N14" s="58"/>
      <c r="O14" s="59"/>
      <c r="P14" s="60"/>
      <c r="Q14" s="61">
        <f t="shared" si="0"/>
        <v>166</v>
      </c>
      <c r="R14" s="62">
        <f t="shared" si="1"/>
        <v>0.83</v>
      </c>
    </row>
    <row r="15" spans="1:20" ht="18" customHeight="1" x14ac:dyDescent="0.15">
      <c r="A15" s="47"/>
      <c r="B15" s="7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7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7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7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7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7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7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7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7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7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7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7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7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7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79"/>
      <c r="C29" s="8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81" t="s">
        <v>57</v>
      </c>
      <c r="C30" s="82">
        <f t="shared" ref="C30:Q30" si="2">SUM(C10:C29)</f>
        <v>200</v>
      </c>
      <c r="D30" s="65">
        <f t="shared" si="2"/>
        <v>1000</v>
      </c>
      <c r="E30" s="66">
        <f t="shared" si="2"/>
        <v>212</v>
      </c>
      <c r="F30" s="67">
        <f t="shared" si="2"/>
        <v>0</v>
      </c>
      <c r="G30" s="68">
        <f t="shared" si="2"/>
        <v>212</v>
      </c>
      <c r="H30" s="69">
        <f t="shared" si="2"/>
        <v>0</v>
      </c>
      <c r="I30" s="66">
        <f t="shared" si="2"/>
        <v>213</v>
      </c>
      <c r="J30" s="67">
        <f t="shared" si="2"/>
        <v>0</v>
      </c>
      <c r="K30" s="68">
        <f t="shared" si="2"/>
        <v>214</v>
      </c>
      <c r="L30" s="69">
        <f t="shared" si="2"/>
        <v>0</v>
      </c>
      <c r="M30" s="66">
        <f t="shared" si="2"/>
        <v>0</v>
      </c>
      <c r="N30" s="67">
        <f t="shared" si="2"/>
        <v>0</v>
      </c>
      <c r="O30" s="68">
        <f t="shared" si="2"/>
        <v>0</v>
      </c>
      <c r="P30" s="69">
        <f t="shared" si="2"/>
        <v>0</v>
      </c>
      <c r="Q30" s="70">
        <f t="shared" si="2"/>
        <v>851</v>
      </c>
      <c r="R30" s="71">
        <f>Q30/D30</f>
        <v>0.85099999999999998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tabColor rgb="FFCCFFFF"/>
  </sheetPr>
  <dimension ref="A1:K144"/>
  <sheetViews>
    <sheetView showZeros="0" view="pageBreakPreview" zoomScaleNormal="100" zoomScaleSheetLayoutView="100" workbookViewId="0">
      <selection activeCell="B15" sqref="B15:J2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65" t="s">
        <v>64</v>
      </c>
      <c r="B2" s="265"/>
      <c r="C2" s="265"/>
      <c r="D2" s="265"/>
      <c r="E2" s="265"/>
      <c r="F2" s="265"/>
      <c r="G2" s="265"/>
      <c r="H2" s="265"/>
      <c r="I2" s="265"/>
      <c r="J2" s="265"/>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62" t="s">
        <v>174</v>
      </c>
      <c r="C5" s="163"/>
      <c r="D5" s="163"/>
      <c r="E5" s="163"/>
      <c r="F5" s="163"/>
      <c r="G5" s="163"/>
      <c r="H5" s="163"/>
      <c r="I5" s="163"/>
      <c r="J5" s="302"/>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83"/>
      <c r="B8" s="281" t="s">
        <v>175</v>
      </c>
      <c r="C8" s="282"/>
      <c r="D8" s="282"/>
      <c r="E8" s="282"/>
      <c r="F8" s="282"/>
      <c r="G8" s="282"/>
      <c r="H8" s="282"/>
      <c r="I8" s="290"/>
      <c r="J8" s="291"/>
      <c r="K8" s="31" t="str">
        <f>IF(B8="","入力してください","")</f>
        <v/>
      </c>
    </row>
    <row r="9" spans="1:11" s="4" customFormat="1" ht="18.75" customHeight="1" x14ac:dyDescent="0.15">
      <c r="A9" s="83"/>
      <c r="B9" s="292"/>
      <c r="C9" s="293"/>
      <c r="D9" s="293"/>
      <c r="E9" s="293"/>
      <c r="F9" s="293"/>
      <c r="G9" s="293"/>
      <c r="H9" s="293"/>
      <c r="I9" s="293"/>
      <c r="J9" s="294"/>
      <c r="K9" s="31"/>
    </row>
    <row r="10" spans="1:11" s="4" customFormat="1" ht="18.75" customHeight="1" x14ac:dyDescent="0.15">
      <c r="A10" s="83"/>
      <c r="B10" s="292"/>
      <c r="C10" s="293"/>
      <c r="D10" s="293"/>
      <c r="E10" s="293"/>
      <c r="F10" s="293"/>
      <c r="G10" s="293"/>
      <c r="H10" s="293"/>
      <c r="I10" s="293"/>
      <c r="J10" s="294"/>
      <c r="K10" s="31"/>
    </row>
    <row r="11" spans="1:11" s="4" customFormat="1" ht="18.75" customHeight="1" x14ac:dyDescent="0.15">
      <c r="A11" s="83"/>
      <c r="B11" s="292"/>
      <c r="C11" s="293"/>
      <c r="D11" s="293"/>
      <c r="E11" s="293"/>
      <c r="F11" s="293"/>
      <c r="G11" s="293"/>
      <c r="H11" s="293"/>
      <c r="I11" s="293"/>
      <c r="J11" s="294"/>
      <c r="K11" s="31"/>
    </row>
    <row r="12" spans="1:11" s="4" customFormat="1" ht="18.75" customHeight="1" x14ac:dyDescent="0.15">
      <c r="A12" s="83"/>
      <c r="B12" s="295"/>
      <c r="C12" s="296"/>
      <c r="D12" s="296"/>
      <c r="E12" s="296"/>
      <c r="F12" s="296"/>
      <c r="G12" s="296"/>
      <c r="H12" s="296"/>
      <c r="I12" s="296"/>
      <c r="J12" s="297"/>
      <c r="K12" s="31"/>
    </row>
    <row r="13" spans="1:11" s="4" customFormat="1" ht="7.5" customHeight="1" x14ac:dyDescent="0.15">
      <c r="A13" s="83"/>
      <c r="B13" s="83"/>
      <c r="C13" s="83"/>
      <c r="D13" s="83"/>
      <c r="E13" s="83"/>
      <c r="F13" s="83"/>
      <c r="G13" s="83"/>
      <c r="H13" s="83"/>
      <c r="I13" s="83"/>
      <c r="J13" s="83"/>
      <c r="K13" s="31"/>
    </row>
    <row r="14" spans="1:11" s="4" customFormat="1" ht="18.75" customHeight="1" x14ac:dyDescent="0.15">
      <c r="A14" s="84" t="s">
        <v>10</v>
      </c>
      <c r="B14" s="84" t="s">
        <v>15</v>
      </c>
      <c r="C14" s="84"/>
      <c r="D14" s="84"/>
      <c r="E14" s="84"/>
      <c r="F14" s="84"/>
      <c r="G14" s="84"/>
      <c r="H14" s="84"/>
      <c r="I14" s="84"/>
      <c r="J14" s="84"/>
      <c r="K14" s="31"/>
    </row>
    <row r="15" spans="1:11" s="4" customFormat="1" ht="18.75" customHeight="1" x14ac:dyDescent="0.15">
      <c r="A15" s="83"/>
      <c r="B15" s="281" t="s">
        <v>176</v>
      </c>
      <c r="C15" s="282"/>
      <c r="D15" s="282"/>
      <c r="E15" s="282"/>
      <c r="F15" s="282"/>
      <c r="G15" s="282"/>
      <c r="H15" s="282"/>
      <c r="I15" s="290"/>
      <c r="J15" s="291"/>
      <c r="K15" s="31" t="str">
        <f>IF(B15="","入力してください","")</f>
        <v/>
      </c>
    </row>
    <row r="16" spans="1:11" s="4" customFormat="1" ht="18.75" customHeight="1" x14ac:dyDescent="0.15">
      <c r="A16" s="83"/>
      <c r="B16" s="292"/>
      <c r="C16" s="293"/>
      <c r="D16" s="293"/>
      <c r="E16" s="293"/>
      <c r="F16" s="293"/>
      <c r="G16" s="293"/>
      <c r="H16" s="293"/>
      <c r="I16" s="293"/>
      <c r="J16" s="294"/>
      <c r="K16" s="31"/>
    </row>
    <row r="17" spans="1:11" s="4" customFormat="1" ht="18.75" customHeight="1" x14ac:dyDescent="0.15">
      <c r="A17" s="83"/>
      <c r="B17" s="292"/>
      <c r="C17" s="293"/>
      <c r="D17" s="293"/>
      <c r="E17" s="293"/>
      <c r="F17" s="293"/>
      <c r="G17" s="293"/>
      <c r="H17" s="293"/>
      <c r="I17" s="293"/>
      <c r="J17" s="294"/>
      <c r="K17" s="31"/>
    </row>
    <row r="18" spans="1:11" s="4" customFormat="1" ht="18.75" customHeight="1" x14ac:dyDescent="0.15">
      <c r="A18" s="83"/>
      <c r="B18" s="292"/>
      <c r="C18" s="293"/>
      <c r="D18" s="293"/>
      <c r="E18" s="293"/>
      <c r="F18" s="293"/>
      <c r="G18" s="293"/>
      <c r="H18" s="293"/>
      <c r="I18" s="293"/>
      <c r="J18" s="294"/>
      <c r="K18" s="31"/>
    </row>
    <row r="19" spans="1:11" s="4" customFormat="1" ht="18.75" customHeight="1" x14ac:dyDescent="0.15">
      <c r="A19" s="83"/>
      <c r="B19" s="292"/>
      <c r="C19" s="293"/>
      <c r="D19" s="293"/>
      <c r="E19" s="293"/>
      <c r="F19" s="293"/>
      <c r="G19" s="293"/>
      <c r="H19" s="293"/>
      <c r="I19" s="293"/>
      <c r="J19" s="294"/>
      <c r="K19" s="31"/>
    </row>
    <row r="20" spans="1:11" s="4" customFormat="1" ht="18.75" customHeight="1" x14ac:dyDescent="0.15">
      <c r="A20" s="83"/>
      <c r="B20" s="292"/>
      <c r="C20" s="293"/>
      <c r="D20" s="293"/>
      <c r="E20" s="293"/>
      <c r="F20" s="293"/>
      <c r="G20" s="293"/>
      <c r="H20" s="293"/>
      <c r="I20" s="293"/>
      <c r="J20" s="294"/>
      <c r="K20" s="31"/>
    </row>
    <row r="21" spans="1:11" s="4" customFormat="1" ht="18.75" customHeight="1" x14ac:dyDescent="0.15">
      <c r="A21" s="83"/>
      <c r="B21" s="292"/>
      <c r="C21" s="293"/>
      <c r="D21" s="293"/>
      <c r="E21" s="293"/>
      <c r="F21" s="293"/>
      <c r="G21" s="293"/>
      <c r="H21" s="293"/>
      <c r="I21" s="293"/>
      <c r="J21" s="294"/>
      <c r="K21" s="31"/>
    </row>
    <row r="22" spans="1:11" s="4" customFormat="1" ht="18.75" customHeight="1" x14ac:dyDescent="0.15">
      <c r="A22" s="83"/>
      <c r="B22" s="292"/>
      <c r="C22" s="293"/>
      <c r="D22" s="293"/>
      <c r="E22" s="293"/>
      <c r="F22" s="293"/>
      <c r="G22" s="293"/>
      <c r="H22" s="293"/>
      <c r="I22" s="293"/>
      <c r="J22" s="294"/>
      <c r="K22" s="31"/>
    </row>
    <row r="23" spans="1:11" s="4" customFormat="1" ht="18.75" customHeight="1" x14ac:dyDescent="0.15">
      <c r="A23" s="83"/>
      <c r="B23" s="292"/>
      <c r="C23" s="293"/>
      <c r="D23" s="293"/>
      <c r="E23" s="293"/>
      <c r="F23" s="293"/>
      <c r="G23" s="293"/>
      <c r="H23" s="293"/>
      <c r="I23" s="293"/>
      <c r="J23" s="294"/>
      <c r="K23" s="31"/>
    </row>
    <row r="24" spans="1:11" s="4" customFormat="1" ht="18.75" customHeight="1" x14ac:dyDescent="0.15">
      <c r="A24" s="83"/>
      <c r="B24" s="292"/>
      <c r="C24" s="293"/>
      <c r="D24" s="293"/>
      <c r="E24" s="293"/>
      <c r="F24" s="293"/>
      <c r="G24" s="293"/>
      <c r="H24" s="293"/>
      <c r="I24" s="293"/>
      <c r="J24" s="294"/>
      <c r="K24" s="31"/>
    </row>
    <row r="25" spans="1:11" s="4" customFormat="1" ht="18.75" customHeight="1" x14ac:dyDescent="0.15">
      <c r="A25" s="83"/>
      <c r="B25" s="295"/>
      <c r="C25" s="296"/>
      <c r="D25" s="296"/>
      <c r="E25" s="296"/>
      <c r="F25" s="296"/>
      <c r="G25" s="296"/>
      <c r="H25" s="296"/>
      <c r="I25" s="296"/>
      <c r="J25" s="297"/>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85" t="s">
        <v>116</v>
      </c>
      <c r="C28" s="86">
        <f>'様式３　履修者等数の実績'!R30</f>
        <v>0.85099999999999998</v>
      </c>
      <c r="D28" s="87"/>
      <c r="E28" s="87" t="s">
        <v>117</v>
      </c>
      <c r="F28" s="86">
        <v>1</v>
      </c>
      <c r="G28" s="87"/>
      <c r="H28" s="87" t="s">
        <v>118</v>
      </c>
      <c r="I28" s="88">
        <v>1</v>
      </c>
      <c r="J28" s="89"/>
      <c r="K28" s="31"/>
    </row>
    <row r="29" spans="1:11" s="29" customFormat="1" ht="18.75" customHeight="1" x14ac:dyDescent="0.15">
      <c r="B29" s="74" t="s">
        <v>119</v>
      </c>
      <c r="C29" s="90">
        <v>1</v>
      </c>
      <c r="D29" s="75"/>
      <c r="E29" s="75" t="s">
        <v>120</v>
      </c>
      <c r="F29" s="90">
        <v>1</v>
      </c>
      <c r="G29" s="75"/>
      <c r="H29" s="75" t="s">
        <v>121</v>
      </c>
      <c r="I29" s="91">
        <f>'様式３　履修者等数の実績'!D30</f>
        <v>1000</v>
      </c>
      <c r="J29" s="92"/>
      <c r="K29" s="35"/>
    </row>
    <row r="30" spans="1:11" s="4" customFormat="1" ht="18.75" customHeight="1" x14ac:dyDescent="0.15">
      <c r="A30" s="1"/>
      <c r="B30" s="303" t="s">
        <v>122</v>
      </c>
      <c r="C30" s="304"/>
      <c r="D30" s="304"/>
      <c r="E30" s="304"/>
      <c r="F30" s="304"/>
      <c r="G30" s="304"/>
      <c r="H30" s="304"/>
      <c r="I30" s="304"/>
      <c r="J30" s="305"/>
      <c r="K30" s="35"/>
    </row>
    <row r="31" spans="1:11" s="4" customFormat="1" ht="18.75" customHeight="1" x14ac:dyDescent="0.15">
      <c r="A31" s="1"/>
      <c r="B31" s="299" t="s">
        <v>177</v>
      </c>
      <c r="C31" s="300"/>
      <c r="D31" s="300"/>
      <c r="E31" s="300"/>
      <c r="F31" s="300"/>
      <c r="G31" s="300"/>
      <c r="H31" s="300"/>
      <c r="I31" s="300"/>
      <c r="J31" s="301"/>
      <c r="K31" s="35" t="str">
        <f>IF(B31="","入力してください","")</f>
        <v/>
      </c>
    </row>
    <row r="32" spans="1:11" s="4" customFormat="1" ht="18.75" customHeight="1" x14ac:dyDescent="0.15">
      <c r="A32" s="1"/>
      <c r="B32" s="284"/>
      <c r="C32" s="285"/>
      <c r="D32" s="285"/>
      <c r="E32" s="285"/>
      <c r="F32" s="285"/>
      <c r="G32" s="285"/>
      <c r="H32" s="285"/>
      <c r="I32" s="285"/>
      <c r="J32" s="286"/>
      <c r="K32" s="35"/>
    </row>
    <row r="33" spans="1:11" s="4" customFormat="1" ht="18.75" customHeight="1" x14ac:dyDescent="0.15">
      <c r="A33" s="1"/>
      <c r="B33" s="284"/>
      <c r="C33" s="285"/>
      <c r="D33" s="285"/>
      <c r="E33" s="285"/>
      <c r="F33" s="285"/>
      <c r="G33" s="285"/>
      <c r="H33" s="285"/>
      <c r="I33" s="285"/>
      <c r="J33" s="286"/>
      <c r="K33" s="35"/>
    </row>
    <row r="34" spans="1:11" s="4" customFormat="1" ht="18.75" customHeight="1" x14ac:dyDescent="0.15">
      <c r="A34" s="1"/>
      <c r="B34" s="284"/>
      <c r="C34" s="285"/>
      <c r="D34" s="285"/>
      <c r="E34" s="285"/>
      <c r="F34" s="285"/>
      <c r="G34" s="285"/>
      <c r="H34" s="285"/>
      <c r="I34" s="285"/>
      <c r="J34" s="286"/>
      <c r="K34" s="35"/>
    </row>
    <row r="35" spans="1:11" s="4" customFormat="1" ht="18.75" customHeight="1" x14ac:dyDescent="0.15">
      <c r="A35" s="1"/>
      <c r="B35" s="284"/>
      <c r="C35" s="285"/>
      <c r="D35" s="285"/>
      <c r="E35" s="285"/>
      <c r="F35" s="285"/>
      <c r="G35" s="285"/>
      <c r="H35" s="285"/>
      <c r="I35" s="285"/>
      <c r="J35" s="286"/>
      <c r="K35" s="35"/>
    </row>
    <row r="36" spans="1:11" s="4" customFormat="1" ht="18.75" customHeight="1" x14ac:dyDescent="0.15">
      <c r="A36" s="1"/>
      <c r="B36" s="284"/>
      <c r="C36" s="285"/>
      <c r="D36" s="285"/>
      <c r="E36" s="285"/>
      <c r="F36" s="285"/>
      <c r="G36" s="285"/>
      <c r="H36" s="285"/>
      <c r="I36" s="285"/>
      <c r="J36" s="286"/>
      <c r="K36" s="35"/>
    </row>
    <row r="37" spans="1:11" s="4" customFormat="1" ht="18.75" customHeight="1" x14ac:dyDescent="0.15">
      <c r="A37" s="1"/>
      <c r="B37" s="284"/>
      <c r="C37" s="285"/>
      <c r="D37" s="285"/>
      <c r="E37" s="285"/>
      <c r="F37" s="285"/>
      <c r="G37" s="285"/>
      <c r="H37" s="285"/>
      <c r="I37" s="285"/>
      <c r="J37" s="286"/>
      <c r="K37" s="35"/>
    </row>
    <row r="38" spans="1:11" s="4" customFormat="1" ht="18.75" customHeight="1" x14ac:dyDescent="0.15">
      <c r="A38" s="1"/>
      <c r="B38" s="284"/>
      <c r="C38" s="285"/>
      <c r="D38" s="285"/>
      <c r="E38" s="285"/>
      <c r="F38" s="285"/>
      <c r="G38" s="285"/>
      <c r="H38" s="285"/>
      <c r="I38" s="285"/>
      <c r="J38" s="286"/>
      <c r="K38" s="35"/>
    </row>
    <row r="39" spans="1:11" s="4" customFormat="1" ht="18.75" customHeight="1" x14ac:dyDescent="0.15">
      <c r="A39" s="1"/>
      <c r="B39" s="284"/>
      <c r="C39" s="285"/>
      <c r="D39" s="285"/>
      <c r="E39" s="285"/>
      <c r="F39" s="285"/>
      <c r="G39" s="285"/>
      <c r="H39" s="285"/>
      <c r="I39" s="285"/>
      <c r="J39" s="286"/>
      <c r="K39" s="35"/>
    </row>
    <row r="40" spans="1:11" s="4" customFormat="1" ht="18.75" customHeight="1" x14ac:dyDescent="0.15">
      <c r="A40" s="1"/>
      <c r="B40" s="284"/>
      <c r="C40" s="285"/>
      <c r="D40" s="285"/>
      <c r="E40" s="285"/>
      <c r="F40" s="285"/>
      <c r="G40" s="285"/>
      <c r="H40" s="285"/>
      <c r="I40" s="285"/>
      <c r="J40" s="286"/>
      <c r="K40" s="35"/>
    </row>
    <row r="41" spans="1:11" s="4" customFormat="1" ht="18.75" customHeight="1" x14ac:dyDescent="0.15">
      <c r="A41" s="1"/>
      <c r="B41" s="284"/>
      <c r="C41" s="285"/>
      <c r="D41" s="285"/>
      <c r="E41" s="285"/>
      <c r="F41" s="285"/>
      <c r="G41" s="285"/>
      <c r="H41" s="285"/>
      <c r="I41" s="285"/>
      <c r="J41" s="286"/>
      <c r="K41" s="35"/>
    </row>
    <row r="42" spans="1:11" s="4" customFormat="1" ht="18.75" customHeight="1" x14ac:dyDescent="0.15">
      <c r="A42" s="1"/>
      <c r="B42" s="284"/>
      <c r="C42" s="285"/>
      <c r="D42" s="285"/>
      <c r="E42" s="285"/>
      <c r="F42" s="285"/>
      <c r="G42" s="285"/>
      <c r="H42" s="285"/>
      <c r="I42" s="285"/>
      <c r="J42" s="286"/>
      <c r="K42" s="35"/>
    </row>
    <row r="43" spans="1:11" ht="18.75" customHeight="1" x14ac:dyDescent="0.15">
      <c r="A43" s="39"/>
      <c r="B43" s="284"/>
      <c r="C43" s="285"/>
      <c r="D43" s="285"/>
      <c r="E43" s="285"/>
      <c r="F43" s="285"/>
      <c r="G43" s="285"/>
      <c r="H43" s="285"/>
      <c r="I43" s="285"/>
      <c r="J43" s="286"/>
      <c r="K43" s="35"/>
    </row>
    <row r="44" spans="1:11" ht="18.75" customHeight="1" x14ac:dyDescent="0.15">
      <c r="A44" s="39"/>
      <c r="B44" s="287"/>
      <c r="C44" s="288"/>
      <c r="D44" s="288"/>
      <c r="E44" s="288"/>
      <c r="F44" s="288"/>
      <c r="G44" s="288"/>
      <c r="H44" s="288"/>
      <c r="I44" s="288"/>
      <c r="J44" s="289"/>
    </row>
    <row r="45" spans="1:11" s="4" customFormat="1" ht="18.75" customHeight="1" x14ac:dyDescent="0.15">
      <c r="A45" s="93" t="s">
        <v>11</v>
      </c>
      <c r="B45" s="1" t="s">
        <v>65</v>
      </c>
      <c r="C45" s="1"/>
      <c r="D45" s="1"/>
      <c r="E45" s="1"/>
      <c r="F45" s="1"/>
      <c r="G45" s="1"/>
      <c r="H45" s="1"/>
      <c r="I45" s="93"/>
      <c r="J45" s="93"/>
      <c r="K45" s="31"/>
    </row>
    <row r="46" spans="1:11" ht="18.75" customHeight="1" x14ac:dyDescent="0.15">
      <c r="A46" s="39"/>
      <c r="B46" s="281" t="s">
        <v>178</v>
      </c>
      <c r="C46" s="282"/>
      <c r="D46" s="282"/>
      <c r="E46" s="282"/>
      <c r="F46" s="282"/>
      <c r="G46" s="282"/>
      <c r="H46" s="282"/>
      <c r="I46" s="282"/>
      <c r="J46" s="283"/>
      <c r="K46" s="31" t="str">
        <f>IF(B46="","入力してください","")</f>
        <v/>
      </c>
    </row>
    <row r="47" spans="1:11" ht="18.75" customHeight="1" x14ac:dyDescent="0.15">
      <c r="A47" s="39"/>
      <c r="B47" s="284"/>
      <c r="C47" s="285"/>
      <c r="D47" s="285"/>
      <c r="E47" s="285"/>
      <c r="F47" s="285"/>
      <c r="G47" s="285"/>
      <c r="H47" s="285"/>
      <c r="I47" s="285"/>
      <c r="J47" s="286"/>
    </row>
    <row r="48" spans="1:11" ht="18.75" customHeight="1" x14ac:dyDescent="0.15">
      <c r="A48" s="39"/>
      <c r="B48" s="284"/>
      <c r="C48" s="285"/>
      <c r="D48" s="285"/>
      <c r="E48" s="285"/>
      <c r="F48" s="285"/>
      <c r="G48" s="285"/>
      <c r="H48" s="285"/>
      <c r="I48" s="285"/>
      <c r="J48" s="286"/>
    </row>
    <row r="49" spans="1:10" ht="18.75" customHeight="1" x14ac:dyDescent="0.15">
      <c r="A49" s="39"/>
      <c r="B49" s="284"/>
      <c r="C49" s="285"/>
      <c r="D49" s="285"/>
      <c r="E49" s="285"/>
      <c r="F49" s="285"/>
      <c r="G49" s="285"/>
      <c r="H49" s="285"/>
      <c r="I49" s="285"/>
      <c r="J49" s="286"/>
    </row>
    <row r="50" spans="1:10" ht="18.75" customHeight="1" x14ac:dyDescent="0.15">
      <c r="A50" s="39"/>
      <c r="B50" s="284"/>
      <c r="C50" s="285"/>
      <c r="D50" s="285"/>
      <c r="E50" s="285"/>
      <c r="F50" s="285"/>
      <c r="G50" s="285"/>
      <c r="H50" s="285"/>
      <c r="I50" s="285"/>
      <c r="J50" s="286"/>
    </row>
    <row r="51" spans="1:10" ht="18.75" customHeight="1" x14ac:dyDescent="0.15">
      <c r="A51" s="39"/>
      <c r="B51" s="284"/>
      <c r="C51" s="285"/>
      <c r="D51" s="285"/>
      <c r="E51" s="285"/>
      <c r="F51" s="285"/>
      <c r="G51" s="285"/>
      <c r="H51" s="285"/>
      <c r="I51" s="285"/>
      <c r="J51" s="286"/>
    </row>
    <row r="52" spans="1:10" ht="18.75" customHeight="1" x14ac:dyDescent="0.15">
      <c r="A52" s="39"/>
      <c r="B52" s="284"/>
      <c r="C52" s="285"/>
      <c r="D52" s="285"/>
      <c r="E52" s="285"/>
      <c r="F52" s="285"/>
      <c r="G52" s="285"/>
      <c r="H52" s="285"/>
      <c r="I52" s="285"/>
      <c r="J52" s="286"/>
    </row>
    <row r="53" spans="1:10" ht="18.75" customHeight="1" x14ac:dyDescent="0.15">
      <c r="A53" s="39"/>
      <c r="B53" s="284"/>
      <c r="C53" s="285"/>
      <c r="D53" s="285"/>
      <c r="E53" s="285"/>
      <c r="F53" s="285"/>
      <c r="G53" s="285"/>
      <c r="H53" s="285"/>
      <c r="I53" s="285"/>
      <c r="J53" s="286"/>
    </row>
    <row r="54" spans="1:10" ht="18.75" customHeight="1" x14ac:dyDescent="0.15">
      <c r="A54" s="39"/>
      <c r="B54" s="284"/>
      <c r="C54" s="285"/>
      <c r="D54" s="285"/>
      <c r="E54" s="285"/>
      <c r="F54" s="285"/>
      <c r="G54" s="285"/>
      <c r="H54" s="285"/>
      <c r="I54" s="285"/>
      <c r="J54" s="286"/>
    </row>
    <row r="55" spans="1:10" ht="18.75" customHeight="1" x14ac:dyDescent="0.15">
      <c r="A55" s="39"/>
      <c r="B55" s="284"/>
      <c r="C55" s="285"/>
      <c r="D55" s="285"/>
      <c r="E55" s="285"/>
      <c r="F55" s="285"/>
      <c r="G55" s="285"/>
      <c r="H55" s="285"/>
      <c r="I55" s="285"/>
      <c r="J55" s="286"/>
    </row>
    <row r="56" spans="1:10" ht="18.75" customHeight="1" x14ac:dyDescent="0.15">
      <c r="A56" s="39"/>
      <c r="B56" s="284"/>
      <c r="C56" s="285"/>
      <c r="D56" s="285"/>
      <c r="E56" s="285"/>
      <c r="F56" s="285"/>
      <c r="G56" s="285"/>
      <c r="H56" s="285"/>
      <c r="I56" s="285"/>
      <c r="J56" s="286"/>
    </row>
    <row r="57" spans="1:10" ht="18.75" customHeight="1" x14ac:dyDescent="0.15">
      <c r="A57" s="39"/>
      <c r="B57" s="284"/>
      <c r="C57" s="285"/>
      <c r="D57" s="285"/>
      <c r="E57" s="285"/>
      <c r="F57" s="285"/>
      <c r="G57" s="285"/>
      <c r="H57" s="285"/>
      <c r="I57" s="285"/>
      <c r="J57" s="286"/>
    </row>
    <row r="58" spans="1:10" ht="18.75" customHeight="1" x14ac:dyDescent="0.15">
      <c r="A58" s="39"/>
      <c r="B58" s="284"/>
      <c r="C58" s="285"/>
      <c r="D58" s="285"/>
      <c r="E58" s="285"/>
      <c r="F58" s="285"/>
      <c r="G58" s="285"/>
      <c r="H58" s="285"/>
      <c r="I58" s="285"/>
      <c r="J58" s="286"/>
    </row>
    <row r="59" spans="1:10" ht="18.75" customHeight="1" x14ac:dyDescent="0.15">
      <c r="A59" s="39"/>
      <c r="B59" s="284"/>
      <c r="C59" s="285"/>
      <c r="D59" s="285"/>
      <c r="E59" s="285"/>
      <c r="F59" s="285"/>
      <c r="G59" s="285"/>
      <c r="H59" s="285"/>
      <c r="I59" s="285"/>
      <c r="J59" s="286"/>
    </row>
    <row r="60" spans="1:10" ht="18.75" customHeight="1" x14ac:dyDescent="0.15">
      <c r="A60" s="39"/>
      <c r="B60" s="284"/>
      <c r="C60" s="285"/>
      <c r="D60" s="285"/>
      <c r="E60" s="285"/>
      <c r="F60" s="285"/>
      <c r="G60" s="285"/>
      <c r="H60" s="285"/>
      <c r="I60" s="285"/>
      <c r="J60" s="286"/>
    </row>
    <row r="61" spans="1:10" ht="18.75" customHeight="1" x14ac:dyDescent="0.15">
      <c r="A61" s="39"/>
      <c r="B61" s="284"/>
      <c r="C61" s="285"/>
      <c r="D61" s="285"/>
      <c r="E61" s="285"/>
      <c r="F61" s="285"/>
      <c r="G61" s="285"/>
      <c r="H61" s="285"/>
      <c r="I61" s="285"/>
      <c r="J61" s="286"/>
    </row>
    <row r="62" spans="1:10" ht="18.75" customHeight="1" x14ac:dyDescent="0.15">
      <c r="A62" s="39"/>
      <c r="B62" s="284"/>
      <c r="C62" s="285"/>
      <c r="D62" s="285"/>
      <c r="E62" s="285"/>
      <c r="F62" s="285"/>
      <c r="G62" s="285"/>
      <c r="H62" s="285"/>
      <c r="I62" s="285"/>
      <c r="J62" s="286"/>
    </row>
    <row r="63" spans="1:10" ht="18.75" customHeight="1" x14ac:dyDescent="0.15">
      <c r="A63" s="39"/>
      <c r="B63" s="284"/>
      <c r="C63" s="285"/>
      <c r="D63" s="285"/>
      <c r="E63" s="285"/>
      <c r="F63" s="285"/>
      <c r="G63" s="285"/>
      <c r="H63" s="285"/>
      <c r="I63" s="285"/>
      <c r="J63" s="286"/>
    </row>
    <row r="64" spans="1:10" ht="18.75" customHeight="1" x14ac:dyDescent="0.15">
      <c r="A64" s="39"/>
      <c r="B64" s="284"/>
      <c r="C64" s="285"/>
      <c r="D64" s="285"/>
      <c r="E64" s="285"/>
      <c r="F64" s="285"/>
      <c r="G64" s="285"/>
      <c r="H64" s="285"/>
      <c r="I64" s="285"/>
      <c r="J64" s="286"/>
    </row>
    <row r="65" spans="1:11" ht="18.75" customHeight="1" x14ac:dyDescent="0.15">
      <c r="A65" s="39"/>
      <c r="B65" s="284"/>
      <c r="C65" s="285"/>
      <c r="D65" s="285"/>
      <c r="E65" s="285"/>
      <c r="F65" s="285"/>
      <c r="G65" s="285"/>
      <c r="H65" s="285"/>
      <c r="I65" s="285"/>
      <c r="J65" s="286"/>
    </row>
    <row r="66" spans="1:11" ht="18.75" customHeight="1" x14ac:dyDescent="0.15">
      <c r="A66" s="39"/>
      <c r="B66" s="287"/>
      <c r="C66" s="288"/>
      <c r="D66" s="288"/>
      <c r="E66" s="288"/>
      <c r="F66" s="288"/>
      <c r="G66" s="288"/>
      <c r="H66" s="288"/>
      <c r="I66" s="288"/>
      <c r="J66" s="289"/>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81" t="s">
        <v>179</v>
      </c>
      <c r="C69" s="282"/>
      <c r="D69" s="282"/>
      <c r="E69" s="282"/>
      <c r="F69" s="282"/>
      <c r="G69" s="282"/>
      <c r="H69" s="282"/>
      <c r="I69" s="290"/>
      <c r="J69" s="291"/>
      <c r="K69" s="35" t="str">
        <f>IF(B69="","入力してください","")</f>
        <v/>
      </c>
    </row>
    <row r="70" spans="1:11" s="4" customFormat="1" ht="18.75" customHeight="1" x14ac:dyDescent="0.15">
      <c r="A70" s="1"/>
      <c r="B70" s="292"/>
      <c r="C70" s="293"/>
      <c r="D70" s="293"/>
      <c r="E70" s="293"/>
      <c r="F70" s="293"/>
      <c r="G70" s="293"/>
      <c r="H70" s="293"/>
      <c r="I70" s="293"/>
      <c r="J70" s="294"/>
      <c r="K70" s="35"/>
    </row>
    <row r="71" spans="1:11" s="4" customFormat="1" ht="18.75" customHeight="1" x14ac:dyDescent="0.15">
      <c r="A71" s="1"/>
      <c r="B71" s="292"/>
      <c r="C71" s="293"/>
      <c r="D71" s="293"/>
      <c r="E71" s="293"/>
      <c r="F71" s="293"/>
      <c r="G71" s="293"/>
      <c r="H71" s="293"/>
      <c r="I71" s="293"/>
      <c r="J71" s="294"/>
      <c r="K71" s="35"/>
    </row>
    <row r="72" spans="1:11" s="4" customFormat="1" ht="18.75" customHeight="1" x14ac:dyDescent="0.15">
      <c r="A72" s="1"/>
      <c r="B72" s="292"/>
      <c r="C72" s="293"/>
      <c r="D72" s="293"/>
      <c r="E72" s="293"/>
      <c r="F72" s="293"/>
      <c r="G72" s="293"/>
      <c r="H72" s="293"/>
      <c r="I72" s="293"/>
      <c r="J72" s="294"/>
      <c r="K72" s="35"/>
    </row>
    <row r="73" spans="1:11" s="4" customFormat="1" ht="18.75" customHeight="1" x14ac:dyDescent="0.15">
      <c r="A73" s="1"/>
      <c r="B73" s="292"/>
      <c r="C73" s="293"/>
      <c r="D73" s="293"/>
      <c r="E73" s="293"/>
      <c r="F73" s="293"/>
      <c r="G73" s="293"/>
      <c r="H73" s="293"/>
      <c r="I73" s="293"/>
      <c r="J73" s="294"/>
      <c r="K73" s="35"/>
    </row>
    <row r="74" spans="1:11" s="4" customFormat="1" ht="18.75" customHeight="1" x14ac:dyDescent="0.15">
      <c r="A74" s="1"/>
      <c r="B74" s="292"/>
      <c r="C74" s="293"/>
      <c r="D74" s="293"/>
      <c r="E74" s="293"/>
      <c r="F74" s="293"/>
      <c r="G74" s="293"/>
      <c r="H74" s="293"/>
      <c r="I74" s="293"/>
      <c r="J74" s="294"/>
      <c r="K74" s="35"/>
    </row>
    <row r="75" spans="1:11" s="4" customFormat="1" ht="18.75" customHeight="1" x14ac:dyDescent="0.15">
      <c r="A75" s="1"/>
      <c r="B75" s="292"/>
      <c r="C75" s="293"/>
      <c r="D75" s="293"/>
      <c r="E75" s="293"/>
      <c r="F75" s="293"/>
      <c r="G75" s="293"/>
      <c r="H75" s="293"/>
      <c r="I75" s="293"/>
      <c r="J75" s="294"/>
      <c r="K75" s="35"/>
    </row>
    <row r="76" spans="1:11" s="4" customFormat="1" ht="18.75" customHeight="1" x14ac:dyDescent="0.15">
      <c r="A76" s="1"/>
      <c r="B76" s="292"/>
      <c r="C76" s="293"/>
      <c r="D76" s="293"/>
      <c r="E76" s="293"/>
      <c r="F76" s="293"/>
      <c r="G76" s="293"/>
      <c r="H76" s="293"/>
      <c r="I76" s="293"/>
      <c r="J76" s="294"/>
      <c r="K76" s="35"/>
    </row>
    <row r="77" spans="1:11" s="4" customFormat="1" ht="18.75" customHeight="1" x14ac:dyDescent="0.15">
      <c r="A77" s="1"/>
      <c r="B77" s="292"/>
      <c r="C77" s="293"/>
      <c r="D77" s="293"/>
      <c r="E77" s="293"/>
      <c r="F77" s="293"/>
      <c r="G77" s="293"/>
      <c r="H77" s="293"/>
      <c r="I77" s="293"/>
      <c r="J77" s="294"/>
      <c r="K77" s="35"/>
    </row>
    <row r="78" spans="1:11" s="4" customFormat="1" ht="18.75" customHeight="1" x14ac:dyDescent="0.15">
      <c r="A78" s="1"/>
      <c r="B78" s="292"/>
      <c r="C78" s="293"/>
      <c r="D78" s="293"/>
      <c r="E78" s="293"/>
      <c r="F78" s="293"/>
      <c r="G78" s="293"/>
      <c r="H78" s="293"/>
      <c r="I78" s="293"/>
      <c r="J78" s="294"/>
      <c r="K78" s="35"/>
    </row>
    <row r="79" spans="1:11" s="4" customFormat="1" ht="18.75" customHeight="1" x14ac:dyDescent="0.15">
      <c r="A79" s="1"/>
      <c r="B79" s="292"/>
      <c r="C79" s="293"/>
      <c r="D79" s="293"/>
      <c r="E79" s="293"/>
      <c r="F79" s="293"/>
      <c r="G79" s="293"/>
      <c r="H79" s="293"/>
      <c r="I79" s="293"/>
      <c r="J79" s="294"/>
      <c r="K79" s="35"/>
    </row>
    <row r="80" spans="1:11" s="4" customFormat="1" ht="18.75" customHeight="1" x14ac:dyDescent="0.15">
      <c r="A80" s="1"/>
      <c r="B80" s="292"/>
      <c r="C80" s="293"/>
      <c r="D80" s="293"/>
      <c r="E80" s="293"/>
      <c r="F80" s="293"/>
      <c r="G80" s="293"/>
      <c r="H80" s="293"/>
      <c r="I80" s="293"/>
      <c r="J80" s="294"/>
      <c r="K80" s="35"/>
    </row>
    <row r="81" spans="1:11" s="4" customFormat="1" ht="18.75" customHeight="1" x14ac:dyDescent="0.15">
      <c r="A81" s="1"/>
      <c r="B81" s="292"/>
      <c r="C81" s="293"/>
      <c r="D81" s="293"/>
      <c r="E81" s="293"/>
      <c r="F81" s="293"/>
      <c r="G81" s="293"/>
      <c r="H81" s="293"/>
      <c r="I81" s="293"/>
      <c r="J81" s="294"/>
      <c r="K81" s="35"/>
    </row>
    <row r="82" spans="1:11" s="4" customFormat="1" ht="18.75" customHeight="1" x14ac:dyDescent="0.15">
      <c r="A82" s="1"/>
      <c r="B82" s="292"/>
      <c r="C82" s="293"/>
      <c r="D82" s="293"/>
      <c r="E82" s="293"/>
      <c r="F82" s="293"/>
      <c r="G82" s="293"/>
      <c r="H82" s="293"/>
      <c r="I82" s="293"/>
      <c r="J82" s="294"/>
      <c r="K82" s="35"/>
    </row>
    <row r="83" spans="1:11" s="4" customFormat="1" ht="18.75" customHeight="1" x14ac:dyDescent="0.15">
      <c r="A83" s="1"/>
      <c r="B83" s="292"/>
      <c r="C83" s="293"/>
      <c r="D83" s="293"/>
      <c r="E83" s="293"/>
      <c r="F83" s="293"/>
      <c r="G83" s="293"/>
      <c r="H83" s="293"/>
      <c r="I83" s="293"/>
      <c r="J83" s="294"/>
      <c r="K83" s="35"/>
    </row>
    <row r="84" spans="1:11" s="4" customFormat="1" ht="18.75" customHeight="1" x14ac:dyDescent="0.15">
      <c r="A84" s="1"/>
      <c r="B84" s="292"/>
      <c r="C84" s="293"/>
      <c r="D84" s="293"/>
      <c r="E84" s="293"/>
      <c r="F84" s="293"/>
      <c r="G84" s="293"/>
      <c r="H84" s="293"/>
      <c r="I84" s="293"/>
      <c r="J84" s="294"/>
      <c r="K84" s="35"/>
    </row>
    <row r="85" spans="1:11" ht="18.75" customHeight="1" x14ac:dyDescent="0.15">
      <c r="A85" s="39"/>
      <c r="B85" s="292"/>
      <c r="C85" s="293"/>
      <c r="D85" s="293"/>
      <c r="E85" s="293"/>
      <c r="F85" s="293"/>
      <c r="G85" s="293"/>
      <c r="H85" s="293"/>
      <c r="I85" s="293"/>
      <c r="J85" s="294"/>
      <c r="K85" s="35"/>
    </row>
    <row r="86" spans="1:11" ht="18.75" customHeight="1" x14ac:dyDescent="0.15">
      <c r="A86" s="39"/>
      <c r="B86" s="295"/>
      <c r="C86" s="296"/>
      <c r="D86" s="296"/>
      <c r="E86" s="296"/>
      <c r="F86" s="296"/>
      <c r="G86" s="296"/>
      <c r="H86" s="296"/>
      <c r="I86" s="296"/>
      <c r="J86" s="297"/>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81" t="s">
        <v>180</v>
      </c>
      <c r="C89" s="282"/>
      <c r="D89" s="282"/>
      <c r="E89" s="282"/>
      <c r="F89" s="282"/>
      <c r="G89" s="282"/>
      <c r="H89" s="282"/>
      <c r="I89" s="290"/>
      <c r="J89" s="291"/>
      <c r="K89" s="31"/>
    </row>
    <row r="90" spans="1:11" s="4" customFormat="1" ht="18.75" customHeight="1" x14ac:dyDescent="0.15">
      <c r="A90" s="1"/>
      <c r="B90" s="292"/>
      <c r="C90" s="293"/>
      <c r="D90" s="293"/>
      <c r="E90" s="293"/>
      <c r="F90" s="293"/>
      <c r="G90" s="293"/>
      <c r="H90" s="293"/>
      <c r="I90" s="293"/>
      <c r="J90" s="294"/>
      <c r="K90" s="35"/>
    </row>
    <row r="91" spans="1:11" s="4" customFormat="1" ht="18.75" customHeight="1" x14ac:dyDescent="0.15">
      <c r="A91" s="1"/>
      <c r="B91" s="292"/>
      <c r="C91" s="293"/>
      <c r="D91" s="293"/>
      <c r="E91" s="293"/>
      <c r="F91" s="293"/>
      <c r="G91" s="293"/>
      <c r="H91" s="293"/>
      <c r="I91" s="293"/>
      <c r="J91" s="294"/>
      <c r="K91" s="35" t="str">
        <f>IF(B89="","入力してください","")</f>
        <v/>
      </c>
    </row>
    <row r="92" spans="1:11" s="4" customFormat="1" ht="18.75" customHeight="1" x14ac:dyDescent="0.15">
      <c r="A92" s="1"/>
      <c r="B92" s="292"/>
      <c r="C92" s="293"/>
      <c r="D92" s="293"/>
      <c r="E92" s="293"/>
      <c r="F92" s="293"/>
      <c r="G92" s="293"/>
      <c r="H92" s="293"/>
      <c r="I92" s="293"/>
      <c r="J92" s="294"/>
      <c r="K92" s="35"/>
    </row>
    <row r="93" spans="1:11" s="4" customFormat="1" ht="18.75" customHeight="1" x14ac:dyDescent="0.15">
      <c r="A93" s="1"/>
      <c r="B93" s="292"/>
      <c r="C93" s="293"/>
      <c r="D93" s="293"/>
      <c r="E93" s="293"/>
      <c r="F93" s="293"/>
      <c r="G93" s="293"/>
      <c r="H93" s="293"/>
      <c r="I93" s="293"/>
      <c r="J93" s="294"/>
      <c r="K93" s="35"/>
    </row>
    <row r="94" spans="1:11" s="4" customFormat="1" ht="18.75" customHeight="1" x14ac:dyDescent="0.15">
      <c r="A94" s="1"/>
      <c r="B94" s="292"/>
      <c r="C94" s="293"/>
      <c r="D94" s="293"/>
      <c r="E94" s="293"/>
      <c r="F94" s="293"/>
      <c r="G94" s="293"/>
      <c r="H94" s="293"/>
      <c r="I94" s="293"/>
      <c r="J94" s="294"/>
      <c r="K94" s="35"/>
    </row>
    <row r="95" spans="1:11" s="4" customFormat="1" ht="18.75" customHeight="1" x14ac:dyDescent="0.15">
      <c r="A95" s="1"/>
      <c r="B95" s="292"/>
      <c r="C95" s="293"/>
      <c r="D95" s="293"/>
      <c r="E95" s="293"/>
      <c r="F95" s="293"/>
      <c r="G95" s="293"/>
      <c r="H95" s="293"/>
      <c r="I95" s="293"/>
      <c r="J95" s="294"/>
      <c r="K95" s="35"/>
    </row>
    <row r="96" spans="1:11" s="4" customFormat="1" ht="18.75" customHeight="1" x14ac:dyDescent="0.15">
      <c r="A96" s="1"/>
      <c r="B96" s="292"/>
      <c r="C96" s="293"/>
      <c r="D96" s="293"/>
      <c r="E96" s="293"/>
      <c r="F96" s="293"/>
      <c r="G96" s="293"/>
      <c r="H96" s="293"/>
      <c r="I96" s="293"/>
      <c r="J96" s="294"/>
      <c r="K96" s="35"/>
    </row>
    <row r="97" spans="1:11" s="4" customFormat="1" ht="18.75" customHeight="1" x14ac:dyDescent="0.15">
      <c r="A97" s="1"/>
      <c r="B97" s="292"/>
      <c r="C97" s="293"/>
      <c r="D97" s="293"/>
      <c r="E97" s="293"/>
      <c r="F97" s="293"/>
      <c r="G97" s="293"/>
      <c r="H97" s="293"/>
      <c r="I97" s="293"/>
      <c r="J97" s="294"/>
      <c r="K97" s="35"/>
    </row>
    <row r="98" spans="1:11" s="4" customFormat="1" ht="18.75" customHeight="1" x14ac:dyDescent="0.15">
      <c r="A98" s="1"/>
      <c r="B98" s="292"/>
      <c r="C98" s="293"/>
      <c r="D98" s="293"/>
      <c r="E98" s="293"/>
      <c r="F98" s="293"/>
      <c r="G98" s="293"/>
      <c r="H98" s="293"/>
      <c r="I98" s="293"/>
      <c r="J98" s="294"/>
      <c r="K98" s="35"/>
    </row>
    <row r="99" spans="1:11" s="4" customFormat="1" ht="18.75" customHeight="1" x14ac:dyDescent="0.15">
      <c r="A99" s="1"/>
      <c r="B99" s="292"/>
      <c r="C99" s="293"/>
      <c r="D99" s="293"/>
      <c r="E99" s="293"/>
      <c r="F99" s="293"/>
      <c r="G99" s="293"/>
      <c r="H99" s="293"/>
      <c r="I99" s="293"/>
      <c r="J99" s="294"/>
      <c r="K99" s="35"/>
    </row>
    <row r="100" spans="1:11" s="4" customFormat="1" ht="18.75" customHeight="1" x14ac:dyDescent="0.15">
      <c r="A100" s="1"/>
      <c r="B100" s="292"/>
      <c r="C100" s="293"/>
      <c r="D100" s="293"/>
      <c r="E100" s="293"/>
      <c r="F100" s="293"/>
      <c r="G100" s="293"/>
      <c r="H100" s="293"/>
      <c r="I100" s="293"/>
      <c r="J100" s="294"/>
      <c r="K100" s="35"/>
    </row>
    <row r="101" spans="1:11" s="4" customFormat="1" ht="18.75" customHeight="1" x14ac:dyDescent="0.15">
      <c r="A101" s="1"/>
      <c r="B101" s="292"/>
      <c r="C101" s="293"/>
      <c r="D101" s="293"/>
      <c r="E101" s="293"/>
      <c r="F101" s="293"/>
      <c r="G101" s="293"/>
      <c r="H101" s="293"/>
      <c r="I101" s="293"/>
      <c r="J101" s="294"/>
      <c r="K101" s="35"/>
    </row>
    <row r="102" spans="1:11" s="4" customFormat="1" ht="18.75" customHeight="1" x14ac:dyDescent="0.15">
      <c r="A102" s="1"/>
      <c r="B102" s="292"/>
      <c r="C102" s="293"/>
      <c r="D102" s="293"/>
      <c r="E102" s="293"/>
      <c r="F102" s="293"/>
      <c r="G102" s="293"/>
      <c r="H102" s="293"/>
      <c r="I102" s="293"/>
      <c r="J102" s="294"/>
      <c r="K102" s="35"/>
    </row>
    <row r="103" spans="1:11" s="4" customFormat="1" ht="18.75" customHeight="1" x14ac:dyDescent="0.15">
      <c r="A103" s="1"/>
      <c r="B103" s="292"/>
      <c r="C103" s="293"/>
      <c r="D103" s="293"/>
      <c r="E103" s="293"/>
      <c r="F103" s="293"/>
      <c r="G103" s="293"/>
      <c r="H103" s="293"/>
      <c r="I103" s="293"/>
      <c r="J103" s="294"/>
      <c r="K103" s="35"/>
    </row>
    <row r="104" spans="1:11" s="4" customFormat="1" ht="18.75" customHeight="1" x14ac:dyDescent="0.15">
      <c r="A104" s="1"/>
      <c r="B104" s="292"/>
      <c r="C104" s="293"/>
      <c r="D104" s="293"/>
      <c r="E104" s="293"/>
      <c r="F104" s="293"/>
      <c r="G104" s="293"/>
      <c r="H104" s="293"/>
      <c r="I104" s="293"/>
      <c r="J104" s="294"/>
      <c r="K104" s="35"/>
    </row>
    <row r="105" spans="1:11" s="4" customFormat="1" ht="18.75" customHeight="1" x14ac:dyDescent="0.15">
      <c r="A105" s="1"/>
      <c r="B105" s="292"/>
      <c r="C105" s="293"/>
      <c r="D105" s="293"/>
      <c r="E105" s="293"/>
      <c r="F105" s="293"/>
      <c r="G105" s="293"/>
      <c r="H105" s="293"/>
      <c r="I105" s="293"/>
      <c r="J105" s="294"/>
      <c r="K105" s="35"/>
    </row>
    <row r="106" spans="1:11" s="4" customFormat="1" ht="18.75" customHeight="1" x14ac:dyDescent="0.15">
      <c r="A106" s="1"/>
      <c r="B106" s="292"/>
      <c r="C106" s="293"/>
      <c r="D106" s="293"/>
      <c r="E106" s="293"/>
      <c r="F106" s="293"/>
      <c r="G106" s="293"/>
      <c r="H106" s="293"/>
      <c r="I106" s="293"/>
      <c r="J106" s="294"/>
      <c r="K106" s="35"/>
    </row>
    <row r="107" spans="1:11" ht="18.75" customHeight="1" x14ac:dyDescent="0.15">
      <c r="A107" s="39"/>
      <c r="B107" s="292"/>
      <c r="C107" s="293"/>
      <c r="D107" s="293"/>
      <c r="E107" s="293"/>
      <c r="F107" s="293"/>
      <c r="G107" s="293"/>
      <c r="H107" s="293"/>
      <c r="I107" s="293"/>
      <c r="J107" s="294"/>
      <c r="K107" s="35"/>
    </row>
    <row r="108" spans="1:11" ht="18.75" customHeight="1" x14ac:dyDescent="0.15">
      <c r="A108" s="39"/>
      <c r="B108" s="295"/>
      <c r="C108" s="296"/>
      <c r="D108" s="296"/>
      <c r="E108" s="296"/>
      <c r="F108" s="296"/>
      <c r="G108" s="296"/>
      <c r="H108" s="296"/>
      <c r="I108" s="296"/>
      <c r="J108" s="297"/>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98" t="s">
        <v>82</v>
      </c>
      <c r="C110" s="298"/>
      <c r="D110" s="298"/>
      <c r="E110" s="298"/>
      <c r="F110" s="298"/>
      <c r="G110" s="298"/>
      <c r="H110" s="298"/>
      <c r="I110" s="298"/>
      <c r="J110" s="298"/>
      <c r="K110" s="31"/>
    </row>
    <row r="111" spans="1:11" ht="18.75" customHeight="1" x14ac:dyDescent="0.15">
      <c r="A111" s="39"/>
      <c r="B111" s="281" t="s">
        <v>181</v>
      </c>
      <c r="C111" s="282"/>
      <c r="D111" s="282"/>
      <c r="E111" s="282"/>
      <c r="F111" s="282"/>
      <c r="G111" s="282"/>
      <c r="H111" s="282"/>
      <c r="I111" s="290"/>
      <c r="J111" s="291"/>
    </row>
    <row r="112" spans="1:11" ht="18.75" customHeight="1" x14ac:dyDescent="0.15">
      <c r="A112" s="39"/>
      <c r="B112" s="292"/>
      <c r="C112" s="293"/>
      <c r="D112" s="293"/>
      <c r="E112" s="293"/>
      <c r="F112" s="293"/>
      <c r="G112" s="293"/>
      <c r="H112" s="293"/>
      <c r="I112" s="293"/>
      <c r="J112" s="294"/>
      <c r="K112" s="35"/>
    </row>
    <row r="113" spans="1:11" ht="18.75" customHeight="1" x14ac:dyDescent="0.15">
      <c r="A113" s="39"/>
      <c r="B113" s="292"/>
      <c r="C113" s="293"/>
      <c r="D113" s="293"/>
      <c r="E113" s="293"/>
      <c r="F113" s="293"/>
      <c r="G113" s="293"/>
      <c r="H113" s="293"/>
      <c r="I113" s="293"/>
      <c r="J113" s="294"/>
      <c r="K113" s="31" t="str">
        <f>IF(B111="","入力してください","")</f>
        <v/>
      </c>
    </row>
    <row r="114" spans="1:11" ht="18.75" customHeight="1" x14ac:dyDescent="0.15">
      <c r="A114" s="39"/>
      <c r="B114" s="292"/>
      <c r="C114" s="293"/>
      <c r="D114" s="293"/>
      <c r="E114" s="293"/>
      <c r="F114" s="293"/>
      <c r="G114" s="293"/>
      <c r="H114" s="293"/>
      <c r="I114" s="293"/>
      <c r="J114" s="294"/>
    </row>
    <row r="115" spans="1:11" ht="18.75" customHeight="1" x14ac:dyDescent="0.15">
      <c r="A115" s="39"/>
      <c r="B115" s="292"/>
      <c r="C115" s="293"/>
      <c r="D115" s="293"/>
      <c r="E115" s="293"/>
      <c r="F115" s="293"/>
      <c r="G115" s="293"/>
      <c r="H115" s="293"/>
      <c r="I115" s="293"/>
      <c r="J115" s="294"/>
    </row>
    <row r="116" spans="1:11" ht="18.75" customHeight="1" x14ac:dyDescent="0.15">
      <c r="A116" s="39"/>
      <c r="B116" s="292"/>
      <c r="C116" s="293"/>
      <c r="D116" s="293"/>
      <c r="E116" s="293"/>
      <c r="F116" s="293"/>
      <c r="G116" s="293"/>
      <c r="H116" s="293"/>
      <c r="I116" s="293"/>
      <c r="J116" s="294"/>
    </row>
    <row r="117" spans="1:11" ht="18.75" customHeight="1" x14ac:dyDescent="0.15">
      <c r="A117" s="39"/>
      <c r="B117" s="292"/>
      <c r="C117" s="293"/>
      <c r="D117" s="293"/>
      <c r="E117" s="293"/>
      <c r="F117" s="293"/>
      <c r="G117" s="293"/>
      <c r="H117" s="293"/>
      <c r="I117" s="293"/>
      <c r="J117" s="294"/>
    </row>
    <row r="118" spans="1:11" ht="18.75" customHeight="1" x14ac:dyDescent="0.15">
      <c r="A118" s="39"/>
      <c r="B118" s="292"/>
      <c r="C118" s="293"/>
      <c r="D118" s="293"/>
      <c r="E118" s="293"/>
      <c r="F118" s="293"/>
      <c r="G118" s="293"/>
      <c r="H118" s="293"/>
      <c r="I118" s="293"/>
      <c r="J118" s="294"/>
    </row>
    <row r="119" spans="1:11" ht="18.75" customHeight="1" x14ac:dyDescent="0.15">
      <c r="A119" s="39"/>
      <c r="B119" s="292"/>
      <c r="C119" s="293"/>
      <c r="D119" s="293"/>
      <c r="E119" s="293"/>
      <c r="F119" s="293"/>
      <c r="G119" s="293"/>
      <c r="H119" s="293"/>
      <c r="I119" s="293"/>
      <c r="J119" s="294"/>
    </row>
    <row r="120" spans="1:11" ht="18.75" customHeight="1" x14ac:dyDescent="0.15">
      <c r="A120" s="39"/>
      <c r="B120" s="292"/>
      <c r="C120" s="293"/>
      <c r="D120" s="293"/>
      <c r="E120" s="293"/>
      <c r="F120" s="293"/>
      <c r="G120" s="293"/>
      <c r="H120" s="293"/>
      <c r="I120" s="293"/>
      <c r="J120" s="294"/>
    </row>
    <row r="121" spans="1:11" ht="18.75" customHeight="1" x14ac:dyDescent="0.15">
      <c r="A121" s="39"/>
      <c r="B121" s="292"/>
      <c r="C121" s="293"/>
      <c r="D121" s="293"/>
      <c r="E121" s="293"/>
      <c r="F121" s="293"/>
      <c r="G121" s="293"/>
      <c r="H121" s="293"/>
      <c r="I121" s="293"/>
      <c r="J121" s="294"/>
    </row>
    <row r="122" spans="1:11" ht="18.75" customHeight="1" x14ac:dyDescent="0.15">
      <c r="A122" s="39"/>
      <c r="B122" s="292"/>
      <c r="C122" s="293"/>
      <c r="D122" s="293"/>
      <c r="E122" s="293"/>
      <c r="F122" s="293"/>
      <c r="G122" s="293"/>
      <c r="H122" s="293"/>
      <c r="I122" s="293"/>
      <c r="J122" s="294"/>
    </row>
    <row r="123" spans="1:11" ht="18.75" customHeight="1" x14ac:dyDescent="0.15">
      <c r="A123" s="39"/>
      <c r="B123" s="292"/>
      <c r="C123" s="293"/>
      <c r="D123" s="293"/>
      <c r="E123" s="293"/>
      <c r="F123" s="293"/>
      <c r="G123" s="293"/>
      <c r="H123" s="293"/>
      <c r="I123" s="293"/>
      <c r="J123" s="294"/>
    </row>
    <row r="124" spans="1:11" ht="18.75" customHeight="1" x14ac:dyDescent="0.15">
      <c r="A124" s="39"/>
      <c r="B124" s="292"/>
      <c r="C124" s="293"/>
      <c r="D124" s="293"/>
      <c r="E124" s="293"/>
      <c r="F124" s="293"/>
      <c r="G124" s="293"/>
      <c r="H124" s="293"/>
      <c r="I124" s="293"/>
      <c r="J124" s="294"/>
    </row>
    <row r="125" spans="1:11" ht="18.75" customHeight="1" x14ac:dyDescent="0.15">
      <c r="A125" s="39"/>
      <c r="B125" s="292"/>
      <c r="C125" s="293"/>
      <c r="D125" s="293"/>
      <c r="E125" s="293"/>
      <c r="F125" s="293"/>
      <c r="G125" s="293"/>
      <c r="H125" s="293"/>
      <c r="I125" s="293"/>
      <c r="J125" s="294"/>
    </row>
    <row r="126" spans="1:11" ht="18.75" customHeight="1" x14ac:dyDescent="0.15">
      <c r="A126" s="39"/>
      <c r="B126" s="292"/>
      <c r="C126" s="293"/>
      <c r="D126" s="293"/>
      <c r="E126" s="293"/>
      <c r="F126" s="293"/>
      <c r="G126" s="293"/>
      <c r="H126" s="293"/>
      <c r="I126" s="293"/>
      <c r="J126" s="294"/>
    </row>
    <row r="127" spans="1:11" ht="18.75" customHeight="1" x14ac:dyDescent="0.15">
      <c r="A127" s="39"/>
      <c r="B127" s="292"/>
      <c r="C127" s="293"/>
      <c r="D127" s="293"/>
      <c r="E127" s="293"/>
      <c r="F127" s="293"/>
      <c r="G127" s="293"/>
      <c r="H127" s="293"/>
      <c r="I127" s="293"/>
      <c r="J127" s="294"/>
    </row>
    <row r="128" spans="1:11" ht="18.75" customHeight="1" x14ac:dyDescent="0.15">
      <c r="A128" s="39"/>
      <c r="B128" s="292"/>
      <c r="C128" s="293"/>
      <c r="D128" s="293"/>
      <c r="E128" s="293"/>
      <c r="F128" s="293"/>
      <c r="G128" s="293"/>
      <c r="H128" s="293"/>
      <c r="I128" s="293"/>
      <c r="J128" s="294"/>
    </row>
    <row r="129" spans="1:10" ht="18.75" customHeight="1" x14ac:dyDescent="0.15">
      <c r="A129" s="39"/>
      <c r="B129" s="295"/>
      <c r="C129" s="296"/>
      <c r="D129" s="296"/>
      <c r="E129" s="296"/>
      <c r="F129" s="296"/>
      <c r="G129" s="296"/>
      <c r="H129" s="296"/>
      <c r="I129" s="296"/>
      <c r="J129" s="297"/>
    </row>
    <row r="130" spans="1:10" ht="7.5" customHeight="1" x14ac:dyDescent="0.15">
      <c r="A130" s="39"/>
      <c r="B130" s="94"/>
      <c r="C130" s="94"/>
      <c r="D130" s="94"/>
      <c r="E130" s="94"/>
      <c r="F130" s="94"/>
      <c r="G130" s="94"/>
      <c r="H130" s="94"/>
      <c r="I130" s="94"/>
      <c r="J130" s="9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95"/>
      <c r="B144" s="95"/>
      <c r="C144" s="95"/>
      <c r="D144" s="95"/>
      <c r="E144" s="95"/>
      <c r="F144" s="95"/>
      <c r="G144" s="95"/>
      <c r="H144" s="95"/>
      <c r="I144" s="95"/>
      <c r="J144" s="9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tabColor rgb="FFCCFFFF"/>
  </sheetPr>
  <dimension ref="A1:K26"/>
  <sheetViews>
    <sheetView showZeros="0" view="pageBreakPreview" zoomScale="85" zoomScaleNormal="100" zoomScaleSheetLayoutView="85" workbookViewId="0">
      <selection activeCell="E16" sqref="E16:J16"/>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65" t="s">
        <v>42</v>
      </c>
      <c r="B2" s="265"/>
      <c r="C2" s="265"/>
      <c r="D2" s="265"/>
      <c r="E2" s="265"/>
      <c r="F2" s="265"/>
      <c r="G2" s="265"/>
      <c r="H2" s="265"/>
      <c r="I2" s="265"/>
      <c r="J2" s="265"/>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25" t="s">
        <v>38</v>
      </c>
      <c r="C5" s="326"/>
      <c r="D5" s="327"/>
      <c r="E5" s="328" t="s">
        <v>40</v>
      </c>
      <c r="F5" s="328"/>
      <c r="G5" s="328"/>
      <c r="H5" s="328"/>
      <c r="I5" s="328"/>
      <c r="J5" s="329"/>
    </row>
    <row r="6" spans="1:11" ht="18.75" customHeight="1" x14ac:dyDescent="0.15">
      <c r="B6" s="3" t="s">
        <v>28</v>
      </c>
      <c r="C6" s="39"/>
      <c r="D6" s="7"/>
      <c r="I6" s="40"/>
      <c r="J6" s="5"/>
    </row>
    <row r="7" spans="1:11" ht="207" customHeight="1" x14ac:dyDescent="0.15">
      <c r="B7" s="6"/>
      <c r="C7" s="314" t="s">
        <v>29</v>
      </c>
      <c r="D7" s="315"/>
      <c r="E7" s="322" t="s">
        <v>214</v>
      </c>
      <c r="F7" s="316"/>
      <c r="G7" s="316"/>
      <c r="H7" s="316"/>
      <c r="I7" s="316"/>
      <c r="J7" s="317"/>
      <c r="K7" s="31" t="str">
        <f>IF(E7="","入力してください","")</f>
        <v/>
      </c>
    </row>
    <row r="8" spans="1:11" ht="207" customHeight="1" x14ac:dyDescent="0.15">
      <c r="B8" s="6"/>
      <c r="C8" s="323" t="s">
        <v>30</v>
      </c>
      <c r="D8" s="324"/>
      <c r="E8" s="322" t="s">
        <v>215</v>
      </c>
      <c r="F8" s="316"/>
      <c r="G8" s="316"/>
      <c r="H8" s="316"/>
      <c r="I8" s="316"/>
      <c r="J8" s="317"/>
      <c r="K8" s="31" t="str">
        <f>IF(E8="","入力してください","")</f>
        <v/>
      </c>
    </row>
    <row r="9" spans="1:11" ht="172.5" customHeight="1" x14ac:dyDescent="0.15">
      <c r="B9" s="6"/>
      <c r="C9" s="314" t="s">
        <v>31</v>
      </c>
      <c r="D9" s="315"/>
      <c r="E9" s="322" t="s">
        <v>216</v>
      </c>
      <c r="F9" s="316"/>
      <c r="G9" s="316"/>
      <c r="H9" s="316"/>
      <c r="I9" s="316"/>
      <c r="J9" s="317"/>
      <c r="K9" s="31" t="str">
        <f>IF(E9="","入力してください","")</f>
        <v/>
      </c>
    </row>
    <row r="10" spans="1:11" ht="172.5" customHeight="1" x14ac:dyDescent="0.15">
      <c r="B10" s="6"/>
      <c r="C10" s="314" t="s">
        <v>32</v>
      </c>
      <c r="D10" s="315"/>
      <c r="E10" s="322" t="s">
        <v>217</v>
      </c>
      <c r="F10" s="316"/>
      <c r="G10" s="316"/>
      <c r="H10" s="316"/>
      <c r="I10" s="316"/>
      <c r="J10" s="317"/>
      <c r="K10" s="31" t="str">
        <f t="shared" ref="K10:K14" si="0">IF(E10="","入力してください","")</f>
        <v/>
      </c>
    </row>
    <row r="11" spans="1:11" ht="172.5" customHeight="1" x14ac:dyDescent="0.15">
      <c r="B11" s="6"/>
      <c r="C11" s="314" t="s">
        <v>33</v>
      </c>
      <c r="D11" s="315"/>
      <c r="E11" s="322" t="s">
        <v>218</v>
      </c>
      <c r="F11" s="316"/>
      <c r="G11" s="316"/>
      <c r="H11" s="316"/>
      <c r="I11" s="316"/>
      <c r="J11" s="317"/>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14" t="s">
        <v>35</v>
      </c>
      <c r="D13" s="315"/>
      <c r="E13" s="316" t="s">
        <v>219</v>
      </c>
      <c r="F13" s="316"/>
      <c r="G13" s="316"/>
      <c r="H13" s="316"/>
      <c r="I13" s="316"/>
      <c r="J13" s="317"/>
      <c r="K13" s="31" t="str">
        <f t="shared" si="0"/>
        <v/>
      </c>
    </row>
    <row r="14" spans="1:11" ht="255" customHeight="1" x14ac:dyDescent="0.15">
      <c r="B14" s="6"/>
      <c r="C14" s="314" t="s">
        <v>36</v>
      </c>
      <c r="D14" s="315"/>
      <c r="E14" s="318" t="s">
        <v>213</v>
      </c>
      <c r="F14" s="318"/>
      <c r="G14" s="318"/>
      <c r="H14" s="318"/>
      <c r="I14" s="318"/>
      <c r="J14" s="319"/>
      <c r="K14" s="31" t="str">
        <f t="shared" si="0"/>
        <v/>
      </c>
    </row>
    <row r="15" spans="1:11" ht="243" customHeight="1" x14ac:dyDescent="0.15">
      <c r="B15" s="320" t="s">
        <v>37</v>
      </c>
      <c r="C15" s="321"/>
      <c r="D15" s="315"/>
      <c r="E15" s="316" t="s">
        <v>211</v>
      </c>
      <c r="F15" s="316"/>
      <c r="G15" s="316"/>
      <c r="H15" s="316"/>
      <c r="I15" s="316"/>
      <c r="J15" s="317"/>
      <c r="K15" s="31" t="str">
        <f>IF(E15="","入力してください","")</f>
        <v/>
      </c>
    </row>
    <row r="16" spans="1:11" ht="243" customHeight="1" x14ac:dyDescent="0.15">
      <c r="A16" s="31"/>
      <c r="B16" s="306" t="s">
        <v>66</v>
      </c>
      <c r="C16" s="307"/>
      <c r="D16" s="308"/>
      <c r="E16" s="309" t="s">
        <v>212</v>
      </c>
      <c r="F16" s="309"/>
      <c r="G16" s="309"/>
      <c r="H16" s="309"/>
      <c r="I16" s="309"/>
      <c r="J16" s="310"/>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84"/>
      <c r="G18" s="311" t="s">
        <v>182</v>
      </c>
      <c r="H18" s="312"/>
      <c r="I18" s="312"/>
      <c r="J18" s="313"/>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96"/>
      <c r="C24" s="96"/>
      <c r="D24" s="96"/>
      <c r="E24" s="96"/>
      <c r="F24" s="96"/>
      <c r="G24" s="96"/>
      <c r="H24" s="96"/>
      <c r="I24" s="96"/>
      <c r="J24" s="96"/>
    </row>
    <row r="25" spans="1:11" ht="22.5" customHeight="1" x14ac:dyDescent="0.15">
      <c r="B25" s="96"/>
      <c r="C25" s="96"/>
      <c r="D25" s="96"/>
      <c r="E25" s="96"/>
      <c r="F25" s="96"/>
      <c r="G25" s="96"/>
      <c r="H25" s="96"/>
      <c r="I25" s="96"/>
      <c r="J25" s="96"/>
    </row>
    <row r="26" spans="1:11" ht="22.5" customHeight="1" x14ac:dyDescent="0.15">
      <c r="B26" s="96"/>
      <c r="C26" s="96"/>
      <c r="D26" s="96"/>
      <c r="E26" s="96"/>
      <c r="F26" s="96"/>
      <c r="G26" s="96"/>
      <c r="H26" s="96"/>
      <c r="I26" s="96"/>
      <c r="J26" s="9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19E36A9E-0CE9-4523-8936-84A6B19DD47C}"/>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様式２-1　プログラムを構成する授業科目</vt:lpstr>
      <vt:lpstr>様式２-2　プログラムを構成する授業科目</vt:lpstr>
      <vt:lpstr>様式２-3　プログラムを構成する授業科目</vt:lpstr>
      <vt:lpstr>様式２-4　プログラムを構成する授業科目 </vt:lpstr>
      <vt:lpstr>様式２-5　プログラムを構成する授業科目 </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'様式２-3　プログラムを構成する授業科目'!Print_Area</vt:lpstr>
      <vt:lpstr>'様式２-4　プログラムを構成する授業科目 '!Print_Area</vt:lpstr>
      <vt:lpstr>'様式２-5　プログラムを構成する授業科目 '!Print_Area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kyomu46</cp:lastModifiedBy>
  <cp:lastPrinted>2022-05-25T04:01:46Z</cp:lastPrinted>
  <dcterms:created xsi:type="dcterms:W3CDTF">2011-06-14T05:32:50Z</dcterms:created>
  <dcterms:modified xsi:type="dcterms:W3CDTF">2022-05-25T04:34:13Z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