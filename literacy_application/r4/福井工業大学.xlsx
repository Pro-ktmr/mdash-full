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D:\Work\会議\共通教育関係\2022\R4数理データサイエンス認定プログラム\申請書類\福井工業大学\01福井工業大学_リテラシー\"/>
    </mc:Choice>
  </mc:AlternateContent>
  <xr:revisionPtr revIDLastSave="0" documentId="13_ncr:1_{301CA15B-4012-426E-8082-95FA9D7F5EBF}" xr6:coauthVersionLast="36" xr6:coauthVersionMax="36" xr10:uidLastSave="{00000000-0000-0000-0000-000000000000}"/>
  <bookViews>
    <workbookView xWindow="0" yWindow="0" windowWidth="28800" windowHeight="12720" tabRatio="885" activeTab="1"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教育の質・履修者数を向上させるための体制・計画'!$A$1:$J$131</definedName>
    <definedName name="_xlnm.Print_Area" localSheetId="4">'様式５　自己点検・評価'!$A$1:$J$18</definedName>
  </definedNames>
  <calcPr calcId="191029"/>
</workbook>
</file>

<file path=xl/calcChain.xml><?xml version="1.0" encoding="utf-8"?>
<calcChain xmlns="http://schemas.openxmlformats.org/spreadsheetml/2006/main">
  <c r="K18" i="42" l="1"/>
  <c r="K114" i="41"/>
  <c r="K92" i="41"/>
  <c r="K70" i="41"/>
  <c r="K47" i="41"/>
  <c r="K39" i="41"/>
  <c r="K15" i="41"/>
  <c r="K8" i="41"/>
  <c r="K5" i="41"/>
  <c r="C4" i="40"/>
  <c r="O12" i="8"/>
  <c r="O10" i="8"/>
  <c r="K16" i="42" l="1"/>
  <c r="K15" i="42"/>
  <c r="K14" i="42"/>
  <c r="K13" i="42"/>
  <c r="K11" i="42"/>
  <c r="K10" i="42"/>
  <c r="K9" i="42"/>
  <c r="K8" i="42"/>
  <c r="K7" i="42"/>
  <c r="P30" i="40" l="1"/>
  <c r="O30" i="40"/>
  <c r="N30" i="40"/>
  <c r="M30" i="40"/>
  <c r="L30" i="40"/>
  <c r="K30" i="40"/>
  <c r="J30" i="40"/>
  <c r="I30" i="40"/>
  <c r="H30" i="40"/>
  <c r="G30" i="40"/>
  <c r="F30" i="40"/>
  <c r="E30" i="40"/>
  <c r="D30" i="40"/>
  <c r="I37"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Q16" i="40"/>
  <c r="R16" i="40" s="1"/>
  <c r="Q15" i="40"/>
  <c r="R15" i="40" s="1"/>
  <c r="Q14" i="40"/>
  <c r="R14" i="40" s="1"/>
  <c r="Q13" i="40"/>
  <c r="R13" i="40" s="1"/>
  <c r="Q12" i="40"/>
  <c r="R12" i="40" s="1"/>
  <c r="Q11" i="40"/>
  <c r="R11" i="40" s="1"/>
  <c r="Q10" i="40"/>
  <c r="Q30" i="40" l="1"/>
  <c r="R30" i="40" s="1"/>
  <c r="C36" i="41" s="1"/>
  <c r="R10" i="40"/>
  <c r="O4" i="8"/>
  <c r="O45" i="8"/>
  <c r="O44" i="8"/>
  <c r="O41" i="8"/>
  <c r="O37" i="8"/>
  <c r="O39" i="8"/>
  <c r="O34" i="8"/>
  <c r="O29" i="8"/>
  <c r="O32" i="8"/>
  <c r="O20" i="8"/>
  <c r="O18" i="8"/>
  <c r="O16" i="8"/>
  <c r="O14" i="8"/>
  <c r="O8" i="8"/>
  <c r="O6" i="8"/>
</calcChain>
</file>

<file path=xl/sharedStrings.xml><?xml version="1.0" encoding="utf-8"?>
<sst xmlns="http://schemas.openxmlformats.org/spreadsheetml/2006/main" count="394" uniqueCount="208">
  <si>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</si>
  <si>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</si>
  <si>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</si>
  <si>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</si>
  <si>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</si>
  <si>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</si>
  <si>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</si>
  <si>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</si>
  <si>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</si>
  <si>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</si>
  <si>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</si>
  <si>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</si>
  <si>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</si>
  <si>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</si>
  <si>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</si>
  <si>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</si>
  <si>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</si>
  <si>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</si>
  <si>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</si>
  <si>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</si>
  <si>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</si>
  <si>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</si>
  <si>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</si>
  <si>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</si>
  <si>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</si>
  <si>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</si>
  <si>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</si>
  <si>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</si>
  <si>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</si>
  <si>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</si>
  <si>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</si>
  <si>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</si>
  <si>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</si>
  <si>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</si>
  <si>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</si>
  <si>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</si>
  <si>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</si>
  <si>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</si>
  <si>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</si>
  <si>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</si>
  <si>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</si>
  <si>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</si>
  <si>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</si>
  <si>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</si>
  <si>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</si>
  <si>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</si>
  <si>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</si>
  <si>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</si>
  <si>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</si>
  <si>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</si>
  <si>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</si>
  <si>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</si>
  <si>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</si>
  <si>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</si>
  <si>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</si>
  <si>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</si>
  <si>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</si>
  <si>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</si>
  <si>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</si>
  <si>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</si>
  <si>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</si>
  <si>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</si>
  <si>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</si>
  <si>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</si>
  <si>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</si>
  <si>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</si>
  <si>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</si>
  <si>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</si>
  <si>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</si>
  <si>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</si>
  <si>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</si>
  <si>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</si>
  <si>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</si>
  <si>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</si>
  <si>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</si>
  <si>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</si>
  <si>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</si>
  <si>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</si>
  <si>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</si>
  <si>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</si>
  <si>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</si>
  <si>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</si>
  <si>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</si>
  <si>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</si>
  <si>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</si>
  <si>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</si>
  <si>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</si>
  <si>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</si>
  <si>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</si>
  <si>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</si>
  <si>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</si>
  <si>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</si>
  <si>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</si>
  <si>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</si>
  <si>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</si>
  <si>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</si>
  <si>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</si>
  <si>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</si>
  <si>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</si>
  <si>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</si>
  <si>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</si>
  <si>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</si>
  <si>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</si>
  <si>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</si>
  <si>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</si>
  <si>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</si>
  <si>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</si>
  <si>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</si>
  <si>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</si>
  <si>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選択</t>
    <rPh sb="0" eb="2">
      <t>センタク</t>
    </rPh>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</si>
  <si>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</si>
  <si>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</si>
  <si>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</si>
  <si>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</si>
  <si>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</si>
  <si>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</si>
  <si>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</si>
  <si>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</si>
  <si>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</si>
  <si>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</si>
  <si>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</si>
  <si>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</si>
  <si>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</si>
  <si>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</si>
  <si>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</si>
  <si>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</si>
  <si>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</si>
  <si>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</si>
  <si>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</si>
  <si>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</si>
  <si>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</si>
  <si>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</si>
  <si>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</si>
  <si>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</si>
  <si>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</si>
  <si>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</si>
  <si>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</si>
  <si>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</si>
  <si>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</si>
  <si>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</si>
  <si>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</si>
  <si>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</si>
  <si>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</si>
  <si>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</si>
  <si>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</si>
  <si>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</si>
  <si>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</si>
  <si>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認定教育プログラム</t>
    <rPh sb="0" eb="4">
      <t>ニンテイキョウイク</t>
    </rPh>
    <phoneticPr fontId="1"/>
  </si>
  <si>
    <t>○</t>
  </si>
  <si>
    <t>学部・学科によって、修了要件は相違しない</t>
  </si>
  <si>
    <t>①プログラム開設年度</t>
    <rPh sb="6" eb="8">
      <t>カイセツ</t>
    </rPh>
    <rPh sb="8" eb="10">
      <t>ネンド</t>
    </rPh>
    <phoneticPr fontId="1"/>
  </si>
  <si>
    <t>福井工業大学</t>
    <rPh sb="0" eb="2">
      <t>フクイ</t>
    </rPh>
    <rPh sb="2" eb="4">
      <t>コウギョウ</t>
    </rPh>
    <rPh sb="4" eb="6">
      <t>ダイガク</t>
    </rPh>
    <phoneticPr fontId="1"/>
  </si>
  <si>
    <t>学校法人 金井学園</t>
    <rPh sb="0" eb="4">
      <t>ガッコウホウジン</t>
    </rPh>
    <rPh sb="5" eb="7">
      <t>カナイ</t>
    </rPh>
    <rPh sb="7" eb="9">
      <t>ガクエン</t>
    </rPh>
    <phoneticPr fontId="1"/>
  </si>
  <si>
    <t>私立大学</t>
  </si>
  <si>
    <t>福井県福井市学園3-6-1</t>
    <rPh sb="0" eb="2">
      <t>フクイ</t>
    </rPh>
    <rPh sb="2" eb="3">
      <t>ケン</t>
    </rPh>
    <rPh sb="3" eb="5">
      <t>フクイ</t>
    </rPh>
    <rPh sb="5" eb="6">
      <t>シ</t>
    </rPh>
    <rPh sb="6" eb="8">
      <t>ガクエン</t>
    </rPh>
    <phoneticPr fontId="1"/>
  </si>
  <si>
    <t>学長補佐（基盤教育機構長）</t>
    <rPh sb="0" eb="2">
      <t>ガクチョウ</t>
    </rPh>
    <rPh sb="2" eb="4">
      <t>ホサ</t>
    </rPh>
    <rPh sb="5" eb="7">
      <t>キバン</t>
    </rPh>
    <rPh sb="7" eb="9">
      <t>キョウイク</t>
    </rPh>
    <rPh sb="9" eb="12">
      <t>キコウチョウ</t>
    </rPh>
    <phoneticPr fontId="1"/>
  </si>
  <si>
    <t>教務委員会</t>
    <rPh sb="0" eb="2">
      <t>キョウム</t>
    </rPh>
    <rPh sb="2" eb="5">
      <t>イインカイ</t>
    </rPh>
    <phoneticPr fontId="1"/>
  </si>
  <si>
    <t>田中　智一</t>
    <rPh sb="0" eb="2">
      <t>タナカ</t>
    </rPh>
    <rPh sb="3" eb="5">
      <t>トモカズ</t>
    </rPh>
    <phoneticPr fontId="1"/>
  </si>
  <si>
    <t>委員長（学務部長）</t>
    <rPh sb="0" eb="3">
      <t>イインチョウ</t>
    </rPh>
    <rPh sb="4" eb="6">
      <t>ガクム</t>
    </rPh>
    <rPh sb="6" eb="8">
      <t>ブチョウ</t>
    </rPh>
    <phoneticPr fontId="1"/>
  </si>
  <si>
    <t>教学IR委員会</t>
    <rPh sb="0" eb="2">
      <t>キョウガク</t>
    </rPh>
    <rPh sb="4" eb="7">
      <t>イインカイ</t>
    </rPh>
    <phoneticPr fontId="1"/>
  </si>
  <si>
    <t>無</t>
  </si>
  <si>
    <t>蔵田　浩之</t>
    <rPh sb="0" eb="2">
      <t>クラタ</t>
    </rPh>
    <rPh sb="3" eb="4">
      <t>ヒロ</t>
    </rPh>
    <rPh sb="4" eb="5">
      <t>ノ</t>
    </rPh>
    <phoneticPr fontId="1"/>
  </si>
  <si>
    <t>山田　典孝</t>
    <rPh sb="0" eb="2">
      <t>ヤマダ</t>
    </rPh>
    <rPh sb="3" eb="4">
      <t>ノリ</t>
    </rPh>
    <rPh sb="4" eb="5">
      <t>タカ</t>
    </rPh>
    <phoneticPr fontId="1"/>
  </si>
  <si>
    <t>kyomu-u@fukui-ut.ac.jp</t>
    <phoneticPr fontId="1"/>
  </si>
  <si>
    <t>0776-29-7867</t>
    <phoneticPr fontId="1"/>
  </si>
  <si>
    <t>大学事務局 学務課</t>
    <rPh sb="0" eb="2">
      <t>ダイガク</t>
    </rPh>
    <rPh sb="2" eb="5">
      <t>ジムキョク</t>
    </rPh>
    <rPh sb="6" eb="8">
      <t>ガクム</t>
    </rPh>
    <rPh sb="8" eb="9">
      <t>カ</t>
    </rPh>
    <phoneticPr fontId="1"/>
  </si>
  <si>
    <t>令和3</t>
    <rPh sb="0" eb="2">
      <t>レイワ</t>
    </rPh>
    <phoneticPr fontId="1"/>
  </si>
  <si>
    <t>環境情報学部</t>
    <rPh sb="0" eb="2">
      <t>カンキョウ</t>
    </rPh>
    <rPh sb="2" eb="4">
      <t>ジョウホウ</t>
    </rPh>
    <rPh sb="4" eb="6">
      <t>ガクブ</t>
    </rPh>
    <phoneticPr fontId="1"/>
  </si>
  <si>
    <t>スポーツ健康科学部</t>
    <rPh sb="4" eb="9">
      <t>ケンコウカガクブ</t>
    </rPh>
    <phoneticPr fontId="1"/>
  </si>
  <si>
    <t>様式２－１</t>
    <phoneticPr fontId="1"/>
  </si>
  <si>
    <t>一部開講</t>
  </si>
  <si>
    <t>工学部</t>
    <rPh sb="0" eb="3">
      <t>コウガクブ</t>
    </rPh>
    <phoneticPr fontId="1"/>
  </si>
  <si>
    <t>教務委員会</t>
    <rPh sb="0" eb="2">
      <t>キョウム</t>
    </rPh>
    <rPh sb="2" eb="5">
      <t>イインカイ</t>
    </rPh>
    <phoneticPr fontId="1"/>
  </si>
  <si>
    <t xml:space="preserve">文理横断で、データの利活用および社会の課題解決に寄与できる人材を育成することを目的に、数理・データサイエンス・AI教育の全学的な普及、関連科目の整備を担う。教務委員会では、委員長（学務部長）および副委員長（基盤教育機構長、機械工学科教授、学務課長）、各学科・基盤教育機構の代表委員、部会主査、事務局長、事務局次長らが、授業評価等の各種アンケートの結果を踏まえて、プログラム改善のための方策を検討し、学部の垣根を越えたプログラム作りが適宜進められている。
</t>
    <rPh sb="0" eb="2">
      <t>ブンリ</t>
    </rPh>
    <rPh sb="75" eb="76">
      <t>ニナ</t>
    </rPh>
    <rPh sb="78" eb="80">
      <t>キョウム</t>
    </rPh>
    <rPh sb="80" eb="83">
      <t>イインカイ</t>
    </rPh>
    <rPh sb="86" eb="89">
      <t>イインチョウ</t>
    </rPh>
    <rPh sb="90" eb="92">
      <t>ガクム</t>
    </rPh>
    <rPh sb="92" eb="94">
      <t>ブチョウ</t>
    </rPh>
    <rPh sb="98" eb="102">
      <t>フクイインチョウ</t>
    </rPh>
    <rPh sb="103" eb="109">
      <t>キバンキョウイクキコウ</t>
    </rPh>
    <rPh sb="109" eb="110">
      <t>チョウ</t>
    </rPh>
    <rPh sb="111" eb="113">
      <t>キカイ</t>
    </rPh>
    <rPh sb="113" eb="116">
      <t>コウガクカ</t>
    </rPh>
    <rPh sb="116" eb="118">
      <t>キョウジュ</t>
    </rPh>
    <rPh sb="119" eb="121">
      <t>ガクム</t>
    </rPh>
    <rPh sb="121" eb="123">
      <t>カチョウ</t>
    </rPh>
    <rPh sb="125" eb="128">
      <t>カクガッカ</t>
    </rPh>
    <rPh sb="129" eb="135">
      <t>キバンキョウイクキコウ</t>
    </rPh>
    <rPh sb="136" eb="138">
      <t>ダイヒョウ</t>
    </rPh>
    <rPh sb="138" eb="140">
      <t>イイン</t>
    </rPh>
    <rPh sb="141" eb="143">
      <t>ブカイ</t>
    </rPh>
    <rPh sb="143" eb="145">
      <t>シュサ</t>
    </rPh>
    <rPh sb="146" eb="148">
      <t>ジム</t>
    </rPh>
    <rPh sb="148" eb="150">
      <t>キョクチョウ</t>
    </rPh>
    <rPh sb="151" eb="154">
      <t>ジムキョク</t>
    </rPh>
    <rPh sb="154" eb="156">
      <t>ジチョウ</t>
    </rPh>
    <rPh sb="159" eb="161">
      <t>ジュギョウ</t>
    </rPh>
    <rPh sb="161" eb="163">
      <t>ヒョウカ</t>
    </rPh>
    <rPh sb="163" eb="164">
      <t>トウ</t>
    </rPh>
    <rPh sb="165" eb="167">
      <t>カクシュ</t>
    </rPh>
    <rPh sb="173" eb="175">
      <t>ケッカ</t>
    </rPh>
    <rPh sb="176" eb="177">
      <t>フ</t>
    </rPh>
    <rPh sb="186" eb="188">
      <t>カイゼン</t>
    </rPh>
    <rPh sb="192" eb="194">
      <t>ホウサク</t>
    </rPh>
    <rPh sb="195" eb="197">
      <t>ケントウ</t>
    </rPh>
    <rPh sb="199" eb="201">
      <t>ガクブ</t>
    </rPh>
    <rPh sb="202" eb="204">
      <t>カキネ</t>
    </rPh>
    <rPh sb="205" eb="206">
      <t>コ</t>
    </rPh>
    <rPh sb="213" eb="214">
      <t>ヅク</t>
    </rPh>
    <rPh sb="216" eb="218">
      <t>テキギ</t>
    </rPh>
    <rPh sb="218" eb="219">
      <t>スス</t>
    </rPh>
    <phoneticPr fontId="1"/>
  </si>
  <si>
    <t xml:space="preserve">　本プログラム受講者全員に対して授業アンケート（「授業改善のためのアンケート」）を実施しており、その設問の回答より全受講者の理解度を確認する。また、本プログラムのコア科目である「科学リテラシ」の最終回における課題において、受講の振り返りを実施しており、受講生の提出物から理解度や関心度を分析する。これらの結果については、授業担当者およびTA・SAと共有し、授業担当/学修支援の立場から自己点検を実施し、授業の改善点を模索する。
</t>
    <rPh sb="25" eb="27">
      <t>ジュギョウ</t>
    </rPh>
    <rPh sb="27" eb="29">
      <t>カイゼン</t>
    </rPh>
    <rPh sb="50" eb="52">
      <t>セツモン</t>
    </rPh>
    <rPh sb="53" eb="55">
      <t>カイトウ</t>
    </rPh>
    <rPh sb="57" eb="58">
      <t>ゼン</t>
    </rPh>
    <rPh sb="58" eb="61">
      <t>ジュコウシャ</t>
    </rPh>
    <rPh sb="62" eb="65">
      <t>リカイド</t>
    </rPh>
    <rPh sb="66" eb="68">
      <t>カクニン</t>
    </rPh>
    <rPh sb="74" eb="75">
      <t>ホン</t>
    </rPh>
    <rPh sb="83" eb="85">
      <t>カモク</t>
    </rPh>
    <rPh sb="89" eb="91">
      <t>カガク</t>
    </rPh>
    <rPh sb="97" eb="100">
      <t>サイシュウカイ</t>
    </rPh>
    <rPh sb="104" eb="106">
      <t>カダイ</t>
    </rPh>
    <rPh sb="135" eb="138">
      <t>リカイド</t>
    </rPh>
    <rPh sb="139" eb="142">
      <t>カンシンド</t>
    </rPh>
    <rPh sb="143" eb="145">
      <t>ブンセキ</t>
    </rPh>
    <rPh sb="152" eb="154">
      <t>ケッカ</t>
    </rPh>
    <rPh sb="160" eb="162">
      <t>ジュギョウ</t>
    </rPh>
    <rPh sb="162" eb="165">
      <t>タントウシャ</t>
    </rPh>
    <rPh sb="174" eb="176">
      <t>キョウユウ</t>
    </rPh>
    <rPh sb="178" eb="180">
      <t>ジュギョウ</t>
    </rPh>
    <rPh sb="180" eb="182">
      <t>タントウ</t>
    </rPh>
    <rPh sb="183" eb="185">
      <t>ガクシュウ</t>
    </rPh>
    <rPh sb="185" eb="187">
      <t>シエン</t>
    </rPh>
    <rPh sb="188" eb="190">
      <t>タチバ</t>
    </rPh>
    <rPh sb="192" eb="194">
      <t>ジコ</t>
    </rPh>
    <rPh sb="194" eb="196">
      <t>テンケン</t>
    </rPh>
    <rPh sb="197" eb="199">
      <t>ジッシ</t>
    </rPh>
    <rPh sb="201" eb="203">
      <t>ジュギョウ</t>
    </rPh>
    <rPh sb="204" eb="206">
      <t>カイゼン</t>
    </rPh>
    <rPh sb="206" eb="207">
      <t>テン</t>
    </rPh>
    <rPh sb="208" eb="210">
      <t>モサク</t>
    </rPh>
    <phoneticPr fontId="1"/>
  </si>
  <si>
    <t>　社会における数理・データサイエンス・AIへの関心の高まりから、本プログラムの履修者数、履修率の向上に取り組んでいる。また、「授業担当者」、「学部・学科」、「全学」の3つのレベルで本プログラムの検証を推し進めるべく、「教務委員会」および「教学IR委員会」が主体となって、「基盤教育機構」、「FD・SD推進委員会」、「AI&amp;IoTセンター」等の学内組織と連携し、見直しにかかる議論を広く展開している。</t>
    <rPh sb="1" eb="3">
      <t>シャカイ</t>
    </rPh>
    <rPh sb="7" eb="9">
      <t>スウリ</t>
    </rPh>
    <rPh sb="23" eb="25">
      <t>カンシン</t>
    </rPh>
    <rPh sb="26" eb="27">
      <t>タカ</t>
    </rPh>
    <rPh sb="32" eb="33">
      <t>ホン</t>
    </rPh>
    <rPh sb="51" eb="52">
      <t>ト</t>
    </rPh>
    <rPh sb="53" eb="54">
      <t>ク</t>
    </rPh>
    <rPh sb="63" eb="65">
      <t>ジュギョウ</t>
    </rPh>
    <rPh sb="65" eb="68">
      <t>タントウシャ</t>
    </rPh>
    <rPh sb="71" eb="73">
      <t>ガクブ</t>
    </rPh>
    <rPh sb="74" eb="76">
      <t>ガッカ</t>
    </rPh>
    <rPh sb="79" eb="81">
      <t>ゼンガク</t>
    </rPh>
    <rPh sb="90" eb="91">
      <t>ホン</t>
    </rPh>
    <rPh sb="97" eb="99">
      <t>ケンショウ</t>
    </rPh>
    <rPh sb="100" eb="101">
      <t>オ</t>
    </rPh>
    <rPh sb="102" eb="103">
      <t>スス</t>
    </rPh>
    <rPh sb="109" eb="111">
      <t>キョウム</t>
    </rPh>
    <rPh sb="111" eb="114">
      <t>イインカイ</t>
    </rPh>
    <rPh sb="119" eb="121">
      <t>キョウガク</t>
    </rPh>
    <rPh sb="123" eb="126">
      <t>イインカイ</t>
    </rPh>
    <rPh sb="128" eb="130">
      <t>シュタイ</t>
    </rPh>
    <rPh sb="136" eb="142">
      <t>キバンキョウイクキコウ</t>
    </rPh>
    <rPh sb="150" eb="155">
      <t>スイシンイインカイ</t>
    </rPh>
    <rPh sb="169" eb="170">
      <t>トウ</t>
    </rPh>
    <rPh sb="171" eb="173">
      <t>ガクナイ</t>
    </rPh>
    <rPh sb="173" eb="175">
      <t>ソシキ</t>
    </rPh>
    <rPh sb="176" eb="178">
      <t>レンケイ</t>
    </rPh>
    <rPh sb="180" eb="182">
      <t>ミナオ</t>
    </rPh>
    <rPh sb="187" eb="189">
      <t>ギロン</t>
    </rPh>
    <rPh sb="190" eb="191">
      <t>ヒロ</t>
    </rPh>
    <rPh sb="192" eb="194">
      <t>テンカイ</t>
    </rPh>
    <phoneticPr fontId="1"/>
  </si>
  <si>
    <t>　モデルカリキュラムリテラシーレベルの導入部分に準じた内容を展開する。本学は、工学部の他、社会科学系・スポーツ科学系の学部を有しており、数理・データサイエンス・AIに関連するテーマは豊富にある。コア科目である「科学リテラシ」は、複数学科の教員が授業を担当している。これらの授業担当者は、時事や社会の流行を捉えた話題は言うまでもなく、各専門分野、そして、それに対応する業界特有の事例を授業に取り入れている。受講生は、自身の所属学科に限らず、周辺領域の内容を聴講することにより、学問領域の重なりや社会との接点を意識し、それらの魅力や重要性を学ぶことができる。</t>
    <rPh sb="35" eb="37">
      <t>ホンガク</t>
    </rPh>
    <rPh sb="39" eb="42">
      <t>コウガクブ</t>
    </rPh>
    <rPh sb="43" eb="44">
      <t>ホカ</t>
    </rPh>
    <rPh sb="45" eb="47">
      <t>シャカイ</t>
    </rPh>
    <rPh sb="47" eb="49">
      <t>カガク</t>
    </rPh>
    <rPh sb="49" eb="50">
      <t>ケイ</t>
    </rPh>
    <rPh sb="55" eb="57">
      <t>カガク</t>
    </rPh>
    <rPh sb="57" eb="58">
      <t>ケイ</t>
    </rPh>
    <rPh sb="59" eb="61">
      <t>ガクブ</t>
    </rPh>
    <rPh sb="62" eb="63">
      <t>ユウ</t>
    </rPh>
    <rPh sb="68" eb="70">
      <t>スウリ</t>
    </rPh>
    <rPh sb="83" eb="85">
      <t>カンレン</t>
    </rPh>
    <rPh sb="91" eb="93">
      <t>ホウフ</t>
    </rPh>
    <rPh sb="99" eb="101">
      <t>カモク</t>
    </rPh>
    <rPh sb="105" eb="107">
      <t>カガク</t>
    </rPh>
    <rPh sb="114" eb="116">
      <t>フクスウ</t>
    </rPh>
    <rPh sb="116" eb="118">
      <t>ガッカ</t>
    </rPh>
    <rPh sb="119" eb="121">
      <t>キョウイン</t>
    </rPh>
    <rPh sb="122" eb="124">
      <t>ジュギョウ</t>
    </rPh>
    <rPh sb="125" eb="127">
      <t>タントウ</t>
    </rPh>
    <rPh sb="136" eb="138">
      <t>ジュギョウ</t>
    </rPh>
    <rPh sb="138" eb="141">
      <t>タントウシャ</t>
    </rPh>
    <rPh sb="143" eb="145">
      <t>ジジ</t>
    </rPh>
    <rPh sb="146" eb="148">
      <t>シャカイ</t>
    </rPh>
    <rPh sb="149" eb="151">
      <t>リュウコウ</t>
    </rPh>
    <rPh sb="152" eb="153">
      <t>トラ</t>
    </rPh>
    <rPh sb="155" eb="157">
      <t>ワダイ</t>
    </rPh>
    <rPh sb="158" eb="159">
      <t>イ</t>
    </rPh>
    <rPh sb="166" eb="169">
      <t>カクセンモン</t>
    </rPh>
    <rPh sb="169" eb="171">
      <t>ブンヤ</t>
    </rPh>
    <rPh sb="179" eb="181">
      <t>タイオウ</t>
    </rPh>
    <rPh sb="183" eb="185">
      <t>ギョウカイ</t>
    </rPh>
    <rPh sb="185" eb="187">
      <t>トクユウ</t>
    </rPh>
    <rPh sb="188" eb="190">
      <t>ジレイ</t>
    </rPh>
    <rPh sb="191" eb="193">
      <t>ジュギョウ</t>
    </rPh>
    <rPh sb="194" eb="195">
      <t>ト</t>
    </rPh>
    <rPh sb="196" eb="197">
      <t>イ</t>
    </rPh>
    <rPh sb="202" eb="205">
      <t>ジュコウセイ</t>
    </rPh>
    <rPh sb="207" eb="209">
      <t>ジシン</t>
    </rPh>
    <rPh sb="210" eb="212">
      <t>ショゾク</t>
    </rPh>
    <rPh sb="212" eb="214">
      <t>ガッカ</t>
    </rPh>
    <rPh sb="215" eb="216">
      <t>カギ</t>
    </rPh>
    <rPh sb="219" eb="221">
      <t>シュウヘン</t>
    </rPh>
    <rPh sb="221" eb="223">
      <t>リョウイキ</t>
    </rPh>
    <rPh sb="224" eb="226">
      <t>ナイヨウ</t>
    </rPh>
    <rPh sb="227" eb="229">
      <t>チョウコウ</t>
    </rPh>
    <rPh sb="237" eb="239">
      <t>ガクモン</t>
    </rPh>
    <rPh sb="239" eb="241">
      <t>リョウイキ</t>
    </rPh>
    <rPh sb="242" eb="243">
      <t>カサ</t>
    </rPh>
    <rPh sb="246" eb="248">
      <t>シャカイ</t>
    </rPh>
    <rPh sb="250" eb="252">
      <t>セッテン</t>
    </rPh>
    <rPh sb="253" eb="255">
      <t>イシキ</t>
    </rPh>
    <rPh sb="261" eb="263">
      <t>ミリョク</t>
    </rPh>
    <rPh sb="264" eb="267">
      <t>ジュウヨウセイ</t>
    </rPh>
    <rPh sb="268" eb="269">
      <t>マナ</t>
    </rPh>
    <phoneticPr fontId="1"/>
  </si>
  <si>
    <t>　「教務委員会」および「教学IR委員会」を中心に、履修率、単位修得状況、授業アンケート（授業改善のためのアンケート）の回答、本プログラムを受講した卒業生、「AI&amp;IoTセンター」ならびに産業界から寄せられた意見を基に、本プログラムの見直しを進め、授業内容の有用性について多方面から検証を進める。</t>
    <rPh sb="2" eb="4">
      <t>キョウム</t>
    </rPh>
    <rPh sb="4" eb="7">
      <t>イインカイ</t>
    </rPh>
    <rPh sb="12" eb="14">
      <t>キョウガク</t>
    </rPh>
    <rPh sb="16" eb="19">
      <t>イインカイ</t>
    </rPh>
    <rPh sb="21" eb="23">
      <t>チュウシン</t>
    </rPh>
    <rPh sb="25" eb="27">
      <t>リシュウ</t>
    </rPh>
    <rPh sb="27" eb="28">
      <t>リツ</t>
    </rPh>
    <rPh sb="29" eb="31">
      <t>タンイ</t>
    </rPh>
    <rPh sb="31" eb="33">
      <t>シュウトク</t>
    </rPh>
    <rPh sb="33" eb="35">
      <t>ジョウキョウ</t>
    </rPh>
    <rPh sb="36" eb="38">
      <t>ジュギョウ</t>
    </rPh>
    <rPh sb="44" eb="48">
      <t>ジュギョウカイゼン</t>
    </rPh>
    <rPh sb="59" eb="61">
      <t>カイトウ</t>
    </rPh>
    <rPh sb="62" eb="63">
      <t>ホン</t>
    </rPh>
    <rPh sb="69" eb="71">
      <t>ジュコウ</t>
    </rPh>
    <rPh sb="73" eb="76">
      <t>ソツギョウセイ</t>
    </rPh>
    <rPh sb="93" eb="96">
      <t>サンギョウカイ</t>
    </rPh>
    <rPh sb="98" eb="99">
      <t>ヨ</t>
    </rPh>
    <rPh sb="103" eb="105">
      <t>イケン</t>
    </rPh>
    <rPh sb="106" eb="107">
      <t>モト</t>
    </rPh>
    <rPh sb="109" eb="110">
      <t>ホン</t>
    </rPh>
    <rPh sb="116" eb="118">
      <t>ミナオ</t>
    </rPh>
    <rPh sb="120" eb="121">
      <t>スス</t>
    </rPh>
    <rPh sb="123" eb="125">
      <t>ジュギョウ</t>
    </rPh>
    <rPh sb="125" eb="127">
      <t>ナイヨウ</t>
    </rPh>
    <rPh sb="128" eb="131">
      <t>ユウヨウセイ</t>
    </rPh>
    <rPh sb="135" eb="138">
      <t>タホウメン</t>
    </rPh>
    <rPh sb="140" eb="142">
      <t>ケンショウ</t>
    </rPh>
    <rPh sb="143" eb="144">
      <t>スス</t>
    </rPh>
    <phoneticPr fontId="1"/>
  </si>
  <si>
    <t>　大勢の受講生を受け入れられるように、本プログラムの授業は遠隔で実施する。遠隔授業の実施に際しては、学習管理システム（LMS）を活用して、オンデマンド教材を充実する。本プログラムは、工学部以外に、社会科学系やスポーツ科学系の学生が受講することを踏まえ、授業担当教員には所属学科に関わらず、教材の利用が円滑に進められるように、提示する専門用語や図表について細心の注意を払うと共に、各専門分野への接続を喚起できるよう教材作成の創意・工夫を求める。なお、教材の作成に関しては、定期的な研修会の開催の他、TA・SAによる支援体制を設ける。以上の取り組みを学内に周知し、受講に関する学生の不安を払しょくすることに努める。</t>
    <rPh sb="83" eb="84">
      <t>ホン</t>
    </rPh>
    <rPh sb="112" eb="114">
      <t>ガクセイ</t>
    </rPh>
    <rPh sb="115" eb="117">
      <t>ジュコウ</t>
    </rPh>
    <rPh sb="150" eb="152">
      <t>エンカツ</t>
    </rPh>
    <rPh sb="153" eb="154">
      <t>スス</t>
    </rPh>
    <rPh sb="162" eb="164">
      <t>テイジ</t>
    </rPh>
    <rPh sb="166" eb="168">
      <t>センモン</t>
    </rPh>
    <rPh sb="168" eb="170">
      <t>ヨウゴ</t>
    </rPh>
    <rPh sb="171" eb="173">
      <t>ズヒョウ</t>
    </rPh>
    <rPh sb="177" eb="179">
      <t>サイシン</t>
    </rPh>
    <rPh sb="180" eb="182">
      <t>チュウイ</t>
    </rPh>
    <rPh sb="183" eb="184">
      <t>ハラ</t>
    </rPh>
    <rPh sb="186" eb="187">
      <t>トモ</t>
    </rPh>
    <rPh sb="189" eb="190">
      <t>カク</t>
    </rPh>
    <rPh sb="211" eb="213">
      <t>ソウイ</t>
    </rPh>
    <phoneticPr fontId="1"/>
  </si>
  <si>
    <t xml:space="preserve">　入学後のオリエンテーションにてチラシを配布し、新入生に周知する。また、本学WEBサイトのトップページにて、本プログラム専用ページへのリンクを掲載して、学生が情報を確認しやすい環境を整備する他、学生ポータルシステム、本学独自の学生連絡専用アプリ（スマートフォン対応）により、情報発信を行う。
</t>
    <rPh sb="20" eb="22">
      <t>ハイフ</t>
    </rPh>
    <rPh sb="24" eb="27">
      <t>シンニュウセイ</t>
    </rPh>
    <rPh sb="28" eb="30">
      <t>シュウチ</t>
    </rPh>
    <rPh sb="54" eb="55">
      <t>ホン</t>
    </rPh>
    <rPh sb="60" eb="62">
      <t>センヨウ</t>
    </rPh>
    <rPh sb="82" eb="84">
      <t>カクニン</t>
    </rPh>
    <rPh sb="88" eb="90">
      <t>カンキョウ</t>
    </rPh>
    <rPh sb="91" eb="93">
      <t>セイビ</t>
    </rPh>
    <rPh sb="95" eb="96">
      <t>ホカ</t>
    </rPh>
    <rPh sb="97" eb="99">
      <t>ガクセイ</t>
    </rPh>
    <rPh sb="108" eb="110">
      <t>ホンガク</t>
    </rPh>
    <rPh sb="110" eb="112">
      <t>ドクジ</t>
    </rPh>
    <rPh sb="113" eb="115">
      <t>ガクセイ</t>
    </rPh>
    <rPh sb="115" eb="117">
      <t>レンラク</t>
    </rPh>
    <rPh sb="117" eb="119">
      <t>センヨウ</t>
    </rPh>
    <rPh sb="130" eb="132">
      <t>タイオウ</t>
    </rPh>
    <rPh sb="137" eb="139">
      <t>ジョウホウ</t>
    </rPh>
    <rPh sb="139" eb="141">
      <t>ハッシン</t>
    </rPh>
    <rPh sb="142" eb="143">
      <t>オコナ</t>
    </rPh>
    <phoneticPr fontId="1"/>
  </si>
  <si>
    <t>　大勢の受講生を受け入れられるように、本プログラムの授業は遠隔で実施する。また、遠隔授業に際しては、学習管理システム（LMS）を活用して、オンデマンド教材を充実するが、電子ファイル等に加え、説明動画（もしくは収録したライブ授業の動画）を準備し、欠席者の受講に配慮する。授業担当教員には、教材が有効活用されるよう創意・工夫を求めるが、教材作成支援として、（基盤教育機構の）世話人が中心となって研修会開催やTA・SAによるサポート体制を実現する。TA・SAに関しては、本プログラムにおいて優秀な成績を収めた単位修得者の中から選出し、これらの学生からの意見を交えて学生視点の授業改善を推進する。受講支援として、授業担当者や世話人は、オンラインプラットフォーム（Microsoft Teams等）を活用して受講生の相談を受け付けるが、この技術支援に関しては、世話人がその任にあたるが、本学に在籍する教育工学の専門家やICTに詳しい事務局職員に適宜協力を求める。</t>
    <rPh sb="84" eb="86">
      <t>デンシ</t>
    </rPh>
    <rPh sb="90" eb="91">
      <t>トウ</t>
    </rPh>
    <rPh sb="92" eb="93">
      <t>クワ</t>
    </rPh>
    <rPh sb="95" eb="97">
      <t>セツメイ</t>
    </rPh>
    <rPh sb="97" eb="99">
      <t>ドウガ</t>
    </rPh>
    <rPh sb="104" eb="106">
      <t>シュウロク</t>
    </rPh>
    <rPh sb="111" eb="113">
      <t>ジュギョウ</t>
    </rPh>
    <rPh sb="114" eb="116">
      <t>ドウガ</t>
    </rPh>
    <rPh sb="118" eb="120">
      <t>ジュンビ</t>
    </rPh>
    <rPh sb="122" eb="125">
      <t>ケッセキシャ</t>
    </rPh>
    <rPh sb="126" eb="128">
      <t>ジュコウ</t>
    </rPh>
    <rPh sb="129" eb="131">
      <t>ハイリョ</t>
    </rPh>
    <rPh sb="134" eb="136">
      <t>ジュギョウ</t>
    </rPh>
    <rPh sb="136" eb="138">
      <t>タントウ</t>
    </rPh>
    <rPh sb="138" eb="140">
      <t>キョウイン</t>
    </rPh>
    <rPh sb="143" eb="145">
      <t>キョウザイ</t>
    </rPh>
    <rPh sb="146" eb="148">
      <t>ユウコウ</t>
    </rPh>
    <rPh sb="148" eb="150">
      <t>カツヨウ</t>
    </rPh>
    <rPh sb="155" eb="157">
      <t>ソウイ</t>
    </rPh>
    <rPh sb="158" eb="160">
      <t>クフウ</t>
    </rPh>
    <rPh sb="161" eb="162">
      <t>モト</t>
    </rPh>
    <rPh sb="166" eb="168">
      <t>キョウザイ</t>
    </rPh>
    <rPh sb="168" eb="170">
      <t>サクセイ</t>
    </rPh>
    <rPh sb="170" eb="172">
      <t>シエン</t>
    </rPh>
    <rPh sb="177" eb="183">
      <t>キバンキョウイクキコウ</t>
    </rPh>
    <rPh sb="185" eb="187">
      <t>セワ</t>
    </rPh>
    <rPh sb="187" eb="188">
      <t>ニン</t>
    </rPh>
    <rPh sb="189" eb="191">
      <t>チュウシン</t>
    </rPh>
    <rPh sb="195" eb="198">
      <t>ケンシュウカイ</t>
    </rPh>
    <rPh sb="198" eb="200">
      <t>カイサイ</t>
    </rPh>
    <rPh sb="213" eb="215">
      <t>タイセイ</t>
    </rPh>
    <rPh sb="216" eb="218">
      <t>ジツゲン</t>
    </rPh>
    <rPh sb="227" eb="228">
      <t>カン</t>
    </rPh>
    <rPh sb="232" eb="233">
      <t>ホン</t>
    </rPh>
    <rPh sb="242" eb="244">
      <t>ユウシュウ</t>
    </rPh>
    <rPh sb="245" eb="247">
      <t>セイセキ</t>
    </rPh>
    <rPh sb="248" eb="249">
      <t>オサ</t>
    </rPh>
    <rPh sb="251" eb="253">
      <t>タンイ</t>
    </rPh>
    <rPh sb="253" eb="255">
      <t>シュウトク</t>
    </rPh>
    <rPh sb="255" eb="256">
      <t>シャ</t>
    </rPh>
    <rPh sb="257" eb="258">
      <t>ナカ</t>
    </rPh>
    <rPh sb="260" eb="262">
      <t>センシュツ</t>
    </rPh>
    <rPh sb="268" eb="270">
      <t>ガクセイ</t>
    </rPh>
    <rPh sb="273" eb="275">
      <t>イケン</t>
    </rPh>
    <rPh sb="276" eb="277">
      <t>マジ</t>
    </rPh>
    <rPh sb="279" eb="281">
      <t>ガクセイ</t>
    </rPh>
    <rPh sb="281" eb="283">
      <t>シテン</t>
    </rPh>
    <rPh sb="284" eb="286">
      <t>ジュギョウ</t>
    </rPh>
    <rPh sb="286" eb="288">
      <t>カイゼン</t>
    </rPh>
    <rPh sb="289" eb="291">
      <t>スイシン</t>
    </rPh>
    <rPh sb="365" eb="367">
      <t>ギジュツ</t>
    </rPh>
    <rPh sb="367" eb="369">
      <t>シエン</t>
    </rPh>
    <rPh sb="370" eb="371">
      <t>カン</t>
    </rPh>
    <rPh sb="375" eb="377">
      <t>セワ</t>
    </rPh>
    <rPh sb="377" eb="378">
      <t>ニン</t>
    </rPh>
    <rPh sb="381" eb="382">
      <t>ニン</t>
    </rPh>
    <rPh sb="388" eb="390">
      <t>ホンガク</t>
    </rPh>
    <rPh sb="391" eb="393">
      <t>ザイセキ</t>
    </rPh>
    <rPh sb="395" eb="397">
      <t>キョウイク</t>
    </rPh>
    <rPh sb="397" eb="399">
      <t>コウガク</t>
    </rPh>
    <rPh sb="400" eb="403">
      <t>センモンカ</t>
    </rPh>
    <rPh sb="408" eb="409">
      <t>クワ</t>
    </rPh>
    <rPh sb="411" eb="414">
      <t>ジムキョク</t>
    </rPh>
    <rPh sb="414" eb="416">
      <t>ショクイン</t>
    </rPh>
    <rPh sb="417" eb="419">
      <t>テキギ</t>
    </rPh>
    <rPh sb="419" eb="421">
      <t>キョウリョク</t>
    </rPh>
    <rPh sb="422" eb="423">
      <t>モト</t>
    </rPh>
    <phoneticPr fontId="1"/>
  </si>
  <si>
    <t xml:space="preserve">　授業時間中は、学習管理システムやオンラインプラットフォームにより受講生からの質問を受け付けて適宜対応する。質問対応に関して、授業担当者は、個人情報保護に留意しつつ、他の受講生との情報共有が望ましいと判断した場合は、掲示板や授業内にて共有する。授業時間外においても、学習管理システム等を活用する。本教育プログラムについての履修状況は、学習管理システムの履歴、授業担当者による情報提供等で把握する。課題の提出状況が思わしくない受講生に対しては、先述のプラットフォームやアプリを用いて現状を確認する。受講生から学習支援の要望があった場合は、当該プログラムの学習支援チームより対応スタッフを選出し、質問への返答やアドバイスを行う。この学習支援チームは、本学に置かれている「学習支援室」の教員スタッフの他、登用したTA・SAから構成する（TA・SAは、当該プログラムの成績優秀者より選出する）。
</t>
    <rPh sb="1" eb="3">
      <t>ジュギョウ</t>
    </rPh>
    <rPh sb="3" eb="5">
      <t>ジカン</t>
    </rPh>
    <rPh sb="5" eb="6">
      <t>チュウ</t>
    </rPh>
    <rPh sb="8" eb="10">
      <t>ガクシュウ</t>
    </rPh>
    <rPh sb="10" eb="12">
      <t>カンリ</t>
    </rPh>
    <rPh sb="33" eb="36">
      <t>ジュコウセイ</t>
    </rPh>
    <rPh sb="39" eb="41">
      <t>シツモン</t>
    </rPh>
    <rPh sb="42" eb="43">
      <t>ウ</t>
    </rPh>
    <rPh sb="44" eb="45">
      <t>ツ</t>
    </rPh>
    <rPh sb="47" eb="49">
      <t>テキギ</t>
    </rPh>
    <rPh sb="49" eb="51">
      <t>タイオウ</t>
    </rPh>
    <rPh sb="54" eb="56">
      <t>シツモン</t>
    </rPh>
    <rPh sb="56" eb="58">
      <t>タイオウ</t>
    </rPh>
    <rPh sb="59" eb="60">
      <t>カン</t>
    </rPh>
    <rPh sb="63" eb="65">
      <t>ジュギョウ</t>
    </rPh>
    <rPh sb="65" eb="68">
      <t>タントウシャ</t>
    </rPh>
    <rPh sb="70" eb="72">
      <t>コジン</t>
    </rPh>
    <rPh sb="72" eb="74">
      <t>ジョウホウ</t>
    </rPh>
    <rPh sb="74" eb="76">
      <t>ホゴ</t>
    </rPh>
    <rPh sb="77" eb="79">
      <t>リュウイ</t>
    </rPh>
    <rPh sb="83" eb="84">
      <t>タ</t>
    </rPh>
    <rPh sb="85" eb="87">
      <t>ジュコウ</t>
    </rPh>
    <rPh sb="87" eb="88">
      <t>セイ</t>
    </rPh>
    <rPh sb="90" eb="92">
      <t>ジョウホウ</t>
    </rPh>
    <rPh sb="92" eb="94">
      <t>キョウユウ</t>
    </rPh>
    <rPh sb="95" eb="96">
      <t>ノゾ</t>
    </rPh>
    <rPh sb="100" eb="102">
      <t>ハンダン</t>
    </rPh>
    <rPh sb="104" eb="106">
      <t>バアイ</t>
    </rPh>
    <rPh sb="108" eb="111">
      <t>ケイジバン</t>
    </rPh>
    <rPh sb="112" eb="114">
      <t>ジュギョウ</t>
    </rPh>
    <rPh sb="114" eb="115">
      <t>ナイ</t>
    </rPh>
    <rPh sb="117" eb="119">
      <t>キョウユウ</t>
    </rPh>
    <rPh sb="122" eb="124">
      <t>ジュギョウ</t>
    </rPh>
    <rPh sb="124" eb="126">
      <t>ジカン</t>
    </rPh>
    <rPh sb="126" eb="127">
      <t>ガイ</t>
    </rPh>
    <rPh sb="133" eb="135">
      <t>ガクシュウ</t>
    </rPh>
    <rPh sb="135" eb="137">
      <t>カンリ</t>
    </rPh>
    <rPh sb="141" eb="142">
      <t>トウ</t>
    </rPh>
    <rPh sb="143" eb="145">
      <t>カツヨウ</t>
    </rPh>
    <rPh sb="163" eb="165">
      <t>ジョウキョウ</t>
    </rPh>
    <rPh sb="167" eb="169">
      <t>ガクシュウ</t>
    </rPh>
    <rPh sb="169" eb="171">
      <t>カンリ</t>
    </rPh>
    <rPh sb="176" eb="178">
      <t>リレキ</t>
    </rPh>
    <rPh sb="179" eb="181">
      <t>ジュギョウ</t>
    </rPh>
    <rPh sb="181" eb="184">
      <t>タントウシャ</t>
    </rPh>
    <rPh sb="187" eb="189">
      <t>ジョウホウ</t>
    </rPh>
    <rPh sb="189" eb="191">
      <t>テイキョウ</t>
    </rPh>
    <rPh sb="191" eb="192">
      <t>トウ</t>
    </rPh>
    <rPh sb="193" eb="195">
      <t>ハアク</t>
    </rPh>
    <rPh sb="198" eb="200">
      <t>カダイ</t>
    </rPh>
    <rPh sb="201" eb="203">
      <t>テイシュツ</t>
    </rPh>
    <rPh sb="203" eb="205">
      <t>ジョウキョウ</t>
    </rPh>
    <rPh sb="206" eb="207">
      <t>オモ</t>
    </rPh>
    <rPh sb="212" eb="215">
      <t>ジュコウセイ</t>
    </rPh>
    <rPh sb="216" eb="217">
      <t>タイ</t>
    </rPh>
    <rPh sb="221" eb="223">
      <t>センジュツ</t>
    </rPh>
    <rPh sb="237" eb="238">
      <t>モチ</t>
    </rPh>
    <rPh sb="240" eb="242">
      <t>ゲンジョウ</t>
    </rPh>
    <rPh sb="243" eb="245">
      <t>カクニン</t>
    </rPh>
    <rPh sb="248" eb="251">
      <t>ジュコウセイ</t>
    </rPh>
    <rPh sb="253" eb="255">
      <t>ガクシュウ</t>
    </rPh>
    <rPh sb="255" eb="257">
      <t>シエン</t>
    </rPh>
    <rPh sb="258" eb="260">
      <t>ヨウボウ</t>
    </rPh>
    <rPh sb="264" eb="266">
      <t>バアイ</t>
    </rPh>
    <rPh sb="268" eb="270">
      <t>トウガイ</t>
    </rPh>
    <rPh sb="276" eb="278">
      <t>ガクシュウ</t>
    </rPh>
    <rPh sb="278" eb="280">
      <t>シエン</t>
    </rPh>
    <rPh sb="285" eb="287">
      <t>タイオウ</t>
    </rPh>
    <rPh sb="292" eb="294">
      <t>センシュツ</t>
    </rPh>
    <rPh sb="296" eb="298">
      <t>シツモン</t>
    </rPh>
    <rPh sb="300" eb="302">
      <t>ヘントウ</t>
    </rPh>
    <rPh sb="309" eb="310">
      <t>オコナ</t>
    </rPh>
    <rPh sb="314" eb="316">
      <t>ガクシュウ</t>
    </rPh>
    <rPh sb="316" eb="318">
      <t>シエン</t>
    </rPh>
    <rPh sb="323" eb="325">
      <t>ホンガク</t>
    </rPh>
    <rPh sb="326" eb="327">
      <t>オ</t>
    </rPh>
    <rPh sb="333" eb="335">
      <t>ガクシュウ</t>
    </rPh>
    <rPh sb="335" eb="337">
      <t>シエン</t>
    </rPh>
    <rPh sb="337" eb="338">
      <t>シツ</t>
    </rPh>
    <rPh sb="340" eb="342">
      <t>キョウイン</t>
    </rPh>
    <rPh sb="347" eb="348">
      <t>ホカ</t>
    </rPh>
    <rPh sb="349" eb="351">
      <t>トウヨウ</t>
    </rPh>
    <rPh sb="360" eb="362">
      <t>コウセイ</t>
    </rPh>
    <rPh sb="372" eb="374">
      <t>トウガイ</t>
    </rPh>
    <rPh sb="380" eb="382">
      <t>セイセキ</t>
    </rPh>
    <rPh sb="382" eb="385">
      <t>ユウシュウシャ</t>
    </rPh>
    <rPh sb="387" eb="389">
      <t>センシュツ</t>
    </rPh>
    <phoneticPr fontId="1"/>
  </si>
  <si>
    <t>科学リテラシ（1EA）</t>
    <rPh sb="0" eb="2">
      <t>カガク</t>
    </rPh>
    <phoneticPr fontId="1"/>
  </si>
  <si>
    <t>科学リテラシ（1MN）</t>
    <rPh sb="0" eb="2">
      <t>カガク</t>
    </rPh>
    <phoneticPr fontId="1"/>
  </si>
  <si>
    <t>科学リテラシ（1FKD）</t>
    <rPh sb="0" eb="2">
      <t>カガク</t>
    </rPh>
    <phoneticPr fontId="1"/>
  </si>
  <si>
    <t>科学リテラシ（1S）</t>
    <rPh sb="0" eb="2">
      <t>カガク</t>
    </rPh>
    <phoneticPr fontId="1"/>
  </si>
  <si>
    <t>プログラムを構成する科目「科学リテラシ」群から2単位修得すること。当該科目は学部ごとにグループを編成している。受講に際しては、所属学部・学科のグループに対応する科目にて受講すること。ただし、各科目において授業の順序を変更することがある。
「科学リテラシ（1EA）」： 工学部 電気電子工学科・建築土木工学科
「科学リテラシ（1MN）」： 工学部 機械工学科・原子力技術応用工学科
「科学リテラシ（1FKD）」： 環境情報学部 環境食品応用化学科・経営情報学科・デザイン学科
「科学リテラシ（1S）」： スポーツ健康科学部 スポーツ健康科学科</t>
    <rPh sb="6" eb="8">
      <t>コウセイ</t>
    </rPh>
    <rPh sb="10" eb="12">
      <t>カモク</t>
    </rPh>
    <rPh sb="13" eb="15">
      <t>カガク</t>
    </rPh>
    <rPh sb="20" eb="21">
      <t>グン</t>
    </rPh>
    <rPh sb="24" eb="26">
      <t>タンイ</t>
    </rPh>
    <rPh sb="26" eb="28">
      <t>シュウトク</t>
    </rPh>
    <rPh sb="33" eb="35">
      <t>トウガイ</t>
    </rPh>
    <rPh sb="35" eb="37">
      <t>カモク</t>
    </rPh>
    <rPh sb="38" eb="40">
      <t>ガクブ</t>
    </rPh>
    <rPh sb="48" eb="50">
      <t>ヘンセイ</t>
    </rPh>
    <rPh sb="55" eb="57">
      <t>ジュコウ</t>
    </rPh>
    <rPh sb="58" eb="59">
      <t>サイ</t>
    </rPh>
    <rPh sb="63" eb="65">
      <t>ショゾク</t>
    </rPh>
    <rPh sb="65" eb="67">
      <t>ガクブ</t>
    </rPh>
    <rPh sb="68" eb="70">
      <t>ガッカ</t>
    </rPh>
    <rPh sb="76" eb="78">
      <t>タイオウ</t>
    </rPh>
    <rPh sb="80" eb="82">
      <t>カモク</t>
    </rPh>
    <rPh sb="84" eb="86">
      <t>ジュコウ</t>
    </rPh>
    <rPh sb="95" eb="96">
      <t>カク</t>
    </rPh>
    <rPh sb="96" eb="98">
      <t>カモク</t>
    </rPh>
    <rPh sb="102" eb="104">
      <t>ジュギョウ</t>
    </rPh>
    <rPh sb="105" eb="107">
      <t>ジュンジョ</t>
    </rPh>
    <rPh sb="108" eb="110">
      <t>ヘンコウ</t>
    </rPh>
    <rPh sb="135" eb="138">
      <t>コウガクブ</t>
    </rPh>
    <rPh sb="170" eb="173">
      <t>コウガクブ</t>
    </rPh>
    <rPh sb="207" eb="209">
      <t>カンキョウ</t>
    </rPh>
    <rPh sb="209" eb="211">
      <t>ジョウホウ</t>
    </rPh>
    <rPh sb="211" eb="213">
      <t>ガクブ</t>
    </rPh>
    <rPh sb="214" eb="216">
      <t>カンキョウ</t>
    </rPh>
    <rPh sb="216" eb="223">
      <t>ショクヒンオウヨウカガクカ</t>
    </rPh>
    <rPh sb="224" eb="230">
      <t>ケイエイジョウホウガッカ</t>
    </rPh>
    <rPh sb="235" eb="237">
      <t>ガッカ</t>
    </rPh>
    <rPh sb="256" eb="258">
      <t>ケンコウ</t>
    </rPh>
    <rPh sb="258" eb="261">
      <t>カガクブ</t>
    </rPh>
    <rPh sb="265" eb="270">
      <t>ケンコウカガクカ</t>
    </rPh>
    <phoneticPr fontId="1"/>
  </si>
  <si>
    <t>・個人情報保護、ELSI「科学リテラシ（共通）」（15回目）
・個人情報保護「科学リテラシ（1FKD）」（2回目・3回目・12回目・13回目）
・個人情報保護「科学リテラシ（1S）」（4回目・14回目）
・ELSI、AI社会原則「科学リテラシ（1FKD）」（12回目・13回目）
・ELSI、AI社会原則「科学リテラシ（1S）」（14回目）</t>
    <rPh sb="1" eb="3">
      <t>コジン</t>
    </rPh>
    <rPh sb="3" eb="5">
      <t>ジョウホウ</t>
    </rPh>
    <rPh sb="5" eb="7">
      <t>ホゴ</t>
    </rPh>
    <rPh sb="13" eb="15">
      <t>カガク</t>
    </rPh>
    <rPh sb="20" eb="22">
      <t>キョウツウ</t>
    </rPh>
    <rPh sb="27" eb="28">
      <t>カイ</t>
    </rPh>
    <rPh sb="28" eb="29">
      <t>メ</t>
    </rPh>
    <rPh sb="58" eb="60">
      <t>カイメ</t>
    </rPh>
    <rPh sb="63" eb="65">
      <t>カイメ</t>
    </rPh>
    <rPh sb="68" eb="70">
      <t>カイメ</t>
    </rPh>
    <rPh sb="110" eb="112">
      <t>シャカイ</t>
    </rPh>
    <rPh sb="112" eb="114">
      <t>ゲンソク</t>
    </rPh>
    <rPh sb="115" eb="117">
      <t>カガク</t>
    </rPh>
    <rPh sb="131" eb="132">
      <t>カイ</t>
    </rPh>
    <rPh sb="132" eb="133">
      <t>メ</t>
    </rPh>
    <rPh sb="136" eb="138">
      <t>カイメ</t>
    </rPh>
    <phoneticPr fontId="1"/>
  </si>
  <si>
    <t>・情報セキュリティ「科学リテラシ（共通）」（15回目）</t>
    <rPh sb="1" eb="3">
      <t>ジョウホウ</t>
    </rPh>
    <phoneticPr fontId="1"/>
  </si>
  <si>
    <t xml:space="preserve">1.自然の法則やそれらを応用して生み出された科学技術と、自身の実生活との間に接点を発見できる。 
2.様々な分野の話題を聴講することにより、自身の専門分野との関連性を認識できる。 
3.大学生活を通じて修得する専門知識を将来「何に」役立てるのかを自分なりに明示できる。 
4.「数理」、「データサイエンス」、「AI」等が対象とするデータやデータが活用される領域が非常に広範囲であること、また、実生活や社会の課題を解決するのに有用であることを察知できる。 </t>
    <rPh sb="101" eb="103">
      <t>シュウトク</t>
    </rPh>
    <phoneticPr fontId="1"/>
  </si>
  <si>
    <t>　本プログラムのコア科目である「科学リテラシ」は、全学部・学科の教員が1名以上担当しており、学科内で受講に関する相談に応じられる体制は既に存在する。また、基盤教育機構の教員が当該科目の世話人を務め、授業担当教員の相談対応において支援を行っている。目標を実現するために、令和5年度以降、各学科の受講登録ガイダンスにおいて、チラシを配付する他、ガイダンス担当教員より本プログラムの説明を行うことにより、プログラムの受講を学生に働きかける。また、アンケート等により受講した学生の感想を取りまとめ、プログラム改善に活用すると共に、本プログラムの魅力を学生視点で後輩学生にアピールするための材料とする。なお、令和7年度以降、本プログラムを受講した卒業生を対象に、プログラムの内容および運営についての意見を求める座談会を開催する。</t>
    <rPh sb="64" eb="66">
      <t>タイセイ</t>
    </rPh>
    <rPh sb="67" eb="68">
      <t>スデ</t>
    </rPh>
    <rPh sb="69" eb="71">
      <t>ソンザイ</t>
    </rPh>
    <rPh sb="139" eb="141">
      <t>イコウ</t>
    </rPh>
    <rPh sb="181" eb="182">
      <t>ホン</t>
    </rPh>
    <rPh sb="261" eb="262">
      <t>ホン</t>
    </rPh>
    <rPh sb="299" eb="301">
      <t>レイワ</t>
    </rPh>
    <rPh sb="302" eb="304">
      <t>ネンド</t>
    </rPh>
    <rPh sb="304" eb="306">
      <t>イコウ</t>
    </rPh>
    <rPh sb="307" eb="308">
      <t>ホン</t>
    </rPh>
    <rPh sb="322" eb="324">
      <t>タイショウ</t>
    </rPh>
    <phoneticPr fontId="1"/>
  </si>
  <si>
    <t>　各学部において、本プログラムの履修率や単位修得状況を分析する。履修データの分析については、本学の「教学IR委員会」が担当し、分析結果を蓄積および公開する。本プログラムのコア科目である「科学リテラシ」のデータ分析に際しては、受講者ごとの課題進捗状況を把握するとともに、授業担当者ごとの評価を交えて、課題難易度の設定が妥当であったかについて検討を行う。特に、学科の垣根を越えた魅力ある整備のため、学部のみならず、学科ごとの検証に留意する。これらの取り組みの成果は、次年度のプログラムならびに授業に反映し、魅力あるプログラム作りに役立てる。
　プログラムの履修の実績として、令和3年度1年生の履修率は85%（459名／540名）である。</t>
    <rPh sb="1" eb="4">
      <t>カクガクブ</t>
    </rPh>
    <rPh sb="9" eb="10">
      <t>ホン</t>
    </rPh>
    <rPh sb="16" eb="18">
      <t>リシュウ</t>
    </rPh>
    <rPh sb="18" eb="19">
      <t>リツ</t>
    </rPh>
    <rPh sb="20" eb="22">
      <t>タンイ</t>
    </rPh>
    <rPh sb="22" eb="24">
      <t>シュウトク</t>
    </rPh>
    <rPh sb="24" eb="26">
      <t>ジョウキョウ</t>
    </rPh>
    <rPh sb="27" eb="29">
      <t>ブンセキ</t>
    </rPh>
    <rPh sb="32" eb="34">
      <t>リシュウ</t>
    </rPh>
    <rPh sb="38" eb="40">
      <t>ブンセキ</t>
    </rPh>
    <rPh sb="46" eb="48">
      <t>ホンガク</t>
    </rPh>
    <rPh sb="50" eb="52">
      <t>キョウガク</t>
    </rPh>
    <rPh sb="54" eb="57">
      <t>イインカイ</t>
    </rPh>
    <rPh sb="59" eb="61">
      <t>タントウ</t>
    </rPh>
    <rPh sb="63" eb="65">
      <t>ブンセキ</t>
    </rPh>
    <rPh sb="65" eb="67">
      <t>ケッカ</t>
    </rPh>
    <rPh sb="68" eb="70">
      <t>チクセキ</t>
    </rPh>
    <rPh sb="73" eb="75">
      <t>コウカイ</t>
    </rPh>
    <rPh sb="78" eb="79">
      <t>ホン</t>
    </rPh>
    <rPh sb="87" eb="89">
      <t>カモク</t>
    </rPh>
    <rPh sb="93" eb="95">
      <t>カガク</t>
    </rPh>
    <rPh sb="104" eb="106">
      <t>ブンセキ</t>
    </rPh>
    <rPh sb="107" eb="108">
      <t>サイ</t>
    </rPh>
    <rPh sb="112" eb="115">
      <t>ジュコウシャ</t>
    </rPh>
    <rPh sb="118" eb="120">
      <t>カダイ</t>
    </rPh>
    <rPh sb="120" eb="122">
      <t>シンチョク</t>
    </rPh>
    <rPh sb="122" eb="124">
      <t>ジョウキョウ</t>
    </rPh>
    <rPh sb="125" eb="127">
      <t>ハアク</t>
    </rPh>
    <rPh sb="134" eb="136">
      <t>ジュギョウ</t>
    </rPh>
    <rPh sb="136" eb="139">
      <t>タントウシャ</t>
    </rPh>
    <rPh sb="142" eb="144">
      <t>ヒョウカ</t>
    </rPh>
    <rPh sb="145" eb="146">
      <t>マジ</t>
    </rPh>
    <rPh sb="149" eb="151">
      <t>カダイ</t>
    </rPh>
    <rPh sb="151" eb="154">
      <t>ナンイド</t>
    </rPh>
    <rPh sb="155" eb="157">
      <t>セッテイ</t>
    </rPh>
    <rPh sb="158" eb="160">
      <t>ダトウ</t>
    </rPh>
    <rPh sb="169" eb="171">
      <t>ケントウ</t>
    </rPh>
    <rPh sb="172" eb="173">
      <t>オコナ</t>
    </rPh>
    <rPh sb="175" eb="176">
      <t>トク</t>
    </rPh>
    <rPh sb="178" eb="180">
      <t>ガッカ</t>
    </rPh>
    <rPh sb="181" eb="183">
      <t>カキネ</t>
    </rPh>
    <rPh sb="184" eb="185">
      <t>コ</t>
    </rPh>
    <rPh sb="187" eb="189">
      <t>ミリョク</t>
    </rPh>
    <rPh sb="191" eb="193">
      <t>セイビ</t>
    </rPh>
    <rPh sb="197" eb="199">
      <t>ガクブ</t>
    </rPh>
    <rPh sb="205" eb="207">
      <t>ガッカ</t>
    </rPh>
    <rPh sb="210" eb="212">
      <t>ケンショウ</t>
    </rPh>
    <rPh sb="213" eb="215">
      <t>リュウイ</t>
    </rPh>
    <rPh sb="222" eb="223">
      <t>ト</t>
    </rPh>
    <rPh sb="224" eb="225">
      <t>ク</t>
    </rPh>
    <rPh sb="227" eb="229">
      <t>セイカ</t>
    </rPh>
    <rPh sb="231" eb="234">
      <t>ジネンド</t>
    </rPh>
    <rPh sb="244" eb="246">
      <t>ジュギョウ</t>
    </rPh>
    <rPh sb="247" eb="249">
      <t>ハンエイ</t>
    </rPh>
    <rPh sb="251" eb="253">
      <t>ミリョク</t>
    </rPh>
    <rPh sb="260" eb="261">
      <t>ヅク</t>
    </rPh>
    <rPh sb="263" eb="265">
      <t>ヤクダ</t>
    </rPh>
    <rPh sb="276" eb="278">
      <t>リシュウ</t>
    </rPh>
    <rPh sb="279" eb="281">
      <t>ジッセキ</t>
    </rPh>
    <rPh sb="285" eb="287">
      <t>レイワ</t>
    </rPh>
    <rPh sb="288" eb="290">
      <t>ネンド</t>
    </rPh>
    <rPh sb="291" eb="292">
      <t>ネン</t>
    </rPh>
    <rPh sb="292" eb="293">
      <t>セイ</t>
    </rPh>
    <rPh sb="294" eb="296">
      <t>リシュウ</t>
    </rPh>
    <rPh sb="296" eb="297">
      <t>リツ</t>
    </rPh>
    <rPh sb="305" eb="306">
      <t>メイ</t>
    </rPh>
    <rPh sb="310" eb="311">
      <t>メイ</t>
    </rPh>
    <phoneticPr fontId="1"/>
  </si>
  <si>
    <t xml:space="preserve">　本プログラムの学修成果は、「教学IR委員会」が成績評価の分布により把握する。また、受講者自身の自己評価については、FD・SD推進委員会が主体となって行う「授業改善のためのアンケート」の中の受講者自身に関する設問項目の回答を分析することによって、詳細に確認する。その結果は、本プログラムの改善・進化にあたる「教務委員会」に報告し、その改善に活用する他、本学におけるデータサイエンス研究に関する産官学連携組織である「AI&amp;IoTセンター」と情報共有し、研究人材育成の観点から、学修成果に関する意見を適宜求める。
</t>
    <rPh sb="1" eb="2">
      <t>ホン</t>
    </rPh>
    <rPh sb="8" eb="10">
      <t>ガクシュウ</t>
    </rPh>
    <rPh sb="10" eb="12">
      <t>セイカ</t>
    </rPh>
    <rPh sb="15" eb="17">
      <t>キョウガク</t>
    </rPh>
    <rPh sb="19" eb="22">
      <t>イインカイ</t>
    </rPh>
    <rPh sb="24" eb="26">
      <t>セイセキ</t>
    </rPh>
    <rPh sb="26" eb="28">
      <t>ヒョウカ</t>
    </rPh>
    <rPh sb="29" eb="31">
      <t>ブンプ</t>
    </rPh>
    <rPh sb="34" eb="36">
      <t>ハアク</t>
    </rPh>
    <rPh sb="42" eb="45">
      <t>ジュコウシャ</t>
    </rPh>
    <rPh sb="45" eb="47">
      <t>ジシン</t>
    </rPh>
    <rPh sb="48" eb="50">
      <t>ジコ</t>
    </rPh>
    <rPh sb="50" eb="52">
      <t>ヒョウカ</t>
    </rPh>
    <rPh sb="63" eb="65">
      <t>スイシン</t>
    </rPh>
    <rPh sb="65" eb="68">
      <t>イインカイ</t>
    </rPh>
    <rPh sb="69" eb="71">
      <t>シュタイ</t>
    </rPh>
    <rPh sb="75" eb="76">
      <t>オコナ</t>
    </rPh>
    <rPh sb="78" eb="80">
      <t>ジュギョウ</t>
    </rPh>
    <rPh sb="80" eb="82">
      <t>カイゼン</t>
    </rPh>
    <rPh sb="93" eb="94">
      <t>ナカ</t>
    </rPh>
    <rPh sb="95" eb="98">
      <t>ジュコウシャ</t>
    </rPh>
    <rPh sb="98" eb="100">
      <t>ジシン</t>
    </rPh>
    <rPh sb="101" eb="102">
      <t>カン</t>
    </rPh>
    <rPh sb="104" eb="106">
      <t>セツモン</t>
    </rPh>
    <rPh sb="106" eb="108">
      <t>コウモク</t>
    </rPh>
    <rPh sb="109" eb="111">
      <t>カイトウ</t>
    </rPh>
    <rPh sb="112" eb="114">
      <t>ブンセキ</t>
    </rPh>
    <rPh sb="123" eb="125">
      <t>ショウサイ</t>
    </rPh>
    <rPh sb="126" eb="128">
      <t>カクニン</t>
    </rPh>
    <rPh sb="133" eb="135">
      <t>ケッカ</t>
    </rPh>
    <rPh sb="137" eb="138">
      <t>ホン</t>
    </rPh>
    <rPh sb="144" eb="146">
      <t>カイゼン</t>
    </rPh>
    <rPh sb="147" eb="149">
      <t>シンカ</t>
    </rPh>
    <rPh sb="154" eb="156">
      <t>キョウム</t>
    </rPh>
    <rPh sb="156" eb="159">
      <t>イインカイ</t>
    </rPh>
    <rPh sb="161" eb="163">
      <t>ホウコク</t>
    </rPh>
    <rPh sb="167" eb="169">
      <t>カイゼン</t>
    </rPh>
    <rPh sb="170" eb="172">
      <t>カツヨウ</t>
    </rPh>
    <rPh sb="174" eb="175">
      <t>ホカ</t>
    </rPh>
    <rPh sb="176" eb="178">
      <t>ホンガク</t>
    </rPh>
    <rPh sb="190" eb="192">
      <t>ケンキュウ</t>
    </rPh>
    <rPh sb="193" eb="194">
      <t>カン</t>
    </rPh>
    <rPh sb="196" eb="199">
      <t>サンカンガク</t>
    </rPh>
    <rPh sb="199" eb="201">
      <t>レンケイ</t>
    </rPh>
    <rPh sb="201" eb="203">
      <t>ソシキ</t>
    </rPh>
    <rPh sb="219" eb="221">
      <t>ジョウホウ</t>
    </rPh>
    <rPh sb="221" eb="223">
      <t>キョウユウ</t>
    </rPh>
    <rPh sb="225" eb="227">
      <t>ケンキュウ</t>
    </rPh>
    <rPh sb="227" eb="229">
      <t>ジンザイ</t>
    </rPh>
    <rPh sb="229" eb="231">
      <t>イクセイ</t>
    </rPh>
    <rPh sb="232" eb="234">
      <t>カンテン</t>
    </rPh>
    <rPh sb="237" eb="239">
      <t>ガクシュウ</t>
    </rPh>
    <rPh sb="239" eb="241">
      <t>セイカ</t>
    </rPh>
    <rPh sb="242" eb="243">
      <t>カン</t>
    </rPh>
    <rPh sb="245" eb="247">
      <t>イケン</t>
    </rPh>
    <rPh sb="248" eb="250">
      <t>テキギ</t>
    </rPh>
    <rPh sb="250" eb="251">
      <t>モト</t>
    </rPh>
    <phoneticPr fontId="1"/>
  </si>
  <si>
    <t>　本学で実施されている「授業改善のためのアンケート」は、科目ごとに集計結果を学内において公開している。この「授業改善のためのアンケート」には、受講生の関心度に関連する設問があることから、この公開により、後輩学生や他の学生は本プログラムの推奨度を知ることができる。また、「科学リテラシ」の最終回における課題からも、関心度を推し量ることでき、延いては、推奨度推測の一助となる。</t>
    <rPh sb="1" eb="3">
      <t>ホンガク</t>
    </rPh>
    <rPh sb="4" eb="6">
      <t>ジッシ</t>
    </rPh>
    <rPh sb="12" eb="14">
      <t>ジュギョウ</t>
    </rPh>
    <rPh sb="14" eb="16">
      <t>カイゼン</t>
    </rPh>
    <rPh sb="28" eb="30">
      <t>カモク</t>
    </rPh>
    <rPh sb="33" eb="35">
      <t>シュウケイ</t>
    </rPh>
    <rPh sb="35" eb="37">
      <t>ケッカ</t>
    </rPh>
    <rPh sb="38" eb="40">
      <t>ガクナイ</t>
    </rPh>
    <rPh sb="44" eb="46">
      <t>コウカイ</t>
    </rPh>
    <rPh sb="56" eb="58">
      <t>カイゼン</t>
    </rPh>
    <rPh sb="71" eb="74">
      <t>ジュコウセイ</t>
    </rPh>
    <rPh sb="75" eb="78">
      <t>カンシンド</t>
    </rPh>
    <rPh sb="79" eb="81">
      <t>カンレン</t>
    </rPh>
    <rPh sb="83" eb="85">
      <t>セツモン</t>
    </rPh>
    <rPh sb="95" eb="97">
      <t>コウカイ</t>
    </rPh>
    <rPh sb="101" eb="103">
      <t>コウハイ</t>
    </rPh>
    <rPh sb="103" eb="105">
      <t>ガクセイ</t>
    </rPh>
    <rPh sb="106" eb="107">
      <t>タ</t>
    </rPh>
    <rPh sb="108" eb="110">
      <t>ガクセイ</t>
    </rPh>
    <rPh sb="111" eb="112">
      <t>ホン</t>
    </rPh>
    <rPh sb="118" eb="120">
      <t>スイショウ</t>
    </rPh>
    <rPh sb="120" eb="121">
      <t>ド</t>
    </rPh>
    <rPh sb="122" eb="123">
      <t>シ</t>
    </rPh>
    <rPh sb="135" eb="137">
      <t>カガク</t>
    </rPh>
    <rPh sb="143" eb="146">
      <t>サイシュウカイ</t>
    </rPh>
    <rPh sb="150" eb="152">
      <t>カダイ</t>
    </rPh>
    <rPh sb="156" eb="159">
      <t>カンシンド</t>
    </rPh>
    <rPh sb="160" eb="161">
      <t>オ</t>
    </rPh>
    <rPh sb="162" eb="163">
      <t>ハカ</t>
    </rPh>
    <rPh sb="169" eb="170">
      <t>ヒ</t>
    </rPh>
    <rPh sb="174" eb="176">
      <t>スイショウ</t>
    </rPh>
    <rPh sb="176" eb="177">
      <t>ド</t>
    </rPh>
    <rPh sb="177" eb="179">
      <t>スイソク</t>
    </rPh>
    <rPh sb="180" eb="182">
      <t>イチジョ</t>
    </rPh>
    <phoneticPr fontId="1"/>
  </si>
  <si>
    <t xml:space="preserve">本学「キャリアセンター」の協力の下、卒業生調査を卒業後3年以内に実施し、本プログラムを修了した卒業生の進路実績を把握する。また、民間企業、公的団体に対して、企業調査を実施し、本プログラムを修了した卒業生の採用状況や企業人材担当者による評価を把握する仕組みを設ける。さらに、在学中の資格取得状況を把握し、本プログラムの受講がキャリア形成にどの程度寄与したかを分析する。
</t>
    <rPh sb="0" eb="2">
      <t>ホンガク</t>
    </rPh>
    <rPh sb="13" eb="15">
      <t>キョウリョク</t>
    </rPh>
    <rPh sb="16" eb="17">
      <t>モト</t>
    </rPh>
    <rPh sb="24" eb="27">
      <t>ソツギョウゴ</t>
    </rPh>
    <rPh sb="28" eb="29">
      <t>ネン</t>
    </rPh>
    <rPh sb="29" eb="31">
      <t>イナイ</t>
    </rPh>
    <rPh sb="32" eb="34">
      <t>ジッシ</t>
    </rPh>
    <rPh sb="36" eb="37">
      <t>ホン</t>
    </rPh>
    <rPh sb="43" eb="45">
      <t>シュウリョウ</t>
    </rPh>
    <rPh sb="47" eb="50">
      <t>ソツギョウセイ</t>
    </rPh>
    <rPh sb="51" eb="53">
      <t>シンロ</t>
    </rPh>
    <rPh sb="53" eb="55">
      <t>ジッセキ</t>
    </rPh>
    <rPh sb="56" eb="58">
      <t>ハアク</t>
    </rPh>
    <rPh sb="64" eb="66">
      <t>ミンカン</t>
    </rPh>
    <rPh sb="66" eb="68">
      <t>キギョウ</t>
    </rPh>
    <rPh sb="69" eb="71">
      <t>コウテキ</t>
    </rPh>
    <rPh sb="71" eb="73">
      <t>ダンタイ</t>
    </rPh>
    <rPh sb="74" eb="75">
      <t>タイ</t>
    </rPh>
    <rPh sb="78" eb="80">
      <t>キギョウ</t>
    </rPh>
    <rPh sb="80" eb="82">
      <t>チョウサ</t>
    </rPh>
    <rPh sb="83" eb="85">
      <t>ジッシ</t>
    </rPh>
    <rPh sb="87" eb="88">
      <t>ホン</t>
    </rPh>
    <rPh sb="94" eb="96">
      <t>シュウリョウ</t>
    </rPh>
    <rPh sb="98" eb="101">
      <t>ソツギョウセイ</t>
    </rPh>
    <rPh sb="102" eb="104">
      <t>サイヨウ</t>
    </rPh>
    <rPh sb="104" eb="106">
      <t>ジョウキョウ</t>
    </rPh>
    <rPh sb="107" eb="109">
      <t>キギョウ</t>
    </rPh>
    <rPh sb="109" eb="111">
      <t>ジンザイ</t>
    </rPh>
    <rPh sb="111" eb="114">
      <t>タントウシャ</t>
    </rPh>
    <rPh sb="117" eb="119">
      <t>ヒョウカ</t>
    </rPh>
    <rPh sb="120" eb="122">
      <t>ハアク</t>
    </rPh>
    <rPh sb="124" eb="126">
      <t>シク</t>
    </rPh>
    <rPh sb="128" eb="129">
      <t>モウ</t>
    </rPh>
    <rPh sb="136" eb="139">
      <t>ザイガクチュウ</t>
    </rPh>
    <rPh sb="140" eb="142">
      <t>シカク</t>
    </rPh>
    <rPh sb="142" eb="144">
      <t>シュトク</t>
    </rPh>
    <rPh sb="144" eb="146">
      <t>ジョウキョウ</t>
    </rPh>
    <rPh sb="147" eb="149">
      <t>ハアク</t>
    </rPh>
    <rPh sb="151" eb="152">
      <t>ホン</t>
    </rPh>
    <rPh sb="158" eb="160">
      <t>ジュコウ</t>
    </rPh>
    <rPh sb="165" eb="167">
      <t>ケイセイ</t>
    </rPh>
    <rPh sb="170" eb="172">
      <t>テイド</t>
    </rPh>
    <rPh sb="172" eb="174">
      <t>キヨ</t>
    </rPh>
    <rPh sb="178" eb="180">
      <t>ブンセキ</t>
    </rPh>
    <phoneticPr fontId="1"/>
  </si>
  <si>
    <t>　本学でデータサイエンス研究の産学官連携を推進する「AI&amp;IoTセンター」に、履修状況や学修成果を報告し、産業界との橋渡し役として、産業界の視点で本プログラムの取り組みに関する評価や意見を求める。また、「AI&amp;IoTセンター」主催のシンポジウムにて、産業界からの参加者に本プログラムを紹介するとともに、アンケートにより本プログラムの内容について意見を求める他、キャリアセンターの協力を得て、企業人材担当者に対し意見を募る。</t>
    <rPh sb="12" eb="14">
      <t>ケンキュウ</t>
    </rPh>
    <rPh sb="15" eb="18">
      <t>サンガクカン</t>
    </rPh>
    <rPh sb="18" eb="20">
      <t>レンケイ</t>
    </rPh>
    <rPh sb="21" eb="23">
      <t>スイシン</t>
    </rPh>
    <rPh sb="39" eb="41">
      <t>リシュウ</t>
    </rPh>
    <rPh sb="41" eb="43">
      <t>ジョウキョウ</t>
    </rPh>
    <rPh sb="44" eb="46">
      <t>ガクシュウ</t>
    </rPh>
    <rPh sb="46" eb="48">
      <t>セイカ</t>
    </rPh>
    <rPh sb="49" eb="51">
      <t>ホウコク</t>
    </rPh>
    <rPh sb="53" eb="56">
      <t>サンギョウカイ</t>
    </rPh>
    <rPh sb="58" eb="60">
      <t>ハシワタ</t>
    </rPh>
    <rPh sb="61" eb="62">
      <t>ヤク</t>
    </rPh>
    <rPh sb="66" eb="69">
      <t>サンギョウカイ</t>
    </rPh>
    <rPh sb="70" eb="72">
      <t>シテン</t>
    </rPh>
    <rPh sb="73" eb="74">
      <t>ホン</t>
    </rPh>
    <rPh sb="80" eb="81">
      <t>ト</t>
    </rPh>
    <rPh sb="82" eb="83">
      <t>ク</t>
    </rPh>
    <rPh sb="85" eb="86">
      <t>カン</t>
    </rPh>
    <rPh sb="88" eb="90">
      <t>ヒョウカ</t>
    </rPh>
    <rPh sb="91" eb="93">
      <t>イケン</t>
    </rPh>
    <rPh sb="94" eb="95">
      <t>モト</t>
    </rPh>
    <rPh sb="113" eb="115">
      <t>シュサイ</t>
    </rPh>
    <rPh sb="125" eb="128">
      <t>サンギョウカイ</t>
    </rPh>
    <rPh sb="131" eb="134">
      <t>サンカシャ</t>
    </rPh>
    <rPh sb="135" eb="136">
      <t>ホン</t>
    </rPh>
    <rPh sb="142" eb="144">
      <t>ショウカイ</t>
    </rPh>
    <rPh sb="159" eb="160">
      <t>ホン</t>
    </rPh>
    <rPh sb="166" eb="168">
      <t>ナイヨウ</t>
    </rPh>
    <rPh sb="172" eb="174">
      <t>イケン</t>
    </rPh>
    <rPh sb="175" eb="176">
      <t>モト</t>
    </rPh>
    <rPh sb="178" eb="179">
      <t>ホカ</t>
    </rPh>
    <rPh sb="189" eb="191">
      <t>キョウリョク</t>
    </rPh>
    <rPh sb="192" eb="193">
      <t>エ</t>
    </rPh>
    <rPh sb="195" eb="202">
      <t>キギョウジンザイタントウシャ</t>
    </rPh>
    <rPh sb="203" eb="204">
      <t>タイ</t>
    </rPh>
    <rPh sb="205" eb="207">
      <t>イケン</t>
    </rPh>
    <rPh sb="208" eb="209">
      <t>ツノ</t>
    </rPh>
    <phoneticPr fontId="1"/>
  </si>
  <si>
    <t>FUT数理・データサイエンス・AI教育プログラム</t>
    <rPh sb="3" eb="5">
      <t>スウリ</t>
    </rPh>
    <rPh sb="17" eb="19">
      <t>キョウイク</t>
    </rPh>
    <phoneticPr fontId="1"/>
  </si>
  <si>
    <t>https://www.fukui-ut.ac.jp/ut/subject/education/</t>
    <phoneticPr fontId="1"/>
  </si>
  <si>
    <t>・Society5.0、SDGs、AI、ビッグデータ、IoT、フィンテック、QOL「科学リテラシ（共通）」（１回目）
・情報通信産業の成長、データ駆動型社会、イノベーション「科学リテラシ（共通）」（8回目）
・科学コミュニケーション「科学リテラシ（共通）」（15回目）
・都市化DX、スーパーシティ、原子力発電におけるAIの導入「科学リテラシ（1EA/1MN）」（9回目～14回目）
・AIの諸分野への応用、AIの発展と社会への影響「科学リテラシ（1FKD）」（2回目・3回目・7回目・12回目・13回目）
・AIの諸分野への応用、AIの発展と社会への影響「科学リテラシ（1S）」（4回目・5回目・6回目・14回目）</t>
    <rPh sb="42" eb="44">
      <t>カガク</t>
    </rPh>
    <rPh sb="49" eb="51">
      <t>キョウツウ</t>
    </rPh>
    <rPh sb="55" eb="57">
      <t>カイメ</t>
    </rPh>
    <rPh sb="73" eb="76">
      <t>クドウガタ</t>
    </rPh>
    <rPh sb="76" eb="78">
      <t>シャカイ</t>
    </rPh>
    <rPh sb="87" eb="89">
      <t>カガク</t>
    </rPh>
    <rPh sb="100" eb="101">
      <t>カイ</t>
    </rPh>
    <rPh sb="101" eb="102">
      <t>メ</t>
    </rPh>
    <rPh sb="117" eb="119">
      <t>カガク</t>
    </rPh>
    <rPh sb="131" eb="132">
      <t>カイ</t>
    </rPh>
    <rPh sb="132" eb="133">
      <t>メ</t>
    </rPh>
    <rPh sb="136" eb="139">
      <t>トシカ</t>
    </rPh>
    <rPh sb="150" eb="153">
      <t>ゲンシリョク</t>
    </rPh>
    <rPh sb="153" eb="155">
      <t>ハツデン</t>
    </rPh>
    <rPh sb="162" eb="164">
      <t>ドウニュウ</t>
    </rPh>
    <rPh sb="183" eb="184">
      <t>カイ</t>
    </rPh>
    <rPh sb="184" eb="185">
      <t>メ</t>
    </rPh>
    <rPh sb="188" eb="189">
      <t>カイ</t>
    </rPh>
    <rPh sb="196" eb="199">
      <t>ショブンヤ</t>
    </rPh>
    <rPh sb="201" eb="203">
      <t>オウヨウ</t>
    </rPh>
    <rPh sb="207" eb="209">
      <t>ハッテン</t>
    </rPh>
    <rPh sb="210" eb="212">
      <t>シャカイ</t>
    </rPh>
    <rPh sb="214" eb="216">
      <t>エイキョウ</t>
    </rPh>
    <rPh sb="232" eb="233">
      <t>カイ</t>
    </rPh>
    <rPh sb="233" eb="234">
      <t>メ</t>
    </rPh>
    <rPh sb="236" eb="238">
      <t>カイメ</t>
    </rPh>
    <rPh sb="240" eb="242">
      <t>カイメ</t>
    </rPh>
    <rPh sb="245" eb="247">
      <t>カイメ</t>
    </rPh>
    <phoneticPr fontId="1"/>
  </si>
  <si>
    <t>・地域・観光データ、生理/医療データ、バリューチェーン、気象データ、生育データ、市場データ「科学リテラシ（共通）」（8回目）
・各種都市データ、測量データ、技能データ、作業データ、機器の稼働データ「科学リテラシ（1EA/1MN）」（9回目～14回目）
・文書データ、会話データ、財務データ、画像、形状データ、生体/動作データ「科学リテラシ（1FKD）」（2回目・3回目・7回目・12回目・13回目）
・文書データ、会話データ、財務データ、画像、形状データ、生体/動作データ「科学リテラシ（1S）」（4回目・5回目・6回目・14回目）</t>
    <rPh sb="1" eb="3">
      <t>チイキ</t>
    </rPh>
    <rPh sb="4" eb="6">
      <t>カンコウ</t>
    </rPh>
    <rPh sb="10" eb="12">
      <t>セイリ</t>
    </rPh>
    <rPh sb="13" eb="15">
      <t>イリョウ</t>
    </rPh>
    <rPh sb="28" eb="30">
      <t>キショウ</t>
    </rPh>
    <rPh sb="34" eb="36">
      <t>セイイク</t>
    </rPh>
    <rPh sb="40" eb="42">
      <t>シジョウ</t>
    </rPh>
    <rPh sb="64" eb="66">
      <t>カクシュ</t>
    </rPh>
    <rPh sb="66" eb="68">
      <t>トシ</t>
    </rPh>
    <rPh sb="72" eb="74">
      <t>ソクリョウ</t>
    </rPh>
    <rPh sb="78" eb="80">
      <t>ギノウ</t>
    </rPh>
    <rPh sb="90" eb="92">
      <t>キキ</t>
    </rPh>
    <rPh sb="93" eb="95">
      <t>カドウ</t>
    </rPh>
    <rPh sb="127" eb="129">
      <t>ブンショ</t>
    </rPh>
    <rPh sb="133" eb="135">
      <t>カイワ</t>
    </rPh>
    <rPh sb="139" eb="141">
      <t>ザイム</t>
    </rPh>
    <rPh sb="145" eb="147">
      <t>ガゾウ</t>
    </rPh>
    <rPh sb="148" eb="150">
      <t>ケイジョウ</t>
    </rPh>
    <rPh sb="154" eb="156">
      <t>セイタイ</t>
    </rPh>
    <rPh sb="157" eb="159">
      <t>ドウサ</t>
    </rPh>
    <rPh sb="213" eb="215">
      <t>ザイム</t>
    </rPh>
    <phoneticPr fontId="1"/>
  </si>
  <si>
    <t>・AI、ビッグデータ、IoT、5G、ビーコン、GPS、クラウド、フィンテック「科学リテラシ（共通）」（8回目）
・オープンAPI、BIM・CIM、クラウド、ドローン、スマートフォン、タブレット、チャットボット「科学リテラシ（1EA/1MN）」（9回目～14回目）
・機械学習、映像からのデジタイズ、モーションキャプチャ、スマートフォン、タブレット「科学リテラシ（1FKD）」（2回目・3回目・7回目・12回目・13回目）
・機械学習、映像からのデジタイズ、モーションキャプチャ、スマートフォン、タブレット「科学リテラシ（1S）」（4回目・5回目・6回目・14回目）</t>
    <phoneticPr fontId="1"/>
  </si>
  <si>
    <t>・自動車運転支援・渋滞緩和、健康促進・最適治療、バリューチェーン、スマートアグリ、経営改善「科学リテラシ（共通）」（8回目）
・まちづくりにおけるデータ連携、建設生産・管理システムのデジタル化、計画自動作成、材料損傷推定、故障予知、対話型支援システム、寿命評価、異常診断「科学リテラシ（1EA/1MN）」（9回目～14回目）
・物体認識、距離・速度の検知、歩行者検出、製品機能の進化、連続動作、関節の屈曲、体幹の傾斜、被験者間比較
「科学リテラシ（1FKD）」（2回目・3回目・7回目・12回目・13回目）
・物体認識、距離・速度の検知、歩行者検出、製品機能の進化、連続動作、関節の屈曲、体幹の傾斜、被験者間比較「科学リテラシ（1S）」（4回目・5回目・6回目・14回目）</t>
    <phoneticPr fontId="1"/>
  </si>
  <si>
    <t>・データの分布と代表値「科学リテラシ（共通）」（8回目）
・統計情報の正しい理解「科学リテラシ（共通）」（8回目）
・統計情報の正しい理解「科学リテラシ（1FKD）」（5回目・6回目）
・統計情報の正しい理解「科学リテラシ（1S）」（7回目）</t>
    <rPh sb="5" eb="7">
      <t>ブンプ</t>
    </rPh>
    <rPh sb="8" eb="10">
      <t>ダイヒョウ</t>
    </rPh>
    <rPh sb="10" eb="11">
      <t>チ</t>
    </rPh>
    <rPh sb="30" eb="32">
      <t>トウケイ</t>
    </rPh>
    <rPh sb="32" eb="34">
      <t>ジョウホウ</t>
    </rPh>
    <rPh sb="35" eb="36">
      <t>タダ</t>
    </rPh>
    <rPh sb="38" eb="40">
      <t>リカイ</t>
    </rPh>
    <rPh sb="85" eb="87">
      <t>カイメ</t>
    </rPh>
    <rPh sb="89" eb="91">
      <t>カイメ</t>
    </rPh>
    <phoneticPr fontId="1"/>
  </si>
  <si>
    <t>・データ解析ツール「科学リテラシ（共通）」（8回目）
・データの集計「科学リテラシ（1FKD）」（5回目・6回目）
・データの集計「科学リテラシ（1S）」（7回目）</t>
    <rPh sb="4" eb="6">
      <t>カイセキ</t>
    </rPh>
    <rPh sb="32" eb="34">
      <t>シュウケイ</t>
    </rPh>
    <phoneticPr fontId="1"/>
  </si>
  <si>
    <t>・QRコード決済、仮想通貨、ソーシャルレンディング「科学リテラシ（共通）」（8回目）
・AIと産業、AIと芸術、AIがもたらす未来、シンギュラリティ問題「科学リテラシ（共通）」（15回目）
・コンテック、i-Construction、自然災害における被害軽減策、レジリエンス/サステナビリティ「科学リテラシ（1EA/1MN）」（9回目～14回目）
・自動運転技術、動作分析、ウェアラブルデバイス、AIの光と影「科学リテラシ（1FKD）」（2回目・3回目・7回目・12回目・13回目）
・自動運転技術、動作分析、ウェアラブルデバイス、AIの光と影「科学リテラシ（1S）」（4回目・5回目・6回目・14回目）</t>
    <rPh sb="47" eb="49">
      <t>サンギョウ</t>
    </rPh>
    <rPh sb="53" eb="55">
      <t>ゲイジュツ</t>
    </rPh>
    <rPh sb="117" eb="119">
      <t>シゼン</t>
    </rPh>
    <rPh sb="119" eb="121">
      <t>サイガイ</t>
    </rPh>
    <rPh sb="125" eb="127">
      <t>ヒガイ</t>
    </rPh>
    <rPh sb="127" eb="129">
      <t>ケイゲン</t>
    </rPh>
    <rPh sb="129" eb="130">
      <t>サク</t>
    </rPh>
    <rPh sb="175" eb="177">
      <t>ジドウ</t>
    </rPh>
    <rPh sb="177" eb="179">
      <t>ウンテン</t>
    </rPh>
    <rPh sb="179" eb="181">
      <t>ギジュツ</t>
    </rPh>
    <rPh sb="182" eb="184">
      <t>ドウサ</t>
    </rPh>
    <rPh sb="184" eb="186">
      <t>ブンセキ</t>
    </rPh>
    <rPh sb="201" eb="202">
      <t>ヒカリ</t>
    </rPh>
    <rPh sb="203" eb="204">
      <t>カゲ</t>
    </rPh>
    <phoneticPr fontId="1"/>
  </si>
  <si>
    <t>・交通/医療/金融/農業/流通分野におけるデータ・AIの活用「科学リテラシ（共通）」（8回目）
・都市計画/建設/原子力分野におけるデータ・AIの活用「科学リテラシ（1EA/1MN）」（9回目～14回目）
・情報処理/デザイン/スポーツ分野におけるデータ・AIの活用「科学リテラシ（1FKD）」（2回目・3回目・7回目・12回目・13回目）
・情報処理/デザイン/スポーツ分野におけるデータ・AIの活用「科学リテラシ（1S）」（4回目・5回目・6回目・14回目）</t>
    <rPh sb="4" eb="6">
      <t>イリョウ</t>
    </rPh>
    <rPh sb="7" eb="9">
      <t>キンユウ</t>
    </rPh>
    <rPh sb="10" eb="12">
      <t>ノウギョウ</t>
    </rPh>
    <rPh sb="13" eb="15">
      <t>リュウツウ</t>
    </rPh>
    <rPh sb="15" eb="17">
      <t>ブンヤ</t>
    </rPh>
    <rPh sb="28" eb="30">
      <t>カツヨウ</t>
    </rPh>
    <rPh sb="49" eb="51">
      <t>トシ</t>
    </rPh>
    <rPh sb="51" eb="53">
      <t>ケイカク</t>
    </rPh>
    <rPh sb="54" eb="56">
      <t>ケンセツ</t>
    </rPh>
    <rPh sb="57" eb="60">
      <t>ゲンシリョク</t>
    </rPh>
    <rPh sb="60" eb="62">
      <t>ブンヤ</t>
    </rPh>
    <rPh sb="73" eb="75">
      <t>カツヨウ</t>
    </rPh>
    <rPh sb="104" eb="106">
      <t>ジョウホウ</t>
    </rPh>
    <rPh sb="106" eb="108">
      <t>ショリ</t>
    </rPh>
    <rPh sb="118" eb="120">
      <t>ブンヤ</t>
    </rPh>
    <rPh sb="131" eb="133">
      <t>カツヨウ</t>
    </rPh>
    <phoneticPr fontId="1"/>
  </si>
  <si>
    <t>・データ表現「科学リテラシ（共通）」（2回目～15回目）
・データの図表表現「科学リテラシ（共通）」（2回目～15回目）
・データの比較「科学リテラシ（共通）」（2回目～15回目）
・優れた可視化事例「「科学リテラシ（共通）」（2回目～15回目）</t>
    <rPh sb="4" eb="6">
      <t>ヒョウゲン</t>
    </rPh>
    <rPh sb="7" eb="9">
      <t>カガク</t>
    </rPh>
    <rPh sb="14" eb="16">
      <t>キョウツウ</t>
    </rPh>
    <rPh sb="20" eb="21">
      <t>カイ</t>
    </rPh>
    <rPh sb="21" eb="22">
      <t>メ</t>
    </rPh>
    <rPh sb="25" eb="26">
      <t>カイ</t>
    </rPh>
    <rPh sb="26" eb="27">
      <t>メ</t>
    </rPh>
    <rPh sb="34" eb="36">
      <t>ズヒョウ</t>
    </rPh>
    <rPh sb="36" eb="38">
      <t>ヒョウゲン</t>
    </rPh>
    <rPh sb="66" eb="68">
      <t>ヒカク</t>
    </rPh>
    <rPh sb="92" eb="93">
      <t>スグ</t>
    </rPh>
    <rPh sb="95" eb="98">
      <t>カシカ</t>
    </rPh>
    <rPh sb="98" eb="100">
      <t>ジレイ</t>
    </rPh>
    <phoneticPr fontId="1"/>
  </si>
  <si>
    <t>【委員長】    学務部長　田中 智一 
【副委員長】 基盤教育機構長（学習支援部会主査）　蔵田 浩之
【副委員長】 機械工学科 主任補佐　山下 清隆
【副委員長】 学務課長　山田 典孝
工学部 電気電子工学科 主任補佐　西田 好宏
工学部 建築土木工学科 主任補佐　五十嵐 啓
工学部 原子力技術応用工学科 主任補佐　砂川 武義
環境情報学部 環境食品応用化学科 主任補佐　原 道寛
環境情報学部 経営情報学科 主任補佐 恐神 正博
環境情報学部 デザイン学科 主任補佐 近藤 晶
スポーツ健康科学部 スポーツ健康科学科 主任補佐　野口 雄慶
基盤教育機構機構長補佐（教職支援部会主査）　荒木 史代
クラブ活動支援センター長　杉浦 宏季
インターナショナルセンター長　リー ブラッドフォード
学生委員長  竹田 周平
PBL部会主査　杉原 一臣
SPEC部会主査　入学 直哉
キャリア教育部会主査　西川 隼人
中高大接続・連携部会　土屋 高志
事務局長 中舎 喜博
事務局次長 白崎 太士
他、学務課課員若干名</t>
    <rPh sb="1" eb="4">
      <t>イインチョウ</t>
    </rPh>
    <rPh sb="9" eb="11">
      <t>ガクム</t>
    </rPh>
    <rPh sb="11" eb="13">
      <t>ブチョウ</t>
    </rPh>
    <rPh sb="14" eb="16">
      <t>タナカ</t>
    </rPh>
    <rPh sb="17" eb="19">
      <t>トモカズ</t>
    </rPh>
    <rPh sb="22" eb="26">
      <t>フクイインチョウ</t>
    </rPh>
    <rPh sb="28" eb="34">
      <t>キバンキョウイクキコウ</t>
    </rPh>
    <rPh sb="34" eb="35">
      <t>チョウ</t>
    </rPh>
    <rPh sb="46" eb="48">
      <t>クラタ</t>
    </rPh>
    <rPh sb="49" eb="51">
      <t>ヒロユキ</t>
    </rPh>
    <rPh sb="59" eb="61">
      <t>キカイ</t>
    </rPh>
    <rPh sb="61" eb="64">
      <t>コウガクカ</t>
    </rPh>
    <rPh sb="65" eb="67">
      <t>シュニン</t>
    </rPh>
    <rPh sb="67" eb="69">
      <t>ホサ</t>
    </rPh>
    <rPh sb="70" eb="72">
      <t>ヤマシタ</t>
    </rPh>
    <rPh sb="73" eb="75">
      <t>キヨタカ</t>
    </rPh>
    <rPh sb="83" eb="85">
      <t>ガクム</t>
    </rPh>
    <rPh sb="85" eb="87">
      <t>カチョウ</t>
    </rPh>
    <rPh sb="88" eb="90">
      <t>ヤマダ</t>
    </rPh>
    <rPh sb="91" eb="93">
      <t>ノリタカ</t>
    </rPh>
    <rPh sb="95" eb="98">
      <t>コウガクブ</t>
    </rPh>
    <rPh sb="99" eb="101">
      <t>デンキ</t>
    </rPh>
    <rPh sb="101" eb="103">
      <t>デンシ</t>
    </rPh>
    <rPh sb="103" eb="106">
      <t>コウガクカ</t>
    </rPh>
    <rPh sb="107" eb="109">
      <t>シュニン</t>
    </rPh>
    <rPh sb="109" eb="111">
      <t>ホサ</t>
    </rPh>
    <rPh sb="118" eb="121">
      <t>コウガクブ</t>
    </rPh>
    <rPh sb="122" eb="129">
      <t>ケンチクドボクコウガクカ</t>
    </rPh>
    <rPh sb="135" eb="138">
      <t>イガラシ</t>
    </rPh>
    <rPh sb="141" eb="144">
      <t>コウガクブ</t>
    </rPh>
    <rPh sb="145" eb="150">
      <t>ゲンシリョクギジュツ</t>
    </rPh>
    <rPh sb="150" eb="152">
      <t>オウヨウ</t>
    </rPh>
    <rPh sb="152" eb="155">
      <t>コウガクカ</t>
    </rPh>
    <rPh sb="167" eb="173">
      <t>カンキョウジョウホウガクブ</t>
    </rPh>
    <rPh sb="194" eb="200">
      <t>カンキョウジョウホウガクブ</t>
    </rPh>
    <rPh sb="201" eb="207">
      <t>ケイエイジョウホウガッカ</t>
    </rPh>
    <rPh sb="213" eb="214">
      <t>オソ</t>
    </rPh>
    <rPh sb="214" eb="215">
      <t>カミ</t>
    </rPh>
    <rPh sb="216" eb="218">
      <t>マサヒロ</t>
    </rPh>
    <rPh sb="241" eb="242">
      <t>ショウ</t>
    </rPh>
    <rPh sb="247" eb="249">
      <t>ケンコウ</t>
    </rPh>
    <rPh sb="249" eb="252">
      <t>カガクブ</t>
    </rPh>
    <rPh sb="257" eb="262">
      <t>ケンコウカガクカ</t>
    </rPh>
    <rPh sb="274" eb="276">
      <t>キバン</t>
    </rPh>
    <rPh sb="276" eb="278">
      <t>キョウイク</t>
    </rPh>
    <rPh sb="278" eb="280">
      <t>キコウ</t>
    </rPh>
    <rPh sb="280" eb="282">
      <t>キコウ</t>
    </rPh>
    <rPh sb="282" eb="283">
      <t>チョウ</t>
    </rPh>
    <rPh sb="283" eb="285">
      <t>ホサ</t>
    </rPh>
    <rPh sb="286" eb="288">
      <t>キョウショク</t>
    </rPh>
    <rPh sb="288" eb="290">
      <t>シエン</t>
    </rPh>
    <rPh sb="290" eb="292">
      <t>ブカイ</t>
    </rPh>
    <rPh sb="292" eb="294">
      <t>シュサ</t>
    </rPh>
    <rPh sb="296" eb="298">
      <t>アラキ</t>
    </rPh>
    <rPh sb="299" eb="301">
      <t>フミヨ</t>
    </rPh>
    <rPh sb="305" eb="307">
      <t>カツドウ</t>
    </rPh>
    <rPh sb="307" eb="309">
      <t>シエン</t>
    </rPh>
    <rPh sb="313" eb="314">
      <t>チョウ</t>
    </rPh>
    <rPh sb="334" eb="335">
      <t>チョウ</t>
    </rPh>
    <rPh sb="348" eb="350">
      <t>ガクセイ</t>
    </rPh>
    <rPh sb="364" eb="366">
      <t>ブカイ</t>
    </rPh>
    <rPh sb="366" eb="368">
      <t>シュサ</t>
    </rPh>
    <rPh sb="369" eb="371">
      <t>スギハラ</t>
    </rPh>
    <rPh sb="372" eb="373">
      <t>イチ</t>
    </rPh>
    <rPh sb="373" eb="374">
      <t>シン</t>
    </rPh>
    <rPh sb="379" eb="381">
      <t>ブカイ</t>
    </rPh>
    <rPh sb="381" eb="383">
      <t>シュサ</t>
    </rPh>
    <rPh sb="384" eb="386">
      <t>ニュウガク</t>
    </rPh>
    <rPh sb="387" eb="389">
      <t>ナオヤ</t>
    </rPh>
    <rPh sb="394" eb="396">
      <t>キョウイク</t>
    </rPh>
    <rPh sb="396" eb="398">
      <t>ブカイ</t>
    </rPh>
    <rPh sb="398" eb="400">
      <t>シュサ</t>
    </rPh>
    <rPh sb="407" eb="410">
      <t>チュウコウダイ</t>
    </rPh>
    <rPh sb="410" eb="412">
      <t>セツゾク</t>
    </rPh>
    <rPh sb="413" eb="415">
      <t>レンケイ</t>
    </rPh>
    <rPh sb="415" eb="417">
      <t>ブカイ</t>
    </rPh>
    <rPh sb="418" eb="420">
      <t>ツチヤ</t>
    </rPh>
    <rPh sb="421" eb="423">
      <t>タカシ</t>
    </rPh>
    <rPh sb="425" eb="427">
      <t>ジム</t>
    </rPh>
    <rPh sb="427" eb="429">
      <t>キョクチョウ</t>
    </rPh>
    <rPh sb="430" eb="432">
      <t>ナカヤ</t>
    </rPh>
    <rPh sb="436" eb="439">
      <t>ジムキョク</t>
    </rPh>
    <rPh sb="439" eb="441">
      <t>ジチョウ</t>
    </rPh>
    <rPh sb="442" eb="444">
      <t>シラサキ</t>
    </rPh>
    <rPh sb="448" eb="449">
      <t>タ</t>
    </rPh>
    <rPh sb="450" eb="453">
      <t>ガクムカ</t>
    </rPh>
    <rPh sb="453" eb="455">
      <t>カイン</t>
    </rPh>
    <rPh sb="455" eb="458">
      <t>ジャッカンメイ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</si>
</sst>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3"/>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name val="ＭＳ Ｐゴシック"/>
      <family val="3"/>
      <charset val="128"/>
      <scheme val="minor"/>
    </font>
    <font>
      <sz val="10"/>
      <name val="ＭＳ Ｐゴシック"/>
      <family val="3"/>
      <charset val="128"/>
      <scheme val="minor"/>
    </font>
    <font>
      <sz val="7"/>
      <name val="ＭＳ Ｐゴシック"/>
      <family val="3"/>
      <charset val="128"/>
      <scheme val="minor"/>
    </font>
    <font>
      <sz val="12"/>
      <color rgb="FFFF0000"/>
      <name val="ＭＳ Ｐゴシック"/>
      <family val="3"/>
      <charset val="128"/>
      <scheme val="minor"/>
    </font>
  </fonts>
  <fills count="2">
    <fill>
      <patternFill patternType="none"/>
    </fill>
    <fill>
      <patternFill patternType="gray125"/>
    </fill>
  </fills>
  <borders count="5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s>
  <cellStyleXfs count="3">
    <xf numFmtId="0" fontId="0" fillId="0" borderId="0">
      <alignment vertical="center"/>
    </xf>
    <xf numFmtId="38" fontId="2"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308">
    <xf numFmtId="0" fontId="0" fillId="0" borderId="0" xfId="0">
      <alignment vertical="center"/>
    </xf>
    <xf numFmtId="176" fontId="4" fillId="0" borderId="0" xfId="0" applyNumberFormat="1" applyFont="1" applyBorder="1">
      <alignment vertical="center"/>
    </xf>
    <xf numFmtId="176" fontId="4" fillId="0" borderId="3" xfId="0" applyNumberFormat="1" applyFont="1" applyBorder="1" applyAlignment="1">
      <alignment vertical="center" shrinkToFit="1"/>
    </xf>
    <xf numFmtId="0" fontId="4" fillId="0" borderId="0" xfId="0" applyFont="1" applyBorder="1" applyAlignment="1">
      <alignment horizontal="center" vertical="center" shrinkToFit="1"/>
    </xf>
    <xf numFmtId="0" fontId="5" fillId="0" borderId="0" xfId="0" applyFont="1">
      <alignment vertical="center"/>
    </xf>
    <xf numFmtId="0" fontId="4" fillId="0" borderId="0" xfId="0" applyFont="1">
      <alignment vertical="center"/>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Border="1" applyAlignment="1">
      <alignment vertical="center"/>
    </xf>
    <xf numFmtId="0" fontId="4" fillId="0" borderId="5" xfId="0" applyFont="1" applyBorder="1">
      <alignment vertical="center"/>
    </xf>
    <xf numFmtId="176" fontId="4" fillId="0" borderId="0" xfId="0" applyNumberFormat="1" applyFont="1" applyBorder="1" applyAlignment="1">
      <alignment vertical="center" wrapText="1"/>
    </xf>
    <xf numFmtId="0" fontId="4" fillId="0" borderId="0" xfId="0" applyFont="1" applyBorder="1">
      <alignment vertical="center"/>
    </xf>
    <xf numFmtId="176" fontId="4" fillId="0" borderId="5" xfId="0" applyNumberFormat="1" applyFont="1" applyBorder="1" applyAlignment="1">
      <alignment vertical="center"/>
    </xf>
    <xf numFmtId="176" fontId="4" fillId="0" borderId="0" xfId="0" applyNumberFormat="1" applyFont="1" applyAlignment="1">
      <alignment vertical="center" wrapText="1"/>
    </xf>
    <xf numFmtId="176" fontId="4" fillId="0" borderId="0" xfId="0" applyNumberFormat="1" applyFont="1" applyAlignment="1">
      <alignment horizontal="left" vertical="center" wrapText="1"/>
    </xf>
    <xf numFmtId="0" fontId="4" fillId="0" borderId="6" xfId="0" applyFont="1" applyBorder="1" applyAlignment="1">
      <alignment vertical="center" shrinkToFit="1"/>
    </xf>
    <xf numFmtId="0" fontId="4" fillId="0" borderId="1" xfId="0" applyFont="1" applyBorder="1">
      <alignment vertical="center"/>
    </xf>
    <xf numFmtId="0" fontId="4" fillId="0" borderId="2" xfId="0" applyFont="1" applyBorder="1">
      <alignment vertical="center"/>
    </xf>
    <xf numFmtId="0" fontId="4" fillId="0" borderId="4" xfId="0" applyFont="1" applyBorder="1">
      <alignment vertical="center"/>
    </xf>
    <xf numFmtId="0" fontId="4" fillId="0" borderId="0" xfId="0" applyFont="1" applyAlignment="1">
      <alignment horizontal="center" vertical="center"/>
    </xf>
    <xf numFmtId="0" fontId="4" fillId="0" borderId="1" xfId="0" applyFont="1" applyBorder="1" applyAlignment="1">
      <alignment vertical="center" shrinkToFit="1"/>
    </xf>
    <xf numFmtId="0" fontId="4" fillId="0" borderId="0" xfId="0" applyFont="1" applyFill="1">
      <alignment vertical="center"/>
    </xf>
    <xf numFmtId="0" fontId="4" fillId="0" borderId="10" xfId="0" applyFont="1" applyBorder="1" applyAlignment="1">
      <alignment vertical="center" shrinkToFit="1"/>
    </xf>
    <xf numFmtId="49" fontId="8" fillId="0" borderId="1" xfId="0" applyNumberFormat="1" applyFont="1" applyBorder="1" applyAlignment="1">
      <alignment horizontal="center" vertical="center"/>
    </xf>
    <xf numFmtId="0" fontId="4" fillId="0" borderId="14" xfId="0" applyFont="1" applyBorder="1" applyAlignment="1">
      <alignment vertical="center" shrinkToFit="1"/>
    </xf>
    <xf numFmtId="0" fontId="4" fillId="0" borderId="23" xfId="0" applyFont="1" applyBorder="1" applyAlignment="1">
      <alignment vertical="center" shrinkToFit="1"/>
    </xf>
    <xf numFmtId="0" fontId="4" fillId="0" borderId="43" xfId="0" applyFont="1" applyBorder="1" applyAlignment="1">
      <alignment vertical="center" shrinkToFit="1"/>
    </xf>
    <xf numFmtId="0" fontId="4" fillId="0" borderId="0" xfId="0" applyFont="1" applyAlignment="1">
      <alignment vertical="center" shrinkToFit="1"/>
    </xf>
    <xf numFmtId="0" fontId="4" fillId="0" borderId="0" xfId="0" applyFont="1" applyAlignment="1">
      <alignment vertical="top" wrapText="1"/>
    </xf>
    <xf numFmtId="0" fontId="5" fillId="0" borderId="2" xfId="0" applyFont="1" applyBorder="1">
      <alignment vertical="center"/>
    </xf>
    <xf numFmtId="0" fontId="5" fillId="0" borderId="4" xfId="0" applyFont="1" applyBorder="1">
      <alignment vertical="center"/>
    </xf>
    <xf numFmtId="49" fontId="8" fillId="0" borderId="47" xfId="0" applyNumberFormat="1" applyFont="1" applyBorder="1" applyAlignment="1">
      <alignment horizontal="center" vertical="center"/>
    </xf>
    <xf numFmtId="49" fontId="8" fillId="0" borderId="33" xfId="0" applyNumberFormat="1" applyFont="1" applyBorder="1" applyAlignment="1">
      <alignment horizontal="center" vertical="center"/>
    </xf>
    <xf numFmtId="49" fontId="8" fillId="0" borderId="50" xfId="0" applyNumberFormat="1" applyFont="1" applyBorder="1" applyAlignment="1">
      <alignment horizontal="center" vertical="center"/>
    </xf>
    <xf numFmtId="49" fontId="8" fillId="0" borderId="51" xfId="0" applyNumberFormat="1"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38" xfId="0" applyFont="1" applyBorder="1" applyAlignment="1">
      <alignment vertical="center"/>
    </xf>
    <xf numFmtId="0" fontId="4" fillId="0" borderId="18" xfId="0" applyFont="1" applyBorder="1" applyAlignment="1">
      <alignment vertical="center"/>
    </xf>
    <xf numFmtId="0" fontId="4" fillId="0" borderId="42" xfId="0" applyFont="1" applyBorder="1" applyAlignment="1">
      <alignment vertical="center"/>
    </xf>
    <xf numFmtId="49" fontId="8" fillId="0" borderId="29" xfId="0" applyNumberFormat="1" applyFont="1" applyBorder="1" applyAlignment="1">
      <alignment horizontal="center" vertical="center"/>
    </xf>
    <xf numFmtId="0" fontId="11" fillId="0" borderId="4" xfId="0" applyFont="1" applyBorder="1" applyAlignment="1">
      <alignment horizontal="center" vertical="center" shrinkToFit="1"/>
    </xf>
    <xf numFmtId="0" fontId="4" fillId="0" borderId="14"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13" xfId="0" applyFont="1" applyBorder="1" applyAlignment="1">
      <alignment horizontal="center" vertical="center" shrinkToFit="1"/>
    </xf>
    <xf numFmtId="0" fontId="4" fillId="0" borderId="0" xfId="0" applyFont="1" applyBorder="1" applyAlignment="1">
      <alignment horizontal="center" vertical="center"/>
    </xf>
    <xf numFmtId="0" fontId="4" fillId="0" borderId="0" xfId="0" applyFont="1" applyBorder="1" applyAlignment="1">
      <alignment vertical="center" shrinkToFit="1"/>
    </xf>
    <xf numFmtId="0" fontId="4" fillId="0" borderId="19" xfId="0" applyFont="1" applyBorder="1" applyAlignment="1">
      <alignment vertical="center" shrinkToFit="1"/>
    </xf>
    <xf numFmtId="0" fontId="4" fillId="0" borderId="20" xfId="0" applyFont="1" applyBorder="1" applyAlignment="1">
      <alignment vertical="center" shrinkToFit="1"/>
    </xf>
    <xf numFmtId="0" fontId="4" fillId="0" borderId="18" xfId="0" applyFont="1" applyBorder="1" applyAlignment="1">
      <alignment vertical="center" shrinkToFit="1"/>
    </xf>
    <xf numFmtId="0" fontId="10" fillId="0" borderId="0" xfId="0" applyFont="1">
      <alignment vertical="center"/>
    </xf>
    <xf numFmtId="0" fontId="14" fillId="0" borderId="11" xfId="0" applyFont="1" applyBorder="1" applyAlignment="1">
      <alignment horizontal="center" vertical="center"/>
    </xf>
    <xf numFmtId="0" fontId="14" fillId="0" borderId="29" xfId="0" applyFont="1" applyBorder="1" applyAlignment="1">
      <alignment horizontal="center" vertical="center" wrapText="1"/>
    </xf>
    <xf numFmtId="0" fontId="14" fillId="0" borderId="30" xfId="0" applyFont="1" applyBorder="1" applyAlignment="1">
      <alignment horizontal="center" vertical="center"/>
    </xf>
    <xf numFmtId="0" fontId="14" fillId="0" borderId="12" xfId="0" applyFont="1" applyBorder="1" applyAlignment="1">
      <alignment horizontal="center" vertical="center" wrapTex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1" xfId="0" applyNumberFormat="1" applyFont="1" applyBorder="1" applyAlignment="1">
      <alignment vertical="center" shrinkToFit="1"/>
    </xf>
    <xf numFmtId="176" fontId="4" fillId="0" borderId="32"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0" fontId="4" fillId="0" borderId="23" xfId="0" applyFont="1" applyBorder="1" applyAlignment="1">
      <alignment horizontal="left" vertical="center" shrinkToFit="1"/>
    </xf>
    <xf numFmtId="176" fontId="4" fillId="0" borderId="19"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8" xfId="0" applyNumberFormat="1" applyFont="1" applyBorder="1" applyAlignment="1">
      <alignment vertical="center" shrinkToFit="1"/>
    </xf>
    <xf numFmtId="176" fontId="4" fillId="0" borderId="23" xfId="0" applyNumberFormat="1" applyFont="1" applyBorder="1" applyAlignment="1">
      <alignment vertical="center" shrinkToFit="1"/>
    </xf>
    <xf numFmtId="9" fontId="4" fillId="0" borderId="23" xfId="0" applyNumberFormat="1" applyFont="1" applyBorder="1" applyAlignment="1">
      <alignment vertical="center" shrinkToFit="1"/>
    </xf>
    <xf numFmtId="0" fontId="4" fillId="0" borderId="24" xfId="0" applyFont="1" applyBorder="1" applyAlignment="1">
      <alignment horizontal="left" vertical="center" shrinkToFit="1"/>
    </xf>
    <xf numFmtId="176" fontId="4" fillId="0" borderId="24" xfId="0" applyNumberFormat="1" applyFont="1" applyBorder="1" applyAlignment="1">
      <alignment vertical="center" shrinkToFit="1"/>
    </xf>
    <xf numFmtId="0" fontId="4" fillId="0" borderId="28" xfId="0" applyFont="1" applyBorder="1" applyAlignment="1">
      <alignment horizontal="center" vertical="center" shrinkToFit="1"/>
    </xf>
    <xf numFmtId="0" fontId="4" fillId="0" borderId="26" xfId="0" applyFont="1" applyBorder="1" applyAlignment="1">
      <alignment vertical="center" shrinkToFit="1"/>
    </xf>
    <xf numFmtId="0" fontId="4" fillId="0" borderId="25" xfId="0" applyFont="1" applyBorder="1" applyAlignment="1">
      <alignment vertical="center" shrinkToFit="1"/>
    </xf>
    <xf numFmtId="176" fontId="4" fillId="0" borderId="25"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28" xfId="0" applyNumberFormat="1" applyFont="1" applyBorder="1" applyAlignment="1">
      <alignment vertical="center" shrinkToFit="1"/>
    </xf>
    <xf numFmtId="9" fontId="4" fillId="0" borderId="27" xfId="0" applyNumberFormat="1" applyFont="1" applyBorder="1" applyAlignment="1">
      <alignment vertical="center" shrinkToFit="1"/>
    </xf>
    <xf numFmtId="0" fontId="4" fillId="0" borderId="0" xfId="0" applyFont="1">
      <alignment vertical="center"/>
    </xf>
    <xf numFmtId="0" fontId="4" fillId="0" borderId="0" xfId="0" applyFont="1" applyAlignment="1">
      <alignment vertical="center"/>
    </xf>
    <xf numFmtId="0" fontId="4" fillId="0" borderId="5" xfId="0" applyFont="1" applyBorder="1">
      <alignment vertical="center"/>
    </xf>
    <xf numFmtId="0" fontId="4" fillId="0" borderId="0" xfId="0" applyFont="1" applyAlignment="1">
      <alignment horizontal="center" vertical="center"/>
    </xf>
    <xf numFmtId="0" fontId="4" fillId="0" borderId="0" xfId="0" applyFont="1" applyAlignment="1">
      <alignment vertical="top" wrapText="1"/>
    </xf>
    <xf numFmtId="0" fontId="4" fillId="0" borderId="9" xfId="0" applyFont="1" applyBorder="1" applyAlignment="1">
      <alignment horizontal="center" vertical="center" shrinkToFit="1"/>
    </xf>
    <xf numFmtId="0" fontId="4" fillId="0" borderId="46" xfId="0" applyFont="1" applyBorder="1" applyAlignment="1">
      <alignment horizontal="center" vertical="center" shrinkToFit="1"/>
    </xf>
    <xf numFmtId="0" fontId="7" fillId="0" borderId="0" xfId="0" applyFont="1" applyAlignment="1">
      <alignment horizontal="center" vertical="center"/>
    </xf>
    <xf numFmtId="0" fontId="4" fillId="0" borderId="0" xfId="0" applyFont="1" applyAlignment="1">
      <alignment horizontal="right" vertical="center"/>
    </xf>
    <xf numFmtId="0" fontId="4" fillId="0" borderId="14" xfId="0" applyFont="1" applyBorder="1" applyAlignment="1">
      <alignment horizontal="left" vertical="center" shrinkToFit="1"/>
    </xf>
    <xf numFmtId="0" fontId="4" fillId="0" borderId="23" xfId="0" applyFont="1" applyBorder="1" applyAlignment="1">
      <alignment horizontal="left" vertical="center" shrinkToFit="1"/>
    </xf>
    <xf numFmtId="0" fontId="8" fillId="0" borderId="0" xfId="0" applyFont="1">
      <alignment vertical="center"/>
    </xf>
    <xf numFmtId="0" fontId="8" fillId="0" borderId="0" xfId="0" applyFont="1" applyAlignment="1">
      <alignment vertical="top" wrapText="1"/>
    </xf>
    <xf numFmtId="0" fontId="8" fillId="0" borderId="10" xfId="0" applyFont="1" applyBorder="1" applyAlignment="1">
      <alignment vertical="top" wrapText="1"/>
    </xf>
    <xf numFmtId="0" fontId="8" fillId="0" borderId="5" xfId="0" applyFont="1" applyBorder="1" applyAlignment="1">
      <alignment vertical="top" wrapText="1"/>
    </xf>
    <xf numFmtId="0" fontId="4" fillId="0" borderId="16" xfId="0" applyFont="1" applyBorder="1">
      <alignment vertical="center"/>
    </xf>
    <xf numFmtId="0" fontId="8" fillId="0" borderId="20" xfId="0" applyFont="1" applyBorder="1" applyAlignment="1">
      <alignment vertical="top" wrapText="1"/>
    </xf>
    <xf numFmtId="0" fontId="8" fillId="0" borderId="18" xfId="0" applyFont="1" applyBorder="1" applyAlignment="1">
      <alignment vertical="top" wrapText="1"/>
    </xf>
    <xf numFmtId="0" fontId="8" fillId="0" borderId="20" xfId="0" applyFont="1" applyBorder="1" applyAlignment="1">
      <alignment vertical="top" shrinkToFit="1"/>
    </xf>
    <xf numFmtId="0" fontId="8" fillId="0" borderId="18" xfId="0" applyFont="1" applyBorder="1" applyAlignment="1">
      <alignment vertical="top" shrinkToFit="1"/>
    </xf>
    <xf numFmtId="0" fontId="4" fillId="0" borderId="0" xfId="0" applyFont="1" applyAlignment="1">
      <alignment vertical="center" wrapText="1"/>
    </xf>
    <xf numFmtId="0" fontId="8" fillId="0" borderId="0" xfId="0" applyFont="1" applyAlignment="1">
      <alignment vertical="top" shrinkToFit="1"/>
    </xf>
    <xf numFmtId="0" fontId="8" fillId="0" borderId="0" xfId="0" applyFont="1" applyAlignment="1">
      <alignment vertical="center" wrapText="1"/>
    </xf>
    <xf numFmtId="0" fontId="4" fillId="0" borderId="18" xfId="0" applyFont="1" applyBorder="1" applyAlignment="1">
      <alignment horizontal="center" vertical="center"/>
    </xf>
    <xf numFmtId="0" fontId="4" fillId="0" borderId="38" xfId="0" applyFont="1" applyBorder="1" applyAlignment="1">
      <alignment horizontal="center" vertical="center"/>
    </xf>
    <xf numFmtId="0" fontId="4" fillId="0" borderId="20" xfId="0" applyFont="1" applyFill="1" applyBorder="1" applyAlignment="1">
      <alignment vertical="center" shrinkToFit="1"/>
    </xf>
    <xf numFmtId="0" fontId="4" fillId="0" borderId="19" xfId="0" applyFont="1" applyFill="1" applyBorder="1" applyAlignment="1">
      <alignment vertical="center" shrinkToFit="1"/>
    </xf>
    <xf numFmtId="176" fontId="4" fillId="0" borderId="19" xfId="0" applyNumberFormat="1" applyFont="1" applyFill="1" applyBorder="1" applyAlignment="1">
      <alignment vertical="center" shrinkToFit="1"/>
    </xf>
    <xf numFmtId="176" fontId="4" fillId="0" borderId="33" xfId="0" applyNumberFormat="1" applyFont="1" applyFill="1" applyBorder="1" applyAlignment="1">
      <alignment vertical="center" shrinkToFit="1"/>
    </xf>
    <xf numFmtId="0" fontId="4" fillId="0" borderId="0" xfId="0" applyFont="1" applyFill="1" applyBorder="1" applyAlignment="1">
      <alignment vertical="center" shrinkToFit="1"/>
    </xf>
    <xf numFmtId="0" fontId="4" fillId="0" borderId="5" xfId="0" applyFont="1" applyFill="1" applyBorder="1" applyAlignment="1">
      <alignment vertical="center" shrinkToFit="1"/>
    </xf>
    <xf numFmtId="176" fontId="15" fillId="0" borderId="19" xfId="0" applyNumberFormat="1" applyFont="1" applyFill="1" applyBorder="1" applyAlignment="1">
      <alignment vertical="center" shrinkToFit="1"/>
    </xf>
    <xf numFmtId="176" fontId="15" fillId="0" borderId="33" xfId="0" applyNumberFormat="1" applyFont="1" applyFill="1" applyBorder="1" applyAlignment="1">
      <alignment vertical="center" shrinkToFit="1"/>
    </xf>
    <xf numFmtId="176" fontId="4" fillId="0" borderId="5" xfId="0" applyNumberFormat="1" applyFont="1" applyFill="1" applyBorder="1" applyAlignment="1">
      <alignment vertical="center" shrinkToFit="1"/>
    </xf>
    <xf numFmtId="0" fontId="4" fillId="0" borderId="18" xfId="0" applyFont="1" applyBorder="1" applyAlignment="1">
      <alignment horizontal="center" vertical="center"/>
    </xf>
    <xf numFmtId="0" fontId="4" fillId="0" borderId="1" xfId="0" applyFont="1" applyFill="1" applyBorder="1" applyAlignment="1">
      <alignment horizontal="center" vertical="center" shrinkToFit="1"/>
    </xf>
    <xf numFmtId="176" fontId="4" fillId="0" borderId="31" xfId="0" applyNumberFormat="1" applyFont="1" applyFill="1" applyBorder="1" applyAlignment="1">
      <alignment vertical="center" shrinkToFit="1"/>
    </xf>
    <xf numFmtId="0" fontId="4" fillId="0" borderId="7" xfId="0" applyFont="1" applyFill="1" applyBorder="1" applyAlignment="1">
      <alignment horizontal="center" vertical="center" wrapText="1" shrinkToFit="1"/>
    </xf>
    <xf numFmtId="0" fontId="4" fillId="0" borderId="8" xfId="0" applyFont="1" applyFill="1" applyBorder="1" applyAlignment="1">
      <alignment horizontal="center" vertical="center" wrapText="1" shrinkToFit="1"/>
    </xf>
    <xf numFmtId="0" fontId="4" fillId="0" borderId="44" xfId="0" applyFont="1" applyFill="1" applyBorder="1" applyAlignment="1">
      <alignment horizontal="center" vertical="center" shrinkToFit="1"/>
    </xf>
    <xf numFmtId="0" fontId="4" fillId="0" borderId="45" xfId="0" applyFont="1" applyFill="1" applyBorder="1" applyAlignment="1">
      <alignment horizontal="center" vertical="center" shrinkToFit="1"/>
    </xf>
    <xf numFmtId="176" fontId="4" fillId="0" borderId="45" xfId="0" applyNumberFormat="1" applyFont="1" applyFill="1" applyBorder="1" applyAlignment="1">
      <alignment horizontal="center" vertical="center" shrinkToFit="1"/>
    </xf>
    <xf numFmtId="9" fontId="4" fillId="0" borderId="8" xfId="0" applyNumberFormat="1" applyFont="1" applyFill="1" applyBorder="1" applyAlignment="1">
      <alignment horizontal="center" vertical="center" wrapText="1" shrinkToFit="1"/>
    </xf>
    <xf numFmtId="9" fontId="4" fillId="0" borderId="8" xfId="0" applyNumberFormat="1" applyFont="1" applyFill="1" applyBorder="1" applyAlignment="1">
      <alignment horizontal="center" vertical="center" shrinkToFit="1"/>
    </xf>
    <xf numFmtId="9" fontId="4" fillId="0" borderId="45" xfId="0" applyNumberFormat="1" applyFont="1" applyFill="1" applyBorder="1" applyAlignment="1">
      <alignment horizontal="center" vertical="center" shrinkToFit="1"/>
    </xf>
    <xf numFmtId="49" fontId="3" fillId="0" borderId="2" xfId="2" applyNumberFormat="1" applyBorder="1" applyAlignment="1">
      <alignment horizontal="center" vertical="center" shrinkToFit="1"/>
    </xf>
    <xf numFmtId="49" fontId="4" fillId="0" borderId="3" xfId="0" applyNumberFormat="1" applyFont="1" applyBorder="1" applyAlignment="1">
      <alignment horizontal="center" vertical="center" shrinkToFit="1"/>
    </xf>
    <xf numFmtId="49" fontId="4" fillId="0" borderId="4" xfId="0" applyNumberFormat="1" applyFont="1" applyBorder="1" applyAlignment="1">
      <alignment horizontal="center" vertical="center" shrinkToFit="1"/>
    </xf>
    <xf numFmtId="49" fontId="4" fillId="0" borderId="2" xfId="1" applyNumberFormat="1" applyFont="1" applyBorder="1" applyAlignment="1">
      <alignment horizontal="center" vertical="center" shrinkToFit="1"/>
    </xf>
    <xf numFmtId="49" fontId="4" fillId="0" borderId="3" xfId="1" applyNumberFormat="1" applyFont="1" applyBorder="1" applyAlignment="1">
      <alignment horizontal="center" vertical="center" shrinkToFit="1"/>
    </xf>
    <xf numFmtId="49" fontId="4" fillId="0" borderId="4" xfId="1" applyNumberFormat="1" applyFont="1" applyBorder="1" applyAlignment="1">
      <alignment horizontal="center" vertical="center" shrinkToFit="1"/>
    </xf>
    <xf numFmtId="0" fontId="4" fillId="0" borderId="0" xfId="0" applyFont="1" applyBorder="1" applyAlignment="1">
      <alignment horizontal="center" vertical="center"/>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176" fontId="4" fillId="0" borderId="2" xfId="0" applyNumberFormat="1" applyFont="1" applyFill="1" applyBorder="1" applyAlignment="1">
      <alignment horizontal="center" vertical="center" shrinkToFit="1"/>
    </xf>
    <xf numFmtId="176" fontId="4" fillId="0" borderId="4" xfId="0" applyNumberFormat="1" applyFont="1" applyFill="1" applyBorder="1" applyAlignment="1">
      <alignment horizontal="center" vertical="center" shrinkToFit="1"/>
    </xf>
    <xf numFmtId="0" fontId="4" fillId="0" borderId="0" xfId="0" applyFont="1" applyBorder="1" applyAlignment="1">
      <alignment horizontal="right"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right" vertical="center" shrinkToFit="1"/>
    </xf>
    <xf numFmtId="0" fontId="4" fillId="0" borderId="10" xfId="0" applyFont="1" applyBorder="1" applyAlignment="1">
      <alignment horizontal="right" vertical="center" shrinkToFit="1"/>
    </xf>
    <xf numFmtId="0" fontId="4" fillId="0" borderId="0" xfId="0" applyFont="1" applyAlignment="1">
      <alignment horizontal="right" vertical="center"/>
    </xf>
    <xf numFmtId="0" fontId="4" fillId="0" borderId="0" xfId="0" applyFont="1" applyBorder="1" applyAlignment="1">
      <alignment horizontal="right" vertical="center"/>
    </xf>
    <xf numFmtId="0" fontId="4" fillId="0" borderId="10" xfId="0" applyFont="1" applyBorder="1" applyAlignment="1">
      <alignment horizontal="right" vertical="center"/>
    </xf>
    <xf numFmtId="176" fontId="4" fillId="0" borderId="3" xfId="0" applyNumberFormat="1" applyFont="1" applyFill="1" applyBorder="1" applyAlignment="1">
      <alignment horizontal="center" vertical="center" shrinkToFit="1"/>
    </xf>
    <xf numFmtId="0" fontId="6" fillId="0" borderId="0" xfId="0" applyFont="1" applyAlignment="1">
      <alignment horizontal="center" vertical="center"/>
    </xf>
    <xf numFmtId="0" fontId="4" fillId="0" borderId="2" xfId="0" applyNumberFormat="1" applyFont="1" applyFill="1" applyBorder="1" applyAlignment="1">
      <alignment horizontal="center" vertical="center"/>
    </xf>
    <xf numFmtId="0" fontId="4" fillId="0" borderId="4" xfId="0" applyNumberFormat="1" applyFont="1" applyFill="1" applyBorder="1" applyAlignment="1">
      <alignment horizontal="center" vertical="center"/>
    </xf>
    <xf numFmtId="176" fontId="4" fillId="0" borderId="2" xfId="0" applyNumberFormat="1" applyFont="1" applyBorder="1" applyAlignment="1">
      <alignment horizontal="center" vertical="center" shrinkToFit="1"/>
    </xf>
    <xf numFmtId="176" fontId="4" fillId="0" borderId="4" xfId="0" applyNumberFormat="1" applyFont="1" applyBorder="1" applyAlignment="1">
      <alignment horizontal="center" vertical="center" shrinkToFit="1"/>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0" xfId="0" applyFont="1" applyBorder="1" applyAlignment="1">
      <alignment vertical="center" shrinkToFit="1"/>
    </xf>
    <xf numFmtId="0" fontId="4" fillId="0" borderId="37" xfId="0" applyFont="1" applyBorder="1" applyAlignment="1">
      <alignment vertical="center" shrinkToFit="1"/>
    </xf>
    <xf numFmtId="0" fontId="4" fillId="0" borderId="39" xfId="0" applyFont="1" applyBorder="1" applyAlignment="1">
      <alignment vertical="center" shrinkToFit="1"/>
    </xf>
    <xf numFmtId="0" fontId="4" fillId="0" borderId="38" xfId="0" applyFont="1" applyBorder="1" applyAlignment="1">
      <alignment vertical="center" shrinkToFit="1"/>
    </xf>
    <xf numFmtId="0" fontId="4" fillId="0" borderId="37" xfId="0" applyFont="1" applyBorder="1" applyAlignment="1">
      <alignment horizontal="center" vertical="center" shrinkToFit="1"/>
    </xf>
    <xf numFmtId="0" fontId="4" fillId="0" borderId="39" xfId="0" applyFont="1" applyBorder="1" applyAlignment="1">
      <alignment horizontal="center" vertical="center" shrinkToFit="1"/>
    </xf>
    <xf numFmtId="0" fontId="4" fillId="0" borderId="38" xfId="0" applyFont="1" applyBorder="1" applyAlignment="1">
      <alignment horizontal="center" vertical="center" shrinkToFi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9" xfId="0" applyFont="1" applyBorder="1" applyAlignment="1">
      <alignment vertical="center" wrapText="1" shrinkToFit="1"/>
    </xf>
    <xf numFmtId="0" fontId="4" fillId="0" borderId="20" xfId="0"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vertical="center" shrinkToFit="1"/>
    </xf>
    <xf numFmtId="0" fontId="4" fillId="0" borderId="19"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18" xfId="0" applyFont="1" applyBorder="1" applyAlignment="1">
      <alignment horizontal="center" vertical="center" shrinkToFit="1"/>
    </xf>
    <xf numFmtId="0" fontId="10" fillId="0" borderId="48" xfId="0" applyFont="1" applyBorder="1" applyAlignment="1">
      <alignment vertical="center" wrapText="1"/>
    </xf>
    <xf numFmtId="0" fontId="10" fillId="0" borderId="49" xfId="0" applyFont="1" applyBorder="1" applyAlignment="1">
      <alignment vertical="center" wrapText="1"/>
    </xf>
    <xf numFmtId="0" fontId="9" fillId="0" borderId="48" xfId="0" applyFont="1" applyBorder="1" applyAlignment="1">
      <alignment vertical="center" wrapText="1"/>
    </xf>
    <xf numFmtId="0" fontId="9" fillId="0" borderId="49" xfId="0" applyFont="1" applyBorder="1" applyAlignment="1">
      <alignment vertical="center" wrapText="1"/>
    </xf>
    <xf numFmtId="0" fontId="9" fillId="0" borderId="32" xfId="0" applyFont="1" applyBorder="1" applyAlignment="1">
      <alignment vertical="center" wrapText="1"/>
    </xf>
    <xf numFmtId="0" fontId="4" fillId="0" borderId="39" xfId="0" applyFont="1" applyBorder="1" applyAlignment="1">
      <alignment vertical="top" wrapText="1" shrinkToFit="1"/>
    </xf>
    <xf numFmtId="0" fontId="4" fillId="0" borderId="39" xfId="0" applyFont="1" applyBorder="1" applyAlignment="1">
      <alignment vertical="top" shrinkToFit="1"/>
    </xf>
    <xf numFmtId="0" fontId="4" fillId="0" borderId="38" xfId="0" applyFont="1" applyBorder="1" applyAlignment="1">
      <alignment vertical="top" shrinkToFit="1"/>
    </xf>
    <xf numFmtId="0" fontId="4" fillId="0" borderId="6" xfId="0" applyFont="1" applyBorder="1" applyAlignment="1">
      <alignment vertical="top" wrapText="1"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10" fillId="0" borderId="32" xfId="0" applyFont="1" applyBorder="1" applyAlignment="1">
      <alignment vertical="center" wrapText="1"/>
    </xf>
    <xf numFmtId="0" fontId="4" fillId="0" borderId="8" xfId="0" applyFont="1" applyBorder="1" applyAlignment="1">
      <alignment horizontal="left" vertical="top" wrapText="1" shrinkToFit="1"/>
    </xf>
    <xf numFmtId="0" fontId="4" fillId="0" borderId="8" xfId="0" applyFont="1" applyBorder="1" applyAlignment="1">
      <alignment horizontal="left" vertical="top" shrinkToFit="1"/>
    </xf>
    <xf numFmtId="0" fontId="4" fillId="0" borderId="9" xfId="0" applyFont="1" applyBorder="1" applyAlignment="1">
      <alignment horizontal="left" vertical="top" shrinkToFit="1"/>
    </xf>
    <xf numFmtId="0" fontId="4" fillId="0" borderId="20" xfId="0" applyFont="1" applyBorder="1" applyAlignment="1">
      <alignment horizontal="left" vertical="top" shrinkToFit="1"/>
    </xf>
    <xf numFmtId="0" fontId="4" fillId="0" borderId="18" xfId="0" applyFont="1" applyBorder="1" applyAlignment="1">
      <alignment horizontal="left" vertical="top" shrinkToFi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4" fillId="0" borderId="37" xfId="0" applyFont="1" applyBorder="1" applyAlignment="1">
      <alignment horizontal="center" vertical="center"/>
    </xf>
    <xf numFmtId="0" fontId="4" fillId="0" borderId="39" xfId="0" applyFont="1" applyBorder="1" applyAlignment="1">
      <alignment horizontal="center" vertical="center"/>
    </xf>
    <xf numFmtId="0" fontId="4" fillId="0" borderId="3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18" xfId="0" applyFont="1" applyBorder="1" applyAlignment="1">
      <alignment horizontal="center" vertical="center"/>
    </xf>
    <xf numFmtId="0" fontId="4" fillId="0" borderId="37" xfId="0" applyFont="1" applyFill="1" applyBorder="1" applyAlignment="1">
      <alignment horizontal="left" vertical="center" shrinkToFit="1"/>
    </xf>
    <xf numFmtId="0" fontId="4" fillId="0" borderId="39" xfId="0" applyFont="1" applyFill="1" applyBorder="1" applyAlignment="1">
      <alignment horizontal="left" vertical="center" shrinkToFit="1"/>
    </xf>
    <xf numFmtId="0" fontId="4" fillId="0" borderId="38" xfId="0" applyFont="1" applyFill="1" applyBorder="1" applyAlignment="1">
      <alignment horizontal="left" vertical="center" shrinkToFit="1"/>
    </xf>
    <xf numFmtId="0" fontId="4" fillId="0" borderId="44" xfId="0" applyFont="1" applyFill="1" applyBorder="1" applyAlignment="1">
      <alignment horizontal="left" vertical="center" shrinkToFit="1"/>
    </xf>
    <xf numFmtId="0" fontId="4" fillId="0" borderId="45" xfId="0" applyFont="1" applyFill="1" applyBorder="1" applyAlignment="1">
      <alignment horizontal="left" vertical="center" shrinkToFit="1"/>
    </xf>
    <xf numFmtId="0" fontId="4" fillId="0" borderId="46" xfId="0" applyFont="1" applyFill="1" applyBorder="1" applyAlignment="1">
      <alignment horizontal="left" vertical="center" shrinkToFit="1"/>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4" fillId="0" borderId="42" xfId="0" applyFont="1" applyBorder="1" applyAlignment="1">
      <alignment horizontal="center" vertical="center"/>
    </xf>
    <xf numFmtId="0" fontId="4" fillId="0" borderId="0" xfId="0" applyFont="1" applyAlignment="1">
      <alignment vertical="center" wrapText="1"/>
    </xf>
    <xf numFmtId="0" fontId="4" fillId="0" borderId="19" xfId="0" applyFont="1" applyFill="1" applyBorder="1" applyAlignment="1">
      <alignment horizontal="left" vertical="center" shrinkToFit="1"/>
    </xf>
    <xf numFmtId="0" fontId="4" fillId="0" borderId="20" xfId="0" applyFont="1" applyFill="1" applyBorder="1" applyAlignment="1">
      <alignment horizontal="left" vertical="center" shrinkToFit="1"/>
    </xf>
    <xf numFmtId="0" fontId="4" fillId="0" borderId="18" xfId="0" applyFont="1" applyFill="1" applyBorder="1" applyAlignment="1">
      <alignment horizontal="left" vertical="center" shrinkToFit="1"/>
    </xf>
    <xf numFmtId="0" fontId="4" fillId="0" borderId="19" xfId="0" applyFont="1" applyBorder="1" applyAlignment="1">
      <alignment horizontal="left" vertical="center" shrinkToFit="1"/>
    </xf>
    <xf numFmtId="0" fontId="4" fillId="0" borderId="20"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40" xfId="0" applyFont="1" applyBorder="1" applyAlignment="1">
      <alignment horizontal="left" vertical="center" shrinkToFit="1"/>
    </xf>
    <xf numFmtId="0" fontId="4" fillId="0" borderId="41" xfId="0" applyFont="1" applyBorder="1" applyAlignment="1">
      <alignment horizontal="left" vertical="center" shrinkToFit="1"/>
    </xf>
    <xf numFmtId="0" fontId="4" fillId="0" borderId="42" xfId="0" applyFont="1" applyBorder="1" applyAlignment="1">
      <alignment horizontal="left" vertical="center" shrinkToFit="1"/>
    </xf>
    <xf numFmtId="0" fontId="7" fillId="0" borderId="0" xfId="0" applyFont="1" applyAlignment="1">
      <alignment horizontal="center" vertical="center"/>
    </xf>
    <xf numFmtId="0" fontId="10" fillId="0" borderId="7" xfId="0" applyFont="1" applyBorder="1" applyAlignment="1">
      <alignment horizontal="left" vertical="top" wrapText="1" shrinkToFit="1"/>
    </xf>
    <xf numFmtId="0" fontId="4" fillId="0" borderId="9" xfId="0" applyFont="1" applyBorder="1" applyAlignment="1">
      <alignment horizontal="left" vertical="top" wrapText="1" shrinkToFit="1"/>
    </xf>
    <xf numFmtId="0" fontId="4" fillId="0" borderId="5" xfId="0" applyFont="1" applyBorder="1" applyAlignment="1">
      <alignment horizontal="left" vertical="top" wrapText="1" shrinkToFit="1"/>
    </xf>
    <xf numFmtId="0" fontId="4" fillId="0" borderId="0" xfId="0" applyFont="1" applyBorder="1" applyAlignment="1">
      <alignment horizontal="left" vertical="top" wrapText="1" shrinkToFit="1"/>
    </xf>
    <xf numFmtId="0" fontId="4" fillId="0" borderId="10" xfId="0" applyFont="1" applyBorder="1" applyAlignment="1">
      <alignment horizontal="left" vertical="top" wrapText="1" shrinkToFit="1"/>
    </xf>
    <xf numFmtId="0" fontId="4" fillId="0" borderId="0" xfId="0" applyFont="1" applyAlignment="1">
      <alignment horizontal="left" vertical="top" wrapText="1" shrinkToFit="1"/>
    </xf>
    <xf numFmtId="0" fontId="4" fillId="0" borderId="11" xfId="0" applyFont="1" applyBorder="1" applyAlignment="1">
      <alignment horizontal="left" vertical="top" wrapText="1" shrinkToFit="1"/>
    </xf>
    <xf numFmtId="0" fontId="4" fillId="0" borderId="6" xfId="0" applyFont="1" applyBorder="1" applyAlignment="1">
      <alignment horizontal="left" vertical="top" wrapText="1" shrinkToFit="1"/>
    </xf>
    <xf numFmtId="0" fontId="4" fillId="0" borderId="12" xfId="0" applyFont="1" applyBorder="1" applyAlignment="1">
      <alignment horizontal="left" vertical="top" wrapText="1" shrinkToFit="1"/>
    </xf>
    <xf numFmtId="0" fontId="4" fillId="0" borderId="41" xfId="0" applyFont="1" applyBorder="1" applyAlignment="1">
      <alignment horizontal="left" vertical="top" wrapText="1" shrinkToFit="1"/>
    </xf>
    <xf numFmtId="0" fontId="4" fillId="0" borderId="41" xfId="0" applyFont="1" applyBorder="1" applyAlignment="1">
      <alignment horizontal="left" vertical="top" shrinkToFit="1"/>
    </xf>
    <xf numFmtId="0" fontId="4" fillId="0" borderId="42" xfId="0" applyFont="1" applyBorder="1" applyAlignment="1">
      <alignment horizontal="left" vertical="top" shrinkToFit="1"/>
    </xf>
    <xf numFmtId="0" fontId="4" fillId="0" borderId="39" xfId="0" applyFont="1" applyFill="1" applyBorder="1" applyAlignment="1">
      <alignment horizontal="left" vertical="top" wrapText="1" shrinkToFit="1"/>
    </xf>
    <xf numFmtId="0" fontId="4" fillId="0" borderId="39" xfId="0" applyFont="1" applyFill="1" applyBorder="1" applyAlignment="1">
      <alignment horizontal="left" vertical="top" shrinkToFit="1"/>
    </xf>
    <xf numFmtId="0" fontId="4" fillId="0" borderId="38" xfId="0" applyFont="1" applyFill="1" applyBorder="1" applyAlignment="1">
      <alignment horizontal="left" vertical="top" shrinkToFit="1"/>
    </xf>
    <xf numFmtId="0" fontId="4" fillId="0" borderId="6" xfId="0" applyFont="1" applyBorder="1" applyAlignment="1">
      <alignment horizontal="left" vertical="top" shrinkToFit="1"/>
    </xf>
    <xf numFmtId="0" fontId="4" fillId="0" borderId="12" xfId="0" applyFont="1" applyBorder="1" applyAlignment="1">
      <alignment horizontal="left" vertical="top" shrinkToFit="1"/>
    </xf>
    <xf numFmtId="0" fontId="4" fillId="0" borderId="39" xfId="0" applyFont="1" applyBorder="1" applyAlignment="1">
      <alignment horizontal="left" vertical="top" wrapText="1" shrinkToFit="1"/>
    </xf>
    <xf numFmtId="0" fontId="4" fillId="0" borderId="39" xfId="0" applyFont="1" applyBorder="1" applyAlignment="1">
      <alignment horizontal="left" vertical="top" shrinkToFit="1"/>
    </xf>
    <xf numFmtId="0" fontId="4" fillId="0" borderId="38" xfId="0" applyFont="1" applyBorder="1" applyAlignment="1">
      <alignment horizontal="left" vertical="top" shrinkToFit="1"/>
    </xf>
    <xf numFmtId="0" fontId="4" fillId="0" borderId="40" xfId="0" applyFont="1" applyBorder="1" applyAlignment="1">
      <alignment vertical="center" shrinkToFit="1"/>
    </xf>
    <xf numFmtId="0" fontId="4" fillId="0" borderId="41" xfId="0" applyFont="1" applyBorder="1" applyAlignment="1">
      <alignment vertical="center" shrinkToFit="1"/>
    </xf>
    <xf numFmtId="0" fontId="4" fillId="0" borderId="42" xfId="0" applyFont="1" applyBorder="1" applyAlignment="1">
      <alignment vertical="center" shrinkToFit="1"/>
    </xf>
    <xf numFmtId="0" fontId="4" fillId="0" borderId="40" xfId="0" applyFont="1" applyBorder="1" applyAlignment="1">
      <alignment horizontal="center" vertical="center" shrinkToFit="1"/>
    </xf>
    <xf numFmtId="0" fontId="4" fillId="0" borderId="41" xfId="0" applyFont="1" applyBorder="1" applyAlignment="1">
      <alignment horizontal="center" vertical="center" shrinkToFit="1"/>
    </xf>
    <xf numFmtId="0" fontId="4" fillId="0" borderId="42" xfId="0" applyFont="1" applyBorder="1" applyAlignment="1">
      <alignment horizontal="center"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7"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Border="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3" fillId="0" borderId="2" xfId="2" applyFill="1" applyBorder="1" applyAlignment="1">
      <alignment vertical="center" shrinkToFit="1"/>
    </xf>
    <xf numFmtId="0" fontId="4" fillId="0" borderId="3" xfId="0" applyFont="1" applyFill="1" applyBorder="1" applyAlignment="1">
      <alignment vertical="center" shrinkToFit="1"/>
    </xf>
    <xf numFmtId="0" fontId="4" fillId="0" borderId="4" xfId="0" applyFont="1" applyFill="1" applyBorder="1" applyAlignment="1">
      <alignment vertical="center" shrinkToFit="1"/>
    </xf>
    <xf numFmtId="0" fontId="4" fillId="0" borderId="37" xfId="0" applyFont="1" applyFill="1" applyBorder="1" applyAlignment="1">
      <alignment vertical="center" shrinkToFit="1"/>
    </xf>
    <xf numFmtId="0" fontId="4" fillId="0" borderId="39" xfId="0" applyFont="1" applyFill="1" applyBorder="1" applyAlignment="1">
      <alignment vertical="center" shrinkToFit="1"/>
    </xf>
    <xf numFmtId="0" fontId="4" fillId="0" borderId="38" xfId="0" applyFont="1" applyFill="1" applyBorder="1" applyAlignment="1">
      <alignment vertical="center" shrinkToFit="1"/>
    </xf>
    <xf numFmtId="0" fontId="4" fillId="0" borderId="19" xfId="0" applyFont="1" applyFill="1" applyBorder="1" applyAlignment="1">
      <alignment vertical="center" shrinkToFit="1"/>
    </xf>
    <xf numFmtId="0" fontId="4" fillId="0" borderId="20" xfId="0" applyFont="1" applyFill="1" applyBorder="1" applyAlignment="1">
      <alignment vertical="center" shrinkToFit="1"/>
    </xf>
    <xf numFmtId="0" fontId="4" fillId="0" borderId="18" xfId="0" applyFont="1" applyFill="1" applyBorder="1" applyAlignment="1">
      <alignment vertical="center" shrinkToFit="1"/>
    </xf>
    <xf numFmtId="0" fontId="5" fillId="0" borderId="0" xfId="0" applyFont="1" applyAlignment="1">
      <alignment horizontal="center" vertical="center"/>
    </xf>
    <xf numFmtId="0" fontId="4" fillId="0" borderId="2" xfId="0" applyNumberFormat="1" applyFont="1" applyBorder="1" applyAlignment="1">
      <alignment horizontal="center" vertical="center" shrinkToFit="1"/>
    </xf>
    <xf numFmtId="0" fontId="4" fillId="0" borderId="4" xfId="0" applyNumberFormat="1" applyFont="1" applyBorder="1" applyAlignment="1">
      <alignment horizontal="center" vertical="center" shrinkToFit="1"/>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13" fillId="0" borderId="8" xfId="0" applyFont="1" applyBorder="1" applyAlignment="1">
      <alignment horizontal="center" vertical="center" wrapText="1"/>
    </xf>
    <xf numFmtId="0" fontId="13" fillId="0" borderId="6" xfId="0" applyFont="1" applyBorder="1" applyAlignment="1">
      <alignment horizontal="center" vertical="center"/>
    </xf>
    <xf numFmtId="0" fontId="13" fillId="0" borderId="7" xfId="0" applyFont="1" applyBorder="1" applyAlignment="1">
      <alignment horizontal="center" vertical="center" wrapText="1"/>
    </xf>
    <xf numFmtId="0" fontId="13" fillId="0" borderId="11" xfId="0" applyFont="1" applyBorder="1" applyAlignment="1">
      <alignment horizontal="center" vertical="center"/>
    </xf>
    <xf numFmtId="0" fontId="4" fillId="0" borderId="14" xfId="0" applyFont="1" applyBorder="1" applyAlignment="1">
      <alignment horizontal="center" vertical="center"/>
    </xf>
    <xf numFmtId="0" fontId="14" fillId="0" borderId="15" xfId="0" applyFont="1" applyBorder="1" applyAlignment="1">
      <alignment horizontal="center" vertical="center" wrapText="1"/>
    </xf>
    <xf numFmtId="0" fontId="14" fillId="0" borderId="13" xfId="0" applyFont="1" applyBorder="1" applyAlignment="1">
      <alignment horizontal="center" vertical="center"/>
    </xf>
    <xf numFmtId="0" fontId="13" fillId="0" borderId="9" xfId="0" applyFont="1" applyBorder="1" applyAlignment="1">
      <alignment horizontal="center" vertical="center"/>
    </xf>
    <xf numFmtId="0" fontId="13" fillId="0" borderId="12" xfId="0" applyFont="1" applyBorder="1" applyAlignment="1">
      <alignment horizontal="center" vertical="center"/>
    </xf>
    <xf numFmtId="0" fontId="4" fillId="0" borderId="8" xfId="0" applyFont="1" applyBorder="1" applyAlignment="1">
      <alignment vertical="top" wrapText="1" shrinkToFit="1"/>
    </xf>
    <xf numFmtId="0" fontId="4" fillId="0" borderId="9" xfId="0" applyFont="1" applyBorder="1" applyAlignment="1">
      <alignment vertical="top" wrapText="1" shrinkToFit="1"/>
    </xf>
    <xf numFmtId="0" fontId="4" fillId="0" borderId="5" xfId="0" applyFont="1" applyBorder="1" applyAlignment="1">
      <alignment vertical="top" wrapText="1" shrinkToFit="1"/>
    </xf>
    <xf numFmtId="0" fontId="4" fillId="0" borderId="0" xfId="0" applyFont="1" applyBorder="1" applyAlignment="1">
      <alignment vertical="top" wrapText="1" shrinkToFit="1"/>
    </xf>
    <xf numFmtId="0" fontId="4" fillId="0" borderId="10" xfId="0" applyFont="1" applyBorder="1" applyAlignment="1">
      <alignment vertical="top" wrapText="1" shrinkToFit="1"/>
    </xf>
    <xf numFmtId="0" fontId="4" fillId="0" borderId="11" xfId="0" applyFont="1" applyBorder="1" applyAlignment="1">
      <alignment vertical="top" wrapText="1" shrinkToFit="1"/>
    </xf>
    <xf numFmtId="0" fontId="4" fillId="0" borderId="12" xfId="0" applyFont="1" applyBorder="1" applyAlignment="1">
      <alignment vertical="top" wrapText="1" shrinkToFit="1"/>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0" fontId="4" fillId="0" borderId="0" xfId="0" applyFont="1" applyAlignment="1">
      <alignment vertical="top" shrinkToFit="1"/>
    </xf>
    <xf numFmtId="0" fontId="4" fillId="0" borderId="16" xfId="0" applyFont="1" applyBorder="1" applyAlignment="1">
      <alignment horizontal="center" vertical="center" shrinkToFit="1"/>
    </xf>
    <xf numFmtId="0" fontId="4" fillId="0" borderId="22" xfId="0" applyFont="1" applyBorder="1" applyAlignment="1">
      <alignment horizontal="center" vertical="center" shrinkToFit="1"/>
    </xf>
    <xf numFmtId="0" fontId="4" fillId="0" borderId="21" xfId="0" applyFont="1" applyBorder="1" applyAlignment="1">
      <alignment horizontal="center" vertical="center" shrinkToFit="1"/>
    </xf>
    <xf numFmtId="0" fontId="4" fillId="0" borderId="0" xfId="0" applyFont="1" applyAlignment="1">
      <alignment vertical="top" wrapText="1" shrinkToFit="1"/>
    </xf>
    <xf numFmtId="0" fontId="4" fillId="0" borderId="6" xfId="0" applyFont="1" applyBorder="1">
      <alignment vertical="center"/>
    </xf>
    <xf numFmtId="0" fontId="4" fillId="0" borderId="17" xfId="0" applyFont="1" applyBorder="1">
      <alignment vertical="center"/>
    </xf>
    <xf numFmtId="0" fontId="10" fillId="0" borderId="18" xfId="0" applyFont="1" applyBorder="1">
      <alignment vertical="center"/>
    </xf>
    <xf numFmtId="0" fontId="4" fillId="0" borderId="19" xfId="0" applyFont="1" applyBorder="1" applyAlignment="1">
      <alignment vertical="top" wrapText="1" shrinkToFit="1"/>
    </xf>
    <xf numFmtId="0" fontId="4" fillId="0" borderId="20" xfId="0" applyFont="1" applyBorder="1" applyAlignment="1">
      <alignment vertical="top" wrapText="1" shrinkToFit="1"/>
    </xf>
    <xf numFmtId="0" fontId="4" fillId="0" borderId="18" xfId="0" applyFont="1" applyBorder="1" applyAlignment="1">
      <alignment vertical="top" wrapText="1" shrinkToFit="1"/>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3" fillId="0" borderId="2" xfId="2" applyFill="1" applyBorder="1" applyAlignment="1">
      <alignment horizontal="center" vertical="center" shrinkToFit="1"/>
    </xf>
    <xf numFmtId="0" fontId="12" fillId="0" borderId="3" xfId="2" applyFont="1" applyFill="1" applyBorder="1" applyAlignment="1">
      <alignment horizontal="center" vertical="center" shrinkToFit="1"/>
    </xf>
    <xf numFmtId="0" fontId="12" fillId="0" borderId="4" xfId="2" applyFont="1" applyFill="1" applyBorder="1" applyAlignment="1">
      <alignment horizontal="center" vertical="center" shrinkToFit="1"/>
    </xf>
    <xf numFmtId="0" fontId="4" fillId="0" borderId="19" xfId="0" applyFont="1" applyBorder="1" applyAlignment="1">
      <alignment vertical="center" wrapText="1"/>
    </xf>
    <xf numFmtId="0" fontId="4"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mu-u@fukui-u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ukui-ut.ac.jp/ut/subject/educa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fukui-ut.ac.jp/ut/subject/edu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O45"/>
  <sheetViews>
    <sheetView view="pageBreakPreview" zoomScaleNormal="100" zoomScaleSheetLayoutView="100" workbookViewId="0">
      <selection activeCell="E11" sqref="E11"/>
    </sheetView>
  </sheetViews>
  <sheetFormatPr defaultColWidth="9" defaultRowHeight="18.75" customHeight="1" x14ac:dyDescent="0.15"/>
  <cols>
    <col min="1" max="1" width="3.375" style="5" customWidth="1"/>
    <col min="2" max="2" width="11.125" style="5" customWidth="1"/>
    <col min="3" max="8" width="6.625" style="5" customWidth="1"/>
    <col min="9" max="9" width="3.375" style="5" customWidth="1"/>
    <col min="10" max="10" width="10" style="5" customWidth="1"/>
    <col min="11" max="11" width="3.375" style="5" customWidth="1"/>
    <col min="12" max="12" width="7.75" style="5" customWidth="1"/>
    <col min="13" max="13" width="3.375" style="5" customWidth="1"/>
    <col min="14" max="14" width="4.375" style="5" customWidth="1"/>
    <col min="15" max="16384" width="9" style="5"/>
  </cols>
  <sheetData>
    <row r="1" spans="1:15" ht="24" customHeight="1" x14ac:dyDescent="0.15">
      <c r="M1" s="144" t="s">
        <v>25</v>
      </c>
      <c r="N1" s="144"/>
    </row>
    <row r="2" spans="1:15" ht="24" customHeight="1" x14ac:dyDescent="0.15">
      <c r="A2" s="148" t="s">
        <v>83</v>
      </c>
      <c r="B2" s="148"/>
      <c r="C2" s="148"/>
      <c r="D2" s="148"/>
      <c r="E2" s="148"/>
      <c r="F2" s="148"/>
      <c r="G2" s="148"/>
      <c r="H2" s="148"/>
      <c r="I2" s="148"/>
      <c r="J2" s="148"/>
      <c r="K2" s="148"/>
      <c r="L2" s="148"/>
      <c r="M2" s="148"/>
      <c r="N2" s="148"/>
    </row>
    <row r="3" spans="1:15" ht="24" customHeight="1" x14ac:dyDescent="0.15"/>
    <row r="4" spans="1:15" ht="24" customHeight="1" x14ac:dyDescent="0.15">
      <c r="A4" s="5" t="s">
        <v>6</v>
      </c>
      <c r="B4" s="6" t="s">
        <v>16</v>
      </c>
      <c r="C4" s="139" t="s">
        <v>151</v>
      </c>
      <c r="D4" s="140"/>
      <c r="E4" s="140"/>
      <c r="F4" s="140"/>
      <c r="G4" s="140"/>
      <c r="H4" s="140"/>
      <c r="I4" s="140"/>
      <c r="J4" s="140"/>
      <c r="K4" s="140"/>
      <c r="L4" s="140"/>
      <c r="M4" s="140"/>
      <c r="N4" s="141"/>
      <c r="O4" s="5" t="str">
        <f>IF(C4="","入力してください","")</f>
        <v/>
      </c>
    </row>
    <row r="5" spans="1:15" ht="7.5" customHeight="1" x14ac:dyDescent="0.15">
      <c r="B5" s="6"/>
      <c r="C5" s="6"/>
      <c r="D5" s="6"/>
      <c r="E5" s="7"/>
      <c r="F5" s="47"/>
      <c r="G5" s="47"/>
      <c r="H5" s="47"/>
      <c r="I5" s="47"/>
      <c r="J5" s="47"/>
      <c r="K5" s="47"/>
      <c r="L5" s="47"/>
      <c r="M5" s="47"/>
      <c r="N5" s="47"/>
    </row>
    <row r="6" spans="1:15" ht="24" customHeight="1" x14ac:dyDescent="0.15">
      <c r="A6" s="5" t="s">
        <v>48</v>
      </c>
      <c r="B6" s="6" t="s">
        <v>49</v>
      </c>
      <c r="C6" s="6"/>
      <c r="D6" s="139" t="s">
        <v>152</v>
      </c>
      <c r="E6" s="140"/>
      <c r="F6" s="140"/>
      <c r="G6" s="140"/>
      <c r="H6" s="141"/>
      <c r="I6" s="8" t="s">
        <v>86</v>
      </c>
      <c r="J6" s="47" t="s">
        <v>87</v>
      </c>
      <c r="K6" s="139" t="s">
        <v>153</v>
      </c>
      <c r="L6" s="140"/>
      <c r="M6" s="140"/>
      <c r="N6" s="141"/>
      <c r="O6" s="5" t="str">
        <f>IF(D6="","入力してください","")</f>
        <v/>
      </c>
    </row>
    <row r="7" spans="1:15" ht="7.5" customHeight="1" x14ac:dyDescent="0.15">
      <c r="B7" s="6"/>
      <c r="C7" s="6"/>
      <c r="D7" s="6"/>
      <c r="E7" s="7"/>
      <c r="F7" s="47"/>
      <c r="G7" s="47"/>
      <c r="H7" s="47"/>
      <c r="I7" s="47"/>
      <c r="J7" s="47"/>
      <c r="K7" s="47"/>
      <c r="L7" s="47"/>
      <c r="M7" s="47"/>
      <c r="N7" s="47"/>
    </row>
    <row r="8" spans="1:15" ht="24" customHeight="1" x14ac:dyDescent="0.15">
      <c r="A8" s="5" t="s">
        <v>13</v>
      </c>
      <c r="B8" s="6" t="s">
        <v>45</v>
      </c>
      <c r="C8" s="139" t="s">
        <v>154</v>
      </c>
      <c r="D8" s="140"/>
      <c r="E8" s="140"/>
      <c r="F8" s="140"/>
      <c r="G8" s="140"/>
      <c r="H8" s="140"/>
      <c r="I8" s="140"/>
      <c r="J8" s="140"/>
      <c r="K8" s="140"/>
      <c r="L8" s="140"/>
      <c r="M8" s="140"/>
      <c r="N8" s="141"/>
      <c r="O8" s="5" t="str">
        <f>IF(C8="","入力してください","")</f>
        <v/>
      </c>
    </row>
    <row r="9" spans="1:15" ht="7.5" customHeight="1" x14ac:dyDescent="0.15">
      <c r="B9" s="6"/>
      <c r="C9" s="6"/>
      <c r="D9" s="6"/>
      <c r="E9" s="7"/>
      <c r="F9" s="47"/>
      <c r="G9" s="47"/>
      <c r="H9" s="47"/>
      <c r="I9" s="47"/>
      <c r="J9" s="47"/>
      <c r="K9" s="47"/>
      <c r="L9" s="47"/>
      <c r="M9" s="47"/>
      <c r="N9" s="47"/>
    </row>
    <row r="10" spans="1:15" ht="24" customHeight="1" x14ac:dyDescent="0.15">
      <c r="A10" s="5" t="s">
        <v>11</v>
      </c>
      <c r="B10" s="6" t="s">
        <v>85</v>
      </c>
      <c r="C10" s="6"/>
      <c r="D10" s="6"/>
      <c r="E10" s="139" t="s">
        <v>196</v>
      </c>
      <c r="F10" s="140"/>
      <c r="G10" s="140"/>
      <c r="H10" s="140"/>
      <c r="I10" s="140"/>
      <c r="J10" s="140"/>
      <c r="K10" s="140"/>
      <c r="L10" s="140"/>
      <c r="M10" s="140"/>
      <c r="N10" s="141"/>
      <c r="O10" s="5" t="str">
        <f>IF(E10="","入力してください","")</f>
        <v/>
      </c>
    </row>
    <row r="11" spans="1:15" ht="7.5" customHeight="1" x14ac:dyDescent="0.15">
      <c r="B11" s="7"/>
      <c r="C11" s="7"/>
      <c r="D11" s="7"/>
      <c r="E11" s="7"/>
      <c r="F11" s="47"/>
      <c r="G11" s="47"/>
      <c r="H11" s="47"/>
      <c r="I11" s="47"/>
      <c r="J11" s="47"/>
      <c r="K11" s="47"/>
      <c r="L11" s="47"/>
      <c r="M11" s="47"/>
      <c r="N11" s="47"/>
    </row>
    <row r="12" spans="1:15" ht="24" customHeight="1" x14ac:dyDescent="0.15">
      <c r="A12" s="5" t="s">
        <v>58</v>
      </c>
      <c r="B12" s="7" t="s">
        <v>59</v>
      </c>
      <c r="C12" s="7"/>
      <c r="D12" s="7"/>
      <c r="E12" s="149" t="s">
        <v>166</v>
      </c>
      <c r="F12" s="150"/>
      <c r="G12" s="8" t="s">
        <v>96</v>
      </c>
      <c r="H12" s="5" t="s">
        <v>97</v>
      </c>
      <c r="N12" s="116" t="s">
        <v>160</v>
      </c>
      <c r="O12" s="5" t="str">
        <f>IF(E12="","入力してください","")</f>
        <v/>
      </c>
    </row>
    <row r="13" spans="1:15" ht="7.5" customHeight="1" x14ac:dyDescent="0.15">
      <c r="B13" s="7"/>
      <c r="C13" s="7"/>
      <c r="D13" s="7"/>
      <c r="E13" s="7"/>
      <c r="F13" s="47"/>
      <c r="G13" s="47"/>
      <c r="H13" s="47"/>
      <c r="I13" s="47"/>
      <c r="J13" s="47"/>
      <c r="K13" s="47"/>
      <c r="L13" s="47"/>
      <c r="M13" s="47"/>
      <c r="N13" s="47"/>
    </row>
    <row r="14" spans="1:15" ht="24" customHeight="1" x14ac:dyDescent="0.15">
      <c r="A14" s="5" t="s">
        <v>53</v>
      </c>
      <c r="B14" s="5" t="s">
        <v>0</v>
      </c>
      <c r="C14" s="145" t="s">
        <v>5</v>
      </c>
      <c r="D14" s="146"/>
      <c r="E14" s="136">
        <v>100</v>
      </c>
      <c r="F14" s="137"/>
      <c r="G14" s="9" t="s">
        <v>7</v>
      </c>
      <c r="I14" s="145" t="s">
        <v>8</v>
      </c>
      <c r="J14" s="146"/>
      <c r="K14" s="136">
        <v>78</v>
      </c>
      <c r="L14" s="147"/>
      <c r="M14" s="137"/>
      <c r="N14" s="10" t="s">
        <v>7</v>
      </c>
      <c r="O14" s="5" t="str">
        <f>IF(OR(E14="",K14=""),"入力してください","")</f>
        <v/>
      </c>
    </row>
    <row r="15" spans="1:15" ht="7.5" customHeight="1" x14ac:dyDescent="0.15">
      <c r="F15" s="11"/>
      <c r="G15" s="11"/>
      <c r="H15" s="11"/>
      <c r="I15" s="11"/>
      <c r="J15" s="11"/>
      <c r="K15" s="11"/>
      <c r="L15" s="11"/>
      <c r="M15" s="10"/>
      <c r="N15" s="10"/>
    </row>
    <row r="16" spans="1:15" ht="24" customHeight="1" x14ac:dyDescent="0.15">
      <c r="A16" s="5" t="s">
        <v>60</v>
      </c>
      <c r="B16" s="5" t="s">
        <v>70</v>
      </c>
      <c r="F16" s="11"/>
      <c r="G16" s="11"/>
      <c r="H16" s="11"/>
      <c r="I16" s="11"/>
      <c r="J16" s="11"/>
      <c r="K16" s="153">
        <v>16</v>
      </c>
      <c r="L16" s="154"/>
      <c r="M16" s="155"/>
      <c r="N16" s="10" t="s">
        <v>51</v>
      </c>
      <c r="O16" s="5" t="str">
        <f>IF(K16="","入力してください","")</f>
        <v/>
      </c>
    </row>
    <row r="17" spans="1:15" ht="7.5" customHeight="1" x14ac:dyDescent="0.15">
      <c r="F17" s="11"/>
      <c r="G17" s="11"/>
      <c r="H17" s="11"/>
      <c r="I17" s="11"/>
      <c r="J17" s="11"/>
      <c r="K17" s="11"/>
      <c r="L17" s="11"/>
      <c r="M17" s="10"/>
      <c r="N17" s="10"/>
    </row>
    <row r="18" spans="1:15" ht="24" customHeight="1" x14ac:dyDescent="0.15">
      <c r="A18" s="5" t="s">
        <v>24</v>
      </c>
      <c r="B18" s="5" t="s">
        <v>77</v>
      </c>
      <c r="E18" s="151">
        <v>500</v>
      </c>
      <c r="F18" s="152"/>
      <c r="G18" s="12" t="s">
        <v>21</v>
      </c>
      <c r="H18" s="11"/>
      <c r="K18" s="156"/>
      <c r="L18" s="156"/>
      <c r="M18" s="156"/>
      <c r="N18" s="156"/>
      <c r="O18" s="5" t="str">
        <f>IF(E18="","入力してください","")</f>
        <v/>
      </c>
    </row>
    <row r="19" spans="1:15" ht="7.5" customHeight="1" x14ac:dyDescent="0.15">
      <c r="E19" s="1"/>
      <c r="F19" s="11"/>
      <c r="G19" s="11"/>
      <c r="L19" s="46"/>
      <c r="M19" s="46"/>
      <c r="N19" s="13"/>
    </row>
    <row r="20" spans="1:15" ht="24" customHeight="1" x14ac:dyDescent="0.15">
      <c r="A20" s="5" t="s">
        <v>76</v>
      </c>
      <c r="B20" s="5" t="s">
        <v>78</v>
      </c>
      <c r="E20" s="1"/>
      <c r="F20" s="11"/>
      <c r="G20" s="11"/>
      <c r="H20" s="5" t="s">
        <v>52</v>
      </c>
      <c r="J20" s="153">
        <v>2282</v>
      </c>
      <c r="K20" s="154"/>
      <c r="L20" s="155"/>
      <c r="M20" s="46" t="s">
        <v>51</v>
      </c>
      <c r="N20" s="13"/>
      <c r="O20" s="5" t="str">
        <f>IF(J20="","入力してください","")</f>
        <v/>
      </c>
    </row>
    <row r="21" spans="1:15" ht="7.5" customHeight="1" x14ac:dyDescent="0.15">
      <c r="E21" s="1"/>
      <c r="F21" s="11"/>
      <c r="G21" s="11"/>
      <c r="L21" s="46"/>
      <c r="M21" s="46"/>
      <c r="N21" s="13"/>
    </row>
    <row r="22" spans="1:15" ht="24" customHeight="1" x14ac:dyDescent="0.15">
      <c r="B22" s="19" t="s">
        <v>17</v>
      </c>
      <c r="C22" s="136">
        <v>540</v>
      </c>
      <c r="D22" s="137"/>
      <c r="E22" s="1" t="s">
        <v>22</v>
      </c>
      <c r="F22" s="11"/>
      <c r="G22" s="132" t="s">
        <v>18</v>
      </c>
      <c r="H22" s="132"/>
      <c r="I22" s="136">
        <v>587</v>
      </c>
      <c r="J22" s="137"/>
      <c r="K22" s="8" t="s">
        <v>22</v>
      </c>
      <c r="M22" s="46"/>
      <c r="N22" s="13"/>
    </row>
    <row r="23" spans="1:15" ht="7.5" customHeight="1" x14ac:dyDescent="0.15">
      <c r="B23" s="19"/>
      <c r="C23" s="2"/>
      <c r="D23" s="2"/>
      <c r="E23" s="1"/>
      <c r="F23" s="11"/>
      <c r="G23" s="46"/>
      <c r="H23" s="46"/>
      <c r="I23" s="2"/>
      <c r="J23" s="2"/>
      <c r="K23" s="8"/>
      <c r="M23" s="46"/>
      <c r="N23" s="13"/>
    </row>
    <row r="24" spans="1:15" ht="24" customHeight="1" x14ac:dyDescent="0.15">
      <c r="B24" s="19" t="s">
        <v>19</v>
      </c>
      <c r="C24" s="136">
        <v>587</v>
      </c>
      <c r="D24" s="137"/>
      <c r="E24" s="1" t="s">
        <v>22</v>
      </c>
      <c r="F24" s="11"/>
      <c r="G24" s="132" t="s">
        <v>20</v>
      </c>
      <c r="H24" s="132"/>
      <c r="I24" s="136">
        <v>568</v>
      </c>
      <c r="J24" s="137"/>
      <c r="K24" s="8" t="s">
        <v>22</v>
      </c>
      <c r="M24" s="46"/>
      <c r="N24" s="13"/>
    </row>
    <row r="25" spans="1:15" ht="7.5" customHeight="1" x14ac:dyDescent="0.15">
      <c r="B25" s="19"/>
      <c r="C25" s="2"/>
      <c r="D25" s="2"/>
      <c r="E25" s="1"/>
      <c r="F25" s="11"/>
      <c r="G25" s="46"/>
      <c r="H25" s="46"/>
      <c r="I25" s="2"/>
      <c r="J25" s="2"/>
      <c r="K25" s="8"/>
      <c r="M25" s="46"/>
      <c r="N25" s="13"/>
    </row>
    <row r="26" spans="1:15" ht="24" customHeight="1" x14ac:dyDescent="0.15">
      <c r="B26" s="19" t="s">
        <v>46</v>
      </c>
      <c r="C26" s="151"/>
      <c r="D26" s="152"/>
      <c r="E26" s="1" t="s">
        <v>7</v>
      </c>
      <c r="F26" s="11"/>
      <c r="G26" s="132" t="s">
        <v>47</v>
      </c>
      <c r="H26" s="132"/>
      <c r="I26" s="151"/>
      <c r="J26" s="152"/>
      <c r="K26" s="8" t="s">
        <v>7</v>
      </c>
      <c r="M26" s="46"/>
      <c r="N26" s="13"/>
    </row>
    <row r="27" spans="1:15" ht="7.5" customHeight="1" x14ac:dyDescent="0.15">
      <c r="F27" s="11"/>
      <c r="G27" s="11"/>
      <c r="M27" s="14"/>
      <c r="N27" s="14"/>
    </row>
    <row r="28" spans="1:15" ht="24" customHeight="1" x14ac:dyDescent="0.15">
      <c r="A28" s="5" t="s">
        <v>50</v>
      </c>
      <c r="B28" s="6" t="s">
        <v>75</v>
      </c>
      <c r="C28" s="6"/>
      <c r="D28" s="6"/>
      <c r="E28" s="6"/>
      <c r="F28" s="8"/>
      <c r="G28" s="47"/>
      <c r="H28" s="47"/>
      <c r="I28" s="47"/>
      <c r="J28" s="15"/>
      <c r="K28" s="15"/>
      <c r="L28" s="15"/>
      <c r="M28" s="15"/>
      <c r="N28" s="15"/>
    </row>
    <row r="29" spans="1:15" ht="24" customHeight="1" x14ac:dyDescent="0.15">
      <c r="B29" s="138" t="s">
        <v>74</v>
      </c>
      <c r="C29" s="138"/>
      <c r="D29" s="139" t="s">
        <v>161</v>
      </c>
      <c r="E29" s="140"/>
      <c r="F29" s="140"/>
      <c r="G29" s="142" t="s">
        <v>23</v>
      </c>
      <c r="H29" s="138"/>
      <c r="I29" s="143"/>
      <c r="J29" s="139" t="s">
        <v>155</v>
      </c>
      <c r="K29" s="140"/>
      <c r="L29" s="140"/>
      <c r="M29" s="140"/>
      <c r="N29" s="141"/>
      <c r="O29" s="5" t="str">
        <f>IF(OR(D29="",J29=""),"入力してください","")</f>
        <v/>
      </c>
    </row>
    <row r="30" spans="1:15" ht="7.5" customHeight="1" x14ac:dyDescent="0.15">
      <c r="F30" s="11"/>
      <c r="G30" s="11"/>
      <c r="M30" s="14"/>
      <c r="N30" s="14"/>
    </row>
    <row r="31" spans="1:15" ht="24" customHeight="1" x14ac:dyDescent="0.15">
      <c r="A31" s="5" t="s">
        <v>54</v>
      </c>
      <c r="B31" s="6" t="s">
        <v>80</v>
      </c>
      <c r="C31" s="6"/>
      <c r="D31" s="6"/>
      <c r="E31" s="6"/>
      <c r="F31" s="8"/>
      <c r="G31" s="15"/>
      <c r="H31" s="15"/>
      <c r="I31" s="15"/>
      <c r="J31" s="15"/>
      <c r="K31" s="15"/>
      <c r="L31" s="15"/>
      <c r="M31" s="15"/>
      <c r="N31" s="15"/>
    </row>
    <row r="32" spans="1:15" ht="24" customHeight="1" x14ac:dyDescent="0.15">
      <c r="B32" s="139" t="s">
        <v>156</v>
      </c>
      <c r="C32" s="140"/>
      <c r="D32" s="140"/>
      <c r="E32" s="140"/>
      <c r="F32" s="140"/>
      <c r="G32" s="140"/>
      <c r="H32" s="140"/>
      <c r="I32" s="140"/>
      <c r="J32" s="140"/>
      <c r="K32" s="140"/>
      <c r="L32" s="140"/>
      <c r="M32" s="140"/>
      <c r="N32" s="141"/>
      <c r="O32" s="5" t="str">
        <f>IF(B32="","入力してください","")</f>
        <v/>
      </c>
    </row>
    <row r="33" spans="1:15" ht="7.5" customHeight="1" x14ac:dyDescent="0.15">
      <c r="B33" s="3"/>
      <c r="C33" s="3"/>
      <c r="D33" s="3"/>
      <c r="E33" s="3"/>
      <c r="F33" s="3"/>
      <c r="G33" s="3"/>
      <c r="H33" s="3"/>
      <c r="I33" s="3"/>
      <c r="J33" s="3"/>
      <c r="K33" s="3"/>
      <c r="L33" s="3"/>
      <c r="M33" s="3"/>
      <c r="N33" s="3"/>
    </row>
    <row r="34" spans="1:15" ht="24" customHeight="1" x14ac:dyDescent="0.15">
      <c r="B34" s="138" t="s">
        <v>74</v>
      </c>
      <c r="C34" s="138"/>
      <c r="D34" s="139" t="s">
        <v>157</v>
      </c>
      <c r="E34" s="140"/>
      <c r="F34" s="140"/>
      <c r="G34" s="142" t="s">
        <v>55</v>
      </c>
      <c r="H34" s="138"/>
      <c r="I34" s="143"/>
      <c r="J34" s="139" t="s">
        <v>158</v>
      </c>
      <c r="K34" s="140"/>
      <c r="L34" s="140"/>
      <c r="M34" s="140"/>
      <c r="N34" s="141"/>
      <c r="O34" s="5" t="str">
        <f>IF(OR(D34="",J34=""),"入力してください","")</f>
        <v/>
      </c>
    </row>
    <row r="35" spans="1:15" ht="7.5" customHeight="1" x14ac:dyDescent="0.15">
      <c r="F35" s="47"/>
      <c r="G35" s="47"/>
      <c r="H35" s="47"/>
      <c r="I35" s="47"/>
      <c r="J35" s="47"/>
      <c r="K35" s="47"/>
      <c r="L35" s="47"/>
      <c r="M35" s="47"/>
      <c r="N35" s="47"/>
    </row>
    <row r="36" spans="1:15" ht="24" customHeight="1" x14ac:dyDescent="0.15">
      <c r="A36" s="5" t="s">
        <v>61</v>
      </c>
      <c r="B36" s="5" t="s">
        <v>81</v>
      </c>
      <c r="M36" s="14"/>
      <c r="N36" s="14"/>
    </row>
    <row r="37" spans="1:15" ht="24" customHeight="1" x14ac:dyDescent="0.15">
      <c r="B37" s="139" t="s">
        <v>159</v>
      </c>
      <c r="C37" s="140"/>
      <c r="D37" s="140"/>
      <c r="E37" s="140"/>
      <c r="F37" s="140"/>
      <c r="G37" s="140"/>
      <c r="H37" s="140"/>
      <c r="I37" s="140"/>
      <c r="J37" s="140"/>
      <c r="K37" s="140"/>
      <c r="L37" s="140"/>
      <c r="M37" s="140"/>
      <c r="N37" s="141"/>
      <c r="O37" s="5" t="str">
        <f>IF(B37="","入力してください","")</f>
        <v/>
      </c>
    </row>
    <row r="38" spans="1:15" ht="7.5" customHeight="1" x14ac:dyDescent="0.15">
      <c r="F38" s="47"/>
      <c r="G38" s="47"/>
      <c r="H38" s="47"/>
      <c r="I38" s="47"/>
      <c r="J38" s="47"/>
      <c r="K38" s="47"/>
      <c r="L38" s="47"/>
      <c r="M38" s="47"/>
      <c r="N38" s="47"/>
    </row>
    <row r="39" spans="1:15" ht="24" customHeight="1" x14ac:dyDescent="0.15">
      <c r="B39" s="138" t="s">
        <v>74</v>
      </c>
      <c r="C39" s="138"/>
      <c r="D39" s="139" t="s">
        <v>157</v>
      </c>
      <c r="E39" s="140"/>
      <c r="F39" s="140"/>
      <c r="G39" s="142" t="s">
        <v>55</v>
      </c>
      <c r="H39" s="138"/>
      <c r="I39" s="143"/>
      <c r="J39" s="139" t="s">
        <v>158</v>
      </c>
      <c r="K39" s="140"/>
      <c r="L39" s="140"/>
      <c r="M39" s="140"/>
      <c r="N39" s="141"/>
      <c r="O39" s="5" t="str">
        <f>IF(OR(D39="",J39=""),"入力してください","")</f>
        <v/>
      </c>
    </row>
    <row r="40" spans="1:15" ht="7.5" customHeight="1" x14ac:dyDescent="0.15">
      <c r="F40" s="47"/>
      <c r="G40" s="47"/>
      <c r="H40" s="47"/>
      <c r="I40" s="47"/>
      <c r="J40" s="47"/>
      <c r="K40" s="47"/>
      <c r="L40" s="47"/>
      <c r="M40" s="47"/>
      <c r="N40" s="47"/>
    </row>
    <row r="41" spans="1:15" ht="24" customHeight="1" x14ac:dyDescent="0.15">
      <c r="A41" s="5" t="s">
        <v>88</v>
      </c>
      <c r="B41" s="21" t="s">
        <v>69</v>
      </c>
      <c r="E41" s="22"/>
      <c r="F41" s="139" t="s">
        <v>147</v>
      </c>
      <c r="G41" s="140"/>
      <c r="H41" s="140"/>
      <c r="I41" s="140"/>
      <c r="J41" s="140"/>
      <c r="K41" s="140"/>
      <c r="L41" s="140"/>
      <c r="M41" s="140"/>
      <c r="N41" s="141"/>
      <c r="O41" s="5" t="str">
        <f>IF(F41="","入力してください","")</f>
        <v/>
      </c>
    </row>
    <row r="42" spans="1:15" ht="7.5" customHeight="1" x14ac:dyDescent="0.15">
      <c r="F42" s="47"/>
      <c r="G42" s="47"/>
      <c r="H42" s="47"/>
      <c r="I42" s="47"/>
      <c r="J42" s="47"/>
      <c r="K42" s="47"/>
      <c r="L42" s="47"/>
      <c r="M42" s="47"/>
      <c r="N42" s="47"/>
    </row>
    <row r="43" spans="1:15" ht="24" customHeight="1" x14ac:dyDescent="0.15">
      <c r="A43" s="5" t="s">
        <v>98</v>
      </c>
    </row>
    <row r="44" spans="1:15" ht="24" customHeight="1" x14ac:dyDescent="0.15">
      <c r="B44" s="20" t="s">
        <v>1</v>
      </c>
      <c r="C44" s="133" t="s">
        <v>165</v>
      </c>
      <c r="D44" s="134"/>
      <c r="E44" s="134"/>
      <c r="F44" s="134"/>
      <c r="G44" s="134"/>
      <c r="H44" s="134"/>
      <c r="I44" s="17" t="s">
        <v>2</v>
      </c>
      <c r="J44" s="18"/>
      <c r="K44" s="133" t="s">
        <v>162</v>
      </c>
      <c r="L44" s="134"/>
      <c r="M44" s="134"/>
      <c r="N44" s="135"/>
      <c r="O44" s="5" t="str">
        <f>IF(OR(C44="",K44=""),"入力してください","")</f>
        <v/>
      </c>
    </row>
    <row r="45" spans="1:15" ht="24" customHeight="1" x14ac:dyDescent="0.15">
      <c r="B45" s="16" t="s">
        <v>4</v>
      </c>
      <c r="C45" s="126" t="s">
        <v>163</v>
      </c>
      <c r="D45" s="127"/>
      <c r="E45" s="127"/>
      <c r="F45" s="127"/>
      <c r="G45" s="127"/>
      <c r="H45" s="128"/>
      <c r="I45" s="17" t="s">
        <v>3</v>
      </c>
      <c r="J45" s="18"/>
      <c r="K45" s="129" t="s">
        <v>164</v>
      </c>
      <c r="L45" s="130"/>
      <c r="M45" s="130"/>
      <c r="N45" s="131"/>
      <c r="O45" s="5"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60A68CDD-0E31-4DA1-86AA-A65EC015CF2F}"/>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tabColor rgb="FFFFC000"/>
    <pageSetUpPr fitToPage="1"/>
  </sheetPr>
  <dimension ref="A1:Z98"/>
  <sheetViews>
    <sheetView showZeros="0" tabSelected="1" view="pageBreakPreview" zoomScaleNormal="100" zoomScaleSheetLayoutView="100" workbookViewId="0">
      <selection activeCell="AC17" sqref="AC17"/>
    </sheetView>
  </sheetViews>
  <sheetFormatPr defaultColWidth="9" defaultRowHeight="18.75" customHeight="1" x14ac:dyDescent="0.15"/>
  <cols>
    <col min="1" max="1" width="2.375" style="4" customWidth="1"/>
    <col min="2" max="2" width="27.75" style="4" customWidth="1"/>
    <col min="3" max="13" width="3.375" style="4" customWidth="1"/>
    <col min="14" max="14" width="8.875" style="4" customWidth="1"/>
    <col min="15" max="15" width="18.875" style="4" customWidth="1"/>
    <col min="16" max="26" width="3.375" style="4" customWidth="1"/>
    <col min="27" max="16384" width="9" style="4"/>
  </cols>
  <sheetData>
    <row r="1" spans="1:26" ht="15" customHeight="1" x14ac:dyDescent="0.15">
      <c r="W1" s="263" t="s">
        <v>169</v>
      </c>
      <c r="X1" s="263"/>
      <c r="Y1" s="263"/>
      <c r="Z1" s="263"/>
    </row>
    <row r="2" spans="1:26" ht="18" customHeight="1" x14ac:dyDescent="0.15">
      <c r="A2" s="217" t="s">
        <v>67</v>
      </c>
      <c r="B2" s="217"/>
      <c r="C2" s="217"/>
      <c r="D2" s="217"/>
      <c r="E2" s="217"/>
      <c r="F2" s="217"/>
      <c r="G2" s="217"/>
      <c r="H2" s="217"/>
      <c r="I2" s="217"/>
      <c r="J2" s="217"/>
      <c r="K2" s="217"/>
      <c r="L2" s="217"/>
      <c r="M2" s="217"/>
      <c r="N2" s="217"/>
      <c r="O2" s="217"/>
      <c r="P2" s="217"/>
      <c r="Q2" s="217"/>
      <c r="R2" s="217"/>
      <c r="S2" s="217"/>
      <c r="T2" s="217"/>
      <c r="U2" s="217"/>
      <c r="V2" s="217"/>
      <c r="W2" s="217"/>
      <c r="X2" s="217"/>
      <c r="Y2" s="217"/>
      <c r="Z2" s="217"/>
    </row>
    <row r="3" spans="1:26" ht="15" customHeight="1" x14ac:dyDescent="0.15">
      <c r="B3" s="19"/>
      <c r="C3" s="19"/>
      <c r="D3" s="19"/>
      <c r="E3" s="19"/>
      <c r="F3" s="19"/>
      <c r="G3" s="19"/>
      <c r="H3" s="19"/>
      <c r="I3" s="19"/>
      <c r="J3" s="19"/>
      <c r="K3" s="19"/>
      <c r="L3" s="19"/>
      <c r="M3" s="19"/>
      <c r="N3" s="19"/>
      <c r="O3" s="19"/>
      <c r="P3" s="19"/>
      <c r="Q3" s="19"/>
      <c r="R3" s="19"/>
      <c r="S3" s="19"/>
      <c r="T3" s="19"/>
      <c r="U3" s="19"/>
      <c r="V3" s="19"/>
      <c r="W3" s="19"/>
      <c r="X3" s="19"/>
      <c r="Y3" s="19"/>
      <c r="Z3" s="19"/>
    </row>
    <row r="4" spans="1:26" ht="18" customHeight="1" x14ac:dyDescent="0.15">
      <c r="A4" s="4" t="s">
        <v>99</v>
      </c>
      <c r="B4" s="19"/>
      <c r="C4" s="19"/>
      <c r="D4" s="19"/>
      <c r="E4" s="19"/>
      <c r="F4" s="19"/>
      <c r="G4" s="19"/>
      <c r="H4" s="6" t="s">
        <v>113</v>
      </c>
      <c r="I4" s="19"/>
      <c r="J4" s="19"/>
      <c r="K4" s="19"/>
      <c r="L4" s="19"/>
      <c r="M4" s="19"/>
      <c r="N4" s="19"/>
      <c r="O4" s="163" t="s">
        <v>149</v>
      </c>
      <c r="P4" s="164"/>
      <c r="Q4" s="164"/>
      <c r="R4" s="164"/>
      <c r="S4" s="164"/>
      <c r="T4" s="164"/>
      <c r="U4" s="164"/>
      <c r="V4" s="164"/>
      <c r="W4" s="164"/>
      <c r="X4" s="164"/>
      <c r="Y4" s="164"/>
      <c r="Z4" s="165"/>
    </row>
    <row r="5" spans="1:26" ht="6" customHeight="1" x14ac:dyDescent="0.15">
      <c r="B5" s="19"/>
      <c r="C5" s="19"/>
      <c r="D5" s="19"/>
      <c r="E5" s="19"/>
      <c r="F5" s="19"/>
      <c r="G5" s="19"/>
      <c r="H5" s="19"/>
      <c r="I5" s="19"/>
      <c r="J5" s="19"/>
      <c r="K5" s="19"/>
      <c r="L5" s="19"/>
      <c r="M5" s="19"/>
      <c r="N5" s="19"/>
      <c r="O5" s="7"/>
      <c r="P5" s="19"/>
      <c r="Q5" s="19"/>
      <c r="R5" s="19"/>
      <c r="S5" s="19"/>
      <c r="T5" s="19"/>
      <c r="U5" s="19"/>
      <c r="V5" s="19"/>
      <c r="W5" s="19"/>
      <c r="X5" s="19"/>
      <c r="Y5" s="19"/>
      <c r="Z5" s="19"/>
    </row>
    <row r="6" spans="1:26" ht="18" customHeight="1" x14ac:dyDescent="0.15">
      <c r="B6" s="218" t="s">
        <v>186</v>
      </c>
      <c r="C6" s="185"/>
      <c r="D6" s="185"/>
      <c r="E6" s="185"/>
      <c r="F6" s="185"/>
      <c r="G6" s="185"/>
      <c r="H6" s="185"/>
      <c r="I6" s="185"/>
      <c r="J6" s="185"/>
      <c r="K6" s="185"/>
      <c r="L6" s="185"/>
      <c r="M6" s="185"/>
      <c r="N6" s="185"/>
      <c r="O6" s="185"/>
      <c r="P6" s="185"/>
      <c r="Q6" s="185"/>
      <c r="R6" s="185"/>
      <c r="S6" s="185"/>
      <c r="T6" s="185"/>
      <c r="U6" s="185"/>
      <c r="V6" s="185"/>
      <c r="W6" s="185"/>
      <c r="X6" s="185"/>
      <c r="Y6" s="185"/>
      <c r="Z6" s="219"/>
    </row>
    <row r="7" spans="1:26" ht="18" customHeight="1" x14ac:dyDescent="0.15">
      <c r="B7" s="220"/>
      <c r="C7" s="221"/>
      <c r="D7" s="221"/>
      <c r="E7" s="221"/>
      <c r="F7" s="221"/>
      <c r="G7" s="221"/>
      <c r="H7" s="221"/>
      <c r="I7" s="221"/>
      <c r="J7" s="221"/>
      <c r="K7" s="221"/>
      <c r="L7" s="221"/>
      <c r="M7" s="221"/>
      <c r="N7" s="221"/>
      <c r="O7" s="221"/>
      <c r="P7" s="221"/>
      <c r="Q7" s="221"/>
      <c r="R7" s="221"/>
      <c r="S7" s="221"/>
      <c r="T7" s="221"/>
      <c r="U7" s="221"/>
      <c r="V7" s="221"/>
      <c r="W7" s="221"/>
      <c r="X7" s="221"/>
      <c r="Y7" s="221"/>
      <c r="Z7" s="222"/>
    </row>
    <row r="8" spans="1:26" ht="18" customHeight="1" x14ac:dyDescent="0.15">
      <c r="B8" s="220"/>
      <c r="C8" s="221"/>
      <c r="D8" s="221"/>
      <c r="E8" s="221"/>
      <c r="F8" s="221"/>
      <c r="G8" s="221"/>
      <c r="H8" s="221"/>
      <c r="I8" s="221"/>
      <c r="J8" s="221"/>
      <c r="K8" s="221"/>
      <c r="L8" s="221"/>
      <c r="M8" s="221"/>
      <c r="N8" s="221"/>
      <c r="O8" s="221"/>
      <c r="P8" s="221"/>
      <c r="Q8" s="221"/>
      <c r="R8" s="221"/>
      <c r="S8" s="221"/>
      <c r="T8" s="221"/>
      <c r="U8" s="221"/>
      <c r="V8" s="221"/>
      <c r="W8" s="221"/>
      <c r="X8" s="221"/>
      <c r="Y8" s="221"/>
      <c r="Z8" s="222"/>
    </row>
    <row r="9" spans="1:26" ht="18" customHeight="1" x14ac:dyDescent="0.15">
      <c r="B9" s="220"/>
      <c r="C9" s="221"/>
      <c r="D9" s="221"/>
      <c r="E9" s="221"/>
      <c r="F9" s="221"/>
      <c r="G9" s="221"/>
      <c r="H9" s="221"/>
      <c r="I9" s="221"/>
      <c r="J9" s="221"/>
      <c r="K9" s="221"/>
      <c r="L9" s="221"/>
      <c r="M9" s="221"/>
      <c r="N9" s="221"/>
      <c r="O9" s="221"/>
      <c r="P9" s="221"/>
      <c r="Q9" s="221"/>
      <c r="R9" s="221"/>
      <c r="S9" s="221"/>
      <c r="T9" s="221"/>
      <c r="U9" s="221"/>
      <c r="V9" s="221"/>
      <c r="W9" s="221"/>
      <c r="X9" s="221"/>
      <c r="Y9" s="221"/>
      <c r="Z9" s="222"/>
    </row>
    <row r="10" spans="1:26" ht="18" customHeight="1" x14ac:dyDescent="0.15">
      <c r="B10" s="220"/>
      <c r="C10" s="223"/>
      <c r="D10" s="223"/>
      <c r="E10" s="223"/>
      <c r="F10" s="223"/>
      <c r="G10" s="223"/>
      <c r="H10" s="223"/>
      <c r="I10" s="223"/>
      <c r="J10" s="223"/>
      <c r="K10" s="223"/>
      <c r="L10" s="223"/>
      <c r="M10" s="223"/>
      <c r="N10" s="223"/>
      <c r="O10" s="223"/>
      <c r="P10" s="223"/>
      <c r="Q10" s="223"/>
      <c r="R10" s="223"/>
      <c r="S10" s="223"/>
      <c r="T10" s="223"/>
      <c r="U10" s="223"/>
      <c r="V10" s="223"/>
      <c r="W10" s="223"/>
      <c r="X10" s="223"/>
      <c r="Y10" s="223"/>
      <c r="Z10" s="222"/>
    </row>
    <row r="11" spans="1:26" ht="18" customHeight="1" x14ac:dyDescent="0.15">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x14ac:dyDescent="0.15">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spans="1:26" ht="18" customHeight="1" x14ac:dyDescent="0.15">
      <c r="A13" s="207" t="s">
        <v>126</v>
      </c>
      <c r="B13" s="207"/>
      <c r="C13" s="207"/>
      <c r="D13" s="207"/>
      <c r="E13" s="207"/>
      <c r="F13" s="207"/>
      <c r="G13" s="207"/>
      <c r="H13" s="207"/>
      <c r="I13" s="207"/>
      <c r="J13" s="207"/>
      <c r="K13" s="207"/>
      <c r="L13" s="207"/>
      <c r="M13" s="207"/>
      <c r="N13" s="207"/>
      <c r="O13" s="207"/>
      <c r="P13" s="207"/>
      <c r="Q13" s="207"/>
      <c r="R13" s="207"/>
      <c r="S13" s="207"/>
      <c r="T13" s="207"/>
      <c r="U13" s="207"/>
      <c r="V13" s="207"/>
      <c r="W13" s="207"/>
      <c r="X13" s="207"/>
      <c r="Y13" s="207"/>
      <c r="Z13" s="207"/>
    </row>
    <row r="14" spans="1:26" ht="18" customHeight="1" x14ac:dyDescent="0.15">
      <c r="A14" s="207"/>
      <c r="B14" s="207"/>
      <c r="C14" s="207"/>
      <c r="D14" s="207"/>
      <c r="E14" s="207"/>
      <c r="F14" s="207"/>
      <c r="G14" s="207"/>
      <c r="H14" s="207"/>
      <c r="I14" s="207"/>
      <c r="J14" s="207"/>
      <c r="K14" s="207"/>
      <c r="L14" s="207"/>
      <c r="M14" s="207"/>
      <c r="N14" s="207"/>
      <c r="O14" s="207"/>
      <c r="P14" s="207"/>
      <c r="Q14" s="207"/>
      <c r="R14" s="207"/>
      <c r="S14" s="207"/>
      <c r="T14" s="207"/>
      <c r="U14" s="207"/>
      <c r="V14" s="207"/>
      <c r="W14" s="207"/>
      <c r="X14" s="207"/>
      <c r="Y14" s="207"/>
      <c r="Z14" s="207"/>
    </row>
    <row r="15" spans="1:26" ht="18" customHeight="1" x14ac:dyDescent="0.15">
      <c r="A15" s="5"/>
      <c r="B15" s="163" t="s">
        <v>100</v>
      </c>
      <c r="C15" s="164"/>
      <c r="D15" s="164"/>
      <c r="E15" s="164"/>
      <c r="F15" s="165"/>
      <c r="G15" s="20" t="s">
        <v>142</v>
      </c>
      <c r="H15" s="42" t="s">
        <v>141</v>
      </c>
      <c r="I15" s="164" t="s">
        <v>101</v>
      </c>
      <c r="J15" s="164"/>
      <c r="K15" s="164"/>
      <c r="L15" s="23" t="s">
        <v>104</v>
      </c>
      <c r="M15" s="23" t="s">
        <v>107</v>
      </c>
      <c r="N15" s="163" t="s">
        <v>100</v>
      </c>
      <c r="O15" s="164"/>
      <c r="P15" s="164"/>
      <c r="Q15" s="164"/>
      <c r="R15" s="164"/>
      <c r="S15" s="165"/>
      <c r="T15" s="20" t="s">
        <v>142</v>
      </c>
      <c r="U15" s="42" t="s">
        <v>141</v>
      </c>
      <c r="V15" s="164" t="s">
        <v>101</v>
      </c>
      <c r="W15" s="164"/>
      <c r="X15" s="164"/>
      <c r="Y15" s="23" t="s">
        <v>104</v>
      </c>
      <c r="Z15" s="23" t="s">
        <v>107</v>
      </c>
    </row>
    <row r="16" spans="1:26" ht="18" customHeight="1" x14ac:dyDescent="0.15">
      <c r="A16" s="5"/>
      <c r="B16" s="198" t="s">
        <v>182</v>
      </c>
      <c r="C16" s="199"/>
      <c r="D16" s="199"/>
      <c r="E16" s="199"/>
      <c r="F16" s="200"/>
      <c r="G16" s="43">
        <v>2</v>
      </c>
      <c r="H16" s="43" t="s">
        <v>148</v>
      </c>
      <c r="I16" s="192" t="s">
        <v>170</v>
      </c>
      <c r="J16" s="193"/>
      <c r="K16" s="194"/>
      <c r="L16" s="43" t="s">
        <v>148</v>
      </c>
      <c r="M16" s="43" t="s">
        <v>148</v>
      </c>
      <c r="N16" s="157"/>
      <c r="O16" s="158"/>
      <c r="P16" s="158"/>
      <c r="Q16" s="158"/>
      <c r="R16" s="158"/>
      <c r="S16" s="159"/>
      <c r="T16" s="43"/>
      <c r="U16" s="43"/>
      <c r="V16" s="192"/>
      <c r="W16" s="193"/>
      <c r="X16" s="194"/>
      <c r="Y16" s="24"/>
      <c r="Z16" s="24"/>
    </row>
    <row r="17" spans="1:26" ht="18" customHeight="1" x14ac:dyDescent="0.15">
      <c r="A17" s="5"/>
      <c r="B17" s="201" t="s">
        <v>183</v>
      </c>
      <c r="C17" s="202"/>
      <c r="D17" s="202"/>
      <c r="E17" s="202"/>
      <c r="F17" s="203"/>
      <c r="G17" s="44">
        <v>2</v>
      </c>
      <c r="H17" s="44" t="s">
        <v>148</v>
      </c>
      <c r="I17" s="195" t="s">
        <v>170</v>
      </c>
      <c r="J17" s="196"/>
      <c r="K17" s="197"/>
      <c r="L17" s="44" t="s">
        <v>148</v>
      </c>
      <c r="M17" s="44" t="s">
        <v>148</v>
      </c>
      <c r="N17" s="169"/>
      <c r="O17" s="167"/>
      <c r="P17" s="167"/>
      <c r="Q17" s="167"/>
      <c r="R17" s="167"/>
      <c r="S17" s="168"/>
      <c r="T17" s="44"/>
      <c r="U17" s="44"/>
      <c r="V17" s="195"/>
      <c r="W17" s="196"/>
      <c r="X17" s="197"/>
      <c r="Y17" s="25"/>
      <c r="Z17" s="25"/>
    </row>
    <row r="18" spans="1:26" ht="18" customHeight="1" x14ac:dyDescent="0.15">
      <c r="A18" s="5"/>
      <c r="B18" s="208" t="s">
        <v>184</v>
      </c>
      <c r="C18" s="209"/>
      <c r="D18" s="209"/>
      <c r="E18" s="209"/>
      <c r="F18" s="210"/>
      <c r="G18" s="44">
        <v>2</v>
      </c>
      <c r="H18" s="44" t="s">
        <v>148</v>
      </c>
      <c r="I18" s="195" t="s">
        <v>170</v>
      </c>
      <c r="J18" s="196"/>
      <c r="K18" s="197"/>
      <c r="L18" s="44" t="s">
        <v>148</v>
      </c>
      <c r="M18" s="44" t="s">
        <v>148</v>
      </c>
      <c r="N18" s="169"/>
      <c r="O18" s="167"/>
      <c r="P18" s="167"/>
      <c r="Q18" s="167"/>
      <c r="R18" s="167"/>
      <c r="S18" s="168"/>
      <c r="T18" s="44"/>
      <c r="U18" s="44"/>
      <c r="V18" s="195"/>
      <c r="W18" s="196"/>
      <c r="X18" s="197"/>
      <c r="Y18" s="25"/>
      <c r="Z18" s="25"/>
    </row>
    <row r="19" spans="1:26" ht="18" customHeight="1" x14ac:dyDescent="0.15">
      <c r="A19" s="5"/>
      <c r="B19" s="208" t="s">
        <v>185</v>
      </c>
      <c r="C19" s="209"/>
      <c r="D19" s="209"/>
      <c r="E19" s="209"/>
      <c r="F19" s="210"/>
      <c r="G19" s="44">
        <v>2</v>
      </c>
      <c r="H19" s="44" t="s">
        <v>148</v>
      </c>
      <c r="I19" s="195" t="s">
        <v>170</v>
      </c>
      <c r="J19" s="196"/>
      <c r="K19" s="197"/>
      <c r="L19" s="44" t="s">
        <v>148</v>
      </c>
      <c r="M19" s="44" t="s">
        <v>148</v>
      </c>
      <c r="N19" s="169"/>
      <c r="O19" s="167"/>
      <c r="P19" s="167"/>
      <c r="Q19" s="167"/>
      <c r="R19" s="167"/>
      <c r="S19" s="168"/>
      <c r="T19" s="44"/>
      <c r="U19" s="44"/>
      <c r="V19" s="195"/>
      <c r="W19" s="196"/>
      <c r="X19" s="197"/>
      <c r="Y19" s="25"/>
      <c r="Z19" s="25"/>
    </row>
    <row r="20" spans="1:26" ht="18" customHeight="1" x14ac:dyDescent="0.15">
      <c r="A20" s="5"/>
      <c r="B20" s="211"/>
      <c r="C20" s="212"/>
      <c r="D20" s="212"/>
      <c r="E20" s="212"/>
      <c r="F20" s="213"/>
      <c r="G20" s="44"/>
      <c r="H20" s="44"/>
      <c r="I20" s="195"/>
      <c r="J20" s="196"/>
      <c r="K20" s="197"/>
      <c r="L20" s="25"/>
      <c r="M20" s="25"/>
      <c r="N20" s="169"/>
      <c r="O20" s="167"/>
      <c r="P20" s="167"/>
      <c r="Q20" s="167"/>
      <c r="R20" s="167"/>
      <c r="S20" s="168"/>
      <c r="T20" s="44"/>
      <c r="U20" s="44"/>
      <c r="V20" s="195"/>
      <c r="W20" s="196"/>
      <c r="X20" s="197"/>
      <c r="Y20" s="25"/>
      <c r="Z20" s="25"/>
    </row>
    <row r="21" spans="1:26" ht="18" customHeight="1" x14ac:dyDescent="0.15">
      <c r="A21" s="19"/>
      <c r="B21" s="211"/>
      <c r="C21" s="212"/>
      <c r="D21" s="212"/>
      <c r="E21" s="212"/>
      <c r="F21" s="213"/>
      <c r="G21" s="44"/>
      <c r="H21" s="44"/>
      <c r="I21" s="195"/>
      <c r="J21" s="196"/>
      <c r="K21" s="197"/>
      <c r="L21" s="25"/>
      <c r="M21" s="25"/>
      <c r="N21" s="169"/>
      <c r="O21" s="167"/>
      <c r="P21" s="167"/>
      <c r="Q21" s="167"/>
      <c r="R21" s="167"/>
      <c r="S21" s="168"/>
      <c r="T21" s="44"/>
      <c r="U21" s="44"/>
      <c r="V21" s="195"/>
      <c r="W21" s="196"/>
      <c r="X21" s="197"/>
      <c r="Y21" s="25"/>
      <c r="Z21" s="25"/>
    </row>
    <row r="22" spans="1:26" ht="18" customHeight="1" x14ac:dyDescent="0.15">
      <c r="A22" s="19"/>
      <c r="B22" s="214"/>
      <c r="C22" s="215"/>
      <c r="D22" s="215"/>
      <c r="E22" s="215"/>
      <c r="F22" s="216"/>
      <c r="G22" s="45"/>
      <c r="H22" s="45"/>
      <c r="I22" s="204"/>
      <c r="J22" s="205"/>
      <c r="K22" s="206"/>
      <c r="L22" s="26"/>
      <c r="M22" s="26"/>
      <c r="N22" s="238"/>
      <c r="O22" s="239"/>
      <c r="P22" s="239"/>
      <c r="Q22" s="239"/>
      <c r="R22" s="239"/>
      <c r="S22" s="240"/>
      <c r="T22" s="45"/>
      <c r="U22" s="45"/>
      <c r="V22" s="204"/>
      <c r="W22" s="205"/>
      <c r="X22" s="206"/>
      <c r="Y22" s="26"/>
      <c r="Z22" s="26"/>
    </row>
    <row r="23" spans="1:26" ht="7.5" customHeight="1" x14ac:dyDescent="0.15">
      <c r="A23" s="19"/>
      <c r="B23" s="27"/>
      <c r="C23" s="27"/>
      <c r="D23" s="19"/>
      <c r="E23" s="19"/>
      <c r="F23" s="19"/>
      <c r="G23" s="19"/>
      <c r="H23" s="19"/>
      <c r="I23" s="19"/>
      <c r="J23" s="19"/>
      <c r="K23" s="19"/>
      <c r="L23" s="27"/>
      <c r="M23" s="27"/>
      <c r="N23" s="27"/>
      <c r="O23" s="27"/>
      <c r="P23" s="27"/>
      <c r="Q23" s="27"/>
      <c r="R23" s="27"/>
      <c r="S23" s="27"/>
      <c r="T23" s="27"/>
      <c r="U23" s="27"/>
      <c r="V23" s="27"/>
      <c r="W23" s="27"/>
      <c r="X23" s="27"/>
      <c r="Y23" s="27"/>
      <c r="Z23" s="19"/>
    </row>
    <row r="24" spans="1:26" ht="18" customHeight="1" x14ac:dyDescent="0.15">
      <c r="A24" s="207" t="s">
        <v>127</v>
      </c>
      <c r="B24" s="207"/>
      <c r="C24" s="207"/>
      <c r="D24" s="207"/>
      <c r="E24" s="207"/>
      <c r="F24" s="207"/>
      <c r="G24" s="207"/>
      <c r="H24" s="207"/>
      <c r="I24" s="207"/>
      <c r="J24" s="207"/>
      <c r="K24" s="207"/>
      <c r="L24" s="207"/>
      <c r="M24" s="207"/>
      <c r="N24" s="207"/>
      <c r="O24" s="207"/>
      <c r="P24" s="207"/>
      <c r="Q24" s="207"/>
      <c r="R24" s="207"/>
      <c r="S24" s="207"/>
      <c r="T24" s="207"/>
      <c r="U24" s="207"/>
      <c r="V24" s="207"/>
      <c r="W24" s="207"/>
      <c r="X24" s="207"/>
      <c r="Y24" s="207"/>
      <c r="Z24" s="207"/>
    </row>
    <row r="25" spans="1:26" ht="18" customHeight="1" x14ac:dyDescent="0.15">
      <c r="A25" s="207"/>
      <c r="B25" s="207"/>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row>
    <row r="26" spans="1:26" ht="18" customHeight="1" x14ac:dyDescent="0.15">
      <c r="A26" s="5"/>
      <c r="B26" s="163" t="s">
        <v>100</v>
      </c>
      <c r="C26" s="164"/>
      <c r="D26" s="164"/>
      <c r="E26" s="164"/>
      <c r="F26" s="165"/>
      <c r="G26" s="20" t="s">
        <v>142</v>
      </c>
      <c r="H26" s="42" t="s">
        <v>141</v>
      </c>
      <c r="I26" s="164" t="s">
        <v>101</v>
      </c>
      <c r="J26" s="164"/>
      <c r="K26" s="164"/>
      <c r="L26" s="23" t="s">
        <v>128</v>
      </c>
      <c r="M26" s="23" t="s">
        <v>129</v>
      </c>
      <c r="N26" s="163" t="s">
        <v>100</v>
      </c>
      <c r="O26" s="164"/>
      <c r="P26" s="164"/>
      <c r="Q26" s="164"/>
      <c r="R26" s="164"/>
      <c r="S26" s="165"/>
      <c r="T26" s="20" t="s">
        <v>142</v>
      </c>
      <c r="U26" s="42" t="s">
        <v>141</v>
      </c>
      <c r="V26" s="164" t="s">
        <v>101</v>
      </c>
      <c r="W26" s="164"/>
      <c r="X26" s="164"/>
      <c r="Y26" s="23" t="s">
        <v>128</v>
      </c>
      <c r="Z26" s="23" t="s">
        <v>129</v>
      </c>
    </row>
    <row r="27" spans="1:26" ht="18" customHeight="1" x14ac:dyDescent="0.15">
      <c r="A27" s="5"/>
      <c r="B27" s="198" t="s">
        <v>182</v>
      </c>
      <c r="C27" s="199"/>
      <c r="D27" s="199"/>
      <c r="E27" s="199"/>
      <c r="F27" s="200"/>
      <c r="G27" s="43">
        <v>2</v>
      </c>
      <c r="H27" s="43" t="s">
        <v>148</v>
      </c>
      <c r="I27" s="192" t="s">
        <v>170</v>
      </c>
      <c r="J27" s="193"/>
      <c r="K27" s="194"/>
      <c r="L27" s="43" t="s">
        <v>148</v>
      </c>
      <c r="M27" s="43" t="s">
        <v>148</v>
      </c>
      <c r="N27" s="157"/>
      <c r="O27" s="158"/>
      <c r="P27" s="158"/>
      <c r="Q27" s="158"/>
      <c r="R27" s="158"/>
      <c r="S27" s="159"/>
      <c r="T27" s="43"/>
      <c r="U27" s="43"/>
      <c r="V27" s="192"/>
      <c r="W27" s="193"/>
      <c r="X27" s="194"/>
      <c r="Y27" s="24"/>
      <c r="Z27" s="24"/>
    </row>
    <row r="28" spans="1:26" ht="18" customHeight="1" x14ac:dyDescent="0.15">
      <c r="A28" s="5"/>
      <c r="B28" s="201" t="s">
        <v>183</v>
      </c>
      <c r="C28" s="202"/>
      <c r="D28" s="202"/>
      <c r="E28" s="202"/>
      <c r="F28" s="203"/>
      <c r="G28" s="44">
        <v>2</v>
      </c>
      <c r="H28" s="44" t="s">
        <v>148</v>
      </c>
      <c r="I28" s="195" t="s">
        <v>170</v>
      </c>
      <c r="J28" s="196"/>
      <c r="K28" s="197"/>
      <c r="L28" s="44" t="s">
        <v>148</v>
      </c>
      <c r="M28" s="44" t="s">
        <v>148</v>
      </c>
      <c r="N28" s="169"/>
      <c r="O28" s="167"/>
      <c r="P28" s="167"/>
      <c r="Q28" s="167"/>
      <c r="R28" s="167"/>
      <c r="S28" s="168"/>
      <c r="T28" s="44"/>
      <c r="U28" s="44"/>
      <c r="V28" s="195"/>
      <c r="W28" s="196"/>
      <c r="X28" s="197"/>
      <c r="Y28" s="25"/>
      <c r="Z28" s="25"/>
    </row>
    <row r="29" spans="1:26" ht="18" customHeight="1" x14ac:dyDescent="0.15">
      <c r="A29" s="5"/>
      <c r="B29" s="208" t="s">
        <v>184</v>
      </c>
      <c r="C29" s="209"/>
      <c r="D29" s="209"/>
      <c r="E29" s="209"/>
      <c r="F29" s="210"/>
      <c r="G29" s="44">
        <v>2</v>
      </c>
      <c r="H29" s="44" t="s">
        <v>148</v>
      </c>
      <c r="I29" s="195" t="s">
        <v>170</v>
      </c>
      <c r="J29" s="196"/>
      <c r="K29" s="197"/>
      <c r="L29" s="44" t="s">
        <v>148</v>
      </c>
      <c r="M29" s="44" t="s">
        <v>148</v>
      </c>
      <c r="N29" s="169"/>
      <c r="O29" s="167"/>
      <c r="P29" s="167"/>
      <c r="Q29" s="167"/>
      <c r="R29" s="167"/>
      <c r="S29" s="168"/>
      <c r="T29" s="44"/>
      <c r="U29" s="44"/>
      <c r="V29" s="195"/>
      <c r="W29" s="196"/>
      <c r="X29" s="197"/>
      <c r="Y29" s="25"/>
      <c r="Z29" s="25"/>
    </row>
    <row r="30" spans="1:26" ht="18" customHeight="1" x14ac:dyDescent="0.15">
      <c r="A30" s="5"/>
      <c r="B30" s="208" t="s">
        <v>185</v>
      </c>
      <c r="C30" s="209"/>
      <c r="D30" s="209"/>
      <c r="E30" s="209"/>
      <c r="F30" s="210"/>
      <c r="G30" s="44">
        <v>2</v>
      </c>
      <c r="H30" s="44" t="s">
        <v>148</v>
      </c>
      <c r="I30" s="195" t="s">
        <v>170</v>
      </c>
      <c r="J30" s="196"/>
      <c r="K30" s="197"/>
      <c r="L30" s="44" t="s">
        <v>148</v>
      </c>
      <c r="M30" s="44" t="s">
        <v>148</v>
      </c>
      <c r="N30" s="169"/>
      <c r="O30" s="167"/>
      <c r="P30" s="167"/>
      <c r="Q30" s="167"/>
      <c r="R30" s="167"/>
      <c r="S30" s="168"/>
      <c r="T30" s="44"/>
      <c r="U30" s="44"/>
      <c r="V30" s="195"/>
      <c r="W30" s="196"/>
      <c r="X30" s="197"/>
      <c r="Y30" s="25"/>
      <c r="Z30" s="25"/>
    </row>
    <row r="31" spans="1:26" ht="18" customHeight="1" x14ac:dyDescent="0.15">
      <c r="A31" s="5"/>
      <c r="B31" s="211"/>
      <c r="C31" s="212"/>
      <c r="D31" s="212"/>
      <c r="E31" s="212"/>
      <c r="F31" s="213"/>
      <c r="G31" s="44"/>
      <c r="H31" s="44"/>
      <c r="I31" s="195"/>
      <c r="J31" s="196"/>
      <c r="K31" s="197"/>
      <c r="L31" s="25"/>
      <c r="M31" s="25"/>
      <c r="N31" s="169"/>
      <c r="O31" s="167"/>
      <c r="P31" s="167"/>
      <c r="Q31" s="167"/>
      <c r="R31" s="167"/>
      <c r="S31" s="168"/>
      <c r="T31" s="44"/>
      <c r="U31" s="44"/>
      <c r="V31" s="195"/>
      <c r="W31" s="196"/>
      <c r="X31" s="197"/>
      <c r="Y31" s="25"/>
      <c r="Z31" s="25"/>
    </row>
    <row r="32" spans="1:26" ht="18" customHeight="1" x14ac:dyDescent="0.15">
      <c r="A32" s="5"/>
      <c r="B32" s="211"/>
      <c r="C32" s="212"/>
      <c r="D32" s="212"/>
      <c r="E32" s="212"/>
      <c r="F32" s="213"/>
      <c r="G32" s="44"/>
      <c r="H32" s="44"/>
      <c r="I32" s="195"/>
      <c r="J32" s="196"/>
      <c r="K32" s="197"/>
      <c r="L32" s="25"/>
      <c r="M32" s="25"/>
      <c r="N32" s="169"/>
      <c r="O32" s="167"/>
      <c r="P32" s="167"/>
      <c r="Q32" s="167"/>
      <c r="R32" s="167"/>
      <c r="S32" s="168"/>
      <c r="T32" s="44"/>
      <c r="U32" s="44"/>
      <c r="V32" s="195"/>
      <c r="W32" s="196"/>
      <c r="X32" s="197"/>
      <c r="Y32" s="25"/>
      <c r="Z32" s="25"/>
    </row>
    <row r="33" spans="1:26" ht="18" customHeight="1" x14ac:dyDescent="0.15">
      <c r="A33" s="5"/>
      <c r="B33" s="214"/>
      <c r="C33" s="215"/>
      <c r="D33" s="215"/>
      <c r="E33" s="215"/>
      <c r="F33" s="216"/>
      <c r="G33" s="45"/>
      <c r="H33" s="45"/>
      <c r="I33" s="204"/>
      <c r="J33" s="205"/>
      <c r="K33" s="206"/>
      <c r="L33" s="26"/>
      <c r="M33" s="26"/>
      <c r="N33" s="238"/>
      <c r="O33" s="239"/>
      <c r="P33" s="239"/>
      <c r="Q33" s="239"/>
      <c r="R33" s="239"/>
      <c r="S33" s="240"/>
      <c r="T33" s="45"/>
      <c r="U33" s="45"/>
      <c r="V33" s="204"/>
      <c r="W33" s="205"/>
      <c r="X33" s="206"/>
      <c r="Y33" s="26"/>
      <c r="Z33" s="26"/>
    </row>
    <row r="34" spans="1:26" ht="7.5" customHeight="1" x14ac:dyDescent="0.15">
      <c r="A34" s="19"/>
      <c r="B34" s="27"/>
      <c r="C34" s="27"/>
      <c r="D34" s="19"/>
      <c r="E34" s="19"/>
      <c r="F34" s="19"/>
      <c r="G34" s="19"/>
      <c r="H34" s="19"/>
      <c r="I34" s="19"/>
      <c r="J34" s="19"/>
      <c r="K34" s="19"/>
      <c r="L34" s="27"/>
      <c r="M34" s="27"/>
      <c r="N34" s="27"/>
      <c r="O34" s="27"/>
      <c r="P34" s="27"/>
      <c r="Q34" s="27"/>
      <c r="R34" s="27"/>
      <c r="S34" s="27"/>
      <c r="T34" s="27"/>
      <c r="U34" s="27"/>
      <c r="V34" s="27"/>
      <c r="W34" s="27"/>
      <c r="X34" s="27"/>
      <c r="Y34" s="27"/>
      <c r="Z34" s="19"/>
    </row>
    <row r="35" spans="1:26" ht="18" customHeight="1" x14ac:dyDescent="0.15">
      <c r="A35" s="207" t="s">
        <v>130</v>
      </c>
      <c r="B35" s="207"/>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row>
    <row r="36" spans="1:26" ht="18" customHeight="1" x14ac:dyDescent="0.15">
      <c r="A36" s="207"/>
      <c r="B36" s="207"/>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row>
    <row r="37" spans="1:26" ht="18" customHeight="1" x14ac:dyDescent="0.15">
      <c r="A37" s="5"/>
      <c r="B37" s="163" t="s">
        <v>100</v>
      </c>
      <c r="C37" s="164"/>
      <c r="D37" s="164"/>
      <c r="E37" s="164"/>
      <c r="F37" s="165"/>
      <c r="G37" s="20" t="s">
        <v>142</v>
      </c>
      <c r="H37" s="42" t="s">
        <v>141</v>
      </c>
      <c r="I37" s="163" t="s">
        <v>101</v>
      </c>
      <c r="J37" s="164"/>
      <c r="K37" s="165"/>
      <c r="L37" s="23" t="s">
        <v>131</v>
      </c>
      <c r="M37" s="23" t="s">
        <v>132</v>
      </c>
      <c r="N37" s="163" t="s">
        <v>100</v>
      </c>
      <c r="O37" s="164"/>
      <c r="P37" s="164"/>
      <c r="Q37" s="164"/>
      <c r="R37" s="164"/>
      <c r="S37" s="165"/>
      <c r="T37" s="20" t="s">
        <v>142</v>
      </c>
      <c r="U37" s="42" t="s">
        <v>141</v>
      </c>
      <c r="V37" s="163" t="s">
        <v>101</v>
      </c>
      <c r="W37" s="164"/>
      <c r="X37" s="165"/>
      <c r="Y37" s="23" t="s">
        <v>131</v>
      </c>
      <c r="Z37" s="23" t="s">
        <v>132</v>
      </c>
    </row>
    <row r="38" spans="1:26" ht="18" customHeight="1" x14ac:dyDescent="0.15">
      <c r="A38" s="19"/>
      <c r="B38" s="198" t="s">
        <v>182</v>
      </c>
      <c r="C38" s="199"/>
      <c r="D38" s="199"/>
      <c r="E38" s="199"/>
      <c r="F38" s="200"/>
      <c r="G38" s="43">
        <v>2</v>
      </c>
      <c r="H38" s="43" t="s">
        <v>148</v>
      </c>
      <c r="I38" s="192" t="s">
        <v>170</v>
      </c>
      <c r="J38" s="193"/>
      <c r="K38" s="194"/>
      <c r="L38" s="43" t="s">
        <v>148</v>
      </c>
      <c r="M38" s="43" t="s">
        <v>148</v>
      </c>
      <c r="N38" s="157"/>
      <c r="O38" s="158"/>
      <c r="P38" s="158"/>
      <c r="Q38" s="158"/>
      <c r="R38" s="158"/>
      <c r="S38" s="159"/>
      <c r="T38" s="43"/>
      <c r="U38" s="43"/>
      <c r="V38" s="192"/>
      <c r="W38" s="193"/>
      <c r="X38" s="194"/>
      <c r="Y38" s="24"/>
      <c r="Z38" s="24"/>
    </row>
    <row r="39" spans="1:26" ht="18" customHeight="1" x14ac:dyDescent="0.15">
      <c r="A39" s="19"/>
      <c r="B39" s="201" t="s">
        <v>183</v>
      </c>
      <c r="C39" s="202"/>
      <c r="D39" s="202"/>
      <c r="E39" s="202"/>
      <c r="F39" s="203"/>
      <c r="G39" s="44">
        <v>2</v>
      </c>
      <c r="H39" s="44" t="s">
        <v>148</v>
      </c>
      <c r="I39" s="195" t="s">
        <v>170</v>
      </c>
      <c r="J39" s="196"/>
      <c r="K39" s="197"/>
      <c r="L39" s="44" t="s">
        <v>148</v>
      </c>
      <c r="M39" s="44" t="s">
        <v>148</v>
      </c>
      <c r="N39" s="169"/>
      <c r="O39" s="167"/>
      <c r="P39" s="167"/>
      <c r="Q39" s="167"/>
      <c r="R39" s="167"/>
      <c r="S39" s="168"/>
      <c r="T39" s="44"/>
      <c r="U39" s="44"/>
      <c r="V39" s="195"/>
      <c r="W39" s="196"/>
      <c r="X39" s="197"/>
      <c r="Y39" s="25"/>
      <c r="Z39" s="25"/>
    </row>
    <row r="40" spans="1:26" ht="18" customHeight="1" x14ac:dyDescent="0.15">
      <c r="A40" s="19"/>
      <c r="B40" s="208" t="s">
        <v>184</v>
      </c>
      <c r="C40" s="209"/>
      <c r="D40" s="209"/>
      <c r="E40" s="209"/>
      <c r="F40" s="210"/>
      <c r="G40" s="44">
        <v>2</v>
      </c>
      <c r="H40" s="44" t="s">
        <v>148</v>
      </c>
      <c r="I40" s="195" t="s">
        <v>170</v>
      </c>
      <c r="J40" s="196"/>
      <c r="K40" s="197"/>
      <c r="L40" s="44" t="s">
        <v>148</v>
      </c>
      <c r="M40" s="44" t="s">
        <v>148</v>
      </c>
      <c r="N40" s="169"/>
      <c r="O40" s="167"/>
      <c r="P40" s="167"/>
      <c r="Q40" s="167"/>
      <c r="R40" s="167"/>
      <c r="S40" s="168"/>
      <c r="T40" s="44"/>
      <c r="U40" s="44"/>
      <c r="V40" s="195"/>
      <c r="W40" s="196"/>
      <c r="X40" s="197"/>
      <c r="Y40" s="25"/>
      <c r="Z40" s="25"/>
    </row>
    <row r="41" spans="1:26" ht="18" customHeight="1" x14ac:dyDescent="0.15">
      <c r="A41" s="19"/>
      <c r="B41" s="208" t="s">
        <v>185</v>
      </c>
      <c r="C41" s="209"/>
      <c r="D41" s="209"/>
      <c r="E41" s="209"/>
      <c r="F41" s="210"/>
      <c r="G41" s="44">
        <v>2</v>
      </c>
      <c r="H41" s="44" t="s">
        <v>148</v>
      </c>
      <c r="I41" s="195" t="s">
        <v>170</v>
      </c>
      <c r="J41" s="196"/>
      <c r="K41" s="197"/>
      <c r="L41" s="44" t="s">
        <v>148</v>
      </c>
      <c r="M41" s="44" t="s">
        <v>148</v>
      </c>
      <c r="N41" s="169"/>
      <c r="O41" s="167"/>
      <c r="P41" s="167"/>
      <c r="Q41" s="167"/>
      <c r="R41" s="167"/>
      <c r="S41" s="168"/>
      <c r="T41" s="44"/>
      <c r="U41" s="44"/>
      <c r="V41" s="195"/>
      <c r="W41" s="196"/>
      <c r="X41" s="197"/>
      <c r="Y41" s="25"/>
      <c r="Z41" s="25"/>
    </row>
    <row r="42" spans="1:26" ht="18" customHeight="1" x14ac:dyDescent="0.15">
      <c r="A42" s="19"/>
      <c r="B42" s="211"/>
      <c r="C42" s="212"/>
      <c r="D42" s="212"/>
      <c r="E42" s="212"/>
      <c r="F42" s="213"/>
      <c r="G42" s="44"/>
      <c r="H42" s="44"/>
      <c r="I42" s="195"/>
      <c r="J42" s="196"/>
      <c r="K42" s="197"/>
      <c r="L42" s="25"/>
      <c r="M42" s="25"/>
      <c r="N42" s="169"/>
      <c r="O42" s="167"/>
      <c r="P42" s="167"/>
      <c r="Q42" s="167"/>
      <c r="R42" s="167"/>
      <c r="S42" s="168"/>
      <c r="T42" s="44"/>
      <c r="U42" s="44"/>
      <c r="V42" s="195"/>
      <c r="W42" s="196"/>
      <c r="X42" s="197"/>
      <c r="Y42" s="25"/>
      <c r="Z42" s="25"/>
    </row>
    <row r="43" spans="1:26" ht="18" customHeight="1" x14ac:dyDescent="0.15">
      <c r="A43" s="19"/>
      <c r="B43" s="211"/>
      <c r="C43" s="212"/>
      <c r="D43" s="212"/>
      <c r="E43" s="212"/>
      <c r="F43" s="213"/>
      <c r="G43" s="44"/>
      <c r="H43" s="44"/>
      <c r="I43" s="195"/>
      <c r="J43" s="196"/>
      <c r="K43" s="197"/>
      <c r="L43" s="25"/>
      <c r="M43" s="25"/>
      <c r="N43" s="169"/>
      <c r="O43" s="167"/>
      <c r="P43" s="167"/>
      <c r="Q43" s="167"/>
      <c r="R43" s="167"/>
      <c r="S43" s="168"/>
      <c r="T43" s="44"/>
      <c r="U43" s="44"/>
      <c r="V43" s="195"/>
      <c r="W43" s="196"/>
      <c r="X43" s="197"/>
      <c r="Y43" s="25"/>
      <c r="Z43" s="25"/>
    </row>
    <row r="44" spans="1:26" ht="18" customHeight="1" x14ac:dyDescent="0.15">
      <c r="A44" s="19"/>
      <c r="B44" s="214"/>
      <c r="C44" s="215"/>
      <c r="D44" s="215"/>
      <c r="E44" s="215"/>
      <c r="F44" s="216"/>
      <c r="G44" s="45"/>
      <c r="H44" s="45"/>
      <c r="I44" s="204"/>
      <c r="J44" s="205"/>
      <c r="K44" s="206"/>
      <c r="L44" s="26"/>
      <c r="M44" s="26"/>
      <c r="N44" s="238"/>
      <c r="O44" s="239"/>
      <c r="P44" s="239"/>
      <c r="Q44" s="239"/>
      <c r="R44" s="239"/>
      <c r="S44" s="240"/>
      <c r="T44" s="45"/>
      <c r="U44" s="45"/>
      <c r="V44" s="204"/>
      <c r="W44" s="205"/>
      <c r="X44" s="206"/>
      <c r="Y44" s="26"/>
      <c r="Z44" s="26"/>
    </row>
    <row r="45" spans="1:26" ht="7.5" customHeight="1" x14ac:dyDescent="0.15">
      <c r="B45" s="28"/>
      <c r="C45" s="28"/>
      <c r="D45" s="28"/>
      <c r="E45" s="28"/>
      <c r="F45" s="28"/>
      <c r="G45" s="28"/>
      <c r="H45" s="28"/>
      <c r="I45" s="28"/>
      <c r="J45" s="28"/>
      <c r="K45" s="28"/>
      <c r="L45" s="28"/>
      <c r="M45" s="28"/>
      <c r="N45" s="28"/>
      <c r="O45" s="28"/>
      <c r="P45" s="28"/>
      <c r="Q45" s="28"/>
      <c r="R45" s="28"/>
      <c r="S45" s="28"/>
      <c r="T45" s="28"/>
      <c r="U45" s="28"/>
      <c r="V45" s="28"/>
      <c r="W45" s="28"/>
      <c r="X45" s="28"/>
      <c r="Y45" s="28"/>
    </row>
    <row r="46" spans="1:26" ht="18" customHeight="1" x14ac:dyDescent="0.15">
      <c r="A46" s="207" t="s">
        <v>133</v>
      </c>
      <c r="B46" s="207"/>
      <c r="C46" s="207"/>
      <c r="D46" s="207"/>
      <c r="E46" s="207"/>
      <c r="F46" s="207"/>
      <c r="G46" s="207"/>
      <c r="H46" s="207"/>
      <c r="I46" s="207"/>
      <c r="J46" s="207"/>
      <c r="K46" s="207"/>
      <c r="L46" s="207"/>
      <c r="M46" s="207"/>
      <c r="N46" s="207"/>
      <c r="O46" s="207"/>
      <c r="P46" s="207"/>
      <c r="Q46" s="207"/>
      <c r="R46" s="207"/>
      <c r="S46" s="207"/>
      <c r="T46" s="207"/>
      <c r="U46" s="207"/>
      <c r="V46" s="207"/>
      <c r="W46" s="207"/>
      <c r="X46" s="207"/>
      <c r="Y46" s="207"/>
      <c r="Z46" s="207"/>
    </row>
    <row r="47" spans="1:26" ht="18" customHeight="1" x14ac:dyDescent="0.15">
      <c r="A47" s="207"/>
      <c r="B47" s="207"/>
      <c r="C47" s="207"/>
      <c r="D47" s="207"/>
      <c r="E47" s="207"/>
      <c r="F47" s="207"/>
      <c r="G47" s="207"/>
      <c r="H47" s="207"/>
      <c r="I47" s="207"/>
      <c r="J47" s="207"/>
      <c r="K47" s="207"/>
      <c r="L47" s="207"/>
      <c r="M47" s="207"/>
      <c r="N47" s="207"/>
      <c r="O47" s="207"/>
      <c r="P47" s="207"/>
      <c r="Q47" s="207"/>
      <c r="R47" s="207"/>
      <c r="S47" s="207"/>
      <c r="T47" s="207"/>
      <c r="U47" s="207"/>
      <c r="V47" s="207"/>
      <c r="W47" s="207"/>
      <c r="X47" s="207"/>
      <c r="Y47" s="207"/>
      <c r="Z47" s="207"/>
    </row>
    <row r="48" spans="1:26" ht="18" customHeight="1" x14ac:dyDescent="0.15">
      <c r="A48" s="5"/>
      <c r="B48" s="163" t="s">
        <v>100</v>
      </c>
      <c r="C48" s="164"/>
      <c r="D48" s="164"/>
      <c r="E48" s="164"/>
      <c r="F48" s="165"/>
      <c r="G48" s="20" t="s">
        <v>142</v>
      </c>
      <c r="H48" s="42" t="s">
        <v>141</v>
      </c>
      <c r="I48" s="163" t="s">
        <v>101</v>
      </c>
      <c r="J48" s="164"/>
      <c r="K48" s="165"/>
      <c r="L48" s="23" t="s">
        <v>106</v>
      </c>
      <c r="M48" s="23" t="s">
        <v>108</v>
      </c>
      <c r="N48" s="163" t="s">
        <v>100</v>
      </c>
      <c r="O48" s="164"/>
      <c r="P48" s="164"/>
      <c r="Q48" s="164"/>
      <c r="R48" s="164"/>
      <c r="S48" s="165"/>
      <c r="T48" s="20" t="s">
        <v>142</v>
      </c>
      <c r="U48" s="42" t="s">
        <v>141</v>
      </c>
      <c r="V48" s="163" t="s">
        <v>101</v>
      </c>
      <c r="W48" s="164"/>
      <c r="X48" s="165"/>
      <c r="Y48" s="23" t="s">
        <v>106</v>
      </c>
      <c r="Z48" s="23" t="s">
        <v>108</v>
      </c>
    </row>
    <row r="49" spans="1:26" ht="18" customHeight="1" x14ac:dyDescent="0.15">
      <c r="A49" s="19"/>
      <c r="B49" s="198" t="s">
        <v>182</v>
      </c>
      <c r="C49" s="199"/>
      <c r="D49" s="199"/>
      <c r="E49" s="199"/>
      <c r="F49" s="200"/>
      <c r="G49" s="43">
        <v>2</v>
      </c>
      <c r="H49" s="43" t="s">
        <v>148</v>
      </c>
      <c r="I49" s="192" t="s">
        <v>170</v>
      </c>
      <c r="J49" s="193"/>
      <c r="K49" s="194"/>
      <c r="L49" s="43" t="s">
        <v>148</v>
      </c>
      <c r="M49" s="43" t="s">
        <v>148</v>
      </c>
      <c r="N49" s="157"/>
      <c r="O49" s="158"/>
      <c r="P49" s="158"/>
      <c r="Q49" s="158"/>
      <c r="R49" s="158"/>
      <c r="S49" s="159"/>
      <c r="T49" s="43"/>
      <c r="U49" s="43"/>
      <c r="V49" s="192"/>
      <c r="W49" s="193"/>
      <c r="X49" s="194"/>
      <c r="Y49" s="24"/>
      <c r="Z49" s="24"/>
    </row>
    <row r="50" spans="1:26" ht="18" customHeight="1" x14ac:dyDescent="0.15">
      <c r="A50" s="19"/>
      <c r="B50" s="201" t="s">
        <v>183</v>
      </c>
      <c r="C50" s="202"/>
      <c r="D50" s="202"/>
      <c r="E50" s="202"/>
      <c r="F50" s="203"/>
      <c r="G50" s="44">
        <v>2</v>
      </c>
      <c r="H50" s="44" t="s">
        <v>148</v>
      </c>
      <c r="I50" s="195" t="s">
        <v>170</v>
      </c>
      <c r="J50" s="196"/>
      <c r="K50" s="197"/>
      <c r="L50" s="44" t="s">
        <v>148</v>
      </c>
      <c r="M50" s="44" t="s">
        <v>148</v>
      </c>
      <c r="N50" s="169"/>
      <c r="O50" s="167"/>
      <c r="P50" s="167"/>
      <c r="Q50" s="167"/>
      <c r="R50" s="167"/>
      <c r="S50" s="168"/>
      <c r="T50" s="44"/>
      <c r="U50" s="44"/>
      <c r="V50" s="195"/>
      <c r="W50" s="196"/>
      <c r="X50" s="197"/>
      <c r="Y50" s="25"/>
      <c r="Z50" s="25"/>
    </row>
    <row r="51" spans="1:26" ht="18" customHeight="1" x14ac:dyDescent="0.15">
      <c r="A51" s="19"/>
      <c r="B51" s="208" t="s">
        <v>184</v>
      </c>
      <c r="C51" s="209"/>
      <c r="D51" s="209"/>
      <c r="E51" s="209"/>
      <c r="F51" s="210"/>
      <c r="G51" s="44">
        <v>2</v>
      </c>
      <c r="H51" s="44" t="s">
        <v>148</v>
      </c>
      <c r="I51" s="195" t="s">
        <v>170</v>
      </c>
      <c r="J51" s="196"/>
      <c r="K51" s="197"/>
      <c r="L51" s="44" t="s">
        <v>148</v>
      </c>
      <c r="M51" s="44" t="s">
        <v>148</v>
      </c>
      <c r="N51" s="169"/>
      <c r="O51" s="167"/>
      <c r="P51" s="167"/>
      <c r="Q51" s="167"/>
      <c r="R51" s="167"/>
      <c r="S51" s="168"/>
      <c r="T51" s="44"/>
      <c r="U51" s="44"/>
      <c r="V51" s="195"/>
      <c r="W51" s="196"/>
      <c r="X51" s="197"/>
      <c r="Y51" s="25"/>
      <c r="Z51" s="25"/>
    </row>
    <row r="52" spans="1:26" ht="18" customHeight="1" x14ac:dyDescent="0.15">
      <c r="A52" s="19"/>
      <c r="B52" s="208" t="s">
        <v>185</v>
      </c>
      <c r="C52" s="209"/>
      <c r="D52" s="209"/>
      <c r="E52" s="209"/>
      <c r="F52" s="210"/>
      <c r="G52" s="44">
        <v>2</v>
      </c>
      <c r="H52" s="44" t="s">
        <v>148</v>
      </c>
      <c r="I52" s="195" t="s">
        <v>170</v>
      </c>
      <c r="J52" s="196"/>
      <c r="K52" s="197"/>
      <c r="L52" s="44" t="s">
        <v>148</v>
      </c>
      <c r="M52" s="44" t="s">
        <v>148</v>
      </c>
      <c r="N52" s="169"/>
      <c r="O52" s="167"/>
      <c r="P52" s="167"/>
      <c r="Q52" s="167"/>
      <c r="R52" s="167"/>
      <c r="S52" s="168"/>
      <c r="T52" s="44"/>
      <c r="U52" s="44"/>
      <c r="V52" s="195"/>
      <c r="W52" s="196"/>
      <c r="X52" s="197"/>
      <c r="Y52" s="25"/>
      <c r="Z52" s="25"/>
    </row>
    <row r="53" spans="1:26" ht="18" customHeight="1" x14ac:dyDescent="0.15">
      <c r="A53" s="19"/>
      <c r="B53" s="211"/>
      <c r="C53" s="212"/>
      <c r="D53" s="212"/>
      <c r="E53" s="212"/>
      <c r="F53" s="213"/>
      <c r="G53" s="44"/>
      <c r="H53" s="44"/>
      <c r="I53" s="195"/>
      <c r="J53" s="196"/>
      <c r="K53" s="197"/>
      <c r="L53" s="25"/>
      <c r="M53" s="25"/>
      <c r="N53" s="169"/>
      <c r="O53" s="167"/>
      <c r="P53" s="167"/>
      <c r="Q53" s="167"/>
      <c r="R53" s="167"/>
      <c r="S53" s="168"/>
      <c r="T53" s="44"/>
      <c r="U53" s="44"/>
      <c r="V53" s="195"/>
      <c r="W53" s="196"/>
      <c r="X53" s="197"/>
      <c r="Y53" s="25"/>
      <c r="Z53" s="25"/>
    </row>
    <row r="54" spans="1:26" ht="18" customHeight="1" x14ac:dyDescent="0.15">
      <c r="A54" s="19"/>
      <c r="B54" s="211"/>
      <c r="C54" s="212"/>
      <c r="D54" s="212"/>
      <c r="E54" s="212"/>
      <c r="F54" s="213"/>
      <c r="G54" s="44"/>
      <c r="H54" s="44"/>
      <c r="I54" s="195"/>
      <c r="J54" s="196"/>
      <c r="K54" s="197"/>
      <c r="L54" s="25"/>
      <c r="M54" s="25"/>
      <c r="N54" s="169"/>
      <c r="O54" s="167"/>
      <c r="P54" s="167"/>
      <c r="Q54" s="167"/>
      <c r="R54" s="167"/>
      <c r="S54" s="168"/>
      <c r="T54" s="44"/>
      <c r="U54" s="44"/>
      <c r="V54" s="195"/>
      <c r="W54" s="196"/>
      <c r="X54" s="197"/>
      <c r="Y54" s="25"/>
      <c r="Z54" s="25"/>
    </row>
    <row r="55" spans="1:26" ht="18" customHeight="1" x14ac:dyDescent="0.15">
      <c r="A55" s="19"/>
      <c r="B55" s="214"/>
      <c r="C55" s="215"/>
      <c r="D55" s="215"/>
      <c r="E55" s="215"/>
      <c r="F55" s="216"/>
      <c r="G55" s="45"/>
      <c r="H55" s="45"/>
      <c r="I55" s="204"/>
      <c r="J55" s="205"/>
      <c r="K55" s="206"/>
      <c r="L55" s="26"/>
      <c r="M55" s="26"/>
      <c r="N55" s="238"/>
      <c r="O55" s="239"/>
      <c r="P55" s="239"/>
      <c r="Q55" s="239"/>
      <c r="R55" s="239"/>
      <c r="S55" s="240"/>
      <c r="T55" s="45"/>
      <c r="U55" s="45"/>
      <c r="V55" s="204"/>
      <c r="W55" s="205"/>
      <c r="X55" s="206"/>
      <c r="Y55" s="26"/>
      <c r="Z55" s="26"/>
    </row>
    <row r="56" spans="1:26" ht="7.5" customHeight="1" x14ac:dyDescent="0.15">
      <c r="B56" s="28"/>
      <c r="C56" s="28"/>
      <c r="D56" s="28"/>
      <c r="E56" s="28"/>
      <c r="F56" s="28"/>
      <c r="G56" s="28"/>
      <c r="H56" s="28"/>
      <c r="I56" s="28"/>
      <c r="J56" s="28"/>
      <c r="K56" s="28"/>
      <c r="L56" s="28"/>
      <c r="M56" s="28"/>
      <c r="N56" s="28"/>
      <c r="O56" s="28"/>
      <c r="P56" s="28"/>
      <c r="Q56" s="28"/>
      <c r="R56" s="28"/>
      <c r="S56" s="28"/>
      <c r="T56" s="28"/>
      <c r="U56" s="28"/>
      <c r="V56" s="28"/>
      <c r="W56" s="28"/>
      <c r="X56" s="28"/>
      <c r="Y56" s="28"/>
    </row>
    <row r="57" spans="1:26" ht="18" customHeight="1" x14ac:dyDescent="0.15">
      <c r="A57" s="207" t="s">
        <v>134</v>
      </c>
      <c r="B57" s="207"/>
      <c r="C57" s="207"/>
      <c r="D57" s="207"/>
      <c r="E57" s="207"/>
      <c r="F57" s="207"/>
      <c r="G57" s="207"/>
      <c r="H57" s="207"/>
      <c r="I57" s="207"/>
      <c r="J57" s="207"/>
      <c r="K57" s="207"/>
      <c r="L57" s="207"/>
      <c r="M57" s="207"/>
      <c r="N57" s="207"/>
      <c r="O57" s="207"/>
      <c r="P57" s="207"/>
      <c r="Q57" s="207"/>
      <c r="R57" s="207"/>
      <c r="S57" s="207"/>
      <c r="T57" s="207"/>
      <c r="U57" s="207"/>
      <c r="V57" s="207"/>
      <c r="W57" s="207"/>
      <c r="X57" s="207"/>
      <c r="Y57" s="207"/>
      <c r="Z57" s="207"/>
    </row>
    <row r="58" spans="1:26" ht="18" customHeight="1" x14ac:dyDescent="0.15">
      <c r="A58" s="207"/>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row>
    <row r="59" spans="1:26" ht="18" customHeight="1" x14ac:dyDescent="0.15">
      <c r="A59" s="5"/>
      <c r="B59" s="163" t="s">
        <v>100</v>
      </c>
      <c r="C59" s="164"/>
      <c r="D59" s="164"/>
      <c r="E59" s="165"/>
      <c r="F59" s="20" t="s">
        <v>142</v>
      </c>
      <c r="G59" s="42" t="s">
        <v>141</v>
      </c>
      <c r="H59" s="35" t="s">
        <v>101</v>
      </c>
      <c r="I59" s="36"/>
      <c r="J59" s="37"/>
      <c r="K59" s="23" t="s">
        <v>105</v>
      </c>
      <c r="L59" s="23" t="s">
        <v>135</v>
      </c>
      <c r="M59" s="23" t="s">
        <v>136</v>
      </c>
      <c r="N59" s="163" t="s">
        <v>100</v>
      </c>
      <c r="O59" s="164"/>
      <c r="P59" s="164"/>
      <c r="Q59" s="164"/>
      <c r="R59" s="165"/>
      <c r="S59" s="20" t="s">
        <v>142</v>
      </c>
      <c r="T59" s="42" t="s">
        <v>141</v>
      </c>
      <c r="U59" s="35" t="s">
        <v>101</v>
      </c>
      <c r="V59" s="36"/>
      <c r="W59" s="37"/>
      <c r="X59" s="23" t="s">
        <v>105</v>
      </c>
      <c r="Y59" s="23" t="s">
        <v>135</v>
      </c>
      <c r="Z59" s="23" t="s">
        <v>136</v>
      </c>
    </row>
    <row r="60" spans="1:26" ht="18" customHeight="1" x14ac:dyDescent="0.15">
      <c r="A60" s="19"/>
      <c r="B60" s="257" t="s">
        <v>182</v>
      </c>
      <c r="C60" s="258"/>
      <c r="D60" s="258"/>
      <c r="E60" s="259"/>
      <c r="F60" s="43">
        <v>2</v>
      </c>
      <c r="G60" s="43" t="s">
        <v>148</v>
      </c>
      <c r="H60" s="192" t="s">
        <v>170</v>
      </c>
      <c r="I60" s="193"/>
      <c r="J60" s="194"/>
      <c r="K60" s="105" t="s">
        <v>148</v>
      </c>
      <c r="L60" s="105" t="s">
        <v>148</v>
      </c>
      <c r="M60" s="105" t="s">
        <v>148</v>
      </c>
      <c r="N60" s="157"/>
      <c r="O60" s="158"/>
      <c r="P60" s="158"/>
      <c r="Q60" s="158"/>
      <c r="R60" s="159"/>
      <c r="S60" s="43"/>
      <c r="T60" s="43"/>
      <c r="U60" s="192"/>
      <c r="V60" s="193"/>
      <c r="W60" s="194"/>
      <c r="X60" s="38"/>
      <c r="Y60" s="24"/>
      <c r="Z60" s="24"/>
    </row>
    <row r="61" spans="1:26" ht="18" customHeight="1" x14ac:dyDescent="0.15">
      <c r="A61" s="19"/>
      <c r="B61" s="260" t="s">
        <v>183</v>
      </c>
      <c r="C61" s="261"/>
      <c r="D61" s="261"/>
      <c r="E61" s="262"/>
      <c r="F61" s="44">
        <v>2</v>
      </c>
      <c r="G61" s="44" t="s">
        <v>148</v>
      </c>
      <c r="H61" s="195" t="s">
        <v>170</v>
      </c>
      <c r="I61" s="196"/>
      <c r="J61" s="197"/>
      <c r="K61" s="104" t="s">
        <v>148</v>
      </c>
      <c r="L61" s="104" t="s">
        <v>148</v>
      </c>
      <c r="M61" s="104" t="s">
        <v>148</v>
      </c>
      <c r="N61" s="169"/>
      <c r="O61" s="167"/>
      <c r="P61" s="167"/>
      <c r="Q61" s="167"/>
      <c r="R61" s="168"/>
      <c r="S61" s="44"/>
      <c r="T61" s="44"/>
      <c r="U61" s="195"/>
      <c r="V61" s="196"/>
      <c r="W61" s="197"/>
      <c r="X61" s="39"/>
      <c r="Y61" s="25"/>
      <c r="Z61" s="25"/>
    </row>
    <row r="62" spans="1:26" ht="18" customHeight="1" x14ac:dyDescent="0.15">
      <c r="A62" s="19"/>
      <c r="B62" s="260" t="s">
        <v>184</v>
      </c>
      <c r="C62" s="261"/>
      <c r="D62" s="261"/>
      <c r="E62" s="262"/>
      <c r="F62" s="44">
        <v>2</v>
      </c>
      <c r="G62" s="44" t="s">
        <v>148</v>
      </c>
      <c r="H62" s="195" t="s">
        <v>170</v>
      </c>
      <c r="I62" s="196"/>
      <c r="J62" s="197"/>
      <c r="K62" s="104" t="s">
        <v>148</v>
      </c>
      <c r="L62" s="104" t="s">
        <v>148</v>
      </c>
      <c r="M62" s="104" t="s">
        <v>148</v>
      </c>
      <c r="N62" s="169"/>
      <c r="O62" s="167"/>
      <c r="P62" s="167"/>
      <c r="Q62" s="167"/>
      <c r="R62" s="168"/>
      <c r="S62" s="44"/>
      <c r="T62" s="44"/>
      <c r="U62" s="195"/>
      <c r="V62" s="196"/>
      <c r="W62" s="197"/>
      <c r="X62" s="39"/>
      <c r="Y62" s="25"/>
      <c r="Z62" s="25"/>
    </row>
    <row r="63" spans="1:26" ht="18" customHeight="1" x14ac:dyDescent="0.15">
      <c r="A63" s="19"/>
      <c r="B63" s="260" t="s">
        <v>185</v>
      </c>
      <c r="C63" s="261"/>
      <c r="D63" s="261"/>
      <c r="E63" s="262"/>
      <c r="F63" s="44">
        <v>2</v>
      </c>
      <c r="G63" s="44" t="s">
        <v>148</v>
      </c>
      <c r="H63" s="195" t="s">
        <v>170</v>
      </c>
      <c r="I63" s="196"/>
      <c r="J63" s="197"/>
      <c r="K63" s="115" t="s">
        <v>148</v>
      </c>
      <c r="L63" s="115" t="s">
        <v>148</v>
      </c>
      <c r="M63" s="115" t="s">
        <v>148</v>
      </c>
      <c r="N63" s="169"/>
      <c r="O63" s="167"/>
      <c r="P63" s="167"/>
      <c r="Q63" s="167"/>
      <c r="R63" s="168"/>
      <c r="S63" s="44"/>
      <c r="T63" s="44"/>
      <c r="U63" s="195"/>
      <c r="V63" s="196"/>
      <c r="W63" s="197"/>
      <c r="X63" s="39"/>
      <c r="Y63" s="25"/>
      <c r="Z63" s="25"/>
    </row>
    <row r="64" spans="1:26" ht="18" customHeight="1" x14ac:dyDescent="0.15">
      <c r="A64" s="19"/>
      <c r="B64" s="169"/>
      <c r="C64" s="167"/>
      <c r="D64" s="167"/>
      <c r="E64" s="168"/>
      <c r="F64" s="44"/>
      <c r="G64" s="44"/>
      <c r="H64" s="195"/>
      <c r="I64" s="196"/>
      <c r="J64" s="197"/>
      <c r="K64" s="39"/>
      <c r="L64" s="25"/>
      <c r="M64" s="25"/>
      <c r="N64" s="169"/>
      <c r="O64" s="167"/>
      <c r="P64" s="167"/>
      <c r="Q64" s="167"/>
      <c r="R64" s="168"/>
      <c r="S64" s="44"/>
      <c r="T64" s="44"/>
      <c r="U64" s="195"/>
      <c r="V64" s="196"/>
      <c r="W64" s="197"/>
      <c r="X64" s="39"/>
      <c r="Y64" s="25"/>
      <c r="Z64" s="25"/>
    </row>
    <row r="65" spans="1:26" ht="18" customHeight="1" x14ac:dyDescent="0.15">
      <c r="A65" s="19"/>
      <c r="B65" s="169"/>
      <c r="C65" s="167"/>
      <c r="D65" s="167"/>
      <c r="E65" s="168"/>
      <c r="F65" s="44"/>
      <c r="G65" s="44"/>
      <c r="H65" s="195"/>
      <c r="I65" s="196"/>
      <c r="J65" s="197"/>
      <c r="K65" s="39"/>
      <c r="L65" s="25"/>
      <c r="M65" s="25"/>
      <c r="N65" s="169"/>
      <c r="O65" s="167"/>
      <c r="P65" s="167"/>
      <c r="Q65" s="167"/>
      <c r="R65" s="168"/>
      <c r="S65" s="44"/>
      <c r="T65" s="44"/>
      <c r="U65" s="195"/>
      <c r="V65" s="196"/>
      <c r="W65" s="197"/>
      <c r="X65" s="39"/>
      <c r="Y65" s="25"/>
      <c r="Z65" s="25"/>
    </row>
    <row r="66" spans="1:26" ht="18" customHeight="1" x14ac:dyDescent="0.15">
      <c r="A66" s="19"/>
      <c r="B66" s="238"/>
      <c r="C66" s="239"/>
      <c r="D66" s="239"/>
      <c r="E66" s="240"/>
      <c r="F66" s="45"/>
      <c r="G66" s="45"/>
      <c r="H66" s="204"/>
      <c r="I66" s="205"/>
      <c r="J66" s="206"/>
      <c r="K66" s="40"/>
      <c r="L66" s="26"/>
      <c r="M66" s="26"/>
      <c r="N66" s="238"/>
      <c r="O66" s="239"/>
      <c r="P66" s="239"/>
      <c r="Q66" s="239"/>
      <c r="R66" s="240"/>
      <c r="S66" s="45"/>
      <c r="T66" s="45"/>
      <c r="U66" s="204"/>
      <c r="V66" s="205"/>
      <c r="W66" s="206"/>
      <c r="X66" s="40"/>
      <c r="Y66" s="26"/>
      <c r="Z66" s="26"/>
    </row>
    <row r="67" spans="1:26" ht="7.5" customHeight="1" x14ac:dyDescent="0.15">
      <c r="B67" s="28"/>
      <c r="C67" s="28"/>
      <c r="D67" s="28"/>
      <c r="E67" s="28"/>
      <c r="F67" s="28"/>
      <c r="G67" s="28"/>
      <c r="H67" s="28"/>
      <c r="I67" s="28"/>
      <c r="J67" s="28"/>
      <c r="K67" s="28"/>
      <c r="L67" s="28"/>
      <c r="M67" s="28"/>
      <c r="N67" s="28"/>
      <c r="O67" s="28"/>
      <c r="P67" s="28"/>
      <c r="Q67" s="28"/>
      <c r="R67" s="28"/>
      <c r="S67" s="28"/>
      <c r="T67" s="28"/>
      <c r="U67" s="28"/>
      <c r="V67" s="28"/>
      <c r="W67" s="28"/>
      <c r="X67" s="28"/>
      <c r="Y67" s="28"/>
    </row>
    <row r="68" spans="1:26" ht="18" customHeight="1" x14ac:dyDescent="0.15">
      <c r="A68" s="5" t="s">
        <v>137</v>
      </c>
      <c r="B68" s="5"/>
      <c r="C68" s="5"/>
      <c r="D68" s="5"/>
      <c r="E68" s="5"/>
      <c r="F68" s="5"/>
      <c r="G68" s="5"/>
      <c r="H68" s="5"/>
      <c r="I68" s="5"/>
      <c r="J68" s="5"/>
      <c r="K68" s="5"/>
      <c r="L68" s="19"/>
      <c r="M68" s="19"/>
      <c r="N68" s="19"/>
      <c r="O68" s="19"/>
      <c r="P68" s="19"/>
      <c r="Q68" s="19"/>
      <c r="R68" s="19"/>
      <c r="S68" s="19"/>
      <c r="T68" s="19"/>
      <c r="U68" s="19"/>
      <c r="V68" s="19"/>
      <c r="W68" s="19"/>
      <c r="X68" s="19"/>
      <c r="Y68" s="19"/>
      <c r="Z68" s="19"/>
    </row>
    <row r="69" spans="1:26" ht="18" customHeight="1" x14ac:dyDescent="0.15">
      <c r="A69" s="5"/>
      <c r="B69" s="163" t="s">
        <v>100</v>
      </c>
      <c r="C69" s="164"/>
      <c r="D69" s="164"/>
      <c r="E69" s="164"/>
      <c r="F69" s="165"/>
      <c r="G69" s="163" t="s">
        <v>109</v>
      </c>
      <c r="H69" s="164"/>
      <c r="I69" s="164"/>
      <c r="J69" s="164"/>
      <c r="K69" s="164"/>
      <c r="L69" s="164"/>
      <c r="M69" s="165"/>
      <c r="N69" s="244" t="s">
        <v>100</v>
      </c>
      <c r="O69" s="245"/>
      <c r="P69" s="245"/>
      <c r="Q69" s="245"/>
      <c r="R69" s="245"/>
      <c r="S69" s="246"/>
      <c r="T69" s="163" t="s">
        <v>109</v>
      </c>
      <c r="U69" s="164"/>
      <c r="V69" s="164"/>
      <c r="W69" s="164"/>
      <c r="X69" s="164"/>
      <c r="Y69" s="164"/>
      <c r="Z69" s="165"/>
    </row>
    <row r="70" spans="1:26" ht="18" customHeight="1" x14ac:dyDescent="0.15">
      <c r="A70" s="19"/>
      <c r="B70" s="157"/>
      <c r="C70" s="158"/>
      <c r="D70" s="158"/>
      <c r="E70" s="158"/>
      <c r="F70" s="159"/>
      <c r="G70" s="160"/>
      <c r="H70" s="161"/>
      <c r="I70" s="161"/>
      <c r="J70" s="161"/>
      <c r="K70" s="161"/>
      <c r="L70" s="161"/>
      <c r="M70" s="162"/>
      <c r="N70" s="157"/>
      <c r="O70" s="158"/>
      <c r="P70" s="158"/>
      <c r="Q70" s="158"/>
      <c r="R70" s="158"/>
      <c r="S70" s="159"/>
      <c r="T70" s="160"/>
      <c r="U70" s="161"/>
      <c r="V70" s="161"/>
      <c r="W70" s="161"/>
      <c r="X70" s="161"/>
      <c r="Y70" s="161"/>
      <c r="Z70" s="162"/>
    </row>
    <row r="71" spans="1:26" ht="18" customHeight="1" x14ac:dyDescent="0.15">
      <c r="A71" s="19"/>
      <c r="B71" s="169"/>
      <c r="C71" s="167"/>
      <c r="D71" s="167"/>
      <c r="E71" s="167"/>
      <c r="F71" s="168"/>
      <c r="G71" s="170"/>
      <c r="H71" s="171"/>
      <c r="I71" s="171"/>
      <c r="J71" s="171"/>
      <c r="K71" s="171"/>
      <c r="L71" s="171"/>
      <c r="M71" s="172"/>
      <c r="N71" s="169"/>
      <c r="O71" s="167"/>
      <c r="P71" s="167"/>
      <c r="Q71" s="167"/>
      <c r="R71" s="167"/>
      <c r="S71" s="168"/>
      <c r="T71" s="170"/>
      <c r="U71" s="171"/>
      <c r="V71" s="171"/>
      <c r="W71" s="171"/>
      <c r="X71" s="171"/>
      <c r="Y71" s="171"/>
      <c r="Z71" s="172"/>
    </row>
    <row r="72" spans="1:26" ht="18" customHeight="1" x14ac:dyDescent="0.15">
      <c r="A72" s="19"/>
      <c r="B72" s="169"/>
      <c r="C72" s="167"/>
      <c r="D72" s="167"/>
      <c r="E72" s="167"/>
      <c r="F72" s="168"/>
      <c r="G72" s="170"/>
      <c r="H72" s="171"/>
      <c r="I72" s="171"/>
      <c r="J72" s="171"/>
      <c r="K72" s="171"/>
      <c r="L72" s="171"/>
      <c r="M72" s="172"/>
      <c r="N72" s="169"/>
      <c r="O72" s="167"/>
      <c r="P72" s="167"/>
      <c r="Q72" s="167"/>
      <c r="R72" s="167"/>
      <c r="S72" s="168"/>
      <c r="T72" s="170"/>
      <c r="U72" s="171"/>
      <c r="V72" s="171"/>
      <c r="W72" s="171"/>
      <c r="X72" s="171"/>
      <c r="Y72" s="171"/>
      <c r="Z72" s="172"/>
    </row>
    <row r="73" spans="1:26" ht="18" customHeight="1" x14ac:dyDescent="0.15">
      <c r="A73" s="19"/>
      <c r="B73" s="169"/>
      <c r="C73" s="167"/>
      <c r="D73" s="167"/>
      <c r="E73" s="167"/>
      <c r="F73" s="168"/>
      <c r="G73" s="170"/>
      <c r="H73" s="171"/>
      <c r="I73" s="171"/>
      <c r="J73" s="171"/>
      <c r="K73" s="171"/>
      <c r="L73" s="171"/>
      <c r="M73" s="172"/>
      <c r="N73" s="169"/>
      <c r="O73" s="167"/>
      <c r="P73" s="167"/>
      <c r="Q73" s="167"/>
      <c r="R73" s="167"/>
      <c r="S73" s="168"/>
      <c r="T73" s="170"/>
      <c r="U73" s="171"/>
      <c r="V73" s="171"/>
      <c r="W73" s="171"/>
      <c r="X73" s="171"/>
      <c r="Y73" s="171"/>
      <c r="Z73" s="172"/>
    </row>
    <row r="74" spans="1:26" ht="18" customHeight="1" x14ac:dyDescent="0.15">
      <c r="A74" s="19"/>
      <c r="B74" s="169"/>
      <c r="C74" s="167"/>
      <c r="D74" s="167"/>
      <c r="E74" s="167"/>
      <c r="F74" s="168"/>
      <c r="G74" s="170"/>
      <c r="H74" s="171"/>
      <c r="I74" s="171"/>
      <c r="J74" s="171"/>
      <c r="K74" s="171"/>
      <c r="L74" s="171"/>
      <c r="M74" s="172"/>
      <c r="N74" s="169"/>
      <c r="O74" s="167"/>
      <c r="P74" s="167"/>
      <c r="Q74" s="167"/>
      <c r="R74" s="167"/>
      <c r="S74" s="168"/>
      <c r="T74" s="170"/>
      <c r="U74" s="171"/>
      <c r="V74" s="171"/>
      <c r="W74" s="171"/>
      <c r="X74" s="171"/>
      <c r="Y74" s="171"/>
      <c r="Z74" s="172"/>
    </row>
    <row r="75" spans="1:26" ht="18" customHeight="1" x14ac:dyDescent="0.15">
      <c r="A75" s="19"/>
      <c r="B75" s="169"/>
      <c r="C75" s="167"/>
      <c r="D75" s="167"/>
      <c r="E75" s="167"/>
      <c r="F75" s="168"/>
      <c r="G75" s="170"/>
      <c r="H75" s="171"/>
      <c r="I75" s="171"/>
      <c r="J75" s="171"/>
      <c r="K75" s="171"/>
      <c r="L75" s="171"/>
      <c r="M75" s="172"/>
      <c r="N75" s="169"/>
      <c r="O75" s="167"/>
      <c r="P75" s="167"/>
      <c r="Q75" s="167"/>
      <c r="R75" s="167"/>
      <c r="S75" s="168"/>
      <c r="T75" s="170"/>
      <c r="U75" s="171"/>
      <c r="V75" s="171"/>
      <c r="W75" s="171"/>
      <c r="X75" s="171"/>
      <c r="Y75" s="171"/>
      <c r="Z75" s="172"/>
    </row>
    <row r="76" spans="1:26" ht="18" customHeight="1" x14ac:dyDescent="0.15">
      <c r="A76" s="19"/>
      <c r="B76" s="238"/>
      <c r="C76" s="239"/>
      <c r="D76" s="239"/>
      <c r="E76" s="239"/>
      <c r="F76" s="240"/>
      <c r="G76" s="241"/>
      <c r="H76" s="242"/>
      <c r="I76" s="242"/>
      <c r="J76" s="242"/>
      <c r="K76" s="242"/>
      <c r="L76" s="242"/>
      <c r="M76" s="243"/>
      <c r="N76" s="238"/>
      <c r="O76" s="239"/>
      <c r="P76" s="239"/>
      <c r="Q76" s="239"/>
      <c r="R76" s="239"/>
      <c r="S76" s="240"/>
      <c r="T76" s="241"/>
      <c r="U76" s="242"/>
      <c r="V76" s="242"/>
      <c r="W76" s="242"/>
      <c r="X76" s="242"/>
      <c r="Y76" s="242"/>
      <c r="Z76" s="243"/>
    </row>
    <row r="77" spans="1:26" ht="18" customHeight="1" x14ac:dyDescent="0.15">
      <c r="A77" s="19"/>
      <c r="B77" s="47"/>
      <c r="C77" s="47"/>
      <c r="D77" s="47"/>
      <c r="E77" s="47"/>
      <c r="F77" s="47"/>
      <c r="G77" s="3"/>
      <c r="H77" s="3"/>
      <c r="I77" s="3"/>
      <c r="J77" s="3"/>
      <c r="K77" s="3"/>
      <c r="L77" s="3"/>
      <c r="M77" s="3"/>
      <c r="N77" s="47"/>
      <c r="O77" s="47"/>
      <c r="P77" s="47"/>
      <c r="Q77" s="47"/>
      <c r="R77" s="47"/>
      <c r="S77" s="47"/>
      <c r="T77" s="3"/>
      <c r="U77" s="3"/>
      <c r="V77" s="3"/>
      <c r="W77" s="3"/>
      <c r="X77" s="3"/>
      <c r="Y77" s="3"/>
      <c r="Z77" s="3"/>
    </row>
    <row r="78" spans="1:26" ht="18.75" customHeight="1" x14ac:dyDescent="0.15">
      <c r="A78" s="4" t="s">
        <v>143</v>
      </c>
    </row>
    <row r="79" spans="1:26" ht="18.75" customHeight="1" x14ac:dyDescent="0.15">
      <c r="B79" s="29" t="s">
        <v>102</v>
      </c>
      <c r="C79" s="30"/>
      <c r="D79" s="190" t="s">
        <v>103</v>
      </c>
      <c r="E79" s="190"/>
      <c r="F79" s="190"/>
      <c r="G79" s="190"/>
      <c r="H79" s="190"/>
      <c r="I79" s="190"/>
      <c r="J79" s="190"/>
      <c r="K79" s="190"/>
      <c r="L79" s="190"/>
      <c r="M79" s="190"/>
      <c r="N79" s="190"/>
      <c r="O79" s="190"/>
      <c r="P79" s="190"/>
      <c r="Q79" s="190"/>
      <c r="R79" s="190"/>
      <c r="S79" s="190"/>
      <c r="T79" s="190"/>
      <c r="U79" s="190"/>
      <c r="V79" s="190"/>
      <c r="W79" s="190"/>
      <c r="X79" s="190"/>
      <c r="Y79" s="190"/>
      <c r="Z79" s="191"/>
    </row>
    <row r="80" spans="1:26" ht="150" customHeight="1" x14ac:dyDescent="0.15">
      <c r="B80" s="175" t="s">
        <v>110</v>
      </c>
      <c r="C80" s="34" t="s">
        <v>104</v>
      </c>
      <c r="D80" s="185" t="s">
        <v>198</v>
      </c>
      <c r="E80" s="186"/>
      <c r="F80" s="186"/>
      <c r="G80" s="186"/>
      <c r="H80" s="186"/>
      <c r="I80" s="186"/>
      <c r="J80" s="186"/>
      <c r="K80" s="186"/>
      <c r="L80" s="186"/>
      <c r="M80" s="186"/>
      <c r="N80" s="186"/>
      <c r="O80" s="186"/>
      <c r="P80" s="186"/>
      <c r="Q80" s="186"/>
      <c r="R80" s="186"/>
      <c r="S80" s="186"/>
      <c r="T80" s="186"/>
      <c r="U80" s="186"/>
      <c r="V80" s="186"/>
      <c r="W80" s="186"/>
      <c r="X80" s="186"/>
      <c r="Y80" s="186"/>
      <c r="Z80" s="187"/>
    </row>
    <row r="81" spans="1:26" ht="150" customHeight="1" x14ac:dyDescent="0.15">
      <c r="B81" s="176"/>
      <c r="C81" s="41" t="s">
        <v>138</v>
      </c>
      <c r="D81" s="227" t="s">
        <v>204</v>
      </c>
      <c r="E81" s="228"/>
      <c r="F81" s="228"/>
      <c r="G81" s="228"/>
      <c r="H81" s="228"/>
      <c r="I81" s="228"/>
      <c r="J81" s="228"/>
      <c r="K81" s="228"/>
      <c r="L81" s="228"/>
      <c r="M81" s="228"/>
      <c r="N81" s="228"/>
      <c r="O81" s="228"/>
      <c r="P81" s="228"/>
      <c r="Q81" s="228"/>
      <c r="R81" s="228"/>
      <c r="S81" s="228"/>
      <c r="T81" s="228"/>
      <c r="U81" s="228"/>
      <c r="V81" s="228"/>
      <c r="W81" s="228"/>
      <c r="X81" s="228"/>
      <c r="Y81" s="228"/>
      <c r="Z81" s="229"/>
    </row>
    <row r="82" spans="1:26" ht="129.94999999999999" customHeight="1" x14ac:dyDescent="0.15">
      <c r="B82" s="173" t="s">
        <v>111</v>
      </c>
      <c r="C82" s="31" t="s">
        <v>128</v>
      </c>
      <c r="D82" s="230" t="s">
        <v>199</v>
      </c>
      <c r="E82" s="231"/>
      <c r="F82" s="231"/>
      <c r="G82" s="231"/>
      <c r="H82" s="231"/>
      <c r="I82" s="231"/>
      <c r="J82" s="231"/>
      <c r="K82" s="231"/>
      <c r="L82" s="231"/>
      <c r="M82" s="231"/>
      <c r="N82" s="231"/>
      <c r="O82" s="231"/>
      <c r="P82" s="231"/>
      <c r="Q82" s="231"/>
      <c r="R82" s="231"/>
      <c r="S82" s="231"/>
      <c r="T82" s="231"/>
      <c r="U82" s="231"/>
      <c r="V82" s="231"/>
      <c r="W82" s="231"/>
      <c r="X82" s="231"/>
      <c r="Y82" s="231"/>
      <c r="Z82" s="232"/>
    </row>
    <row r="83" spans="1:26" ht="99.95" customHeight="1" x14ac:dyDescent="0.15">
      <c r="B83" s="174"/>
      <c r="C83" s="41" t="s">
        <v>129</v>
      </c>
      <c r="D83" s="227" t="s">
        <v>205</v>
      </c>
      <c r="E83" s="228"/>
      <c r="F83" s="228"/>
      <c r="G83" s="228"/>
      <c r="H83" s="228"/>
      <c r="I83" s="228"/>
      <c r="J83" s="228"/>
      <c r="K83" s="228"/>
      <c r="L83" s="228"/>
      <c r="M83" s="228"/>
      <c r="N83" s="228"/>
      <c r="O83" s="228"/>
      <c r="P83" s="228"/>
      <c r="Q83" s="228"/>
      <c r="R83" s="228"/>
      <c r="S83" s="228"/>
      <c r="T83" s="228"/>
      <c r="U83" s="228"/>
      <c r="V83" s="228"/>
      <c r="W83" s="228"/>
      <c r="X83" s="228"/>
      <c r="Y83" s="228"/>
      <c r="Z83" s="229"/>
    </row>
    <row r="84" spans="1:26" ht="120" customHeight="1" x14ac:dyDescent="0.15">
      <c r="B84" s="173" t="s">
        <v>112</v>
      </c>
      <c r="C84" s="31" t="s">
        <v>131</v>
      </c>
      <c r="D84" s="235" t="s">
        <v>200</v>
      </c>
      <c r="E84" s="236"/>
      <c r="F84" s="236"/>
      <c r="G84" s="236"/>
      <c r="H84" s="236"/>
      <c r="I84" s="236"/>
      <c r="J84" s="236"/>
      <c r="K84" s="236"/>
      <c r="L84" s="236"/>
      <c r="M84" s="236"/>
      <c r="N84" s="236"/>
      <c r="O84" s="236"/>
      <c r="P84" s="236"/>
      <c r="Q84" s="236"/>
      <c r="R84" s="236"/>
      <c r="S84" s="236"/>
      <c r="T84" s="236"/>
      <c r="U84" s="236"/>
      <c r="V84" s="236"/>
      <c r="W84" s="236"/>
      <c r="X84" s="236"/>
      <c r="Y84" s="236"/>
      <c r="Z84" s="237"/>
    </row>
    <row r="85" spans="1:26" ht="140.1" customHeight="1" x14ac:dyDescent="0.15">
      <c r="B85" s="174"/>
      <c r="C85" s="33" t="s">
        <v>132</v>
      </c>
      <c r="D85" s="225" t="s">
        <v>201</v>
      </c>
      <c r="E85" s="233"/>
      <c r="F85" s="233"/>
      <c r="G85" s="233"/>
      <c r="H85" s="233"/>
      <c r="I85" s="233"/>
      <c r="J85" s="233"/>
      <c r="K85" s="233"/>
      <c r="L85" s="233"/>
      <c r="M85" s="233"/>
      <c r="N85" s="233"/>
      <c r="O85" s="233"/>
      <c r="P85" s="233"/>
      <c r="Q85" s="233"/>
      <c r="R85" s="233"/>
      <c r="S85" s="233"/>
      <c r="T85" s="233"/>
      <c r="U85" s="233"/>
      <c r="V85" s="233"/>
      <c r="W85" s="233"/>
      <c r="X85" s="233"/>
      <c r="Y85" s="233"/>
      <c r="Z85" s="234"/>
    </row>
    <row r="86" spans="1:26" ht="80.099999999999994" customHeight="1" x14ac:dyDescent="0.15">
      <c r="B86" s="175" t="s">
        <v>139</v>
      </c>
      <c r="C86" s="34" t="s">
        <v>106</v>
      </c>
      <c r="D86" s="185" t="s">
        <v>187</v>
      </c>
      <c r="E86" s="186"/>
      <c r="F86" s="186"/>
      <c r="G86" s="186"/>
      <c r="H86" s="186"/>
      <c r="I86" s="186"/>
      <c r="J86" s="186"/>
      <c r="K86" s="186"/>
      <c r="L86" s="186"/>
      <c r="M86" s="186"/>
      <c r="N86" s="186"/>
      <c r="O86" s="186"/>
      <c r="P86" s="186"/>
      <c r="Q86" s="186"/>
      <c r="R86" s="186"/>
      <c r="S86" s="186"/>
      <c r="T86" s="186"/>
      <c r="U86" s="186"/>
      <c r="V86" s="186"/>
      <c r="W86" s="186"/>
      <c r="X86" s="186"/>
      <c r="Y86" s="186"/>
      <c r="Z86" s="187"/>
    </row>
    <row r="87" spans="1:26" ht="66" customHeight="1" x14ac:dyDescent="0.15">
      <c r="B87" s="184"/>
      <c r="C87" s="32" t="s">
        <v>108</v>
      </c>
      <c r="D87" s="188" t="s">
        <v>188</v>
      </c>
      <c r="E87" s="188"/>
      <c r="F87" s="188"/>
      <c r="G87" s="188"/>
      <c r="H87" s="188"/>
      <c r="I87" s="188"/>
      <c r="J87" s="188"/>
      <c r="K87" s="188"/>
      <c r="L87" s="188"/>
      <c r="M87" s="188"/>
      <c r="N87" s="188"/>
      <c r="O87" s="188"/>
      <c r="P87" s="188"/>
      <c r="Q87" s="188"/>
      <c r="R87" s="188"/>
      <c r="S87" s="188"/>
      <c r="T87" s="188"/>
      <c r="U87" s="188"/>
      <c r="V87" s="188"/>
      <c r="W87" s="188"/>
      <c r="X87" s="188"/>
      <c r="Y87" s="188"/>
      <c r="Z87" s="189"/>
    </row>
    <row r="88" spans="1:26" ht="90" customHeight="1" x14ac:dyDescent="0.15">
      <c r="B88" s="175" t="s">
        <v>140</v>
      </c>
      <c r="C88" s="31" t="s">
        <v>105</v>
      </c>
      <c r="D88" s="178" t="s">
        <v>202</v>
      </c>
      <c r="E88" s="179"/>
      <c r="F88" s="179"/>
      <c r="G88" s="179"/>
      <c r="H88" s="179"/>
      <c r="I88" s="179"/>
      <c r="J88" s="179"/>
      <c r="K88" s="179"/>
      <c r="L88" s="179"/>
      <c r="M88" s="179"/>
      <c r="N88" s="179"/>
      <c r="O88" s="179"/>
      <c r="P88" s="179"/>
      <c r="Q88" s="179"/>
      <c r="R88" s="179"/>
      <c r="S88" s="179"/>
      <c r="T88" s="179"/>
      <c r="U88" s="179"/>
      <c r="V88" s="179"/>
      <c r="W88" s="179"/>
      <c r="X88" s="179"/>
      <c r="Y88" s="179"/>
      <c r="Z88" s="180"/>
    </row>
    <row r="89" spans="1:26" ht="66" customHeight="1" x14ac:dyDescent="0.15">
      <c r="B89" s="177"/>
      <c r="C89" s="32" t="s">
        <v>135</v>
      </c>
      <c r="D89" s="166" t="s">
        <v>206</v>
      </c>
      <c r="E89" s="167"/>
      <c r="F89" s="167"/>
      <c r="G89" s="167"/>
      <c r="H89" s="167"/>
      <c r="I89" s="167"/>
      <c r="J89" s="167"/>
      <c r="K89" s="167"/>
      <c r="L89" s="167"/>
      <c r="M89" s="167"/>
      <c r="N89" s="167"/>
      <c r="O89" s="167"/>
      <c r="P89" s="167"/>
      <c r="Q89" s="167"/>
      <c r="R89" s="167"/>
      <c r="S89" s="167"/>
      <c r="T89" s="167"/>
      <c r="U89" s="167"/>
      <c r="V89" s="167"/>
      <c r="W89" s="167"/>
      <c r="X89" s="167"/>
      <c r="Y89" s="167"/>
      <c r="Z89" s="168"/>
    </row>
    <row r="90" spans="1:26" ht="66" customHeight="1" x14ac:dyDescent="0.15">
      <c r="B90" s="174"/>
      <c r="C90" s="33" t="s">
        <v>136</v>
      </c>
      <c r="D90" s="181" t="s">
        <v>203</v>
      </c>
      <c r="E90" s="182"/>
      <c r="F90" s="182"/>
      <c r="G90" s="182"/>
      <c r="H90" s="182"/>
      <c r="I90" s="182"/>
      <c r="J90" s="182"/>
      <c r="K90" s="182"/>
      <c r="L90" s="182"/>
      <c r="M90" s="182"/>
      <c r="N90" s="182"/>
      <c r="O90" s="182"/>
      <c r="P90" s="182"/>
      <c r="Q90" s="182"/>
      <c r="R90" s="182"/>
      <c r="S90" s="182"/>
      <c r="T90" s="182"/>
      <c r="U90" s="182"/>
      <c r="V90" s="182"/>
      <c r="W90" s="182"/>
      <c r="X90" s="182"/>
      <c r="Y90" s="182"/>
      <c r="Z90" s="183"/>
    </row>
    <row r="91" spans="1:26" ht="6" customHeight="1" x14ac:dyDescent="0.15"/>
    <row r="92" spans="1:26" ht="18.75" customHeight="1" x14ac:dyDescent="0.15">
      <c r="A92" s="4" t="s">
        <v>144</v>
      </c>
    </row>
    <row r="93" spans="1:26" ht="24.95" customHeight="1" x14ac:dyDescent="0.15">
      <c r="B93" s="247" t="s">
        <v>189</v>
      </c>
      <c r="C93" s="248"/>
      <c r="D93" s="248"/>
      <c r="E93" s="248"/>
      <c r="F93" s="248"/>
      <c r="G93" s="248"/>
      <c r="H93" s="248"/>
      <c r="I93" s="248"/>
      <c r="J93" s="248"/>
      <c r="K93" s="248"/>
      <c r="L93" s="248"/>
      <c r="M93" s="248"/>
      <c r="N93" s="248"/>
      <c r="O93" s="248"/>
      <c r="P93" s="248"/>
      <c r="Q93" s="248"/>
      <c r="R93" s="248"/>
      <c r="S93" s="248"/>
      <c r="T93" s="248"/>
      <c r="U93" s="248"/>
      <c r="V93" s="248"/>
      <c r="W93" s="248"/>
      <c r="X93" s="248"/>
      <c r="Y93" s="248"/>
      <c r="Z93" s="249"/>
    </row>
    <row r="94" spans="1:26" ht="24.95" customHeight="1" x14ac:dyDescent="0.15">
      <c r="B94" s="250"/>
      <c r="C94" s="251"/>
      <c r="D94" s="251"/>
      <c r="E94" s="251"/>
      <c r="F94" s="251"/>
      <c r="G94" s="251"/>
      <c r="H94" s="251"/>
      <c r="I94" s="251"/>
      <c r="J94" s="251"/>
      <c r="K94" s="251"/>
      <c r="L94" s="251"/>
      <c r="M94" s="251"/>
      <c r="N94" s="251"/>
      <c r="O94" s="251"/>
      <c r="P94" s="251"/>
      <c r="Q94" s="251"/>
      <c r="R94" s="251"/>
      <c r="S94" s="251"/>
      <c r="T94" s="251"/>
      <c r="U94" s="251"/>
      <c r="V94" s="251"/>
      <c r="W94" s="251"/>
      <c r="X94" s="251"/>
      <c r="Y94" s="251"/>
      <c r="Z94" s="252"/>
    </row>
    <row r="95" spans="1:26" ht="30" customHeight="1" x14ac:dyDescent="0.15">
      <c r="B95" s="253"/>
      <c r="C95" s="182"/>
      <c r="D95" s="182"/>
      <c r="E95" s="182"/>
      <c r="F95" s="182"/>
      <c r="G95" s="182"/>
      <c r="H95" s="182"/>
      <c r="I95" s="182"/>
      <c r="J95" s="182"/>
      <c r="K95" s="182"/>
      <c r="L95" s="182"/>
      <c r="M95" s="182"/>
      <c r="N95" s="182"/>
      <c r="O95" s="182"/>
      <c r="P95" s="182"/>
      <c r="Q95" s="182"/>
      <c r="R95" s="182"/>
      <c r="S95" s="182"/>
      <c r="T95" s="182"/>
      <c r="U95" s="182"/>
      <c r="V95" s="182"/>
      <c r="W95" s="182"/>
      <c r="X95" s="182"/>
      <c r="Y95" s="182"/>
      <c r="Z95" s="183"/>
    </row>
    <row r="96" spans="1:26" ht="6" customHeight="1" x14ac:dyDescent="0.15"/>
    <row r="97" spans="1:26" ht="15" customHeight="1" x14ac:dyDescent="0.15">
      <c r="A97" s="4" t="s">
        <v>145</v>
      </c>
    </row>
    <row r="98" spans="1:26" ht="15" customHeight="1" x14ac:dyDescent="0.15">
      <c r="B98" s="254" t="s">
        <v>197</v>
      </c>
      <c r="C98" s="255"/>
      <c r="D98" s="255"/>
      <c r="E98" s="255"/>
      <c r="F98" s="255"/>
      <c r="G98" s="255"/>
      <c r="H98" s="255"/>
      <c r="I98" s="255"/>
      <c r="J98" s="255"/>
      <c r="K98" s="255"/>
      <c r="L98" s="255"/>
      <c r="M98" s="255"/>
      <c r="N98" s="255"/>
      <c r="O98" s="255"/>
      <c r="P98" s="255"/>
      <c r="Q98" s="255"/>
      <c r="R98" s="255"/>
      <c r="S98" s="255"/>
      <c r="T98" s="255"/>
      <c r="U98" s="255"/>
      <c r="V98" s="255"/>
      <c r="W98" s="255"/>
      <c r="X98" s="255"/>
      <c r="Y98" s="255"/>
      <c r="Z98" s="256"/>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H49:H55 Y27:Z33 L38:M44 H16:H22 Y38:Z44 Y49:Z55 Y60:Z66 L64:M66 L49:M55 U16:U22 K60:M63 U27:U33 U38:U44 K64 U49:U55 H38:H44 T60:T66 L27:M33 H27:H33 L16:M22 G60:G66" xr:uid="{4C0986EB-3601-4249-85F7-B678A400A117}">
      <formula1>"○"</formula1>
    </dataValidation>
    <dataValidation type="list" allowBlank="1" showInputMessage="1" showErrorMessage="1" sqref="Z23 Z34 D34:K34 D23:K23 V16:V22 I38:I44 V27:V33 I16:I22 V38:V44 I27:I33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327275B5-CB50-49F3-A0A7-597F0AC35832}"/>
  </hyperlinks>
  <printOptions horizontalCentered="1"/>
  <pageMargins left="0.78740157480314965" right="0.78740157480314965" top="0.59055118110236227" bottom="0.19685039370078741" header="0.31496062992125984" footer="0.31496062992125984"/>
  <pageSetup paperSize="9" scale="98" fitToHeight="0" orientation="landscape" r:id="rId2"/>
  <rowBreaks count="4" manualBreakCount="4">
    <brk id="34" max="25" man="1"/>
    <brk id="67" max="25" man="1"/>
    <brk id="81" max="25" man="1"/>
    <brk id="85"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tabColor rgb="FFFFC000"/>
  </sheetPr>
  <dimension ref="A1:T30"/>
  <sheetViews>
    <sheetView view="pageBreakPreview" zoomScaleNormal="100" zoomScaleSheetLayoutView="100" workbookViewId="0">
      <selection activeCell="I16" sqref="I16"/>
    </sheetView>
  </sheetViews>
  <sheetFormatPr defaultColWidth="9" defaultRowHeight="18.75" customHeight="1" x14ac:dyDescent="0.15"/>
  <cols>
    <col min="1" max="1" width="2.75" style="5" customWidth="1"/>
    <col min="2" max="2" width="30" style="5" customWidth="1"/>
    <col min="3" max="17" width="6.125" style="5" customWidth="1"/>
    <col min="18" max="18" width="6.625" style="5" customWidth="1"/>
    <col min="19" max="16384" width="9" style="5"/>
  </cols>
  <sheetData>
    <row r="1" spans="1:20" ht="18" customHeight="1" x14ac:dyDescent="0.15">
      <c r="F1" s="144" t="s">
        <v>63</v>
      </c>
      <c r="G1" s="144"/>
      <c r="H1" s="144"/>
      <c r="I1" s="144"/>
      <c r="J1" s="144"/>
      <c r="K1" s="144"/>
      <c r="L1" s="144"/>
      <c r="M1" s="144"/>
      <c r="N1" s="144"/>
      <c r="O1" s="144"/>
      <c r="P1" s="144"/>
      <c r="Q1" s="144"/>
      <c r="R1" s="144"/>
    </row>
    <row r="2" spans="1:20" ht="18" customHeight="1" x14ac:dyDescent="0.15">
      <c r="A2" s="217" t="s">
        <v>89</v>
      </c>
      <c r="B2" s="217"/>
      <c r="C2" s="217"/>
      <c r="D2" s="217"/>
      <c r="E2" s="217"/>
      <c r="F2" s="217"/>
      <c r="G2" s="217"/>
      <c r="H2" s="217"/>
      <c r="I2" s="217"/>
      <c r="J2" s="217"/>
      <c r="K2" s="217"/>
      <c r="L2" s="217"/>
      <c r="M2" s="217"/>
      <c r="N2" s="217"/>
      <c r="O2" s="217"/>
      <c r="P2" s="217"/>
      <c r="Q2" s="217"/>
      <c r="R2" s="217"/>
    </row>
    <row r="3" spans="1:20" ht="7.5" customHeight="1" x14ac:dyDescent="0.15">
      <c r="A3" s="19"/>
      <c r="B3" s="19"/>
      <c r="C3" s="19"/>
      <c r="D3" s="19"/>
      <c r="E3" s="19"/>
      <c r="F3" s="19"/>
      <c r="G3" s="19"/>
      <c r="H3" s="19"/>
      <c r="I3" s="19"/>
      <c r="J3" s="19"/>
      <c r="K3" s="19"/>
      <c r="L3" s="19"/>
      <c r="M3" s="19"/>
      <c r="N3" s="19"/>
      <c r="O3" s="19"/>
      <c r="P3" s="19"/>
      <c r="Q3" s="19"/>
      <c r="R3" s="19"/>
    </row>
    <row r="4" spans="1:20" ht="18" customHeight="1" x14ac:dyDescent="0.15">
      <c r="A4" s="5" t="s">
        <v>150</v>
      </c>
      <c r="C4" s="264" t="str">
        <f>'様式１　大学等概要'!E12</f>
        <v>令和3</v>
      </c>
      <c r="D4" s="265"/>
      <c r="E4" s="19" t="s">
        <v>114</v>
      </c>
      <c r="F4" s="19"/>
      <c r="G4" s="19"/>
      <c r="H4" s="19"/>
      <c r="I4" s="19"/>
      <c r="J4" s="7"/>
      <c r="K4" s="19"/>
      <c r="L4" s="19"/>
      <c r="M4" s="47"/>
      <c r="N4" s="47"/>
      <c r="O4" s="47"/>
      <c r="P4" s="47"/>
      <c r="Q4" s="47"/>
      <c r="R4" s="47"/>
    </row>
    <row r="5" spans="1:20" ht="6" customHeight="1" x14ac:dyDescent="0.15">
      <c r="A5" s="19"/>
      <c r="B5" s="19"/>
      <c r="C5" s="19"/>
      <c r="D5" s="19"/>
      <c r="E5" s="19"/>
      <c r="F5" s="19"/>
      <c r="G5" s="19"/>
      <c r="H5" s="19"/>
      <c r="I5" s="19"/>
      <c r="J5" s="19"/>
      <c r="K5" s="19"/>
      <c r="L5" s="19"/>
      <c r="M5" s="19"/>
      <c r="N5" s="19"/>
      <c r="O5" s="19"/>
      <c r="P5" s="19"/>
      <c r="Q5" s="19"/>
      <c r="R5" s="19"/>
    </row>
    <row r="6" spans="1:20" ht="18" customHeight="1" x14ac:dyDescent="0.15">
      <c r="A6" s="5" t="s">
        <v>146</v>
      </c>
      <c r="B6" s="19"/>
      <c r="C6" s="19"/>
      <c r="D6" s="19"/>
      <c r="E6" s="19"/>
      <c r="F6" s="19"/>
      <c r="G6" s="19"/>
      <c r="H6" s="19"/>
      <c r="I6" s="19"/>
      <c r="J6" s="19"/>
      <c r="K6" s="19"/>
      <c r="L6" s="19"/>
      <c r="M6" s="19"/>
      <c r="N6" s="19"/>
      <c r="O6" s="19"/>
      <c r="P6" s="19"/>
      <c r="Q6" s="19"/>
      <c r="R6" s="19"/>
    </row>
    <row r="7" spans="1:20" ht="6" customHeight="1" x14ac:dyDescent="0.15">
      <c r="B7" s="19"/>
      <c r="C7" s="19"/>
      <c r="D7" s="19"/>
      <c r="E7" s="19"/>
      <c r="F7" s="19"/>
      <c r="G7" s="19"/>
      <c r="H7" s="19"/>
      <c r="I7" s="19"/>
      <c r="J7" s="19"/>
      <c r="K7" s="19"/>
      <c r="L7" s="19"/>
      <c r="M7" s="19"/>
      <c r="N7" s="19"/>
      <c r="O7" s="19"/>
      <c r="P7" s="19"/>
      <c r="Q7" s="19"/>
      <c r="R7" s="19"/>
    </row>
    <row r="8" spans="1:20" ht="18" customHeight="1" x14ac:dyDescent="0.15">
      <c r="B8" s="266" t="s">
        <v>79</v>
      </c>
      <c r="C8" s="268" t="s">
        <v>84</v>
      </c>
      <c r="D8" s="270" t="s">
        <v>68</v>
      </c>
      <c r="E8" s="272" t="s">
        <v>90</v>
      </c>
      <c r="F8" s="272"/>
      <c r="G8" s="272" t="s">
        <v>91</v>
      </c>
      <c r="H8" s="272"/>
      <c r="I8" s="272" t="s">
        <v>92</v>
      </c>
      <c r="J8" s="272"/>
      <c r="K8" s="192" t="s">
        <v>93</v>
      </c>
      <c r="L8" s="194"/>
      <c r="M8" s="192" t="s">
        <v>94</v>
      </c>
      <c r="N8" s="194"/>
      <c r="O8" s="192" t="s">
        <v>95</v>
      </c>
      <c r="P8" s="194"/>
      <c r="Q8" s="273" t="s">
        <v>62</v>
      </c>
      <c r="R8" s="275" t="s">
        <v>56</v>
      </c>
      <c r="T8" s="51"/>
    </row>
    <row r="9" spans="1:20" ht="18" customHeight="1" x14ac:dyDescent="0.15">
      <c r="B9" s="267"/>
      <c r="C9" s="269"/>
      <c r="D9" s="271"/>
      <c r="E9" s="52" t="s">
        <v>44</v>
      </c>
      <c r="F9" s="53" t="s">
        <v>43</v>
      </c>
      <c r="G9" s="54" t="s">
        <v>44</v>
      </c>
      <c r="H9" s="55" t="s">
        <v>43</v>
      </c>
      <c r="I9" s="52" t="s">
        <v>44</v>
      </c>
      <c r="J9" s="53" t="s">
        <v>43</v>
      </c>
      <c r="K9" s="54" t="s">
        <v>44</v>
      </c>
      <c r="L9" s="55" t="s">
        <v>43</v>
      </c>
      <c r="M9" s="52" t="s">
        <v>44</v>
      </c>
      <c r="N9" s="53" t="s">
        <v>43</v>
      </c>
      <c r="O9" s="54" t="s">
        <v>44</v>
      </c>
      <c r="P9" s="55" t="s">
        <v>43</v>
      </c>
      <c r="Q9" s="274"/>
      <c r="R9" s="276"/>
      <c r="T9" s="51"/>
    </row>
    <row r="10" spans="1:20" ht="18" customHeight="1" x14ac:dyDescent="0.15">
      <c r="A10" s="27"/>
      <c r="B10" s="90" t="s">
        <v>171</v>
      </c>
      <c r="C10" s="110">
        <v>250</v>
      </c>
      <c r="D10" s="111">
        <v>1000</v>
      </c>
      <c r="E10" s="114">
        <v>242</v>
      </c>
      <c r="F10" s="117">
        <v>180</v>
      </c>
      <c r="G10" s="59">
        <v>0</v>
      </c>
      <c r="H10" s="60">
        <v>0</v>
      </c>
      <c r="I10" s="59">
        <v>0</v>
      </c>
      <c r="J10" s="60">
        <v>0</v>
      </c>
      <c r="K10" s="59">
        <v>0</v>
      </c>
      <c r="L10" s="60">
        <v>0</v>
      </c>
      <c r="M10" s="57">
        <v>0</v>
      </c>
      <c r="N10" s="58">
        <v>0</v>
      </c>
      <c r="O10" s="59">
        <v>0</v>
      </c>
      <c r="P10" s="60">
        <v>0</v>
      </c>
      <c r="Q10" s="61">
        <f>E10+G10+I10+K10+M10+O10</f>
        <v>242</v>
      </c>
      <c r="R10" s="62">
        <f>Q10/D10</f>
        <v>0.24199999999999999</v>
      </c>
    </row>
    <row r="11" spans="1:20" ht="18" customHeight="1" x14ac:dyDescent="0.15">
      <c r="A11" s="27"/>
      <c r="B11" s="91" t="s">
        <v>167</v>
      </c>
      <c r="C11" s="106">
        <v>180</v>
      </c>
      <c r="D11" s="107">
        <v>720</v>
      </c>
      <c r="E11" s="108">
        <v>173</v>
      </c>
      <c r="F11" s="109">
        <v>136</v>
      </c>
      <c r="G11" s="66">
        <v>0</v>
      </c>
      <c r="H11" s="67">
        <v>0</v>
      </c>
      <c r="I11" s="66">
        <v>0</v>
      </c>
      <c r="J11" s="67">
        <v>0</v>
      </c>
      <c r="K11" s="66">
        <v>0</v>
      </c>
      <c r="L11" s="67">
        <v>0</v>
      </c>
      <c r="M11" s="64">
        <v>0</v>
      </c>
      <c r="N11" s="65">
        <v>0</v>
      </c>
      <c r="O11" s="66">
        <v>0</v>
      </c>
      <c r="P11" s="67">
        <v>0</v>
      </c>
      <c r="Q11" s="68">
        <f t="shared" ref="Q11:Q29" si="0">E11+G11+I11+K11+M11+O11</f>
        <v>173</v>
      </c>
      <c r="R11" s="69">
        <f t="shared" ref="R11:R29" si="1">Q11/D11</f>
        <v>0.24027777777777778</v>
      </c>
    </row>
    <row r="12" spans="1:20" ht="18" customHeight="1" x14ac:dyDescent="0.15">
      <c r="A12" s="27"/>
      <c r="B12" s="91" t="s">
        <v>168</v>
      </c>
      <c r="C12" s="106">
        <v>70</v>
      </c>
      <c r="D12" s="107">
        <v>280</v>
      </c>
      <c r="E12" s="108">
        <v>89</v>
      </c>
      <c r="F12" s="109">
        <v>67</v>
      </c>
      <c r="G12" s="66">
        <v>0</v>
      </c>
      <c r="H12" s="67">
        <v>0</v>
      </c>
      <c r="I12" s="66">
        <v>0</v>
      </c>
      <c r="J12" s="67">
        <v>0</v>
      </c>
      <c r="K12" s="66">
        <v>0</v>
      </c>
      <c r="L12" s="67">
        <v>0</v>
      </c>
      <c r="M12" s="64">
        <v>0</v>
      </c>
      <c r="N12" s="65">
        <v>0</v>
      </c>
      <c r="O12" s="66">
        <v>0</v>
      </c>
      <c r="P12" s="67">
        <v>0</v>
      </c>
      <c r="Q12" s="68">
        <f t="shared" si="0"/>
        <v>89</v>
      </c>
      <c r="R12" s="69">
        <f t="shared" si="1"/>
        <v>0.31785714285714284</v>
      </c>
    </row>
    <row r="13" spans="1:20" ht="18" customHeight="1" x14ac:dyDescent="0.15">
      <c r="A13" s="27"/>
      <c r="B13" s="91"/>
      <c r="C13" s="106"/>
      <c r="D13" s="107"/>
      <c r="E13" s="112"/>
      <c r="F13" s="113"/>
      <c r="G13" s="66"/>
      <c r="H13" s="67"/>
      <c r="I13" s="66"/>
      <c r="J13" s="67"/>
      <c r="K13" s="66"/>
      <c r="L13" s="67"/>
      <c r="M13" s="64"/>
      <c r="N13" s="65"/>
      <c r="O13" s="66"/>
      <c r="P13" s="67"/>
      <c r="Q13" s="68">
        <f t="shared" si="0"/>
        <v>0</v>
      </c>
      <c r="R13" s="69" t="e">
        <f t="shared" si="1"/>
        <v>#DIV/0!</v>
      </c>
    </row>
    <row r="14" spans="1:20" ht="18" customHeight="1" x14ac:dyDescent="0.15">
      <c r="A14" s="27"/>
      <c r="B14" s="91"/>
      <c r="C14" s="106"/>
      <c r="D14" s="107"/>
      <c r="E14" s="112"/>
      <c r="F14" s="109"/>
      <c r="G14" s="66"/>
      <c r="H14" s="67"/>
      <c r="I14" s="66"/>
      <c r="J14" s="67"/>
      <c r="K14" s="66"/>
      <c r="L14" s="67"/>
      <c r="M14" s="64"/>
      <c r="N14" s="65"/>
      <c r="O14" s="66"/>
      <c r="P14" s="67"/>
      <c r="Q14" s="68">
        <f t="shared" si="0"/>
        <v>0</v>
      </c>
      <c r="R14" s="69" t="e">
        <f t="shared" si="1"/>
        <v>#DIV/0!</v>
      </c>
    </row>
    <row r="15" spans="1:20" ht="18" customHeight="1" x14ac:dyDescent="0.15">
      <c r="A15" s="27"/>
      <c r="B15" s="91"/>
      <c r="C15" s="106"/>
      <c r="D15" s="107"/>
      <c r="E15" s="112"/>
      <c r="F15" s="109"/>
      <c r="G15" s="66"/>
      <c r="H15" s="67"/>
      <c r="I15" s="66"/>
      <c r="J15" s="67"/>
      <c r="K15" s="66"/>
      <c r="L15" s="67"/>
      <c r="M15" s="64"/>
      <c r="N15" s="65"/>
      <c r="O15" s="66"/>
      <c r="P15" s="67"/>
      <c r="Q15" s="68">
        <f t="shared" si="0"/>
        <v>0</v>
      </c>
      <c r="R15" s="69" t="e">
        <f t="shared" si="1"/>
        <v>#DIV/0!</v>
      </c>
    </row>
    <row r="16" spans="1:20" ht="18" customHeight="1" x14ac:dyDescent="0.15">
      <c r="A16" s="27"/>
      <c r="B16" s="91"/>
      <c r="C16" s="106"/>
      <c r="D16" s="107"/>
      <c r="E16" s="108"/>
      <c r="F16" s="109"/>
      <c r="G16" s="66"/>
      <c r="H16" s="67"/>
      <c r="I16" s="66"/>
      <c r="J16" s="67"/>
      <c r="K16" s="66"/>
      <c r="L16" s="67"/>
      <c r="M16" s="64"/>
      <c r="N16" s="65"/>
      <c r="O16" s="66"/>
      <c r="P16" s="67"/>
      <c r="Q16" s="68">
        <f t="shared" si="0"/>
        <v>0</v>
      </c>
      <c r="R16" s="69" t="e">
        <f t="shared" si="1"/>
        <v>#DIV/0!</v>
      </c>
    </row>
    <row r="17" spans="1:18" ht="18" customHeight="1" x14ac:dyDescent="0.15">
      <c r="A17" s="27"/>
      <c r="B17" s="63"/>
      <c r="C17" s="49"/>
      <c r="D17" s="48"/>
      <c r="E17" s="64"/>
      <c r="F17" s="65"/>
      <c r="G17" s="66"/>
      <c r="H17" s="67"/>
      <c r="I17" s="64"/>
      <c r="J17" s="65"/>
      <c r="K17" s="66"/>
      <c r="L17" s="67"/>
      <c r="M17" s="64"/>
      <c r="N17" s="65"/>
      <c r="O17" s="66"/>
      <c r="P17" s="67"/>
      <c r="Q17" s="68">
        <f t="shared" si="0"/>
        <v>0</v>
      </c>
      <c r="R17" s="69" t="e">
        <f t="shared" si="1"/>
        <v>#DIV/0!</v>
      </c>
    </row>
    <row r="18" spans="1:18" ht="18" customHeight="1" x14ac:dyDescent="0.15">
      <c r="A18" s="27"/>
      <c r="B18" s="63"/>
      <c r="C18" s="49"/>
      <c r="D18" s="48"/>
      <c r="E18" s="64"/>
      <c r="F18" s="65"/>
      <c r="G18" s="66"/>
      <c r="H18" s="67"/>
      <c r="I18" s="64"/>
      <c r="J18" s="65"/>
      <c r="K18" s="66"/>
      <c r="L18" s="67"/>
      <c r="M18" s="64"/>
      <c r="N18" s="65"/>
      <c r="O18" s="66"/>
      <c r="P18" s="67"/>
      <c r="Q18" s="68">
        <f>E18+G18+I18+K18+M18+O18</f>
        <v>0</v>
      </c>
      <c r="R18" s="69" t="e">
        <f t="shared" si="1"/>
        <v>#DIV/0!</v>
      </c>
    </row>
    <row r="19" spans="1:18" ht="18" customHeight="1" x14ac:dyDescent="0.15">
      <c r="A19" s="27"/>
      <c r="B19" s="63"/>
      <c r="C19" s="49"/>
      <c r="D19" s="48"/>
      <c r="E19" s="64"/>
      <c r="F19" s="65"/>
      <c r="G19" s="66"/>
      <c r="H19" s="67"/>
      <c r="I19" s="64"/>
      <c r="J19" s="65"/>
      <c r="K19" s="66"/>
      <c r="L19" s="67"/>
      <c r="M19" s="64"/>
      <c r="N19" s="65"/>
      <c r="O19" s="66"/>
      <c r="P19" s="67"/>
      <c r="Q19" s="68">
        <f t="shared" si="0"/>
        <v>0</v>
      </c>
      <c r="R19" s="69" t="e">
        <f t="shared" si="1"/>
        <v>#DIV/0!</v>
      </c>
    </row>
    <row r="20" spans="1:18" ht="18" customHeight="1" x14ac:dyDescent="0.15">
      <c r="A20" s="27"/>
      <c r="B20" s="63"/>
      <c r="C20" s="49"/>
      <c r="D20" s="48"/>
      <c r="E20" s="64"/>
      <c r="F20" s="65"/>
      <c r="G20" s="66"/>
      <c r="H20" s="67"/>
      <c r="I20" s="64"/>
      <c r="J20" s="65"/>
      <c r="K20" s="66"/>
      <c r="L20" s="67"/>
      <c r="M20" s="64"/>
      <c r="N20" s="65"/>
      <c r="O20" s="66"/>
      <c r="P20" s="67"/>
      <c r="Q20" s="68">
        <f t="shared" si="0"/>
        <v>0</v>
      </c>
      <c r="R20" s="69" t="e">
        <f t="shared" si="1"/>
        <v>#DIV/0!</v>
      </c>
    </row>
    <row r="21" spans="1:18" ht="18" customHeight="1" x14ac:dyDescent="0.15">
      <c r="A21" s="27"/>
      <c r="B21" s="63"/>
      <c r="C21" s="49"/>
      <c r="D21" s="48"/>
      <c r="E21" s="64"/>
      <c r="F21" s="65"/>
      <c r="G21" s="66"/>
      <c r="H21" s="67"/>
      <c r="I21" s="64"/>
      <c r="J21" s="65"/>
      <c r="K21" s="66"/>
      <c r="L21" s="67"/>
      <c r="M21" s="64"/>
      <c r="N21" s="65"/>
      <c r="O21" s="66"/>
      <c r="P21" s="67"/>
      <c r="Q21" s="68">
        <f t="shared" si="0"/>
        <v>0</v>
      </c>
      <c r="R21" s="69" t="e">
        <f t="shared" si="1"/>
        <v>#DIV/0!</v>
      </c>
    </row>
    <row r="22" spans="1:18" ht="18" customHeight="1" x14ac:dyDescent="0.15">
      <c r="A22" s="27"/>
      <c r="B22" s="63"/>
      <c r="C22" s="49"/>
      <c r="D22" s="48"/>
      <c r="E22" s="64"/>
      <c r="F22" s="65"/>
      <c r="G22" s="66"/>
      <c r="H22" s="67"/>
      <c r="I22" s="64"/>
      <c r="J22" s="65"/>
      <c r="K22" s="66"/>
      <c r="L22" s="67"/>
      <c r="M22" s="64"/>
      <c r="N22" s="65"/>
      <c r="O22" s="66"/>
      <c r="P22" s="67"/>
      <c r="Q22" s="68">
        <f t="shared" si="0"/>
        <v>0</v>
      </c>
      <c r="R22" s="69" t="e">
        <f t="shared" si="1"/>
        <v>#DIV/0!</v>
      </c>
    </row>
    <row r="23" spans="1:18" ht="18" customHeight="1" x14ac:dyDescent="0.15">
      <c r="A23" s="27"/>
      <c r="B23" s="63"/>
      <c r="C23" s="49"/>
      <c r="D23" s="48"/>
      <c r="E23" s="64"/>
      <c r="F23" s="65"/>
      <c r="G23" s="66"/>
      <c r="H23" s="67"/>
      <c r="I23" s="64"/>
      <c r="J23" s="65"/>
      <c r="K23" s="66"/>
      <c r="L23" s="67"/>
      <c r="M23" s="64"/>
      <c r="N23" s="65"/>
      <c r="O23" s="66"/>
      <c r="P23" s="67"/>
      <c r="Q23" s="68">
        <f t="shared" si="0"/>
        <v>0</v>
      </c>
      <c r="R23" s="69" t="e">
        <f t="shared" si="1"/>
        <v>#DIV/0!</v>
      </c>
    </row>
    <row r="24" spans="1:18" ht="18" customHeight="1" x14ac:dyDescent="0.15">
      <c r="A24" s="27"/>
      <c r="B24" s="63"/>
      <c r="C24" s="49"/>
      <c r="D24" s="48"/>
      <c r="E24" s="64"/>
      <c r="F24" s="65"/>
      <c r="G24" s="66"/>
      <c r="H24" s="67"/>
      <c r="I24" s="64"/>
      <c r="J24" s="65"/>
      <c r="K24" s="66"/>
      <c r="L24" s="67"/>
      <c r="M24" s="64"/>
      <c r="N24" s="65"/>
      <c r="O24" s="66"/>
      <c r="P24" s="67"/>
      <c r="Q24" s="68">
        <f t="shared" si="0"/>
        <v>0</v>
      </c>
      <c r="R24" s="69" t="e">
        <f t="shared" si="1"/>
        <v>#DIV/0!</v>
      </c>
    </row>
    <row r="25" spans="1:18" ht="18" customHeight="1" x14ac:dyDescent="0.15">
      <c r="A25" s="27"/>
      <c r="B25" s="63"/>
      <c r="C25" s="49"/>
      <c r="D25" s="48"/>
      <c r="E25" s="64"/>
      <c r="F25" s="65"/>
      <c r="G25" s="66"/>
      <c r="H25" s="67"/>
      <c r="I25" s="64"/>
      <c r="J25" s="65"/>
      <c r="K25" s="66"/>
      <c r="L25" s="67"/>
      <c r="M25" s="64"/>
      <c r="N25" s="65"/>
      <c r="O25" s="66"/>
      <c r="P25" s="67"/>
      <c r="Q25" s="68">
        <f t="shared" si="0"/>
        <v>0</v>
      </c>
      <c r="R25" s="69" t="e">
        <f t="shared" si="1"/>
        <v>#DIV/0!</v>
      </c>
    </row>
    <row r="26" spans="1:18" ht="18" customHeight="1" x14ac:dyDescent="0.15">
      <c r="A26" s="27"/>
      <c r="B26" s="63"/>
      <c r="C26" s="49"/>
      <c r="D26" s="48"/>
      <c r="E26" s="64"/>
      <c r="F26" s="65"/>
      <c r="G26" s="66"/>
      <c r="H26" s="67"/>
      <c r="I26" s="64"/>
      <c r="J26" s="65"/>
      <c r="K26" s="66"/>
      <c r="L26" s="67"/>
      <c r="M26" s="64"/>
      <c r="N26" s="65"/>
      <c r="O26" s="66"/>
      <c r="P26" s="67"/>
      <c r="Q26" s="68">
        <f t="shared" si="0"/>
        <v>0</v>
      </c>
      <c r="R26" s="69" t="e">
        <f t="shared" si="1"/>
        <v>#DIV/0!</v>
      </c>
    </row>
    <row r="27" spans="1:18" ht="18" customHeight="1" x14ac:dyDescent="0.15">
      <c r="A27" s="27"/>
      <c r="B27" s="63"/>
      <c r="C27" s="50"/>
      <c r="D27" s="48"/>
      <c r="E27" s="64"/>
      <c r="F27" s="65"/>
      <c r="G27" s="66"/>
      <c r="H27" s="67"/>
      <c r="I27" s="64"/>
      <c r="J27" s="65"/>
      <c r="K27" s="66"/>
      <c r="L27" s="67"/>
      <c r="M27" s="64"/>
      <c r="N27" s="65"/>
      <c r="O27" s="66"/>
      <c r="P27" s="67"/>
      <c r="Q27" s="68">
        <f t="shared" si="0"/>
        <v>0</v>
      </c>
      <c r="R27" s="69" t="e">
        <f t="shared" si="1"/>
        <v>#DIV/0!</v>
      </c>
    </row>
    <row r="28" spans="1:18" ht="18" customHeight="1" x14ac:dyDescent="0.15">
      <c r="A28" s="27"/>
      <c r="B28" s="63"/>
      <c r="C28" s="50"/>
      <c r="D28" s="48"/>
      <c r="E28" s="64"/>
      <c r="F28" s="65"/>
      <c r="G28" s="66"/>
      <c r="H28" s="67"/>
      <c r="I28" s="64"/>
      <c r="J28" s="65"/>
      <c r="K28" s="66"/>
      <c r="L28" s="67"/>
      <c r="M28" s="64"/>
      <c r="N28" s="65"/>
      <c r="O28" s="66"/>
      <c r="P28" s="67"/>
      <c r="Q28" s="68">
        <f t="shared" si="0"/>
        <v>0</v>
      </c>
      <c r="R28" s="69" t="e">
        <f t="shared" si="1"/>
        <v>#DIV/0!</v>
      </c>
    </row>
    <row r="29" spans="1:18" ht="18" customHeight="1" thickBot="1" x14ac:dyDescent="0.2">
      <c r="A29" s="27"/>
      <c r="B29" s="70"/>
      <c r="C29" s="22"/>
      <c r="D29" s="56"/>
      <c r="E29" s="57"/>
      <c r="F29" s="58"/>
      <c r="G29" s="59"/>
      <c r="H29" s="60"/>
      <c r="I29" s="57"/>
      <c r="J29" s="58"/>
      <c r="K29" s="59"/>
      <c r="L29" s="60"/>
      <c r="M29" s="57"/>
      <c r="N29" s="58"/>
      <c r="O29" s="59"/>
      <c r="P29" s="60"/>
      <c r="Q29" s="71">
        <f t="shared" si="0"/>
        <v>0</v>
      </c>
      <c r="R29" s="62" t="e">
        <f t="shared" si="1"/>
        <v>#DIV/0!</v>
      </c>
    </row>
    <row r="30" spans="1:18" ht="18" customHeight="1" thickTop="1" x14ac:dyDescent="0.15">
      <c r="B30" s="72" t="s">
        <v>57</v>
      </c>
      <c r="C30" s="73">
        <f t="shared" ref="C30:Q30" si="2">SUM(C10:C29)</f>
        <v>500</v>
      </c>
      <c r="D30" s="74">
        <f t="shared" si="2"/>
        <v>2000</v>
      </c>
      <c r="E30" s="75">
        <f t="shared" si="2"/>
        <v>504</v>
      </c>
      <c r="F30" s="76">
        <f t="shared" si="2"/>
        <v>383</v>
      </c>
      <c r="G30" s="77">
        <f t="shared" si="2"/>
        <v>0</v>
      </c>
      <c r="H30" s="78">
        <f t="shared" si="2"/>
        <v>0</v>
      </c>
      <c r="I30" s="75">
        <f t="shared" si="2"/>
        <v>0</v>
      </c>
      <c r="J30" s="76">
        <f t="shared" si="2"/>
        <v>0</v>
      </c>
      <c r="K30" s="77">
        <f t="shared" si="2"/>
        <v>0</v>
      </c>
      <c r="L30" s="78">
        <f t="shared" si="2"/>
        <v>0</v>
      </c>
      <c r="M30" s="75">
        <f t="shared" si="2"/>
        <v>0</v>
      </c>
      <c r="N30" s="76">
        <f t="shared" si="2"/>
        <v>0</v>
      </c>
      <c r="O30" s="77">
        <f t="shared" si="2"/>
        <v>0</v>
      </c>
      <c r="P30" s="78">
        <f t="shared" si="2"/>
        <v>0</v>
      </c>
      <c r="Q30" s="79">
        <f t="shared" si="2"/>
        <v>504</v>
      </c>
      <c r="R30" s="80">
        <f>Q30/D30</f>
        <v>0.252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tabColor rgb="FFFFC000"/>
  </sheetPr>
  <dimension ref="A1:K145"/>
  <sheetViews>
    <sheetView showZeros="0" view="pageBreakPreview" topLeftCell="A16" zoomScaleNormal="100" zoomScaleSheetLayoutView="100" workbookViewId="0">
      <selection activeCell="M29" sqref="M29"/>
    </sheetView>
  </sheetViews>
  <sheetFormatPr defaultColWidth="11.375" defaultRowHeight="18.75" customHeight="1" x14ac:dyDescent="0.15"/>
  <cols>
    <col min="1" max="1" width="2.75" style="92" customWidth="1"/>
    <col min="2" max="2" width="16.625" style="81" customWidth="1"/>
    <col min="3" max="3" width="8.875" style="81" customWidth="1"/>
    <col min="4" max="4" width="2.25" style="81" customWidth="1"/>
    <col min="5" max="5" width="16.625" style="81" customWidth="1"/>
    <col min="6" max="6" width="8.875" style="81" customWidth="1"/>
    <col min="7" max="7" width="2.25" style="81" customWidth="1"/>
    <col min="8" max="8" width="16.625" style="81" customWidth="1"/>
    <col min="9" max="9" width="8.875" style="81" customWidth="1"/>
    <col min="10" max="10" width="2.25" style="81" customWidth="1"/>
    <col min="11" max="16384" width="11.375" style="81"/>
  </cols>
  <sheetData>
    <row r="1" spans="1:11" ht="18.75" customHeight="1" x14ac:dyDescent="0.15">
      <c r="A1" s="92" t="s">
        <v>115</v>
      </c>
      <c r="J1" s="89" t="s">
        <v>116</v>
      </c>
    </row>
    <row r="2" spans="1:11" ht="18.75" customHeight="1" x14ac:dyDescent="0.15">
      <c r="A2" s="217" t="s">
        <v>64</v>
      </c>
      <c r="B2" s="217"/>
      <c r="C2" s="217"/>
      <c r="D2" s="217"/>
      <c r="E2" s="217"/>
      <c r="F2" s="217"/>
      <c r="G2" s="217"/>
      <c r="H2" s="217"/>
      <c r="I2" s="217"/>
      <c r="J2" s="217"/>
    </row>
    <row r="3" spans="1:11" ht="7.5" customHeight="1" x14ac:dyDescent="0.15">
      <c r="B3" s="84"/>
      <c r="C3" s="84"/>
      <c r="D3" s="84"/>
      <c r="E3" s="84"/>
      <c r="F3" s="84"/>
      <c r="G3" s="84"/>
      <c r="H3" s="84"/>
      <c r="I3" s="84"/>
      <c r="J3" s="84"/>
    </row>
    <row r="4" spans="1:11" ht="18.75" customHeight="1" x14ac:dyDescent="0.15">
      <c r="A4" s="81" t="s">
        <v>6</v>
      </c>
      <c r="B4" s="81" t="s">
        <v>72</v>
      </c>
      <c r="I4" s="84"/>
      <c r="J4" s="84"/>
    </row>
    <row r="5" spans="1:11" ht="18.75" customHeight="1" x14ac:dyDescent="0.15">
      <c r="A5" s="81"/>
      <c r="B5" s="284" t="s">
        <v>172</v>
      </c>
      <c r="C5" s="285"/>
      <c r="D5" s="285"/>
      <c r="E5" s="285"/>
      <c r="F5" s="285"/>
      <c r="G5" s="285"/>
      <c r="H5" s="285"/>
      <c r="I5" s="285"/>
      <c r="J5" s="286"/>
      <c r="K5" s="81" t="str">
        <f>IF(B5="","入力してください","")</f>
        <v/>
      </c>
    </row>
    <row r="6" spans="1:11" ht="7.5" customHeight="1" x14ac:dyDescent="0.15">
      <c r="B6" s="84"/>
      <c r="C6" s="84"/>
      <c r="D6" s="84"/>
      <c r="E6" s="84"/>
      <c r="F6" s="84"/>
      <c r="G6" s="84"/>
      <c r="H6" s="84"/>
      <c r="I6" s="84"/>
      <c r="J6" s="84"/>
    </row>
    <row r="7" spans="1:11" ht="18.75" customHeight="1" x14ac:dyDescent="0.15">
      <c r="A7" s="81" t="s">
        <v>9</v>
      </c>
      <c r="B7" s="81" t="s">
        <v>39</v>
      </c>
      <c r="K7" s="82"/>
    </row>
    <row r="8" spans="1:11" ht="18.75" customHeight="1" x14ac:dyDescent="0.15">
      <c r="A8" s="85"/>
      <c r="B8" s="247" t="s">
        <v>173</v>
      </c>
      <c r="C8" s="277"/>
      <c r="D8" s="277"/>
      <c r="E8" s="277"/>
      <c r="F8" s="277"/>
      <c r="G8" s="277"/>
      <c r="H8" s="277"/>
      <c r="I8" s="248"/>
      <c r="J8" s="249"/>
      <c r="K8" s="81" t="str">
        <f>IF(B8="","入力してください","")</f>
        <v/>
      </c>
    </row>
    <row r="9" spans="1:11" ht="18.75" customHeight="1" x14ac:dyDescent="0.15">
      <c r="A9" s="85"/>
      <c r="B9" s="250"/>
      <c r="C9" s="287"/>
      <c r="D9" s="287"/>
      <c r="E9" s="287"/>
      <c r="F9" s="287"/>
      <c r="G9" s="287"/>
      <c r="H9" s="287"/>
      <c r="I9" s="287"/>
      <c r="J9" s="252"/>
    </row>
    <row r="10" spans="1:11" ht="18.75" customHeight="1" x14ac:dyDescent="0.15">
      <c r="A10" s="85"/>
      <c r="B10" s="250"/>
      <c r="C10" s="287"/>
      <c r="D10" s="287"/>
      <c r="E10" s="287"/>
      <c r="F10" s="287"/>
      <c r="G10" s="287"/>
      <c r="H10" s="287"/>
      <c r="I10" s="287"/>
      <c r="J10" s="252"/>
    </row>
    <row r="11" spans="1:11" ht="18.75" customHeight="1" x14ac:dyDescent="0.15">
      <c r="A11" s="85"/>
      <c r="B11" s="250"/>
      <c r="C11" s="287"/>
      <c r="D11" s="287"/>
      <c r="E11" s="287"/>
      <c r="F11" s="287"/>
      <c r="G11" s="287"/>
      <c r="H11" s="287"/>
      <c r="I11" s="287"/>
      <c r="J11" s="252"/>
    </row>
    <row r="12" spans="1:11" ht="18.75" customHeight="1" x14ac:dyDescent="0.15">
      <c r="A12" s="85"/>
      <c r="B12" s="253"/>
      <c r="C12" s="182"/>
      <c r="D12" s="182"/>
      <c r="E12" s="182"/>
      <c r="F12" s="182"/>
      <c r="G12" s="182"/>
      <c r="H12" s="182"/>
      <c r="I12" s="182"/>
      <c r="J12" s="183"/>
    </row>
    <row r="13" spans="1:11" ht="7.5" customHeight="1" x14ac:dyDescent="0.15">
      <c r="A13" s="85"/>
      <c r="B13" s="85"/>
      <c r="C13" s="85"/>
      <c r="D13" s="85"/>
      <c r="E13" s="85"/>
      <c r="F13" s="85"/>
      <c r="G13" s="85"/>
      <c r="H13" s="85"/>
      <c r="I13" s="85"/>
      <c r="J13" s="85"/>
    </row>
    <row r="14" spans="1:11" ht="18.75" customHeight="1" x14ac:dyDescent="0.15">
      <c r="A14" s="101" t="s">
        <v>10</v>
      </c>
      <c r="B14" s="101" t="s">
        <v>15</v>
      </c>
      <c r="C14" s="101"/>
      <c r="D14" s="101"/>
      <c r="E14" s="101"/>
      <c r="F14" s="101"/>
      <c r="G14" s="101"/>
      <c r="H14" s="101"/>
      <c r="I14" s="101"/>
      <c r="J14" s="101"/>
    </row>
    <row r="15" spans="1:11" ht="18.75" customHeight="1" x14ac:dyDescent="0.15">
      <c r="A15" s="85"/>
      <c r="B15" s="247" t="s">
        <v>207</v>
      </c>
      <c r="C15" s="277"/>
      <c r="D15" s="277"/>
      <c r="E15" s="277"/>
      <c r="F15" s="277"/>
      <c r="G15" s="277"/>
      <c r="H15" s="277"/>
      <c r="I15" s="248"/>
      <c r="J15" s="249"/>
      <c r="K15" s="81" t="str">
        <f>IF(B15="","入力してください","")</f>
        <v/>
      </c>
    </row>
    <row r="16" spans="1:11" ht="18.75" customHeight="1" x14ac:dyDescent="0.15">
      <c r="A16" s="85"/>
      <c r="B16" s="250"/>
      <c r="C16" s="287"/>
      <c r="D16" s="287"/>
      <c r="E16" s="287"/>
      <c r="F16" s="287"/>
      <c r="G16" s="287"/>
      <c r="H16" s="287"/>
      <c r="I16" s="287"/>
      <c r="J16" s="252"/>
    </row>
    <row r="17" spans="1:10" ht="18.75" customHeight="1" x14ac:dyDescent="0.15">
      <c r="A17" s="85"/>
      <c r="B17" s="250"/>
      <c r="C17" s="287"/>
      <c r="D17" s="287"/>
      <c r="E17" s="287"/>
      <c r="F17" s="287"/>
      <c r="G17" s="287"/>
      <c r="H17" s="287"/>
      <c r="I17" s="287"/>
      <c r="J17" s="252"/>
    </row>
    <row r="18" spans="1:10" ht="18.75" customHeight="1" x14ac:dyDescent="0.15">
      <c r="A18" s="85"/>
      <c r="B18" s="250"/>
      <c r="C18" s="287"/>
      <c r="D18" s="287"/>
      <c r="E18" s="287"/>
      <c r="F18" s="287"/>
      <c r="G18" s="287"/>
      <c r="H18" s="287"/>
      <c r="I18" s="287"/>
      <c r="J18" s="252"/>
    </row>
    <row r="19" spans="1:10" ht="18.75" customHeight="1" x14ac:dyDescent="0.15">
      <c r="A19" s="85"/>
      <c r="B19" s="250"/>
      <c r="C19" s="287"/>
      <c r="D19" s="287"/>
      <c r="E19" s="287"/>
      <c r="F19" s="287"/>
      <c r="G19" s="287"/>
      <c r="H19" s="287"/>
      <c r="I19" s="287"/>
      <c r="J19" s="252"/>
    </row>
    <row r="20" spans="1:10" ht="18.75" customHeight="1" x14ac:dyDescent="0.15">
      <c r="A20" s="85"/>
      <c r="B20" s="250"/>
      <c r="C20" s="287"/>
      <c r="D20" s="287"/>
      <c r="E20" s="287"/>
      <c r="F20" s="287"/>
      <c r="G20" s="287"/>
      <c r="H20" s="287"/>
      <c r="I20" s="287"/>
      <c r="J20" s="252"/>
    </row>
    <row r="21" spans="1:10" ht="18.75" customHeight="1" x14ac:dyDescent="0.15">
      <c r="A21" s="85"/>
      <c r="B21" s="250"/>
      <c r="C21" s="287"/>
      <c r="D21" s="287"/>
      <c r="E21" s="287"/>
      <c r="F21" s="287"/>
      <c r="G21" s="287"/>
      <c r="H21" s="287"/>
      <c r="I21" s="287"/>
      <c r="J21" s="252"/>
    </row>
    <row r="22" spans="1:10" ht="18.75" customHeight="1" x14ac:dyDescent="0.15">
      <c r="A22" s="85"/>
      <c r="B22" s="250"/>
      <c r="C22" s="287"/>
      <c r="D22" s="287"/>
      <c r="E22" s="287"/>
      <c r="F22" s="287"/>
      <c r="G22" s="287"/>
      <c r="H22" s="287"/>
      <c r="I22" s="287"/>
      <c r="J22" s="252"/>
    </row>
    <row r="23" spans="1:10" ht="18.75" customHeight="1" x14ac:dyDescent="0.15">
      <c r="A23" s="85"/>
      <c r="B23" s="250"/>
      <c r="C23" s="287"/>
      <c r="D23" s="287"/>
      <c r="E23" s="287"/>
      <c r="F23" s="287"/>
      <c r="G23" s="287"/>
      <c r="H23" s="287"/>
      <c r="I23" s="287"/>
      <c r="J23" s="252"/>
    </row>
    <row r="24" spans="1:10" ht="18.75" customHeight="1" x14ac:dyDescent="0.15">
      <c r="A24" s="85"/>
      <c r="B24" s="250"/>
      <c r="C24" s="287"/>
      <c r="D24" s="287"/>
      <c r="E24" s="287"/>
      <c r="F24" s="287"/>
      <c r="G24" s="287"/>
      <c r="H24" s="287"/>
      <c r="I24" s="287"/>
      <c r="J24" s="252"/>
    </row>
    <row r="25" spans="1:10" ht="18.75" customHeight="1" x14ac:dyDescent="0.15">
      <c r="A25" s="85"/>
      <c r="B25" s="250"/>
      <c r="C25" s="287"/>
      <c r="D25" s="287"/>
      <c r="E25" s="287"/>
      <c r="F25" s="287"/>
      <c r="G25" s="287"/>
      <c r="H25" s="287"/>
      <c r="I25" s="287"/>
      <c r="J25" s="252"/>
    </row>
    <row r="26" spans="1:10" ht="18.75" customHeight="1" x14ac:dyDescent="0.15">
      <c r="A26" s="85"/>
      <c r="B26" s="250"/>
      <c r="C26" s="287"/>
      <c r="D26" s="287"/>
      <c r="E26" s="287"/>
      <c r="F26" s="287"/>
      <c r="G26" s="287"/>
      <c r="H26" s="287"/>
      <c r="I26" s="287"/>
      <c r="J26" s="252"/>
    </row>
    <row r="27" spans="1:10" ht="18.75" customHeight="1" x14ac:dyDescent="0.15">
      <c r="A27" s="85"/>
      <c r="B27" s="250"/>
      <c r="C27" s="287"/>
      <c r="D27" s="287"/>
      <c r="E27" s="287"/>
      <c r="F27" s="287"/>
      <c r="G27" s="287"/>
      <c r="H27" s="287"/>
      <c r="I27" s="287"/>
      <c r="J27" s="252"/>
    </row>
    <row r="28" spans="1:10" ht="18.75" customHeight="1" x14ac:dyDescent="0.15">
      <c r="A28" s="85"/>
      <c r="B28" s="250"/>
      <c r="C28" s="287"/>
      <c r="D28" s="287"/>
      <c r="E28" s="287"/>
      <c r="F28" s="287"/>
      <c r="G28" s="287"/>
      <c r="H28" s="287"/>
      <c r="I28" s="287"/>
      <c r="J28" s="252"/>
    </row>
    <row r="29" spans="1:10" ht="18.75" customHeight="1" x14ac:dyDescent="0.15">
      <c r="A29" s="85"/>
      <c r="B29" s="250"/>
      <c r="C29" s="287"/>
      <c r="D29" s="287"/>
      <c r="E29" s="287"/>
      <c r="F29" s="287"/>
      <c r="G29" s="287"/>
      <c r="H29" s="287"/>
      <c r="I29" s="287"/>
      <c r="J29" s="252"/>
    </row>
    <row r="30" spans="1:10" ht="18.75" customHeight="1" x14ac:dyDescent="0.15">
      <c r="A30" s="85"/>
      <c r="B30" s="250"/>
      <c r="C30" s="287"/>
      <c r="D30" s="287"/>
      <c r="E30" s="287"/>
      <c r="F30" s="287"/>
      <c r="G30" s="287"/>
      <c r="H30" s="287"/>
      <c r="I30" s="287"/>
      <c r="J30" s="252"/>
    </row>
    <row r="31" spans="1:10" ht="18.75" customHeight="1" x14ac:dyDescent="0.15">
      <c r="A31" s="85"/>
      <c r="B31" s="250"/>
      <c r="C31" s="287"/>
      <c r="D31" s="287"/>
      <c r="E31" s="287"/>
      <c r="F31" s="287"/>
      <c r="G31" s="287"/>
      <c r="H31" s="287"/>
      <c r="I31" s="287"/>
      <c r="J31" s="252"/>
    </row>
    <row r="32" spans="1:10" ht="18.75" customHeight="1" x14ac:dyDescent="0.15">
      <c r="A32" s="85"/>
      <c r="B32" s="250"/>
      <c r="C32" s="287"/>
      <c r="D32" s="287"/>
      <c r="E32" s="287"/>
      <c r="F32" s="287"/>
      <c r="G32" s="287"/>
      <c r="H32" s="287"/>
      <c r="I32" s="287"/>
      <c r="J32" s="252"/>
    </row>
    <row r="33" spans="1:11" ht="18.75" customHeight="1" x14ac:dyDescent="0.15">
      <c r="A33" s="85"/>
      <c r="B33" s="253"/>
      <c r="C33" s="182"/>
      <c r="D33" s="182"/>
      <c r="E33" s="182"/>
      <c r="F33" s="182"/>
      <c r="G33" s="182"/>
      <c r="H33" s="182"/>
      <c r="I33" s="182"/>
      <c r="J33" s="183"/>
    </row>
    <row r="34" spans="1:11" ht="7.5" customHeight="1" x14ac:dyDescent="0.15">
      <c r="A34" s="93"/>
      <c r="B34" s="93"/>
      <c r="C34" s="93"/>
      <c r="D34" s="93"/>
      <c r="E34" s="93"/>
      <c r="F34" s="93"/>
      <c r="G34" s="93"/>
      <c r="H34" s="93"/>
      <c r="I34" s="93"/>
      <c r="J34" s="93"/>
    </row>
    <row r="35" spans="1:11" ht="18.75" customHeight="1" x14ac:dyDescent="0.15">
      <c r="A35" s="81" t="s">
        <v>13</v>
      </c>
      <c r="B35" s="81" t="s">
        <v>26</v>
      </c>
    </row>
    <row r="36" spans="1:11" s="84" customFormat="1" ht="18.75" customHeight="1" x14ac:dyDescent="0.15">
      <c r="B36" s="118" t="s">
        <v>117</v>
      </c>
      <c r="C36" s="123">
        <f>'様式３　履修者等数の実績'!R30</f>
        <v>0.252</v>
      </c>
      <c r="D36" s="119"/>
      <c r="E36" s="119" t="s">
        <v>118</v>
      </c>
      <c r="F36" s="123">
        <v>0.5</v>
      </c>
      <c r="G36" s="119"/>
      <c r="H36" s="119" t="s">
        <v>119</v>
      </c>
      <c r="I36" s="124">
        <v>0.75</v>
      </c>
      <c r="J36" s="86"/>
      <c r="K36" s="81"/>
    </row>
    <row r="37" spans="1:11" s="84" customFormat="1" ht="18.75" customHeight="1" x14ac:dyDescent="0.15">
      <c r="B37" s="120" t="s">
        <v>120</v>
      </c>
      <c r="C37" s="125">
        <v>0.9</v>
      </c>
      <c r="D37" s="121"/>
      <c r="E37" s="121" t="s">
        <v>121</v>
      </c>
      <c r="F37" s="125">
        <v>0.95</v>
      </c>
      <c r="G37" s="121"/>
      <c r="H37" s="121" t="s">
        <v>122</v>
      </c>
      <c r="I37" s="122">
        <f>'様式３　履修者等数の実績'!D30</f>
        <v>2000</v>
      </c>
      <c r="J37" s="87"/>
      <c r="K37" s="82"/>
    </row>
    <row r="38" spans="1:11" ht="18.75" customHeight="1" x14ac:dyDescent="0.15">
      <c r="A38" s="81"/>
      <c r="B38" s="288" t="s">
        <v>123</v>
      </c>
      <c r="C38" s="289"/>
      <c r="D38" s="289"/>
      <c r="E38" s="289"/>
      <c r="F38" s="289"/>
      <c r="G38" s="289"/>
      <c r="H38" s="289"/>
      <c r="I38" s="289"/>
      <c r="J38" s="290"/>
      <c r="K38" s="82"/>
    </row>
    <row r="39" spans="1:11" ht="18.75" customHeight="1" x14ac:dyDescent="0.15">
      <c r="A39" s="81"/>
      <c r="B39" s="247" t="s">
        <v>190</v>
      </c>
      <c r="C39" s="277"/>
      <c r="D39" s="277"/>
      <c r="E39" s="277"/>
      <c r="F39" s="277"/>
      <c r="G39" s="277"/>
      <c r="H39" s="277"/>
      <c r="I39" s="277"/>
      <c r="J39" s="278"/>
      <c r="K39" s="82" t="str">
        <f>IF(B39="","入力してください","")</f>
        <v/>
      </c>
    </row>
    <row r="40" spans="1:11" ht="18.75" customHeight="1" x14ac:dyDescent="0.15">
      <c r="A40" s="81"/>
      <c r="B40" s="279"/>
      <c r="C40" s="280"/>
      <c r="D40" s="280"/>
      <c r="E40" s="280"/>
      <c r="F40" s="280"/>
      <c r="G40" s="280"/>
      <c r="H40" s="280"/>
      <c r="I40" s="280"/>
      <c r="J40" s="281"/>
      <c r="K40" s="82"/>
    </row>
    <row r="41" spans="1:11" ht="18.75" customHeight="1" x14ac:dyDescent="0.15">
      <c r="A41" s="81"/>
      <c r="B41" s="279"/>
      <c r="C41" s="280"/>
      <c r="D41" s="280"/>
      <c r="E41" s="280"/>
      <c r="F41" s="280"/>
      <c r="G41" s="280"/>
      <c r="H41" s="280"/>
      <c r="I41" s="280"/>
      <c r="J41" s="281"/>
      <c r="K41" s="82"/>
    </row>
    <row r="42" spans="1:11" ht="18.75" customHeight="1" x14ac:dyDescent="0.15">
      <c r="A42" s="81"/>
      <c r="B42" s="279"/>
      <c r="C42" s="280"/>
      <c r="D42" s="280"/>
      <c r="E42" s="280"/>
      <c r="F42" s="280"/>
      <c r="G42" s="280"/>
      <c r="H42" s="280"/>
      <c r="I42" s="280"/>
      <c r="J42" s="281"/>
      <c r="K42" s="82"/>
    </row>
    <row r="43" spans="1:11" ht="18.75" customHeight="1" x14ac:dyDescent="0.15">
      <c r="A43" s="81"/>
      <c r="B43" s="279"/>
      <c r="C43" s="280"/>
      <c r="D43" s="280"/>
      <c r="E43" s="280"/>
      <c r="F43" s="280"/>
      <c r="G43" s="280"/>
      <c r="H43" s="280"/>
      <c r="I43" s="280"/>
      <c r="J43" s="281"/>
      <c r="K43" s="82"/>
    </row>
    <row r="44" spans="1:11" ht="18.75" customHeight="1" x14ac:dyDescent="0.15">
      <c r="A44" s="81"/>
      <c r="B44" s="279"/>
      <c r="C44" s="280"/>
      <c r="D44" s="280"/>
      <c r="E44" s="280"/>
      <c r="F44" s="280"/>
      <c r="G44" s="280"/>
      <c r="H44" s="280"/>
      <c r="I44" s="280"/>
      <c r="J44" s="281"/>
      <c r="K44" s="82"/>
    </row>
    <row r="45" spans="1:11" ht="18.75" customHeight="1" x14ac:dyDescent="0.15">
      <c r="A45" s="81"/>
      <c r="B45" s="282"/>
      <c r="C45" s="181"/>
      <c r="D45" s="181"/>
      <c r="E45" s="181"/>
      <c r="F45" s="181"/>
      <c r="G45" s="181"/>
      <c r="H45" s="181"/>
      <c r="I45" s="181"/>
      <c r="J45" s="283"/>
      <c r="K45" s="82"/>
    </row>
    <row r="46" spans="1:11" ht="18.75" customHeight="1" x14ac:dyDescent="0.15">
      <c r="A46" s="101" t="s">
        <v>11</v>
      </c>
      <c r="B46" s="81" t="s">
        <v>65</v>
      </c>
      <c r="I46" s="101"/>
      <c r="J46" s="101"/>
    </row>
    <row r="47" spans="1:11" ht="18.75" customHeight="1" x14ac:dyDescent="0.15">
      <c r="A47" s="93"/>
      <c r="B47" s="247" t="s">
        <v>178</v>
      </c>
      <c r="C47" s="277"/>
      <c r="D47" s="277"/>
      <c r="E47" s="277"/>
      <c r="F47" s="277"/>
      <c r="G47" s="277"/>
      <c r="H47" s="277"/>
      <c r="I47" s="277"/>
      <c r="J47" s="278"/>
      <c r="K47" s="81" t="str">
        <f>IF(B47="","入力してください","")</f>
        <v/>
      </c>
    </row>
    <row r="48" spans="1:11" ht="18.75" customHeight="1" x14ac:dyDescent="0.15">
      <c r="A48" s="93"/>
      <c r="B48" s="279"/>
      <c r="C48" s="291"/>
      <c r="D48" s="291"/>
      <c r="E48" s="291"/>
      <c r="F48" s="291"/>
      <c r="G48" s="291"/>
      <c r="H48" s="291"/>
      <c r="I48" s="291"/>
      <c r="J48" s="281"/>
    </row>
    <row r="49" spans="1:10" ht="18.75" customHeight="1" x14ac:dyDescent="0.15">
      <c r="A49" s="93"/>
      <c r="B49" s="279"/>
      <c r="C49" s="291"/>
      <c r="D49" s="291"/>
      <c r="E49" s="291"/>
      <c r="F49" s="291"/>
      <c r="G49" s="291"/>
      <c r="H49" s="291"/>
      <c r="I49" s="291"/>
      <c r="J49" s="281"/>
    </row>
    <row r="50" spans="1:10" ht="18.75" customHeight="1" x14ac:dyDescent="0.15">
      <c r="A50" s="93"/>
      <c r="B50" s="279"/>
      <c r="C50" s="291"/>
      <c r="D50" s="291"/>
      <c r="E50" s="291"/>
      <c r="F50" s="291"/>
      <c r="G50" s="291"/>
      <c r="H50" s="291"/>
      <c r="I50" s="291"/>
      <c r="J50" s="281"/>
    </row>
    <row r="51" spans="1:10" ht="18.75" customHeight="1" x14ac:dyDescent="0.15">
      <c r="A51" s="93"/>
      <c r="B51" s="279"/>
      <c r="C51" s="291"/>
      <c r="D51" s="291"/>
      <c r="E51" s="291"/>
      <c r="F51" s="291"/>
      <c r="G51" s="291"/>
      <c r="H51" s="291"/>
      <c r="I51" s="291"/>
      <c r="J51" s="281"/>
    </row>
    <row r="52" spans="1:10" ht="18.75" customHeight="1" x14ac:dyDescent="0.15">
      <c r="A52" s="93"/>
      <c r="B52" s="279"/>
      <c r="C52" s="291"/>
      <c r="D52" s="291"/>
      <c r="E52" s="291"/>
      <c r="F52" s="291"/>
      <c r="G52" s="291"/>
      <c r="H52" s="291"/>
      <c r="I52" s="291"/>
      <c r="J52" s="281"/>
    </row>
    <row r="53" spans="1:10" ht="18.75" customHeight="1" x14ac:dyDescent="0.15">
      <c r="A53" s="93"/>
      <c r="B53" s="279"/>
      <c r="C53" s="291"/>
      <c r="D53" s="291"/>
      <c r="E53" s="291"/>
      <c r="F53" s="291"/>
      <c r="G53" s="291"/>
      <c r="H53" s="291"/>
      <c r="I53" s="291"/>
      <c r="J53" s="281"/>
    </row>
    <row r="54" spans="1:10" ht="18.75" customHeight="1" x14ac:dyDescent="0.15">
      <c r="A54" s="93"/>
      <c r="B54" s="279"/>
      <c r="C54" s="291"/>
      <c r="D54" s="291"/>
      <c r="E54" s="291"/>
      <c r="F54" s="291"/>
      <c r="G54" s="291"/>
      <c r="H54" s="291"/>
      <c r="I54" s="291"/>
      <c r="J54" s="281"/>
    </row>
    <row r="55" spans="1:10" ht="18.75" customHeight="1" x14ac:dyDescent="0.15">
      <c r="A55" s="93"/>
      <c r="B55" s="279"/>
      <c r="C55" s="291"/>
      <c r="D55" s="291"/>
      <c r="E55" s="291"/>
      <c r="F55" s="291"/>
      <c r="G55" s="291"/>
      <c r="H55" s="291"/>
      <c r="I55" s="291"/>
      <c r="J55" s="281"/>
    </row>
    <row r="56" spans="1:10" ht="18.75" customHeight="1" x14ac:dyDescent="0.15">
      <c r="A56" s="93"/>
      <c r="B56" s="279"/>
      <c r="C56" s="291"/>
      <c r="D56" s="291"/>
      <c r="E56" s="291"/>
      <c r="F56" s="291"/>
      <c r="G56" s="291"/>
      <c r="H56" s="291"/>
      <c r="I56" s="291"/>
      <c r="J56" s="281"/>
    </row>
    <row r="57" spans="1:10" ht="18.75" customHeight="1" x14ac:dyDescent="0.15">
      <c r="A57" s="93"/>
      <c r="B57" s="279"/>
      <c r="C57" s="291"/>
      <c r="D57" s="291"/>
      <c r="E57" s="291"/>
      <c r="F57" s="291"/>
      <c r="G57" s="291"/>
      <c r="H57" s="291"/>
      <c r="I57" s="291"/>
      <c r="J57" s="281"/>
    </row>
    <row r="58" spans="1:10" ht="18.75" customHeight="1" x14ac:dyDescent="0.15">
      <c r="A58" s="93"/>
      <c r="B58" s="279"/>
      <c r="C58" s="291"/>
      <c r="D58" s="291"/>
      <c r="E58" s="291"/>
      <c r="F58" s="291"/>
      <c r="G58" s="291"/>
      <c r="H58" s="291"/>
      <c r="I58" s="291"/>
      <c r="J58" s="281"/>
    </row>
    <row r="59" spans="1:10" ht="18.75" customHeight="1" x14ac:dyDescent="0.15">
      <c r="A59" s="93"/>
      <c r="B59" s="279"/>
      <c r="C59" s="291"/>
      <c r="D59" s="291"/>
      <c r="E59" s="291"/>
      <c r="F59" s="291"/>
      <c r="G59" s="291"/>
      <c r="H59" s="291"/>
      <c r="I59" s="291"/>
      <c r="J59" s="281"/>
    </row>
    <row r="60" spans="1:10" ht="18.75" customHeight="1" x14ac:dyDescent="0.15">
      <c r="A60" s="93"/>
      <c r="B60" s="279"/>
      <c r="C60" s="291"/>
      <c r="D60" s="291"/>
      <c r="E60" s="291"/>
      <c r="F60" s="291"/>
      <c r="G60" s="291"/>
      <c r="H60" s="291"/>
      <c r="I60" s="291"/>
      <c r="J60" s="281"/>
    </row>
    <row r="61" spans="1:10" ht="18.75" customHeight="1" x14ac:dyDescent="0.15">
      <c r="A61" s="93"/>
      <c r="B61" s="279"/>
      <c r="C61" s="291"/>
      <c r="D61" s="291"/>
      <c r="E61" s="291"/>
      <c r="F61" s="291"/>
      <c r="G61" s="291"/>
      <c r="H61" s="291"/>
      <c r="I61" s="291"/>
      <c r="J61" s="281"/>
    </row>
    <row r="62" spans="1:10" ht="18.75" customHeight="1" x14ac:dyDescent="0.15">
      <c r="A62" s="93"/>
      <c r="B62" s="279"/>
      <c r="C62" s="291"/>
      <c r="D62" s="291"/>
      <c r="E62" s="291"/>
      <c r="F62" s="291"/>
      <c r="G62" s="291"/>
      <c r="H62" s="291"/>
      <c r="I62" s="291"/>
      <c r="J62" s="281"/>
    </row>
    <row r="63" spans="1:10" ht="18.75" customHeight="1" x14ac:dyDescent="0.15">
      <c r="A63" s="93"/>
      <c r="B63" s="279"/>
      <c r="C63" s="291"/>
      <c r="D63" s="291"/>
      <c r="E63" s="291"/>
      <c r="F63" s="291"/>
      <c r="G63" s="291"/>
      <c r="H63" s="291"/>
      <c r="I63" s="291"/>
      <c r="J63" s="281"/>
    </row>
    <row r="64" spans="1:10" ht="18.75" customHeight="1" x14ac:dyDescent="0.15">
      <c r="A64" s="93"/>
      <c r="B64" s="279"/>
      <c r="C64" s="291"/>
      <c r="D64" s="291"/>
      <c r="E64" s="291"/>
      <c r="F64" s="291"/>
      <c r="G64" s="291"/>
      <c r="H64" s="291"/>
      <c r="I64" s="291"/>
      <c r="J64" s="281"/>
    </row>
    <row r="65" spans="1:11" ht="18.75" customHeight="1" x14ac:dyDescent="0.15">
      <c r="A65" s="93"/>
      <c r="B65" s="279"/>
      <c r="C65" s="291"/>
      <c r="D65" s="291"/>
      <c r="E65" s="291"/>
      <c r="F65" s="291"/>
      <c r="G65" s="291"/>
      <c r="H65" s="291"/>
      <c r="I65" s="291"/>
      <c r="J65" s="281"/>
    </row>
    <row r="66" spans="1:11" ht="18.75" customHeight="1" x14ac:dyDescent="0.15">
      <c r="A66" s="93"/>
      <c r="B66" s="279"/>
      <c r="C66" s="291"/>
      <c r="D66" s="291"/>
      <c r="E66" s="291"/>
      <c r="F66" s="291"/>
      <c r="G66" s="291"/>
      <c r="H66" s="291"/>
      <c r="I66" s="291"/>
      <c r="J66" s="281"/>
    </row>
    <row r="67" spans="1:11" ht="18.75" customHeight="1" x14ac:dyDescent="0.15">
      <c r="A67" s="93"/>
      <c r="B67" s="282"/>
      <c r="C67" s="181"/>
      <c r="D67" s="181"/>
      <c r="E67" s="181"/>
      <c r="F67" s="181"/>
      <c r="G67" s="181"/>
      <c r="H67" s="181"/>
      <c r="I67" s="181"/>
      <c r="J67" s="283"/>
    </row>
    <row r="68" spans="1:11" ht="7.5" customHeight="1" x14ac:dyDescent="0.15">
      <c r="A68" s="93"/>
      <c r="B68" s="93"/>
      <c r="C68" s="93"/>
      <c r="D68" s="93"/>
      <c r="E68" s="93"/>
      <c r="F68" s="93"/>
      <c r="G68" s="93"/>
      <c r="H68" s="93"/>
      <c r="I68" s="93"/>
      <c r="J68" s="93"/>
    </row>
    <row r="69" spans="1:11" ht="18.75" customHeight="1" x14ac:dyDescent="0.15">
      <c r="A69" s="81" t="s">
        <v>14</v>
      </c>
      <c r="B69" s="81" t="s">
        <v>71</v>
      </c>
    </row>
    <row r="70" spans="1:11" ht="18.75" customHeight="1" x14ac:dyDescent="0.15">
      <c r="A70" s="81"/>
      <c r="B70" s="247" t="s">
        <v>179</v>
      </c>
      <c r="C70" s="277"/>
      <c r="D70" s="277"/>
      <c r="E70" s="277"/>
      <c r="F70" s="277"/>
      <c r="G70" s="277"/>
      <c r="H70" s="277"/>
      <c r="I70" s="248"/>
      <c r="J70" s="249"/>
      <c r="K70" s="82" t="str">
        <f>IF(B70="","入力してください","")</f>
        <v/>
      </c>
    </row>
    <row r="71" spans="1:11" ht="18.75" customHeight="1" x14ac:dyDescent="0.15">
      <c r="A71" s="81"/>
      <c r="B71" s="250"/>
      <c r="C71" s="287"/>
      <c r="D71" s="287"/>
      <c r="E71" s="287"/>
      <c r="F71" s="287"/>
      <c r="G71" s="287"/>
      <c r="H71" s="287"/>
      <c r="I71" s="287"/>
      <c r="J71" s="252"/>
      <c r="K71" s="82"/>
    </row>
    <row r="72" spans="1:11" ht="18.75" customHeight="1" x14ac:dyDescent="0.15">
      <c r="A72" s="81"/>
      <c r="B72" s="250"/>
      <c r="C72" s="287"/>
      <c r="D72" s="287"/>
      <c r="E72" s="287"/>
      <c r="F72" s="287"/>
      <c r="G72" s="287"/>
      <c r="H72" s="287"/>
      <c r="I72" s="287"/>
      <c r="J72" s="252"/>
      <c r="K72" s="82"/>
    </row>
    <row r="73" spans="1:11" ht="18.75" customHeight="1" x14ac:dyDescent="0.15">
      <c r="A73" s="81"/>
      <c r="B73" s="250"/>
      <c r="C73" s="287"/>
      <c r="D73" s="287"/>
      <c r="E73" s="287"/>
      <c r="F73" s="287"/>
      <c r="G73" s="287"/>
      <c r="H73" s="287"/>
      <c r="I73" s="287"/>
      <c r="J73" s="252"/>
      <c r="K73" s="82"/>
    </row>
    <row r="74" spans="1:11" ht="18.75" customHeight="1" x14ac:dyDescent="0.15">
      <c r="A74" s="81"/>
      <c r="B74" s="250"/>
      <c r="C74" s="287"/>
      <c r="D74" s="287"/>
      <c r="E74" s="287"/>
      <c r="F74" s="287"/>
      <c r="G74" s="287"/>
      <c r="H74" s="287"/>
      <c r="I74" s="287"/>
      <c r="J74" s="252"/>
      <c r="K74" s="82"/>
    </row>
    <row r="75" spans="1:11" ht="18.75" customHeight="1" x14ac:dyDescent="0.15">
      <c r="A75" s="81"/>
      <c r="B75" s="250"/>
      <c r="C75" s="287"/>
      <c r="D75" s="287"/>
      <c r="E75" s="287"/>
      <c r="F75" s="287"/>
      <c r="G75" s="287"/>
      <c r="H75" s="287"/>
      <c r="I75" s="287"/>
      <c r="J75" s="252"/>
      <c r="K75" s="82"/>
    </row>
    <row r="76" spans="1:11" ht="18.75" customHeight="1" x14ac:dyDescent="0.15">
      <c r="A76" s="81"/>
      <c r="B76" s="250"/>
      <c r="C76" s="287"/>
      <c r="D76" s="287"/>
      <c r="E76" s="287"/>
      <c r="F76" s="287"/>
      <c r="G76" s="287"/>
      <c r="H76" s="287"/>
      <c r="I76" s="287"/>
      <c r="J76" s="252"/>
      <c r="K76" s="82"/>
    </row>
    <row r="77" spans="1:11" ht="18.75" customHeight="1" x14ac:dyDescent="0.15">
      <c r="A77" s="81"/>
      <c r="B77" s="250"/>
      <c r="C77" s="287"/>
      <c r="D77" s="287"/>
      <c r="E77" s="287"/>
      <c r="F77" s="287"/>
      <c r="G77" s="287"/>
      <c r="H77" s="287"/>
      <c r="I77" s="287"/>
      <c r="J77" s="252"/>
      <c r="K77" s="82"/>
    </row>
    <row r="78" spans="1:11" ht="18.75" customHeight="1" x14ac:dyDescent="0.15">
      <c r="A78" s="81"/>
      <c r="B78" s="250"/>
      <c r="C78" s="287"/>
      <c r="D78" s="287"/>
      <c r="E78" s="287"/>
      <c r="F78" s="287"/>
      <c r="G78" s="287"/>
      <c r="H78" s="287"/>
      <c r="I78" s="287"/>
      <c r="J78" s="252"/>
      <c r="K78" s="82"/>
    </row>
    <row r="79" spans="1:11" ht="18.75" customHeight="1" x14ac:dyDescent="0.15">
      <c r="A79" s="81"/>
      <c r="B79" s="250"/>
      <c r="C79" s="287"/>
      <c r="D79" s="287"/>
      <c r="E79" s="287"/>
      <c r="F79" s="287"/>
      <c r="G79" s="287"/>
      <c r="H79" s="287"/>
      <c r="I79" s="287"/>
      <c r="J79" s="252"/>
      <c r="K79" s="82"/>
    </row>
    <row r="80" spans="1:11" ht="18.75" customHeight="1" x14ac:dyDescent="0.15">
      <c r="A80" s="81"/>
      <c r="B80" s="250"/>
      <c r="C80" s="287"/>
      <c r="D80" s="287"/>
      <c r="E80" s="287"/>
      <c r="F80" s="287"/>
      <c r="G80" s="287"/>
      <c r="H80" s="287"/>
      <c r="I80" s="287"/>
      <c r="J80" s="252"/>
      <c r="K80" s="82"/>
    </row>
    <row r="81" spans="1:11" ht="18.75" customHeight="1" x14ac:dyDescent="0.15">
      <c r="A81" s="81"/>
      <c r="B81" s="250"/>
      <c r="C81" s="287"/>
      <c r="D81" s="287"/>
      <c r="E81" s="287"/>
      <c r="F81" s="287"/>
      <c r="G81" s="287"/>
      <c r="H81" s="287"/>
      <c r="I81" s="287"/>
      <c r="J81" s="252"/>
      <c r="K81" s="82"/>
    </row>
    <row r="82" spans="1:11" ht="18.75" customHeight="1" x14ac:dyDescent="0.15">
      <c r="A82" s="81"/>
      <c r="B82" s="250"/>
      <c r="C82" s="287"/>
      <c r="D82" s="287"/>
      <c r="E82" s="287"/>
      <c r="F82" s="287"/>
      <c r="G82" s="287"/>
      <c r="H82" s="287"/>
      <c r="I82" s="287"/>
      <c r="J82" s="252"/>
      <c r="K82" s="82"/>
    </row>
    <row r="83" spans="1:11" ht="18.75" customHeight="1" x14ac:dyDescent="0.15">
      <c r="A83" s="81"/>
      <c r="B83" s="250"/>
      <c r="C83" s="287"/>
      <c r="D83" s="287"/>
      <c r="E83" s="287"/>
      <c r="F83" s="287"/>
      <c r="G83" s="287"/>
      <c r="H83" s="287"/>
      <c r="I83" s="287"/>
      <c r="J83" s="252"/>
      <c r="K83" s="82"/>
    </row>
    <row r="84" spans="1:11" ht="18.75" customHeight="1" x14ac:dyDescent="0.15">
      <c r="A84" s="81"/>
      <c r="B84" s="250"/>
      <c r="C84" s="287"/>
      <c r="D84" s="287"/>
      <c r="E84" s="287"/>
      <c r="F84" s="287"/>
      <c r="G84" s="287"/>
      <c r="H84" s="287"/>
      <c r="I84" s="287"/>
      <c r="J84" s="252"/>
      <c r="K84" s="82"/>
    </row>
    <row r="85" spans="1:11" ht="18.75" customHeight="1" x14ac:dyDescent="0.15">
      <c r="A85" s="81"/>
      <c r="B85" s="250"/>
      <c r="C85" s="287"/>
      <c r="D85" s="287"/>
      <c r="E85" s="287"/>
      <c r="F85" s="287"/>
      <c r="G85" s="287"/>
      <c r="H85" s="287"/>
      <c r="I85" s="287"/>
      <c r="J85" s="252"/>
      <c r="K85" s="82"/>
    </row>
    <row r="86" spans="1:11" ht="18.75" customHeight="1" x14ac:dyDescent="0.15">
      <c r="A86" s="93"/>
      <c r="B86" s="250"/>
      <c r="C86" s="287"/>
      <c r="D86" s="287"/>
      <c r="E86" s="287"/>
      <c r="F86" s="287"/>
      <c r="G86" s="287"/>
      <c r="H86" s="287"/>
      <c r="I86" s="287"/>
      <c r="J86" s="252"/>
      <c r="K86" s="82"/>
    </row>
    <row r="87" spans="1:11" ht="18.75" customHeight="1" x14ac:dyDescent="0.15">
      <c r="A87" s="93"/>
      <c r="B87" s="253"/>
      <c r="C87" s="182"/>
      <c r="D87" s="182"/>
      <c r="E87" s="182"/>
      <c r="F87" s="182"/>
      <c r="G87" s="182"/>
      <c r="H87" s="182"/>
      <c r="I87" s="182"/>
      <c r="J87" s="183"/>
      <c r="K87" s="82"/>
    </row>
    <row r="88" spans="1:11" ht="7.5" customHeight="1" x14ac:dyDescent="0.15">
      <c r="A88" s="93"/>
      <c r="B88" s="93"/>
      <c r="C88" s="93"/>
      <c r="D88" s="93"/>
      <c r="E88" s="93"/>
      <c r="F88" s="93"/>
      <c r="G88" s="93"/>
      <c r="H88" s="93"/>
      <c r="I88" s="93"/>
      <c r="J88" s="93"/>
    </row>
    <row r="89" spans="1:11" ht="18.75" customHeight="1" x14ac:dyDescent="0.15">
      <c r="A89" s="81" t="s">
        <v>12</v>
      </c>
      <c r="B89" s="81" t="s">
        <v>27</v>
      </c>
    </row>
    <row r="90" spans="1:11" ht="18.75" customHeight="1" x14ac:dyDescent="0.15">
      <c r="A90" s="81"/>
      <c r="B90" s="247" t="s">
        <v>180</v>
      </c>
      <c r="C90" s="277"/>
      <c r="D90" s="277"/>
      <c r="E90" s="277"/>
      <c r="F90" s="277"/>
      <c r="G90" s="277"/>
      <c r="H90" s="277"/>
      <c r="I90" s="248"/>
      <c r="J90" s="249"/>
    </row>
    <row r="91" spans="1:11" ht="18.75" customHeight="1" x14ac:dyDescent="0.15">
      <c r="A91" s="81"/>
      <c r="B91" s="250"/>
      <c r="C91" s="287"/>
      <c r="D91" s="287"/>
      <c r="E91" s="287"/>
      <c r="F91" s="287"/>
      <c r="G91" s="287"/>
      <c r="H91" s="287"/>
      <c r="I91" s="287"/>
      <c r="J91" s="252"/>
      <c r="K91" s="82"/>
    </row>
    <row r="92" spans="1:11" ht="18.75" customHeight="1" x14ac:dyDescent="0.15">
      <c r="A92" s="81"/>
      <c r="B92" s="250"/>
      <c r="C92" s="287"/>
      <c r="D92" s="287"/>
      <c r="E92" s="287"/>
      <c r="F92" s="287"/>
      <c r="G92" s="287"/>
      <c r="H92" s="287"/>
      <c r="I92" s="287"/>
      <c r="J92" s="252"/>
      <c r="K92" s="82" t="str">
        <f>IF(B90="","入力してください","")</f>
        <v/>
      </c>
    </row>
    <row r="93" spans="1:11" ht="18.75" customHeight="1" x14ac:dyDescent="0.15">
      <c r="A93" s="81"/>
      <c r="B93" s="250"/>
      <c r="C93" s="287"/>
      <c r="D93" s="287"/>
      <c r="E93" s="287"/>
      <c r="F93" s="287"/>
      <c r="G93" s="287"/>
      <c r="H93" s="287"/>
      <c r="I93" s="287"/>
      <c r="J93" s="252"/>
      <c r="K93" s="82"/>
    </row>
    <row r="94" spans="1:11" ht="18.75" customHeight="1" x14ac:dyDescent="0.15">
      <c r="A94" s="81"/>
      <c r="B94" s="250"/>
      <c r="C94" s="287"/>
      <c r="D94" s="287"/>
      <c r="E94" s="287"/>
      <c r="F94" s="287"/>
      <c r="G94" s="287"/>
      <c r="H94" s="287"/>
      <c r="I94" s="287"/>
      <c r="J94" s="252"/>
      <c r="K94" s="82"/>
    </row>
    <row r="95" spans="1:11" ht="18.75" customHeight="1" x14ac:dyDescent="0.15">
      <c r="A95" s="81"/>
      <c r="B95" s="250"/>
      <c r="C95" s="287"/>
      <c r="D95" s="287"/>
      <c r="E95" s="287"/>
      <c r="F95" s="287"/>
      <c r="G95" s="287"/>
      <c r="H95" s="287"/>
      <c r="I95" s="287"/>
      <c r="J95" s="252"/>
      <c r="K95" s="82"/>
    </row>
    <row r="96" spans="1:11" ht="18.75" customHeight="1" x14ac:dyDescent="0.15">
      <c r="A96" s="81"/>
      <c r="B96" s="250"/>
      <c r="C96" s="287"/>
      <c r="D96" s="287"/>
      <c r="E96" s="287"/>
      <c r="F96" s="287"/>
      <c r="G96" s="287"/>
      <c r="H96" s="287"/>
      <c r="I96" s="287"/>
      <c r="J96" s="252"/>
      <c r="K96" s="82"/>
    </row>
    <row r="97" spans="1:11" ht="18.75" customHeight="1" x14ac:dyDescent="0.15">
      <c r="A97" s="81"/>
      <c r="B97" s="250"/>
      <c r="C97" s="287"/>
      <c r="D97" s="287"/>
      <c r="E97" s="287"/>
      <c r="F97" s="287"/>
      <c r="G97" s="287"/>
      <c r="H97" s="287"/>
      <c r="I97" s="287"/>
      <c r="J97" s="252"/>
      <c r="K97" s="82"/>
    </row>
    <row r="98" spans="1:11" ht="18.75" customHeight="1" x14ac:dyDescent="0.15">
      <c r="A98" s="81"/>
      <c r="B98" s="250"/>
      <c r="C98" s="287"/>
      <c r="D98" s="287"/>
      <c r="E98" s="287"/>
      <c r="F98" s="287"/>
      <c r="G98" s="287"/>
      <c r="H98" s="287"/>
      <c r="I98" s="287"/>
      <c r="J98" s="252"/>
      <c r="K98" s="82"/>
    </row>
    <row r="99" spans="1:11" ht="18.75" customHeight="1" x14ac:dyDescent="0.15">
      <c r="A99" s="81"/>
      <c r="B99" s="250"/>
      <c r="C99" s="287"/>
      <c r="D99" s="287"/>
      <c r="E99" s="287"/>
      <c r="F99" s="287"/>
      <c r="G99" s="287"/>
      <c r="H99" s="287"/>
      <c r="I99" s="287"/>
      <c r="J99" s="252"/>
      <c r="K99" s="82"/>
    </row>
    <row r="100" spans="1:11" ht="18.75" customHeight="1" x14ac:dyDescent="0.15">
      <c r="A100" s="81"/>
      <c r="B100" s="250"/>
      <c r="C100" s="287"/>
      <c r="D100" s="287"/>
      <c r="E100" s="287"/>
      <c r="F100" s="287"/>
      <c r="G100" s="287"/>
      <c r="H100" s="287"/>
      <c r="I100" s="287"/>
      <c r="J100" s="252"/>
      <c r="K100" s="82"/>
    </row>
    <row r="101" spans="1:11" ht="18.75" customHeight="1" x14ac:dyDescent="0.15">
      <c r="A101" s="81"/>
      <c r="B101" s="250"/>
      <c r="C101" s="287"/>
      <c r="D101" s="287"/>
      <c r="E101" s="287"/>
      <c r="F101" s="287"/>
      <c r="G101" s="287"/>
      <c r="H101" s="287"/>
      <c r="I101" s="287"/>
      <c r="J101" s="252"/>
      <c r="K101" s="82"/>
    </row>
    <row r="102" spans="1:11" ht="18.75" customHeight="1" x14ac:dyDescent="0.15">
      <c r="A102" s="81"/>
      <c r="B102" s="250"/>
      <c r="C102" s="287"/>
      <c r="D102" s="287"/>
      <c r="E102" s="287"/>
      <c r="F102" s="287"/>
      <c r="G102" s="287"/>
      <c r="H102" s="287"/>
      <c r="I102" s="287"/>
      <c r="J102" s="252"/>
      <c r="K102" s="82"/>
    </row>
    <row r="103" spans="1:11" ht="18.75" customHeight="1" x14ac:dyDescent="0.15">
      <c r="A103" s="81"/>
      <c r="B103" s="250"/>
      <c r="C103" s="287"/>
      <c r="D103" s="287"/>
      <c r="E103" s="287"/>
      <c r="F103" s="287"/>
      <c r="G103" s="287"/>
      <c r="H103" s="287"/>
      <c r="I103" s="287"/>
      <c r="J103" s="252"/>
      <c r="K103" s="82"/>
    </row>
    <row r="104" spans="1:11" ht="18.75" customHeight="1" x14ac:dyDescent="0.15">
      <c r="A104" s="81"/>
      <c r="B104" s="250"/>
      <c r="C104" s="287"/>
      <c r="D104" s="287"/>
      <c r="E104" s="287"/>
      <c r="F104" s="287"/>
      <c r="G104" s="287"/>
      <c r="H104" s="287"/>
      <c r="I104" s="287"/>
      <c r="J104" s="252"/>
      <c r="K104" s="82"/>
    </row>
    <row r="105" spans="1:11" ht="18.75" customHeight="1" x14ac:dyDescent="0.15">
      <c r="A105" s="81"/>
      <c r="B105" s="250"/>
      <c r="C105" s="287"/>
      <c r="D105" s="287"/>
      <c r="E105" s="287"/>
      <c r="F105" s="287"/>
      <c r="G105" s="287"/>
      <c r="H105" s="287"/>
      <c r="I105" s="287"/>
      <c r="J105" s="252"/>
      <c r="K105" s="82"/>
    </row>
    <row r="106" spans="1:11" ht="18.75" customHeight="1" x14ac:dyDescent="0.15">
      <c r="A106" s="81"/>
      <c r="B106" s="250"/>
      <c r="C106" s="287"/>
      <c r="D106" s="287"/>
      <c r="E106" s="287"/>
      <c r="F106" s="287"/>
      <c r="G106" s="287"/>
      <c r="H106" s="287"/>
      <c r="I106" s="287"/>
      <c r="J106" s="252"/>
      <c r="K106" s="82"/>
    </row>
    <row r="107" spans="1:11" ht="18.75" customHeight="1" x14ac:dyDescent="0.15">
      <c r="A107" s="81"/>
      <c r="B107" s="250"/>
      <c r="C107" s="287"/>
      <c r="D107" s="287"/>
      <c r="E107" s="287"/>
      <c r="F107" s="287"/>
      <c r="G107" s="287"/>
      <c r="H107" s="287"/>
      <c r="I107" s="287"/>
      <c r="J107" s="252"/>
      <c r="K107" s="82"/>
    </row>
    <row r="108" spans="1:11" ht="18.75" customHeight="1" x14ac:dyDescent="0.15">
      <c r="A108" s="93"/>
      <c r="B108" s="250"/>
      <c r="C108" s="287"/>
      <c r="D108" s="287"/>
      <c r="E108" s="287"/>
      <c r="F108" s="287"/>
      <c r="G108" s="287"/>
      <c r="H108" s="287"/>
      <c r="I108" s="287"/>
      <c r="J108" s="252"/>
      <c r="K108" s="82"/>
    </row>
    <row r="109" spans="1:11" ht="18.75" customHeight="1" x14ac:dyDescent="0.15">
      <c r="A109" s="93"/>
      <c r="B109" s="253"/>
      <c r="C109" s="182"/>
      <c r="D109" s="182"/>
      <c r="E109" s="182"/>
      <c r="F109" s="182"/>
      <c r="G109" s="182"/>
      <c r="H109" s="182"/>
      <c r="I109" s="182"/>
      <c r="J109" s="183"/>
      <c r="K109" s="82"/>
    </row>
    <row r="110" spans="1:11" ht="7.5" customHeight="1" x14ac:dyDescent="0.15">
      <c r="A110" s="93"/>
      <c r="B110" s="93"/>
      <c r="C110" s="93"/>
      <c r="D110" s="93"/>
      <c r="E110" s="93"/>
      <c r="F110" s="93"/>
      <c r="G110" s="93"/>
      <c r="H110" s="93"/>
      <c r="I110" s="93"/>
      <c r="J110" s="93"/>
    </row>
    <row r="111" spans="1:11" ht="18.75" customHeight="1" x14ac:dyDescent="0.15">
      <c r="A111" s="81" t="s">
        <v>53</v>
      </c>
      <c r="B111" s="292" t="s">
        <v>82</v>
      </c>
      <c r="C111" s="292"/>
      <c r="D111" s="292"/>
      <c r="E111" s="292"/>
      <c r="F111" s="292"/>
      <c r="G111" s="292"/>
      <c r="H111" s="292"/>
      <c r="I111" s="292"/>
      <c r="J111" s="292"/>
    </row>
    <row r="112" spans="1:11" ht="18.75" customHeight="1" x14ac:dyDescent="0.15">
      <c r="A112" s="93"/>
      <c r="B112" s="247" t="s">
        <v>181</v>
      </c>
      <c r="C112" s="277"/>
      <c r="D112" s="277"/>
      <c r="E112" s="277"/>
      <c r="F112" s="277"/>
      <c r="G112" s="277"/>
      <c r="H112" s="277"/>
      <c r="I112" s="248"/>
      <c r="J112" s="249"/>
    </row>
    <row r="113" spans="1:11" ht="18.75" customHeight="1" x14ac:dyDescent="0.15">
      <c r="A113" s="93"/>
      <c r="B113" s="250"/>
      <c r="C113" s="287"/>
      <c r="D113" s="287"/>
      <c r="E113" s="287"/>
      <c r="F113" s="287"/>
      <c r="G113" s="287"/>
      <c r="H113" s="287"/>
      <c r="I113" s="287"/>
      <c r="J113" s="252"/>
      <c r="K113" s="82"/>
    </row>
    <row r="114" spans="1:11" ht="18.75" customHeight="1" x14ac:dyDescent="0.15">
      <c r="A114" s="93"/>
      <c r="B114" s="250"/>
      <c r="C114" s="287"/>
      <c r="D114" s="287"/>
      <c r="E114" s="287"/>
      <c r="F114" s="287"/>
      <c r="G114" s="287"/>
      <c r="H114" s="287"/>
      <c r="I114" s="287"/>
      <c r="J114" s="252"/>
      <c r="K114" s="81" t="str">
        <f>IF(B112="","入力してください","")</f>
        <v/>
      </c>
    </row>
    <row r="115" spans="1:11" ht="18.75" customHeight="1" x14ac:dyDescent="0.15">
      <c r="A115" s="93"/>
      <c r="B115" s="250"/>
      <c r="C115" s="287"/>
      <c r="D115" s="287"/>
      <c r="E115" s="287"/>
      <c r="F115" s="287"/>
      <c r="G115" s="287"/>
      <c r="H115" s="287"/>
      <c r="I115" s="287"/>
      <c r="J115" s="252"/>
    </row>
    <row r="116" spans="1:11" ht="18.75" customHeight="1" x14ac:dyDescent="0.15">
      <c r="A116" s="93"/>
      <c r="B116" s="250"/>
      <c r="C116" s="287"/>
      <c r="D116" s="287"/>
      <c r="E116" s="287"/>
      <c r="F116" s="287"/>
      <c r="G116" s="287"/>
      <c r="H116" s="287"/>
      <c r="I116" s="287"/>
      <c r="J116" s="252"/>
    </row>
    <row r="117" spans="1:11" ht="18.75" customHeight="1" x14ac:dyDescent="0.15">
      <c r="A117" s="93"/>
      <c r="B117" s="250"/>
      <c r="C117" s="287"/>
      <c r="D117" s="287"/>
      <c r="E117" s="287"/>
      <c r="F117" s="287"/>
      <c r="G117" s="287"/>
      <c r="H117" s="287"/>
      <c r="I117" s="287"/>
      <c r="J117" s="252"/>
    </row>
    <row r="118" spans="1:11" ht="18.75" customHeight="1" x14ac:dyDescent="0.15">
      <c r="A118" s="93"/>
      <c r="B118" s="250"/>
      <c r="C118" s="287"/>
      <c r="D118" s="287"/>
      <c r="E118" s="287"/>
      <c r="F118" s="287"/>
      <c r="G118" s="287"/>
      <c r="H118" s="287"/>
      <c r="I118" s="287"/>
      <c r="J118" s="252"/>
    </row>
    <row r="119" spans="1:11" ht="18.75" customHeight="1" x14ac:dyDescent="0.15">
      <c r="A119" s="93"/>
      <c r="B119" s="250"/>
      <c r="C119" s="287"/>
      <c r="D119" s="287"/>
      <c r="E119" s="287"/>
      <c r="F119" s="287"/>
      <c r="G119" s="287"/>
      <c r="H119" s="287"/>
      <c r="I119" s="287"/>
      <c r="J119" s="252"/>
    </row>
    <row r="120" spans="1:11" ht="18.75" customHeight="1" x14ac:dyDescent="0.15">
      <c r="A120" s="93"/>
      <c r="B120" s="250"/>
      <c r="C120" s="287"/>
      <c r="D120" s="287"/>
      <c r="E120" s="287"/>
      <c r="F120" s="287"/>
      <c r="G120" s="287"/>
      <c r="H120" s="287"/>
      <c r="I120" s="287"/>
      <c r="J120" s="252"/>
    </row>
    <row r="121" spans="1:11" ht="18.75" customHeight="1" x14ac:dyDescent="0.15">
      <c r="A121" s="93"/>
      <c r="B121" s="250"/>
      <c r="C121" s="287"/>
      <c r="D121" s="287"/>
      <c r="E121" s="287"/>
      <c r="F121" s="287"/>
      <c r="G121" s="287"/>
      <c r="H121" s="287"/>
      <c r="I121" s="287"/>
      <c r="J121" s="252"/>
    </row>
    <row r="122" spans="1:11" ht="18.75" customHeight="1" x14ac:dyDescent="0.15">
      <c r="A122" s="93"/>
      <c r="B122" s="250"/>
      <c r="C122" s="287"/>
      <c r="D122" s="287"/>
      <c r="E122" s="287"/>
      <c r="F122" s="287"/>
      <c r="G122" s="287"/>
      <c r="H122" s="287"/>
      <c r="I122" s="287"/>
      <c r="J122" s="252"/>
    </row>
    <row r="123" spans="1:11" ht="18.75" customHeight="1" x14ac:dyDescent="0.15">
      <c r="A123" s="93"/>
      <c r="B123" s="250"/>
      <c r="C123" s="287"/>
      <c r="D123" s="287"/>
      <c r="E123" s="287"/>
      <c r="F123" s="287"/>
      <c r="G123" s="287"/>
      <c r="H123" s="287"/>
      <c r="I123" s="287"/>
      <c r="J123" s="252"/>
    </row>
    <row r="124" spans="1:11" ht="18.75" customHeight="1" x14ac:dyDescent="0.15">
      <c r="A124" s="93"/>
      <c r="B124" s="250"/>
      <c r="C124" s="287"/>
      <c r="D124" s="287"/>
      <c r="E124" s="287"/>
      <c r="F124" s="287"/>
      <c r="G124" s="287"/>
      <c r="H124" s="287"/>
      <c r="I124" s="287"/>
      <c r="J124" s="252"/>
    </row>
    <row r="125" spans="1:11" ht="18.75" customHeight="1" x14ac:dyDescent="0.15">
      <c r="A125" s="93"/>
      <c r="B125" s="250"/>
      <c r="C125" s="287"/>
      <c r="D125" s="287"/>
      <c r="E125" s="287"/>
      <c r="F125" s="287"/>
      <c r="G125" s="287"/>
      <c r="H125" s="287"/>
      <c r="I125" s="287"/>
      <c r="J125" s="252"/>
    </row>
    <row r="126" spans="1:11" ht="18.75" customHeight="1" x14ac:dyDescent="0.15">
      <c r="A126" s="93"/>
      <c r="B126" s="250"/>
      <c r="C126" s="287"/>
      <c r="D126" s="287"/>
      <c r="E126" s="287"/>
      <c r="F126" s="287"/>
      <c r="G126" s="287"/>
      <c r="H126" s="287"/>
      <c r="I126" s="287"/>
      <c r="J126" s="252"/>
    </row>
    <row r="127" spans="1:11" ht="18.75" customHeight="1" x14ac:dyDescent="0.15">
      <c r="A127" s="93"/>
      <c r="B127" s="250"/>
      <c r="C127" s="287"/>
      <c r="D127" s="287"/>
      <c r="E127" s="287"/>
      <c r="F127" s="287"/>
      <c r="G127" s="287"/>
      <c r="H127" s="287"/>
      <c r="I127" s="287"/>
      <c r="J127" s="252"/>
    </row>
    <row r="128" spans="1:11" ht="18.75" customHeight="1" x14ac:dyDescent="0.15">
      <c r="A128" s="93"/>
      <c r="B128" s="250"/>
      <c r="C128" s="287"/>
      <c r="D128" s="287"/>
      <c r="E128" s="287"/>
      <c r="F128" s="287"/>
      <c r="G128" s="287"/>
      <c r="H128" s="287"/>
      <c r="I128" s="287"/>
      <c r="J128" s="252"/>
    </row>
    <row r="129" spans="1:10" ht="18.75" customHeight="1" x14ac:dyDescent="0.15">
      <c r="A129" s="93"/>
      <c r="B129" s="250"/>
      <c r="C129" s="287"/>
      <c r="D129" s="287"/>
      <c r="E129" s="287"/>
      <c r="F129" s="287"/>
      <c r="G129" s="287"/>
      <c r="H129" s="287"/>
      <c r="I129" s="287"/>
      <c r="J129" s="252"/>
    </row>
    <row r="130" spans="1:10" ht="18.75" customHeight="1" x14ac:dyDescent="0.15">
      <c r="A130" s="93"/>
      <c r="B130" s="253"/>
      <c r="C130" s="182"/>
      <c r="D130" s="182"/>
      <c r="E130" s="182"/>
      <c r="F130" s="182"/>
      <c r="G130" s="182"/>
      <c r="H130" s="182"/>
      <c r="I130" s="182"/>
      <c r="J130" s="183"/>
    </row>
    <row r="131" spans="1:10" ht="7.5" customHeight="1" x14ac:dyDescent="0.15">
      <c r="A131" s="93"/>
      <c r="B131" s="102"/>
      <c r="C131" s="102"/>
      <c r="D131" s="102"/>
      <c r="E131" s="102"/>
      <c r="F131" s="102"/>
      <c r="G131" s="102"/>
      <c r="H131" s="102"/>
      <c r="I131" s="102"/>
      <c r="J131" s="102"/>
    </row>
    <row r="132" spans="1:10" ht="18.75" customHeight="1" x14ac:dyDescent="0.15">
      <c r="A132" s="93"/>
      <c r="B132" s="93"/>
      <c r="C132" s="93"/>
      <c r="D132" s="93"/>
      <c r="E132" s="93"/>
      <c r="F132" s="93"/>
      <c r="G132" s="93"/>
      <c r="H132" s="93"/>
      <c r="I132" s="93"/>
      <c r="J132" s="93"/>
    </row>
    <row r="133" spans="1:10" ht="18.75" customHeight="1" x14ac:dyDescent="0.15">
      <c r="A133" s="93"/>
      <c r="B133" s="93"/>
      <c r="C133" s="93"/>
      <c r="D133" s="93"/>
      <c r="E133" s="93"/>
      <c r="F133" s="93"/>
      <c r="G133" s="93"/>
      <c r="H133" s="93"/>
      <c r="I133" s="93"/>
      <c r="J133" s="93"/>
    </row>
    <row r="134" spans="1:10" ht="18.75" customHeight="1" x14ac:dyDescent="0.15">
      <c r="A134" s="93"/>
      <c r="B134" s="93"/>
      <c r="C134" s="93"/>
      <c r="D134" s="93"/>
      <c r="E134" s="93"/>
      <c r="F134" s="93"/>
      <c r="G134" s="93"/>
      <c r="H134" s="93"/>
      <c r="I134" s="93"/>
      <c r="J134" s="93"/>
    </row>
    <row r="135" spans="1:10" ht="18.75" customHeight="1" x14ac:dyDescent="0.15">
      <c r="A135" s="93"/>
      <c r="B135" s="93"/>
      <c r="C135" s="93"/>
      <c r="D135" s="93"/>
      <c r="E135" s="93"/>
      <c r="F135" s="93"/>
      <c r="G135" s="93"/>
      <c r="H135" s="93"/>
      <c r="I135" s="93"/>
      <c r="J135" s="93"/>
    </row>
    <row r="136" spans="1:10" ht="18.75" customHeight="1" x14ac:dyDescent="0.15">
      <c r="A136" s="93"/>
      <c r="B136" s="93"/>
      <c r="C136" s="93"/>
      <c r="D136" s="93"/>
      <c r="E136" s="93"/>
      <c r="F136" s="93"/>
      <c r="G136" s="93"/>
      <c r="H136" s="93"/>
      <c r="I136" s="93"/>
      <c r="J136" s="93"/>
    </row>
    <row r="137" spans="1:10" ht="18.75" customHeight="1" x14ac:dyDescent="0.15">
      <c r="A137" s="93"/>
      <c r="B137" s="93"/>
      <c r="C137" s="93"/>
      <c r="D137" s="93"/>
      <c r="E137" s="93"/>
      <c r="F137" s="93"/>
      <c r="G137" s="93"/>
      <c r="H137" s="93"/>
      <c r="I137" s="93"/>
      <c r="J137" s="93"/>
    </row>
    <row r="138" spans="1:10" ht="18.75" customHeight="1" x14ac:dyDescent="0.15">
      <c r="A138" s="93"/>
      <c r="B138" s="93"/>
      <c r="C138" s="93"/>
      <c r="D138" s="93"/>
      <c r="E138" s="93"/>
      <c r="F138" s="93"/>
      <c r="G138" s="93"/>
      <c r="H138" s="93"/>
      <c r="I138" s="93"/>
      <c r="J138" s="93"/>
    </row>
    <row r="139" spans="1:10" ht="18.75" customHeight="1" x14ac:dyDescent="0.15">
      <c r="A139" s="93"/>
      <c r="B139" s="93"/>
      <c r="C139" s="93"/>
      <c r="D139" s="93"/>
      <c r="E139" s="93"/>
      <c r="F139" s="93"/>
      <c r="G139" s="93"/>
      <c r="H139" s="93"/>
      <c r="I139" s="93"/>
      <c r="J139" s="93"/>
    </row>
    <row r="140" spans="1:10" ht="18.75" customHeight="1" x14ac:dyDescent="0.15">
      <c r="A140" s="93"/>
      <c r="B140" s="93"/>
      <c r="C140" s="93"/>
      <c r="D140" s="93"/>
      <c r="E140" s="93"/>
      <c r="F140" s="93"/>
      <c r="G140" s="93"/>
      <c r="H140" s="93"/>
      <c r="I140" s="93"/>
      <c r="J140" s="93"/>
    </row>
    <row r="141" spans="1:10" ht="18.75" customHeight="1" x14ac:dyDescent="0.15">
      <c r="A141" s="93"/>
      <c r="B141" s="93"/>
      <c r="C141" s="93"/>
      <c r="D141" s="93"/>
      <c r="E141" s="93"/>
      <c r="F141" s="93"/>
      <c r="G141" s="93"/>
      <c r="H141" s="93"/>
      <c r="I141" s="93"/>
      <c r="J141" s="93"/>
    </row>
    <row r="142" spans="1:10" ht="18.75" customHeight="1" x14ac:dyDescent="0.15">
      <c r="A142" s="93"/>
      <c r="B142" s="93"/>
      <c r="C142" s="93"/>
      <c r="D142" s="93"/>
      <c r="E142" s="93"/>
      <c r="F142" s="93"/>
      <c r="G142" s="93"/>
      <c r="H142" s="93"/>
      <c r="I142" s="93"/>
      <c r="J142" s="93"/>
    </row>
    <row r="143" spans="1:10" ht="18.75" customHeight="1" x14ac:dyDescent="0.15">
      <c r="A143" s="93"/>
      <c r="B143" s="93"/>
      <c r="C143" s="93"/>
      <c r="D143" s="93"/>
      <c r="E143" s="93"/>
      <c r="F143" s="93"/>
      <c r="G143" s="93"/>
      <c r="H143" s="93"/>
      <c r="I143" s="93"/>
      <c r="J143" s="93"/>
    </row>
    <row r="144" spans="1:10" ht="14.25" x14ac:dyDescent="0.15">
      <c r="A144" s="93"/>
      <c r="B144" s="93"/>
      <c r="C144" s="93"/>
      <c r="D144" s="93"/>
      <c r="E144" s="93"/>
      <c r="F144" s="93"/>
      <c r="G144" s="93"/>
      <c r="H144" s="93"/>
      <c r="I144" s="93"/>
      <c r="J144" s="93"/>
    </row>
    <row r="145" spans="1:10" ht="7.5" customHeight="1" x14ac:dyDescent="0.15">
      <c r="A145" s="103"/>
      <c r="B145" s="103"/>
      <c r="C145" s="103"/>
      <c r="D145" s="103"/>
      <c r="E145" s="103"/>
      <c r="F145" s="103"/>
      <c r="G145" s="103"/>
      <c r="H145" s="103"/>
      <c r="I145" s="103"/>
      <c r="J145" s="103"/>
    </row>
  </sheetData>
  <mergeCells count="11">
    <mergeCell ref="B47:J67"/>
    <mergeCell ref="B70:J87"/>
    <mergeCell ref="B90:J109"/>
    <mergeCell ref="B111:J111"/>
    <mergeCell ref="B112:J130"/>
    <mergeCell ref="B39:J45"/>
    <mergeCell ref="A2:J2"/>
    <mergeCell ref="B5:J5"/>
    <mergeCell ref="B8:J12"/>
    <mergeCell ref="B15:J33"/>
    <mergeCell ref="B38:J38"/>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5" max="9" man="1"/>
    <brk id="88"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tabColor rgb="FFFFC000"/>
  </sheetPr>
  <dimension ref="A1:K26"/>
  <sheetViews>
    <sheetView showZeros="0" view="pageBreakPreview" zoomScaleNormal="100" zoomScaleSheetLayoutView="100" workbookViewId="0">
      <selection activeCell="M16" sqref="M16"/>
    </sheetView>
  </sheetViews>
  <sheetFormatPr defaultColWidth="11.375" defaultRowHeight="22.5" customHeight="1" x14ac:dyDescent="0.15"/>
  <cols>
    <col min="1" max="3" width="2.75" style="81" customWidth="1"/>
    <col min="4" max="4" width="22.25" style="81" customWidth="1"/>
    <col min="5" max="5" width="21.625" style="81" customWidth="1"/>
    <col min="6" max="7" width="7.75" style="81" customWidth="1"/>
    <col min="8" max="8" width="33.375" style="81" customWidth="1"/>
    <col min="9" max="9" width="24.375" style="81" customWidth="1"/>
    <col min="10" max="10" width="5.375" style="81" customWidth="1"/>
    <col min="11" max="11" width="4.125" style="81" customWidth="1"/>
    <col min="12" max="16384" width="11.375" style="81"/>
  </cols>
  <sheetData>
    <row r="1" spans="1:11" ht="18.75" customHeight="1" x14ac:dyDescent="0.15">
      <c r="A1" s="81" t="s">
        <v>124</v>
      </c>
      <c r="J1" s="89" t="s">
        <v>73</v>
      </c>
    </row>
    <row r="2" spans="1:11" ht="18.75" customHeight="1" x14ac:dyDescent="0.15">
      <c r="A2" s="217" t="s">
        <v>42</v>
      </c>
      <c r="B2" s="217"/>
      <c r="C2" s="217"/>
      <c r="D2" s="217"/>
      <c r="E2" s="217"/>
      <c r="F2" s="217"/>
      <c r="G2" s="217"/>
      <c r="H2" s="217"/>
      <c r="I2" s="217"/>
      <c r="J2" s="217"/>
    </row>
    <row r="3" spans="1:11" ht="7.5" customHeight="1" x14ac:dyDescent="0.15">
      <c r="A3" s="88"/>
      <c r="B3" s="88"/>
      <c r="C3" s="88"/>
      <c r="D3" s="88"/>
      <c r="E3" s="88"/>
      <c r="F3" s="88"/>
      <c r="G3" s="88"/>
      <c r="H3" s="88"/>
      <c r="I3" s="88"/>
      <c r="J3" s="88"/>
    </row>
    <row r="4" spans="1:11" ht="18.75" customHeight="1" x14ac:dyDescent="0.15">
      <c r="A4" s="81" t="s">
        <v>6</v>
      </c>
      <c r="B4" s="81" t="s">
        <v>41</v>
      </c>
      <c r="C4" s="93"/>
      <c r="D4" s="93"/>
      <c r="E4" s="93"/>
      <c r="F4" s="93"/>
      <c r="G4" s="93"/>
      <c r="H4" s="93"/>
      <c r="I4" s="93"/>
      <c r="J4" s="93"/>
    </row>
    <row r="5" spans="1:11" ht="18.75" customHeight="1" x14ac:dyDescent="0.15">
      <c r="B5" s="163" t="s">
        <v>38</v>
      </c>
      <c r="C5" s="164"/>
      <c r="D5" s="165"/>
      <c r="E5" s="164" t="s">
        <v>40</v>
      </c>
      <c r="F5" s="164"/>
      <c r="G5" s="164"/>
      <c r="H5" s="164"/>
      <c r="I5" s="164"/>
      <c r="J5" s="165"/>
    </row>
    <row r="6" spans="1:11" ht="18.75" customHeight="1" x14ac:dyDescent="0.15">
      <c r="B6" s="83" t="s">
        <v>28</v>
      </c>
      <c r="C6" s="93"/>
      <c r="D6" s="94"/>
      <c r="I6" s="93"/>
      <c r="J6" s="94"/>
    </row>
    <row r="7" spans="1:11" ht="207" customHeight="1" x14ac:dyDescent="0.15">
      <c r="B7" s="95"/>
      <c r="C7" s="298" t="s">
        <v>29</v>
      </c>
      <c r="D7" s="299"/>
      <c r="E7" s="295" t="s">
        <v>191</v>
      </c>
      <c r="F7" s="296"/>
      <c r="G7" s="296"/>
      <c r="H7" s="296"/>
      <c r="I7" s="296"/>
      <c r="J7" s="297"/>
      <c r="K7" s="81" t="str">
        <f>IF(E7="","入力してください","")</f>
        <v/>
      </c>
    </row>
    <row r="8" spans="1:11" ht="207" customHeight="1" x14ac:dyDescent="0.15">
      <c r="B8" s="95"/>
      <c r="C8" s="293" t="s">
        <v>30</v>
      </c>
      <c r="D8" s="294"/>
      <c r="E8" s="295" t="s">
        <v>192</v>
      </c>
      <c r="F8" s="296"/>
      <c r="G8" s="296"/>
      <c r="H8" s="296"/>
      <c r="I8" s="296"/>
      <c r="J8" s="297"/>
      <c r="K8" s="81" t="str">
        <f t="shared" ref="K8:K16" si="0">IF(E8="","入力してください","")</f>
        <v/>
      </c>
    </row>
    <row r="9" spans="1:11" ht="172.5" customHeight="1" x14ac:dyDescent="0.15">
      <c r="B9" s="95"/>
      <c r="C9" s="298" t="s">
        <v>31</v>
      </c>
      <c r="D9" s="299"/>
      <c r="E9" s="295" t="s">
        <v>174</v>
      </c>
      <c r="F9" s="296"/>
      <c r="G9" s="296"/>
      <c r="H9" s="296"/>
      <c r="I9" s="296"/>
      <c r="J9" s="297"/>
      <c r="K9" s="81" t="str">
        <f t="shared" si="0"/>
        <v/>
      </c>
    </row>
    <row r="10" spans="1:11" ht="172.5" customHeight="1" x14ac:dyDescent="0.15">
      <c r="B10" s="95"/>
      <c r="C10" s="298" t="s">
        <v>32</v>
      </c>
      <c r="D10" s="299"/>
      <c r="E10" s="295" t="s">
        <v>193</v>
      </c>
      <c r="F10" s="296"/>
      <c r="G10" s="296"/>
      <c r="H10" s="296"/>
      <c r="I10" s="296"/>
      <c r="J10" s="297"/>
      <c r="K10" s="81" t="str">
        <f t="shared" si="0"/>
        <v/>
      </c>
    </row>
    <row r="11" spans="1:11" ht="172.5" customHeight="1" x14ac:dyDescent="0.15">
      <c r="B11" s="95"/>
      <c r="C11" s="298" t="s">
        <v>33</v>
      </c>
      <c r="D11" s="299"/>
      <c r="E11" s="295" t="s">
        <v>175</v>
      </c>
      <c r="F11" s="296"/>
      <c r="G11" s="296"/>
      <c r="H11" s="296"/>
      <c r="I11" s="296"/>
      <c r="J11" s="297"/>
      <c r="K11" s="81" t="str">
        <f t="shared" si="0"/>
        <v/>
      </c>
    </row>
    <row r="12" spans="1:11" ht="18.75" customHeight="1" x14ac:dyDescent="0.15">
      <c r="B12" s="96" t="s">
        <v>34</v>
      </c>
      <c r="C12" s="97"/>
      <c r="D12" s="98"/>
      <c r="E12" s="99"/>
      <c r="F12" s="99"/>
      <c r="G12" s="99"/>
      <c r="H12" s="99"/>
      <c r="I12" s="99"/>
      <c r="J12" s="100"/>
    </row>
    <row r="13" spans="1:11" ht="244.15" customHeight="1" x14ac:dyDescent="0.15">
      <c r="B13" s="95"/>
      <c r="C13" s="298" t="s">
        <v>35</v>
      </c>
      <c r="D13" s="299"/>
      <c r="E13" s="296" t="s">
        <v>194</v>
      </c>
      <c r="F13" s="296"/>
      <c r="G13" s="296"/>
      <c r="H13" s="296"/>
      <c r="I13" s="296"/>
      <c r="J13" s="297"/>
      <c r="K13" s="81" t="str">
        <f t="shared" si="0"/>
        <v/>
      </c>
    </row>
    <row r="14" spans="1:11" ht="255" customHeight="1" x14ac:dyDescent="0.15">
      <c r="B14" s="95"/>
      <c r="C14" s="298" t="s">
        <v>36</v>
      </c>
      <c r="D14" s="299"/>
      <c r="E14" s="296" t="s">
        <v>195</v>
      </c>
      <c r="F14" s="296"/>
      <c r="G14" s="296"/>
      <c r="H14" s="296"/>
      <c r="I14" s="296"/>
      <c r="J14" s="297"/>
      <c r="K14" s="81" t="str">
        <f t="shared" si="0"/>
        <v/>
      </c>
    </row>
    <row r="15" spans="1:11" ht="243" customHeight="1" x14ac:dyDescent="0.15">
      <c r="B15" s="306" t="s">
        <v>37</v>
      </c>
      <c r="C15" s="307"/>
      <c r="D15" s="299"/>
      <c r="E15" s="296" t="s">
        <v>176</v>
      </c>
      <c r="F15" s="296"/>
      <c r="G15" s="296"/>
      <c r="H15" s="296"/>
      <c r="I15" s="296"/>
      <c r="J15" s="297"/>
      <c r="K15" s="81" t="str">
        <f t="shared" si="0"/>
        <v/>
      </c>
    </row>
    <row r="16" spans="1:11" ht="243" customHeight="1" x14ac:dyDescent="0.15">
      <c r="B16" s="300" t="s">
        <v>66</v>
      </c>
      <c r="C16" s="301"/>
      <c r="D16" s="302"/>
      <c r="E16" s="181" t="s">
        <v>177</v>
      </c>
      <c r="F16" s="181"/>
      <c r="G16" s="181"/>
      <c r="H16" s="181"/>
      <c r="I16" s="181"/>
      <c r="J16" s="283"/>
      <c r="K16" s="81" t="str">
        <f t="shared" si="0"/>
        <v/>
      </c>
    </row>
    <row r="17" spans="1:11" ht="7.5" customHeight="1" x14ac:dyDescent="0.15">
      <c r="B17" s="93"/>
      <c r="C17" s="93"/>
      <c r="D17" s="93"/>
      <c r="E17" s="93"/>
      <c r="F17" s="93"/>
      <c r="G17" s="93"/>
      <c r="H17" s="93"/>
      <c r="I17" s="93"/>
      <c r="J17" s="93"/>
    </row>
    <row r="18" spans="1:11" ht="18.75" customHeight="1" x14ac:dyDescent="0.15">
      <c r="A18" s="81" t="s">
        <v>125</v>
      </c>
      <c r="C18" s="93"/>
      <c r="D18" s="93"/>
      <c r="E18" s="93"/>
      <c r="F18" s="101"/>
      <c r="G18" s="303" t="s">
        <v>197</v>
      </c>
      <c r="H18" s="304"/>
      <c r="I18" s="304"/>
      <c r="J18" s="305"/>
      <c r="K18" s="81" t="str">
        <f>IF(G18="","公表は必須事項です","")</f>
        <v/>
      </c>
    </row>
    <row r="19" spans="1:11" ht="22.5" customHeight="1" x14ac:dyDescent="0.15">
      <c r="B19" s="93"/>
      <c r="C19" s="93"/>
      <c r="D19" s="93"/>
      <c r="E19" s="93"/>
      <c r="F19" s="93"/>
      <c r="G19" s="93"/>
      <c r="H19" s="93"/>
      <c r="I19" s="93"/>
      <c r="J19" s="93"/>
    </row>
    <row r="20" spans="1:11" ht="22.5" customHeight="1" x14ac:dyDescent="0.15">
      <c r="B20" s="93"/>
      <c r="C20" s="93"/>
      <c r="D20" s="93"/>
      <c r="E20" s="93"/>
      <c r="F20" s="93"/>
      <c r="G20" s="93"/>
      <c r="H20" s="93"/>
      <c r="I20" s="93"/>
      <c r="J20" s="93"/>
    </row>
    <row r="21" spans="1:11" ht="22.5" customHeight="1" x14ac:dyDescent="0.15">
      <c r="B21" s="93"/>
      <c r="C21" s="93"/>
      <c r="D21" s="93"/>
      <c r="E21" s="93"/>
      <c r="F21" s="93"/>
      <c r="G21" s="93"/>
      <c r="H21" s="93"/>
      <c r="I21" s="93"/>
      <c r="J21" s="93"/>
    </row>
    <row r="22" spans="1:11" ht="22.5" customHeight="1" x14ac:dyDescent="0.15">
      <c r="B22" s="93"/>
      <c r="C22" s="93"/>
      <c r="D22" s="93"/>
      <c r="E22" s="93"/>
      <c r="F22" s="93"/>
      <c r="G22" s="93"/>
      <c r="H22" s="93"/>
      <c r="I22" s="93"/>
      <c r="J22" s="93"/>
    </row>
    <row r="23" spans="1:11" ht="22.5" customHeight="1" x14ac:dyDescent="0.15">
      <c r="B23" s="93"/>
      <c r="C23" s="93"/>
      <c r="D23" s="93"/>
      <c r="E23" s="93"/>
      <c r="F23" s="93"/>
      <c r="G23" s="93"/>
      <c r="H23" s="93"/>
      <c r="I23" s="93"/>
      <c r="J23" s="93"/>
    </row>
    <row r="24" spans="1:11" ht="22.5" customHeight="1" x14ac:dyDescent="0.15">
      <c r="B24" s="85"/>
      <c r="C24" s="85"/>
      <c r="D24" s="85"/>
      <c r="E24" s="85"/>
      <c r="F24" s="85"/>
      <c r="G24" s="85"/>
      <c r="H24" s="85"/>
      <c r="I24" s="85"/>
      <c r="J24" s="85"/>
    </row>
    <row r="25" spans="1:11" ht="22.5" customHeight="1" x14ac:dyDescent="0.15">
      <c r="B25" s="85"/>
      <c r="C25" s="85"/>
      <c r="D25" s="85"/>
      <c r="E25" s="85"/>
      <c r="F25" s="85"/>
      <c r="G25" s="85"/>
      <c r="H25" s="85"/>
      <c r="I25" s="85"/>
      <c r="J25" s="85"/>
    </row>
    <row r="26" spans="1:11" ht="22.5" customHeight="1" x14ac:dyDescent="0.15">
      <c r="B26" s="85"/>
      <c r="C26" s="85"/>
      <c r="D26" s="85"/>
      <c r="E26" s="85"/>
      <c r="F26" s="85"/>
      <c r="G26" s="85"/>
      <c r="H26" s="85"/>
      <c r="I26" s="85"/>
      <c r="J26" s="85"/>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 r:id="rId1" xr:uid="{71B4D79D-8C2D-49C4-879A-2950FF3B4F90}"/>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K.Sugihara</cp:lastModifiedBy>
  <cp:lastPrinted>2022-05-20T03:10:11Z</cp:lastPrinted>
  <dcterms:created xsi:type="dcterms:W3CDTF">2011-06-14T05:32:50Z</dcterms:created>
  <dcterms:modified xsi:type="dcterms:W3CDTF">2022-05-23T09:20:36Z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