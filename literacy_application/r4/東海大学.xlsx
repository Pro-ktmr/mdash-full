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C:\Users\cp1049\Desktop\"/>
    </mc:Choice>
  </mc:AlternateContent>
  <xr:revisionPtr revIDLastSave="0" documentId="13_ncr:1_{4DEB99D2-09FD-4D08-8B7D-B7979B865657}" xr6:coauthVersionLast="36" xr6:coauthVersionMax="36" xr10:uidLastSave="{00000000-0000-0000-0000-000000000000}"/>
  <bookViews>
    <workbookView xWindow="0" yWindow="0" windowWidth="23040" windowHeight="8964" tabRatio="885" activeTab="2"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P30" i="40" l="1"/>
  <c r="O30" i="40"/>
  <c r="N30" i="40"/>
  <c r="M30" i="40"/>
  <c r="L30" i="40"/>
  <c r="K30" i="40"/>
  <c r="J30" i="40"/>
  <c r="I30" i="40"/>
  <c r="H30" i="40"/>
  <c r="G30" i="40"/>
  <c r="F30" i="40"/>
  <c r="E30" i="40"/>
  <c r="D30" i="40"/>
  <c r="C30" i="40"/>
  <c r="Q28" i="40"/>
  <c r="R28" i="40" s="1"/>
  <c r="Q27" i="40"/>
  <c r="R27" i="40" s="1"/>
  <c r="Q26" i="40"/>
  <c r="R26" i="40" s="1"/>
  <c r="R25" i="40"/>
  <c r="Q25" i="40"/>
  <c r="Q24" i="40"/>
  <c r="R24" i="40" s="1"/>
  <c r="R23" i="40"/>
  <c r="Q23" i="40"/>
  <c r="R22" i="40"/>
  <c r="Q22" i="40"/>
  <c r="Q21" i="40"/>
  <c r="R21" i="40" s="1"/>
  <c r="Q20" i="40"/>
  <c r="R20" i="40" s="1"/>
  <c r="R19" i="40"/>
  <c r="Q19" i="40"/>
  <c r="Q18" i="40"/>
  <c r="R18" i="40" s="1"/>
  <c r="R17" i="40"/>
  <c r="Q17" i="40"/>
  <c r="R16" i="40"/>
  <c r="Q16" i="40"/>
  <c r="R15" i="40"/>
  <c r="Q15" i="40"/>
  <c r="Q14" i="40"/>
  <c r="R14" i="40" s="1"/>
  <c r="R13" i="40"/>
  <c r="Q13" i="40"/>
  <c r="Q12" i="40"/>
  <c r="Q30" i="40" s="1"/>
  <c r="R30" i="40" s="1"/>
  <c r="R11" i="40"/>
  <c r="Q11" i="40"/>
  <c r="R10" i="40"/>
  <c r="Q10" i="40"/>
  <c r="R12" i="40" l="1"/>
  <c r="I29" i="41" l="1"/>
  <c r="K18" i="42"/>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C28" i="41" l="1"/>
</calcChain>
</file>

<file path=xl/sharedStrings.xml><?xml version="1.0" encoding="utf-8"?>
<sst xmlns="http://schemas.openxmlformats.org/spreadsheetml/2006/main" count="383" uniqueCount="224">
  <si>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</si>
  <si>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</si>
  <si>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</si>
  <si>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</si>
  <si>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</si>
  <si>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</si>
  <si>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</si>
  <si>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</si>
  <si>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</si>
  <si>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</si>
  <si>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</si>
  <si>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</si>
  <si>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</si>
  <si>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</si>
  <si>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</si>
  <si>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</si>
  <si>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</si>
  <si>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</si>
  <si>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</si>
  <si>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</si>
  <si>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</si>
  <si>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</si>
  <si>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</si>
  <si>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</si>
  <si>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</si>
  <si>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</si>
  <si>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</si>
  <si>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</si>
  <si>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</si>
  <si>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</si>
  <si>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</si>
  <si>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</si>
  <si>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</si>
  <si>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</si>
  <si>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</si>
  <si>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</si>
  <si>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</si>
  <si>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</si>
  <si>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</si>
  <si>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</si>
  <si>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</si>
  <si>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</si>
  <si>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</si>
  <si>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</si>
  <si>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</si>
  <si>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</si>
  <si>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</si>
  <si>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</si>
  <si>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⑫</t>
    <phoneticPr fontId="1"/>
  </si>
  <si>
    <t>総数</t>
    <rPh sb="0" eb="2">
      <t>ソウスウ</t>
    </rPh>
    <phoneticPr fontId="1"/>
  </si>
  <si>
    <t>⑧</t>
    <phoneticPr fontId="1"/>
  </si>
  <si>
    <t>⑬</t>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</si>
  <si>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</si>
  <si>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</si>
  <si>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</si>
  <si>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</si>
  <si>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</si>
  <si>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</si>
  <si>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</si>
  <si>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</si>
  <si>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</si>
  <si>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</si>
  <si>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</si>
  <si>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</si>
  <si>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</si>
  <si>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</si>
  <si>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</si>
  <si>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</si>
  <si>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</si>
  <si>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</si>
  <si>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</si>
  <si>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</si>
  <si>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</si>
  <si>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</si>
  <si>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</si>
  <si>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</si>
  <si>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</si>
  <si>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</si>
  <si>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</si>
  <si>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</si>
  <si>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</si>
  <si>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</si>
  <si>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</si>
  <si>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</si>
  <si>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</si>
  <si>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</si>
  <si>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</si>
  <si>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</si>
  <si>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</si>
  <si>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</si>
  <si>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</si>
  <si>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</si>
  <si>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</si>
  <si>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</si>
  <si>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</si>
  <si>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</si>
  <si>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</si>
  <si>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</si>
  <si>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</si>
  <si>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</si>
  <si>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</si>
  <si>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</si>
  <si>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</si>
  <si>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</si>
  <si>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</si>
  <si>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</si>
  <si>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</si>
  <si>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</si>
  <si>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</si>
  <si>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</si>
  <si>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</si>
  <si>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</si>
  <si>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</si>
  <si>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</si>
  <si>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</si>
  <si>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</si>
  <si>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</si>
  <si>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</si>
  <si>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</si>
  <si>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</si>
  <si>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</si>
  <si>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</si>
  <si>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</si>
  <si>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</si>
  <si>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</si>
  <si>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</si>
  <si>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</si>
  <si>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</si>
  <si>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</si>
  <si>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</si>
  <si>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</si>
  <si>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</si>
  <si>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</si>
  <si>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</si>
  <si>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</si>
  <si>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</si>
  <si>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</si>
  <si>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</si>
  <si>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</si>
  <si>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</si>
  <si>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</si>
  <si>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</si>
  <si>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</si>
  <si>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[1]AIやデータサイエンスが、現代の社会変化とどのように関係しているか具体例を伴って説明できる。[2]AIやデータサイエンスが、非常に多種多様・広範囲のデータを活用し、問題解決のツールとして具体例を説明できる。[3]AIやデータサイエンスは、現代社会の様々な分野において、新しい価値を生み出していることについて具体例を説明できる。[4]AIやデータサイエンスを扱う際は、個人情報の取り扱いや倫理の問題などを考慮しなければならないと、具体的に説明できる。[5]AIやデータサイエンスを、自分の生活や学習、仕事に活かす基本的な手法を、具体的なデータをもとにして実践できる。</t>
    <phoneticPr fontId="1"/>
  </si>
  <si>
    <t>東海大学</t>
    <rPh sb="0" eb="4">
      <t>トウカイダイガク</t>
    </rPh>
    <phoneticPr fontId="1"/>
  </si>
  <si>
    <t>学校法人東海大学</t>
    <rPh sb="0" eb="2">
      <t>ガッコウ</t>
    </rPh>
    <rPh sb="2" eb="4">
      <t>ホウジン</t>
    </rPh>
    <rPh sb="4" eb="8">
      <t>トウカイダイガク</t>
    </rPh>
    <phoneticPr fontId="1"/>
  </si>
  <si>
    <t>私立大学</t>
    <rPh sb="0" eb="2">
      <t>シリツ</t>
    </rPh>
    <rPh sb="2" eb="4">
      <t>ダイガク</t>
    </rPh>
    <phoneticPr fontId="1"/>
  </si>
  <si>
    <t>神奈川県平塚市北金目4丁目１番1号</t>
    <rPh sb="0" eb="4">
      <t>カナガワケン</t>
    </rPh>
    <rPh sb="4" eb="7">
      <t>ヒラツカシ</t>
    </rPh>
    <rPh sb="7" eb="8">
      <t>キタ</t>
    </rPh>
    <rPh sb="8" eb="10">
      <t>カナメ</t>
    </rPh>
    <rPh sb="11" eb="13">
      <t>チョウメ</t>
    </rPh>
    <rPh sb="14" eb="15">
      <t>バン</t>
    </rPh>
    <rPh sb="16" eb="17">
      <t>ゴウ</t>
    </rPh>
    <phoneticPr fontId="1"/>
  </si>
  <si>
    <t>東海大学 数理・データサイエンス・AI教育プログラム</t>
    <rPh sb="0" eb="4">
      <t>トウカイダイガク</t>
    </rPh>
    <rPh sb="5" eb="7">
      <t>スウリ</t>
    </rPh>
    <rPh sb="19" eb="21">
      <t>キョウイク</t>
    </rPh>
    <phoneticPr fontId="1"/>
  </si>
  <si>
    <t>無</t>
  </si>
  <si>
    <t>中嶋 卓雄</t>
    <rPh sb="0" eb="2">
      <t>ナカシマ</t>
    </rPh>
    <rPh sb="3" eb="5">
      <t>タクオ</t>
    </rPh>
    <phoneticPr fontId="1"/>
  </si>
  <si>
    <t>理系教育センター(情報教育センター)所長・学長補佐</t>
    <phoneticPr fontId="1"/>
  </si>
  <si>
    <t>理系教育センター(情報教育センター)</t>
    <rPh sb="0" eb="4">
      <t>リケイキョウイク</t>
    </rPh>
    <rPh sb="9" eb="13">
      <t>ジョウホウキョウイク</t>
    </rPh>
    <phoneticPr fontId="1"/>
  </si>
  <si>
    <t>理系教育センター(情報教育センター)所長・学長補佐</t>
    <rPh sb="0" eb="4">
      <t>リケイキョウイク</t>
    </rPh>
    <rPh sb="9" eb="13">
      <t>ジョウホウキョウイク</t>
    </rPh>
    <rPh sb="18" eb="20">
      <t>ショチョウ</t>
    </rPh>
    <rPh sb="19" eb="20">
      <t>チョウ</t>
    </rPh>
    <rPh sb="21" eb="25">
      <t>ガクチョウホサ</t>
    </rPh>
    <phoneticPr fontId="1"/>
  </si>
  <si>
    <t>認定教育プログラム</t>
  </si>
  <si>
    <t>⑯</t>
    <phoneticPr fontId="1"/>
  </si>
  <si>
    <t>宮川 幹平・谷口 唯成・栗田 太作</t>
    <rPh sb="0" eb="2">
      <t>ミヤカワ</t>
    </rPh>
    <rPh sb="3" eb="5">
      <t>カンペイ</t>
    </rPh>
    <rPh sb="6" eb="8">
      <t>タニグチ</t>
    </rPh>
    <rPh sb="9" eb="10">
      <t>タダ</t>
    </rPh>
    <rPh sb="10" eb="11">
      <t>ナリ</t>
    </rPh>
    <rPh sb="12" eb="14">
      <t>クリタ</t>
    </rPh>
    <rPh sb="15" eb="16">
      <t>フトシ</t>
    </rPh>
    <rPh sb="16" eb="17">
      <t>サク</t>
    </rPh>
    <phoneticPr fontId="1"/>
  </si>
  <si>
    <t>stem_education@tsc.u-tokai.ac.jp</t>
    <phoneticPr fontId="1"/>
  </si>
  <si>
    <t>0463-58-1211(代表)</t>
    <rPh sb="13" eb="15">
      <t>ダイヒョウ</t>
    </rPh>
    <phoneticPr fontId="1"/>
  </si>
  <si>
    <t>学部・学科によって、修了要件は相違しない</t>
  </si>
  <si>
    <t>ICT入門</t>
    <rPh sb="3" eb="5">
      <t>ニュウモン</t>
    </rPh>
    <phoneticPr fontId="1"/>
  </si>
  <si>
    <t>○</t>
  </si>
  <si>
    <t>全学開講</t>
  </si>
  <si>
    <t>人工知能</t>
    <rPh sb="0" eb="4">
      <t>ジンコウチノウ</t>
    </rPh>
    <phoneticPr fontId="1"/>
  </si>
  <si>
    <t>データサイエンス入門</t>
    <rPh sb="8" eb="10">
      <t>ニュウモン</t>
    </rPh>
    <phoneticPr fontId="1"/>
  </si>
  <si>
    <t>○</t>
    <phoneticPr fontId="1"/>
  </si>
  <si>
    <t>データサイエンス基礎</t>
    <rPh sb="8" eb="10">
      <t>キソ</t>
    </rPh>
    <phoneticPr fontId="1"/>
  </si>
  <si>
    <t>4-1統計および数理基礎</t>
  </si>
  <si>
    <t>4‐2アルゴリズム基礎</t>
  </si>
  <si>
    <t>4‐3データ構造とプログラミング基礎</t>
  </si>
  <si>
    <t>4‐5テキスト解析</t>
  </si>
  <si>
    <t>4‐6画像解析</t>
  </si>
  <si>
    <t>・ビッグデータ、IoT、AI、ロボット、第４次産業革命、Society 5.0、データ駆動型社会（「ICT入門」第１回～第２回）
・データ量の増加、計算機の処理性の向上、AIの非連続的進化（「ICT入門」第2回、「人工知能」第2回～第3回）
・複数技術を組み合わせたAIサービス（「ICT入門」第1回～第2回、「人工知能」第1回）
・人間の知的活動とAIの関係性（「人工知能」第1回）
・データを起点としたものの見方（「データサイエンス入門」第1回）</t>
    <rPh sb="53" eb="55">
      <t>ニュウモン</t>
    </rPh>
    <rPh sb="56" eb="57">
      <t>ダイ</t>
    </rPh>
    <rPh sb="58" eb="59">
      <t>カイ</t>
    </rPh>
    <rPh sb="60" eb="61">
      <t>ダイ</t>
    </rPh>
    <rPh sb="62" eb="63">
      <t>カイ</t>
    </rPh>
    <rPh sb="69" eb="70">
      <t>リョウ</t>
    </rPh>
    <rPh sb="71" eb="73">
      <t>ゾウカ</t>
    </rPh>
    <rPh sb="74" eb="77">
      <t>ケイサンキ</t>
    </rPh>
    <rPh sb="78" eb="81">
      <t>ショリセイ</t>
    </rPh>
    <rPh sb="82" eb="84">
      <t>コウジョウ</t>
    </rPh>
    <rPh sb="88" eb="92">
      <t>ヒレンゾクテキ</t>
    </rPh>
    <rPh sb="92" eb="94">
      <t>シンカ</t>
    </rPh>
    <rPh sb="99" eb="101">
      <t>ニュウモン</t>
    </rPh>
    <rPh sb="102" eb="103">
      <t>ダイ</t>
    </rPh>
    <rPh sb="104" eb="105">
      <t>カイ</t>
    </rPh>
    <rPh sb="107" eb="111">
      <t>ジンコウチノウ</t>
    </rPh>
    <rPh sb="112" eb="113">
      <t>ダイ</t>
    </rPh>
    <rPh sb="114" eb="115">
      <t>カイ</t>
    </rPh>
    <rPh sb="116" eb="117">
      <t>ダイ</t>
    </rPh>
    <rPh sb="118" eb="119">
      <t>カイ</t>
    </rPh>
    <rPh sb="122" eb="126">
      <t>フクスウギジュツ</t>
    </rPh>
    <rPh sb="127" eb="128">
      <t>ク</t>
    </rPh>
    <rPh sb="129" eb="130">
      <t>ア</t>
    </rPh>
    <rPh sb="144" eb="146">
      <t>ニュウモン</t>
    </rPh>
    <rPh sb="147" eb="148">
      <t>ダイ</t>
    </rPh>
    <rPh sb="149" eb="150">
      <t>カイ</t>
    </rPh>
    <rPh sb="151" eb="152">
      <t>ダイ</t>
    </rPh>
    <rPh sb="153" eb="154">
      <t>カイ</t>
    </rPh>
    <rPh sb="156" eb="160">
      <t>ジンコウチノウ</t>
    </rPh>
    <rPh sb="161" eb="162">
      <t>ダイ</t>
    </rPh>
    <rPh sb="163" eb="164">
      <t>カイ</t>
    </rPh>
    <rPh sb="167" eb="169">
      <t>ニンゲン</t>
    </rPh>
    <rPh sb="170" eb="174">
      <t>チテキカツドウ</t>
    </rPh>
    <rPh sb="178" eb="181">
      <t>カンケイセイ</t>
    </rPh>
    <rPh sb="183" eb="187">
      <t>ジンコウチノウ</t>
    </rPh>
    <rPh sb="188" eb="189">
      <t>ダイ</t>
    </rPh>
    <rPh sb="190" eb="191">
      <t>カイ</t>
    </rPh>
    <rPh sb="198" eb="200">
      <t>キテン</t>
    </rPh>
    <rPh sb="206" eb="208">
      <t>ミカタ</t>
    </rPh>
    <rPh sb="218" eb="220">
      <t>ニュウモン</t>
    </rPh>
    <rPh sb="221" eb="222">
      <t>ダイ</t>
    </rPh>
    <rPh sb="223" eb="224">
      <t>カイ</t>
    </rPh>
    <phoneticPr fontId="1"/>
  </si>
  <si>
    <t>・AI等を活用した新しいビジネスモデル（「ICT入門」第1回～第2回、「人工知能」第1回）
・AI最新技術の活用例（「人工知能」第8回・第11回・第12回）</t>
    <rPh sb="3" eb="4">
      <t>トウ</t>
    </rPh>
    <rPh sb="5" eb="7">
      <t>カツヨウ</t>
    </rPh>
    <rPh sb="9" eb="10">
      <t>アタラ</t>
    </rPh>
    <rPh sb="24" eb="26">
      <t>ニュウモン</t>
    </rPh>
    <rPh sb="27" eb="28">
      <t>ダイ</t>
    </rPh>
    <rPh sb="29" eb="30">
      <t>カイ</t>
    </rPh>
    <rPh sb="31" eb="32">
      <t>ダイ</t>
    </rPh>
    <rPh sb="33" eb="34">
      <t>カイ</t>
    </rPh>
    <rPh sb="36" eb="40">
      <t>ジンコウチノウ</t>
    </rPh>
    <rPh sb="41" eb="42">
      <t>ダイ</t>
    </rPh>
    <rPh sb="43" eb="44">
      <t>カイ</t>
    </rPh>
    <rPh sb="49" eb="51">
      <t>サイシン</t>
    </rPh>
    <rPh sb="51" eb="53">
      <t>ギジュツ</t>
    </rPh>
    <rPh sb="54" eb="57">
      <t>カツヨウレイ</t>
    </rPh>
    <rPh sb="59" eb="63">
      <t>ジンコウチノウ</t>
    </rPh>
    <rPh sb="64" eb="65">
      <t>ダイ</t>
    </rPh>
    <rPh sb="66" eb="67">
      <t>カイ</t>
    </rPh>
    <rPh sb="68" eb="69">
      <t>ダイ</t>
    </rPh>
    <rPh sb="71" eb="72">
      <t>カイ</t>
    </rPh>
    <rPh sb="73" eb="74">
      <t>ダイ</t>
    </rPh>
    <rPh sb="76" eb="77">
      <t>カイダイカイ</t>
    </rPh>
    <phoneticPr fontId="1"/>
  </si>
  <si>
    <t>・様々なデータの種別：調査データ・実験データ・行動ログデータ・稼働ログデータ・１次データ・2次データ・表形式・構造化データ、データのオープン化、ビッグデータとアノテーション（「データサイエンス入門」第1回、「人工知能」第3回）
・文章・画像・音声等の構造化データ（「人工知能」第10回・第11回）</t>
    <rPh sb="1" eb="3">
      <t>サマザマ</t>
    </rPh>
    <rPh sb="8" eb="10">
      <t>シュベツ</t>
    </rPh>
    <rPh sb="11" eb="13">
      <t>チョウサ</t>
    </rPh>
    <rPh sb="17" eb="19">
      <t>ジッケン</t>
    </rPh>
    <rPh sb="23" eb="25">
      <t>コウドウ</t>
    </rPh>
    <rPh sb="31" eb="33">
      <t>カドウ</t>
    </rPh>
    <rPh sb="40" eb="41">
      <t>ジ</t>
    </rPh>
    <rPh sb="46" eb="47">
      <t>ジ</t>
    </rPh>
    <rPh sb="51" eb="54">
      <t>ヒョウケイシキ</t>
    </rPh>
    <rPh sb="55" eb="58">
      <t>コウゾウカ</t>
    </rPh>
    <rPh sb="70" eb="71">
      <t>カ</t>
    </rPh>
    <rPh sb="133" eb="137">
      <t>ジンコウチノウ</t>
    </rPh>
    <rPh sb="138" eb="139">
      <t>ダイ</t>
    </rPh>
    <rPh sb="141" eb="142">
      <t>カイ</t>
    </rPh>
    <rPh sb="143" eb="144">
      <t>ダイ</t>
    </rPh>
    <rPh sb="146" eb="147">
      <t>カイ</t>
    </rPh>
    <phoneticPr fontId="1"/>
  </si>
  <si>
    <t>・データ・AI活用領域の広がり、研究開発・物流・販売・マーケティング・各種サービスにおける課題とデータサイエンスとの関わり（「ICT入門」第1回～第2回、「データサイエンス入門」第1回、「人工知能」第1回・第3回）</t>
    <rPh sb="7" eb="11">
      <t>カツヨウリョウイキ</t>
    </rPh>
    <rPh sb="12" eb="13">
      <t>ヒロ</t>
    </rPh>
    <rPh sb="16" eb="18">
      <t>ケンキュウ</t>
    </rPh>
    <rPh sb="18" eb="20">
      <t>カイハツ</t>
    </rPh>
    <rPh sb="21" eb="23">
      <t>ブツリュウ</t>
    </rPh>
    <rPh sb="24" eb="26">
      <t>ハンバイ</t>
    </rPh>
    <rPh sb="35" eb="37">
      <t>カクシュ</t>
    </rPh>
    <rPh sb="45" eb="47">
      <t>カダイ</t>
    </rPh>
    <rPh sb="58" eb="59">
      <t>カカ</t>
    </rPh>
    <rPh sb="66" eb="68">
      <t>ニュウモン</t>
    </rPh>
    <rPh sb="69" eb="70">
      <t>ダイ</t>
    </rPh>
    <rPh sb="71" eb="72">
      <t>カイ</t>
    </rPh>
    <rPh sb="73" eb="74">
      <t>ダイ</t>
    </rPh>
    <rPh sb="75" eb="76">
      <t>カイ</t>
    </rPh>
    <rPh sb="86" eb="88">
      <t>ニュウモン</t>
    </rPh>
    <rPh sb="89" eb="90">
      <t>ダイ</t>
    </rPh>
    <rPh sb="91" eb="92">
      <t>カイ</t>
    </rPh>
    <rPh sb="94" eb="98">
      <t>ジンコウチノウ</t>
    </rPh>
    <rPh sb="99" eb="100">
      <t>ダイ</t>
    </rPh>
    <rPh sb="101" eb="102">
      <t>カイ</t>
    </rPh>
    <rPh sb="103" eb="104">
      <t>ダイ</t>
    </rPh>
    <rPh sb="105" eb="106">
      <t>カイ</t>
    </rPh>
    <phoneticPr fontId="1"/>
  </si>
  <si>
    <t>・データサイエンスのサイクル（仮説抽出と定式化、データの収集・可視化・分析 PPDAC、課題解決のプロセス）（「データサイエンス入門」第1回）
・データ・AI利活用事例紹介（「ICT入門」第1回～第2回、「データサイエンス入門」第1回、「人工知能」第1回・第3回）</t>
    <rPh sb="15" eb="17">
      <t>カセツ</t>
    </rPh>
    <rPh sb="17" eb="19">
      <t>チュウシュツ</t>
    </rPh>
    <rPh sb="20" eb="23">
      <t>テイシキカ</t>
    </rPh>
    <rPh sb="28" eb="30">
      <t>シュウシュウ</t>
    </rPh>
    <rPh sb="31" eb="34">
      <t>カシカ</t>
    </rPh>
    <rPh sb="35" eb="37">
      <t>ブンセキ</t>
    </rPh>
    <rPh sb="44" eb="46">
      <t>カダイ</t>
    </rPh>
    <rPh sb="46" eb="48">
      <t>カイケツ</t>
    </rPh>
    <rPh sb="64" eb="66">
      <t>ニュウモン</t>
    </rPh>
    <rPh sb="67" eb="68">
      <t>ダイ</t>
    </rPh>
    <rPh sb="69" eb="70">
      <t>カイ</t>
    </rPh>
    <rPh sb="82" eb="84">
      <t>ジレイ</t>
    </rPh>
    <rPh sb="84" eb="86">
      <t>ショウカイ</t>
    </rPh>
    <rPh sb="91" eb="93">
      <t>ニュウモン</t>
    </rPh>
    <rPh sb="94" eb="95">
      <t>ダイ</t>
    </rPh>
    <rPh sb="96" eb="97">
      <t>カイ</t>
    </rPh>
    <rPh sb="98" eb="99">
      <t>ダイ</t>
    </rPh>
    <rPh sb="100" eb="101">
      <t>カイ</t>
    </rPh>
    <phoneticPr fontId="1"/>
  </si>
  <si>
    <t>・情報倫理、個人情報保護・プライバシー保護・忘れられる権利（「ICT入門」第3回）
・AI社会原則、AIサービスの責任論（「人工知能」第13回・第14回）
・データ・AI活用における負の事例紹介（「ICT入門」第1回～第2回、「データサイエンス入門」第1回、「人工知能」第1回・第3回）</t>
    <rPh sb="1" eb="5">
      <t>ジョウホウリンリ</t>
    </rPh>
    <rPh sb="6" eb="12">
      <t>コジンジョウホウホゴ</t>
    </rPh>
    <rPh sb="19" eb="21">
      <t>ホゴ</t>
    </rPh>
    <rPh sb="22" eb="23">
      <t>ワス</t>
    </rPh>
    <rPh sb="27" eb="29">
      <t>ケンリ</t>
    </rPh>
    <rPh sb="34" eb="36">
      <t>ニュウモン</t>
    </rPh>
    <rPh sb="37" eb="38">
      <t>ダイ</t>
    </rPh>
    <rPh sb="39" eb="40">
      <t>カイ</t>
    </rPh>
    <rPh sb="45" eb="49">
      <t>シャカイゲンソク</t>
    </rPh>
    <rPh sb="57" eb="60">
      <t>セキニンロン</t>
    </rPh>
    <rPh sb="67" eb="68">
      <t>ダイ</t>
    </rPh>
    <rPh sb="70" eb="71">
      <t>カイ</t>
    </rPh>
    <rPh sb="85" eb="87">
      <t>カツヨウ</t>
    </rPh>
    <rPh sb="91" eb="92">
      <t>フ</t>
    </rPh>
    <rPh sb="93" eb="97">
      <t>ジレイショウカイ</t>
    </rPh>
    <phoneticPr fontId="1"/>
  </si>
  <si>
    <t>・情報セキュリティの３特性（機密性・完全性・可用性）、暗号処理、パスワードの管理、盗聴・改ざんなどのセキュリティインシデント事例紹介と基本的対策（「ICT入門」第11回）</t>
    <rPh sb="1" eb="3">
      <t>ジョウホウ</t>
    </rPh>
    <rPh sb="11" eb="13">
      <t>トクセイ</t>
    </rPh>
    <rPh sb="14" eb="17">
      <t>キミツセイ</t>
    </rPh>
    <rPh sb="18" eb="21">
      <t>カンゼンセイ</t>
    </rPh>
    <rPh sb="22" eb="25">
      <t>カヨウセイ</t>
    </rPh>
    <rPh sb="27" eb="31">
      <t>アンゴウショリ</t>
    </rPh>
    <rPh sb="38" eb="40">
      <t>カンリ</t>
    </rPh>
    <rPh sb="41" eb="43">
      <t>トウチョウ</t>
    </rPh>
    <rPh sb="44" eb="45">
      <t>カイ</t>
    </rPh>
    <rPh sb="62" eb="66">
      <t>ジレイショウカイ</t>
    </rPh>
    <rPh sb="67" eb="72">
      <t>キホンテキタイサク</t>
    </rPh>
    <rPh sb="77" eb="79">
      <t>ニュウモン</t>
    </rPh>
    <rPh sb="80" eb="81">
      <t>ダイ</t>
    </rPh>
    <rPh sb="83" eb="84">
      <t>カイ</t>
    </rPh>
    <phoneticPr fontId="1"/>
  </si>
  <si>
    <t>http://ictedu.u-tokai.ac.jp/index.php/tmda/</t>
    <phoneticPr fontId="1"/>
  </si>
  <si>
    <t>文学部</t>
    <rPh sb="0" eb="3">
      <t>ブンガクブ</t>
    </rPh>
    <phoneticPr fontId="1"/>
  </si>
  <si>
    <t>文化社会学部</t>
    <rPh sb="0" eb="6">
      <t>ブンカシャカイガクブ</t>
    </rPh>
    <phoneticPr fontId="1"/>
  </si>
  <si>
    <t>政治経済学部</t>
    <rPh sb="0" eb="6">
      <t>セイジケイザイガクブ</t>
    </rPh>
    <phoneticPr fontId="1"/>
  </si>
  <si>
    <t>法学部</t>
    <rPh sb="0" eb="3">
      <t>ホウガクブ</t>
    </rPh>
    <phoneticPr fontId="1"/>
  </si>
  <si>
    <t>教養学部</t>
    <rPh sb="0" eb="4">
      <t>キョウヨウガクブ</t>
    </rPh>
    <phoneticPr fontId="1"/>
  </si>
  <si>
    <t>体育学部</t>
    <rPh sb="0" eb="4">
      <t>タイイクガクブ</t>
    </rPh>
    <phoneticPr fontId="1"/>
  </si>
  <si>
    <t>健康学部</t>
    <rPh sb="0" eb="4">
      <t>ケンコウガクブ</t>
    </rPh>
    <phoneticPr fontId="1"/>
  </si>
  <si>
    <t>理学部</t>
    <rPh sb="0" eb="3">
      <t>リガクブ</t>
    </rPh>
    <phoneticPr fontId="1"/>
  </si>
  <si>
    <t>情報理工学部</t>
    <rPh sb="0" eb="6">
      <t>ジョウホウリコウガクブ</t>
    </rPh>
    <phoneticPr fontId="1"/>
  </si>
  <si>
    <t>工学部</t>
    <rPh sb="0" eb="3">
      <t>コウガクブ</t>
    </rPh>
    <phoneticPr fontId="1"/>
  </si>
  <si>
    <t>観光学部</t>
    <rPh sb="0" eb="4">
      <t>カンコウガクブ</t>
    </rPh>
    <phoneticPr fontId="1"/>
  </si>
  <si>
    <t>情報通信学部</t>
    <rPh sb="0" eb="6">
      <t>ジョウホウツウシンガクブ</t>
    </rPh>
    <phoneticPr fontId="1"/>
  </si>
  <si>
    <t>海洋学部</t>
    <rPh sb="0" eb="4">
      <t>カイヨウガクブ</t>
    </rPh>
    <phoneticPr fontId="1"/>
  </si>
  <si>
    <t>医学部</t>
    <rPh sb="0" eb="3">
      <t>イガクブ</t>
    </rPh>
    <phoneticPr fontId="1"/>
  </si>
  <si>
    <t>経営学部</t>
    <rPh sb="0" eb="4">
      <t>ケイエイガクブ</t>
    </rPh>
    <phoneticPr fontId="1"/>
  </si>
  <si>
    <t>基盤工学部</t>
    <rPh sb="0" eb="5">
      <t>キバンコウガクブ</t>
    </rPh>
    <phoneticPr fontId="1"/>
  </si>
  <si>
    <t>農学部</t>
    <rPh sb="0" eb="3">
      <t>ノウガクブ</t>
    </rPh>
    <phoneticPr fontId="1"/>
  </si>
  <si>
    <t>国際文化学部</t>
    <rPh sb="0" eb="6">
      <t>コクサイブンカガクブ</t>
    </rPh>
    <phoneticPr fontId="1"/>
  </si>
  <si>
    <t>生物学部</t>
    <rPh sb="0" eb="4">
      <t>セイブツガクブ</t>
    </rPh>
    <phoneticPr fontId="1"/>
  </si>
  <si>
    <t>東海大学理系教育センター（情報教育センター）規程</t>
    <phoneticPr fontId="1"/>
  </si>
  <si>
    <t>東海大学理系教育センターは、本学の建学の精神に則り、理系教育に関する基礎知識及び応用能力の涵養を図り、高等教育の発展、充実に貢献するとともに、必要な研究を行うことを目的とする組織である。同センターは、「東海大学 数理・データサイエンス・AI教育プログラム」を含む、本学における全学的な理系教育について、授業企画・立案及び実施、理系教育展開に必要となる理論研究・環境整備、自己点検・評価、そしてその改善活動を担う。</t>
    <phoneticPr fontId="1"/>
  </si>
  <si>
    <t>・データの種類（量的変数・質的変数、尺度）（「データサイエンス基礎」第4回）
・データの分布と代表値、代表値の性質と解釈、ばらつきの指標、外れ値、誤差（「データサイエンス基礎」第4回）
・記述統計と推測統計、母集団と標本抽出、統計情報の正しい理解・誤解を招く表現（「データサイエンス入門」第1回）
・相関関係の分析：相関係数、相関係数行列、散布図（「データサイエンス基礎」A=第13回、「データサイエンス基礎」B=第6回）</t>
    <phoneticPr fontId="1"/>
  </si>
  <si>
    <t>・データの可視化手法（各種グラフ、散布図）（「データサイエンス基礎」A=第4回・第13回、「データサイエンス基礎」B=第6回）
・適切なグラフ表現・不適切なグラフ表現（誤解を招く表現）（「データサイエンス入門」第1回）</t>
    <rPh sb="5" eb="8">
      <t>カシカ</t>
    </rPh>
    <rPh sb="8" eb="10">
      <t>シュホウ</t>
    </rPh>
    <rPh sb="11" eb="13">
      <t>カクシュ</t>
    </rPh>
    <rPh sb="17" eb="20">
      <t>サンプズ</t>
    </rPh>
    <rPh sb="31" eb="33">
      <t>キソ</t>
    </rPh>
    <rPh sb="36" eb="37">
      <t>ダイ</t>
    </rPh>
    <rPh sb="38" eb="39">
      <t>カイ</t>
    </rPh>
    <rPh sb="40" eb="41">
      <t>ダイ</t>
    </rPh>
    <rPh sb="43" eb="44">
      <t>カイ</t>
    </rPh>
    <rPh sb="54" eb="56">
      <t>キソ</t>
    </rPh>
    <rPh sb="59" eb="60">
      <t>ダイ</t>
    </rPh>
    <rPh sb="61" eb="62">
      <t>カイ</t>
    </rPh>
    <rPh sb="65" eb="67">
      <t>テキセツ</t>
    </rPh>
    <rPh sb="71" eb="73">
      <t>ヒョウゲン</t>
    </rPh>
    <rPh sb="74" eb="77">
      <t>フテキセツ</t>
    </rPh>
    <rPh sb="81" eb="83">
      <t>ヒョウゲン</t>
    </rPh>
    <rPh sb="84" eb="86">
      <t>ゴカイ</t>
    </rPh>
    <rPh sb="87" eb="88">
      <t>マネ</t>
    </rPh>
    <rPh sb="89" eb="91">
      <t>ヒョウゲン</t>
    </rPh>
    <rPh sb="102" eb="104">
      <t>ニュウモン</t>
    </rPh>
    <rPh sb="105" eb="106">
      <t>ダイ</t>
    </rPh>
    <rPh sb="107" eb="108">
      <t>カイ</t>
    </rPh>
    <phoneticPr fontId="1"/>
  </si>
  <si>
    <t>・データの基本的な集計処理、並び替え、順序、Excelの基本的な利用方法（「データサイエンス基礎」A＝第1回・第4回、「データサイエンス基礎」B=第1回・第2回）</t>
    <rPh sb="5" eb="8">
      <t>キホンテキ</t>
    </rPh>
    <rPh sb="9" eb="13">
      <t>シュウケイショリ</t>
    </rPh>
    <rPh sb="14" eb="15">
      <t>ナラ</t>
    </rPh>
    <rPh sb="16" eb="17">
      <t>カ</t>
    </rPh>
    <rPh sb="19" eb="21">
      <t>ジュンジョ</t>
    </rPh>
    <rPh sb="28" eb="31">
      <t>キホンテキ</t>
    </rPh>
    <rPh sb="32" eb="36">
      <t>リヨウホウホウ</t>
    </rPh>
    <rPh sb="46" eb="48">
      <t>キソ</t>
    </rPh>
    <rPh sb="51" eb="52">
      <t>ダイ</t>
    </rPh>
    <rPh sb="53" eb="54">
      <t>カイ</t>
    </rPh>
    <rPh sb="55" eb="56">
      <t>ダイ</t>
    </rPh>
    <rPh sb="57" eb="58">
      <t>カイ</t>
    </rPh>
    <rPh sb="68" eb="70">
      <t>キソ</t>
    </rPh>
    <rPh sb="73" eb="74">
      <t>ダイ</t>
    </rPh>
    <rPh sb="75" eb="76">
      <t>カイ</t>
    </rPh>
    <rPh sb="77" eb="78">
      <t>ダイ</t>
    </rPh>
    <rPh sb="79" eb="80">
      <t>カイ</t>
    </rPh>
    <phoneticPr fontId="1"/>
  </si>
  <si>
    <t>プログラムを構成する以下４科目（各２単位、計８単位）を全て修得すること。
「ICT入門」「人工知能」「データサイエンス入門」「データサイエンス基礎」　（４科目とも、東海大学理系教育センターが開講する全学共通科目）
※「データサイエンス入門」と「データサイエンス基礎」は、履修登録上はそれぞれ同一科目であるが、開講クラスによって授業の構成詳細が異なる。
本プログラムの修了条件としては、どのクラスを履修してもよい（科目として単位修得すればよい）としており、教育プログラム全体として見たとき、どのようなクラスを履修したとしても、MDASHの要件である内容を含むように構成している。本申請書類においては、構成が同一の授業クラスをグループ化し、A,B,C,D,Eと科目名に続いて附番することによって区別するものとする（項目③～⑨、別添付シラバスなど参照）。附番がない場合は各クラス共通であることを意味する。</t>
    <rPh sb="6" eb="8">
      <t>コウセイ</t>
    </rPh>
    <rPh sb="10" eb="12">
      <t>イカ</t>
    </rPh>
    <rPh sb="13" eb="15">
      <t>カモク</t>
    </rPh>
    <rPh sb="16" eb="17">
      <t>カク</t>
    </rPh>
    <rPh sb="18" eb="20">
      <t>タンイ</t>
    </rPh>
    <rPh sb="21" eb="22">
      <t>ケイ</t>
    </rPh>
    <rPh sb="23" eb="25">
      <t>タンイ</t>
    </rPh>
    <rPh sb="27" eb="28">
      <t>スベ</t>
    </rPh>
    <rPh sb="29" eb="31">
      <t>シュウトク</t>
    </rPh>
    <rPh sb="41" eb="43">
      <t>ニュウモン</t>
    </rPh>
    <rPh sb="45" eb="49">
      <t>ジンコウチノウ</t>
    </rPh>
    <rPh sb="59" eb="61">
      <t>ニュウモン</t>
    </rPh>
    <rPh sb="71" eb="73">
      <t>キソ</t>
    </rPh>
    <rPh sb="77" eb="79">
      <t>カモク</t>
    </rPh>
    <rPh sb="82" eb="90">
      <t>トウカイダイガクリケイキョウイク</t>
    </rPh>
    <rPh sb="95" eb="97">
      <t>カイコウ</t>
    </rPh>
    <rPh sb="99" eb="105">
      <t>ゼンガクキョウツウカモク</t>
    </rPh>
    <rPh sb="117" eb="119">
      <t>ニュウモン</t>
    </rPh>
    <rPh sb="130" eb="132">
      <t>キソ</t>
    </rPh>
    <rPh sb="135" eb="139">
      <t>リシュウトウロク</t>
    </rPh>
    <rPh sb="154" eb="156">
      <t>カイコウ</t>
    </rPh>
    <rPh sb="167" eb="169">
      <t>ショウサイ</t>
    </rPh>
    <rPh sb="170" eb="171">
      <t>コト</t>
    </rPh>
    <rPh sb="182" eb="184">
      <t>シュウリョウ</t>
    </rPh>
    <rPh sb="184" eb="186">
      <t>ジョウケン</t>
    </rPh>
    <rPh sb="197" eb="199">
      <t>リシュウ</t>
    </rPh>
    <rPh sb="205" eb="207">
      <t>カモク</t>
    </rPh>
    <rPh sb="227" eb="229">
      <t>キョウイク</t>
    </rPh>
    <rPh sb="234" eb="236">
      <t>ゼンタイ</t>
    </rPh>
    <rPh sb="239" eb="240">
      <t>ミ</t>
    </rPh>
    <rPh sb="253" eb="255">
      <t>リシュウ</t>
    </rPh>
    <rPh sb="268" eb="270">
      <t>ヨウケン</t>
    </rPh>
    <rPh sb="273" eb="275">
      <t>ナイヨウ</t>
    </rPh>
    <rPh sb="276" eb="277">
      <t>フク</t>
    </rPh>
    <rPh sb="281" eb="283">
      <t>コウセイ</t>
    </rPh>
    <rPh sb="298" eb="299">
      <t>カク</t>
    </rPh>
    <rPh sb="299" eb="301">
      <t>コウセイ</t>
    </rPh>
    <rPh sb="302" eb="304">
      <t>ドウイツ</t>
    </rPh>
    <rPh sb="305" eb="307">
      <t>ジュギョウ</t>
    </rPh>
    <rPh sb="315" eb="316">
      <t>カ</t>
    </rPh>
    <rPh sb="328" eb="331">
      <t>カモクメイ</t>
    </rPh>
    <rPh sb="332" eb="333">
      <t>ツヅ</t>
    </rPh>
    <rPh sb="335" eb="337">
      <t>フバン</t>
    </rPh>
    <rPh sb="354" eb="356">
      <t>コウモク</t>
    </rPh>
    <rPh sb="360" eb="363">
      <t>ベツテンプ</t>
    </rPh>
    <rPh sb="370" eb="372">
      <t>サンショウ</t>
    </rPh>
    <rPh sb="374" eb="376">
      <t>フバン</t>
    </rPh>
    <rPh sb="379" eb="381">
      <t>バアイ</t>
    </rPh>
    <rPh sb="386" eb="388">
      <t>キョウツウ</t>
    </rPh>
    <rPh sb="394" eb="396">
      <t>イミ</t>
    </rPh>
    <phoneticPr fontId="1"/>
  </si>
  <si>
    <t>各授業担当は週に１コマ（100分）以上のオフィスアワーを設定している。受講生は必要に応じて学習に関する質問・相談を行うことができる。また、各授業担当のメールアドレスを公開しており、電子メールによる非同期の質問・相談も可能になっている。
理系教育センター全体としては、汎用的に活用している代表メールアドレス、学生が使い慣れているSNSでの相談窓口に加え、⑦で述べた本プログラム全体に関する専用コミュニティチームを開設・運用している。これらの対応は理系教育センターにおける本プログラムワーキングチームに属する専任教員全員体制となっており、全学から寄せられる様々な個別相談対応に対して、各教員の専門分野を活かしながら、授業時間に限らず、出来るだけ迅速に対応できるよう取り計らっている。</t>
    <phoneticPr fontId="1"/>
  </si>
  <si>
    <t>本学理系教育センターが全学開講している「ビジネスIT応用A/B」に参画頂いている企業担当者との定期的なミーティングを通じ、本プログラムの内容・手法等について、産業界からの視点を含めた意見交換を実施する体制である。2022年4月に実施した最新のミーティングにおいては、問題解決の基本的なフレームやICTに関する基礎知識を踏まえて、データ分析のプロセスにおける全体像を早期から意識させていくことが重要との意見を得た。よって、数理・データサイエンス・AIだけに留まらず、ICT全般の学びの一部として明確に本プログラムを位置づけるという方向性については、産業界にも十分アピールできるものだと判断している。</t>
    <phoneticPr fontId="1"/>
  </si>
  <si>
    <t>http://ictedu.u-tokai.ac.jp/index.php/tmda/tmda-self-assessment/</t>
    <phoneticPr fontId="1"/>
  </si>
  <si>
    <t>本プログラムを構成する４科目の履修登録状況及び単位修得状況は、学生情報システムを通じて正確に把握できており、これらの情報をもとに、各年度における本プログラムの履修・修得状況を分析する体制である。
なお、令和3年度の履修者は湘南校舎所属の学生に集中し、湘南校舎に限れば、履修者は湘南校舎の全学部に及んでいるもの、湘南校舎以外に所属する学生の履修率向上余地はまだ大きいと考えられる。また令和3年度の修了者は22名と少数に留まるものの、本プログラム４科目を複数年度に渡って履修する計画を立てている学生も少なくないことから、慎重に状況を注視していくべきと考えている。</t>
  </si>
  <si>
    <t>本プログラムを構成する４科目の成績分布は、学生情報システムを通じて正確に把握できており、各授業が利用するLMSコース上の評価記録と合わせ、本プログラムの学修成果を詳細に分析する体制である。
令和3年度、各科目の単位修得率は、ICT入門83.3%、人工知能83.8%、データサイエンス入門78.8%、データサイエンス基礎82.9%と、概ね良好である。特に、令和3年度の修了者22名の成績を詳細に分析すると、各科目のA評価以上の比率は86.4%～100.0%と極めて高い。よって、本プログラム修了者は、本プログラム全体の学修を通じ、目標とする学修成果を概ね得たものと考えられる。</t>
  </si>
  <si>
    <t>学生の内容の理解度については、本学全授業を対象とした授業評価アンケートの結果と、本プログラムを修了した学生を対象としたフォローアップアンケートの結果に基づいて分析する体制である。
令和3年度について、授業評価アンケートの結果をみると、理解度及び学習到達目標達成の評価は本プログラムの４科目全てにおいて、５段階評価の上位2段階（そう思う・ややそう思う）と回答した学生は75%以上であり、概ね良好な結果が得られている。次に、フォローアップアンケートの結果（回収36.4% 8件）をみると、本プログラムの達成目標である５項目のうち４項目について、最上位段階（強くそう思う）の回答が最も多かった。</t>
  </si>
  <si>
    <t>他学生への推奨度については、本学全授業を対象とした授業評価アンケートの結果と、本プログラムを修了した学生を対象としたフォローアップアンケートの結果に基づいて分析する体制である。
令和3年度について、授業評価アンケートにおける授業満足度の回答結果は本プログラムの４科目すべてにおいて、５段階評価の上位2段階（そう思う・ややそう思う）と回答した学生は80%以上を占めており、間接的に推奨度としても概ね良好と推測している。次に、フォローアップアンケートの結果（回収36.4% 8件）をみると、回答者全員が「勧めたいと思う」以上を選択しており、概ね良好な結果が得られた。</t>
  </si>
  <si>
    <t>本プログラムを構成する４科目については、履修登録者だけでなく、履修希望者の数を正確に把握できる仕組みを整えており、その情報に応じて開講コマ数や時間割配置、授業形態等の改善・調整を図り、履修者数・履修率の拡大を図る体制である。
令和3年度について、各授業において、履修希望者が授業定員を超過することによる履修制限が常態化しており、より多くの履修希望者を受け入れる体制を整えることが、本プログラムの履修率を向上させる大きなポイントである。具体的な方策として、特にプログラム全体における導入に相当する科目（ICT入門）の開講クラス増、オンデマンド授業化による定員増などを検討するべきと考えている。</t>
  </si>
  <si>
    <t>本プログラムは令和3年度に開始したばかりであるため、修了者のうち卒業生は2名に留まる。それぞれ情報技術を活用できる企業への就職を果たしており、その追跡調査、就職先企業等からの意見聴取については、本学におけるキャリア指導担当部署との連携のもと、その状況把握を図っていく体制である。また、本プログラム修了者には、AI・データサイエンスを用いてビジネス上の課題解決に挑む遠隔インターンシップ授業「ビジネスIT応用A/B」の受講を推奨しており、当該授業に参画頂いている企業担当者との定期的なミーティングを通じて、本プログラム修了者に対する産業界から見た評価を直接把握できる仕組みを整えている。</t>
  </si>
  <si>
    <t>本プログラムは、理系教育センターが開講する全学対象科目全34科目（令和3年度カリキュラム）における履修モデルの一部として組み込まれており、本プログラムとそれ以外の科目群（プログラミング、ビジネスIT、マルチメディア等）との関連を明示することにより、数理・データサイエンス・AIを学ぶことによってどのような活用・活躍が考えられるのか、どのような分野とかかわりがあるのか、学生にわかりやすく伝わるよう工夫している。また、データサイエンスの授業においては、各授業クラスによって活用する分析ツールや主たる分析対象等が異なり、学生の興味やスキルに応じて自由に選択できるようにしている。</t>
  </si>
  <si>
    <t>理系教育センターでは、授業評価アンケートの分析、企業関係者等とのミーティング、FD活動を通して、学生にとって「分かりやすい」授業とするための改善活動を恒常的に実施している。さらに、各授業担当者における授業改善成果を教員業績評価対象とすることにより、改善の実効を高める体制を整えている。
令和3年度に各授業において実践された工夫としては、
・現実に起こりそうな問題を用いることで、学習内容のイメージを高めること
・短時間の動画資料を提供することにより、各自のペースで振り返りの学習をしやすくすること
・SNSによる質問対応を行うことで、遠隔授業におけるインタラクティブ性を保つこと
などがある。</t>
  </si>
  <si>
    <t>本プログラムに関する主たる情報提供元として、理系教育センター内のWebページのほか、履修指導において活用されている本学LMS上に特設コースを用意している。そこでは、本プログラムを構成する各科目を履修するために必要な情報（開講曜日時限一覧、授業参加方法など）を提供している。また、各クラスの空席状況・追加募集状況を適宜更新することにより、より多くの学生が履修できるような情報提供を実施する体制となっている。
令和4年度以降は、遠隔授業のクラスを増やし、教室定員による物理的な制約を緩和するとともに、一部授業のオンデマンド化を進めることにより、学生の多様な学習スタイルに対応しつつ、1クラスあたりの履修受け入れ人数のさらなる拡大を企図している。なお、履修受け入れ人数拡大のための根本的な対策となる開講クラス数の増加については、人的資源の確保を含め、総合的にその実現方法を検討する。</t>
  </si>
  <si>
    <t>本プログラムを構成する各科目は自己学修科目に位置付けられ、その履修選択は学生に任されていることから、履修者数・履修率を向上させるには、履修ニーズの拡大と履修希望者の受け入れ体制強化の２点が必要である。具体的には以下に示す活動を進める：
a) 全学的なFD企画を継続的に開催し、本プログラムの意義や内容に関する周知を進めるとともに、本プログラムを各学部学科での履修指導において選択肢として推奨してもらうことを目指す。
b) 本プログラムの意義・履修方法・履修の価値などについて、授業要覧、理系教育センター特設サイト（様式２⑪）、教学ガイダンス資料等を通じて学生周知を進める。
c) 本プログラムの履修に興味を覚えている学生への支援充実を図る。令和3年度秋に展開した修了応援制度（申し込み制）を再設計し、教室定員等による履修制限を回避できる優先履修や、本プログラムの履修学生間のコミュニケーション環境を提供する。(⑥⑦⑧に関連）
d) 本プログラムを構成する4科目の開講クラス数増・オンデマンド化を進め、a)-c)によって生み出した履修ニーズに応えられるような体制整備に努める（⑥に関連）。</t>
  </si>
  <si>
    <t xml:space="preserve">本プログラムを構成する４科目は、下記に示すように、各科目とも複数のクラスを開講するとともに、遠隔授業を積極展開している。よって、本プログラムの各科目・開講クラスのほとんど全ては湘南校舎にて開講されているものの、遠方の校舎に在籍する学生であっても本教育プログラムの履修・修了が可能な体制を構築できている。令和4年度以降は、さらに遠隔授業の比率を高めるとともに、一部授業クラスをオンデマンド開講し、所属学科でのスケジュールや各学生の学習スタイルを問わず受講できるよう取り組みを進める。
※令和3年度開講クラス数実績
・ICT入門  春８クラス（遠隔８）　秋９クラス（遠隔９）
・人工知能　春４クラス（遠隔４）　秋３クラス（遠隔２）
・データサイエンス入門　春７クラス（遠隔５）　秋９クラス（遠隔５）
・データサイエンス基礎　春２クラス（遠隔２）　秋２クラス（遠隔２）
</t>
  </si>
  <si>
    <t>本プログラムを構成する各科目各クラスは、本学のLMSを基盤として展開しており、LMS上に掲載された授業資料（スライド資料・実習素材など）をいつでも閲覧することができる。また、遠隔授業のクラスについては、通信トラブルや止むを得ない事情による欠席に対応するため、毎回の収録動画を受講学生に必ず公開することになっており、履修する学生が学修を継続できるような支援を提供している。また、令和3年度秋学期には本年度中に本プログラムの修了を目指す学生を募り、各授業を優先的に履修できる仕組みを整えた（修了応援制度）。さらに、本プログラムの履修に興味を持つ学生に対するコミュニティチームを設置し、履修や学修に関する相談対応を実施している。
令和4年度の計画としては、修了応援制度の改良を中心に、本プログラムの履修及び修得を支援する体制をさらに強化していく。</t>
  </si>
  <si>
    <t>令和3</t>
    <rPh sb="0" eb="2">
      <t>レイワ</t>
    </rPh>
    <phoneticPr fontId="1"/>
  </si>
  <si>
    <t>令和3</t>
    <rPh sb="0" eb="2">
      <t>レイワ</t>
    </rPh>
    <phoneticPr fontId="1"/>
  </si>
  <si>
    <t>・機械学習を用いたデータの予測（回帰）、分類（「人工知能」第5回）
・非構造化データ処理（言語処理・画像処理）、認識技術（「人工知能」第10回・第11回）
・特化型AIと汎用AI、ルールベースAI、AI発展の歴史と現代AIでできること（「人工知能」第1回～第2回）</t>
    <rPh sb="1" eb="5">
      <t>キカイガクシュウ</t>
    </rPh>
    <rPh sb="6" eb="7">
      <t>モチ</t>
    </rPh>
    <rPh sb="13" eb="15">
      <t>ヨソク</t>
    </rPh>
    <rPh sb="16" eb="18">
      <t>カイキ</t>
    </rPh>
    <rPh sb="20" eb="22">
      <t>ブンルイ</t>
    </rPh>
    <rPh sb="24" eb="28">
      <t>ジンコウチノウ</t>
    </rPh>
    <rPh sb="29" eb="30">
      <t>ダイ</t>
    </rPh>
    <rPh sb="31" eb="32">
      <t>カイ</t>
    </rPh>
    <rPh sb="35" eb="39">
      <t>ヒコウゾウカ</t>
    </rPh>
    <rPh sb="42" eb="44">
      <t>ショリ</t>
    </rPh>
    <rPh sb="45" eb="49">
      <t>ゲンゴショリ</t>
    </rPh>
    <rPh sb="50" eb="54">
      <t>ガゾウショリ</t>
    </rPh>
    <rPh sb="56" eb="60">
      <t>ニンシキギジュツ</t>
    </rPh>
    <rPh sb="62" eb="66">
      <t>ジンコウチノウ</t>
    </rPh>
    <rPh sb="67" eb="68">
      <t>ダイ</t>
    </rPh>
    <rPh sb="70" eb="71">
      <t>カイ</t>
    </rPh>
    <rPh sb="72" eb="73">
      <t>ダイ</t>
    </rPh>
    <rPh sb="75" eb="76">
      <t>カイ</t>
    </rPh>
    <rPh sb="79" eb="82">
      <t>トッカガタ</t>
    </rPh>
    <rPh sb="85" eb="87">
      <t>ハンヨウ</t>
    </rPh>
    <rPh sb="101" eb="103">
      <t>ハッテン</t>
    </rPh>
    <rPh sb="104" eb="106">
      <t>レキシ</t>
    </rPh>
    <rPh sb="107" eb="109">
      <t>ゲンダイ</t>
    </rPh>
    <rPh sb="119" eb="123">
      <t>ジンコウチノウ</t>
    </rPh>
    <rPh sb="124" eb="125">
      <t>ダイ</t>
    </rPh>
    <rPh sb="126" eb="127">
      <t>カイ</t>
    </rPh>
    <rPh sb="128" eb="129">
      <t>ダイ</t>
    </rPh>
    <rPh sb="130" eb="131">
      <t>カイ</t>
    </rPh>
    <phoneticPr fontId="1"/>
  </si>
  <si>
    <t>理系教育センター（情報教育センター）　所長　教授　中嶋　卓雄　学長補佐
理系教育センター（情報教育センター）　次長　教授　吉成　雄一郎
理系教育センター（情報教育センター）　主任　教授　田中　真
理系教育センター（情報教育センター）
　「東海大学 数理・データサイエンス・AI教育プログラム（TMDA）」ワーキングチーム
　　　准教授　谷口　唯成　・　准教授　栗田　太作　・　准教授　宮川　幹平
　　　講師　坂田　圭司　・　講師　横村　国治　
理系教育センター(情報教育センター)　事務
　　　森　あゆみ　・　永田　江梨加　　　　　　　　　　　　　　　　　　　　　　　　　　　　　　</t>
    <rPh sb="22" eb="24">
      <t>キョウジュ</t>
    </rPh>
    <rPh sb="31" eb="35">
      <t>ガクチョウホサ</t>
    </rPh>
    <rPh sb="58" eb="60">
      <t>キョウジュ</t>
    </rPh>
    <rPh sb="90" eb="92">
      <t>キョウジュ</t>
    </rPh>
    <rPh sb="164" eb="167">
      <t>ジュンキョウジュ</t>
    </rPh>
    <rPh sb="176" eb="179">
      <t>ジュンキョウジュ</t>
    </rPh>
    <rPh sb="201" eb="203">
      <t>コウシ</t>
    </rPh>
    <rPh sb="212" eb="214">
      <t>コウシ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</si>
</sst>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9" fontId="6" fillId="0" borderId="0" applyFont="0" applyFill="0" applyBorder="0" applyAlignment="0" applyProtection="0">
      <alignment vertical="center"/>
    </xf>
  </cellStyleXfs>
  <cellXfs count="29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3" xfId="0" applyNumberFormat="1" applyFont="1" applyBorder="1" applyAlignment="1">
      <alignment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8" fillId="0" borderId="10" xfId="0" applyFont="1" applyBorder="1" applyAlignment="1">
      <alignment vertical="center" shrinkToFit="1"/>
    </xf>
    <xf numFmtId="49" fontId="17"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7" fillId="0" borderId="47" xfId="0" applyNumberFormat="1" applyFont="1" applyBorder="1" applyAlignment="1">
      <alignment horizontal="center" vertical="center"/>
    </xf>
    <xf numFmtId="49" fontId="17" fillId="0" borderId="33" xfId="0" applyNumberFormat="1" applyFont="1" applyBorder="1" applyAlignment="1">
      <alignment horizontal="center" vertical="center"/>
    </xf>
    <xf numFmtId="49" fontId="17"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7" fillId="0" borderId="51" xfId="0" applyNumberFormat="1" applyFont="1" applyBorder="1" applyAlignment="1">
      <alignment horizontal="center" vertical="center"/>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49" fontId="17" fillId="0" borderId="52" xfId="0" applyNumberFormat="1" applyFont="1" applyBorder="1" applyAlignment="1">
      <alignment horizontal="center" vertical="center"/>
    </xf>
    <xf numFmtId="49" fontId="17" fillId="0" borderId="29" xfId="0" applyNumberFormat="1" applyFont="1" applyBorder="1" applyAlignment="1">
      <alignment horizontal="center" vertical="center"/>
    </xf>
    <xf numFmtId="0" fontId="20"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center" wrapText="1"/>
    </xf>
    <xf numFmtId="176" fontId="8" fillId="0" borderId="5" xfId="0" applyNumberFormat="1" applyFont="1" applyBorder="1">
      <alignment vertical="center"/>
    </xf>
    <xf numFmtId="176" fontId="8" fillId="0" borderId="0" xfId="0" applyNumberFormat="1" applyFont="1">
      <alignment vertical="center"/>
    </xf>
    <xf numFmtId="0" fontId="8" fillId="0" borderId="0" xfId="0" applyFont="1" applyAlignment="1">
      <alignment horizontal="center" vertical="center"/>
    </xf>
    <xf numFmtId="0" fontId="8" fillId="0" borderId="0" xfId="0" applyFont="1" applyAlignment="1">
      <alignment horizontal="center" vertical="center" shrinkToFit="1"/>
    </xf>
    <xf numFmtId="0" fontId="8" fillId="0" borderId="3" xfId="0" applyFont="1" applyBorder="1">
      <alignment vertical="center"/>
    </xf>
    <xf numFmtId="0" fontId="8" fillId="0" borderId="9" xfId="0" applyFont="1" applyBorder="1" applyAlignment="1">
      <alignment horizontal="center" vertical="center" shrinkToFit="1"/>
    </xf>
    <xf numFmtId="0" fontId="22" fillId="0" borderId="11" xfId="0" applyFont="1" applyBorder="1" applyAlignment="1">
      <alignment horizontal="center" vertical="center"/>
    </xf>
    <xf numFmtId="0" fontId="22" fillId="0" borderId="29" xfId="0" applyFont="1" applyBorder="1" applyAlignment="1">
      <alignment horizontal="center" vertical="center" wrapText="1"/>
    </xf>
    <xf numFmtId="0" fontId="22" fillId="0" borderId="30" xfId="0" applyFont="1" applyBorder="1" applyAlignment="1">
      <alignment horizontal="center" vertical="center"/>
    </xf>
    <xf numFmtId="0" fontId="22" fillId="0" borderId="12" xfId="0" applyFont="1" applyBorder="1" applyAlignment="1">
      <alignment horizontal="center" vertical="center" wrapText="1"/>
    </xf>
    <xf numFmtId="0" fontId="8" fillId="0" borderId="14" xfId="0" applyFont="1" applyBorder="1" applyAlignment="1">
      <alignment horizontal="left"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14" xfId="0" applyNumberFormat="1" applyFont="1" applyBorder="1" applyAlignment="1">
      <alignment vertical="center" shrinkToFit="1"/>
    </xf>
    <xf numFmtId="9" fontId="8" fillId="0" borderId="10" xfId="0" applyNumberFormat="1" applyFont="1" applyBorder="1" applyAlignment="1">
      <alignment vertical="center" shrinkToFit="1"/>
    </xf>
    <xf numFmtId="0" fontId="8" fillId="0" borderId="23" xfId="0" applyFont="1" applyBorder="1" applyAlignment="1">
      <alignment horizontal="lef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176" fontId="8" fillId="0" borderId="23" xfId="0" applyNumberFormat="1" applyFont="1" applyBorder="1" applyAlignment="1">
      <alignment vertical="center" shrinkToFit="1"/>
    </xf>
    <xf numFmtId="9" fontId="8" fillId="0" borderId="23" xfId="0" applyNumberFormat="1" applyFont="1" applyBorder="1" applyAlignment="1">
      <alignment vertical="center" shrinkToFit="1"/>
    </xf>
    <xf numFmtId="177" fontId="8" fillId="0" borderId="19" xfId="3" applyNumberFormat="1" applyFont="1" applyBorder="1" applyAlignment="1">
      <alignment vertical="center" shrinkToFit="1"/>
    </xf>
    <xf numFmtId="0" fontId="8" fillId="0" borderId="24" xfId="0" applyFont="1" applyBorder="1" applyAlignment="1">
      <alignment horizontal="left" vertical="center" shrinkToFit="1"/>
    </xf>
    <xf numFmtId="176" fontId="8" fillId="0" borderId="24" xfId="0" applyNumberFormat="1" applyFont="1" applyBorder="1" applyAlignment="1">
      <alignment vertical="center" shrinkToFit="1"/>
    </xf>
    <xf numFmtId="0" fontId="8" fillId="0" borderId="28" xfId="0" applyFont="1" applyBorder="1" applyAlignment="1">
      <alignment horizontal="center" vertical="center" shrinkToFit="1"/>
    </xf>
    <xf numFmtId="0" fontId="8" fillId="0" borderId="26" xfId="0" applyFont="1" applyBorder="1" applyAlignment="1">
      <alignment vertical="center" shrinkToFit="1"/>
    </xf>
    <xf numFmtId="0" fontId="8" fillId="0" borderId="25" xfId="0" applyFont="1" applyBorder="1" applyAlignment="1">
      <alignment vertical="center" shrinkToFit="1"/>
    </xf>
    <xf numFmtId="176" fontId="8" fillId="0" borderId="25"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36" xfId="0" applyNumberFormat="1" applyFont="1" applyBorder="1" applyAlignment="1">
      <alignment vertical="center" shrinkToFit="1"/>
    </xf>
    <xf numFmtId="176" fontId="8" fillId="0" borderId="27" xfId="0" applyNumberFormat="1" applyFont="1" applyBorder="1" applyAlignment="1">
      <alignment vertical="center" shrinkToFit="1"/>
    </xf>
    <xf numFmtId="176" fontId="8" fillId="0" borderId="28" xfId="0" applyNumberFormat="1" applyFont="1" applyBorder="1" applyAlignment="1">
      <alignment vertical="center" shrinkToFit="1"/>
    </xf>
    <xf numFmtId="9" fontId="8" fillId="0" borderId="27" xfId="0" applyNumberFormat="1" applyFont="1" applyBorder="1" applyAlignment="1">
      <alignment vertical="center" shrinkToFit="1"/>
    </xf>
    <xf numFmtId="0" fontId="17" fillId="0" borderId="20" xfId="0" applyFont="1" applyBorder="1" applyAlignment="1">
      <alignment vertical="top" shrinkToFit="1"/>
    </xf>
    <xf numFmtId="0" fontId="17" fillId="0" borderId="18" xfId="0" applyFont="1" applyBorder="1" applyAlignment="1">
      <alignment vertical="top" shrinkToFit="1"/>
    </xf>
    <xf numFmtId="0" fontId="17" fillId="0" borderId="0" xfId="0" applyFont="1" applyAlignment="1">
      <alignment vertical="top"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49" fontId="15"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0" fontId="9" fillId="0" borderId="5" xfId="0" applyFont="1" applyBorder="1" applyAlignment="1">
      <alignment vertical="center" wrapText="1"/>
    </xf>
    <xf numFmtId="0" fontId="9" fillId="0" borderId="0" xfId="0" applyFont="1" applyBorder="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18" fillId="0" borderId="22" xfId="0" applyFont="1" applyBorder="1" applyAlignment="1">
      <alignment horizontal="left" vertical="center" wrapText="1" shrinkToFit="1"/>
    </xf>
    <xf numFmtId="0" fontId="18" fillId="0" borderId="22" xfId="0" applyFont="1" applyBorder="1" applyAlignment="1">
      <alignment horizontal="left" vertical="center" shrinkToFit="1"/>
    </xf>
    <xf numFmtId="0" fontId="18" fillId="0" borderId="21" xfId="0" applyFont="1" applyBorder="1" applyAlignment="1">
      <alignment horizontal="left" vertical="center" shrinkToFit="1"/>
    </xf>
    <xf numFmtId="0" fontId="18" fillId="0" borderId="39" xfId="0" applyFont="1" applyBorder="1" applyAlignment="1">
      <alignment horizontal="left" vertical="center" wrapText="1" shrinkToFit="1"/>
    </xf>
    <xf numFmtId="0" fontId="18" fillId="0" borderId="39" xfId="0" applyFont="1" applyBorder="1" applyAlignment="1">
      <alignment horizontal="left" vertical="center" shrinkToFit="1"/>
    </xf>
    <xf numFmtId="0" fontId="18" fillId="0" borderId="38" xfId="0" applyFont="1" applyBorder="1" applyAlignment="1">
      <alignment horizontal="left" vertical="center" shrinkToFit="1"/>
    </xf>
    <xf numFmtId="0" fontId="18" fillId="0" borderId="6" xfId="0" applyFont="1" applyBorder="1" applyAlignment="1">
      <alignment horizontal="left" vertical="center" wrapText="1" shrinkToFit="1"/>
    </xf>
    <xf numFmtId="0" fontId="18" fillId="0" borderId="6" xfId="0" applyFont="1" applyBorder="1" applyAlignment="1">
      <alignment horizontal="left" vertical="center" shrinkToFit="1"/>
    </xf>
    <xf numFmtId="0" fontId="18" fillId="0" borderId="12" xfId="0" applyFont="1" applyBorder="1" applyAlignment="1">
      <alignment horizontal="left" vertical="center" shrinkToFit="1"/>
    </xf>
    <xf numFmtId="0" fontId="18" fillId="0" borderId="41" xfId="0" applyFont="1" applyBorder="1" applyAlignment="1">
      <alignment horizontal="left" vertical="center" wrapText="1" shrinkToFit="1"/>
    </xf>
    <xf numFmtId="0" fontId="18" fillId="0" borderId="41" xfId="0" applyFont="1" applyBorder="1" applyAlignment="1">
      <alignment horizontal="left" vertical="center" shrinkToFit="1"/>
    </xf>
    <xf numFmtId="0" fontId="18" fillId="0" borderId="42" xfId="0" applyFont="1" applyBorder="1" applyAlignment="1">
      <alignment horizontal="left" vertical="center" shrinkToFit="1"/>
    </xf>
    <xf numFmtId="0" fontId="19" fillId="0" borderId="39" xfId="0" applyFont="1" applyBorder="1" applyAlignment="1">
      <alignment horizontal="left" vertical="center" wrapText="1" shrinkToFit="1"/>
    </xf>
    <xf numFmtId="0" fontId="19" fillId="0" borderId="39" xfId="0" applyFont="1" applyBorder="1" applyAlignment="1">
      <alignment horizontal="left" vertical="center" shrinkToFit="1"/>
    </xf>
    <xf numFmtId="0" fontId="19" fillId="0" borderId="38" xfId="0" applyFont="1" applyBorder="1" applyAlignment="1">
      <alignment horizontal="lef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8" fillId="0" borderId="0" xfId="0" applyFont="1" applyAlignment="1">
      <alignment vertical="center" wrapText="1"/>
    </xf>
    <xf numFmtId="0" fontId="16"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8" xfId="0" applyFont="1" applyBorder="1" applyAlignment="1">
      <alignment horizontal="center" vertical="center" shrinkToFit="1"/>
    </xf>
    <xf numFmtId="0" fontId="8" fillId="0" borderId="9" xfId="0" applyFont="1" applyBorder="1" applyAlignment="1">
      <alignment horizontal="center" vertical="center" shrinkToFit="1"/>
    </xf>
    <xf numFmtId="0" fontId="18" fillId="0" borderId="19" xfId="0" applyFont="1" applyBorder="1" applyAlignment="1">
      <alignment vertical="center" wrapText="1" shrinkToFit="1"/>
    </xf>
    <xf numFmtId="0" fontId="18" fillId="0" borderId="20" xfId="0" applyFont="1" applyBorder="1" applyAlignment="1">
      <alignment vertical="center" shrinkToFit="1"/>
    </xf>
    <xf numFmtId="0" fontId="18" fillId="0" borderId="18" xfId="0" applyFont="1" applyBorder="1" applyAlignment="1">
      <alignment vertical="center" shrinkToFit="1"/>
    </xf>
    <xf numFmtId="0" fontId="19" fillId="0" borderId="48" xfId="0" applyFont="1" applyBorder="1" applyAlignment="1">
      <alignment vertical="center" wrapText="1"/>
    </xf>
    <xf numFmtId="0" fontId="19" fillId="0" borderId="49" xfId="0" applyFont="1" applyBorder="1" applyAlignment="1">
      <alignment vertical="center" wrapText="1"/>
    </xf>
    <xf numFmtId="0" fontId="18" fillId="0" borderId="48" xfId="0" applyFont="1" applyBorder="1" applyAlignment="1">
      <alignment vertical="center" wrapText="1"/>
    </xf>
    <xf numFmtId="0" fontId="18" fillId="0" borderId="32" xfId="0" applyFont="1" applyBorder="1" applyAlignment="1">
      <alignment vertical="center" wrapText="1"/>
    </xf>
    <xf numFmtId="0" fontId="19" fillId="0" borderId="39" xfId="0" applyFont="1" applyBorder="1" applyAlignment="1">
      <alignment vertical="center" wrapText="1" shrinkToFit="1"/>
    </xf>
    <xf numFmtId="0" fontId="19" fillId="0" borderId="39" xfId="0" applyFont="1" applyBorder="1" applyAlignment="1">
      <alignment vertical="center" shrinkToFit="1"/>
    </xf>
    <xf numFmtId="0" fontId="19" fillId="0" borderId="38" xfId="0" applyFont="1" applyBorder="1" applyAlignment="1">
      <alignment vertical="center" shrinkToFit="1"/>
    </xf>
    <xf numFmtId="0" fontId="18" fillId="0" borderId="6" xfId="0" applyFont="1" applyBorder="1" applyAlignment="1">
      <alignment vertical="center" wrapText="1" shrinkToFit="1"/>
    </xf>
    <xf numFmtId="0" fontId="18" fillId="0" borderId="12" xfId="0" applyFont="1" applyBorder="1" applyAlignment="1">
      <alignment vertical="center" wrapText="1" shrinkToFit="1"/>
    </xf>
    <xf numFmtId="0" fontId="19" fillId="0" borderId="32" xfId="0" applyFont="1" applyBorder="1" applyAlignment="1">
      <alignment vertical="center" wrapText="1"/>
    </xf>
    <xf numFmtId="0" fontId="18" fillId="0" borderId="8" xfId="0" applyFont="1" applyBorder="1" applyAlignment="1">
      <alignment horizontal="left" vertical="center" wrapText="1" shrinkToFit="1"/>
    </xf>
    <xf numFmtId="0" fontId="18" fillId="0" borderId="8" xfId="0" applyFont="1" applyBorder="1" applyAlignment="1">
      <alignment horizontal="left" vertical="center" shrinkToFit="1"/>
    </xf>
    <xf numFmtId="0" fontId="18" fillId="0" borderId="9" xfId="0" applyFont="1" applyBorder="1" applyAlignment="1">
      <alignment horizontal="left" vertical="center" shrinkToFit="1"/>
    </xf>
    <xf numFmtId="0" fontId="18" fillId="0" borderId="20" xfId="0" applyFont="1" applyBorder="1" applyAlignment="1">
      <alignment horizontal="left" vertical="center" wrapText="1" shrinkToFit="1"/>
    </xf>
    <xf numFmtId="0" fontId="18"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15" xfId="0" applyFont="1" applyBorder="1" applyAlignment="1">
      <alignment horizontal="center" vertical="center"/>
    </xf>
    <xf numFmtId="0" fontId="8" fillId="0" borderId="13" xfId="0" applyFont="1" applyBorder="1" applyAlignment="1">
      <alignment horizontal="center" vertical="center"/>
    </xf>
    <xf numFmtId="0" fontId="21" fillId="0" borderId="8" xfId="0" applyFont="1" applyBorder="1" applyAlignment="1">
      <alignment horizontal="center" vertical="center" wrapText="1"/>
    </xf>
    <xf numFmtId="0" fontId="21" fillId="0" borderId="6" xfId="0" applyFont="1" applyBorder="1" applyAlignment="1">
      <alignment horizontal="center" vertical="center"/>
    </xf>
    <xf numFmtId="0" fontId="21" fillId="0" borderId="7" xfId="0" applyFont="1" applyBorder="1" applyAlignment="1">
      <alignment horizontal="center" vertical="center" wrapText="1"/>
    </xf>
    <xf numFmtId="0" fontId="21" fillId="0" borderId="11" xfId="0" applyFont="1" applyBorder="1" applyAlignment="1">
      <alignment horizontal="center" vertical="center"/>
    </xf>
    <xf numFmtId="0" fontId="8" fillId="0" borderId="14" xfId="0" applyFont="1" applyBorder="1" applyAlignment="1">
      <alignment horizontal="center" vertical="center"/>
    </xf>
    <xf numFmtId="0" fontId="22" fillId="0" borderId="15" xfId="0" applyFont="1" applyBorder="1" applyAlignment="1">
      <alignment horizontal="center" vertical="center" wrapText="1"/>
    </xf>
    <xf numFmtId="0" fontId="22" fillId="0" borderId="13" xfId="0" applyFont="1" applyBorder="1" applyAlignment="1">
      <alignment horizontal="center" vertical="center"/>
    </xf>
    <xf numFmtId="0" fontId="21" fillId="0" borderId="9" xfId="0" applyFont="1" applyBorder="1" applyAlignment="1">
      <alignment horizontal="center" vertical="center"/>
    </xf>
    <xf numFmtId="0" fontId="21"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14" fillId="0" borderId="0" xfId="0" applyFont="1" applyAlignment="1">
      <alignment horizontal="center" vertical="center"/>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5" fillId="0" borderId="2" xfId="2" applyFont="1" applyBorder="1" applyAlignment="1">
      <alignment horizontal="center" vertical="center" shrinkToFit="1"/>
    </xf>
    <xf numFmtId="0" fontId="15" fillId="0" borderId="3" xfId="2" applyFont="1" applyBorder="1" applyAlignment="1">
      <alignment horizontal="center" vertical="center" shrinkToFit="1"/>
    </xf>
    <xf numFmtId="0" fontId="15"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4">
    <cellStyle name="パーセント" xfId="3" builtinId="5"/>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E13" sqref="E13"/>
    </sheetView>
  </sheetViews>
  <sheetFormatPr defaultColWidth="9" defaultRowHeight="18.75" customHeight="1" x14ac:dyDescent="0.2"/>
  <cols>
    <col min="1" max="1" width="3.33203125" style="12" customWidth="1"/>
    <col min="2" max="2" width="11.109375" style="12" customWidth="1"/>
    <col min="3" max="8" width="6.6640625" style="12" customWidth="1"/>
    <col min="9" max="9" width="3.33203125" style="12" customWidth="1"/>
    <col min="10" max="10" width="10" style="12" customWidth="1"/>
    <col min="11" max="11" width="3.33203125" style="12" customWidth="1"/>
    <col min="12" max="12" width="7.77734375" style="12" customWidth="1"/>
    <col min="13" max="13" width="3.33203125" style="12" customWidth="1"/>
    <col min="14" max="14" width="4.44140625" style="12" customWidth="1"/>
    <col min="15" max="15" width="9" style="24"/>
    <col min="16" max="16384" width="9" style="11"/>
  </cols>
  <sheetData>
    <row r="1" spans="1:15" ht="24" customHeight="1" x14ac:dyDescent="0.2">
      <c r="M1" s="128" t="s">
        <v>24</v>
      </c>
      <c r="N1" s="128"/>
    </row>
    <row r="2" spans="1:15" ht="24" customHeight="1" x14ac:dyDescent="0.2">
      <c r="A2" s="131" t="s">
        <v>78</v>
      </c>
      <c r="B2" s="131"/>
      <c r="C2" s="131"/>
      <c r="D2" s="131"/>
      <c r="E2" s="131"/>
      <c r="F2" s="131"/>
      <c r="G2" s="131"/>
      <c r="H2" s="131"/>
      <c r="I2" s="131"/>
      <c r="J2" s="131"/>
      <c r="K2" s="131"/>
      <c r="L2" s="131"/>
      <c r="M2" s="131"/>
      <c r="N2" s="131"/>
    </row>
    <row r="3" spans="1:15" ht="24" customHeight="1" x14ac:dyDescent="0.2"/>
    <row r="4" spans="1:15" ht="24" customHeight="1" x14ac:dyDescent="0.2">
      <c r="A4" s="12" t="s">
        <v>6</v>
      </c>
      <c r="B4" s="12" t="s">
        <v>16</v>
      </c>
      <c r="C4" s="120" t="s">
        <v>144</v>
      </c>
      <c r="D4" s="121"/>
      <c r="E4" s="121"/>
      <c r="F4" s="121"/>
      <c r="G4" s="121"/>
      <c r="H4" s="121"/>
      <c r="I4" s="121"/>
      <c r="J4" s="121"/>
      <c r="K4" s="121"/>
      <c r="L4" s="121"/>
      <c r="M4" s="121"/>
      <c r="N4" s="127"/>
      <c r="O4" s="24" t="str">
        <f>IF(C4="","入力してください","")</f>
        <v/>
      </c>
    </row>
    <row r="5" spans="1:15" ht="7.5" customHeight="1" x14ac:dyDescent="0.2">
      <c r="E5" s="13"/>
      <c r="F5" s="34"/>
      <c r="G5" s="34"/>
      <c r="H5" s="34"/>
      <c r="I5" s="34"/>
      <c r="J5" s="34"/>
      <c r="K5" s="34"/>
      <c r="L5" s="34"/>
      <c r="M5" s="34"/>
      <c r="N5" s="34"/>
    </row>
    <row r="6" spans="1:15" ht="24" customHeight="1" x14ac:dyDescent="0.2">
      <c r="A6" s="12" t="s">
        <v>9</v>
      </c>
      <c r="B6" s="12" t="s">
        <v>47</v>
      </c>
      <c r="D6" s="120" t="s">
        <v>145</v>
      </c>
      <c r="E6" s="121"/>
      <c r="F6" s="121"/>
      <c r="G6" s="121"/>
      <c r="H6" s="127"/>
      <c r="I6" s="12" t="s">
        <v>81</v>
      </c>
      <c r="J6" s="34" t="s">
        <v>82</v>
      </c>
      <c r="K6" s="120" t="s">
        <v>146</v>
      </c>
      <c r="L6" s="121"/>
      <c r="M6" s="121"/>
      <c r="N6" s="127"/>
      <c r="O6" s="24" t="str">
        <f>IF(D6="","入力してください","")</f>
        <v/>
      </c>
    </row>
    <row r="7" spans="1:15" ht="7.5" customHeight="1" x14ac:dyDescent="0.2">
      <c r="E7" s="13"/>
      <c r="F7" s="34"/>
      <c r="G7" s="34"/>
      <c r="H7" s="34"/>
      <c r="I7" s="34"/>
      <c r="J7" s="34"/>
      <c r="K7" s="34"/>
      <c r="L7" s="34"/>
      <c r="M7" s="34"/>
      <c r="N7" s="34"/>
    </row>
    <row r="8" spans="1:15" ht="24" customHeight="1" x14ac:dyDescent="0.2">
      <c r="A8" s="12" t="s">
        <v>13</v>
      </c>
      <c r="B8" s="12" t="s">
        <v>44</v>
      </c>
      <c r="C8" s="120" t="s">
        <v>147</v>
      </c>
      <c r="D8" s="121"/>
      <c r="E8" s="121"/>
      <c r="F8" s="121"/>
      <c r="G8" s="121"/>
      <c r="H8" s="121"/>
      <c r="I8" s="121"/>
      <c r="J8" s="121"/>
      <c r="K8" s="121"/>
      <c r="L8" s="121"/>
      <c r="M8" s="121"/>
      <c r="N8" s="127"/>
      <c r="O8" s="24" t="str">
        <f>IF(C8="","入力してください","")</f>
        <v/>
      </c>
    </row>
    <row r="9" spans="1:15" ht="7.5" customHeight="1" x14ac:dyDescent="0.2">
      <c r="E9" s="13"/>
      <c r="F9" s="34"/>
      <c r="G9" s="34"/>
      <c r="H9" s="34"/>
      <c r="I9" s="34"/>
      <c r="J9" s="34"/>
      <c r="K9" s="34"/>
      <c r="L9" s="34"/>
      <c r="M9" s="34"/>
      <c r="N9" s="34"/>
    </row>
    <row r="10" spans="1:15" ht="24" customHeight="1" x14ac:dyDescent="0.2">
      <c r="A10" s="12" t="s">
        <v>11</v>
      </c>
      <c r="B10" s="12" t="s">
        <v>80</v>
      </c>
      <c r="E10" s="120" t="s">
        <v>148</v>
      </c>
      <c r="F10" s="121"/>
      <c r="G10" s="121"/>
      <c r="H10" s="121"/>
      <c r="I10" s="121"/>
      <c r="J10" s="121"/>
      <c r="K10" s="121"/>
      <c r="L10" s="121"/>
      <c r="M10" s="121"/>
      <c r="N10" s="127"/>
      <c r="O10" s="24" t="str">
        <f>IF(E10="","入力してください","")</f>
        <v/>
      </c>
    </row>
    <row r="11" spans="1:15" ht="7.5" customHeight="1" x14ac:dyDescent="0.2">
      <c r="B11" s="13"/>
      <c r="C11" s="13"/>
      <c r="D11" s="13"/>
      <c r="E11" s="13"/>
      <c r="F11" s="34"/>
      <c r="G11" s="34"/>
      <c r="H11" s="34"/>
      <c r="I11" s="34"/>
      <c r="J11" s="34"/>
      <c r="K11" s="34"/>
      <c r="L11" s="34"/>
      <c r="M11" s="34"/>
      <c r="N11" s="34"/>
    </row>
    <row r="12" spans="1:15" ht="24" customHeight="1" x14ac:dyDescent="0.2">
      <c r="A12" s="12" t="s">
        <v>14</v>
      </c>
      <c r="B12" s="13" t="s">
        <v>54</v>
      </c>
      <c r="C12" s="13"/>
      <c r="D12" s="13"/>
      <c r="E12" s="112" t="s">
        <v>221</v>
      </c>
      <c r="F12" s="114"/>
      <c r="G12" s="12" t="s">
        <v>91</v>
      </c>
      <c r="H12" s="12" t="s">
        <v>92</v>
      </c>
      <c r="N12" s="63" t="s">
        <v>149</v>
      </c>
      <c r="O12" s="24" t="str">
        <f>IF(E12="","入力してください","")</f>
        <v/>
      </c>
    </row>
    <row r="13" spans="1:15" ht="7.5" customHeight="1" x14ac:dyDescent="0.2">
      <c r="B13" s="13"/>
      <c r="C13" s="13"/>
      <c r="D13" s="13"/>
      <c r="E13" s="13"/>
      <c r="F13" s="34"/>
      <c r="G13" s="34"/>
      <c r="H13" s="34"/>
      <c r="I13" s="34"/>
      <c r="J13" s="34"/>
      <c r="K13" s="34"/>
      <c r="L13" s="34"/>
      <c r="M13" s="34"/>
      <c r="N13" s="34"/>
    </row>
    <row r="14" spans="1:15" ht="24" customHeight="1" x14ac:dyDescent="0.2">
      <c r="A14" s="12" t="s">
        <v>50</v>
      </c>
      <c r="B14" s="12" t="s">
        <v>0</v>
      </c>
      <c r="C14" s="128" t="s">
        <v>5</v>
      </c>
      <c r="D14" s="129"/>
      <c r="E14" s="124">
        <v>1583</v>
      </c>
      <c r="F14" s="125"/>
      <c r="G14" s="14" t="s">
        <v>7</v>
      </c>
      <c r="I14" s="128" t="s">
        <v>8</v>
      </c>
      <c r="J14" s="129"/>
      <c r="K14" s="124">
        <v>1166</v>
      </c>
      <c r="L14" s="130"/>
      <c r="M14" s="125"/>
      <c r="N14" s="15" t="s">
        <v>7</v>
      </c>
      <c r="O14" s="24" t="str">
        <f>IF(OR(E14="",K14=""),"入力してください","")</f>
        <v/>
      </c>
    </row>
    <row r="15" spans="1:15" ht="7.5" customHeight="1" x14ac:dyDescent="0.2">
      <c r="M15" s="15"/>
      <c r="N15" s="15"/>
    </row>
    <row r="16" spans="1:15" ht="24" customHeight="1" x14ac:dyDescent="0.2">
      <c r="A16" s="12" t="s">
        <v>55</v>
      </c>
      <c r="B16" s="12" t="s">
        <v>65</v>
      </c>
      <c r="K16" s="112">
        <v>13</v>
      </c>
      <c r="L16" s="113"/>
      <c r="M16" s="114"/>
      <c r="N16" s="15" t="s">
        <v>7</v>
      </c>
      <c r="O16" s="24" t="str">
        <f>IF(K16="","入力してください","")</f>
        <v/>
      </c>
    </row>
    <row r="17" spans="1:15" ht="7.5" customHeight="1" x14ac:dyDescent="0.2">
      <c r="M17" s="15"/>
      <c r="N17" s="15"/>
    </row>
    <row r="18" spans="1:15" ht="24" customHeight="1" x14ac:dyDescent="0.2">
      <c r="A18" s="12" t="s">
        <v>23</v>
      </c>
      <c r="B18" s="12" t="s">
        <v>72</v>
      </c>
      <c r="E18" s="124">
        <v>6773</v>
      </c>
      <c r="F18" s="125"/>
      <c r="G18" s="72" t="s">
        <v>21</v>
      </c>
      <c r="K18" s="126"/>
      <c r="L18" s="126"/>
      <c r="M18" s="126"/>
      <c r="N18" s="126"/>
      <c r="O18" s="24" t="str">
        <f>IF(E18="","入力してください","")</f>
        <v/>
      </c>
    </row>
    <row r="19" spans="1:15" ht="7.5" customHeight="1" x14ac:dyDescent="0.2">
      <c r="E19" s="73"/>
      <c r="L19" s="22"/>
      <c r="M19" s="22"/>
      <c r="N19" s="15"/>
    </row>
    <row r="20" spans="1:15" ht="24" customHeight="1" x14ac:dyDescent="0.2">
      <c r="A20" s="12" t="s">
        <v>71</v>
      </c>
      <c r="B20" s="12" t="s">
        <v>73</v>
      </c>
      <c r="E20" s="73"/>
      <c r="H20" s="12" t="s">
        <v>49</v>
      </c>
      <c r="J20" s="115">
        <v>27161</v>
      </c>
      <c r="K20" s="116"/>
      <c r="L20" s="117"/>
      <c r="M20" s="22" t="s">
        <v>7</v>
      </c>
      <c r="N20" s="15"/>
      <c r="O20" s="24" t="str">
        <f>IF(J20="","入力してください","")</f>
        <v/>
      </c>
    </row>
    <row r="21" spans="1:15" ht="7.5" customHeight="1" x14ac:dyDescent="0.2">
      <c r="E21" s="73"/>
      <c r="L21" s="22"/>
      <c r="M21" s="22"/>
      <c r="N21" s="15"/>
    </row>
    <row r="22" spans="1:15" ht="24" customHeight="1" x14ac:dyDescent="0.2">
      <c r="B22" s="22" t="s">
        <v>17</v>
      </c>
      <c r="C22" s="124">
        <v>6700</v>
      </c>
      <c r="D22" s="125"/>
      <c r="E22" s="73" t="s">
        <v>7</v>
      </c>
      <c r="G22" s="118" t="s">
        <v>18</v>
      </c>
      <c r="H22" s="118"/>
      <c r="I22" s="124">
        <v>6591</v>
      </c>
      <c r="J22" s="125"/>
      <c r="K22" s="12" t="s">
        <v>7</v>
      </c>
      <c r="M22" s="22"/>
      <c r="N22" s="15"/>
    </row>
    <row r="23" spans="1:15" ht="7.5" customHeight="1" x14ac:dyDescent="0.2">
      <c r="B23" s="22"/>
      <c r="C23" s="10"/>
      <c r="D23" s="10"/>
      <c r="E23" s="73"/>
      <c r="G23" s="22"/>
      <c r="H23" s="22"/>
      <c r="I23" s="10"/>
      <c r="J23" s="10"/>
      <c r="M23" s="22"/>
      <c r="N23" s="15"/>
    </row>
    <row r="24" spans="1:15" ht="24" customHeight="1" x14ac:dyDescent="0.2">
      <c r="B24" s="22" t="s">
        <v>19</v>
      </c>
      <c r="C24" s="124">
        <v>6423</v>
      </c>
      <c r="D24" s="125"/>
      <c r="E24" s="73" t="s">
        <v>7</v>
      </c>
      <c r="G24" s="118" t="s">
        <v>20</v>
      </c>
      <c r="H24" s="118"/>
      <c r="I24" s="124">
        <v>7205</v>
      </c>
      <c r="J24" s="125"/>
      <c r="K24" s="12" t="s">
        <v>7</v>
      </c>
      <c r="M24" s="22"/>
      <c r="N24" s="15"/>
    </row>
    <row r="25" spans="1:15" ht="7.5" customHeight="1" x14ac:dyDescent="0.2">
      <c r="B25" s="22"/>
      <c r="C25" s="10"/>
      <c r="D25" s="10"/>
      <c r="E25" s="73"/>
      <c r="G25" s="22"/>
      <c r="H25" s="22"/>
      <c r="I25" s="10"/>
      <c r="J25" s="10"/>
      <c r="M25" s="22"/>
      <c r="N25" s="15"/>
    </row>
    <row r="26" spans="1:15" ht="24" customHeight="1" x14ac:dyDescent="0.2">
      <c r="B26" s="22" t="s">
        <v>45</v>
      </c>
      <c r="C26" s="124">
        <v>119</v>
      </c>
      <c r="D26" s="125"/>
      <c r="E26" s="73" t="s">
        <v>7</v>
      </c>
      <c r="G26" s="118" t="s">
        <v>46</v>
      </c>
      <c r="H26" s="118"/>
      <c r="I26" s="124">
        <v>123</v>
      </c>
      <c r="J26" s="125"/>
      <c r="K26" s="12" t="s">
        <v>7</v>
      </c>
      <c r="M26" s="22"/>
      <c r="N26" s="15"/>
    </row>
    <row r="27" spans="1:15" ht="7.5" customHeight="1" x14ac:dyDescent="0.2">
      <c r="M27" s="16"/>
      <c r="N27" s="16"/>
    </row>
    <row r="28" spans="1:15" ht="24" customHeight="1" x14ac:dyDescent="0.2">
      <c r="A28" s="12" t="s">
        <v>48</v>
      </c>
      <c r="B28" s="12" t="s">
        <v>70</v>
      </c>
      <c r="G28" s="34"/>
      <c r="H28" s="34"/>
      <c r="I28" s="34"/>
      <c r="J28" s="17"/>
      <c r="K28" s="17"/>
      <c r="L28" s="17"/>
      <c r="M28" s="17"/>
      <c r="N28" s="17"/>
    </row>
    <row r="29" spans="1:15" s="12" customFormat="1" ht="24" customHeight="1" x14ac:dyDescent="0.2">
      <c r="B29" s="119" t="s">
        <v>69</v>
      </c>
      <c r="C29" s="119"/>
      <c r="D29" s="120" t="s">
        <v>150</v>
      </c>
      <c r="E29" s="121"/>
      <c r="F29" s="121"/>
      <c r="G29" s="122" t="s">
        <v>22</v>
      </c>
      <c r="H29" s="119"/>
      <c r="I29" s="123"/>
      <c r="J29" s="120" t="s">
        <v>151</v>
      </c>
      <c r="K29" s="121"/>
      <c r="L29" s="121"/>
      <c r="M29" s="121"/>
      <c r="N29" s="127"/>
      <c r="O29" s="24" t="str">
        <f>IF(OR(D29="",J29=""),"入力してください","")</f>
        <v/>
      </c>
    </row>
    <row r="30" spans="1:15" ht="7.5" customHeight="1" x14ac:dyDescent="0.2">
      <c r="M30" s="16"/>
      <c r="N30" s="16"/>
    </row>
    <row r="31" spans="1:15" ht="24" customHeight="1" x14ac:dyDescent="0.2">
      <c r="A31" s="12" t="s">
        <v>51</v>
      </c>
      <c r="B31" s="12" t="s">
        <v>75</v>
      </c>
      <c r="G31" s="17"/>
      <c r="H31" s="17"/>
      <c r="I31" s="17"/>
      <c r="J31" s="17"/>
      <c r="K31" s="17"/>
      <c r="L31" s="17"/>
      <c r="M31" s="17"/>
      <c r="N31" s="17"/>
    </row>
    <row r="32" spans="1:15" ht="24" customHeight="1" x14ac:dyDescent="0.2">
      <c r="B32" s="120" t="s">
        <v>152</v>
      </c>
      <c r="C32" s="121"/>
      <c r="D32" s="121"/>
      <c r="E32" s="121"/>
      <c r="F32" s="121"/>
      <c r="G32" s="121"/>
      <c r="H32" s="121"/>
      <c r="I32" s="121"/>
      <c r="J32" s="121"/>
      <c r="K32" s="121"/>
      <c r="L32" s="121"/>
      <c r="M32" s="121"/>
      <c r="N32" s="127"/>
      <c r="O32" s="24" t="str">
        <f>IF(B32="","入力してください","")</f>
        <v/>
      </c>
    </row>
    <row r="33" spans="1:15" ht="7.5" customHeight="1" x14ac:dyDescent="0.2">
      <c r="B33" s="75"/>
      <c r="C33" s="75"/>
      <c r="D33" s="75"/>
      <c r="E33" s="75"/>
      <c r="F33" s="75"/>
      <c r="G33" s="75"/>
      <c r="H33" s="75"/>
      <c r="I33" s="75"/>
      <c r="J33" s="75"/>
      <c r="K33" s="75"/>
      <c r="L33" s="75"/>
      <c r="M33" s="75"/>
      <c r="N33" s="75"/>
    </row>
    <row r="34" spans="1:15" s="12" customFormat="1" ht="24" customHeight="1" x14ac:dyDescent="0.2">
      <c r="B34" s="119" t="s">
        <v>69</v>
      </c>
      <c r="C34" s="119"/>
      <c r="D34" s="120" t="s">
        <v>150</v>
      </c>
      <c r="E34" s="121"/>
      <c r="F34" s="121"/>
      <c r="G34" s="122" t="s">
        <v>22</v>
      </c>
      <c r="H34" s="119"/>
      <c r="I34" s="123"/>
      <c r="J34" s="120" t="s">
        <v>153</v>
      </c>
      <c r="K34" s="121"/>
      <c r="L34" s="121"/>
      <c r="M34" s="121"/>
      <c r="N34" s="127"/>
      <c r="O34" s="24" t="str">
        <f>IF(OR(D34="",J34=""),"入力してください","")</f>
        <v/>
      </c>
    </row>
    <row r="35" spans="1:15" ht="7.5" customHeight="1" x14ac:dyDescent="0.2">
      <c r="F35" s="34"/>
      <c r="G35" s="34"/>
      <c r="H35" s="34"/>
      <c r="I35" s="34"/>
      <c r="J35" s="34"/>
      <c r="K35" s="34"/>
      <c r="L35" s="34"/>
      <c r="M35" s="34"/>
      <c r="N35" s="34"/>
    </row>
    <row r="36" spans="1:15" ht="24" customHeight="1" x14ac:dyDescent="0.2">
      <c r="A36" s="12" t="s">
        <v>56</v>
      </c>
      <c r="B36" s="12" t="s">
        <v>76</v>
      </c>
      <c r="M36" s="16"/>
      <c r="N36" s="16"/>
    </row>
    <row r="37" spans="1:15" ht="24" customHeight="1" x14ac:dyDescent="0.2">
      <c r="B37" s="120" t="s">
        <v>152</v>
      </c>
      <c r="C37" s="121"/>
      <c r="D37" s="121"/>
      <c r="E37" s="121"/>
      <c r="F37" s="121"/>
      <c r="G37" s="121"/>
      <c r="H37" s="121"/>
      <c r="I37" s="121"/>
      <c r="J37" s="121"/>
      <c r="K37" s="121"/>
      <c r="L37" s="121"/>
      <c r="M37" s="121"/>
      <c r="N37" s="127"/>
      <c r="O37" s="24" t="str">
        <f>IF(B37="","入力してください","")</f>
        <v/>
      </c>
    </row>
    <row r="38" spans="1:15" ht="7.5" customHeight="1" x14ac:dyDescent="0.2">
      <c r="F38" s="34"/>
      <c r="G38" s="34"/>
      <c r="H38" s="34"/>
      <c r="I38" s="34"/>
      <c r="J38" s="34"/>
      <c r="K38" s="34"/>
      <c r="L38" s="34"/>
      <c r="M38" s="34"/>
      <c r="N38" s="34"/>
    </row>
    <row r="39" spans="1:15" s="12" customFormat="1" ht="24" customHeight="1" x14ac:dyDescent="0.2">
      <c r="B39" s="119" t="s">
        <v>69</v>
      </c>
      <c r="C39" s="119"/>
      <c r="D39" s="120" t="s">
        <v>150</v>
      </c>
      <c r="E39" s="121"/>
      <c r="F39" s="121"/>
      <c r="G39" s="122" t="s">
        <v>22</v>
      </c>
      <c r="H39" s="119"/>
      <c r="I39" s="123"/>
      <c r="J39" s="120" t="s">
        <v>151</v>
      </c>
      <c r="K39" s="121"/>
      <c r="L39" s="121"/>
      <c r="M39" s="121"/>
      <c r="N39" s="127"/>
      <c r="O39" s="24" t="str">
        <f>IF(OR(D39="",J39=""),"入力してください","")</f>
        <v/>
      </c>
    </row>
    <row r="40" spans="1:15" ht="7.5" customHeight="1" x14ac:dyDescent="0.2">
      <c r="F40" s="34"/>
      <c r="G40" s="34"/>
      <c r="H40" s="34"/>
      <c r="I40" s="34"/>
      <c r="J40" s="34"/>
      <c r="K40" s="34"/>
      <c r="L40" s="34"/>
      <c r="M40" s="34"/>
      <c r="N40" s="34"/>
    </row>
    <row r="41" spans="1:15" ht="24" customHeight="1" x14ac:dyDescent="0.2">
      <c r="A41" s="12" t="s">
        <v>83</v>
      </c>
      <c r="B41" s="12" t="s">
        <v>64</v>
      </c>
      <c r="E41" s="32"/>
      <c r="F41" s="120" t="s">
        <v>154</v>
      </c>
      <c r="G41" s="121"/>
      <c r="H41" s="121"/>
      <c r="I41" s="121"/>
      <c r="J41" s="121"/>
      <c r="K41" s="121"/>
      <c r="L41" s="121"/>
      <c r="M41" s="121"/>
      <c r="N41" s="127"/>
      <c r="O41" s="24" t="str">
        <f>IF(F41="","入力してください","")</f>
        <v/>
      </c>
    </row>
    <row r="42" spans="1:15" ht="7.5" customHeight="1" x14ac:dyDescent="0.2">
      <c r="F42" s="34"/>
      <c r="G42" s="34"/>
      <c r="H42" s="34"/>
      <c r="I42" s="34"/>
      <c r="J42" s="34"/>
      <c r="K42" s="34"/>
      <c r="L42" s="34"/>
      <c r="M42" s="34"/>
      <c r="N42" s="34"/>
    </row>
    <row r="43" spans="1:15" ht="24" customHeight="1" x14ac:dyDescent="0.2">
      <c r="A43" s="12" t="s">
        <v>155</v>
      </c>
      <c r="B43" s="12" t="s">
        <v>93</v>
      </c>
    </row>
    <row r="44" spans="1:15" ht="24" customHeight="1" x14ac:dyDescent="0.2">
      <c r="B44" s="23" t="s">
        <v>1</v>
      </c>
      <c r="C44" s="138" t="s">
        <v>152</v>
      </c>
      <c r="D44" s="139"/>
      <c r="E44" s="139"/>
      <c r="F44" s="139"/>
      <c r="G44" s="139"/>
      <c r="H44" s="139"/>
      <c r="I44" s="19" t="s">
        <v>2</v>
      </c>
      <c r="J44" s="20"/>
      <c r="K44" s="120" t="s">
        <v>156</v>
      </c>
      <c r="L44" s="121"/>
      <c r="M44" s="121"/>
      <c r="N44" s="127"/>
      <c r="O44" s="24" t="str">
        <f>IF(OR(C44="",K44=""),"入力してください","")</f>
        <v/>
      </c>
    </row>
    <row r="45" spans="1:15" ht="24" customHeight="1" x14ac:dyDescent="0.2">
      <c r="B45" s="18" t="s">
        <v>4</v>
      </c>
      <c r="C45" s="132" t="s">
        <v>157</v>
      </c>
      <c r="D45" s="133"/>
      <c r="E45" s="133"/>
      <c r="F45" s="133"/>
      <c r="G45" s="133"/>
      <c r="H45" s="134"/>
      <c r="I45" s="19" t="s">
        <v>3</v>
      </c>
      <c r="J45" s="20"/>
      <c r="K45" s="135" t="s">
        <v>158</v>
      </c>
      <c r="L45" s="136"/>
      <c r="M45" s="136"/>
      <c r="N45" s="137"/>
      <c r="O45" s="24"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disablePrompts="1" count="3">
    <dataValidation type="list" allowBlank="1" showInputMessage="1" showErrorMessage="1" sqref="K6" xr:uid="{85E9CEB8-CDC7-4ED5-A5CC-3A5173032A94}">
      <formula1>"国立大学, 公立大学, 私立大学, 短期大学, 高等専門学校, その他"</formula1>
    </dataValidation>
    <dataValidation type="list" allowBlank="1" showInputMessage="1" showErrorMessage="1" sqref="N12" xr:uid="{5C8C6930-F6C7-4424-9457-261B412B894A}">
      <formula1>"有,無"</formula1>
    </dataValidation>
    <dataValidation type="list" allowBlank="1" showInputMessage="1" showErrorMessage="1" sqref="F41:N41" xr:uid="{119DCEA2-3E97-4E28-8178-3B9E10ABD15E}">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79" zoomScaleNormal="100" zoomScaleSheetLayoutView="100" workbookViewId="0">
      <selection activeCell="D85" sqref="D85:Z85"/>
    </sheetView>
  </sheetViews>
  <sheetFormatPr defaultColWidth="9" defaultRowHeight="18.75" customHeight="1" x14ac:dyDescent="0.2"/>
  <cols>
    <col min="1" max="1" width="2.44140625" style="11" customWidth="1"/>
    <col min="2" max="2" width="27.77734375" style="11" customWidth="1"/>
    <col min="3" max="13" width="3.33203125" style="11" customWidth="1"/>
    <col min="14" max="14" width="8.88671875" style="11" customWidth="1"/>
    <col min="15" max="15" width="18.88671875" style="11" customWidth="1"/>
    <col min="16" max="19" width="3.33203125" style="11" customWidth="1"/>
    <col min="20" max="20" width="3.44140625" style="11" customWidth="1"/>
    <col min="21" max="26" width="3.33203125" style="11" customWidth="1"/>
    <col min="27" max="16384" width="9" style="11"/>
  </cols>
  <sheetData>
    <row r="1" spans="1:26" ht="15" customHeight="1" x14ac:dyDescent="0.2">
      <c r="W1" s="161" t="s">
        <v>108</v>
      </c>
      <c r="X1" s="161"/>
      <c r="Y1" s="161"/>
      <c r="Z1" s="161"/>
    </row>
    <row r="2" spans="1:26" ht="18" customHeight="1" x14ac:dyDescent="0.2">
      <c r="A2" s="208" t="s">
        <v>62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row>
    <row r="3" spans="1:26" ht="15" customHeight="1" x14ac:dyDescent="0.2">
      <c r="B3" s="22"/>
      <c r="C3" s="22"/>
      <c r="D3" s="22"/>
      <c r="E3" s="22"/>
      <c r="F3" s="22"/>
      <c r="G3" s="22"/>
      <c r="H3" s="22"/>
      <c r="I3" s="22"/>
      <c r="J3" s="22"/>
      <c r="K3" s="22"/>
      <c r="L3" s="22"/>
      <c r="M3" s="22"/>
      <c r="N3" s="22"/>
      <c r="O3" s="22"/>
      <c r="P3" s="22"/>
      <c r="Q3" s="22"/>
      <c r="R3" s="22"/>
      <c r="S3" s="22"/>
      <c r="T3" s="22"/>
      <c r="U3" s="22"/>
      <c r="V3" s="22"/>
      <c r="W3" s="22"/>
      <c r="X3" s="22"/>
      <c r="Y3" s="22"/>
      <c r="Z3" s="22"/>
    </row>
    <row r="4" spans="1:26" ht="18" customHeight="1" x14ac:dyDescent="0.2">
      <c r="A4" s="11" t="s">
        <v>94</v>
      </c>
      <c r="B4" s="22"/>
      <c r="C4" s="22"/>
      <c r="D4" s="22"/>
      <c r="E4" s="22"/>
      <c r="F4" s="22"/>
      <c r="G4" s="22"/>
      <c r="H4" s="12" t="s">
        <v>107</v>
      </c>
      <c r="I4" s="22"/>
      <c r="J4" s="22"/>
      <c r="K4" s="22"/>
      <c r="L4" s="22"/>
      <c r="M4" s="22"/>
      <c r="N4" s="22"/>
      <c r="O4" s="112" t="s">
        <v>159</v>
      </c>
      <c r="P4" s="113"/>
      <c r="Q4" s="113"/>
      <c r="R4" s="113"/>
      <c r="S4" s="113"/>
      <c r="T4" s="113"/>
      <c r="U4" s="113"/>
      <c r="V4" s="113"/>
      <c r="W4" s="113"/>
      <c r="X4" s="113"/>
      <c r="Y4" s="113"/>
      <c r="Z4" s="114"/>
    </row>
    <row r="5" spans="1:26" ht="6" customHeight="1" x14ac:dyDescent="0.2">
      <c r="B5" s="22"/>
      <c r="C5" s="22"/>
      <c r="D5" s="22"/>
      <c r="E5" s="22"/>
      <c r="F5" s="22"/>
      <c r="G5" s="22"/>
      <c r="H5" s="22"/>
      <c r="I5" s="22"/>
      <c r="J5" s="22"/>
      <c r="K5" s="22"/>
      <c r="L5" s="22"/>
      <c r="M5" s="22"/>
      <c r="N5" s="22"/>
      <c r="O5" s="13"/>
      <c r="P5" s="22"/>
      <c r="Q5" s="22"/>
      <c r="R5" s="22"/>
      <c r="S5" s="22"/>
      <c r="T5" s="22"/>
      <c r="U5" s="22"/>
      <c r="V5" s="22"/>
      <c r="W5" s="22"/>
      <c r="X5" s="22"/>
      <c r="Y5" s="22"/>
      <c r="Z5" s="22"/>
    </row>
    <row r="6" spans="1:26" ht="18" customHeight="1" x14ac:dyDescent="0.2">
      <c r="B6" s="209" t="s">
        <v>204</v>
      </c>
      <c r="C6" s="210"/>
      <c r="D6" s="210"/>
      <c r="E6" s="210"/>
      <c r="F6" s="210"/>
      <c r="G6" s="210"/>
      <c r="H6" s="210"/>
      <c r="I6" s="210"/>
      <c r="J6" s="210"/>
      <c r="K6" s="210"/>
      <c r="L6" s="210"/>
      <c r="M6" s="210"/>
      <c r="N6" s="210"/>
      <c r="O6" s="210"/>
      <c r="P6" s="210"/>
      <c r="Q6" s="210"/>
      <c r="R6" s="210"/>
      <c r="S6" s="210"/>
      <c r="T6" s="210"/>
      <c r="U6" s="210"/>
      <c r="V6" s="210"/>
      <c r="W6" s="210"/>
      <c r="X6" s="210"/>
      <c r="Y6" s="210"/>
      <c r="Z6" s="211"/>
    </row>
    <row r="7" spans="1:26" ht="18" customHeight="1" x14ac:dyDescent="0.2">
      <c r="B7" s="212"/>
      <c r="C7" s="213"/>
      <c r="D7" s="213"/>
      <c r="E7" s="213"/>
      <c r="F7" s="213"/>
      <c r="G7" s="213"/>
      <c r="H7" s="213"/>
      <c r="I7" s="213"/>
      <c r="J7" s="213"/>
      <c r="K7" s="213"/>
      <c r="L7" s="213"/>
      <c r="M7" s="213"/>
      <c r="N7" s="213"/>
      <c r="O7" s="213"/>
      <c r="P7" s="213"/>
      <c r="Q7" s="213"/>
      <c r="R7" s="213"/>
      <c r="S7" s="213"/>
      <c r="T7" s="213"/>
      <c r="U7" s="213"/>
      <c r="V7" s="213"/>
      <c r="W7" s="213"/>
      <c r="X7" s="213"/>
      <c r="Y7" s="213"/>
      <c r="Z7" s="214"/>
    </row>
    <row r="8" spans="1:26" ht="18" customHeight="1" x14ac:dyDescent="0.2">
      <c r="B8" s="212"/>
      <c r="C8" s="213"/>
      <c r="D8" s="213"/>
      <c r="E8" s="213"/>
      <c r="F8" s="213"/>
      <c r="G8" s="213"/>
      <c r="H8" s="213"/>
      <c r="I8" s="213"/>
      <c r="J8" s="213"/>
      <c r="K8" s="213"/>
      <c r="L8" s="213"/>
      <c r="M8" s="213"/>
      <c r="N8" s="213"/>
      <c r="O8" s="213"/>
      <c r="P8" s="213"/>
      <c r="Q8" s="213"/>
      <c r="R8" s="213"/>
      <c r="S8" s="213"/>
      <c r="T8" s="213"/>
      <c r="U8" s="213"/>
      <c r="V8" s="213"/>
      <c r="W8" s="213"/>
      <c r="X8" s="213"/>
      <c r="Y8" s="213"/>
      <c r="Z8" s="214"/>
    </row>
    <row r="9" spans="1:26" ht="18" customHeight="1" x14ac:dyDescent="0.2">
      <c r="B9" s="212"/>
      <c r="C9" s="213"/>
      <c r="D9" s="213"/>
      <c r="E9" s="213"/>
      <c r="F9" s="213"/>
      <c r="G9" s="213"/>
      <c r="H9" s="213"/>
      <c r="I9" s="213"/>
      <c r="J9" s="213"/>
      <c r="K9" s="213"/>
      <c r="L9" s="213"/>
      <c r="M9" s="213"/>
      <c r="N9" s="213"/>
      <c r="O9" s="213"/>
      <c r="P9" s="213"/>
      <c r="Q9" s="213"/>
      <c r="R9" s="213"/>
      <c r="S9" s="213"/>
      <c r="T9" s="213"/>
      <c r="U9" s="213"/>
      <c r="V9" s="213"/>
      <c r="W9" s="213"/>
      <c r="X9" s="213"/>
      <c r="Y9" s="213"/>
      <c r="Z9" s="214"/>
    </row>
    <row r="10" spans="1:26" ht="18" customHeight="1" x14ac:dyDescent="0.2">
      <c r="B10" s="212"/>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4"/>
    </row>
    <row r="11" spans="1:26" ht="18" customHeight="1" x14ac:dyDescent="0.2">
      <c r="B11" s="215"/>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7"/>
    </row>
    <row r="12" spans="1:26" ht="7.5" customHeight="1" x14ac:dyDescent="0.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8" customHeight="1" x14ac:dyDescent="0.2">
      <c r="A13" s="207" t="s">
        <v>120</v>
      </c>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row>
    <row r="14" spans="1:26" ht="18" customHeight="1" x14ac:dyDescent="0.2">
      <c r="A14" s="207"/>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row>
    <row r="15" spans="1:26" ht="18" customHeight="1" x14ac:dyDescent="0.2">
      <c r="A15" s="12"/>
      <c r="B15" s="112" t="s">
        <v>95</v>
      </c>
      <c r="C15" s="113"/>
      <c r="D15" s="113"/>
      <c r="E15" s="113"/>
      <c r="F15" s="114"/>
      <c r="G15" s="23" t="s">
        <v>136</v>
      </c>
      <c r="H15" s="59" t="s">
        <v>135</v>
      </c>
      <c r="I15" s="113" t="s">
        <v>96</v>
      </c>
      <c r="J15" s="113"/>
      <c r="K15" s="113"/>
      <c r="L15" s="33" t="s">
        <v>99</v>
      </c>
      <c r="M15" s="33" t="s">
        <v>102</v>
      </c>
      <c r="N15" s="112" t="s">
        <v>95</v>
      </c>
      <c r="O15" s="113"/>
      <c r="P15" s="113"/>
      <c r="Q15" s="113"/>
      <c r="R15" s="113"/>
      <c r="S15" s="114"/>
      <c r="T15" s="23" t="s">
        <v>136</v>
      </c>
      <c r="U15" s="59" t="s">
        <v>135</v>
      </c>
      <c r="V15" s="113" t="s">
        <v>96</v>
      </c>
      <c r="W15" s="113"/>
      <c r="X15" s="113"/>
      <c r="Y15" s="33" t="s">
        <v>99</v>
      </c>
      <c r="Z15" s="33" t="s">
        <v>102</v>
      </c>
    </row>
    <row r="16" spans="1:26" ht="18" customHeight="1" x14ac:dyDescent="0.2">
      <c r="A16" s="12"/>
      <c r="B16" s="162" t="s">
        <v>160</v>
      </c>
      <c r="C16" s="163"/>
      <c r="D16" s="163"/>
      <c r="E16" s="163"/>
      <c r="F16" s="164"/>
      <c r="G16" s="60">
        <v>2</v>
      </c>
      <c r="H16" s="60" t="s">
        <v>161</v>
      </c>
      <c r="I16" s="168" t="s">
        <v>162</v>
      </c>
      <c r="J16" s="169"/>
      <c r="K16" s="170"/>
      <c r="L16" s="60" t="s">
        <v>161</v>
      </c>
      <c r="M16" s="60" t="s">
        <v>161</v>
      </c>
      <c r="N16" s="140"/>
      <c r="O16" s="141"/>
      <c r="P16" s="141"/>
      <c r="Q16" s="141"/>
      <c r="R16" s="141"/>
      <c r="S16" s="142"/>
      <c r="T16" s="60"/>
      <c r="U16" s="60"/>
      <c r="V16" s="168"/>
      <c r="W16" s="169"/>
      <c r="X16" s="170"/>
      <c r="Y16" s="60"/>
      <c r="Z16" s="60"/>
    </row>
    <row r="17" spans="1:26" ht="18" customHeight="1" x14ac:dyDescent="0.2">
      <c r="A17" s="12"/>
      <c r="B17" s="155" t="s">
        <v>163</v>
      </c>
      <c r="C17" s="156"/>
      <c r="D17" s="156"/>
      <c r="E17" s="156"/>
      <c r="F17" s="157"/>
      <c r="G17" s="61">
        <v>2</v>
      </c>
      <c r="H17" s="61" t="s">
        <v>161</v>
      </c>
      <c r="I17" s="149" t="s">
        <v>162</v>
      </c>
      <c r="J17" s="150"/>
      <c r="K17" s="151"/>
      <c r="L17" s="61" t="s">
        <v>161</v>
      </c>
      <c r="M17" s="61" t="s">
        <v>161</v>
      </c>
      <c r="N17" s="143"/>
      <c r="O17" s="144"/>
      <c r="P17" s="144"/>
      <c r="Q17" s="144"/>
      <c r="R17" s="144"/>
      <c r="S17" s="145"/>
      <c r="T17" s="61"/>
      <c r="U17" s="61"/>
      <c r="V17" s="149"/>
      <c r="W17" s="150"/>
      <c r="X17" s="151"/>
      <c r="Y17" s="61"/>
      <c r="Z17" s="61"/>
    </row>
    <row r="18" spans="1:26" ht="18" customHeight="1" x14ac:dyDescent="0.2">
      <c r="A18" s="12"/>
      <c r="B18" s="155" t="s">
        <v>164</v>
      </c>
      <c r="C18" s="156"/>
      <c r="D18" s="156"/>
      <c r="E18" s="156"/>
      <c r="F18" s="157"/>
      <c r="G18" s="61">
        <v>2</v>
      </c>
      <c r="H18" s="61" t="s">
        <v>161</v>
      </c>
      <c r="I18" s="149" t="s">
        <v>162</v>
      </c>
      <c r="J18" s="150"/>
      <c r="K18" s="151"/>
      <c r="L18" s="61" t="s">
        <v>161</v>
      </c>
      <c r="M18" s="61"/>
      <c r="N18" s="143"/>
      <c r="O18" s="144"/>
      <c r="P18" s="144"/>
      <c r="Q18" s="144"/>
      <c r="R18" s="144"/>
      <c r="S18" s="145"/>
      <c r="T18" s="61"/>
      <c r="U18" s="61"/>
      <c r="V18" s="149"/>
      <c r="W18" s="150"/>
      <c r="X18" s="151"/>
      <c r="Y18" s="61"/>
      <c r="Z18" s="61"/>
    </row>
    <row r="19" spans="1:26" ht="18" customHeight="1" x14ac:dyDescent="0.2">
      <c r="A19" s="12"/>
      <c r="B19" s="155"/>
      <c r="C19" s="156"/>
      <c r="D19" s="156"/>
      <c r="E19" s="156"/>
      <c r="F19" s="157"/>
      <c r="G19" s="61"/>
      <c r="H19" s="61"/>
      <c r="I19" s="149"/>
      <c r="J19" s="150"/>
      <c r="K19" s="151"/>
      <c r="L19" s="61"/>
      <c r="M19" s="61"/>
      <c r="N19" s="143"/>
      <c r="O19" s="144"/>
      <c r="P19" s="144"/>
      <c r="Q19" s="144"/>
      <c r="R19" s="144"/>
      <c r="S19" s="145"/>
      <c r="T19" s="61"/>
      <c r="U19" s="61"/>
      <c r="V19" s="149"/>
      <c r="W19" s="150"/>
      <c r="X19" s="151"/>
      <c r="Y19" s="61"/>
      <c r="Z19" s="61"/>
    </row>
    <row r="20" spans="1:26" ht="18" customHeight="1" x14ac:dyDescent="0.2">
      <c r="A20" s="12"/>
      <c r="B20" s="155"/>
      <c r="C20" s="156"/>
      <c r="D20" s="156"/>
      <c r="E20" s="156"/>
      <c r="F20" s="157"/>
      <c r="G20" s="61"/>
      <c r="H20" s="61"/>
      <c r="I20" s="149"/>
      <c r="J20" s="150"/>
      <c r="K20" s="151"/>
      <c r="L20" s="61"/>
      <c r="M20" s="61"/>
      <c r="N20" s="143"/>
      <c r="O20" s="144"/>
      <c r="P20" s="144"/>
      <c r="Q20" s="144"/>
      <c r="R20" s="144"/>
      <c r="S20" s="145"/>
      <c r="T20" s="61"/>
      <c r="U20" s="61"/>
      <c r="V20" s="149"/>
      <c r="W20" s="150"/>
      <c r="X20" s="151"/>
      <c r="Y20" s="61"/>
      <c r="Z20" s="61"/>
    </row>
    <row r="21" spans="1:26" ht="18" customHeight="1" x14ac:dyDescent="0.2">
      <c r="A21" s="22"/>
      <c r="B21" s="155"/>
      <c r="C21" s="156"/>
      <c r="D21" s="156"/>
      <c r="E21" s="156"/>
      <c r="F21" s="157"/>
      <c r="G21" s="61"/>
      <c r="H21" s="61"/>
      <c r="I21" s="149"/>
      <c r="J21" s="150"/>
      <c r="K21" s="151"/>
      <c r="L21" s="61"/>
      <c r="M21" s="61"/>
      <c r="N21" s="143"/>
      <c r="O21" s="144"/>
      <c r="P21" s="144"/>
      <c r="Q21" s="144"/>
      <c r="R21" s="144"/>
      <c r="S21" s="145"/>
      <c r="T21" s="61"/>
      <c r="U21" s="61"/>
      <c r="V21" s="149"/>
      <c r="W21" s="150"/>
      <c r="X21" s="151"/>
      <c r="Y21" s="61"/>
      <c r="Z21" s="61"/>
    </row>
    <row r="22" spans="1:26" ht="18" customHeight="1" x14ac:dyDescent="0.2">
      <c r="A22" s="22"/>
      <c r="B22" s="158"/>
      <c r="C22" s="159"/>
      <c r="D22" s="159"/>
      <c r="E22" s="159"/>
      <c r="F22" s="160"/>
      <c r="G22" s="62"/>
      <c r="H22" s="62"/>
      <c r="I22" s="152"/>
      <c r="J22" s="153"/>
      <c r="K22" s="154"/>
      <c r="L22" s="64"/>
      <c r="M22" s="64"/>
      <c r="N22" s="146"/>
      <c r="O22" s="147"/>
      <c r="P22" s="147"/>
      <c r="Q22" s="147"/>
      <c r="R22" s="147"/>
      <c r="S22" s="148"/>
      <c r="T22" s="62"/>
      <c r="U22" s="62"/>
      <c r="V22" s="152"/>
      <c r="W22" s="153"/>
      <c r="X22" s="154"/>
      <c r="Y22" s="64"/>
      <c r="Z22" s="64"/>
    </row>
    <row r="23" spans="1:26" ht="7.5" customHeight="1" x14ac:dyDescent="0.2">
      <c r="A23" s="22"/>
      <c r="B23" s="34"/>
      <c r="C23" s="34"/>
      <c r="D23" s="22"/>
      <c r="E23" s="22"/>
      <c r="F23" s="22"/>
      <c r="G23" s="22"/>
      <c r="H23" s="22"/>
      <c r="I23" s="22"/>
      <c r="J23" s="22"/>
      <c r="K23" s="22"/>
      <c r="L23" s="34"/>
      <c r="M23" s="34"/>
      <c r="N23" s="34"/>
      <c r="O23" s="34"/>
      <c r="P23" s="34"/>
      <c r="Q23" s="34"/>
      <c r="R23" s="34"/>
      <c r="S23" s="34"/>
      <c r="T23" s="34"/>
      <c r="U23" s="34"/>
      <c r="V23" s="34"/>
      <c r="W23" s="34"/>
      <c r="X23" s="34"/>
      <c r="Y23" s="34"/>
      <c r="Z23" s="22"/>
    </row>
    <row r="24" spans="1:26" ht="18" customHeight="1" x14ac:dyDescent="0.2">
      <c r="A24" s="207" t="s">
        <v>121</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spans="1:26" ht="18" customHeight="1" x14ac:dyDescent="0.2">
      <c r="A25" s="207"/>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spans="1:26" ht="18" customHeight="1" x14ac:dyDescent="0.2">
      <c r="A26" s="12"/>
      <c r="B26" s="112" t="s">
        <v>95</v>
      </c>
      <c r="C26" s="113"/>
      <c r="D26" s="113"/>
      <c r="E26" s="113"/>
      <c r="F26" s="114"/>
      <c r="G26" s="23" t="s">
        <v>136</v>
      </c>
      <c r="H26" s="59" t="s">
        <v>135</v>
      </c>
      <c r="I26" s="113" t="s">
        <v>96</v>
      </c>
      <c r="J26" s="113"/>
      <c r="K26" s="113"/>
      <c r="L26" s="33" t="s">
        <v>122</v>
      </c>
      <c r="M26" s="33" t="s">
        <v>123</v>
      </c>
      <c r="N26" s="112" t="s">
        <v>95</v>
      </c>
      <c r="O26" s="113"/>
      <c r="P26" s="113"/>
      <c r="Q26" s="113"/>
      <c r="R26" s="113"/>
      <c r="S26" s="114"/>
      <c r="T26" s="23" t="s">
        <v>136</v>
      </c>
      <c r="U26" s="59" t="s">
        <v>135</v>
      </c>
      <c r="V26" s="113" t="s">
        <v>96</v>
      </c>
      <c r="W26" s="113"/>
      <c r="X26" s="113"/>
      <c r="Y26" s="33" t="s">
        <v>122</v>
      </c>
      <c r="Z26" s="33" t="s">
        <v>123</v>
      </c>
    </row>
    <row r="27" spans="1:26" ht="18" customHeight="1" x14ac:dyDescent="0.2">
      <c r="A27" s="12"/>
      <c r="B27" s="162" t="s">
        <v>160</v>
      </c>
      <c r="C27" s="163"/>
      <c r="D27" s="163"/>
      <c r="E27" s="163"/>
      <c r="F27" s="164"/>
      <c r="G27" s="60">
        <v>2</v>
      </c>
      <c r="H27" s="60" t="s">
        <v>161</v>
      </c>
      <c r="I27" s="168" t="s">
        <v>162</v>
      </c>
      <c r="J27" s="169"/>
      <c r="K27" s="170"/>
      <c r="L27" s="60"/>
      <c r="M27" s="60" t="s">
        <v>161</v>
      </c>
      <c r="N27" s="140"/>
      <c r="O27" s="141"/>
      <c r="P27" s="141"/>
      <c r="Q27" s="141"/>
      <c r="R27" s="141"/>
      <c r="S27" s="142"/>
      <c r="T27" s="60"/>
      <c r="U27" s="60"/>
      <c r="V27" s="168"/>
      <c r="W27" s="169"/>
      <c r="X27" s="170"/>
      <c r="Y27" s="60"/>
      <c r="Z27" s="60"/>
    </row>
    <row r="28" spans="1:26" ht="18" customHeight="1" x14ac:dyDescent="0.2">
      <c r="A28" s="12"/>
      <c r="B28" s="155" t="s">
        <v>163</v>
      </c>
      <c r="C28" s="156"/>
      <c r="D28" s="156"/>
      <c r="E28" s="156"/>
      <c r="F28" s="157"/>
      <c r="G28" s="61">
        <v>2</v>
      </c>
      <c r="H28" s="61" t="s">
        <v>161</v>
      </c>
      <c r="I28" s="149" t="s">
        <v>162</v>
      </c>
      <c r="J28" s="150"/>
      <c r="K28" s="151"/>
      <c r="L28" s="61" t="s">
        <v>161</v>
      </c>
      <c r="M28" s="61" t="s">
        <v>161</v>
      </c>
      <c r="N28" s="143"/>
      <c r="O28" s="144"/>
      <c r="P28" s="144"/>
      <c r="Q28" s="144"/>
      <c r="R28" s="144"/>
      <c r="S28" s="145"/>
      <c r="T28" s="61"/>
      <c r="U28" s="61"/>
      <c r="V28" s="149"/>
      <c r="W28" s="150"/>
      <c r="X28" s="151"/>
      <c r="Y28" s="61"/>
      <c r="Z28" s="61"/>
    </row>
    <row r="29" spans="1:26" ht="18" customHeight="1" x14ac:dyDescent="0.2">
      <c r="A29" s="12"/>
      <c r="B29" s="155" t="s">
        <v>164</v>
      </c>
      <c r="C29" s="156"/>
      <c r="D29" s="156"/>
      <c r="E29" s="156"/>
      <c r="F29" s="157"/>
      <c r="G29" s="61">
        <v>2</v>
      </c>
      <c r="H29" s="61" t="s">
        <v>161</v>
      </c>
      <c r="I29" s="149" t="s">
        <v>162</v>
      </c>
      <c r="J29" s="150"/>
      <c r="K29" s="151"/>
      <c r="L29" s="61" t="s">
        <v>161</v>
      </c>
      <c r="M29" s="61" t="s">
        <v>161</v>
      </c>
      <c r="N29" s="143"/>
      <c r="O29" s="144"/>
      <c r="P29" s="144"/>
      <c r="Q29" s="144"/>
      <c r="R29" s="144"/>
      <c r="S29" s="145"/>
      <c r="T29" s="61"/>
      <c r="U29" s="61"/>
      <c r="V29" s="149"/>
      <c r="W29" s="150"/>
      <c r="X29" s="151"/>
      <c r="Y29" s="61"/>
      <c r="Z29" s="61"/>
    </row>
    <row r="30" spans="1:26" ht="18" customHeight="1" x14ac:dyDescent="0.2">
      <c r="A30" s="12"/>
      <c r="B30" s="155"/>
      <c r="C30" s="156"/>
      <c r="D30" s="156"/>
      <c r="E30" s="156"/>
      <c r="F30" s="157"/>
      <c r="G30" s="61"/>
      <c r="H30" s="61"/>
      <c r="I30" s="149"/>
      <c r="J30" s="150"/>
      <c r="K30" s="151"/>
      <c r="L30" s="61"/>
      <c r="M30" s="61"/>
      <c r="N30" s="143"/>
      <c r="O30" s="144"/>
      <c r="P30" s="144"/>
      <c r="Q30" s="144"/>
      <c r="R30" s="144"/>
      <c r="S30" s="145"/>
      <c r="T30" s="61"/>
      <c r="U30" s="61"/>
      <c r="V30" s="149"/>
      <c r="W30" s="150"/>
      <c r="X30" s="151"/>
      <c r="Y30" s="61"/>
      <c r="Z30" s="61"/>
    </row>
    <row r="31" spans="1:26" ht="18" customHeight="1" x14ac:dyDescent="0.2">
      <c r="A31" s="12"/>
      <c r="B31" s="155"/>
      <c r="C31" s="156"/>
      <c r="D31" s="156"/>
      <c r="E31" s="156"/>
      <c r="F31" s="157"/>
      <c r="G31" s="61"/>
      <c r="H31" s="61"/>
      <c r="I31" s="149"/>
      <c r="J31" s="150"/>
      <c r="K31" s="151"/>
      <c r="L31" s="61"/>
      <c r="M31" s="61"/>
      <c r="N31" s="143"/>
      <c r="O31" s="144"/>
      <c r="P31" s="144"/>
      <c r="Q31" s="144"/>
      <c r="R31" s="144"/>
      <c r="S31" s="145"/>
      <c r="T31" s="61"/>
      <c r="U31" s="61"/>
      <c r="V31" s="149"/>
      <c r="W31" s="150"/>
      <c r="X31" s="151"/>
      <c r="Y31" s="61"/>
      <c r="Z31" s="61"/>
    </row>
    <row r="32" spans="1:26" ht="18" customHeight="1" x14ac:dyDescent="0.2">
      <c r="A32" s="12"/>
      <c r="B32" s="155"/>
      <c r="C32" s="156"/>
      <c r="D32" s="156"/>
      <c r="E32" s="156"/>
      <c r="F32" s="157"/>
      <c r="G32" s="61"/>
      <c r="H32" s="61"/>
      <c r="I32" s="149"/>
      <c r="J32" s="150"/>
      <c r="K32" s="151"/>
      <c r="L32" s="61"/>
      <c r="M32" s="61"/>
      <c r="N32" s="143"/>
      <c r="O32" s="144"/>
      <c r="P32" s="144"/>
      <c r="Q32" s="144"/>
      <c r="R32" s="144"/>
      <c r="S32" s="145"/>
      <c r="T32" s="61"/>
      <c r="U32" s="61"/>
      <c r="V32" s="149"/>
      <c r="W32" s="150"/>
      <c r="X32" s="151"/>
      <c r="Y32" s="61"/>
      <c r="Z32" s="61"/>
    </row>
    <row r="33" spans="1:26" ht="18" customHeight="1" x14ac:dyDescent="0.2">
      <c r="A33" s="12"/>
      <c r="B33" s="158"/>
      <c r="C33" s="159"/>
      <c r="D33" s="159"/>
      <c r="E33" s="159"/>
      <c r="F33" s="160"/>
      <c r="G33" s="62"/>
      <c r="H33" s="62"/>
      <c r="I33" s="152"/>
      <c r="J33" s="153"/>
      <c r="K33" s="154"/>
      <c r="L33" s="64"/>
      <c r="M33" s="64"/>
      <c r="N33" s="146"/>
      <c r="O33" s="147"/>
      <c r="P33" s="147"/>
      <c r="Q33" s="147"/>
      <c r="R33" s="147"/>
      <c r="S33" s="148"/>
      <c r="T33" s="62"/>
      <c r="U33" s="62"/>
      <c r="V33" s="152"/>
      <c r="W33" s="153"/>
      <c r="X33" s="154"/>
      <c r="Y33" s="64"/>
      <c r="Z33" s="64"/>
    </row>
    <row r="34" spans="1:26" ht="7.5" customHeight="1" x14ac:dyDescent="0.2">
      <c r="A34" s="22"/>
      <c r="B34" s="34"/>
      <c r="C34" s="34"/>
      <c r="D34" s="22"/>
      <c r="E34" s="22"/>
      <c r="F34" s="22"/>
      <c r="G34" s="22"/>
      <c r="H34" s="22"/>
      <c r="I34" s="22"/>
      <c r="J34" s="22"/>
      <c r="K34" s="22"/>
      <c r="L34" s="34"/>
      <c r="M34" s="34"/>
      <c r="N34" s="34"/>
      <c r="O34" s="34"/>
      <c r="P34" s="34"/>
      <c r="Q34" s="34"/>
      <c r="R34" s="34"/>
      <c r="S34" s="34"/>
      <c r="T34" s="34"/>
      <c r="U34" s="34"/>
      <c r="V34" s="34"/>
      <c r="W34" s="34"/>
      <c r="X34" s="34"/>
      <c r="Y34" s="34"/>
      <c r="Z34" s="22"/>
    </row>
    <row r="35" spans="1:26" ht="18" customHeight="1" x14ac:dyDescent="0.2">
      <c r="A35" s="207" t="s">
        <v>124</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spans="1:26" ht="18" customHeight="1" x14ac:dyDescent="0.2">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spans="1:26" ht="18" customHeight="1" x14ac:dyDescent="0.2">
      <c r="A37" s="12"/>
      <c r="B37" s="112" t="s">
        <v>95</v>
      </c>
      <c r="C37" s="113"/>
      <c r="D37" s="113"/>
      <c r="E37" s="113"/>
      <c r="F37" s="114"/>
      <c r="G37" s="23" t="s">
        <v>136</v>
      </c>
      <c r="H37" s="59" t="s">
        <v>135</v>
      </c>
      <c r="I37" s="112" t="s">
        <v>96</v>
      </c>
      <c r="J37" s="113"/>
      <c r="K37" s="114"/>
      <c r="L37" s="33" t="s">
        <v>125</v>
      </c>
      <c r="M37" s="33" t="s">
        <v>126</v>
      </c>
      <c r="N37" s="112" t="s">
        <v>95</v>
      </c>
      <c r="O37" s="113"/>
      <c r="P37" s="113"/>
      <c r="Q37" s="113"/>
      <c r="R37" s="113"/>
      <c r="S37" s="114"/>
      <c r="T37" s="23" t="s">
        <v>136</v>
      </c>
      <c r="U37" s="59" t="s">
        <v>135</v>
      </c>
      <c r="V37" s="112" t="s">
        <v>96</v>
      </c>
      <c r="W37" s="113"/>
      <c r="X37" s="114"/>
      <c r="Y37" s="33" t="s">
        <v>125</v>
      </c>
      <c r="Z37" s="33" t="s">
        <v>126</v>
      </c>
    </row>
    <row r="38" spans="1:26" ht="18" customHeight="1" x14ac:dyDescent="0.2">
      <c r="A38" s="22"/>
      <c r="B38" s="162" t="s">
        <v>160</v>
      </c>
      <c r="C38" s="163"/>
      <c r="D38" s="163"/>
      <c r="E38" s="163"/>
      <c r="F38" s="164"/>
      <c r="G38" s="60">
        <v>2</v>
      </c>
      <c r="H38" s="60" t="s">
        <v>161</v>
      </c>
      <c r="I38" s="168" t="s">
        <v>162</v>
      </c>
      <c r="J38" s="169"/>
      <c r="K38" s="170"/>
      <c r="L38" s="60" t="s">
        <v>161</v>
      </c>
      <c r="M38" s="60" t="s">
        <v>161</v>
      </c>
      <c r="N38" s="140"/>
      <c r="O38" s="141"/>
      <c r="P38" s="141"/>
      <c r="Q38" s="141"/>
      <c r="R38" s="141"/>
      <c r="S38" s="142"/>
      <c r="T38" s="60"/>
      <c r="U38" s="60"/>
      <c r="V38" s="168"/>
      <c r="W38" s="169"/>
      <c r="X38" s="170"/>
      <c r="Y38" s="60"/>
      <c r="Z38" s="60"/>
    </row>
    <row r="39" spans="1:26" ht="18" customHeight="1" x14ac:dyDescent="0.2">
      <c r="A39" s="22"/>
      <c r="B39" s="155" t="s">
        <v>163</v>
      </c>
      <c r="C39" s="156"/>
      <c r="D39" s="156"/>
      <c r="E39" s="156"/>
      <c r="F39" s="157"/>
      <c r="G39" s="61">
        <v>2</v>
      </c>
      <c r="H39" s="61" t="s">
        <v>161</v>
      </c>
      <c r="I39" s="149" t="s">
        <v>162</v>
      </c>
      <c r="J39" s="150"/>
      <c r="K39" s="151"/>
      <c r="L39" s="61"/>
      <c r="M39" s="61" t="s">
        <v>161</v>
      </c>
      <c r="N39" s="143"/>
      <c r="O39" s="144"/>
      <c r="P39" s="144"/>
      <c r="Q39" s="144"/>
      <c r="R39" s="144"/>
      <c r="S39" s="145"/>
      <c r="T39" s="61"/>
      <c r="U39" s="61"/>
      <c r="V39" s="149"/>
      <c r="W39" s="150"/>
      <c r="X39" s="151"/>
      <c r="Y39" s="61"/>
      <c r="Z39" s="61"/>
    </row>
    <row r="40" spans="1:26" ht="18" customHeight="1" x14ac:dyDescent="0.2">
      <c r="A40" s="22"/>
      <c r="B40" s="155" t="s">
        <v>164</v>
      </c>
      <c r="C40" s="156"/>
      <c r="D40" s="156"/>
      <c r="E40" s="156"/>
      <c r="F40" s="157"/>
      <c r="G40" s="61">
        <v>2</v>
      </c>
      <c r="H40" s="61" t="s">
        <v>161</v>
      </c>
      <c r="I40" s="149" t="s">
        <v>162</v>
      </c>
      <c r="J40" s="150"/>
      <c r="K40" s="151"/>
      <c r="L40" s="61"/>
      <c r="M40" s="61" t="s">
        <v>161</v>
      </c>
      <c r="N40" s="143"/>
      <c r="O40" s="144"/>
      <c r="P40" s="144"/>
      <c r="Q40" s="144"/>
      <c r="R40" s="144"/>
      <c r="S40" s="145"/>
      <c r="T40" s="61"/>
      <c r="U40" s="61"/>
      <c r="V40" s="149"/>
      <c r="W40" s="150"/>
      <c r="X40" s="151"/>
      <c r="Y40" s="61"/>
      <c r="Z40" s="61"/>
    </row>
    <row r="41" spans="1:26" ht="18" customHeight="1" x14ac:dyDescent="0.2">
      <c r="A41" s="22"/>
      <c r="B41" s="155"/>
      <c r="C41" s="156"/>
      <c r="D41" s="156"/>
      <c r="E41" s="156"/>
      <c r="F41" s="157"/>
      <c r="G41" s="61"/>
      <c r="H41" s="61"/>
      <c r="I41" s="149"/>
      <c r="J41" s="150"/>
      <c r="K41" s="151"/>
      <c r="L41" s="61"/>
      <c r="M41" s="61"/>
      <c r="N41" s="143"/>
      <c r="O41" s="144"/>
      <c r="P41" s="144"/>
      <c r="Q41" s="144"/>
      <c r="R41" s="144"/>
      <c r="S41" s="145"/>
      <c r="T41" s="61"/>
      <c r="U41" s="61"/>
      <c r="V41" s="149"/>
      <c r="W41" s="150"/>
      <c r="X41" s="151"/>
      <c r="Y41" s="61"/>
      <c r="Z41" s="61"/>
    </row>
    <row r="42" spans="1:26" ht="18" customHeight="1" x14ac:dyDescent="0.2">
      <c r="A42" s="22"/>
      <c r="B42" s="155"/>
      <c r="C42" s="156"/>
      <c r="D42" s="156"/>
      <c r="E42" s="156"/>
      <c r="F42" s="157"/>
      <c r="G42" s="61"/>
      <c r="H42" s="61"/>
      <c r="I42" s="149"/>
      <c r="J42" s="150"/>
      <c r="K42" s="151"/>
      <c r="L42" s="61"/>
      <c r="M42" s="61"/>
      <c r="N42" s="143"/>
      <c r="O42" s="144"/>
      <c r="P42" s="144"/>
      <c r="Q42" s="144"/>
      <c r="R42" s="144"/>
      <c r="S42" s="145"/>
      <c r="T42" s="61"/>
      <c r="U42" s="61"/>
      <c r="V42" s="149"/>
      <c r="W42" s="150"/>
      <c r="X42" s="151"/>
      <c r="Y42" s="61"/>
      <c r="Z42" s="61"/>
    </row>
    <row r="43" spans="1:26" ht="18" customHeight="1" x14ac:dyDescent="0.2">
      <c r="A43" s="22"/>
      <c r="B43" s="155"/>
      <c r="C43" s="156"/>
      <c r="D43" s="156"/>
      <c r="E43" s="156"/>
      <c r="F43" s="157"/>
      <c r="G43" s="61"/>
      <c r="H43" s="61"/>
      <c r="I43" s="149"/>
      <c r="J43" s="150"/>
      <c r="K43" s="151"/>
      <c r="L43" s="61"/>
      <c r="M43" s="61"/>
      <c r="N43" s="143"/>
      <c r="O43" s="144"/>
      <c r="P43" s="144"/>
      <c r="Q43" s="144"/>
      <c r="R43" s="144"/>
      <c r="S43" s="145"/>
      <c r="T43" s="61"/>
      <c r="U43" s="61"/>
      <c r="V43" s="149"/>
      <c r="W43" s="150"/>
      <c r="X43" s="151"/>
      <c r="Y43" s="61"/>
      <c r="Z43" s="61"/>
    </row>
    <row r="44" spans="1:26" ht="18" customHeight="1" x14ac:dyDescent="0.2">
      <c r="A44" s="22"/>
      <c r="B44" s="158"/>
      <c r="C44" s="159"/>
      <c r="D44" s="159"/>
      <c r="E44" s="159"/>
      <c r="F44" s="160"/>
      <c r="G44" s="62"/>
      <c r="H44" s="62"/>
      <c r="I44" s="152"/>
      <c r="J44" s="153"/>
      <c r="K44" s="154"/>
      <c r="L44" s="64"/>
      <c r="M44" s="64"/>
      <c r="N44" s="146"/>
      <c r="O44" s="147"/>
      <c r="P44" s="147"/>
      <c r="Q44" s="147"/>
      <c r="R44" s="147"/>
      <c r="S44" s="148"/>
      <c r="T44" s="62"/>
      <c r="U44" s="62"/>
      <c r="V44" s="152"/>
      <c r="W44" s="153"/>
      <c r="X44" s="154"/>
      <c r="Y44" s="64"/>
      <c r="Z44" s="64"/>
    </row>
    <row r="45" spans="1:26" ht="7.5" customHeight="1" x14ac:dyDescent="0.2">
      <c r="B45" s="35"/>
      <c r="C45" s="35"/>
      <c r="D45" s="35"/>
      <c r="E45" s="35"/>
      <c r="F45" s="35"/>
      <c r="G45" s="35"/>
      <c r="H45" s="35"/>
      <c r="I45" s="35"/>
      <c r="J45" s="35"/>
      <c r="K45" s="35"/>
      <c r="L45" s="35"/>
      <c r="M45" s="35"/>
      <c r="N45" s="35"/>
      <c r="O45" s="35"/>
      <c r="P45" s="35"/>
      <c r="Q45" s="35"/>
      <c r="R45" s="35"/>
      <c r="S45" s="35"/>
      <c r="T45" s="35"/>
      <c r="U45" s="35"/>
      <c r="V45" s="35"/>
      <c r="W45" s="35"/>
      <c r="X45" s="35"/>
      <c r="Y45" s="35"/>
    </row>
    <row r="46" spans="1:26" ht="18" customHeight="1" x14ac:dyDescent="0.2">
      <c r="A46" s="207" t="s">
        <v>127</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spans="1:26" ht="18" customHeight="1" x14ac:dyDescent="0.2">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spans="1:26" ht="18" customHeight="1" x14ac:dyDescent="0.2">
      <c r="A48" s="12"/>
      <c r="B48" s="112" t="s">
        <v>95</v>
      </c>
      <c r="C48" s="113"/>
      <c r="D48" s="113"/>
      <c r="E48" s="113"/>
      <c r="F48" s="114"/>
      <c r="G48" s="23" t="s">
        <v>136</v>
      </c>
      <c r="H48" s="59" t="s">
        <v>135</v>
      </c>
      <c r="I48" s="112" t="s">
        <v>96</v>
      </c>
      <c r="J48" s="113"/>
      <c r="K48" s="114"/>
      <c r="L48" s="33" t="s">
        <v>101</v>
      </c>
      <c r="M48" s="33" t="s">
        <v>103</v>
      </c>
      <c r="N48" s="112" t="s">
        <v>95</v>
      </c>
      <c r="O48" s="113"/>
      <c r="P48" s="113"/>
      <c r="Q48" s="113"/>
      <c r="R48" s="113"/>
      <c r="S48" s="114"/>
      <c r="T48" s="23" t="s">
        <v>136</v>
      </c>
      <c r="U48" s="59" t="s">
        <v>135</v>
      </c>
      <c r="V48" s="112" t="s">
        <v>96</v>
      </c>
      <c r="W48" s="113"/>
      <c r="X48" s="114"/>
      <c r="Y48" s="33" t="s">
        <v>101</v>
      </c>
      <c r="Z48" s="33" t="s">
        <v>103</v>
      </c>
    </row>
    <row r="49" spans="1:26" ht="18" customHeight="1" x14ac:dyDescent="0.2">
      <c r="A49" s="22"/>
      <c r="B49" s="162" t="s">
        <v>160</v>
      </c>
      <c r="C49" s="163"/>
      <c r="D49" s="163"/>
      <c r="E49" s="163"/>
      <c r="F49" s="164"/>
      <c r="G49" s="60">
        <v>2</v>
      </c>
      <c r="H49" s="60" t="s">
        <v>161</v>
      </c>
      <c r="I49" s="168" t="s">
        <v>162</v>
      </c>
      <c r="J49" s="169"/>
      <c r="K49" s="170"/>
      <c r="L49" s="60" t="s">
        <v>161</v>
      </c>
      <c r="M49" s="60" t="s">
        <v>161</v>
      </c>
      <c r="N49" s="140"/>
      <c r="O49" s="141"/>
      <c r="P49" s="141"/>
      <c r="Q49" s="141"/>
      <c r="R49" s="141"/>
      <c r="S49" s="142"/>
      <c r="T49" s="60"/>
      <c r="U49" s="60"/>
      <c r="V49" s="168"/>
      <c r="W49" s="169"/>
      <c r="X49" s="170"/>
      <c r="Y49" s="60"/>
      <c r="Z49" s="60"/>
    </row>
    <row r="50" spans="1:26" ht="18" customHeight="1" x14ac:dyDescent="0.2">
      <c r="A50" s="22"/>
      <c r="B50" s="155" t="s">
        <v>163</v>
      </c>
      <c r="C50" s="156"/>
      <c r="D50" s="156"/>
      <c r="E50" s="156"/>
      <c r="F50" s="157"/>
      <c r="G50" s="61">
        <v>2</v>
      </c>
      <c r="H50" s="61" t="s">
        <v>161</v>
      </c>
      <c r="I50" s="149" t="s">
        <v>162</v>
      </c>
      <c r="J50" s="150"/>
      <c r="K50" s="151"/>
      <c r="L50" s="61" t="s">
        <v>161</v>
      </c>
      <c r="M50" s="61"/>
      <c r="N50" s="143"/>
      <c r="O50" s="144"/>
      <c r="P50" s="144"/>
      <c r="Q50" s="144"/>
      <c r="R50" s="144"/>
      <c r="S50" s="145"/>
      <c r="T50" s="61"/>
      <c r="U50" s="61"/>
      <c r="V50" s="149"/>
      <c r="W50" s="150"/>
      <c r="X50" s="151"/>
      <c r="Y50" s="61"/>
      <c r="Z50" s="61"/>
    </row>
    <row r="51" spans="1:26" ht="18" customHeight="1" x14ac:dyDescent="0.2">
      <c r="A51" s="22"/>
      <c r="B51" s="155" t="s">
        <v>164</v>
      </c>
      <c r="C51" s="156"/>
      <c r="D51" s="156"/>
      <c r="E51" s="156"/>
      <c r="F51" s="157"/>
      <c r="G51" s="61">
        <v>2</v>
      </c>
      <c r="H51" s="61" t="s">
        <v>161</v>
      </c>
      <c r="I51" s="149" t="s">
        <v>162</v>
      </c>
      <c r="J51" s="150"/>
      <c r="K51" s="151"/>
      <c r="L51" s="61" t="s">
        <v>161</v>
      </c>
      <c r="M51" s="61"/>
      <c r="N51" s="143"/>
      <c r="O51" s="144"/>
      <c r="P51" s="144"/>
      <c r="Q51" s="144"/>
      <c r="R51" s="144"/>
      <c r="S51" s="145"/>
      <c r="T51" s="61"/>
      <c r="U51" s="61"/>
      <c r="V51" s="149"/>
      <c r="W51" s="150"/>
      <c r="X51" s="151"/>
      <c r="Y51" s="61"/>
      <c r="Z51" s="61"/>
    </row>
    <row r="52" spans="1:26" ht="18" customHeight="1" x14ac:dyDescent="0.2">
      <c r="A52" s="22"/>
      <c r="B52" s="155"/>
      <c r="C52" s="156"/>
      <c r="D52" s="156"/>
      <c r="E52" s="156"/>
      <c r="F52" s="157"/>
      <c r="G52" s="61"/>
      <c r="H52" s="61"/>
      <c r="I52" s="149"/>
      <c r="J52" s="150"/>
      <c r="K52" s="151"/>
      <c r="L52" s="61"/>
      <c r="M52" s="61"/>
      <c r="N52" s="143"/>
      <c r="O52" s="144"/>
      <c r="P52" s="144"/>
      <c r="Q52" s="144"/>
      <c r="R52" s="144"/>
      <c r="S52" s="145"/>
      <c r="T52" s="61"/>
      <c r="U52" s="61"/>
      <c r="V52" s="149"/>
      <c r="W52" s="150"/>
      <c r="X52" s="151"/>
      <c r="Y52" s="61"/>
      <c r="Z52" s="61"/>
    </row>
    <row r="53" spans="1:26" ht="18" customHeight="1" x14ac:dyDescent="0.2">
      <c r="A53" s="22"/>
      <c r="B53" s="155"/>
      <c r="C53" s="156"/>
      <c r="D53" s="156"/>
      <c r="E53" s="156"/>
      <c r="F53" s="157"/>
      <c r="G53" s="61"/>
      <c r="H53" s="61"/>
      <c r="I53" s="149"/>
      <c r="J53" s="150"/>
      <c r="K53" s="151"/>
      <c r="L53" s="61"/>
      <c r="M53" s="61"/>
      <c r="N53" s="143"/>
      <c r="O53" s="144"/>
      <c r="P53" s="144"/>
      <c r="Q53" s="144"/>
      <c r="R53" s="144"/>
      <c r="S53" s="145"/>
      <c r="T53" s="61"/>
      <c r="U53" s="61"/>
      <c r="V53" s="149"/>
      <c r="W53" s="150"/>
      <c r="X53" s="151"/>
      <c r="Y53" s="61"/>
      <c r="Z53" s="61"/>
    </row>
    <row r="54" spans="1:26" ht="18" customHeight="1" x14ac:dyDescent="0.2">
      <c r="A54" s="22"/>
      <c r="B54" s="155"/>
      <c r="C54" s="156"/>
      <c r="D54" s="156"/>
      <c r="E54" s="156"/>
      <c r="F54" s="157"/>
      <c r="G54" s="61"/>
      <c r="H54" s="61"/>
      <c r="I54" s="149"/>
      <c r="J54" s="150"/>
      <c r="K54" s="151"/>
      <c r="L54" s="61"/>
      <c r="M54" s="61"/>
      <c r="N54" s="143"/>
      <c r="O54" s="144"/>
      <c r="P54" s="144"/>
      <c r="Q54" s="144"/>
      <c r="R54" s="144"/>
      <c r="S54" s="145"/>
      <c r="T54" s="61"/>
      <c r="U54" s="61"/>
      <c r="V54" s="149"/>
      <c r="W54" s="150"/>
      <c r="X54" s="151"/>
      <c r="Y54" s="61"/>
      <c r="Z54" s="61"/>
    </row>
    <row r="55" spans="1:26" ht="18" customHeight="1" x14ac:dyDescent="0.2">
      <c r="A55" s="22"/>
      <c r="B55" s="158"/>
      <c r="C55" s="159"/>
      <c r="D55" s="159"/>
      <c r="E55" s="159"/>
      <c r="F55" s="160"/>
      <c r="G55" s="62"/>
      <c r="H55" s="62"/>
      <c r="I55" s="152"/>
      <c r="J55" s="153"/>
      <c r="K55" s="154"/>
      <c r="L55" s="64"/>
      <c r="M55" s="64"/>
      <c r="N55" s="146"/>
      <c r="O55" s="147"/>
      <c r="P55" s="147"/>
      <c r="Q55" s="147"/>
      <c r="R55" s="147"/>
      <c r="S55" s="148"/>
      <c r="T55" s="62"/>
      <c r="U55" s="62"/>
      <c r="V55" s="152"/>
      <c r="W55" s="153"/>
      <c r="X55" s="154"/>
      <c r="Y55" s="64"/>
      <c r="Z55" s="64"/>
    </row>
    <row r="56" spans="1:26" ht="7.5" customHeight="1" x14ac:dyDescent="0.2">
      <c r="B56" s="35"/>
      <c r="C56" s="35"/>
      <c r="D56" s="35"/>
      <c r="E56" s="35"/>
      <c r="F56" s="35"/>
      <c r="G56" s="35"/>
      <c r="H56" s="35"/>
      <c r="I56" s="35"/>
      <c r="J56" s="35"/>
      <c r="K56" s="35"/>
      <c r="L56" s="35"/>
      <c r="M56" s="35"/>
      <c r="N56" s="35"/>
      <c r="O56" s="35"/>
      <c r="P56" s="35"/>
      <c r="Q56" s="35"/>
      <c r="R56" s="35"/>
      <c r="S56" s="35"/>
      <c r="T56" s="35"/>
      <c r="U56" s="35"/>
      <c r="V56" s="35"/>
      <c r="W56" s="35"/>
      <c r="X56" s="35"/>
      <c r="Y56" s="35"/>
    </row>
    <row r="57" spans="1:26" ht="18" customHeight="1" x14ac:dyDescent="0.2">
      <c r="A57" s="207" t="s">
        <v>128</v>
      </c>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spans="1:26" ht="18" customHeight="1" x14ac:dyDescent="0.2">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spans="1:26" ht="18" customHeight="1" x14ac:dyDescent="0.2">
      <c r="A59" s="12"/>
      <c r="B59" s="112" t="s">
        <v>95</v>
      </c>
      <c r="C59" s="113"/>
      <c r="D59" s="113"/>
      <c r="E59" s="114"/>
      <c r="F59" s="23" t="s">
        <v>136</v>
      </c>
      <c r="G59" s="59" t="s">
        <v>135</v>
      </c>
      <c r="H59" s="19" t="s">
        <v>96</v>
      </c>
      <c r="I59" s="76"/>
      <c r="J59" s="20"/>
      <c r="K59" s="33" t="s">
        <v>100</v>
      </c>
      <c r="L59" s="33" t="s">
        <v>129</v>
      </c>
      <c r="M59" s="33" t="s">
        <v>130</v>
      </c>
      <c r="N59" s="112" t="s">
        <v>95</v>
      </c>
      <c r="O59" s="113"/>
      <c r="P59" s="113"/>
      <c r="Q59" s="113"/>
      <c r="R59" s="114"/>
      <c r="S59" s="23" t="s">
        <v>136</v>
      </c>
      <c r="T59" s="59" t="s">
        <v>135</v>
      </c>
      <c r="U59" s="19" t="s">
        <v>96</v>
      </c>
      <c r="V59" s="76"/>
      <c r="W59" s="20"/>
      <c r="X59" s="33" t="s">
        <v>100</v>
      </c>
      <c r="Y59" s="33" t="s">
        <v>129</v>
      </c>
      <c r="Z59" s="33" t="s">
        <v>130</v>
      </c>
    </row>
    <row r="60" spans="1:26" ht="18" customHeight="1" x14ac:dyDescent="0.2">
      <c r="A60" s="22"/>
      <c r="B60" s="140" t="s">
        <v>164</v>
      </c>
      <c r="C60" s="141"/>
      <c r="D60" s="141"/>
      <c r="E60" s="142"/>
      <c r="F60" s="60">
        <v>2</v>
      </c>
      <c r="G60" s="60" t="s">
        <v>161</v>
      </c>
      <c r="H60" s="168" t="s">
        <v>162</v>
      </c>
      <c r="I60" s="169"/>
      <c r="J60" s="170"/>
      <c r="K60" s="70" t="s">
        <v>165</v>
      </c>
      <c r="L60" s="60" t="s">
        <v>165</v>
      </c>
      <c r="M60" s="60"/>
      <c r="N60" s="140"/>
      <c r="O60" s="141"/>
      <c r="P60" s="141"/>
      <c r="Q60" s="141"/>
      <c r="R60" s="142"/>
      <c r="S60" s="60"/>
      <c r="T60" s="60"/>
      <c r="U60" s="168"/>
      <c r="V60" s="169"/>
      <c r="W60" s="170"/>
      <c r="X60" s="70"/>
      <c r="Y60" s="60"/>
      <c r="Z60" s="60"/>
    </row>
    <row r="61" spans="1:26" ht="18" customHeight="1" x14ac:dyDescent="0.2">
      <c r="A61" s="22"/>
      <c r="B61" s="143" t="s">
        <v>166</v>
      </c>
      <c r="C61" s="144"/>
      <c r="D61" s="144"/>
      <c r="E61" s="145"/>
      <c r="F61" s="61">
        <v>2</v>
      </c>
      <c r="G61" s="61" t="s">
        <v>161</v>
      </c>
      <c r="H61" s="149" t="s">
        <v>162</v>
      </c>
      <c r="I61" s="150"/>
      <c r="J61" s="151"/>
      <c r="K61" s="68" t="s">
        <v>165</v>
      </c>
      <c r="L61" s="61" t="s">
        <v>161</v>
      </c>
      <c r="M61" s="61" t="s">
        <v>161</v>
      </c>
      <c r="N61" s="143"/>
      <c r="O61" s="144"/>
      <c r="P61" s="144"/>
      <c r="Q61" s="144"/>
      <c r="R61" s="145"/>
      <c r="S61" s="61"/>
      <c r="T61" s="61"/>
      <c r="U61" s="149"/>
      <c r="V61" s="150"/>
      <c r="W61" s="151"/>
      <c r="X61" s="68"/>
      <c r="Y61" s="61"/>
      <c r="Z61" s="61"/>
    </row>
    <row r="62" spans="1:26" ht="18" customHeight="1" x14ac:dyDescent="0.2">
      <c r="A62" s="22"/>
      <c r="B62" s="143"/>
      <c r="C62" s="144"/>
      <c r="D62" s="144"/>
      <c r="E62" s="145"/>
      <c r="F62" s="61"/>
      <c r="G62" s="61"/>
      <c r="H62" s="149"/>
      <c r="I62" s="150"/>
      <c r="J62" s="151"/>
      <c r="K62" s="68"/>
      <c r="L62" s="61"/>
      <c r="M62" s="61"/>
      <c r="N62" s="143"/>
      <c r="O62" s="144"/>
      <c r="P62" s="144"/>
      <c r="Q62" s="144"/>
      <c r="R62" s="145"/>
      <c r="S62" s="61"/>
      <c r="T62" s="61"/>
      <c r="U62" s="149"/>
      <c r="V62" s="150"/>
      <c r="W62" s="151"/>
      <c r="X62" s="68"/>
      <c r="Y62" s="61"/>
      <c r="Z62" s="61"/>
    </row>
    <row r="63" spans="1:26" ht="18" customHeight="1" x14ac:dyDescent="0.2">
      <c r="A63" s="22"/>
      <c r="B63" s="143"/>
      <c r="C63" s="144"/>
      <c r="D63" s="144"/>
      <c r="E63" s="145"/>
      <c r="F63" s="61"/>
      <c r="G63" s="61"/>
      <c r="H63" s="149"/>
      <c r="I63" s="150"/>
      <c r="J63" s="151"/>
      <c r="K63" s="68"/>
      <c r="L63" s="61"/>
      <c r="M63" s="61"/>
      <c r="N63" s="143"/>
      <c r="O63" s="144"/>
      <c r="P63" s="144"/>
      <c r="Q63" s="144"/>
      <c r="R63" s="145"/>
      <c r="S63" s="61"/>
      <c r="T63" s="61"/>
      <c r="U63" s="149"/>
      <c r="V63" s="150"/>
      <c r="W63" s="151"/>
      <c r="X63" s="68"/>
      <c r="Y63" s="61"/>
      <c r="Z63" s="61"/>
    </row>
    <row r="64" spans="1:26" ht="18" customHeight="1" x14ac:dyDescent="0.2">
      <c r="A64" s="22"/>
      <c r="B64" s="143"/>
      <c r="C64" s="144"/>
      <c r="D64" s="144"/>
      <c r="E64" s="145"/>
      <c r="F64" s="61"/>
      <c r="G64" s="61"/>
      <c r="H64" s="149"/>
      <c r="I64" s="150"/>
      <c r="J64" s="151"/>
      <c r="K64" s="68"/>
      <c r="L64" s="61"/>
      <c r="M64" s="61"/>
      <c r="N64" s="143"/>
      <c r="O64" s="144"/>
      <c r="P64" s="144"/>
      <c r="Q64" s="144"/>
      <c r="R64" s="145"/>
      <c r="S64" s="61"/>
      <c r="T64" s="61"/>
      <c r="U64" s="149"/>
      <c r="V64" s="150"/>
      <c r="W64" s="151"/>
      <c r="X64" s="68"/>
      <c r="Y64" s="61"/>
      <c r="Z64" s="61"/>
    </row>
    <row r="65" spans="1:26" ht="18" customHeight="1" x14ac:dyDescent="0.2">
      <c r="A65" s="22"/>
      <c r="B65" s="143"/>
      <c r="C65" s="144"/>
      <c r="D65" s="144"/>
      <c r="E65" s="145"/>
      <c r="F65" s="61"/>
      <c r="G65" s="61"/>
      <c r="H65" s="149"/>
      <c r="I65" s="150"/>
      <c r="J65" s="151"/>
      <c r="K65" s="68"/>
      <c r="L65" s="61"/>
      <c r="M65" s="61"/>
      <c r="N65" s="143"/>
      <c r="O65" s="144"/>
      <c r="P65" s="144"/>
      <c r="Q65" s="144"/>
      <c r="R65" s="145"/>
      <c r="S65" s="61"/>
      <c r="T65" s="61"/>
      <c r="U65" s="149"/>
      <c r="V65" s="150"/>
      <c r="W65" s="151"/>
      <c r="X65" s="68"/>
      <c r="Y65" s="61"/>
      <c r="Z65" s="61"/>
    </row>
    <row r="66" spans="1:26" ht="18" customHeight="1" x14ac:dyDescent="0.2">
      <c r="A66" s="22"/>
      <c r="B66" s="146"/>
      <c r="C66" s="147"/>
      <c r="D66" s="147"/>
      <c r="E66" s="148"/>
      <c r="F66" s="62"/>
      <c r="G66" s="62"/>
      <c r="H66" s="152"/>
      <c r="I66" s="153"/>
      <c r="J66" s="154"/>
      <c r="K66" s="69"/>
      <c r="L66" s="64"/>
      <c r="M66" s="64"/>
      <c r="N66" s="146"/>
      <c r="O66" s="147"/>
      <c r="P66" s="147"/>
      <c r="Q66" s="147"/>
      <c r="R66" s="148"/>
      <c r="S66" s="62"/>
      <c r="T66" s="62"/>
      <c r="U66" s="152"/>
      <c r="V66" s="153"/>
      <c r="W66" s="154"/>
      <c r="X66" s="69"/>
      <c r="Y66" s="64"/>
      <c r="Z66" s="64"/>
    </row>
    <row r="67" spans="1:26" ht="7.5" customHeight="1" x14ac:dyDescent="0.2">
      <c r="B67" s="35"/>
      <c r="C67" s="35"/>
      <c r="D67" s="35"/>
      <c r="E67" s="35"/>
      <c r="F67" s="35"/>
      <c r="G67" s="35"/>
      <c r="H67" s="35"/>
      <c r="I67" s="35"/>
      <c r="J67" s="35"/>
      <c r="K67" s="35"/>
      <c r="L67" s="35"/>
      <c r="M67" s="35"/>
      <c r="N67" s="35"/>
      <c r="O67" s="35"/>
      <c r="P67" s="35"/>
      <c r="Q67" s="35"/>
      <c r="R67" s="35"/>
      <c r="S67" s="35"/>
      <c r="T67" s="35"/>
      <c r="U67" s="35"/>
      <c r="V67" s="35"/>
      <c r="W67" s="35"/>
      <c r="X67" s="35"/>
      <c r="Y67" s="35"/>
    </row>
    <row r="68" spans="1:26" ht="18" customHeight="1" x14ac:dyDescent="0.2">
      <c r="A68" s="12" t="s">
        <v>131</v>
      </c>
      <c r="B68" s="12"/>
      <c r="C68" s="12"/>
      <c r="D68" s="12"/>
      <c r="E68" s="12"/>
      <c r="F68" s="12"/>
      <c r="G68" s="12"/>
      <c r="H68" s="12"/>
      <c r="I68" s="12"/>
      <c r="J68" s="12"/>
      <c r="K68" s="12"/>
      <c r="L68" s="22"/>
      <c r="M68" s="22"/>
      <c r="N68" s="22"/>
      <c r="O68" s="22"/>
      <c r="P68" s="22"/>
      <c r="Q68" s="22"/>
      <c r="R68" s="22"/>
      <c r="S68" s="22"/>
      <c r="T68" s="22"/>
      <c r="U68" s="22"/>
      <c r="V68" s="22"/>
      <c r="W68" s="22"/>
      <c r="X68" s="22"/>
      <c r="Y68" s="22"/>
      <c r="Z68" s="22"/>
    </row>
    <row r="69" spans="1:26" ht="18" customHeight="1" x14ac:dyDescent="0.2">
      <c r="A69" s="12"/>
      <c r="B69" s="112" t="s">
        <v>95</v>
      </c>
      <c r="C69" s="113"/>
      <c r="D69" s="113"/>
      <c r="E69" s="113"/>
      <c r="F69" s="114"/>
      <c r="G69" s="112" t="s">
        <v>141</v>
      </c>
      <c r="H69" s="113"/>
      <c r="I69" s="113"/>
      <c r="J69" s="113"/>
      <c r="K69" s="113"/>
      <c r="L69" s="113"/>
      <c r="M69" s="114"/>
      <c r="N69" s="165" t="s">
        <v>95</v>
      </c>
      <c r="O69" s="166"/>
      <c r="P69" s="166"/>
      <c r="Q69" s="166"/>
      <c r="R69" s="166"/>
      <c r="S69" s="167"/>
      <c r="T69" s="112" t="s">
        <v>141</v>
      </c>
      <c r="U69" s="113"/>
      <c r="V69" s="113"/>
      <c r="W69" s="113"/>
      <c r="X69" s="113"/>
      <c r="Y69" s="113"/>
      <c r="Z69" s="114"/>
    </row>
    <row r="70" spans="1:26" ht="18" customHeight="1" x14ac:dyDescent="0.2">
      <c r="A70" s="22"/>
      <c r="B70" s="140" t="s">
        <v>166</v>
      </c>
      <c r="C70" s="141"/>
      <c r="D70" s="141"/>
      <c r="E70" s="141"/>
      <c r="F70" s="142"/>
      <c r="G70" s="221" t="s">
        <v>167</v>
      </c>
      <c r="H70" s="222"/>
      <c r="I70" s="222"/>
      <c r="J70" s="222"/>
      <c r="K70" s="222"/>
      <c r="L70" s="222"/>
      <c r="M70" s="223"/>
      <c r="N70" s="140"/>
      <c r="O70" s="141"/>
      <c r="P70" s="141"/>
      <c r="Q70" s="141"/>
      <c r="R70" s="141"/>
      <c r="S70" s="142"/>
      <c r="T70" s="218"/>
      <c r="U70" s="219"/>
      <c r="V70" s="219"/>
      <c r="W70" s="219"/>
      <c r="X70" s="219"/>
      <c r="Y70" s="219"/>
      <c r="Z70" s="220"/>
    </row>
    <row r="71" spans="1:26" ht="18" customHeight="1" x14ac:dyDescent="0.2">
      <c r="A71" s="22"/>
      <c r="B71" s="143" t="s">
        <v>160</v>
      </c>
      <c r="C71" s="144"/>
      <c r="D71" s="144"/>
      <c r="E71" s="144"/>
      <c r="F71" s="145"/>
      <c r="G71" s="186" t="s">
        <v>168</v>
      </c>
      <c r="H71" s="187"/>
      <c r="I71" s="187"/>
      <c r="J71" s="187"/>
      <c r="K71" s="187"/>
      <c r="L71" s="187"/>
      <c r="M71" s="188"/>
      <c r="N71" s="143"/>
      <c r="O71" s="144"/>
      <c r="P71" s="144"/>
      <c r="Q71" s="144"/>
      <c r="R71" s="144"/>
      <c r="S71" s="145"/>
      <c r="T71" s="186"/>
      <c r="U71" s="187"/>
      <c r="V71" s="187"/>
      <c r="W71" s="187"/>
      <c r="X71" s="187"/>
      <c r="Y71" s="187"/>
      <c r="Z71" s="188"/>
    </row>
    <row r="72" spans="1:26" ht="18" customHeight="1" x14ac:dyDescent="0.2">
      <c r="A72" s="22"/>
      <c r="B72" s="143" t="s">
        <v>160</v>
      </c>
      <c r="C72" s="144"/>
      <c r="D72" s="144"/>
      <c r="E72" s="144"/>
      <c r="F72" s="145"/>
      <c r="G72" s="186" t="s">
        <v>169</v>
      </c>
      <c r="H72" s="187"/>
      <c r="I72" s="187"/>
      <c r="J72" s="187"/>
      <c r="K72" s="187"/>
      <c r="L72" s="187"/>
      <c r="M72" s="188"/>
      <c r="N72" s="143"/>
      <c r="O72" s="144"/>
      <c r="P72" s="144"/>
      <c r="Q72" s="144"/>
      <c r="R72" s="144"/>
      <c r="S72" s="145"/>
      <c r="T72" s="186"/>
      <c r="U72" s="187"/>
      <c r="V72" s="187"/>
      <c r="W72" s="187"/>
      <c r="X72" s="187"/>
      <c r="Y72" s="187"/>
      <c r="Z72" s="188"/>
    </row>
    <row r="73" spans="1:26" ht="18" customHeight="1" x14ac:dyDescent="0.2">
      <c r="A73" s="22"/>
      <c r="B73" s="143" t="s">
        <v>163</v>
      </c>
      <c r="C73" s="144"/>
      <c r="D73" s="144"/>
      <c r="E73" s="144"/>
      <c r="F73" s="145"/>
      <c r="G73" s="186" t="s">
        <v>170</v>
      </c>
      <c r="H73" s="187"/>
      <c r="I73" s="187"/>
      <c r="J73" s="187"/>
      <c r="K73" s="187"/>
      <c r="L73" s="187"/>
      <c r="M73" s="188"/>
      <c r="N73" s="143"/>
      <c r="O73" s="144"/>
      <c r="P73" s="144"/>
      <c r="Q73" s="144"/>
      <c r="R73" s="144"/>
      <c r="S73" s="145"/>
      <c r="T73" s="186"/>
      <c r="U73" s="187"/>
      <c r="V73" s="187"/>
      <c r="W73" s="187"/>
      <c r="X73" s="187"/>
      <c r="Y73" s="187"/>
      <c r="Z73" s="188"/>
    </row>
    <row r="74" spans="1:26" ht="18" customHeight="1" x14ac:dyDescent="0.2">
      <c r="A74" s="22"/>
      <c r="B74" s="143" t="s">
        <v>163</v>
      </c>
      <c r="C74" s="144"/>
      <c r="D74" s="144"/>
      <c r="E74" s="144"/>
      <c r="F74" s="145"/>
      <c r="G74" s="186" t="s">
        <v>171</v>
      </c>
      <c r="H74" s="187"/>
      <c r="I74" s="187"/>
      <c r="J74" s="187"/>
      <c r="K74" s="187"/>
      <c r="L74" s="187"/>
      <c r="M74" s="188"/>
      <c r="N74" s="143"/>
      <c r="O74" s="144"/>
      <c r="P74" s="144"/>
      <c r="Q74" s="144"/>
      <c r="R74" s="144"/>
      <c r="S74" s="145"/>
      <c r="T74" s="186"/>
      <c r="U74" s="187"/>
      <c r="V74" s="187"/>
      <c r="W74" s="187"/>
      <c r="X74" s="187"/>
      <c r="Y74" s="187"/>
      <c r="Z74" s="188"/>
    </row>
    <row r="75" spans="1:26" ht="18" customHeight="1" x14ac:dyDescent="0.2">
      <c r="A75" s="22"/>
      <c r="B75" s="204"/>
      <c r="C75" s="205"/>
      <c r="D75" s="205"/>
      <c r="E75" s="205"/>
      <c r="F75" s="206"/>
      <c r="G75" s="186"/>
      <c r="H75" s="187"/>
      <c r="I75" s="187"/>
      <c r="J75" s="187"/>
      <c r="K75" s="187"/>
      <c r="L75" s="187"/>
      <c r="M75" s="188"/>
      <c r="N75" s="143"/>
      <c r="O75" s="144"/>
      <c r="P75" s="144"/>
      <c r="Q75" s="144"/>
      <c r="R75" s="144"/>
      <c r="S75" s="145"/>
      <c r="T75" s="186"/>
      <c r="U75" s="187"/>
      <c r="V75" s="187"/>
      <c r="W75" s="187"/>
      <c r="X75" s="187"/>
      <c r="Y75" s="187"/>
      <c r="Z75" s="188"/>
    </row>
    <row r="76" spans="1:26" ht="18" customHeight="1" x14ac:dyDescent="0.2">
      <c r="A76" s="22"/>
      <c r="B76" s="146"/>
      <c r="C76" s="147"/>
      <c r="D76" s="147"/>
      <c r="E76" s="147"/>
      <c r="F76" s="148"/>
      <c r="G76" s="183"/>
      <c r="H76" s="184"/>
      <c r="I76" s="184"/>
      <c r="J76" s="184"/>
      <c r="K76" s="184"/>
      <c r="L76" s="184"/>
      <c r="M76" s="185"/>
      <c r="N76" s="146"/>
      <c r="O76" s="147"/>
      <c r="P76" s="147"/>
      <c r="Q76" s="147"/>
      <c r="R76" s="147"/>
      <c r="S76" s="148"/>
      <c r="T76" s="183"/>
      <c r="U76" s="184"/>
      <c r="V76" s="184"/>
      <c r="W76" s="184"/>
      <c r="X76" s="184"/>
      <c r="Y76" s="184"/>
      <c r="Z76" s="185"/>
    </row>
    <row r="77" spans="1:26" ht="18" customHeight="1" x14ac:dyDescent="0.2">
      <c r="A77" s="22"/>
      <c r="B77" s="34"/>
      <c r="C77" s="34"/>
      <c r="D77" s="34"/>
      <c r="E77" s="34"/>
      <c r="F77" s="34"/>
      <c r="G77" s="75"/>
      <c r="H77" s="75"/>
      <c r="I77" s="75"/>
      <c r="J77" s="75"/>
      <c r="K77" s="75"/>
      <c r="L77" s="75"/>
      <c r="M77" s="75"/>
      <c r="N77" s="34"/>
      <c r="O77" s="34"/>
      <c r="P77" s="34"/>
      <c r="Q77" s="34"/>
      <c r="R77" s="34"/>
      <c r="S77" s="34"/>
      <c r="T77" s="75"/>
      <c r="U77" s="75"/>
      <c r="V77" s="75"/>
      <c r="W77" s="75"/>
      <c r="X77" s="75"/>
      <c r="Y77" s="75"/>
      <c r="Z77" s="75"/>
    </row>
    <row r="78" spans="1:26" ht="18.75" customHeight="1" x14ac:dyDescent="0.2">
      <c r="A78" s="11" t="s">
        <v>137</v>
      </c>
    </row>
    <row r="79" spans="1:26" ht="18.75" customHeight="1" x14ac:dyDescent="0.2">
      <c r="B79" s="36" t="s">
        <v>97</v>
      </c>
      <c r="C79" s="37"/>
      <c r="D79" s="242" t="s">
        <v>98</v>
      </c>
      <c r="E79" s="242"/>
      <c r="F79" s="242"/>
      <c r="G79" s="242"/>
      <c r="H79" s="242"/>
      <c r="I79" s="242"/>
      <c r="J79" s="242"/>
      <c r="K79" s="242"/>
      <c r="L79" s="242"/>
      <c r="M79" s="242"/>
      <c r="N79" s="242"/>
      <c r="O79" s="242"/>
      <c r="P79" s="242"/>
      <c r="Q79" s="242"/>
      <c r="R79" s="242"/>
      <c r="S79" s="242"/>
      <c r="T79" s="242"/>
      <c r="U79" s="242"/>
      <c r="V79" s="242"/>
      <c r="W79" s="242"/>
      <c r="X79" s="242"/>
      <c r="Y79" s="242"/>
      <c r="Z79" s="243"/>
    </row>
    <row r="80" spans="1:26" ht="78" customHeight="1" x14ac:dyDescent="0.2">
      <c r="B80" s="229" t="s">
        <v>104</v>
      </c>
      <c r="C80" s="43" t="s">
        <v>99</v>
      </c>
      <c r="D80" s="237" t="s">
        <v>172</v>
      </c>
      <c r="E80" s="238"/>
      <c r="F80" s="238"/>
      <c r="G80" s="238"/>
      <c r="H80" s="238"/>
      <c r="I80" s="238"/>
      <c r="J80" s="238"/>
      <c r="K80" s="238"/>
      <c r="L80" s="238"/>
      <c r="M80" s="238"/>
      <c r="N80" s="238"/>
      <c r="O80" s="238"/>
      <c r="P80" s="238"/>
      <c r="Q80" s="238"/>
      <c r="R80" s="238"/>
      <c r="S80" s="238"/>
      <c r="T80" s="238"/>
      <c r="U80" s="238"/>
      <c r="V80" s="238"/>
      <c r="W80" s="238"/>
      <c r="X80" s="238"/>
      <c r="Y80" s="238"/>
      <c r="Z80" s="239"/>
    </row>
    <row r="81" spans="1:26" ht="78" customHeight="1" x14ac:dyDescent="0.2">
      <c r="B81" s="230"/>
      <c r="C81" s="57" t="s">
        <v>132</v>
      </c>
      <c r="D81" s="189" t="s">
        <v>173</v>
      </c>
      <c r="E81" s="190"/>
      <c r="F81" s="190"/>
      <c r="G81" s="190"/>
      <c r="H81" s="190"/>
      <c r="I81" s="190"/>
      <c r="J81" s="190"/>
      <c r="K81" s="190"/>
      <c r="L81" s="190"/>
      <c r="M81" s="190"/>
      <c r="N81" s="190"/>
      <c r="O81" s="190"/>
      <c r="P81" s="190"/>
      <c r="Q81" s="190"/>
      <c r="R81" s="190"/>
      <c r="S81" s="190"/>
      <c r="T81" s="190"/>
      <c r="U81" s="190"/>
      <c r="V81" s="190"/>
      <c r="W81" s="190"/>
      <c r="X81" s="190"/>
      <c r="Y81" s="190"/>
      <c r="Z81" s="191"/>
    </row>
    <row r="82" spans="1:26" ht="78" customHeight="1" x14ac:dyDescent="0.2">
      <c r="B82" s="227" t="s">
        <v>105</v>
      </c>
      <c r="C82" s="38" t="s">
        <v>122</v>
      </c>
      <c r="D82" s="192" t="s">
        <v>174</v>
      </c>
      <c r="E82" s="193"/>
      <c r="F82" s="193"/>
      <c r="G82" s="193"/>
      <c r="H82" s="193"/>
      <c r="I82" s="193"/>
      <c r="J82" s="193"/>
      <c r="K82" s="193"/>
      <c r="L82" s="193"/>
      <c r="M82" s="193"/>
      <c r="N82" s="193"/>
      <c r="O82" s="193"/>
      <c r="P82" s="193"/>
      <c r="Q82" s="193"/>
      <c r="R82" s="193"/>
      <c r="S82" s="193"/>
      <c r="T82" s="193"/>
      <c r="U82" s="193"/>
      <c r="V82" s="193"/>
      <c r="W82" s="193"/>
      <c r="X82" s="193"/>
      <c r="Y82" s="193"/>
      <c r="Z82" s="194"/>
    </row>
    <row r="83" spans="1:26" ht="78" customHeight="1" x14ac:dyDescent="0.2">
      <c r="B83" s="228"/>
      <c r="C83" s="58" t="s">
        <v>123</v>
      </c>
      <c r="D83" s="198" t="s">
        <v>175</v>
      </c>
      <c r="E83" s="199"/>
      <c r="F83" s="199"/>
      <c r="G83" s="199"/>
      <c r="H83" s="199"/>
      <c r="I83" s="199"/>
      <c r="J83" s="199"/>
      <c r="K83" s="199"/>
      <c r="L83" s="199"/>
      <c r="M83" s="199"/>
      <c r="N83" s="199"/>
      <c r="O83" s="199"/>
      <c r="P83" s="199"/>
      <c r="Q83" s="199"/>
      <c r="R83" s="199"/>
      <c r="S83" s="199"/>
      <c r="T83" s="199"/>
      <c r="U83" s="199"/>
      <c r="V83" s="199"/>
      <c r="W83" s="199"/>
      <c r="X83" s="199"/>
      <c r="Y83" s="199"/>
      <c r="Z83" s="200"/>
    </row>
    <row r="84" spans="1:26" ht="66" customHeight="1" x14ac:dyDescent="0.2">
      <c r="B84" s="227" t="s">
        <v>106</v>
      </c>
      <c r="C84" s="38" t="s">
        <v>125</v>
      </c>
      <c r="D84" s="201" t="s">
        <v>222</v>
      </c>
      <c r="E84" s="202"/>
      <c r="F84" s="202"/>
      <c r="G84" s="202"/>
      <c r="H84" s="202"/>
      <c r="I84" s="202"/>
      <c r="J84" s="202"/>
      <c r="K84" s="202"/>
      <c r="L84" s="202"/>
      <c r="M84" s="202"/>
      <c r="N84" s="202"/>
      <c r="O84" s="202"/>
      <c r="P84" s="202"/>
      <c r="Q84" s="202"/>
      <c r="R84" s="202"/>
      <c r="S84" s="202"/>
      <c r="T84" s="202"/>
      <c r="U84" s="202"/>
      <c r="V84" s="202"/>
      <c r="W84" s="202"/>
      <c r="X84" s="202"/>
      <c r="Y84" s="202"/>
      <c r="Z84" s="203"/>
    </row>
    <row r="85" spans="1:26" ht="66" customHeight="1" x14ac:dyDescent="0.2">
      <c r="B85" s="228"/>
      <c r="C85" s="40" t="s">
        <v>126</v>
      </c>
      <c r="D85" s="195" t="s">
        <v>176</v>
      </c>
      <c r="E85" s="196"/>
      <c r="F85" s="196"/>
      <c r="G85" s="196"/>
      <c r="H85" s="196"/>
      <c r="I85" s="196"/>
      <c r="J85" s="196"/>
      <c r="K85" s="196"/>
      <c r="L85" s="196"/>
      <c r="M85" s="196"/>
      <c r="N85" s="196"/>
      <c r="O85" s="196"/>
      <c r="P85" s="196"/>
      <c r="Q85" s="196"/>
      <c r="R85" s="196"/>
      <c r="S85" s="196"/>
      <c r="T85" s="196"/>
      <c r="U85" s="196"/>
      <c r="V85" s="196"/>
      <c r="W85" s="196"/>
      <c r="X85" s="196"/>
      <c r="Y85" s="196"/>
      <c r="Z85" s="197"/>
    </row>
    <row r="86" spans="1:26" ht="66" customHeight="1" x14ac:dyDescent="0.2">
      <c r="B86" s="229" t="s">
        <v>133</v>
      </c>
      <c r="C86" s="43" t="s">
        <v>101</v>
      </c>
      <c r="D86" s="237" t="s">
        <v>177</v>
      </c>
      <c r="E86" s="238"/>
      <c r="F86" s="238"/>
      <c r="G86" s="238"/>
      <c r="H86" s="238"/>
      <c r="I86" s="238"/>
      <c r="J86" s="238"/>
      <c r="K86" s="238"/>
      <c r="L86" s="238"/>
      <c r="M86" s="238"/>
      <c r="N86" s="238"/>
      <c r="O86" s="238"/>
      <c r="P86" s="238"/>
      <c r="Q86" s="238"/>
      <c r="R86" s="238"/>
      <c r="S86" s="238"/>
      <c r="T86" s="238"/>
      <c r="U86" s="238"/>
      <c r="V86" s="238"/>
      <c r="W86" s="238"/>
      <c r="X86" s="238"/>
      <c r="Y86" s="238"/>
      <c r="Z86" s="239"/>
    </row>
    <row r="87" spans="1:26" ht="66" customHeight="1" x14ac:dyDescent="0.2">
      <c r="B87" s="236"/>
      <c r="C87" s="39" t="s">
        <v>103</v>
      </c>
      <c r="D87" s="240" t="s">
        <v>178</v>
      </c>
      <c r="E87" s="240"/>
      <c r="F87" s="240"/>
      <c r="G87" s="240"/>
      <c r="H87" s="240"/>
      <c r="I87" s="240"/>
      <c r="J87" s="240"/>
      <c r="K87" s="240"/>
      <c r="L87" s="240"/>
      <c r="M87" s="240"/>
      <c r="N87" s="240"/>
      <c r="O87" s="240"/>
      <c r="P87" s="240"/>
      <c r="Q87" s="240"/>
      <c r="R87" s="240"/>
      <c r="S87" s="240"/>
      <c r="T87" s="240"/>
      <c r="U87" s="240"/>
      <c r="V87" s="240"/>
      <c r="W87" s="240"/>
      <c r="X87" s="240"/>
      <c r="Y87" s="240"/>
      <c r="Z87" s="241"/>
    </row>
    <row r="88" spans="1:26" ht="66" customHeight="1" x14ac:dyDescent="0.2">
      <c r="B88" s="229" t="s">
        <v>134</v>
      </c>
      <c r="C88" s="38" t="s">
        <v>100</v>
      </c>
      <c r="D88" s="231" t="s">
        <v>201</v>
      </c>
      <c r="E88" s="232"/>
      <c r="F88" s="232"/>
      <c r="G88" s="232"/>
      <c r="H88" s="232"/>
      <c r="I88" s="232"/>
      <c r="J88" s="232"/>
      <c r="K88" s="232"/>
      <c r="L88" s="232"/>
      <c r="M88" s="232"/>
      <c r="N88" s="232"/>
      <c r="O88" s="232"/>
      <c r="P88" s="232"/>
      <c r="Q88" s="232"/>
      <c r="R88" s="232"/>
      <c r="S88" s="232"/>
      <c r="T88" s="232"/>
      <c r="U88" s="232"/>
      <c r="V88" s="232"/>
      <c r="W88" s="232"/>
      <c r="X88" s="232"/>
      <c r="Y88" s="232"/>
      <c r="Z88" s="233"/>
    </row>
    <row r="89" spans="1:26" ht="66" customHeight="1" x14ac:dyDescent="0.2">
      <c r="B89" s="230"/>
      <c r="C89" s="39" t="s">
        <v>129</v>
      </c>
      <c r="D89" s="224" t="s">
        <v>202</v>
      </c>
      <c r="E89" s="225"/>
      <c r="F89" s="225"/>
      <c r="G89" s="225"/>
      <c r="H89" s="225"/>
      <c r="I89" s="225"/>
      <c r="J89" s="225"/>
      <c r="K89" s="225"/>
      <c r="L89" s="225"/>
      <c r="M89" s="225"/>
      <c r="N89" s="225"/>
      <c r="O89" s="225"/>
      <c r="P89" s="225"/>
      <c r="Q89" s="225"/>
      <c r="R89" s="225"/>
      <c r="S89" s="225"/>
      <c r="T89" s="225"/>
      <c r="U89" s="225"/>
      <c r="V89" s="225"/>
      <c r="W89" s="225"/>
      <c r="X89" s="225"/>
      <c r="Y89" s="225"/>
      <c r="Z89" s="226"/>
    </row>
    <row r="90" spans="1:26" ht="66" customHeight="1" x14ac:dyDescent="0.2">
      <c r="B90" s="228"/>
      <c r="C90" s="40" t="s">
        <v>130</v>
      </c>
      <c r="D90" s="234" t="s">
        <v>203</v>
      </c>
      <c r="E90" s="234"/>
      <c r="F90" s="234"/>
      <c r="G90" s="234"/>
      <c r="H90" s="234"/>
      <c r="I90" s="234"/>
      <c r="J90" s="234"/>
      <c r="K90" s="234"/>
      <c r="L90" s="234"/>
      <c r="M90" s="234"/>
      <c r="N90" s="234"/>
      <c r="O90" s="234"/>
      <c r="P90" s="234"/>
      <c r="Q90" s="234"/>
      <c r="R90" s="234"/>
      <c r="S90" s="234"/>
      <c r="T90" s="234"/>
      <c r="U90" s="234"/>
      <c r="V90" s="234"/>
      <c r="W90" s="234"/>
      <c r="X90" s="234"/>
      <c r="Y90" s="234"/>
      <c r="Z90" s="235"/>
    </row>
    <row r="91" spans="1:26" ht="6" customHeight="1" x14ac:dyDescent="0.2"/>
    <row r="92" spans="1:26" ht="18.75" customHeight="1" x14ac:dyDescent="0.2">
      <c r="A92" s="11" t="s">
        <v>138</v>
      </c>
    </row>
    <row r="93" spans="1:26" ht="18.75" customHeight="1" x14ac:dyDescent="0.2">
      <c r="B93" s="171" t="s">
        <v>143</v>
      </c>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3"/>
    </row>
    <row r="94" spans="1:26" ht="18.75" customHeight="1" x14ac:dyDescent="0.2">
      <c r="B94" s="174"/>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6"/>
    </row>
    <row r="95" spans="1:26" ht="18.75" customHeight="1" x14ac:dyDescent="0.2">
      <c r="B95" s="177"/>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6" ht="6" customHeight="1" x14ac:dyDescent="0.2"/>
    <row r="97" spans="1:26" ht="15" customHeight="1" x14ac:dyDescent="0.2">
      <c r="A97" s="11" t="s">
        <v>139</v>
      </c>
    </row>
    <row r="98" spans="1:26" ht="15" customHeight="1" x14ac:dyDescent="0.2">
      <c r="B98" s="180" t="s">
        <v>179</v>
      </c>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2"/>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xr:uid="{8832EE74-4DC8-4FA8-AD5F-A74A4C787745}">
      <formula1>"○"</formula1>
    </dataValidation>
    <dataValidation type="list" allowBlank="1" showInputMessage="1" showErrorMessage="1" sqref="Z23 Z34 D34:K34 D23:K23 V16:V22 I16:I22 V27:V33 I27:I33 V38:V44 I38:I44 V49:V55 I49:I55 U60:U66 H60:H66" xr:uid="{7D654491-A47A-4D57-B2C0-4B413F4F0C2A}">
      <formula1>"全学開講,一部開講"</formula1>
    </dataValidation>
    <dataValidation type="list" allowBlank="1" showInputMessage="1" showErrorMessage="1" sqref="O4" xr:uid="{D6158AA8-B0EC-44E1-A7B8-BFB1AA2A5357}">
      <formula1>"学部・学科によって、修了要件は相違する,学部・学科によって、修了要件は相違しない"</formula1>
    </dataValidation>
    <dataValidation type="list" allowBlank="1" showInputMessage="1" showErrorMessage="1" sqref="U74:Z77 T70:T77 U70:Z71 H76:M77 G70:M73 G74:G77" xr:uid="{0FCF099D-F03B-43E6-99AB-782DFEC1339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tabSelected="1" view="pageBreakPreview" topLeftCell="A10" zoomScaleNormal="100" zoomScaleSheetLayoutView="100" workbookViewId="0">
      <selection activeCell="F29" sqref="F29"/>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A1" s="12"/>
      <c r="B1" s="12"/>
      <c r="C1" s="12"/>
      <c r="D1" s="12"/>
      <c r="E1" s="12"/>
      <c r="F1" s="128" t="s">
        <v>58</v>
      </c>
      <c r="G1" s="128"/>
      <c r="H1" s="128"/>
      <c r="I1" s="128"/>
      <c r="J1" s="128"/>
      <c r="K1" s="128"/>
      <c r="L1" s="128"/>
      <c r="M1" s="128"/>
      <c r="N1" s="128"/>
      <c r="O1" s="128"/>
      <c r="P1" s="128"/>
      <c r="Q1" s="128"/>
      <c r="R1" s="128"/>
    </row>
    <row r="2" spans="1:20" ht="18" customHeight="1" x14ac:dyDescent="0.2">
      <c r="A2" s="208" t="s">
        <v>84</v>
      </c>
      <c r="B2" s="208"/>
      <c r="C2" s="208"/>
      <c r="D2" s="208"/>
      <c r="E2" s="208"/>
      <c r="F2" s="208"/>
      <c r="G2" s="208"/>
      <c r="H2" s="208"/>
      <c r="I2" s="208"/>
      <c r="J2" s="208"/>
      <c r="K2" s="208"/>
      <c r="L2" s="208"/>
      <c r="M2" s="208"/>
      <c r="N2" s="208"/>
      <c r="O2" s="208"/>
      <c r="P2" s="208"/>
      <c r="Q2" s="208"/>
      <c r="R2" s="208"/>
      <c r="S2" s="4"/>
    </row>
    <row r="3" spans="1:20" ht="7.5" customHeight="1" x14ac:dyDescent="0.2">
      <c r="A3" s="22"/>
      <c r="B3" s="22"/>
      <c r="C3" s="22"/>
      <c r="D3" s="22"/>
      <c r="E3" s="22"/>
      <c r="F3" s="22"/>
      <c r="G3" s="22"/>
      <c r="H3" s="22"/>
      <c r="I3" s="22"/>
      <c r="J3" s="22"/>
      <c r="K3" s="22"/>
      <c r="L3" s="22"/>
      <c r="M3" s="22"/>
      <c r="N3" s="22"/>
      <c r="O3" s="22"/>
      <c r="P3" s="22"/>
      <c r="Q3" s="22"/>
      <c r="R3" s="22"/>
    </row>
    <row r="4" spans="1:20" ht="18" customHeight="1" x14ac:dyDescent="0.2">
      <c r="A4" s="12" t="s">
        <v>142</v>
      </c>
      <c r="B4" s="12"/>
      <c r="C4" s="120" t="s">
        <v>220</v>
      </c>
      <c r="D4" s="127"/>
      <c r="E4" s="22" t="s">
        <v>91</v>
      </c>
      <c r="F4" s="22"/>
      <c r="G4" s="22"/>
      <c r="H4" s="22"/>
      <c r="I4" s="22"/>
      <c r="J4" s="13"/>
      <c r="K4" s="22"/>
      <c r="L4" s="22"/>
      <c r="M4" s="34"/>
      <c r="N4" s="34"/>
      <c r="O4" s="34"/>
      <c r="P4" s="34"/>
      <c r="Q4" s="34"/>
      <c r="R4" s="34"/>
    </row>
    <row r="5" spans="1:20" ht="6" customHeight="1" x14ac:dyDescent="0.2">
      <c r="A5" s="22"/>
      <c r="B5" s="22"/>
      <c r="C5" s="22"/>
      <c r="D5" s="22"/>
      <c r="E5" s="22"/>
      <c r="F5" s="22"/>
      <c r="G5" s="22"/>
      <c r="H5" s="22"/>
      <c r="I5" s="22"/>
      <c r="J5" s="22"/>
      <c r="K5" s="22"/>
      <c r="L5" s="22"/>
      <c r="M5" s="22"/>
      <c r="N5" s="22"/>
      <c r="O5" s="22"/>
      <c r="P5" s="22"/>
      <c r="Q5" s="22"/>
      <c r="R5" s="22"/>
    </row>
    <row r="6" spans="1:20" ht="18" customHeight="1" x14ac:dyDescent="0.2">
      <c r="A6" s="12" t="s">
        <v>140</v>
      </c>
      <c r="B6" s="22"/>
      <c r="C6" s="22"/>
      <c r="D6" s="22"/>
      <c r="E6" s="22"/>
      <c r="F6" s="22"/>
      <c r="G6" s="22"/>
      <c r="H6" s="22"/>
      <c r="I6" s="22"/>
      <c r="J6" s="22"/>
      <c r="K6" s="22"/>
      <c r="L6" s="22"/>
      <c r="M6" s="22"/>
      <c r="N6" s="22"/>
      <c r="O6" s="22"/>
      <c r="P6" s="22"/>
      <c r="Q6" s="22"/>
      <c r="R6" s="22"/>
    </row>
    <row r="7" spans="1:20" ht="6" customHeight="1" x14ac:dyDescent="0.2">
      <c r="A7" s="12"/>
      <c r="B7" s="22"/>
      <c r="C7" s="22"/>
      <c r="D7" s="22"/>
      <c r="E7" s="22"/>
      <c r="F7" s="22"/>
      <c r="G7" s="22"/>
      <c r="H7" s="22"/>
      <c r="I7" s="22"/>
      <c r="J7" s="22"/>
      <c r="K7" s="22"/>
      <c r="L7" s="22"/>
      <c r="M7" s="22"/>
      <c r="N7" s="22"/>
      <c r="O7" s="22"/>
      <c r="P7" s="22"/>
      <c r="Q7" s="22"/>
      <c r="R7" s="22"/>
    </row>
    <row r="8" spans="1:20" ht="18" customHeight="1" x14ac:dyDescent="0.2">
      <c r="A8" s="12"/>
      <c r="B8" s="244" t="s">
        <v>74</v>
      </c>
      <c r="C8" s="246" t="s">
        <v>79</v>
      </c>
      <c r="D8" s="248" t="s">
        <v>63</v>
      </c>
      <c r="E8" s="250" t="s">
        <v>85</v>
      </c>
      <c r="F8" s="250"/>
      <c r="G8" s="250" t="s">
        <v>86</v>
      </c>
      <c r="H8" s="250"/>
      <c r="I8" s="250" t="s">
        <v>87</v>
      </c>
      <c r="J8" s="250"/>
      <c r="K8" s="168" t="s">
        <v>88</v>
      </c>
      <c r="L8" s="170"/>
      <c r="M8" s="168" t="s">
        <v>89</v>
      </c>
      <c r="N8" s="170"/>
      <c r="O8" s="168" t="s">
        <v>90</v>
      </c>
      <c r="P8" s="170"/>
      <c r="Q8" s="251" t="s">
        <v>57</v>
      </c>
      <c r="R8" s="253" t="s">
        <v>52</v>
      </c>
      <c r="T8" s="25"/>
    </row>
    <row r="9" spans="1:20" ht="18" customHeight="1" x14ac:dyDescent="0.2">
      <c r="A9" s="12"/>
      <c r="B9" s="245"/>
      <c r="C9" s="247"/>
      <c r="D9" s="249"/>
      <c r="E9" s="78" t="s">
        <v>43</v>
      </c>
      <c r="F9" s="79" t="s">
        <v>42</v>
      </c>
      <c r="G9" s="80" t="s">
        <v>43</v>
      </c>
      <c r="H9" s="81" t="s">
        <v>42</v>
      </c>
      <c r="I9" s="78" t="s">
        <v>43</v>
      </c>
      <c r="J9" s="79" t="s">
        <v>42</v>
      </c>
      <c r="K9" s="80" t="s">
        <v>43</v>
      </c>
      <c r="L9" s="81" t="s">
        <v>42</v>
      </c>
      <c r="M9" s="78" t="s">
        <v>43</v>
      </c>
      <c r="N9" s="79" t="s">
        <v>42</v>
      </c>
      <c r="O9" s="80" t="s">
        <v>43</v>
      </c>
      <c r="P9" s="81" t="s">
        <v>42</v>
      </c>
      <c r="Q9" s="252"/>
      <c r="R9" s="254"/>
      <c r="T9" s="25"/>
    </row>
    <row r="10" spans="1:20" ht="18" customHeight="1" x14ac:dyDescent="0.2">
      <c r="A10" s="34"/>
      <c r="B10" s="82" t="s">
        <v>180</v>
      </c>
      <c r="C10" s="34">
        <v>370</v>
      </c>
      <c r="D10" s="83">
        <v>1480</v>
      </c>
      <c r="E10" s="84">
        <v>228</v>
      </c>
      <c r="F10" s="85">
        <v>2</v>
      </c>
      <c r="G10" s="86"/>
      <c r="H10" s="87"/>
      <c r="I10" s="84"/>
      <c r="J10" s="85"/>
      <c r="K10" s="86"/>
      <c r="L10" s="87"/>
      <c r="M10" s="84"/>
      <c r="N10" s="85"/>
      <c r="O10" s="86"/>
      <c r="P10" s="87"/>
      <c r="Q10" s="88">
        <f>E10+G10+I10+K10+M10+O10</f>
        <v>228</v>
      </c>
      <c r="R10" s="89">
        <f>Q10/D10</f>
        <v>0.15405405405405406</v>
      </c>
    </row>
    <row r="11" spans="1:20" ht="18" customHeight="1" x14ac:dyDescent="0.2">
      <c r="A11" s="34"/>
      <c r="B11" s="90" t="s">
        <v>181</v>
      </c>
      <c r="C11" s="66">
        <v>450</v>
      </c>
      <c r="D11" s="65">
        <v>1800</v>
      </c>
      <c r="E11" s="91">
        <v>191</v>
      </c>
      <c r="F11" s="92">
        <v>2</v>
      </c>
      <c r="G11" s="93"/>
      <c r="H11" s="94"/>
      <c r="I11" s="91"/>
      <c r="J11" s="92"/>
      <c r="K11" s="93"/>
      <c r="L11" s="94"/>
      <c r="M11" s="91"/>
      <c r="N11" s="92"/>
      <c r="O11" s="93"/>
      <c r="P11" s="94"/>
      <c r="Q11" s="95">
        <f t="shared" ref="Q11:Q28" si="0">E11+G11+I11+K11+M11+O11</f>
        <v>191</v>
      </c>
      <c r="R11" s="96">
        <f t="shared" ref="R11:R28" si="1">Q11/D11</f>
        <v>0.10611111111111111</v>
      </c>
    </row>
    <row r="12" spans="1:20" ht="18" customHeight="1" x14ac:dyDescent="0.2">
      <c r="A12" s="34"/>
      <c r="B12" s="90" t="s">
        <v>182</v>
      </c>
      <c r="C12" s="66">
        <v>480</v>
      </c>
      <c r="D12" s="65">
        <v>1920</v>
      </c>
      <c r="E12" s="91">
        <v>481</v>
      </c>
      <c r="F12" s="92">
        <v>2</v>
      </c>
      <c r="G12" s="93"/>
      <c r="H12" s="94"/>
      <c r="I12" s="91"/>
      <c r="J12" s="92"/>
      <c r="K12" s="93"/>
      <c r="L12" s="94"/>
      <c r="M12" s="91"/>
      <c r="N12" s="92"/>
      <c r="O12" s="93"/>
      <c r="P12" s="94"/>
      <c r="Q12" s="95">
        <f t="shared" si="0"/>
        <v>481</v>
      </c>
      <c r="R12" s="96">
        <f t="shared" si="1"/>
        <v>0.25052083333333336</v>
      </c>
    </row>
    <row r="13" spans="1:20" ht="18" customHeight="1" x14ac:dyDescent="0.2">
      <c r="A13" s="34"/>
      <c r="B13" s="90" t="s">
        <v>183</v>
      </c>
      <c r="C13" s="66">
        <v>300</v>
      </c>
      <c r="D13" s="65">
        <v>1200</v>
      </c>
      <c r="E13" s="91">
        <v>131</v>
      </c>
      <c r="F13" s="92">
        <v>0</v>
      </c>
      <c r="G13" s="93"/>
      <c r="H13" s="94"/>
      <c r="I13" s="91"/>
      <c r="J13" s="92"/>
      <c r="K13" s="93"/>
      <c r="L13" s="94"/>
      <c r="M13" s="91"/>
      <c r="N13" s="92"/>
      <c r="O13" s="93"/>
      <c r="P13" s="94"/>
      <c r="Q13" s="95">
        <f t="shared" si="0"/>
        <v>131</v>
      </c>
      <c r="R13" s="96">
        <f t="shared" si="1"/>
        <v>0.10916666666666666</v>
      </c>
    </row>
    <row r="14" spans="1:20" ht="18" customHeight="1" x14ac:dyDescent="0.2">
      <c r="A14" s="34"/>
      <c r="B14" s="90" t="s">
        <v>184</v>
      </c>
      <c r="C14" s="66">
        <v>330</v>
      </c>
      <c r="D14" s="65">
        <v>1320</v>
      </c>
      <c r="E14" s="91">
        <v>194</v>
      </c>
      <c r="F14" s="92">
        <v>3</v>
      </c>
      <c r="G14" s="93"/>
      <c r="H14" s="94"/>
      <c r="I14" s="91"/>
      <c r="J14" s="92"/>
      <c r="K14" s="93"/>
      <c r="L14" s="94"/>
      <c r="M14" s="91"/>
      <c r="N14" s="92"/>
      <c r="O14" s="93"/>
      <c r="P14" s="94"/>
      <c r="Q14" s="95">
        <f t="shared" si="0"/>
        <v>194</v>
      </c>
      <c r="R14" s="96">
        <f t="shared" si="1"/>
        <v>0.14696969696969697</v>
      </c>
    </row>
    <row r="15" spans="1:20" ht="18" customHeight="1" x14ac:dyDescent="0.2">
      <c r="A15" s="34"/>
      <c r="B15" s="90" t="s">
        <v>185</v>
      </c>
      <c r="C15" s="66">
        <v>480</v>
      </c>
      <c r="D15" s="65">
        <v>1920</v>
      </c>
      <c r="E15" s="91">
        <v>181</v>
      </c>
      <c r="F15" s="92">
        <v>0</v>
      </c>
      <c r="G15" s="93"/>
      <c r="H15" s="94"/>
      <c r="I15" s="91"/>
      <c r="J15" s="92"/>
      <c r="K15" s="93"/>
      <c r="L15" s="94"/>
      <c r="M15" s="91"/>
      <c r="N15" s="92"/>
      <c r="O15" s="93"/>
      <c r="P15" s="94"/>
      <c r="Q15" s="95">
        <f t="shared" si="0"/>
        <v>181</v>
      </c>
      <c r="R15" s="96">
        <f t="shared" si="1"/>
        <v>9.4270833333333331E-2</v>
      </c>
    </row>
    <row r="16" spans="1:20" ht="18" customHeight="1" x14ac:dyDescent="0.2">
      <c r="A16" s="34"/>
      <c r="B16" s="90" t="s">
        <v>186</v>
      </c>
      <c r="C16" s="66">
        <v>200</v>
      </c>
      <c r="D16" s="65">
        <v>800</v>
      </c>
      <c r="E16" s="91">
        <v>35</v>
      </c>
      <c r="F16" s="92">
        <v>0</v>
      </c>
      <c r="G16" s="93"/>
      <c r="H16" s="94"/>
      <c r="I16" s="91"/>
      <c r="J16" s="92"/>
      <c r="K16" s="93"/>
      <c r="L16" s="94"/>
      <c r="M16" s="91"/>
      <c r="N16" s="92"/>
      <c r="O16" s="93"/>
      <c r="P16" s="94"/>
      <c r="Q16" s="95">
        <f t="shared" si="0"/>
        <v>35</v>
      </c>
      <c r="R16" s="96">
        <f t="shared" si="1"/>
        <v>4.3749999999999997E-2</v>
      </c>
    </row>
    <row r="17" spans="1:18" ht="18" customHeight="1" x14ac:dyDescent="0.2">
      <c r="A17" s="34"/>
      <c r="B17" s="90" t="s">
        <v>187</v>
      </c>
      <c r="C17" s="66">
        <v>320</v>
      </c>
      <c r="D17" s="65">
        <v>1280</v>
      </c>
      <c r="E17" s="91">
        <v>312</v>
      </c>
      <c r="F17" s="92">
        <v>2</v>
      </c>
      <c r="G17" s="93"/>
      <c r="H17" s="94"/>
      <c r="I17" s="91"/>
      <c r="J17" s="92"/>
      <c r="K17" s="93"/>
      <c r="L17" s="94"/>
      <c r="M17" s="91"/>
      <c r="N17" s="92"/>
      <c r="O17" s="93"/>
      <c r="P17" s="94"/>
      <c r="Q17" s="95">
        <f t="shared" si="0"/>
        <v>312</v>
      </c>
      <c r="R17" s="96">
        <f t="shared" si="1"/>
        <v>0.24374999999999999</v>
      </c>
    </row>
    <row r="18" spans="1:18" ht="18" customHeight="1" x14ac:dyDescent="0.2">
      <c r="A18" s="34"/>
      <c r="B18" s="90" t="s">
        <v>188</v>
      </c>
      <c r="C18" s="66">
        <v>200</v>
      </c>
      <c r="D18" s="65">
        <v>800</v>
      </c>
      <c r="E18" s="91">
        <v>463</v>
      </c>
      <c r="F18" s="92">
        <v>5</v>
      </c>
      <c r="G18" s="93"/>
      <c r="H18" s="94"/>
      <c r="I18" s="91"/>
      <c r="J18" s="92"/>
      <c r="K18" s="93"/>
      <c r="L18" s="94"/>
      <c r="M18" s="91"/>
      <c r="N18" s="92"/>
      <c r="O18" s="93"/>
      <c r="P18" s="94"/>
      <c r="Q18" s="95">
        <f>E18+G18+I18+K18+M18+O18</f>
        <v>463</v>
      </c>
      <c r="R18" s="96">
        <f t="shared" si="1"/>
        <v>0.57874999999999999</v>
      </c>
    </row>
    <row r="19" spans="1:18" ht="18" customHeight="1" x14ac:dyDescent="0.2">
      <c r="A19" s="34"/>
      <c r="B19" s="90" t="s">
        <v>189</v>
      </c>
      <c r="C19" s="66">
        <v>1390</v>
      </c>
      <c r="D19" s="65">
        <v>5560</v>
      </c>
      <c r="E19" s="91">
        <v>849</v>
      </c>
      <c r="F19" s="92">
        <v>5</v>
      </c>
      <c r="G19" s="93"/>
      <c r="H19" s="94"/>
      <c r="I19" s="91"/>
      <c r="J19" s="92"/>
      <c r="K19" s="93"/>
      <c r="L19" s="94"/>
      <c r="M19" s="91"/>
      <c r="N19" s="92"/>
      <c r="O19" s="93"/>
      <c r="P19" s="94"/>
      <c r="Q19" s="95">
        <f t="shared" si="0"/>
        <v>849</v>
      </c>
      <c r="R19" s="96">
        <f t="shared" si="1"/>
        <v>0.15269784172661871</v>
      </c>
    </row>
    <row r="20" spans="1:18" ht="18" customHeight="1" x14ac:dyDescent="0.2">
      <c r="A20" s="34"/>
      <c r="B20" s="90" t="s">
        <v>190</v>
      </c>
      <c r="C20" s="66">
        <v>200</v>
      </c>
      <c r="D20" s="65">
        <v>800</v>
      </c>
      <c r="E20" s="91">
        <v>36</v>
      </c>
      <c r="F20" s="92">
        <v>1</v>
      </c>
      <c r="G20" s="93"/>
      <c r="H20" s="94"/>
      <c r="I20" s="91"/>
      <c r="J20" s="92"/>
      <c r="K20" s="93"/>
      <c r="L20" s="94"/>
      <c r="M20" s="91"/>
      <c r="N20" s="92"/>
      <c r="O20" s="93"/>
      <c r="P20" s="94"/>
      <c r="Q20" s="95">
        <f t="shared" si="0"/>
        <v>36</v>
      </c>
      <c r="R20" s="96">
        <f t="shared" si="1"/>
        <v>4.4999999999999998E-2</v>
      </c>
    </row>
    <row r="21" spans="1:18" ht="18" customHeight="1" x14ac:dyDescent="0.2">
      <c r="A21" s="34"/>
      <c r="B21" s="90" t="s">
        <v>191</v>
      </c>
      <c r="C21" s="66">
        <v>320</v>
      </c>
      <c r="D21" s="65">
        <v>1280</v>
      </c>
      <c r="E21" s="91">
        <v>8</v>
      </c>
      <c r="F21" s="92">
        <v>0</v>
      </c>
      <c r="G21" s="93"/>
      <c r="H21" s="94"/>
      <c r="I21" s="91"/>
      <c r="J21" s="92"/>
      <c r="K21" s="93"/>
      <c r="L21" s="94"/>
      <c r="M21" s="91"/>
      <c r="N21" s="92"/>
      <c r="O21" s="93"/>
      <c r="P21" s="94"/>
      <c r="Q21" s="95">
        <f t="shared" si="0"/>
        <v>8</v>
      </c>
      <c r="R21" s="96">
        <f t="shared" si="1"/>
        <v>6.2500000000000003E-3</v>
      </c>
    </row>
    <row r="22" spans="1:18" ht="18" customHeight="1" x14ac:dyDescent="0.2">
      <c r="A22" s="34"/>
      <c r="B22" s="90" t="s">
        <v>192</v>
      </c>
      <c r="C22" s="66">
        <v>530</v>
      </c>
      <c r="D22" s="65">
        <v>2120</v>
      </c>
      <c r="E22" s="91">
        <v>1</v>
      </c>
      <c r="F22" s="92">
        <v>0</v>
      </c>
      <c r="G22" s="93"/>
      <c r="H22" s="94"/>
      <c r="I22" s="91"/>
      <c r="J22" s="92"/>
      <c r="K22" s="93"/>
      <c r="L22" s="94"/>
      <c r="M22" s="91"/>
      <c r="N22" s="92"/>
      <c r="O22" s="93"/>
      <c r="P22" s="94"/>
      <c r="Q22" s="95">
        <f t="shared" si="0"/>
        <v>1</v>
      </c>
      <c r="R22" s="96">
        <f t="shared" si="1"/>
        <v>4.7169811320754717E-4</v>
      </c>
    </row>
    <row r="23" spans="1:18" ht="18" customHeight="1" x14ac:dyDescent="0.2">
      <c r="A23" s="34"/>
      <c r="B23" s="90" t="s">
        <v>193</v>
      </c>
      <c r="C23" s="66">
        <v>203</v>
      </c>
      <c r="D23" s="65">
        <v>1048</v>
      </c>
      <c r="E23" s="91">
        <v>0</v>
      </c>
      <c r="F23" s="92">
        <v>0</v>
      </c>
      <c r="G23" s="93"/>
      <c r="H23" s="94"/>
      <c r="I23" s="91"/>
      <c r="J23" s="92"/>
      <c r="K23" s="93"/>
      <c r="L23" s="94"/>
      <c r="M23" s="91"/>
      <c r="N23" s="92"/>
      <c r="O23" s="93"/>
      <c r="P23" s="94"/>
      <c r="Q23" s="95">
        <f t="shared" si="0"/>
        <v>0</v>
      </c>
      <c r="R23" s="96">
        <f t="shared" si="1"/>
        <v>0</v>
      </c>
    </row>
    <row r="24" spans="1:18" ht="18" customHeight="1" x14ac:dyDescent="0.2">
      <c r="A24" s="34"/>
      <c r="B24" s="90" t="s">
        <v>194</v>
      </c>
      <c r="C24" s="66">
        <v>230</v>
      </c>
      <c r="D24" s="65">
        <v>920</v>
      </c>
      <c r="E24" s="91">
        <v>0</v>
      </c>
      <c r="F24" s="92">
        <v>0</v>
      </c>
      <c r="G24" s="93"/>
      <c r="H24" s="94"/>
      <c r="I24" s="91"/>
      <c r="J24" s="92"/>
      <c r="K24" s="93"/>
      <c r="L24" s="94"/>
      <c r="M24" s="91"/>
      <c r="N24" s="92"/>
      <c r="O24" s="93"/>
      <c r="P24" s="94"/>
      <c r="Q24" s="95">
        <f t="shared" si="0"/>
        <v>0</v>
      </c>
      <c r="R24" s="96">
        <f t="shared" si="1"/>
        <v>0</v>
      </c>
    </row>
    <row r="25" spans="1:18" ht="18" customHeight="1" x14ac:dyDescent="0.2">
      <c r="A25" s="34"/>
      <c r="B25" s="90" t="s">
        <v>195</v>
      </c>
      <c r="C25" s="66">
        <v>140</v>
      </c>
      <c r="D25" s="65">
        <v>560</v>
      </c>
      <c r="E25" s="91">
        <v>0</v>
      </c>
      <c r="F25" s="92">
        <v>0</v>
      </c>
      <c r="G25" s="93"/>
      <c r="H25" s="94"/>
      <c r="I25" s="91"/>
      <c r="J25" s="92"/>
      <c r="K25" s="93"/>
      <c r="L25" s="94"/>
      <c r="M25" s="91"/>
      <c r="N25" s="92"/>
      <c r="O25" s="93"/>
      <c r="P25" s="94"/>
      <c r="Q25" s="95">
        <f t="shared" si="0"/>
        <v>0</v>
      </c>
      <c r="R25" s="96">
        <f t="shared" si="1"/>
        <v>0</v>
      </c>
    </row>
    <row r="26" spans="1:18" ht="18" customHeight="1" x14ac:dyDescent="0.2">
      <c r="A26" s="34"/>
      <c r="B26" s="90" t="s">
        <v>196</v>
      </c>
      <c r="C26" s="66">
        <v>230</v>
      </c>
      <c r="D26" s="65">
        <v>920</v>
      </c>
      <c r="E26" s="91">
        <v>0</v>
      </c>
      <c r="F26" s="92">
        <v>0</v>
      </c>
      <c r="G26" s="93"/>
      <c r="H26" s="94"/>
      <c r="I26" s="91"/>
      <c r="J26" s="92"/>
      <c r="K26" s="93"/>
      <c r="L26" s="94"/>
      <c r="M26" s="91"/>
      <c r="N26" s="92"/>
      <c r="O26" s="93"/>
      <c r="P26" s="94"/>
      <c r="Q26" s="95">
        <f t="shared" si="0"/>
        <v>0</v>
      </c>
      <c r="R26" s="96">
        <f t="shared" si="1"/>
        <v>0</v>
      </c>
    </row>
    <row r="27" spans="1:18" ht="18" customHeight="1" x14ac:dyDescent="0.2">
      <c r="A27" s="34"/>
      <c r="B27" s="90" t="s">
        <v>197</v>
      </c>
      <c r="C27" s="67">
        <v>260</v>
      </c>
      <c r="D27" s="65">
        <v>1040</v>
      </c>
      <c r="E27" s="91">
        <v>1</v>
      </c>
      <c r="F27" s="92">
        <v>0</v>
      </c>
      <c r="G27" s="93"/>
      <c r="H27" s="94"/>
      <c r="I27" s="91"/>
      <c r="J27" s="92"/>
      <c r="K27" s="93"/>
      <c r="L27" s="94"/>
      <c r="M27" s="97"/>
      <c r="N27" s="92"/>
      <c r="O27" s="93"/>
      <c r="P27" s="94"/>
      <c r="Q27" s="95">
        <f t="shared" si="0"/>
        <v>1</v>
      </c>
      <c r="R27" s="96">
        <f t="shared" si="1"/>
        <v>9.6153846153846159E-4</v>
      </c>
    </row>
    <row r="28" spans="1:18" ht="18" customHeight="1" x14ac:dyDescent="0.2">
      <c r="A28" s="34"/>
      <c r="B28" s="90" t="s">
        <v>198</v>
      </c>
      <c r="C28" s="67">
        <v>140</v>
      </c>
      <c r="D28" s="65">
        <v>560</v>
      </c>
      <c r="E28" s="91">
        <v>0</v>
      </c>
      <c r="F28" s="92">
        <v>0</v>
      </c>
      <c r="G28" s="93"/>
      <c r="H28" s="94"/>
      <c r="I28" s="91"/>
      <c r="J28" s="92"/>
      <c r="K28" s="93"/>
      <c r="L28" s="94"/>
      <c r="M28" s="91"/>
      <c r="N28" s="92"/>
      <c r="O28" s="93"/>
      <c r="P28" s="94"/>
      <c r="Q28" s="95">
        <f t="shared" si="0"/>
        <v>0</v>
      </c>
      <c r="R28" s="96">
        <f t="shared" si="1"/>
        <v>0</v>
      </c>
    </row>
    <row r="29" spans="1:18" ht="18" customHeight="1" thickBot="1" x14ac:dyDescent="0.25">
      <c r="A29" s="34"/>
      <c r="B29" s="98"/>
      <c r="C29" s="32"/>
      <c r="D29" s="83"/>
      <c r="E29" s="84"/>
      <c r="F29" s="85"/>
      <c r="G29" s="86"/>
      <c r="H29" s="87"/>
      <c r="I29" s="84"/>
      <c r="J29" s="85"/>
      <c r="K29" s="86"/>
      <c r="L29" s="87"/>
      <c r="M29" s="84"/>
      <c r="N29" s="85"/>
      <c r="O29" s="86"/>
      <c r="P29" s="87"/>
      <c r="Q29" s="99"/>
      <c r="R29" s="89"/>
    </row>
    <row r="30" spans="1:18" ht="18" customHeight="1" thickTop="1" x14ac:dyDescent="0.2">
      <c r="A30" s="12"/>
      <c r="B30" s="100" t="s">
        <v>53</v>
      </c>
      <c r="C30" s="101">
        <f t="shared" ref="C30:Q30" si="2">SUM(C10:C29)</f>
        <v>6773</v>
      </c>
      <c r="D30" s="102">
        <f t="shared" si="2"/>
        <v>27328</v>
      </c>
      <c r="E30" s="103">
        <f t="shared" si="2"/>
        <v>3111</v>
      </c>
      <c r="F30" s="104">
        <f t="shared" si="2"/>
        <v>22</v>
      </c>
      <c r="G30" s="105">
        <f t="shared" si="2"/>
        <v>0</v>
      </c>
      <c r="H30" s="106">
        <f t="shared" si="2"/>
        <v>0</v>
      </c>
      <c r="I30" s="103">
        <f t="shared" si="2"/>
        <v>0</v>
      </c>
      <c r="J30" s="104">
        <f t="shared" si="2"/>
        <v>0</v>
      </c>
      <c r="K30" s="105">
        <f t="shared" si="2"/>
        <v>0</v>
      </c>
      <c r="L30" s="106">
        <f t="shared" si="2"/>
        <v>0</v>
      </c>
      <c r="M30" s="103">
        <f t="shared" si="2"/>
        <v>0</v>
      </c>
      <c r="N30" s="104">
        <f t="shared" si="2"/>
        <v>0</v>
      </c>
      <c r="O30" s="105">
        <f t="shared" si="2"/>
        <v>0</v>
      </c>
      <c r="P30" s="106">
        <f t="shared" si="2"/>
        <v>0</v>
      </c>
      <c r="Q30" s="107">
        <f t="shared" si="2"/>
        <v>3111</v>
      </c>
      <c r="R30" s="108">
        <f>Q30/D30</f>
        <v>0.11383928571428571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B8" sqref="B8:J12"/>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24"/>
    <col min="12" max="16384" width="11.33203125" style="1"/>
  </cols>
  <sheetData>
    <row r="1" spans="1:11" ht="18.75" customHeight="1" x14ac:dyDescent="0.2">
      <c r="A1" s="2" t="s">
        <v>109</v>
      </c>
      <c r="J1" s="30" t="s">
        <v>110</v>
      </c>
    </row>
    <row r="2" spans="1:11" ht="18.75" customHeight="1" x14ac:dyDescent="0.2">
      <c r="A2" s="276" t="s">
        <v>59</v>
      </c>
      <c r="B2" s="276"/>
      <c r="C2" s="276"/>
      <c r="D2" s="276"/>
      <c r="E2" s="276"/>
      <c r="F2" s="276"/>
      <c r="G2" s="276"/>
      <c r="H2" s="276"/>
      <c r="I2" s="276"/>
      <c r="J2" s="276"/>
    </row>
    <row r="3" spans="1:11" ht="7.5" customHeight="1" x14ac:dyDescent="0.2">
      <c r="B3" s="27"/>
      <c r="C3" s="27"/>
      <c r="D3" s="27"/>
      <c r="E3" s="27"/>
      <c r="F3" s="27"/>
      <c r="G3" s="27"/>
      <c r="H3" s="27"/>
      <c r="I3" s="27"/>
      <c r="J3" s="27"/>
    </row>
    <row r="4" spans="1:11" ht="18.75" customHeight="1" x14ac:dyDescent="0.2">
      <c r="A4" s="1" t="s">
        <v>6</v>
      </c>
      <c r="B4" s="4" t="s">
        <v>67</v>
      </c>
      <c r="C4" s="4"/>
      <c r="D4" s="4"/>
      <c r="E4" s="4"/>
      <c r="F4" s="4"/>
      <c r="G4" s="4"/>
      <c r="H4" s="4"/>
      <c r="I4" s="27"/>
      <c r="J4" s="27"/>
    </row>
    <row r="5" spans="1:11" ht="18.75" customHeight="1" x14ac:dyDescent="0.2">
      <c r="A5" s="1"/>
      <c r="B5" s="138" t="s">
        <v>199</v>
      </c>
      <c r="C5" s="139"/>
      <c r="D5" s="139"/>
      <c r="E5" s="139"/>
      <c r="F5" s="139"/>
      <c r="G5" s="139"/>
      <c r="H5" s="139"/>
      <c r="I5" s="139"/>
      <c r="J5" s="277"/>
      <c r="K5" s="24" t="str">
        <f>IF(B5="","入力してください","")</f>
        <v/>
      </c>
    </row>
    <row r="6" spans="1:11" ht="7.5" customHeight="1" x14ac:dyDescent="0.2">
      <c r="B6" s="74"/>
      <c r="C6" s="74"/>
      <c r="D6" s="74"/>
      <c r="E6" s="74"/>
      <c r="F6" s="74"/>
      <c r="G6" s="74"/>
      <c r="H6" s="74"/>
      <c r="I6" s="74"/>
      <c r="J6" s="74"/>
    </row>
    <row r="7" spans="1:11" s="4" customFormat="1" ht="18.75" customHeight="1" x14ac:dyDescent="0.2">
      <c r="A7" s="1" t="s">
        <v>9</v>
      </c>
      <c r="B7" s="12" t="s">
        <v>38</v>
      </c>
      <c r="C7" s="12"/>
      <c r="D7" s="12"/>
      <c r="E7" s="12"/>
      <c r="F7" s="12"/>
      <c r="G7" s="12"/>
      <c r="H7" s="12"/>
      <c r="I7" s="12"/>
      <c r="J7" s="12"/>
      <c r="K7" s="26"/>
    </row>
    <row r="8" spans="1:11" s="4" customFormat="1" ht="18.75" customHeight="1" x14ac:dyDescent="0.2">
      <c r="A8" s="44"/>
      <c r="B8" s="255" t="s">
        <v>200</v>
      </c>
      <c r="C8" s="256"/>
      <c r="D8" s="256"/>
      <c r="E8" s="256"/>
      <c r="F8" s="256"/>
      <c r="G8" s="256"/>
      <c r="H8" s="256"/>
      <c r="I8" s="264"/>
      <c r="J8" s="265"/>
      <c r="K8" s="24" t="str">
        <f>IF(B8="","入力してください","")</f>
        <v/>
      </c>
    </row>
    <row r="9" spans="1:11" s="4" customFormat="1" ht="18.75" customHeight="1" x14ac:dyDescent="0.2">
      <c r="A9" s="44"/>
      <c r="B9" s="266"/>
      <c r="C9" s="267"/>
      <c r="D9" s="267"/>
      <c r="E9" s="267"/>
      <c r="F9" s="267"/>
      <c r="G9" s="267"/>
      <c r="H9" s="267"/>
      <c r="I9" s="267"/>
      <c r="J9" s="268"/>
      <c r="K9" s="24"/>
    </row>
    <row r="10" spans="1:11" s="4" customFormat="1" ht="18.75" customHeight="1" x14ac:dyDescent="0.2">
      <c r="A10" s="44"/>
      <c r="B10" s="266"/>
      <c r="C10" s="267"/>
      <c r="D10" s="267"/>
      <c r="E10" s="267"/>
      <c r="F10" s="267"/>
      <c r="G10" s="267"/>
      <c r="H10" s="267"/>
      <c r="I10" s="267"/>
      <c r="J10" s="268"/>
      <c r="K10" s="24"/>
    </row>
    <row r="11" spans="1:11" s="4" customFormat="1" ht="18.75" customHeight="1" x14ac:dyDescent="0.2">
      <c r="A11" s="44"/>
      <c r="B11" s="266"/>
      <c r="C11" s="267"/>
      <c r="D11" s="267"/>
      <c r="E11" s="267"/>
      <c r="F11" s="267"/>
      <c r="G11" s="267"/>
      <c r="H11" s="267"/>
      <c r="I11" s="267"/>
      <c r="J11" s="268"/>
      <c r="K11" s="24"/>
    </row>
    <row r="12" spans="1:11" s="4" customFormat="1" ht="18.75" customHeight="1" x14ac:dyDescent="0.2">
      <c r="A12" s="44"/>
      <c r="B12" s="269"/>
      <c r="C12" s="270"/>
      <c r="D12" s="270"/>
      <c r="E12" s="270"/>
      <c r="F12" s="270"/>
      <c r="G12" s="270"/>
      <c r="H12" s="270"/>
      <c r="I12" s="270"/>
      <c r="J12" s="271"/>
      <c r="K12" s="24"/>
    </row>
    <row r="13" spans="1:11" s="4" customFormat="1" ht="7.5" customHeight="1" x14ac:dyDescent="0.2">
      <c r="A13" s="44"/>
      <c r="B13" s="35"/>
      <c r="C13" s="35"/>
      <c r="D13" s="35"/>
      <c r="E13" s="35"/>
      <c r="F13" s="35"/>
      <c r="G13" s="35"/>
      <c r="H13" s="35"/>
      <c r="I13" s="35"/>
      <c r="J13" s="35"/>
      <c r="K13" s="24"/>
    </row>
    <row r="14" spans="1:11" s="4" customFormat="1" ht="18.75" customHeight="1" x14ac:dyDescent="0.2">
      <c r="A14" s="45" t="s">
        <v>10</v>
      </c>
      <c r="B14" s="71" t="s">
        <v>15</v>
      </c>
      <c r="C14" s="71"/>
      <c r="D14" s="71"/>
      <c r="E14" s="71"/>
      <c r="F14" s="71"/>
      <c r="G14" s="71"/>
      <c r="H14" s="71"/>
      <c r="I14" s="71"/>
      <c r="J14" s="71"/>
      <c r="K14" s="24"/>
    </row>
    <row r="15" spans="1:11" s="4" customFormat="1" ht="18.75" customHeight="1" x14ac:dyDescent="0.2">
      <c r="A15" s="44"/>
      <c r="B15" s="255" t="s">
        <v>223</v>
      </c>
      <c r="C15" s="256"/>
      <c r="D15" s="256"/>
      <c r="E15" s="256"/>
      <c r="F15" s="256"/>
      <c r="G15" s="256"/>
      <c r="H15" s="256"/>
      <c r="I15" s="264"/>
      <c r="J15" s="265"/>
      <c r="K15" s="24" t="str">
        <f>IF(B15="","入力してください","")</f>
        <v/>
      </c>
    </row>
    <row r="16" spans="1:11" s="4" customFormat="1" ht="18.75" customHeight="1" x14ac:dyDescent="0.2">
      <c r="A16" s="44"/>
      <c r="B16" s="266"/>
      <c r="C16" s="267"/>
      <c r="D16" s="267"/>
      <c r="E16" s="267"/>
      <c r="F16" s="267"/>
      <c r="G16" s="267"/>
      <c r="H16" s="267"/>
      <c r="I16" s="267"/>
      <c r="J16" s="268"/>
      <c r="K16" s="24"/>
    </row>
    <row r="17" spans="1:11" s="4" customFormat="1" ht="18.75" customHeight="1" x14ac:dyDescent="0.2">
      <c r="A17" s="44"/>
      <c r="B17" s="266"/>
      <c r="C17" s="267"/>
      <c r="D17" s="267"/>
      <c r="E17" s="267"/>
      <c r="F17" s="267"/>
      <c r="G17" s="267"/>
      <c r="H17" s="267"/>
      <c r="I17" s="267"/>
      <c r="J17" s="268"/>
      <c r="K17" s="24"/>
    </row>
    <row r="18" spans="1:11" s="4" customFormat="1" ht="18.75" customHeight="1" x14ac:dyDescent="0.2">
      <c r="A18" s="44"/>
      <c r="B18" s="266"/>
      <c r="C18" s="267"/>
      <c r="D18" s="267"/>
      <c r="E18" s="267"/>
      <c r="F18" s="267"/>
      <c r="G18" s="267"/>
      <c r="H18" s="267"/>
      <c r="I18" s="267"/>
      <c r="J18" s="268"/>
      <c r="K18" s="24"/>
    </row>
    <row r="19" spans="1:11" s="4" customFormat="1" ht="18.75" customHeight="1" x14ac:dyDescent="0.2">
      <c r="A19" s="44"/>
      <c r="B19" s="266"/>
      <c r="C19" s="267"/>
      <c r="D19" s="267"/>
      <c r="E19" s="267"/>
      <c r="F19" s="267"/>
      <c r="G19" s="267"/>
      <c r="H19" s="267"/>
      <c r="I19" s="267"/>
      <c r="J19" s="268"/>
      <c r="K19" s="24"/>
    </row>
    <row r="20" spans="1:11" s="4" customFormat="1" ht="18.75" customHeight="1" x14ac:dyDescent="0.2">
      <c r="A20" s="44"/>
      <c r="B20" s="266"/>
      <c r="C20" s="267"/>
      <c r="D20" s="267"/>
      <c r="E20" s="267"/>
      <c r="F20" s="267"/>
      <c r="G20" s="267"/>
      <c r="H20" s="267"/>
      <c r="I20" s="267"/>
      <c r="J20" s="268"/>
      <c r="K20" s="24"/>
    </row>
    <row r="21" spans="1:11" s="4" customFormat="1" ht="18.75" customHeight="1" x14ac:dyDescent="0.2">
      <c r="A21" s="44"/>
      <c r="B21" s="266"/>
      <c r="C21" s="267"/>
      <c r="D21" s="267"/>
      <c r="E21" s="267"/>
      <c r="F21" s="267"/>
      <c r="G21" s="267"/>
      <c r="H21" s="267"/>
      <c r="I21" s="267"/>
      <c r="J21" s="268"/>
      <c r="K21" s="24"/>
    </row>
    <row r="22" spans="1:11" s="4" customFormat="1" ht="18.75" customHeight="1" x14ac:dyDescent="0.2">
      <c r="A22" s="44"/>
      <c r="B22" s="266"/>
      <c r="C22" s="267"/>
      <c r="D22" s="267"/>
      <c r="E22" s="267"/>
      <c r="F22" s="267"/>
      <c r="G22" s="267"/>
      <c r="H22" s="267"/>
      <c r="I22" s="267"/>
      <c r="J22" s="268"/>
      <c r="K22" s="24"/>
    </row>
    <row r="23" spans="1:11" s="4" customFormat="1" ht="18.75" customHeight="1" x14ac:dyDescent="0.2">
      <c r="A23" s="44"/>
      <c r="B23" s="266"/>
      <c r="C23" s="267"/>
      <c r="D23" s="267"/>
      <c r="E23" s="267"/>
      <c r="F23" s="267"/>
      <c r="G23" s="267"/>
      <c r="H23" s="267"/>
      <c r="I23" s="267"/>
      <c r="J23" s="268"/>
      <c r="K23" s="24"/>
    </row>
    <row r="24" spans="1:11" s="4" customFormat="1" ht="18.75" customHeight="1" x14ac:dyDescent="0.2">
      <c r="A24" s="44"/>
      <c r="B24" s="266"/>
      <c r="C24" s="267"/>
      <c r="D24" s="267"/>
      <c r="E24" s="267"/>
      <c r="F24" s="267"/>
      <c r="G24" s="267"/>
      <c r="H24" s="267"/>
      <c r="I24" s="267"/>
      <c r="J24" s="268"/>
      <c r="K24" s="24"/>
    </row>
    <row r="25" spans="1:11" s="4" customFormat="1" ht="18.75" customHeight="1" x14ac:dyDescent="0.2">
      <c r="A25" s="44"/>
      <c r="B25" s="269"/>
      <c r="C25" s="270"/>
      <c r="D25" s="270"/>
      <c r="E25" s="270"/>
      <c r="F25" s="270"/>
      <c r="G25" s="270"/>
      <c r="H25" s="270"/>
      <c r="I25" s="270"/>
      <c r="J25" s="271"/>
      <c r="K25" s="24"/>
    </row>
    <row r="26" spans="1:11" ht="7.5" customHeight="1" x14ac:dyDescent="0.2">
      <c r="A26" s="28"/>
      <c r="B26" s="111"/>
      <c r="C26" s="111"/>
      <c r="D26" s="111"/>
      <c r="E26" s="111"/>
      <c r="F26" s="111"/>
      <c r="G26" s="111"/>
      <c r="H26" s="111"/>
      <c r="I26" s="111"/>
      <c r="J26" s="111"/>
    </row>
    <row r="27" spans="1:11" s="4" customFormat="1" ht="18.75" customHeight="1" x14ac:dyDescent="0.2">
      <c r="A27" s="1" t="s">
        <v>13</v>
      </c>
      <c r="B27" s="12" t="s">
        <v>25</v>
      </c>
      <c r="C27" s="12"/>
      <c r="D27" s="12"/>
      <c r="E27" s="12"/>
      <c r="F27" s="12"/>
      <c r="G27" s="12"/>
      <c r="H27" s="12"/>
      <c r="I27" s="12"/>
      <c r="J27" s="12"/>
      <c r="K27" s="24"/>
    </row>
    <row r="28" spans="1:11" s="22" customFormat="1" ht="18.75" customHeight="1" x14ac:dyDescent="0.2">
      <c r="B28" s="46" t="s">
        <v>111</v>
      </c>
      <c r="C28" s="47">
        <f>'様式３　履修者等数の実績'!R30</f>
        <v>0.11383928571428571</v>
      </c>
      <c r="D28" s="48"/>
      <c r="E28" s="48" t="s">
        <v>112</v>
      </c>
      <c r="F28" s="47">
        <v>0.12</v>
      </c>
      <c r="G28" s="48"/>
      <c r="H28" s="48" t="s">
        <v>113</v>
      </c>
      <c r="I28" s="49">
        <v>0.13</v>
      </c>
      <c r="J28" s="77"/>
      <c r="K28" s="24"/>
    </row>
    <row r="29" spans="1:11" s="22" customFormat="1" ht="18.75" customHeight="1" x14ac:dyDescent="0.2">
      <c r="B29" s="41" t="s">
        <v>114</v>
      </c>
      <c r="C29" s="50">
        <v>0.14000000000000001</v>
      </c>
      <c r="D29" s="42"/>
      <c r="E29" s="42" t="s">
        <v>115</v>
      </c>
      <c r="F29" s="50">
        <v>0.15</v>
      </c>
      <c r="G29" s="42"/>
      <c r="H29" s="42" t="s">
        <v>116</v>
      </c>
      <c r="I29" s="51">
        <f>'様式３　履修者等数の実績'!D30</f>
        <v>27328</v>
      </c>
      <c r="J29" s="52"/>
      <c r="K29" s="26"/>
    </row>
    <row r="30" spans="1:11" s="4" customFormat="1" ht="18.75" customHeight="1" x14ac:dyDescent="0.2">
      <c r="A30" s="1"/>
      <c r="B30" s="186" t="s">
        <v>117</v>
      </c>
      <c r="C30" s="187"/>
      <c r="D30" s="187"/>
      <c r="E30" s="187"/>
      <c r="F30" s="187"/>
      <c r="G30" s="187"/>
      <c r="H30" s="187"/>
      <c r="I30" s="187"/>
      <c r="J30" s="188"/>
      <c r="K30" s="26"/>
    </row>
    <row r="31" spans="1:11" s="4" customFormat="1" ht="18.75" customHeight="1" x14ac:dyDescent="0.2">
      <c r="A31" s="1"/>
      <c r="B31" s="273" t="s">
        <v>217</v>
      </c>
      <c r="C31" s="274"/>
      <c r="D31" s="274"/>
      <c r="E31" s="274"/>
      <c r="F31" s="274"/>
      <c r="G31" s="274"/>
      <c r="H31" s="274"/>
      <c r="I31" s="274"/>
      <c r="J31" s="275"/>
      <c r="K31" s="26" t="str">
        <f>IF(B31="","入力してください","")</f>
        <v/>
      </c>
    </row>
    <row r="32" spans="1:11" s="4" customFormat="1" ht="18.75" customHeight="1" x14ac:dyDescent="0.2">
      <c r="A32" s="1"/>
      <c r="B32" s="266"/>
      <c r="C32" s="267"/>
      <c r="D32" s="267"/>
      <c r="E32" s="267"/>
      <c r="F32" s="267"/>
      <c r="G32" s="267"/>
      <c r="H32" s="267"/>
      <c r="I32" s="267"/>
      <c r="J32" s="268"/>
      <c r="K32" s="26"/>
    </row>
    <row r="33" spans="1:11" s="4" customFormat="1" ht="18.75" customHeight="1" x14ac:dyDescent="0.2">
      <c r="A33" s="1"/>
      <c r="B33" s="266"/>
      <c r="C33" s="267"/>
      <c r="D33" s="267"/>
      <c r="E33" s="267"/>
      <c r="F33" s="267"/>
      <c r="G33" s="267"/>
      <c r="H33" s="267"/>
      <c r="I33" s="267"/>
      <c r="J33" s="268"/>
      <c r="K33" s="26"/>
    </row>
    <row r="34" spans="1:11" s="4" customFormat="1" ht="18.75" customHeight="1" x14ac:dyDescent="0.2">
      <c r="A34" s="1"/>
      <c r="B34" s="266"/>
      <c r="C34" s="267"/>
      <c r="D34" s="267"/>
      <c r="E34" s="267"/>
      <c r="F34" s="267"/>
      <c r="G34" s="267"/>
      <c r="H34" s="267"/>
      <c r="I34" s="267"/>
      <c r="J34" s="268"/>
      <c r="K34" s="26"/>
    </row>
    <row r="35" spans="1:11" s="4" customFormat="1" ht="18.75" customHeight="1" x14ac:dyDescent="0.2">
      <c r="A35" s="1"/>
      <c r="B35" s="266"/>
      <c r="C35" s="267"/>
      <c r="D35" s="267"/>
      <c r="E35" s="267"/>
      <c r="F35" s="267"/>
      <c r="G35" s="267"/>
      <c r="H35" s="267"/>
      <c r="I35" s="267"/>
      <c r="J35" s="268"/>
      <c r="K35" s="26"/>
    </row>
    <row r="36" spans="1:11" s="4" customFormat="1" ht="18.75" customHeight="1" x14ac:dyDescent="0.2">
      <c r="A36" s="1"/>
      <c r="B36" s="266"/>
      <c r="C36" s="267"/>
      <c r="D36" s="267"/>
      <c r="E36" s="267"/>
      <c r="F36" s="267"/>
      <c r="G36" s="267"/>
      <c r="H36" s="267"/>
      <c r="I36" s="267"/>
      <c r="J36" s="268"/>
      <c r="K36" s="26"/>
    </row>
    <row r="37" spans="1:11" s="4" customFormat="1" ht="18.75" customHeight="1" x14ac:dyDescent="0.2">
      <c r="A37" s="1"/>
      <c r="B37" s="266"/>
      <c r="C37" s="267"/>
      <c r="D37" s="267"/>
      <c r="E37" s="267"/>
      <c r="F37" s="267"/>
      <c r="G37" s="267"/>
      <c r="H37" s="267"/>
      <c r="I37" s="267"/>
      <c r="J37" s="268"/>
      <c r="K37" s="26"/>
    </row>
    <row r="38" spans="1:11" s="4" customFormat="1" ht="18.75" customHeight="1" x14ac:dyDescent="0.2">
      <c r="A38" s="1"/>
      <c r="B38" s="266"/>
      <c r="C38" s="267"/>
      <c r="D38" s="267"/>
      <c r="E38" s="267"/>
      <c r="F38" s="267"/>
      <c r="G38" s="267"/>
      <c r="H38" s="267"/>
      <c r="I38" s="267"/>
      <c r="J38" s="268"/>
      <c r="K38" s="26"/>
    </row>
    <row r="39" spans="1:11" s="4" customFormat="1" ht="18.75" customHeight="1" x14ac:dyDescent="0.2">
      <c r="A39" s="1"/>
      <c r="B39" s="266"/>
      <c r="C39" s="267"/>
      <c r="D39" s="267"/>
      <c r="E39" s="267"/>
      <c r="F39" s="267"/>
      <c r="G39" s="267"/>
      <c r="H39" s="267"/>
      <c r="I39" s="267"/>
      <c r="J39" s="268"/>
      <c r="K39" s="26"/>
    </row>
    <row r="40" spans="1:11" s="4" customFormat="1" ht="18.75" customHeight="1" x14ac:dyDescent="0.2">
      <c r="A40" s="1"/>
      <c r="B40" s="266"/>
      <c r="C40" s="267"/>
      <c r="D40" s="267"/>
      <c r="E40" s="267"/>
      <c r="F40" s="267"/>
      <c r="G40" s="267"/>
      <c r="H40" s="267"/>
      <c r="I40" s="267"/>
      <c r="J40" s="268"/>
      <c r="K40" s="26"/>
    </row>
    <row r="41" spans="1:11" s="4" customFormat="1" ht="18.75" customHeight="1" x14ac:dyDescent="0.2">
      <c r="A41" s="1"/>
      <c r="B41" s="266"/>
      <c r="C41" s="267"/>
      <c r="D41" s="267"/>
      <c r="E41" s="267"/>
      <c r="F41" s="267"/>
      <c r="G41" s="267"/>
      <c r="H41" s="267"/>
      <c r="I41" s="267"/>
      <c r="J41" s="268"/>
      <c r="K41" s="26"/>
    </row>
    <row r="42" spans="1:11" s="4" customFormat="1" ht="18.75" customHeight="1" x14ac:dyDescent="0.2">
      <c r="A42" s="1"/>
      <c r="B42" s="266"/>
      <c r="C42" s="267"/>
      <c r="D42" s="267"/>
      <c r="E42" s="267"/>
      <c r="F42" s="267"/>
      <c r="G42" s="267"/>
      <c r="H42" s="267"/>
      <c r="I42" s="267"/>
      <c r="J42" s="268"/>
      <c r="K42" s="26"/>
    </row>
    <row r="43" spans="1:11" ht="18.75" customHeight="1" x14ac:dyDescent="0.2">
      <c r="A43" s="28"/>
      <c r="B43" s="266"/>
      <c r="C43" s="267"/>
      <c r="D43" s="267"/>
      <c r="E43" s="267"/>
      <c r="F43" s="267"/>
      <c r="G43" s="267"/>
      <c r="H43" s="267"/>
      <c r="I43" s="267"/>
      <c r="J43" s="268"/>
      <c r="K43" s="26"/>
    </row>
    <row r="44" spans="1:11" ht="18.75" customHeight="1" x14ac:dyDescent="0.2">
      <c r="A44" s="28"/>
      <c r="B44" s="269"/>
      <c r="C44" s="270"/>
      <c r="D44" s="270"/>
      <c r="E44" s="270"/>
      <c r="F44" s="270"/>
      <c r="G44" s="270"/>
      <c r="H44" s="270"/>
      <c r="I44" s="270"/>
      <c r="J44" s="271"/>
    </row>
    <row r="45" spans="1:11" s="4" customFormat="1" ht="18.75" customHeight="1" x14ac:dyDescent="0.2">
      <c r="A45" s="53" t="s">
        <v>11</v>
      </c>
      <c r="B45" s="12" t="s">
        <v>60</v>
      </c>
      <c r="C45" s="12"/>
      <c r="D45" s="12"/>
      <c r="E45" s="12"/>
      <c r="F45" s="12"/>
      <c r="G45" s="12"/>
      <c r="H45" s="12"/>
      <c r="I45" s="71"/>
      <c r="J45" s="71"/>
      <c r="K45" s="24"/>
    </row>
    <row r="46" spans="1:11" ht="18.75" customHeight="1" x14ac:dyDescent="0.2">
      <c r="A46" s="28"/>
      <c r="B46" s="255" t="s">
        <v>218</v>
      </c>
      <c r="C46" s="256"/>
      <c r="D46" s="256"/>
      <c r="E46" s="256"/>
      <c r="F46" s="256"/>
      <c r="G46" s="256"/>
      <c r="H46" s="256"/>
      <c r="I46" s="256"/>
      <c r="J46" s="257"/>
      <c r="K46" s="24" t="str">
        <f>IF(B46="","入力してください","")</f>
        <v/>
      </c>
    </row>
    <row r="47" spans="1:11" ht="18.75" customHeight="1" x14ac:dyDescent="0.2">
      <c r="A47" s="28"/>
      <c r="B47" s="258"/>
      <c r="C47" s="259"/>
      <c r="D47" s="259"/>
      <c r="E47" s="259"/>
      <c r="F47" s="259"/>
      <c r="G47" s="259"/>
      <c r="H47" s="259"/>
      <c r="I47" s="259"/>
      <c r="J47" s="260"/>
    </row>
    <row r="48" spans="1:11" ht="18.75" customHeight="1" x14ac:dyDescent="0.2">
      <c r="A48" s="28"/>
      <c r="B48" s="258"/>
      <c r="C48" s="259"/>
      <c r="D48" s="259"/>
      <c r="E48" s="259"/>
      <c r="F48" s="259"/>
      <c r="G48" s="259"/>
      <c r="H48" s="259"/>
      <c r="I48" s="259"/>
      <c r="J48" s="260"/>
    </row>
    <row r="49" spans="1:10" ht="18.75" customHeight="1" x14ac:dyDescent="0.2">
      <c r="A49" s="28"/>
      <c r="B49" s="258"/>
      <c r="C49" s="259"/>
      <c r="D49" s="259"/>
      <c r="E49" s="259"/>
      <c r="F49" s="259"/>
      <c r="G49" s="259"/>
      <c r="H49" s="259"/>
      <c r="I49" s="259"/>
      <c r="J49" s="260"/>
    </row>
    <row r="50" spans="1:10" ht="18.75" customHeight="1" x14ac:dyDescent="0.2">
      <c r="A50" s="28"/>
      <c r="B50" s="258"/>
      <c r="C50" s="259"/>
      <c r="D50" s="259"/>
      <c r="E50" s="259"/>
      <c r="F50" s="259"/>
      <c r="G50" s="259"/>
      <c r="H50" s="259"/>
      <c r="I50" s="259"/>
      <c r="J50" s="260"/>
    </row>
    <row r="51" spans="1:10" ht="18.75" customHeight="1" x14ac:dyDescent="0.2">
      <c r="A51" s="28"/>
      <c r="B51" s="258"/>
      <c r="C51" s="259"/>
      <c r="D51" s="259"/>
      <c r="E51" s="259"/>
      <c r="F51" s="259"/>
      <c r="G51" s="259"/>
      <c r="H51" s="259"/>
      <c r="I51" s="259"/>
      <c r="J51" s="260"/>
    </row>
    <row r="52" spans="1:10" ht="18.75" customHeight="1" x14ac:dyDescent="0.2">
      <c r="A52" s="28"/>
      <c r="B52" s="258"/>
      <c r="C52" s="259"/>
      <c r="D52" s="259"/>
      <c r="E52" s="259"/>
      <c r="F52" s="259"/>
      <c r="G52" s="259"/>
      <c r="H52" s="259"/>
      <c r="I52" s="259"/>
      <c r="J52" s="260"/>
    </row>
    <row r="53" spans="1:10" ht="18.75" customHeight="1" x14ac:dyDescent="0.2">
      <c r="A53" s="28"/>
      <c r="B53" s="258"/>
      <c r="C53" s="259"/>
      <c r="D53" s="259"/>
      <c r="E53" s="259"/>
      <c r="F53" s="259"/>
      <c r="G53" s="259"/>
      <c r="H53" s="259"/>
      <c r="I53" s="259"/>
      <c r="J53" s="260"/>
    </row>
    <row r="54" spans="1:10" ht="18.75" customHeight="1" x14ac:dyDescent="0.2">
      <c r="A54" s="28"/>
      <c r="B54" s="258"/>
      <c r="C54" s="259"/>
      <c r="D54" s="259"/>
      <c r="E54" s="259"/>
      <c r="F54" s="259"/>
      <c r="G54" s="259"/>
      <c r="H54" s="259"/>
      <c r="I54" s="259"/>
      <c r="J54" s="260"/>
    </row>
    <row r="55" spans="1:10" ht="18.75" customHeight="1" x14ac:dyDescent="0.2">
      <c r="A55" s="28"/>
      <c r="B55" s="258"/>
      <c r="C55" s="259"/>
      <c r="D55" s="259"/>
      <c r="E55" s="259"/>
      <c r="F55" s="259"/>
      <c r="G55" s="259"/>
      <c r="H55" s="259"/>
      <c r="I55" s="259"/>
      <c r="J55" s="260"/>
    </row>
    <row r="56" spans="1:10" ht="18.75" customHeight="1" x14ac:dyDescent="0.2">
      <c r="A56" s="28"/>
      <c r="B56" s="258"/>
      <c r="C56" s="259"/>
      <c r="D56" s="259"/>
      <c r="E56" s="259"/>
      <c r="F56" s="259"/>
      <c r="G56" s="259"/>
      <c r="H56" s="259"/>
      <c r="I56" s="259"/>
      <c r="J56" s="260"/>
    </row>
    <row r="57" spans="1:10" ht="18.75" customHeight="1" x14ac:dyDescent="0.2">
      <c r="A57" s="28"/>
      <c r="B57" s="258"/>
      <c r="C57" s="259"/>
      <c r="D57" s="259"/>
      <c r="E57" s="259"/>
      <c r="F57" s="259"/>
      <c r="G57" s="259"/>
      <c r="H57" s="259"/>
      <c r="I57" s="259"/>
      <c r="J57" s="260"/>
    </row>
    <row r="58" spans="1:10" ht="18.75" customHeight="1" x14ac:dyDescent="0.2">
      <c r="A58" s="28"/>
      <c r="B58" s="258"/>
      <c r="C58" s="259"/>
      <c r="D58" s="259"/>
      <c r="E58" s="259"/>
      <c r="F58" s="259"/>
      <c r="G58" s="259"/>
      <c r="H58" s="259"/>
      <c r="I58" s="259"/>
      <c r="J58" s="260"/>
    </row>
    <row r="59" spans="1:10" ht="18.75" customHeight="1" x14ac:dyDescent="0.2">
      <c r="A59" s="28"/>
      <c r="B59" s="258"/>
      <c r="C59" s="259"/>
      <c r="D59" s="259"/>
      <c r="E59" s="259"/>
      <c r="F59" s="259"/>
      <c r="G59" s="259"/>
      <c r="H59" s="259"/>
      <c r="I59" s="259"/>
      <c r="J59" s="260"/>
    </row>
    <row r="60" spans="1:10" ht="18.75" customHeight="1" x14ac:dyDescent="0.2">
      <c r="A60" s="28"/>
      <c r="B60" s="258"/>
      <c r="C60" s="259"/>
      <c r="D60" s="259"/>
      <c r="E60" s="259"/>
      <c r="F60" s="259"/>
      <c r="G60" s="259"/>
      <c r="H60" s="259"/>
      <c r="I60" s="259"/>
      <c r="J60" s="260"/>
    </row>
    <row r="61" spans="1:10" ht="18.75" customHeight="1" x14ac:dyDescent="0.2">
      <c r="A61" s="28"/>
      <c r="B61" s="258"/>
      <c r="C61" s="259"/>
      <c r="D61" s="259"/>
      <c r="E61" s="259"/>
      <c r="F61" s="259"/>
      <c r="G61" s="259"/>
      <c r="H61" s="259"/>
      <c r="I61" s="259"/>
      <c r="J61" s="260"/>
    </row>
    <row r="62" spans="1:10" ht="18.75" customHeight="1" x14ac:dyDescent="0.2">
      <c r="A62" s="28"/>
      <c r="B62" s="258"/>
      <c r="C62" s="259"/>
      <c r="D62" s="259"/>
      <c r="E62" s="259"/>
      <c r="F62" s="259"/>
      <c r="G62" s="259"/>
      <c r="H62" s="259"/>
      <c r="I62" s="259"/>
      <c r="J62" s="260"/>
    </row>
    <row r="63" spans="1:10" ht="18.75" customHeight="1" x14ac:dyDescent="0.2">
      <c r="A63" s="28"/>
      <c r="B63" s="258"/>
      <c r="C63" s="259"/>
      <c r="D63" s="259"/>
      <c r="E63" s="259"/>
      <c r="F63" s="259"/>
      <c r="G63" s="259"/>
      <c r="H63" s="259"/>
      <c r="I63" s="259"/>
      <c r="J63" s="260"/>
    </row>
    <row r="64" spans="1:10" ht="18.75" customHeight="1" x14ac:dyDescent="0.2">
      <c r="A64" s="28"/>
      <c r="B64" s="258"/>
      <c r="C64" s="259"/>
      <c r="D64" s="259"/>
      <c r="E64" s="259"/>
      <c r="F64" s="259"/>
      <c r="G64" s="259"/>
      <c r="H64" s="259"/>
      <c r="I64" s="259"/>
      <c r="J64" s="260"/>
    </row>
    <row r="65" spans="1:11" ht="18.75" customHeight="1" x14ac:dyDescent="0.2">
      <c r="A65" s="28"/>
      <c r="B65" s="258"/>
      <c r="C65" s="259"/>
      <c r="D65" s="259"/>
      <c r="E65" s="259"/>
      <c r="F65" s="259"/>
      <c r="G65" s="259"/>
      <c r="H65" s="259"/>
      <c r="I65" s="259"/>
      <c r="J65" s="260"/>
    </row>
    <row r="66" spans="1:11" ht="18.75" customHeight="1" x14ac:dyDescent="0.2">
      <c r="A66" s="28"/>
      <c r="B66" s="261"/>
      <c r="C66" s="262"/>
      <c r="D66" s="262"/>
      <c r="E66" s="262"/>
      <c r="F66" s="262"/>
      <c r="G66" s="262"/>
      <c r="H66" s="262"/>
      <c r="I66" s="262"/>
      <c r="J66" s="263"/>
    </row>
    <row r="67" spans="1:11" ht="7.5" customHeight="1" x14ac:dyDescent="0.2">
      <c r="A67" s="28"/>
      <c r="B67" s="111"/>
      <c r="C67" s="111"/>
      <c r="D67" s="111"/>
      <c r="E67" s="111"/>
      <c r="F67" s="111"/>
      <c r="G67" s="111"/>
      <c r="H67" s="111"/>
      <c r="I67" s="111"/>
      <c r="J67" s="111"/>
    </row>
    <row r="68" spans="1:11" s="4" customFormat="1" ht="18.75" customHeight="1" x14ac:dyDescent="0.2">
      <c r="A68" s="1" t="s">
        <v>14</v>
      </c>
      <c r="B68" s="12" t="s">
        <v>66</v>
      </c>
      <c r="C68" s="12"/>
      <c r="D68" s="12"/>
      <c r="E68" s="12"/>
      <c r="F68" s="12"/>
      <c r="G68" s="12"/>
      <c r="H68" s="12"/>
      <c r="I68" s="12"/>
      <c r="J68" s="12"/>
      <c r="K68" s="24"/>
    </row>
    <row r="69" spans="1:11" s="4" customFormat="1" ht="18.75" customHeight="1" x14ac:dyDescent="0.2">
      <c r="A69" s="1"/>
      <c r="B69" s="255" t="s">
        <v>216</v>
      </c>
      <c r="C69" s="256"/>
      <c r="D69" s="256"/>
      <c r="E69" s="256"/>
      <c r="F69" s="256"/>
      <c r="G69" s="256"/>
      <c r="H69" s="256"/>
      <c r="I69" s="264"/>
      <c r="J69" s="265"/>
      <c r="K69" s="26" t="str">
        <f>IF(B69="","入力してください","")</f>
        <v/>
      </c>
    </row>
    <row r="70" spans="1:11" s="4" customFormat="1" ht="18.75" customHeight="1" x14ac:dyDescent="0.2">
      <c r="A70" s="1"/>
      <c r="B70" s="266"/>
      <c r="C70" s="267"/>
      <c r="D70" s="267"/>
      <c r="E70" s="267"/>
      <c r="F70" s="267"/>
      <c r="G70" s="267"/>
      <c r="H70" s="267"/>
      <c r="I70" s="267"/>
      <c r="J70" s="268"/>
      <c r="K70" s="26"/>
    </row>
    <row r="71" spans="1:11" s="4" customFormat="1" ht="18.75" customHeight="1" x14ac:dyDescent="0.2">
      <c r="A71" s="1"/>
      <c r="B71" s="266"/>
      <c r="C71" s="267"/>
      <c r="D71" s="267"/>
      <c r="E71" s="267"/>
      <c r="F71" s="267"/>
      <c r="G71" s="267"/>
      <c r="H71" s="267"/>
      <c r="I71" s="267"/>
      <c r="J71" s="268"/>
      <c r="K71" s="26"/>
    </row>
    <row r="72" spans="1:11" s="4" customFormat="1" ht="18.75" customHeight="1" x14ac:dyDescent="0.2">
      <c r="A72" s="1"/>
      <c r="B72" s="266"/>
      <c r="C72" s="267"/>
      <c r="D72" s="267"/>
      <c r="E72" s="267"/>
      <c r="F72" s="267"/>
      <c r="G72" s="267"/>
      <c r="H72" s="267"/>
      <c r="I72" s="267"/>
      <c r="J72" s="268"/>
      <c r="K72" s="26"/>
    </row>
    <row r="73" spans="1:11" s="4" customFormat="1" ht="18.75" customHeight="1" x14ac:dyDescent="0.2">
      <c r="A73" s="1"/>
      <c r="B73" s="266"/>
      <c r="C73" s="267"/>
      <c r="D73" s="267"/>
      <c r="E73" s="267"/>
      <c r="F73" s="267"/>
      <c r="G73" s="267"/>
      <c r="H73" s="267"/>
      <c r="I73" s="267"/>
      <c r="J73" s="268"/>
      <c r="K73" s="26"/>
    </row>
    <row r="74" spans="1:11" s="4" customFormat="1" ht="18.75" customHeight="1" x14ac:dyDescent="0.2">
      <c r="A74" s="1"/>
      <c r="B74" s="266"/>
      <c r="C74" s="267"/>
      <c r="D74" s="267"/>
      <c r="E74" s="267"/>
      <c r="F74" s="267"/>
      <c r="G74" s="267"/>
      <c r="H74" s="267"/>
      <c r="I74" s="267"/>
      <c r="J74" s="268"/>
      <c r="K74" s="26"/>
    </row>
    <row r="75" spans="1:11" s="4" customFormat="1" ht="18.75" customHeight="1" x14ac:dyDescent="0.2">
      <c r="A75" s="1"/>
      <c r="B75" s="266"/>
      <c r="C75" s="267"/>
      <c r="D75" s="267"/>
      <c r="E75" s="267"/>
      <c r="F75" s="267"/>
      <c r="G75" s="267"/>
      <c r="H75" s="267"/>
      <c r="I75" s="267"/>
      <c r="J75" s="268"/>
      <c r="K75" s="26"/>
    </row>
    <row r="76" spans="1:11" s="4" customFormat="1" ht="18.75" customHeight="1" x14ac:dyDescent="0.2">
      <c r="A76" s="1"/>
      <c r="B76" s="266"/>
      <c r="C76" s="267"/>
      <c r="D76" s="267"/>
      <c r="E76" s="267"/>
      <c r="F76" s="267"/>
      <c r="G76" s="267"/>
      <c r="H76" s="267"/>
      <c r="I76" s="267"/>
      <c r="J76" s="268"/>
      <c r="K76" s="26"/>
    </row>
    <row r="77" spans="1:11" s="4" customFormat="1" ht="18.75" customHeight="1" x14ac:dyDescent="0.2">
      <c r="A77" s="1"/>
      <c r="B77" s="266"/>
      <c r="C77" s="267"/>
      <c r="D77" s="267"/>
      <c r="E77" s="267"/>
      <c r="F77" s="267"/>
      <c r="G77" s="267"/>
      <c r="H77" s="267"/>
      <c r="I77" s="267"/>
      <c r="J77" s="268"/>
      <c r="K77" s="26"/>
    </row>
    <row r="78" spans="1:11" s="4" customFormat="1" ht="18.75" customHeight="1" x14ac:dyDescent="0.2">
      <c r="A78" s="1"/>
      <c r="B78" s="266"/>
      <c r="C78" s="267"/>
      <c r="D78" s="267"/>
      <c r="E78" s="267"/>
      <c r="F78" s="267"/>
      <c r="G78" s="267"/>
      <c r="H78" s="267"/>
      <c r="I78" s="267"/>
      <c r="J78" s="268"/>
      <c r="K78" s="26"/>
    </row>
    <row r="79" spans="1:11" s="4" customFormat="1" ht="18.75" customHeight="1" x14ac:dyDescent="0.2">
      <c r="A79" s="1"/>
      <c r="B79" s="266"/>
      <c r="C79" s="267"/>
      <c r="D79" s="267"/>
      <c r="E79" s="267"/>
      <c r="F79" s="267"/>
      <c r="G79" s="267"/>
      <c r="H79" s="267"/>
      <c r="I79" s="267"/>
      <c r="J79" s="268"/>
      <c r="K79" s="26"/>
    </row>
    <row r="80" spans="1:11" s="4" customFormat="1" ht="18.75" customHeight="1" x14ac:dyDescent="0.2">
      <c r="A80" s="1"/>
      <c r="B80" s="266"/>
      <c r="C80" s="267"/>
      <c r="D80" s="267"/>
      <c r="E80" s="267"/>
      <c r="F80" s="267"/>
      <c r="G80" s="267"/>
      <c r="H80" s="267"/>
      <c r="I80" s="267"/>
      <c r="J80" s="268"/>
      <c r="K80" s="26"/>
    </row>
    <row r="81" spans="1:11" s="4" customFormat="1" ht="18.75" customHeight="1" x14ac:dyDescent="0.2">
      <c r="A81" s="1"/>
      <c r="B81" s="266"/>
      <c r="C81" s="267"/>
      <c r="D81" s="267"/>
      <c r="E81" s="267"/>
      <c r="F81" s="267"/>
      <c r="G81" s="267"/>
      <c r="H81" s="267"/>
      <c r="I81" s="267"/>
      <c r="J81" s="268"/>
      <c r="K81" s="26"/>
    </row>
    <row r="82" spans="1:11" s="4" customFormat="1" ht="18.75" customHeight="1" x14ac:dyDescent="0.2">
      <c r="A82" s="1"/>
      <c r="B82" s="266"/>
      <c r="C82" s="267"/>
      <c r="D82" s="267"/>
      <c r="E82" s="267"/>
      <c r="F82" s="267"/>
      <c r="G82" s="267"/>
      <c r="H82" s="267"/>
      <c r="I82" s="267"/>
      <c r="J82" s="268"/>
      <c r="K82" s="26"/>
    </row>
    <row r="83" spans="1:11" s="4" customFormat="1" ht="18.75" customHeight="1" x14ac:dyDescent="0.2">
      <c r="A83" s="1"/>
      <c r="B83" s="266"/>
      <c r="C83" s="267"/>
      <c r="D83" s="267"/>
      <c r="E83" s="267"/>
      <c r="F83" s="267"/>
      <c r="G83" s="267"/>
      <c r="H83" s="267"/>
      <c r="I83" s="267"/>
      <c r="J83" s="268"/>
      <c r="K83" s="26"/>
    </row>
    <row r="84" spans="1:11" s="4" customFormat="1" ht="18.75" customHeight="1" x14ac:dyDescent="0.2">
      <c r="A84" s="1"/>
      <c r="B84" s="266"/>
      <c r="C84" s="267"/>
      <c r="D84" s="267"/>
      <c r="E84" s="267"/>
      <c r="F84" s="267"/>
      <c r="G84" s="267"/>
      <c r="H84" s="267"/>
      <c r="I84" s="267"/>
      <c r="J84" s="268"/>
      <c r="K84" s="26"/>
    </row>
    <row r="85" spans="1:11" ht="18.75" customHeight="1" x14ac:dyDescent="0.2">
      <c r="A85" s="28"/>
      <c r="B85" s="266"/>
      <c r="C85" s="267"/>
      <c r="D85" s="267"/>
      <c r="E85" s="267"/>
      <c r="F85" s="267"/>
      <c r="G85" s="267"/>
      <c r="H85" s="267"/>
      <c r="I85" s="267"/>
      <c r="J85" s="268"/>
      <c r="K85" s="26"/>
    </row>
    <row r="86" spans="1:11" ht="18.75" customHeight="1" x14ac:dyDescent="0.2">
      <c r="A86" s="28"/>
      <c r="B86" s="269"/>
      <c r="C86" s="270"/>
      <c r="D86" s="270"/>
      <c r="E86" s="270"/>
      <c r="F86" s="270"/>
      <c r="G86" s="270"/>
      <c r="H86" s="270"/>
      <c r="I86" s="270"/>
      <c r="J86" s="271"/>
      <c r="K86" s="26"/>
    </row>
    <row r="87" spans="1:11" ht="7.5" customHeight="1" x14ac:dyDescent="0.2">
      <c r="A87" s="28"/>
      <c r="B87" s="111"/>
      <c r="C87" s="111"/>
      <c r="D87" s="111"/>
      <c r="E87" s="111"/>
      <c r="F87" s="111"/>
      <c r="G87" s="111"/>
      <c r="H87" s="111"/>
      <c r="I87" s="111"/>
      <c r="J87" s="111"/>
    </row>
    <row r="88" spans="1:11" s="4" customFormat="1" ht="18.75" customHeight="1" x14ac:dyDescent="0.2">
      <c r="A88" s="1" t="s">
        <v>12</v>
      </c>
      <c r="B88" s="12" t="s">
        <v>26</v>
      </c>
      <c r="C88" s="12"/>
      <c r="D88" s="12"/>
      <c r="E88" s="12"/>
      <c r="F88" s="12"/>
      <c r="G88" s="12"/>
      <c r="H88" s="12"/>
      <c r="I88" s="12"/>
      <c r="J88" s="12"/>
      <c r="K88" s="24"/>
    </row>
    <row r="89" spans="1:11" s="4" customFormat="1" ht="18.75" customHeight="1" x14ac:dyDescent="0.2">
      <c r="A89" s="1"/>
      <c r="B89" s="255" t="s">
        <v>219</v>
      </c>
      <c r="C89" s="256"/>
      <c r="D89" s="256"/>
      <c r="E89" s="256"/>
      <c r="F89" s="256"/>
      <c r="G89" s="256"/>
      <c r="H89" s="256"/>
      <c r="I89" s="264"/>
      <c r="J89" s="265"/>
      <c r="K89" s="24"/>
    </row>
    <row r="90" spans="1:11" s="4" customFormat="1" ht="18.75" customHeight="1" x14ac:dyDescent="0.2">
      <c r="A90" s="1"/>
      <c r="B90" s="266"/>
      <c r="C90" s="267"/>
      <c r="D90" s="267"/>
      <c r="E90" s="267"/>
      <c r="F90" s="267"/>
      <c r="G90" s="267"/>
      <c r="H90" s="267"/>
      <c r="I90" s="267"/>
      <c r="J90" s="268"/>
      <c r="K90" s="26"/>
    </row>
    <row r="91" spans="1:11" s="4" customFormat="1" ht="18.75" customHeight="1" x14ac:dyDescent="0.2">
      <c r="A91" s="1"/>
      <c r="B91" s="266"/>
      <c r="C91" s="267"/>
      <c r="D91" s="267"/>
      <c r="E91" s="267"/>
      <c r="F91" s="267"/>
      <c r="G91" s="267"/>
      <c r="H91" s="267"/>
      <c r="I91" s="267"/>
      <c r="J91" s="268"/>
      <c r="K91" s="26" t="str">
        <f>IF(B89="","入力してください","")</f>
        <v/>
      </c>
    </row>
    <row r="92" spans="1:11" s="4" customFormat="1" ht="18.75" customHeight="1" x14ac:dyDescent="0.2">
      <c r="A92" s="1"/>
      <c r="B92" s="266"/>
      <c r="C92" s="267"/>
      <c r="D92" s="267"/>
      <c r="E92" s="267"/>
      <c r="F92" s="267"/>
      <c r="G92" s="267"/>
      <c r="H92" s="267"/>
      <c r="I92" s="267"/>
      <c r="J92" s="268"/>
      <c r="K92" s="26"/>
    </row>
    <row r="93" spans="1:11" s="4" customFormat="1" ht="18.75" customHeight="1" x14ac:dyDescent="0.2">
      <c r="A93" s="1"/>
      <c r="B93" s="266"/>
      <c r="C93" s="267"/>
      <c r="D93" s="267"/>
      <c r="E93" s="267"/>
      <c r="F93" s="267"/>
      <c r="G93" s="267"/>
      <c r="H93" s="267"/>
      <c r="I93" s="267"/>
      <c r="J93" s="268"/>
      <c r="K93" s="26"/>
    </row>
    <row r="94" spans="1:11" s="4" customFormat="1" ht="18.75" customHeight="1" x14ac:dyDescent="0.2">
      <c r="A94" s="1"/>
      <c r="B94" s="266"/>
      <c r="C94" s="267"/>
      <c r="D94" s="267"/>
      <c r="E94" s="267"/>
      <c r="F94" s="267"/>
      <c r="G94" s="267"/>
      <c r="H94" s="267"/>
      <c r="I94" s="267"/>
      <c r="J94" s="268"/>
      <c r="K94" s="26"/>
    </row>
    <row r="95" spans="1:11" s="4" customFormat="1" ht="18.75" customHeight="1" x14ac:dyDescent="0.2">
      <c r="A95" s="1"/>
      <c r="B95" s="266"/>
      <c r="C95" s="267"/>
      <c r="D95" s="267"/>
      <c r="E95" s="267"/>
      <c r="F95" s="267"/>
      <c r="G95" s="267"/>
      <c r="H95" s="267"/>
      <c r="I95" s="267"/>
      <c r="J95" s="268"/>
      <c r="K95" s="26"/>
    </row>
    <row r="96" spans="1:11" s="4" customFormat="1" ht="18.75" customHeight="1" x14ac:dyDescent="0.2">
      <c r="A96" s="1"/>
      <c r="B96" s="266"/>
      <c r="C96" s="267"/>
      <c r="D96" s="267"/>
      <c r="E96" s="267"/>
      <c r="F96" s="267"/>
      <c r="G96" s="267"/>
      <c r="H96" s="267"/>
      <c r="I96" s="267"/>
      <c r="J96" s="268"/>
      <c r="K96" s="26"/>
    </row>
    <row r="97" spans="1:11" s="4" customFormat="1" ht="18.75" customHeight="1" x14ac:dyDescent="0.2">
      <c r="A97" s="1"/>
      <c r="B97" s="266"/>
      <c r="C97" s="267"/>
      <c r="D97" s="267"/>
      <c r="E97" s="267"/>
      <c r="F97" s="267"/>
      <c r="G97" s="267"/>
      <c r="H97" s="267"/>
      <c r="I97" s="267"/>
      <c r="J97" s="268"/>
      <c r="K97" s="26"/>
    </row>
    <row r="98" spans="1:11" s="4" customFormat="1" ht="18.75" customHeight="1" x14ac:dyDescent="0.2">
      <c r="A98" s="1"/>
      <c r="B98" s="266"/>
      <c r="C98" s="267"/>
      <c r="D98" s="267"/>
      <c r="E98" s="267"/>
      <c r="F98" s="267"/>
      <c r="G98" s="267"/>
      <c r="H98" s="267"/>
      <c r="I98" s="267"/>
      <c r="J98" s="268"/>
      <c r="K98" s="26"/>
    </row>
    <row r="99" spans="1:11" s="4" customFormat="1" ht="18.75" customHeight="1" x14ac:dyDescent="0.2">
      <c r="A99" s="1"/>
      <c r="B99" s="266"/>
      <c r="C99" s="267"/>
      <c r="D99" s="267"/>
      <c r="E99" s="267"/>
      <c r="F99" s="267"/>
      <c r="G99" s="267"/>
      <c r="H99" s="267"/>
      <c r="I99" s="267"/>
      <c r="J99" s="268"/>
      <c r="K99" s="26"/>
    </row>
    <row r="100" spans="1:11" s="4" customFormat="1" ht="18.75" customHeight="1" x14ac:dyDescent="0.2">
      <c r="A100" s="1"/>
      <c r="B100" s="266"/>
      <c r="C100" s="267"/>
      <c r="D100" s="267"/>
      <c r="E100" s="267"/>
      <c r="F100" s="267"/>
      <c r="G100" s="267"/>
      <c r="H100" s="267"/>
      <c r="I100" s="267"/>
      <c r="J100" s="268"/>
      <c r="K100" s="26"/>
    </row>
    <row r="101" spans="1:11" s="4" customFormat="1" ht="18.75" customHeight="1" x14ac:dyDescent="0.2">
      <c r="A101" s="1"/>
      <c r="B101" s="266"/>
      <c r="C101" s="267"/>
      <c r="D101" s="267"/>
      <c r="E101" s="267"/>
      <c r="F101" s="267"/>
      <c r="G101" s="267"/>
      <c r="H101" s="267"/>
      <c r="I101" s="267"/>
      <c r="J101" s="268"/>
      <c r="K101" s="26"/>
    </row>
    <row r="102" spans="1:11" s="4" customFormat="1" ht="18.75" customHeight="1" x14ac:dyDescent="0.2">
      <c r="A102" s="1"/>
      <c r="B102" s="266"/>
      <c r="C102" s="267"/>
      <c r="D102" s="267"/>
      <c r="E102" s="267"/>
      <c r="F102" s="267"/>
      <c r="G102" s="267"/>
      <c r="H102" s="267"/>
      <c r="I102" s="267"/>
      <c r="J102" s="268"/>
      <c r="K102" s="26"/>
    </row>
    <row r="103" spans="1:11" s="4" customFormat="1" ht="18.75" customHeight="1" x14ac:dyDescent="0.2">
      <c r="A103" s="1"/>
      <c r="B103" s="266"/>
      <c r="C103" s="267"/>
      <c r="D103" s="267"/>
      <c r="E103" s="267"/>
      <c r="F103" s="267"/>
      <c r="G103" s="267"/>
      <c r="H103" s="267"/>
      <c r="I103" s="267"/>
      <c r="J103" s="268"/>
      <c r="K103" s="26"/>
    </row>
    <row r="104" spans="1:11" s="4" customFormat="1" ht="18.75" customHeight="1" x14ac:dyDescent="0.2">
      <c r="A104" s="1"/>
      <c r="B104" s="266"/>
      <c r="C104" s="267"/>
      <c r="D104" s="267"/>
      <c r="E104" s="267"/>
      <c r="F104" s="267"/>
      <c r="G104" s="267"/>
      <c r="H104" s="267"/>
      <c r="I104" s="267"/>
      <c r="J104" s="268"/>
      <c r="K104" s="26"/>
    </row>
    <row r="105" spans="1:11" s="4" customFormat="1" ht="18.75" customHeight="1" x14ac:dyDescent="0.2">
      <c r="A105" s="1"/>
      <c r="B105" s="266"/>
      <c r="C105" s="267"/>
      <c r="D105" s="267"/>
      <c r="E105" s="267"/>
      <c r="F105" s="267"/>
      <c r="G105" s="267"/>
      <c r="H105" s="267"/>
      <c r="I105" s="267"/>
      <c r="J105" s="268"/>
      <c r="K105" s="26"/>
    </row>
    <row r="106" spans="1:11" s="4" customFormat="1" ht="18.75" customHeight="1" x14ac:dyDescent="0.2">
      <c r="A106" s="1"/>
      <c r="B106" s="266"/>
      <c r="C106" s="267"/>
      <c r="D106" s="267"/>
      <c r="E106" s="267"/>
      <c r="F106" s="267"/>
      <c r="G106" s="267"/>
      <c r="H106" s="267"/>
      <c r="I106" s="267"/>
      <c r="J106" s="268"/>
      <c r="K106" s="26"/>
    </row>
    <row r="107" spans="1:11" ht="18.75" customHeight="1" x14ac:dyDescent="0.2">
      <c r="A107" s="28"/>
      <c r="B107" s="266"/>
      <c r="C107" s="267"/>
      <c r="D107" s="267"/>
      <c r="E107" s="267"/>
      <c r="F107" s="267"/>
      <c r="G107" s="267"/>
      <c r="H107" s="267"/>
      <c r="I107" s="267"/>
      <c r="J107" s="268"/>
      <c r="K107" s="26"/>
    </row>
    <row r="108" spans="1:11" ht="18.75" customHeight="1" x14ac:dyDescent="0.2">
      <c r="A108" s="28"/>
      <c r="B108" s="269"/>
      <c r="C108" s="270"/>
      <c r="D108" s="270"/>
      <c r="E108" s="270"/>
      <c r="F108" s="270"/>
      <c r="G108" s="270"/>
      <c r="H108" s="270"/>
      <c r="I108" s="270"/>
      <c r="J108" s="271"/>
      <c r="K108" s="26"/>
    </row>
    <row r="109" spans="1:11" ht="7.5" customHeight="1" x14ac:dyDescent="0.2">
      <c r="A109" s="28"/>
      <c r="B109" s="111"/>
      <c r="C109" s="111"/>
      <c r="D109" s="111"/>
      <c r="E109" s="111"/>
      <c r="F109" s="111"/>
      <c r="G109" s="111"/>
      <c r="H109" s="111"/>
      <c r="I109" s="111"/>
      <c r="J109" s="111"/>
    </row>
    <row r="110" spans="1:11" s="4" customFormat="1" ht="18.75" customHeight="1" x14ac:dyDescent="0.2">
      <c r="A110" s="1" t="s">
        <v>50</v>
      </c>
      <c r="B110" s="272" t="s">
        <v>77</v>
      </c>
      <c r="C110" s="272"/>
      <c r="D110" s="272"/>
      <c r="E110" s="272"/>
      <c r="F110" s="272"/>
      <c r="G110" s="272"/>
      <c r="H110" s="272"/>
      <c r="I110" s="272"/>
      <c r="J110" s="272"/>
      <c r="K110" s="24"/>
    </row>
    <row r="111" spans="1:11" ht="18.75" customHeight="1" x14ac:dyDescent="0.2">
      <c r="A111" s="28"/>
      <c r="B111" s="255" t="s">
        <v>205</v>
      </c>
      <c r="C111" s="256"/>
      <c r="D111" s="256"/>
      <c r="E111" s="256"/>
      <c r="F111" s="256"/>
      <c r="G111" s="256"/>
      <c r="H111" s="256"/>
      <c r="I111" s="264"/>
      <c r="J111" s="265"/>
    </row>
    <row r="112" spans="1:11" ht="18.75" customHeight="1" x14ac:dyDescent="0.2">
      <c r="A112" s="28"/>
      <c r="B112" s="266"/>
      <c r="C112" s="267"/>
      <c r="D112" s="267"/>
      <c r="E112" s="267"/>
      <c r="F112" s="267"/>
      <c r="G112" s="267"/>
      <c r="H112" s="267"/>
      <c r="I112" s="267"/>
      <c r="J112" s="268"/>
      <c r="K112" s="26"/>
    </row>
    <row r="113" spans="1:11" ht="18.75" customHeight="1" x14ac:dyDescent="0.2">
      <c r="A113" s="28"/>
      <c r="B113" s="266"/>
      <c r="C113" s="267"/>
      <c r="D113" s="267"/>
      <c r="E113" s="267"/>
      <c r="F113" s="267"/>
      <c r="G113" s="267"/>
      <c r="H113" s="267"/>
      <c r="I113" s="267"/>
      <c r="J113" s="268"/>
      <c r="K113" s="24" t="str">
        <f>IF(B111="","入力してください","")</f>
        <v/>
      </c>
    </row>
    <row r="114" spans="1:11" ht="18.75" customHeight="1" x14ac:dyDescent="0.2">
      <c r="A114" s="28"/>
      <c r="B114" s="266"/>
      <c r="C114" s="267"/>
      <c r="D114" s="267"/>
      <c r="E114" s="267"/>
      <c r="F114" s="267"/>
      <c r="G114" s="267"/>
      <c r="H114" s="267"/>
      <c r="I114" s="267"/>
      <c r="J114" s="268"/>
    </row>
    <row r="115" spans="1:11" ht="18.75" customHeight="1" x14ac:dyDescent="0.2">
      <c r="A115" s="28"/>
      <c r="B115" s="266"/>
      <c r="C115" s="267"/>
      <c r="D115" s="267"/>
      <c r="E115" s="267"/>
      <c r="F115" s="267"/>
      <c r="G115" s="267"/>
      <c r="H115" s="267"/>
      <c r="I115" s="267"/>
      <c r="J115" s="268"/>
    </row>
    <row r="116" spans="1:11" ht="18.75" customHeight="1" x14ac:dyDescent="0.2">
      <c r="A116" s="28"/>
      <c r="B116" s="266"/>
      <c r="C116" s="267"/>
      <c r="D116" s="267"/>
      <c r="E116" s="267"/>
      <c r="F116" s="267"/>
      <c r="G116" s="267"/>
      <c r="H116" s="267"/>
      <c r="I116" s="267"/>
      <c r="J116" s="268"/>
    </row>
    <row r="117" spans="1:11" ht="18.75" customHeight="1" x14ac:dyDescent="0.2">
      <c r="A117" s="28"/>
      <c r="B117" s="266"/>
      <c r="C117" s="267"/>
      <c r="D117" s="267"/>
      <c r="E117" s="267"/>
      <c r="F117" s="267"/>
      <c r="G117" s="267"/>
      <c r="H117" s="267"/>
      <c r="I117" s="267"/>
      <c r="J117" s="268"/>
    </row>
    <row r="118" spans="1:11" ht="18.75" customHeight="1" x14ac:dyDescent="0.2">
      <c r="A118" s="28"/>
      <c r="B118" s="266"/>
      <c r="C118" s="267"/>
      <c r="D118" s="267"/>
      <c r="E118" s="267"/>
      <c r="F118" s="267"/>
      <c r="G118" s="267"/>
      <c r="H118" s="267"/>
      <c r="I118" s="267"/>
      <c r="J118" s="268"/>
    </row>
    <row r="119" spans="1:11" ht="18.75" customHeight="1" x14ac:dyDescent="0.2">
      <c r="A119" s="28"/>
      <c r="B119" s="266"/>
      <c r="C119" s="267"/>
      <c r="D119" s="267"/>
      <c r="E119" s="267"/>
      <c r="F119" s="267"/>
      <c r="G119" s="267"/>
      <c r="H119" s="267"/>
      <c r="I119" s="267"/>
      <c r="J119" s="268"/>
    </row>
    <row r="120" spans="1:11" ht="18.75" customHeight="1" x14ac:dyDescent="0.2">
      <c r="A120" s="28"/>
      <c r="B120" s="266"/>
      <c r="C120" s="267"/>
      <c r="D120" s="267"/>
      <c r="E120" s="267"/>
      <c r="F120" s="267"/>
      <c r="G120" s="267"/>
      <c r="H120" s="267"/>
      <c r="I120" s="267"/>
      <c r="J120" s="268"/>
    </row>
    <row r="121" spans="1:11" ht="18.75" customHeight="1" x14ac:dyDescent="0.2">
      <c r="A121" s="28"/>
      <c r="B121" s="266"/>
      <c r="C121" s="267"/>
      <c r="D121" s="267"/>
      <c r="E121" s="267"/>
      <c r="F121" s="267"/>
      <c r="G121" s="267"/>
      <c r="H121" s="267"/>
      <c r="I121" s="267"/>
      <c r="J121" s="268"/>
    </row>
    <row r="122" spans="1:11" ht="18.75" customHeight="1" x14ac:dyDescent="0.2">
      <c r="A122" s="28"/>
      <c r="B122" s="266"/>
      <c r="C122" s="267"/>
      <c r="D122" s="267"/>
      <c r="E122" s="267"/>
      <c r="F122" s="267"/>
      <c r="G122" s="267"/>
      <c r="H122" s="267"/>
      <c r="I122" s="267"/>
      <c r="J122" s="268"/>
    </row>
    <row r="123" spans="1:11" ht="18.75" customHeight="1" x14ac:dyDescent="0.2">
      <c r="A123" s="28"/>
      <c r="B123" s="266"/>
      <c r="C123" s="267"/>
      <c r="D123" s="267"/>
      <c r="E123" s="267"/>
      <c r="F123" s="267"/>
      <c r="G123" s="267"/>
      <c r="H123" s="267"/>
      <c r="I123" s="267"/>
      <c r="J123" s="268"/>
    </row>
    <row r="124" spans="1:11" ht="18.75" customHeight="1" x14ac:dyDescent="0.2">
      <c r="A124" s="28"/>
      <c r="B124" s="266"/>
      <c r="C124" s="267"/>
      <c r="D124" s="267"/>
      <c r="E124" s="267"/>
      <c r="F124" s="267"/>
      <c r="G124" s="267"/>
      <c r="H124" s="267"/>
      <c r="I124" s="267"/>
      <c r="J124" s="268"/>
    </row>
    <row r="125" spans="1:11" ht="18.75" customHeight="1" x14ac:dyDescent="0.2">
      <c r="A125" s="28"/>
      <c r="B125" s="266"/>
      <c r="C125" s="267"/>
      <c r="D125" s="267"/>
      <c r="E125" s="267"/>
      <c r="F125" s="267"/>
      <c r="G125" s="267"/>
      <c r="H125" s="267"/>
      <c r="I125" s="267"/>
      <c r="J125" s="268"/>
    </row>
    <row r="126" spans="1:11" ht="18.75" customHeight="1" x14ac:dyDescent="0.2">
      <c r="A126" s="28"/>
      <c r="B126" s="266"/>
      <c r="C126" s="267"/>
      <c r="D126" s="267"/>
      <c r="E126" s="267"/>
      <c r="F126" s="267"/>
      <c r="G126" s="267"/>
      <c r="H126" s="267"/>
      <c r="I126" s="267"/>
      <c r="J126" s="268"/>
    </row>
    <row r="127" spans="1:11" ht="18.75" customHeight="1" x14ac:dyDescent="0.2">
      <c r="A127" s="28"/>
      <c r="B127" s="266"/>
      <c r="C127" s="267"/>
      <c r="D127" s="267"/>
      <c r="E127" s="267"/>
      <c r="F127" s="267"/>
      <c r="G127" s="267"/>
      <c r="H127" s="267"/>
      <c r="I127" s="267"/>
      <c r="J127" s="268"/>
    </row>
    <row r="128" spans="1:11" ht="18.75" customHeight="1" x14ac:dyDescent="0.2">
      <c r="A128" s="28"/>
      <c r="B128" s="266"/>
      <c r="C128" s="267"/>
      <c r="D128" s="267"/>
      <c r="E128" s="267"/>
      <c r="F128" s="267"/>
      <c r="G128" s="267"/>
      <c r="H128" s="267"/>
      <c r="I128" s="267"/>
      <c r="J128" s="268"/>
    </row>
    <row r="129" spans="1:10" ht="18.75" customHeight="1" x14ac:dyDescent="0.2">
      <c r="A129" s="28"/>
      <c r="B129" s="269"/>
      <c r="C129" s="270"/>
      <c r="D129" s="270"/>
      <c r="E129" s="270"/>
      <c r="F129" s="270"/>
      <c r="G129" s="270"/>
      <c r="H129" s="270"/>
      <c r="I129" s="270"/>
      <c r="J129" s="271"/>
    </row>
    <row r="130" spans="1:10" ht="7.5" customHeight="1" x14ac:dyDescent="0.2">
      <c r="A130" s="28"/>
      <c r="B130" s="54"/>
      <c r="C130" s="54"/>
      <c r="D130" s="54"/>
      <c r="E130" s="54"/>
      <c r="F130" s="54"/>
      <c r="G130" s="54"/>
      <c r="H130" s="54"/>
      <c r="I130" s="54"/>
      <c r="J130" s="54"/>
    </row>
    <row r="131" spans="1:10" ht="18.75" customHeight="1" x14ac:dyDescent="0.2">
      <c r="A131" s="28"/>
      <c r="B131" s="28"/>
      <c r="C131" s="28"/>
      <c r="D131" s="28"/>
      <c r="E131" s="28"/>
      <c r="F131" s="28"/>
      <c r="G131" s="28"/>
      <c r="H131" s="28"/>
      <c r="I131" s="28"/>
      <c r="J131" s="28"/>
    </row>
    <row r="132" spans="1:10" ht="18.75" customHeight="1" x14ac:dyDescent="0.2">
      <c r="A132" s="28"/>
      <c r="B132" s="28"/>
      <c r="C132" s="28"/>
      <c r="D132" s="28"/>
      <c r="E132" s="28"/>
      <c r="F132" s="28"/>
      <c r="G132" s="28"/>
      <c r="H132" s="28"/>
      <c r="I132" s="28"/>
      <c r="J132" s="28"/>
    </row>
    <row r="133" spans="1:10" ht="18.75" customHeight="1" x14ac:dyDescent="0.2">
      <c r="A133" s="28"/>
      <c r="B133" s="28"/>
      <c r="C133" s="28"/>
      <c r="D133" s="28"/>
      <c r="E133" s="28"/>
      <c r="F133" s="28"/>
      <c r="G133" s="28"/>
      <c r="H133" s="28"/>
      <c r="I133" s="28"/>
      <c r="J133" s="28"/>
    </row>
    <row r="134" spans="1:10" ht="18.75" customHeight="1" x14ac:dyDescent="0.2">
      <c r="A134" s="28"/>
      <c r="B134" s="28"/>
      <c r="C134" s="28"/>
      <c r="D134" s="28"/>
      <c r="E134" s="28"/>
      <c r="F134" s="28"/>
      <c r="G134" s="28"/>
      <c r="H134" s="28"/>
      <c r="I134" s="28"/>
      <c r="J134" s="28"/>
    </row>
    <row r="135" spans="1:10" ht="18.75" customHeight="1" x14ac:dyDescent="0.2">
      <c r="A135" s="28"/>
      <c r="B135" s="28"/>
      <c r="C135" s="28"/>
      <c r="D135" s="28"/>
      <c r="E135" s="28"/>
      <c r="F135" s="28"/>
      <c r="G135" s="28"/>
      <c r="H135" s="28"/>
      <c r="I135" s="28"/>
      <c r="J135" s="28"/>
    </row>
    <row r="136" spans="1:10" ht="18.75" customHeight="1" x14ac:dyDescent="0.2">
      <c r="A136" s="28"/>
      <c r="B136" s="28"/>
      <c r="C136" s="28"/>
      <c r="D136" s="28"/>
      <c r="E136" s="28"/>
      <c r="F136" s="28"/>
      <c r="G136" s="28"/>
      <c r="H136" s="28"/>
      <c r="I136" s="28"/>
      <c r="J136" s="28"/>
    </row>
    <row r="137" spans="1:10" ht="18.75" customHeight="1" x14ac:dyDescent="0.2">
      <c r="A137" s="28"/>
      <c r="B137" s="28"/>
      <c r="C137" s="28"/>
      <c r="D137" s="28"/>
      <c r="E137" s="28"/>
      <c r="F137" s="28"/>
      <c r="G137" s="28"/>
      <c r="H137" s="28"/>
      <c r="I137" s="28"/>
      <c r="J137" s="28"/>
    </row>
    <row r="138" spans="1:10" ht="18.75" customHeight="1" x14ac:dyDescent="0.2">
      <c r="A138" s="28"/>
      <c r="B138" s="28"/>
      <c r="C138" s="28"/>
      <c r="D138" s="28"/>
      <c r="E138" s="28"/>
      <c r="F138" s="28"/>
      <c r="G138" s="28"/>
      <c r="H138" s="28"/>
      <c r="I138" s="28"/>
      <c r="J138" s="28"/>
    </row>
    <row r="139" spans="1:10" ht="18.75" customHeight="1" x14ac:dyDescent="0.2">
      <c r="A139" s="28"/>
      <c r="B139" s="28"/>
      <c r="C139" s="28"/>
      <c r="D139" s="28"/>
      <c r="E139" s="28"/>
      <c r="F139" s="28"/>
      <c r="G139" s="28"/>
      <c r="H139" s="28"/>
      <c r="I139" s="28"/>
      <c r="J139" s="28"/>
    </row>
    <row r="140" spans="1:10" ht="18.75" customHeight="1" x14ac:dyDescent="0.2">
      <c r="A140" s="28"/>
      <c r="B140" s="28"/>
      <c r="C140" s="28"/>
      <c r="D140" s="28"/>
      <c r="E140" s="28"/>
      <c r="F140" s="28"/>
      <c r="G140" s="28"/>
      <c r="H140" s="28"/>
      <c r="I140" s="28"/>
      <c r="J140" s="28"/>
    </row>
    <row r="141" spans="1:10" ht="18.75" customHeight="1" x14ac:dyDescent="0.2">
      <c r="A141" s="28"/>
      <c r="B141" s="28"/>
      <c r="C141" s="28"/>
      <c r="D141" s="28"/>
      <c r="E141" s="28"/>
      <c r="F141" s="28"/>
      <c r="G141" s="28"/>
      <c r="H141" s="28"/>
      <c r="I141" s="28"/>
      <c r="J141" s="28"/>
    </row>
    <row r="142" spans="1:10" ht="18.75" customHeight="1" x14ac:dyDescent="0.2">
      <c r="A142" s="28"/>
      <c r="B142" s="28"/>
      <c r="C142" s="28"/>
      <c r="D142" s="28"/>
      <c r="E142" s="28"/>
      <c r="F142" s="28"/>
      <c r="G142" s="28"/>
      <c r="H142" s="28"/>
      <c r="I142" s="28"/>
      <c r="J142" s="28"/>
    </row>
    <row r="143" spans="1:10" ht="14.4" x14ac:dyDescent="0.2">
      <c r="A143" s="28"/>
      <c r="B143" s="28"/>
      <c r="C143" s="28"/>
      <c r="D143" s="28"/>
      <c r="E143" s="28"/>
      <c r="F143" s="28"/>
      <c r="G143" s="28"/>
      <c r="H143" s="28"/>
      <c r="I143" s="28"/>
      <c r="J143" s="28"/>
    </row>
    <row r="144" spans="1:10" ht="7.5" customHeight="1" x14ac:dyDescent="0.2">
      <c r="A144" s="55"/>
      <c r="B144" s="55"/>
      <c r="C144" s="55"/>
      <c r="D144" s="55"/>
      <c r="E144" s="55"/>
      <c r="F144" s="55"/>
      <c r="G144" s="55"/>
      <c r="H144" s="55"/>
      <c r="I144" s="55"/>
      <c r="J144" s="5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E7" sqref="E7:J7"/>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24" customWidth="1"/>
    <col min="12" max="16384" width="11.33203125" style="1"/>
  </cols>
  <sheetData>
    <row r="1" spans="1:11" ht="18.75" customHeight="1" x14ac:dyDescent="0.2">
      <c r="A1" s="1" t="s">
        <v>118</v>
      </c>
      <c r="J1" s="30" t="s">
        <v>68</v>
      </c>
    </row>
    <row r="2" spans="1:11" ht="18.75" customHeight="1" x14ac:dyDescent="0.2">
      <c r="A2" s="276" t="s">
        <v>41</v>
      </c>
      <c r="B2" s="276"/>
      <c r="C2" s="276"/>
      <c r="D2" s="276"/>
      <c r="E2" s="276"/>
      <c r="F2" s="276"/>
      <c r="G2" s="276"/>
      <c r="H2" s="276"/>
      <c r="I2" s="276"/>
      <c r="J2" s="276"/>
    </row>
    <row r="3" spans="1:11" ht="7.5" customHeight="1" x14ac:dyDescent="0.2">
      <c r="A3" s="31"/>
      <c r="B3" s="31"/>
      <c r="C3" s="31"/>
      <c r="D3" s="31"/>
      <c r="E3" s="31"/>
      <c r="F3" s="31"/>
      <c r="G3" s="31"/>
      <c r="H3" s="31"/>
      <c r="I3" s="31"/>
      <c r="J3" s="31"/>
    </row>
    <row r="4" spans="1:11" ht="18.75" customHeight="1" x14ac:dyDescent="0.2">
      <c r="A4" s="1" t="s">
        <v>6</v>
      </c>
      <c r="B4" s="4" t="s">
        <v>40</v>
      </c>
      <c r="C4" s="28"/>
      <c r="D4" s="28"/>
      <c r="E4" s="29"/>
      <c r="F4" s="29"/>
      <c r="G4" s="29"/>
      <c r="H4" s="29"/>
      <c r="I4" s="29"/>
      <c r="J4" s="29"/>
    </row>
    <row r="5" spans="1:11" ht="18.75" customHeight="1" x14ac:dyDescent="0.2">
      <c r="B5" s="293" t="s">
        <v>37</v>
      </c>
      <c r="C5" s="294"/>
      <c r="D5" s="295"/>
      <c r="E5" s="296" t="s">
        <v>39</v>
      </c>
      <c r="F5" s="296"/>
      <c r="G5" s="296"/>
      <c r="H5" s="296"/>
      <c r="I5" s="296"/>
      <c r="J5" s="297"/>
    </row>
    <row r="6" spans="1:11" ht="18.75" customHeight="1" x14ac:dyDescent="0.2">
      <c r="B6" s="3" t="s">
        <v>27</v>
      </c>
      <c r="C6" s="28"/>
      <c r="D6" s="7"/>
      <c r="I6" s="29"/>
      <c r="J6" s="5"/>
    </row>
    <row r="7" spans="1:11" ht="207" customHeight="1" x14ac:dyDescent="0.2">
      <c r="B7" s="6"/>
      <c r="C7" s="284" t="s">
        <v>28</v>
      </c>
      <c r="D7" s="285"/>
      <c r="E7" s="290" t="s">
        <v>208</v>
      </c>
      <c r="F7" s="286"/>
      <c r="G7" s="286"/>
      <c r="H7" s="286"/>
      <c r="I7" s="286"/>
      <c r="J7" s="287"/>
      <c r="K7" s="24" t="str">
        <f>IF(E7="","入力してください","")</f>
        <v/>
      </c>
    </row>
    <row r="8" spans="1:11" ht="207" customHeight="1" x14ac:dyDescent="0.2">
      <c r="B8" s="6"/>
      <c r="C8" s="291" t="s">
        <v>29</v>
      </c>
      <c r="D8" s="292"/>
      <c r="E8" s="290" t="s">
        <v>209</v>
      </c>
      <c r="F8" s="286"/>
      <c r="G8" s="286"/>
      <c r="H8" s="286"/>
      <c r="I8" s="286"/>
      <c r="J8" s="287"/>
      <c r="K8" s="24" t="str">
        <f>IF(E8="","入力してください","")</f>
        <v/>
      </c>
    </row>
    <row r="9" spans="1:11" ht="172.5" customHeight="1" x14ac:dyDescent="0.2">
      <c r="B9" s="6"/>
      <c r="C9" s="284" t="s">
        <v>30</v>
      </c>
      <c r="D9" s="285"/>
      <c r="E9" s="290" t="s">
        <v>210</v>
      </c>
      <c r="F9" s="286"/>
      <c r="G9" s="286"/>
      <c r="H9" s="286"/>
      <c r="I9" s="286"/>
      <c r="J9" s="287"/>
      <c r="K9" s="24" t="str">
        <f>IF(E9="","入力してください","")</f>
        <v/>
      </c>
    </row>
    <row r="10" spans="1:11" ht="172.5" customHeight="1" x14ac:dyDescent="0.2">
      <c r="B10" s="6"/>
      <c r="C10" s="284" t="s">
        <v>31</v>
      </c>
      <c r="D10" s="285"/>
      <c r="E10" s="290" t="s">
        <v>211</v>
      </c>
      <c r="F10" s="286"/>
      <c r="G10" s="286"/>
      <c r="H10" s="286"/>
      <c r="I10" s="286"/>
      <c r="J10" s="287"/>
      <c r="K10" s="24" t="str">
        <f t="shared" ref="K10:K14" si="0">IF(E10="","入力してください","")</f>
        <v/>
      </c>
    </row>
    <row r="11" spans="1:11" ht="172.5" customHeight="1" x14ac:dyDescent="0.2">
      <c r="B11" s="6"/>
      <c r="C11" s="284" t="s">
        <v>32</v>
      </c>
      <c r="D11" s="285"/>
      <c r="E11" s="290" t="s">
        <v>212</v>
      </c>
      <c r="F11" s="286"/>
      <c r="G11" s="286"/>
      <c r="H11" s="286"/>
      <c r="I11" s="286"/>
      <c r="J11" s="287"/>
      <c r="K11" s="24" t="str">
        <f t="shared" si="0"/>
        <v/>
      </c>
    </row>
    <row r="12" spans="1:11" ht="18.75" customHeight="1" x14ac:dyDescent="0.2">
      <c r="B12" s="9" t="s">
        <v>33</v>
      </c>
      <c r="C12" s="21"/>
      <c r="D12" s="8"/>
      <c r="E12" s="109"/>
      <c r="F12" s="109"/>
      <c r="G12" s="109"/>
      <c r="H12" s="109"/>
      <c r="I12" s="109"/>
      <c r="J12" s="110"/>
    </row>
    <row r="13" spans="1:11" ht="244.2" customHeight="1" x14ac:dyDescent="0.2">
      <c r="B13" s="6"/>
      <c r="C13" s="284" t="s">
        <v>34</v>
      </c>
      <c r="D13" s="285"/>
      <c r="E13" s="286" t="s">
        <v>213</v>
      </c>
      <c r="F13" s="286"/>
      <c r="G13" s="286"/>
      <c r="H13" s="286"/>
      <c r="I13" s="286"/>
      <c r="J13" s="287"/>
      <c r="K13" s="24" t="str">
        <f t="shared" si="0"/>
        <v/>
      </c>
    </row>
    <row r="14" spans="1:11" ht="255" customHeight="1" x14ac:dyDescent="0.2">
      <c r="B14" s="6"/>
      <c r="C14" s="284" t="s">
        <v>35</v>
      </c>
      <c r="D14" s="285"/>
      <c r="E14" s="286" t="s">
        <v>206</v>
      </c>
      <c r="F14" s="286"/>
      <c r="G14" s="286"/>
      <c r="H14" s="286"/>
      <c r="I14" s="286"/>
      <c r="J14" s="287"/>
      <c r="K14" s="24" t="str">
        <f t="shared" si="0"/>
        <v/>
      </c>
    </row>
    <row r="15" spans="1:11" ht="243" customHeight="1" x14ac:dyDescent="0.2">
      <c r="B15" s="288" t="s">
        <v>36</v>
      </c>
      <c r="C15" s="289"/>
      <c r="D15" s="285"/>
      <c r="E15" s="286" t="s">
        <v>214</v>
      </c>
      <c r="F15" s="286"/>
      <c r="G15" s="286"/>
      <c r="H15" s="286"/>
      <c r="I15" s="286"/>
      <c r="J15" s="287"/>
      <c r="K15" s="24" t="str">
        <f>IF(E15="","入力してください","")</f>
        <v/>
      </c>
    </row>
    <row r="16" spans="1:11" ht="243" customHeight="1" x14ac:dyDescent="0.2">
      <c r="A16" s="24"/>
      <c r="B16" s="278" t="s">
        <v>61</v>
      </c>
      <c r="C16" s="279"/>
      <c r="D16" s="280"/>
      <c r="E16" s="262" t="s">
        <v>215</v>
      </c>
      <c r="F16" s="262"/>
      <c r="G16" s="262"/>
      <c r="H16" s="262"/>
      <c r="I16" s="262"/>
      <c r="J16" s="263"/>
      <c r="K16" s="24" t="str">
        <f>IF(E16="","入力してください","")</f>
        <v/>
      </c>
    </row>
    <row r="17" spans="1:11" ht="7.5" customHeight="1" x14ac:dyDescent="0.2">
      <c r="B17" s="28"/>
      <c r="C17" s="28"/>
      <c r="D17" s="28"/>
      <c r="E17" s="111"/>
      <c r="F17" s="111"/>
      <c r="G17" s="111"/>
      <c r="H17" s="111"/>
      <c r="I17" s="111"/>
      <c r="J17" s="111"/>
    </row>
    <row r="18" spans="1:11" ht="18.75" customHeight="1" x14ac:dyDescent="0.2">
      <c r="A18" s="1" t="s">
        <v>119</v>
      </c>
      <c r="B18" s="4"/>
      <c r="C18" s="28"/>
      <c r="D18" s="28"/>
      <c r="E18" s="111"/>
      <c r="F18" s="71"/>
      <c r="G18" s="281" t="s">
        <v>207</v>
      </c>
      <c r="H18" s="282"/>
      <c r="I18" s="282"/>
      <c r="J18" s="283"/>
      <c r="K18" s="24" t="str">
        <f>IF(G18="","入力してください","")</f>
        <v/>
      </c>
    </row>
    <row r="19" spans="1:11" ht="22.5" customHeight="1" x14ac:dyDescent="0.2">
      <c r="B19" s="28"/>
      <c r="C19" s="28"/>
      <c r="D19" s="28"/>
      <c r="E19" s="29"/>
      <c r="F19" s="29"/>
      <c r="G19" s="29"/>
      <c r="H19" s="29"/>
      <c r="I19" s="29"/>
      <c r="J19" s="29"/>
    </row>
    <row r="20" spans="1:11" ht="22.5" customHeight="1" x14ac:dyDescent="0.2">
      <c r="B20" s="28"/>
      <c r="C20" s="28"/>
      <c r="D20" s="28"/>
      <c r="E20" s="29"/>
      <c r="F20" s="29"/>
      <c r="G20" s="29"/>
      <c r="H20" s="29"/>
      <c r="I20" s="29"/>
      <c r="J20" s="29"/>
    </row>
    <row r="21" spans="1:11" ht="22.5" customHeight="1" x14ac:dyDescent="0.2">
      <c r="B21" s="28"/>
      <c r="C21" s="28"/>
      <c r="D21" s="28"/>
      <c r="E21" s="29"/>
      <c r="F21" s="29"/>
      <c r="G21" s="29"/>
      <c r="H21" s="29"/>
      <c r="I21" s="29"/>
      <c r="J21" s="29"/>
    </row>
    <row r="22" spans="1:11" ht="22.5" customHeight="1" x14ac:dyDescent="0.2">
      <c r="B22" s="28"/>
      <c r="C22" s="28"/>
      <c r="D22" s="28"/>
      <c r="E22" s="29"/>
      <c r="F22" s="29"/>
      <c r="G22" s="29"/>
      <c r="H22" s="29"/>
      <c r="I22" s="29"/>
      <c r="J22" s="29"/>
    </row>
    <row r="23" spans="1:11" ht="22.5" customHeight="1" x14ac:dyDescent="0.2">
      <c r="B23" s="28"/>
      <c r="C23" s="28"/>
      <c r="D23" s="28"/>
      <c r="E23" s="29"/>
      <c r="F23" s="29"/>
      <c r="G23" s="29"/>
      <c r="H23" s="29"/>
      <c r="I23" s="29"/>
      <c r="J23" s="29"/>
    </row>
    <row r="24" spans="1:11" ht="22.5" customHeight="1" x14ac:dyDescent="0.2">
      <c r="B24" s="56"/>
      <c r="C24" s="56"/>
      <c r="D24" s="56"/>
      <c r="E24" s="56"/>
      <c r="F24" s="56"/>
      <c r="G24" s="56"/>
      <c r="H24" s="56"/>
      <c r="I24" s="56"/>
      <c r="J24" s="56"/>
    </row>
    <row r="25" spans="1:11" ht="22.5" customHeight="1" x14ac:dyDescent="0.2">
      <c r="B25" s="56"/>
      <c r="C25" s="56"/>
      <c r="D25" s="56"/>
      <c r="E25" s="56"/>
      <c r="F25" s="56"/>
      <c r="G25" s="56"/>
      <c r="H25" s="56"/>
      <c r="I25" s="56"/>
      <c r="J25" s="56"/>
    </row>
    <row r="26" spans="1:11" ht="22.5" customHeight="1" x14ac:dyDescent="0.2">
      <c r="B26" s="56"/>
      <c r="C26" s="56"/>
      <c r="D26" s="56"/>
      <c r="E26" s="56"/>
      <c r="F26" s="56"/>
      <c r="G26" s="56"/>
      <c r="H26" s="56"/>
      <c r="I26" s="56"/>
      <c r="J26" s="5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森 あゆみ</cp:lastModifiedBy>
  <cp:lastPrinted>2022-03-14T13:27:09Z</cp:lastPrinted>
  <dcterms:created xsi:type="dcterms:W3CDTF">2011-06-14T05:32:50Z</dcterms:created>
  <dcterms:modified xsi:type="dcterms:W3CDTF">2022-06-01T01:33:41Z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