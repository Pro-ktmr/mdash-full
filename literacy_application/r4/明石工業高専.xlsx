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Z:\学生課\教務学生\教務\09．数理データサイエンスAI教育プログラム\R4\リテラシーレベル申請\01（明石高専）_リテラシー\"/>
    </mc:Choice>
  </mc:AlternateContent>
  <bookViews>
    <workbookView xWindow="0" yWindow="0" windowWidth="28800" windowHeight="9960" tabRatio="885" firstSheet="3"/>
  </bookViews>
  <sheets>
    <sheet name="様式１　大学等概要" sheetId="8" r:id="rId1"/>
    <sheet name="様式２　プログラムを構成する授業科目 (機械工学科)" sheetId="45" r:id="rId2"/>
    <sheet name="様式２　プログラムを構成する授業科目 (電気情報工学科" sheetId="44" r:id="rId3"/>
    <sheet name="様式２　プログラムを構成する授業科目 (都市システム工学科）" sheetId="46" r:id="rId4"/>
    <sheet name="様式２　プログラムを構成する授業科目（建築学科）" sheetId="39" r:id="rId5"/>
    <sheet name="様式３　履修者等数の実績" sheetId="40" r:id="rId6"/>
    <sheet name="様式４　教育の質・履修者数を向上させるための体制・計画" sheetId="41" r:id="rId7"/>
    <sheet name="様式５　自己点検・評価" sheetId="42" r:id="rId8"/>
    <sheet name="様式６　特色ある取組" sheetId="43" r:id="rId9"/>
  </sheets>
  <definedNames>
    <definedName name="_xlnm._FilterDatabase" localSheetId="1" hidden="1">'様式２　プログラムを構成する授業科目 (機械工学科)'!#REF!</definedName>
    <definedName name="_xlnm._FilterDatabase" localSheetId="2" hidden="1">'様式２　プログラムを構成する授業科目 (電気情報工学科'!#REF!</definedName>
    <definedName name="_xlnm._FilterDatabase" localSheetId="3" hidden="1">'様式２　プログラムを構成する授業科目 (都市システム工学科）'!#REF!</definedName>
    <definedName name="_xlnm._FilterDatabase" localSheetId="4" hidden="1">'様式２　プログラムを構成する授業科目（建築学科）'!#REF!</definedName>
    <definedName name="_xlnm._FilterDatabase" localSheetId="5" hidden="1">'様式３　履修者等数の実績'!#REF!</definedName>
    <definedName name="_xlnm.Print_Area" localSheetId="0">'様式１　大学等概要'!$A$1:$N$45</definedName>
    <definedName name="_xlnm.Print_Area" localSheetId="1">'様式２　プログラムを構成する授業科目 (機械工学科)'!$A$1:$Z$98</definedName>
    <definedName name="_xlnm.Print_Area" localSheetId="2">'様式２　プログラムを構成する授業科目 (電気情報工学科'!$A$1:$Z$98</definedName>
    <definedName name="_xlnm.Print_Area" localSheetId="3">'様式２　プログラムを構成する授業科目 (都市システム工学科）'!$A$1:$Z$98</definedName>
    <definedName name="_xlnm.Print_Area" localSheetId="4">'様式２　プログラムを構成する授業科目（建築学科）'!$A$1:$Z$98</definedName>
    <definedName name="_xlnm.Print_Area" localSheetId="5">'様式３　履修者等数の実績'!$A$1:$R$30</definedName>
    <definedName name="_xlnm.Print_Area" localSheetId="6">'様式４　教育の質・履修者数を向上させるための体制・計画'!$A$1:$J$131</definedName>
    <definedName name="_xlnm.Print_Area" localSheetId="7">'様式５　自己点検・評価'!$A$1:$J$18</definedName>
    <definedName name="_xlnm.Print_Area" localSheetId="8">'様式６　特色ある取組'!$A$1:$F$124</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4" i="41"/>
  <c r="K92" i="41"/>
  <c r="K70" i="41"/>
  <c r="K47" i="41"/>
  <c r="K32"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30"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R10" i="40" s="1"/>
  <c r="Q30" i="40" l="1"/>
  <c r="R30" i="40" s="1"/>
  <c r="C29" i="41" s="1"/>
</calcChain>
</file>

<file path=xl/sharedStrings.xml><?xml version="1.0" encoding="utf-8"?>
<sst xmlns="http://schemas.openxmlformats.org/spreadsheetml/2006/main" count="835" uniqueCount="247">
  <si>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</si>
  <si>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</si>
  <si>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</si>
  <si>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</si>
  <si>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②</t>
    <phoneticPr fontId="1"/>
  </si>
  <si>
    <t>大学等の設置者</t>
  </si>
  <si>
    <t>③</t>
  </si>
  <si>
    <t>設置形態</t>
    <phoneticPr fontId="1"/>
  </si>
  <si>
    <t>④</t>
    <phoneticPr fontId="1"/>
  </si>
  <si>
    <t>所在地</t>
    <phoneticPr fontId="1"/>
  </si>
  <si>
    <t>⑤</t>
    <phoneticPr fontId="1"/>
  </si>
  <si>
    <t>申請するプログラム名称</t>
    <rPh sb="0" eb="2">
      <t>シンセイ</t>
    </rPh>
    <rPh sb="9" eb="11">
      <t>メイショウ</t>
    </rPh>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</si>
  <si>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</si>
  <si>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</si>
  <si>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</si>
  <si>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</si>
  <si>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</si>
  <si>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</si>
  <si>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</si>
  <si>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</si>
  <si>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</si>
  <si>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</si>
  <si>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</si>
  <si>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</si>
  <si>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</si>
  <si>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</si>
  <si>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</si>
  <si>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</si>
  <si>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</si>
  <si>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</si>
  <si>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</si>
  <si>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</si>
  <si>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</si>
  <si>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</si>
  <si>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</si>
  <si>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</si>
  <si>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</si>
  <si>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</si>
  <si>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（役職名）</t>
    <rPh sb="1" eb="4">
      <t>ヤクショクメイ</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</si>
  <si>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</si>
  <si>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</si>
  <si>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</si>
  <si>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</si>
  <si>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</si>
  <si>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</si>
  <si>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連絡先</t>
  </si>
  <si>
    <t>所属部署名</t>
    <rPh sb="0" eb="2">
      <t>ショゾク</t>
    </rPh>
    <rPh sb="2" eb="4">
      <t>ブショ</t>
    </rPh>
    <rPh sb="4" eb="5">
      <t>メイ</t>
    </rPh>
    <phoneticPr fontId="1"/>
  </si>
  <si>
    <t>担当者名</t>
    <rPh sb="0" eb="2">
      <t>タントウ</t>
    </rPh>
    <rPh sb="2" eb="3">
      <t>シャ</t>
    </rPh>
    <rPh sb="3" eb="4">
      <t>メイ</t>
    </rPh>
    <phoneticPr fontId="1"/>
  </si>
  <si>
    <t>E-mail</t>
  </si>
  <si>
    <t>電話番号</t>
  </si>
  <si>
    <t>プログラムを構成する授業科目について</t>
    <phoneticPr fontId="1"/>
  </si>
  <si>
    <t>①具体的な修了要件</t>
    <phoneticPr fontId="1"/>
  </si>
  <si>
    <t>②教育プログラムの修了要件</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</si>
  <si>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</si>
  <si>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</si>
  <si>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</si>
  <si>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</si>
  <si>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</si>
  <si>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</si>
  <si>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</si>
  <si>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</si>
  <si>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</si>
  <si>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</si>
  <si>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</si>
  <si>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</si>
  <si>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</si>
  <si>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</si>
  <si>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</si>
  <si>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</si>
  <si>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</si>
  <si>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</si>
  <si>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</si>
  <si>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</si>
  <si>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</si>
  <si>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</si>
  <si>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</si>
  <si>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</si>
  <si>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</si>
  <si>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</si>
  <si>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</si>
  <si>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</si>
  <si>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</si>
  <si>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</si>
  <si>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⑩プログラムの学修成果（学生等が身に付けられる能力等）</t>
    <phoneticPr fontId="1"/>
  </si>
  <si>
    <t>⑪プログラムの授業内容等を公表しているアドレス</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</si>
  <si>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</si>
  <si>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</si>
  <si>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</si>
  <si>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</si>
  <si>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</si>
  <si>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</si>
  <si>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</si>
  <si>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</si>
  <si>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</si>
  <si>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</si>
  <si>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</si>
  <si>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</si>
  <si>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</si>
  <si>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</si>
  <si>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</si>
  <si>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</si>
  <si>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</si>
  <si>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</si>
  <si>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</si>
  <si>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</si>
  <si>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</si>
  <si>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</si>
  <si>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体制の目的</t>
    <rPh sb="0" eb="2">
      <t>タイセイ</t>
    </rPh>
    <rPh sb="3" eb="5">
      <t>モクテキ</t>
    </rPh>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</si>
  <si>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</si>
  <si>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</si>
  <si>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</si>
  <si>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</si>
  <si>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</si>
  <si>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</si>
  <si>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</si>
  <si>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</si>
  <si>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</si>
  <si>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</si>
  <si>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</si>
  <si>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</si>
  <si>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</si>
  <si>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</si>
  <si>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授業時間内外で学習指導、質問を受け付ける具体的な仕組み</t>
    <rPh sb="20" eb="23">
      <t>グタイテキ</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</si>
  <si>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</si>
  <si>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</si>
  <si>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</si>
  <si>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</si>
  <si>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</si>
  <si>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</si>
  <si>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</si>
  <si>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</si>
  <si>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</si>
  <si>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</si>
  <si>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</si>
  <si>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</si>
  <si>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</si>
  <si>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</si>
  <si>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</si>
  <si>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</si>
  <si>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</si>
  <si>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②自己点検・評価体制における意見等を公表しているアドレス</t>
    <phoneticPr fontId="1"/>
  </si>
  <si>
    <t>様式６</t>
    <rPh sb="0" eb="2">
      <t>ヨウシキ</t>
    </rPh>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</si>
  <si>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</si>
  <si>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</si>
  <si>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</si>
  <si>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</si>
  <si>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明石工業高等専門学校</t>
    <phoneticPr fontId="1"/>
  </si>
  <si>
    <t>独立行政法人 国立高等専門学校機構</t>
    <phoneticPr fontId="1"/>
  </si>
  <si>
    <t>高等専門学校</t>
  </si>
  <si>
    <t>兵庫県明石市魚住町西岡679-3</t>
    <phoneticPr fontId="1"/>
  </si>
  <si>
    <t>明石工業高等専門学校　数理・データサイエンス・AI教育プログラム</t>
    <phoneticPr fontId="1"/>
  </si>
  <si>
    <t>無</t>
  </si>
  <si>
    <t>校長</t>
    <rPh sb="0" eb="2">
      <t>コウチョウ</t>
    </rPh>
    <phoneticPr fontId="1"/>
  </si>
  <si>
    <t>森下智博</t>
    <phoneticPr fontId="1"/>
  </si>
  <si>
    <t>教務主事</t>
    <rPh sb="0" eb="4">
      <t>キョウムシュジ</t>
    </rPh>
    <phoneticPr fontId="1"/>
  </si>
  <si>
    <t>将来計画・自己点検等委員会</t>
    <phoneticPr fontId="1"/>
  </si>
  <si>
    <t>土居 信数</t>
    <phoneticPr fontId="1"/>
  </si>
  <si>
    <t>学生課</t>
    <phoneticPr fontId="1"/>
  </si>
  <si>
    <t>kyoumu.jim@akashi.ac.jp</t>
    <phoneticPr fontId="1"/>
  </si>
  <si>
    <t>078-946-6044</t>
    <phoneticPr fontId="1"/>
  </si>
  <si>
    <t>データサイエンス入門</t>
    <phoneticPr fontId="1"/>
  </si>
  <si>
    <t>○</t>
  </si>
  <si>
    <t>全学開講</t>
  </si>
  <si>
    <t>データサイエンス入門</t>
    <phoneticPr fontId="1"/>
  </si>
  <si>
    <t>〇</t>
    <phoneticPr fontId="1"/>
  </si>
  <si>
    <t>4‐6画像解析</t>
  </si>
  <si>
    <t>4‐8データ活用実践（教師あり学習）</t>
  </si>
  <si>
    <t>機械工学科</t>
    <rPh sb="0" eb="5">
      <t>キカイコウガッカ</t>
    </rPh>
    <phoneticPr fontId="2"/>
  </si>
  <si>
    <t>電気情報工学科</t>
    <rPh sb="0" eb="4">
      <t>デンキジョウホウ</t>
    </rPh>
    <phoneticPr fontId="2"/>
  </si>
  <si>
    <t>都市システム工学科</t>
    <rPh sb="0" eb="2">
      <t>トシ</t>
    </rPh>
    <phoneticPr fontId="2"/>
  </si>
  <si>
    <t>建築学科</t>
    <rPh sb="0" eb="2">
      <t>ケンチク</t>
    </rPh>
    <phoneticPr fontId="2"/>
  </si>
  <si>
    <t>令和3年12月に実施した有識者懇談会では、産業界、大学、地方自治体からの有識者を招き、本校の教育、研究、地域貢献等に関する現状を共有したうえで、評価・講評をいただいた。政府のAI戦略に基づいて、本校にて、令和3年度から、AI・数理データサイエンスをすべての学生に、よみかきそろばんの技術として習得を目指した「データサイエンス入門」「データサイエンス演習」を新規に開講したことを報告した。</t>
    <phoneticPr fontId="1"/>
  </si>
  <si>
    <t>「数理/データサイエンス/AI」に関する知識の習得には、それらがどのように身近な社会で活用され、必要とされているかを実感することが重要である。よって、各学科の専門分野に関連した実データ、実課題を用いた演習など、社会での実例を題材に数理・データサイエンス・AIを活用することを通じ、現実の課題と適切な活用法を学ぶこととしている。</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</si>
  <si>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</si>
  <si>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認定教育プログラム</t>
  </si>
  <si>
    <t>コンピュータ基礎</t>
    <rPh sb="6" eb="8">
      <t>キソ</t>
    </rPh>
    <phoneticPr fontId="1"/>
  </si>
  <si>
    <t>一部開講</t>
  </si>
  <si>
    <t>情報処理Ⅰ</t>
    <rPh sb="0" eb="4">
      <t>ジョウホウショリ</t>
    </rPh>
    <phoneticPr fontId="1"/>
  </si>
  <si>
    <t>学部・学科によって、修了要件は相違する</t>
  </si>
  <si>
    <t>情報基礎</t>
    <rPh sb="0" eb="4">
      <t>ジョウホウキソ</t>
    </rPh>
    <phoneticPr fontId="1"/>
  </si>
  <si>
    <t>プログラミング基礎</t>
    <rPh sb="7" eb="9">
      <t>キソ</t>
    </rPh>
    <phoneticPr fontId="1"/>
  </si>
  <si>
    <t>コンピュータリテラシー</t>
    <phoneticPr fontId="1"/>
  </si>
  <si>
    <t>プログラミングⅠ</t>
    <phoneticPr fontId="1"/>
  </si>
  <si>
    <t>情報基礎Ⅰ</t>
    <rPh sb="0" eb="4">
      <t>ジョウホウキソ</t>
    </rPh>
    <phoneticPr fontId="1"/>
  </si>
  <si>
    <t>情報基礎Ⅱ</t>
    <rPh sb="0" eb="4">
      <t>ジョウホウキソ</t>
    </rPh>
    <phoneticPr fontId="1"/>
  </si>
  <si>
    <t>IoT、機械学習、人工知能など情報技術の概要と適用事例について説明できること。計算機やネットワークの仕組み、情報セキュリティの概要について説明できること。プログラムやソフトウエアを用いて、データ処理ができること。</t>
    <rPh sb="50" eb="52">
      <t>シク</t>
    </rPh>
    <rPh sb="54" eb="56">
      <t>ジョウホウ</t>
    </rPh>
    <rPh sb="90" eb="91">
      <t>モチ</t>
    </rPh>
    <rPh sb="97" eb="99">
      <t>ショリ</t>
    </rPh>
    <phoneticPr fontId="1"/>
  </si>
  <si>
    <t>内容・水準を維持・向上しつつ、より「分かりやすい」授業とするため、データサイエンス入門の科目は、企業にてミドルウェア(データベース)の研究開発に従事した経験を持つ教員が担当している。また、学生への授業アンケートを通じ、授業のわかりやすさ、質の保証を担保することとしている。</t>
    <rPh sb="41" eb="43">
      <t>ニュウモン</t>
    </rPh>
    <rPh sb="44" eb="46">
      <t>カモク</t>
    </rPh>
    <phoneticPr fontId="1"/>
  </si>
  <si>
    <t>プログラミングⅡ</t>
    <phoneticPr fontId="1"/>
  </si>
  <si>
    <t>情報基礎Ⅱ</t>
    <phoneticPr fontId="1"/>
  </si>
  <si>
    <t>情報基礎Ⅰ</t>
    <phoneticPr fontId="1"/>
  </si>
  <si>
    <t>情報処理Ⅰ</t>
    <phoneticPr fontId="1"/>
  </si>
  <si>
    <t>機械工学科(自動運転関係技術:交通標識の認識)、電気情報工学科(ディープラーニングを使った囲碁)
都市システム工学科科(IoTを使ったインフラメンテナンス:高速道路のタービン、GIS)、建築学科(ビルセキュリティ、現代アート)、これら専門学科の分野における具体的な活用事例と、使用されている情報技術の概要が説明できる「データサイエンス入門」（2,3回目）</t>
    <phoneticPr fontId="1"/>
  </si>
  <si>
    <r>
      <t xml:space="preserve">機械工学科(自動運転関係技術:交通標識の認識)、電気情報工学科(ディープラーニングを使った囲碁)
都市システム工学科科(IoTを使ったインフラメンテナンス:高速道路のタービン、GIS)、建築学科(ビルセキュリティ、現代アート)、これら専門学科の分野における具体的な活用事例と、使用されている情報技術の概要が説明できる「データサイエンス入門」（2,3回目）
</t>
    </r>
    <r>
      <rPr>
        <sz val="10"/>
        <color rgb="FFFF0000"/>
        <rFont val="ＭＳ Ｐゴシック"/>
        <family val="3"/>
        <charset val="128"/>
        <scheme val="minor"/>
      </rPr>
      <t>コンピュータ（ハードウェア、ソフトウェア、ネットワーク）の基礎概念を理解し説明できる「コンピュータ基礎（9～11回目）」。</t>
    </r>
    <rPh sb="207" eb="211">
      <t>キソガイネン</t>
    </rPh>
    <rPh sb="212" eb="214">
      <t>リカイ</t>
    </rPh>
    <rPh sb="215" eb="217">
      <t>セツメイ</t>
    </rPh>
    <rPh sb="227" eb="229">
      <t>キソ</t>
    </rPh>
    <rPh sb="234" eb="236">
      <t>カイメ</t>
    </rPh>
    <phoneticPr fontId="1"/>
  </si>
  <si>
    <t>専門学科の分野における具体的な数理・データサイエンス・AI・IoTの活用事例と、使用されている情報技術の概要が説明できる。これらの概要の理解を通して、数理・データサイエンスが、日常生活や社会の課題を解決する有用なツールになり得るものであることを学習する。「データサイエンス入門」（2,3回目）</t>
    <rPh sb="15" eb="17">
      <t>スウリ</t>
    </rPh>
    <rPh sb="65" eb="67">
      <t>ガイヨウ</t>
    </rPh>
    <rPh sb="68" eb="70">
      <t>リカイ</t>
    </rPh>
    <phoneticPr fontId="1"/>
  </si>
  <si>
    <r>
      <t xml:space="preserve">専門分野の現場におけるデータ利活用事例を学習することによって、様々な適用領域の知見と組み合わせることが価値を創出するものであることを学習する。「データサイエンス入門」（2,3回目）
</t>
    </r>
    <r>
      <rPr>
        <sz val="10"/>
        <color rgb="FFFF0000"/>
        <rFont val="ＭＳ Ｐゴシック"/>
        <family val="3"/>
        <charset val="128"/>
        <scheme val="minor"/>
      </rPr>
      <t>科学技術計算や機械制御に必要な離散データを取り扱い、処理を行うプログラムを作成できる。「プログラミング基礎」（</t>
    </r>
    <r>
      <rPr>
        <sz val="10"/>
        <color rgb="FFFF0000"/>
        <rFont val="ＭＳ Ｐゴシック"/>
        <family val="2"/>
        <charset val="128"/>
        <scheme val="minor"/>
      </rPr>
      <t>13,14</t>
    </r>
    <r>
      <rPr>
        <sz val="10"/>
        <color rgb="FFFF0000"/>
        <rFont val="ＭＳ Ｐゴシック"/>
        <family val="3"/>
        <charset val="128"/>
        <scheme val="minor"/>
      </rPr>
      <t>回目）</t>
    </r>
    <rPh sb="0" eb="2">
      <t>センモン</t>
    </rPh>
    <rPh sb="2" eb="4">
      <t>ブンヤ</t>
    </rPh>
    <rPh sb="5" eb="7">
      <t>ゲンバ</t>
    </rPh>
    <rPh sb="20" eb="22">
      <t>ガクシュウ</t>
    </rPh>
    <rPh sb="91" eb="95">
      <t>カガクギジュツ</t>
    </rPh>
    <rPh sb="95" eb="97">
      <t>ケイサン</t>
    </rPh>
    <rPh sb="98" eb="100">
      <t>キカイ</t>
    </rPh>
    <rPh sb="100" eb="102">
      <t>セイギョ</t>
    </rPh>
    <rPh sb="103" eb="105">
      <t>ヒツヨウ</t>
    </rPh>
    <rPh sb="106" eb="108">
      <t>リサン</t>
    </rPh>
    <rPh sb="112" eb="113">
      <t>ト</t>
    </rPh>
    <rPh sb="114" eb="115">
      <t>アツカ</t>
    </rPh>
    <phoneticPr fontId="1"/>
  </si>
  <si>
    <t>]</t>
    <phoneticPr fontId="1"/>
  </si>
  <si>
    <t>窪田 仁</t>
    <phoneticPr fontId="1"/>
  </si>
  <si>
    <t>全１年生必修である「データサイエンス入門」について、受講者にはBYODを進めており、授業中の出欠確認、資料配布、課題提出、質問の対応はすべてオンライン上で実施できる体制で授業を行っている。質問の受付は、Microsoft365のFormsを活用し、いつでもどこからでも投稿でき、担当教員は出された質問について、回答するとともに、質問と回答は授業の中で共有することとしている。</t>
    <rPh sb="0" eb="1">
      <t>ゼン</t>
    </rPh>
    <rPh sb="2" eb="4">
      <t>ネンセイ</t>
    </rPh>
    <rPh sb="4" eb="6">
      <t>ヒッシュウ</t>
    </rPh>
    <rPh sb="18" eb="20">
      <t>ニュウモン</t>
    </rPh>
    <phoneticPr fontId="1"/>
  </si>
  <si>
    <t>データサイエンス入門について、令和3年度からすべての１年生の必修科目として設置している。また、
機械工学科の情報基礎（１年）、プログラミング基礎（２年）
電気情報工学科のコンピュータリテラシー（１年）、プログラミングⅠ（１年）、プログラミングⅡ（2年）
都市システム工学科のコンピュータ基礎（１年）、情報処理Ⅰ（２年）
建築学科の情報基礎Ⅰ（１年）、情報基礎Ⅱ（２年）
もすべて必修科目としている。</t>
    <phoneticPr fontId="1"/>
  </si>
  <si>
    <t>令和3年度のデータサイエンス入門についての学修成果については、オンライン上で授業の資料を共有するとともに、オンライン上で課題を提出し、学生の学修成果の保管、学校への成績根拠資料の保管を実施している。本申請の科目については、すべて、成績評価に用いた根拠資料を保管している。データサイエンス入門の成績評価については、シラバスに記載された到達目標に対し、ルーブリックに基づいて評価し、100点法を用いて評価し、その平均点は機械工学科：92.8点、電気情報工学科：92.1点、都市システム工学科：93.6点、建築学科：93.5点であった。</t>
    <rPh sb="14" eb="16">
      <t>ニュウモン</t>
    </rPh>
    <rPh sb="21" eb="23">
      <t>ガクシュウ</t>
    </rPh>
    <rPh sb="38" eb="40">
      <t>ジュギョウ</t>
    </rPh>
    <rPh sb="41" eb="43">
      <t>シリョウ</t>
    </rPh>
    <rPh sb="44" eb="46">
      <t>キョウユウ</t>
    </rPh>
    <rPh sb="58" eb="59">
      <t>ジョウ</t>
    </rPh>
    <rPh sb="99" eb="102">
      <t>ホンシンセイ</t>
    </rPh>
    <rPh sb="103" eb="105">
      <t>カモク</t>
    </rPh>
    <rPh sb="115" eb="119">
      <t>セイセキヒョウカ</t>
    </rPh>
    <rPh sb="120" eb="121">
      <t>モチ</t>
    </rPh>
    <rPh sb="123" eb="127">
      <t>コンキョシリョウ</t>
    </rPh>
    <rPh sb="128" eb="130">
      <t>ホカン</t>
    </rPh>
    <rPh sb="143" eb="145">
      <t>ニュウモン</t>
    </rPh>
    <phoneticPr fontId="1"/>
  </si>
  <si>
    <t>令和3</t>
    <phoneticPr fontId="1"/>
  </si>
  <si>
    <t>データサイエンス入門では、毎回の授業実施後に、疑問点や質問などをMicrosoft365のForms機能を用いて受付けている。また、全科目について、期末に実施する受講者全員への授業アンケートを実施している。データサイエンス入門における満足度は、3.5/5点であった。自由記述による意見収集を実施しており、「データサイエンス科目では、細かい部分まで教えてくださったり、フィードバック返答についても一つひとつ丁寧に答えてくださったので電気情報工学科の１クラスメートとして本当にありがたかったです。」の意見が寄せられ、平均点の値と合わせて、理解度についても十分であると判断する。</t>
    <rPh sb="13" eb="15">
      <t>マイカイ</t>
    </rPh>
    <rPh sb="16" eb="21">
      <t>ジュギョウジッシゴ</t>
    </rPh>
    <rPh sb="23" eb="26">
      <t>ギモンテン</t>
    </rPh>
    <rPh sb="27" eb="29">
      <t>シツモン</t>
    </rPh>
    <rPh sb="50" eb="52">
      <t>キノウ</t>
    </rPh>
    <rPh sb="53" eb="54">
      <t>モチ</t>
    </rPh>
    <rPh sb="56" eb="58">
      <t>ウケツケ</t>
    </rPh>
    <rPh sb="66" eb="69">
      <t>ゼンカモク</t>
    </rPh>
    <rPh sb="74" eb="76">
      <t>キマツ</t>
    </rPh>
    <rPh sb="77" eb="79">
      <t>ジッシ</t>
    </rPh>
    <rPh sb="111" eb="113">
      <t>ニュウモン</t>
    </rPh>
    <rPh sb="256" eb="259">
      <t>ヘイキンテン</t>
    </rPh>
    <rPh sb="260" eb="261">
      <t>アタイ</t>
    </rPh>
    <rPh sb="262" eb="263">
      <t>ア</t>
    </rPh>
    <phoneticPr fontId="1"/>
  </si>
  <si>
    <t>推奨度については令和３年度アンケートを実施しておらず、次年度に実施したい。</t>
    <phoneticPr fontId="1"/>
  </si>
  <si>
    <t>令和3年度、データサイエンス入門について、全学科1年生の必修科目としている。令和3年度、電気情報工学科の1名を除き、全員が受講し、単位を修得した。
機械工学科では、情報基礎（1年）、プログラミング基礎（2年）のうち、プログラミング基礎の1名を除く全員が単位を修得した。
電気情報工学科では、コンピュータリテラシー（1年）で2名、プログラミングⅠ（1年）で2名、プログラミングⅡ（2年）で1名を除く全員が単位を修得した。
都市システム工学科のコンピュータ基礎（1年）、情報処理Ⅰ（2年）は、全員単位を修得した。
建築学科では、情報基礎Ⅰ（1年）、情報基礎Ⅱ（2年）のうち、情報基礎Ⅱ（2年）の3名を除く全員が単位を修得した。</t>
    <rPh sb="0" eb="2">
      <t>レイワ</t>
    </rPh>
    <rPh sb="3" eb="5">
      <t>ネンド</t>
    </rPh>
    <rPh sb="14" eb="16">
      <t>ニュウモン</t>
    </rPh>
    <rPh sb="38" eb="40">
      <t>レイワ</t>
    </rPh>
    <rPh sb="41" eb="43">
      <t>ネンド</t>
    </rPh>
    <rPh sb="44" eb="51">
      <t>デンキジョウホウコウガッカ</t>
    </rPh>
    <rPh sb="53" eb="54">
      <t>メイ</t>
    </rPh>
    <rPh sb="55" eb="56">
      <t>ノゾ</t>
    </rPh>
    <rPh sb="58" eb="60">
      <t>ゼンイン</t>
    </rPh>
    <rPh sb="65" eb="67">
      <t>タンイ</t>
    </rPh>
    <rPh sb="68" eb="70">
      <t>シュウトク</t>
    </rPh>
    <rPh sb="116" eb="118">
      <t>キソ</t>
    </rPh>
    <rPh sb="120" eb="121">
      <t>メイ</t>
    </rPh>
    <rPh sb="122" eb="123">
      <t>ノゾ</t>
    </rPh>
    <rPh sb="124" eb="126">
      <t>ゼンイン</t>
    </rPh>
    <rPh sb="127" eb="129">
      <t>タンイ</t>
    </rPh>
    <rPh sb="130" eb="132">
      <t>シュウトク</t>
    </rPh>
    <rPh sb="163" eb="164">
      <t>メイ</t>
    </rPh>
    <rPh sb="179" eb="180">
      <t>メイ</t>
    </rPh>
    <rPh sb="191" eb="192">
      <t>ネン</t>
    </rPh>
    <rPh sb="195" eb="196">
      <t>メイ</t>
    </rPh>
    <rPh sb="197" eb="198">
      <t>ノゾ</t>
    </rPh>
    <rPh sb="297" eb="298">
      <t>メイ</t>
    </rPh>
    <rPh sb="299" eb="300">
      <t>ノゾ</t>
    </rPh>
    <phoneticPr fontId="1"/>
  </si>
  <si>
    <t>令和3年度、データサイエンス入門については、１年生全員の必修科目として開講している。</t>
    <rPh sb="0" eb="2">
      <t>レイワ</t>
    </rPh>
    <rPh sb="3" eb="5">
      <t>ネンド</t>
    </rPh>
    <rPh sb="14" eb="16">
      <t>ニュウモン</t>
    </rPh>
    <phoneticPr fontId="1"/>
  </si>
  <si>
    <t>令和4年3月時点で本プログラムを受講して修了した学生はいない。</t>
    <phoneticPr fontId="1"/>
  </si>
  <si>
    <t>データサイエンス入門について、令和3年度からすべての1年生の必修科目として設置している。また、
機械工学科の情報基礎（1年）、プログラミング基礎（2年）
電気情報工学科のコンピュータリテラシー（1年）、プログラミングⅠ（1年）、プログラミングⅡ（2年）
都市システム工学科のコンピュータ基礎（1年）、情報処理Ⅰ（2年）
建築学科の情報基礎Ⅰ（1年）、情報基礎Ⅱ（2年）
もすべて必修科目としている。</t>
    <rPh sb="8" eb="10">
      <t>ニュウモン</t>
    </rPh>
    <rPh sb="124" eb="125">
      <t>ネン</t>
    </rPh>
    <rPh sb="189" eb="191">
      <t>ヒッシュウ</t>
    </rPh>
    <rPh sb="191" eb="193">
      <t>カモク</t>
    </rPh>
    <phoneticPr fontId="1"/>
  </si>
  <si>
    <t>データサイエンス入門について、令和3年度からすべての１年生の必修科目として設置している。また、
機械工学科の情報基礎（１年）、プログラミング基礎（２年）
電気情報工学科のコンピュータリテラシー（１年）、プログラミングⅠ（１年）、プログラミングⅡ（2年）
都市システム工学科のコンピュータ基礎（１年）、情報処理Ⅰ（２年）
建築学科の情報基礎Ⅰ（１年）、情報基礎Ⅱ（２年）
もすべて必修科目としている。
また、仮に当該学年で未修得となった場合でも、　翌年度以降に再履修が可能となる制度を導入している。</t>
    <phoneticPr fontId="1"/>
  </si>
  <si>
    <t>教務委員会、学事調査室</t>
    <rPh sb="0" eb="2">
      <t>キョウム</t>
    </rPh>
    <rPh sb="2" eb="5">
      <t>イインカイ</t>
    </rPh>
    <rPh sb="6" eb="8">
      <t>ガクジ</t>
    </rPh>
    <rPh sb="8" eb="11">
      <t>チョウサシツ</t>
    </rPh>
    <phoneticPr fontId="1"/>
  </si>
  <si>
    <t>江口　忠臣</t>
    <rPh sb="0" eb="2">
      <t>エグチ</t>
    </rPh>
    <rPh sb="3" eb="5">
      <t>タダオミ</t>
    </rPh>
    <phoneticPr fontId="1"/>
  </si>
  <si>
    <t>副校長</t>
    <rPh sb="0" eb="3">
      <t>フクコウチョウ</t>
    </rPh>
    <phoneticPr fontId="1"/>
  </si>
  <si>
    <t>教務委員会は、教務委員会は、本校の3つのポリシー（AP:アドミッションポリシー,DP：ディプロマポリシー,CP：カリキュラムポリシー)に基づいた教育課程の編成を実施する。学事調査室が中心となって、内部質保証システム（自己点検・評価の結果を自己改善に繋げるためのシステム）としてＰＤＣＡサイクルを運用し、本校の教育活動の改善を継続的に推進するものとする。</t>
    <rPh sb="85" eb="87">
      <t>ガクジ</t>
    </rPh>
    <rPh sb="87" eb="90">
      <t>チョウサシツ</t>
    </rPh>
    <phoneticPr fontId="1"/>
  </si>
  <si>
    <t>教務委員会規程、明石工業高等専門学校学事調査室規程</t>
    <rPh sb="8" eb="10">
      <t>アカシ</t>
    </rPh>
    <rPh sb="10" eb="12">
      <t>コウギョウ</t>
    </rPh>
    <rPh sb="12" eb="14">
      <t>コウトウ</t>
    </rPh>
    <rPh sb="14" eb="16">
      <t>センモン</t>
    </rPh>
    <rPh sb="16" eb="18">
      <t>ガッコウ</t>
    </rPh>
    <rPh sb="18" eb="20">
      <t>ガクジ</t>
    </rPh>
    <rPh sb="20" eb="23">
      <t>チョウサシツ</t>
    </rPh>
    <rPh sb="23" eb="25">
      <t>キテイキテイ</t>
    </rPh>
    <phoneticPr fontId="1"/>
  </si>
  <si>
    <t xml:space="preserve">教務委員会
教務主事　機械工学科　教授　森下智博
教務副主事　電気情報工学科　准教授　土田隼之
教務副主事　建築学科　講師　角野嘉則
教務委員　機械工学科　准教授　史鳳輝
教務委員　都市システム工学科　教授　渡部守義
教務委員　建築学科　講師　本塚智貴
教務委員　人文科学系　教授　ハーバートジョン
教務委員　自然科学系　教授　武内將洋
教務委員　自然科学系    准教授　面田康裕
教務委員　学生課長　窪田仁
学事調査室
学事調査室長　電気情報工学科　教授　梶村好宏
学事調査室員　人文科学系　助教　黒杭良美
学事調査室員　アドミニストレーター　助教　水野裕貴
学事調査室員　総務課長　濱田直樹
学事調査室員　技術専門員　中川卓也
学事調査室員　学生課教務学生チーム　主任　清水美野理
</t>
    <rPh sb="11" eb="16">
      <t>キカイコウガッカ</t>
    </rPh>
    <rPh sb="31" eb="38">
      <t>デンキジョウホウコウガッカ</t>
    </rPh>
    <rPh sb="54" eb="58">
      <t>ケンチクガッカ</t>
    </rPh>
    <rPh sb="59" eb="61">
      <t>コウシ</t>
    </rPh>
    <rPh sb="72" eb="77">
      <t>キカイコウガッカ</t>
    </rPh>
    <rPh sb="109" eb="111">
      <t>キョウム</t>
    </rPh>
    <rPh sb="111" eb="113">
      <t>イイン</t>
    </rPh>
    <rPh sb="114" eb="116">
      <t>ケンチク</t>
    </rPh>
    <rPh sb="116" eb="118">
      <t>ガッカ</t>
    </rPh>
    <rPh sb="119" eb="121">
      <t>コウシ</t>
    </rPh>
    <rPh sb="132" eb="137">
      <t>ジンブンカガクケイ</t>
    </rPh>
    <rPh sb="155" eb="160">
      <t>シゼンカガクケイ</t>
    </rPh>
    <rPh sb="183" eb="186">
      <t>ジュンキョウジュ</t>
    </rPh>
    <rPh sb="192" eb="194">
      <t>キョウム</t>
    </rPh>
    <rPh sb="194" eb="196">
      <t>イイン</t>
    </rPh>
    <rPh sb="202" eb="204">
      <t>クボタ</t>
    </rPh>
    <rPh sb="204" eb="205">
      <t>ヒトシ</t>
    </rPh>
    <rPh sb="207" eb="209">
      <t>ガクジ</t>
    </rPh>
    <rPh sb="209" eb="212">
      <t>チョウサシツ</t>
    </rPh>
    <rPh sb="213" eb="215">
      <t>ガクジ</t>
    </rPh>
    <rPh sb="215" eb="218">
      <t>チョウサシツ</t>
    </rPh>
    <rPh sb="220" eb="227">
      <t>デンキジョウホウコウガッカ</t>
    </rPh>
    <rPh sb="236" eb="238">
      <t>ガクジ</t>
    </rPh>
    <rPh sb="238" eb="241">
      <t>チョウサシツ</t>
    </rPh>
    <rPh sb="241" eb="242">
      <t>イン</t>
    </rPh>
    <rPh sb="243" eb="245">
      <t>ジンブン</t>
    </rPh>
    <rPh sb="245" eb="248">
      <t>カガクケイ</t>
    </rPh>
    <rPh sb="249" eb="251">
      <t>ジョキョウ</t>
    </rPh>
    <rPh sb="257" eb="259">
      <t>ガクジ</t>
    </rPh>
    <rPh sb="259" eb="262">
      <t>チョウサシツ</t>
    </rPh>
    <rPh sb="275" eb="277">
      <t>ジョキョウ</t>
    </rPh>
    <rPh sb="283" eb="285">
      <t>ガクジ</t>
    </rPh>
    <rPh sb="285" eb="288">
      <t>チョウサシツ</t>
    </rPh>
    <rPh sb="288" eb="289">
      <t>イン</t>
    </rPh>
    <rPh sb="300" eb="302">
      <t>ガクジ</t>
    </rPh>
    <rPh sb="302" eb="305">
      <t>チョウサシツ</t>
    </rPh>
    <rPh sb="305" eb="306">
      <t>イン</t>
    </rPh>
    <rPh sb="309" eb="312">
      <t>センモンイン</t>
    </rPh>
    <rPh sb="318" eb="320">
      <t>ガクジ</t>
    </rPh>
    <rPh sb="320" eb="323">
      <t>チョウサシツ</t>
    </rPh>
    <rPh sb="323" eb="324">
      <t>イン</t>
    </rPh>
    <rPh sb="325" eb="328">
      <t>ガクセイカ</t>
    </rPh>
    <rPh sb="328" eb="330">
      <t>キョウム</t>
    </rPh>
    <rPh sb="330" eb="332">
      <t>ガクセイ</t>
    </rPh>
    <rPh sb="336" eb="338">
      <t>シュニン</t>
    </rPh>
    <phoneticPr fontId="1"/>
  </si>
  <si>
    <t>様式２－１</t>
    <phoneticPr fontId="1"/>
  </si>
  <si>
    <t>様式２－２</t>
    <phoneticPr fontId="1"/>
  </si>
  <si>
    <t>様式２－３</t>
    <phoneticPr fontId="1"/>
  </si>
  <si>
    <t>様式２－４</t>
    <phoneticPr fontId="1"/>
  </si>
  <si>
    <t>機械工学科の学生について、情報基礎、プログラミング基礎、データサイエンス入門の単位を習得していること</t>
    <rPh sb="6" eb="8">
      <t>ガクセイ</t>
    </rPh>
    <rPh sb="13" eb="17">
      <t>ジョウホウキソ</t>
    </rPh>
    <rPh sb="25" eb="27">
      <t>キソ</t>
    </rPh>
    <phoneticPr fontId="1"/>
  </si>
  <si>
    <t>電気情報工学科の学生について、コンピュータリテラシー、プログラミングⅠ、プログラミングⅡ、データサイエンス入門の単位を習得していること</t>
    <phoneticPr fontId="1"/>
  </si>
  <si>
    <r>
      <rPr>
        <sz val="12"/>
        <color rgb="FFFF0000"/>
        <rFont val="ＭＳ Ｐゴシック"/>
        <family val="3"/>
        <charset val="128"/>
        <scheme val="minor"/>
      </rPr>
      <t>都市システム工学科の学生について、コンピュータ基礎、情報処理Ⅰ、データサイエンス入門の単位を習得していること</t>
    </r>
    <r>
      <rPr>
        <sz val="12"/>
        <rFont val="ＭＳ Ｐゴシック"/>
        <family val="3"/>
        <charset val="128"/>
        <scheme val="minor"/>
      </rPr>
      <t xml:space="preserve">
</t>
    </r>
    <rPh sb="23" eb="25">
      <t>キソ</t>
    </rPh>
    <rPh sb="26" eb="30">
      <t>ジョウホウショリ</t>
    </rPh>
    <phoneticPr fontId="1"/>
  </si>
  <si>
    <r>
      <rPr>
        <sz val="12"/>
        <color rgb="FFFF0000"/>
        <rFont val="ＭＳ Ｐゴシック"/>
        <family val="3"/>
        <charset val="128"/>
        <scheme val="minor"/>
      </rPr>
      <t>建築学科の学生について、情報基礎Ⅰ、情報基礎Ⅱ、データサイエンス入門の単位を習得していること</t>
    </r>
    <r>
      <rPr>
        <sz val="12"/>
        <rFont val="ＭＳ Ｐゴシック"/>
        <family val="3"/>
        <charset val="128"/>
        <scheme val="minor"/>
      </rPr>
      <t xml:space="preserve">
</t>
    </r>
    <rPh sb="12" eb="16">
      <t>ジョウホウキソ</t>
    </rPh>
    <rPh sb="18" eb="22">
      <t>ジョウホウキソ</t>
    </rPh>
    <phoneticPr fontId="1"/>
  </si>
  <si>
    <r>
      <t xml:space="preserve">機械工学科に関連した技術として、自動運転関係技術:交通標識の認識、電気情報工学科に関連した技術として、ディープラーニングを使った囲碁、都市システム工学科に関連した技術として、IoTを使ったインフラメンテナンス:高速道路のタービン、GIS、建築学科に関連した技術として、ビルセキュリティ、現代アートなどの事例を紹介し、これらの使用されている情報技術の概要を説明する。「データサイエンス入門」（2,3回目）
</t>
    </r>
    <r>
      <rPr>
        <sz val="10"/>
        <color rgb="FFFF0000"/>
        <rFont val="ＭＳ Ｐゴシック"/>
        <family val="3"/>
        <charset val="128"/>
        <scheme val="minor"/>
      </rPr>
      <t>PCを利用したプログラムの作成、実行を行い、入力や表示、演算処理方法を理解し、プログラムを作成できる。「プログラミング基礎」（2回目）</t>
    </r>
    <rPh sb="205" eb="207">
      <t>リヨウ</t>
    </rPh>
    <rPh sb="215" eb="217">
      <t>サクセイ</t>
    </rPh>
    <rPh sb="218" eb="220">
      <t>ジッコウ</t>
    </rPh>
    <rPh sb="221" eb="222">
      <t>オコナ</t>
    </rPh>
    <rPh sb="224" eb="226">
      <t>ニュウリョク</t>
    </rPh>
    <rPh sb="227" eb="229">
      <t>ヒョウジ</t>
    </rPh>
    <rPh sb="230" eb="232">
      <t>エンザン</t>
    </rPh>
    <rPh sb="232" eb="236">
      <t>ショリホウホウ</t>
    </rPh>
    <rPh sb="237" eb="239">
      <t>リカイ</t>
    </rPh>
    <rPh sb="247" eb="249">
      <t>サクセイ</t>
    </rPh>
    <rPh sb="261" eb="263">
      <t>キソ</t>
    </rPh>
    <rPh sb="266" eb="268">
      <t>カイメ</t>
    </rPh>
    <phoneticPr fontId="1"/>
  </si>
  <si>
    <r>
      <t xml:space="preserve">計算機の構造、コンピュータによる「計算」とは何かを学習し、情報セキュリティを支えるコンピュータの基礎を学ぶと共に、オペレーティングシステムの役割を理解する。社会における情報通信ネットワークの役割、ネットワークの構成と仕組みを理解し、情報セキュリティの必要性について学習する。「データサイエンス入門」（９－１２回目）
</t>
    </r>
    <r>
      <rPr>
        <sz val="10"/>
        <color rgb="FFFF0000"/>
        <rFont val="ＭＳ Ｐゴシック"/>
        <family val="3"/>
        <charset val="128"/>
        <scheme val="minor"/>
      </rPr>
      <t>情報モラル、情報の安全な利用について理解し説明できる。「情報基礎」（1回目）</t>
    </r>
    <rPh sb="158" eb="160">
      <t>ジョウホウ</t>
    </rPh>
    <rPh sb="164" eb="166">
      <t>ジョウホウ</t>
    </rPh>
    <rPh sb="167" eb="169">
      <t>アンゼン</t>
    </rPh>
    <rPh sb="170" eb="172">
      <t>リヨウ</t>
    </rPh>
    <rPh sb="176" eb="178">
      <t>リカイ</t>
    </rPh>
    <rPh sb="179" eb="181">
      <t>セツメイ</t>
    </rPh>
    <rPh sb="186" eb="190">
      <t>ジョウホウキソ</t>
    </rPh>
    <rPh sb="193" eb="195">
      <t>カイメ</t>
    </rPh>
    <phoneticPr fontId="1"/>
  </si>
  <si>
    <r>
      <t xml:space="preserve">サイバー攻撃と防御の観点では、主要な攻撃手法について、実例と共に理解し、攻撃に対する防御手法についても学習し、情報セキュリティや情報漏洩等、データを守る上での留意事項について理解する。「データサイエンス入門」（13,14回目）
</t>
    </r>
    <r>
      <rPr>
        <sz val="10"/>
        <color rgb="FFFF0000"/>
        <rFont val="ＭＳ Ｐゴシック"/>
        <family val="3"/>
        <charset val="128"/>
        <scheme val="minor"/>
      </rPr>
      <t>情報モラル、情報の安全な利用について理解し説明できる。「情報基礎」（1回目）</t>
    </r>
    <phoneticPr fontId="1"/>
  </si>
  <si>
    <r>
      <t xml:space="preserve">機械学習の学習において、教師有学習と教師無し学習を説明し、実データを用いた演習を行うことで、実社会でどのように活用されているかを実体験を通じて学習する。また、正解データが有る場合と無い場合の機械学習について学習する。ビックデータの取り扱い、分析評価の方法として、回帰分析の説明を行い、実データを用いた学習を行う。「データサイエンス入門」（5,6回目）
</t>
    </r>
    <r>
      <rPr>
        <sz val="10"/>
        <color rgb="FFFF0000"/>
        <rFont val="ＭＳ Ｐゴシック"/>
        <family val="3"/>
        <charset val="128"/>
        <scheme val="minor"/>
      </rPr>
      <t>C言語を用い、１次元、２次元配列を用いた大データを処理できる。「プログラミング基礎」（6-12回目）</t>
    </r>
    <rPh sb="177" eb="179">
      <t>ゲンゴ</t>
    </rPh>
    <rPh sb="180" eb="181">
      <t>モチ</t>
    </rPh>
    <rPh sb="184" eb="186">
      <t>ジゲン</t>
    </rPh>
    <rPh sb="188" eb="190">
      <t>ジゲン</t>
    </rPh>
    <rPh sb="190" eb="192">
      <t>ハイレツ</t>
    </rPh>
    <rPh sb="193" eb="194">
      <t>モチ</t>
    </rPh>
    <rPh sb="196" eb="197">
      <t>ダイ</t>
    </rPh>
    <rPh sb="201" eb="203">
      <t>ショリ</t>
    </rPh>
    <phoneticPr fontId="1"/>
  </si>
  <si>
    <r>
      <t xml:space="preserve">機械学習の学習において、教師有学習と教師無し学習を説明し、実データを用いた演習を行うことで、実社会でどのように活用されているかを実体験を通じて学習する。また、正解データが有る場合と無い場合の機械学習について学習する。ビックデータの取り扱い、分析評価の方法として、回帰分析の説明を行い、実データを用いた学習を行う。「データサイエンス入門」（5,6回目）
</t>
    </r>
    <r>
      <rPr>
        <sz val="10"/>
        <color rgb="FFFF0000"/>
        <rFont val="ＭＳ Ｐゴシック"/>
        <family val="3"/>
        <charset val="128"/>
        <scheme val="minor"/>
      </rPr>
      <t>目的に応じたプログラムを作成し、プログラムを評価できる。「プログラミング基礎」（15回目）</t>
    </r>
    <rPh sb="176" eb="178">
      <t>モクテキ</t>
    </rPh>
    <rPh sb="179" eb="180">
      <t>オウ</t>
    </rPh>
    <rPh sb="188" eb="190">
      <t>サクセイ</t>
    </rPh>
    <rPh sb="198" eb="200">
      <t>ヒョウカ</t>
    </rPh>
    <phoneticPr fontId="1"/>
  </si>
  <si>
    <r>
      <t xml:space="preserve">機械学習の学習において、教師有学習と教師無し学習を説明し、実データを用いた演習を行うことで、実社会でどのように活用されているかを実体験を通じて学習する。また、正解データが有る場合と無い場合の機械学習について学習する。ビックデータの取り扱い、分析評価の方法として、回帰分析の説明を行い、実データを用いた学習を行う。「データサイエンス入門」（5,6回目）
</t>
    </r>
    <r>
      <rPr>
        <sz val="10"/>
        <color rgb="FFFF0000"/>
        <rFont val="ＭＳ Ｐゴシック"/>
        <family val="3"/>
        <charset val="128"/>
        <scheme val="minor"/>
      </rPr>
      <t>処理を行うプログラムを作成し、関数を利用して数値演算ができる。「プログラミング基礎」（3,4,5回目）</t>
    </r>
    <rPh sb="176" eb="178">
      <t>ショリ</t>
    </rPh>
    <rPh sb="179" eb="180">
      <t>オコナ</t>
    </rPh>
    <rPh sb="187" eb="189">
      <t>サクセイ</t>
    </rPh>
    <rPh sb="191" eb="193">
      <t>カンスウ</t>
    </rPh>
    <rPh sb="194" eb="196">
      <t>リヨウ</t>
    </rPh>
    <rPh sb="198" eb="202">
      <t>スウチエンザン</t>
    </rPh>
    <rPh sb="215" eb="217">
      <t>キソ</t>
    </rPh>
    <rPh sb="224" eb="226">
      <t>カイメ</t>
    </rPh>
    <phoneticPr fontId="1"/>
  </si>
  <si>
    <r>
      <t>機械工学科に関連した技術として、自動運転関係技術:交通標識の認識、電気情報工学科に関連した技術として、ディープラーニングを使った囲碁、都市システム工学科に関連した技術として、IoTを使ったインフラメンテナンス:高速道路のタービン、GIS、建築学科に関連した技術として、ビルセキュリティ、現代アートなどの事例を紹介し、これらの使用されている情報技術の概要を説明する。「データサイエンス入門」（2,3回目）</t>
    </r>
    <r>
      <rPr>
        <sz val="10"/>
        <color rgb="FFFF0000"/>
        <rFont val="ＭＳ Ｐゴシック"/>
        <family val="3"/>
        <charset val="128"/>
        <scheme val="minor"/>
      </rPr>
      <t xml:space="preserve">
与えられたテーマを実現するプログラムをライブラリを用いて記述できる。（「プログラミングⅡ」（13，14，15回目）
</t>
    </r>
    <rPh sb="202" eb="203">
      <t>アタ</t>
    </rPh>
    <rPh sb="211" eb="213">
      <t>ジツゲン</t>
    </rPh>
    <rPh sb="227" eb="228">
      <t>モチ</t>
    </rPh>
    <rPh sb="230" eb="232">
      <t>キジュツ</t>
    </rPh>
    <rPh sb="256" eb="258">
      <t>カイメ</t>
    </rPh>
    <phoneticPr fontId="1"/>
  </si>
  <si>
    <r>
      <t>専門分野の現場におけるデータ利活用事例を学習することによって、様々な適用領域の知見と組み合わせることが価値を創出するものであることを学習する。「データサイエンス入門」（2,3回目）</t>
    </r>
    <r>
      <rPr>
        <sz val="10"/>
        <color rgb="FFFF0000"/>
        <rFont val="ＭＳ Ｐゴシック"/>
        <family val="3"/>
        <charset val="128"/>
        <scheme val="minor"/>
      </rPr>
      <t/>
    </r>
    <rPh sb="0" eb="2">
      <t>センモン</t>
    </rPh>
    <rPh sb="2" eb="4">
      <t>ブンヤ</t>
    </rPh>
    <rPh sb="5" eb="7">
      <t>ゲンバ</t>
    </rPh>
    <rPh sb="20" eb="22">
      <t>ガクシュウ</t>
    </rPh>
    <phoneticPr fontId="1"/>
  </si>
  <si>
    <r>
      <t>計算機の構造、コンピュータによる「計算」とは何かを学習し、情報セキュリティを支えるコンピュータの基礎を学ぶと共に、オペレーティングシステムの役割を理解する。社会における情報通信ネットワークの役割、ネットワークの構成と仕組みを理解し、情報セキュリティの必要性について学習する。「データサイエンス入門」（９－１２回目）</t>
    </r>
    <r>
      <rPr>
        <sz val="10"/>
        <color rgb="FFFF0000"/>
        <rFont val="ＭＳ Ｐゴシック"/>
        <family val="3"/>
        <charset val="128"/>
        <scheme val="minor"/>
      </rPr>
      <t xml:space="preserve">
インターネット利用方法を理解し、情報社会における様々なルールを考えて行動できる。「コンピュータリテラシー」（5回目）
</t>
    </r>
    <rPh sb="165" eb="169">
      <t>リヨウホウホウ</t>
    </rPh>
    <rPh sb="170" eb="172">
      <t>リカイ</t>
    </rPh>
    <rPh sb="174" eb="178">
      <t>ジョウホウシャカイ</t>
    </rPh>
    <rPh sb="182" eb="184">
      <t>サマザマ</t>
    </rPh>
    <rPh sb="189" eb="190">
      <t>カンガ</t>
    </rPh>
    <rPh sb="192" eb="194">
      <t>コウドウ</t>
    </rPh>
    <rPh sb="213" eb="215">
      <t>カイメ</t>
    </rPh>
    <phoneticPr fontId="1"/>
  </si>
  <si>
    <r>
      <t>サイバー攻撃と防御の観点では、主要な攻撃手法について、実例と共に理解し、攻撃に対する防御手法についても学習し、情報セキュリティや情報漏洩等、データを守る上での留意事項について理解する。「データサイエンス入門」（13,14回目）</t>
    </r>
    <r>
      <rPr>
        <sz val="9"/>
        <color rgb="FFFF0000"/>
        <rFont val="ＭＳ Ｐゴシック"/>
        <family val="3"/>
        <charset val="128"/>
        <scheme val="minor"/>
      </rPr>
      <t/>
    </r>
    <phoneticPr fontId="1"/>
  </si>
  <si>
    <r>
      <t>機械学習の学習において、教師有学習と教師無し学習を説明し、実データを用いた演習を行うことで、実社会でどのように活用されているかを実体験を通じて学習する。また、正解データが有る場合と無い場合の機械学習について学習する。ビックデータの取り扱い、分析評価の方法として、回帰分析の説明を行い、実データを用いた学習を行う。「データサイエンス入門」（5,6回目）</t>
    </r>
    <r>
      <rPr>
        <sz val="9"/>
        <color rgb="FFFF0000"/>
        <rFont val="ＭＳ Ｐゴシック"/>
        <family val="3"/>
        <charset val="128"/>
        <scheme val="minor"/>
      </rPr>
      <t/>
    </r>
    <phoneticPr fontId="1"/>
  </si>
  <si>
    <t>機械学習の学習において、教師有学習と教師無し学習を説明し、実データを用いた演習を行うことで、実社会でどのように活用されているかを実体験を通じて学習する。また、正解データが有る場合と無い場合の機械学習について学習する。ビックデータの取り扱い、分析評価の方法として、回帰分析の説明を行い、実データを用いた学習を行う。「データサイエンス入門」（5,6回目）</t>
    <phoneticPr fontId="1"/>
  </si>
  <si>
    <r>
      <t>機械学習の学習において、教師有学習と教師無し学習を説明し、実データを用いた演習を行うことで、実社会でどのように活用されているかを実体験を通じて学習する。また、正解データが有る場合と無い場合の機械学習について学習する。ビックデータの取り扱い、分析評価の方法として、回帰分析の説明を行い、実データを用いた学習を行う。「データサイエンス入門」（</t>
    </r>
    <r>
      <rPr>
        <sz val="10"/>
        <rFont val="ＭＳ Ｐゴシック"/>
        <family val="3"/>
        <charset val="128"/>
        <scheme val="minor"/>
      </rPr>
      <t>5,6回目）</t>
    </r>
    <r>
      <rPr>
        <sz val="10"/>
        <color rgb="FFFF0000"/>
        <rFont val="ＭＳ Ｐゴシック"/>
        <family val="3"/>
        <charset val="128"/>
        <scheme val="minor"/>
      </rPr>
      <t xml:space="preserve">
与えられた問題に対して、それを解決するためのソースプログラムをC言語で記述し実行できる。「プログラミングⅠ」（3-15回目）</t>
    </r>
    <rPh sb="176" eb="177">
      <t>アタ</t>
    </rPh>
    <rPh sb="181" eb="183">
      <t>モンダイ</t>
    </rPh>
    <rPh sb="184" eb="185">
      <t>タイ</t>
    </rPh>
    <rPh sb="191" eb="193">
      <t>カイケツ</t>
    </rPh>
    <rPh sb="208" eb="210">
      <t>ゲンゴ</t>
    </rPh>
    <rPh sb="211" eb="213">
      <t>キジュツ</t>
    </rPh>
    <rPh sb="214" eb="216">
      <t>ジッコウ</t>
    </rPh>
    <rPh sb="235" eb="237">
      <t>カイメ</t>
    </rPh>
    <phoneticPr fontId="1"/>
  </si>
  <si>
    <t>IoT、機械学習、人工知能（AI)など情報技術の適用事例を説明できることを通じ、社会に起きている変化を理解する「データサイエンス入門」（1回目）</t>
    <rPh sb="29" eb="31">
      <t>セツメイ</t>
    </rPh>
    <rPh sb="37" eb="38">
      <t>ツウ</t>
    </rPh>
    <rPh sb="40" eb="42">
      <t>シャカイ</t>
    </rPh>
    <rPh sb="43" eb="44">
      <t>オ</t>
    </rPh>
    <rPh sb="48" eb="50">
      <t>ヘンカ</t>
    </rPh>
    <rPh sb="51" eb="53">
      <t>リカイ</t>
    </rPh>
    <rPh sb="64" eb="66">
      <t>ニュウモン</t>
    </rPh>
    <phoneticPr fontId="1"/>
  </si>
  <si>
    <r>
      <t>計算機の構造、コンピュータによる「計算」とは何かを学習し、情報セキュリティを支えるコンピュータの基礎を学ぶと共に、オペレーティングシステムの役割を理解する。社会における情報通信ネットワークの役割、ネットワークの構成と仕組みを理解し、情報セキュリティの必要性について学習する。「データサイエンス入門」（９－１２回目）</t>
    </r>
    <r>
      <rPr>
        <sz val="10"/>
        <color rgb="FFFF0000"/>
        <rFont val="ＭＳ Ｐゴシック"/>
        <family val="3"/>
        <charset val="128"/>
        <scheme val="minor"/>
      </rPr>
      <t xml:space="preserve">
インターネット利用方法を理解し、情報社会における様々なルールを考えて行動できる。「コンピュータ基礎」（1回目）
</t>
    </r>
    <rPh sb="165" eb="169">
      <t>リヨウホウホウ</t>
    </rPh>
    <rPh sb="170" eb="172">
      <t>リカイ</t>
    </rPh>
    <rPh sb="174" eb="178">
      <t>ジョウホウシャカイ</t>
    </rPh>
    <rPh sb="182" eb="184">
      <t>サマザマ</t>
    </rPh>
    <rPh sb="189" eb="190">
      <t>カンガ</t>
    </rPh>
    <rPh sb="192" eb="194">
      <t>コウドウ</t>
    </rPh>
    <rPh sb="205" eb="207">
      <t>キソ</t>
    </rPh>
    <rPh sb="210" eb="212">
      <t>カイメ</t>
    </rPh>
    <phoneticPr fontId="1"/>
  </si>
  <si>
    <r>
      <t xml:space="preserve">サイバー攻撃と防御の観点では、主要な攻撃手法について、実例と共に理解し、攻撃に対する防御手法についても学習し、情報セキュリティや情報漏洩等、データを守る上での留意事項について理解する。「データサイエンス入門」（13,14回目）
</t>
    </r>
    <r>
      <rPr>
        <sz val="10"/>
        <color rgb="FFFF0000"/>
        <rFont val="ＭＳ Ｐゴシック"/>
        <family val="3"/>
        <charset val="128"/>
        <scheme val="minor"/>
      </rPr>
      <t>情報倫理を意識して行動することができる。「コンピュータ基礎」(6,7回目）
情報倫理、情報セキュリティに関する理解ができる。「情報処理Ⅰ」（1回目）</t>
    </r>
    <rPh sb="114" eb="118">
      <t>ジョウホウリンリ</t>
    </rPh>
    <rPh sb="119" eb="121">
      <t>イシキ</t>
    </rPh>
    <rPh sb="123" eb="125">
      <t>コウドウ</t>
    </rPh>
    <rPh sb="152" eb="156">
      <t>ジョウホウリンリ</t>
    </rPh>
    <rPh sb="157" eb="159">
      <t>ジョウホウ</t>
    </rPh>
    <rPh sb="166" eb="167">
      <t>カン</t>
    </rPh>
    <rPh sb="169" eb="171">
      <t>リカイ</t>
    </rPh>
    <rPh sb="177" eb="181">
      <t>ジョウホウショリ</t>
    </rPh>
    <rPh sb="185" eb="187">
      <t>カイメ</t>
    </rPh>
    <phoneticPr fontId="1"/>
  </si>
  <si>
    <r>
      <t>機械学習の学習において、教師有学習と教師無し学習を説明し、実データを用いた演習を行うことで、実社会でどのように活用されているかを実体験を通じて学習する。また、正解データが有る場合と無い場合の機械学習について学習する。ビックデータの取り扱い、分析評価の方法として、回帰分析の説明を行い、実データを用いた学習を行う。「データサイエンス入門」（5,6回目）</t>
    </r>
    <r>
      <rPr>
        <sz val="10"/>
        <color rgb="FFFF0000"/>
        <rFont val="ＭＳ Ｐゴシック"/>
        <family val="3"/>
        <charset val="128"/>
        <scheme val="minor"/>
      </rPr>
      <t xml:space="preserve">
水準測量結果を表計算ソフトを用いて整理、グラフ化ができる。「情報処理Ⅰ」（10回目）</t>
    </r>
    <rPh sb="176" eb="178">
      <t>スイジュン</t>
    </rPh>
    <rPh sb="178" eb="180">
      <t>ソクリョウ</t>
    </rPh>
    <rPh sb="180" eb="182">
      <t>ケッカ</t>
    </rPh>
    <rPh sb="183" eb="186">
      <t>ヒョウケイサン</t>
    </rPh>
    <rPh sb="190" eb="191">
      <t>モチ</t>
    </rPh>
    <rPh sb="193" eb="195">
      <t>セイリ</t>
    </rPh>
    <rPh sb="199" eb="200">
      <t>カ</t>
    </rPh>
    <phoneticPr fontId="1"/>
  </si>
  <si>
    <r>
      <t>機械学習の学習において、教師有学習と教師無し学習を説明し、実データを用いた演習を行うことで、実社会でどのように活用されているかを実体験を通じて学習する。また、正解データが有る場合と無い場合の機械学習について学習する。ビックデータの取り扱い、分析評価の方法として、回帰分析の説明を行い、実データを用いた学習を行う。「データサイエンス入門」（5,6回目）</t>
    </r>
    <r>
      <rPr>
        <sz val="10"/>
        <color rgb="FFFF0000"/>
        <rFont val="ＭＳ Ｐゴシック"/>
        <family val="3"/>
        <charset val="128"/>
        <scheme val="minor"/>
      </rPr>
      <t xml:space="preserve">
課題に対する適切なオープンデータを入手し、グラフ化し、相関関係を分析、レポートにまとめることができる。「情報処理Ⅰ」（13,14,15回目）</t>
    </r>
    <rPh sb="176" eb="178">
      <t>カダイ</t>
    </rPh>
    <rPh sb="179" eb="180">
      <t>タイ</t>
    </rPh>
    <rPh sb="182" eb="184">
      <t>テキセツ</t>
    </rPh>
    <rPh sb="193" eb="195">
      <t>ニュウシュ</t>
    </rPh>
    <rPh sb="200" eb="201">
      <t>カ</t>
    </rPh>
    <rPh sb="203" eb="207">
      <t>ソウカンカンケイ</t>
    </rPh>
    <rPh sb="208" eb="210">
      <t>ブンセキ</t>
    </rPh>
    <phoneticPr fontId="1"/>
  </si>
  <si>
    <r>
      <t>機械学習の学習において、教師有学習と教師無し学習を説明し、実データを用いた演習を行うことで、実社会でどのように活用されているかを実体験を通じて学習する。また、正解データが有る場合と無い場合の機械学習について学習する。ビックデータの取り扱い、分析評価の方法として、回帰分析の説明を行い、実データを用いた学習を行う。「データサイエンス入門」（</t>
    </r>
    <r>
      <rPr>
        <sz val="10"/>
        <rFont val="ＭＳ Ｐゴシック"/>
        <family val="3"/>
        <charset val="128"/>
        <scheme val="minor"/>
      </rPr>
      <t>5,6回目）</t>
    </r>
    <r>
      <rPr>
        <sz val="10"/>
        <color rgb="FFFF0000"/>
        <rFont val="ＭＳ Ｐゴシック"/>
        <family val="3"/>
        <charset val="128"/>
        <scheme val="minor"/>
      </rPr>
      <t xml:space="preserve">
オープンデータを活用したデータ解析「情報処理Ⅰ（13～15回目）」
Excel関数を用いた回帰分析ができる。「情報処理Ⅰ」（11回目）</t>
    </r>
    <rPh sb="184" eb="186">
      <t>カツヨウ</t>
    </rPh>
    <rPh sb="191" eb="193">
      <t>カイセキ</t>
    </rPh>
    <rPh sb="194" eb="199">
      <t>ジョウホウショリ1</t>
    </rPh>
    <rPh sb="205" eb="207">
      <t>カイメ</t>
    </rPh>
    <rPh sb="215" eb="217">
      <t>カンスウ</t>
    </rPh>
    <rPh sb="218" eb="219">
      <t>モチ</t>
    </rPh>
    <rPh sb="221" eb="225">
      <t>カイキブンセキ</t>
    </rPh>
    <phoneticPr fontId="1"/>
  </si>
  <si>
    <r>
      <t>機械工学科に関連した技術として、自動運転関係技術:交通標識の認識、電気情報工学科に関連した技術として、ディープラーニングを使った囲碁、都市システム工学科に関連した技術として、IoTを使ったインフラメンテナンス:高速道路のタービン、GIS、建築学科に関連した技術として、ビルセキュリティ、現代アートなどの事例を紹介し、これらの使用されている情報技術の概要を説明する。「データサイエンス入門」（2,3回目）</t>
    </r>
    <r>
      <rPr>
        <sz val="10"/>
        <color rgb="FFFF0000"/>
        <rFont val="ＭＳ Ｐゴシック"/>
        <family val="3"/>
        <charset val="128"/>
        <scheme val="minor"/>
      </rPr>
      <t xml:space="preserve">
</t>
    </r>
    <phoneticPr fontId="1"/>
  </si>
  <si>
    <r>
      <t>計算機の構造、コンピュータによる「計算」とは何かを学習し、情報セキュリティを支えるコンピュータの基礎を学ぶと共に、オペレーティングシステムの役割を理解する。社会における情報通信ネットワークの役割、ネットワークの構成と仕組みを理解し、情報セキュリティの必要性について学習する。「データサイエンス入門」（９－１２回目）</t>
    </r>
    <r>
      <rPr>
        <sz val="10"/>
        <color rgb="FFFF0000"/>
        <rFont val="ＭＳ Ｐゴシック"/>
        <family val="3"/>
        <charset val="128"/>
        <scheme val="minor"/>
      </rPr>
      <t xml:space="preserve">
ネットの利用方法を理解し、情報社会での問題点の理解と対応ができる。「情報基礎Ⅰ」（1回目）
</t>
    </r>
    <rPh sb="162" eb="166">
      <t>リヨウホウホウ</t>
    </rPh>
    <rPh sb="167" eb="169">
      <t>リカイ</t>
    </rPh>
    <rPh sb="171" eb="175">
      <t>ジョウホウシャカイ</t>
    </rPh>
    <rPh sb="177" eb="180">
      <t>モンダイテン</t>
    </rPh>
    <rPh sb="181" eb="183">
      <t>リカイ</t>
    </rPh>
    <rPh sb="184" eb="186">
      <t>タイオウ</t>
    </rPh>
    <rPh sb="192" eb="194">
      <t>ジョウホウ</t>
    </rPh>
    <rPh sb="194" eb="196">
      <t>キソ</t>
    </rPh>
    <rPh sb="200" eb="202">
      <t>カイメ</t>
    </rPh>
    <phoneticPr fontId="1"/>
  </si>
  <si>
    <r>
      <t>サイバー攻撃と防御の観点では、主要な攻撃手法について、実例と共に理解し、攻撃に対する防御手法についても学習し、情報セキュリティや情報漏洩等、データを守る上での留意事項について理解する。「データサイエンス入門」（13,14回目）</t>
    </r>
    <r>
      <rPr>
        <sz val="10"/>
        <color rgb="FFFF0000"/>
        <rFont val="ＭＳ Ｐゴシック"/>
        <family val="3"/>
        <charset val="128"/>
        <scheme val="minor"/>
      </rPr>
      <t xml:space="preserve">
個人情報とプライバシー保護の考え方を理解し、情報を適切に収集、処理、発信できる。「情報基礎Ⅰ」（3,4回目）
情報倫理・セキュリティの必要性を理解し、それに基づいた判断・行動ができる。「情報基礎Ⅱ」（1回目）</t>
    </r>
    <rPh sb="114" eb="118">
      <t>コジンジョウホウ</t>
    </rPh>
    <rPh sb="125" eb="127">
      <t>ホゴ</t>
    </rPh>
    <rPh sb="128" eb="129">
      <t>カンガ</t>
    </rPh>
    <rPh sb="130" eb="131">
      <t>カタ</t>
    </rPh>
    <rPh sb="132" eb="134">
      <t>リカイ</t>
    </rPh>
    <rPh sb="136" eb="138">
      <t>ジョウホウ</t>
    </rPh>
    <rPh sb="139" eb="141">
      <t>テキセツ</t>
    </rPh>
    <rPh sb="169" eb="173">
      <t>ジョウホウリンリ</t>
    </rPh>
    <rPh sb="181" eb="184">
      <t>ヒツヨウセイ</t>
    </rPh>
    <rPh sb="185" eb="187">
      <t>リカイ</t>
    </rPh>
    <rPh sb="192" eb="193">
      <t>モト</t>
    </rPh>
    <rPh sb="196" eb="198">
      <t>ハンダン</t>
    </rPh>
    <rPh sb="199" eb="201">
      <t>コウドウ</t>
    </rPh>
    <rPh sb="207" eb="211">
      <t>ジョウホウキソ</t>
    </rPh>
    <rPh sb="215" eb="217">
      <t>カイメ</t>
    </rPh>
    <phoneticPr fontId="1"/>
  </si>
  <si>
    <r>
      <t>機械学習の学習において、教師有学習と教師無し学習を説明し、実データを用いた演習を行うことで、実社会でどのように活用されているかを実体験を通じて学習する。また、正解データが有る場合と無い場合の機械学習について学習する。ビックデータの取り扱い、分析評価の方法として、回帰分析の説明を行い、実データを用いた学習を行う。「データサイエンス入門」（</t>
    </r>
    <r>
      <rPr>
        <sz val="10"/>
        <rFont val="ＭＳ Ｐゴシック"/>
        <family val="3"/>
        <charset val="128"/>
        <scheme val="minor"/>
      </rPr>
      <t>5,6回目）</t>
    </r>
    <r>
      <rPr>
        <sz val="10"/>
        <color rgb="FFFF0000"/>
        <rFont val="ＭＳ Ｐゴシック"/>
        <family val="3"/>
        <charset val="128"/>
        <scheme val="minor"/>
      </rPr>
      <t xml:space="preserve">
Excelを用いて、簡単な統計処理ができる。「情報基礎Ⅰ」（6回目）
表計算ソフトで基本的な関数を使うことができる。「情報基礎Ⅱ」（9-12回目）</t>
    </r>
    <rPh sb="182" eb="183">
      <t>モチ</t>
    </rPh>
    <rPh sb="186" eb="188">
      <t>カンタン</t>
    </rPh>
    <rPh sb="189" eb="193">
      <t>トウケイショリ</t>
    </rPh>
    <rPh sb="211" eb="214">
      <t>ヒョウケイサン</t>
    </rPh>
    <rPh sb="218" eb="221">
      <t>キホンテキ</t>
    </rPh>
    <rPh sb="222" eb="224">
      <t>カンスウ</t>
    </rPh>
    <rPh sb="225" eb="226">
      <t>ツカ</t>
    </rPh>
    <phoneticPr fontId="1"/>
  </si>
  <si>
    <t>https://www.akashi.ac.jp/fd/datasience.html</t>
    <phoneticPr fontId="1"/>
  </si>
  <si>
    <r>
      <t>機械工学科に関連した技術として、自動運転関係技術:交通標識の認識、電気情報工学科に関連した技術として、ディープラーニングを使った囲碁、都市システム工学科に関連した技術として、IoTを使ったインフラメンテナンス:高速道路のタービン、GIS、建築学科に関連した技術として、ビルセキュリティ、現代アートなどの事例を紹介し、これらの使用されている情報技術の概要を説明する。「データサイエンス入門」（2,3回目）</t>
    </r>
    <r>
      <rPr>
        <sz val="10"/>
        <color rgb="FFFF0000"/>
        <rFont val="ＭＳ Ｐゴシック"/>
        <family val="3"/>
        <charset val="128"/>
        <scheme val="minor"/>
      </rPr>
      <t xml:space="preserve">
C言語によるプログラミング「コンピュータ基礎」（12～15回目）
Excel関数を用いた回帰分析「情報処理Ⅰ」（7、9～12回目）</t>
    </r>
    <rPh sb="203" eb="205">
      <t>ゲンゴ</t>
    </rPh>
    <rPh sb="222" eb="224">
      <t>キソ</t>
    </rPh>
    <rPh sb="231" eb="233">
      <t>カイメ</t>
    </rPh>
    <rPh sb="240" eb="242">
      <t>カンスウ</t>
    </rPh>
    <rPh sb="243" eb="244">
      <t>モチ</t>
    </rPh>
    <rPh sb="246" eb="250">
      <t>カイキブンセキ</t>
    </rPh>
    <rPh sb="251" eb="256">
      <t>ジョウホウショリ1</t>
    </rPh>
    <rPh sb="264" eb="266">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</si>
</sst>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0"/>
      <name val="ＭＳ Ｐゴシック"/>
      <family val="2"/>
      <charset val="128"/>
      <scheme val="minor"/>
    </font>
    <font>
      <sz val="10"/>
      <name val="ＭＳ Ｐゴシック"/>
      <family val="3"/>
      <charset val="128"/>
      <scheme val="minor"/>
    </font>
    <font>
      <sz val="12"/>
      <color rgb="FFFF0000"/>
      <name val="ＭＳ Ｐゴシック"/>
      <family val="3"/>
      <charset val="128"/>
      <scheme val="minor"/>
    </font>
    <font>
      <sz val="10"/>
      <color rgb="FFFF0000"/>
      <name val="ＭＳ Ｐゴシック"/>
      <family val="3"/>
      <charset val="128"/>
      <scheme val="minor"/>
    </font>
    <font>
      <sz val="9"/>
      <color rgb="FFFF0000"/>
      <name val="ＭＳ Ｐゴシック"/>
      <family val="3"/>
      <charset val="128"/>
      <scheme val="minor"/>
    </font>
    <font>
      <sz val="10"/>
      <color rgb="FFFF0000"/>
      <name val="ＭＳ Ｐゴシック"/>
      <family val="2"/>
      <charset val="128"/>
      <scheme val="minor"/>
    </font>
    <font>
      <sz val="11"/>
      <color rgb="FFFF0000"/>
      <name val="ＭＳ Ｐゴシック"/>
      <family val="3"/>
      <charset val="128"/>
      <scheme val="minor"/>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99">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4" fillId="0" borderId="0" xfId="0" applyFont="1" applyAlignment="1">
      <alignment vertical="top" wrapText="1"/>
    </xf>
    <xf numFmtId="0" fontId="5" fillId="0" borderId="0" xfId="0" applyFont="1" applyAlignment="1">
      <alignment vertical="top" wrapText="1"/>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0" xfId="0" applyFont="1" applyBorder="1" applyAlignment="1">
      <alignment horizontal="center" vertical="center"/>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0" xfId="0" applyFont="1" applyAlignment="1">
      <alignment horizontal="center" vertical="center"/>
    </xf>
    <xf numFmtId="0" fontId="8" fillId="0" borderId="0" xfId="0" applyFont="1" applyAlignment="1">
      <alignment vertical="center" wrapText="1"/>
    </xf>
    <xf numFmtId="0" fontId="18" fillId="0" borderId="0" xfId="0" applyFont="1" applyAlignment="1">
      <alignment vertical="top" wrapText="1"/>
    </xf>
    <xf numFmtId="0" fontId="18" fillId="0" borderId="20" xfId="0" applyFont="1" applyBorder="1" applyAlignment="1">
      <alignment vertical="top" shrinkToFit="1"/>
    </xf>
    <xf numFmtId="0" fontId="18" fillId="0" borderId="18" xfId="0" applyFont="1" applyBorder="1" applyAlignment="1">
      <alignment vertical="top" shrinkToFit="1"/>
    </xf>
    <xf numFmtId="0" fontId="8" fillId="0" borderId="23" xfId="0" applyFont="1" applyFill="1" applyBorder="1" applyAlignment="1">
      <alignment horizontal="center" vertical="center" shrinkToFit="1"/>
    </xf>
    <xf numFmtId="49" fontId="18" fillId="2" borderId="50" xfId="0" applyNumberFormat="1" applyFont="1" applyFill="1" applyBorder="1" applyAlignment="1">
      <alignment horizontal="center" vertical="center"/>
    </xf>
    <xf numFmtId="49" fontId="18" fillId="2" borderId="47" xfId="0" applyNumberFormat="1" applyFont="1" applyFill="1" applyBorder="1" applyAlignment="1">
      <alignment horizontal="center" vertical="center"/>
    </xf>
    <xf numFmtId="0" fontId="8" fillId="3" borderId="23" xfId="0" applyFont="1" applyFill="1" applyBorder="1" applyAlignment="1">
      <alignment horizontal="center" vertical="center" shrinkToFit="1"/>
    </xf>
    <xf numFmtId="176" fontId="8" fillId="0" borderId="5" xfId="0" applyNumberFormat="1" applyFont="1" applyBorder="1" applyAlignment="1">
      <alignment vertical="center" shrinkToFit="1"/>
    </xf>
    <xf numFmtId="176" fontId="8" fillId="0" borderId="31" xfId="0" applyNumberFormat="1" applyFont="1" applyBorder="1" applyAlignment="1">
      <alignment vertical="center" shrinkToFit="1"/>
    </xf>
    <xf numFmtId="176" fontId="8" fillId="0" borderId="19" xfId="0" applyNumberFormat="1" applyFont="1" applyBorder="1" applyAlignment="1">
      <alignment vertical="center" shrinkToFit="1"/>
    </xf>
    <xf numFmtId="176" fontId="8" fillId="0" borderId="33" xfId="0" applyNumberFormat="1" applyFont="1" applyBorder="1" applyAlignment="1">
      <alignment vertical="center" shrinkToFit="1"/>
    </xf>
    <xf numFmtId="0" fontId="3" fillId="0" borderId="0" xfId="0" applyFont="1" applyAlignment="1">
      <alignment vertical="top" wrapText="1"/>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24" fillId="0" borderId="19" xfId="0" applyFont="1" applyBorder="1" applyAlignment="1">
      <alignment vertical="center" shrinkToFit="1"/>
    </xf>
    <xf numFmtId="0" fontId="24" fillId="0" borderId="20" xfId="0" applyFont="1" applyBorder="1" applyAlignment="1">
      <alignment vertical="center" shrinkToFit="1"/>
    </xf>
    <xf numFmtId="0" fontId="24" fillId="0" borderId="18" xfId="0" applyFont="1" applyBorder="1" applyAlignment="1">
      <alignment vertical="center" shrinkToFit="1"/>
    </xf>
    <xf numFmtId="0" fontId="7" fillId="0" borderId="0" xfId="2">
      <alignmen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19"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9" fillId="0" borderId="7" xfId="0" applyFont="1" applyBorder="1" applyAlignment="1">
      <alignment vertical="center"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9" fillId="0" borderId="48" xfId="0" applyFont="1" applyBorder="1" applyAlignment="1">
      <alignment vertical="center" wrapText="1"/>
    </xf>
    <xf numFmtId="0" fontId="20" fillId="0" borderId="32" xfId="0" applyFont="1" applyBorder="1" applyAlignment="1">
      <alignment vertical="center" wrapText="1"/>
    </xf>
    <xf numFmtId="0" fontId="22" fillId="0" borderId="8" xfId="0" applyFont="1" applyBorder="1" applyAlignment="1">
      <alignment horizontal="left" vertical="center" wrapText="1"/>
    </xf>
    <xf numFmtId="0" fontId="23" fillId="0" borderId="9" xfId="0" applyFont="1" applyBorder="1" applyAlignment="1">
      <alignment horizontal="left" vertical="center" wrapText="1"/>
    </xf>
    <xf numFmtId="0" fontId="22" fillId="0" borderId="20" xfId="0" applyFont="1" applyBorder="1" applyAlignment="1">
      <alignment horizontal="left" vertical="center" wrapText="1"/>
    </xf>
    <xf numFmtId="0" fontId="23" fillId="0" borderId="18" xfId="0" applyFont="1" applyBorder="1" applyAlignment="1">
      <alignment horizontal="left" vertical="center" wrapText="1"/>
    </xf>
    <xf numFmtId="0" fontId="19" fillId="0" borderId="32" xfId="0" applyFont="1" applyBorder="1" applyAlignment="1">
      <alignment vertical="center" wrapText="1"/>
    </xf>
    <xf numFmtId="0" fontId="20" fillId="0" borderId="49" xfId="0" applyFont="1" applyBorder="1" applyAlignment="1">
      <alignment vertical="center" wrapText="1"/>
    </xf>
    <xf numFmtId="0" fontId="22" fillId="0" borderId="39" xfId="0" applyFont="1" applyBorder="1" applyAlignment="1">
      <alignment vertical="center" wrapText="1"/>
    </xf>
    <xf numFmtId="0" fontId="23" fillId="0" borderId="38" xfId="0" applyFont="1" applyBorder="1" applyAlignment="1">
      <alignment vertical="center" wrapText="1"/>
    </xf>
    <xf numFmtId="0" fontId="23" fillId="0" borderId="19" xfId="0" applyFont="1" applyBorder="1" applyAlignment="1">
      <alignment vertical="center" wrapText="1"/>
    </xf>
    <xf numFmtId="0" fontId="23" fillId="0" borderId="20" xfId="0" applyFont="1" applyBorder="1" applyAlignment="1">
      <alignment vertical="center" wrapText="1"/>
    </xf>
    <xf numFmtId="0" fontId="23" fillId="0" borderId="18" xfId="0" applyFont="1" applyBorder="1" applyAlignment="1">
      <alignment vertical="center" wrapText="1"/>
    </xf>
    <xf numFmtId="0" fontId="23" fillId="0" borderId="6" xfId="0" applyFont="1" applyBorder="1" applyAlignment="1">
      <alignment vertical="center" wrapText="1"/>
    </xf>
    <xf numFmtId="0" fontId="23" fillId="0" borderId="12" xfId="0" applyFont="1" applyBorder="1" applyAlignment="1">
      <alignment vertical="center" wrapText="1"/>
    </xf>
    <xf numFmtId="0" fontId="20" fillId="0" borderId="48" xfId="0" applyFont="1" applyBorder="1" applyAlignment="1">
      <alignment vertical="center" wrapText="1"/>
    </xf>
    <xf numFmtId="0" fontId="22" fillId="0" borderId="39" xfId="0" applyFont="1" applyBorder="1" applyAlignment="1">
      <alignment horizontal="left" vertical="center" wrapText="1" shrinkToFit="1"/>
    </xf>
    <xf numFmtId="0" fontId="23" fillId="0" borderId="39" xfId="0" applyFont="1" applyBorder="1" applyAlignment="1">
      <alignment horizontal="left" vertical="center" shrinkToFit="1"/>
    </xf>
    <xf numFmtId="0" fontId="23" fillId="0" borderId="38" xfId="0" applyFont="1" applyBorder="1" applyAlignment="1">
      <alignment horizontal="left" vertical="center" shrinkToFit="1"/>
    </xf>
    <xf numFmtId="0" fontId="22" fillId="0" borderId="41" xfId="0" applyFont="1" applyBorder="1" applyAlignment="1">
      <alignment horizontal="left" vertical="center" wrapText="1" shrinkToFit="1"/>
    </xf>
    <xf numFmtId="0" fontId="23" fillId="0" borderId="41" xfId="0" applyFont="1" applyBorder="1" applyAlignment="1">
      <alignment horizontal="left" vertical="center" shrinkToFit="1"/>
    </xf>
    <xf numFmtId="0" fontId="23" fillId="0" borderId="42" xfId="0" applyFont="1" applyBorder="1" applyAlignment="1">
      <alignment horizontal="left" vertical="center" shrinkToFit="1"/>
    </xf>
    <xf numFmtId="0" fontId="22" fillId="0" borderId="6" xfId="0" applyFont="1" applyBorder="1" applyAlignment="1">
      <alignment horizontal="left" vertical="center" wrapText="1"/>
    </xf>
    <xf numFmtId="0" fontId="23" fillId="0" borderId="12" xfId="0" applyFont="1" applyBorder="1" applyAlignment="1">
      <alignment horizontal="left" vertical="center" wrapTex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2" fillId="0" borderId="8" xfId="0" applyFont="1" applyBorder="1" applyAlignment="1">
      <alignment horizontal="left" vertical="center" wrapText="1" shrinkToFit="1"/>
    </xf>
    <xf numFmtId="0" fontId="23" fillId="0" borderId="9" xfId="0" applyFont="1" applyBorder="1" applyAlignment="1">
      <alignment horizontal="left" vertical="center" wrapText="1" shrinkToFit="1"/>
    </xf>
    <xf numFmtId="0" fontId="22" fillId="0" borderId="22" xfId="0" applyFont="1" applyBorder="1" applyAlignment="1">
      <alignment horizontal="left" vertical="center" wrapText="1" shrinkToFit="1"/>
    </xf>
    <xf numFmtId="0" fontId="23" fillId="0" borderId="22" xfId="0" applyFont="1" applyBorder="1" applyAlignment="1">
      <alignment horizontal="left" vertical="center" shrinkToFit="1"/>
    </xf>
    <xf numFmtId="0" fontId="23" fillId="0" borderId="21" xfId="0" applyFont="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24" fillId="0" borderId="40" xfId="0" applyFont="1" applyBorder="1" applyAlignment="1">
      <alignment vertical="center" shrinkToFit="1"/>
    </xf>
    <xf numFmtId="0" fontId="24" fillId="0" borderId="41" xfId="0" applyFont="1" applyBorder="1" applyAlignment="1">
      <alignment vertical="center" shrinkToFit="1"/>
    </xf>
    <xf numFmtId="0" fontId="24" fillId="0" borderId="42" xfId="0" applyFont="1" applyBorder="1" applyAlignment="1">
      <alignmen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4" fillId="0" borderId="19" xfId="0" applyFont="1" applyBorder="1" applyAlignment="1">
      <alignment vertical="center" shrinkToFit="1"/>
    </xf>
    <xf numFmtId="0" fontId="24" fillId="0" borderId="20" xfId="0" applyFont="1" applyBorder="1" applyAlignment="1">
      <alignment vertical="center" shrinkToFit="1"/>
    </xf>
    <xf numFmtId="0" fontId="24" fillId="0" borderId="18"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24" fillId="0" borderId="40" xfId="0" applyFont="1" applyBorder="1" applyAlignment="1">
      <alignment horizontal="left" vertical="center" shrinkToFit="1"/>
    </xf>
    <xf numFmtId="0" fontId="24" fillId="0" borderId="41" xfId="0" applyFont="1" applyBorder="1" applyAlignment="1">
      <alignment horizontal="left" vertical="center" shrinkToFit="1"/>
    </xf>
    <xf numFmtId="0" fontId="24" fillId="0" borderId="42" xfId="0" applyFont="1" applyBorder="1" applyAlignment="1">
      <alignment horizontal="left" vertical="center" shrinkToFit="1"/>
    </xf>
    <xf numFmtId="0" fontId="8" fillId="0" borderId="0" xfId="0" applyFont="1" applyAlignment="1">
      <alignment vertical="center" wrapText="1"/>
    </xf>
    <xf numFmtId="0" fontId="24" fillId="0" borderId="19" xfId="0" applyFont="1" applyBorder="1" applyAlignment="1">
      <alignment horizontal="left" vertical="center" shrinkToFit="1"/>
    </xf>
    <xf numFmtId="0" fontId="24" fillId="0" borderId="20" xfId="0" applyFont="1" applyBorder="1" applyAlignment="1">
      <alignment horizontal="left" vertical="center" shrinkToFit="1"/>
    </xf>
    <xf numFmtId="0" fontId="24" fillId="0" borderId="18" xfId="0" applyFont="1" applyBorder="1" applyAlignment="1">
      <alignment horizontal="lef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24" fillId="3" borderId="19" xfId="0" applyFont="1" applyFill="1" applyBorder="1" applyAlignment="1">
      <alignment horizontal="left" vertical="center" shrinkToFit="1"/>
    </xf>
    <xf numFmtId="0" fontId="24" fillId="3" borderId="20" xfId="0" applyFont="1" applyFill="1" applyBorder="1" applyAlignment="1">
      <alignment horizontal="left" vertical="center" shrinkToFit="1"/>
    </xf>
    <xf numFmtId="0" fontId="24" fillId="3" borderId="18" xfId="0" applyFont="1" applyFill="1" applyBorder="1" applyAlignment="1">
      <alignment horizontal="left" vertical="center" shrinkToFit="1"/>
    </xf>
    <xf numFmtId="0" fontId="8" fillId="3" borderId="19"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18" xfId="0" applyFont="1" applyFill="1" applyBorder="1" applyAlignment="1">
      <alignment horizontal="center" vertical="center"/>
    </xf>
    <xf numFmtId="0" fontId="8" fillId="3" borderId="19" xfId="0" applyFont="1" applyFill="1" applyBorder="1" applyAlignment="1">
      <alignment horizontal="left" vertical="center" shrinkToFit="1"/>
    </xf>
    <xf numFmtId="0" fontId="8" fillId="3" borderId="20" xfId="0" applyFont="1" applyFill="1" applyBorder="1" applyAlignment="1">
      <alignment horizontal="left" vertical="center" shrinkToFit="1"/>
    </xf>
    <xf numFmtId="0" fontId="8" fillId="3" borderId="18" xfId="0" applyFont="1" applyFill="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9" xfId="0" applyFont="1" applyFill="1" applyBorder="1" applyAlignment="1">
      <alignment horizontal="left" vertical="center" shrinkToFit="1"/>
    </xf>
    <xf numFmtId="0" fontId="8" fillId="0" borderId="20" xfId="0" applyFont="1" applyFill="1" applyBorder="1" applyAlignment="1">
      <alignment horizontal="left" vertical="center" shrinkToFit="1"/>
    </xf>
    <xf numFmtId="0" fontId="8" fillId="0" borderId="18" xfId="0" applyFont="1" applyFill="1" applyBorder="1" applyAlignment="1">
      <alignment horizontal="left" vertical="center" shrinkToFit="1"/>
    </xf>
    <xf numFmtId="0" fontId="8" fillId="0" borderId="19" xfId="0" applyFont="1" applyFill="1" applyBorder="1" applyAlignment="1">
      <alignment horizontal="center" vertical="center"/>
    </xf>
    <xf numFmtId="0" fontId="8" fillId="0" borderId="20" xfId="0" applyFont="1" applyFill="1" applyBorder="1" applyAlignment="1">
      <alignment horizontal="center" vertical="center"/>
    </xf>
    <xf numFmtId="0" fontId="8" fillId="0" borderId="18" xfId="0" applyFont="1" applyFill="1" applyBorder="1" applyAlignment="1">
      <alignment horizontal="center" vertical="center"/>
    </xf>
    <xf numFmtId="0" fontId="9" fillId="0" borderId="0" xfId="0" applyFont="1" applyAlignment="1">
      <alignment horizontal="center" vertical="center"/>
    </xf>
    <xf numFmtId="0" fontId="17" fillId="0" borderId="0" xfId="0" applyFont="1" applyAlignment="1">
      <alignment horizontal="center" vertical="center"/>
    </xf>
    <xf numFmtId="0" fontId="24"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22" fillId="0" borderId="6" xfId="0" applyFont="1" applyBorder="1" applyAlignment="1">
      <alignment vertical="center" wrapText="1"/>
    </xf>
    <xf numFmtId="0" fontId="8" fillId="0" borderId="7" xfId="0" applyFont="1" applyBorder="1" applyAlignment="1">
      <alignment horizontal="left" vertical="top" wrapText="1" shrinkToFit="1"/>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28" fillId="0" borderId="7" xfId="0" applyFont="1" applyBorder="1" applyAlignment="1">
      <alignment vertical="top" wrapText="1" shrinkToFit="1"/>
    </xf>
    <xf numFmtId="0" fontId="24" fillId="0" borderId="8" xfId="0" applyFont="1" applyBorder="1" applyAlignment="1">
      <alignment vertical="top" wrapText="1" shrinkToFit="1"/>
    </xf>
    <xf numFmtId="0" fontId="24" fillId="0" borderId="9" xfId="0" applyFont="1" applyBorder="1" applyAlignment="1">
      <alignment vertical="top" wrapText="1" shrinkToFit="1"/>
    </xf>
    <xf numFmtId="0" fontId="24" fillId="0" borderId="5" xfId="0" applyFont="1" applyBorder="1" applyAlignment="1">
      <alignment vertical="top" wrapText="1" shrinkToFit="1"/>
    </xf>
    <xf numFmtId="0" fontId="24" fillId="0" borderId="0" xfId="0" applyFont="1" applyAlignment="1">
      <alignment vertical="top" wrapText="1" shrinkToFit="1"/>
    </xf>
    <xf numFmtId="0" fontId="24" fillId="0" borderId="10" xfId="0" applyFont="1" applyBorder="1" applyAlignment="1">
      <alignment vertical="top" wrapText="1" shrinkToFit="1"/>
    </xf>
    <xf numFmtId="0" fontId="24" fillId="0" borderId="11" xfId="0" applyFont="1" applyBorder="1" applyAlignment="1">
      <alignment vertical="top" wrapText="1" shrinkToFit="1"/>
    </xf>
    <xf numFmtId="0" fontId="24" fillId="0" borderId="6" xfId="0" applyFont="1" applyBorder="1" applyAlignment="1">
      <alignment vertical="top" wrapText="1" shrinkToFit="1"/>
    </xf>
    <xf numFmtId="0" fontId="24" fillId="0" borderId="12" xfId="0" applyFont="1" applyBorder="1" applyAlignment="1">
      <alignment vertical="top" wrapText="1" shrinkToFit="1"/>
    </xf>
    <xf numFmtId="0" fontId="24" fillId="0" borderId="8" xfId="0" applyFont="1" applyBorder="1" applyAlignment="1">
      <alignment vertical="top" shrinkToFit="1"/>
    </xf>
    <xf numFmtId="0" fontId="24" fillId="0" borderId="9" xfId="0" applyFont="1" applyBorder="1" applyAlignment="1">
      <alignment vertical="top" shrinkToFit="1"/>
    </xf>
    <xf numFmtId="0" fontId="24" fillId="0" borderId="5" xfId="0" applyFont="1" applyBorder="1" applyAlignment="1">
      <alignment vertical="top" shrinkToFit="1"/>
    </xf>
    <xf numFmtId="0" fontId="24" fillId="0" borderId="0" xfId="0" applyFont="1" applyAlignment="1">
      <alignment vertical="top" shrinkToFit="1"/>
    </xf>
    <xf numFmtId="0" fontId="24" fillId="0" borderId="10" xfId="0" applyFont="1" applyBorder="1" applyAlignment="1">
      <alignment vertical="top" shrinkToFit="1"/>
    </xf>
    <xf numFmtId="0" fontId="24" fillId="0" borderId="11" xfId="0" applyFont="1" applyBorder="1" applyAlignment="1">
      <alignment vertical="top" shrinkToFit="1"/>
    </xf>
    <xf numFmtId="0" fontId="24" fillId="0" borderId="6" xfId="0" applyFont="1" applyBorder="1" applyAlignment="1">
      <alignment vertical="top" shrinkToFit="1"/>
    </xf>
    <xf numFmtId="0" fontId="24" fillId="0" borderId="12" xfId="0" applyFont="1" applyBorder="1" applyAlignment="1">
      <alignment vertical="top" shrinkToFit="1"/>
    </xf>
    <xf numFmtId="0" fontId="8" fillId="0" borderId="6" xfId="0" applyFont="1" applyBorder="1" applyAlignment="1">
      <alignment vertical="center"/>
    </xf>
    <xf numFmtId="0" fontId="24" fillId="0" borderId="7" xfId="0" applyFont="1" applyBorder="1" applyAlignment="1">
      <alignment vertical="top" wrapText="1" shrinkToFit="1"/>
    </xf>
    <xf numFmtId="0" fontId="28" fillId="0" borderId="16" xfId="0" applyFont="1" applyBorder="1" applyAlignment="1">
      <alignment vertical="top" wrapText="1" shrinkToFit="1"/>
    </xf>
    <xf numFmtId="0" fontId="24" fillId="0" borderId="22" xfId="0" applyFont="1" applyBorder="1" applyAlignment="1">
      <alignment vertical="top" shrinkToFit="1"/>
    </xf>
    <xf numFmtId="0" fontId="24" fillId="0" borderId="21"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18" fillId="0" borderId="7" xfId="0" applyFont="1" applyBorder="1" applyAlignment="1">
      <alignment vertical="top" wrapText="1" shrinkToFit="1"/>
    </xf>
    <xf numFmtId="0" fontId="18" fillId="0" borderId="8" xfId="0" applyFont="1" applyBorder="1" applyAlignment="1">
      <alignment vertical="top" wrapText="1" shrinkToFit="1"/>
    </xf>
    <xf numFmtId="0" fontId="18" fillId="0" borderId="8" xfId="0" applyFont="1" applyBorder="1" applyAlignment="1">
      <alignment vertical="top" shrinkToFit="1"/>
    </xf>
    <xf numFmtId="0" fontId="18" fillId="0" borderId="9" xfId="0" applyFont="1" applyBorder="1" applyAlignment="1">
      <alignment vertical="top" shrinkToFit="1"/>
    </xf>
    <xf numFmtId="0" fontId="18" fillId="0" borderId="5" xfId="0" applyFont="1" applyBorder="1" applyAlignment="1">
      <alignment vertical="top" shrinkToFit="1"/>
    </xf>
    <xf numFmtId="0" fontId="18" fillId="0" borderId="0" xfId="0" applyFont="1" applyAlignment="1">
      <alignment vertical="top" shrinkToFit="1"/>
    </xf>
    <xf numFmtId="0" fontId="18" fillId="0" borderId="10" xfId="0" applyFont="1" applyBorder="1" applyAlignment="1">
      <alignment vertical="top" shrinkToFit="1"/>
    </xf>
    <xf numFmtId="0" fontId="18" fillId="0" borderId="11" xfId="0" applyFont="1" applyBorder="1" applyAlignment="1">
      <alignment vertical="top" shrinkToFit="1"/>
    </xf>
    <xf numFmtId="0" fontId="18" fillId="0" borderId="6" xfId="0" applyFont="1" applyBorder="1" applyAlignment="1">
      <alignment vertical="top" shrinkToFit="1"/>
    </xf>
    <xf numFmtId="0" fontId="18"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7" fillId="0" borderId="2" xfId="2" applyBorder="1" applyAlignment="1">
      <alignment horizontal="center" vertical="center" shrinkToFit="1"/>
    </xf>
    <xf numFmtId="0" fontId="11" fillId="0" borderId="3" xfId="2" applyFont="1" applyBorder="1" applyAlignment="1">
      <alignment horizontal="center" vertical="center" shrinkToFit="1"/>
    </xf>
    <xf numFmtId="0" fontId="11"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24" fillId="0" borderId="19" xfId="0" applyFont="1" applyBorder="1" applyAlignment="1">
      <alignment vertical="top" wrapText="1" shrinkToFit="1"/>
    </xf>
    <xf numFmtId="0" fontId="24" fillId="0" borderId="20" xfId="0" applyFont="1" applyBorder="1" applyAlignment="1">
      <alignment vertical="top" wrapText="1" shrinkToFit="1"/>
    </xf>
    <xf numFmtId="0" fontId="24" fillId="0" borderId="18" xfId="0" applyFont="1" applyBorder="1" applyAlignment="1">
      <alignment vertical="top" wrapText="1" shrinkToFit="1"/>
    </xf>
    <xf numFmtId="0" fontId="8" fillId="0" borderId="19" xfId="0" applyFont="1" applyBorder="1" applyAlignment="1">
      <alignment vertical="top" wrapText="1" shrinkToFit="1"/>
    </xf>
    <xf numFmtId="0" fontId="2" fillId="0" borderId="17" xfId="0" applyFont="1" applyBorder="1" applyAlignment="1">
      <alignment vertical="center"/>
    </xf>
    <xf numFmtId="0" fontId="0" fillId="0" borderId="18" xfId="0"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jim@akashi.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kashi.ac.jp/fd/datasience.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akashi.ac.jp/fd/datasience.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akashi.ac.jp/fd/datasience.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akashi.ac.jp/fd/datasience.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akashi.ac.jp/fd/datasience.html"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U11" sqref="U11"/>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56" t="s">
        <v>0</v>
      </c>
      <c r="N1" s="156"/>
    </row>
    <row r="2" spans="1:15" ht="24" customHeight="1" x14ac:dyDescent="0.15">
      <c r="A2" s="160" t="s">
        <v>1</v>
      </c>
      <c r="B2" s="160"/>
      <c r="C2" s="160"/>
      <c r="D2" s="160"/>
      <c r="E2" s="160"/>
      <c r="F2" s="160"/>
      <c r="G2" s="160"/>
      <c r="H2" s="160"/>
      <c r="I2" s="160"/>
      <c r="J2" s="160"/>
      <c r="K2" s="160"/>
      <c r="L2" s="160"/>
      <c r="M2" s="160"/>
      <c r="N2" s="160"/>
    </row>
    <row r="3" spans="1:15" ht="24" customHeight="1" x14ac:dyDescent="0.15"/>
    <row r="4" spans="1:15" ht="24" customHeight="1" x14ac:dyDescent="0.15">
      <c r="A4" s="14" t="s">
        <v>2</v>
      </c>
      <c r="B4" s="15" t="s">
        <v>3</v>
      </c>
      <c r="C4" s="148" t="s">
        <v>146</v>
      </c>
      <c r="D4" s="149"/>
      <c r="E4" s="149"/>
      <c r="F4" s="149"/>
      <c r="G4" s="149"/>
      <c r="H4" s="149"/>
      <c r="I4" s="149"/>
      <c r="J4" s="149"/>
      <c r="K4" s="149"/>
      <c r="L4" s="149"/>
      <c r="M4" s="149"/>
      <c r="N4" s="155"/>
      <c r="O4" s="31" t="str">
        <f>IF(C4="","入力してください","")</f>
        <v/>
      </c>
    </row>
    <row r="5" spans="1:15" ht="7.5" customHeight="1" x14ac:dyDescent="0.15">
      <c r="B5" s="15"/>
      <c r="C5" s="15"/>
      <c r="D5" s="15"/>
      <c r="E5" s="16"/>
      <c r="F5" s="112"/>
      <c r="G5" s="112"/>
      <c r="H5" s="112"/>
      <c r="I5" s="112"/>
      <c r="J5" s="112"/>
      <c r="K5" s="112"/>
      <c r="L5" s="112"/>
      <c r="M5" s="112"/>
      <c r="N5" s="112"/>
    </row>
    <row r="6" spans="1:15" ht="24" customHeight="1" x14ac:dyDescent="0.15">
      <c r="A6" s="14" t="s">
        <v>4</v>
      </c>
      <c r="B6" s="15" t="s">
        <v>5</v>
      </c>
      <c r="C6" s="15"/>
      <c r="D6" s="148" t="s">
        <v>147</v>
      </c>
      <c r="E6" s="149"/>
      <c r="F6" s="149"/>
      <c r="G6" s="149"/>
      <c r="H6" s="155"/>
      <c r="I6" s="17" t="s">
        <v>6</v>
      </c>
      <c r="J6" s="112" t="s">
        <v>7</v>
      </c>
      <c r="K6" s="148" t="s">
        <v>148</v>
      </c>
      <c r="L6" s="149"/>
      <c r="M6" s="149"/>
      <c r="N6" s="155"/>
      <c r="O6" s="31" t="str">
        <f>IF(D6="","入力してください","")</f>
        <v/>
      </c>
    </row>
    <row r="7" spans="1:15" ht="7.5" customHeight="1" x14ac:dyDescent="0.15">
      <c r="B7" s="15"/>
      <c r="C7" s="15"/>
      <c r="D7" s="15"/>
      <c r="E7" s="16"/>
      <c r="F7" s="112"/>
      <c r="G7" s="112"/>
      <c r="H7" s="112"/>
      <c r="I7" s="112"/>
      <c r="J7" s="112"/>
      <c r="K7" s="112"/>
      <c r="L7" s="112"/>
      <c r="M7" s="112"/>
      <c r="N7" s="112"/>
    </row>
    <row r="8" spans="1:15" ht="24" customHeight="1" x14ac:dyDescent="0.15">
      <c r="A8" s="14" t="s">
        <v>8</v>
      </c>
      <c r="B8" s="15" t="s">
        <v>9</v>
      </c>
      <c r="C8" s="148" t="s">
        <v>149</v>
      </c>
      <c r="D8" s="149"/>
      <c r="E8" s="149"/>
      <c r="F8" s="149"/>
      <c r="G8" s="149"/>
      <c r="H8" s="149"/>
      <c r="I8" s="149"/>
      <c r="J8" s="149"/>
      <c r="K8" s="149"/>
      <c r="L8" s="149"/>
      <c r="M8" s="149"/>
      <c r="N8" s="155"/>
      <c r="O8" s="31" t="str">
        <f>IF(C8="","入力してください","")</f>
        <v/>
      </c>
    </row>
    <row r="9" spans="1:15" ht="7.5" customHeight="1" x14ac:dyDescent="0.15">
      <c r="B9" s="15"/>
      <c r="C9" s="15"/>
      <c r="D9" s="15"/>
      <c r="E9" s="16"/>
      <c r="F9" s="112"/>
      <c r="G9" s="112"/>
      <c r="H9" s="112"/>
      <c r="I9" s="112"/>
      <c r="J9" s="112"/>
      <c r="K9" s="112"/>
      <c r="L9" s="112"/>
      <c r="M9" s="112"/>
      <c r="N9" s="112"/>
    </row>
    <row r="10" spans="1:15" ht="24" customHeight="1" x14ac:dyDescent="0.15">
      <c r="A10" s="14" t="s">
        <v>10</v>
      </c>
      <c r="B10" s="15" t="s">
        <v>11</v>
      </c>
      <c r="C10" s="15"/>
      <c r="D10" s="15"/>
      <c r="E10" s="148" t="s">
        <v>150</v>
      </c>
      <c r="F10" s="149"/>
      <c r="G10" s="149"/>
      <c r="H10" s="149"/>
      <c r="I10" s="149"/>
      <c r="J10" s="149"/>
      <c r="K10" s="149"/>
      <c r="L10" s="149"/>
      <c r="M10" s="149"/>
      <c r="N10" s="155"/>
      <c r="O10" s="31" t="str">
        <f>IF(E10="","入力してください","")</f>
        <v/>
      </c>
    </row>
    <row r="11" spans="1:15" ht="7.5" customHeight="1" x14ac:dyDescent="0.15">
      <c r="B11" s="16"/>
      <c r="C11" s="16"/>
      <c r="D11" s="16"/>
      <c r="E11" s="16"/>
      <c r="F11" s="112"/>
      <c r="G11" s="112"/>
      <c r="H11" s="112"/>
      <c r="I11" s="112"/>
      <c r="J11" s="112"/>
      <c r="K11" s="112"/>
      <c r="L11" s="112"/>
      <c r="M11" s="112"/>
      <c r="N11" s="112"/>
    </row>
    <row r="12" spans="1:15" ht="24" customHeight="1" x14ac:dyDescent="0.15">
      <c r="A12" s="14" t="s">
        <v>12</v>
      </c>
      <c r="B12" s="16" t="s">
        <v>13</v>
      </c>
      <c r="C12" s="16"/>
      <c r="D12" s="16"/>
      <c r="E12" s="161" t="s">
        <v>200</v>
      </c>
      <c r="F12" s="162"/>
      <c r="G12" s="17" t="s">
        <v>14</v>
      </c>
      <c r="H12" s="14" t="s">
        <v>15</v>
      </c>
      <c r="N12" s="109" t="s">
        <v>151</v>
      </c>
      <c r="O12" s="31" t="str">
        <f>IF(E12="","入力してください","")</f>
        <v/>
      </c>
    </row>
    <row r="13" spans="1:15" ht="7.5" customHeight="1" x14ac:dyDescent="0.15">
      <c r="B13" s="16"/>
      <c r="C13" s="16"/>
      <c r="D13" s="16"/>
      <c r="E13" s="16"/>
      <c r="F13" s="112"/>
      <c r="G13" s="112"/>
      <c r="H13" s="112"/>
      <c r="I13" s="112"/>
      <c r="J13" s="112"/>
      <c r="K13" s="112"/>
      <c r="L13" s="112"/>
      <c r="M13" s="112"/>
      <c r="N13" s="112"/>
    </row>
    <row r="14" spans="1:15" ht="24" customHeight="1" x14ac:dyDescent="0.15">
      <c r="A14" s="14" t="s">
        <v>16</v>
      </c>
      <c r="B14" s="14" t="s">
        <v>17</v>
      </c>
      <c r="C14" s="157" t="s">
        <v>18</v>
      </c>
      <c r="D14" s="158"/>
      <c r="E14" s="152">
        <v>59</v>
      </c>
      <c r="F14" s="153"/>
      <c r="G14" s="18" t="s">
        <v>19</v>
      </c>
      <c r="I14" s="157" t="s">
        <v>20</v>
      </c>
      <c r="J14" s="158"/>
      <c r="K14" s="152">
        <v>76</v>
      </c>
      <c r="L14" s="159"/>
      <c r="M14" s="153"/>
      <c r="N14" s="19" t="s">
        <v>19</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21</v>
      </c>
      <c r="B16" s="14" t="s">
        <v>22</v>
      </c>
      <c r="F16" s="20"/>
      <c r="G16" s="20"/>
      <c r="H16" s="20"/>
      <c r="I16" s="20"/>
      <c r="J16" s="20"/>
      <c r="K16" s="140">
        <v>9</v>
      </c>
      <c r="L16" s="141"/>
      <c r="M16" s="142"/>
      <c r="N16" s="19" t="s">
        <v>19</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23</v>
      </c>
      <c r="B18" s="14" t="s">
        <v>24</v>
      </c>
      <c r="E18" s="152">
        <v>160</v>
      </c>
      <c r="F18" s="153"/>
      <c r="G18" s="21" t="s">
        <v>25</v>
      </c>
      <c r="H18" s="20"/>
      <c r="K18" s="154"/>
      <c r="L18" s="154"/>
      <c r="M18" s="154"/>
      <c r="N18" s="154"/>
      <c r="O18" s="31" t="str">
        <f>IF(E18="","入力してください","")</f>
        <v/>
      </c>
    </row>
    <row r="19" spans="1:15" ht="7.5" customHeight="1" x14ac:dyDescent="0.15">
      <c r="E19" s="10"/>
      <c r="F19" s="20"/>
      <c r="G19" s="20"/>
      <c r="L19" s="111"/>
      <c r="M19" s="111"/>
      <c r="N19" s="22"/>
    </row>
    <row r="20" spans="1:15" ht="24" customHeight="1" x14ac:dyDescent="0.15">
      <c r="A20" s="14" t="s">
        <v>26</v>
      </c>
      <c r="B20" s="14" t="s">
        <v>27</v>
      </c>
      <c r="E20" s="10"/>
      <c r="F20" s="20"/>
      <c r="G20" s="20"/>
      <c r="H20" s="14" t="s">
        <v>28</v>
      </c>
      <c r="J20" s="143">
        <v>846</v>
      </c>
      <c r="K20" s="144"/>
      <c r="L20" s="145"/>
      <c r="M20" s="111" t="s">
        <v>19</v>
      </c>
      <c r="N20" s="22"/>
      <c r="O20" s="31" t="str">
        <f>IF(J20="","入力してください","")</f>
        <v/>
      </c>
    </row>
    <row r="21" spans="1:15" ht="7.5" customHeight="1" x14ac:dyDescent="0.15">
      <c r="E21" s="10"/>
      <c r="F21" s="20"/>
      <c r="G21" s="20"/>
      <c r="L21" s="111"/>
      <c r="M21" s="111"/>
      <c r="N21" s="22"/>
    </row>
    <row r="22" spans="1:15" ht="24" customHeight="1" x14ac:dyDescent="0.15">
      <c r="B22" s="29" t="s">
        <v>29</v>
      </c>
      <c r="C22" s="152">
        <v>170</v>
      </c>
      <c r="D22" s="153"/>
      <c r="E22" s="10" t="s">
        <v>19</v>
      </c>
      <c r="F22" s="20"/>
      <c r="G22" s="146" t="s">
        <v>30</v>
      </c>
      <c r="H22" s="146"/>
      <c r="I22" s="152">
        <v>173</v>
      </c>
      <c r="J22" s="153"/>
      <c r="K22" s="17" t="s">
        <v>19</v>
      </c>
      <c r="M22" s="111"/>
      <c r="N22" s="22"/>
    </row>
    <row r="23" spans="1:15" ht="7.5" customHeight="1" x14ac:dyDescent="0.15">
      <c r="B23" s="29"/>
      <c r="C23" s="11"/>
      <c r="D23" s="11"/>
      <c r="E23" s="10"/>
      <c r="F23" s="20"/>
      <c r="G23" s="111"/>
      <c r="H23" s="111"/>
      <c r="I23" s="11"/>
      <c r="J23" s="11"/>
      <c r="K23" s="17"/>
      <c r="M23" s="111"/>
      <c r="N23" s="22"/>
    </row>
    <row r="24" spans="1:15" ht="24" customHeight="1" x14ac:dyDescent="0.15">
      <c r="B24" s="29" t="s">
        <v>31</v>
      </c>
      <c r="C24" s="152">
        <v>168</v>
      </c>
      <c r="D24" s="153"/>
      <c r="E24" s="10" t="s">
        <v>19</v>
      </c>
      <c r="F24" s="20"/>
      <c r="G24" s="146" t="s">
        <v>32</v>
      </c>
      <c r="H24" s="146"/>
      <c r="I24" s="152">
        <v>174</v>
      </c>
      <c r="J24" s="153"/>
      <c r="K24" s="17" t="s">
        <v>19</v>
      </c>
      <c r="M24" s="111"/>
      <c r="N24" s="22"/>
    </row>
    <row r="25" spans="1:15" ht="7.5" customHeight="1" x14ac:dyDescent="0.15">
      <c r="B25" s="29"/>
      <c r="C25" s="11"/>
      <c r="D25" s="11"/>
      <c r="E25" s="10"/>
      <c r="F25" s="20"/>
      <c r="G25" s="111"/>
      <c r="H25" s="111"/>
      <c r="I25" s="11"/>
      <c r="J25" s="11"/>
      <c r="K25" s="17"/>
      <c r="M25" s="111"/>
      <c r="N25" s="22"/>
    </row>
    <row r="26" spans="1:15" ht="24" customHeight="1" x14ac:dyDescent="0.15">
      <c r="B26" s="29" t="s">
        <v>33</v>
      </c>
      <c r="C26" s="152">
        <v>161</v>
      </c>
      <c r="D26" s="153"/>
      <c r="E26" s="10" t="s">
        <v>19</v>
      </c>
      <c r="F26" s="20"/>
      <c r="G26" s="146" t="s">
        <v>34</v>
      </c>
      <c r="H26" s="146"/>
      <c r="I26" s="152"/>
      <c r="J26" s="153"/>
      <c r="K26" s="17" t="s">
        <v>19</v>
      </c>
      <c r="M26" s="111"/>
      <c r="N26" s="22"/>
    </row>
    <row r="27" spans="1:15" ht="7.5" customHeight="1" x14ac:dyDescent="0.15">
      <c r="F27" s="20"/>
      <c r="G27" s="20"/>
      <c r="M27" s="23"/>
      <c r="N27" s="23"/>
    </row>
    <row r="28" spans="1:15" ht="24" customHeight="1" x14ac:dyDescent="0.15">
      <c r="A28" s="14" t="s">
        <v>35</v>
      </c>
      <c r="B28" s="15" t="s">
        <v>36</v>
      </c>
      <c r="C28" s="15"/>
      <c r="D28" s="15"/>
      <c r="E28" s="15"/>
      <c r="F28" s="17"/>
      <c r="G28" s="112"/>
      <c r="H28" s="112"/>
      <c r="I28" s="112"/>
      <c r="J28" s="24"/>
      <c r="K28" s="24"/>
      <c r="L28" s="24"/>
      <c r="M28" s="24"/>
      <c r="N28" s="24"/>
    </row>
    <row r="29" spans="1:15" s="14" customFormat="1" ht="24" customHeight="1" x14ac:dyDescent="0.15">
      <c r="B29" s="147" t="s">
        <v>37</v>
      </c>
      <c r="C29" s="147"/>
      <c r="D29" s="148" t="s">
        <v>156</v>
      </c>
      <c r="E29" s="149"/>
      <c r="F29" s="149"/>
      <c r="G29" s="150" t="s">
        <v>38</v>
      </c>
      <c r="H29" s="147"/>
      <c r="I29" s="151"/>
      <c r="J29" s="148" t="s">
        <v>152</v>
      </c>
      <c r="K29" s="149"/>
      <c r="L29" s="149"/>
      <c r="M29" s="149"/>
      <c r="N29" s="155"/>
      <c r="O29" s="31" t="str">
        <f>IF(OR(D29="",J29=""),"入力してください","")</f>
        <v/>
      </c>
    </row>
    <row r="30" spans="1:15" ht="7.5" customHeight="1" x14ac:dyDescent="0.15">
      <c r="F30" s="20"/>
      <c r="G30" s="20"/>
      <c r="M30" s="23"/>
      <c r="N30" s="23"/>
    </row>
    <row r="31" spans="1:15" ht="24" customHeight="1" x14ac:dyDescent="0.15">
      <c r="A31" s="14" t="s">
        <v>39</v>
      </c>
      <c r="B31" s="15" t="s">
        <v>40</v>
      </c>
      <c r="C31" s="15"/>
      <c r="D31" s="15"/>
      <c r="E31" s="15"/>
      <c r="F31" s="17"/>
      <c r="G31" s="24"/>
      <c r="H31" s="24"/>
      <c r="I31" s="24"/>
      <c r="J31" s="24"/>
      <c r="K31" s="24"/>
      <c r="L31" s="24"/>
      <c r="M31" s="24"/>
      <c r="N31" s="24"/>
    </row>
    <row r="32" spans="1:15" ht="24" customHeight="1" x14ac:dyDescent="0.15">
      <c r="B32" s="148" t="s">
        <v>208</v>
      </c>
      <c r="C32" s="149"/>
      <c r="D32" s="149"/>
      <c r="E32" s="149"/>
      <c r="F32" s="149"/>
      <c r="G32" s="149"/>
      <c r="H32" s="149"/>
      <c r="I32" s="149"/>
      <c r="J32" s="149"/>
      <c r="K32" s="149"/>
      <c r="L32" s="149"/>
      <c r="M32" s="149"/>
      <c r="N32" s="155"/>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47" t="s">
        <v>37</v>
      </c>
      <c r="C34" s="147"/>
      <c r="D34" s="148" t="s">
        <v>153</v>
      </c>
      <c r="E34" s="149"/>
      <c r="F34" s="149"/>
      <c r="G34" s="150" t="s">
        <v>38</v>
      </c>
      <c r="H34" s="147"/>
      <c r="I34" s="151"/>
      <c r="J34" s="148" t="s">
        <v>154</v>
      </c>
      <c r="K34" s="149"/>
      <c r="L34" s="149"/>
      <c r="M34" s="149"/>
      <c r="N34" s="155"/>
      <c r="O34" s="31" t="str">
        <f>IF(OR(D34="",J34=""),"入力してください","")</f>
        <v/>
      </c>
    </row>
    <row r="35" spans="1:15" ht="7.5" customHeight="1" x14ac:dyDescent="0.15">
      <c r="F35" s="112"/>
      <c r="G35" s="112"/>
      <c r="H35" s="112"/>
      <c r="I35" s="112"/>
      <c r="J35" s="112"/>
      <c r="K35" s="112"/>
      <c r="L35" s="112"/>
      <c r="M35" s="112"/>
      <c r="N35" s="112"/>
    </row>
    <row r="36" spans="1:15" ht="24" customHeight="1" x14ac:dyDescent="0.15">
      <c r="A36" s="14" t="s">
        <v>41</v>
      </c>
      <c r="B36" s="14" t="s">
        <v>42</v>
      </c>
      <c r="M36" s="23"/>
      <c r="N36" s="23"/>
    </row>
    <row r="37" spans="1:15" ht="24" customHeight="1" x14ac:dyDescent="0.15">
      <c r="B37" s="148" t="s">
        <v>155</v>
      </c>
      <c r="C37" s="149"/>
      <c r="D37" s="149"/>
      <c r="E37" s="149"/>
      <c r="F37" s="149"/>
      <c r="G37" s="149"/>
      <c r="H37" s="149"/>
      <c r="I37" s="149"/>
      <c r="J37" s="149"/>
      <c r="K37" s="149"/>
      <c r="L37" s="149"/>
      <c r="M37" s="149"/>
      <c r="N37" s="155"/>
      <c r="O37" s="31" t="str">
        <f>IF(B37="","入力してください","")</f>
        <v/>
      </c>
    </row>
    <row r="38" spans="1:15" ht="7.5" customHeight="1" x14ac:dyDescent="0.15">
      <c r="F38" s="112"/>
      <c r="G38" s="112"/>
      <c r="H38" s="112"/>
      <c r="I38" s="112"/>
      <c r="J38" s="112"/>
      <c r="K38" s="112"/>
      <c r="L38" s="112"/>
      <c r="M38" s="112"/>
      <c r="N38" s="112"/>
    </row>
    <row r="39" spans="1:15" s="14" customFormat="1" ht="24" customHeight="1" x14ac:dyDescent="0.15">
      <c r="B39" s="147" t="s">
        <v>37</v>
      </c>
      <c r="C39" s="147"/>
      <c r="D39" s="148" t="s">
        <v>209</v>
      </c>
      <c r="E39" s="149"/>
      <c r="F39" s="149"/>
      <c r="G39" s="150" t="s">
        <v>38</v>
      </c>
      <c r="H39" s="147"/>
      <c r="I39" s="151"/>
      <c r="J39" s="148" t="s">
        <v>210</v>
      </c>
      <c r="K39" s="149"/>
      <c r="L39" s="149"/>
      <c r="M39" s="149"/>
      <c r="N39" s="155"/>
      <c r="O39" s="31" t="str">
        <f>IF(OR(D39="",J39=""),"入力してください","")</f>
        <v/>
      </c>
    </row>
    <row r="40" spans="1:15" ht="7.5" customHeight="1" x14ac:dyDescent="0.15">
      <c r="F40" s="112"/>
      <c r="G40" s="112"/>
      <c r="H40" s="112"/>
      <c r="I40" s="112"/>
      <c r="J40" s="112"/>
      <c r="K40" s="112"/>
      <c r="L40" s="112"/>
      <c r="M40" s="112"/>
      <c r="N40" s="112"/>
    </row>
    <row r="41" spans="1:15" ht="24" customHeight="1" x14ac:dyDescent="0.15">
      <c r="A41" s="14" t="s">
        <v>43</v>
      </c>
      <c r="B41" s="65" t="s">
        <v>44</v>
      </c>
      <c r="E41" s="66"/>
      <c r="F41" s="148" t="s">
        <v>174</v>
      </c>
      <c r="G41" s="149"/>
      <c r="H41" s="149"/>
      <c r="I41" s="149"/>
      <c r="J41" s="149"/>
      <c r="K41" s="149"/>
      <c r="L41" s="149"/>
      <c r="M41" s="149"/>
      <c r="N41" s="155"/>
      <c r="O41" s="31" t="str">
        <f>IF(F41="","入力してください","")</f>
        <v/>
      </c>
    </row>
    <row r="42" spans="1:15" ht="7.5" customHeight="1" x14ac:dyDescent="0.15">
      <c r="F42" s="112"/>
      <c r="G42" s="112"/>
      <c r="H42" s="112"/>
      <c r="I42" s="112"/>
      <c r="J42" s="112"/>
      <c r="K42" s="112"/>
      <c r="L42" s="112"/>
      <c r="M42" s="112"/>
      <c r="N42" s="112"/>
    </row>
    <row r="43" spans="1:15" ht="24" customHeight="1" x14ac:dyDescent="0.15">
      <c r="A43" s="14" t="s">
        <v>45</v>
      </c>
    </row>
    <row r="44" spans="1:15" ht="24" customHeight="1" x14ac:dyDescent="0.15">
      <c r="B44" s="30" t="s">
        <v>46</v>
      </c>
      <c r="C44" s="169" t="s">
        <v>157</v>
      </c>
      <c r="D44" s="170"/>
      <c r="E44" s="170"/>
      <c r="F44" s="170"/>
      <c r="G44" s="170"/>
      <c r="H44" s="170"/>
      <c r="I44" s="26" t="s">
        <v>47</v>
      </c>
      <c r="J44" s="27"/>
      <c r="K44" s="148" t="s">
        <v>196</v>
      </c>
      <c r="L44" s="149"/>
      <c r="M44" s="149"/>
      <c r="N44" s="155"/>
      <c r="O44" s="31" t="str">
        <f>IF(OR(C44="",K44=""),"入力してください","")</f>
        <v/>
      </c>
    </row>
    <row r="45" spans="1:15" ht="24" customHeight="1" x14ac:dyDescent="0.15">
      <c r="B45" s="25" t="s">
        <v>48</v>
      </c>
      <c r="C45" s="163" t="s">
        <v>158</v>
      </c>
      <c r="D45" s="164"/>
      <c r="E45" s="164"/>
      <c r="F45" s="164"/>
      <c r="G45" s="164"/>
      <c r="H45" s="165"/>
      <c r="I45" s="26" t="s">
        <v>49</v>
      </c>
      <c r="J45" s="27"/>
      <c r="K45" s="166" t="s">
        <v>159</v>
      </c>
      <c r="L45" s="167"/>
      <c r="M45" s="167"/>
      <c r="N45" s="168"/>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Z98"/>
  <sheetViews>
    <sheetView showZeros="0" tabSelected="1" view="pageBreakPreview" topLeftCell="A86" zoomScaleNormal="100" zoomScaleSheetLayoutView="100" workbookViewId="0">
      <selection activeCell="J18" sqref="J18"/>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81" t="s">
        <v>214</v>
      </c>
      <c r="X1" s="281"/>
      <c r="Y1" s="281"/>
      <c r="Z1" s="281"/>
    </row>
    <row r="2" spans="1:26" ht="18" customHeight="1" x14ac:dyDescent="0.15">
      <c r="A2" s="282" t="s">
        <v>50</v>
      </c>
      <c r="B2" s="282"/>
      <c r="C2" s="282"/>
      <c r="D2" s="282"/>
      <c r="E2" s="282"/>
      <c r="F2" s="282"/>
      <c r="G2" s="282"/>
      <c r="H2" s="282"/>
      <c r="I2" s="282"/>
      <c r="J2" s="282"/>
      <c r="K2" s="282"/>
      <c r="L2" s="282"/>
      <c r="M2" s="282"/>
      <c r="N2" s="282"/>
      <c r="O2" s="282"/>
      <c r="P2" s="282"/>
      <c r="Q2" s="282"/>
      <c r="R2" s="282"/>
      <c r="S2" s="282"/>
      <c r="T2" s="282"/>
      <c r="U2" s="282"/>
      <c r="V2" s="282"/>
      <c r="W2" s="282"/>
      <c r="X2" s="282"/>
      <c r="Y2" s="282"/>
      <c r="Z2" s="282"/>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51</v>
      </c>
      <c r="B4" s="29"/>
      <c r="C4" s="29"/>
      <c r="D4" s="29"/>
      <c r="E4" s="29"/>
      <c r="F4" s="29"/>
      <c r="G4" s="29"/>
      <c r="H4" s="15" t="s">
        <v>52</v>
      </c>
      <c r="I4" s="29"/>
      <c r="J4" s="29"/>
      <c r="K4" s="29"/>
      <c r="L4" s="29"/>
      <c r="M4" s="29"/>
      <c r="N4" s="29"/>
      <c r="O4" s="140" t="s">
        <v>178</v>
      </c>
      <c r="P4" s="141"/>
      <c r="Q4" s="141"/>
      <c r="R4" s="141"/>
      <c r="S4" s="141"/>
      <c r="T4" s="141"/>
      <c r="U4" s="141"/>
      <c r="V4" s="141"/>
      <c r="W4" s="141"/>
      <c r="X4" s="141"/>
      <c r="Y4" s="141"/>
      <c r="Z4" s="142"/>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83" t="s">
        <v>218</v>
      </c>
      <c r="C6" s="284"/>
      <c r="D6" s="284"/>
      <c r="E6" s="284"/>
      <c r="F6" s="284"/>
      <c r="G6" s="284"/>
      <c r="H6" s="284"/>
      <c r="I6" s="284"/>
      <c r="J6" s="284"/>
      <c r="K6" s="284"/>
      <c r="L6" s="284"/>
      <c r="M6" s="284"/>
      <c r="N6" s="284"/>
      <c r="O6" s="284"/>
      <c r="P6" s="284"/>
      <c r="Q6" s="284"/>
      <c r="R6" s="284"/>
      <c r="S6" s="284"/>
      <c r="T6" s="284"/>
      <c r="U6" s="284"/>
      <c r="V6" s="284"/>
      <c r="W6" s="284"/>
      <c r="X6" s="284"/>
      <c r="Y6" s="284"/>
      <c r="Z6" s="285"/>
    </row>
    <row r="7" spans="1:26" ht="18" customHeight="1" x14ac:dyDescent="0.15">
      <c r="B7" s="286"/>
      <c r="C7" s="287"/>
      <c r="D7" s="287"/>
      <c r="E7" s="287"/>
      <c r="F7" s="287"/>
      <c r="G7" s="287"/>
      <c r="H7" s="287"/>
      <c r="I7" s="287"/>
      <c r="J7" s="287"/>
      <c r="K7" s="287"/>
      <c r="L7" s="287"/>
      <c r="M7" s="287"/>
      <c r="N7" s="287"/>
      <c r="O7" s="287"/>
      <c r="P7" s="287"/>
      <c r="Q7" s="287"/>
      <c r="R7" s="287"/>
      <c r="S7" s="287"/>
      <c r="T7" s="287"/>
      <c r="U7" s="287"/>
      <c r="V7" s="287"/>
      <c r="W7" s="287"/>
      <c r="X7" s="287"/>
      <c r="Y7" s="287"/>
      <c r="Z7" s="288"/>
    </row>
    <row r="8" spans="1:26" ht="18" customHeight="1" x14ac:dyDescent="0.15">
      <c r="B8" s="286"/>
      <c r="C8" s="287"/>
      <c r="D8" s="287"/>
      <c r="E8" s="287"/>
      <c r="F8" s="287"/>
      <c r="G8" s="287"/>
      <c r="H8" s="287"/>
      <c r="I8" s="287"/>
      <c r="J8" s="287"/>
      <c r="K8" s="287"/>
      <c r="L8" s="287"/>
      <c r="M8" s="287"/>
      <c r="N8" s="287"/>
      <c r="O8" s="287"/>
      <c r="P8" s="287"/>
      <c r="Q8" s="287"/>
      <c r="R8" s="287"/>
      <c r="S8" s="287"/>
      <c r="T8" s="287"/>
      <c r="U8" s="287"/>
      <c r="V8" s="287"/>
      <c r="W8" s="287"/>
      <c r="X8" s="287"/>
      <c r="Y8" s="287"/>
      <c r="Z8" s="288"/>
    </row>
    <row r="9" spans="1:26" ht="18" customHeight="1" x14ac:dyDescent="0.15">
      <c r="B9" s="286"/>
      <c r="C9" s="287"/>
      <c r="D9" s="287"/>
      <c r="E9" s="287"/>
      <c r="F9" s="287"/>
      <c r="G9" s="287"/>
      <c r="H9" s="287"/>
      <c r="I9" s="287"/>
      <c r="J9" s="287"/>
      <c r="K9" s="287"/>
      <c r="L9" s="287"/>
      <c r="M9" s="287"/>
      <c r="N9" s="287"/>
      <c r="O9" s="287"/>
      <c r="P9" s="287"/>
      <c r="Q9" s="287"/>
      <c r="R9" s="287"/>
      <c r="S9" s="287"/>
      <c r="T9" s="287"/>
      <c r="U9" s="287"/>
      <c r="V9" s="287"/>
      <c r="W9" s="287"/>
      <c r="X9" s="287"/>
      <c r="Y9" s="287"/>
      <c r="Z9" s="288"/>
    </row>
    <row r="10" spans="1:26" ht="18" customHeight="1" x14ac:dyDescent="0.15">
      <c r="B10" s="286"/>
      <c r="C10" s="289"/>
      <c r="D10" s="289"/>
      <c r="E10" s="289"/>
      <c r="F10" s="289"/>
      <c r="G10" s="289"/>
      <c r="H10" s="289"/>
      <c r="I10" s="289"/>
      <c r="J10" s="289"/>
      <c r="K10" s="289"/>
      <c r="L10" s="289"/>
      <c r="M10" s="289"/>
      <c r="N10" s="289"/>
      <c r="O10" s="289"/>
      <c r="P10" s="289"/>
      <c r="Q10" s="289"/>
      <c r="R10" s="289"/>
      <c r="S10" s="289"/>
      <c r="T10" s="289"/>
      <c r="U10" s="289"/>
      <c r="V10" s="289"/>
      <c r="W10" s="289"/>
      <c r="X10" s="289"/>
      <c r="Y10" s="289"/>
      <c r="Z10" s="288"/>
    </row>
    <row r="11" spans="1:26" ht="18" customHeight="1" x14ac:dyDescent="0.15">
      <c r="B11" s="290"/>
      <c r="C11" s="291"/>
      <c r="D11" s="291"/>
      <c r="E11" s="291"/>
      <c r="F11" s="291"/>
      <c r="G11" s="291"/>
      <c r="H11" s="291"/>
      <c r="I11" s="291"/>
      <c r="J11" s="291"/>
      <c r="K11" s="291"/>
      <c r="L11" s="291"/>
      <c r="M11" s="291"/>
      <c r="N11" s="291"/>
      <c r="O11" s="291"/>
      <c r="P11" s="291"/>
      <c r="Q11" s="291"/>
      <c r="R11" s="291"/>
      <c r="S11" s="291"/>
      <c r="T11" s="291"/>
      <c r="U11" s="291"/>
      <c r="V11" s="291"/>
      <c r="W11" s="291"/>
      <c r="X11" s="291"/>
      <c r="Y11" s="291"/>
      <c r="Z11" s="292"/>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53" t="s">
        <v>53</v>
      </c>
      <c r="B13" s="253"/>
      <c r="C13" s="253"/>
      <c r="D13" s="253"/>
      <c r="E13" s="253"/>
      <c r="F13" s="253"/>
      <c r="G13" s="253"/>
      <c r="H13" s="253"/>
      <c r="I13" s="253"/>
      <c r="J13" s="253"/>
      <c r="K13" s="253"/>
      <c r="L13" s="253"/>
      <c r="M13" s="253"/>
      <c r="N13" s="253"/>
      <c r="O13" s="253"/>
      <c r="P13" s="253"/>
      <c r="Q13" s="253"/>
      <c r="R13" s="253"/>
      <c r="S13" s="253"/>
      <c r="T13" s="253"/>
      <c r="U13" s="253"/>
      <c r="V13" s="253"/>
      <c r="W13" s="253"/>
      <c r="X13" s="253"/>
      <c r="Y13" s="253"/>
      <c r="Z13" s="253"/>
    </row>
    <row r="14" spans="1:26" ht="18" customHeight="1" x14ac:dyDescent="0.15">
      <c r="A14" s="253"/>
      <c r="B14" s="253"/>
      <c r="C14" s="253"/>
      <c r="D14" s="253"/>
      <c r="E14" s="253"/>
      <c r="F14" s="253"/>
      <c r="G14" s="253"/>
      <c r="H14" s="253"/>
      <c r="I14" s="253"/>
      <c r="J14" s="253"/>
      <c r="K14" s="253"/>
      <c r="L14" s="253"/>
      <c r="M14" s="253"/>
      <c r="N14" s="253"/>
      <c r="O14" s="253"/>
      <c r="P14" s="253"/>
      <c r="Q14" s="253"/>
      <c r="R14" s="253"/>
      <c r="S14" s="253"/>
      <c r="T14" s="253"/>
      <c r="U14" s="253"/>
      <c r="V14" s="253"/>
      <c r="W14" s="253"/>
      <c r="X14" s="253"/>
      <c r="Y14" s="253"/>
      <c r="Z14" s="253"/>
    </row>
    <row r="15" spans="1:26" ht="18" customHeight="1" x14ac:dyDescent="0.15">
      <c r="A15" s="14"/>
      <c r="B15" s="140" t="s">
        <v>54</v>
      </c>
      <c r="C15" s="141"/>
      <c r="D15" s="141"/>
      <c r="E15" s="141"/>
      <c r="F15" s="142"/>
      <c r="G15" s="30" t="s">
        <v>55</v>
      </c>
      <c r="H15" s="104" t="s">
        <v>56</v>
      </c>
      <c r="I15" s="141" t="s">
        <v>57</v>
      </c>
      <c r="J15" s="141"/>
      <c r="K15" s="141"/>
      <c r="L15" s="67" t="s">
        <v>58</v>
      </c>
      <c r="M15" s="67" t="s">
        <v>59</v>
      </c>
      <c r="N15" s="140" t="s">
        <v>54</v>
      </c>
      <c r="O15" s="141"/>
      <c r="P15" s="141"/>
      <c r="Q15" s="141"/>
      <c r="R15" s="141"/>
      <c r="S15" s="142"/>
      <c r="T15" s="30" t="s">
        <v>55</v>
      </c>
      <c r="U15" s="104" t="s">
        <v>56</v>
      </c>
      <c r="V15" s="141" t="s">
        <v>57</v>
      </c>
      <c r="W15" s="141"/>
      <c r="X15" s="141"/>
      <c r="Y15" s="67" t="s">
        <v>58</v>
      </c>
      <c r="Z15" s="67" t="s">
        <v>59</v>
      </c>
    </row>
    <row r="16" spans="1:26" ht="18" customHeight="1" x14ac:dyDescent="0.15">
      <c r="A16" s="14"/>
      <c r="B16" s="257" t="s">
        <v>160</v>
      </c>
      <c r="C16" s="258"/>
      <c r="D16" s="258"/>
      <c r="E16" s="258"/>
      <c r="F16" s="259"/>
      <c r="G16" s="105">
        <v>1</v>
      </c>
      <c r="H16" s="105" t="s">
        <v>161</v>
      </c>
      <c r="I16" s="247" t="s">
        <v>162</v>
      </c>
      <c r="J16" s="248"/>
      <c r="K16" s="249"/>
      <c r="L16" s="105" t="s">
        <v>161</v>
      </c>
      <c r="M16" s="105" t="s">
        <v>161</v>
      </c>
      <c r="N16" s="226"/>
      <c r="O16" s="227"/>
      <c r="P16" s="227"/>
      <c r="Q16" s="227"/>
      <c r="R16" s="227"/>
      <c r="S16" s="228"/>
      <c r="T16" s="105"/>
      <c r="U16" s="105"/>
      <c r="V16" s="247"/>
      <c r="W16" s="248"/>
      <c r="X16" s="249"/>
      <c r="Y16" s="105"/>
      <c r="Z16" s="105"/>
    </row>
    <row r="17" spans="1:26" ht="18" customHeight="1" x14ac:dyDescent="0.15">
      <c r="A17" s="14"/>
      <c r="B17" s="275"/>
      <c r="C17" s="276"/>
      <c r="D17" s="276"/>
      <c r="E17" s="276"/>
      <c r="F17" s="277"/>
      <c r="G17" s="123"/>
      <c r="H17" s="123"/>
      <c r="I17" s="278"/>
      <c r="J17" s="279"/>
      <c r="K17" s="280"/>
      <c r="L17" s="123"/>
      <c r="M17" s="123"/>
      <c r="N17" s="220"/>
      <c r="O17" s="221"/>
      <c r="P17" s="221"/>
      <c r="Q17" s="221"/>
      <c r="R17" s="221"/>
      <c r="S17" s="222"/>
      <c r="T17" s="106"/>
      <c r="U17" s="106"/>
      <c r="V17" s="244"/>
      <c r="W17" s="245"/>
      <c r="X17" s="246"/>
      <c r="Y17" s="106"/>
      <c r="Z17" s="106"/>
    </row>
    <row r="18" spans="1:26" ht="18" customHeight="1" x14ac:dyDescent="0.15">
      <c r="A18" s="14"/>
      <c r="B18" s="272"/>
      <c r="C18" s="273"/>
      <c r="D18" s="273"/>
      <c r="E18" s="273"/>
      <c r="F18" s="274"/>
      <c r="G18" s="106"/>
      <c r="H18" s="106"/>
      <c r="I18" s="244"/>
      <c r="J18" s="245"/>
      <c r="K18" s="246"/>
      <c r="L18" s="106"/>
      <c r="M18" s="106"/>
      <c r="N18" s="220"/>
      <c r="O18" s="221"/>
      <c r="P18" s="221"/>
      <c r="Q18" s="221"/>
      <c r="R18" s="221"/>
      <c r="S18" s="222"/>
      <c r="T18" s="106"/>
      <c r="U18" s="106"/>
      <c r="V18" s="244"/>
      <c r="W18" s="245"/>
      <c r="X18" s="246"/>
      <c r="Y18" s="106"/>
      <c r="Z18" s="106"/>
    </row>
    <row r="19" spans="1:26" ht="18" customHeight="1" x14ac:dyDescent="0.15">
      <c r="A19" s="14"/>
      <c r="B19" s="272"/>
      <c r="C19" s="273"/>
      <c r="D19" s="273"/>
      <c r="E19" s="273"/>
      <c r="F19" s="274"/>
      <c r="G19" s="106"/>
      <c r="H19" s="106"/>
      <c r="I19" s="244"/>
      <c r="J19" s="245"/>
      <c r="K19" s="246"/>
      <c r="L19" s="106"/>
      <c r="M19" s="106"/>
      <c r="N19" s="220"/>
      <c r="O19" s="221"/>
      <c r="P19" s="221"/>
      <c r="Q19" s="221"/>
      <c r="R19" s="221"/>
      <c r="S19" s="222"/>
      <c r="T19" s="106"/>
      <c r="U19" s="106"/>
      <c r="V19" s="244"/>
      <c r="W19" s="245"/>
      <c r="X19" s="246"/>
      <c r="Y19" s="106"/>
      <c r="Z19" s="106"/>
    </row>
    <row r="20" spans="1:26" ht="18" customHeight="1" x14ac:dyDescent="0.15">
      <c r="A20" s="14"/>
      <c r="B20" s="272"/>
      <c r="C20" s="273"/>
      <c r="D20" s="273"/>
      <c r="E20" s="273"/>
      <c r="F20" s="274"/>
      <c r="G20" s="106"/>
      <c r="H20" s="106"/>
      <c r="I20" s="244"/>
      <c r="J20" s="245"/>
      <c r="K20" s="246"/>
      <c r="L20" s="106"/>
      <c r="M20" s="106"/>
      <c r="N20" s="220"/>
      <c r="O20" s="221"/>
      <c r="P20" s="221"/>
      <c r="Q20" s="221"/>
      <c r="R20" s="221"/>
      <c r="S20" s="222"/>
      <c r="T20" s="106"/>
      <c r="U20" s="106"/>
      <c r="V20" s="244"/>
      <c r="W20" s="245"/>
      <c r="X20" s="246"/>
      <c r="Y20" s="106"/>
      <c r="Z20" s="106"/>
    </row>
    <row r="21" spans="1:26" ht="18" customHeight="1" x14ac:dyDescent="0.15">
      <c r="A21" s="29"/>
      <c r="B21" s="272"/>
      <c r="C21" s="273"/>
      <c r="D21" s="273"/>
      <c r="E21" s="273"/>
      <c r="F21" s="274"/>
      <c r="G21" s="106"/>
      <c r="H21" s="106"/>
      <c r="I21" s="244"/>
      <c r="J21" s="245"/>
      <c r="K21" s="246"/>
      <c r="L21" s="106"/>
      <c r="M21" s="106"/>
      <c r="N21" s="220"/>
      <c r="O21" s="221"/>
      <c r="P21" s="221"/>
      <c r="Q21" s="221"/>
      <c r="R21" s="221"/>
      <c r="S21" s="222"/>
      <c r="T21" s="106"/>
      <c r="U21" s="106"/>
      <c r="V21" s="244"/>
      <c r="W21" s="245"/>
      <c r="X21" s="246"/>
      <c r="Y21" s="106"/>
      <c r="Z21" s="106"/>
    </row>
    <row r="22" spans="1:26" ht="18" customHeight="1" x14ac:dyDescent="0.15">
      <c r="A22" s="29"/>
      <c r="B22" s="260"/>
      <c r="C22" s="261"/>
      <c r="D22" s="261"/>
      <c r="E22" s="261"/>
      <c r="F22" s="262"/>
      <c r="G22" s="107"/>
      <c r="H22" s="107"/>
      <c r="I22" s="235"/>
      <c r="J22" s="236"/>
      <c r="K22" s="237"/>
      <c r="L22" s="110"/>
      <c r="M22" s="110"/>
      <c r="N22" s="207"/>
      <c r="O22" s="208"/>
      <c r="P22" s="208"/>
      <c r="Q22" s="208"/>
      <c r="R22" s="208"/>
      <c r="S22" s="209"/>
      <c r="T22" s="107"/>
      <c r="U22" s="107"/>
      <c r="V22" s="235"/>
      <c r="W22" s="236"/>
      <c r="X22" s="237"/>
      <c r="Y22" s="110"/>
      <c r="Z22" s="110"/>
    </row>
    <row r="23" spans="1:26" ht="7.5" customHeight="1" x14ac:dyDescent="0.15">
      <c r="A23" s="29"/>
      <c r="B23" s="68"/>
      <c r="C23" s="68"/>
      <c r="D23" s="29"/>
      <c r="E23" s="29"/>
      <c r="F23" s="29"/>
      <c r="G23" s="29"/>
      <c r="H23" s="29"/>
      <c r="I23" s="29"/>
      <c r="J23" s="29"/>
      <c r="K23" s="29"/>
      <c r="L23" s="68"/>
      <c r="M23" s="68"/>
      <c r="N23" s="68"/>
      <c r="O23" s="68"/>
      <c r="P23" s="68"/>
      <c r="Q23" s="68"/>
      <c r="R23" s="68"/>
      <c r="S23" s="68"/>
      <c r="T23" s="68"/>
      <c r="U23" s="68"/>
      <c r="V23" s="68"/>
      <c r="W23" s="68"/>
      <c r="X23" s="68"/>
      <c r="Y23" s="68"/>
      <c r="Z23" s="29"/>
    </row>
    <row r="24" spans="1:26" ht="18" customHeight="1" x14ac:dyDescent="0.15">
      <c r="A24" s="253" t="s">
        <v>60</v>
      </c>
      <c r="B24" s="253"/>
      <c r="C24" s="253"/>
      <c r="D24" s="253"/>
      <c r="E24" s="253"/>
      <c r="F24" s="253"/>
      <c r="G24" s="253"/>
      <c r="H24" s="253"/>
      <c r="I24" s="253"/>
      <c r="J24" s="253"/>
      <c r="K24" s="253"/>
      <c r="L24" s="253"/>
      <c r="M24" s="253"/>
      <c r="N24" s="253"/>
      <c r="O24" s="253"/>
      <c r="P24" s="253"/>
      <c r="Q24" s="253"/>
      <c r="R24" s="253"/>
      <c r="S24" s="253"/>
      <c r="T24" s="253"/>
      <c r="U24" s="253"/>
      <c r="V24" s="253"/>
      <c r="W24" s="253"/>
      <c r="X24" s="253"/>
      <c r="Y24" s="253"/>
      <c r="Z24" s="253"/>
    </row>
    <row r="25" spans="1:26" ht="18" customHeight="1" x14ac:dyDescent="0.15">
      <c r="A25" s="253"/>
      <c r="B25" s="253"/>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row>
    <row r="26" spans="1:26" ht="18" customHeight="1" x14ac:dyDescent="0.15">
      <c r="A26" s="14"/>
      <c r="B26" s="140" t="s">
        <v>54</v>
      </c>
      <c r="C26" s="141"/>
      <c r="D26" s="141"/>
      <c r="E26" s="141"/>
      <c r="F26" s="142"/>
      <c r="G26" s="30" t="s">
        <v>55</v>
      </c>
      <c r="H26" s="104" t="s">
        <v>56</v>
      </c>
      <c r="I26" s="141" t="s">
        <v>57</v>
      </c>
      <c r="J26" s="141"/>
      <c r="K26" s="141"/>
      <c r="L26" s="67" t="s">
        <v>61</v>
      </c>
      <c r="M26" s="67" t="s">
        <v>62</v>
      </c>
      <c r="N26" s="140" t="s">
        <v>54</v>
      </c>
      <c r="O26" s="141"/>
      <c r="P26" s="141"/>
      <c r="Q26" s="141"/>
      <c r="R26" s="141"/>
      <c r="S26" s="142"/>
      <c r="T26" s="30" t="s">
        <v>55</v>
      </c>
      <c r="U26" s="104" t="s">
        <v>56</v>
      </c>
      <c r="V26" s="141" t="s">
        <v>57</v>
      </c>
      <c r="W26" s="141"/>
      <c r="X26" s="141"/>
      <c r="Y26" s="67" t="s">
        <v>61</v>
      </c>
      <c r="Z26" s="67" t="s">
        <v>62</v>
      </c>
    </row>
    <row r="27" spans="1:26" ht="18" customHeight="1" x14ac:dyDescent="0.15">
      <c r="A27" s="14"/>
      <c r="B27" s="257" t="s">
        <v>160</v>
      </c>
      <c r="C27" s="258"/>
      <c r="D27" s="258"/>
      <c r="E27" s="258"/>
      <c r="F27" s="259"/>
      <c r="G27" s="105">
        <v>1</v>
      </c>
      <c r="H27" s="105" t="s">
        <v>161</v>
      </c>
      <c r="I27" s="247" t="s">
        <v>162</v>
      </c>
      <c r="J27" s="248"/>
      <c r="K27" s="249"/>
      <c r="L27" s="105" t="s">
        <v>161</v>
      </c>
      <c r="M27" s="105" t="s">
        <v>161</v>
      </c>
      <c r="N27" s="226"/>
      <c r="O27" s="227"/>
      <c r="P27" s="227"/>
      <c r="Q27" s="227"/>
      <c r="R27" s="227"/>
      <c r="S27" s="228"/>
      <c r="T27" s="105"/>
      <c r="U27" s="105"/>
      <c r="V27" s="247"/>
      <c r="W27" s="248"/>
      <c r="X27" s="249"/>
      <c r="Y27" s="105"/>
      <c r="Z27" s="105"/>
    </row>
    <row r="28" spans="1:26" ht="18" customHeight="1" x14ac:dyDescent="0.15">
      <c r="A28" s="14"/>
      <c r="B28" s="263"/>
      <c r="C28" s="264"/>
      <c r="D28" s="264"/>
      <c r="E28" s="264"/>
      <c r="F28" s="265"/>
      <c r="G28" s="126"/>
      <c r="H28" s="126"/>
      <c r="I28" s="266"/>
      <c r="J28" s="267"/>
      <c r="K28" s="268"/>
      <c r="L28" s="126"/>
      <c r="M28" s="126"/>
      <c r="N28" s="220"/>
      <c r="O28" s="221"/>
      <c r="P28" s="221"/>
      <c r="Q28" s="221"/>
      <c r="R28" s="221"/>
      <c r="S28" s="222"/>
      <c r="T28" s="106"/>
      <c r="U28" s="106"/>
      <c r="V28" s="244"/>
      <c r="W28" s="245"/>
      <c r="X28" s="246"/>
      <c r="Y28" s="106"/>
      <c r="Z28" s="106"/>
    </row>
    <row r="29" spans="1:26" ht="18" customHeight="1" x14ac:dyDescent="0.15">
      <c r="A29" s="14"/>
      <c r="B29" s="272"/>
      <c r="C29" s="273"/>
      <c r="D29" s="273"/>
      <c r="E29" s="273"/>
      <c r="F29" s="274"/>
      <c r="G29" s="106"/>
      <c r="H29" s="106"/>
      <c r="I29" s="244"/>
      <c r="J29" s="245"/>
      <c r="K29" s="246"/>
      <c r="L29" s="106"/>
      <c r="M29" s="106"/>
      <c r="N29" s="220"/>
      <c r="O29" s="221"/>
      <c r="P29" s="221"/>
      <c r="Q29" s="221"/>
      <c r="R29" s="221"/>
      <c r="S29" s="222"/>
      <c r="T29" s="106"/>
      <c r="U29" s="106"/>
      <c r="V29" s="244"/>
      <c r="W29" s="245"/>
      <c r="X29" s="246"/>
      <c r="Y29" s="106"/>
      <c r="Z29" s="106"/>
    </row>
    <row r="30" spans="1:26" ht="18" customHeight="1" x14ac:dyDescent="0.15">
      <c r="A30" s="14"/>
      <c r="B30" s="272"/>
      <c r="C30" s="273"/>
      <c r="D30" s="273"/>
      <c r="E30" s="273"/>
      <c r="F30" s="274"/>
      <c r="G30" s="106"/>
      <c r="H30" s="106"/>
      <c r="I30" s="244"/>
      <c r="J30" s="245"/>
      <c r="K30" s="246"/>
      <c r="L30" s="106"/>
      <c r="M30" s="106"/>
      <c r="N30" s="220"/>
      <c r="O30" s="221"/>
      <c r="P30" s="221"/>
      <c r="Q30" s="221"/>
      <c r="R30" s="221"/>
      <c r="S30" s="222"/>
      <c r="T30" s="106"/>
      <c r="U30" s="106"/>
      <c r="V30" s="244"/>
      <c r="W30" s="245"/>
      <c r="X30" s="246"/>
      <c r="Y30" s="106"/>
      <c r="Z30" s="106"/>
    </row>
    <row r="31" spans="1:26" ht="18" customHeight="1" x14ac:dyDescent="0.15">
      <c r="A31" s="14"/>
      <c r="B31" s="272"/>
      <c r="C31" s="273"/>
      <c r="D31" s="273"/>
      <c r="E31" s="273"/>
      <c r="F31" s="274"/>
      <c r="G31" s="106"/>
      <c r="H31" s="106"/>
      <c r="I31" s="244"/>
      <c r="J31" s="245"/>
      <c r="K31" s="246"/>
      <c r="L31" s="106"/>
      <c r="M31" s="106"/>
      <c r="N31" s="220"/>
      <c r="O31" s="221"/>
      <c r="P31" s="221"/>
      <c r="Q31" s="221"/>
      <c r="R31" s="221"/>
      <c r="S31" s="222"/>
      <c r="T31" s="106"/>
      <c r="U31" s="106"/>
      <c r="V31" s="244"/>
      <c r="W31" s="245"/>
      <c r="X31" s="246"/>
      <c r="Y31" s="106"/>
      <c r="Z31" s="106"/>
    </row>
    <row r="32" spans="1:26" ht="18" customHeight="1" x14ac:dyDescent="0.15">
      <c r="A32" s="14"/>
      <c r="B32" s="272"/>
      <c r="C32" s="273"/>
      <c r="D32" s="273"/>
      <c r="E32" s="273"/>
      <c r="F32" s="274"/>
      <c r="G32" s="106"/>
      <c r="H32" s="106"/>
      <c r="I32" s="244"/>
      <c r="J32" s="245"/>
      <c r="K32" s="246"/>
      <c r="L32" s="106"/>
      <c r="M32" s="106"/>
      <c r="N32" s="220"/>
      <c r="O32" s="221"/>
      <c r="P32" s="221"/>
      <c r="Q32" s="221"/>
      <c r="R32" s="221"/>
      <c r="S32" s="222"/>
      <c r="T32" s="106"/>
      <c r="U32" s="106"/>
      <c r="V32" s="244"/>
      <c r="W32" s="245"/>
      <c r="X32" s="246"/>
      <c r="Y32" s="106"/>
      <c r="Z32" s="106"/>
    </row>
    <row r="33" spans="1:26" ht="18" customHeight="1" x14ac:dyDescent="0.15">
      <c r="A33" s="14"/>
      <c r="B33" s="260"/>
      <c r="C33" s="261"/>
      <c r="D33" s="261"/>
      <c r="E33" s="261"/>
      <c r="F33" s="262"/>
      <c r="G33" s="107"/>
      <c r="H33" s="107"/>
      <c r="I33" s="235"/>
      <c r="J33" s="236"/>
      <c r="K33" s="237"/>
      <c r="L33" s="110"/>
      <c r="M33" s="110"/>
      <c r="N33" s="207"/>
      <c r="O33" s="208"/>
      <c r="P33" s="208"/>
      <c r="Q33" s="208"/>
      <c r="R33" s="208"/>
      <c r="S33" s="209"/>
      <c r="T33" s="107"/>
      <c r="U33" s="107"/>
      <c r="V33" s="235"/>
      <c r="W33" s="236"/>
      <c r="X33" s="237"/>
      <c r="Y33" s="110"/>
      <c r="Z33" s="110"/>
    </row>
    <row r="34" spans="1:26" ht="7.5" customHeight="1" x14ac:dyDescent="0.15">
      <c r="A34" s="29"/>
      <c r="B34" s="68"/>
      <c r="C34" s="68"/>
      <c r="D34" s="29"/>
      <c r="E34" s="29"/>
      <c r="F34" s="29"/>
      <c r="G34" s="29"/>
      <c r="H34" s="29"/>
      <c r="I34" s="29"/>
      <c r="J34" s="29"/>
      <c r="K34" s="29"/>
      <c r="L34" s="68"/>
      <c r="M34" s="68"/>
      <c r="N34" s="68"/>
      <c r="O34" s="68"/>
      <c r="P34" s="68"/>
      <c r="Q34" s="68"/>
      <c r="R34" s="68"/>
      <c r="S34" s="68"/>
      <c r="T34" s="68"/>
      <c r="U34" s="68"/>
      <c r="V34" s="68"/>
      <c r="W34" s="68"/>
      <c r="X34" s="68"/>
      <c r="Y34" s="68"/>
      <c r="Z34" s="29"/>
    </row>
    <row r="35" spans="1:26" ht="18" customHeight="1" x14ac:dyDescent="0.15">
      <c r="A35" s="253" t="s">
        <v>63</v>
      </c>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row>
    <row r="36" spans="1:26" ht="18" customHeight="1" x14ac:dyDescent="0.15">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row>
    <row r="37" spans="1:26" ht="18" customHeight="1" x14ac:dyDescent="0.15">
      <c r="A37" s="14"/>
      <c r="B37" s="140" t="s">
        <v>54</v>
      </c>
      <c r="C37" s="141"/>
      <c r="D37" s="141"/>
      <c r="E37" s="141"/>
      <c r="F37" s="142"/>
      <c r="G37" s="30" t="s">
        <v>55</v>
      </c>
      <c r="H37" s="104" t="s">
        <v>56</v>
      </c>
      <c r="I37" s="140" t="s">
        <v>57</v>
      </c>
      <c r="J37" s="141"/>
      <c r="K37" s="142"/>
      <c r="L37" s="67" t="s">
        <v>64</v>
      </c>
      <c r="M37" s="67" t="s">
        <v>65</v>
      </c>
      <c r="N37" s="140" t="s">
        <v>54</v>
      </c>
      <c r="O37" s="141"/>
      <c r="P37" s="141"/>
      <c r="Q37" s="141"/>
      <c r="R37" s="141"/>
      <c r="S37" s="142"/>
      <c r="T37" s="30" t="s">
        <v>55</v>
      </c>
      <c r="U37" s="104" t="s">
        <v>56</v>
      </c>
      <c r="V37" s="140" t="s">
        <v>57</v>
      </c>
      <c r="W37" s="141"/>
      <c r="X37" s="142"/>
      <c r="Y37" s="67" t="s">
        <v>64</v>
      </c>
      <c r="Z37" s="67" t="s">
        <v>65</v>
      </c>
    </row>
    <row r="38" spans="1:26" ht="18" customHeight="1" x14ac:dyDescent="0.15">
      <c r="A38" s="29"/>
      <c r="B38" s="257" t="s">
        <v>160</v>
      </c>
      <c r="C38" s="258"/>
      <c r="D38" s="258"/>
      <c r="E38" s="258"/>
      <c r="F38" s="259"/>
      <c r="G38" s="105">
        <v>1</v>
      </c>
      <c r="H38" s="105" t="s">
        <v>161</v>
      </c>
      <c r="I38" s="247" t="s">
        <v>162</v>
      </c>
      <c r="J38" s="248"/>
      <c r="K38" s="249"/>
      <c r="L38" s="105" t="s">
        <v>161</v>
      </c>
      <c r="M38" s="105" t="s">
        <v>161</v>
      </c>
      <c r="N38" s="226"/>
      <c r="O38" s="227"/>
      <c r="P38" s="227"/>
      <c r="Q38" s="227"/>
      <c r="R38" s="227"/>
      <c r="S38" s="228"/>
      <c r="T38" s="105"/>
      <c r="U38" s="105"/>
      <c r="V38" s="247"/>
      <c r="W38" s="248"/>
      <c r="X38" s="249"/>
      <c r="Y38" s="105"/>
      <c r="Z38" s="105"/>
    </row>
    <row r="39" spans="1:26" ht="18" customHeight="1" x14ac:dyDescent="0.15">
      <c r="A39" s="29"/>
      <c r="B39" s="263" t="s">
        <v>180</v>
      </c>
      <c r="C39" s="264"/>
      <c r="D39" s="264"/>
      <c r="E39" s="264"/>
      <c r="F39" s="265"/>
      <c r="G39" s="126">
        <v>1</v>
      </c>
      <c r="H39" s="126" t="s">
        <v>161</v>
      </c>
      <c r="I39" s="266" t="s">
        <v>176</v>
      </c>
      <c r="J39" s="267"/>
      <c r="K39" s="268"/>
      <c r="L39" s="126" t="s">
        <v>161</v>
      </c>
      <c r="M39" s="126" t="s">
        <v>161</v>
      </c>
      <c r="N39" s="220"/>
      <c r="O39" s="221"/>
      <c r="P39" s="221"/>
      <c r="Q39" s="221"/>
      <c r="R39" s="221"/>
      <c r="S39" s="222"/>
      <c r="T39" s="106"/>
      <c r="U39" s="106"/>
      <c r="V39" s="244"/>
      <c r="W39" s="245"/>
      <c r="X39" s="246"/>
      <c r="Y39" s="106"/>
      <c r="Z39" s="106"/>
    </row>
    <row r="40" spans="1:26" ht="18" customHeight="1" x14ac:dyDescent="0.15">
      <c r="A40" s="29"/>
      <c r="B40" s="263"/>
      <c r="C40" s="264"/>
      <c r="D40" s="264"/>
      <c r="E40" s="264"/>
      <c r="F40" s="265"/>
      <c r="G40" s="126"/>
      <c r="H40" s="126"/>
      <c r="I40" s="266"/>
      <c r="J40" s="267"/>
      <c r="K40" s="268"/>
      <c r="L40" s="126"/>
      <c r="M40" s="126"/>
      <c r="N40" s="220"/>
      <c r="O40" s="221"/>
      <c r="P40" s="221"/>
      <c r="Q40" s="221"/>
      <c r="R40" s="221"/>
      <c r="S40" s="222"/>
      <c r="T40" s="106"/>
      <c r="U40" s="106"/>
      <c r="V40" s="244"/>
      <c r="W40" s="245"/>
      <c r="X40" s="246"/>
      <c r="Y40" s="106"/>
      <c r="Z40" s="106"/>
    </row>
    <row r="41" spans="1:26" ht="18" customHeight="1" x14ac:dyDescent="0.15">
      <c r="A41" s="29"/>
      <c r="B41" s="263"/>
      <c r="C41" s="264"/>
      <c r="D41" s="264"/>
      <c r="E41" s="264"/>
      <c r="F41" s="265"/>
      <c r="G41" s="126"/>
      <c r="H41" s="126"/>
      <c r="I41" s="266"/>
      <c r="J41" s="267"/>
      <c r="K41" s="268"/>
      <c r="L41" s="126"/>
      <c r="M41" s="106"/>
      <c r="N41" s="220"/>
      <c r="O41" s="221"/>
      <c r="P41" s="221"/>
      <c r="Q41" s="221"/>
      <c r="R41" s="221"/>
      <c r="S41" s="222"/>
      <c r="T41" s="106"/>
      <c r="U41" s="106"/>
      <c r="V41" s="244"/>
      <c r="W41" s="245"/>
      <c r="X41" s="246"/>
      <c r="Y41" s="106"/>
      <c r="Z41" s="106"/>
    </row>
    <row r="42" spans="1:26" ht="18" customHeight="1" x14ac:dyDescent="0.15">
      <c r="A42" s="29"/>
      <c r="B42" s="263"/>
      <c r="C42" s="264"/>
      <c r="D42" s="264"/>
      <c r="E42" s="264"/>
      <c r="F42" s="265"/>
      <c r="G42" s="126"/>
      <c r="H42" s="126"/>
      <c r="I42" s="266"/>
      <c r="J42" s="267"/>
      <c r="K42" s="268"/>
      <c r="L42" s="126"/>
      <c r="M42" s="106"/>
      <c r="N42" s="220"/>
      <c r="O42" s="221"/>
      <c r="P42" s="221"/>
      <c r="Q42" s="221"/>
      <c r="R42" s="221"/>
      <c r="S42" s="222"/>
      <c r="T42" s="106"/>
      <c r="U42" s="106"/>
      <c r="V42" s="244"/>
      <c r="W42" s="245"/>
      <c r="X42" s="246"/>
      <c r="Y42" s="106"/>
      <c r="Z42" s="106"/>
    </row>
    <row r="43" spans="1:26" ht="18" customHeight="1" x14ac:dyDescent="0.15">
      <c r="A43" s="29"/>
      <c r="B43" s="269"/>
      <c r="C43" s="270"/>
      <c r="D43" s="270"/>
      <c r="E43" s="270"/>
      <c r="F43" s="271"/>
      <c r="G43" s="126"/>
      <c r="H43" s="126"/>
      <c r="I43" s="266"/>
      <c r="J43" s="267"/>
      <c r="K43" s="268"/>
      <c r="L43" s="126"/>
      <c r="M43" s="106"/>
      <c r="N43" s="220"/>
      <c r="O43" s="221"/>
      <c r="P43" s="221"/>
      <c r="Q43" s="221"/>
      <c r="R43" s="221"/>
      <c r="S43" s="222"/>
      <c r="T43" s="106"/>
      <c r="U43" s="106"/>
      <c r="V43" s="244"/>
      <c r="W43" s="245"/>
      <c r="X43" s="246"/>
      <c r="Y43" s="106"/>
      <c r="Z43" s="106"/>
    </row>
    <row r="44" spans="1:26" ht="18" customHeight="1" x14ac:dyDescent="0.15">
      <c r="A44" s="29"/>
      <c r="B44" s="260"/>
      <c r="C44" s="261"/>
      <c r="D44" s="261"/>
      <c r="E44" s="261"/>
      <c r="F44" s="262"/>
      <c r="G44" s="107"/>
      <c r="H44" s="107"/>
      <c r="I44" s="235"/>
      <c r="J44" s="236"/>
      <c r="K44" s="237"/>
      <c r="L44" s="110"/>
      <c r="M44" s="110"/>
      <c r="N44" s="207"/>
      <c r="O44" s="208"/>
      <c r="P44" s="208"/>
      <c r="Q44" s="208"/>
      <c r="R44" s="208"/>
      <c r="S44" s="209"/>
      <c r="T44" s="107"/>
      <c r="U44" s="107"/>
      <c r="V44" s="235"/>
      <c r="W44" s="236"/>
      <c r="X44" s="237"/>
      <c r="Y44" s="110"/>
      <c r="Z44" s="110"/>
    </row>
    <row r="45" spans="1:26" ht="7.5" customHeight="1" x14ac:dyDescent="0.15">
      <c r="B45" s="69"/>
      <c r="C45" s="69"/>
      <c r="D45" s="69"/>
      <c r="E45" s="69"/>
      <c r="F45" s="69"/>
      <c r="G45" s="69"/>
      <c r="H45" s="69"/>
      <c r="I45" s="69"/>
      <c r="J45" s="69"/>
      <c r="K45" s="69"/>
      <c r="L45" s="69"/>
      <c r="M45" s="69"/>
      <c r="N45" s="69"/>
      <c r="O45" s="69"/>
      <c r="P45" s="69"/>
      <c r="Q45" s="69"/>
      <c r="R45" s="69"/>
      <c r="S45" s="69"/>
      <c r="T45" s="69"/>
      <c r="U45" s="69"/>
      <c r="V45" s="69"/>
      <c r="W45" s="69"/>
      <c r="X45" s="69"/>
      <c r="Y45" s="69"/>
    </row>
    <row r="46" spans="1:26" ht="18" customHeight="1" x14ac:dyDescent="0.15">
      <c r="A46" s="253" t="s">
        <v>66</v>
      </c>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row>
    <row r="47" spans="1:26" ht="18" customHeight="1" x14ac:dyDescent="0.15">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row>
    <row r="48" spans="1:26" ht="18" customHeight="1" x14ac:dyDescent="0.15">
      <c r="A48" s="14"/>
      <c r="B48" s="140" t="s">
        <v>54</v>
      </c>
      <c r="C48" s="141"/>
      <c r="D48" s="141"/>
      <c r="E48" s="141"/>
      <c r="F48" s="142"/>
      <c r="G48" s="30" t="s">
        <v>55</v>
      </c>
      <c r="H48" s="104" t="s">
        <v>56</v>
      </c>
      <c r="I48" s="140" t="s">
        <v>57</v>
      </c>
      <c r="J48" s="141"/>
      <c r="K48" s="142"/>
      <c r="L48" s="67" t="s">
        <v>67</v>
      </c>
      <c r="M48" s="67" t="s">
        <v>68</v>
      </c>
      <c r="N48" s="140" t="s">
        <v>54</v>
      </c>
      <c r="O48" s="141"/>
      <c r="P48" s="141"/>
      <c r="Q48" s="141"/>
      <c r="R48" s="141"/>
      <c r="S48" s="142"/>
      <c r="T48" s="30" t="s">
        <v>55</v>
      </c>
      <c r="U48" s="104" t="s">
        <v>56</v>
      </c>
      <c r="V48" s="140" t="s">
        <v>57</v>
      </c>
      <c r="W48" s="141"/>
      <c r="X48" s="142"/>
      <c r="Y48" s="67" t="s">
        <v>67</v>
      </c>
      <c r="Z48" s="67" t="s">
        <v>68</v>
      </c>
    </row>
    <row r="49" spans="1:26" ht="18" customHeight="1" x14ac:dyDescent="0.15">
      <c r="A49" s="29"/>
      <c r="B49" s="257" t="s">
        <v>160</v>
      </c>
      <c r="C49" s="258"/>
      <c r="D49" s="258"/>
      <c r="E49" s="258"/>
      <c r="F49" s="259"/>
      <c r="G49" s="105">
        <v>1</v>
      </c>
      <c r="H49" s="105" t="s">
        <v>161</v>
      </c>
      <c r="I49" s="247" t="s">
        <v>162</v>
      </c>
      <c r="J49" s="248"/>
      <c r="K49" s="249"/>
      <c r="L49" s="105" t="s">
        <v>161</v>
      </c>
      <c r="M49" s="105" t="s">
        <v>161</v>
      </c>
      <c r="N49" s="226"/>
      <c r="O49" s="227"/>
      <c r="P49" s="227"/>
      <c r="Q49" s="227"/>
      <c r="R49" s="227"/>
      <c r="S49" s="228"/>
      <c r="T49" s="105"/>
      <c r="U49" s="105"/>
      <c r="V49" s="247"/>
      <c r="W49" s="248"/>
      <c r="X49" s="249"/>
      <c r="Y49" s="105"/>
      <c r="Z49" s="105"/>
    </row>
    <row r="50" spans="1:26" ht="18" customHeight="1" x14ac:dyDescent="0.15">
      <c r="A50" s="29"/>
      <c r="B50" s="254" t="s">
        <v>179</v>
      </c>
      <c r="C50" s="255"/>
      <c r="D50" s="255"/>
      <c r="E50" s="255"/>
      <c r="F50" s="256"/>
      <c r="G50" s="106">
        <v>1</v>
      </c>
      <c r="H50" s="106" t="s">
        <v>161</v>
      </c>
      <c r="I50" s="244" t="s">
        <v>176</v>
      </c>
      <c r="J50" s="245"/>
      <c r="K50" s="246"/>
      <c r="L50" s="106" t="s">
        <v>161</v>
      </c>
      <c r="M50" s="106" t="s">
        <v>161</v>
      </c>
      <c r="N50" s="220"/>
      <c r="O50" s="221"/>
      <c r="P50" s="221"/>
      <c r="Q50" s="221"/>
      <c r="R50" s="221"/>
      <c r="S50" s="222"/>
      <c r="T50" s="106"/>
      <c r="U50" s="106"/>
      <c r="V50" s="244"/>
      <c r="W50" s="245"/>
      <c r="X50" s="246"/>
      <c r="Y50" s="106"/>
      <c r="Z50" s="106"/>
    </row>
    <row r="51" spans="1:26" ht="18" customHeight="1" x14ac:dyDescent="0.15">
      <c r="A51" s="29"/>
      <c r="B51" s="254"/>
      <c r="C51" s="255"/>
      <c r="D51" s="255"/>
      <c r="E51" s="255"/>
      <c r="F51" s="256"/>
      <c r="G51" s="106"/>
      <c r="H51" s="106"/>
      <c r="I51" s="244"/>
      <c r="J51" s="245"/>
      <c r="K51" s="246"/>
      <c r="L51" s="106"/>
      <c r="M51" s="106"/>
      <c r="N51" s="220"/>
      <c r="O51" s="221"/>
      <c r="P51" s="221"/>
      <c r="Q51" s="221"/>
      <c r="R51" s="221"/>
      <c r="S51" s="222"/>
      <c r="T51" s="106"/>
      <c r="U51" s="106"/>
      <c r="V51" s="244"/>
      <c r="W51" s="245"/>
      <c r="X51" s="246"/>
      <c r="Y51" s="106"/>
      <c r="Z51" s="106"/>
    </row>
    <row r="52" spans="1:26" ht="18" customHeight="1" x14ac:dyDescent="0.15">
      <c r="A52" s="29"/>
      <c r="B52" s="254"/>
      <c r="C52" s="255"/>
      <c r="D52" s="255"/>
      <c r="E52" s="255"/>
      <c r="F52" s="256"/>
      <c r="G52" s="106"/>
      <c r="H52" s="106"/>
      <c r="I52" s="244"/>
      <c r="J52" s="245"/>
      <c r="K52" s="246"/>
      <c r="L52" s="106"/>
      <c r="M52" s="106"/>
      <c r="N52" s="220"/>
      <c r="O52" s="221"/>
      <c r="P52" s="221"/>
      <c r="Q52" s="221"/>
      <c r="R52" s="221"/>
      <c r="S52" s="222"/>
      <c r="T52" s="106"/>
      <c r="U52" s="106"/>
      <c r="V52" s="244"/>
      <c r="W52" s="245"/>
      <c r="X52" s="246"/>
      <c r="Y52" s="106"/>
      <c r="Z52" s="106"/>
    </row>
    <row r="53" spans="1:26" ht="18" customHeight="1" x14ac:dyDescent="0.15">
      <c r="A53" s="29"/>
      <c r="B53" s="254"/>
      <c r="C53" s="255"/>
      <c r="D53" s="255"/>
      <c r="E53" s="255"/>
      <c r="F53" s="256"/>
      <c r="G53" s="106"/>
      <c r="H53" s="106"/>
      <c r="I53" s="244"/>
      <c r="J53" s="245"/>
      <c r="K53" s="246"/>
      <c r="L53" s="106"/>
      <c r="M53" s="106"/>
      <c r="N53" s="220"/>
      <c r="O53" s="221"/>
      <c r="P53" s="221"/>
      <c r="Q53" s="221"/>
      <c r="R53" s="221"/>
      <c r="S53" s="222"/>
      <c r="T53" s="106"/>
      <c r="U53" s="106"/>
      <c r="V53" s="244"/>
      <c r="W53" s="245"/>
      <c r="X53" s="246"/>
      <c r="Y53" s="106"/>
      <c r="Z53" s="106"/>
    </row>
    <row r="54" spans="1:26" ht="18" customHeight="1" x14ac:dyDescent="0.15">
      <c r="A54" s="29"/>
      <c r="B54" s="254"/>
      <c r="C54" s="255"/>
      <c r="D54" s="255"/>
      <c r="E54" s="255"/>
      <c r="F54" s="256"/>
      <c r="G54" s="106"/>
      <c r="H54" s="106"/>
      <c r="I54" s="244"/>
      <c r="J54" s="245"/>
      <c r="K54" s="246"/>
      <c r="L54" s="106"/>
      <c r="M54" s="106"/>
      <c r="N54" s="220"/>
      <c r="O54" s="221"/>
      <c r="P54" s="221"/>
      <c r="Q54" s="221"/>
      <c r="R54" s="221"/>
      <c r="S54" s="222"/>
      <c r="T54" s="106"/>
      <c r="U54" s="106"/>
      <c r="V54" s="244"/>
      <c r="W54" s="245"/>
      <c r="X54" s="246"/>
      <c r="Y54" s="106"/>
      <c r="Z54" s="106"/>
    </row>
    <row r="55" spans="1:26" ht="18" customHeight="1" x14ac:dyDescent="0.15">
      <c r="A55" s="29"/>
      <c r="B55" s="250"/>
      <c r="C55" s="251"/>
      <c r="D55" s="251"/>
      <c r="E55" s="251"/>
      <c r="F55" s="252"/>
      <c r="G55" s="107"/>
      <c r="H55" s="107"/>
      <c r="I55" s="235"/>
      <c r="J55" s="236"/>
      <c r="K55" s="237"/>
      <c r="L55" s="110"/>
      <c r="M55" s="110"/>
      <c r="N55" s="207"/>
      <c r="O55" s="208"/>
      <c r="P55" s="208"/>
      <c r="Q55" s="208"/>
      <c r="R55" s="208"/>
      <c r="S55" s="209"/>
      <c r="T55" s="107"/>
      <c r="U55" s="107"/>
      <c r="V55" s="235"/>
      <c r="W55" s="236"/>
      <c r="X55" s="237"/>
      <c r="Y55" s="110"/>
      <c r="Z55" s="110"/>
    </row>
    <row r="56" spans="1:26" ht="7.5" customHeight="1" x14ac:dyDescent="0.15">
      <c r="B56" s="69"/>
      <c r="C56" s="69"/>
      <c r="D56" s="69"/>
      <c r="E56" s="69"/>
      <c r="F56" s="69"/>
      <c r="G56" s="69"/>
      <c r="H56" s="69"/>
      <c r="I56" s="69"/>
      <c r="J56" s="69"/>
      <c r="K56" s="69"/>
      <c r="L56" s="69"/>
      <c r="M56" s="69"/>
      <c r="N56" s="69"/>
      <c r="O56" s="69"/>
      <c r="P56" s="69"/>
      <c r="Q56" s="69"/>
      <c r="R56" s="69"/>
      <c r="S56" s="69"/>
      <c r="T56" s="69"/>
      <c r="U56" s="69"/>
      <c r="V56" s="69"/>
      <c r="W56" s="69"/>
      <c r="X56" s="69"/>
      <c r="Y56" s="69"/>
    </row>
    <row r="57" spans="1:26" ht="18" customHeight="1" x14ac:dyDescent="0.15">
      <c r="A57" s="253" t="s">
        <v>69</v>
      </c>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row>
    <row r="58" spans="1:26" ht="18" customHeight="1" x14ac:dyDescent="0.15">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row>
    <row r="59" spans="1:26" ht="18" customHeight="1" x14ac:dyDescent="0.15">
      <c r="A59" s="14"/>
      <c r="B59" s="140" t="s">
        <v>54</v>
      </c>
      <c r="C59" s="141"/>
      <c r="D59" s="141"/>
      <c r="E59" s="142"/>
      <c r="F59" s="30" t="s">
        <v>55</v>
      </c>
      <c r="G59" s="104" t="s">
        <v>56</v>
      </c>
      <c r="H59" s="99" t="s">
        <v>57</v>
      </c>
      <c r="I59" s="100"/>
      <c r="J59" s="101"/>
      <c r="K59" s="67" t="s">
        <v>70</v>
      </c>
      <c r="L59" s="67" t="s">
        <v>71</v>
      </c>
      <c r="M59" s="67" t="s">
        <v>72</v>
      </c>
      <c r="N59" s="140" t="s">
        <v>54</v>
      </c>
      <c r="O59" s="141"/>
      <c r="P59" s="141"/>
      <c r="Q59" s="141"/>
      <c r="R59" s="142"/>
      <c r="S59" s="30" t="s">
        <v>55</v>
      </c>
      <c r="T59" s="104" t="s">
        <v>56</v>
      </c>
      <c r="U59" s="99" t="s">
        <v>57</v>
      </c>
      <c r="V59" s="100"/>
      <c r="W59" s="101"/>
      <c r="X59" s="67" t="s">
        <v>70</v>
      </c>
      <c r="Y59" s="67" t="s">
        <v>71</v>
      </c>
      <c r="Z59" s="67" t="s">
        <v>72</v>
      </c>
    </row>
    <row r="60" spans="1:26" ht="18" customHeight="1" x14ac:dyDescent="0.15">
      <c r="A60" s="29"/>
      <c r="B60" s="226" t="s">
        <v>160</v>
      </c>
      <c r="C60" s="227"/>
      <c r="D60" s="227"/>
      <c r="E60" s="228"/>
      <c r="F60" s="105">
        <v>1</v>
      </c>
      <c r="G60" s="105" t="s">
        <v>161</v>
      </c>
      <c r="H60" s="247" t="s">
        <v>162</v>
      </c>
      <c r="I60" s="248"/>
      <c r="J60" s="249"/>
      <c r="K60" s="135" t="s">
        <v>164</v>
      </c>
      <c r="L60" s="105" t="s">
        <v>161</v>
      </c>
      <c r="M60" s="105" t="s">
        <v>161</v>
      </c>
      <c r="N60" s="226"/>
      <c r="O60" s="227"/>
      <c r="P60" s="227"/>
      <c r="Q60" s="227"/>
      <c r="R60" s="228"/>
      <c r="S60" s="105"/>
      <c r="T60" s="105"/>
      <c r="U60" s="247"/>
      <c r="V60" s="248"/>
      <c r="W60" s="249"/>
      <c r="X60" s="135"/>
      <c r="Y60" s="105"/>
      <c r="Z60" s="105"/>
    </row>
    <row r="61" spans="1:26" ht="18" customHeight="1" x14ac:dyDescent="0.15">
      <c r="A61" s="29"/>
      <c r="B61" s="241" t="s">
        <v>180</v>
      </c>
      <c r="C61" s="242"/>
      <c r="D61" s="242"/>
      <c r="E61" s="243"/>
      <c r="F61" s="106">
        <v>1</v>
      </c>
      <c r="G61" s="106" t="s">
        <v>161</v>
      </c>
      <c r="H61" s="244" t="s">
        <v>176</v>
      </c>
      <c r="I61" s="245"/>
      <c r="J61" s="246"/>
      <c r="K61" s="106" t="s">
        <v>161</v>
      </c>
      <c r="L61" s="106" t="s">
        <v>161</v>
      </c>
      <c r="M61" s="106" t="s">
        <v>161</v>
      </c>
      <c r="N61" s="220"/>
      <c r="O61" s="221"/>
      <c r="P61" s="221"/>
      <c r="Q61" s="221"/>
      <c r="R61" s="222"/>
      <c r="S61" s="106"/>
      <c r="T61" s="106"/>
      <c r="U61" s="244"/>
      <c r="V61" s="245"/>
      <c r="W61" s="246"/>
      <c r="X61" s="133"/>
      <c r="Y61" s="106"/>
      <c r="Z61" s="106"/>
    </row>
    <row r="62" spans="1:26" ht="18" customHeight="1" x14ac:dyDescent="0.15">
      <c r="A62" s="29"/>
      <c r="B62" s="241"/>
      <c r="C62" s="242"/>
      <c r="D62" s="242"/>
      <c r="E62" s="243"/>
      <c r="F62" s="106"/>
      <c r="G62" s="106"/>
      <c r="H62" s="244"/>
      <c r="I62" s="245"/>
      <c r="J62" s="246"/>
      <c r="K62" s="133"/>
      <c r="L62" s="106"/>
      <c r="M62" s="106"/>
      <c r="N62" s="220"/>
      <c r="O62" s="221"/>
      <c r="P62" s="221"/>
      <c r="Q62" s="221"/>
      <c r="R62" s="222"/>
      <c r="S62" s="106"/>
      <c r="T62" s="106"/>
      <c r="U62" s="244"/>
      <c r="V62" s="245"/>
      <c r="W62" s="246"/>
      <c r="X62" s="133"/>
      <c r="Y62" s="106"/>
      <c r="Z62" s="106"/>
    </row>
    <row r="63" spans="1:26" ht="18" customHeight="1" x14ac:dyDescent="0.15">
      <c r="A63" s="29"/>
      <c r="B63" s="241"/>
      <c r="C63" s="242"/>
      <c r="D63" s="242"/>
      <c r="E63" s="243"/>
      <c r="F63" s="106"/>
      <c r="G63" s="106"/>
      <c r="H63" s="244"/>
      <c r="I63" s="245"/>
      <c r="J63" s="246"/>
      <c r="K63" s="106"/>
      <c r="L63" s="106"/>
      <c r="M63" s="106"/>
      <c r="N63" s="220"/>
      <c r="O63" s="221"/>
      <c r="P63" s="221"/>
      <c r="Q63" s="221"/>
      <c r="R63" s="222"/>
      <c r="S63" s="106"/>
      <c r="T63" s="106"/>
      <c r="U63" s="244"/>
      <c r="V63" s="245"/>
      <c r="W63" s="246"/>
      <c r="X63" s="133"/>
      <c r="Y63" s="106"/>
      <c r="Z63" s="106"/>
    </row>
    <row r="64" spans="1:26" ht="18" customHeight="1" x14ac:dyDescent="0.15">
      <c r="A64" s="29"/>
      <c r="B64" s="241"/>
      <c r="C64" s="242"/>
      <c r="D64" s="242"/>
      <c r="E64" s="243"/>
      <c r="F64" s="106"/>
      <c r="G64" s="106"/>
      <c r="H64" s="244"/>
      <c r="I64" s="245"/>
      <c r="J64" s="246"/>
      <c r="K64" s="106"/>
      <c r="L64" s="106"/>
      <c r="M64" s="106"/>
      <c r="N64" s="220"/>
      <c r="O64" s="221"/>
      <c r="P64" s="221"/>
      <c r="Q64" s="221"/>
      <c r="R64" s="222"/>
      <c r="S64" s="106"/>
      <c r="T64" s="106"/>
      <c r="U64" s="244"/>
      <c r="V64" s="245"/>
      <c r="W64" s="246"/>
      <c r="X64" s="133"/>
      <c r="Y64" s="106"/>
      <c r="Z64" s="106"/>
    </row>
    <row r="65" spans="1:26" ht="18" customHeight="1" x14ac:dyDescent="0.15">
      <c r="A65" s="29"/>
      <c r="B65" s="241"/>
      <c r="C65" s="242"/>
      <c r="D65" s="242"/>
      <c r="E65" s="243"/>
      <c r="F65" s="106"/>
      <c r="G65" s="106"/>
      <c r="H65" s="244"/>
      <c r="I65" s="245"/>
      <c r="J65" s="246"/>
      <c r="K65" s="133"/>
      <c r="L65" s="106"/>
      <c r="M65" s="106"/>
      <c r="N65" s="220"/>
      <c r="O65" s="221"/>
      <c r="P65" s="221"/>
      <c r="Q65" s="221"/>
      <c r="R65" s="222"/>
      <c r="S65" s="106"/>
      <c r="T65" s="106"/>
      <c r="U65" s="244"/>
      <c r="V65" s="245"/>
      <c r="W65" s="246"/>
      <c r="X65" s="133"/>
      <c r="Y65" s="106"/>
      <c r="Z65" s="106"/>
    </row>
    <row r="66" spans="1:26" ht="18" customHeight="1" x14ac:dyDescent="0.15">
      <c r="A66" s="29"/>
      <c r="B66" s="232"/>
      <c r="C66" s="233"/>
      <c r="D66" s="233"/>
      <c r="E66" s="234"/>
      <c r="F66" s="107"/>
      <c r="G66" s="107"/>
      <c r="H66" s="235"/>
      <c r="I66" s="236"/>
      <c r="J66" s="237"/>
      <c r="K66" s="134"/>
      <c r="L66" s="110"/>
      <c r="M66" s="110"/>
      <c r="N66" s="207"/>
      <c r="O66" s="208"/>
      <c r="P66" s="208"/>
      <c r="Q66" s="208"/>
      <c r="R66" s="209"/>
      <c r="S66" s="107"/>
      <c r="T66" s="107"/>
      <c r="U66" s="235"/>
      <c r="V66" s="236"/>
      <c r="W66" s="237"/>
      <c r="X66" s="134"/>
      <c r="Y66" s="110"/>
      <c r="Z66" s="110"/>
    </row>
    <row r="67" spans="1:26" ht="7.5" customHeight="1" x14ac:dyDescent="0.15">
      <c r="B67" s="69"/>
      <c r="C67" s="69"/>
      <c r="D67" s="69"/>
      <c r="E67" s="69"/>
      <c r="F67" s="69"/>
      <c r="G67" s="69"/>
      <c r="H67" s="69"/>
      <c r="I67" s="69"/>
      <c r="J67" s="69"/>
      <c r="K67" s="69"/>
      <c r="L67" s="69"/>
      <c r="M67" s="69"/>
      <c r="N67" s="69"/>
      <c r="O67" s="69"/>
      <c r="P67" s="69"/>
      <c r="Q67" s="69"/>
      <c r="R67" s="69"/>
      <c r="S67" s="69"/>
      <c r="T67" s="69"/>
      <c r="U67" s="69"/>
      <c r="V67" s="69"/>
      <c r="W67" s="69"/>
      <c r="X67" s="69"/>
      <c r="Y67" s="69"/>
    </row>
    <row r="68" spans="1:26" ht="18" customHeight="1" x14ac:dyDescent="0.15">
      <c r="A68" s="14" t="s">
        <v>73</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0" t="s">
        <v>54</v>
      </c>
      <c r="C69" s="141"/>
      <c r="D69" s="141"/>
      <c r="E69" s="141"/>
      <c r="F69" s="142"/>
      <c r="G69" s="140" t="s">
        <v>74</v>
      </c>
      <c r="H69" s="141"/>
      <c r="I69" s="141"/>
      <c r="J69" s="141"/>
      <c r="K69" s="141"/>
      <c r="L69" s="141"/>
      <c r="M69" s="142"/>
      <c r="N69" s="238" t="s">
        <v>54</v>
      </c>
      <c r="O69" s="239"/>
      <c r="P69" s="239"/>
      <c r="Q69" s="239"/>
      <c r="R69" s="239"/>
      <c r="S69" s="240"/>
      <c r="T69" s="140" t="s">
        <v>74</v>
      </c>
      <c r="U69" s="141"/>
      <c r="V69" s="141"/>
      <c r="W69" s="141"/>
      <c r="X69" s="141"/>
      <c r="Y69" s="141"/>
      <c r="Z69" s="142"/>
    </row>
    <row r="70" spans="1:26" ht="18" customHeight="1" x14ac:dyDescent="0.15">
      <c r="A70" s="29"/>
      <c r="B70" s="226" t="s">
        <v>160</v>
      </c>
      <c r="C70" s="227"/>
      <c r="D70" s="227"/>
      <c r="E70" s="227"/>
      <c r="F70" s="228"/>
      <c r="G70" s="229" t="s">
        <v>165</v>
      </c>
      <c r="H70" s="230"/>
      <c r="I70" s="230"/>
      <c r="J70" s="230"/>
      <c r="K70" s="230"/>
      <c r="L70" s="230"/>
      <c r="M70" s="231"/>
      <c r="N70" s="226"/>
      <c r="O70" s="227"/>
      <c r="P70" s="227"/>
      <c r="Q70" s="227"/>
      <c r="R70" s="227"/>
      <c r="S70" s="228"/>
      <c r="T70" s="229"/>
      <c r="U70" s="230"/>
      <c r="V70" s="230"/>
      <c r="W70" s="230"/>
      <c r="X70" s="230"/>
      <c r="Y70" s="230"/>
      <c r="Z70" s="231"/>
    </row>
    <row r="71" spans="1:26" ht="18" customHeight="1" x14ac:dyDescent="0.15">
      <c r="A71" s="29"/>
      <c r="B71" s="220" t="s">
        <v>160</v>
      </c>
      <c r="C71" s="221"/>
      <c r="D71" s="221"/>
      <c r="E71" s="221"/>
      <c r="F71" s="222"/>
      <c r="G71" s="223" t="s">
        <v>166</v>
      </c>
      <c r="H71" s="224"/>
      <c r="I71" s="224"/>
      <c r="J71" s="224"/>
      <c r="K71" s="224"/>
      <c r="L71" s="224"/>
      <c r="M71" s="225"/>
      <c r="N71" s="220"/>
      <c r="O71" s="221"/>
      <c r="P71" s="221"/>
      <c r="Q71" s="221"/>
      <c r="R71" s="221"/>
      <c r="S71" s="222"/>
      <c r="T71" s="223"/>
      <c r="U71" s="224"/>
      <c r="V71" s="224"/>
      <c r="W71" s="224"/>
      <c r="X71" s="224"/>
      <c r="Y71" s="224"/>
      <c r="Z71" s="225"/>
    </row>
    <row r="72" spans="1:26" ht="18" customHeight="1" x14ac:dyDescent="0.15">
      <c r="A72" s="29"/>
      <c r="B72" s="220"/>
      <c r="C72" s="221"/>
      <c r="D72" s="221"/>
      <c r="E72" s="221"/>
      <c r="F72" s="222"/>
      <c r="G72" s="223"/>
      <c r="H72" s="224"/>
      <c r="I72" s="224"/>
      <c r="J72" s="224"/>
      <c r="K72" s="224"/>
      <c r="L72" s="224"/>
      <c r="M72" s="225"/>
      <c r="N72" s="220"/>
      <c r="O72" s="221"/>
      <c r="P72" s="221"/>
      <c r="Q72" s="221"/>
      <c r="R72" s="221"/>
      <c r="S72" s="222"/>
      <c r="T72" s="223"/>
      <c r="U72" s="224"/>
      <c r="V72" s="224"/>
      <c r="W72" s="224"/>
      <c r="X72" s="224"/>
      <c r="Y72" s="224"/>
      <c r="Z72" s="225"/>
    </row>
    <row r="73" spans="1:26" ht="18" customHeight="1" x14ac:dyDescent="0.15">
      <c r="A73" s="29"/>
      <c r="B73" s="220"/>
      <c r="C73" s="221"/>
      <c r="D73" s="221"/>
      <c r="E73" s="221"/>
      <c r="F73" s="222"/>
      <c r="G73" s="223"/>
      <c r="H73" s="224"/>
      <c r="I73" s="224"/>
      <c r="J73" s="224"/>
      <c r="K73" s="224"/>
      <c r="L73" s="224"/>
      <c r="M73" s="225"/>
      <c r="N73" s="220"/>
      <c r="O73" s="221"/>
      <c r="P73" s="221"/>
      <c r="Q73" s="221"/>
      <c r="R73" s="221"/>
      <c r="S73" s="222"/>
      <c r="T73" s="223"/>
      <c r="U73" s="224"/>
      <c r="V73" s="224"/>
      <c r="W73" s="224"/>
      <c r="X73" s="224"/>
      <c r="Y73" s="224"/>
      <c r="Z73" s="225"/>
    </row>
    <row r="74" spans="1:26" ht="18" customHeight="1" x14ac:dyDescent="0.15">
      <c r="A74" s="29"/>
      <c r="B74" s="220"/>
      <c r="C74" s="221"/>
      <c r="D74" s="221"/>
      <c r="E74" s="221"/>
      <c r="F74" s="222"/>
      <c r="G74" s="223"/>
      <c r="H74" s="224"/>
      <c r="I74" s="224"/>
      <c r="J74" s="224"/>
      <c r="K74" s="224"/>
      <c r="L74" s="224"/>
      <c r="M74" s="225"/>
      <c r="N74" s="220"/>
      <c r="O74" s="221"/>
      <c r="P74" s="221"/>
      <c r="Q74" s="221"/>
      <c r="R74" s="221"/>
      <c r="S74" s="222"/>
      <c r="T74" s="223"/>
      <c r="U74" s="224"/>
      <c r="V74" s="224"/>
      <c r="W74" s="224"/>
      <c r="X74" s="224"/>
      <c r="Y74" s="224"/>
      <c r="Z74" s="225"/>
    </row>
    <row r="75" spans="1:26" ht="18" customHeight="1" x14ac:dyDescent="0.15">
      <c r="A75" s="29"/>
      <c r="B75" s="220"/>
      <c r="C75" s="221"/>
      <c r="D75" s="221"/>
      <c r="E75" s="221"/>
      <c r="F75" s="222"/>
      <c r="G75" s="223"/>
      <c r="H75" s="224"/>
      <c r="I75" s="224"/>
      <c r="J75" s="224"/>
      <c r="K75" s="224"/>
      <c r="L75" s="224"/>
      <c r="M75" s="225"/>
      <c r="N75" s="220"/>
      <c r="O75" s="221"/>
      <c r="P75" s="221"/>
      <c r="Q75" s="221"/>
      <c r="R75" s="221"/>
      <c r="S75" s="222"/>
      <c r="T75" s="223"/>
      <c r="U75" s="224"/>
      <c r="V75" s="224"/>
      <c r="W75" s="224"/>
      <c r="X75" s="224"/>
      <c r="Y75" s="224"/>
      <c r="Z75" s="225"/>
    </row>
    <row r="76" spans="1:26" ht="18" customHeight="1" x14ac:dyDescent="0.15">
      <c r="A76" s="29"/>
      <c r="B76" s="207"/>
      <c r="C76" s="208"/>
      <c r="D76" s="208"/>
      <c r="E76" s="208"/>
      <c r="F76" s="209"/>
      <c r="G76" s="210"/>
      <c r="H76" s="211"/>
      <c r="I76" s="211"/>
      <c r="J76" s="211"/>
      <c r="K76" s="211"/>
      <c r="L76" s="211"/>
      <c r="M76" s="212"/>
      <c r="N76" s="207"/>
      <c r="O76" s="208"/>
      <c r="P76" s="208"/>
      <c r="Q76" s="208"/>
      <c r="R76" s="208"/>
      <c r="S76" s="209"/>
      <c r="T76" s="210"/>
      <c r="U76" s="211"/>
      <c r="V76" s="211"/>
      <c r="W76" s="211"/>
      <c r="X76" s="211"/>
      <c r="Y76" s="211"/>
      <c r="Z76" s="212"/>
    </row>
    <row r="77" spans="1:26" ht="18" customHeight="1" x14ac:dyDescent="0.15">
      <c r="A77" s="29"/>
      <c r="B77" s="132"/>
      <c r="C77" s="132"/>
      <c r="D77" s="132"/>
      <c r="E77" s="132"/>
      <c r="F77" s="132"/>
      <c r="G77" s="12"/>
      <c r="H77" s="12"/>
      <c r="I77" s="12"/>
      <c r="J77" s="12"/>
      <c r="K77" s="12"/>
      <c r="L77" s="12"/>
      <c r="M77" s="12"/>
      <c r="N77" s="132"/>
      <c r="O77" s="132"/>
      <c r="P77" s="132"/>
      <c r="Q77" s="132"/>
      <c r="R77" s="132"/>
      <c r="S77" s="132"/>
      <c r="T77" s="12"/>
      <c r="U77" s="12"/>
      <c r="V77" s="12"/>
      <c r="W77" s="12"/>
      <c r="X77" s="12"/>
      <c r="Y77" s="12"/>
      <c r="Z77" s="12"/>
    </row>
    <row r="78" spans="1:26" ht="18.75" customHeight="1" x14ac:dyDescent="0.15">
      <c r="A78" s="13" t="s">
        <v>75</v>
      </c>
    </row>
    <row r="79" spans="1:26" ht="18.75" customHeight="1" x14ac:dyDescent="0.15">
      <c r="B79" s="70" t="s">
        <v>76</v>
      </c>
      <c r="C79" s="71"/>
      <c r="D79" s="213" t="s">
        <v>77</v>
      </c>
      <c r="E79" s="213"/>
      <c r="F79" s="213"/>
      <c r="G79" s="213"/>
      <c r="H79" s="213"/>
      <c r="I79" s="213"/>
      <c r="J79" s="213"/>
      <c r="K79" s="213"/>
      <c r="L79" s="213"/>
      <c r="M79" s="213"/>
      <c r="N79" s="213"/>
      <c r="O79" s="213"/>
      <c r="P79" s="213"/>
      <c r="Q79" s="213"/>
      <c r="R79" s="213"/>
      <c r="S79" s="213"/>
      <c r="T79" s="213"/>
      <c r="U79" s="213"/>
      <c r="V79" s="213"/>
      <c r="W79" s="213"/>
      <c r="X79" s="213"/>
      <c r="Y79" s="213"/>
      <c r="Z79" s="214"/>
    </row>
    <row r="80" spans="1:26" ht="78.75" customHeight="1" x14ac:dyDescent="0.15">
      <c r="B80" s="183" t="s">
        <v>78</v>
      </c>
      <c r="C80" s="77" t="s">
        <v>58</v>
      </c>
      <c r="D80" s="215" t="s">
        <v>235</v>
      </c>
      <c r="E80" s="215"/>
      <c r="F80" s="215"/>
      <c r="G80" s="215"/>
      <c r="H80" s="215"/>
      <c r="I80" s="215"/>
      <c r="J80" s="215"/>
      <c r="K80" s="215"/>
      <c r="L80" s="215"/>
      <c r="M80" s="215"/>
      <c r="N80" s="215"/>
      <c r="O80" s="215"/>
      <c r="P80" s="215"/>
      <c r="Q80" s="215"/>
      <c r="R80" s="215"/>
      <c r="S80" s="215"/>
      <c r="T80" s="215"/>
      <c r="U80" s="215"/>
      <c r="V80" s="215"/>
      <c r="W80" s="215"/>
      <c r="X80" s="215"/>
      <c r="Y80" s="215"/>
      <c r="Z80" s="216"/>
    </row>
    <row r="81" spans="1:26" ht="78.75" customHeight="1" x14ac:dyDescent="0.15">
      <c r="B81" s="189"/>
      <c r="C81" s="102" t="s">
        <v>79</v>
      </c>
      <c r="D81" s="217" t="s">
        <v>191</v>
      </c>
      <c r="E81" s="218"/>
      <c r="F81" s="218"/>
      <c r="G81" s="218"/>
      <c r="H81" s="218"/>
      <c r="I81" s="218"/>
      <c r="J81" s="218"/>
      <c r="K81" s="218"/>
      <c r="L81" s="218"/>
      <c r="M81" s="218"/>
      <c r="N81" s="218"/>
      <c r="O81" s="218"/>
      <c r="P81" s="218"/>
      <c r="Q81" s="218"/>
      <c r="R81" s="218"/>
      <c r="S81" s="218"/>
      <c r="T81" s="218"/>
      <c r="U81" s="218"/>
      <c r="V81" s="218"/>
      <c r="W81" s="218"/>
      <c r="X81" s="218"/>
      <c r="Y81" s="218"/>
      <c r="Z81" s="219"/>
    </row>
    <row r="82" spans="1:26" ht="78.75" customHeight="1" x14ac:dyDescent="0.15">
      <c r="B82" s="198" t="s">
        <v>80</v>
      </c>
      <c r="C82" s="125" t="s">
        <v>61</v>
      </c>
      <c r="D82" s="199" t="s">
        <v>191</v>
      </c>
      <c r="E82" s="200"/>
      <c r="F82" s="200"/>
      <c r="G82" s="200"/>
      <c r="H82" s="200"/>
      <c r="I82" s="200"/>
      <c r="J82" s="200"/>
      <c r="K82" s="200"/>
      <c r="L82" s="200"/>
      <c r="M82" s="200"/>
      <c r="N82" s="200"/>
      <c r="O82" s="200"/>
      <c r="P82" s="200"/>
      <c r="Q82" s="200"/>
      <c r="R82" s="200"/>
      <c r="S82" s="200"/>
      <c r="T82" s="200"/>
      <c r="U82" s="200"/>
      <c r="V82" s="200"/>
      <c r="W82" s="200"/>
      <c r="X82" s="200"/>
      <c r="Y82" s="200"/>
      <c r="Z82" s="201"/>
    </row>
    <row r="83" spans="1:26" ht="78.75" customHeight="1" x14ac:dyDescent="0.15">
      <c r="B83" s="190"/>
      <c r="C83" s="103" t="s">
        <v>62</v>
      </c>
      <c r="D83" s="202" t="s">
        <v>193</v>
      </c>
      <c r="E83" s="203"/>
      <c r="F83" s="203"/>
      <c r="G83" s="203"/>
      <c r="H83" s="203"/>
      <c r="I83" s="203"/>
      <c r="J83" s="203"/>
      <c r="K83" s="203"/>
      <c r="L83" s="203"/>
      <c r="M83" s="203"/>
      <c r="N83" s="203"/>
      <c r="O83" s="203"/>
      <c r="P83" s="203"/>
      <c r="Q83" s="203"/>
      <c r="R83" s="203"/>
      <c r="S83" s="203"/>
      <c r="T83" s="203"/>
      <c r="U83" s="203"/>
      <c r="V83" s="203"/>
      <c r="W83" s="203"/>
      <c r="X83" s="203"/>
      <c r="Y83" s="203"/>
      <c r="Z83" s="204"/>
    </row>
    <row r="84" spans="1:26" ht="82.5" customHeight="1" x14ac:dyDescent="0.15">
      <c r="B84" s="198" t="s">
        <v>173</v>
      </c>
      <c r="C84" s="125" t="s">
        <v>64</v>
      </c>
      <c r="D84" s="199" t="s">
        <v>222</v>
      </c>
      <c r="E84" s="200"/>
      <c r="F84" s="200"/>
      <c r="G84" s="200"/>
      <c r="H84" s="200"/>
      <c r="I84" s="200"/>
      <c r="J84" s="200"/>
      <c r="K84" s="200"/>
      <c r="L84" s="200"/>
      <c r="M84" s="200"/>
      <c r="N84" s="200"/>
      <c r="O84" s="200"/>
      <c r="P84" s="200"/>
      <c r="Q84" s="200"/>
      <c r="R84" s="200"/>
      <c r="S84" s="200"/>
      <c r="T84" s="200"/>
      <c r="U84" s="200"/>
      <c r="V84" s="200"/>
      <c r="W84" s="200"/>
      <c r="X84" s="200"/>
      <c r="Y84" s="200"/>
      <c r="Z84" s="201"/>
    </row>
    <row r="85" spans="1:26" ht="82.5" customHeight="1" x14ac:dyDescent="0.15">
      <c r="B85" s="190"/>
      <c r="C85" s="74" t="s">
        <v>65</v>
      </c>
      <c r="D85" s="205" t="s">
        <v>194</v>
      </c>
      <c r="E85" s="205"/>
      <c r="F85" s="205"/>
      <c r="G85" s="205"/>
      <c r="H85" s="205"/>
      <c r="I85" s="205"/>
      <c r="J85" s="205"/>
      <c r="K85" s="205"/>
      <c r="L85" s="205"/>
      <c r="M85" s="205"/>
      <c r="N85" s="205"/>
      <c r="O85" s="205"/>
      <c r="P85" s="205"/>
      <c r="Q85" s="205"/>
      <c r="R85" s="205"/>
      <c r="S85" s="205"/>
      <c r="T85" s="205"/>
      <c r="U85" s="205"/>
      <c r="V85" s="205"/>
      <c r="W85" s="205"/>
      <c r="X85" s="205"/>
      <c r="Y85" s="205"/>
      <c r="Z85" s="206"/>
    </row>
    <row r="86" spans="1:26" ht="82.5" customHeight="1" x14ac:dyDescent="0.15">
      <c r="B86" s="183" t="s">
        <v>81</v>
      </c>
      <c r="C86" s="77" t="s">
        <v>67</v>
      </c>
      <c r="D86" s="185" t="s">
        <v>223</v>
      </c>
      <c r="E86" s="185"/>
      <c r="F86" s="185"/>
      <c r="G86" s="185"/>
      <c r="H86" s="185"/>
      <c r="I86" s="185"/>
      <c r="J86" s="185"/>
      <c r="K86" s="185"/>
      <c r="L86" s="185"/>
      <c r="M86" s="185"/>
      <c r="N86" s="185"/>
      <c r="O86" s="185"/>
      <c r="P86" s="185"/>
      <c r="Q86" s="185"/>
      <c r="R86" s="185"/>
      <c r="S86" s="185"/>
      <c r="T86" s="185"/>
      <c r="U86" s="185"/>
      <c r="V86" s="185"/>
      <c r="W86" s="185"/>
      <c r="X86" s="185"/>
      <c r="Y86" s="185"/>
      <c r="Z86" s="186"/>
    </row>
    <row r="87" spans="1:26" ht="82.5" customHeight="1" x14ac:dyDescent="0.15">
      <c r="B87" s="184"/>
      <c r="C87" s="73" t="s">
        <v>68</v>
      </c>
      <c r="D87" s="187" t="s">
        <v>224</v>
      </c>
      <c r="E87" s="187"/>
      <c r="F87" s="187"/>
      <c r="G87" s="187"/>
      <c r="H87" s="187"/>
      <c r="I87" s="187"/>
      <c r="J87" s="187"/>
      <c r="K87" s="187"/>
      <c r="L87" s="187"/>
      <c r="M87" s="187"/>
      <c r="N87" s="187"/>
      <c r="O87" s="187"/>
      <c r="P87" s="187"/>
      <c r="Q87" s="187"/>
      <c r="R87" s="187"/>
      <c r="S87" s="187"/>
      <c r="T87" s="187"/>
      <c r="U87" s="187"/>
      <c r="V87" s="187"/>
      <c r="W87" s="187"/>
      <c r="X87" s="187"/>
      <c r="Y87" s="187"/>
      <c r="Z87" s="188"/>
    </row>
    <row r="88" spans="1:26" ht="82.5" customHeight="1" x14ac:dyDescent="0.15">
      <c r="B88" s="183" t="s">
        <v>82</v>
      </c>
      <c r="C88" s="72" t="s">
        <v>70</v>
      </c>
      <c r="D88" s="191" t="s">
        <v>227</v>
      </c>
      <c r="E88" s="191"/>
      <c r="F88" s="191"/>
      <c r="G88" s="191"/>
      <c r="H88" s="191"/>
      <c r="I88" s="191"/>
      <c r="J88" s="191"/>
      <c r="K88" s="191"/>
      <c r="L88" s="191"/>
      <c r="M88" s="191"/>
      <c r="N88" s="191"/>
      <c r="O88" s="191"/>
      <c r="P88" s="191"/>
      <c r="Q88" s="191"/>
      <c r="R88" s="191"/>
      <c r="S88" s="191"/>
      <c r="T88" s="191"/>
      <c r="U88" s="191"/>
      <c r="V88" s="191"/>
      <c r="W88" s="191"/>
      <c r="X88" s="191"/>
      <c r="Y88" s="191"/>
      <c r="Z88" s="192"/>
    </row>
    <row r="89" spans="1:26" ht="82.5" customHeight="1" x14ac:dyDescent="0.15">
      <c r="B89" s="189"/>
      <c r="C89" s="73" t="s">
        <v>71</v>
      </c>
      <c r="D89" s="193" t="s">
        <v>225</v>
      </c>
      <c r="E89" s="194"/>
      <c r="F89" s="194"/>
      <c r="G89" s="194"/>
      <c r="H89" s="194"/>
      <c r="I89" s="194"/>
      <c r="J89" s="194"/>
      <c r="K89" s="194"/>
      <c r="L89" s="194"/>
      <c r="M89" s="194"/>
      <c r="N89" s="194"/>
      <c r="O89" s="194"/>
      <c r="P89" s="194"/>
      <c r="Q89" s="194"/>
      <c r="R89" s="194"/>
      <c r="S89" s="194"/>
      <c r="T89" s="194"/>
      <c r="U89" s="194"/>
      <c r="V89" s="194"/>
      <c r="W89" s="194"/>
      <c r="X89" s="194"/>
      <c r="Y89" s="194"/>
      <c r="Z89" s="195"/>
    </row>
    <row r="90" spans="1:26" ht="82.5" customHeight="1" x14ac:dyDescent="0.15">
      <c r="B90" s="190"/>
      <c r="C90" s="124" t="s">
        <v>72</v>
      </c>
      <c r="D90" s="196" t="s">
        <v>226</v>
      </c>
      <c r="E90" s="196"/>
      <c r="F90" s="196"/>
      <c r="G90" s="196"/>
      <c r="H90" s="196"/>
      <c r="I90" s="196"/>
      <c r="J90" s="196"/>
      <c r="K90" s="196"/>
      <c r="L90" s="196"/>
      <c r="M90" s="196"/>
      <c r="N90" s="196"/>
      <c r="O90" s="196"/>
      <c r="P90" s="196"/>
      <c r="Q90" s="196"/>
      <c r="R90" s="196"/>
      <c r="S90" s="196"/>
      <c r="T90" s="196"/>
      <c r="U90" s="196"/>
      <c r="V90" s="196"/>
      <c r="W90" s="196"/>
      <c r="X90" s="196"/>
      <c r="Y90" s="196"/>
      <c r="Z90" s="197"/>
    </row>
    <row r="91" spans="1:26" ht="6" customHeight="1" x14ac:dyDescent="0.15">
      <c r="D91" s="13" t="s">
        <v>195</v>
      </c>
    </row>
    <row r="92" spans="1:26" ht="18.75" customHeight="1" x14ac:dyDescent="0.15">
      <c r="A92" s="13" t="s">
        <v>83</v>
      </c>
    </row>
    <row r="93" spans="1:26" ht="18.75" customHeight="1" x14ac:dyDescent="0.15">
      <c r="B93" s="171" t="s">
        <v>185</v>
      </c>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3"/>
    </row>
    <row r="94" spans="1:26" ht="18.75" customHeight="1" x14ac:dyDescent="0.15">
      <c r="B94" s="174"/>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6"/>
    </row>
    <row r="95" spans="1:26" ht="18.75" customHeight="1" x14ac:dyDescent="0.15">
      <c r="B95" s="177"/>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9"/>
    </row>
    <row r="96" spans="1:26" ht="6" customHeight="1" x14ac:dyDescent="0.15"/>
    <row r="97" spans="1:26" ht="15" customHeight="1" x14ac:dyDescent="0.15">
      <c r="A97" s="13" t="s">
        <v>84</v>
      </c>
    </row>
    <row r="98" spans="1:26" ht="15" customHeight="1" x14ac:dyDescent="0.15">
      <c r="B98" s="180" t="s">
        <v>245</v>
      </c>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2"/>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L27:M33 Y38:Z44 L49:M55 Y49:Z55 Y60:Z66 H38:H44 H16:H22 U16:U22 H27:H33 U27:U33 T60:T66 U38:U44 H49:H55 U49:U55 K63:K64 G60:G66 K61 L38:M44 L60:M66">
      <formula1>"○"</formula1>
    </dataValidation>
    <dataValidation type="list" allowBlank="1" showInputMessage="1" showErrorMessage="1" sqref="Z23 Z34 D34:K34 D23:K23 V16:V22 I16:I22 V27:V33 I27:I33 V38:V44 H60:H66 V49:V55 I49:I55 U60:U66 I38:I44">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9" fitToHeight="0" orientation="landscape" r:id="rId2"/>
  <rowBreaks count="4" manualBreakCount="4">
    <brk id="34" max="25" man="1"/>
    <brk id="67" max="25" man="1"/>
    <brk id="83" max="25" man="1"/>
    <brk id="91"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Z98"/>
  <sheetViews>
    <sheetView showZeros="0" tabSelected="1" view="pageBreakPreview" topLeftCell="A85" zoomScaleNormal="100" zoomScaleSheetLayoutView="100" workbookViewId="0">
      <selection activeCell="J18" sqref="J18"/>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81" t="s">
        <v>215</v>
      </c>
      <c r="X1" s="281"/>
      <c r="Y1" s="281"/>
      <c r="Z1" s="281"/>
    </row>
    <row r="2" spans="1:26" ht="18" customHeight="1" x14ac:dyDescent="0.15">
      <c r="A2" s="282" t="s">
        <v>50</v>
      </c>
      <c r="B2" s="282"/>
      <c r="C2" s="282"/>
      <c r="D2" s="282"/>
      <c r="E2" s="282"/>
      <c r="F2" s="282"/>
      <c r="G2" s="282"/>
      <c r="H2" s="282"/>
      <c r="I2" s="282"/>
      <c r="J2" s="282"/>
      <c r="K2" s="282"/>
      <c r="L2" s="282"/>
      <c r="M2" s="282"/>
      <c r="N2" s="282"/>
      <c r="O2" s="282"/>
      <c r="P2" s="282"/>
      <c r="Q2" s="282"/>
      <c r="R2" s="282"/>
      <c r="S2" s="282"/>
      <c r="T2" s="282"/>
      <c r="U2" s="282"/>
      <c r="V2" s="282"/>
      <c r="W2" s="282"/>
      <c r="X2" s="282"/>
      <c r="Y2" s="282"/>
      <c r="Z2" s="282"/>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51</v>
      </c>
      <c r="B4" s="29"/>
      <c r="C4" s="29"/>
      <c r="D4" s="29"/>
      <c r="E4" s="29"/>
      <c r="F4" s="29"/>
      <c r="G4" s="29"/>
      <c r="H4" s="15" t="s">
        <v>52</v>
      </c>
      <c r="I4" s="29"/>
      <c r="J4" s="29"/>
      <c r="K4" s="29"/>
      <c r="L4" s="29"/>
      <c r="M4" s="29"/>
      <c r="N4" s="29"/>
      <c r="O4" s="140" t="s">
        <v>178</v>
      </c>
      <c r="P4" s="141"/>
      <c r="Q4" s="141"/>
      <c r="R4" s="141"/>
      <c r="S4" s="141"/>
      <c r="T4" s="141"/>
      <c r="U4" s="141"/>
      <c r="V4" s="141"/>
      <c r="W4" s="141"/>
      <c r="X4" s="141"/>
      <c r="Y4" s="141"/>
      <c r="Z4" s="142"/>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83" t="s">
        <v>219</v>
      </c>
      <c r="C6" s="284"/>
      <c r="D6" s="284"/>
      <c r="E6" s="284"/>
      <c r="F6" s="284"/>
      <c r="G6" s="284"/>
      <c r="H6" s="284"/>
      <c r="I6" s="284"/>
      <c r="J6" s="284"/>
      <c r="K6" s="284"/>
      <c r="L6" s="284"/>
      <c r="M6" s="284"/>
      <c r="N6" s="284"/>
      <c r="O6" s="284"/>
      <c r="P6" s="284"/>
      <c r="Q6" s="284"/>
      <c r="R6" s="284"/>
      <c r="S6" s="284"/>
      <c r="T6" s="284"/>
      <c r="U6" s="284"/>
      <c r="V6" s="284"/>
      <c r="W6" s="284"/>
      <c r="X6" s="284"/>
      <c r="Y6" s="284"/>
      <c r="Z6" s="285"/>
    </row>
    <row r="7" spans="1:26" ht="18" customHeight="1" x14ac:dyDescent="0.15">
      <c r="B7" s="286"/>
      <c r="C7" s="287"/>
      <c r="D7" s="287"/>
      <c r="E7" s="287"/>
      <c r="F7" s="287"/>
      <c r="G7" s="287"/>
      <c r="H7" s="287"/>
      <c r="I7" s="287"/>
      <c r="J7" s="287"/>
      <c r="K7" s="287"/>
      <c r="L7" s="287"/>
      <c r="M7" s="287"/>
      <c r="N7" s="287"/>
      <c r="O7" s="287"/>
      <c r="P7" s="287"/>
      <c r="Q7" s="287"/>
      <c r="R7" s="287"/>
      <c r="S7" s="287"/>
      <c r="T7" s="287"/>
      <c r="U7" s="287"/>
      <c r="V7" s="287"/>
      <c r="W7" s="287"/>
      <c r="X7" s="287"/>
      <c r="Y7" s="287"/>
      <c r="Z7" s="288"/>
    </row>
    <row r="8" spans="1:26" ht="18" customHeight="1" x14ac:dyDescent="0.15">
      <c r="B8" s="286"/>
      <c r="C8" s="287"/>
      <c r="D8" s="287"/>
      <c r="E8" s="287"/>
      <c r="F8" s="287"/>
      <c r="G8" s="287"/>
      <c r="H8" s="287"/>
      <c r="I8" s="287"/>
      <c r="J8" s="287"/>
      <c r="K8" s="287"/>
      <c r="L8" s="287"/>
      <c r="M8" s="287"/>
      <c r="N8" s="287"/>
      <c r="O8" s="287"/>
      <c r="P8" s="287"/>
      <c r="Q8" s="287"/>
      <c r="R8" s="287"/>
      <c r="S8" s="287"/>
      <c r="T8" s="287"/>
      <c r="U8" s="287"/>
      <c r="V8" s="287"/>
      <c r="W8" s="287"/>
      <c r="X8" s="287"/>
      <c r="Y8" s="287"/>
      <c r="Z8" s="288"/>
    </row>
    <row r="9" spans="1:26" ht="18" customHeight="1" x14ac:dyDescent="0.15">
      <c r="B9" s="286"/>
      <c r="C9" s="287"/>
      <c r="D9" s="287"/>
      <c r="E9" s="287"/>
      <c r="F9" s="287"/>
      <c r="G9" s="287"/>
      <c r="H9" s="287"/>
      <c r="I9" s="287"/>
      <c r="J9" s="287"/>
      <c r="K9" s="287"/>
      <c r="L9" s="287"/>
      <c r="M9" s="287"/>
      <c r="N9" s="287"/>
      <c r="O9" s="287"/>
      <c r="P9" s="287"/>
      <c r="Q9" s="287"/>
      <c r="R9" s="287"/>
      <c r="S9" s="287"/>
      <c r="T9" s="287"/>
      <c r="U9" s="287"/>
      <c r="V9" s="287"/>
      <c r="W9" s="287"/>
      <c r="X9" s="287"/>
      <c r="Y9" s="287"/>
      <c r="Z9" s="288"/>
    </row>
    <row r="10" spans="1:26" ht="18" customHeight="1" x14ac:dyDescent="0.15">
      <c r="B10" s="286"/>
      <c r="C10" s="289"/>
      <c r="D10" s="289"/>
      <c r="E10" s="289"/>
      <c r="F10" s="289"/>
      <c r="G10" s="289"/>
      <c r="H10" s="289"/>
      <c r="I10" s="289"/>
      <c r="J10" s="289"/>
      <c r="K10" s="289"/>
      <c r="L10" s="289"/>
      <c r="M10" s="289"/>
      <c r="N10" s="289"/>
      <c r="O10" s="289"/>
      <c r="P10" s="289"/>
      <c r="Q10" s="289"/>
      <c r="R10" s="289"/>
      <c r="S10" s="289"/>
      <c r="T10" s="289"/>
      <c r="U10" s="289"/>
      <c r="V10" s="289"/>
      <c r="W10" s="289"/>
      <c r="X10" s="289"/>
      <c r="Y10" s="289"/>
      <c r="Z10" s="288"/>
    </row>
    <row r="11" spans="1:26" ht="18" customHeight="1" x14ac:dyDescent="0.15">
      <c r="B11" s="290"/>
      <c r="C11" s="291"/>
      <c r="D11" s="291"/>
      <c r="E11" s="291"/>
      <c r="F11" s="291"/>
      <c r="G11" s="291"/>
      <c r="H11" s="291"/>
      <c r="I11" s="291"/>
      <c r="J11" s="291"/>
      <c r="K11" s="291"/>
      <c r="L11" s="291"/>
      <c r="M11" s="291"/>
      <c r="N11" s="291"/>
      <c r="O11" s="291"/>
      <c r="P11" s="291"/>
      <c r="Q11" s="291"/>
      <c r="R11" s="291"/>
      <c r="S11" s="291"/>
      <c r="T11" s="291"/>
      <c r="U11" s="291"/>
      <c r="V11" s="291"/>
      <c r="W11" s="291"/>
      <c r="X11" s="291"/>
      <c r="Y11" s="291"/>
      <c r="Z11" s="292"/>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53" t="s">
        <v>53</v>
      </c>
      <c r="B13" s="253"/>
      <c r="C13" s="253"/>
      <c r="D13" s="253"/>
      <c r="E13" s="253"/>
      <c r="F13" s="253"/>
      <c r="G13" s="253"/>
      <c r="H13" s="253"/>
      <c r="I13" s="253"/>
      <c r="J13" s="253"/>
      <c r="K13" s="253"/>
      <c r="L13" s="253"/>
      <c r="M13" s="253"/>
      <c r="N13" s="253"/>
      <c r="O13" s="253"/>
      <c r="P13" s="253"/>
      <c r="Q13" s="253"/>
      <c r="R13" s="253"/>
      <c r="S13" s="253"/>
      <c r="T13" s="253"/>
      <c r="U13" s="253"/>
      <c r="V13" s="253"/>
      <c r="W13" s="253"/>
      <c r="X13" s="253"/>
      <c r="Y13" s="253"/>
      <c r="Z13" s="253"/>
    </row>
    <row r="14" spans="1:26" ht="18" customHeight="1" x14ac:dyDescent="0.15">
      <c r="A14" s="253"/>
      <c r="B14" s="253"/>
      <c r="C14" s="253"/>
      <c r="D14" s="253"/>
      <c r="E14" s="253"/>
      <c r="F14" s="253"/>
      <c r="G14" s="253"/>
      <c r="H14" s="253"/>
      <c r="I14" s="253"/>
      <c r="J14" s="253"/>
      <c r="K14" s="253"/>
      <c r="L14" s="253"/>
      <c r="M14" s="253"/>
      <c r="N14" s="253"/>
      <c r="O14" s="253"/>
      <c r="P14" s="253"/>
      <c r="Q14" s="253"/>
      <c r="R14" s="253"/>
      <c r="S14" s="253"/>
      <c r="T14" s="253"/>
      <c r="U14" s="253"/>
      <c r="V14" s="253"/>
      <c r="W14" s="253"/>
      <c r="X14" s="253"/>
      <c r="Y14" s="253"/>
      <c r="Z14" s="253"/>
    </row>
    <row r="15" spans="1:26" ht="18" customHeight="1" x14ac:dyDescent="0.15">
      <c r="A15" s="14"/>
      <c r="B15" s="140" t="s">
        <v>54</v>
      </c>
      <c r="C15" s="141"/>
      <c r="D15" s="141"/>
      <c r="E15" s="141"/>
      <c r="F15" s="142"/>
      <c r="G15" s="30" t="s">
        <v>55</v>
      </c>
      <c r="H15" s="104" t="s">
        <v>56</v>
      </c>
      <c r="I15" s="141" t="s">
        <v>57</v>
      </c>
      <c r="J15" s="141"/>
      <c r="K15" s="141"/>
      <c r="L15" s="67" t="s">
        <v>58</v>
      </c>
      <c r="M15" s="67" t="s">
        <v>59</v>
      </c>
      <c r="N15" s="140" t="s">
        <v>54</v>
      </c>
      <c r="O15" s="141"/>
      <c r="P15" s="141"/>
      <c r="Q15" s="141"/>
      <c r="R15" s="141"/>
      <c r="S15" s="142"/>
      <c r="T15" s="30" t="s">
        <v>55</v>
      </c>
      <c r="U15" s="104" t="s">
        <v>56</v>
      </c>
      <c r="V15" s="141" t="s">
        <v>57</v>
      </c>
      <c r="W15" s="141"/>
      <c r="X15" s="141"/>
      <c r="Y15" s="67" t="s">
        <v>58</v>
      </c>
      <c r="Z15" s="67" t="s">
        <v>59</v>
      </c>
    </row>
    <row r="16" spans="1:26" ht="18" customHeight="1" x14ac:dyDescent="0.15">
      <c r="A16" s="14"/>
      <c r="B16" s="257" t="s">
        <v>160</v>
      </c>
      <c r="C16" s="258"/>
      <c r="D16" s="258"/>
      <c r="E16" s="258"/>
      <c r="F16" s="259"/>
      <c r="G16" s="105">
        <v>1</v>
      </c>
      <c r="H16" s="105" t="s">
        <v>161</v>
      </c>
      <c r="I16" s="247" t="s">
        <v>162</v>
      </c>
      <c r="J16" s="248"/>
      <c r="K16" s="249"/>
      <c r="L16" s="105" t="s">
        <v>161</v>
      </c>
      <c r="M16" s="105" t="s">
        <v>161</v>
      </c>
      <c r="N16" s="226"/>
      <c r="O16" s="227"/>
      <c r="P16" s="227"/>
      <c r="Q16" s="227"/>
      <c r="R16" s="227"/>
      <c r="S16" s="228"/>
      <c r="T16" s="105"/>
      <c r="U16" s="105"/>
      <c r="V16" s="247"/>
      <c r="W16" s="248"/>
      <c r="X16" s="249"/>
      <c r="Y16" s="105"/>
      <c r="Z16" s="105"/>
    </row>
    <row r="17" spans="1:26" ht="18" customHeight="1" x14ac:dyDescent="0.15">
      <c r="A17" s="14"/>
      <c r="B17" s="275"/>
      <c r="C17" s="276"/>
      <c r="D17" s="276"/>
      <c r="E17" s="276"/>
      <c r="F17" s="277"/>
      <c r="G17" s="123"/>
      <c r="H17" s="123"/>
      <c r="I17" s="278"/>
      <c r="J17" s="279"/>
      <c r="K17" s="280"/>
      <c r="L17" s="123"/>
      <c r="M17" s="123"/>
      <c r="N17" s="220"/>
      <c r="O17" s="221"/>
      <c r="P17" s="221"/>
      <c r="Q17" s="221"/>
      <c r="R17" s="221"/>
      <c r="S17" s="222"/>
      <c r="T17" s="106"/>
      <c r="U17" s="106"/>
      <c r="V17" s="244"/>
      <c r="W17" s="245"/>
      <c r="X17" s="246"/>
      <c r="Y17" s="106"/>
      <c r="Z17" s="106"/>
    </row>
    <row r="18" spans="1:26" ht="18" customHeight="1" x14ac:dyDescent="0.15">
      <c r="A18" s="14"/>
      <c r="B18" s="272"/>
      <c r="C18" s="273"/>
      <c r="D18" s="273"/>
      <c r="E18" s="273"/>
      <c r="F18" s="274"/>
      <c r="G18" s="106"/>
      <c r="H18" s="106"/>
      <c r="I18" s="244"/>
      <c r="J18" s="245"/>
      <c r="K18" s="246"/>
      <c r="L18" s="106"/>
      <c r="M18" s="106"/>
      <c r="N18" s="220"/>
      <c r="O18" s="221"/>
      <c r="P18" s="221"/>
      <c r="Q18" s="221"/>
      <c r="R18" s="221"/>
      <c r="S18" s="222"/>
      <c r="T18" s="106"/>
      <c r="U18" s="106"/>
      <c r="V18" s="244"/>
      <c r="W18" s="245"/>
      <c r="X18" s="246"/>
      <c r="Y18" s="106"/>
      <c r="Z18" s="106"/>
    </row>
    <row r="19" spans="1:26" ht="18" customHeight="1" x14ac:dyDescent="0.15">
      <c r="A19" s="14"/>
      <c r="B19" s="272"/>
      <c r="C19" s="273"/>
      <c r="D19" s="273"/>
      <c r="E19" s="273"/>
      <c r="F19" s="274"/>
      <c r="G19" s="106"/>
      <c r="H19" s="106"/>
      <c r="I19" s="244"/>
      <c r="J19" s="245"/>
      <c r="K19" s="246"/>
      <c r="L19" s="106"/>
      <c r="M19" s="106"/>
      <c r="N19" s="220"/>
      <c r="O19" s="221"/>
      <c r="P19" s="221"/>
      <c r="Q19" s="221"/>
      <c r="R19" s="221"/>
      <c r="S19" s="222"/>
      <c r="T19" s="106"/>
      <c r="U19" s="106"/>
      <c r="V19" s="244"/>
      <c r="W19" s="245"/>
      <c r="X19" s="246"/>
      <c r="Y19" s="106"/>
      <c r="Z19" s="106"/>
    </row>
    <row r="20" spans="1:26" ht="18" customHeight="1" x14ac:dyDescent="0.15">
      <c r="A20" s="14"/>
      <c r="B20" s="272"/>
      <c r="C20" s="273"/>
      <c r="D20" s="273"/>
      <c r="E20" s="273"/>
      <c r="F20" s="274"/>
      <c r="G20" s="106"/>
      <c r="H20" s="106"/>
      <c r="I20" s="244"/>
      <c r="J20" s="245"/>
      <c r="K20" s="246"/>
      <c r="L20" s="106"/>
      <c r="M20" s="106"/>
      <c r="N20" s="220"/>
      <c r="O20" s="221"/>
      <c r="P20" s="221"/>
      <c r="Q20" s="221"/>
      <c r="R20" s="221"/>
      <c r="S20" s="222"/>
      <c r="T20" s="106"/>
      <c r="U20" s="106"/>
      <c r="V20" s="244"/>
      <c r="W20" s="245"/>
      <c r="X20" s="246"/>
      <c r="Y20" s="106"/>
      <c r="Z20" s="106"/>
    </row>
    <row r="21" spans="1:26" ht="18" customHeight="1" x14ac:dyDescent="0.15">
      <c r="A21" s="29"/>
      <c r="B21" s="272"/>
      <c r="C21" s="273"/>
      <c r="D21" s="273"/>
      <c r="E21" s="273"/>
      <c r="F21" s="274"/>
      <c r="G21" s="106"/>
      <c r="H21" s="106"/>
      <c r="I21" s="244"/>
      <c r="J21" s="245"/>
      <c r="K21" s="246"/>
      <c r="L21" s="106"/>
      <c r="M21" s="106"/>
      <c r="N21" s="220"/>
      <c r="O21" s="221"/>
      <c r="P21" s="221"/>
      <c r="Q21" s="221"/>
      <c r="R21" s="221"/>
      <c r="S21" s="222"/>
      <c r="T21" s="106"/>
      <c r="U21" s="106"/>
      <c r="V21" s="244"/>
      <c r="W21" s="245"/>
      <c r="X21" s="246"/>
      <c r="Y21" s="106"/>
      <c r="Z21" s="106"/>
    </row>
    <row r="22" spans="1:26" ht="18" customHeight="1" x14ac:dyDescent="0.15">
      <c r="A22" s="29"/>
      <c r="B22" s="260"/>
      <c r="C22" s="261"/>
      <c r="D22" s="261"/>
      <c r="E22" s="261"/>
      <c r="F22" s="262"/>
      <c r="G22" s="107"/>
      <c r="H22" s="107"/>
      <c r="I22" s="235"/>
      <c r="J22" s="236"/>
      <c r="K22" s="237"/>
      <c r="L22" s="110"/>
      <c r="M22" s="110"/>
      <c r="N22" s="207"/>
      <c r="O22" s="208"/>
      <c r="P22" s="208"/>
      <c r="Q22" s="208"/>
      <c r="R22" s="208"/>
      <c r="S22" s="209"/>
      <c r="T22" s="107"/>
      <c r="U22" s="107"/>
      <c r="V22" s="235"/>
      <c r="W22" s="236"/>
      <c r="X22" s="237"/>
      <c r="Y22" s="110"/>
      <c r="Z22" s="110"/>
    </row>
    <row r="23" spans="1:26" ht="7.5" customHeight="1" x14ac:dyDescent="0.15">
      <c r="A23" s="29"/>
      <c r="B23" s="68"/>
      <c r="C23" s="68"/>
      <c r="D23" s="29"/>
      <c r="E23" s="29"/>
      <c r="F23" s="29"/>
      <c r="G23" s="29"/>
      <c r="H23" s="29"/>
      <c r="I23" s="29"/>
      <c r="J23" s="29"/>
      <c r="K23" s="29"/>
      <c r="L23" s="68"/>
      <c r="M23" s="68"/>
      <c r="N23" s="68"/>
      <c r="O23" s="68"/>
      <c r="P23" s="68"/>
      <c r="Q23" s="68"/>
      <c r="R23" s="68"/>
      <c r="S23" s="68"/>
      <c r="T23" s="68"/>
      <c r="U23" s="68"/>
      <c r="V23" s="68"/>
      <c r="W23" s="68"/>
      <c r="X23" s="68"/>
      <c r="Y23" s="68"/>
      <c r="Z23" s="29"/>
    </row>
    <row r="24" spans="1:26" ht="18" customHeight="1" x14ac:dyDescent="0.15">
      <c r="A24" s="253" t="s">
        <v>60</v>
      </c>
      <c r="B24" s="253"/>
      <c r="C24" s="253"/>
      <c r="D24" s="253"/>
      <c r="E24" s="253"/>
      <c r="F24" s="253"/>
      <c r="G24" s="253"/>
      <c r="H24" s="253"/>
      <c r="I24" s="253"/>
      <c r="J24" s="253"/>
      <c r="K24" s="253"/>
      <c r="L24" s="253"/>
      <c r="M24" s="253"/>
      <c r="N24" s="253"/>
      <c r="O24" s="253"/>
      <c r="P24" s="253"/>
      <c r="Q24" s="253"/>
      <c r="R24" s="253"/>
      <c r="S24" s="253"/>
      <c r="T24" s="253"/>
      <c r="U24" s="253"/>
      <c r="V24" s="253"/>
      <c r="W24" s="253"/>
      <c r="X24" s="253"/>
      <c r="Y24" s="253"/>
      <c r="Z24" s="253"/>
    </row>
    <row r="25" spans="1:26" ht="18" customHeight="1" x14ac:dyDescent="0.15">
      <c r="A25" s="253"/>
      <c r="B25" s="253"/>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row>
    <row r="26" spans="1:26" ht="18" customHeight="1" x14ac:dyDescent="0.15">
      <c r="A26" s="14"/>
      <c r="B26" s="140" t="s">
        <v>54</v>
      </c>
      <c r="C26" s="141"/>
      <c r="D26" s="141"/>
      <c r="E26" s="141"/>
      <c r="F26" s="142"/>
      <c r="G26" s="30" t="s">
        <v>55</v>
      </c>
      <c r="H26" s="104" t="s">
        <v>56</v>
      </c>
      <c r="I26" s="141" t="s">
        <v>57</v>
      </c>
      <c r="J26" s="141"/>
      <c r="K26" s="141"/>
      <c r="L26" s="67" t="s">
        <v>61</v>
      </c>
      <c r="M26" s="67" t="s">
        <v>62</v>
      </c>
      <c r="N26" s="140" t="s">
        <v>54</v>
      </c>
      <c r="O26" s="141"/>
      <c r="P26" s="141"/>
      <c r="Q26" s="141"/>
      <c r="R26" s="141"/>
      <c r="S26" s="142"/>
      <c r="T26" s="30" t="s">
        <v>55</v>
      </c>
      <c r="U26" s="104" t="s">
        <v>56</v>
      </c>
      <c r="V26" s="141" t="s">
        <v>57</v>
      </c>
      <c r="W26" s="141"/>
      <c r="X26" s="141"/>
      <c r="Y26" s="67" t="s">
        <v>61</v>
      </c>
      <c r="Z26" s="67" t="s">
        <v>62</v>
      </c>
    </row>
    <row r="27" spans="1:26" ht="18" customHeight="1" x14ac:dyDescent="0.15">
      <c r="A27" s="14"/>
      <c r="B27" s="257" t="s">
        <v>160</v>
      </c>
      <c r="C27" s="258"/>
      <c r="D27" s="258"/>
      <c r="E27" s="258"/>
      <c r="F27" s="259"/>
      <c r="G27" s="105">
        <v>1</v>
      </c>
      <c r="H27" s="105" t="s">
        <v>161</v>
      </c>
      <c r="I27" s="247" t="s">
        <v>162</v>
      </c>
      <c r="J27" s="248"/>
      <c r="K27" s="249"/>
      <c r="L27" s="105" t="s">
        <v>161</v>
      </c>
      <c r="M27" s="105" t="s">
        <v>161</v>
      </c>
      <c r="N27" s="226"/>
      <c r="O27" s="227"/>
      <c r="P27" s="227"/>
      <c r="Q27" s="227"/>
      <c r="R27" s="227"/>
      <c r="S27" s="228"/>
      <c r="T27" s="105"/>
      <c r="U27" s="105"/>
      <c r="V27" s="247"/>
      <c r="W27" s="248"/>
      <c r="X27" s="249"/>
      <c r="Y27" s="105"/>
      <c r="Z27" s="105"/>
    </row>
    <row r="28" spans="1:26" ht="18" customHeight="1" x14ac:dyDescent="0.15">
      <c r="A28" s="14"/>
      <c r="B28" s="263"/>
      <c r="C28" s="264"/>
      <c r="D28" s="264"/>
      <c r="E28" s="264"/>
      <c r="F28" s="265"/>
      <c r="G28" s="126"/>
      <c r="H28" s="126"/>
      <c r="I28" s="266"/>
      <c r="J28" s="267"/>
      <c r="K28" s="268"/>
      <c r="L28" s="126"/>
      <c r="M28" s="126"/>
      <c r="N28" s="220"/>
      <c r="O28" s="221"/>
      <c r="P28" s="221"/>
      <c r="Q28" s="221"/>
      <c r="R28" s="221"/>
      <c r="S28" s="222"/>
      <c r="T28" s="106"/>
      <c r="U28" s="106"/>
      <c r="V28" s="244"/>
      <c r="W28" s="245"/>
      <c r="X28" s="246"/>
      <c r="Y28" s="106"/>
      <c r="Z28" s="106"/>
    </row>
    <row r="29" spans="1:26" ht="18" customHeight="1" x14ac:dyDescent="0.15">
      <c r="A29" s="14"/>
      <c r="B29" s="272"/>
      <c r="C29" s="273"/>
      <c r="D29" s="273"/>
      <c r="E29" s="273"/>
      <c r="F29" s="274"/>
      <c r="G29" s="106"/>
      <c r="H29" s="106"/>
      <c r="I29" s="244"/>
      <c r="J29" s="245"/>
      <c r="K29" s="246"/>
      <c r="L29" s="106"/>
      <c r="M29" s="106"/>
      <c r="N29" s="220"/>
      <c r="O29" s="221"/>
      <c r="P29" s="221"/>
      <c r="Q29" s="221"/>
      <c r="R29" s="221"/>
      <c r="S29" s="222"/>
      <c r="T29" s="106"/>
      <c r="U29" s="106"/>
      <c r="V29" s="244"/>
      <c r="W29" s="245"/>
      <c r="X29" s="246"/>
      <c r="Y29" s="106"/>
      <c r="Z29" s="106"/>
    </row>
    <row r="30" spans="1:26" ht="18" customHeight="1" x14ac:dyDescent="0.15">
      <c r="A30" s="14"/>
      <c r="B30" s="272"/>
      <c r="C30" s="273"/>
      <c r="D30" s="273"/>
      <c r="E30" s="273"/>
      <c r="F30" s="274"/>
      <c r="G30" s="106"/>
      <c r="H30" s="106"/>
      <c r="I30" s="244"/>
      <c r="J30" s="245"/>
      <c r="K30" s="246"/>
      <c r="L30" s="106"/>
      <c r="M30" s="106"/>
      <c r="N30" s="220"/>
      <c r="O30" s="221"/>
      <c r="P30" s="221"/>
      <c r="Q30" s="221"/>
      <c r="R30" s="221"/>
      <c r="S30" s="222"/>
      <c r="T30" s="106"/>
      <c r="U30" s="106"/>
      <c r="V30" s="244"/>
      <c r="W30" s="245"/>
      <c r="X30" s="246"/>
      <c r="Y30" s="106"/>
      <c r="Z30" s="106"/>
    </row>
    <row r="31" spans="1:26" ht="18" customHeight="1" x14ac:dyDescent="0.15">
      <c r="A31" s="14"/>
      <c r="B31" s="272"/>
      <c r="C31" s="273"/>
      <c r="D31" s="273"/>
      <c r="E31" s="273"/>
      <c r="F31" s="274"/>
      <c r="G31" s="106"/>
      <c r="H31" s="106"/>
      <c r="I31" s="244"/>
      <c r="J31" s="245"/>
      <c r="K31" s="246"/>
      <c r="L31" s="106"/>
      <c r="M31" s="106"/>
      <c r="N31" s="220"/>
      <c r="O31" s="221"/>
      <c r="P31" s="221"/>
      <c r="Q31" s="221"/>
      <c r="R31" s="221"/>
      <c r="S31" s="222"/>
      <c r="T31" s="106"/>
      <c r="U31" s="106"/>
      <c r="V31" s="244"/>
      <c r="W31" s="245"/>
      <c r="X31" s="246"/>
      <c r="Y31" s="106"/>
      <c r="Z31" s="106"/>
    </row>
    <row r="32" spans="1:26" ht="18" customHeight="1" x14ac:dyDescent="0.15">
      <c r="A32" s="14"/>
      <c r="B32" s="272"/>
      <c r="C32" s="273"/>
      <c r="D32" s="273"/>
      <c r="E32" s="273"/>
      <c r="F32" s="274"/>
      <c r="G32" s="106"/>
      <c r="H32" s="106"/>
      <c r="I32" s="244"/>
      <c r="J32" s="245"/>
      <c r="K32" s="246"/>
      <c r="L32" s="106"/>
      <c r="M32" s="106"/>
      <c r="N32" s="220"/>
      <c r="O32" s="221"/>
      <c r="P32" s="221"/>
      <c r="Q32" s="221"/>
      <c r="R32" s="221"/>
      <c r="S32" s="222"/>
      <c r="T32" s="106"/>
      <c r="U32" s="106"/>
      <c r="V32" s="244"/>
      <c r="W32" s="245"/>
      <c r="X32" s="246"/>
      <c r="Y32" s="106"/>
      <c r="Z32" s="106"/>
    </row>
    <row r="33" spans="1:26" ht="18" customHeight="1" x14ac:dyDescent="0.15">
      <c r="A33" s="14"/>
      <c r="B33" s="260"/>
      <c r="C33" s="261"/>
      <c r="D33" s="261"/>
      <c r="E33" s="261"/>
      <c r="F33" s="262"/>
      <c r="G33" s="107"/>
      <c r="H33" s="107"/>
      <c r="I33" s="235"/>
      <c r="J33" s="236"/>
      <c r="K33" s="237"/>
      <c r="L33" s="110"/>
      <c r="M33" s="110"/>
      <c r="N33" s="207"/>
      <c r="O33" s="208"/>
      <c r="P33" s="208"/>
      <c r="Q33" s="208"/>
      <c r="R33" s="208"/>
      <c r="S33" s="209"/>
      <c r="T33" s="107"/>
      <c r="U33" s="107"/>
      <c r="V33" s="235"/>
      <c r="W33" s="236"/>
      <c r="X33" s="237"/>
      <c r="Y33" s="110"/>
      <c r="Z33" s="110"/>
    </row>
    <row r="34" spans="1:26" ht="7.5" customHeight="1" x14ac:dyDescent="0.15">
      <c r="A34" s="29"/>
      <c r="B34" s="68"/>
      <c r="C34" s="68"/>
      <c r="D34" s="29"/>
      <c r="E34" s="29"/>
      <c r="F34" s="29"/>
      <c r="G34" s="29"/>
      <c r="H34" s="29"/>
      <c r="I34" s="29"/>
      <c r="J34" s="29"/>
      <c r="K34" s="29"/>
      <c r="L34" s="68"/>
      <c r="M34" s="68"/>
      <c r="N34" s="68"/>
      <c r="O34" s="68"/>
      <c r="P34" s="68"/>
      <c r="Q34" s="68"/>
      <c r="R34" s="68"/>
      <c r="S34" s="68"/>
      <c r="T34" s="68"/>
      <c r="U34" s="68"/>
      <c r="V34" s="68"/>
      <c r="W34" s="68"/>
      <c r="X34" s="68"/>
      <c r="Y34" s="68"/>
      <c r="Z34" s="29"/>
    </row>
    <row r="35" spans="1:26" ht="18" customHeight="1" x14ac:dyDescent="0.15">
      <c r="A35" s="253" t="s">
        <v>63</v>
      </c>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row>
    <row r="36" spans="1:26" ht="18" customHeight="1" x14ac:dyDescent="0.15">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row>
    <row r="37" spans="1:26" ht="18" customHeight="1" x14ac:dyDescent="0.15">
      <c r="A37" s="14"/>
      <c r="B37" s="140" t="s">
        <v>54</v>
      </c>
      <c r="C37" s="141"/>
      <c r="D37" s="141"/>
      <c r="E37" s="141"/>
      <c r="F37" s="142"/>
      <c r="G37" s="30" t="s">
        <v>55</v>
      </c>
      <c r="H37" s="104" t="s">
        <v>56</v>
      </c>
      <c r="I37" s="140" t="s">
        <v>57</v>
      </c>
      <c r="J37" s="141"/>
      <c r="K37" s="142"/>
      <c r="L37" s="67" t="s">
        <v>64</v>
      </c>
      <c r="M37" s="67" t="s">
        <v>65</v>
      </c>
      <c r="N37" s="140" t="s">
        <v>54</v>
      </c>
      <c r="O37" s="141"/>
      <c r="P37" s="141"/>
      <c r="Q37" s="141"/>
      <c r="R37" s="141"/>
      <c r="S37" s="142"/>
      <c r="T37" s="30" t="s">
        <v>55</v>
      </c>
      <c r="U37" s="104" t="s">
        <v>56</v>
      </c>
      <c r="V37" s="140" t="s">
        <v>57</v>
      </c>
      <c r="W37" s="141"/>
      <c r="X37" s="142"/>
      <c r="Y37" s="67" t="s">
        <v>64</v>
      </c>
      <c r="Z37" s="67" t="s">
        <v>65</v>
      </c>
    </row>
    <row r="38" spans="1:26" ht="18" customHeight="1" x14ac:dyDescent="0.15">
      <c r="A38" s="29"/>
      <c r="B38" s="257" t="s">
        <v>160</v>
      </c>
      <c r="C38" s="258"/>
      <c r="D38" s="258"/>
      <c r="E38" s="258"/>
      <c r="F38" s="259"/>
      <c r="G38" s="105">
        <v>1</v>
      </c>
      <c r="H38" s="105" t="s">
        <v>161</v>
      </c>
      <c r="I38" s="247" t="s">
        <v>162</v>
      </c>
      <c r="J38" s="248"/>
      <c r="K38" s="249"/>
      <c r="L38" s="105" t="s">
        <v>161</v>
      </c>
      <c r="M38" s="105" t="s">
        <v>161</v>
      </c>
      <c r="N38" s="226"/>
      <c r="O38" s="227"/>
      <c r="P38" s="227"/>
      <c r="Q38" s="227"/>
      <c r="R38" s="227"/>
      <c r="S38" s="228"/>
      <c r="T38" s="105"/>
      <c r="U38" s="105"/>
      <c r="V38" s="247"/>
      <c r="W38" s="248"/>
      <c r="X38" s="249"/>
      <c r="Y38" s="105"/>
      <c r="Z38" s="105"/>
    </row>
    <row r="39" spans="1:26" ht="18" customHeight="1" x14ac:dyDescent="0.15">
      <c r="A39" s="29"/>
      <c r="B39" s="263" t="s">
        <v>187</v>
      </c>
      <c r="C39" s="264"/>
      <c r="D39" s="264"/>
      <c r="E39" s="264"/>
      <c r="F39" s="265"/>
      <c r="G39" s="126">
        <v>4</v>
      </c>
      <c r="H39" s="126" t="s">
        <v>161</v>
      </c>
      <c r="I39" s="266" t="s">
        <v>176</v>
      </c>
      <c r="J39" s="267"/>
      <c r="K39" s="268"/>
      <c r="L39" s="126" t="s">
        <v>161</v>
      </c>
      <c r="M39" s="126"/>
      <c r="N39" s="220"/>
      <c r="O39" s="221"/>
      <c r="P39" s="221"/>
      <c r="Q39" s="221"/>
      <c r="R39" s="221"/>
      <c r="S39" s="222"/>
      <c r="T39" s="106"/>
      <c r="U39" s="106"/>
      <c r="V39" s="244"/>
      <c r="W39" s="245"/>
      <c r="X39" s="246"/>
      <c r="Y39" s="106"/>
      <c r="Z39" s="106"/>
    </row>
    <row r="40" spans="1:26" ht="18" customHeight="1" x14ac:dyDescent="0.15">
      <c r="A40" s="29"/>
      <c r="B40" s="263"/>
      <c r="C40" s="264"/>
      <c r="D40" s="264"/>
      <c r="E40" s="264"/>
      <c r="F40" s="265"/>
      <c r="G40" s="126"/>
      <c r="H40" s="126"/>
      <c r="I40" s="266"/>
      <c r="J40" s="267"/>
      <c r="K40" s="268"/>
      <c r="L40" s="126"/>
      <c r="M40" s="126"/>
      <c r="N40" s="220"/>
      <c r="O40" s="221"/>
      <c r="P40" s="221"/>
      <c r="Q40" s="221"/>
      <c r="R40" s="221"/>
      <c r="S40" s="222"/>
      <c r="T40" s="106"/>
      <c r="U40" s="106"/>
      <c r="V40" s="244"/>
      <c r="W40" s="245"/>
      <c r="X40" s="246"/>
      <c r="Y40" s="106"/>
      <c r="Z40" s="106"/>
    </row>
    <row r="41" spans="1:26" ht="18" customHeight="1" x14ac:dyDescent="0.15">
      <c r="A41" s="29"/>
      <c r="B41" s="263"/>
      <c r="C41" s="264"/>
      <c r="D41" s="264"/>
      <c r="E41" s="264"/>
      <c r="F41" s="265"/>
      <c r="G41" s="126"/>
      <c r="H41" s="126"/>
      <c r="I41" s="266"/>
      <c r="J41" s="267"/>
      <c r="K41" s="268"/>
      <c r="L41" s="126"/>
      <c r="M41" s="106"/>
      <c r="N41" s="220"/>
      <c r="O41" s="221"/>
      <c r="P41" s="221"/>
      <c r="Q41" s="221"/>
      <c r="R41" s="221"/>
      <c r="S41" s="222"/>
      <c r="T41" s="106"/>
      <c r="U41" s="106"/>
      <c r="V41" s="244"/>
      <c r="W41" s="245"/>
      <c r="X41" s="246"/>
      <c r="Y41" s="106"/>
      <c r="Z41" s="106"/>
    </row>
    <row r="42" spans="1:26" ht="18" customHeight="1" x14ac:dyDescent="0.15">
      <c r="A42" s="29"/>
      <c r="B42" s="263"/>
      <c r="C42" s="264"/>
      <c r="D42" s="264"/>
      <c r="E42" s="264"/>
      <c r="F42" s="265"/>
      <c r="G42" s="126"/>
      <c r="H42" s="126"/>
      <c r="I42" s="266"/>
      <c r="J42" s="267"/>
      <c r="K42" s="268"/>
      <c r="L42" s="126"/>
      <c r="M42" s="106"/>
      <c r="N42" s="220"/>
      <c r="O42" s="221"/>
      <c r="P42" s="221"/>
      <c r="Q42" s="221"/>
      <c r="R42" s="221"/>
      <c r="S42" s="222"/>
      <c r="T42" s="106"/>
      <c r="U42" s="106"/>
      <c r="V42" s="244"/>
      <c r="W42" s="245"/>
      <c r="X42" s="246"/>
      <c r="Y42" s="106"/>
      <c r="Z42" s="106"/>
    </row>
    <row r="43" spans="1:26" ht="18" customHeight="1" x14ac:dyDescent="0.15">
      <c r="A43" s="29"/>
      <c r="B43" s="269"/>
      <c r="C43" s="270"/>
      <c r="D43" s="270"/>
      <c r="E43" s="270"/>
      <c r="F43" s="271"/>
      <c r="G43" s="126"/>
      <c r="H43" s="126"/>
      <c r="I43" s="266"/>
      <c r="J43" s="267"/>
      <c r="K43" s="268"/>
      <c r="L43" s="126"/>
      <c r="M43" s="106"/>
      <c r="N43" s="220"/>
      <c r="O43" s="221"/>
      <c r="P43" s="221"/>
      <c r="Q43" s="221"/>
      <c r="R43" s="221"/>
      <c r="S43" s="222"/>
      <c r="T43" s="106"/>
      <c r="U43" s="106"/>
      <c r="V43" s="244"/>
      <c r="W43" s="245"/>
      <c r="X43" s="246"/>
      <c r="Y43" s="106"/>
      <c r="Z43" s="106"/>
    </row>
    <row r="44" spans="1:26" ht="18" customHeight="1" x14ac:dyDescent="0.15">
      <c r="A44" s="29"/>
      <c r="B44" s="260"/>
      <c r="C44" s="261"/>
      <c r="D44" s="261"/>
      <c r="E44" s="261"/>
      <c r="F44" s="262"/>
      <c r="G44" s="107"/>
      <c r="H44" s="107"/>
      <c r="I44" s="235"/>
      <c r="J44" s="236"/>
      <c r="K44" s="237"/>
      <c r="L44" s="110"/>
      <c r="M44" s="110"/>
      <c r="N44" s="207"/>
      <c r="O44" s="208"/>
      <c r="P44" s="208"/>
      <c r="Q44" s="208"/>
      <c r="R44" s="208"/>
      <c r="S44" s="209"/>
      <c r="T44" s="107"/>
      <c r="U44" s="107"/>
      <c r="V44" s="235"/>
      <c r="W44" s="236"/>
      <c r="X44" s="237"/>
      <c r="Y44" s="110"/>
      <c r="Z44" s="110"/>
    </row>
    <row r="45" spans="1:26" ht="7.5" customHeight="1" x14ac:dyDescent="0.15">
      <c r="B45" s="69"/>
      <c r="C45" s="69"/>
      <c r="D45" s="69"/>
      <c r="E45" s="69"/>
      <c r="F45" s="69"/>
      <c r="G45" s="69"/>
      <c r="H45" s="69"/>
      <c r="I45" s="69"/>
      <c r="J45" s="69"/>
      <c r="K45" s="69"/>
      <c r="L45" s="69"/>
      <c r="M45" s="69"/>
      <c r="N45" s="69"/>
      <c r="O45" s="69"/>
      <c r="P45" s="69"/>
      <c r="Q45" s="69"/>
      <c r="R45" s="69"/>
      <c r="S45" s="69"/>
      <c r="T45" s="69"/>
      <c r="U45" s="69"/>
      <c r="V45" s="69"/>
      <c r="W45" s="69"/>
      <c r="X45" s="69"/>
      <c r="Y45" s="69"/>
    </row>
    <row r="46" spans="1:26" ht="18" customHeight="1" x14ac:dyDescent="0.15">
      <c r="A46" s="253" t="s">
        <v>66</v>
      </c>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row>
    <row r="47" spans="1:26" ht="18" customHeight="1" x14ac:dyDescent="0.15">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row>
    <row r="48" spans="1:26" ht="18" customHeight="1" x14ac:dyDescent="0.15">
      <c r="A48" s="14"/>
      <c r="B48" s="140" t="s">
        <v>54</v>
      </c>
      <c r="C48" s="141"/>
      <c r="D48" s="141"/>
      <c r="E48" s="141"/>
      <c r="F48" s="142"/>
      <c r="G48" s="30" t="s">
        <v>55</v>
      </c>
      <c r="H48" s="104" t="s">
        <v>56</v>
      </c>
      <c r="I48" s="140" t="s">
        <v>57</v>
      </c>
      <c r="J48" s="141"/>
      <c r="K48" s="142"/>
      <c r="L48" s="67" t="s">
        <v>67</v>
      </c>
      <c r="M48" s="67" t="s">
        <v>68</v>
      </c>
      <c r="N48" s="140" t="s">
        <v>54</v>
      </c>
      <c r="O48" s="141"/>
      <c r="P48" s="141"/>
      <c r="Q48" s="141"/>
      <c r="R48" s="141"/>
      <c r="S48" s="142"/>
      <c r="T48" s="30" t="s">
        <v>55</v>
      </c>
      <c r="U48" s="104" t="s">
        <v>56</v>
      </c>
      <c r="V48" s="140" t="s">
        <v>57</v>
      </c>
      <c r="W48" s="141"/>
      <c r="X48" s="142"/>
      <c r="Y48" s="67" t="s">
        <v>67</v>
      </c>
      <c r="Z48" s="67" t="s">
        <v>68</v>
      </c>
    </row>
    <row r="49" spans="1:26" ht="18" customHeight="1" x14ac:dyDescent="0.15">
      <c r="A49" s="29"/>
      <c r="B49" s="257" t="s">
        <v>160</v>
      </c>
      <c r="C49" s="258"/>
      <c r="D49" s="258"/>
      <c r="E49" s="258"/>
      <c r="F49" s="259"/>
      <c r="G49" s="105">
        <v>1</v>
      </c>
      <c r="H49" s="105" t="s">
        <v>161</v>
      </c>
      <c r="I49" s="247" t="s">
        <v>162</v>
      </c>
      <c r="J49" s="248"/>
      <c r="K49" s="249"/>
      <c r="L49" s="105" t="s">
        <v>161</v>
      </c>
      <c r="M49" s="105" t="s">
        <v>161</v>
      </c>
      <c r="N49" s="226"/>
      <c r="O49" s="227"/>
      <c r="P49" s="227"/>
      <c r="Q49" s="227"/>
      <c r="R49" s="227"/>
      <c r="S49" s="228"/>
      <c r="T49" s="105"/>
      <c r="U49" s="105"/>
      <c r="V49" s="247"/>
      <c r="W49" s="248"/>
      <c r="X49" s="249"/>
      <c r="Y49" s="105"/>
      <c r="Z49" s="105"/>
    </row>
    <row r="50" spans="1:26" ht="18" customHeight="1" x14ac:dyDescent="0.15">
      <c r="A50" s="29"/>
      <c r="B50" s="254" t="s">
        <v>181</v>
      </c>
      <c r="C50" s="255"/>
      <c r="D50" s="255"/>
      <c r="E50" s="255"/>
      <c r="F50" s="256"/>
      <c r="G50" s="106">
        <v>2</v>
      </c>
      <c r="H50" s="106" t="s">
        <v>161</v>
      </c>
      <c r="I50" s="244" t="s">
        <v>176</v>
      </c>
      <c r="J50" s="245"/>
      <c r="K50" s="246"/>
      <c r="L50" s="106" t="s">
        <v>161</v>
      </c>
      <c r="M50" s="106"/>
      <c r="N50" s="220"/>
      <c r="O50" s="221"/>
      <c r="P50" s="221"/>
      <c r="Q50" s="221"/>
      <c r="R50" s="221"/>
      <c r="S50" s="222"/>
      <c r="T50" s="106"/>
      <c r="U50" s="106"/>
      <c r="V50" s="244"/>
      <c r="W50" s="245"/>
      <c r="X50" s="246"/>
      <c r="Y50" s="106"/>
      <c r="Z50" s="106"/>
    </row>
    <row r="51" spans="1:26" ht="18" customHeight="1" x14ac:dyDescent="0.15">
      <c r="A51" s="29"/>
      <c r="B51" s="254"/>
      <c r="C51" s="255"/>
      <c r="D51" s="255"/>
      <c r="E51" s="255"/>
      <c r="F51" s="256"/>
      <c r="G51" s="106"/>
      <c r="H51" s="106"/>
      <c r="I51" s="244"/>
      <c r="J51" s="245"/>
      <c r="K51" s="246"/>
      <c r="L51" s="106"/>
      <c r="M51" s="106"/>
      <c r="N51" s="220"/>
      <c r="O51" s="221"/>
      <c r="P51" s="221"/>
      <c r="Q51" s="221"/>
      <c r="R51" s="221"/>
      <c r="S51" s="222"/>
      <c r="T51" s="106"/>
      <c r="U51" s="106"/>
      <c r="V51" s="244"/>
      <c r="W51" s="245"/>
      <c r="X51" s="246"/>
      <c r="Y51" s="106"/>
      <c r="Z51" s="106"/>
    </row>
    <row r="52" spans="1:26" ht="18" customHeight="1" x14ac:dyDescent="0.15">
      <c r="A52" s="29"/>
      <c r="B52" s="254"/>
      <c r="C52" s="255"/>
      <c r="D52" s="255"/>
      <c r="E52" s="255"/>
      <c r="F52" s="256"/>
      <c r="G52" s="106"/>
      <c r="H52" s="106"/>
      <c r="I52" s="244"/>
      <c r="J52" s="245"/>
      <c r="K52" s="246"/>
      <c r="L52" s="106"/>
      <c r="M52" s="106"/>
      <c r="N52" s="220"/>
      <c r="O52" s="221"/>
      <c r="P52" s="221"/>
      <c r="Q52" s="221"/>
      <c r="R52" s="221"/>
      <c r="S52" s="222"/>
      <c r="T52" s="106"/>
      <c r="U52" s="106"/>
      <c r="V52" s="244"/>
      <c r="W52" s="245"/>
      <c r="X52" s="246"/>
      <c r="Y52" s="106"/>
      <c r="Z52" s="106"/>
    </row>
    <row r="53" spans="1:26" ht="18" customHeight="1" x14ac:dyDescent="0.15">
      <c r="A53" s="29"/>
      <c r="B53" s="254"/>
      <c r="C53" s="255"/>
      <c r="D53" s="255"/>
      <c r="E53" s="255"/>
      <c r="F53" s="256"/>
      <c r="G53" s="106"/>
      <c r="H53" s="106"/>
      <c r="I53" s="244"/>
      <c r="J53" s="245"/>
      <c r="K53" s="246"/>
      <c r="L53" s="106"/>
      <c r="M53" s="106"/>
      <c r="N53" s="220"/>
      <c r="O53" s="221"/>
      <c r="P53" s="221"/>
      <c r="Q53" s="221"/>
      <c r="R53" s="221"/>
      <c r="S53" s="222"/>
      <c r="T53" s="106"/>
      <c r="U53" s="106"/>
      <c r="V53" s="244"/>
      <c r="W53" s="245"/>
      <c r="X53" s="246"/>
      <c r="Y53" s="106"/>
      <c r="Z53" s="106"/>
    </row>
    <row r="54" spans="1:26" ht="18" customHeight="1" x14ac:dyDescent="0.15">
      <c r="A54" s="29"/>
      <c r="B54" s="254"/>
      <c r="C54" s="255"/>
      <c r="D54" s="255"/>
      <c r="E54" s="255"/>
      <c r="F54" s="256"/>
      <c r="G54" s="106"/>
      <c r="H54" s="106"/>
      <c r="I54" s="244"/>
      <c r="J54" s="245"/>
      <c r="K54" s="246"/>
      <c r="L54" s="106"/>
      <c r="M54" s="106"/>
      <c r="N54" s="220"/>
      <c r="O54" s="221"/>
      <c r="P54" s="221"/>
      <c r="Q54" s="221"/>
      <c r="R54" s="221"/>
      <c r="S54" s="222"/>
      <c r="T54" s="106"/>
      <c r="U54" s="106"/>
      <c r="V54" s="244"/>
      <c r="W54" s="245"/>
      <c r="X54" s="246"/>
      <c r="Y54" s="106"/>
      <c r="Z54" s="106"/>
    </row>
    <row r="55" spans="1:26" ht="18" customHeight="1" x14ac:dyDescent="0.15">
      <c r="A55" s="29"/>
      <c r="B55" s="250"/>
      <c r="C55" s="251"/>
      <c r="D55" s="251"/>
      <c r="E55" s="251"/>
      <c r="F55" s="252"/>
      <c r="G55" s="107"/>
      <c r="H55" s="107"/>
      <c r="I55" s="235"/>
      <c r="J55" s="236"/>
      <c r="K55" s="237"/>
      <c r="L55" s="110"/>
      <c r="M55" s="110"/>
      <c r="N55" s="207"/>
      <c r="O55" s="208"/>
      <c r="P55" s="208"/>
      <c r="Q55" s="208"/>
      <c r="R55" s="208"/>
      <c r="S55" s="209"/>
      <c r="T55" s="107"/>
      <c r="U55" s="107"/>
      <c r="V55" s="235"/>
      <c r="W55" s="236"/>
      <c r="X55" s="237"/>
      <c r="Y55" s="110"/>
      <c r="Z55" s="110"/>
    </row>
    <row r="56" spans="1:26" ht="7.5" customHeight="1" x14ac:dyDescent="0.15">
      <c r="B56" s="69"/>
      <c r="C56" s="69"/>
      <c r="D56" s="69"/>
      <c r="E56" s="69"/>
      <c r="F56" s="69"/>
      <c r="G56" s="69"/>
      <c r="H56" s="69"/>
      <c r="I56" s="69"/>
      <c r="J56" s="69"/>
      <c r="K56" s="69"/>
      <c r="L56" s="69"/>
      <c r="M56" s="69"/>
      <c r="N56" s="69"/>
      <c r="O56" s="69"/>
      <c r="P56" s="69"/>
      <c r="Q56" s="69"/>
      <c r="R56" s="69"/>
      <c r="S56" s="69"/>
      <c r="T56" s="69"/>
      <c r="U56" s="69"/>
      <c r="V56" s="69"/>
      <c r="W56" s="69"/>
      <c r="X56" s="69"/>
      <c r="Y56" s="69"/>
    </row>
    <row r="57" spans="1:26" ht="18" customHeight="1" x14ac:dyDescent="0.15">
      <c r="A57" s="253" t="s">
        <v>69</v>
      </c>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row>
    <row r="58" spans="1:26" ht="18" customHeight="1" x14ac:dyDescent="0.15">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row>
    <row r="59" spans="1:26" ht="18" customHeight="1" x14ac:dyDescent="0.15">
      <c r="A59" s="14"/>
      <c r="B59" s="140" t="s">
        <v>54</v>
      </c>
      <c r="C59" s="141"/>
      <c r="D59" s="141"/>
      <c r="E59" s="142"/>
      <c r="F59" s="30" t="s">
        <v>55</v>
      </c>
      <c r="G59" s="104" t="s">
        <v>56</v>
      </c>
      <c r="H59" s="99" t="s">
        <v>57</v>
      </c>
      <c r="I59" s="100"/>
      <c r="J59" s="101"/>
      <c r="K59" s="67" t="s">
        <v>70</v>
      </c>
      <c r="L59" s="67" t="s">
        <v>71</v>
      </c>
      <c r="M59" s="67" t="s">
        <v>72</v>
      </c>
      <c r="N59" s="140" t="s">
        <v>54</v>
      </c>
      <c r="O59" s="141"/>
      <c r="P59" s="141"/>
      <c r="Q59" s="141"/>
      <c r="R59" s="142"/>
      <c r="S59" s="30" t="s">
        <v>55</v>
      </c>
      <c r="T59" s="104" t="s">
        <v>56</v>
      </c>
      <c r="U59" s="99" t="s">
        <v>57</v>
      </c>
      <c r="V59" s="100"/>
      <c r="W59" s="101"/>
      <c r="X59" s="67" t="s">
        <v>70</v>
      </c>
      <c r="Y59" s="67" t="s">
        <v>71</v>
      </c>
      <c r="Z59" s="67" t="s">
        <v>72</v>
      </c>
    </row>
    <row r="60" spans="1:26" ht="18" customHeight="1" x14ac:dyDescent="0.15">
      <c r="A60" s="29"/>
      <c r="B60" s="226" t="s">
        <v>160</v>
      </c>
      <c r="C60" s="227"/>
      <c r="D60" s="227"/>
      <c r="E60" s="228"/>
      <c r="F60" s="105">
        <v>1</v>
      </c>
      <c r="G60" s="105" t="s">
        <v>161</v>
      </c>
      <c r="H60" s="247" t="s">
        <v>162</v>
      </c>
      <c r="I60" s="248"/>
      <c r="J60" s="249"/>
      <c r="K60" s="135" t="s">
        <v>164</v>
      </c>
      <c r="L60" s="105" t="s">
        <v>161</v>
      </c>
      <c r="M60" s="105" t="s">
        <v>161</v>
      </c>
      <c r="N60" s="226"/>
      <c r="O60" s="227"/>
      <c r="P60" s="227"/>
      <c r="Q60" s="227"/>
      <c r="R60" s="228"/>
      <c r="S60" s="105"/>
      <c r="T60" s="105"/>
      <c r="U60" s="247"/>
      <c r="V60" s="248"/>
      <c r="W60" s="249"/>
      <c r="X60" s="135"/>
      <c r="Y60" s="105"/>
      <c r="Z60" s="105"/>
    </row>
    <row r="61" spans="1:26" ht="18" customHeight="1" x14ac:dyDescent="0.15">
      <c r="A61" s="29"/>
      <c r="B61" s="136" t="s">
        <v>182</v>
      </c>
      <c r="C61" s="137"/>
      <c r="D61" s="137"/>
      <c r="E61" s="138"/>
      <c r="F61" s="106">
        <v>2</v>
      </c>
      <c r="G61" s="106" t="s">
        <v>161</v>
      </c>
      <c r="H61" s="244" t="s">
        <v>176</v>
      </c>
      <c r="I61" s="245"/>
      <c r="J61" s="246"/>
      <c r="K61" s="133"/>
      <c r="L61" s="106"/>
      <c r="M61" s="106" t="s">
        <v>161</v>
      </c>
      <c r="N61" s="220"/>
      <c r="O61" s="221"/>
      <c r="P61" s="221"/>
      <c r="Q61" s="221"/>
      <c r="R61" s="222"/>
      <c r="S61" s="106"/>
      <c r="T61" s="106"/>
      <c r="U61" s="244"/>
      <c r="V61" s="245"/>
      <c r="W61" s="246"/>
      <c r="X61" s="133"/>
      <c r="Y61" s="106"/>
      <c r="Z61" s="106"/>
    </row>
    <row r="62" spans="1:26" ht="18" customHeight="1" x14ac:dyDescent="0.15">
      <c r="A62" s="29"/>
      <c r="B62" s="241" t="s">
        <v>187</v>
      </c>
      <c r="C62" s="242"/>
      <c r="D62" s="242"/>
      <c r="E62" s="243"/>
      <c r="F62" s="106">
        <v>4</v>
      </c>
      <c r="G62" s="106" t="s">
        <v>161</v>
      </c>
      <c r="H62" s="244" t="s">
        <v>176</v>
      </c>
      <c r="I62" s="245"/>
      <c r="J62" s="246"/>
      <c r="K62" s="106"/>
      <c r="L62" s="106"/>
      <c r="M62" s="106" t="s">
        <v>161</v>
      </c>
      <c r="N62" s="220"/>
      <c r="O62" s="221"/>
      <c r="P62" s="221"/>
      <c r="Q62" s="221"/>
      <c r="R62" s="222"/>
      <c r="S62" s="106"/>
      <c r="T62" s="106"/>
      <c r="U62" s="244"/>
      <c r="V62" s="245"/>
      <c r="W62" s="246"/>
      <c r="X62" s="133"/>
      <c r="Y62" s="106"/>
      <c r="Z62" s="106"/>
    </row>
    <row r="63" spans="1:26" ht="18" customHeight="1" x14ac:dyDescent="0.15">
      <c r="A63" s="29"/>
      <c r="B63" s="241"/>
      <c r="C63" s="242"/>
      <c r="D63" s="242"/>
      <c r="E63" s="243"/>
      <c r="F63" s="106"/>
      <c r="G63" s="106"/>
      <c r="H63" s="244"/>
      <c r="I63" s="245"/>
      <c r="J63" s="246"/>
      <c r="K63" s="106"/>
      <c r="L63" s="106"/>
      <c r="M63" s="106"/>
      <c r="N63" s="220"/>
      <c r="O63" s="221"/>
      <c r="P63" s="221"/>
      <c r="Q63" s="221"/>
      <c r="R63" s="222"/>
      <c r="S63" s="106"/>
      <c r="T63" s="106"/>
      <c r="U63" s="244"/>
      <c r="V63" s="245"/>
      <c r="W63" s="246"/>
      <c r="X63" s="133"/>
      <c r="Y63" s="106"/>
      <c r="Z63" s="106"/>
    </row>
    <row r="64" spans="1:26" ht="18" customHeight="1" x14ac:dyDescent="0.15">
      <c r="A64" s="29"/>
      <c r="B64" s="241"/>
      <c r="C64" s="242"/>
      <c r="D64" s="242"/>
      <c r="E64" s="243"/>
      <c r="F64" s="106"/>
      <c r="G64" s="106"/>
      <c r="H64" s="244"/>
      <c r="I64" s="245"/>
      <c r="J64" s="246"/>
      <c r="K64" s="106"/>
      <c r="L64" s="106"/>
      <c r="M64" s="106"/>
      <c r="N64" s="220"/>
      <c r="O64" s="221"/>
      <c r="P64" s="221"/>
      <c r="Q64" s="221"/>
      <c r="R64" s="222"/>
      <c r="S64" s="106"/>
      <c r="T64" s="106"/>
      <c r="U64" s="244"/>
      <c r="V64" s="245"/>
      <c r="W64" s="246"/>
      <c r="X64" s="133"/>
      <c r="Y64" s="106"/>
      <c r="Z64" s="106"/>
    </row>
    <row r="65" spans="1:26" ht="18" customHeight="1" x14ac:dyDescent="0.15">
      <c r="A65" s="29"/>
      <c r="B65" s="241"/>
      <c r="C65" s="242"/>
      <c r="D65" s="242"/>
      <c r="E65" s="243"/>
      <c r="F65" s="106"/>
      <c r="G65" s="106"/>
      <c r="H65" s="244"/>
      <c r="I65" s="245"/>
      <c r="J65" s="246"/>
      <c r="K65" s="133"/>
      <c r="L65" s="106"/>
      <c r="M65" s="106"/>
      <c r="N65" s="220"/>
      <c r="O65" s="221"/>
      <c r="P65" s="221"/>
      <c r="Q65" s="221"/>
      <c r="R65" s="222"/>
      <c r="S65" s="106"/>
      <c r="T65" s="106"/>
      <c r="U65" s="244"/>
      <c r="V65" s="245"/>
      <c r="W65" s="246"/>
      <c r="X65" s="133"/>
      <c r="Y65" s="106"/>
      <c r="Z65" s="106"/>
    </row>
    <row r="66" spans="1:26" ht="18" customHeight="1" x14ac:dyDescent="0.15">
      <c r="A66" s="29"/>
      <c r="B66" s="232"/>
      <c r="C66" s="233"/>
      <c r="D66" s="233"/>
      <c r="E66" s="234"/>
      <c r="F66" s="107"/>
      <c r="G66" s="107"/>
      <c r="H66" s="235"/>
      <c r="I66" s="236"/>
      <c r="J66" s="237"/>
      <c r="K66" s="134"/>
      <c r="L66" s="110"/>
      <c r="M66" s="110"/>
      <c r="N66" s="207"/>
      <c r="O66" s="208"/>
      <c r="P66" s="208"/>
      <c r="Q66" s="208"/>
      <c r="R66" s="209"/>
      <c r="S66" s="107"/>
      <c r="T66" s="107"/>
      <c r="U66" s="235"/>
      <c r="V66" s="236"/>
      <c r="W66" s="237"/>
      <c r="X66" s="134"/>
      <c r="Y66" s="110"/>
      <c r="Z66" s="110"/>
    </row>
    <row r="67" spans="1:26" ht="7.5" customHeight="1" x14ac:dyDescent="0.15">
      <c r="B67" s="69"/>
      <c r="C67" s="69"/>
      <c r="D67" s="69"/>
      <c r="E67" s="69"/>
      <c r="F67" s="69"/>
      <c r="G67" s="69"/>
      <c r="H67" s="69"/>
      <c r="I67" s="69"/>
      <c r="J67" s="69"/>
      <c r="K67" s="69"/>
      <c r="L67" s="69"/>
      <c r="M67" s="69"/>
      <c r="N67" s="69"/>
      <c r="O67" s="69"/>
      <c r="P67" s="69"/>
      <c r="Q67" s="69"/>
      <c r="R67" s="69"/>
      <c r="S67" s="69"/>
      <c r="T67" s="69"/>
      <c r="U67" s="69"/>
      <c r="V67" s="69"/>
      <c r="W67" s="69"/>
      <c r="X67" s="69"/>
      <c r="Y67" s="69"/>
    </row>
    <row r="68" spans="1:26" ht="18" customHeight="1" x14ac:dyDescent="0.15">
      <c r="A68" s="14" t="s">
        <v>73</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0" t="s">
        <v>54</v>
      </c>
      <c r="C69" s="141"/>
      <c r="D69" s="141"/>
      <c r="E69" s="141"/>
      <c r="F69" s="142"/>
      <c r="G69" s="140" t="s">
        <v>74</v>
      </c>
      <c r="H69" s="141"/>
      <c r="I69" s="141"/>
      <c r="J69" s="141"/>
      <c r="K69" s="141"/>
      <c r="L69" s="141"/>
      <c r="M69" s="142"/>
      <c r="N69" s="238" t="s">
        <v>54</v>
      </c>
      <c r="O69" s="239"/>
      <c r="P69" s="239"/>
      <c r="Q69" s="239"/>
      <c r="R69" s="239"/>
      <c r="S69" s="240"/>
      <c r="T69" s="140" t="s">
        <v>74</v>
      </c>
      <c r="U69" s="141"/>
      <c r="V69" s="141"/>
      <c r="W69" s="141"/>
      <c r="X69" s="141"/>
      <c r="Y69" s="141"/>
      <c r="Z69" s="142"/>
    </row>
    <row r="70" spans="1:26" ht="18" customHeight="1" x14ac:dyDescent="0.15">
      <c r="A70" s="29"/>
      <c r="B70" s="226" t="s">
        <v>160</v>
      </c>
      <c r="C70" s="227"/>
      <c r="D70" s="227"/>
      <c r="E70" s="227"/>
      <c r="F70" s="228"/>
      <c r="G70" s="229" t="s">
        <v>165</v>
      </c>
      <c r="H70" s="230"/>
      <c r="I70" s="230"/>
      <c r="J70" s="230"/>
      <c r="K70" s="230"/>
      <c r="L70" s="230"/>
      <c r="M70" s="231"/>
      <c r="N70" s="226"/>
      <c r="O70" s="227"/>
      <c r="P70" s="227"/>
      <c r="Q70" s="227"/>
      <c r="R70" s="227"/>
      <c r="S70" s="228"/>
      <c r="T70" s="229"/>
      <c r="U70" s="230"/>
      <c r="V70" s="230"/>
      <c r="W70" s="230"/>
      <c r="X70" s="230"/>
      <c r="Y70" s="230"/>
      <c r="Z70" s="231"/>
    </row>
    <row r="71" spans="1:26" ht="18" customHeight="1" x14ac:dyDescent="0.15">
      <c r="A71" s="29"/>
      <c r="B71" s="220" t="s">
        <v>160</v>
      </c>
      <c r="C71" s="221"/>
      <c r="D71" s="221"/>
      <c r="E71" s="221"/>
      <c r="F71" s="222"/>
      <c r="G71" s="223" t="s">
        <v>166</v>
      </c>
      <c r="H71" s="224"/>
      <c r="I71" s="224"/>
      <c r="J71" s="224"/>
      <c r="K71" s="224"/>
      <c r="L71" s="224"/>
      <c r="M71" s="225"/>
      <c r="N71" s="220"/>
      <c r="O71" s="221"/>
      <c r="P71" s="221"/>
      <c r="Q71" s="221"/>
      <c r="R71" s="221"/>
      <c r="S71" s="222"/>
      <c r="T71" s="223"/>
      <c r="U71" s="224"/>
      <c r="V71" s="224"/>
      <c r="W71" s="224"/>
      <c r="X71" s="224"/>
      <c r="Y71" s="224"/>
      <c r="Z71" s="225"/>
    </row>
    <row r="72" spans="1:26" ht="18" customHeight="1" x14ac:dyDescent="0.15">
      <c r="A72" s="29"/>
      <c r="B72" s="220"/>
      <c r="C72" s="221"/>
      <c r="D72" s="221"/>
      <c r="E72" s="221"/>
      <c r="F72" s="222"/>
      <c r="G72" s="223"/>
      <c r="H72" s="224"/>
      <c r="I72" s="224"/>
      <c r="J72" s="224"/>
      <c r="K72" s="224"/>
      <c r="L72" s="224"/>
      <c r="M72" s="225"/>
      <c r="N72" s="220"/>
      <c r="O72" s="221"/>
      <c r="P72" s="221"/>
      <c r="Q72" s="221"/>
      <c r="R72" s="221"/>
      <c r="S72" s="222"/>
      <c r="T72" s="223"/>
      <c r="U72" s="224"/>
      <c r="V72" s="224"/>
      <c r="W72" s="224"/>
      <c r="X72" s="224"/>
      <c r="Y72" s="224"/>
      <c r="Z72" s="225"/>
    </row>
    <row r="73" spans="1:26" ht="18" customHeight="1" x14ac:dyDescent="0.15">
      <c r="A73" s="29"/>
      <c r="B73" s="220"/>
      <c r="C73" s="221"/>
      <c r="D73" s="221"/>
      <c r="E73" s="221"/>
      <c r="F73" s="222"/>
      <c r="G73" s="223"/>
      <c r="H73" s="224"/>
      <c r="I73" s="224"/>
      <c r="J73" s="224"/>
      <c r="K73" s="224"/>
      <c r="L73" s="224"/>
      <c r="M73" s="225"/>
      <c r="N73" s="220"/>
      <c r="O73" s="221"/>
      <c r="P73" s="221"/>
      <c r="Q73" s="221"/>
      <c r="R73" s="221"/>
      <c r="S73" s="222"/>
      <c r="T73" s="223"/>
      <c r="U73" s="224"/>
      <c r="V73" s="224"/>
      <c r="W73" s="224"/>
      <c r="X73" s="224"/>
      <c r="Y73" s="224"/>
      <c r="Z73" s="225"/>
    </row>
    <row r="74" spans="1:26" ht="18" customHeight="1" x14ac:dyDescent="0.15">
      <c r="A74" s="29"/>
      <c r="B74" s="220"/>
      <c r="C74" s="221"/>
      <c r="D74" s="221"/>
      <c r="E74" s="221"/>
      <c r="F74" s="222"/>
      <c r="G74" s="223"/>
      <c r="H74" s="224"/>
      <c r="I74" s="224"/>
      <c r="J74" s="224"/>
      <c r="K74" s="224"/>
      <c r="L74" s="224"/>
      <c r="M74" s="225"/>
      <c r="N74" s="220"/>
      <c r="O74" s="221"/>
      <c r="P74" s="221"/>
      <c r="Q74" s="221"/>
      <c r="R74" s="221"/>
      <c r="S74" s="222"/>
      <c r="T74" s="223"/>
      <c r="U74" s="224"/>
      <c r="V74" s="224"/>
      <c r="W74" s="224"/>
      <c r="X74" s="224"/>
      <c r="Y74" s="224"/>
      <c r="Z74" s="225"/>
    </row>
    <row r="75" spans="1:26" ht="18" customHeight="1" x14ac:dyDescent="0.15">
      <c r="A75" s="29"/>
      <c r="B75" s="220"/>
      <c r="C75" s="221"/>
      <c r="D75" s="221"/>
      <c r="E75" s="221"/>
      <c r="F75" s="222"/>
      <c r="G75" s="223"/>
      <c r="H75" s="224"/>
      <c r="I75" s="224"/>
      <c r="J75" s="224"/>
      <c r="K75" s="224"/>
      <c r="L75" s="224"/>
      <c r="M75" s="225"/>
      <c r="N75" s="220"/>
      <c r="O75" s="221"/>
      <c r="P75" s="221"/>
      <c r="Q75" s="221"/>
      <c r="R75" s="221"/>
      <c r="S75" s="222"/>
      <c r="T75" s="223"/>
      <c r="U75" s="224"/>
      <c r="V75" s="224"/>
      <c r="W75" s="224"/>
      <c r="X75" s="224"/>
      <c r="Y75" s="224"/>
      <c r="Z75" s="225"/>
    </row>
    <row r="76" spans="1:26" ht="18" customHeight="1" x14ac:dyDescent="0.15">
      <c r="A76" s="29"/>
      <c r="B76" s="207"/>
      <c r="C76" s="208"/>
      <c r="D76" s="208"/>
      <c r="E76" s="208"/>
      <c r="F76" s="209"/>
      <c r="G76" s="210"/>
      <c r="H76" s="211"/>
      <c r="I76" s="211"/>
      <c r="J76" s="211"/>
      <c r="K76" s="211"/>
      <c r="L76" s="211"/>
      <c r="M76" s="212"/>
      <c r="N76" s="207"/>
      <c r="O76" s="208"/>
      <c r="P76" s="208"/>
      <c r="Q76" s="208"/>
      <c r="R76" s="208"/>
      <c r="S76" s="209"/>
      <c r="T76" s="210"/>
      <c r="U76" s="211"/>
      <c r="V76" s="211"/>
      <c r="W76" s="211"/>
      <c r="X76" s="211"/>
      <c r="Y76" s="211"/>
      <c r="Z76" s="212"/>
    </row>
    <row r="77" spans="1:26" ht="18" customHeight="1" x14ac:dyDescent="0.15">
      <c r="A77" s="29"/>
      <c r="B77" s="132"/>
      <c r="C77" s="132"/>
      <c r="D77" s="132"/>
      <c r="E77" s="132"/>
      <c r="F77" s="132"/>
      <c r="G77" s="12"/>
      <c r="H77" s="12"/>
      <c r="I77" s="12"/>
      <c r="J77" s="12"/>
      <c r="K77" s="12"/>
      <c r="L77" s="12"/>
      <c r="M77" s="12"/>
      <c r="N77" s="132"/>
      <c r="O77" s="132"/>
      <c r="P77" s="132"/>
      <c r="Q77" s="132"/>
      <c r="R77" s="132"/>
      <c r="S77" s="132"/>
      <c r="T77" s="12"/>
      <c r="U77" s="12"/>
      <c r="V77" s="12"/>
      <c r="W77" s="12"/>
      <c r="X77" s="12"/>
      <c r="Y77" s="12"/>
      <c r="Z77" s="12"/>
    </row>
    <row r="78" spans="1:26" ht="18.75" customHeight="1" x14ac:dyDescent="0.15">
      <c r="A78" s="13" t="s">
        <v>75</v>
      </c>
    </row>
    <row r="79" spans="1:26" ht="18.75" customHeight="1" x14ac:dyDescent="0.15">
      <c r="B79" s="70" t="s">
        <v>76</v>
      </c>
      <c r="C79" s="71"/>
      <c r="D79" s="213" t="s">
        <v>77</v>
      </c>
      <c r="E79" s="213"/>
      <c r="F79" s="213"/>
      <c r="G79" s="213"/>
      <c r="H79" s="213"/>
      <c r="I79" s="213"/>
      <c r="J79" s="213"/>
      <c r="K79" s="213"/>
      <c r="L79" s="213"/>
      <c r="M79" s="213"/>
      <c r="N79" s="213"/>
      <c r="O79" s="213"/>
      <c r="P79" s="213"/>
      <c r="Q79" s="213"/>
      <c r="R79" s="213"/>
      <c r="S79" s="213"/>
      <c r="T79" s="213"/>
      <c r="U79" s="213"/>
      <c r="V79" s="213"/>
      <c r="W79" s="213"/>
      <c r="X79" s="213"/>
      <c r="Y79" s="213"/>
      <c r="Z79" s="214"/>
    </row>
    <row r="80" spans="1:26" ht="78.75" customHeight="1" x14ac:dyDescent="0.15">
      <c r="B80" s="183" t="s">
        <v>78</v>
      </c>
      <c r="C80" s="77" t="s">
        <v>58</v>
      </c>
      <c r="D80" s="215" t="s">
        <v>235</v>
      </c>
      <c r="E80" s="215"/>
      <c r="F80" s="215"/>
      <c r="G80" s="215"/>
      <c r="H80" s="215"/>
      <c r="I80" s="215"/>
      <c r="J80" s="215"/>
      <c r="K80" s="215"/>
      <c r="L80" s="215"/>
      <c r="M80" s="215"/>
      <c r="N80" s="215"/>
      <c r="O80" s="215"/>
      <c r="P80" s="215"/>
      <c r="Q80" s="215"/>
      <c r="R80" s="215"/>
      <c r="S80" s="215"/>
      <c r="T80" s="215"/>
      <c r="U80" s="215"/>
      <c r="V80" s="215"/>
      <c r="W80" s="215"/>
      <c r="X80" s="215"/>
      <c r="Y80" s="215"/>
      <c r="Z80" s="216"/>
    </row>
    <row r="81" spans="1:26" ht="78.75" customHeight="1" x14ac:dyDescent="0.15">
      <c r="B81" s="189"/>
      <c r="C81" s="102" t="s">
        <v>79</v>
      </c>
      <c r="D81" s="217" t="s">
        <v>191</v>
      </c>
      <c r="E81" s="218"/>
      <c r="F81" s="218"/>
      <c r="G81" s="218"/>
      <c r="H81" s="218"/>
      <c r="I81" s="218"/>
      <c r="J81" s="218"/>
      <c r="K81" s="218"/>
      <c r="L81" s="218"/>
      <c r="M81" s="218"/>
      <c r="N81" s="218"/>
      <c r="O81" s="218"/>
      <c r="P81" s="218"/>
      <c r="Q81" s="218"/>
      <c r="R81" s="218"/>
      <c r="S81" s="218"/>
      <c r="T81" s="218"/>
      <c r="U81" s="218"/>
      <c r="V81" s="218"/>
      <c r="W81" s="218"/>
      <c r="X81" s="218"/>
      <c r="Y81" s="218"/>
      <c r="Z81" s="219"/>
    </row>
    <row r="82" spans="1:26" ht="78.75" customHeight="1" x14ac:dyDescent="0.15">
      <c r="B82" s="198" t="s">
        <v>80</v>
      </c>
      <c r="C82" s="125" t="s">
        <v>61</v>
      </c>
      <c r="D82" s="199" t="s">
        <v>191</v>
      </c>
      <c r="E82" s="200"/>
      <c r="F82" s="200"/>
      <c r="G82" s="200"/>
      <c r="H82" s="200"/>
      <c r="I82" s="200"/>
      <c r="J82" s="200"/>
      <c r="K82" s="200"/>
      <c r="L82" s="200"/>
      <c r="M82" s="200"/>
      <c r="N82" s="200"/>
      <c r="O82" s="200"/>
      <c r="P82" s="200"/>
      <c r="Q82" s="200"/>
      <c r="R82" s="200"/>
      <c r="S82" s="200"/>
      <c r="T82" s="200"/>
      <c r="U82" s="200"/>
      <c r="V82" s="200"/>
      <c r="W82" s="200"/>
      <c r="X82" s="200"/>
      <c r="Y82" s="200"/>
      <c r="Z82" s="201"/>
    </row>
    <row r="83" spans="1:26" ht="78.75" customHeight="1" x14ac:dyDescent="0.15">
      <c r="B83" s="190"/>
      <c r="C83" s="103" t="s">
        <v>62</v>
      </c>
      <c r="D83" s="202" t="s">
        <v>193</v>
      </c>
      <c r="E83" s="203"/>
      <c r="F83" s="203"/>
      <c r="G83" s="203"/>
      <c r="H83" s="203"/>
      <c r="I83" s="203"/>
      <c r="J83" s="203"/>
      <c r="K83" s="203"/>
      <c r="L83" s="203"/>
      <c r="M83" s="203"/>
      <c r="N83" s="203"/>
      <c r="O83" s="203"/>
      <c r="P83" s="203"/>
      <c r="Q83" s="203"/>
      <c r="R83" s="203"/>
      <c r="S83" s="203"/>
      <c r="T83" s="203"/>
      <c r="U83" s="203"/>
      <c r="V83" s="203"/>
      <c r="W83" s="203"/>
      <c r="X83" s="203"/>
      <c r="Y83" s="203"/>
      <c r="Z83" s="204"/>
    </row>
    <row r="84" spans="1:26" ht="78.75" customHeight="1" x14ac:dyDescent="0.15">
      <c r="B84" s="198" t="s">
        <v>173</v>
      </c>
      <c r="C84" s="125" t="s">
        <v>64</v>
      </c>
      <c r="D84" s="199" t="s">
        <v>228</v>
      </c>
      <c r="E84" s="200"/>
      <c r="F84" s="200"/>
      <c r="G84" s="200"/>
      <c r="H84" s="200"/>
      <c r="I84" s="200"/>
      <c r="J84" s="200"/>
      <c r="K84" s="200"/>
      <c r="L84" s="200"/>
      <c r="M84" s="200"/>
      <c r="N84" s="200"/>
      <c r="O84" s="200"/>
      <c r="P84" s="200"/>
      <c r="Q84" s="200"/>
      <c r="R84" s="200"/>
      <c r="S84" s="200"/>
      <c r="T84" s="200"/>
      <c r="U84" s="200"/>
      <c r="V84" s="200"/>
      <c r="W84" s="200"/>
      <c r="X84" s="200"/>
      <c r="Y84" s="200"/>
      <c r="Z84" s="201"/>
    </row>
    <row r="85" spans="1:26" ht="78.75" customHeight="1" x14ac:dyDescent="0.15">
      <c r="B85" s="190"/>
      <c r="C85" s="74" t="s">
        <v>65</v>
      </c>
      <c r="D85" s="205" t="s">
        <v>229</v>
      </c>
      <c r="E85" s="205"/>
      <c r="F85" s="205"/>
      <c r="G85" s="205"/>
      <c r="H85" s="205"/>
      <c r="I85" s="205"/>
      <c r="J85" s="205"/>
      <c r="K85" s="205"/>
      <c r="L85" s="205"/>
      <c r="M85" s="205"/>
      <c r="N85" s="205"/>
      <c r="O85" s="205"/>
      <c r="P85" s="205"/>
      <c r="Q85" s="205"/>
      <c r="R85" s="205"/>
      <c r="S85" s="205"/>
      <c r="T85" s="205"/>
      <c r="U85" s="205"/>
      <c r="V85" s="205"/>
      <c r="W85" s="205"/>
      <c r="X85" s="205"/>
      <c r="Y85" s="205"/>
      <c r="Z85" s="206"/>
    </row>
    <row r="86" spans="1:26" ht="78.75" customHeight="1" x14ac:dyDescent="0.15">
      <c r="B86" s="183" t="s">
        <v>81</v>
      </c>
      <c r="C86" s="77" t="s">
        <v>67</v>
      </c>
      <c r="D86" s="185" t="s">
        <v>230</v>
      </c>
      <c r="E86" s="185"/>
      <c r="F86" s="185"/>
      <c r="G86" s="185"/>
      <c r="H86" s="185"/>
      <c r="I86" s="185"/>
      <c r="J86" s="185"/>
      <c r="K86" s="185"/>
      <c r="L86" s="185"/>
      <c r="M86" s="185"/>
      <c r="N86" s="185"/>
      <c r="O86" s="185"/>
      <c r="P86" s="185"/>
      <c r="Q86" s="185"/>
      <c r="R86" s="185"/>
      <c r="S86" s="185"/>
      <c r="T86" s="185"/>
      <c r="U86" s="185"/>
      <c r="V86" s="185"/>
      <c r="W86" s="185"/>
      <c r="X86" s="185"/>
      <c r="Y86" s="185"/>
      <c r="Z86" s="186"/>
    </row>
    <row r="87" spans="1:26" ht="78.75" customHeight="1" x14ac:dyDescent="0.15">
      <c r="B87" s="184"/>
      <c r="C87" s="73" t="s">
        <v>68</v>
      </c>
      <c r="D87" s="187" t="s">
        <v>231</v>
      </c>
      <c r="E87" s="187"/>
      <c r="F87" s="187"/>
      <c r="G87" s="187"/>
      <c r="H87" s="187"/>
      <c r="I87" s="187"/>
      <c r="J87" s="187"/>
      <c r="K87" s="187"/>
      <c r="L87" s="187"/>
      <c r="M87" s="187"/>
      <c r="N87" s="187"/>
      <c r="O87" s="187"/>
      <c r="P87" s="187"/>
      <c r="Q87" s="187"/>
      <c r="R87" s="187"/>
      <c r="S87" s="187"/>
      <c r="T87" s="187"/>
      <c r="U87" s="187"/>
      <c r="V87" s="187"/>
      <c r="W87" s="187"/>
      <c r="X87" s="187"/>
      <c r="Y87" s="187"/>
      <c r="Z87" s="188"/>
    </row>
    <row r="88" spans="1:26" ht="78.75" customHeight="1" x14ac:dyDescent="0.15">
      <c r="B88" s="183" t="s">
        <v>82</v>
      </c>
      <c r="C88" s="72" t="s">
        <v>70</v>
      </c>
      <c r="D88" s="191" t="s">
        <v>232</v>
      </c>
      <c r="E88" s="191"/>
      <c r="F88" s="191"/>
      <c r="G88" s="191"/>
      <c r="H88" s="191"/>
      <c r="I88" s="191"/>
      <c r="J88" s="191"/>
      <c r="K88" s="191"/>
      <c r="L88" s="191"/>
      <c r="M88" s="191"/>
      <c r="N88" s="191"/>
      <c r="O88" s="191"/>
      <c r="P88" s="191"/>
      <c r="Q88" s="191"/>
      <c r="R88" s="191"/>
      <c r="S88" s="191"/>
      <c r="T88" s="191"/>
      <c r="U88" s="191"/>
      <c r="V88" s="191"/>
      <c r="W88" s="191"/>
      <c r="X88" s="191"/>
      <c r="Y88" s="191"/>
      <c r="Z88" s="192"/>
    </row>
    <row r="89" spans="1:26" ht="78.75" customHeight="1" x14ac:dyDescent="0.15">
      <c r="B89" s="189"/>
      <c r="C89" s="73" t="s">
        <v>71</v>
      </c>
      <c r="D89" s="193" t="s">
        <v>233</v>
      </c>
      <c r="E89" s="194"/>
      <c r="F89" s="194"/>
      <c r="G89" s="194"/>
      <c r="H89" s="194"/>
      <c r="I89" s="194"/>
      <c r="J89" s="194"/>
      <c r="K89" s="194"/>
      <c r="L89" s="194"/>
      <c r="M89" s="194"/>
      <c r="N89" s="194"/>
      <c r="O89" s="194"/>
      <c r="P89" s="194"/>
      <c r="Q89" s="194"/>
      <c r="R89" s="194"/>
      <c r="S89" s="194"/>
      <c r="T89" s="194"/>
      <c r="U89" s="194"/>
      <c r="V89" s="194"/>
      <c r="W89" s="194"/>
      <c r="X89" s="194"/>
      <c r="Y89" s="194"/>
      <c r="Z89" s="195"/>
    </row>
    <row r="90" spans="1:26" ht="78.75" customHeight="1" x14ac:dyDescent="0.15">
      <c r="B90" s="190"/>
      <c r="C90" s="124" t="s">
        <v>72</v>
      </c>
      <c r="D90" s="293" t="s">
        <v>234</v>
      </c>
      <c r="E90" s="293"/>
      <c r="F90" s="293"/>
      <c r="G90" s="293"/>
      <c r="H90" s="293"/>
      <c r="I90" s="293"/>
      <c r="J90" s="293"/>
      <c r="K90" s="293"/>
      <c r="L90" s="293"/>
      <c r="M90" s="293"/>
      <c r="N90" s="293"/>
      <c r="O90" s="293"/>
      <c r="P90" s="293"/>
      <c r="Q90" s="293"/>
      <c r="R90" s="293"/>
      <c r="S90" s="293"/>
      <c r="T90" s="293"/>
      <c r="U90" s="293"/>
      <c r="V90" s="293"/>
      <c r="W90" s="293"/>
      <c r="X90" s="293"/>
      <c r="Y90" s="293"/>
      <c r="Z90" s="197"/>
    </row>
    <row r="91" spans="1:26" ht="6" customHeight="1" x14ac:dyDescent="0.15">
      <c r="D91" s="13" t="s">
        <v>195</v>
      </c>
    </row>
    <row r="92" spans="1:26" ht="18.75" customHeight="1" x14ac:dyDescent="0.15">
      <c r="A92" s="13" t="s">
        <v>83</v>
      </c>
    </row>
    <row r="93" spans="1:26" ht="18.75" customHeight="1" x14ac:dyDescent="0.15">
      <c r="B93" s="171" t="s">
        <v>185</v>
      </c>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3"/>
    </row>
    <row r="94" spans="1:26" ht="18.75" customHeight="1" x14ac:dyDescent="0.15">
      <c r="B94" s="174"/>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6"/>
    </row>
    <row r="95" spans="1:26" ht="18.75" customHeight="1" x14ac:dyDescent="0.15">
      <c r="B95" s="177"/>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9"/>
    </row>
    <row r="96" spans="1:26" ht="6" customHeight="1" x14ac:dyDescent="0.15"/>
    <row r="97" spans="1:26" ht="15" customHeight="1" x14ac:dyDescent="0.15">
      <c r="A97" s="13" t="s">
        <v>84</v>
      </c>
    </row>
    <row r="98" spans="1:26" ht="15" customHeight="1" x14ac:dyDescent="0.15">
      <c r="B98" s="180" t="s">
        <v>245</v>
      </c>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2"/>
    </row>
  </sheetData>
  <mergeCells count="217">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N61:R61"/>
    <mergeCell ref="U61:W61"/>
    <mergeCell ref="B55:F55"/>
    <mergeCell ref="I55:K55"/>
    <mergeCell ref="N55:S55"/>
    <mergeCell ref="V55:X55"/>
    <mergeCell ref="A57:Z58"/>
    <mergeCell ref="B59:E59"/>
    <mergeCell ref="N59:R59"/>
    <mergeCell ref="H61:J61"/>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49:I55 V49:V55 I38:I44 U60:U66 H60:H66">
      <formula1>"全学開講,一部開講"</formula1>
    </dataValidation>
    <dataValidation type="list" allowBlank="1" showInputMessage="1" showErrorMessage="1" sqref="Y16:Z22 L16:M22 Y27:Z33 L27:M33 Y38:Z44 Y49:Z55 Y60:Z66 H16:H22 U16:U22 H27:H33 U27:U33 T60:T66 U38:U44 H38:H44 U49:U55 K62:K64 L60:M66 L49:M55 L38:M44 H49:H55 G60:G66">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9" fitToHeight="0" orientation="landscape" r:id="rId2"/>
  <rowBreaks count="4" manualBreakCount="4">
    <brk id="34" max="25" man="1"/>
    <brk id="67" max="25" man="1"/>
    <brk id="83" max="25" man="1"/>
    <brk id="91"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AF99"/>
  <sheetViews>
    <sheetView showZeros="0" tabSelected="1" view="pageBreakPreview" topLeftCell="A80" zoomScaleNormal="100" zoomScaleSheetLayoutView="100" workbookViewId="0">
      <selection activeCell="J18" sqref="J18"/>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81" t="s">
        <v>216</v>
      </c>
      <c r="X1" s="281"/>
      <c r="Y1" s="281"/>
      <c r="Z1" s="281"/>
    </row>
    <row r="2" spans="1:26" ht="18" customHeight="1" x14ac:dyDescent="0.15">
      <c r="A2" s="282" t="s">
        <v>50</v>
      </c>
      <c r="B2" s="282"/>
      <c r="C2" s="282"/>
      <c r="D2" s="282"/>
      <c r="E2" s="282"/>
      <c r="F2" s="282"/>
      <c r="G2" s="282"/>
      <c r="H2" s="282"/>
      <c r="I2" s="282"/>
      <c r="J2" s="282"/>
      <c r="K2" s="282"/>
      <c r="L2" s="282"/>
      <c r="M2" s="282"/>
      <c r="N2" s="282"/>
      <c r="O2" s="282"/>
      <c r="P2" s="282"/>
      <c r="Q2" s="282"/>
      <c r="R2" s="282"/>
      <c r="S2" s="282"/>
      <c r="T2" s="282"/>
      <c r="U2" s="282"/>
      <c r="V2" s="282"/>
      <c r="W2" s="282"/>
      <c r="X2" s="282"/>
      <c r="Y2" s="282"/>
      <c r="Z2" s="282"/>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51</v>
      </c>
      <c r="B4" s="29"/>
      <c r="C4" s="29"/>
      <c r="D4" s="29"/>
      <c r="E4" s="29"/>
      <c r="F4" s="29"/>
      <c r="G4" s="29"/>
      <c r="H4" s="15" t="s">
        <v>52</v>
      </c>
      <c r="I4" s="29"/>
      <c r="J4" s="29"/>
      <c r="K4" s="29"/>
      <c r="L4" s="29"/>
      <c r="M4" s="29"/>
      <c r="N4" s="29"/>
      <c r="O4" s="140" t="s">
        <v>178</v>
      </c>
      <c r="P4" s="141"/>
      <c r="Q4" s="141"/>
      <c r="R4" s="141"/>
      <c r="S4" s="141"/>
      <c r="T4" s="141"/>
      <c r="U4" s="141"/>
      <c r="V4" s="141"/>
      <c r="W4" s="141"/>
      <c r="X4" s="141"/>
      <c r="Y4" s="141"/>
      <c r="Z4" s="142"/>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94" t="s">
        <v>220</v>
      </c>
      <c r="C6" s="284"/>
      <c r="D6" s="284"/>
      <c r="E6" s="284"/>
      <c r="F6" s="284"/>
      <c r="G6" s="284"/>
      <c r="H6" s="284"/>
      <c r="I6" s="284"/>
      <c r="J6" s="284"/>
      <c r="K6" s="284"/>
      <c r="L6" s="284"/>
      <c r="M6" s="284"/>
      <c r="N6" s="284"/>
      <c r="O6" s="284"/>
      <c r="P6" s="284"/>
      <c r="Q6" s="284"/>
      <c r="R6" s="284"/>
      <c r="S6" s="284"/>
      <c r="T6" s="284"/>
      <c r="U6" s="284"/>
      <c r="V6" s="284"/>
      <c r="W6" s="284"/>
      <c r="X6" s="284"/>
      <c r="Y6" s="284"/>
      <c r="Z6" s="285"/>
    </row>
    <row r="7" spans="1:26" ht="18" customHeight="1" x14ac:dyDescent="0.15">
      <c r="B7" s="286"/>
      <c r="C7" s="287"/>
      <c r="D7" s="287"/>
      <c r="E7" s="287"/>
      <c r="F7" s="287"/>
      <c r="G7" s="287"/>
      <c r="H7" s="287"/>
      <c r="I7" s="287"/>
      <c r="J7" s="287"/>
      <c r="K7" s="287"/>
      <c r="L7" s="287"/>
      <c r="M7" s="287"/>
      <c r="N7" s="287"/>
      <c r="O7" s="287"/>
      <c r="P7" s="287"/>
      <c r="Q7" s="287"/>
      <c r="R7" s="287"/>
      <c r="S7" s="287"/>
      <c r="T7" s="287"/>
      <c r="U7" s="287"/>
      <c r="V7" s="287"/>
      <c r="W7" s="287"/>
      <c r="X7" s="287"/>
      <c r="Y7" s="287"/>
      <c r="Z7" s="288"/>
    </row>
    <row r="8" spans="1:26" ht="18" customHeight="1" x14ac:dyDescent="0.15">
      <c r="B8" s="286"/>
      <c r="C8" s="287"/>
      <c r="D8" s="287"/>
      <c r="E8" s="287"/>
      <c r="F8" s="287"/>
      <c r="G8" s="287"/>
      <c r="H8" s="287"/>
      <c r="I8" s="287"/>
      <c r="J8" s="287"/>
      <c r="K8" s="287"/>
      <c r="L8" s="287"/>
      <c r="M8" s="287"/>
      <c r="N8" s="287"/>
      <c r="O8" s="287"/>
      <c r="P8" s="287"/>
      <c r="Q8" s="287"/>
      <c r="R8" s="287"/>
      <c r="S8" s="287"/>
      <c r="T8" s="287"/>
      <c r="U8" s="287"/>
      <c r="V8" s="287"/>
      <c r="W8" s="287"/>
      <c r="X8" s="287"/>
      <c r="Y8" s="287"/>
      <c r="Z8" s="288"/>
    </row>
    <row r="9" spans="1:26" ht="18" customHeight="1" x14ac:dyDescent="0.15">
      <c r="B9" s="286"/>
      <c r="C9" s="287"/>
      <c r="D9" s="287"/>
      <c r="E9" s="287"/>
      <c r="F9" s="287"/>
      <c r="G9" s="287"/>
      <c r="H9" s="287"/>
      <c r="I9" s="287"/>
      <c r="J9" s="287"/>
      <c r="K9" s="287"/>
      <c r="L9" s="287"/>
      <c r="M9" s="287"/>
      <c r="N9" s="287"/>
      <c r="O9" s="287"/>
      <c r="P9" s="287"/>
      <c r="Q9" s="287"/>
      <c r="R9" s="287"/>
      <c r="S9" s="287"/>
      <c r="T9" s="287"/>
      <c r="U9" s="287"/>
      <c r="V9" s="287"/>
      <c r="W9" s="287"/>
      <c r="X9" s="287"/>
      <c r="Y9" s="287"/>
      <c r="Z9" s="288"/>
    </row>
    <row r="10" spans="1:26" ht="18" customHeight="1" x14ac:dyDescent="0.15">
      <c r="B10" s="286"/>
      <c r="C10" s="289"/>
      <c r="D10" s="289"/>
      <c r="E10" s="289"/>
      <c r="F10" s="289"/>
      <c r="G10" s="289"/>
      <c r="H10" s="289"/>
      <c r="I10" s="289"/>
      <c r="J10" s="289"/>
      <c r="K10" s="289"/>
      <c r="L10" s="289"/>
      <c r="M10" s="289"/>
      <c r="N10" s="289"/>
      <c r="O10" s="289"/>
      <c r="P10" s="289"/>
      <c r="Q10" s="289"/>
      <c r="R10" s="289"/>
      <c r="S10" s="289"/>
      <c r="T10" s="289"/>
      <c r="U10" s="289"/>
      <c r="V10" s="289"/>
      <c r="W10" s="289"/>
      <c r="X10" s="289"/>
      <c r="Y10" s="289"/>
      <c r="Z10" s="288"/>
    </row>
    <row r="11" spans="1:26" ht="18" customHeight="1" x14ac:dyDescent="0.15">
      <c r="B11" s="290"/>
      <c r="C11" s="291"/>
      <c r="D11" s="291"/>
      <c r="E11" s="291"/>
      <c r="F11" s="291"/>
      <c r="G11" s="291"/>
      <c r="H11" s="291"/>
      <c r="I11" s="291"/>
      <c r="J11" s="291"/>
      <c r="K11" s="291"/>
      <c r="L11" s="291"/>
      <c r="M11" s="291"/>
      <c r="N11" s="291"/>
      <c r="O11" s="291"/>
      <c r="P11" s="291"/>
      <c r="Q11" s="291"/>
      <c r="R11" s="291"/>
      <c r="S11" s="291"/>
      <c r="T11" s="291"/>
      <c r="U11" s="291"/>
      <c r="V11" s="291"/>
      <c r="W11" s="291"/>
      <c r="X11" s="291"/>
      <c r="Y11" s="291"/>
      <c r="Z11" s="292"/>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53" t="s">
        <v>53</v>
      </c>
      <c r="B13" s="253"/>
      <c r="C13" s="253"/>
      <c r="D13" s="253"/>
      <c r="E13" s="253"/>
      <c r="F13" s="253"/>
      <c r="G13" s="253"/>
      <c r="H13" s="253"/>
      <c r="I13" s="253"/>
      <c r="J13" s="253"/>
      <c r="K13" s="253"/>
      <c r="L13" s="253"/>
      <c r="M13" s="253"/>
      <c r="N13" s="253"/>
      <c r="O13" s="253"/>
      <c r="P13" s="253"/>
      <c r="Q13" s="253"/>
      <c r="R13" s="253"/>
      <c r="S13" s="253"/>
      <c r="T13" s="253"/>
      <c r="U13" s="253"/>
      <c r="V13" s="253"/>
      <c r="W13" s="253"/>
      <c r="X13" s="253"/>
      <c r="Y13" s="253"/>
      <c r="Z13" s="253"/>
    </row>
    <row r="14" spans="1:26" ht="18" customHeight="1" x14ac:dyDescent="0.15">
      <c r="A14" s="253"/>
      <c r="B14" s="253"/>
      <c r="C14" s="253"/>
      <c r="D14" s="253"/>
      <c r="E14" s="253"/>
      <c r="F14" s="253"/>
      <c r="G14" s="253"/>
      <c r="H14" s="253"/>
      <c r="I14" s="253"/>
      <c r="J14" s="253"/>
      <c r="K14" s="253"/>
      <c r="L14" s="253"/>
      <c r="M14" s="253"/>
      <c r="N14" s="253"/>
      <c r="O14" s="253"/>
      <c r="P14" s="253"/>
      <c r="Q14" s="253"/>
      <c r="R14" s="253"/>
      <c r="S14" s="253"/>
      <c r="T14" s="253"/>
      <c r="U14" s="253"/>
      <c r="V14" s="253"/>
      <c r="W14" s="253"/>
      <c r="X14" s="253"/>
      <c r="Y14" s="253"/>
      <c r="Z14" s="253"/>
    </row>
    <row r="15" spans="1:26" ht="18" customHeight="1" x14ac:dyDescent="0.15">
      <c r="A15" s="14"/>
      <c r="B15" s="140" t="s">
        <v>54</v>
      </c>
      <c r="C15" s="141"/>
      <c r="D15" s="141"/>
      <c r="E15" s="141"/>
      <c r="F15" s="142"/>
      <c r="G15" s="30" t="s">
        <v>55</v>
      </c>
      <c r="H15" s="104" t="s">
        <v>56</v>
      </c>
      <c r="I15" s="141" t="s">
        <v>57</v>
      </c>
      <c r="J15" s="141"/>
      <c r="K15" s="141"/>
      <c r="L15" s="67" t="s">
        <v>58</v>
      </c>
      <c r="M15" s="67" t="s">
        <v>59</v>
      </c>
      <c r="N15" s="140" t="s">
        <v>54</v>
      </c>
      <c r="O15" s="141"/>
      <c r="P15" s="141"/>
      <c r="Q15" s="141"/>
      <c r="R15" s="141"/>
      <c r="S15" s="142"/>
      <c r="T15" s="30" t="s">
        <v>55</v>
      </c>
      <c r="U15" s="104" t="s">
        <v>56</v>
      </c>
      <c r="V15" s="141" t="s">
        <v>57</v>
      </c>
      <c r="W15" s="141"/>
      <c r="X15" s="141"/>
      <c r="Y15" s="67" t="s">
        <v>58</v>
      </c>
      <c r="Z15" s="67" t="s">
        <v>59</v>
      </c>
    </row>
    <row r="16" spans="1:26" ht="18" customHeight="1" x14ac:dyDescent="0.15">
      <c r="A16" s="14"/>
      <c r="B16" s="257" t="s">
        <v>160</v>
      </c>
      <c r="C16" s="258"/>
      <c r="D16" s="258"/>
      <c r="E16" s="258"/>
      <c r="F16" s="259"/>
      <c r="G16" s="105">
        <v>1</v>
      </c>
      <c r="H16" s="105" t="s">
        <v>161</v>
      </c>
      <c r="I16" s="247" t="s">
        <v>162</v>
      </c>
      <c r="J16" s="248"/>
      <c r="K16" s="249"/>
      <c r="L16" s="105" t="s">
        <v>161</v>
      </c>
      <c r="M16" s="105" t="s">
        <v>161</v>
      </c>
      <c r="N16" s="226"/>
      <c r="O16" s="227"/>
      <c r="P16" s="227"/>
      <c r="Q16" s="227"/>
      <c r="R16" s="227"/>
      <c r="S16" s="228"/>
      <c r="T16" s="105"/>
      <c r="U16" s="105"/>
      <c r="V16" s="247"/>
      <c r="W16" s="248"/>
      <c r="X16" s="249"/>
      <c r="Y16" s="105"/>
      <c r="Z16" s="105"/>
    </row>
    <row r="17" spans="1:26" ht="18" customHeight="1" x14ac:dyDescent="0.15">
      <c r="A17" s="14"/>
      <c r="B17" s="275"/>
      <c r="C17" s="276"/>
      <c r="D17" s="276"/>
      <c r="E17" s="276"/>
      <c r="F17" s="277"/>
      <c r="G17" s="123"/>
      <c r="H17" s="123"/>
      <c r="I17" s="278"/>
      <c r="J17" s="279"/>
      <c r="K17" s="280"/>
      <c r="L17" s="123"/>
      <c r="M17" s="123"/>
      <c r="N17" s="220"/>
      <c r="O17" s="221"/>
      <c r="P17" s="221"/>
      <c r="Q17" s="221"/>
      <c r="R17" s="221"/>
      <c r="S17" s="222"/>
      <c r="T17" s="106"/>
      <c r="U17" s="106"/>
      <c r="V17" s="244"/>
      <c r="W17" s="245"/>
      <c r="X17" s="246"/>
      <c r="Y17" s="106"/>
      <c r="Z17" s="106"/>
    </row>
    <row r="18" spans="1:26" ht="18" customHeight="1" x14ac:dyDescent="0.15">
      <c r="A18" s="14"/>
      <c r="B18" s="272"/>
      <c r="C18" s="273"/>
      <c r="D18" s="273"/>
      <c r="E18" s="273"/>
      <c r="F18" s="274"/>
      <c r="G18" s="106"/>
      <c r="H18" s="106"/>
      <c r="I18" s="244"/>
      <c r="J18" s="245"/>
      <c r="K18" s="246"/>
      <c r="L18" s="106"/>
      <c r="M18" s="106"/>
      <c r="N18" s="220"/>
      <c r="O18" s="221"/>
      <c r="P18" s="221"/>
      <c r="Q18" s="221"/>
      <c r="R18" s="221"/>
      <c r="S18" s="222"/>
      <c r="T18" s="106"/>
      <c r="U18" s="106"/>
      <c r="V18" s="244"/>
      <c r="W18" s="245"/>
      <c r="X18" s="246"/>
      <c r="Y18" s="106"/>
      <c r="Z18" s="106"/>
    </row>
    <row r="19" spans="1:26" ht="18" customHeight="1" x14ac:dyDescent="0.15">
      <c r="A19" s="14"/>
      <c r="B19" s="272"/>
      <c r="C19" s="273"/>
      <c r="D19" s="273"/>
      <c r="E19" s="273"/>
      <c r="F19" s="274"/>
      <c r="G19" s="106"/>
      <c r="H19" s="106"/>
      <c r="I19" s="244"/>
      <c r="J19" s="245"/>
      <c r="K19" s="246"/>
      <c r="L19" s="106"/>
      <c r="M19" s="106"/>
      <c r="N19" s="220"/>
      <c r="O19" s="221"/>
      <c r="P19" s="221"/>
      <c r="Q19" s="221"/>
      <c r="R19" s="221"/>
      <c r="S19" s="222"/>
      <c r="T19" s="106"/>
      <c r="U19" s="106"/>
      <c r="V19" s="244"/>
      <c r="W19" s="245"/>
      <c r="X19" s="246"/>
      <c r="Y19" s="106"/>
      <c r="Z19" s="106"/>
    </row>
    <row r="20" spans="1:26" ht="18" customHeight="1" x14ac:dyDescent="0.15">
      <c r="A20" s="14"/>
      <c r="B20" s="272"/>
      <c r="C20" s="273"/>
      <c r="D20" s="273"/>
      <c r="E20" s="273"/>
      <c r="F20" s="274"/>
      <c r="G20" s="106"/>
      <c r="H20" s="106"/>
      <c r="I20" s="244"/>
      <c r="J20" s="245"/>
      <c r="K20" s="246"/>
      <c r="L20" s="106"/>
      <c r="M20" s="106"/>
      <c r="N20" s="220"/>
      <c r="O20" s="221"/>
      <c r="P20" s="221"/>
      <c r="Q20" s="221"/>
      <c r="R20" s="221"/>
      <c r="S20" s="222"/>
      <c r="T20" s="106"/>
      <c r="U20" s="106"/>
      <c r="V20" s="244"/>
      <c r="W20" s="245"/>
      <c r="X20" s="246"/>
      <c r="Y20" s="106"/>
      <c r="Z20" s="106"/>
    </row>
    <row r="21" spans="1:26" ht="18" customHeight="1" x14ac:dyDescent="0.15">
      <c r="A21" s="29"/>
      <c r="B21" s="272"/>
      <c r="C21" s="273"/>
      <c r="D21" s="273"/>
      <c r="E21" s="273"/>
      <c r="F21" s="274"/>
      <c r="G21" s="106"/>
      <c r="H21" s="106"/>
      <c r="I21" s="244"/>
      <c r="J21" s="245"/>
      <c r="K21" s="246"/>
      <c r="L21" s="106"/>
      <c r="M21" s="106"/>
      <c r="N21" s="220"/>
      <c r="O21" s="221"/>
      <c r="P21" s="221"/>
      <c r="Q21" s="221"/>
      <c r="R21" s="221"/>
      <c r="S21" s="222"/>
      <c r="T21" s="106"/>
      <c r="U21" s="106"/>
      <c r="V21" s="244"/>
      <c r="W21" s="245"/>
      <c r="X21" s="246"/>
      <c r="Y21" s="106"/>
      <c r="Z21" s="106"/>
    </row>
    <row r="22" spans="1:26" ht="18" customHeight="1" x14ac:dyDescent="0.15">
      <c r="A22" s="29"/>
      <c r="B22" s="260"/>
      <c r="C22" s="261"/>
      <c r="D22" s="261"/>
      <c r="E22" s="261"/>
      <c r="F22" s="262"/>
      <c r="G22" s="107"/>
      <c r="H22" s="107"/>
      <c r="I22" s="235"/>
      <c r="J22" s="236"/>
      <c r="K22" s="237"/>
      <c r="L22" s="110"/>
      <c r="M22" s="110"/>
      <c r="N22" s="207"/>
      <c r="O22" s="208"/>
      <c r="P22" s="208"/>
      <c r="Q22" s="208"/>
      <c r="R22" s="208"/>
      <c r="S22" s="209"/>
      <c r="T22" s="107"/>
      <c r="U22" s="107"/>
      <c r="V22" s="235"/>
      <c r="W22" s="236"/>
      <c r="X22" s="237"/>
      <c r="Y22" s="110"/>
      <c r="Z22" s="110"/>
    </row>
    <row r="23" spans="1:26" ht="7.5" customHeight="1" x14ac:dyDescent="0.15">
      <c r="A23" s="29"/>
      <c r="B23" s="68"/>
      <c r="C23" s="68"/>
      <c r="D23" s="29"/>
      <c r="E23" s="29"/>
      <c r="F23" s="29"/>
      <c r="G23" s="29"/>
      <c r="H23" s="29"/>
      <c r="I23" s="29"/>
      <c r="J23" s="29"/>
      <c r="K23" s="29"/>
      <c r="L23" s="68"/>
      <c r="M23" s="68"/>
      <c r="N23" s="68"/>
      <c r="O23" s="68"/>
      <c r="P23" s="68"/>
      <c r="Q23" s="68"/>
      <c r="R23" s="68"/>
      <c r="S23" s="68"/>
      <c r="T23" s="68"/>
      <c r="U23" s="68"/>
      <c r="V23" s="68"/>
      <c r="W23" s="68"/>
      <c r="X23" s="68"/>
      <c r="Y23" s="68"/>
      <c r="Z23" s="29"/>
    </row>
    <row r="24" spans="1:26" ht="18" customHeight="1" x14ac:dyDescent="0.15">
      <c r="A24" s="253" t="s">
        <v>60</v>
      </c>
      <c r="B24" s="253"/>
      <c r="C24" s="253"/>
      <c r="D24" s="253"/>
      <c r="E24" s="253"/>
      <c r="F24" s="253"/>
      <c r="G24" s="253"/>
      <c r="H24" s="253"/>
      <c r="I24" s="253"/>
      <c r="J24" s="253"/>
      <c r="K24" s="253"/>
      <c r="L24" s="253"/>
      <c r="M24" s="253"/>
      <c r="N24" s="253"/>
      <c r="O24" s="253"/>
      <c r="P24" s="253"/>
      <c r="Q24" s="253"/>
      <c r="R24" s="253"/>
      <c r="S24" s="253"/>
      <c r="T24" s="253"/>
      <c r="U24" s="253"/>
      <c r="V24" s="253"/>
      <c r="W24" s="253"/>
      <c r="X24" s="253"/>
      <c r="Y24" s="253"/>
      <c r="Z24" s="253"/>
    </row>
    <row r="25" spans="1:26" ht="18" customHeight="1" x14ac:dyDescent="0.15">
      <c r="A25" s="253"/>
      <c r="B25" s="253"/>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row>
    <row r="26" spans="1:26" ht="18" customHeight="1" x14ac:dyDescent="0.15">
      <c r="A26" s="14"/>
      <c r="B26" s="140" t="s">
        <v>54</v>
      </c>
      <c r="C26" s="141"/>
      <c r="D26" s="141"/>
      <c r="E26" s="141"/>
      <c r="F26" s="142"/>
      <c r="G26" s="30" t="s">
        <v>55</v>
      </c>
      <c r="H26" s="104" t="s">
        <v>56</v>
      </c>
      <c r="I26" s="141" t="s">
        <v>57</v>
      </c>
      <c r="J26" s="141"/>
      <c r="K26" s="141"/>
      <c r="L26" s="67" t="s">
        <v>61</v>
      </c>
      <c r="M26" s="67" t="s">
        <v>62</v>
      </c>
      <c r="N26" s="140" t="s">
        <v>54</v>
      </c>
      <c r="O26" s="141"/>
      <c r="P26" s="141"/>
      <c r="Q26" s="141"/>
      <c r="R26" s="141"/>
      <c r="S26" s="142"/>
      <c r="T26" s="30" t="s">
        <v>55</v>
      </c>
      <c r="U26" s="104" t="s">
        <v>56</v>
      </c>
      <c r="V26" s="141" t="s">
        <v>57</v>
      </c>
      <c r="W26" s="141"/>
      <c r="X26" s="141"/>
      <c r="Y26" s="67" t="s">
        <v>61</v>
      </c>
      <c r="Z26" s="67" t="s">
        <v>62</v>
      </c>
    </row>
    <row r="27" spans="1:26" ht="18" customHeight="1" x14ac:dyDescent="0.15">
      <c r="A27" s="14"/>
      <c r="B27" s="257" t="s">
        <v>160</v>
      </c>
      <c r="C27" s="258"/>
      <c r="D27" s="258"/>
      <c r="E27" s="258"/>
      <c r="F27" s="259"/>
      <c r="G27" s="105">
        <v>1</v>
      </c>
      <c r="H27" s="105" t="s">
        <v>161</v>
      </c>
      <c r="I27" s="247" t="s">
        <v>162</v>
      </c>
      <c r="J27" s="248"/>
      <c r="K27" s="249"/>
      <c r="L27" s="105" t="s">
        <v>161</v>
      </c>
      <c r="M27" s="105" t="s">
        <v>161</v>
      </c>
      <c r="N27" s="226"/>
      <c r="O27" s="227"/>
      <c r="P27" s="227"/>
      <c r="Q27" s="227"/>
      <c r="R27" s="227"/>
      <c r="S27" s="228"/>
      <c r="T27" s="105"/>
      <c r="U27" s="105"/>
      <c r="V27" s="247"/>
      <c r="W27" s="248"/>
      <c r="X27" s="249"/>
      <c r="Y27" s="105"/>
      <c r="Z27" s="105"/>
    </row>
    <row r="28" spans="1:26" ht="18" customHeight="1" x14ac:dyDescent="0.15">
      <c r="A28" s="14"/>
      <c r="B28" s="263" t="s">
        <v>175</v>
      </c>
      <c r="C28" s="264"/>
      <c r="D28" s="264"/>
      <c r="E28" s="264"/>
      <c r="F28" s="265"/>
      <c r="G28" s="126">
        <v>1</v>
      </c>
      <c r="H28" s="126" t="s">
        <v>161</v>
      </c>
      <c r="I28" s="266" t="s">
        <v>176</v>
      </c>
      <c r="J28" s="267"/>
      <c r="K28" s="268"/>
      <c r="L28" s="126" t="s">
        <v>161</v>
      </c>
      <c r="M28" s="126"/>
      <c r="N28" s="220"/>
      <c r="O28" s="221"/>
      <c r="P28" s="221"/>
      <c r="Q28" s="221"/>
      <c r="R28" s="221"/>
      <c r="S28" s="222"/>
      <c r="T28" s="106"/>
      <c r="U28" s="106"/>
      <c r="V28" s="244"/>
      <c r="W28" s="245"/>
      <c r="X28" s="246"/>
      <c r="Y28" s="106"/>
      <c r="Z28" s="106"/>
    </row>
    <row r="29" spans="1:26" ht="18" customHeight="1" x14ac:dyDescent="0.15">
      <c r="A29" s="14"/>
      <c r="B29" s="272"/>
      <c r="C29" s="273"/>
      <c r="D29" s="273"/>
      <c r="E29" s="273"/>
      <c r="F29" s="274"/>
      <c r="G29" s="106"/>
      <c r="H29" s="106"/>
      <c r="I29" s="244"/>
      <c r="J29" s="245"/>
      <c r="K29" s="246"/>
      <c r="L29" s="106"/>
      <c r="M29" s="106"/>
      <c r="N29" s="220"/>
      <c r="O29" s="221"/>
      <c r="P29" s="221"/>
      <c r="Q29" s="221"/>
      <c r="R29" s="221"/>
      <c r="S29" s="222"/>
      <c r="T29" s="106"/>
      <c r="U29" s="106"/>
      <c r="V29" s="244"/>
      <c r="W29" s="245"/>
      <c r="X29" s="246"/>
      <c r="Y29" s="106"/>
      <c r="Z29" s="106"/>
    </row>
    <row r="30" spans="1:26" ht="18" customHeight="1" x14ac:dyDescent="0.15">
      <c r="A30" s="14"/>
      <c r="B30" s="272"/>
      <c r="C30" s="273"/>
      <c r="D30" s="273"/>
      <c r="E30" s="273"/>
      <c r="F30" s="274"/>
      <c r="G30" s="106"/>
      <c r="H30" s="106"/>
      <c r="I30" s="244"/>
      <c r="J30" s="245"/>
      <c r="K30" s="246"/>
      <c r="L30" s="106"/>
      <c r="M30" s="106"/>
      <c r="N30" s="220"/>
      <c r="O30" s="221"/>
      <c r="P30" s="221"/>
      <c r="Q30" s="221"/>
      <c r="R30" s="221"/>
      <c r="S30" s="222"/>
      <c r="T30" s="106"/>
      <c r="U30" s="106"/>
      <c r="V30" s="244"/>
      <c r="W30" s="245"/>
      <c r="X30" s="246"/>
      <c r="Y30" s="106"/>
      <c r="Z30" s="106"/>
    </row>
    <row r="31" spans="1:26" ht="18" customHeight="1" x14ac:dyDescent="0.15">
      <c r="A31" s="14"/>
      <c r="B31" s="272"/>
      <c r="C31" s="273"/>
      <c r="D31" s="273"/>
      <c r="E31" s="273"/>
      <c r="F31" s="274"/>
      <c r="G31" s="106"/>
      <c r="H31" s="106"/>
      <c r="I31" s="244"/>
      <c r="J31" s="245"/>
      <c r="K31" s="246"/>
      <c r="L31" s="106"/>
      <c r="M31" s="106"/>
      <c r="N31" s="220"/>
      <c r="O31" s="221"/>
      <c r="P31" s="221"/>
      <c r="Q31" s="221"/>
      <c r="R31" s="221"/>
      <c r="S31" s="222"/>
      <c r="T31" s="106"/>
      <c r="U31" s="106"/>
      <c r="V31" s="244"/>
      <c r="W31" s="245"/>
      <c r="X31" s="246"/>
      <c r="Y31" s="106"/>
      <c r="Z31" s="106"/>
    </row>
    <row r="32" spans="1:26" ht="18" customHeight="1" x14ac:dyDescent="0.15">
      <c r="A32" s="14"/>
      <c r="B32" s="272"/>
      <c r="C32" s="273"/>
      <c r="D32" s="273"/>
      <c r="E32" s="273"/>
      <c r="F32" s="274"/>
      <c r="G32" s="106"/>
      <c r="H32" s="106"/>
      <c r="I32" s="244"/>
      <c r="J32" s="245"/>
      <c r="K32" s="246"/>
      <c r="L32" s="106"/>
      <c r="M32" s="106"/>
      <c r="N32" s="220"/>
      <c r="O32" s="221"/>
      <c r="P32" s="221"/>
      <c r="Q32" s="221"/>
      <c r="R32" s="221"/>
      <c r="S32" s="222"/>
      <c r="T32" s="106"/>
      <c r="U32" s="106"/>
      <c r="V32" s="244"/>
      <c r="W32" s="245"/>
      <c r="X32" s="246"/>
      <c r="Y32" s="106"/>
      <c r="Z32" s="106"/>
    </row>
    <row r="33" spans="1:26" ht="18" customHeight="1" x14ac:dyDescent="0.15">
      <c r="A33" s="14"/>
      <c r="B33" s="260"/>
      <c r="C33" s="261"/>
      <c r="D33" s="261"/>
      <c r="E33" s="261"/>
      <c r="F33" s="262"/>
      <c r="G33" s="107"/>
      <c r="H33" s="107"/>
      <c r="I33" s="235"/>
      <c r="J33" s="236"/>
      <c r="K33" s="237"/>
      <c r="L33" s="110"/>
      <c r="M33" s="110"/>
      <c r="N33" s="207"/>
      <c r="O33" s="208"/>
      <c r="P33" s="208"/>
      <c r="Q33" s="208"/>
      <c r="R33" s="208"/>
      <c r="S33" s="209"/>
      <c r="T33" s="107"/>
      <c r="U33" s="107"/>
      <c r="V33" s="235"/>
      <c r="W33" s="236"/>
      <c r="X33" s="237"/>
      <c r="Y33" s="110"/>
      <c r="Z33" s="110"/>
    </row>
    <row r="34" spans="1:26" ht="7.5" customHeight="1" x14ac:dyDescent="0.15">
      <c r="A34" s="29"/>
      <c r="B34" s="68"/>
      <c r="C34" s="68"/>
      <c r="D34" s="29"/>
      <c r="E34" s="29"/>
      <c r="F34" s="29"/>
      <c r="G34" s="29"/>
      <c r="H34" s="29"/>
      <c r="I34" s="29"/>
      <c r="J34" s="29"/>
      <c r="K34" s="29"/>
      <c r="L34" s="68"/>
      <c r="M34" s="68"/>
      <c r="N34" s="68"/>
      <c r="O34" s="68"/>
      <c r="P34" s="68"/>
      <c r="Q34" s="68"/>
      <c r="R34" s="68"/>
      <c r="S34" s="68"/>
      <c r="T34" s="68"/>
      <c r="U34" s="68"/>
      <c r="V34" s="68"/>
      <c r="W34" s="68"/>
      <c r="X34" s="68"/>
      <c r="Y34" s="68"/>
      <c r="Z34" s="29"/>
    </row>
    <row r="35" spans="1:26" ht="18" customHeight="1" x14ac:dyDescent="0.15">
      <c r="A35" s="253" t="s">
        <v>63</v>
      </c>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row>
    <row r="36" spans="1:26" ht="18" customHeight="1" x14ac:dyDescent="0.15">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row>
    <row r="37" spans="1:26" ht="18" customHeight="1" x14ac:dyDescent="0.15">
      <c r="A37" s="14"/>
      <c r="B37" s="140" t="s">
        <v>54</v>
      </c>
      <c r="C37" s="141"/>
      <c r="D37" s="141"/>
      <c r="E37" s="141"/>
      <c r="F37" s="142"/>
      <c r="G37" s="30" t="s">
        <v>55</v>
      </c>
      <c r="H37" s="104" t="s">
        <v>56</v>
      </c>
      <c r="I37" s="140" t="s">
        <v>57</v>
      </c>
      <c r="J37" s="141"/>
      <c r="K37" s="142"/>
      <c r="L37" s="67" t="s">
        <v>64</v>
      </c>
      <c r="M37" s="67" t="s">
        <v>65</v>
      </c>
      <c r="N37" s="140" t="s">
        <v>54</v>
      </c>
      <c r="O37" s="141"/>
      <c r="P37" s="141"/>
      <c r="Q37" s="141"/>
      <c r="R37" s="141"/>
      <c r="S37" s="142"/>
      <c r="T37" s="30" t="s">
        <v>55</v>
      </c>
      <c r="U37" s="104" t="s">
        <v>56</v>
      </c>
      <c r="V37" s="140" t="s">
        <v>57</v>
      </c>
      <c r="W37" s="141"/>
      <c r="X37" s="142"/>
      <c r="Y37" s="67" t="s">
        <v>64</v>
      </c>
      <c r="Z37" s="67" t="s">
        <v>65</v>
      </c>
    </row>
    <row r="38" spans="1:26" ht="18" customHeight="1" x14ac:dyDescent="0.15">
      <c r="A38" s="29"/>
      <c r="B38" s="257" t="s">
        <v>160</v>
      </c>
      <c r="C38" s="258"/>
      <c r="D38" s="258"/>
      <c r="E38" s="258"/>
      <c r="F38" s="259"/>
      <c r="G38" s="105">
        <v>1</v>
      </c>
      <c r="H38" s="105" t="s">
        <v>161</v>
      </c>
      <c r="I38" s="247" t="s">
        <v>162</v>
      </c>
      <c r="J38" s="248"/>
      <c r="K38" s="249"/>
      <c r="L38" s="105" t="s">
        <v>161</v>
      </c>
      <c r="M38" s="105" t="s">
        <v>161</v>
      </c>
      <c r="N38" s="226"/>
      <c r="O38" s="227"/>
      <c r="P38" s="227"/>
      <c r="Q38" s="227"/>
      <c r="R38" s="227"/>
      <c r="S38" s="228"/>
      <c r="T38" s="105"/>
      <c r="U38" s="105"/>
      <c r="V38" s="247"/>
      <c r="W38" s="248"/>
      <c r="X38" s="249"/>
      <c r="Y38" s="105"/>
      <c r="Z38" s="105"/>
    </row>
    <row r="39" spans="1:26" ht="18" customHeight="1" x14ac:dyDescent="0.15">
      <c r="A39" s="29"/>
      <c r="B39" s="263" t="s">
        <v>175</v>
      </c>
      <c r="C39" s="264"/>
      <c r="D39" s="264"/>
      <c r="E39" s="264"/>
      <c r="F39" s="265"/>
      <c r="G39" s="126">
        <v>1</v>
      </c>
      <c r="H39" s="126" t="s">
        <v>161</v>
      </c>
      <c r="I39" s="266" t="s">
        <v>176</v>
      </c>
      <c r="J39" s="267"/>
      <c r="K39" s="268"/>
      <c r="L39" s="126" t="s">
        <v>161</v>
      </c>
      <c r="M39" s="106"/>
      <c r="N39" s="220"/>
      <c r="O39" s="221"/>
      <c r="P39" s="221"/>
      <c r="Q39" s="221"/>
      <c r="R39" s="221"/>
      <c r="S39" s="222"/>
      <c r="T39" s="106"/>
      <c r="U39" s="106"/>
      <c r="V39" s="244"/>
      <c r="W39" s="245"/>
      <c r="X39" s="246"/>
      <c r="Y39" s="106"/>
      <c r="Z39" s="106"/>
    </row>
    <row r="40" spans="1:26" ht="18" customHeight="1" x14ac:dyDescent="0.15">
      <c r="A40" s="29"/>
      <c r="B40" s="263" t="s">
        <v>177</v>
      </c>
      <c r="C40" s="264"/>
      <c r="D40" s="264"/>
      <c r="E40" s="264"/>
      <c r="F40" s="265"/>
      <c r="G40" s="126">
        <v>2</v>
      </c>
      <c r="H40" s="126" t="s">
        <v>161</v>
      </c>
      <c r="I40" s="266" t="s">
        <v>176</v>
      </c>
      <c r="J40" s="267"/>
      <c r="K40" s="268"/>
      <c r="L40" s="126" t="s">
        <v>161</v>
      </c>
      <c r="M40" s="106"/>
      <c r="N40" s="220"/>
      <c r="O40" s="221"/>
      <c r="P40" s="221"/>
      <c r="Q40" s="221"/>
      <c r="R40" s="221"/>
      <c r="S40" s="222"/>
      <c r="T40" s="106"/>
      <c r="U40" s="106"/>
      <c r="V40" s="244"/>
      <c r="W40" s="245"/>
      <c r="X40" s="246"/>
      <c r="Y40" s="106"/>
      <c r="Z40" s="106"/>
    </row>
    <row r="41" spans="1:26" ht="18" customHeight="1" x14ac:dyDescent="0.15">
      <c r="A41" s="29"/>
      <c r="B41" s="263"/>
      <c r="C41" s="264"/>
      <c r="D41" s="264"/>
      <c r="E41" s="264"/>
      <c r="F41" s="265"/>
      <c r="G41" s="126"/>
      <c r="H41" s="126"/>
      <c r="I41" s="266"/>
      <c r="J41" s="267"/>
      <c r="K41" s="268"/>
      <c r="L41" s="126"/>
      <c r="M41" s="106"/>
      <c r="N41" s="220"/>
      <c r="O41" s="221"/>
      <c r="P41" s="221"/>
      <c r="Q41" s="221"/>
      <c r="R41" s="221"/>
      <c r="S41" s="222"/>
      <c r="T41" s="106"/>
      <c r="U41" s="106"/>
      <c r="V41" s="244"/>
      <c r="W41" s="245"/>
      <c r="X41" s="246"/>
      <c r="Y41" s="106"/>
      <c r="Z41" s="106"/>
    </row>
    <row r="42" spans="1:26" ht="18" customHeight="1" x14ac:dyDescent="0.15">
      <c r="A42" s="29"/>
      <c r="B42" s="263"/>
      <c r="C42" s="264"/>
      <c r="D42" s="264"/>
      <c r="E42" s="264"/>
      <c r="F42" s="265"/>
      <c r="G42" s="126"/>
      <c r="H42" s="126"/>
      <c r="I42" s="266"/>
      <c r="J42" s="267"/>
      <c r="K42" s="268"/>
      <c r="L42" s="126"/>
      <c r="M42" s="106"/>
      <c r="N42" s="220"/>
      <c r="O42" s="221"/>
      <c r="P42" s="221"/>
      <c r="Q42" s="221"/>
      <c r="R42" s="221"/>
      <c r="S42" s="222"/>
      <c r="T42" s="106"/>
      <c r="U42" s="106"/>
      <c r="V42" s="244"/>
      <c r="W42" s="245"/>
      <c r="X42" s="246"/>
      <c r="Y42" s="106"/>
      <c r="Z42" s="106"/>
    </row>
    <row r="43" spans="1:26" ht="18" customHeight="1" x14ac:dyDescent="0.15">
      <c r="A43" s="29"/>
      <c r="B43" s="269"/>
      <c r="C43" s="270"/>
      <c r="D43" s="270"/>
      <c r="E43" s="270"/>
      <c r="F43" s="271"/>
      <c r="G43" s="126"/>
      <c r="H43" s="126"/>
      <c r="I43" s="266"/>
      <c r="J43" s="267"/>
      <c r="K43" s="268"/>
      <c r="L43" s="126"/>
      <c r="M43" s="106"/>
      <c r="N43" s="220"/>
      <c r="O43" s="221"/>
      <c r="P43" s="221"/>
      <c r="Q43" s="221"/>
      <c r="R43" s="221"/>
      <c r="S43" s="222"/>
      <c r="T43" s="106"/>
      <c r="U43" s="106"/>
      <c r="V43" s="244"/>
      <c r="W43" s="245"/>
      <c r="X43" s="246"/>
      <c r="Y43" s="106"/>
      <c r="Z43" s="106"/>
    </row>
    <row r="44" spans="1:26" ht="18" customHeight="1" x14ac:dyDescent="0.15">
      <c r="A44" s="29"/>
      <c r="B44" s="260"/>
      <c r="C44" s="261"/>
      <c r="D44" s="261"/>
      <c r="E44" s="261"/>
      <c r="F44" s="262"/>
      <c r="G44" s="107"/>
      <c r="H44" s="107"/>
      <c r="I44" s="235"/>
      <c r="J44" s="236"/>
      <c r="K44" s="237"/>
      <c r="L44" s="110"/>
      <c r="M44" s="110"/>
      <c r="N44" s="207"/>
      <c r="O44" s="208"/>
      <c r="P44" s="208"/>
      <c r="Q44" s="208"/>
      <c r="R44" s="208"/>
      <c r="S44" s="209"/>
      <c r="T44" s="107"/>
      <c r="U44" s="107"/>
      <c r="V44" s="235"/>
      <c r="W44" s="236"/>
      <c r="X44" s="237"/>
      <c r="Y44" s="110"/>
      <c r="Z44" s="110"/>
    </row>
    <row r="45" spans="1:26" ht="7.5" customHeight="1" x14ac:dyDescent="0.15">
      <c r="B45" s="69"/>
      <c r="C45" s="69"/>
      <c r="D45" s="69"/>
      <c r="E45" s="69"/>
      <c r="F45" s="69"/>
      <c r="G45" s="69"/>
      <c r="H45" s="69"/>
      <c r="I45" s="69"/>
      <c r="J45" s="69"/>
      <c r="K45" s="69"/>
      <c r="L45" s="69"/>
      <c r="M45" s="69"/>
      <c r="N45" s="69"/>
      <c r="O45" s="69"/>
      <c r="P45" s="69"/>
      <c r="Q45" s="69"/>
      <c r="R45" s="69"/>
      <c r="S45" s="69"/>
      <c r="T45" s="69"/>
      <c r="U45" s="69"/>
      <c r="V45" s="69"/>
      <c r="W45" s="69"/>
      <c r="X45" s="69"/>
      <c r="Y45" s="69"/>
    </row>
    <row r="46" spans="1:26" ht="18" customHeight="1" x14ac:dyDescent="0.15">
      <c r="A46" s="253" t="s">
        <v>66</v>
      </c>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row>
    <row r="47" spans="1:26" ht="18" customHeight="1" x14ac:dyDescent="0.15">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row>
    <row r="48" spans="1:26" ht="18" customHeight="1" x14ac:dyDescent="0.15">
      <c r="A48" s="14"/>
      <c r="B48" s="140" t="s">
        <v>54</v>
      </c>
      <c r="C48" s="141"/>
      <c r="D48" s="141"/>
      <c r="E48" s="141"/>
      <c r="F48" s="142"/>
      <c r="G48" s="30" t="s">
        <v>55</v>
      </c>
      <c r="H48" s="104" t="s">
        <v>56</v>
      </c>
      <c r="I48" s="140" t="s">
        <v>57</v>
      </c>
      <c r="J48" s="141"/>
      <c r="K48" s="142"/>
      <c r="L48" s="67" t="s">
        <v>67</v>
      </c>
      <c r="M48" s="67" t="s">
        <v>68</v>
      </c>
      <c r="N48" s="140" t="s">
        <v>54</v>
      </c>
      <c r="O48" s="141"/>
      <c r="P48" s="141"/>
      <c r="Q48" s="141"/>
      <c r="R48" s="141"/>
      <c r="S48" s="142"/>
      <c r="T48" s="30" t="s">
        <v>55</v>
      </c>
      <c r="U48" s="104" t="s">
        <v>56</v>
      </c>
      <c r="V48" s="140" t="s">
        <v>57</v>
      </c>
      <c r="W48" s="141"/>
      <c r="X48" s="142"/>
      <c r="Y48" s="67" t="s">
        <v>67</v>
      </c>
      <c r="Z48" s="67" t="s">
        <v>68</v>
      </c>
    </row>
    <row r="49" spans="1:26" ht="18" customHeight="1" x14ac:dyDescent="0.15">
      <c r="A49" s="29"/>
      <c r="B49" s="257" t="s">
        <v>160</v>
      </c>
      <c r="C49" s="258"/>
      <c r="D49" s="258"/>
      <c r="E49" s="258"/>
      <c r="F49" s="259"/>
      <c r="G49" s="105">
        <v>1</v>
      </c>
      <c r="H49" s="105" t="s">
        <v>161</v>
      </c>
      <c r="I49" s="247" t="s">
        <v>162</v>
      </c>
      <c r="J49" s="248"/>
      <c r="K49" s="249"/>
      <c r="L49" s="105" t="s">
        <v>161</v>
      </c>
      <c r="M49" s="105" t="s">
        <v>161</v>
      </c>
      <c r="N49" s="226"/>
      <c r="O49" s="227"/>
      <c r="P49" s="227"/>
      <c r="Q49" s="227"/>
      <c r="R49" s="227"/>
      <c r="S49" s="228"/>
      <c r="T49" s="105"/>
      <c r="U49" s="105"/>
      <c r="V49" s="247"/>
      <c r="W49" s="248"/>
      <c r="X49" s="249"/>
      <c r="Y49" s="105"/>
      <c r="Z49" s="105"/>
    </row>
    <row r="50" spans="1:26" ht="18" customHeight="1" x14ac:dyDescent="0.15">
      <c r="A50" s="29"/>
      <c r="B50" s="254" t="s">
        <v>175</v>
      </c>
      <c r="C50" s="255"/>
      <c r="D50" s="255"/>
      <c r="E50" s="255"/>
      <c r="F50" s="256"/>
      <c r="G50" s="106">
        <v>1</v>
      </c>
      <c r="H50" s="106" t="s">
        <v>161</v>
      </c>
      <c r="I50" s="244" t="s">
        <v>176</v>
      </c>
      <c r="J50" s="245"/>
      <c r="K50" s="246"/>
      <c r="L50" s="106" t="s">
        <v>161</v>
      </c>
      <c r="M50" s="106" t="s">
        <v>161</v>
      </c>
      <c r="N50" s="220"/>
      <c r="O50" s="221"/>
      <c r="P50" s="221"/>
      <c r="Q50" s="221"/>
      <c r="R50" s="221"/>
      <c r="S50" s="222"/>
      <c r="T50" s="106"/>
      <c r="U50" s="106"/>
      <c r="V50" s="244"/>
      <c r="W50" s="245"/>
      <c r="X50" s="246"/>
      <c r="Y50" s="106"/>
      <c r="Z50" s="106"/>
    </row>
    <row r="51" spans="1:26" ht="18" customHeight="1" x14ac:dyDescent="0.15">
      <c r="A51" s="29"/>
      <c r="B51" s="254" t="s">
        <v>177</v>
      </c>
      <c r="C51" s="255"/>
      <c r="D51" s="255"/>
      <c r="E51" s="255"/>
      <c r="F51" s="256"/>
      <c r="G51" s="106">
        <v>2</v>
      </c>
      <c r="H51" s="106" t="s">
        <v>161</v>
      </c>
      <c r="I51" s="244" t="s">
        <v>176</v>
      </c>
      <c r="J51" s="245"/>
      <c r="K51" s="246"/>
      <c r="L51" s="106"/>
      <c r="M51" s="106" t="s">
        <v>161</v>
      </c>
      <c r="N51" s="220"/>
      <c r="O51" s="221"/>
      <c r="P51" s="221"/>
      <c r="Q51" s="221"/>
      <c r="R51" s="221"/>
      <c r="S51" s="222"/>
      <c r="T51" s="106"/>
      <c r="U51" s="106"/>
      <c r="V51" s="244"/>
      <c r="W51" s="245"/>
      <c r="X51" s="246"/>
      <c r="Y51" s="106"/>
      <c r="Z51" s="106"/>
    </row>
    <row r="52" spans="1:26" ht="18" customHeight="1" x14ac:dyDescent="0.15">
      <c r="A52" s="29"/>
      <c r="B52" s="254"/>
      <c r="C52" s="255"/>
      <c r="D52" s="255"/>
      <c r="E52" s="255"/>
      <c r="F52" s="256"/>
      <c r="G52" s="106"/>
      <c r="H52" s="106"/>
      <c r="I52" s="244"/>
      <c r="J52" s="245"/>
      <c r="K52" s="246"/>
      <c r="L52" s="106"/>
      <c r="M52" s="106"/>
      <c r="N52" s="220"/>
      <c r="O52" s="221"/>
      <c r="P52" s="221"/>
      <c r="Q52" s="221"/>
      <c r="R52" s="221"/>
      <c r="S52" s="222"/>
      <c r="T52" s="106"/>
      <c r="U52" s="106"/>
      <c r="V52" s="244"/>
      <c r="W52" s="245"/>
      <c r="X52" s="246"/>
      <c r="Y52" s="106"/>
      <c r="Z52" s="106"/>
    </row>
    <row r="53" spans="1:26" ht="18" customHeight="1" x14ac:dyDescent="0.15">
      <c r="A53" s="29"/>
      <c r="B53" s="254"/>
      <c r="C53" s="255"/>
      <c r="D53" s="255"/>
      <c r="E53" s="255"/>
      <c r="F53" s="256"/>
      <c r="G53" s="106"/>
      <c r="H53" s="106"/>
      <c r="I53" s="244"/>
      <c r="J53" s="245"/>
      <c r="K53" s="246"/>
      <c r="L53" s="106"/>
      <c r="M53" s="106"/>
      <c r="N53" s="220"/>
      <c r="O53" s="221"/>
      <c r="P53" s="221"/>
      <c r="Q53" s="221"/>
      <c r="R53" s="221"/>
      <c r="S53" s="222"/>
      <c r="T53" s="106"/>
      <c r="U53" s="106"/>
      <c r="V53" s="244"/>
      <c r="W53" s="245"/>
      <c r="X53" s="246"/>
      <c r="Y53" s="106"/>
      <c r="Z53" s="106"/>
    </row>
    <row r="54" spans="1:26" ht="18" customHeight="1" x14ac:dyDescent="0.15">
      <c r="A54" s="29"/>
      <c r="B54" s="254"/>
      <c r="C54" s="255"/>
      <c r="D54" s="255"/>
      <c r="E54" s="255"/>
      <c r="F54" s="256"/>
      <c r="G54" s="106"/>
      <c r="H54" s="106"/>
      <c r="I54" s="244"/>
      <c r="J54" s="245"/>
      <c r="K54" s="246"/>
      <c r="L54" s="106"/>
      <c r="M54" s="106"/>
      <c r="N54" s="220"/>
      <c r="O54" s="221"/>
      <c r="P54" s="221"/>
      <c r="Q54" s="221"/>
      <c r="R54" s="221"/>
      <c r="S54" s="222"/>
      <c r="T54" s="106"/>
      <c r="U54" s="106"/>
      <c r="V54" s="244"/>
      <c r="W54" s="245"/>
      <c r="X54" s="246"/>
      <c r="Y54" s="106"/>
      <c r="Z54" s="106"/>
    </row>
    <row r="55" spans="1:26" ht="18" customHeight="1" x14ac:dyDescent="0.15">
      <c r="A55" s="29"/>
      <c r="B55" s="250"/>
      <c r="C55" s="251"/>
      <c r="D55" s="251"/>
      <c r="E55" s="251"/>
      <c r="F55" s="252"/>
      <c r="G55" s="107"/>
      <c r="H55" s="107"/>
      <c r="I55" s="235"/>
      <c r="J55" s="236"/>
      <c r="K55" s="237"/>
      <c r="L55" s="110"/>
      <c r="M55" s="110"/>
      <c r="N55" s="207"/>
      <c r="O55" s="208"/>
      <c r="P55" s="208"/>
      <c r="Q55" s="208"/>
      <c r="R55" s="208"/>
      <c r="S55" s="209"/>
      <c r="T55" s="107"/>
      <c r="U55" s="107"/>
      <c r="V55" s="235"/>
      <c r="W55" s="236"/>
      <c r="X55" s="237"/>
      <c r="Y55" s="110"/>
      <c r="Z55" s="110"/>
    </row>
    <row r="56" spans="1:26" ht="7.5" customHeight="1" x14ac:dyDescent="0.15">
      <c r="B56" s="69"/>
      <c r="C56" s="69"/>
      <c r="D56" s="69"/>
      <c r="E56" s="69"/>
      <c r="F56" s="69"/>
      <c r="G56" s="69"/>
      <c r="H56" s="69"/>
      <c r="I56" s="69"/>
      <c r="J56" s="69"/>
      <c r="K56" s="69"/>
      <c r="L56" s="69"/>
      <c r="M56" s="69"/>
      <c r="N56" s="69"/>
      <c r="O56" s="69"/>
      <c r="P56" s="69"/>
      <c r="Q56" s="69"/>
      <c r="R56" s="69"/>
      <c r="S56" s="69"/>
      <c r="T56" s="69"/>
      <c r="U56" s="69"/>
      <c r="V56" s="69"/>
      <c r="W56" s="69"/>
      <c r="X56" s="69"/>
      <c r="Y56" s="69"/>
    </row>
    <row r="57" spans="1:26" ht="18" customHeight="1" x14ac:dyDescent="0.15">
      <c r="A57" s="253" t="s">
        <v>69</v>
      </c>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row>
    <row r="58" spans="1:26" ht="18" customHeight="1" x14ac:dyDescent="0.15">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row>
    <row r="59" spans="1:26" ht="18" customHeight="1" x14ac:dyDescent="0.15">
      <c r="A59" s="14"/>
      <c r="B59" s="140" t="s">
        <v>54</v>
      </c>
      <c r="C59" s="141"/>
      <c r="D59" s="141"/>
      <c r="E59" s="142"/>
      <c r="F59" s="30" t="s">
        <v>55</v>
      </c>
      <c r="G59" s="104" t="s">
        <v>56</v>
      </c>
      <c r="H59" s="99" t="s">
        <v>57</v>
      </c>
      <c r="I59" s="100"/>
      <c r="J59" s="101"/>
      <c r="K59" s="67" t="s">
        <v>70</v>
      </c>
      <c r="L59" s="67" t="s">
        <v>71</v>
      </c>
      <c r="M59" s="67" t="s">
        <v>72</v>
      </c>
      <c r="N59" s="140" t="s">
        <v>54</v>
      </c>
      <c r="O59" s="141"/>
      <c r="P59" s="141"/>
      <c r="Q59" s="141"/>
      <c r="R59" s="142"/>
      <c r="S59" s="30" t="s">
        <v>55</v>
      </c>
      <c r="T59" s="104" t="s">
        <v>56</v>
      </c>
      <c r="U59" s="99" t="s">
        <v>57</v>
      </c>
      <c r="V59" s="100"/>
      <c r="W59" s="101"/>
      <c r="X59" s="67" t="s">
        <v>70</v>
      </c>
      <c r="Y59" s="67" t="s">
        <v>71</v>
      </c>
      <c r="Z59" s="67" t="s">
        <v>72</v>
      </c>
    </row>
    <row r="60" spans="1:26" ht="18" customHeight="1" x14ac:dyDescent="0.15">
      <c r="A60" s="29"/>
      <c r="B60" s="226" t="s">
        <v>160</v>
      </c>
      <c r="C60" s="227"/>
      <c r="D60" s="227"/>
      <c r="E60" s="228"/>
      <c r="F60" s="105">
        <v>1</v>
      </c>
      <c r="G60" s="105" t="s">
        <v>161</v>
      </c>
      <c r="H60" s="247" t="s">
        <v>162</v>
      </c>
      <c r="I60" s="248"/>
      <c r="J60" s="249"/>
      <c r="K60" s="135" t="s">
        <v>164</v>
      </c>
      <c r="L60" s="105" t="s">
        <v>161</v>
      </c>
      <c r="M60" s="105" t="s">
        <v>161</v>
      </c>
      <c r="N60" s="226"/>
      <c r="O60" s="227"/>
      <c r="P60" s="227"/>
      <c r="Q60" s="227"/>
      <c r="R60" s="228"/>
      <c r="S60" s="105"/>
      <c r="T60" s="105"/>
      <c r="U60" s="247"/>
      <c r="V60" s="248"/>
      <c r="W60" s="249"/>
      <c r="X60" s="135"/>
      <c r="Y60" s="105"/>
      <c r="Z60" s="105"/>
    </row>
    <row r="61" spans="1:26" ht="18" customHeight="1" x14ac:dyDescent="0.15">
      <c r="A61" s="29"/>
      <c r="B61" s="241" t="s">
        <v>190</v>
      </c>
      <c r="C61" s="242"/>
      <c r="D61" s="242"/>
      <c r="E61" s="243"/>
      <c r="F61" s="106">
        <v>2</v>
      </c>
      <c r="G61" s="106" t="s">
        <v>161</v>
      </c>
      <c r="H61" s="244" t="s">
        <v>176</v>
      </c>
      <c r="I61" s="245"/>
      <c r="J61" s="246"/>
      <c r="K61" s="106" t="s">
        <v>161</v>
      </c>
      <c r="L61" s="106" t="s">
        <v>161</v>
      </c>
      <c r="M61" s="106" t="s">
        <v>161</v>
      </c>
      <c r="N61" s="220"/>
      <c r="O61" s="221"/>
      <c r="P61" s="221"/>
      <c r="Q61" s="221"/>
      <c r="R61" s="222"/>
      <c r="S61" s="106"/>
      <c r="T61" s="106"/>
      <c r="U61" s="244"/>
      <c r="V61" s="245"/>
      <c r="W61" s="246"/>
      <c r="X61" s="133"/>
      <c r="Y61" s="106"/>
      <c r="Z61" s="106"/>
    </row>
    <row r="62" spans="1:26" ht="18" customHeight="1" x14ac:dyDescent="0.15">
      <c r="A62" s="29"/>
      <c r="B62" s="241"/>
      <c r="C62" s="242"/>
      <c r="D62" s="242"/>
      <c r="E62" s="243"/>
      <c r="F62" s="106"/>
      <c r="G62" s="106"/>
      <c r="H62" s="244"/>
      <c r="I62" s="245"/>
      <c r="J62" s="246"/>
      <c r="K62" s="133"/>
      <c r="L62" s="106"/>
      <c r="M62" s="106"/>
      <c r="N62" s="220"/>
      <c r="O62" s="221"/>
      <c r="P62" s="221"/>
      <c r="Q62" s="221"/>
      <c r="R62" s="222"/>
      <c r="S62" s="106"/>
      <c r="T62" s="106"/>
      <c r="U62" s="244"/>
      <c r="V62" s="245"/>
      <c r="W62" s="246"/>
      <c r="X62" s="133"/>
      <c r="Y62" s="106"/>
      <c r="Z62" s="106"/>
    </row>
    <row r="63" spans="1:26" ht="18" customHeight="1" x14ac:dyDescent="0.15">
      <c r="A63" s="29"/>
      <c r="B63" s="241"/>
      <c r="C63" s="242"/>
      <c r="D63" s="242"/>
      <c r="E63" s="243"/>
      <c r="F63" s="106"/>
      <c r="G63" s="106"/>
      <c r="H63" s="244"/>
      <c r="I63" s="245"/>
      <c r="J63" s="246"/>
      <c r="K63" s="106"/>
      <c r="L63" s="106"/>
      <c r="M63" s="106"/>
      <c r="N63" s="220"/>
      <c r="O63" s="221"/>
      <c r="P63" s="221"/>
      <c r="Q63" s="221"/>
      <c r="R63" s="222"/>
      <c r="S63" s="106"/>
      <c r="T63" s="106"/>
      <c r="U63" s="244"/>
      <c r="V63" s="245"/>
      <c r="W63" s="246"/>
      <c r="X63" s="133"/>
      <c r="Y63" s="106"/>
      <c r="Z63" s="106"/>
    </row>
    <row r="64" spans="1:26" ht="18" customHeight="1" x14ac:dyDescent="0.15">
      <c r="A64" s="29"/>
      <c r="B64" s="241"/>
      <c r="C64" s="242"/>
      <c r="D64" s="242"/>
      <c r="E64" s="243"/>
      <c r="F64" s="106"/>
      <c r="G64" s="106"/>
      <c r="H64" s="244"/>
      <c r="I64" s="245"/>
      <c r="J64" s="246"/>
      <c r="K64" s="106"/>
      <c r="L64" s="106"/>
      <c r="M64" s="106"/>
      <c r="N64" s="220"/>
      <c r="O64" s="221"/>
      <c r="P64" s="221"/>
      <c r="Q64" s="221"/>
      <c r="R64" s="222"/>
      <c r="S64" s="106"/>
      <c r="T64" s="106"/>
      <c r="U64" s="244"/>
      <c r="V64" s="245"/>
      <c r="W64" s="246"/>
      <c r="X64" s="133"/>
      <c r="Y64" s="106"/>
      <c r="Z64" s="106"/>
    </row>
    <row r="65" spans="1:26" ht="18" customHeight="1" x14ac:dyDescent="0.15">
      <c r="A65" s="29"/>
      <c r="B65" s="241"/>
      <c r="C65" s="242"/>
      <c r="D65" s="242"/>
      <c r="E65" s="243"/>
      <c r="F65" s="106"/>
      <c r="G65" s="106"/>
      <c r="H65" s="244"/>
      <c r="I65" s="245"/>
      <c r="J65" s="246"/>
      <c r="K65" s="133"/>
      <c r="L65" s="106"/>
      <c r="M65" s="106"/>
      <c r="N65" s="220"/>
      <c r="O65" s="221"/>
      <c r="P65" s="221"/>
      <c r="Q65" s="221"/>
      <c r="R65" s="222"/>
      <c r="S65" s="106"/>
      <c r="T65" s="106"/>
      <c r="U65" s="244"/>
      <c r="V65" s="245"/>
      <c r="W65" s="246"/>
      <c r="X65" s="133"/>
      <c r="Y65" s="106"/>
      <c r="Z65" s="106"/>
    </row>
    <row r="66" spans="1:26" ht="18" customHeight="1" x14ac:dyDescent="0.15">
      <c r="A66" s="29"/>
      <c r="B66" s="232"/>
      <c r="C66" s="233"/>
      <c r="D66" s="233"/>
      <c r="E66" s="234"/>
      <c r="F66" s="107"/>
      <c r="G66" s="107"/>
      <c r="H66" s="235"/>
      <c r="I66" s="236"/>
      <c r="J66" s="237"/>
      <c r="K66" s="134"/>
      <c r="L66" s="110"/>
      <c r="M66" s="110"/>
      <c r="N66" s="207"/>
      <c r="O66" s="208"/>
      <c r="P66" s="208"/>
      <c r="Q66" s="208"/>
      <c r="R66" s="209"/>
      <c r="S66" s="107"/>
      <c r="T66" s="107"/>
      <c r="U66" s="235"/>
      <c r="V66" s="236"/>
      <c r="W66" s="237"/>
      <c r="X66" s="134"/>
      <c r="Y66" s="110"/>
      <c r="Z66" s="110"/>
    </row>
    <row r="67" spans="1:26" ht="7.5" customHeight="1" x14ac:dyDescent="0.15">
      <c r="B67" s="69"/>
      <c r="C67" s="69"/>
      <c r="D67" s="69"/>
      <c r="E67" s="69"/>
      <c r="F67" s="69"/>
      <c r="G67" s="69"/>
      <c r="H67" s="69"/>
      <c r="I67" s="69"/>
      <c r="J67" s="69"/>
      <c r="K67" s="69"/>
      <c r="L67" s="69"/>
      <c r="M67" s="69"/>
      <c r="N67" s="69"/>
      <c r="O67" s="69"/>
      <c r="P67" s="69"/>
      <c r="Q67" s="69"/>
      <c r="R67" s="69"/>
      <c r="S67" s="69"/>
      <c r="T67" s="69"/>
      <c r="U67" s="69"/>
      <c r="V67" s="69"/>
      <c r="W67" s="69"/>
      <c r="X67" s="69"/>
      <c r="Y67" s="69"/>
    </row>
    <row r="68" spans="1:26" ht="18" customHeight="1" x14ac:dyDescent="0.15">
      <c r="A68" s="14" t="s">
        <v>73</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0" t="s">
        <v>54</v>
      </c>
      <c r="C69" s="141"/>
      <c r="D69" s="141"/>
      <c r="E69" s="141"/>
      <c r="F69" s="142"/>
      <c r="G69" s="140" t="s">
        <v>74</v>
      </c>
      <c r="H69" s="141"/>
      <c r="I69" s="141"/>
      <c r="J69" s="141"/>
      <c r="K69" s="141"/>
      <c r="L69" s="141"/>
      <c r="M69" s="142"/>
      <c r="N69" s="238" t="s">
        <v>54</v>
      </c>
      <c r="O69" s="239"/>
      <c r="P69" s="239"/>
      <c r="Q69" s="239"/>
      <c r="R69" s="239"/>
      <c r="S69" s="240"/>
      <c r="T69" s="140" t="s">
        <v>74</v>
      </c>
      <c r="U69" s="141"/>
      <c r="V69" s="141"/>
      <c r="W69" s="141"/>
      <c r="X69" s="141"/>
      <c r="Y69" s="141"/>
      <c r="Z69" s="142"/>
    </row>
    <row r="70" spans="1:26" ht="18" customHeight="1" x14ac:dyDescent="0.15">
      <c r="A70" s="29"/>
      <c r="B70" s="226" t="s">
        <v>160</v>
      </c>
      <c r="C70" s="227"/>
      <c r="D70" s="227"/>
      <c r="E70" s="227"/>
      <c r="F70" s="228"/>
      <c r="G70" s="229" t="s">
        <v>165</v>
      </c>
      <c r="H70" s="230"/>
      <c r="I70" s="230"/>
      <c r="J70" s="230"/>
      <c r="K70" s="230"/>
      <c r="L70" s="230"/>
      <c r="M70" s="231"/>
      <c r="N70" s="226"/>
      <c r="O70" s="227"/>
      <c r="P70" s="227"/>
      <c r="Q70" s="227"/>
      <c r="R70" s="227"/>
      <c r="S70" s="228"/>
      <c r="T70" s="229"/>
      <c r="U70" s="230"/>
      <c r="V70" s="230"/>
      <c r="W70" s="230"/>
      <c r="X70" s="230"/>
      <c r="Y70" s="230"/>
      <c r="Z70" s="231"/>
    </row>
    <row r="71" spans="1:26" ht="18" customHeight="1" x14ac:dyDescent="0.15">
      <c r="A71" s="29"/>
      <c r="B71" s="220" t="s">
        <v>160</v>
      </c>
      <c r="C71" s="221"/>
      <c r="D71" s="221"/>
      <c r="E71" s="221"/>
      <c r="F71" s="222"/>
      <c r="G71" s="223" t="s">
        <v>166</v>
      </c>
      <c r="H71" s="224"/>
      <c r="I71" s="224"/>
      <c r="J71" s="224"/>
      <c r="K71" s="224"/>
      <c r="L71" s="224"/>
      <c r="M71" s="225"/>
      <c r="N71" s="220"/>
      <c r="O71" s="221"/>
      <c r="P71" s="221"/>
      <c r="Q71" s="221"/>
      <c r="R71" s="221"/>
      <c r="S71" s="222"/>
      <c r="T71" s="223"/>
      <c r="U71" s="224"/>
      <c r="V71" s="224"/>
      <c r="W71" s="224"/>
      <c r="X71" s="224"/>
      <c r="Y71" s="224"/>
      <c r="Z71" s="225"/>
    </row>
    <row r="72" spans="1:26" ht="18" customHeight="1" x14ac:dyDescent="0.15">
      <c r="A72" s="29"/>
      <c r="B72" s="220"/>
      <c r="C72" s="221"/>
      <c r="D72" s="221"/>
      <c r="E72" s="221"/>
      <c r="F72" s="222"/>
      <c r="G72" s="223"/>
      <c r="H72" s="224"/>
      <c r="I72" s="224"/>
      <c r="J72" s="224"/>
      <c r="K72" s="224"/>
      <c r="L72" s="224"/>
      <c r="M72" s="225"/>
      <c r="N72" s="220"/>
      <c r="O72" s="221"/>
      <c r="P72" s="221"/>
      <c r="Q72" s="221"/>
      <c r="R72" s="221"/>
      <c r="S72" s="222"/>
      <c r="T72" s="223"/>
      <c r="U72" s="224"/>
      <c r="V72" s="224"/>
      <c r="W72" s="224"/>
      <c r="X72" s="224"/>
      <c r="Y72" s="224"/>
      <c r="Z72" s="225"/>
    </row>
    <row r="73" spans="1:26" ht="18" customHeight="1" x14ac:dyDescent="0.15">
      <c r="A73" s="29"/>
      <c r="B73" s="220"/>
      <c r="C73" s="221"/>
      <c r="D73" s="221"/>
      <c r="E73" s="221"/>
      <c r="F73" s="222"/>
      <c r="G73" s="223"/>
      <c r="H73" s="224"/>
      <c r="I73" s="224"/>
      <c r="J73" s="224"/>
      <c r="K73" s="224"/>
      <c r="L73" s="224"/>
      <c r="M73" s="225"/>
      <c r="N73" s="220"/>
      <c r="O73" s="221"/>
      <c r="P73" s="221"/>
      <c r="Q73" s="221"/>
      <c r="R73" s="221"/>
      <c r="S73" s="222"/>
      <c r="T73" s="223"/>
      <c r="U73" s="224"/>
      <c r="V73" s="224"/>
      <c r="W73" s="224"/>
      <c r="X73" s="224"/>
      <c r="Y73" s="224"/>
      <c r="Z73" s="225"/>
    </row>
    <row r="74" spans="1:26" ht="18" customHeight="1" x14ac:dyDescent="0.15">
      <c r="A74" s="29"/>
      <c r="B74" s="220"/>
      <c r="C74" s="221"/>
      <c r="D74" s="221"/>
      <c r="E74" s="221"/>
      <c r="F74" s="222"/>
      <c r="G74" s="223"/>
      <c r="H74" s="224"/>
      <c r="I74" s="224"/>
      <c r="J74" s="224"/>
      <c r="K74" s="224"/>
      <c r="L74" s="224"/>
      <c r="M74" s="225"/>
      <c r="N74" s="220"/>
      <c r="O74" s="221"/>
      <c r="P74" s="221"/>
      <c r="Q74" s="221"/>
      <c r="R74" s="221"/>
      <c r="S74" s="222"/>
      <c r="T74" s="223"/>
      <c r="U74" s="224"/>
      <c r="V74" s="224"/>
      <c r="W74" s="224"/>
      <c r="X74" s="224"/>
      <c r="Y74" s="224"/>
      <c r="Z74" s="225"/>
    </row>
    <row r="75" spans="1:26" ht="18" customHeight="1" x14ac:dyDescent="0.15">
      <c r="A75" s="29"/>
      <c r="B75" s="220"/>
      <c r="C75" s="221"/>
      <c r="D75" s="221"/>
      <c r="E75" s="221"/>
      <c r="F75" s="222"/>
      <c r="G75" s="223"/>
      <c r="H75" s="224"/>
      <c r="I75" s="224"/>
      <c r="J75" s="224"/>
      <c r="K75" s="224"/>
      <c r="L75" s="224"/>
      <c r="M75" s="225"/>
      <c r="N75" s="220"/>
      <c r="O75" s="221"/>
      <c r="P75" s="221"/>
      <c r="Q75" s="221"/>
      <c r="R75" s="221"/>
      <c r="S75" s="222"/>
      <c r="T75" s="223"/>
      <c r="U75" s="224"/>
      <c r="V75" s="224"/>
      <c r="W75" s="224"/>
      <c r="X75" s="224"/>
      <c r="Y75" s="224"/>
      <c r="Z75" s="225"/>
    </row>
    <row r="76" spans="1:26" ht="18" customHeight="1" x14ac:dyDescent="0.15">
      <c r="A76" s="29"/>
      <c r="B76" s="207"/>
      <c r="C76" s="208"/>
      <c r="D76" s="208"/>
      <c r="E76" s="208"/>
      <c r="F76" s="209"/>
      <c r="G76" s="210"/>
      <c r="H76" s="211"/>
      <c r="I76" s="211"/>
      <c r="J76" s="211"/>
      <c r="K76" s="211"/>
      <c r="L76" s="211"/>
      <c r="M76" s="212"/>
      <c r="N76" s="207"/>
      <c r="O76" s="208"/>
      <c r="P76" s="208"/>
      <c r="Q76" s="208"/>
      <c r="R76" s="208"/>
      <c r="S76" s="209"/>
      <c r="T76" s="210"/>
      <c r="U76" s="211"/>
      <c r="V76" s="211"/>
      <c r="W76" s="211"/>
      <c r="X76" s="211"/>
      <c r="Y76" s="211"/>
      <c r="Z76" s="212"/>
    </row>
    <row r="77" spans="1:26" ht="18" customHeight="1" x14ac:dyDescent="0.15">
      <c r="A77" s="29"/>
      <c r="B77" s="132"/>
      <c r="C77" s="132"/>
      <c r="D77" s="132"/>
      <c r="E77" s="132"/>
      <c r="F77" s="132"/>
      <c r="G77" s="12"/>
      <c r="H77" s="12"/>
      <c r="I77" s="12"/>
      <c r="J77" s="12"/>
      <c r="K77" s="12"/>
      <c r="L77" s="12"/>
      <c r="M77" s="12"/>
      <c r="N77" s="132"/>
      <c r="O77" s="132"/>
      <c r="P77" s="132"/>
      <c r="Q77" s="132"/>
      <c r="R77" s="132"/>
      <c r="S77" s="132"/>
      <c r="T77" s="12"/>
      <c r="U77" s="12"/>
      <c r="V77" s="12"/>
      <c r="W77" s="12"/>
      <c r="X77" s="12"/>
      <c r="Y77" s="12"/>
      <c r="Z77" s="12"/>
    </row>
    <row r="78" spans="1:26" ht="18.75" customHeight="1" x14ac:dyDescent="0.15">
      <c r="A78" s="13" t="s">
        <v>75</v>
      </c>
    </row>
    <row r="79" spans="1:26" ht="18.75" customHeight="1" x14ac:dyDescent="0.15">
      <c r="B79" s="70" t="s">
        <v>76</v>
      </c>
      <c r="C79" s="71"/>
      <c r="D79" s="213" t="s">
        <v>77</v>
      </c>
      <c r="E79" s="213"/>
      <c r="F79" s="213"/>
      <c r="G79" s="213"/>
      <c r="H79" s="213"/>
      <c r="I79" s="213"/>
      <c r="J79" s="213"/>
      <c r="K79" s="213"/>
      <c r="L79" s="213"/>
      <c r="M79" s="213"/>
      <c r="N79" s="213"/>
      <c r="O79" s="213"/>
      <c r="P79" s="213"/>
      <c r="Q79" s="213"/>
      <c r="R79" s="213"/>
      <c r="S79" s="213"/>
      <c r="T79" s="213"/>
      <c r="U79" s="213"/>
      <c r="V79" s="213"/>
      <c r="W79" s="213"/>
      <c r="X79" s="213"/>
      <c r="Y79" s="213"/>
      <c r="Z79" s="214"/>
    </row>
    <row r="80" spans="1:26" ht="78.75" customHeight="1" x14ac:dyDescent="0.15">
      <c r="B80" s="183" t="s">
        <v>78</v>
      </c>
      <c r="C80" s="77" t="s">
        <v>58</v>
      </c>
      <c r="D80" s="215" t="s">
        <v>235</v>
      </c>
      <c r="E80" s="215"/>
      <c r="F80" s="215"/>
      <c r="G80" s="215"/>
      <c r="H80" s="215"/>
      <c r="I80" s="215"/>
      <c r="J80" s="215"/>
      <c r="K80" s="215"/>
      <c r="L80" s="215"/>
      <c r="M80" s="215"/>
      <c r="N80" s="215"/>
      <c r="O80" s="215"/>
      <c r="P80" s="215"/>
      <c r="Q80" s="215"/>
      <c r="R80" s="215"/>
      <c r="S80" s="215"/>
      <c r="T80" s="215"/>
      <c r="U80" s="215"/>
      <c r="V80" s="215"/>
      <c r="W80" s="215"/>
      <c r="X80" s="215"/>
      <c r="Y80" s="215"/>
      <c r="Z80" s="216"/>
    </row>
    <row r="81" spans="1:26" ht="78.75" customHeight="1" x14ac:dyDescent="0.15">
      <c r="B81" s="189"/>
      <c r="C81" s="102" t="s">
        <v>79</v>
      </c>
      <c r="D81" s="217" t="s">
        <v>191</v>
      </c>
      <c r="E81" s="218"/>
      <c r="F81" s="218"/>
      <c r="G81" s="218"/>
      <c r="H81" s="218"/>
      <c r="I81" s="218"/>
      <c r="J81" s="218"/>
      <c r="K81" s="218"/>
      <c r="L81" s="218"/>
      <c r="M81" s="218"/>
      <c r="N81" s="218"/>
      <c r="O81" s="218"/>
      <c r="P81" s="218"/>
      <c r="Q81" s="218"/>
      <c r="R81" s="218"/>
      <c r="S81" s="218"/>
      <c r="T81" s="218"/>
      <c r="U81" s="218"/>
      <c r="V81" s="218"/>
      <c r="W81" s="218"/>
      <c r="X81" s="218"/>
      <c r="Y81" s="218"/>
      <c r="Z81" s="219"/>
    </row>
    <row r="82" spans="1:26" ht="78.75" customHeight="1" x14ac:dyDescent="0.15">
      <c r="B82" s="198" t="s">
        <v>80</v>
      </c>
      <c r="C82" s="125" t="s">
        <v>61</v>
      </c>
      <c r="D82" s="199" t="s">
        <v>192</v>
      </c>
      <c r="E82" s="200"/>
      <c r="F82" s="200"/>
      <c r="G82" s="200"/>
      <c r="H82" s="200"/>
      <c r="I82" s="200"/>
      <c r="J82" s="200"/>
      <c r="K82" s="200"/>
      <c r="L82" s="200"/>
      <c r="M82" s="200"/>
      <c r="N82" s="200"/>
      <c r="O82" s="200"/>
      <c r="P82" s="200"/>
      <c r="Q82" s="200"/>
      <c r="R82" s="200"/>
      <c r="S82" s="200"/>
      <c r="T82" s="200"/>
      <c r="U82" s="200"/>
      <c r="V82" s="200"/>
      <c r="W82" s="200"/>
      <c r="X82" s="200"/>
      <c r="Y82" s="200"/>
      <c r="Z82" s="201"/>
    </row>
    <row r="83" spans="1:26" ht="78.75" customHeight="1" x14ac:dyDescent="0.15">
      <c r="B83" s="190"/>
      <c r="C83" s="103" t="s">
        <v>62</v>
      </c>
      <c r="D83" s="202" t="s">
        <v>193</v>
      </c>
      <c r="E83" s="203"/>
      <c r="F83" s="203"/>
      <c r="G83" s="203"/>
      <c r="H83" s="203"/>
      <c r="I83" s="203"/>
      <c r="J83" s="203"/>
      <c r="K83" s="203"/>
      <c r="L83" s="203"/>
      <c r="M83" s="203"/>
      <c r="N83" s="203"/>
      <c r="O83" s="203"/>
      <c r="P83" s="203"/>
      <c r="Q83" s="203"/>
      <c r="R83" s="203"/>
      <c r="S83" s="203"/>
      <c r="T83" s="203"/>
      <c r="U83" s="203"/>
      <c r="V83" s="203"/>
      <c r="W83" s="203"/>
      <c r="X83" s="203"/>
      <c r="Y83" s="203"/>
      <c r="Z83" s="204"/>
    </row>
    <row r="84" spans="1:26" ht="82.5" customHeight="1" x14ac:dyDescent="0.15">
      <c r="B84" s="198" t="s">
        <v>173</v>
      </c>
      <c r="C84" s="125" t="s">
        <v>64</v>
      </c>
      <c r="D84" s="199" t="s">
        <v>246</v>
      </c>
      <c r="E84" s="200"/>
      <c r="F84" s="200"/>
      <c r="G84" s="200"/>
      <c r="H84" s="200"/>
      <c r="I84" s="200"/>
      <c r="J84" s="200"/>
      <c r="K84" s="200"/>
      <c r="L84" s="200"/>
      <c r="M84" s="200"/>
      <c r="N84" s="200"/>
      <c r="O84" s="200"/>
      <c r="P84" s="200"/>
      <c r="Q84" s="200"/>
      <c r="R84" s="200"/>
      <c r="S84" s="200"/>
      <c r="T84" s="200"/>
      <c r="U84" s="200"/>
      <c r="V84" s="200"/>
      <c r="W84" s="200"/>
      <c r="X84" s="200"/>
      <c r="Y84" s="200"/>
      <c r="Z84" s="201"/>
    </row>
    <row r="85" spans="1:26" ht="82.5" customHeight="1" x14ac:dyDescent="0.15">
      <c r="B85" s="190"/>
      <c r="C85" s="74" t="s">
        <v>65</v>
      </c>
      <c r="D85" s="205" t="s">
        <v>229</v>
      </c>
      <c r="E85" s="205"/>
      <c r="F85" s="205"/>
      <c r="G85" s="205"/>
      <c r="H85" s="205"/>
      <c r="I85" s="205"/>
      <c r="J85" s="205"/>
      <c r="K85" s="205"/>
      <c r="L85" s="205"/>
      <c r="M85" s="205"/>
      <c r="N85" s="205"/>
      <c r="O85" s="205"/>
      <c r="P85" s="205"/>
      <c r="Q85" s="205"/>
      <c r="R85" s="205"/>
      <c r="S85" s="205"/>
      <c r="T85" s="205"/>
      <c r="U85" s="205"/>
      <c r="V85" s="205"/>
      <c r="W85" s="205"/>
      <c r="X85" s="205"/>
      <c r="Y85" s="205"/>
      <c r="Z85" s="206"/>
    </row>
    <row r="86" spans="1:26" ht="82.5" customHeight="1" x14ac:dyDescent="0.15">
      <c r="B86" s="183" t="s">
        <v>81</v>
      </c>
      <c r="C86" s="77" t="s">
        <v>67</v>
      </c>
      <c r="D86" s="185" t="s">
        <v>236</v>
      </c>
      <c r="E86" s="185"/>
      <c r="F86" s="185"/>
      <c r="G86" s="185"/>
      <c r="H86" s="185"/>
      <c r="I86" s="185"/>
      <c r="J86" s="185"/>
      <c r="K86" s="185"/>
      <c r="L86" s="185"/>
      <c r="M86" s="185"/>
      <c r="N86" s="185"/>
      <c r="O86" s="185"/>
      <c r="P86" s="185"/>
      <c r="Q86" s="185"/>
      <c r="R86" s="185"/>
      <c r="S86" s="185"/>
      <c r="T86" s="185"/>
      <c r="U86" s="185"/>
      <c r="V86" s="185"/>
      <c r="W86" s="185"/>
      <c r="X86" s="185"/>
      <c r="Y86" s="185"/>
      <c r="Z86" s="186"/>
    </row>
    <row r="87" spans="1:26" ht="82.5" customHeight="1" x14ac:dyDescent="0.15">
      <c r="B87" s="184"/>
      <c r="C87" s="73" t="s">
        <v>68</v>
      </c>
      <c r="D87" s="187" t="s">
        <v>237</v>
      </c>
      <c r="E87" s="187"/>
      <c r="F87" s="187"/>
      <c r="G87" s="187"/>
      <c r="H87" s="187"/>
      <c r="I87" s="187"/>
      <c r="J87" s="187"/>
      <c r="K87" s="187"/>
      <c r="L87" s="187"/>
      <c r="M87" s="187"/>
      <c r="N87" s="187"/>
      <c r="O87" s="187"/>
      <c r="P87" s="187"/>
      <c r="Q87" s="187"/>
      <c r="R87" s="187"/>
      <c r="S87" s="187"/>
      <c r="T87" s="187"/>
      <c r="U87" s="187"/>
      <c r="V87" s="187"/>
      <c r="W87" s="187"/>
      <c r="X87" s="187"/>
      <c r="Y87" s="187"/>
      <c r="Z87" s="188"/>
    </row>
    <row r="88" spans="1:26" ht="82.5" customHeight="1" x14ac:dyDescent="0.15">
      <c r="B88" s="183" t="s">
        <v>82</v>
      </c>
      <c r="C88" s="72" t="s">
        <v>70</v>
      </c>
      <c r="D88" s="191" t="s">
        <v>238</v>
      </c>
      <c r="E88" s="191"/>
      <c r="F88" s="191"/>
      <c r="G88" s="191"/>
      <c r="H88" s="191"/>
      <c r="I88" s="191"/>
      <c r="J88" s="191"/>
      <c r="K88" s="191"/>
      <c r="L88" s="191"/>
      <c r="M88" s="191"/>
      <c r="N88" s="191"/>
      <c r="O88" s="191"/>
      <c r="P88" s="191"/>
      <c r="Q88" s="191"/>
      <c r="R88" s="191"/>
      <c r="S88" s="191"/>
      <c r="T88" s="191"/>
      <c r="U88" s="191"/>
      <c r="V88" s="191"/>
      <c r="W88" s="191"/>
      <c r="X88" s="191"/>
      <c r="Y88" s="191"/>
      <c r="Z88" s="192"/>
    </row>
    <row r="89" spans="1:26" ht="82.5" customHeight="1" x14ac:dyDescent="0.15">
      <c r="B89" s="189"/>
      <c r="C89" s="73" t="s">
        <v>71</v>
      </c>
      <c r="D89" s="193" t="s">
        <v>239</v>
      </c>
      <c r="E89" s="194"/>
      <c r="F89" s="194"/>
      <c r="G89" s="194"/>
      <c r="H89" s="194"/>
      <c r="I89" s="194"/>
      <c r="J89" s="194"/>
      <c r="K89" s="194"/>
      <c r="L89" s="194"/>
      <c r="M89" s="194"/>
      <c r="N89" s="194"/>
      <c r="O89" s="194"/>
      <c r="P89" s="194"/>
      <c r="Q89" s="194"/>
      <c r="R89" s="194"/>
      <c r="S89" s="194"/>
      <c r="T89" s="194"/>
      <c r="U89" s="194"/>
      <c r="V89" s="194"/>
      <c r="W89" s="194"/>
      <c r="X89" s="194"/>
      <c r="Y89" s="194"/>
      <c r="Z89" s="195"/>
    </row>
    <row r="90" spans="1:26" ht="82.5" customHeight="1" x14ac:dyDescent="0.15">
      <c r="B90" s="190"/>
      <c r="C90" s="124" t="s">
        <v>72</v>
      </c>
      <c r="D90" s="293" t="s">
        <v>240</v>
      </c>
      <c r="E90" s="293"/>
      <c r="F90" s="293"/>
      <c r="G90" s="293"/>
      <c r="H90" s="293"/>
      <c r="I90" s="293"/>
      <c r="J90" s="293"/>
      <c r="K90" s="293"/>
      <c r="L90" s="293"/>
      <c r="M90" s="293"/>
      <c r="N90" s="293"/>
      <c r="O90" s="293"/>
      <c r="P90" s="293"/>
      <c r="Q90" s="293"/>
      <c r="R90" s="293"/>
      <c r="S90" s="293"/>
      <c r="T90" s="293"/>
      <c r="U90" s="293"/>
      <c r="V90" s="293"/>
      <c r="W90" s="293"/>
      <c r="X90" s="293"/>
      <c r="Y90" s="293"/>
      <c r="Z90" s="197"/>
    </row>
    <row r="91" spans="1:26" ht="6" customHeight="1" x14ac:dyDescent="0.15">
      <c r="D91" s="13" t="s">
        <v>195</v>
      </c>
    </row>
    <row r="92" spans="1:26" ht="18.75" customHeight="1" x14ac:dyDescent="0.15">
      <c r="A92" s="13" t="s">
        <v>83</v>
      </c>
    </row>
    <row r="93" spans="1:26" ht="18.75" customHeight="1" x14ac:dyDescent="0.15">
      <c r="B93" s="171" t="s">
        <v>185</v>
      </c>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3"/>
    </row>
    <row r="94" spans="1:26" ht="18.75" customHeight="1" x14ac:dyDescent="0.15">
      <c r="B94" s="174"/>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6"/>
    </row>
    <row r="95" spans="1:26" ht="18.75" customHeight="1" x14ac:dyDescent="0.15">
      <c r="B95" s="177"/>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9"/>
    </row>
    <row r="96" spans="1:26" ht="6" customHeight="1" x14ac:dyDescent="0.15"/>
    <row r="97" spans="1:32" ht="15" customHeight="1" x14ac:dyDescent="0.15">
      <c r="A97" s="13" t="s">
        <v>84</v>
      </c>
    </row>
    <row r="98" spans="1:32" ht="15" customHeight="1" x14ac:dyDescent="0.15">
      <c r="B98" s="180" t="s">
        <v>245</v>
      </c>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2"/>
    </row>
    <row r="99" spans="1:32" ht="18.75" customHeight="1" x14ac:dyDescent="0.15">
      <c r="AF99" s="139"/>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27:I33 V38:V44 I49:I55 V49:V55 I38:I44 U60:U66 H60:H66">
      <formula1>"全学開講,一部開講"</formula1>
    </dataValidation>
    <dataValidation type="list" allowBlank="1" showInputMessage="1" showErrorMessage="1" sqref="Y16:Z22 L16:M22 Y27:Z33 L27:M33 Y38:Z44 Y49:Z55 Y60:Z66 H16:H22 U16:U22 H27:H33 U27:U33 T60:T66 U38:U44 H38:H44 U49:U55 K63:K64 L60:M66 L49:M55 L38:M44 H49:H55 G60:G66 K61">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9" fitToHeight="0" orientation="landscape" r:id="rId2"/>
  <rowBreaks count="4" manualBreakCount="4">
    <brk id="34" max="25" man="1"/>
    <brk id="67" max="25" man="1"/>
    <brk id="83" max="25" man="1"/>
    <brk id="91"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Z98"/>
  <sheetViews>
    <sheetView showZeros="0" tabSelected="1" view="pageBreakPreview" topLeftCell="A76" zoomScaleNormal="100" zoomScaleSheetLayoutView="100" workbookViewId="0">
      <selection activeCell="J18" sqref="J18"/>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81" t="s">
        <v>217</v>
      </c>
      <c r="X1" s="281"/>
      <c r="Y1" s="281"/>
      <c r="Z1" s="281"/>
    </row>
    <row r="2" spans="1:26" ht="18" customHeight="1" x14ac:dyDescent="0.15">
      <c r="A2" s="282" t="s">
        <v>50</v>
      </c>
      <c r="B2" s="282"/>
      <c r="C2" s="282"/>
      <c r="D2" s="282"/>
      <c r="E2" s="282"/>
      <c r="F2" s="282"/>
      <c r="G2" s="282"/>
      <c r="H2" s="282"/>
      <c r="I2" s="282"/>
      <c r="J2" s="282"/>
      <c r="K2" s="282"/>
      <c r="L2" s="282"/>
      <c r="M2" s="282"/>
      <c r="N2" s="282"/>
      <c r="O2" s="282"/>
      <c r="P2" s="282"/>
      <c r="Q2" s="282"/>
      <c r="R2" s="282"/>
      <c r="S2" s="282"/>
      <c r="T2" s="282"/>
      <c r="U2" s="282"/>
      <c r="V2" s="282"/>
      <c r="W2" s="282"/>
      <c r="X2" s="282"/>
      <c r="Y2" s="282"/>
      <c r="Z2" s="282"/>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51</v>
      </c>
      <c r="B4" s="29"/>
      <c r="C4" s="29"/>
      <c r="D4" s="29"/>
      <c r="E4" s="29"/>
      <c r="F4" s="29"/>
      <c r="G4" s="29"/>
      <c r="H4" s="15" t="s">
        <v>52</v>
      </c>
      <c r="I4" s="29"/>
      <c r="J4" s="29"/>
      <c r="K4" s="29"/>
      <c r="L4" s="29"/>
      <c r="M4" s="29"/>
      <c r="N4" s="29"/>
      <c r="O4" s="140" t="s">
        <v>178</v>
      </c>
      <c r="P4" s="141"/>
      <c r="Q4" s="141"/>
      <c r="R4" s="141"/>
      <c r="S4" s="141"/>
      <c r="T4" s="141"/>
      <c r="U4" s="141"/>
      <c r="V4" s="141"/>
      <c r="W4" s="141"/>
      <c r="X4" s="141"/>
      <c r="Y4" s="141"/>
      <c r="Z4" s="142"/>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94" t="s">
        <v>221</v>
      </c>
      <c r="C6" s="284"/>
      <c r="D6" s="284"/>
      <c r="E6" s="284"/>
      <c r="F6" s="284"/>
      <c r="G6" s="284"/>
      <c r="H6" s="284"/>
      <c r="I6" s="284"/>
      <c r="J6" s="284"/>
      <c r="K6" s="284"/>
      <c r="L6" s="284"/>
      <c r="M6" s="284"/>
      <c r="N6" s="284"/>
      <c r="O6" s="284"/>
      <c r="P6" s="284"/>
      <c r="Q6" s="284"/>
      <c r="R6" s="284"/>
      <c r="S6" s="284"/>
      <c r="T6" s="284"/>
      <c r="U6" s="284"/>
      <c r="V6" s="284"/>
      <c r="W6" s="284"/>
      <c r="X6" s="284"/>
      <c r="Y6" s="284"/>
      <c r="Z6" s="285"/>
    </row>
    <row r="7" spans="1:26" ht="18" customHeight="1" x14ac:dyDescent="0.15">
      <c r="B7" s="286"/>
      <c r="C7" s="287"/>
      <c r="D7" s="287"/>
      <c r="E7" s="287"/>
      <c r="F7" s="287"/>
      <c r="G7" s="287"/>
      <c r="H7" s="287"/>
      <c r="I7" s="287"/>
      <c r="J7" s="287"/>
      <c r="K7" s="287"/>
      <c r="L7" s="287"/>
      <c r="M7" s="287"/>
      <c r="N7" s="287"/>
      <c r="O7" s="287"/>
      <c r="P7" s="287"/>
      <c r="Q7" s="287"/>
      <c r="R7" s="287"/>
      <c r="S7" s="287"/>
      <c r="T7" s="287"/>
      <c r="U7" s="287"/>
      <c r="V7" s="287"/>
      <c r="W7" s="287"/>
      <c r="X7" s="287"/>
      <c r="Y7" s="287"/>
      <c r="Z7" s="288"/>
    </row>
    <row r="8" spans="1:26" ht="18" customHeight="1" x14ac:dyDescent="0.15">
      <c r="B8" s="286"/>
      <c r="C8" s="287"/>
      <c r="D8" s="287"/>
      <c r="E8" s="287"/>
      <c r="F8" s="287"/>
      <c r="G8" s="287"/>
      <c r="H8" s="287"/>
      <c r="I8" s="287"/>
      <c r="J8" s="287"/>
      <c r="K8" s="287"/>
      <c r="L8" s="287"/>
      <c r="M8" s="287"/>
      <c r="N8" s="287"/>
      <c r="O8" s="287"/>
      <c r="P8" s="287"/>
      <c r="Q8" s="287"/>
      <c r="R8" s="287"/>
      <c r="S8" s="287"/>
      <c r="T8" s="287"/>
      <c r="U8" s="287"/>
      <c r="V8" s="287"/>
      <c r="W8" s="287"/>
      <c r="X8" s="287"/>
      <c r="Y8" s="287"/>
      <c r="Z8" s="288"/>
    </row>
    <row r="9" spans="1:26" ht="18" customHeight="1" x14ac:dyDescent="0.15">
      <c r="B9" s="286"/>
      <c r="C9" s="287"/>
      <c r="D9" s="287"/>
      <c r="E9" s="287"/>
      <c r="F9" s="287"/>
      <c r="G9" s="287"/>
      <c r="H9" s="287"/>
      <c r="I9" s="287"/>
      <c r="J9" s="287"/>
      <c r="K9" s="287"/>
      <c r="L9" s="287"/>
      <c r="M9" s="287"/>
      <c r="N9" s="287"/>
      <c r="O9" s="287"/>
      <c r="P9" s="287"/>
      <c r="Q9" s="287"/>
      <c r="R9" s="287"/>
      <c r="S9" s="287"/>
      <c r="T9" s="287"/>
      <c r="U9" s="287"/>
      <c r="V9" s="287"/>
      <c r="W9" s="287"/>
      <c r="X9" s="287"/>
      <c r="Y9" s="287"/>
      <c r="Z9" s="288"/>
    </row>
    <row r="10" spans="1:26" ht="18" customHeight="1" x14ac:dyDescent="0.15">
      <c r="B10" s="286"/>
      <c r="C10" s="289"/>
      <c r="D10" s="289"/>
      <c r="E10" s="289"/>
      <c r="F10" s="289"/>
      <c r="G10" s="289"/>
      <c r="H10" s="289"/>
      <c r="I10" s="289"/>
      <c r="J10" s="289"/>
      <c r="K10" s="289"/>
      <c r="L10" s="289"/>
      <c r="M10" s="289"/>
      <c r="N10" s="289"/>
      <c r="O10" s="289"/>
      <c r="P10" s="289"/>
      <c r="Q10" s="289"/>
      <c r="R10" s="289"/>
      <c r="S10" s="289"/>
      <c r="T10" s="289"/>
      <c r="U10" s="289"/>
      <c r="V10" s="289"/>
      <c r="W10" s="289"/>
      <c r="X10" s="289"/>
      <c r="Y10" s="289"/>
      <c r="Z10" s="288"/>
    </row>
    <row r="11" spans="1:26" ht="18" customHeight="1" x14ac:dyDescent="0.15">
      <c r="B11" s="290"/>
      <c r="C11" s="291"/>
      <c r="D11" s="291"/>
      <c r="E11" s="291"/>
      <c r="F11" s="291"/>
      <c r="G11" s="291"/>
      <c r="H11" s="291"/>
      <c r="I11" s="291"/>
      <c r="J11" s="291"/>
      <c r="K11" s="291"/>
      <c r="L11" s="291"/>
      <c r="M11" s="291"/>
      <c r="N11" s="291"/>
      <c r="O11" s="291"/>
      <c r="P11" s="291"/>
      <c r="Q11" s="291"/>
      <c r="R11" s="291"/>
      <c r="S11" s="291"/>
      <c r="T11" s="291"/>
      <c r="U11" s="291"/>
      <c r="V11" s="291"/>
      <c r="W11" s="291"/>
      <c r="X11" s="291"/>
      <c r="Y11" s="291"/>
      <c r="Z11" s="292"/>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53" t="s">
        <v>53</v>
      </c>
      <c r="B13" s="253"/>
      <c r="C13" s="253"/>
      <c r="D13" s="253"/>
      <c r="E13" s="253"/>
      <c r="F13" s="253"/>
      <c r="G13" s="253"/>
      <c r="H13" s="253"/>
      <c r="I13" s="253"/>
      <c r="J13" s="253"/>
      <c r="K13" s="253"/>
      <c r="L13" s="253"/>
      <c r="M13" s="253"/>
      <c r="N13" s="253"/>
      <c r="O13" s="253"/>
      <c r="P13" s="253"/>
      <c r="Q13" s="253"/>
      <c r="R13" s="253"/>
      <c r="S13" s="253"/>
      <c r="T13" s="253"/>
      <c r="U13" s="253"/>
      <c r="V13" s="253"/>
      <c r="W13" s="253"/>
      <c r="X13" s="253"/>
      <c r="Y13" s="253"/>
      <c r="Z13" s="253"/>
    </row>
    <row r="14" spans="1:26" ht="18" customHeight="1" x14ac:dyDescent="0.15">
      <c r="A14" s="253"/>
      <c r="B14" s="253"/>
      <c r="C14" s="253"/>
      <c r="D14" s="253"/>
      <c r="E14" s="253"/>
      <c r="F14" s="253"/>
      <c r="G14" s="253"/>
      <c r="H14" s="253"/>
      <c r="I14" s="253"/>
      <c r="J14" s="253"/>
      <c r="K14" s="253"/>
      <c r="L14" s="253"/>
      <c r="M14" s="253"/>
      <c r="N14" s="253"/>
      <c r="O14" s="253"/>
      <c r="P14" s="253"/>
      <c r="Q14" s="253"/>
      <c r="R14" s="253"/>
      <c r="S14" s="253"/>
      <c r="T14" s="253"/>
      <c r="U14" s="253"/>
      <c r="V14" s="253"/>
      <c r="W14" s="253"/>
      <c r="X14" s="253"/>
      <c r="Y14" s="253"/>
      <c r="Z14" s="253"/>
    </row>
    <row r="15" spans="1:26" ht="18" customHeight="1" x14ac:dyDescent="0.15">
      <c r="A15" s="14"/>
      <c r="B15" s="140" t="s">
        <v>54</v>
      </c>
      <c r="C15" s="141"/>
      <c r="D15" s="141"/>
      <c r="E15" s="141"/>
      <c r="F15" s="142"/>
      <c r="G15" s="30" t="s">
        <v>55</v>
      </c>
      <c r="H15" s="104" t="s">
        <v>56</v>
      </c>
      <c r="I15" s="141" t="s">
        <v>57</v>
      </c>
      <c r="J15" s="141"/>
      <c r="K15" s="141"/>
      <c r="L15" s="67" t="s">
        <v>58</v>
      </c>
      <c r="M15" s="67" t="s">
        <v>59</v>
      </c>
      <c r="N15" s="140" t="s">
        <v>54</v>
      </c>
      <c r="O15" s="141"/>
      <c r="P15" s="141"/>
      <c r="Q15" s="141"/>
      <c r="R15" s="141"/>
      <c r="S15" s="142"/>
      <c r="T15" s="30" t="s">
        <v>55</v>
      </c>
      <c r="U15" s="104" t="s">
        <v>56</v>
      </c>
      <c r="V15" s="141" t="s">
        <v>57</v>
      </c>
      <c r="W15" s="141"/>
      <c r="X15" s="141"/>
      <c r="Y15" s="67" t="s">
        <v>58</v>
      </c>
      <c r="Z15" s="67" t="s">
        <v>59</v>
      </c>
    </row>
    <row r="16" spans="1:26" ht="18" customHeight="1" x14ac:dyDescent="0.15">
      <c r="A16" s="14"/>
      <c r="B16" s="257" t="s">
        <v>160</v>
      </c>
      <c r="C16" s="258"/>
      <c r="D16" s="258"/>
      <c r="E16" s="258"/>
      <c r="F16" s="259"/>
      <c r="G16" s="105">
        <v>1</v>
      </c>
      <c r="H16" s="105" t="s">
        <v>161</v>
      </c>
      <c r="I16" s="247" t="s">
        <v>162</v>
      </c>
      <c r="J16" s="248"/>
      <c r="K16" s="249"/>
      <c r="L16" s="105" t="s">
        <v>161</v>
      </c>
      <c r="M16" s="105" t="s">
        <v>161</v>
      </c>
      <c r="N16" s="226"/>
      <c r="O16" s="227"/>
      <c r="P16" s="227"/>
      <c r="Q16" s="227"/>
      <c r="R16" s="227"/>
      <c r="S16" s="228"/>
      <c r="T16" s="105"/>
      <c r="U16" s="105"/>
      <c r="V16" s="247"/>
      <c r="W16" s="248"/>
      <c r="X16" s="249"/>
      <c r="Y16" s="105"/>
      <c r="Z16" s="105"/>
    </row>
    <row r="17" spans="1:26" ht="18" customHeight="1" x14ac:dyDescent="0.15">
      <c r="A17" s="14"/>
      <c r="B17" s="275"/>
      <c r="C17" s="276"/>
      <c r="D17" s="276"/>
      <c r="E17" s="276"/>
      <c r="F17" s="277"/>
      <c r="G17" s="123"/>
      <c r="H17" s="123"/>
      <c r="I17" s="278"/>
      <c r="J17" s="279"/>
      <c r="K17" s="280"/>
      <c r="L17" s="123"/>
      <c r="M17" s="123"/>
      <c r="N17" s="220"/>
      <c r="O17" s="221"/>
      <c r="P17" s="221"/>
      <c r="Q17" s="221"/>
      <c r="R17" s="221"/>
      <c r="S17" s="222"/>
      <c r="T17" s="106"/>
      <c r="U17" s="106"/>
      <c r="V17" s="244"/>
      <c r="W17" s="245"/>
      <c r="X17" s="246"/>
      <c r="Y17" s="106"/>
      <c r="Z17" s="106"/>
    </row>
    <row r="18" spans="1:26" ht="18" customHeight="1" x14ac:dyDescent="0.15">
      <c r="A18" s="14"/>
      <c r="B18" s="272"/>
      <c r="C18" s="273"/>
      <c r="D18" s="273"/>
      <c r="E18" s="273"/>
      <c r="F18" s="274"/>
      <c r="G18" s="106"/>
      <c r="H18" s="106"/>
      <c r="I18" s="244"/>
      <c r="J18" s="245"/>
      <c r="K18" s="246"/>
      <c r="L18" s="106"/>
      <c r="M18" s="106"/>
      <c r="N18" s="220"/>
      <c r="O18" s="221"/>
      <c r="P18" s="221"/>
      <c r="Q18" s="221"/>
      <c r="R18" s="221"/>
      <c r="S18" s="222"/>
      <c r="T18" s="106"/>
      <c r="U18" s="106"/>
      <c r="V18" s="244"/>
      <c r="W18" s="245"/>
      <c r="X18" s="246"/>
      <c r="Y18" s="106"/>
      <c r="Z18" s="106"/>
    </row>
    <row r="19" spans="1:26" ht="18" customHeight="1" x14ac:dyDescent="0.15">
      <c r="A19" s="14"/>
      <c r="B19" s="272"/>
      <c r="C19" s="273"/>
      <c r="D19" s="273"/>
      <c r="E19" s="273"/>
      <c r="F19" s="274"/>
      <c r="G19" s="106"/>
      <c r="H19" s="106"/>
      <c r="I19" s="244"/>
      <c r="J19" s="245"/>
      <c r="K19" s="246"/>
      <c r="L19" s="106"/>
      <c r="M19" s="106"/>
      <c r="N19" s="220"/>
      <c r="O19" s="221"/>
      <c r="P19" s="221"/>
      <c r="Q19" s="221"/>
      <c r="R19" s="221"/>
      <c r="S19" s="222"/>
      <c r="T19" s="106"/>
      <c r="U19" s="106"/>
      <c r="V19" s="244"/>
      <c r="W19" s="245"/>
      <c r="X19" s="246"/>
      <c r="Y19" s="106"/>
      <c r="Z19" s="106"/>
    </row>
    <row r="20" spans="1:26" ht="18" customHeight="1" x14ac:dyDescent="0.15">
      <c r="A20" s="14"/>
      <c r="B20" s="272"/>
      <c r="C20" s="273"/>
      <c r="D20" s="273"/>
      <c r="E20" s="273"/>
      <c r="F20" s="274"/>
      <c r="G20" s="106"/>
      <c r="H20" s="106"/>
      <c r="I20" s="244"/>
      <c r="J20" s="245"/>
      <c r="K20" s="246"/>
      <c r="L20" s="106"/>
      <c r="M20" s="106"/>
      <c r="N20" s="220"/>
      <c r="O20" s="221"/>
      <c r="P20" s="221"/>
      <c r="Q20" s="221"/>
      <c r="R20" s="221"/>
      <c r="S20" s="222"/>
      <c r="T20" s="106"/>
      <c r="U20" s="106"/>
      <c r="V20" s="244"/>
      <c r="W20" s="245"/>
      <c r="X20" s="246"/>
      <c r="Y20" s="106"/>
      <c r="Z20" s="106"/>
    </row>
    <row r="21" spans="1:26" ht="18" customHeight="1" x14ac:dyDescent="0.15">
      <c r="A21" s="29"/>
      <c r="B21" s="272"/>
      <c r="C21" s="273"/>
      <c r="D21" s="273"/>
      <c r="E21" s="273"/>
      <c r="F21" s="274"/>
      <c r="G21" s="106"/>
      <c r="H21" s="106"/>
      <c r="I21" s="244"/>
      <c r="J21" s="245"/>
      <c r="K21" s="246"/>
      <c r="L21" s="106"/>
      <c r="M21" s="106"/>
      <c r="N21" s="220"/>
      <c r="O21" s="221"/>
      <c r="P21" s="221"/>
      <c r="Q21" s="221"/>
      <c r="R21" s="221"/>
      <c r="S21" s="222"/>
      <c r="T21" s="106"/>
      <c r="U21" s="106"/>
      <c r="V21" s="244"/>
      <c r="W21" s="245"/>
      <c r="X21" s="246"/>
      <c r="Y21" s="106"/>
      <c r="Z21" s="106"/>
    </row>
    <row r="22" spans="1:26" ht="18" customHeight="1" x14ac:dyDescent="0.15">
      <c r="A22" s="29"/>
      <c r="B22" s="260"/>
      <c r="C22" s="261"/>
      <c r="D22" s="261"/>
      <c r="E22" s="261"/>
      <c r="F22" s="262"/>
      <c r="G22" s="107"/>
      <c r="H22" s="107"/>
      <c r="I22" s="235"/>
      <c r="J22" s="236"/>
      <c r="K22" s="237"/>
      <c r="L22" s="110"/>
      <c r="M22" s="110"/>
      <c r="N22" s="207"/>
      <c r="O22" s="208"/>
      <c r="P22" s="208"/>
      <c r="Q22" s="208"/>
      <c r="R22" s="208"/>
      <c r="S22" s="209"/>
      <c r="T22" s="107"/>
      <c r="U22" s="107"/>
      <c r="V22" s="235"/>
      <c r="W22" s="236"/>
      <c r="X22" s="237"/>
      <c r="Y22" s="110"/>
      <c r="Z22" s="110"/>
    </row>
    <row r="23" spans="1:26" ht="7.5" customHeight="1" x14ac:dyDescent="0.15">
      <c r="A23" s="29"/>
      <c r="B23" s="68"/>
      <c r="C23" s="68"/>
      <c r="D23" s="29"/>
      <c r="E23" s="29"/>
      <c r="F23" s="29"/>
      <c r="G23" s="29"/>
      <c r="H23" s="29"/>
      <c r="I23" s="29"/>
      <c r="J23" s="29"/>
      <c r="K23" s="29"/>
      <c r="L23" s="68"/>
      <c r="M23" s="68"/>
      <c r="N23" s="68"/>
      <c r="O23" s="68"/>
      <c r="P23" s="68"/>
      <c r="Q23" s="68"/>
      <c r="R23" s="68"/>
      <c r="S23" s="68"/>
      <c r="T23" s="68"/>
      <c r="U23" s="68"/>
      <c r="V23" s="68"/>
      <c r="W23" s="68"/>
      <c r="X23" s="68"/>
      <c r="Y23" s="68"/>
      <c r="Z23" s="29"/>
    </row>
    <row r="24" spans="1:26" ht="18" customHeight="1" x14ac:dyDescent="0.15">
      <c r="A24" s="253" t="s">
        <v>60</v>
      </c>
      <c r="B24" s="253"/>
      <c r="C24" s="253"/>
      <c r="D24" s="253"/>
      <c r="E24" s="253"/>
      <c r="F24" s="253"/>
      <c r="G24" s="253"/>
      <c r="H24" s="253"/>
      <c r="I24" s="253"/>
      <c r="J24" s="253"/>
      <c r="K24" s="253"/>
      <c r="L24" s="253"/>
      <c r="M24" s="253"/>
      <c r="N24" s="253"/>
      <c r="O24" s="253"/>
      <c r="P24" s="253"/>
      <c r="Q24" s="253"/>
      <c r="R24" s="253"/>
      <c r="S24" s="253"/>
      <c r="T24" s="253"/>
      <c r="U24" s="253"/>
      <c r="V24" s="253"/>
      <c r="W24" s="253"/>
      <c r="X24" s="253"/>
      <c r="Y24" s="253"/>
      <c r="Z24" s="253"/>
    </row>
    <row r="25" spans="1:26" ht="18" customHeight="1" x14ac:dyDescent="0.15">
      <c r="A25" s="253"/>
      <c r="B25" s="253"/>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row>
    <row r="26" spans="1:26" ht="18" customHeight="1" x14ac:dyDescent="0.15">
      <c r="A26" s="14"/>
      <c r="B26" s="140" t="s">
        <v>54</v>
      </c>
      <c r="C26" s="141"/>
      <c r="D26" s="141"/>
      <c r="E26" s="141"/>
      <c r="F26" s="142"/>
      <c r="G26" s="30" t="s">
        <v>55</v>
      </c>
      <c r="H26" s="104" t="s">
        <v>56</v>
      </c>
      <c r="I26" s="141" t="s">
        <v>57</v>
      </c>
      <c r="J26" s="141"/>
      <c r="K26" s="141"/>
      <c r="L26" s="67" t="s">
        <v>61</v>
      </c>
      <c r="M26" s="67" t="s">
        <v>62</v>
      </c>
      <c r="N26" s="140" t="s">
        <v>54</v>
      </c>
      <c r="O26" s="141"/>
      <c r="P26" s="141"/>
      <c r="Q26" s="141"/>
      <c r="R26" s="141"/>
      <c r="S26" s="142"/>
      <c r="T26" s="30" t="s">
        <v>55</v>
      </c>
      <c r="U26" s="104" t="s">
        <v>56</v>
      </c>
      <c r="V26" s="141" t="s">
        <v>57</v>
      </c>
      <c r="W26" s="141"/>
      <c r="X26" s="141"/>
      <c r="Y26" s="67" t="s">
        <v>61</v>
      </c>
      <c r="Z26" s="67" t="s">
        <v>62</v>
      </c>
    </row>
    <row r="27" spans="1:26" ht="18" customHeight="1" x14ac:dyDescent="0.15">
      <c r="A27" s="14"/>
      <c r="B27" s="257" t="s">
        <v>160</v>
      </c>
      <c r="C27" s="258"/>
      <c r="D27" s="258"/>
      <c r="E27" s="258"/>
      <c r="F27" s="259"/>
      <c r="G27" s="105">
        <v>1</v>
      </c>
      <c r="H27" s="105" t="s">
        <v>161</v>
      </c>
      <c r="I27" s="247" t="s">
        <v>162</v>
      </c>
      <c r="J27" s="248"/>
      <c r="K27" s="249"/>
      <c r="L27" s="105" t="s">
        <v>161</v>
      </c>
      <c r="M27" s="105" t="s">
        <v>161</v>
      </c>
      <c r="N27" s="226"/>
      <c r="O27" s="227"/>
      <c r="P27" s="227"/>
      <c r="Q27" s="227"/>
      <c r="R27" s="227"/>
      <c r="S27" s="228"/>
      <c r="T27" s="105"/>
      <c r="U27" s="105"/>
      <c r="V27" s="247"/>
      <c r="W27" s="248"/>
      <c r="X27" s="249"/>
      <c r="Y27" s="105"/>
      <c r="Z27" s="105"/>
    </row>
    <row r="28" spans="1:26" ht="18" customHeight="1" x14ac:dyDescent="0.15">
      <c r="A28" s="14"/>
      <c r="B28" s="263"/>
      <c r="C28" s="264"/>
      <c r="D28" s="264"/>
      <c r="E28" s="264"/>
      <c r="F28" s="265"/>
      <c r="G28" s="126"/>
      <c r="H28" s="126"/>
      <c r="I28" s="266"/>
      <c r="J28" s="267"/>
      <c r="K28" s="268"/>
      <c r="L28" s="126"/>
      <c r="M28" s="126"/>
      <c r="N28" s="220"/>
      <c r="O28" s="221"/>
      <c r="P28" s="221"/>
      <c r="Q28" s="221"/>
      <c r="R28" s="221"/>
      <c r="S28" s="222"/>
      <c r="T28" s="106"/>
      <c r="U28" s="106"/>
      <c r="V28" s="244"/>
      <c r="W28" s="245"/>
      <c r="X28" s="246"/>
      <c r="Y28" s="106"/>
      <c r="Z28" s="106"/>
    </row>
    <row r="29" spans="1:26" ht="18" customHeight="1" x14ac:dyDescent="0.15">
      <c r="A29" s="14"/>
      <c r="B29" s="272"/>
      <c r="C29" s="273"/>
      <c r="D29" s="273"/>
      <c r="E29" s="273"/>
      <c r="F29" s="274"/>
      <c r="G29" s="106"/>
      <c r="H29" s="106"/>
      <c r="I29" s="244"/>
      <c r="J29" s="245"/>
      <c r="K29" s="246"/>
      <c r="L29" s="106"/>
      <c r="M29" s="106"/>
      <c r="N29" s="220"/>
      <c r="O29" s="221"/>
      <c r="P29" s="221"/>
      <c r="Q29" s="221"/>
      <c r="R29" s="221"/>
      <c r="S29" s="222"/>
      <c r="T29" s="106"/>
      <c r="U29" s="106"/>
      <c r="V29" s="244"/>
      <c r="W29" s="245"/>
      <c r="X29" s="246"/>
      <c r="Y29" s="106"/>
      <c r="Z29" s="106"/>
    </row>
    <row r="30" spans="1:26" ht="18" customHeight="1" x14ac:dyDescent="0.15">
      <c r="A30" s="14"/>
      <c r="B30" s="272"/>
      <c r="C30" s="273"/>
      <c r="D30" s="273"/>
      <c r="E30" s="273"/>
      <c r="F30" s="274"/>
      <c r="G30" s="106"/>
      <c r="H30" s="106"/>
      <c r="I30" s="244"/>
      <c r="J30" s="245"/>
      <c r="K30" s="246"/>
      <c r="L30" s="106"/>
      <c r="M30" s="106"/>
      <c r="N30" s="220"/>
      <c r="O30" s="221"/>
      <c r="P30" s="221"/>
      <c r="Q30" s="221"/>
      <c r="R30" s="221"/>
      <c r="S30" s="222"/>
      <c r="T30" s="106"/>
      <c r="U30" s="106"/>
      <c r="V30" s="244"/>
      <c r="W30" s="245"/>
      <c r="X30" s="246"/>
      <c r="Y30" s="106"/>
      <c r="Z30" s="106"/>
    </row>
    <row r="31" spans="1:26" ht="18" customHeight="1" x14ac:dyDescent="0.15">
      <c r="A31" s="14"/>
      <c r="B31" s="272"/>
      <c r="C31" s="273"/>
      <c r="D31" s="273"/>
      <c r="E31" s="273"/>
      <c r="F31" s="274"/>
      <c r="G31" s="106"/>
      <c r="H31" s="106"/>
      <c r="I31" s="244"/>
      <c r="J31" s="245"/>
      <c r="K31" s="246"/>
      <c r="L31" s="106"/>
      <c r="M31" s="106"/>
      <c r="N31" s="220"/>
      <c r="O31" s="221"/>
      <c r="P31" s="221"/>
      <c r="Q31" s="221"/>
      <c r="R31" s="221"/>
      <c r="S31" s="222"/>
      <c r="T31" s="106"/>
      <c r="U31" s="106"/>
      <c r="V31" s="244"/>
      <c r="W31" s="245"/>
      <c r="X31" s="246"/>
      <c r="Y31" s="106"/>
      <c r="Z31" s="106"/>
    </row>
    <row r="32" spans="1:26" ht="18" customHeight="1" x14ac:dyDescent="0.15">
      <c r="A32" s="14"/>
      <c r="B32" s="272"/>
      <c r="C32" s="273"/>
      <c r="D32" s="273"/>
      <c r="E32" s="273"/>
      <c r="F32" s="274"/>
      <c r="G32" s="106"/>
      <c r="H32" s="106"/>
      <c r="I32" s="244"/>
      <c r="J32" s="245"/>
      <c r="K32" s="246"/>
      <c r="L32" s="106"/>
      <c r="M32" s="106"/>
      <c r="N32" s="220"/>
      <c r="O32" s="221"/>
      <c r="P32" s="221"/>
      <c r="Q32" s="221"/>
      <c r="R32" s="221"/>
      <c r="S32" s="222"/>
      <c r="T32" s="106"/>
      <c r="U32" s="106"/>
      <c r="V32" s="244"/>
      <c r="W32" s="245"/>
      <c r="X32" s="246"/>
      <c r="Y32" s="106"/>
      <c r="Z32" s="106"/>
    </row>
    <row r="33" spans="1:26" ht="18" customHeight="1" x14ac:dyDescent="0.15">
      <c r="A33" s="14"/>
      <c r="B33" s="260"/>
      <c r="C33" s="261"/>
      <c r="D33" s="261"/>
      <c r="E33" s="261"/>
      <c r="F33" s="262"/>
      <c r="G33" s="107"/>
      <c r="H33" s="107"/>
      <c r="I33" s="235"/>
      <c r="J33" s="236"/>
      <c r="K33" s="237"/>
      <c r="L33" s="110"/>
      <c r="M33" s="110"/>
      <c r="N33" s="207"/>
      <c r="O33" s="208"/>
      <c r="P33" s="208"/>
      <c r="Q33" s="208"/>
      <c r="R33" s="208"/>
      <c r="S33" s="209"/>
      <c r="T33" s="107"/>
      <c r="U33" s="107"/>
      <c r="V33" s="235"/>
      <c r="W33" s="236"/>
      <c r="X33" s="237"/>
      <c r="Y33" s="110"/>
      <c r="Z33" s="110"/>
    </row>
    <row r="34" spans="1:26" ht="7.5" customHeight="1" x14ac:dyDescent="0.15">
      <c r="A34" s="29"/>
      <c r="B34" s="68"/>
      <c r="C34" s="68"/>
      <c r="D34" s="29"/>
      <c r="E34" s="29"/>
      <c r="F34" s="29"/>
      <c r="G34" s="29"/>
      <c r="H34" s="29"/>
      <c r="I34" s="29"/>
      <c r="J34" s="29"/>
      <c r="K34" s="29"/>
      <c r="L34" s="68"/>
      <c r="M34" s="68"/>
      <c r="N34" s="68"/>
      <c r="O34" s="68"/>
      <c r="P34" s="68"/>
      <c r="Q34" s="68"/>
      <c r="R34" s="68"/>
      <c r="S34" s="68"/>
      <c r="T34" s="68"/>
      <c r="U34" s="68"/>
      <c r="V34" s="68"/>
      <c r="W34" s="68"/>
      <c r="X34" s="68"/>
      <c r="Y34" s="68"/>
      <c r="Z34" s="29"/>
    </row>
    <row r="35" spans="1:26" ht="18" customHeight="1" x14ac:dyDescent="0.15">
      <c r="A35" s="253" t="s">
        <v>63</v>
      </c>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row>
    <row r="36" spans="1:26" ht="18" customHeight="1" x14ac:dyDescent="0.15">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row>
    <row r="37" spans="1:26" ht="18" customHeight="1" x14ac:dyDescent="0.15">
      <c r="A37" s="14"/>
      <c r="B37" s="140" t="s">
        <v>54</v>
      </c>
      <c r="C37" s="141"/>
      <c r="D37" s="141"/>
      <c r="E37" s="141"/>
      <c r="F37" s="142"/>
      <c r="G37" s="30" t="s">
        <v>55</v>
      </c>
      <c r="H37" s="104" t="s">
        <v>56</v>
      </c>
      <c r="I37" s="140" t="s">
        <v>57</v>
      </c>
      <c r="J37" s="141"/>
      <c r="K37" s="142"/>
      <c r="L37" s="67" t="s">
        <v>64</v>
      </c>
      <c r="M37" s="67" t="s">
        <v>65</v>
      </c>
      <c r="N37" s="140" t="s">
        <v>54</v>
      </c>
      <c r="O37" s="141"/>
      <c r="P37" s="141"/>
      <c r="Q37" s="141"/>
      <c r="R37" s="141"/>
      <c r="S37" s="142"/>
      <c r="T37" s="30" t="s">
        <v>55</v>
      </c>
      <c r="U37" s="104" t="s">
        <v>56</v>
      </c>
      <c r="V37" s="140" t="s">
        <v>57</v>
      </c>
      <c r="W37" s="141"/>
      <c r="X37" s="142"/>
      <c r="Y37" s="67" t="s">
        <v>64</v>
      </c>
      <c r="Z37" s="67" t="s">
        <v>65</v>
      </c>
    </row>
    <row r="38" spans="1:26" ht="18" customHeight="1" x14ac:dyDescent="0.15">
      <c r="A38" s="29"/>
      <c r="B38" s="257" t="s">
        <v>163</v>
      </c>
      <c r="C38" s="258"/>
      <c r="D38" s="258"/>
      <c r="E38" s="258"/>
      <c r="F38" s="259"/>
      <c r="G38" s="105">
        <v>1</v>
      </c>
      <c r="H38" s="105" t="s">
        <v>161</v>
      </c>
      <c r="I38" s="247" t="s">
        <v>162</v>
      </c>
      <c r="J38" s="248"/>
      <c r="K38" s="249"/>
      <c r="L38" s="105" t="s">
        <v>161</v>
      </c>
      <c r="M38" s="105" t="s">
        <v>161</v>
      </c>
      <c r="N38" s="226"/>
      <c r="O38" s="227"/>
      <c r="P38" s="227"/>
      <c r="Q38" s="227"/>
      <c r="R38" s="227"/>
      <c r="S38" s="228"/>
      <c r="T38" s="105"/>
      <c r="U38" s="105"/>
      <c r="V38" s="247"/>
      <c r="W38" s="248"/>
      <c r="X38" s="249"/>
      <c r="Y38" s="105"/>
      <c r="Z38" s="105"/>
    </row>
    <row r="39" spans="1:26" ht="18" customHeight="1" x14ac:dyDescent="0.15">
      <c r="A39" s="29"/>
      <c r="B39" s="263"/>
      <c r="C39" s="264"/>
      <c r="D39" s="264"/>
      <c r="E39" s="264"/>
      <c r="F39" s="265"/>
      <c r="G39" s="126"/>
      <c r="H39" s="126"/>
      <c r="I39" s="266"/>
      <c r="J39" s="267"/>
      <c r="K39" s="268"/>
      <c r="L39" s="126"/>
      <c r="M39" s="126"/>
      <c r="N39" s="220"/>
      <c r="O39" s="221"/>
      <c r="P39" s="221"/>
      <c r="Q39" s="221"/>
      <c r="R39" s="221"/>
      <c r="S39" s="222"/>
      <c r="T39" s="106"/>
      <c r="U39" s="106"/>
      <c r="V39" s="244"/>
      <c r="W39" s="245"/>
      <c r="X39" s="246"/>
      <c r="Y39" s="106"/>
      <c r="Z39" s="106"/>
    </row>
    <row r="40" spans="1:26" ht="18" customHeight="1" x14ac:dyDescent="0.15">
      <c r="A40" s="29"/>
      <c r="B40" s="263"/>
      <c r="C40" s="264"/>
      <c r="D40" s="264"/>
      <c r="E40" s="264"/>
      <c r="F40" s="265"/>
      <c r="G40" s="126"/>
      <c r="H40" s="126"/>
      <c r="I40" s="266"/>
      <c r="J40" s="267"/>
      <c r="K40" s="268"/>
      <c r="L40" s="126"/>
      <c r="M40" s="126"/>
      <c r="N40" s="220"/>
      <c r="O40" s="221"/>
      <c r="P40" s="221"/>
      <c r="Q40" s="221"/>
      <c r="R40" s="221"/>
      <c r="S40" s="222"/>
      <c r="T40" s="106"/>
      <c r="U40" s="106"/>
      <c r="V40" s="244"/>
      <c r="W40" s="245"/>
      <c r="X40" s="246"/>
      <c r="Y40" s="106"/>
      <c r="Z40" s="106"/>
    </row>
    <row r="41" spans="1:26" ht="18" customHeight="1" x14ac:dyDescent="0.15">
      <c r="A41" s="29"/>
      <c r="B41" s="263"/>
      <c r="C41" s="264"/>
      <c r="D41" s="264"/>
      <c r="E41" s="264"/>
      <c r="F41" s="265"/>
      <c r="G41" s="126"/>
      <c r="H41" s="126"/>
      <c r="I41" s="266"/>
      <c r="J41" s="267"/>
      <c r="K41" s="268"/>
      <c r="L41" s="126"/>
      <c r="M41" s="106"/>
      <c r="N41" s="220"/>
      <c r="O41" s="221"/>
      <c r="P41" s="221"/>
      <c r="Q41" s="221"/>
      <c r="R41" s="221"/>
      <c r="S41" s="222"/>
      <c r="T41" s="106"/>
      <c r="U41" s="106"/>
      <c r="V41" s="244"/>
      <c r="W41" s="245"/>
      <c r="X41" s="246"/>
      <c r="Y41" s="106"/>
      <c r="Z41" s="106"/>
    </row>
    <row r="42" spans="1:26" ht="18" customHeight="1" x14ac:dyDescent="0.15">
      <c r="A42" s="29"/>
      <c r="B42" s="263"/>
      <c r="C42" s="264"/>
      <c r="D42" s="264"/>
      <c r="E42" s="264"/>
      <c r="F42" s="265"/>
      <c r="G42" s="126"/>
      <c r="H42" s="126"/>
      <c r="I42" s="266"/>
      <c r="J42" s="267"/>
      <c r="K42" s="268"/>
      <c r="L42" s="126"/>
      <c r="M42" s="106"/>
      <c r="N42" s="220"/>
      <c r="O42" s="221"/>
      <c r="P42" s="221"/>
      <c r="Q42" s="221"/>
      <c r="R42" s="221"/>
      <c r="S42" s="222"/>
      <c r="T42" s="106"/>
      <c r="U42" s="106"/>
      <c r="V42" s="244"/>
      <c r="W42" s="245"/>
      <c r="X42" s="246"/>
      <c r="Y42" s="106"/>
      <c r="Z42" s="106"/>
    </row>
    <row r="43" spans="1:26" ht="18" customHeight="1" x14ac:dyDescent="0.15">
      <c r="A43" s="29"/>
      <c r="B43" s="269"/>
      <c r="C43" s="270"/>
      <c r="D43" s="270"/>
      <c r="E43" s="270"/>
      <c r="F43" s="271"/>
      <c r="G43" s="126"/>
      <c r="H43" s="126"/>
      <c r="I43" s="266"/>
      <c r="J43" s="267"/>
      <c r="K43" s="268"/>
      <c r="L43" s="126"/>
      <c r="M43" s="106"/>
      <c r="N43" s="220"/>
      <c r="O43" s="221"/>
      <c r="P43" s="221"/>
      <c r="Q43" s="221"/>
      <c r="R43" s="221"/>
      <c r="S43" s="222"/>
      <c r="T43" s="106"/>
      <c r="U43" s="106"/>
      <c r="V43" s="244"/>
      <c r="W43" s="245"/>
      <c r="X43" s="246"/>
      <c r="Y43" s="106"/>
      <c r="Z43" s="106"/>
    </row>
    <row r="44" spans="1:26" ht="18" customHeight="1" x14ac:dyDescent="0.15">
      <c r="A44" s="29"/>
      <c r="B44" s="260"/>
      <c r="C44" s="261"/>
      <c r="D44" s="261"/>
      <c r="E44" s="261"/>
      <c r="F44" s="262"/>
      <c r="G44" s="107"/>
      <c r="H44" s="107"/>
      <c r="I44" s="235"/>
      <c r="J44" s="236"/>
      <c r="K44" s="237"/>
      <c r="L44" s="110"/>
      <c r="M44" s="110"/>
      <c r="N44" s="207"/>
      <c r="O44" s="208"/>
      <c r="P44" s="208"/>
      <c r="Q44" s="208"/>
      <c r="R44" s="208"/>
      <c r="S44" s="209"/>
      <c r="T44" s="107"/>
      <c r="U44" s="107"/>
      <c r="V44" s="235"/>
      <c r="W44" s="236"/>
      <c r="X44" s="237"/>
      <c r="Y44" s="110"/>
      <c r="Z44" s="110"/>
    </row>
    <row r="45" spans="1:26" ht="7.5" customHeight="1" x14ac:dyDescent="0.15">
      <c r="B45" s="69"/>
      <c r="C45" s="69"/>
      <c r="D45" s="69"/>
      <c r="E45" s="69"/>
      <c r="F45" s="69"/>
      <c r="G45" s="69"/>
      <c r="H45" s="69"/>
      <c r="I45" s="69"/>
      <c r="J45" s="69"/>
      <c r="K45" s="69"/>
      <c r="L45" s="69"/>
      <c r="M45" s="69"/>
      <c r="N45" s="69"/>
      <c r="O45" s="69"/>
      <c r="P45" s="69"/>
      <c r="Q45" s="69"/>
      <c r="R45" s="69"/>
      <c r="S45" s="69"/>
      <c r="T45" s="69"/>
      <c r="U45" s="69"/>
      <c r="V45" s="69"/>
      <c r="W45" s="69"/>
      <c r="X45" s="69"/>
      <c r="Y45" s="69"/>
    </row>
    <row r="46" spans="1:26" ht="18" customHeight="1" x14ac:dyDescent="0.15">
      <c r="A46" s="253" t="s">
        <v>66</v>
      </c>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row>
    <row r="47" spans="1:26" ht="18" customHeight="1" x14ac:dyDescent="0.15">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row>
    <row r="48" spans="1:26" ht="18" customHeight="1" x14ac:dyDescent="0.15">
      <c r="A48" s="14"/>
      <c r="B48" s="140" t="s">
        <v>54</v>
      </c>
      <c r="C48" s="141"/>
      <c r="D48" s="141"/>
      <c r="E48" s="141"/>
      <c r="F48" s="142"/>
      <c r="G48" s="30" t="s">
        <v>55</v>
      </c>
      <c r="H48" s="104" t="s">
        <v>56</v>
      </c>
      <c r="I48" s="140" t="s">
        <v>57</v>
      </c>
      <c r="J48" s="141"/>
      <c r="K48" s="142"/>
      <c r="L48" s="67" t="s">
        <v>67</v>
      </c>
      <c r="M48" s="67" t="s">
        <v>68</v>
      </c>
      <c r="N48" s="140" t="s">
        <v>54</v>
      </c>
      <c r="O48" s="141"/>
      <c r="P48" s="141"/>
      <c r="Q48" s="141"/>
      <c r="R48" s="141"/>
      <c r="S48" s="142"/>
      <c r="T48" s="30" t="s">
        <v>55</v>
      </c>
      <c r="U48" s="104" t="s">
        <v>56</v>
      </c>
      <c r="V48" s="140" t="s">
        <v>57</v>
      </c>
      <c r="W48" s="141"/>
      <c r="X48" s="142"/>
      <c r="Y48" s="67" t="s">
        <v>67</v>
      </c>
      <c r="Z48" s="67" t="s">
        <v>68</v>
      </c>
    </row>
    <row r="49" spans="1:26" ht="18" customHeight="1" x14ac:dyDescent="0.15">
      <c r="A49" s="29"/>
      <c r="B49" s="257" t="s">
        <v>160</v>
      </c>
      <c r="C49" s="258"/>
      <c r="D49" s="258"/>
      <c r="E49" s="258"/>
      <c r="F49" s="259"/>
      <c r="G49" s="105">
        <v>1</v>
      </c>
      <c r="H49" s="105" t="s">
        <v>161</v>
      </c>
      <c r="I49" s="247" t="s">
        <v>162</v>
      </c>
      <c r="J49" s="248"/>
      <c r="K49" s="249"/>
      <c r="L49" s="105" t="s">
        <v>161</v>
      </c>
      <c r="M49" s="105" t="s">
        <v>161</v>
      </c>
      <c r="N49" s="226"/>
      <c r="O49" s="227"/>
      <c r="P49" s="227"/>
      <c r="Q49" s="227"/>
      <c r="R49" s="227"/>
      <c r="S49" s="228"/>
      <c r="T49" s="105"/>
      <c r="U49" s="105"/>
      <c r="V49" s="247"/>
      <c r="W49" s="248"/>
      <c r="X49" s="249"/>
      <c r="Y49" s="105"/>
      <c r="Z49" s="105"/>
    </row>
    <row r="50" spans="1:26" ht="18" customHeight="1" x14ac:dyDescent="0.15">
      <c r="A50" s="29"/>
      <c r="B50" s="254" t="s">
        <v>183</v>
      </c>
      <c r="C50" s="255"/>
      <c r="D50" s="255"/>
      <c r="E50" s="255"/>
      <c r="F50" s="256"/>
      <c r="G50" s="106">
        <v>1</v>
      </c>
      <c r="H50" s="106" t="s">
        <v>161</v>
      </c>
      <c r="I50" s="244" t="s">
        <v>176</v>
      </c>
      <c r="J50" s="245"/>
      <c r="K50" s="246"/>
      <c r="L50" s="106" t="s">
        <v>161</v>
      </c>
      <c r="M50" s="106" t="s">
        <v>161</v>
      </c>
      <c r="N50" s="220"/>
      <c r="O50" s="221"/>
      <c r="P50" s="221"/>
      <c r="Q50" s="221"/>
      <c r="R50" s="221"/>
      <c r="S50" s="222"/>
      <c r="T50" s="106"/>
      <c r="U50" s="106"/>
      <c r="V50" s="244"/>
      <c r="W50" s="245"/>
      <c r="X50" s="246"/>
      <c r="Y50" s="106"/>
      <c r="Z50" s="106"/>
    </row>
    <row r="51" spans="1:26" ht="18" customHeight="1" x14ac:dyDescent="0.15">
      <c r="A51" s="29"/>
      <c r="B51" s="250" t="s">
        <v>184</v>
      </c>
      <c r="C51" s="251"/>
      <c r="D51" s="251"/>
      <c r="E51" s="251"/>
      <c r="F51" s="252"/>
      <c r="G51" s="107">
        <v>1</v>
      </c>
      <c r="H51" s="107" t="s">
        <v>161</v>
      </c>
      <c r="I51" s="235" t="s">
        <v>176</v>
      </c>
      <c r="J51" s="236"/>
      <c r="K51" s="237"/>
      <c r="L51" s="110"/>
      <c r="M51" s="110" t="s">
        <v>161</v>
      </c>
      <c r="N51" s="220"/>
      <c r="O51" s="221"/>
      <c r="P51" s="221"/>
      <c r="Q51" s="221"/>
      <c r="R51" s="221"/>
      <c r="S51" s="222"/>
      <c r="T51" s="106"/>
      <c r="U51" s="106"/>
      <c r="V51" s="244"/>
      <c r="W51" s="245"/>
      <c r="X51" s="246"/>
      <c r="Y51" s="106"/>
      <c r="Z51" s="106"/>
    </row>
    <row r="52" spans="1:26" ht="18" customHeight="1" x14ac:dyDescent="0.15">
      <c r="A52" s="29"/>
      <c r="B52" s="254"/>
      <c r="C52" s="255"/>
      <c r="D52" s="255"/>
      <c r="E52" s="255"/>
      <c r="F52" s="256"/>
      <c r="G52" s="106"/>
      <c r="H52" s="106"/>
      <c r="I52" s="244"/>
      <c r="J52" s="245"/>
      <c r="K52" s="246"/>
      <c r="L52" s="106"/>
      <c r="M52" s="106"/>
      <c r="N52" s="220"/>
      <c r="O52" s="221"/>
      <c r="P52" s="221"/>
      <c r="Q52" s="221"/>
      <c r="R52" s="221"/>
      <c r="S52" s="222"/>
      <c r="T52" s="106"/>
      <c r="U52" s="106"/>
      <c r="V52" s="244"/>
      <c r="W52" s="245"/>
      <c r="X52" s="246"/>
      <c r="Y52" s="106"/>
      <c r="Z52" s="106"/>
    </row>
    <row r="53" spans="1:26" ht="18" customHeight="1" x14ac:dyDescent="0.15">
      <c r="A53" s="29"/>
      <c r="B53" s="254"/>
      <c r="C53" s="255"/>
      <c r="D53" s="255"/>
      <c r="E53" s="255"/>
      <c r="F53" s="256"/>
      <c r="G53" s="106"/>
      <c r="H53" s="106"/>
      <c r="I53" s="244"/>
      <c r="J53" s="245"/>
      <c r="K53" s="246"/>
      <c r="L53" s="106"/>
      <c r="M53" s="106"/>
      <c r="N53" s="220"/>
      <c r="O53" s="221"/>
      <c r="P53" s="221"/>
      <c r="Q53" s="221"/>
      <c r="R53" s="221"/>
      <c r="S53" s="222"/>
      <c r="T53" s="106"/>
      <c r="U53" s="106"/>
      <c r="V53" s="244"/>
      <c r="W53" s="245"/>
      <c r="X53" s="246"/>
      <c r="Y53" s="106"/>
      <c r="Z53" s="106"/>
    </row>
    <row r="54" spans="1:26" ht="18" customHeight="1" x14ac:dyDescent="0.15">
      <c r="A54" s="29"/>
      <c r="B54" s="254"/>
      <c r="C54" s="255"/>
      <c r="D54" s="255"/>
      <c r="E54" s="255"/>
      <c r="F54" s="256"/>
      <c r="G54" s="106"/>
      <c r="H54" s="106"/>
      <c r="I54" s="244"/>
      <c r="J54" s="245"/>
      <c r="K54" s="246"/>
      <c r="L54" s="106"/>
      <c r="M54" s="106"/>
      <c r="N54" s="220"/>
      <c r="O54" s="221"/>
      <c r="P54" s="221"/>
      <c r="Q54" s="221"/>
      <c r="R54" s="221"/>
      <c r="S54" s="222"/>
      <c r="T54" s="106"/>
      <c r="U54" s="106"/>
      <c r="V54" s="244"/>
      <c r="W54" s="245"/>
      <c r="X54" s="246"/>
      <c r="Y54" s="106"/>
      <c r="Z54" s="106"/>
    </row>
    <row r="55" spans="1:26" ht="18" customHeight="1" x14ac:dyDescent="0.15">
      <c r="A55" s="29"/>
      <c r="B55" s="250"/>
      <c r="C55" s="251"/>
      <c r="D55" s="251"/>
      <c r="E55" s="251"/>
      <c r="F55" s="252"/>
      <c r="G55" s="107"/>
      <c r="H55" s="107"/>
      <c r="I55" s="235"/>
      <c r="J55" s="236"/>
      <c r="K55" s="237"/>
      <c r="L55" s="110"/>
      <c r="M55" s="110"/>
      <c r="N55" s="207"/>
      <c r="O55" s="208"/>
      <c r="P55" s="208"/>
      <c r="Q55" s="208"/>
      <c r="R55" s="208"/>
      <c r="S55" s="209"/>
      <c r="T55" s="107"/>
      <c r="U55" s="107"/>
      <c r="V55" s="235"/>
      <c r="W55" s="236"/>
      <c r="X55" s="237"/>
      <c r="Y55" s="110"/>
      <c r="Z55" s="110"/>
    </row>
    <row r="56" spans="1:26" ht="7.5" customHeight="1" x14ac:dyDescent="0.15">
      <c r="B56" s="69"/>
      <c r="C56" s="69"/>
      <c r="D56" s="69"/>
      <c r="E56" s="69"/>
      <c r="F56" s="69"/>
      <c r="G56" s="69"/>
      <c r="H56" s="69"/>
      <c r="I56" s="69"/>
      <c r="J56" s="69"/>
      <c r="K56" s="69"/>
      <c r="L56" s="69"/>
      <c r="M56" s="69"/>
      <c r="N56" s="69"/>
      <c r="O56" s="69"/>
      <c r="P56" s="69"/>
      <c r="Q56" s="69"/>
      <c r="R56" s="69"/>
      <c r="S56" s="69"/>
      <c r="T56" s="69"/>
      <c r="U56" s="69"/>
      <c r="V56" s="69"/>
      <c r="W56" s="69"/>
      <c r="X56" s="69"/>
      <c r="Y56" s="69"/>
    </row>
    <row r="57" spans="1:26" ht="18" customHeight="1" x14ac:dyDescent="0.15">
      <c r="A57" s="253" t="s">
        <v>69</v>
      </c>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row>
    <row r="58" spans="1:26" ht="18" customHeight="1" x14ac:dyDescent="0.15">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row>
    <row r="59" spans="1:26" ht="18" customHeight="1" x14ac:dyDescent="0.15">
      <c r="A59" s="14"/>
      <c r="B59" s="140" t="s">
        <v>54</v>
      </c>
      <c r="C59" s="141"/>
      <c r="D59" s="141"/>
      <c r="E59" s="142"/>
      <c r="F59" s="30" t="s">
        <v>55</v>
      </c>
      <c r="G59" s="104" t="s">
        <v>56</v>
      </c>
      <c r="H59" s="99" t="s">
        <v>57</v>
      </c>
      <c r="I59" s="100"/>
      <c r="J59" s="101"/>
      <c r="K59" s="67" t="s">
        <v>70</v>
      </c>
      <c r="L59" s="67" t="s">
        <v>71</v>
      </c>
      <c r="M59" s="67" t="s">
        <v>72</v>
      </c>
      <c r="N59" s="140" t="s">
        <v>54</v>
      </c>
      <c r="O59" s="141"/>
      <c r="P59" s="141"/>
      <c r="Q59" s="141"/>
      <c r="R59" s="142"/>
      <c r="S59" s="30" t="s">
        <v>55</v>
      </c>
      <c r="T59" s="104" t="s">
        <v>56</v>
      </c>
      <c r="U59" s="99" t="s">
        <v>57</v>
      </c>
      <c r="V59" s="100"/>
      <c r="W59" s="101"/>
      <c r="X59" s="67" t="s">
        <v>70</v>
      </c>
      <c r="Y59" s="67" t="s">
        <v>71</v>
      </c>
      <c r="Z59" s="67" t="s">
        <v>72</v>
      </c>
    </row>
    <row r="60" spans="1:26" ht="18" customHeight="1" x14ac:dyDescent="0.15">
      <c r="A60" s="29"/>
      <c r="B60" s="226" t="s">
        <v>163</v>
      </c>
      <c r="C60" s="227"/>
      <c r="D60" s="227"/>
      <c r="E60" s="228"/>
      <c r="F60" s="105">
        <v>1</v>
      </c>
      <c r="G60" s="105" t="s">
        <v>161</v>
      </c>
      <c r="H60" s="247" t="s">
        <v>162</v>
      </c>
      <c r="I60" s="248"/>
      <c r="J60" s="249"/>
      <c r="K60" s="115" t="s">
        <v>164</v>
      </c>
      <c r="L60" s="105" t="s">
        <v>161</v>
      </c>
      <c r="M60" s="105" t="s">
        <v>161</v>
      </c>
      <c r="N60" s="226"/>
      <c r="O60" s="227"/>
      <c r="P60" s="227"/>
      <c r="Q60" s="227"/>
      <c r="R60" s="228"/>
      <c r="S60" s="105"/>
      <c r="T60" s="105"/>
      <c r="U60" s="247"/>
      <c r="V60" s="248"/>
      <c r="W60" s="249"/>
      <c r="X60" s="115"/>
      <c r="Y60" s="105"/>
      <c r="Z60" s="105"/>
    </row>
    <row r="61" spans="1:26" ht="18" customHeight="1" x14ac:dyDescent="0.15">
      <c r="A61" s="29"/>
      <c r="B61" s="241" t="s">
        <v>189</v>
      </c>
      <c r="C61" s="242"/>
      <c r="D61" s="242"/>
      <c r="E61" s="243"/>
      <c r="F61" s="106">
        <v>1</v>
      </c>
      <c r="G61" s="106" t="s">
        <v>161</v>
      </c>
      <c r="H61" s="244" t="s">
        <v>176</v>
      </c>
      <c r="I61" s="245"/>
      <c r="J61" s="246"/>
      <c r="K61" s="133"/>
      <c r="L61" s="106"/>
      <c r="M61" s="106" t="s">
        <v>161</v>
      </c>
      <c r="N61" s="220"/>
      <c r="O61" s="221"/>
      <c r="P61" s="221"/>
      <c r="Q61" s="221"/>
      <c r="R61" s="222"/>
      <c r="S61" s="106"/>
      <c r="T61" s="106"/>
      <c r="U61" s="244"/>
      <c r="V61" s="245"/>
      <c r="W61" s="246"/>
      <c r="X61" s="113"/>
      <c r="Y61" s="106"/>
      <c r="Z61" s="106"/>
    </row>
    <row r="62" spans="1:26" ht="18" customHeight="1" x14ac:dyDescent="0.15">
      <c r="A62" s="29"/>
      <c r="B62" s="232" t="s">
        <v>188</v>
      </c>
      <c r="C62" s="233"/>
      <c r="D62" s="233"/>
      <c r="E62" s="234"/>
      <c r="F62" s="107">
        <v>1</v>
      </c>
      <c r="G62" s="107" t="s">
        <v>161</v>
      </c>
      <c r="H62" s="235" t="s">
        <v>176</v>
      </c>
      <c r="I62" s="236"/>
      <c r="J62" s="237"/>
      <c r="K62" s="134"/>
      <c r="L62" s="110"/>
      <c r="M62" s="110" t="s">
        <v>161</v>
      </c>
      <c r="N62" s="220"/>
      <c r="O62" s="221"/>
      <c r="P62" s="221"/>
      <c r="Q62" s="221"/>
      <c r="R62" s="222"/>
      <c r="S62" s="106"/>
      <c r="T62" s="106"/>
      <c r="U62" s="244"/>
      <c r="V62" s="245"/>
      <c r="W62" s="246"/>
      <c r="X62" s="113"/>
      <c r="Y62" s="106"/>
      <c r="Z62" s="106"/>
    </row>
    <row r="63" spans="1:26" ht="18" customHeight="1" x14ac:dyDescent="0.15">
      <c r="A63" s="29"/>
      <c r="B63" s="241"/>
      <c r="C63" s="242"/>
      <c r="D63" s="242"/>
      <c r="E63" s="243"/>
      <c r="F63" s="106"/>
      <c r="G63" s="106"/>
      <c r="H63" s="244"/>
      <c r="I63" s="245"/>
      <c r="J63" s="246"/>
      <c r="K63" s="106"/>
      <c r="L63" s="106"/>
      <c r="M63" s="106"/>
      <c r="N63" s="220"/>
      <c r="O63" s="221"/>
      <c r="P63" s="221"/>
      <c r="Q63" s="221"/>
      <c r="R63" s="222"/>
      <c r="S63" s="106"/>
      <c r="T63" s="106"/>
      <c r="U63" s="244"/>
      <c r="V63" s="245"/>
      <c r="W63" s="246"/>
      <c r="X63" s="113"/>
      <c r="Y63" s="106"/>
      <c r="Z63" s="106"/>
    </row>
    <row r="64" spans="1:26" ht="18" customHeight="1" x14ac:dyDescent="0.15">
      <c r="A64" s="29"/>
      <c r="B64" s="241"/>
      <c r="C64" s="242"/>
      <c r="D64" s="242"/>
      <c r="E64" s="243"/>
      <c r="F64" s="106"/>
      <c r="G64" s="106"/>
      <c r="H64" s="244"/>
      <c r="I64" s="245"/>
      <c r="J64" s="246"/>
      <c r="K64" s="106"/>
      <c r="L64" s="106"/>
      <c r="M64" s="106"/>
      <c r="N64" s="220"/>
      <c r="O64" s="221"/>
      <c r="P64" s="221"/>
      <c r="Q64" s="221"/>
      <c r="R64" s="222"/>
      <c r="S64" s="106"/>
      <c r="T64" s="106"/>
      <c r="U64" s="244"/>
      <c r="V64" s="245"/>
      <c r="W64" s="246"/>
      <c r="X64" s="113"/>
      <c r="Y64" s="106"/>
      <c r="Z64" s="106"/>
    </row>
    <row r="65" spans="1:26" ht="18" customHeight="1" x14ac:dyDescent="0.15">
      <c r="A65" s="29"/>
      <c r="B65" s="241"/>
      <c r="C65" s="242"/>
      <c r="D65" s="242"/>
      <c r="E65" s="243"/>
      <c r="F65" s="106"/>
      <c r="G65" s="106"/>
      <c r="H65" s="244"/>
      <c r="I65" s="245"/>
      <c r="J65" s="246"/>
      <c r="K65" s="113"/>
      <c r="L65" s="106"/>
      <c r="M65" s="106"/>
      <c r="N65" s="220"/>
      <c r="O65" s="221"/>
      <c r="P65" s="221"/>
      <c r="Q65" s="221"/>
      <c r="R65" s="222"/>
      <c r="S65" s="106"/>
      <c r="T65" s="106"/>
      <c r="U65" s="244"/>
      <c r="V65" s="245"/>
      <c r="W65" s="246"/>
      <c r="X65" s="113"/>
      <c r="Y65" s="106"/>
      <c r="Z65" s="106"/>
    </row>
    <row r="66" spans="1:26" ht="18" customHeight="1" x14ac:dyDescent="0.15">
      <c r="A66" s="29"/>
      <c r="B66" s="232"/>
      <c r="C66" s="233"/>
      <c r="D66" s="233"/>
      <c r="E66" s="234"/>
      <c r="F66" s="107"/>
      <c r="G66" s="107"/>
      <c r="H66" s="235"/>
      <c r="I66" s="236"/>
      <c r="J66" s="237"/>
      <c r="K66" s="114"/>
      <c r="L66" s="110"/>
      <c r="M66" s="110"/>
      <c r="N66" s="207"/>
      <c r="O66" s="208"/>
      <c r="P66" s="208"/>
      <c r="Q66" s="208"/>
      <c r="R66" s="209"/>
      <c r="S66" s="107"/>
      <c r="T66" s="107"/>
      <c r="U66" s="235"/>
      <c r="V66" s="236"/>
      <c r="W66" s="237"/>
      <c r="X66" s="114"/>
      <c r="Y66" s="110"/>
      <c r="Z66" s="110"/>
    </row>
    <row r="67" spans="1:26" ht="7.5" customHeight="1" x14ac:dyDescent="0.15">
      <c r="B67" s="69"/>
      <c r="C67" s="69"/>
      <c r="D67" s="69"/>
      <c r="E67" s="69"/>
      <c r="F67" s="69"/>
      <c r="G67" s="69"/>
      <c r="H67" s="69"/>
      <c r="I67" s="69"/>
      <c r="J67" s="69"/>
      <c r="K67" s="69"/>
      <c r="L67" s="69"/>
      <c r="M67" s="69"/>
      <c r="N67" s="69"/>
      <c r="O67" s="69"/>
      <c r="P67" s="69"/>
      <c r="Q67" s="69"/>
      <c r="R67" s="69"/>
      <c r="S67" s="69"/>
      <c r="T67" s="69"/>
      <c r="U67" s="69"/>
      <c r="V67" s="69"/>
      <c r="W67" s="69"/>
      <c r="X67" s="69"/>
      <c r="Y67" s="69"/>
    </row>
    <row r="68" spans="1:26" ht="18" customHeight="1" x14ac:dyDescent="0.15">
      <c r="A68" s="14" t="s">
        <v>73</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0" t="s">
        <v>54</v>
      </c>
      <c r="C69" s="141"/>
      <c r="D69" s="141"/>
      <c r="E69" s="141"/>
      <c r="F69" s="142"/>
      <c r="G69" s="140" t="s">
        <v>74</v>
      </c>
      <c r="H69" s="141"/>
      <c r="I69" s="141"/>
      <c r="J69" s="141"/>
      <c r="K69" s="141"/>
      <c r="L69" s="141"/>
      <c r="M69" s="142"/>
      <c r="N69" s="238" t="s">
        <v>54</v>
      </c>
      <c r="O69" s="239"/>
      <c r="P69" s="239"/>
      <c r="Q69" s="239"/>
      <c r="R69" s="239"/>
      <c r="S69" s="240"/>
      <c r="T69" s="140" t="s">
        <v>74</v>
      </c>
      <c r="U69" s="141"/>
      <c r="V69" s="141"/>
      <c r="W69" s="141"/>
      <c r="X69" s="141"/>
      <c r="Y69" s="141"/>
      <c r="Z69" s="142"/>
    </row>
    <row r="70" spans="1:26" ht="18" customHeight="1" x14ac:dyDescent="0.15">
      <c r="A70" s="29"/>
      <c r="B70" s="226" t="s">
        <v>160</v>
      </c>
      <c r="C70" s="227"/>
      <c r="D70" s="227"/>
      <c r="E70" s="227"/>
      <c r="F70" s="228"/>
      <c r="G70" s="229" t="s">
        <v>165</v>
      </c>
      <c r="H70" s="230"/>
      <c r="I70" s="230"/>
      <c r="J70" s="230"/>
      <c r="K70" s="230"/>
      <c r="L70" s="230"/>
      <c r="M70" s="231"/>
      <c r="N70" s="226"/>
      <c r="O70" s="227"/>
      <c r="P70" s="227"/>
      <c r="Q70" s="227"/>
      <c r="R70" s="227"/>
      <c r="S70" s="228"/>
      <c r="T70" s="229"/>
      <c r="U70" s="230"/>
      <c r="V70" s="230"/>
      <c r="W70" s="230"/>
      <c r="X70" s="230"/>
      <c r="Y70" s="230"/>
      <c r="Z70" s="231"/>
    </row>
    <row r="71" spans="1:26" ht="18" customHeight="1" x14ac:dyDescent="0.15">
      <c r="A71" s="29"/>
      <c r="B71" s="220" t="s">
        <v>163</v>
      </c>
      <c r="C71" s="221"/>
      <c r="D71" s="221"/>
      <c r="E71" s="221"/>
      <c r="F71" s="222"/>
      <c r="G71" s="223" t="s">
        <v>166</v>
      </c>
      <c r="H71" s="224"/>
      <c r="I71" s="224"/>
      <c r="J71" s="224"/>
      <c r="K71" s="224"/>
      <c r="L71" s="224"/>
      <c r="M71" s="225"/>
      <c r="N71" s="220"/>
      <c r="O71" s="221"/>
      <c r="P71" s="221"/>
      <c r="Q71" s="221"/>
      <c r="R71" s="221"/>
      <c r="S71" s="222"/>
      <c r="T71" s="223"/>
      <c r="U71" s="224"/>
      <c r="V71" s="224"/>
      <c r="W71" s="224"/>
      <c r="X71" s="224"/>
      <c r="Y71" s="224"/>
      <c r="Z71" s="225"/>
    </row>
    <row r="72" spans="1:26" ht="18" customHeight="1" x14ac:dyDescent="0.15">
      <c r="A72" s="29"/>
      <c r="B72" s="220"/>
      <c r="C72" s="221"/>
      <c r="D72" s="221"/>
      <c r="E72" s="221"/>
      <c r="F72" s="222"/>
      <c r="G72" s="223"/>
      <c r="H72" s="224"/>
      <c r="I72" s="224"/>
      <c r="J72" s="224"/>
      <c r="K72" s="224"/>
      <c r="L72" s="224"/>
      <c r="M72" s="225"/>
      <c r="N72" s="220"/>
      <c r="O72" s="221"/>
      <c r="P72" s="221"/>
      <c r="Q72" s="221"/>
      <c r="R72" s="221"/>
      <c r="S72" s="222"/>
      <c r="T72" s="223"/>
      <c r="U72" s="224"/>
      <c r="V72" s="224"/>
      <c r="W72" s="224"/>
      <c r="X72" s="224"/>
      <c r="Y72" s="224"/>
      <c r="Z72" s="225"/>
    </row>
    <row r="73" spans="1:26" ht="18" customHeight="1" x14ac:dyDescent="0.15">
      <c r="A73" s="29"/>
      <c r="B73" s="220"/>
      <c r="C73" s="221"/>
      <c r="D73" s="221"/>
      <c r="E73" s="221"/>
      <c r="F73" s="222"/>
      <c r="G73" s="223"/>
      <c r="H73" s="224"/>
      <c r="I73" s="224"/>
      <c r="J73" s="224"/>
      <c r="K73" s="224"/>
      <c r="L73" s="224"/>
      <c r="M73" s="225"/>
      <c r="N73" s="220"/>
      <c r="O73" s="221"/>
      <c r="P73" s="221"/>
      <c r="Q73" s="221"/>
      <c r="R73" s="221"/>
      <c r="S73" s="222"/>
      <c r="T73" s="223"/>
      <c r="U73" s="224"/>
      <c r="V73" s="224"/>
      <c r="W73" s="224"/>
      <c r="X73" s="224"/>
      <c r="Y73" s="224"/>
      <c r="Z73" s="225"/>
    </row>
    <row r="74" spans="1:26" ht="18" customHeight="1" x14ac:dyDescent="0.15">
      <c r="A74" s="29"/>
      <c r="B74" s="220"/>
      <c r="C74" s="221"/>
      <c r="D74" s="221"/>
      <c r="E74" s="221"/>
      <c r="F74" s="222"/>
      <c r="G74" s="223"/>
      <c r="H74" s="224"/>
      <c r="I74" s="224"/>
      <c r="J74" s="224"/>
      <c r="K74" s="224"/>
      <c r="L74" s="224"/>
      <c r="M74" s="225"/>
      <c r="N74" s="220"/>
      <c r="O74" s="221"/>
      <c r="P74" s="221"/>
      <c r="Q74" s="221"/>
      <c r="R74" s="221"/>
      <c r="S74" s="222"/>
      <c r="T74" s="223"/>
      <c r="U74" s="224"/>
      <c r="V74" s="224"/>
      <c r="W74" s="224"/>
      <c r="X74" s="224"/>
      <c r="Y74" s="224"/>
      <c r="Z74" s="225"/>
    </row>
    <row r="75" spans="1:26" ht="18" customHeight="1" x14ac:dyDescent="0.15">
      <c r="A75" s="29"/>
      <c r="B75" s="220"/>
      <c r="C75" s="221"/>
      <c r="D75" s="221"/>
      <c r="E75" s="221"/>
      <c r="F75" s="222"/>
      <c r="G75" s="223"/>
      <c r="H75" s="224"/>
      <c r="I75" s="224"/>
      <c r="J75" s="224"/>
      <c r="K75" s="224"/>
      <c r="L75" s="224"/>
      <c r="M75" s="225"/>
      <c r="N75" s="220"/>
      <c r="O75" s="221"/>
      <c r="P75" s="221"/>
      <c r="Q75" s="221"/>
      <c r="R75" s="221"/>
      <c r="S75" s="222"/>
      <c r="T75" s="223"/>
      <c r="U75" s="224"/>
      <c r="V75" s="224"/>
      <c r="W75" s="224"/>
      <c r="X75" s="224"/>
      <c r="Y75" s="224"/>
      <c r="Z75" s="225"/>
    </row>
    <row r="76" spans="1:26" ht="18" customHeight="1" x14ac:dyDescent="0.15">
      <c r="A76" s="29"/>
      <c r="B76" s="207"/>
      <c r="C76" s="208"/>
      <c r="D76" s="208"/>
      <c r="E76" s="208"/>
      <c r="F76" s="209"/>
      <c r="G76" s="210"/>
      <c r="H76" s="211"/>
      <c r="I76" s="211"/>
      <c r="J76" s="211"/>
      <c r="K76" s="211"/>
      <c r="L76" s="211"/>
      <c r="M76" s="212"/>
      <c r="N76" s="207"/>
      <c r="O76" s="208"/>
      <c r="P76" s="208"/>
      <c r="Q76" s="208"/>
      <c r="R76" s="208"/>
      <c r="S76" s="209"/>
      <c r="T76" s="210"/>
      <c r="U76" s="211"/>
      <c r="V76" s="211"/>
      <c r="W76" s="211"/>
      <c r="X76" s="211"/>
      <c r="Y76" s="211"/>
      <c r="Z76" s="212"/>
    </row>
    <row r="77" spans="1:26" ht="18" customHeight="1" x14ac:dyDescent="0.15">
      <c r="A77" s="29"/>
      <c r="B77" s="112"/>
      <c r="C77" s="112"/>
      <c r="D77" s="112"/>
      <c r="E77" s="112"/>
      <c r="F77" s="112"/>
      <c r="G77" s="12"/>
      <c r="H77" s="12"/>
      <c r="I77" s="12"/>
      <c r="J77" s="12"/>
      <c r="K77" s="12"/>
      <c r="L77" s="12"/>
      <c r="M77" s="12"/>
      <c r="N77" s="112"/>
      <c r="O77" s="112"/>
      <c r="P77" s="112"/>
      <c r="Q77" s="112"/>
      <c r="R77" s="112"/>
      <c r="S77" s="112"/>
      <c r="T77" s="12"/>
      <c r="U77" s="12"/>
      <c r="V77" s="12"/>
      <c r="W77" s="12"/>
      <c r="X77" s="12"/>
      <c r="Y77" s="12"/>
      <c r="Z77" s="12"/>
    </row>
    <row r="78" spans="1:26" ht="18.75" customHeight="1" x14ac:dyDescent="0.15">
      <c r="A78" s="13" t="s">
        <v>75</v>
      </c>
    </row>
    <row r="79" spans="1:26" ht="18.75" customHeight="1" x14ac:dyDescent="0.15">
      <c r="B79" s="70" t="s">
        <v>76</v>
      </c>
      <c r="C79" s="71"/>
      <c r="D79" s="213" t="s">
        <v>77</v>
      </c>
      <c r="E79" s="213"/>
      <c r="F79" s="213"/>
      <c r="G79" s="213"/>
      <c r="H79" s="213"/>
      <c r="I79" s="213"/>
      <c r="J79" s="213"/>
      <c r="K79" s="213"/>
      <c r="L79" s="213"/>
      <c r="M79" s="213"/>
      <c r="N79" s="213"/>
      <c r="O79" s="213"/>
      <c r="P79" s="213"/>
      <c r="Q79" s="213"/>
      <c r="R79" s="213"/>
      <c r="S79" s="213"/>
      <c r="T79" s="213"/>
      <c r="U79" s="213"/>
      <c r="V79" s="213"/>
      <c r="W79" s="213"/>
      <c r="X79" s="213"/>
      <c r="Y79" s="213"/>
      <c r="Z79" s="214"/>
    </row>
    <row r="80" spans="1:26" ht="78.75" customHeight="1" x14ac:dyDescent="0.15">
      <c r="B80" s="183" t="s">
        <v>78</v>
      </c>
      <c r="C80" s="77" t="s">
        <v>58</v>
      </c>
      <c r="D80" s="215" t="s">
        <v>235</v>
      </c>
      <c r="E80" s="215"/>
      <c r="F80" s="215"/>
      <c r="G80" s="215"/>
      <c r="H80" s="215"/>
      <c r="I80" s="215"/>
      <c r="J80" s="215"/>
      <c r="K80" s="215"/>
      <c r="L80" s="215"/>
      <c r="M80" s="215"/>
      <c r="N80" s="215"/>
      <c r="O80" s="215"/>
      <c r="P80" s="215"/>
      <c r="Q80" s="215"/>
      <c r="R80" s="215"/>
      <c r="S80" s="215"/>
      <c r="T80" s="215"/>
      <c r="U80" s="215"/>
      <c r="V80" s="215"/>
      <c r="W80" s="215"/>
      <c r="X80" s="215"/>
      <c r="Y80" s="215"/>
      <c r="Z80" s="216"/>
    </row>
    <row r="81" spans="1:26" ht="78.75" customHeight="1" x14ac:dyDescent="0.15">
      <c r="B81" s="189"/>
      <c r="C81" s="102" t="s">
        <v>79</v>
      </c>
      <c r="D81" s="217" t="s">
        <v>191</v>
      </c>
      <c r="E81" s="218"/>
      <c r="F81" s="218"/>
      <c r="G81" s="218"/>
      <c r="H81" s="218"/>
      <c r="I81" s="218"/>
      <c r="J81" s="218"/>
      <c r="K81" s="218"/>
      <c r="L81" s="218"/>
      <c r="M81" s="218"/>
      <c r="N81" s="218"/>
      <c r="O81" s="218"/>
      <c r="P81" s="218"/>
      <c r="Q81" s="218"/>
      <c r="R81" s="218"/>
      <c r="S81" s="218"/>
      <c r="T81" s="218"/>
      <c r="U81" s="218"/>
      <c r="V81" s="218"/>
      <c r="W81" s="218"/>
      <c r="X81" s="218"/>
      <c r="Y81" s="218"/>
      <c r="Z81" s="219"/>
    </row>
    <row r="82" spans="1:26" ht="78.75" customHeight="1" x14ac:dyDescent="0.15">
      <c r="B82" s="198" t="s">
        <v>80</v>
      </c>
      <c r="C82" s="125" t="s">
        <v>61</v>
      </c>
      <c r="D82" s="199" t="s">
        <v>191</v>
      </c>
      <c r="E82" s="200"/>
      <c r="F82" s="200"/>
      <c r="G82" s="200"/>
      <c r="H82" s="200"/>
      <c r="I82" s="200"/>
      <c r="J82" s="200"/>
      <c r="K82" s="200"/>
      <c r="L82" s="200"/>
      <c r="M82" s="200"/>
      <c r="N82" s="200"/>
      <c r="O82" s="200"/>
      <c r="P82" s="200"/>
      <c r="Q82" s="200"/>
      <c r="R82" s="200"/>
      <c r="S82" s="200"/>
      <c r="T82" s="200"/>
      <c r="U82" s="200"/>
      <c r="V82" s="200"/>
      <c r="W82" s="200"/>
      <c r="X82" s="200"/>
      <c r="Y82" s="200"/>
      <c r="Z82" s="201"/>
    </row>
    <row r="83" spans="1:26" ht="78.75" customHeight="1" x14ac:dyDescent="0.15">
      <c r="B83" s="190"/>
      <c r="C83" s="103" t="s">
        <v>62</v>
      </c>
      <c r="D83" s="202" t="s">
        <v>193</v>
      </c>
      <c r="E83" s="203"/>
      <c r="F83" s="203"/>
      <c r="G83" s="203"/>
      <c r="H83" s="203"/>
      <c r="I83" s="203"/>
      <c r="J83" s="203"/>
      <c r="K83" s="203"/>
      <c r="L83" s="203"/>
      <c r="M83" s="203"/>
      <c r="N83" s="203"/>
      <c r="O83" s="203"/>
      <c r="P83" s="203"/>
      <c r="Q83" s="203"/>
      <c r="R83" s="203"/>
      <c r="S83" s="203"/>
      <c r="T83" s="203"/>
      <c r="U83" s="203"/>
      <c r="V83" s="203"/>
      <c r="W83" s="203"/>
      <c r="X83" s="203"/>
      <c r="Y83" s="203"/>
      <c r="Z83" s="204"/>
    </row>
    <row r="84" spans="1:26" ht="78.75" customHeight="1" x14ac:dyDescent="0.15">
      <c r="B84" s="198" t="s">
        <v>173</v>
      </c>
      <c r="C84" s="125" t="s">
        <v>64</v>
      </c>
      <c r="D84" s="199" t="s">
        <v>241</v>
      </c>
      <c r="E84" s="200"/>
      <c r="F84" s="200"/>
      <c r="G84" s="200"/>
      <c r="H84" s="200"/>
      <c r="I84" s="200"/>
      <c r="J84" s="200"/>
      <c r="K84" s="200"/>
      <c r="L84" s="200"/>
      <c r="M84" s="200"/>
      <c r="N84" s="200"/>
      <c r="O84" s="200"/>
      <c r="P84" s="200"/>
      <c r="Q84" s="200"/>
      <c r="R84" s="200"/>
      <c r="S84" s="200"/>
      <c r="T84" s="200"/>
      <c r="U84" s="200"/>
      <c r="V84" s="200"/>
      <c r="W84" s="200"/>
      <c r="X84" s="200"/>
      <c r="Y84" s="200"/>
      <c r="Z84" s="201"/>
    </row>
    <row r="85" spans="1:26" ht="78.75" customHeight="1" x14ac:dyDescent="0.15">
      <c r="B85" s="190"/>
      <c r="C85" s="74" t="s">
        <v>65</v>
      </c>
      <c r="D85" s="205" t="s">
        <v>229</v>
      </c>
      <c r="E85" s="205"/>
      <c r="F85" s="205"/>
      <c r="G85" s="205"/>
      <c r="H85" s="205"/>
      <c r="I85" s="205"/>
      <c r="J85" s="205"/>
      <c r="K85" s="205"/>
      <c r="L85" s="205"/>
      <c r="M85" s="205"/>
      <c r="N85" s="205"/>
      <c r="O85" s="205"/>
      <c r="P85" s="205"/>
      <c r="Q85" s="205"/>
      <c r="R85" s="205"/>
      <c r="S85" s="205"/>
      <c r="T85" s="205"/>
      <c r="U85" s="205"/>
      <c r="V85" s="205"/>
      <c r="W85" s="205"/>
      <c r="X85" s="205"/>
      <c r="Y85" s="205"/>
      <c r="Z85" s="206"/>
    </row>
    <row r="86" spans="1:26" ht="78.75" customHeight="1" x14ac:dyDescent="0.15">
      <c r="B86" s="183" t="s">
        <v>81</v>
      </c>
      <c r="C86" s="77" t="s">
        <v>67</v>
      </c>
      <c r="D86" s="185" t="s">
        <v>242</v>
      </c>
      <c r="E86" s="185"/>
      <c r="F86" s="185"/>
      <c r="G86" s="185"/>
      <c r="H86" s="185"/>
      <c r="I86" s="185"/>
      <c r="J86" s="185"/>
      <c r="K86" s="185"/>
      <c r="L86" s="185"/>
      <c r="M86" s="185"/>
      <c r="N86" s="185"/>
      <c r="O86" s="185"/>
      <c r="P86" s="185"/>
      <c r="Q86" s="185"/>
      <c r="R86" s="185"/>
      <c r="S86" s="185"/>
      <c r="T86" s="185"/>
      <c r="U86" s="185"/>
      <c r="V86" s="185"/>
      <c r="W86" s="185"/>
      <c r="X86" s="185"/>
      <c r="Y86" s="185"/>
      <c r="Z86" s="186"/>
    </row>
    <row r="87" spans="1:26" ht="78.75" customHeight="1" x14ac:dyDescent="0.15">
      <c r="B87" s="184"/>
      <c r="C87" s="73" t="s">
        <v>68</v>
      </c>
      <c r="D87" s="187" t="s">
        <v>243</v>
      </c>
      <c r="E87" s="187"/>
      <c r="F87" s="187"/>
      <c r="G87" s="187"/>
      <c r="H87" s="187"/>
      <c r="I87" s="187"/>
      <c r="J87" s="187"/>
      <c r="K87" s="187"/>
      <c r="L87" s="187"/>
      <c r="M87" s="187"/>
      <c r="N87" s="187"/>
      <c r="O87" s="187"/>
      <c r="P87" s="187"/>
      <c r="Q87" s="187"/>
      <c r="R87" s="187"/>
      <c r="S87" s="187"/>
      <c r="T87" s="187"/>
      <c r="U87" s="187"/>
      <c r="V87" s="187"/>
      <c r="W87" s="187"/>
      <c r="X87" s="187"/>
      <c r="Y87" s="187"/>
      <c r="Z87" s="188"/>
    </row>
    <row r="88" spans="1:26" ht="78.75" customHeight="1" x14ac:dyDescent="0.15">
      <c r="B88" s="183" t="s">
        <v>82</v>
      </c>
      <c r="C88" s="72" t="s">
        <v>70</v>
      </c>
      <c r="D88" s="191" t="s">
        <v>232</v>
      </c>
      <c r="E88" s="191"/>
      <c r="F88" s="191"/>
      <c r="G88" s="191"/>
      <c r="H88" s="191"/>
      <c r="I88" s="191"/>
      <c r="J88" s="191"/>
      <c r="K88" s="191"/>
      <c r="L88" s="191"/>
      <c r="M88" s="191"/>
      <c r="N88" s="191"/>
      <c r="O88" s="191"/>
      <c r="P88" s="191"/>
      <c r="Q88" s="191"/>
      <c r="R88" s="191"/>
      <c r="S88" s="191"/>
      <c r="T88" s="191"/>
      <c r="U88" s="191"/>
      <c r="V88" s="191"/>
      <c r="W88" s="191"/>
      <c r="X88" s="191"/>
      <c r="Y88" s="191"/>
      <c r="Z88" s="192"/>
    </row>
    <row r="89" spans="1:26" ht="78.75" customHeight="1" x14ac:dyDescent="0.15">
      <c r="B89" s="189"/>
      <c r="C89" s="73" t="s">
        <v>71</v>
      </c>
      <c r="D89" s="193" t="s">
        <v>233</v>
      </c>
      <c r="E89" s="194"/>
      <c r="F89" s="194"/>
      <c r="G89" s="194"/>
      <c r="H89" s="194"/>
      <c r="I89" s="194"/>
      <c r="J89" s="194"/>
      <c r="K89" s="194"/>
      <c r="L89" s="194"/>
      <c r="M89" s="194"/>
      <c r="N89" s="194"/>
      <c r="O89" s="194"/>
      <c r="P89" s="194"/>
      <c r="Q89" s="194"/>
      <c r="R89" s="194"/>
      <c r="S89" s="194"/>
      <c r="T89" s="194"/>
      <c r="U89" s="194"/>
      <c r="V89" s="194"/>
      <c r="W89" s="194"/>
      <c r="X89" s="194"/>
      <c r="Y89" s="194"/>
      <c r="Z89" s="195"/>
    </row>
    <row r="90" spans="1:26" ht="78.75" customHeight="1" x14ac:dyDescent="0.15">
      <c r="B90" s="190"/>
      <c r="C90" s="124" t="s">
        <v>72</v>
      </c>
      <c r="D90" s="293" t="s">
        <v>244</v>
      </c>
      <c r="E90" s="293"/>
      <c r="F90" s="293"/>
      <c r="G90" s="293"/>
      <c r="H90" s="293"/>
      <c r="I90" s="293"/>
      <c r="J90" s="293"/>
      <c r="K90" s="293"/>
      <c r="L90" s="293"/>
      <c r="M90" s="293"/>
      <c r="N90" s="293"/>
      <c r="O90" s="293"/>
      <c r="P90" s="293"/>
      <c r="Q90" s="293"/>
      <c r="R90" s="293"/>
      <c r="S90" s="293"/>
      <c r="T90" s="293"/>
      <c r="U90" s="293"/>
      <c r="V90" s="293"/>
      <c r="W90" s="293"/>
      <c r="X90" s="293"/>
      <c r="Y90" s="293"/>
      <c r="Z90" s="197"/>
    </row>
    <row r="91" spans="1:26" ht="6" customHeight="1" x14ac:dyDescent="0.15">
      <c r="D91" s="13" t="s">
        <v>195</v>
      </c>
    </row>
    <row r="92" spans="1:26" ht="18.75" customHeight="1" x14ac:dyDescent="0.15">
      <c r="A92" s="13" t="s">
        <v>83</v>
      </c>
    </row>
    <row r="93" spans="1:26" ht="18.75" customHeight="1" x14ac:dyDescent="0.15">
      <c r="B93" s="171" t="s">
        <v>185</v>
      </c>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3"/>
    </row>
    <row r="94" spans="1:26" ht="18.75" customHeight="1" x14ac:dyDescent="0.15">
      <c r="B94" s="174"/>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6"/>
    </row>
    <row r="95" spans="1:26" ht="18.75" customHeight="1" x14ac:dyDescent="0.15">
      <c r="B95" s="177"/>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9"/>
    </row>
    <row r="96" spans="1:26" ht="6" customHeight="1" x14ac:dyDescent="0.15"/>
    <row r="97" spans="1:26" ht="15" customHeight="1" x14ac:dyDescent="0.15">
      <c r="A97" s="13" t="s">
        <v>84</v>
      </c>
    </row>
    <row r="98" spans="1:26" ht="15" customHeight="1" x14ac:dyDescent="0.15">
      <c r="B98" s="180" t="s">
        <v>245</v>
      </c>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2"/>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Y38:Z44 Y49:Z55 Y60:Z66 H38:H44 H16:H22 U16:U22 H27:H33 U27:U33 T60:T66 U38:U44 U49:U55 K63:K64 H49:H55 L49:M55 L38:M44 G60:G66 L60:M66">
      <formula1>"○"</formula1>
    </dataValidation>
    <dataValidation type="list" allowBlank="1" showInputMessage="1" showErrorMessage="1" sqref="Z23 Z34 D34:K34 D23:K23 V16:V22 I16:I22 V27:V33 I27:I33 V38:V44 I49:I55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9" fitToHeight="0" orientation="landscape" r:id="rId2"/>
  <rowBreaks count="4" manualBreakCount="4">
    <brk id="34" max="25" man="1"/>
    <brk id="67" max="25" man="1"/>
    <brk id="83" max="25" man="1"/>
    <brk id="91"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tabSelected="1" view="pageBreakPreview" zoomScaleNormal="100" zoomScaleSheetLayoutView="100" workbookViewId="0">
      <selection activeCell="J18" sqref="J18"/>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95" t="s">
        <v>85</v>
      </c>
      <c r="G1" s="295"/>
      <c r="H1" s="295"/>
      <c r="I1" s="295"/>
      <c r="J1" s="295"/>
      <c r="K1" s="295"/>
      <c r="L1" s="295"/>
      <c r="M1" s="295"/>
      <c r="N1" s="295"/>
      <c r="O1" s="295"/>
      <c r="P1" s="295"/>
      <c r="Q1" s="295"/>
      <c r="R1" s="295"/>
    </row>
    <row r="2" spans="1:20" ht="18" customHeight="1" x14ac:dyDescent="0.15">
      <c r="A2" s="296" t="s">
        <v>86</v>
      </c>
      <c r="B2" s="296"/>
      <c r="C2" s="296"/>
      <c r="D2" s="296"/>
      <c r="E2" s="296"/>
      <c r="F2" s="296"/>
      <c r="G2" s="296"/>
      <c r="H2" s="296"/>
      <c r="I2" s="296"/>
      <c r="J2" s="296"/>
      <c r="K2" s="296"/>
      <c r="L2" s="296"/>
      <c r="M2" s="296"/>
      <c r="N2" s="296"/>
      <c r="O2" s="296"/>
      <c r="P2" s="296"/>
      <c r="Q2" s="296"/>
      <c r="R2" s="296"/>
      <c r="S2" s="4"/>
    </row>
    <row r="3" spans="1:20" ht="7.5" customHeight="1" x14ac:dyDescent="0.15">
      <c r="A3" s="118"/>
      <c r="B3" s="118"/>
      <c r="C3" s="118"/>
      <c r="D3" s="118"/>
      <c r="E3" s="118"/>
      <c r="F3" s="118"/>
      <c r="G3" s="118"/>
      <c r="H3" s="118"/>
      <c r="I3" s="118"/>
      <c r="J3" s="118"/>
      <c r="K3" s="118"/>
      <c r="L3" s="118"/>
      <c r="M3" s="118"/>
      <c r="N3" s="118"/>
      <c r="O3" s="118"/>
      <c r="P3" s="118"/>
      <c r="Q3" s="118"/>
      <c r="R3" s="118"/>
    </row>
    <row r="4" spans="1:20" ht="18" customHeight="1" x14ac:dyDescent="0.15">
      <c r="A4" s="4" t="s">
        <v>87</v>
      </c>
      <c r="B4" s="4"/>
      <c r="C4" s="297" t="str">
        <f>'様式１　大学等概要'!E12</f>
        <v>令和3</v>
      </c>
      <c r="D4" s="298"/>
      <c r="E4" s="118" t="s">
        <v>14</v>
      </c>
      <c r="F4" s="118"/>
      <c r="G4" s="118"/>
      <c r="H4" s="118"/>
      <c r="I4" s="118"/>
      <c r="J4" s="78"/>
      <c r="K4" s="118"/>
      <c r="L4" s="118"/>
      <c r="M4" s="108"/>
      <c r="N4" s="108"/>
      <c r="O4" s="108"/>
      <c r="P4" s="108"/>
      <c r="Q4" s="108"/>
      <c r="R4" s="108"/>
    </row>
    <row r="5" spans="1:20" ht="6" customHeight="1" x14ac:dyDescent="0.15">
      <c r="A5" s="118"/>
      <c r="B5" s="118"/>
      <c r="C5" s="118"/>
      <c r="D5" s="118"/>
      <c r="E5" s="118"/>
      <c r="F5" s="118"/>
      <c r="G5" s="118"/>
      <c r="H5" s="118"/>
      <c r="I5" s="118"/>
      <c r="J5" s="118"/>
      <c r="K5" s="118"/>
      <c r="L5" s="118"/>
      <c r="M5" s="118"/>
      <c r="N5" s="118"/>
      <c r="O5" s="118"/>
      <c r="P5" s="118"/>
      <c r="Q5" s="118"/>
      <c r="R5" s="118"/>
    </row>
    <row r="6" spans="1:20" ht="18" customHeight="1" x14ac:dyDescent="0.15">
      <c r="A6" s="4" t="s">
        <v>88</v>
      </c>
      <c r="B6" s="118"/>
      <c r="C6" s="118"/>
      <c r="D6" s="118"/>
      <c r="E6" s="118"/>
      <c r="F6" s="118"/>
      <c r="G6" s="118"/>
      <c r="H6" s="118"/>
      <c r="I6" s="118"/>
      <c r="J6" s="118"/>
      <c r="K6" s="118"/>
      <c r="L6" s="118"/>
      <c r="M6" s="118"/>
      <c r="N6" s="118"/>
      <c r="O6" s="118"/>
      <c r="P6" s="118"/>
      <c r="Q6" s="118"/>
      <c r="R6" s="118"/>
    </row>
    <row r="7" spans="1:20" ht="6" customHeight="1" x14ac:dyDescent="0.15">
      <c r="A7" s="4"/>
      <c r="B7" s="118"/>
      <c r="C7" s="118"/>
      <c r="D7" s="118"/>
      <c r="E7" s="118"/>
      <c r="F7" s="118"/>
      <c r="G7" s="118"/>
      <c r="H7" s="118"/>
      <c r="I7" s="118"/>
      <c r="J7" s="118"/>
      <c r="K7" s="118"/>
      <c r="L7" s="118"/>
      <c r="M7" s="118"/>
      <c r="N7" s="118"/>
      <c r="O7" s="118"/>
      <c r="P7" s="118"/>
      <c r="Q7" s="118"/>
      <c r="R7" s="118"/>
    </row>
    <row r="8" spans="1:20" ht="18" customHeight="1" x14ac:dyDescent="0.15">
      <c r="B8" s="299" t="s">
        <v>89</v>
      </c>
      <c r="C8" s="301" t="s">
        <v>90</v>
      </c>
      <c r="D8" s="303" t="s">
        <v>91</v>
      </c>
      <c r="E8" s="305" t="s">
        <v>92</v>
      </c>
      <c r="F8" s="305"/>
      <c r="G8" s="305" t="s">
        <v>93</v>
      </c>
      <c r="H8" s="305"/>
      <c r="I8" s="305" t="s">
        <v>94</v>
      </c>
      <c r="J8" s="305"/>
      <c r="K8" s="306" t="s">
        <v>95</v>
      </c>
      <c r="L8" s="307"/>
      <c r="M8" s="306" t="s">
        <v>96</v>
      </c>
      <c r="N8" s="307"/>
      <c r="O8" s="306" t="s">
        <v>97</v>
      </c>
      <c r="P8" s="307"/>
      <c r="Q8" s="308" t="s">
        <v>98</v>
      </c>
      <c r="R8" s="310" t="s">
        <v>99</v>
      </c>
      <c r="T8" s="32"/>
    </row>
    <row r="9" spans="1:20" ht="18" customHeight="1" x14ac:dyDescent="0.15">
      <c r="A9" s="4"/>
      <c r="B9" s="300"/>
      <c r="C9" s="302"/>
      <c r="D9" s="304"/>
      <c r="E9" s="36" t="s">
        <v>100</v>
      </c>
      <c r="F9" s="37" t="s">
        <v>101</v>
      </c>
      <c r="G9" s="38" t="s">
        <v>100</v>
      </c>
      <c r="H9" s="39" t="s">
        <v>101</v>
      </c>
      <c r="I9" s="36" t="s">
        <v>100</v>
      </c>
      <c r="J9" s="37" t="s">
        <v>101</v>
      </c>
      <c r="K9" s="38" t="s">
        <v>100</v>
      </c>
      <c r="L9" s="39" t="s">
        <v>101</v>
      </c>
      <c r="M9" s="36" t="s">
        <v>100</v>
      </c>
      <c r="N9" s="37" t="s">
        <v>101</v>
      </c>
      <c r="O9" s="38" t="s">
        <v>100</v>
      </c>
      <c r="P9" s="39" t="s">
        <v>101</v>
      </c>
      <c r="Q9" s="309"/>
      <c r="R9" s="311"/>
      <c r="T9" s="32"/>
    </row>
    <row r="10" spans="1:20" ht="18" customHeight="1" x14ac:dyDescent="0.15">
      <c r="A10" s="40"/>
      <c r="B10" s="79" t="s">
        <v>167</v>
      </c>
      <c r="C10" s="40">
        <v>40</v>
      </c>
      <c r="D10" s="41">
        <v>200</v>
      </c>
      <c r="E10" s="127">
        <v>43</v>
      </c>
      <c r="F10" s="128">
        <v>43</v>
      </c>
      <c r="G10" s="44"/>
      <c r="H10" s="45"/>
      <c r="I10" s="42"/>
      <c r="J10" s="43"/>
      <c r="K10" s="44"/>
      <c r="L10" s="45"/>
      <c r="M10" s="42"/>
      <c r="N10" s="43"/>
      <c r="O10" s="44"/>
      <c r="P10" s="45"/>
      <c r="Q10" s="46">
        <f>E10+G10+I10+K10+M10+O10</f>
        <v>43</v>
      </c>
      <c r="R10" s="47">
        <f>Q10/D10</f>
        <v>0.215</v>
      </c>
    </row>
    <row r="11" spans="1:20" ht="18" customHeight="1" x14ac:dyDescent="0.15">
      <c r="A11" s="40"/>
      <c r="B11" s="80" t="s">
        <v>168</v>
      </c>
      <c r="C11" s="56">
        <v>40</v>
      </c>
      <c r="D11" s="49">
        <v>200</v>
      </c>
      <c r="E11" s="129">
        <v>42</v>
      </c>
      <c r="F11" s="130">
        <v>41</v>
      </c>
      <c r="G11" s="52"/>
      <c r="H11" s="53"/>
      <c r="I11" s="50"/>
      <c r="J11" s="51"/>
      <c r="K11" s="52"/>
      <c r="L11" s="53"/>
      <c r="M11" s="50"/>
      <c r="N11" s="51"/>
      <c r="O11" s="52"/>
      <c r="P11" s="53"/>
      <c r="Q11" s="54">
        <f t="shared" ref="Q11:Q29" si="0">E11+G11+I11+K11+M11+O11</f>
        <v>42</v>
      </c>
      <c r="R11" s="55">
        <f t="shared" ref="R11:R29" si="1">Q11/D11</f>
        <v>0.21</v>
      </c>
    </row>
    <row r="12" spans="1:20" ht="18" customHeight="1" x14ac:dyDescent="0.15">
      <c r="A12" s="40"/>
      <c r="B12" s="80" t="s">
        <v>169</v>
      </c>
      <c r="C12" s="56">
        <v>40</v>
      </c>
      <c r="D12" s="49">
        <v>200</v>
      </c>
      <c r="E12" s="129">
        <v>42</v>
      </c>
      <c r="F12" s="130">
        <v>42</v>
      </c>
      <c r="G12" s="52"/>
      <c r="H12" s="53"/>
      <c r="I12" s="50"/>
      <c r="J12" s="51"/>
      <c r="K12" s="52"/>
      <c r="L12" s="53"/>
      <c r="M12" s="50"/>
      <c r="N12" s="51"/>
      <c r="O12" s="52"/>
      <c r="P12" s="53"/>
      <c r="Q12" s="54">
        <f t="shared" si="0"/>
        <v>42</v>
      </c>
      <c r="R12" s="55">
        <f t="shared" si="1"/>
        <v>0.21</v>
      </c>
    </row>
    <row r="13" spans="1:20" ht="18" customHeight="1" x14ac:dyDescent="0.15">
      <c r="A13" s="40"/>
      <c r="B13" s="80" t="s">
        <v>170</v>
      </c>
      <c r="C13" s="56">
        <v>40</v>
      </c>
      <c r="D13" s="49">
        <v>200</v>
      </c>
      <c r="E13" s="129">
        <v>41</v>
      </c>
      <c r="F13" s="130">
        <v>41</v>
      </c>
      <c r="G13" s="52"/>
      <c r="H13" s="53"/>
      <c r="I13" s="50"/>
      <c r="J13" s="51"/>
      <c r="K13" s="52"/>
      <c r="L13" s="53"/>
      <c r="M13" s="50"/>
      <c r="N13" s="51"/>
      <c r="O13" s="52"/>
      <c r="P13" s="53"/>
      <c r="Q13" s="54">
        <f t="shared" si="0"/>
        <v>41</v>
      </c>
      <c r="R13" s="55">
        <f t="shared" si="1"/>
        <v>0.20499999999999999</v>
      </c>
    </row>
    <row r="14" spans="1:20" ht="18" customHeight="1" x14ac:dyDescent="0.15">
      <c r="A14" s="40"/>
      <c r="B14" s="80"/>
      <c r="C14" s="56"/>
      <c r="D14" s="49"/>
      <c r="E14" s="50"/>
      <c r="F14" s="51"/>
      <c r="G14" s="52"/>
      <c r="H14" s="53"/>
      <c r="I14" s="50"/>
      <c r="J14" s="51"/>
      <c r="K14" s="52"/>
      <c r="L14" s="53"/>
      <c r="M14" s="50"/>
      <c r="N14" s="51"/>
      <c r="O14" s="52"/>
      <c r="P14" s="53"/>
      <c r="Q14" s="54">
        <f t="shared" si="0"/>
        <v>0</v>
      </c>
      <c r="R14" s="55" t="e">
        <f t="shared" si="1"/>
        <v>#DIV/0!</v>
      </c>
    </row>
    <row r="15" spans="1:20" ht="18" customHeight="1" x14ac:dyDescent="0.15">
      <c r="A15" s="40"/>
      <c r="B15" s="80"/>
      <c r="C15" s="56"/>
      <c r="D15" s="49"/>
      <c r="E15" s="50"/>
      <c r="F15" s="51"/>
      <c r="G15" s="52"/>
      <c r="H15" s="53"/>
      <c r="I15" s="50"/>
      <c r="J15" s="51"/>
      <c r="K15" s="52"/>
      <c r="L15" s="53"/>
      <c r="M15" s="50"/>
      <c r="N15" s="51"/>
      <c r="O15" s="52"/>
      <c r="P15" s="53"/>
      <c r="Q15" s="54">
        <f t="shared" si="0"/>
        <v>0</v>
      </c>
      <c r="R15" s="55" t="e">
        <f t="shared" si="1"/>
        <v>#DIV/0!</v>
      </c>
    </row>
    <row r="16" spans="1:20" ht="18" customHeight="1" x14ac:dyDescent="0.15">
      <c r="A16" s="40"/>
      <c r="B16" s="80"/>
      <c r="C16" s="56"/>
      <c r="D16" s="49"/>
      <c r="E16" s="50"/>
      <c r="F16" s="51"/>
      <c r="G16" s="52"/>
      <c r="H16" s="53"/>
      <c r="I16" s="50"/>
      <c r="J16" s="51"/>
      <c r="K16" s="52"/>
      <c r="L16" s="53"/>
      <c r="M16" s="50"/>
      <c r="N16" s="51"/>
      <c r="O16" s="52"/>
      <c r="P16" s="53"/>
      <c r="Q16" s="54">
        <f t="shared" si="0"/>
        <v>0</v>
      </c>
      <c r="R16" s="55" t="e">
        <f t="shared" si="1"/>
        <v>#DIV/0!</v>
      </c>
    </row>
    <row r="17" spans="1:18" ht="18" customHeight="1" x14ac:dyDescent="0.15">
      <c r="A17" s="40"/>
      <c r="B17" s="80"/>
      <c r="C17" s="56"/>
      <c r="D17" s="49"/>
      <c r="E17" s="50"/>
      <c r="F17" s="51"/>
      <c r="G17" s="52"/>
      <c r="H17" s="53"/>
      <c r="I17" s="50"/>
      <c r="J17" s="51"/>
      <c r="K17" s="52"/>
      <c r="L17" s="53"/>
      <c r="M17" s="50"/>
      <c r="N17" s="51"/>
      <c r="O17" s="52"/>
      <c r="P17" s="53"/>
      <c r="Q17" s="54">
        <f t="shared" si="0"/>
        <v>0</v>
      </c>
      <c r="R17" s="55" t="e">
        <f t="shared" si="1"/>
        <v>#DIV/0!</v>
      </c>
    </row>
    <row r="18" spans="1:18" ht="18" customHeight="1" x14ac:dyDescent="0.15">
      <c r="A18" s="40"/>
      <c r="B18" s="80"/>
      <c r="C18" s="56"/>
      <c r="D18" s="49"/>
      <c r="E18" s="50"/>
      <c r="F18" s="51"/>
      <c r="G18" s="52"/>
      <c r="H18" s="53"/>
      <c r="I18" s="50"/>
      <c r="J18" s="51"/>
      <c r="K18" s="52"/>
      <c r="L18" s="53"/>
      <c r="M18" s="50"/>
      <c r="N18" s="51"/>
      <c r="O18" s="52"/>
      <c r="P18" s="53"/>
      <c r="Q18" s="54">
        <f>E18+G18+I18+K18+M18+O18</f>
        <v>0</v>
      </c>
      <c r="R18" s="55" t="e">
        <f t="shared" si="1"/>
        <v>#DIV/0!</v>
      </c>
    </row>
    <row r="19" spans="1:18" ht="18" customHeight="1" x14ac:dyDescent="0.15">
      <c r="A19" s="40"/>
      <c r="B19" s="80"/>
      <c r="C19" s="56"/>
      <c r="D19" s="49"/>
      <c r="E19" s="50"/>
      <c r="F19" s="51"/>
      <c r="G19" s="52"/>
      <c r="H19" s="53"/>
      <c r="I19" s="50"/>
      <c r="J19" s="51"/>
      <c r="K19" s="52"/>
      <c r="L19" s="53"/>
      <c r="M19" s="50"/>
      <c r="N19" s="51"/>
      <c r="O19" s="52"/>
      <c r="P19" s="53"/>
      <c r="Q19" s="54">
        <f t="shared" si="0"/>
        <v>0</v>
      </c>
      <c r="R19" s="55" t="e">
        <f t="shared" si="1"/>
        <v>#DIV/0!</v>
      </c>
    </row>
    <row r="20" spans="1:18" ht="18" customHeight="1" x14ac:dyDescent="0.15">
      <c r="A20" s="40"/>
      <c r="B20" s="80"/>
      <c r="C20" s="56"/>
      <c r="D20" s="49"/>
      <c r="E20" s="50"/>
      <c r="F20" s="51"/>
      <c r="G20" s="52"/>
      <c r="H20" s="53"/>
      <c r="I20" s="50"/>
      <c r="J20" s="51"/>
      <c r="K20" s="52"/>
      <c r="L20" s="53"/>
      <c r="M20" s="50"/>
      <c r="N20" s="51"/>
      <c r="O20" s="52"/>
      <c r="P20" s="53"/>
      <c r="Q20" s="54">
        <f t="shared" si="0"/>
        <v>0</v>
      </c>
      <c r="R20" s="55" t="e">
        <f t="shared" si="1"/>
        <v>#DIV/0!</v>
      </c>
    </row>
    <row r="21" spans="1:18" ht="18" customHeight="1" x14ac:dyDescent="0.15">
      <c r="A21" s="40"/>
      <c r="B21" s="80"/>
      <c r="C21" s="56"/>
      <c r="D21" s="49"/>
      <c r="E21" s="50"/>
      <c r="F21" s="51"/>
      <c r="G21" s="52"/>
      <c r="H21" s="53"/>
      <c r="I21" s="50"/>
      <c r="J21" s="51"/>
      <c r="K21" s="52"/>
      <c r="L21" s="53"/>
      <c r="M21" s="50"/>
      <c r="N21" s="51"/>
      <c r="O21" s="52"/>
      <c r="P21" s="53"/>
      <c r="Q21" s="54">
        <f t="shared" si="0"/>
        <v>0</v>
      </c>
      <c r="R21" s="55" t="e">
        <f t="shared" si="1"/>
        <v>#DIV/0!</v>
      </c>
    </row>
    <row r="22" spans="1:18" ht="18" customHeight="1" x14ac:dyDescent="0.15">
      <c r="A22" s="40"/>
      <c r="B22" s="80"/>
      <c r="C22" s="56"/>
      <c r="D22" s="49"/>
      <c r="E22" s="50"/>
      <c r="F22" s="51"/>
      <c r="G22" s="52"/>
      <c r="H22" s="53"/>
      <c r="I22" s="50"/>
      <c r="J22" s="51"/>
      <c r="K22" s="52"/>
      <c r="L22" s="53"/>
      <c r="M22" s="50"/>
      <c r="N22" s="51"/>
      <c r="O22" s="52"/>
      <c r="P22" s="53"/>
      <c r="Q22" s="54">
        <f t="shared" si="0"/>
        <v>0</v>
      </c>
      <c r="R22" s="55" t="e">
        <f t="shared" si="1"/>
        <v>#DIV/0!</v>
      </c>
    </row>
    <row r="23" spans="1:18" ht="18" customHeight="1" x14ac:dyDescent="0.15">
      <c r="A23" s="40"/>
      <c r="B23" s="80"/>
      <c r="C23" s="56"/>
      <c r="D23" s="49"/>
      <c r="E23" s="50"/>
      <c r="F23" s="51"/>
      <c r="G23" s="52"/>
      <c r="H23" s="53"/>
      <c r="I23" s="50"/>
      <c r="J23" s="51"/>
      <c r="K23" s="52"/>
      <c r="L23" s="53"/>
      <c r="M23" s="50"/>
      <c r="N23" s="51"/>
      <c r="O23" s="52"/>
      <c r="P23" s="53"/>
      <c r="Q23" s="54">
        <f t="shared" si="0"/>
        <v>0</v>
      </c>
      <c r="R23" s="55" t="e">
        <f t="shared" si="1"/>
        <v>#DIV/0!</v>
      </c>
    </row>
    <row r="24" spans="1:18" ht="18" customHeight="1" x14ac:dyDescent="0.15">
      <c r="A24" s="40"/>
      <c r="B24" s="80"/>
      <c r="C24" s="56"/>
      <c r="D24" s="49"/>
      <c r="E24" s="50"/>
      <c r="F24" s="51"/>
      <c r="G24" s="52"/>
      <c r="H24" s="53"/>
      <c r="I24" s="50"/>
      <c r="J24" s="51"/>
      <c r="K24" s="52"/>
      <c r="L24" s="53"/>
      <c r="M24" s="50"/>
      <c r="N24" s="51"/>
      <c r="O24" s="52"/>
      <c r="P24" s="53"/>
      <c r="Q24" s="54">
        <f t="shared" si="0"/>
        <v>0</v>
      </c>
      <c r="R24" s="55" t="e">
        <f t="shared" si="1"/>
        <v>#DIV/0!</v>
      </c>
    </row>
    <row r="25" spans="1:18" ht="18" customHeight="1" x14ac:dyDescent="0.15">
      <c r="A25" s="40"/>
      <c r="B25" s="80"/>
      <c r="C25" s="56"/>
      <c r="D25" s="49"/>
      <c r="E25" s="50"/>
      <c r="F25" s="51"/>
      <c r="G25" s="52"/>
      <c r="H25" s="53"/>
      <c r="I25" s="50"/>
      <c r="J25" s="51"/>
      <c r="K25" s="52"/>
      <c r="L25" s="53"/>
      <c r="M25" s="50"/>
      <c r="N25" s="51"/>
      <c r="O25" s="52"/>
      <c r="P25" s="53"/>
      <c r="Q25" s="54">
        <f t="shared" si="0"/>
        <v>0</v>
      </c>
      <c r="R25" s="55" t="e">
        <f t="shared" si="1"/>
        <v>#DIV/0!</v>
      </c>
    </row>
    <row r="26" spans="1:18" ht="18" customHeight="1" x14ac:dyDescent="0.15">
      <c r="A26" s="40"/>
      <c r="B26" s="80"/>
      <c r="C26" s="56"/>
      <c r="D26" s="49"/>
      <c r="E26" s="50"/>
      <c r="F26" s="51"/>
      <c r="G26" s="52"/>
      <c r="H26" s="53"/>
      <c r="I26" s="50"/>
      <c r="J26" s="51"/>
      <c r="K26" s="52"/>
      <c r="L26" s="53"/>
      <c r="M26" s="50"/>
      <c r="N26" s="51"/>
      <c r="O26" s="52"/>
      <c r="P26" s="53"/>
      <c r="Q26" s="54">
        <f t="shared" si="0"/>
        <v>0</v>
      </c>
      <c r="R26" s="55" t="e">
        <f t="shared" si="1"/>
        <v>#DIV/0!</v>
      </c>
    </row>
    <row r="27" spans="1:18" ht="18" customHeight="1" x14ac:dyDescent="0.15">
      <c r="A27" s="40"/>
      <c r="B27" s="80"/>
      <c r="C27" s="48"/>
      <c r="D27" s="49"/>
      <c r="E27" s="50"/>
      <c r="F27" s="51"/>
      <c r="G27" s="52"/>
      <c r="H27" s="53"/>
      <c r="I27" s="50"/>
      <c r="J27" s="51"/>
      <c r="K27" s="52"/>
      <c r="L27" s="53"/>
      <c r="M27" s="50"/>
      <c r="N27" s="51"/>
      <c r="O27" s="52"/>
      <c r="P27" s="53"/>
      <c r="Q27" s="54">
        <f t="shared" si="0"/>
        <v>0</v>
      </c>
      <c r="R27" s="55" t="e">
        <f t="shared" si="1"/>
        <v>#DIV/0!</v>
      </c>
    </row>
    <row r="28" spans="1:18" ht="18" customHeight="1" x14ac:dyDescent="0.15">
      <c r="A28" s="40"/>
      <c r="B28" s="80"/>
      <c r="C28" s="48"/>
      <c r="D28" s="49"/>
      <c r="E28" s="50"/>
      <c r="F28" s="51"/>
      <c r="G28" s="52"/>
      <c r="H28" s="53"/>
      <c r="I28" s="50"/>
      <c r="J28" s="51"/>
      <c r="K28" s="52"/>
      <c r="L28" s="53"/>
      <c r="M28" s="50"/>
      <c r="N28" s="51"/>
      <c r="O28" s="52"/>
      <c r="P28" s="53"/>
      <c r="Q28" s="54">
        <f t="shared" si="0"/>
        <v>0</v>
      </c>
      <c r="R28" s="55" t="e">
        <f t="shared" si="1"/>
        <v>#DIV/0!</v>
      </c>
    </row>
    <row r="29" spans="1:18" ht="18" customHeight="1" thickBot="1" x14ac:dyDescent="0.2">
      <c r="A29" s="40"/>
      <c r="B29" s="81"/>
      <c r="C29" s="82"/>
      <c r="D29" s="41"/>
      <c r="E29" s="42"/>
      <c r="F29" s="43"/>
      <c r="G29" s="44"/>
      <c r="H29" s="45"/>
      <c r="I29" s="42"/>
      <c r="J29" s="43"/>
      <c r="K29" s="44"/>
      <c r="L29" s="45"/>
      <c r="M29" s="42"/>
      <c r="N29" s="43"/>
      <c r="O29" s="44"/>
      <c r="P29" s="45"/>
      <c r="Q29" s="57">
        <f t="shared" si="0"/>
        <v>0</v>
      </c>
      <c r="R29" s="47" t="e">
        <f t="shared" si="1"/>
        <v>#DIV/0!</v>
      </c>
    </row>
    <row r="30" spans="1:18" ht="18" customHeight="1" thickTop="1" x14ac:dyDescent="0.15">
      <c r="B30" s="83" t="s">
        <v>102</v>
      </c>
      <c r="C30" s="84">
        <f t="shared" ref="C30:Q30" si="2">SUM(C10:C29)</f>
        <v>160</v>
      </c>
      <c r="D30" s="58">
        <f t="shared" si="2"/>
        <v>800</v>
      </c>
      <c r="E30" s="59">
        <f t="shared" si="2"/>
        <v>168</v>
      </c>
      <c r="F30" s="60">
        <f t="shared" si="2"/>
        <v>167</v>
      </c>
      <c r="G30" s="61">
        <f t="shared" si="2"/>
        <v>0</v>
      </c>
      <c r="H30" s="62">
        <f t="shared" si="2"/>
        <v>0</v>
      </c>
      <c r="I30" s="59">
        <f t="shared" si="2"/>
        <v>0</v>
      </c>
      <c r="J30" s="60">
        <f t="shared" si="2"/>
        <v>0</v>
      </c>
      <c r="K30" s="61">
        <f t="shared" si="2"/>
        <v>0</v>
      </c>
      <c r="L30" s="62">
        <f t="shared" si="2"/>
        <v>0</v>
      </c>
      <c r="M30" s="59">
        <f t="shared" si="2"/>
        <v>0</v>
      </c>
      <c r="N30" s="60">
        <f t="shared" si="2"/>
        <v>0</v>
      </c>
      <c r="O30" s="61">
        <f t="shared" si="2"/>
        <v>0</v>
      </c>
      <c r="P30" s="62">
        <f t="shared" si="2"/>
        <v>0</v>
      </c>
      <c r="Q30" s="63">
        <f t="shared" si="2"/>
        <v>168</v>
      </c>
      <c r="R30" s="64">
        <f>Q30/D30</f>
        <v>0.21</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K145"/>
  <sheetViews>
    <sheetView showZeros="0" tabSelected="1" view="pageBreakPreview" topLeftCell="A10" zoomScaleNormal="100" zoomScaleSheetLayoutView="100" workbookViewId="0">
      <selection activeCell="J18" sqref="J18"/>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103</v>
      </c>
      <c r="J1" s="116" t="s">
        <v>104</v>
      </c>
    </row>
    <row r="2" spans="1:11" ht="18.75" customHeight="1" x14ac:dyDescent="0.15">
      <c r="A2" s="296" t="s">
        <v>105</v>
      </c>
      <c r="B2" s="296"/>
      <c r="C2" s="296"/>
      <c r="D2" s="296"/>
      <c r="E2" s="296"/>
      <c r="F2" s="296"/>
      <c r="G2" s="296"/>
      <c r="H2" s="296"/>
      <c r="I2" s="296"/>
      <c r="J2" s="296"/>
    </row>
    <row r="3" spans="1:11" ht="7.5" customHeight="1" x14ac:dyDescent="0.15">
      <c r="B3" s="118"/>
      <c r="C3" s="118"/>
      <c r="D3" s="118"/>
      <c r="E3" s="118"/>
      <c r="F3" s="118"/>
      <c r="G3" s="118"/>
      <c r="H3" s="118"/>
      <c r="I3" s="118"/>
      <c r="J3" s="118"/>
    </row>
    <row r="4" spans="1:11" ht="18.75" customHeight="1" x14ac:dyDescent="0.15">
      <c r="A4" s="1" t="s">
        <v>2</v>
      </c>
      <c r="B4" s="4" t="s">
        <v>106</v>
      </c>
      <c r="C4" s="4"/>
      <c r="D4" s="4"/>
      <c r="E4" s="4"/>
      <c r="F4" s="4"/>
      <c r="G4" s="4"/>
      <c r="H4" s="4"/>
      <c r="I4" s="118"/>
      <c r="J4" s="118"/>
    </row>
    <row r="5" spans="1:11" ht="18.75" customHeight="1" x14ac:dyDescent="0.15">
      <c r="A5" s="1"/>
      <c r="B5" s="169" t="s">
        <v>212</v>
      </c>
      <c r="C5" s="170"/>
      <c r="D5" s="170"/>
      <c r="E5" s="170"/>
      <c r="F5" s="170"/>
      <c r="G5" s="170"/>
      <c r="H5" s="170"/>
      <c r="I5" s="170"/>
      <c r="J5" s="334"/>
      <c r="K5" s="31" t="str">
        <f>IF(B5="","入力してください","")</f>
        <v/>
      </c>
    </row>
    <row r="6" spans="1:11" ht="7.5" customHeight="1" x14ac:dyDescent="0.15">
      <c r="B6" s="29"/>
      <c r="C6" s="29"/>
      <c r="D6" s="29"/>
      <c r="E6" s="29"/>
      <c r="F6" s="29"/>
      <c r="G6" s="29"/>
      <c r="H6" s="29"/>
      <c r="I6" s="29"/>
      <c r="J6" s="29"/>
    </row>
    <row r="7" spans="1:11" s="4" customFormat="1" ht="18.75" customHeight="1" x14ac:dyDescent="0.15">
      <c r="A7" s="1" t="s">
        <v>4</v>
      </c>
      <c r="B7" s="14" t="s">
        <v>107</v>
      </c>
      <c r="C7" s="14"/>
      <c r="D7" s="14"/>
      <c r="E7" s="14"/>
      <c r="F7" s="14"/>
      <c r="G7" s="14"/>
      <c r="H7" s="14"/>
      <c r="I7" s="14"/>
      <c r="J7" s="14"/>
      <c r="K7" s="33"/>
    </row>
    <row r="8" spans="1:11" s="4" customFormat="1" ht="18.75" customHeight="1" x14ac:dyDescent="0.15">
      <c r="A8" s="85"/>
      <c r="B8" s="335" t="s">
        <v>211</v>
      </c>
      <c r="C8" s="336"/>
      <c r="D8" s="336"/>
      <c r="E8" s="336"/>
      <c r="F8" s="336"/>
      <c r="G8" s="336"/>
      <c r="H8" s="336"/>
      <c r="I8" s="337"/>
      <c r="J8" s="338"/>
      <c r="K8" s="31" t="str">
        <f>IF(B8="","入力してください","")</f>
        <v/>
      </c>
    </row>
    <row r="9" spans="1:11" s="4" customFormat="1" ht="18.75" customHeight="1" x14ac:dyDescent="0.15">
      <c r="A9" s="85"/>
      <c r="B9" s="339"/>
      <c r="C9" s="340"/>
      <c r="D9" s="340"/>
      <c r="E9" s="340"/>
      <c r="F9" s="340"/>
      <c r="G9" s="340"/>
      <c r="H9" s="340"/>
      <c r="I9" s="340"/>
      <c r="J9" s="341"/>
      <c r="K9" s="31"/>
    </row>
    <row r="10" spans="1:11" s="4" customFormat="1" ht="18.75" customHeight="1" x14ac:dyDescent="0.15">
      <c r="A10" s="85"/>
      <c r="B10" s="339"/>
      <c r="C10" s="340"/>
      <c r="D10" s="340"/>
      <c r="E10" s="340"/>
      <c r="F10" s="340"/>
      <c r="G10" s="340"/>
      <c r="H10" s="340"/>
      <c r="I10" s="340"/>
      <c r="J10" s="341"/>
      <c r="K10" s="31"/>
    </row>
    <row r="11" spans="1:11" s="4" customFormat="1" ht="18.75" customHeight="1" x14ac:dyDescent="0.15">
      <c r="A11" s="85"/>
      <c r="B11" s="339"/>
      <c r="C11" s="340"/>
      <c r="D11" s="340"/>
      <c r="E11" s="340"/>
      <c r="F11" s="340"/>
      <c r="G11" s="340"/>
      <c r="H11" s="340"/>
      <c r="I11" s="340"/>
      <c r="J11" s="341"/>
      <c r="K11" s="31"/>
    </row>
    <row r="12" spans="1:11" s="4" customFormat="1" ht="18.75" customHeight="1" x14ac:dyDescent="0.15">
      <c r="A12" s="85"/>
      <c r="B12" s="342"/>
      <c r="C12" s="343"/>
      <c r="D12" s="343"/>
      <c r="E12" s="343"/>
      <c r="F12" s="343"/>
      <c r="G12" s="343"/>
      <c r="H12" s="343"/>
      <c r="I12" s="343"/>
      <c r="J12" s="344"/>
      <c r="K12" s="31"/>
    </row>
    <row r="13" spans="1:11" s="4" customFormat="1" ht="7.5" customHeight="1" x14ac:dyDescent="0.15">
      <c r="A13" s="85"/>
      <c r="B13" s="69"/>
      <c r="C13" s="69"/>
      <c r="D13" s="69"/>
      <c r="E13" s="69"/>
      <c r="F13" s="69"/>
      <c r="G13" s="69"/>
      <c r="H13" s="69"/>
      <c r="I13" s="69"/>
      <c r="J13" s="69"/>
      <c r="K13" s="31"/>
    </row>
    <row r="14" spans="1:11" s="4" customFormat="1" ht="18.75" customHeight="1" x14ac:dyDescent="0.15">
      <c r="A14" s="86" t="s">
        <v>108</v>
      </c>
      <c r="B14" s="119" t="s">
        <v>109</v>
      </c>
      <c r="C14" s="119"/>
      <c r="D14" s="119"/>
      <c r="E14" s="119"/>
      <c r="F14" s="119"/>
      <c r="G14" s="119"/>
      <c r="H14" s="119"/>
      <c r="I14" s="119"/>
      <c r="J14" s="119"/>
      <c r="K14" s="31"/>
    </row>
    <row r="15" spans="1:11" s="4" customFormat="1" ht="18.75" customHeight="1" x14ac:dyDescent="0.15">
      <c r="A15" s="85"/>
      <c r="B15" s="345" t="s">
        <v>213</v>
      </c>
      <c r="C15" s="346"/>
      <c r="D15" s="346"/>
      <c r="E15" s="346"/>
      <c r="F15" s="346"/>
      <c r="G15" s="346"/>
      <c r="H15" s="346"/>
      <c r="I15" s="347"/>
      <c r="J15" s="348"/>
      <c r="K15" s="31" t="str">
        <f>IF(B15="","入力してください","")</f>
        <v/>
      </c>
    </row>
    <row r="16" spans="1:11" s="4" customFormat="1" ht="18.75" customHeight="1" x14ac:dyDescent="0.15">
      <c r="A16" s="85"/>
      <c r="B16" s="349"/>
      <c r="C16" s="350"/>
      <c r="D16" s="350"/>
      <c r="E16" s="350"/>
      <c r="F16" s="350"/>
      <c r="G16" s="350"/>
      <c r="H16" s="350"/>
      <c r="I16" s="350"/>
      <c r="J16" s="351"/>
      <c r="K16" s="31"/>
    </row>
    <row r="17" spans="1:11" s="4" customFormat="1" ht="18.75" customHeight="1" x14ac:dyDescent="0.15">
      <c r="A17" s="85"/>
      <c r="B17" s="349"/>
      <c r="C17" s="350"/>
      <c r="D17" s="350"/>
      <c r="E17" s="350"/>
      <c r="F17" s="350"/>
      <c r="G17" s="350"/>
      <c r="H17" s="350"/>
      <c r="I17" s="350"/>
      <c r="J17" s="351"/>
      <c r="K17" s="31"/>
    </row>
    <row r="18" spans="1:11" s="4" customFormat="1" ht="18.75" customHeight="1" x14ac:dyDescent="0.15">
      <c r="A18" s="85"/>
      <c r="B18" s="349"/>
      <c r="C18" s="350"/>
      <c r="D18" s="350"/>
      <c r="E18" s="350"/>
      <c r="F18" s="350"/>
      <c r="G18" s="350"/>
      <c r="H18" s="350"/>
      <c r="I18" s="350"/>
      <c r="J18" s="351"/>
      <c r="K18" s="31"/>
    </row>
    <row r="19" spans="1:11" s="4" customFormat="1" ht="18.75" customHeight="1" x14ac:dyDescent="0.15">
      <c r="A19" s="85"/>
      <c r="B19" s="349"/>
      <c r="C19" s="350"/>
      <c r="D19" s="350"/>
      <c r="E19" s="350"/>
      <c r="F19" s="350"/>
      <c r="G19" s="350"/>
      <c r="H19" s="350"/>
      <c r="I19" s="350"/>
      <c r="J19" s="351"/>
      <c r="K19" s="31"/>
    </row>
    <row r="20" spans="1:11" s="4" customFormat="1" ht="18.75" customHeight="1" x14ac:dyDescent="0.15">
      <c r="A20" s="85"/>
      <c r="B20" s="349"/>
      <c r="C20" s="350"/>
      <c r="D20" s="350"/>
      <c r="E20" s="350"/>
      <c r="F20" s="350"/>
      <c r="G20" s="350"/>
      <c r="H20" s="350"/>
      <c r="I20" s="350"/>
      <c r="J20" s="351"/>
      <c r="K20" s="31"/>
    </row>
    <row r="21" spans="1:11" s="4" customFormat="1" ht="18.75" customHeight="1" x14ac:dyDescent="0.15">
      <c r="A21" s="85"/>
      <c r="B21" s="349"/>
      <c r="C21" s="350"/>
      <c r="D21" s="350"/>
      <c r="E21" s="350"/>
      <c r="F21" s="350"/>
      <c r="G21" s="350"/>
      <c r="H21" s="350"/>
      <c r="I21" s="350"/>
      <c r="J21" s="351"/>
      <c r="K21" s="31"/>
    </row>
    <row r="22" spans="1:11" s="4" customFormat="1" ht="18.75" customHeight="1" x14ac:dyDescent="0.15">
      <c r="A22" s="131"/>
      <c r="B22" s="349"/>
      <c r="C22" s="350"/>
      <c r="D22" s="350"/>
      <c r="E22" s="350"/>
      <c r="F22" s="350"/>
      <c r="G22" s="350"/>
      <c r="H22" s="350"/>
      <c r="I22" s="350"/>
      <c r="J22" s="351"/>
      <c r="K22" s="31"/>
    </row>
    <row r="23" spans="1:11" s="4" customFormat="1" ht="18.75" customHeight="1" x14ac:dyDescent="0.15">
      <c r="A23" s="85"/>
      <c r="B23" s="349"/>
      <c r="C23" s="350"/>
      <c r="D23" s="350"/>
      <c r="E23" s="350"/>
      <c r="F23" s="350"/>
      <c r="G23" s="350"/>
      <c r="H23" s="350"/>
      <c r="I23" s="350"/>
      <c r="J23" s="351"/>
      <c r="K23" s="31"/>
    </row>
    <row r="24" spans="1:11" s="4" customFormat="1" ht="18.75" customHeight="1" x14ac:dyDescent="0.15">
      <c r="A24" s="85"/>
      <c r="B24" s="349"/>
      <c r="C24" s="350"/>
      <c r="D24" s="350"/>
      <c r="E24" s="350"/>
      <c r="F24" s="350"/>
      <c r="G24" s="350"/>
      <c r="H24" s="350"/>
      <c r="I24" s="350"/>
      <c r="J24" s="351"/>
      <c r="K24" s="31"/>
    </row>
    <row r="25" spans="1:11" s="4" customFormat="1" ht="18.75" customHeight="1" x14ac:dyDescent="0.15">
      <c r="A25" s="85"/>
      <c r="B25" s="349"/>
      <c r="C25" s="350"/>
      <c r="D25" s="350"/>
      <c r="E25" s="350"/>
      <c r="F25" s="350"/>
      <c r="G25" s="350"/>
      <c r="H25" s="350"/>
      <c r="I25" s="350"/>
      <c r="J25" s="351"/>
      <c r="K25" s="31"/>
    </row>
    <row r="26" spans="1:11" s="4" customFormat="1" ht="18.75" customHeight="1" x14ac:dyDescent="0.15">
      <c r="A26" s="85"/>
      <c r="B26" s="352"/>
      <c r="C26" s="353"/>
      <c r="D26" s="353"/>
      <c r="E26" s="353"/>
      <c r="F26" s="353"/>
      <c r="G26" s="353"/>
      <c r="H26" s="353"/>
      <c r="I26" s="353"/>
      <c r="J26" s="354"/>
      <c r="K26" s="31"/>
    </row>
    <row r="27" spans="1:11" ht="7.5" customHeight="1" x14ac:dyDescent="0.15">
      <c r="A27" s="34"/>
      <c r="B27" s="120"/>
      <c r="C27" s="120"/>
      <c r="D27" s="120"/>
      <c r="E27" s="120"/>
      <c r="F27" s="120"/>
      <c r="G27" s="120"/>
      <c r="H27" s="120"/>
      <c r="I27" s="120"/>
      <c r="J27" s="120"/>
    </row>
    <row r="28" spans="1:11" s="4" customFormat="1" ht="18.75" customHeight="1" x14ac:dyDescent="0.15">
      <c r="A28" s="1" t="s">
        <v>8</v>
      </c>
      <c r="B28" s="14" t="s">
        <v>110</v>
      </c>
      <c r="C28" s="14"/>
      <c r="D28" s="14"/>
      <c r="E28" s="14"/>
      <c r="F28" s="14"/>
      <c r="G28" s="14"/>
      <c r="H28" s="14"/>
      <c r="I28" s="14"/>
      <c r="J28" s="14"/>
      <c r="K28" s="31"/>
    </row>
    <row r="29" spans="1:11" s="29" customFormat="1" ht="18.75" customHeight="1" x14ac:dyDescent="0.15">
      <c r="B29" s="87" t="s">
        <v>111</v>
      </c>
      <c r="C29" s="88">
        <f>'様式３　履修者等数の実績'!R30</f>
        <v>0.21</v>
      </c>
      <c r="D29" s="89"/>
      <c r="E29" s="89" t="s">
        <v>112</v>
      </c>
      <c r="F29" s="88">
        <v>0.4</v>
      </c>
      <c r="G29" s="89"/>
      <c r="H29" s="89" t="s">
        <v>113</v>
      </c>
      <c r="I29" s="90">
        <v>0.6</v>
      </c>
      <c r="J29" s="91"/>
      <c r="K29" s="31"/>
    </row>
    <row r="30" spans="1:11" s="29" customFormat="1" ht="18.75" customHeight="1" x14ac:dyDescent="0.15">
      <c r="B30" s="75" t="s">
        <v>114</v>
      </c>
      <c r="C30" s="92">
        <v>0.8</v>
      </c>
      <c r="D30" s="76"/>
      <c r="E30" s="76" t="s">
        <v>115</v>
      </c>
      <c r="F30" s="92">
        <v>1</v>
      </c>
      <c r="G30" s="76"/>
      <c r="H30" s="76" t="s">
        <v>116</v>
      </c>
      <c r="I30" s="93">
        <f>'様式３　履修者等数の実績'!D30</f>
        <v>800</v>
      </c>
      <c r="J30" s="94"/>
      <c r="K30" s="33"/>
    </row>
    <row r="31" spans="1:11" s="4" customFormat="1" ht="18.75" customHeight="1" x14ac:dyDescent="0.15">
      <c r="A31" s="1"/>
      <c r="B31" s="223" t="s">
        <v>117</v>
      </c>
      <c r="C31" s="224"/>
      <c r="D31" s="224"/>
      <c r="E31" s="224"/>
      <c r="F31" s="224"/>
      <c r="G31" s="224"/>
      <c r="H31" s="224"/>
      <c r="I31" s="224"/>
      <c r="J31" s="225"/>
      <c r="K31" s="33"/>
    </row>
    <row r="32" spans="1:11" s="4" customFormat="1" ht="18.75" customHeight="1" x14ac:dyDescent="0.15">
      <c r="A32" s="1"/>
      <c r="B32" s="331" t="s">
        <v>206</v>
      </c>
      <c r="C32" s="332"/>
      <c r="D32" s="332"/>
      <c r="E32" s="332"/>
      <c r="F32" s="332"/>
      <c r="G32" s="332"/>
      <c r="H32" s="332"/>
      <c r="I32" s="332"/>
      <c r="J32" s="333"/>
      <c r="K32" s="33" t="str">
        <f>IF(B32="","入力してください","")</f>
        <v/>
      </c>
    </row>
    <row r="33" spans="1:11" s="4" customFormat="1" ht="18.75" customHeight="1" x14ac:dyDescent="0.15">
      <c r="A33" s="1"/>
      <c r="B33" s="323"/>
      <c r="C33" s="324"/>
      <c r="D33" s="324"/>
      <c r="E33" s="324"/>
      <c r="F33" s="324"/>
      <c r="G33" s="324"/>
      <c r="H33" s="324"/>
      <c r="I33" s="324"/>
      <c r="J33" s="325"/>
      <c r="K33" s="33"/>
    </row>
    <row r="34" spans="1:11" s="4" customFormat="1" ht="18.75" customHeight="1" x14ac:dyDescent="0.15">
      <c r="A34" s="1"/>
      <c r="B34" s="323"/>
      <c r="C34" s="324"/>
      <c r="D34" s="324"/>
      <c r="E34" s="324"/>
      <c r="F34" s="324"/>
      <c r="G34" s="324"/>
      <c r="H34" s="324"/>
      <c r="I34" s="324"/>
      <c r="J34" s="325"/>
      <c r="K34" s="33"/>
    </row>
    <row r="35" spans="1:11" s="4" customFormat="1" ht="18.75" customHeight="1" x14ac:dyDescent="0.15">
      <c r="A35" s="1"/>
      <c r="B35" s="323"/>
      <c r="C35" s="324"/>
      <c r="D35" s="324"/>
      <c r="E35" s="324"/>
      <c r="F35" s="324"/>
      <c r="G35" s="324"/>
      <c r="H35" s="324"/>
      <c r="I35" s="324"/>
      <c r="J35" s="325"/>
      <c r="K35" s="33"/>
    </row>
    <row r="36" spans="1:11" s="4" customFormat="1" ht="18.75" customHeight="1" x14ac:dyDescent="0.15">
      <c r="A36" s="1"/>
      <c r="B36" s="323"/>
      <c r="C36" s="324"/>
      <c r="D36" s="324"/>
      <c r="E36" s="324"/>
      <c r="F36" s="324"/>
      <c r="G36" s="324"/>
      <c r="H36" s="324"/>
      <c r="I36" s="324"/>
      <c r="J36" s="325"/>
      <c r="K36" s="33"/>
    </row>
    <row r="37" spans="1:11" s="4" customFormat="1" ht="18.75" customHeight="1" x14ac:dyDescent="0.15">
      <c r="A37" s="1"/>
      <c r="B37" s="323"/>
      <c r="C37" s="324"/>
      <c r="D37" s="324"/>
      <c r="E37" s="324"/>
      <c r="F37" s="324"/>
      <c r="G37" s="324"/>
      <c r="H37" s="324"/>
      <c r="I37" s="324"/>
      <c r="J37" s="325"/>
      <c r="K37" s="33"/>
    </row>
    <row r="38" spans="1:11" s="4" customFormat="1" ht="18.75" customHeight="1" x14ac:dyDescent="0.15">
      <c r="A38" s="1"/>
      <c r="B38" s="323"/>
      <c r="C38" s="324"/>
      <c r="D38" s="324"/>
      <c r="E38" s="324"/>
      <c r="F38" s="324"/>
      <c r="G38" s="324"/>
      <c r="H38" s="324"/>
      <c r="I38" s="324"/>
      <c r="J38" s="325"/>
      <c r="K38" s="33"/>
    </row>
    <row r="39" spans="1:11" s="4" customFormat="1" ht="18.75" customHeight="1" x14ac:dyDescent="0.15">
      <c r="A39" s="1"/>
      <c r="B39" s="323"/>
      <c r="C39" s="324"/>
      <c r="D39" s="324"/>
      <c r="E39" s="324"/>
      <c r="F39" s="324"/>
      <c r="G39" s="324"/>
      <c r="H39" s="324"/>
      <c r="I39" s="324"/>
      <c r="J39" s="325"/>
      <c r="K39" s="33"/>
    </row>
    <row r="40" spans="1:11" s="4" customFormat="1" ht="18.75" customHeight="1" x14ac:dyDescent="0.15">
      <c r="A40" s="1"/>
      <c r="B40" s="323"/>
      <c r="C40" s="324"/>
      <c r="D40" s="324"/>
      <c r="E40" s="324"/>
      <c r="F40" s="324"/>
      <c r="G40" s="324"/>
      <c r="H40" s="324"/>
      <c r="I40" s="324"/>
      <c r="J40" s="325"/>
      <c r="K40" s="33"/>
    </row>
    <row r="41" spans="1:11" s="4" customFormat="1" ht="18.75" customHeight="1" x14ac:dyDescent="0.15">
      <c r="A41" s="1"/>
      <c r="B41" s="323"/>
      <c r="C41" s="324"/>
      <c r="D41" s="324"/>
      <c r="E41" s="324"/>
      <c r="F41" s="324"/>
      <c r="G41" s="324"/>
      <c r="H41" s="324"/>
      <c r="I41" s="324"/>
      <c r="J41" s="325"/>
      <c r="K41" s="33"/>
    </row>
    <row r="42" spans="1:11" s="4" customFormat="1" ht="18.75" customHeight="1" x14ac:dyDescent="0.15">
      <c r="A42" s="1"/>
      <c r="B42" s="323"/>
      <c r="C42" s="324"/>
      <c r="D42" s="324"/>
      <c r="E42" s="324"/>
      <c r="F42" s="324"/>
      <c r="G42" s="324"/>
      <c r="H42" s="324"/>
      <c r="I42" s="324"/>
      <c r="J42" s="325"/>
      <c r="K42" s="33"/>
    </row>
    <row r="43" spans="1:11" s="4" customFormat="1" ht="18.75" customHeight="1" x14ac:dyDescent="0.15">
      <c r="A43" s="1"/>
      <c r="B43" s="323"/>
      <c r="C43" s="324"/>
      <c r="D43" s="324"/>
      <c r="E43" s="324"/>
      <c r="F43" s="324"/>
      <c r="G43" s="324"/>
      <c r="H43" s="324"/>
      <c r="I43" s="324"/>
      <c r="J43" s="325"/>
      <c r="K43" s="33"/>
    </row>
    <row r="44" spans="1:11" ht="18.75" customHeight="1" x14ac:dyDescent="0.15">
      <c r="A44" s="34"/>
      <c r="B44" s="323"/>
      <c r="C44" s="324"/>
      <c r="D44" s="324"/>
      <c r="E44" s="324"/>
      <c r="F44" s="324"/>
      <c r="G44" s="324"/>
      <c r="H44" s="324"/>
      <c r="I44" s="324"/>
      <c r="J44" s="325"/>
      <c r="K44" s="33"/>
    </row>
    <row r="45" spans="1:11" ht="18.75" customHeight="1" x14ac:dyDescent="0.15">
      <c r="A45" s="34"/>
      <c r="B45" s="326"/>
      <c r="C45" s="327"/>
      <c r="D45" s="327"/>
      <c r="E45" s="327"/>
      <c r="F45" s="327"/>
      <c r="G45" s="327"/>
      <c r="H45" s="327"/>
      <c r="I45" s="327"/>
      <c r="J45" s="328"/>
    </row>
    <row r="46" spans="1:11" s="4" customFormat="1" ht="18.75" customHeight="1" x14ac:dyDescent="0.15">
      <c r="A46" s="95" t="s">
        <v>10</v>
      </c>
      <c r="B46" s="14" t="s">
        <v>118</v>
      </c>
      <c r="C46" s="14"/>
      <c r="D46" s="14"/>
      <c r="E46" s="14"/>
      <c r="F46" s="14"/>
      <c r="G46" s="14"/>
      <c r="H46" s="14"/>
      <c r="I46" s="119"/>
      <c r="J46" s="119"/>
      <c r="K46" s="31"/>
    </row>
    <row r="47" spans="1:11" ht="18.75" customHeight="1" x14ac:dyDescent="0.15">
      <c r="A47" s="34"/>
      <c r="B47" s="312" t="s">
        <v>198</v>
      </c>
      <c r="C47" s="313"/>
      <c r="D47" s="313"/>
      <c r="E47" s="313"/>
      <c r="F47" s="313"/>
      <c r="G47" s="313"/>
      <c r="H47" s="313"/>
      <c r="I47" s="313"/>
      <c r="J47" s="314"/>
      <c r="K47" s="31" t="str">
        <f>IF(B47="","入力してください","")</f>
        <v/>
      </c>
    </row>
    <row r="48" spans="1:11" ht="18.75" customHeight="1" x14ac:dyDescent="0.15">
      <c r="A48" s="34"/>
      <c r="B48" s="315"/>
      <c r="C48" s="316"/>
      <c r="D48" s="316"/>
      <c r="E48" s="316"/>
      <c r="F48" s="316"/>
      <c r="G48" s="316"/>
      <c r="H48" s="316"/>
      <c r="I48" s="316"/>
      <c r="J48" s="317"/>
    </row>
    <row r="49" spans="1:10" ht="18.75" customHeight="1" x14ac:dyDescent="0.15">
      <c r="A49" s="34"/>
      <c r="B49" s="315"/>
      <c r="C49" s="316"/>
      <c r="D49" s="316"/>
      <c r="E49" s="316"/>
      <c r="F49" s="316"/>
      <c r="G49" s="316"/>
      <c r="H49" s="316"/>
      <c r="I49" s="316"/>
      <c r="J49" s="317"/>
    </row>
    <row r="50" spans="1:10" ht="18.75" customHeight="1" x14ac:dyDescent="0.15">
      <c r="A50" s="34"/>
      <c r="B50" s="315"/>
      <c r="C50" s="316"/>
      <c r="D50" s="316"/>
      <c r="E50" s="316"/>
      <c r="F50" s="316"/>
      <c r="G50" s="316"/>
      <c r="H50" s="316"/>
      <c r="I50" s="316"/>
      <c r="J50" s="317"/>
    </row>
    <row r="51" spans="1:10" ht="18.75" customHeight="1" x14ac:dyDescent="0.15">
      <c r="A51" s="34"/>
      <c r="B51" s="315"/>
      <c r="C51" s="316"/>
      <c r="D51" s="316"/>
      <c r="E51" s="316"/>
      <c r="F51" s="316"/>
      <c r="G51" s="316"/>
      <c r="H51" s="316"/>
      <c r="I51" s="316"/>
      <c r="J51" s="317"/>
    </row>
    <row r="52" spans="1:10" ht="18.75" customHeight="1" x14ac:dyDescent="0.15">
      <c r="A52" s="34"/>
      <c r="B52" s="315"/>
      <c r="C52" s="316"/>
      <c r="D52" s="316"/>
      <c r="E52" s="316"/>
      <c r="F52" s="316"/>
      <c r="G52" s="316"/>
      <c r="H52" s="316"/>
      <c r="I52" s="316"/>
      <c r="J52" s="317"/>
    </row>
    <row r="53" spans="1:10" ht="18.75" customHeight="1" x14ac:dyDescent="0.15">
      <c r="A53" s="34"/>
      <c r="B53" s="315"/>
      <c r="C53" s="316"/>
      <c r="D53" s="316"/>
      <c r="E53" s="316"/>
      <c r="F53" s="316"/>
      <c r="G53" s="316"/>
      <c r="H53" s="316"/>
      <c r="I53" s="316"/>
      <c r="J53" s="317"/>
    </row>
    <row r="54" spans="1:10" ht="18.75" customHeight="1" x14ac:dyDescent="0.15">
      <c r="A54" s="34"/>
      <c r="B54" s="315"/>
      <c r="C54" s="316"/>
      <c r="D54" s="316"/>
      <c r="E54" s="316"/>
      <c r="F54" s="316"/>
      <c r="G54" s="316"/>
      <c r="H54" s="316"/>
      <c r="I54" s="316"/>
      <c r="J54" s="317"/>
    </row>
    <row r="55" spans="1:10" ht="18.75" customHeight="1" x14ac:dyDescent="0.15">
      <c r="A55" s="34"/>
      <c r="B55" s="315"/>
      <c r="C55" s="316"/>
      <c r="D55" s="316"/>
      <c r="E55" s="316"/>
      <c r="F55" s="316"/>
      <c r="G55" s="316"/>
      <c r="H55" s="316"/>
      <c r="I55" s="316"/>
      <c r="J55" s="317"/>
    </row>
    <row r="56" spans="1:10" ht="18.75" customHeight="1" x14ac:dyDescent="0.15">
      <c r="A56" s="34"/>
      <c r="B56" s="315"/>
      <c r="C56" s="316"/>
      <c r="D56" s="316"/>
      <c r="E56" s="316"/>
      <c r="F56" s="316"/>
      <c r="G56" s="316"/>
      <c r="H56" s="316"/>
      <c r="I56" s="316"/>
      <c r="J56" s="317"/>
    </row>
    <row r="57" spans="1:10" ht="18.75" customHeight="1" x14ac:dyDescent="0.15">
      <c r="A57" s="34"/>
      <c r="B57" s="315"/>
      <c r="C57" s="316"/>
      <c r="D57" s="316"/>
      <c r="E57" s="316"/>
      <c r="F57" s="316"/>
      <c r="G57" s="316"/>
      <c r="H57" s="316"/>
      <c r="I57" s="316"/>
      <c r="J57" s="317"/>
    </row>
    <row r="58" spans="1:10" ht="18.75" customHeight="1" x14ac:dyDescent="0.15">
      <c r="A58" s="34"/>
      <c r="B58" s="315"/>
      <c r="C58" s="316"/>
      <c r="D58" s="316"/>
      <c r="E58" s="316"/>
      <c r="F58" s="316"/>
      <c r="G58" s="316"/>
      <c r="H58" s="316"/>
      <c r="I58" s="316"/>
      <c r="J58" s="317"/>
    </row>
    <row r="59" spans="1:10" ht="18.75" customHeight="1" x14ac:dyDescent="0.15">
      <c r="A59" s="34"/>
      <c r="B59" s="315"/>
      <c r="C59" s="316"/>
      <c r="D59" s="316"/>
      <c r="E59" s="316"/>
      <c r="F59" s="316"/>
      <c r="G59" s="316"/>
      <c r="H59" s="316"/>
      <c r="I59" s="316"/>
      <c r="J59" s="317"/>
    </row>
    <row r="60" spans="1:10" ht="18.75" customHeight="1" x14ac:dyDescent="0.15">
      <c r="A60" s="34"/>
      <c r="B60" s="315"/>
      <c r="C60" s="316"/>
      <c r="D60" s="316"/>
      <c r="E60" s="316"/>
      <c r="F60" s="316"/>
      <c r="G60" s="316"/>
      <c r="H60" s="316"/>
      <c r="I60" s="316"/>
      <c r="J60" s="317"/>
    </row>
    <row r="61" spans="1:10" ht="18.75" customHeight="1" x14ac:dyDescent="0.15">
      <c r="A61" s="34"/>
      <c r="B61" s="315"/>
      <c r="C61" s="316"/>
      <c r="D61" s="316"/>
      <c r="E61" s="316"/>
      <c r="F61" s="316"/>
      <c r="G61" s="316"/>
      <c r="H61" s="316"/>
      <c r="I61" s="316"/>
      <c r="J61" s="317"/>
    </row>
    <row r="62" spans="1:10" ht="18.75" customHeight="1" x14ac:dyDescent="0.15">
      <c r="A62" s="34"/>
      <c r="B62" s="315"/>
      <c r="C62" s="316"/>
      <c r="D62" s="316"/>
      <c r="E62" s="316"/>
      <c r="F62" s="316"/>
      <c r="G62" s="316"/>
      <c r="H62" s="316"/>
      <c r="I62" s="316"/>
      <c r="J62" s="317"/>
    </row>
    <row r="63" spans="1:10" ht="18.75" customHeight="1" x14ac:dyDescent="0.15">
      <c r="A63" s="34"/>
      <c r="B63" s="315"/>
      <c r="C63" s="316"/>
      <c r="D63" s="316"/>
      <c r="E63" s="316"/>
      <c r="F63" s="316"/>
      <c r="G63" s="316"/>
      <c r="H63" s="316"/>
      <c r="I63" s="316"/>
      <c r="J63" s="317"/>
    </row>
    <row r="64" spans="1:10" ht="18.75" customHeight="1" x14ac:dyDescent="0.15">
      <c r="A64" s="34"/>
      <c r="B64" s="315"/>
      <c r="C64" s="316"/>
      <c r="D64" s="316"/>
      <c r="E64" s="316"/>
      <c r="F64" s="316"/>
      <c r="G64" s="316"/>
      <c r="H64" s="316"/>
      <c r="I64" s="316"/>
      <c r="J64" s="317"/>
    </row>
    <row r="65" spans="1:11" ht="18.75" customHeight="1" x14ac:dyDescent="0.15">
      <c r="A65" s="34"/>
      <c r="B65" s="315"/>
      <c r="C65" s="316"/>
      <c r="D65" s="316"/>
      <c r="E65" s="316"/>
      <c r="F65" s="316"/>
      <c r="G65" s="316"/>
      <c r="H65" s="316"/>
      <c r="I65" s="316"/>
      <c r="J65" s="317"/>
    </row>
    <row r="66" spans="1:11" ht="18.75" customHeight="1" x14ac:dyDescent="0.15">
      <c r="A66" s="34"/>
      <c r="B66" s="315"/>
      <c r="C66" s="316"/>
      <c r="D66" s="316"/>
      <c r="E66" s="316"/>
      <c r="F66" s="316"/>
      <c r="G66" s="316"/>
      <c r="H66" s="316"/>
      <c r="I66" s="316"/>
      <c r="J66" s="317"/>
    </row>
    <row r="67" spans="1:11" ht="18.75" customHeight="1" x14ac:dyDescent="0.15">
      <c r="A67" s="34"/>
      <c r="B67" s="318"/>
      <c r="C67" s="319"/>
      <c r="D67" s="319"/>
      <c r="E67" s="319"/>
      <c r="F67" s="319"/>
      <c r="G67" s="319"/>
      <c r="H67" s="319"/>
      <c r="I67" s="319"/>
      <c r="J67" s="320"/>
    </row>
    <row r="68" spans="1:11" ht="7.5" customHeight="1" x14ac:dyDescent="0.15">
      <c r="A68" s="34"/>
      <c r="B68" s="120"/>
      <c r="C68" s="120"/>
      <c r="D68" s="120"/>
      <c r="E68" s="120"/>
      <c r="F68" s="120"/>
      <c r="G68" s="120"/>
      <c r="H68" s="120"/>
      <c r="I68" s="120"/>
      <c r="J68" s="120"/>
    </row>
    <row r="69" spans="1:11" s="4" customFormat="1" ht="18.75" customHeight="1" x14ac:dyDescent="0.15">
      <c r="A69" s="1" t="s">
        <v>12</v>
      </c>
      <c r="B69" s="14" t="s">
        <v>119</v>
      </c>
      <c r="C69" s="14"/>
      <c r="D69" s="14"/>
      <c r="E69" s="14"/>
      <c r="F69" s="14"/>
      <c r="G69" s="14"/>
      <c r="H69" s="14"/>
      <c r="I69" s="14"/>
      <c r="J69" s="14"/>
      <c r="K69" s="31"/>
    </row>
    <row r="70" spans="1:11" s="4" customFormat="1" ht="18.75" customHeight="1" x14ac:dyDescent="0.15">
      <c r="A70" s="1"/>
      <c r="B70" s="312" t="s">
        <v>198</v>
      </c>
      <c r="C70" s="313"/>
      <c r="D70" s="313"/>
      <c r="E70" s="313"/>
      <c r="F70" s="313"/>
      <c r="G70" s="313"/>
      <c r="H70" s="313"/>
      <c r="I70" s="321"/>
      <c r="J70" s="322"/>
      <c r="K70" s="33" t="str">
        <f>IF(B70="","入力してください","")</f>
        <v/>
      </c>
    </row>
    <row r="71" spans="1:11" s="4" customFormat="1" ht="18.75" customHeight="1" x14ac:dyDescent="0.15">
      <c r="A71" s="1"/>
      <c r="B71" s="323"/>
      <c r="C71" s="324"/>
      <c r="D71" s="324"/>
      <c r="E71" s="324"/>
      <c r="F71" s="324"/>
      <c r="G71" s="324"/>
      <c r="H71" s="324"/>
      <c r="I71" s="324"/>
      <c r="J71" s="325"/>
      <c r="K71" s="33"/>
    </row>
    <row r="72" spans="1:11" s="4" customFormat="1" ht="18.75" customHeight="1" x14ac:dyDescent="0.15">
      <c r="A72" s="1"/>
      <c r="B72" s="323"/>
      <c r="C72" s="324"/>
      <c r="D72" s="324"/>
      <c r="E72" s="324"/>
      <c r="F72" s="324"/>
      <c r="G72" s="324"/>
      <c r="H72" s="324"/>
      <c r="I72" s="324"/>
      <c r="J72" s="325"/>
      <c r="K72" s="33"/>
    </row>
    <row r="73" spans="1:11" s="4" customFormat="1" ht="18.75" customHeight="1" x14ac:dyDescent="0.15">
      <c r="A73" s="1"/>
      <c r="B73" s="323"/>
      <c r="C73" s="324"/>
      <c r="D73" s="324"/>
      <c r="E73" s="324"/>
      <c r="F73" s="324"/>
      <c r="G73" s="324"/>
      <c r="H73" s="324"/>
      <c r="I73" s="324"/>
      <c r="J73" s="325"/>
      <c r="K73" s="33"/>
    </row>
    <row r="74" spans="1:11" s="4" customFormat="1" ht="18.75" customHeight="1" x14ac:dyDescent="0.15">
      <c r="A74" s="1"/>
      <c r="B74" s="323"/>
      <c r="C74" s="324"/>
      <c r="D74" s="324"/>
      <c r="E74" s="324"/>
      <c r="F74" s="324"/>
      <c r="G74" s="324"/>
      <c r="H74" s="324"/>
      <c r="I74" s="324"/>
      <c r="J74" s="325"/>
      <c r="K74" s="33"/>
    </row>
    <row r="75" spans="1:11" s="4" customFormat="1" ht="18.75" customHeight="1" x14ac:dyDescent="0.15">
      <c r="A75" s="1"/>
      <c r="B75" s="323"/>
      <c r="C75" s="324"/>
      <c r="D75" s="324"/>
      <c r="E75" s="324"/>
      <c r="F75" s="324"/>
      <c r="G75" s="324"/>
      <c r="H75" s="324"/>
      <c r="I75" s="324"/>
      <c r="J75" s="325"/>
      <c r="K75" s="33"/>
    </row>
    <row r="76" spans="1:11" s="4" customFormat="1" ht="18.75" customHeight="1" x14ac:dyDescent="0.15">
      <c r="A76" s="1"/>
      <c r="B76" s="323"/>
      <c r="C76" s="324"/>
      <c r="D76" s="324"/>
      <c r="E76" s="324"/>
      <c r="F76" s="324"/>
      <c r="G76" s="324"/>
      <c r="H76" s="324"/>
      <c r="I76" s="324"/>
      <c r="J76" s="325"/>
      <c r="K76" s="33"/>
    </row>
    <row r="77" spans="1:11" s="4" customFormat="1" ht="18.75" customHeight="1" x14ac:dyDescent="0.15">
      <c r="A77" s="1"/>
      <c r="B77" s="323"/>
      <c r="C77" s="324"/>
      <c r="D77" s="324"/>
      <c r="E77" s="324"/>
      <c r="F77" s="324"/>
      <c r="G77" s="324"/>
      <c r="H77" s="324"/>
      <c r="I77" s="324"/>
      <c r="J77" s="325"/>
      <c r="K77" s="33"/>
    </row>
    <row r="78" spans="1:11" s="4" customFormat="1" ht="18.75" customHeight="1" x14ac:dyDescent="0.15">
      <c r="A78" s="1"/>
      <c r="B78" s="323"/>
      <c r="C78" s="324"/>
      <c r="D78" s="324"/>
      <c r="E78" s="324"/>
      <c r="F78" s="324"/>
      <c r="G78" s="324"/>
      <c r="H78" s="324"/>
      <c r="I78" s="324"/>
      <c r="J78" s="325"/>
      <c r="K78" s="33"/>
    </row>
    <row r="79" spans="1:11" s="4" customFormat="1" ht="18.75" customHeight="1" x14ac:dyDescent="0.15">
      <c r="A79" s="1"/>
      <c r="B79" s="323"/>
      <c r="C79" s="324"/>
      <c r="D79" s="324"/>
      <c r="E79" s="324"/>
      <c r="F79" s="324"/>
      <c r="G79" s="324"/>
      <c r="H79" s="324"/>
      <c r="I79" s="324"/>
      <c r="J79" s="325"/>
      <c r="K79" s="33"/>
    </row>
    <row r="80" spans="1:11" s="4" customFormat="1" ht="18.75" customHeight="1" x14ac:dyDescent="0.15">
      <c r="A80" s="1"/>
      <c r="B80" s="323"/>
      <c r="C80" s="324"/>
      <c r="D80" s="324"/>
      <c r="E80" s="324"/>
      <c r="F80" s="324"/>
      <c r="G80" s="324"/>
      <c r="H80" s="324"/>
      <c r="I80" s="324"/>
      <c r="J80" s="325"/>
      <c r="K80" s="33"/>
    </row>
    <row r="81" spans="1:11" s="4" customFormat="1" ht="18.75" customHeight="1" x14ac:dyDescent="0.15">
      <c r="A81" s="1"/>
      <c r="B81" s="323"/>
      <c r="C81" s="324"/>
      <c r="D81" s="324"/>
      <c r="E81" s="324"/>
      <c r="F81" s="324"/>
      <c r="G81" s="324"/>
      <c r="H81" s="324"/>
      <c r="I81" s="324"/>
      <c r="J81" s="325"/>
      <c r="K81" s="33"/>
    </row>
    <row r="82" spans="1:11" s="4" customFormat="1" ht="18.75" customHeight="1" x14ac:dyDescent="0.15">
      <c r="A82" s="1"/>
      <c r="B82" s="323"/>
      <c r="C82" s="324"/>
      <c r="D82" s="324"/>
      <c r="E82" s="324"/>
      <c r="F82" s="324"/>
      <c r="G82" s="324"/>
      <c r="H82" s="324"/>
      <c r="I82" s="324"/>
      <c r="J82" s="325"/>
      <c r="K82" s="33"/>
    </row>
    <row r="83" spans="1:11" s="4" customFormat="1" ht="18.75" customHeight="1" x14ac:dyDescent="0.15">
      <c r="A83" s="1"/>
      <c r="B83" s="323"/>
      <c r="C83" s="324"/>
      <c r="D83" s="324"/>
      <c r="E83" s="324"/>
      <c r="F83" s="324"/>
      <c r="G83" s="324"/>
      <c r="H83" s="324"/>
      <c r="I83" s="324"/>
      <c r="J83" s="325"/>
      <c r="K83" s="33"/>
    </row>
    <row r="84" spans="1:11" s="4" customFormat="1" ht="18.75" customHeight="1" x14ac:dyDescent="0.15">
      <c r="A84" s="1"/>
      <c r="B84" s="323"/>
      <c r="C84" s="324"/>
      <c r="D84" s="324"/>
      <c r="E84" s="324"/>
      <c r="F84" s="324"/>
      <c r="G84" s="324"/>
      <c r="H84" s="324"/>
      <c r="I84" s="324"/>
      <c r="J84" s="325"/>
      <c r="K84" s="33"/>
    </row>
    <row r="85" spans="1:11" s="4" customFormat="1" ht="18.75" customHeight="1" x14ac:dyDescent="0.15">
      <c r="A85" s="1"/>
      <c r="B85" s="323"/>
      <c r="C85" s="324"/>
      <c r="D85" s="324"/>
      <c r="E85" s="324"/>
      <c r="F85" s="324"/>
      <c r="G85" s="324"/>
      <c r="H85" s="324"/>
      <c r="I85" s="324"/>
      <c r="J85" s="325"/>
      <c r="K85" s="33"/>
    </row>
    <row r="86" spans="1:11" ht="18.75" customHeight="1" x14ac:dyDescent="0.15">
      <c r="A86" s="34"/>
      <c r="B86" s="323"/>
      <c r="C86" s="324"/>
      <c r="D86" s="324"/>
      <c r="E86" s="324"/>
      <c r="F86" s="324"/>
      <c r="G86" s="324"/>
      <c r="H86" s="324"/>
      <c r="I86" s="324"/>
      <c r="J86" s="325"/>
      <c r="K86" s="33"/>
    </row>
    <row r="87" spans="1:11" ht="18.75" customHeight="1" x14ac:dyDescent="0.15">
      <c r="A87" s="34"/>
      <c r="B87" s="326"/>
      <c r="C87" s="327"/>
      <c r="D87" s="327"/>
      <c r="E87" s="327"/>
      <c r="F87" s="327"/>
      <c r="G87" s="327"/>
      <c r="H87" s="327"/>
      <c r="I87" s="327"/>
      <c r="J87" s="328"/>
      <c r="K87" s="33"/>
    </row>
    <row r="88" spans="1:11" ht="7.5" customHeight="1" x14ac:dyDescent="0.15">
      <c r="A88" s="34"/>
      <c r="B88" s="120"/>
      <c r="C88" s="120"/>
      <c r="D88" s="120"/>
      <c r="E88" s="120"/>
      <c r="F88" s="120"/>
      <c r="G88" s="120"/>
      <c r="H88" s="120"/>
      <c r="I88" s="120"/>
      <c r="J88" s="120"/>
    </row>
    <row r="89" spans="1:11" s="4" customFormat="1" ht="18.75" customHeight="1" x14ac:dyDescent="0.15">
      <c r="A89" s="1" t="s">
        <v>120</v>
      </c>
      <c r="B89" s="14" t="s">
        <v>121</v>
      </c>
      <c r="C89" s="14"/>
      <c r="D89" s="14"/>
      <c r="E89" s="14"/>
      <c r="F89" s="14"/>
      <c r="G89" s="14"/>
      <c r="H89" s="14"/>
      <c r="I89" s="14"/>
      <c r="J89" s="14"/>
      <c r="K89" s="31"/>
    </row>
    <row r="90" spans="1:11" s="4" customFormat="1" ht="18.75" customHeight="1" x14ac:dyDescent="0.15">
      <c r="A90" s="1"/>
      <c r="B90" s="312" t="s">
        <v>207</v>
      </c>
      <c r="C90" s="313"/>
      <c r="D90" s="313"/>
      <c r="E90" s="313"/>
      <c r="F90" s="313"/>
      <c r="G90" s="313"/>
      <c r="H90" s="313"/>
      <c r="I90" s="321"/>
      <c r="J90" s="322"/>
      <c r="K90" s="31"/>
    </row>
    <row r="91" spans="1:11" s="4" customFormat="1" ht="18.75" customHeight="1" x14ac:dyDescent="0.15">
      <c r="A91" s="1"/>
      <c r="B91" s="323"/>
      <c r="C91" s="324"/>
      <c r="D91" s="324"/>
      <c r="E91" s="324"/>
      <c r="F91" s="324"/>
      <c r="G91" s="324"/>
      <c r="H91" s="324"/>
      <c r="I91" s="324"/>
      <c r="J91" s="325"/>
      <c r="K91" s="33"/>
    </row>
    <row r="92" spans="1:11" s="4" customFormat="1" ht="18.75" customHeight="1" x14ac:dyDescent="0.15">
      <c r="A92" s="1"/>
      <c r="B92" s="323"/>
      <c r="C92" s="324"/>
      <c r="D92" s="324"/>
      <c r="E92" s="324"/>
      <c r="F92" s="324"/>
      <c r="G92" s="324"/>
      <c r="H92" s="324"/>
      <c r="I92" s="324"/>
      <c r="J92" s="325"/>
      <c r="K92" s="33" t="str">
        <f>IF(B90="","入力してください","")</f>
        <v/>
      </c>
    </row>
    <row r="93" spans="1:11" s="4" customFormat="1" ht="18.75" customHeight="1" x14ac:dyDescent="0.15">
      <c r="A93" s="1"/>
      <c r="B93" s="323"/>
      <c r="C93" s="324"/>
      <c r="D93" s="324"/>
      <c r="E93" s="324"/>
      <c r="F93" s="324"/>
      <c r="G93" s="324"/>
      <c r="H93" s="324"/>
      <c r="I93" s="324"/>
      <c r="J93" s="325"/>
      <c r="K93" s="33"/>
    </row>
    <row r="94" spans="1:11" s="4" customFormat="1" ht="18.75" customHeight="1" x14ac:dyDescent="0.15">
      <c r="A94" s="1"/>
      <c r="B94" s="323"/>
      <c r="C94" s="324"/>
      <c r="D94" s="324"/>
      <c r="E94" s="324"/>
      <c r="F94" s="324"/>
      <c r="G94" s="324"/>
      <c r="H94" s="324"/>
      <c r="I94" s="324"/>
      <c r="J94" s="325"/>
      <c r="K94" s="33"/>
    </row>
    <row r="95" spans="1:11" s="4" customFormat="1" ht="18.75" customHeight="1" x14ac:dyDescent="0.15">
      <c r="A95" s="1"/>
      <c r="B95" s="323"/>
      <c r="C95" s="324"/>
      <c r="D95" s="324"/>
      <c r="E95" s="324"/>
      <c r="F95" s="324"/>
      <c r="G95" s="324"/>
      <c r="H95" s="324"/>
      <c r="I95" s="324"/>
      <c r="J95" s="325"/>
      <c r="K95" s="33"/>
    </row>
    <row r="96" spans="1:11" s="4" customFormat="1" ht="18.75" customHeight="1" x14ac:dyDescent="0.15">
      <c r="A96" s="1"/>
      <c r="B96" s="323"/>
      <c r="C96" s="324"/>
      <c r="D96" s="324"/>
      <c r="E96" s="324"/>
      <c r="F96" s="324"/>
      <c r="G96" s="324"/>
      <c r="H96" s="324"/>
      <c r="I96" s="324"/>
      <c r="J96" s="325"/>
      <c r="K96" s="33"/>
    </row>
    <row r="97" spans="1:11" s="4" customFormat="1" ht="18.75" customHeight="1" x14ac:dyDescent="0.15">
      <c r="A97" s="1"/>
      <c r="B97" s="323"/>
      <c r="C97" s="324"/>
      <c r="D97" s="324"/>
      <c r="E97" s="324"/>
      <c r="F97" s="324"/>
      <c r="G97" s="324"/>
      <c r="H97" s="324"/>
      <c r="I97" s="324"/>
      <c r="J97" s="325"/>
      <c r="K97" s="33"/>
    </row>
    <row r="98" spans="1:11" s="4" customFormat="1" ht="18.75" customHeight="1" x14ac:dyDescent="0.15">
      <c r="A98" s="1"/>
      <c r="B98" s="323"/>
      <c r="C98" s="324"/>
      <c r="D98" s="324"/>
      <c r="E98" s="324"/>
      <c r="F98" s="324"/>
      <c r="G98" s="324"/>
      <c r="H98" s="324"/>
      <c r="I98" s="324"/>
      <c r="J98" s="325"/>
      <c r="K98" s="33"/>
    </row>
    <row r="99" spans="1:11" s="4" customFormat="1" ht="18.75" customHeight="1" x14ac:dyDescent="0.15">
      <c r="A99" s="1"/>
      <c r="B99" s="323"/>
      <c r="C99" s="324"/>
      <c r="D99" s="324"/>
      <c r="E99" s="324"/>
      <c r="F99" s="324"/>
      <c r="G99" s="324"/>
      <c r="H99" s="324"/>
      <c r="I99" s="324"/>
      <c r="J99" s="325"/>
      <c r="K99" s="33"/>
    </row>
    <row r="100" spans="1:11" s="4" customFormat="1" ht="18.75" customHeight="1" x14ac:dyDescent="0.15">
      <c r="A100" s="1"/>
      <c r="B100" s="323"/>
      <c r="C100" s="324"/>
      <c r="D100" s="324"/>
      <c r="E100" s="324"/>
      <c r="F100" s="324"/>
      <c r="G100" s="324"/>
      <c r="H100" s="324"/>
      <c r="I100" s="324"/>
      <c r="J100" s="325"/>
      <c r="K100" s="33"/>
    </row>
    <row r="101" spans="1:11" s="4" customFormat="1" ht="18.75" customHeight="1" x14ac:dyDescent="0.15">
      <c r="A101" s="1"/>
      <c r="B101" s="323"/>
      <c r="C101" s="324"/>
      <c r="D101" s="324"/>
      <c r="E101" s="324"/>
      <c r="F101" s="324"/>
      <c r="G101" s="324"/>
      <c r="H101" s="324"/>
      <c r="I101" s="324"/>
      <c r="J101" s="325"/>
      <c r="K101" s="33"/>
    </row>
    <row r="102" spans="1:11" s="4" customFormat="1" ht="18.75" customHeight="1" x14ac:dyDescent="0.15">
      <c r="A102" s="1"/>
      <c r="B102" s="323"/>
      <c r="C102" s="324"/>
      <c r="D102" s="324"/>
      <c r="E102" s="324"/>
      <c r="F102" s="324"/>
      <c r="G102" s="324"/>
      <c r="H102" s="324"/>
      <c r="I102" s="324"/>
      <c r="J102" s="325"/>
      <c r="K102" s="33"/>
    </row>
    <row r="103" spans="1:11" s="4" customFormat="1" ht="18.75" customHeight="1" x14ac:dyDescent="0.15">
      <c r="A103" s="1"/>
      <c r="B103" s="323"/>
      <c r="C103" s="324"/>
      <c r="D103" s="324"/>
      <c r="E103" s="324"/>
      <c r="F103" s="324"/>
      <c r="G103" s="324"/>
      <c r="H103" s="324"/>
      <c r="I103" s="324"/>
      <c r="J103" s="325"/>
      <c r="K103" s="33"/>
    </row>
    <row r="104" spans="1:11" s="4" customFormat="1" ht="18.75" customHeight="1" x14ac:dyDescent="0.15">
      <c r="A104" s="1"/>
      <c r="B104" s="323"/>
      <c r="C104" s="324"/>
      <c r="D104" s="324"/>
      <c r="E104" s="324"/>
      <c r="F104" s="324"/>
      <c r="G104" s="324"/>
      <c r="H104" s="324"/>
      <c r="I104" s="324"/>
      <c r="J104" s="325"/>
      <c r="K104" s="33"/>
    </row>
    <row r="105" spans="1:11" s="4" customFormat="1" ht="18.75" customHeight="1" x14ac:dyDescent="0.15">
      <c r="A105" s="1"/>
      <c r="B105" s="323"/>
      <c r="C105" s="324"/>
      <c r="D105" s="324"/>
      <c r="E105" s="324"/>
      <c r="F105" s="324"/>
      <c r="G105" s="324"/>
      <c r="H105" s="324"/>
      <c r="I105" s="324"/>
      <c r="J105" s="325"/>
      <c r="K105" s="33"/>
    </row>
    <row r="106" spans="1:11" s="4" customFormat="1" ht="18.75" customHeight="1" x14ac:dyDescent="0.15">
      <c r="A106" s="1"/>
      <c r="B106" s="323"/>
      <c r="C106" s="324"/>
      <c r="D106" s="324"/>
      <c r="E106" s="324"/>
      <c r="F106" s="324"/>
      <c r="G106" s="324"/>
      <c r="H106" s="324"/>
      <c r="I106" s="324"/>
      <c r="J106" s="325"/>
      <c r="K106" s="33"/>
    </row>
    <row r="107" spans="1:11" s="4" customFormat="1" ht="18.75" customHeight="1" x14ac:dyDescent="0.15">
      <c r="A107" s="1"/>
      <c r="B107" s="323"/>
      <c r="C107" s="324"/>
      <c r="D107" s="324"/>
      <c r="E107" s="324"/>
      <c r="F107" s="324"/>
      <c r="G107" s="324"/>
      <c r="H107" s="324"/>
      <c r="I107" s="324"/>
      <c r="J107" s="325"/>
      <c r="K107" s="33"/>
    </row>
    <row r="108" spans="1:11" ht="18.75" customHeight="1" x14ac:dyDescent="0.15">
      <c r="A108" s="34"/>
      <c r="B108" s="323"/>
      <c r="C108" s="324"/>
      <c r="D108" s="324"/>
      <c r="E108" s="324"/>
      <c r="F108" s="324"/>
      <c r="G108" s="324"/>
      <c r="H108" s="324"/>
      <c r="I108" s="324"/>
      <c r="J108" s="325"/>
      <c r="K108" s="33"/>
    </row>
    <row r="109" spans="1:11" ht="18.75" customHeight="1" x14ac:dyDescent="0.15">
      <c r="A109" s="34"/>
      <c r="B109" s="326"/>
      <c r="C109" s="327"/>
      <c r="D109" s="327"/>
      <c r="E109" s="327"/>
      <c r="F109" s="327"/>
      <c r="G109" s="327"/>
      <c r="H109" s="327"/>
      <c r="I109" s="327"/>
      <c r="J109" s="328"/>
      <c r="K109" s="33"/>
    </row>
    <row r="110" spans="1:11" ht="7.5" customHeight="1" x14ac:dyDescent="0.15">
      <c r="A110" s="34"/>
      <c r="B110" s="120"/>
      <c r="C110" s="120"/>
      <c r="D110" s="120"/>
      <c r="E110" s="120"/>
      <c r="F110" s="120"/>
      <c r="G110" s="120"/>
      <c r="H110" s="120"/>
      <c r="I110" s="120"/>
      <c r="J110" s="120"/>
    </row>
    <row r="111" spans="1:11" s="4" customFormat="1" ht="18.75" customHeight="1" x14ac:dyDescent="0.15">
      <c r="A111" s="1" t="s">
        <v>16</v>
      </c>
      <c r="B111" s="329" t="s">
        <v>122</v>
      </c>
      <c r="C111" s="329"/>
      <c r="D111" s="329"/>
      <c r="E111" s="329"/>
      <c r="F111" s="329"/>
      <c r="G111" s="329"/>
      <c r="H111" s="329"/>
      <c r="I111" s="329"/>
      <c r="J111" s="329"/>
      <c r="K111" s="31"/>
    </row>
    <row r="112" spans="1:11" ht="18.75" customHeight="1" x14ac:dyDescent="0.15">
      <c r="A112" s="34"/>
      <c r="B112" s="330" t="s">
        <v>197</v>
      </c>
      <c r="C112" s="313"/>
      <c r="D112" s="313"/>
      <c r="E112" s="313"/>
      <c r="F112" s="313"/>
      <c r="G112" s="313"/>
      <c r="H112" s="313"/>
      <c r="I112" s="321"/>
      <c r="J112" s="322"/>
    </row>
    <row r="113" spans="1:11" ht="18.75" customHeight="1" x14ac:dyDescent="0.15">
      <c r="A113" s="34"/>
      <c r="B113" s="323"/>
      <c r="C113" s="324"/>
      <c r="D113" s="324"/>
      <c r="E113" s="324"/>
      <c r="F113" s="324"/>
      <c r="G113" s="324"/>
      <c r="H113" s="324"/>
      <c r="I113" s="324"/>
      <c r="J113" s="325"/>
      <c r="K113" s="33"/>
    </row>
    <row r="114" spans="1:11" ht="18.75" customHeight="1" x14ac:dyDescent="0.15">
      <c r="A114" s="34"/>
      <c r="B114" s="323"/>
      <c r="C114" s="324"/>
      <c r="D114" s="324"/>
      <c r="E114" s="324"/>
      <c r="F114" s="324"/>
      <c r="G114" s="324"/>
      <c r="H114" s="324"/>
      <c r="I114" s="324"/>
      <c r="J114" s="325"/>
      <c r="K114" s="31" t="str">
        <f>IF(B112="","入力してください","")</f>
        <v/>
      </c>
    </row>
    <row r="115" spans="1:11" ht="18.75" customHeight="1" x14ac:dyDescent="0.15">
      <c r="A115" s="34"/>
      <c r="B115" s="323"/>
      <c r="C115" s="324"/>
      <c r="D115" s="324"/>
      <c r="E115" s="324"/>
      <c r="F115" s="324"/>
      <c r="G115" s="324"/>
      <c r="H115" s="324"/>
      <c r="I115" s="324"/>
      <c r="J115" s="325"/>
    </row>
    <row r="116" spans="1:11" ht="18.75" customHeight="1" x14ac:dyDescent="0.15">
      <c r="A116" s="34"/>
      <c r="B116" s="323"/>
      <c r="C116" s="324"/>
      <c r="D116" s="324"/>
      <c r="E116" s="324"/>
      <c r="F116" s="324"/>
      <c r="G116" s="324"/>
      <c r="H116" s="324"/>
      <c r="I116" s="324"/>
      <c r="J116" s="325"/>
    </row>
    <row r="117" spans="1:11" ht="18.75" customHeight="1" x14ac:dyDescent="0.15">
      <c r="A117" s="34"/>
      <c r="B117" s="323"/>
      <c r="C117" s="324"/>
      <c r="D117" s="324"/>
      <c r="E117" s="324"/>
      <c r="F117" s="324"/>
      <c r="G117" s="324"/>
      <c r="H117" s="324"/>
      <c r="I117" s="324"/>
      <c r="J117" s="325"/>
    </row>
    <row r="118" spans="1:11" ht="18.75" customHeight="1" x14ac:dyDescent="0.15">
      <c r="A118" s="34"/>
      <c r="B118" s="323"/>
      <c r="C118" s="324"/>
      <c r="D118" s="324"/>
      <c r="E118" s="324"/>
      <c r="F118" s="324"/>
      <c r="G118" s="324"/>
      <c r="H118" s="324"/>
      <c r="I118" s="324"/>
      <c r="J118" s="325"/>
    </row>
    <row r="119" spans="1:11" ht="18.75" customHeight="1" x14ac:dyDescent="0.15">
      <c r="A119" s="34"/>
      <c r="B119" s="323"/>
      <c r="C119" s="324"/>
      <c r="D119" s="324"/>
      <c r="E119" s="324"/>
      <c r="F119" s="324"/>
      <c r="G119" s="324"/>
      <c r="H119" s="324"/>
      <c r="I119" s="324"/>
      <c r="J119" s="325"/>
    </row>
    <row r="120" spans="1:11" ht="18.75" customHeight="1" x14ac:dyDescent="0.15">
      <c r="A120" s="34"/>
      <c r="B120" s="323"/>
      <c r="C120" s="324"/>
      <c r="D120" s="324"/>
      <c r="E120" s="324"/>
      <c r="F120" s="324"/>
      <c r="G120" s="324"/>
      <c r="H120" s="324"/>
      <c r="I120" s="324"/>
      <c r="J120" s="325"/>
    </row>
    <row r="121" spans="1:11" ht="18.75" customHeight="1" x14ac:dyDescent="0.15">
      <c r="A121" s="34"/>
      <c r="B121" s="323"/>
      <c r="C121" s="324"/>
      <c r="D121" s="324"/>
      <c r="E121" s="324"/>
      <c r="F121" s="324"/>
      <c r="G121" s="324"/>
      <c r="H121" s="324"/>
      <c r="I121" s="324"/>
      <c r="J121" s="325"/>
    </row>
    <row r="122" spans="1:11" ht="18.75" customHeight="1" x14ac:dyDescent="0.15">
      <c r="A122" s="34"/>
      <c r="B122" s="323"/>
      <c r="C122" s="324"/>
      <c r="D122" s="324"/>
      <c r="E122" s="324"/>
      <c r="F122" s="324"/>
      <c r="G122" s="324"/>
      <c r="H122" s="324"/>
      <c r="I122" s="324"/>
      <c r="J122" s="325"/>
    </row>
    <row r="123" spans="1:11" ht="18.75" customHeight="1" x14ac:dyDescent="0.15">
      <c r="A123" s="34"/>
      <c r="B123" s="323"/>
      <c r="C123" s="324"/>
      <c r="D123" s="324"/>
      <c r="E123" s="324"/>
      <c r="F123" s="324"/>
      <c r="G123" s="324"/>
      <c r="H123" s="324"/>
      <c r="I123" s="324"/>
      <c r="J123" s="325"/>
    </row>
    <row r="124" spans="1:11" ht="18.75" customHeight="1" x14ac:dyDescent="0.15">
      <c r="A124" s="34"/>
      <c r="B124" s="323"/>
      <c r="C124" s="324"/>
      <c r="D124" s="324"/>
      <c r="E124" s="324"/>
      <c r="F124" s="324"/>
      <c r="G124" s="324"/>
      <c r="H124" s="324"/>
      <c r="I124" s="324"/>
      <c r="J124" s="325"/>
    </row>
    <row r="125" spans="1:11" ht="18.75" customHeight="1" x14ac:dyDescent="0.15">
      <c r="A125" s="34"/>
      <c r="B125" s="323"/>
      <c r="C125" s="324"/>
      <c r="D125" s="324"/>
      <c r="E125" s="324"/>
      <c r="F125" s="324"/>
      <c r="G125" s="324"/>
      <c r="H125" s="324"/>
      <c r="I125" s="324"/>
      <c r="J125" s="325"/>
    </row>
    <row r="126" spans="1:11" ht="18.75" customHeight="1" x14ac:dyDescent="0.15">
      <c r="A126" s="34"/>
      <c r="B126" s="323"/>
      <c r="C126" s="324"/>
      <c r="D126" s="324"/>
      <c r="E126" s="324"/>
      <c r="F126" s="324"/>
      <c r="G126" s="324"/>
      <c r="H126" s="324"/>
      <c r="I126" s="324"/>
      <c r="J126" s="325"/>
    </row>
    <row r="127" spans="1:11" ht="18.75" customHeight="1" x14ac:dyDescent="0.15">
      <c r="A127" s="34"/>
      <c r="B127" s="323"/>
      <c r="C127" s="324"/>
      <c r="D127" s="324"/>
      <c r="E127" s="324"/>
      <c r="F127" s="324"/>
      <c r="G127" s="324"/>
      <c r="H127" s="324"/>
      <c r="I127" s="324"/>
      <c r="J127" s="325"/>
    </row>
    <row r="128" spans="1:11" ht="18.75" customHeight="1" x14ac:dyDescent="0.15">
      <c r="A128" s="34"/>
      <c r="B128" s="323"/>
      <c r="C128" s="324"/>
      <c r="D128" s="324"/>
      <c r="E128" s="324"/>
      <c r="F128" s="324"/>
      <c r="G128" s="324"/>
      <c r="H128" s="324"/>
      <c r="I128" s="324"/>
      <c r="J128" s="325"/>
    </row>
    <row r="129" spans="1:10" ht="18.75" customHeight="1" x14ac:dyDescent="0.15">
      <c r="A129" s="34"/>
      <c r="B129" s="323"/>
      <c r="C129" s="324"/>
      <c r="D129" s="324"/>
      <c r="E129" s="324"/>
      <c r="F129" s="324"/>
      <c r="G129" s="324"/>
      <c r="H129" s="324"/>
      <c r="I129" s="324"/>
      <c r="J129" s="325"/>
    </row>
    <row r="130" spans="1:10" ht="18.75" customHeight="1" x14ac:dyDescent="0.15">
      <c r="A130" s="34"/>
      <c r="B130" s="326"/>
      <c r="C130" s="327"/>
      <c r="D130" s="327"/>
      <c r="E130" s="327"/>
      <c r="F130" s="327"/>
      <c r="G130" s="327"/>
      <c r="H130" s="327"/>
      <c r="I130" s="327"/>
      <c r="J130" s="328"/>
    </row>
    <row r="131" spans="1:10" ht="7.5" customHeight="1" x14ac:dyDescent="0.15">
      <c r="A131" s="34"/>
      <c r="B131" s="96"/>
      <c r="C131" s="96"/>
      <c r="D131" s="96"/>
      <c r="E131" s="96"/>
      <c r="F131" s="96"/>
      <c r="G131" s="96"/>
      <c r="H131" s="96"/>
      <c r="I131" s="96"/>
      <c r="J131" s="96"/>
    </row>
    <row r="132" spans="1:10" ht="18.75" customHeight="1" x14ac:dyDescent="0.15">
      <c r="A132" s="34"/>
      <c r="B132" s="34"/>
      <c r="C132" s="34"/>
      <c r="D132" s="34"/>
      <c r="E132" s="34"/>
      <c r="F132" s="34"/>
      <c r="G132" s="34"/>
      <c r="H132" s="34"/>
      <c r="I132" s="34"/>
      <c r="J132" s="34"/>
    </row>
    <row r="133" spans="1:10" ht="18.75" customHeight="1" x14ac:dyDescent="0.15">
      <c r="A133" s="34"/>
      <c r="B133" s="34"/>
      <c r="C133" s="34"/>
      <c r="D133" s="34"/>
      <c r="E133" s="34"/>
      <c r="F133" s="34"/>
      <c r="G133" s="34"/>
      <c r="H133" s="34"/>
      <c r="I133" s="34"/>
      <c r="J133" s="34"/>
    </row>
    <row r="134" spans="1:10" ht="18.75" customHeight="1" x14ac:dyDescent="0.15">
      <c r="A134" s="34"/>
      <c r="B134" s="34"/>
      <c r="C134" s="34"/>
      <c r="D134" s="34"/>
      <c r="E134" s="34"/>
      <c r="F134" s="34"/>
      <c r="G134" s="34"/>
      <c r="H134" s="34"/>
      <c r="I134" s="34"/>
      <c r="J134" s="34"/>
    </row>
    <row r="135" spans="1:10" ht="18.75" customHeight="1" x14ac:dyDescent="0.15">
      <c r="A135" s="34"/>
      <c r="B135" s="34"/>
      <c r="C135" s="34"/>
      <c r="D135" s="34"/>
      <c r="E135" s="34"/>
      <c r="F135" s="34"/>
      <c r="G135" s="34"/>
      <c r="H135" s="34"/>
      <c r="I135" s="34"/>
      <c r="J135" s="34"/>
    </row>
    <row r="136" spans="1:10" ht="18.75" customHeight="1" x14ac:dyDescent="0.15">
      <c r="A136" s="34"/>
      <c r="B136" s="34"/>
      <c r="C136" s="34"/>
      <c r="D136" s="34"/>
      <c r="E136" s="34"/>
      <c r="F136" s="34"/>
      <c r="G136" s="34"/>
      <c r="H136" s="34"/>
      <c r="I136" s="34"/>
      <c r="J136" s="34"/>
    </row>
    <row r="137" spans="1:10" ht="18.75" customHeight="1" x14ac:dyDescent="0.15">
      <c r="A137" s="34"/>
      <c r="B137" s="34"/>
      <c r="C137" s="34"/>
      <c r="D137" s="34"/>
      <c r="E137" s="34"/>
      <c r="F137" s="34"/>
      <c r="G137" s="34"/>
      <c r="H137" s="34"/>
      <c r="I137" s="34"/>
      <c r="J137" s="34"/>
    </row>
    <row r="138" spans="1:10" ht="18.75" customHeight="1" x14ac:dyDescent="0.15">
      <c r="A138" s="34"/>
      <c r="B138" s="34"/>
      <c r="C138" s="34"/>
      <c r="D138" s="34"/>
      <c r="E138" s="34"/>
      <c r="F138" s="34"/>
      <c r="G138" s="34"/>
      <c r="H138" s="34"/>
      <c r="I138" s="34"/>
      <c r="J138" s="34"/>
    </row>
    <row r="139" spans="1:10" ht="18.75" customHeight="1" x14ac:dyDescent="0.15">
      <c r="A139" s="34"/>
      <c r="B139" s="34"/>
      <c r="C139" s="34"/>
      <c r="D139" s="34"/>
      <c r="E139" s="34"/>
      <c r="F139" s="34"/>
      <c r="G139" s="34"/>
      <c r="H139" s="34"/>
      <c r="I139" s="34"/>
      <c r="J139" s="34"/>
    </row>
    <row r="140" spans="1:10" ht="18.75" customHeight="1" x14ac:dyDescent="0.15">
      <c r="A140" s="34"/>
      <c r="B140" s="34"/>
      <c r="C140" s="34"/>
      <c r="D140" s="34"/>
      <c r="E140" s="34"/>
      <c r="F140" s="34"/>
      <c r="G140" s="34"/>
      <c r="H140" s="34"/>
      <c r="I140" s="34"/>
      <c r="J140" s="34"/>
    </row>
    <row r="141" spans="1:10" ht="18.75" customHeight="1" x14ac:dyDescent="0.15">
      <c r="A141" s="34"/>
      <c r="B141" s="34"/>
      <c r="C141" s="34"/>
      <c r="D141" s="34"/>
      <c r="E141" s="34"/>
      <c r="F141" s="34"/>
      <c r="G141" s="34"/>
      <c r="H141" s="34"/>
      <c r="I141" s="34"/>
      <c r="J141" s="34"/>
    </row>
    <row r="142" spans="1:10" ht="18.75" customHeight="1" x14ac:dyDescent="0.15">
      <c r="A142" s="34"/>
      <c r="B142" s="34"/>
      <c r="C142" s="34"/>
      <c r="D142" s="34"/>
      <c r="E142" s="34"/>
      <c r="F142" s="34"/>
      <c r="G142" s="34"/>
      <c r="H142" s="34"/>
      <c r="I142" s="34"/>
      <c r="J142" s="34"/>
    </row>
    <row r="143" spans="1:10" ht="18.75" customHeight="1" x14ac:dyDescent="0.15">
      <c r="A143" s="34"/>
      <c r="B143" s="34"/>
      <c r="C143" s="34"/>
      <c r="D143" s="34"/>
      <c r="E143" s="34"/>
      <c r="F143" s="34"/>
      <c r="G143" s="34"/>
      <c r="H143" s="34"/>
      <c r="I143" s="34"/>
      <c r="J143" s="34"/>
    </row>
    <row r="144" spans="1:10" ht="14.25" x14ac:dyDescent="0.15">
      <c r="A144" s="34"/>
      <c r="B144" s="34"/>
      <c r="C144" s="34"/>
      <c r="D144" s="34"/>
      <c r="E144" s="34"/>
      <c r="F144" s="34"/>
      <c r="G144" s="34"/>
      <c r="H144" s="34"/>
      <c r="I144" s="34"/>
      <c r="J144" s="34"/>
    </row>
    <row r="145" spans="1:10" ht="7.5" customHeight="1" x14ac:dyDescent="0.15">
      <c r="A145" s="97"/>
      <c r="B145" s="97"/>
      <c r="C145" s="97"/>
      <c r="D145" s="97"/>
      <c r="E145" s="97"/>
      <c r="F145" s="97"/>
      <c r="G145" s="97"/>
      <c r="H145" s="97"/>
      <c r="I145" s="97"/>
      <c r="J145" s="97"/>
    </row>
  </sheetData>
  <mergeCells count="11">
    <mergeCell ref="B32:J45"/>
    <mergeCell ref="A2:J2"/>
    <mergeCell ref="B5:J5"/>
    <mergeCell ref="B8:J12"/>
    <mergeCell ref="B15:J26"/>
    <mergeCell ref="B31:J31"/>
    <mergeCell ref="B47:J67"/>
    <mergeCell ref="B70:J87"/>
    <mergeCell ref="B90:J109"/>
    <mergeCell ref="B111:J111"/>
    <mergeCell ref="B112:J1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5" max="9" man="1"/>
    <brk id="88"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K26"/>
  <sheetViews>
    <sheetView showZeros="0" tabSelected="1" view="pageBreakPreview" topLeftCell="A16" zoomScaleNormal="100" zoomScaleSheetLayoutView="100" workbookViewId="0">
      <selection activeCell="J18" sqref="J18"/>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123</v>
      </c>
      <c r="J1" s="116" t="s">
        <v>124</v>
      </c>
    </row>
    <row r="2" spans="1:11" ht="18.75" customHeight="1" x14ac:dyDescent="0.15">
      <c r="A2" s="296" t="s">
        <v>125</v>
      </c>
      <c r="B2" s="296"/>
      <c r="C2" s="296"/>
      <c r="D2" s="296"/>
      <c r="E2" s="296"/>
      <c r="F2" s="296"/>
      <c r="G2" s="296"/>
      <c r="H2" s="296"/>
      <c r="I2" s="296"/>
      <c r="J2" s="296"/>
    </row>
    <row r="3" spans="1:11" ht="7.5" customHeight="1" x14ac:dyDescent="0.15">
      <c r="A3" s="117"/>
      <c r="B3" s="117"/>
      <c r="C3" s="117"/>
      <c r="D3" s="117"/>
      <c r="E3" s="117"/>
      <c r="F3" s="117"/>
      <c r="G3" s="117"/>
      <c r="H3" s="117"/>
      <c r="I3" s="117"/>
      <c r="J3" s="117"/>
    </row>
    <row r="4" spans="1:11" ht="18.75" customHeight="1" x14ac:dyDescent="0.15">
      <c r="A4" s="1" t="s">
        <v>2</v>
      </c>
      <c r="B4" s="4" t="s">
        <v>126</v>
      </c>
      <c r="C4" s="34"/>
      <c r="D4" s="34"/>
      <c r="E4" s="35"/>
      <c r="F4" s="35"/>
      <c r="G4" s="35"/>
      <c r="H4" s="35"/>
      <c r="I4" s="35"/>
      <c r="J4" s="35"/>
    </row>
    <row r="5" spans="1:11" ht="18.75" customHeight="1" x14ac:dyDescent="0.15">
      <c r="B5" s="375" t="s">
        <v>127</v>
      </c>
      <c r="C5" s="376"/>
      <c r="D5" s="377"/>
      <c r="E5" s="378" t="s">
        <v>128</v>
      </c>
      <c r="F5" s="378"/>
      <c r="G5" s="378"/>
      <c r="H5" s="378"/>
      <c r="I5" s="378"/>
      <c r="J5" s="379"/>
    </row>
    <row r="6" spans="1:11" ht="18.75" customHeight="1" x14ac:dyDescent="0.15">
      <c r="B6" s="3" t="s">
        <v>129</v>
      </c>
      <c r="C6" s="34"/>
      <c r="D6" s="7"/>
      <c r="I6" s="35"/>
      <c r="J6" s="5"/>
    </row>
    <row r="7" spans="1:11" ht="207" customHeight="1" x14ac:dyDescent="0.15">
      <c r="B7" s="6"/>
      <c r="C7" s="363" t="s">
        <v>130</v>
      </c>
      <c r="D7" s="364"/>
      <c r="E7" s="369" t="s">
        <v>203</v>
      </c>
      <c r="F7" s="370"/>
      <c r="G7" s="370"/>
      <c r="H7" s="370"/>
      <c r="I7" s="370"/>
      <c r="J7" s="371"/>
      <c r="K7" s="31" t="str">
        <f>IF(E7="","入力してください","")</f>
        <v/>
      </c>
    </row>
    <row r="8" spans="1:11" ht="207" customHeight="1" x14ac:dyDescent="0.15">
      <c r="B8" s="6"/>
      <c r="C8" s="373" t="s">
        <v>131</v>
      </c>
      <c r="D8" s="374"/>
      <c r="E8" s="369" t="s">
        <v>199</v>
      </c>
      <c r="F8" s="370"/>
      <c r="G8" s="370"/>
      <c r="H8" s="370"/>
      <c r="I8" s="370"/>
      <c r="J8" s="371"/>
      <c r="K8" s="31" t="str">
        <f>IF(E8="","入力してください","")</f>
        <v/>
      </c>
    </row>
    <row r="9" spans="1:11" ht="172.5" customHeight="1" x14ac:dyDescent="0.15">
      <c r="B9" s="6"/>
      <c r="C9" s="363" t="s">
        <v>132</v>
      </c>
      <c r="D9" s="364"/>
      <c r="E9" s="369" t="s">
        <v>201</v>
      </c>
      <c r="F9" s="370"/>
      <c r="G9" s="370"/>
      <c r="H9" s="370"/>
      <c r="I9" s="370"/>
      <c r="J9" s="371"/>
      <c r="K9" s="31" t="str">
        <f>IF(E9="","入力してください","")</f>
        <v/>
      </c>
    </row>
    <row r="10" spans="1:11" ht="172.5" customHeight="1" x14ac:dyDescent="0.15">
      <c r="B10" s="6"/>
      <c r="C10" s="363" t="s">
        <v>133</v>
      </c>
      <c r="D10" s="364"/>
      <c r="E10" s="372" t="s">
        <v>202</v>
      </c>
      <c r="F10" s="365"/>
      <c r="G10" s="365"/>
      <c r="H10" s="365"/>
      <c r="I10" s="365"/>
      <c r="J10" s="366"/>
      <c r="K10" s="31" t="str">
        <f t="shared" ref="K10:K14" si="0">IF(E10="","入力してください","")</f>
        <v/>
      </c>
    </row>
    <row r="11" spans="1:11" ht="172.5" customHeight="1" x14ac:dyDescent="0.15">
      <c r="B11" s="6"/>
      <c r="C11" s="363" t="s">
        <v>134</v>
      </c>
      <c r="D11" s="364"/>
      <c r="E11" s="372" t="s">
        <v>204</v>
      </c>
      <c r="F11" s="365"/>
      <c r="G11" s="365"/>
      <c r="H11" s="365"/>
      <c r="I11" s="365"/>
      <c r="J11" s="366"/>
      <c r="K11" s="31" t="str">
        <f t="shared" si="0"/>
        <v/>
      </c>
    </row>
    <row r="12" spans="1:11" ht="18.75" customHeight="1" x14ac:dyDescent="0.15">
      <c r="B12" s="9" t="s">
        <v>135</v>
      </c>
      <c r="C12" s="28"/>
      <c r="D12" s="8"/>
      <c r="E12" s="121"/>
      <c r="F12" s="121"/>
      <c r="G12" s="121"/>
      <c r="H12" s="121"/>
      <c r="I12" s="121"/>
      <c r="J12" s="122"/>
    </row>
    <row r="13" spans="1:11" ht="244.15" customHeight="1" x14ac:dyDescent="0.15">
      <c r="B13" s="6"/>
      <c r="C13" s="363" t="s">
        <v>136</v>
      </c>
      <c r="D13" s="364"/>
      <c r="E13" s="365" t="s">
        <v>205</v>
      </c>
      <c r="F13" s="365"/>
      <c r="G13" s="365"/>
      <c r="H13" s="365"/>
      <c r="I13" s="365"/>
      <c r="J13" s="366"/>
      <c r="K13" s="31" t="str">
        <f t="shared" si="0"/>
        <v/>
      </c>
    </row>
    <row r="14" spans="1:11" ht="255" customHeight="1" x14ac:dyDescent="0.15">
      <c r="B14" s="6"/>
      <c r="C14" s="363" t="s">
        <v>137</v>
      </c>
      <c r="D14" s="364"/>
      <c r="E14" s="365" t="s">
        <v>171</v>
      </c>
      <c r="F14" s="365"/>
      <c r="G14" s="365"/>
      <c r="H14" s="365"/>
      <c r="I14" s="365"/>
      <c r="J14" s="366"/>
      <c r="K14" s="31" t="str">
        <f t="shared" si="0"/>
        <v/>
      </c>
    </row>
    <row r="15" spans="1:11" ht="243" customHeight="1" x14ac:dyDescent="0.15">
      <c r="B15" s="367" t="s">
        <v>138</v>
      </c>
      <c r="C15" s="368"/>
      <c r="D15" s="364"/>
      <c r="E15" s="365" t="s">
        <v>172</v>
      </c>
      <c r="F15" s="365"/>
      <c r="G15" s="365"/>
      <c r="H15" s="365"/>
      <c r="I15" s="365"/>
      <c r="J15" s="366"/>
      <c r="K15" s="31" t="str">
        <f>IF(E15="","入力してください","")</f>
        <v/>
      </c>
    </row>
    <row r="16" spans="1:11" ht="243" customHeight="1" x14ac:dyDescent="0.15">
      <c r="A16" s="31"/>
      <c r="B16" s="355" t="s">
        <v>139</v>
      </c>
      <c r="C16" s="356"/>
      <c r="D16" s="357"/>
      <c r="E16" s="358" t="s">
        <v>186</v>
      </c>
      <c r="F16" s="358"/>
      <c r="G16" s="358"/>
      <c r="H16" s="358"/>
      <c r="I16" s="358"/>
      <c r="J16" s="359"/>
      <c r="K16" s="31" t="str">
        <f>IF(E16="","入力してください","")</f>
        <v/>
      </c>
    </row>
    <row r="17" spans="1:11" ht="7.5" customHeight="1" x14ac:dyDescent="0.15">
      <c r="B17" s="34"/>
      <c r="C17" s="34"/>
      <c r="D17" s="34"/>
      <c r="E17" s="35"/>
      <c r="F17" s="35"/>
      <c r="G17" s="35"/>
      <c r="H17" s="35"/>
      <c r="I17" s="35"/>
      <c r="J17" s="35"/>
    </row>
    <row r="18" spans="1:11" ht="18.75" customHeight="1" x14ac:dyDescent="0.15">
      <c r="A18" s="1" t="s">
        <v>140</v>
      </c>
      <c r="B18" s="4"/>
      <c r="C18" s="34"/>
      <c r="D18" s="34"/>
      <c r="E18" s="35"/>
      <c r="F18" s="86"/>
      <c r="G18" s="360" t="s">
        <v>245</v>
      </c>
      <c r="H18" s="361"/>
      <c r="I18" s="361"/>
      <c r="J18" s="362"/>
      <c r="K18" s="31" t="str">
        <f>IF(G18="","入力してください","")</f>
        <v/>
      </c>
    </row>
    <row r="19" spans="1:11" ht="22.5" customHeight="1" x14ac:dyDescent="0.15">
      <c r="B19" s="34"/>
      <c r="C19" s="34"/>
      <c r="D19" s="34"/>
      <c r="E19" s="35"/>
      <c r="F19" s="35"/>
      <c r="G19" s="35"/>
      <c r="H19" s="35"/>
      <c r="I19" s="35"/>
      <c r="J19" s="35"/>
    </row>
    <row r="20" spans="1:11" ht="22.5" customHeight="1" x14ac:dyDescent="0.15">
      <c r="B20" s="34"/>
      <c r="C20" s="34"/>
      <c r="D20" s="34"/>
      <c r="E20" s="35"/>
      <c r="F20" s="35"/>
      <c r="G20" s="35"/>
      <c r="H20" s="35"/>
      <c r="I20" s="35"/>
      <c r="J20" s="35"/>
    </row>
    <row r="21" spans="1:11" ht="22.5" customHeight="1" x14ac:dyDescent="0.15">
      <c r="B21" s="34"/>
      <c r="C21" s="34"/>
      <c r="D21" s="34"/>
      <c r="E21" s="35"/>
      <c r="F21" s="35"/>
      <c r="G21" s="35"/>
      <c r="H21" s="35"/>
      <c r="I21" s="35"/>
      <c r="J21" s="35"/>
    </row>
    <row r="22" spans="1:11" ht="22.5" customHeight="1" x14ac:dyDescent="0.15">
      <c r="B22" s="34"/>
      <c r="C22" s="34"/>
      <c r="D22" s="34"/>
      <c r="E22" s="35"/>
      <c r="F22" s="35"/>
      <c r="G22" s="35"/>
      <c r="H22" s="35"/>
      <c r="I22" s="35"/>
      <c r="J22" s="35"/>
    </row>
    <row r="23" spans="1:11" ht="22.5" customHeight="1" x14ac:dyDescent="0.15">
      <c r="B23" s="34"/>
      <c r="C23" s="34"/>
      <c r="D23" s="34"/>
      <c r="E23" s="35"/>
      <c r="F23" s="35"/>
      <c r="G23" s="35"/>
      <c r="H23" s="35"/>
      <c r="I23" s="35"/>
      <c r="J23" s="35"/>
    </row>
    <row r="24" spans="1:11" ht="22.5" customHeight="1" x14ac:dyDescent="0.15">
      <c r="B24" s="98"/>
      <c r="C24" s="98"/>
      <c r="D24" s="98"/>
      <c r="E24" s="98"/>
      <c r="F24" s="98"/>
      <c r="G24" s="98"/>
      <c r="H24" s="98"/>
      <c r="I24" s="98"/>
      <c r="J24" s="98"/>
    </row>
    <row r="25" spans="1:11" ht="22.5" customHeight="1" x14ac:dyDescent="0.15">
      <c r="B25" s="98"/>
      <c r="C25" s="98"/>
      <c r="D25" s="98"/>
      <c r="E25" s="98"/>
      <c r="F25" s="98"/>
      <c r="G25" s="98"/>
      <c r="H25" s="98"/>
      <c r="I25" s="98"/>
      <c r="J25" s="98"/>
    </row>
    <row r="26" spans="1:11" ht="22.5" customHeight="1" x14ac:dyDescent="0.15">
      <c r="B26" s="98"/>
      <c r="C26" s="98"/>
      <c r="D26" s="98"/>
      <c r="E26" s="98"/>
      <c r="F26" s="98"/>
      <c r="G26" s="98"/>
      <c r="H26" s="98"/>
      <c r="I26" s="98"/>
      <c r="J26" s="98"/>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election activeCell="J18" sqref="J18"/>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95" t="s">
        <v>141</v>
      </c>
      <c r="F1" s="295"/>
    </row>
    <row r="2" spans="1:6" ht="18.75" customHeight="1" x14ac:dyDescent="0.15">
      <c r="A2" s="380" t="s">
        <v>142</v>
      </c>
      <c r="B2" s="380"/>
      <c r="C2" s="380"/>
      <c r="D2" s="380"/>
      <c r="E2" s="380"/>
      <c r="F2" s="380"/>
    </row>
    <row r="3" spans="1:6" ht="7.5" customHeight="1" x14ac:dyDescent="0.15">
      <c r="A3" s="118"/>
      <c r="B3" s="118"/>
      <c r="C3" s="118"/>
      <c r="D3" s="118"/>
      <c r="E3" s="118"/>
      <c r="F3" s="118"/>
    </row>
    <row r="4" spans="1:6" ht="18.75" customHeight="1" x14ac:dyDescent="0.15">
      <c r="A4" s="118" t="s">
        <v>2</v>
      </c>
      <c r="B4" s="4" t="s">
        <v>143</v>
      </c>
      <c r="C4" s="118"/>
      <c r="D4" s="118"/>
      <c r="E4" s="118"/>
      <c r="F4" s="118"/>
    </row>
    <row r="5" spans="1:6" ht="18.75" customHeight="1" x14ac:dyDescent="0.15">
      <c r="A5" s="118"/>
      <c r="B5" s="381"/>
      <c r="C5" s="382"/>
      <c r="D5" s="382"/>
      <c r="E5" s="382"/>
      <c r="F5" s="383"/>
    </row>
    <row r="6" spans="1:6" ht="18.75" customHeight="1" x14ac:dyDescent="0.15">
      <c r="A6" s="118"/>
      <c r="B6" s="384"/>
      <c r="C6" s="385"/>
      <c r="D6" s="385"/>
      <c r="E6" s="385"/>
      <c r="F6" s="386"/>
    </row>
    <row r="7" spans="1:6" ht="18.75" customHeight="1" x14ac:dyDescent="0.15">
      <c r="A7" s="118"/>
      <c r="B7" s="384"/>
      <c r="C7" s="385"/>
      <c r="D7" s="385"/>
      <c r="E7" s="385"/>
      <c r="F7" s="386"/>
    </row>
    <row r="8" spans="1:6" ht="18.75" customHeight="1" x14ac:dyDescent="0.15">
      <c r="A8" s="118"/>
      <c r="B8" s="384"/>
      <c r="C8" s="385"/>
      <c r="D8" s="385"/>
      <c r="E8" s="385"/>
      <c r="F8" s="386"/>
    </row>
    <row r="9" spans="1:6" ht="18.75" customHeight="1" x14ac:dyDescent="0.15">
      <c r="A9" s="118"/>
      <c r="B9" s="384"/>
      <c r="C9" s="385"/>
      <c r="D9" s="385"/>
      <c r="E9" s="385"/>
      <c r="F9" s="386"/>
    </row>
    <row r="10" spans="1:6" ht="18.75" customHeight="1" x14ac:dyDescent="0.15">
      <c r="A10" s="118"/>
      <c r="B10" s="384"/>
      <c r="C10" s="385"/>
      <c r="D10" s="385"/>
      <c r="E10" s="385"/>
      <c r="F10" s="386"/>
    </row>
    <row r="11" spans="1:6" ht="18.75" customHeight="1" x14ac:dyDescent="0.15">
      <c r="A11" s="118"/>
      <c r="B11" s="384"/>
      <c r="C11" s="385"/>
      <c r="D11" s="385"/>
      <c r="E11" s="385"/>
      <c r="F11" s="386"/>
    </row>
    <row r="12" spans="1:6" ht="18.75" customHeight="1" x14ac:dyDescent="0.15">
      <c r="A12" s="118"/>
      <c r="B12" s="384"/>
      <c r="C12" s="385"/>
      <c r="D12" s="385"/>
      <c r="E12" s="385"/>
      <c r="F12" s="386"/>
    </row>
    <row r="13" spans="1:6" ht="18.75" customHeight="1" x14ac:dyDescent="0.15">
      <c r="A13" s="118"/>
      <c r="B13" s="384"/>
      <c r="C13" s="385"/>
      <c r="D13" s="385"/>
      <c r="E13" s="385"/>
      <c r="F13" s="386"/>
    </row>
    <row r="14" spans="1:6" ht="18.75" customHeight="1" x14ac:dyDescent="0.15">
      <c r="A14" s="118"/>
      <c r="B14" s="384"/>
      <c r="C14" s="385"/>
      <c r="D14" s="385"/>
      <c r="E14" s="385"/>
      <c r="F14" s="386"/>
    </row>
    <row r="15" spans="1:6" ht="18.75" customHeight="1" x14ac:dyDescent="0.15">
      <c r="A15" s="118"/>
      <c r="B15" s="384"/>
      <c r="C15" s="385"/>
      <c r="D15" s="385"/>
      <c r="E15" s="385"/>
      <c r="F15" s="386"/>
    </row>
    <row r="16" spans="1:6" ht="18.75" customHeight="1" x14ac:dyDescent="0.15">
      <c r="A16" s="118"/>
      <c r="B16" s="384"/>
      <c r="C16" s="385"/>
      <c r="D16" s="385"/>
      <c r="E16" s="385"/>
      <c r="F16" s="386"/>
    </row>
    <row r="17" spans="1:6" ht="18.75" customHeight="1" x14ac:dyDescent="0.15">
      <c r="A17" s="118"/>
      <c r="B17" s="384"/>
      <c r="C17" s="385"/>
      <c r="D17" s="385"/>
      <c r="E17" s="385"/>
      <c r="F17" s="386"/>
    </row>
    <row r="18" spans="1:6" ht="18.75" customHeight="1" x14ac:dyDescent="0.15">
      <c r="A18" s="118"/>
      <c r="B18" s="384"/>
      <c r="C18" s="385"/>
      <c r="D18" s="385"/>
      <c r="E18" s="385"/>
      <c r="F18" s="386"/>
    </row>
    <row r="19" spans="1:6" ht="18.75" customHeight="1" x14ac:dyDescent="0.15">
      <c r="A19" s="118"/>
      <c r="B19" s="384"/>
      <c r="C19" s="385"/>
      <c r="D19" s="385"/>
      <c r="E19" s="385"/>
      <c r="F19" s="386"/>
    </row>
    <row r="20" spans="1:6" ht="18.75" customHeight="1" x14ac:dyDescent="0.15">
      <c r="A20" s="118"/>
      <c r="B20" s="384"/>
      <c r="C20" s="385"/>
      <c r="D20" s="385"/>
      <c r="E20" s="385"/>
      <c r="F20" s="386"/>
    </row>
    <row r="21" spans="1:6" ht="18.75" customHeight="1" x14ac:dyDescent="0.15">
      <c r="A21" s="118"/>
      <c r="B21" s="384"/>
      <c r="C21" s="385"/>
      <c r="D21" s="385"/>
      <c r="E21" s="385"/>
      <c r="F21" s="386"/>
    </row>
    <row r="22" spans="1:6" ht="18.75" customHeight="1" x14ac:dyDescent="0.15">
      <c r="A22" s="118"/>
      <c r="B22" s="384"/>
      <c r="C22" s="385"/>
      <c r="D22" s="385"/>
      <c r="E22" s="385"/>
      <c r="F22" s="386"/>
    </row>
    <row r="23" spans="1:6" ht="18.75" customHeight="1" x14ac:dyDescent="0.15">
      <c r="A23" s="118"/>
      <c r="B23" s="384"/>
      <c r="C23" s="385"/>
      <c r="D23" s="385"/>
      <c r="E23" s="385"/>
      <c r="F23" s="386"/>
    </row>
    <row r="24" spans="1:6" ht="18.75" customHeight="1" x14ac:dyDescent="0.15">
      <c r="A24" s="118"/>
      <c r="B24" s="384"/>
      <c r="C24" s="385"/>
      <c r="D24" s="385"/>
      <c r="E24" s="385"/>
      <c r="F24" s="386"/>
    </row>
    <row r="25" spans="1:6" ht="18.75" customHeight="1" x14ac:dyDescent="0.15">
      <c r="A25" s="118"/>
      <c r="B25" s="384"/>
      <c r="C25" s="385"/>
      <c r="D25" s="385"/>
      <c r="E25" s="385"/>
      <c r="F25" s="386"/>
    </row>
    <row r="26" spans="1:6" ht="18.75" customHeight="1" x14ac:dyDescent="0.15">
      <c r="A26" s="118"/>
      <c r="B26" s="384"/>
      <c r="C26" s="385"/>
      <c r="D26" s="385"/>
      <c r="E26" s="385"/>
      <c r="F26" s="386"/>
    </row>
    <row r="27" spans="1:6" ht="18.75" customHeight="1" x14ac:dyDescent="0.15">
      <c r="A27" s="118"/>
      <c r="B27" s="384"/>
      <c r="C27" s="385"/>
      <c r="D27" s="385"/>
      <c r="E27" s="385"/>
      <c r="F27" s="386"/>
    </row>
    <row r="28" spans="1:6" ht="18.75" customHeight="1" x14ac:dyDescent="0.15">
      <c r="A28" s="118"/>
      <c r="B28" s="384"/>
      <c r="C28" s="385"/>
      <c r="D28" s="385"/>
      <c r="E28" s="385"/>
      <c r="F28" s="386"/>
    </row>
    <row r="29" spans="1:6" ht="18.75" customHeight="1" x14ac:dyDescent="0.15">
      <c r="A29" s="118"/>
      <c r="B29" s="384"/>
      <c r="C29" s="385"/>
      <c r="D29" s="385"/>
      <c r="E29" s="385"/>
      <c r="F29" s="386"/>
    </row>
    <row r="30" spans="1:6" ht="18.75" customHeight="1" x14ac:dyDescent="0.15">
      <c r="A30" s="118"/>
      <c r="B30" s="384"/>
      <c r="C30" s="385"/>
      <c r="D30" s="385"/>
      <c r="E30" s="385"/>
      <c r="F30" s="386"/>
    </row>
    <row r="31" spans="1:6" ht="18.75" customHeight="1" x14ac:dyDescent="0.15">
      <c r="A31" s="118"/>
      <c r="B31" s="384"/>
      <c r="C31" s="385"/>
      <c r="D31" s="385"/>
      <c r="E31" s="385"/>
      <c r="F31" s="386"/>
    </row>
    <row r="32" spans="1:6" ht="18.75" customHeight="1" x14ac:dyDescent="0.15">
      <c r="A32" s="118"/>
      <c r="B32" s="384"/>
      <c r="C32" s="385"/>
      <c r="D32" s="385"/>
      <c r="E32" s="385"/>
      <c r="F32" s="386"/>
    </row>
    <row r="33" spans="1:6" ht="18.75" customHeight="1" x14ac:dyDescent="0.15">
      <c r="A33" s="118"/>
      <c r="B33" s="384"/>
      <c r="C33" s="385"/>
      <c r="D33" s="385"/>
      <c r="E33" s="385"/>
      <c r="F33" s="386"/>
    </row>
    <row r="34" spans="1:6" ht="18.75" customHeight="1" x14ac:dyDescent="0.15">
      <c r="A34" s="118"/>
      <c r="B34" s="384"/>
      <c r="C34" s="385"/>
      <c r="D34" s="385"/>
      <c r="E34" s="385"/>
      <c r="F34" s="386"/>
    </row>
    <row r="35" spans="1:6" ht="18.75" customHeight="1" x14ac:dyDescent="0.15">
      <c r="A35" s="118"/>
      <c r="B35" s="384"/>
      <c r="C35" s="385"/>
      <c r="D35" s="385"/>
      <c r="E35" s="385"/>
      <c r="F35" s="386"/>
    </row>
    <row r="36" spans="1:6" ht="18.75" customHeight="1" x14ac:dyDescent="0.15">
      <c r="A36" s="118"/>
      <c r="B36" s="384"/>
      <c r="C36" s="385"/>
      <c r="D36" s="385"/>
      <c r="E36" s="385"/>
      <c r="F36" s="386"/>
    </row>
    <row r="37" spans="1:6" ht="18.75" customHeight="1" x14ac:dyDescent="0.15">
      <c r="A37" s="118"/>
      <c r="B37" s="384"/>
      <c r="C37" s="385"/>
      <c r="D37" s="385"/>
      <c r="E37" s="385"/>
      <c r="F37" s="386"/>
    </row>
    <row r="38" spans="1:6" ht="18.75" customHeight="1" x14ac:dyDescent="0.15">
      <c r="A38" s="118"/>
      <c r="B38" s="384"/>
      <c r="C38" s="385"/>
      <c r="D38" s="385"/>
      <c r="E38" s="385"/>
      <c r="F38" s="386"/>
    </row>
    <row r="39" spans="1:6" ht="18.75" customHeight="1" x14ac:dyDescent="0.15">
      <c r="A39" s="118"/>
      <c r="B39" s="384"/>
      <c r="C39" s="385"/>
      <c r="D39" s="385"/>
      <c r="E39" s="385"/>
      <c r="F39" s="386"/>
    </row>
    <row r="40" spans="1:6" ht="18.75" customHeight="1" x14ac:dyDescent="0.15">
      <c r="A40" s="118"/>
      <c r="B40" s="384"/>
      <c r="C40" s="385"/>
      <c r="D40" s="385"/>
      <c r="E40" s="385"/>
      <c r="F40" s="386"/>
    </row>
    <row r="41" spans="1:6" ht="18.75" customHeight="1" x14ac:dyDescent="0.15">
      <c r="A41" s="118"/>
      <c r="B41" s="384"/>
      <c r="C41" s="385"/>
      <c r="D41" s="385"/>
      <c r="E41" s="385"/>
      <c r="F41" s="386"/>
    </row>
    <row r="42" spans="1:6" ht="18.75" customHeight="1" x14ac:dyDescent="0.15">
      <c r="A42" s="118"/>
      <c r="B42" s="387"/>
      <c r="C42" s="388"/>
      <c r="D42" s="388"/>
      <c r="E42" s="388"/>
      <c r="F42" s="389"/>
    </row>
    <row r="43" spans="1:6" ht="18.75" customHeight="1" x14ac:dyDescent="0.15">
      <c r="A43" s="118" t="s">
        <v>4</v>
      </c>
      <c r="B43" s="4" t="s">
        <v>144</v>
      </c>
      <c r="C43" s="118"/>
      <c r="D43" s="118"/>
      <c r="E43" s="118"/>
      <c r="F43" s="118"/>
    </row>
    <row r="44" spans="1:6" ht="18.75" customHeight="1" x14ac:dyDescent="0.15">
      <c r="A44" s="118"/>
      <c r="B44" s="390"/>
      <c r="C44" s="391"/>
      <c r="D44" s="391"/>
      <c r="E44" s="391"/>
      <c r="F44" s="392"/>
    </row>
    <row r="45" spans="1:6" ht="18.75" customHeight="1" x14ac:dyDescent="0.15">
      <c r="A45" s="118"/>
      <c r="B45" s="393"/>
      <c r="C45" s="394"/>
      <c r="D45" s="394"/>
      <c r="E45" s="394"/>
      <c r="F45" s="395"/>
    </row>
    <row r="46" spans="1:6" ht="18.75" customHeight="1" x14ac:dyDescent="0.15">
      <c r="A46" s="118"/>
      <c r="B46" s="393"/>
      <c r="C46" s="394"/>
      <c r="D46" s="394"/>
      <c r="E46" s="394"/>
      <c r="F46" s="395"/>
    </row>
    <row r="47" spans="1:6" ht="18.75" customHeight="1" x14ac:dyDescent="0.15">
      <c r="A47" s="118"/>
      <c r="B47" s="393"/>
      <c r="C47" s="394"/>
      <c r="D47" s="394"/>
      <c r="E47" s="394"/>
      <c r="F47" s="395"/>
    </row>
    <row r="48" spans="1:6" ht="18.75" customHeight="1" x14ac:dyDescent="0.15">
      <c r="A48" s="118"/>
      <c r="B48" s="393"/>
      <c r="C48" s="394"/>
      <c r="D48" s="394"/>
      <c r="E48" s="394"/>
      <c r="F48" s="395"/>
    </row>
    <row r="49" spans="1:6" ht="18.75" customHeight="1" x14ac:dyDescent="0.15">
      <c r="A49" s="118"/>
      <c r="B49" s="393"/>
      <c r="C49" s="394"/>
      <c r="D49" s="394"/>
      <c r="E49" s="394"/>
      <c r="F49" s="395"/>
    </row>
    <row r="50" spans="1:6" ht="18.75" customHeight="1" x14ac:dyDescent="0.15">
      <c r="A50" s="118"/>
      <c r="B50" s="393"/>
      <c r="C50" s="394"/>
      <c r="D50" s="394"/>
      <c r="E50" s="394"/>
      <c r="F50" s="395"/>
    </row>
    <row r="51" spans="1:6" ht="18.75" customHeight="1" x14ac:dyDescent="0.15">
      <c r="A51" s="118"/>
      <c r="B51" s="393"/>
      <c r="C51" s="394"/>
      <c r="D51" s="394"/>
      <c r="E51" s="394"/>
      <c r="F51" s="395"/>
    </row>
    <row r="52" spans="1:6" ht="18.75" customHeight="1" x14ac:dyDescent="0.15">
      <c r="A52" s="118"/>
      <c r="B52" s="393"/>
      <c r="C52" s="394"/>
      <c r="D52" s="394"/>
      <c r="E52" s="394"/>
      <c r="F52" s="395"/>
    </row>
    <row r="53" spans="1:6" ht="18.75" customHeight="1" x14ac:dyDescent="0.15">
      <c r="A53" s="118"/>
      <c r="B53" s="393"/>
      <c r="C53" s="394"/>
      <c r="D53" s="394"/>
      <c r="E53" s="394"/>
      <c r="F53" s="395"/>
    </row>
    <row r="54" spans="1:6" ht="18.75" customHeight="1" x14ac:dyDescent="0.15">
      <c r="A54" s="118"/>
      <c r="B54" s="393"/>
      <c r="C54" s="394"/>
      <c r="D54" s="394"/>
      <c r="E54" s="394"/>
      <c r="F54" s="395"/>
    </row>
    <row r="55" spans="1:6" ht="18.75" customHeight="1" x14ac:dyDescent="0.15">
      <c r="A55" s="118"/>
      <c r="B55" s="393"/>
      <c r="C55" s="394"/>
      <c r="D55" s="394"/>
      <c r="E55" s="394"/>
      <c r="F55" s="395"/>
    </row>
    <row r="56" spans="1:6" ht="18.75" customHeight="1" x14ac:dyDescent="0.15">
      <c r="A56" s="118"/>
      <c r="B56" s="393"/>
      <c r="C56" s="394"/>
      <c r="D56" s="394"/>
      <c r="E56" s="394"/>
      <c r="F56" s="395"/>
    </row>
    <row r="57" spans="1:6" ht="18.75" customHeight="1" x14ac:dyDescent="0.15">
      <c r="A57" s="118"/>
      <c r="B57" s="393"/>
      <c r="C57" s="394"/>
      <c r="D57" s="394"/>
      <c r="E57" s="394"/>
      <c r="F57" s="395"/>
    </row>
    <row r="58" spans="1:6" ht="18.75" customHeight="1" x14ac:dyDescent="0.15">
      <c r="A58" s="118"/>
      <c r="B58" s="393"/>
      <c r="C58" s="394"/>
      <c r="D58" s="394"/>
      <c r="E58" s="394"/>
      <c r="F58" s="395"/>
    </row>
    <row r="59" spans="1:6" ht="18.75" customHeight="1" x14ac:dyDescent="0.15">
      <c r="A59" s="118"/>
      <c r="B59" s="393"/>
      <c r="C59" s="394"/>
      <c r="D59" s="394"/>
      <c r="E59" s="394"/>
      <c r="F59" s="395"/>
    </row>
    <row r="60" spans="1:6" ht="18.75" customHeight="1" x14ac:dyDescent="0.15">
      <c r="A60" s="118"/>
      <c r="B60" s="393"/>
      <c r="C60" s="394"/>
      <c r="D60" s="394"/>
      <c r="E60" s="394"/>
      <c r="F60" s="395"/>
    </row>
    <row r="61" spans="1:6" ht="18.75" customHeight="1" x14ac:dyDescent="0.15">
      <c r="A61" s="118"/>
      <c r="B61" s="393"/>
      <c r="C61" s="394"/>
      <c r="D61" s="394"/>
      <c r="E61" s="394"/>
      <c r="F61" s="395"/>
    </row>
    <row r="62" spans="1:6" ht="18.75" customHeight="1" x14ac:dyDescent="0.15">
      <c r="A62" s="118"/>
      <c r="B62" s="393"/>
      <c r="C62" s="394"/>
      <c r="D62" s="394"/>
      <c r="E62" s="394"/>
      <c r="F62" s="395"/>
    </row>
    <row r="63" spans="1:6" ht="18.75" customHeight="1" x14ac:dyDescent="0.15">
      <c r="A63" s="118"/>
      <c r="B63" s="393"/>
      <c r="C63" s="394"/>
      <c r="D63" s="394"/>
      <c r="E63" s="394"/>
      <c r="F63" s="395"/>
    </row>
    <row r="64" spans="1:6" ht="18.75" customHeight="1" x14ac:dyDescent="0.15">
      <c r="A64" s="118"/>
      <c r="B64" s="393"/>
      <c r="C64" s="394"/>
      <c r="D64" s="394"/>
      <c r="E64" s="394"/>
      <c r="F64" s="395"/>
    </row>
    <row r="65" spans="1:6" ht="18.75" customHeight="1" x14ac:dyDescent="0.15">
      <c r="A65" s="118"/>
      <c r="B65" s="393"/>
      <c r="C65" s="394"/>
      <c r="D65" s="394"/>
      <c r="E65" s="394"/>
      <c r="F65" s="395"/>
    </row>
    <row r="66" spans="1:6" ht="18.75" customHeight="1" x14ac:dyDescent="0.15">
      <c r="A66" s="118"/>
      <c r="B66" s="393"/>
      <c r="C66" s="394"/>
      <c r="D66" s="394"/>
      <c r="E66" s="394"/>
      <c r="F66" s="395"/>
    </row>
    <row r="67" spans="1:6" ht="18.75" customHeight="1" x14ac:dyDescent="0.15">
      <c r="A67" s="118"/>
      <c r="B67" s="393"/>
      <c r="C67" s="394"/>
      <c r="D67" s="394"/>
      <c r="E67" s="394"/>
      <c r="F67" s="395"/>
    </row>
    <row r="68" spans="1:6" ht="18.75" customHeight="1" x14ac:dyDescent="0.15">
      <c r="A68" s="118"/>
      <c r="B68" s="393"/>
      <c r="C68" s="394"/>
      <c r="D68" s="394"/>
      <c r="E68" s="394"/>
      <c r="F68" s="395"/>
    </row>
    <row r="69" spans="1:6" ht="18.75" customHeight="1" x14ac:dyDescent="0.15">
      <c r="A69" s="118"/>
      <c r="B69" s="393"/>
      <c r="C69" s="394"/>
      <c r="D69" s="394"/>
      <c r="E69" s="394"/>
      <c r="F69" s="395"/>
    </row>
    <row r="70" spans="1:6" ht="18.75" customHeight="1" x14ac:dyDescent="0.15">
      <c r="A70" s="118"/>
      <c r="B70" s="393"/>
      <c r="C70" s="394"/>
      <c r="D70" s="394"/>
      <c r="E70" s="394"/>
      <c r="F70" s="395"/>
    </row>
    <row r="71" spans="1:6" ht="18.75" customHeight="1" x14ac:dyDescent="0.15">
      <c r="A71" s="118"/>
      <c r="B71" s="393"/>
      <c r="C71" s="394"/>
      <c r="D71" s="394"/>
      <c r="E71" s="394"/>
      <c r="F71" s="395"/>
    </row>
    <row r="72" spans="1:6" ht="18.75" customHeight="1" x14ac:dyDescent="0.15">
      <c r="A72" s="118"/>
      <c r="B72" s="393"/>
      <c r="C72" s="394"/>
      <c r="D72" s="394"/>
      <c r="E72" s="394"/>
      <c r="F72" s="395"/>
    </row>
    <row r="73" spans="1:6" ht="18.75" customHeight="1" x14ac:dyDescent="0.15">
      <c r="A73" s="118"/>
      <c r="B73" s="393"/>
      <c r="C73" s="394"/>
      <c r="D73" s="394"/>
      <c r="E73" s="394"/>
      <c r="F73" s="395"/>
    </row>
    <row r="74" spans="1:6" ht="18.75" customHeight="1" x14ac:dyDescent="0.15">
      <c r="A74" s="118"/>
      <c r="B74" s="393"/>
      <c r="C74" s="394"/>
      <c r="D74" s="394"/>
      <c r="E74" s="394"/>
      <c r="F74" s="395"/>
    </row>
    <row r="75" spans="1:6" ht="18.75" customHeight="1" x14ac:dyDescent="0.15">
      <c r="A75" s="118"/>
      <c r="B75" s="393"/>
      <c r="C75" s="394"/>
      <c r="D75" s="394"/>
      <c r="E75" s="394"/>
      <c r="F75" s="395"/>
    </row>
    <row r="76" spans="1:6" ht="18.75" customHeight="1" x14ac:dyDescent="0.15">
      <c r="A76" s="118"/>
      <c r="B76" s="393"/>
      <c r="C76" s="394"/>
      <c r="D76" s="394"/>
      <c r="E76" s="394"/>
      <c r="F76" s="395"/>
    </row>
    <row r="77" spans="1:6" ht="18.75" customHeight="1" x14ac:dyDescent="0.15">
      <c r="A77" s="118"/>
      <c r="B77" s="393"/>
      <c r="C77" s="394"/>
      <c r="D77" s="394"/>
      <c r="E77" s="394"/>
      <c r="F77" s="395"/>
    </row>
    <row r="78" spans="1:6" ht="18.75" customHeight="1" x14ac:dyDescent="0.15">
      <c r="A78" s="118"/>
      <c r="B78" s="393"/>
      <c r="C78" s="394"/>
      <c r="D78" s="394"/>
      <c r="E78" s="394"/>
      <c r="F78" s="395"/>
    </row>
    <row r="79" spans="1:6" ht="18.75" customHeight="1" x14ac:dyDescent="0.15">
      <c r="A79" s="118"/>
      <c r="B79" s="393"/>
      <c r="C79" s="394"/>
      <c r="D79" s="394"/>
      <c r="E79" s="394"/>
      <c r="F79" s="395"/>
    </row>
    <row r="80" spans="1:6" ht="18.75" customHeight="1" x14ac:dyDescent="0.15">
      <c r="A80" s="118"/>
      <c r="B80" s="393"/>
      <c r="C80" s="394"/>
      <c r="D80" s="394"/>
      <c r="E80" s="394"/>
      <c r="F80" s="395"/>
    </row>
    <row r="81" spans="1:6" ht="18.75" customHeight="1" x14ac:dyDescent="0.15">
      <c r="A81" s="118"/>
      <c r="B81" s="393"/>
      <c r="C81" s="394"/>
      <c r="D81" s="394"/>
      <c r="E81" s="394"/>
      <c r="F81" s="395"/>
    </row>
    <row r="82" spans="1:6" ht="18.75" customHeight="1" x14ac:dyDescent="0.15">
      <c r="A82" s="118"/>
      <c r="B82" s="393"/>
      <c r="C82" s="394"/>
      <c r="D82" s="394"/>
      <c r="E82" s="394"/>
      <c r="F82" s="395"/>
    </row>
    <row r="83" spans="1:6" ht="18.75" customHeight="1" x14ac:dyDescent="0.15">
      <c r="A83" s="118"/>
      <c r="B83" s="396"/>
      <c r="C83" s="397"/>
      <c r="D83" s="397"/>
      <c r="E83" s="397"/>
      <c r="F83" s="398"/>
    </row>
    <row r="84" spans="1:6" ht="18.75" customHeight="1" x14ac:dyDescent="0.15">
      <c r="A84" s="4" t="s">
        <v>108</v>
      </c>
      <c r="B84" s="4" t="s">
        <v>145</v>
      </c>
      <c r="C84" s="4"/>
      <c r="D84" s="4"/>
      <c r="E84" s="4"/>
      <c r="F84" s="4"/>
    </row>
    <row r="85" spans="1:6" ht="18.75" customHeight="1" x14ac:dyDescent="0.15">
      <c r="A85" s="118"/>
      <c r="B85" s="390"/>
      <c r="C85" s="391"/>
      <c r="D85" s="391"/>
      <c r="E85" s="391"/>
      <c r="F85" s="392"/>
    </row>
    <row r="86" spans="1:6" ht="18.75" customHeight="1" x14ac:dyDescent="0.15">
      <c r="A86" s="118"/>
      <c r="B86" s="393"/>
      <c r="C86" s="394"/>
      <c r="D86" s="394"/>
      <c r="E86" s="394"/>
      <c r="F86" s="395"/>
    </row>
    <row r="87" spans="1:6" ht="18.75" customHeight="1" x14ac:dyDescent="0.15">
      <c r="A87" s="118"/>
      <c r="B87" s="393"/>
      <c r="C87" s="394"/>
      <c r="D87" s="394"/>
      <c r="E87" s="394"/>
      <c r="F87" s="395"/>
    </row>
    <row r="88" spans="1:6" ht="18.75" customHeight="1" x14ac:dyDescent="0.15">
      <c r="A88" s="118"/>
      <c r="B88" s="393"/>
      <c r="C88" s="394"/>
      <c r="D88" s="394"/>
      <c r="E88" s="394"/>
      <c r="F88" s="395"/>
    </row>
    <row r="89" spans="1:6" ht="18.75" customHeight="1" x14ac:dyDescent="0.15">
      <c r="A89" s="118"/>
      <c r="B89" s="393"/>
      <c r="C89" s="394"/>
      <c r="D89" s="394"/>
      <c r="E89" s="394"/>
      <c r="F89" s="395"/>
    </row>
    <row r="90" spans="1:6" ht="18.75" customHeight="1" x14ac:dyDescent="0.15">
      <c r="A90" s="118"/>
      <c r="B90" s="393"/>
      <c r="C90" s="394"/>
      <c r="D90" s="394"/>
      <c r="E90" s="394"/>
      <c r="F90" s="395"/>
    </row>
    <row r="91" spans="1:6" ht="18.75" customHeight="1" x14ac:dyDescent="0.15">
      <c r="A91" s="118"/>
      <c r="B91" s="393"/>
      <c r="C91" s="394"/>
      <c r="D91" s="394"/>
      <c r="E91" s="394"/>
      <c r="F91" s="395"/>
    </row>
    <row r="92" spans="1:6" ht="18.75" customHeight="1" x14ac:dyDescent="0.15">
      <c r="A92" s="118"/>
      <c r="B92" s="393"/>
      <c r="C92" s="394"/>
      <c r="D92" s="394"/>
      <c r="E92" s="394"/>
      <c r="F92" s="395"/>
    </row>
    <row r="93" spans="1:6" ht="18.75" customHeight="1" x14ac:dyDescent="0.15">
      <c r="A93" s="118"/>
      <c r="B93" s="393"/>
      <c r="C93" s="394"/>
      <c r="D93" s="394"/>
      <c r="E93" s="394"/>
      <c r="F93" s="395"/>
    </row>
    <row r="94" spans="1:6" ht="18.75" customHeight="1" x14ac:dyDescent="0.15">
      <c r="A94" s="118"/>
      <c r="B94" s="393"/>
      <c r="C94" s="394"/>
      <c r="D94" s="394"/>
      <c r="E94" s="394"/>
      <c r="F94" s="395"/>
    </row>
    <row r="95" spans="1:6" ht="18.75" customHeight="1" x14ac:dyDescent="0.15">
      <c r="A95" s="118"/>
      <c r="B95" s="393"/>
      <c r="C95" s="394"/>
      <c r="D95" s="394"/>
      <c r="E95" s="394"/>
      <c r="F95" s="395"/>
    </row>
    <row r="96" spans="1:6" ht="18.75" customHeight="1" x14ac:dyDescent="0.15">
      <c r="A96" s="118"/>
      <c r="B96" s="393"/>
      <c r="C96" s="394"/>
      <c r="D96" s="394"/>
      <c r="E96" s="394"/>
      <c r="F96" s="395"/>
    </row>
    <row r="97" spans="1:6" ht="18.75" customHeight="1" x14ac:dyDescent="0.15">
      <c r="A97" s="118"/>
      <c r="B97" s="393"/>
      <c r="C97" s="394"/>
      <c r="D97" s="394"/>
      <c r="E97" s="394"/>
      <c r="F97" s="395"/>
    </row>
    <row r="98" spans="1:6" ht="18.75" customHeight="1" x14ac:dyDescent="0.15">
      <c r="A98" s="118"/>
      <c r="B98" s="393"/>
      <c r="C98" s="394"/>
      <c r="D98" s="394"/>
      <c r="E98" s="394"/>
      <c r="F98" s="395"/>
    </row>
    <row r="99" spans="1:6" ht="18.75" customHeight="1" x14ac:dyDescent="0.15">
      <c r="A99" s="118"/>
      <c r="B99" s="393"/>
      <c r="C99" s="394"/>
      <c r="D99" s="394"/>
      <c r="E99" s="394"/>
      <c r="F99" s="395"/>
    </row>
    <row r="100" spans="1:6" ht="18.75" customHeight="1" x14ac:dyDescent="0.15">
      <c r="A100" s="118"/>
      <c r="B100" s="393"/>
      <c r="C100" s="394"/>
      <c r="D100" s="394"/>
      <c r="E100" s="394"/>
      <c r="F100" s="395"/>
    </row>
    <row r="101" spans="1:6" ht="18.75" customHeight="1" x14ac:dyDescent="0.15">
      <c r="A101" s="118"/>
      <c r="B101" s="393"/>
      <c r="C101" s="394"/>
      <c r="D101" s="394"/>
      <c r="E101" s="394"/>
      <c r="F101" s="395"/>
    </row>
    <row r="102" spans="1:6" ht="18.75" customHeight="1" x14ac:dyDescent="0.15">
      <c r="A102" s="118"/>
      <c r="B102" s="393"/>
      <c r="C102" s="394"/>
      <c r="D102" s="394"/>
      <c r="E102" s="394"/>
      <c r="F102" s="395"/>
    </row>
    <row r="103" spans="1:6" ht="18.75" customHeight="1" x14ac:dyDescent="0.15">
      <c r="A103" s="118"/>
      <c r="B103" s="393"/>
      <c r="C103" s="394"/>
      <c r="D103" s="394"/>
      <c r="E103" s="394"/>
      <c r="F103" s="395"/>
    </row>
    <row r="104" spans="1:6" ht="18.75" customHeight="1" x14ac:dyDescent="0.15">
      <c r="A104" s="118"/>
      <c r="B104" s="393"/>
      <c r="C104" s="394"/>
      <c r="D104" s="394"/>
      <c r="E104" s="394"/>
      <c r="F104" s="395"/>
    </row>
    <row r="105" spans="1:6" ht="18.75" customHeight="1" x14ac:dyDescent="0.15">
      <c r="A105" s="118"/>
      <c r="B105" s="393"/>
      <c r="C105" s="394"/>
      <c r="D105" s="394"/>
      <c r="E105" s="394"/>
      <c r="F105" s="395"/>
    </row>
    <row r="106" spans="1:6" ht="18.75" customHeight="1" x14ac:dyDescent="0.15">
      <c r="A106" s="118"/>
      <c r="B106" s="393"/>
      <c r="C106" s="394"/>
      <c r="D106" s="394"/>
      <c r="E106" s="394"/>
      <c r="F106" s="395"/>
    </row>
    <row r="107" spans="1:6" ht="18.75" customHeight="1" x14ac:dyDescent="0.15">
      <c r="A107" s="118"/>
      <c r="B107" s="393"/>
      <c r="C107" s="394"/>
      <c r="D107" s="394"/>
      <c r="E107" s="394"/>
      <c r="F107" s="395"/>
    </row>
    <row r="108" spans="1:6" ht="18.75" customHeight="1" x14ac:dyDescent="0.15">
      <c r="A108" s="118"/>
      <c r="B108" s="393"/>
      <c r="C108" s="394"/>
      <c r="D108" s="394"/>
      <c r="E108" s="394"/>
      <c r="F108" s="395"/>
    </row>
    <row r="109" spans="1:6" ht="18.75" customHeight="1" x14ac:dyDescent="0.15">
      <c r="A109" s="118"/>
      <c r="B109" s="393"/>
      <c r="C109" s="394"/>
      <c r="D109" s="394"/>
      <c r="E109" s="394"/>
      <c r="F109" s="395"/>
    </row>
    <row r="110" spans="1:6" ht="18.75" customHeight="1" x14ac:dyDescent="0.15">
      <c r="A110" s="118"/>
      <c r="B110" s="393"/>
      <c r="C110" s="394"/>
      <c r="D110" s="394"/>
      <c r="E110" s="394"/>
      <c r="F110" s="395"/>
    </row>
    <row r="111" spans="1:6" ht="18.75" customHeight="1" x14ac:dyDescent="0.15">
      <c r="A111" s="118"/>
      <c r="B111" s="393"/>
      <c r="C111" s="394"/>
      <c r="D111" s="394"/>
      <c r="E111" s="394"/>
      <c r="F111" s="395"/>
    </row>
    <row r="112" spans="1:6" ht="18.75" customHeight="1" x14ac:dyDescent="0.15">
      <c r="A112" s="118"/>
      <c r="B112" s="393"/>
      <c r="C112" s="394"/>
      <c r="D112" s="394"/>
      <c r="E112" s="394"/>
      <c r="F112" s="395"/>
    </row>
    <row r="113" spans="1:6" ht="18.75" customHeight="1" x14ac:dyDescent="0.15">
      <c r="A113" s="118"/>
      <c r="B113" s="393"/>
      <c r="C113" s="394"/>
      <c r="D113" s="394"/>
      <c r="E113" s="394"/>
      <c r="F113" s="395"/>
    </row>
    <row r="114" spans="1:6" ht="18.75" customHeight="1" x14ac:dyDescent="0.15">
      <c r="A114" s="118"/>
      <c r="B114" s="393"/>
      <c r="C114" s="394"/>
      <c r="D114" s="394"/>
      <c r="E114" s="394"/>
      <c r="F114" s="395"/>
    </row>
    <row r="115" spans="1:6" ht="18.75" customHeight="1" x14ac:dyDescent="0.15">
      <c r="A115" s="118"/>
      <c r="B115" s="393"/>
      <c r="C115" s="394"/>
      <c r="D115" s="394"/>
      <c r="E115" s="394"/>
      <c r="F115" s="395"/>
    </row>
    <row r="116" spans="1:6" ht="18.75" customHeight="1" x14ac:dyDescent="0.15">
      <c r="A116" s="118"/>
      <c r="B116" s="393"/>
      <c r="C116" s="394"/>
      <c r="D116" s="394"/>
      <c r="E116" s="394"/>
      <c r="F116" s="395"/>
    </row>
    <row r="117" spans="1:6" ht="18.75" customHeight="1" x14ac:dyDescent="0.15">
      <c r="A117" s="118"/>
      <c r="B117" s="393"/>
      <c r="C117" s="394"/>
      <c r="D117" s="394"/>
      <c r="E117" s="394"/>
      <c r="F117" s="395"/>
    </row>
    <row r="118" spans="1:6" ht="18.75" customHeight="1" x14ac:dyDescent="0.15">
      <c r="A118" s="118"/>
      <c r="B118" s="393"/>
      <c r="C118" s="394"/>
      <c r="D118" s="394"/>
      <c r="E118" s="394"/>
      <c r="F118" s="395"/>
    </row>
    <row r="119" spans="1:6" ht="18.75" customHeight="1" x14ac:dyDescent="0.15">
      <c r="A119" s="118"/>
      <c r="B119" s="393"/>
      <c r="C119" s="394"/>
      <c r="D119" s="394"/>
      <c r="E119" s="394"/>
      <c r="F119" s="395"/>
    </row>
    <row r="120" spans="1:6" ht="18.75" customHeight="1" x14ac:dyDescent="0.15">
      <c r="A120" s="118"/>
      <c r="B120" s="393"/>
      <c r="C120" s="394"/>
      <c r="D120" s="394"/>
      <c r="E120" s="394"/>
      <c r="F120" s="395"/>
    </row>
    <row r="121" spans="1:6" ht="18.75" customHeight="1" x14ac:dyDescent="0.15">
      <c r="A121" s="118"/>
      <c r="B121" s="393"/>
      <c r="C121" s="394"/>
      <c r="D121" s="394"/>
      <c r="E121" s="394"/>
      <c r="F121" s="395"/>
    </row>
    <row r="122" spans="1:6" ht="18.75" customHeight="1" x14ac:dyDescent="0.15">
      <c r="A122" s="118"/>
      <c r="B122" s="393"/>
      <c r="C122" s="394"/>
      <c r="D122" s="394"/>
      <c r="E122" s="394"/>
      <c r="F122" s="395"/>
    </row>
    <row r="123" spans="1:6" ht="18.75" customHeight="1" x14ac:dyDescent="0.15">
      <c r="A123" s="118"/>
      <c r="B123" s="393"/>
      <c r="C123" s="394"/>
      <c r="D123" s="394"/>
      <c r="E123" s="394"/>
      <c r="F123" s="395"/>
    </row>
    <row r="124" spans="1:6" ht="18.75" customHeight="1" x14ac:dyDescent="0.15">
      <c r="A124" s="118"/>
      <c r="B124" s="396"/>
      <c r="C124" s="397"/>
      <c r="D124" s="397"/>
      <c r="E124" s="397"/>
      <c r="F124" s="398"/>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　プログラムを構成する授業科目 (機械工学科)</vt:lpstr>
      <vt:lpstr>様式２　プログラムを構成する授業科目 (電気情報工学科</vt:lpstr>
      <vt:lpstr>様式２　プログラムを構成する授業科目 (都市システム工学科）</vt:lpstr>
      <vt:lpstr>様式２　プログラムを構成する授業科目（建築学科）</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 (機械工学科)'!Print_Area</vt:lpstr>
      <vt:lpstr>'様式２　プログラムを構成する授業科目 (電気情報工学科'!Print_Area</vt:lpstr>
      <vt:lpstr>'様式２　プログラムを構成する授業科目 (都市システム工学科）'!Print_Area</vt:lpstr>
      <vt:lpstr>'様式２　プログラムを構成する授業科目（建築学科）'!Print_Area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tamura</cp:lastModifiedBy>
  <cp:revision/>
  <cp:lastPrinted>2022-07-13T04:57:55Z</cp:lastPrinted>
  <dcterms:created xsi:type="dcterms:W3CDTF">2011-06-14T05:32:50Z</dcterms:created>
  <dcterms:modified xsi:type="dcterms:W3CDTF">2022-07-13T04:58:52Z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