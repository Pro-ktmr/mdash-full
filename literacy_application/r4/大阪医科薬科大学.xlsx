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6"/>
  <workbookPr defaultThemeVersion="124226"/>
  <mc:AlternateContent xmlns:mc="http://schemas.openxmlformats.org/markup-compatibility/2006">
    <mc:Choice Requires="x15">
      <x15ac:absPath xmlns:x15ac="http://schemas.microsoft.com/office/spreadsheetml/2010/11/ac" url="Y:\教育センター\各委員会･会議・勉強会\数理データサイエンスＡIプログラム委員会\令和4年度申請\申請に関するアップロード資料（大学名ZIP）\20200526再々提出フォルダ\"/>
    </mc:Choice>
  </mc:AlternateContent>
  <xr:revisionPtr revIDLastSave="0" documentId="13_ncr:1_{BD95D288-B118-4284-B113-FC1245F985F2}" xr6:coauthVersionLast="36" xr6:coauthVersionMax="36" xr10:uidLastSave="{00000000-0000-0000-0000-000000000000}"/>
  <bookViews>
    <workbookView xWindow="0" yWindow="0" windowWidth="25200" windowHeight="10620" tabRatio="885" xr2:uid="{00000000-000D-0000-FFFF-FFFF00000000}"/>
  </bookViews>
  <sheets>
    <sheet name="様式１　大学等概要" sheetId="8" r:id="rId1"/>
    <sheet name="様式２-１　プログラムを構成する授業科目【医学部】 " sheetId="45" r:id="rId2"/>
    <sheet name="様式２-２　プログラムを構成する授業科目【薬学部】 " sheetId="46" r:id="rId3"/>
    <sheet name="様式２-３　プログラムを構成する授業科目【看護学部】" sheetId="47" r:id="rId4"/>
    <sheet name="様式３　履修者等数の実績" sheetId="40" r:id="rId5"/>
    <sheet name="様式４　教育の質・履修者数を向上させるための体制・計画" sheetId="41" r:id="rId6"/>
    <sheet name="様式５　自己点検・評価" sheetId="42" r:id="rId7"/>
    <sheet name="様式６　特色ある取組" sheetId="43" r:id="rId8"/>
  </sheets>
  <definedNames>
    <definedName name="_xlnm._FilterDatabase" localSheetId="1" hidden="1">'様式２-１　プログラムを構成する授業科目【医学部】 '!#REF!</definedName>
    <definedName name="_xlnm._FilterDatabase" localSheetId="2" hidden="1">'様式２-２　プログラムを構成する授業科目【薬学部】 '!#REF!</definedName>
    <definedName name="_xlnm._FilterDatabase" localSheetId="3" hidden="1">'様式２-３　プログラムを構成する授業科目【看護学部】'!#REF!</definedName>
    <definedName name="_xlnm._FilterDatabase" localSheetId="4" hidden="1">'様式３　履修者等数の実績'!#REF!</definedName>
    <definedName name="_xlnm.Print_Area" localSheetId="0">'様式１　大学等概要'!$A$1:$N$45</definedName>
    <definedName name="_xlnm.Print_Area" localSheetId="1">'様式２-１　プログラムを構成する授業科目【医学部】 '!$A$1:$Z$99</definedName>
    <definedName name="_xlnm.Print_Area" localSheetId="2">'様式２-２　プログラムを構成する授業科目【薬学部】 '!$A$1:$Z$98</definedName>
    <definedName name="_xlnm.Print_Area" localSheetId="3">'様式２-３　プログラムを構成する授業科目【看護学部】'!$A$1:$Z$98</definedName>
    <definedName name="_xlnm.Print_Area" localSheetId="4">'様式３　履修者等数の実績'!$A$1:$R$30</definedName>
    <definedName name="_xlnm.Print_Area" localSheetId="5">'様式４　教育の質・履修者数を向上させるための体制・計画'!$A$1:$J$129</definedName>
    <definedName name="_xlnm.Print_Area" localSheetId="6">'様式５　自己点検・評価'!$A$1:$J$18</definedName>
    <definedName name="_xlnm.Print_Area" localSheetId="7">'様式６　特色ある取組'!$A$1:$F$124</definedName>
  </definedNames>
  <calcPr calcId="191029"/>
</workbook>
</file>

<file path=xl/calcChain.xml><?xml version="1.0" encoding="utf-8"?>
<calcChain xmlns="http://schemas.openxmlformats.org/spreadsheetml/2006/main">
  <c r="K18" i="42" l="1"/>
  <c r="K16" i="42"/>
  <c r="K15" i="42"/>
  <c r="K9" i="42"/>
  <c r="K8" i="42"/>
  <c r="K7" i="42"/>
  <c r="K112" i="41"/>
  <c r="K90" i="41"/>
  <c r="K68" i="41"/>
  <c r="K45" i="41"/>
  <c r="K31" i="41"/>
  <c r="K15" i="41"/>
  <c r="K8" i="41"/>
  <c r="K5" i="41"/>
  <c r="C4" i="40"/>
  <c r="O45" i="8"/>
  <c r="O44" i="8"/>
  <c r="O41" i="8"/>
  <c r="O39" i="8"/>
  <c r="O37" i="8"/>
  <c r="O34" i="8"/>
  <c r="O32" i="8"/>
  <c r="O29" i="8"/>
  <c r="O20" i="8"/>
  <c r="O18" i="8"/>
  <c r="O16" i="8"/>
  <c r="O14" i="8"/>
  <c r="O12" i="8"/>
  <c r="O10" i="8"/>
  <c r="O6" i="8"/>
  <c r="O8" i="8"/>
  <c r="O4" i="8"/>
  <c r="K14" i="42"/>
  <c r="K13" i="42"/>
  <c r="K11" i="42"/>
  <c r="K10" i="42"/>
  <c r="P30" i="40"/>
  <c r="O30" i="40"/>
  <c r="N30" i="40"/>
  <c r="M30" i="40"/>
  <c r="L30" i="40"/>
  <c r="K30" i="40"/>
  <c r="J30" i="40"/>
  <c r="I30" i="40"/>
  <c r="H30" i="40"/>
  <c r="G30" i="40"/>
  <c r="F30" i="40"/>
  <c r="E30" i="40"/>
  <c r="D30" i="40"/>
  <c r="I29" i="41" s="1"/>
  <c r="C30" i="40"/>
  <c r="Q29" i="40"/>
  <c r="Q28" i="40"/>
  <c r="Q27" i="40"/>
  <c r="Q26" i="40"/>
  <c r="Q25" i="40"/>
  <c r="Q24" i="40"/>
  <c r="Q23" i="40"/>
  <c r="Q22" i="40"/>
  <c r="Q21" i="40"/>
  <c r="Q20" i="40"/>
  <c r="Q19" i="40"/>
  <c r="Q18" i="40"/>
  <c r="Q17" i="40"/>
  <c r="Q16" i="40"/>
  <c r="Q15" i="40"/>
  <c r="Q14" i="40"/>
  <c r="Q13" i="40"/>
  <c r="Q12" i="40"/>
  <c r="R12" i="40" s="1"/>
  <c r="Q11" i="40"/>
  <c r="R11" i="40" s="1"/>
  <c r="Q10" i="40"/>
  <c r="R10" i="40"/>
  <c r="Q30" i="40" l="1"/>
  <c r="R30" i="40" s="1"/>
  <c r="C28" i="41" s="1"/>
</calcChain>
</file>

<file path=xl/sharedStrings.xml><?xml version="1.0" encoding="utf-8"?>
<sst xmlns="http://schemas.openxmlformats.org/spreadsheetml/2006/main" count="619" uniqueCount="236">
  <si>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</si>
  <si>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</si>
  <si>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</si>
  <si>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</si>
  <si>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</si>
  <si>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</si>
  <si>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</si>
  <si>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</si>
  <si>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</si>
  <si>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</si>
  <si>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</si>
  <si>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</si>
  <si>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</si>
  <si>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</si>
  <si>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</si>
  <si>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</si>
  <si>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</si>
  <si>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</si>
  <si>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</si>
  <si>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</si>
  <si>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</si>
  <si>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</si>
  <si>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</si>
  <si>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</si>
  <si>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</si>
  <si>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</si>
  <si>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</si>
  <si>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</si>
  <si>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</si>
  <si>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</si>
  <si>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</si>
  <si>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</si>
  <si>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</si>
  <si>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</si>
  <si>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</si>
  <si>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</si>
  <si>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</si>
  <si>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</si>
  <si>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</si>
  <si>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</si>
  <si>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</si>
  <si>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</si>
  <si>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</si>
  <si>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</si>
  <si>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</si>
  <si>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</si>
  <si>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</si>
  <si>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</si>
  <si>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</si>
  <si>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</si>
  <si>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</si>
  <si>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</si>
  <si>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</si>
  <si>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</si>
  <si>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</si>
  <si>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</si>
  <si>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</si>
  <si>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</si>
  <si>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</si>
  <si>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</si>
  <si>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</si>
  <si>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</si>
  <si>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</si>
  <si>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</si>
  <si>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</si>
  <si>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</si>
  <si>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</si>
  <si>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</si>
  <si>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</si>
  <si>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</si>
  <si>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</si>
  <si>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</si>
  <si>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</si>
  <si>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</si>
  <si>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</si>
  <si>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</si>
  <si>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</si>
  <si>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</si>
  <si>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</si>
  <si>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</si>
  <si>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</si>
  <si>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</si>
  <si>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</si>
  <si>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</si>
  <si>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</si>
  <si>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</si>
  <si>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</si>
  <si>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</si>
  <si>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</si>
  <si>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</si>
  <si>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</si>
  <si>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</si>
  <si>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</si>
  <si>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</si>
  <si>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</si>
  <si>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</si>
  <si>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</si>
  <si>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</si>
  <si>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</si>
  <si>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</si>
  <si>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</si>
  <si>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</si>
  <si>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</si>
  <si>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</si>
  <si>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</si>
  <si>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</si>
  <si>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</si>
  <si>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</si>
  <si>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</si>
  <si>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</si>
  <si>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</si>
  <si>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</si>
  <si>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</si>
  <si>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</si>
  <si>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</si>
  <si>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</si>
  <si>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</si>
  <si>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</si>
  <si>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</si>
  <si>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</si>
  <si>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</si>
  <si>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</si>
  <si>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</si>
  <si>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</si>
  <si>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</si>
  <si>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</si>
  <si>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</si>
  <si>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</si>
  <si>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</si>
  <si>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</si>
  <si>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</si>
  <si>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</si>
  <si>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</si>
  <si>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</si>
  <si>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</si>
  <si>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</si>
  <si>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</si>
  <si>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</si>
  <si>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</si>
  <si>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</si>
  <si>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</si>
  <si>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</si>
  <si>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</si>
  <si>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</si>
  <si>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</si>
  <si>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</si>
  <si>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</si>
  <si>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</si>
  <si>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</si>
  <si>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</si>
  <si>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</si>
  <si>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</si>
  <si>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大阪医科薬科大学</t>
    <rPh sb="0" eb="2">
      <t>オオサカ</t>
    </rPh>
    <rPh sb="2" eb="6">
      <t>イカヤッカ</t>
    </rPh>
    <rPh sb="6" eb="8">
      <t>ダイガク</t>
    </rPh>
    <phoneticPr fontId="1"/>
  </si>
  <si>
    <t>私立大学</t>
  </si>
  <si>
    <t>〒569-8686　大阪府高槻市大学町2番7号</t>
    <phoneticPr fontId="1"/>
  </si>
  <si>
    <t>大阪医科薬科 大学数理・データサイエンス・AI教育プログラム</t>
    <phoneticPr fontId="1"/>
  </si>
  <si>
    <t>2021年度</t>
    <phoneticPr fontId="1"/>
  </si>
  <si>
    <t>無</t>
  </si>
  <si>
    <t>中野　隆史</t>
    <rPh sb="0" eb="2">
      <t>ナカノ</t>
    </rPh>
    <rPh sb="3" eb="5">
      <t>タカシ</t>
    </rPh>
    <phoneticPr fontId="1"/>
  </si>
  <si>
    <t>大阪医科薬科 大学数理・データサイエンス・AI教育プログラム委員会</t>
    <rPh sb="30" eb="33">
      <t>イインカイ</t>
    </rPh>
    <phoneticPr fontId="1"/>
  </si>
  <si>
    <t>委員長</t>
    <rPh sb="0" eb="3">
      <t>イインチョウ</t>
    </rPh>
    <phoneticPr fontId="1"/>
  </si>
  <si>
    <t>学部間協議会</t>
    <phoneticPr fontId="1"/>
  </si>
  <si>
    <t>佐野　浩一</t>
    <phoneticPr fontId="1"/>
  </si>
  <si>
    <t>学長</t>
    <phoneticPr fontId="1"/>
  </si>
  <si>
    <t>認定教育プログラムと認定教育プログラム+（プラス）</t>
  </si>
  <si>
    <t>学務部医学事務課</t>
    <rPh sb="0" eb="3">
      <t>ガクムブ</t>
    </rPh>
    <rPh sb="3" eb="8">
      <t>イガクジムカ</t>
    </rPh>
    <phoneticPr fontId="1"/>
  </si>
  <si>
    <t>藤原　佐智</t>
    <rPh sb="0" eb="2">
      <t>フジワラ</t>
    </rPh>
    <rPh sb="3" eb="4">
      <t>サ</t>
    </rPh>
    <rPh sb="4" eb="5">
      <t>サトシ</t>
    </rPh>
    <phoneticPr fontId="1"/>
  </si>
  <si>
    <t>sachi.fujiwara@ompu.ac.jp</t>
    <phoneticPr fontId="1"/>
  </si>
  <si>
    <t>072-684-6875</t>
    <phoneticPr fontId="1"/>
  </si>
  <si>
    <t>医学部</t>
    <rPh sb="0" eb="3">
      <t>イガクブ</t>
    </rPh>
    <phoneticPr fontId="1"/>
  </si>
  <si>
    <t>薬学部</t>
    <rPh sb="0" eb="2">
      <t>ヤクガク</t>
    </rPh>
    <rPh sb="2" eb="3">
      <t>ブ</t>
    </rPh>
    <phoneticPr fontId="1"/>
  </si>
  <si>
    <t>看護学部</t>
    <rPh sb="0" eb="2">
      <t>カンゴ</t>
    </rPh>
    <rPh sb="2" eb="4">
      <t>ガクブ</t>
    </rPh>
    <phoneticPr fontId="1"/>
  </si>
  <si>
    <t>大阪医科薬科大学 数理・データサイエンス・ＡＩ教育プログラム委員会規程</t>
    <phoneticPr fontId="1"/>
  </si>
  <si>
    <t>上記委員会規程「第４条　任務」より
(1) 大阪医科薬科大学数理・データサイエンス・ＡＩ教育プログラムの立案、実施。
(2) 大阪医科薬科大学数理・データサイエンス・ＡＩ教育プログラムの改善（授業内容・方法、教育効果、シラバス記載内容の改善、全学的な履修者数・履修率向上、教員の配置、等）。
(3) 大阪医科薬科大学数理・データサイエンス・ＡＩ教育プログラムに関する履修学生への調査を実施、結果にもとづき学生の理解度を測るなど自己点検・自己評価を行い、プログラム改善につなげる。
(4) 数理・データサイエンス・ＡＩ教育の全学的な普及、整備。
(5) 大学ホームページでの大阪医科薬科大学数理・データサイエンス・ＡＩ教育プログラム自己点検・自己評価による検証結果の公開・発信。</t>
    <phoneticPr fontId="1"/>
  </si>
  <si>
    <t>本プログラムは2021年度第1学年生より開始しており、現時点で、本教育プログラムを修了した卒業⽣はいない。また、 医療系大学という特質上、卒業後IT系の企業等への就職者はほとんどいないと思われる。</t>
    <phoneticPr fontId="1"/>
  </si>
  <si>
    <t>学部・学科によって、修了要件は相違する</t>
  </si>
  <si>
    <t>第1学年：「データサイエンス１」（必修）</t>
    <phoneticPr fontId="1"/>
  </si>
  <si>
    <t>○</t>
  </si>
  <si>
    <t>第4学年「学生研究3」（必修）</t>
    <phoneticPr fontId="1"/>
  </si>
  <si>
    <t>第3学年「学生研究2」（必修）</t>
    <phoneticPr fontId="1"/>
  </si>
  <si>
    <t>第1学年：「データサイエンス１」（必修）</t>
    <phoneticPr fontId="1"/>
  </si>
  <si>
    <t>本学の数理・データサイエンス・AI教育プログラムは、 「データを正しく評価、活用する基盤となるリテラシーを身に着け、Society5.0における医療人として必要なデータサイエンスの基礎を修得する」「データサイエンスおよびAI導入により激動する未来の医療界における自 らの在り方を省察し、諸問題を解決する能力涵養」を学修目標としています。</t>
    <phoneticPr fontId="1"/>
  </si>
  <si>
    <t>https://www.ompu.ac.jp/education/datascience/index.html</t>
    <phoneticPr fontId="1"/>
  </si>
  <si>
    <t>様式２－１</t>
    <phoneticPr fontId="1"/>
  </si>
  <si>
    <t>様式２－３</t>
    <phoneticPr fontId="1"/>
  </si>
  <si>
    <t>第1学年：「情報リテラシー」（必修）</t>
    <phoneticPr fontId="1"/>
  </si>
  <si>
    <t>第2学年：「データ処理演習」（選択）</t>
    <phoneticPr fontId="1"/>
  </si>
  <si>
    <t xml:space="preserve">大阪医科薬科大学 数理・データサイエンス・ＡＩ教育プログラム委員会の構成員は下記の通り。なお、各学部の委員は各学部長が学長に推薦し、学長が委嘱している。
(1) 医学部長が推薦した医学部教員：中野隆史、駒澤伸泰
(2) 薬学部長が推薦した薬学部教員：永井 純也
(3) 看護学部長が推薦した看護学部教員：小林 道太郎
(4) 各学部長が推薦した事務職員：藤原　佐智（医）、濱田 桂輔（薬）、中野 恵梨子（看）
</t>
    <rPh sb="183" eb="184">
      <t>イ</t>
    </rPh>
    <rPh sb="192" eb="193">
      <t>クスリ</t>
    </rPh>
    <phoneticPr fontId="1"/>
  </si>
  <si>
    <t>　学校法人大阪医科薬科大学</t>
    <rPh sb="1" eb="5">
      <t>ガッコウホウジン</t>
    </rPh>
    <rPh sb="5" eb="7">
      <t>オオサカ</t>
    </rPh>
    <rPh sb="7" eb="11">
      <t>イカヤッカ</t>
    </rPh>
    <rPh sb="11" eb="13">
      <t>ダイガク</t>
    </rPh>
    <phoneticPr fontId="1"/>
  </si>
  <si>
    <t>○</t>
    <phoneticPr fontId="1"/>
  </si>
  <si>
    <t>第1学年：「統計学」（必修）</t>
    <phoneticPr fontId="1"/>
  </si>
  <si>
    <t>様式２－２</t>
    <phoneticPr fontId="1"/>
  </si>
  <si>
    <t>第1学年：「情報科学演習」（必修）</t>
    <phoneticPr fontId="1"/>
  </si>
  <si>
    <t>第4学年：「臨床薬物動態学」（必修）</t>
    <phoneticPr fontId="1"/>
  </si>
  <si>
    <t>第3学年：「医薬品情報学」（必修）</t>
    <phoneticPr fontId="1"/>
  </si>
  <si>
    <t>第4学年：「医療統計学」（必修）</t>
    <phoneticPr fontId="1"/>
  </si>
  <si>
    <t>各科目について、シラバスにオフィスアワーを明記しており、その時間に講義室や教員の研究室で学習指導や質問を受け付けることを学生に周知している。また、ポータルサイトやメールによる各教員への質問も受け付けている。
担当教員については、日々、高大接続の観点やデータサイエンス・AI領域の主体的・対話的で深い学びを得るために医療系以外を含めた他大学FDに定期的に参加し情報収集し、研鑽に努めている。さらに、医療系データサイエンス・AI教育に関しては国内外の医療系学会に参加し情報収集を行っている。</t>
    <rPh sb="136" eb="138">
      <t>リョウイキ</t>
    </rPh>
    <rPh sb="139" eb="142">
      <t>シュタイテキ</t>
    </rPh>
    <rPh sb="143" eb="145">
      <t>タイワ</t>
    </rPh>
    <rPh sb="145" eb="146">
      <t>テキ</t>
    </rPh>
    <rPh sb="147" eb="148">
      <t>フカ</t>
    </rPh>
    <rPh sb="149" eb="150">
      <t>マナ</t>
    </rPh>
    <rPh sb="152" eb="153">
      <t>エ</t>
    </rPh>
    <rPh sb="157" eb="160">
      <t>イリョウケイ</t>
    </rPh>
    <rPh sb="160" eb="162">
      <t>イガイ</t>
    </rPh>
    <rPh sb="163" eb="164">
      <t>フク</t>
    </rPh>
    <rPh sb="172" eb="175">
      <t>テイキテキ</t>
    </rPh>
    <rPh sb="198" eb="201">
      <t>イリョウケイ</t>
    </rPh>
    <rPh sb="212" eb="214">
      <t>キョウイク</t>
    </rPh>
    <rPh sb="215" eb="216">
      <t>カン</t>
    </rPh>
    <rPh sb="219" eb="222">
      <t>コクナイガイ</t>
    </rPh>
    <rPh sb="223" eb="226">
      <t>イリョウケイ</t>
    </rPh>
    <rPh sb="226" eb="228">
      <t>ガクカイ</t>
    </rPh>
    <rPh sb="229" eb="231">
      <t>サンカ</t>
    </rPh>
    <rPh sb="232" eb="236">
      <t>ジョウホウシュウシュウ</t>
    </rPh>
    <rPh sb="237" eb="238">
      <t>オコナ</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</si>
  <si>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</si>
  <si>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 xml:space="preserve">医学部および薬学部科目は、すでに学部の学生全員が受講可能な状況である。看護学部においても一部選択科目があるものの、上記計画のとおり必修化の準備を進めており、2022年度入学生以降は全員がプログラム履修者となる。
医療系大学として、データサイエンス・AIと実際の医療・福祉現場の連続性を常に意識させる取り組みが必要である。今後、入学後のガイダンスや大学HPの本プログラム情報の充実を図り、学生には常にデータサイエンス・AIを学ぶ意義を意識させ情報を受け取りやすい環境を作っていきたい。　　　　　
学生の学修意欲を高める取り組みとしては、プログラム全体で下記を留意している。
・予習項目を通知し、新規概念の理解促進
・高等教育における情報系科目の情報収集を行い、高大接続を意識している
・臨床・基礎医学系科目との垂直・水平統合を意識した内容
</t>
    <phoneticPr fontId="1"/>
  </si>
  <si>
    <t xml:space="preserve">医療系大学という特質上、あえて、共通科目にせず医・薬・看各学部の専門性に合わせた授業科目で構成したプログラムとなっている。いずれの学部の科目もそれぞれの専門的な進路に合わせた垂直型プログラムとしている。履修者がSociety5.0の医療界をイメージできるよう努めており、それぞれの専門分野との関係も含めて考えさせることで学ぶ意義が理解できるように工夫している。
学生の理解力を促進する取り組みとして、他大学のオープンエデュケーションを補助教材として使用したり、オフィスアワーを設定するなどしている。
一方、教員の多くが「情報科学」に関する系統的授業を受けていないがゆえに、学生へのデータサイエンス・AIプログラム提供に当たっては、教育者自身の自発的学修も必要であり、定期的な学内Faculty Development講習会も計画している。
</t>
    <phoneticPr fontId="1"/>
  </si>
  <si>
    <t xml:space="preserve">本プログラムは2021年度第1学年生より開始しており、プログラムの各学部該当科目には、学部の進路や特性を生かした実践内容も多く含まれている。
各学部で履修状況および修得状況を確認しており、
医学部・薬学部：第1学年の履修率100％、修得率99％
看護学部：第1学年履修率100％、修得率100％
となっている。看護学部では、2022年度入学生からカリキュラム改正により、第1学年必修科目「情報リテラシー・データサイエンス」と「統計学」によるプログラム構成とすることで、全員がプログラムを受講する予定である。
このことにより2022年度入学生以降は三学部の全員がプログラム履修者となる。
</t>
    <phoneticPr fontId="1"/>
  </si>
  <si>
    <t>医学部・薬学部では、プログラムを構成する科目が全て必修であり、推奨に関わらず全学生が履修している。看護学部でも、「情報リテラシー」「統計学」は必修であり全学生が履修している。「データ処理演習(プログラム履修生である1年生は未履修であるが、2021年度2年生の既存科目のため参考）」の授業評価アンケートでは、この分野への興味・関心が高まったかという問いに対して、94％が「とてもそう思う」「まあそう思う」と回答。なお2022年度入学生からは、カリキュラム改正により、第1学年必修科目「情報リテラシー・データサイエンス」と「統計学」によるプログラム構成とし、全員がプログラムを履修する予定である。</t>
    <phoneticPr fontId="1"/>
  </si>
  <si>
    <t xml:space="preserve">医学部、薬学部では、現状プログラムの通り、今後も全員必修科目での構成であり、全員がプログラム履修者となる。
看護学部では、プログラム1年目の2021年度は、第1学年「情報リテラシー」と「統計学」は必修科目、第2学年「データ処理演習」は選択科目であったが、2022年度入学生からは、カリキュラム改正により、第1学年必修科目「情報リテラシー・データサイエンス」と「統計学」の2科目によるプログラム構成とすることで、全員がプログラムを受講する予定である。
このことにより2022年度からは、三学部の学生全員がプログラム履修可能となる。
</t>
    <phoneticPr fontId="1"/>
  </si>
  <si>
    <t xml:space="preserve">本プログラムにかかる科⽬は学⽣による授業評価アンケートを実施しており、科⽬ごとに理解度等を分析できる仕組みになっている。 授業評価アンケートでは「授業内容を理解できたか」、「教員の講義進行速度はどうであったか」、「教員の説明のわかりやすさ」、「学習目標を達成できたか」などに関する設問のあり、その結果についてはすべて教員にフィードバックし授業改善につなげている。
各学部のアンケート結果についても、3/23（水）開催の「数理・データサイエンス・AIプログラム委員会」において自己点検を実施、4/5（火）開催の「学部間協議会」において評価しており、「自己点検評価報告書」としてホームページ上で公開している。
</t>
    <phoneticPr fontId="1"/>
  </si>
  <si>
    <t>「最終回授業で現在の社会および医療におけるデータサイエンス・AIの活用について提示し、グループディスカッションを含めながら、今後起こりうる変化と自らの在り方を省察するアクティブラーニングを取り入れる」、「与えられた課題に関する内容や構成を考えプレゼンテーションを行い、学生が評価し、学習の本質に触れる機会を与える」、「臨床で遭遇する様々な事例の問題解決に取り組みながら、医薬品情報源の種類や分類、目的に応じた情報の選択、検索、収集について理解する機会を与える」など各学部の特性にそって「学ぶ楽しさ」「学ぶことの意義」の理解に努めている。詳細は「自己点検評価報告書」としてホームページで公開している。</t>
    <phoneticPr fontId="1"/>
  </si>
  <si>
    <t xml:space="preserve">医学部では、実務家教員（医師）による講義で、医学部生をとりまく情報機器の発展についてイメージできるように心がけている。
薬学部の「情報科学演習」では、PCと関連機器を利用した個別学習やグループワークを実施、入学以前の知識・技能は個人差があるためTAを配置した。「医薬品情報学」では、薬剤師に求められる医薬品や患者情報について解説、活用に関する基本事項を演習させた。
看護学部は現時点ではさらに改善の余地ありとしながらも、2022年度はコンソーシアム作成のスキルセット準拠の『教養としてのデータサイエンス』を教科書指定するなど、分かりやすい授業づくりについても、各学部の進路を見据え検討、努力したといえる。
</t>
    <phoneticPr fontId="1"/>
  </si>
  <si>
    <t xml:space="preserve">医学部は「データサイエンス１」の学修成果解析としてテキストマイニングを実施。医療におけるデータサイエンスやAI関する意識の高さだけでなく、人間性や医師のあるべき姿、情報と社会に関する項目の省察がみられた。
薬学部では薬学研究にも繋がる化学構造式描画ソフト等一連の学びを通し、プレゼン形式での発表もあり、「聞き手」に伝えるだけでなく自身が「聞き手」となり他者を評価することを学ばせた。
看護学部では授業評価アンケートで、授業を総合的にみて満足したかという問いに対して、「情報リテラシー」で75％、「統計学」で46％が「とてもそう思う」「まあそう思う」と回答。この結果を基に次年度授業改善計画を検討している。
</t>
    <phoneticPr fontId="1"/>
  </si>
  <si>
    <t xml:space="preserve">医療系大学という特質上、プログラムは各学部の特性に合わせた科目で構成されている。医学部、薬学部科目は2021年度以降の学部学生全員がプログラム履修者となっている。看護学部においても一部選択科目があるものの、上記計画のとおり2022年度入学生以降は全員がプログラム履修者となる。
各科目の学修目標は学部間の専門性による差異も存在するが、そこに注目することがSociety 5.0の医療現場における多職種協働につながり、データサイエンス・AIと医療・福祉の臨床現場との連続性を意識させることも重視している。                     
キャンパス間の物理的距離への配慮として、遠隔会議システムを活用した授業施行、学部共通のオープンエデュケーション教材を活用した自主学習（e-learning)も行っている。コンソーシアム等のオープンエデュケーション教材を用いることで、プログラミング等に関する主体的・対話的で深い学びを支援できる。　
</t>
    <phoneticPr fontId="1"/>
  </si>
  <si>
    <t xml:space="preserve">・オフィスアワーの設置
プログラムを構成する各科目に、オフィスアワーの時間を設けており、理解が不足していた場合に教員が十分に対応できる体制を整えている。データサイエンス・AI領域だけでなく、基盤となる情報科学における知識習得が難しい場合は、適正なレベルの教科書を紹介するなどの試みを行っている。
・事前事後学習の補助教材、e-learning
事前事後学習の補助教材として、他大学のオープンテキストブックを三学部で共有し（e-learning)、学生の理解度アップに利用している。また、プログラミングや医療系以外のデータサイエンス・AIに関する学習を望む学生に対してもコンソーシアムのオープン教材を紹介することで発展的学習を支援し、主体的・対話的で深い学びを涵養する。
・高大接続を意識した学修支援
現在の高等学校では、「社会と情報」やプログラミングを含めた「情報の科学」など基礎的な「情報」科目が導入されており、今後、高大接続を意識した学修支援も必要である。これを踏まえプログラムの点検評価、改善に当たっては、下記課題も認識し、3学部で支援体制を整えている。
→情報・プログラミングの基礎知識をイメージしたリテラシーレベル教育への質改善
→プログラミング経験者と非経験者の混在を意識したリメディアル教育
→デジタルネイティブの存在に対するデータサイエンス教育の再構築
→データサイエンス科目だけでなく、全ての総合教育系科目へ影響が予測される。
・多職種連携教育を意識した学習
本学では、初年度から高学年まで連続する垂直統合型の多職種連携教育を構築しており、学部間の専門性の差を認識しつつ、将来の医療人として他職種との連携を学んでいる。データサイエンス・AI科目においても、医療・福祉での共通部分だけでなく専門性における差を学ぶことで、将来の臨床現場でのデータサイエンス・AI活用が円滑に実践できると考える。これらの支援を行うことで、臨床現場との連続性を担保しつつ、主体的・対話的で深い学びを得られ、支援体制に対しても年度ごとに見直すことで質改善を図り、医療系総合大学としての特色あるデータサイエンス・AIプログラム提供に努める。
</t>
    <phoneticPr fontId="1"/>
  </si>
  <si>
    <t xml:space="preserve">AIの医学医療への応用は、日常診療への応用だけでなく、医学研究分野においても、革新的進歩が期待される。この潮流から、卒前教育においても、データサイエンス・AIを用いた科学的知見に触れることが、研究レベルへの円滑な接続に寄与する可能性がある。臨床科目と並行しながら臨床におけるデータサイエンス活用方法やAIの可能性と危険性について学ぶことが実践的と考えている。
・実臨床・実社会における研究データ
① でも記載した通り、各学部の該当科目には、実データを扱う実践内容も多く含まれており、各々の医療人としての研究基盤となることを意識した構成となっている。データサイエンスに関するスキルを活かし、実臨床・実社会における研究データの質的もしくは量的解析の実践を目指している。医療系大学という特性上、学生も医療系に進む学生が大半である。卒前教育で、実臨床データを取り扱う期間を設けることは、常に実社会のニーズを意識することにもつながっている。また、これらの実臨床におけるデータを扱うことは医療産業界への理解と連携につながると考えている。
・他大学との連携、海外の大学等との連携等
本学は、数理・データサイエンス教育強化拠点コンソーシアム近畿ブロックに加盟しており、常時、外部団体が実施する講演やワークショップ、ＦＤ活動等に参加し、本学カリキュラムに取り入れられる部分は全学部で共有している。今後は、他大学への普及にも尽力し、医療分野における「数理・DS・AI教育」の充実を目指したいと考えている。さらに、世界最大の医学教育系学会である欧州医学教育学会（AMEE）のガイドラインの共有や学会参加・発表により世界のデータサイエンス・AI教育の連携を行っている。
Society 5.0に対応できる医療系学生の育成には、データサイエンス・AIプログラムの継続的質改善が必要であり、実臨床・医療産業・コンソーシアム・海外との連携をさらに深めたい。
・高大連携
令和４年３月４日(金) 17:00～、同法人の高槻高校校長による「高大接続に向けた中等教育の過去10～15年の推移・変化」講演（FD）があり、学習指導要領の改訂に伴う「情報」授業とデータサイエンスについても共有があった。今後も継続的に高大間の情報共有を行っていく。
</t>
    <phoneticPr fontId="1"/>
  </si>
  <si>
    <t>一部開講</t>
  </si>
  <si>
    <t>本プログラムに該当する医学部及び薬学部の科目は、いずれも「必修」であるため履修者数・履修率向上に向けた計画は特段ない。　
看護学部は、実データ・実課題を用いた演習などによる数理・データサイエンス・AIの基本的な活用法について、2021年度までは必修「統計学」および選択「データ処理演習」で扱ったが、2022年度からはこれらの演習を必修「統計学」および必修「情報リテラシー・データサイエンス」に組み込むことを計画している。このことにより、数理・データサイエンス・AI教育のリテラシーレベルの内容がすべて必修科目で網羅されることになり、プログラムの全体が必修科目となる。つまり、2021年度入学生は「データ処理演習」選択者のみがプログラムを修了するが、2022年度以降の入学生からは全員がプログラムを履修することになる。
よって2022年度以降入学生からは全学的なプログラム必修化体制を構築できる。
　　　　　　　　　　　　</t>
    <phoneticPr fontId="1"/>
  </si>
  <si>
    <t xml:space="preserve">医学部および薬学部のプログラム科目は、いずれも「必修」であるため、すでに学部の学生全員が受講可能な状況である。看護学部では、2022年度入学生からは、カリキュラム改正により、第1学年必修科目「情報リテラシー・データサイエンス」と「統計学」によるプログラム構成とすることで、全員がプログラムを受講する予定である。このことにより2022年度には三学部の学生全員がプログラム履修可能となる。
・医療系大学におけるデータサイエンス・AIプログラム
医療系大学におけるデータサイエンス・AIプログラムは、概要紹介に留まらず、原理やリスクに関しても包括した実践的な理解が必要である。
大阪医科薬科大学「数理・データサイエンス・AI教育プログラム」は、 「データを正しく評価、活用する基盤となるリテラシーを身に着け、Society5.0における医療人として必要なデータサイエンスの基礎を修得する」「データサイエンスおよびAI導入により激動する未来の医療界における自 らの在り方を省察し、諸問題を解決する能力涵養」を学修目標としており、各学部の該当科目には、医・薬・看それぞれの専門性との連続性を意識した実践内容も多く含まれている。各々の医療人としての研究基盤となることを意識した構成となっており、4年もしくは6年間の一貫したデータサイエンス・AIプログラムには、近未来における発展性だけでなく付随するリスクに対応できるコンピテンシー獲得が求められる。
いずれの学部も高学年で臨床実習があり、「電子カルテ」という診療情報、ビッグデータに触れることとなる。医療現場での留意事項（ELSI、個人情報）についてもつなげる。
・各学部における医療人としての研究基盤となることを意識した科目構成（実データを扱う）
医学部では、従前から実施していた「学生研究２」、「学生研究３」の科目もプログラムに含めている。学生研究シリーズは学生がリサーチマインドを醸成し、自ら課題を発見し、それを解決する、という姿勢を身につけると ともに、医療情報や研究情報の精査と評価を行い、医師として EBM（evidence-based medicine）を実践できることを目的にしている。 3年生の「学生研究２」の学生研究コア期間（研究室配属期間）であり、4年生の「学生研究３」では、学生研究コア期間で得られた疾患や病態、もしくは公衆衛生的領域における実臨床データを解析する。そして、研究成果を社会に還元する方法であるグラフ選択や作成などの発表法を実践することで、医学研究全体について学ぶことを目的としている。研究室配属期間には、病院や社会の実データを扱い、研究の方法を学び過程を記録しつつ、推し進め研究成果発表する内容となっている。同時に医学医療領域の研究における患者個人情報管理の倫理的項目への配慮についても学ぶ。これらの医療・福祉領域における実臨床データの解析を通じて、将来の臨床現場に対応できる十分なリテラシー涵養を目指している。　　　　　　　　　　　　　　　　　　　　　　　　　　　　　　　　　　　　　　　　　　　　　　　　　　　　　　　　　　　　　　　　　　　　　　　　　　　　　　　　　　薬学部では、3年生の「医療統計学」で、疾病の自然経過を観察する狭義の観察研究にも、薬物の効果を検証する臨床試験・治験にも、医療統計の知識が必要であることを理解し、講義と演習を通してその手法を習得することを目的としている。「医薬品情報学」では、医薬品の有用性を最大限に活用し、種々の医薬品情報を適切に収集し、評価し、患者情報を踏まえた上で、情報の受け手に合わせて加工し、提供することを学ぶ。臨床上の問題解決において薬剤師に求められる医薬品情報、患者情報について解説し、その活用に関する基本的な事項を演習している。　
看護学部では、1年生の「統計学」において、保健医療情報を例にとり、まずデータの種類及び特性、収集及び分類、分布の種類と特性を理解させる。統計量から集団の傾向や性質を把握させ、それらの分析技術を習得し、諸性質を確率論的に推測し、データの示す意味を考える訓練と論理的に思考する能力を養い、分析結果の解釈の仕方を教授している。　2年生の「データ処理演習」では、統計学の知識を深め、一般的なデータ処理に必要な汎用性の高いソフトウェアに習熟し、看護学習・研究に利用することができるようになることを目標としている。
</t>
    <rPh sb="742" eb="743">
      <t>アツカ</t>
    </rPh>
    <phoneticPr fontId="1"/>
  </si>
  <si>
    <t>医学部・看護学部ではカリキュラム評価委員会の、薬学部では薬学自己点検・評価委員会の学外委員より産業界視点でご意見をいただいた。医学部・看護学部では「医師にとってどのようなデータサイエンス知識が必要なのかを示す必要がある」「学生の立場としての目的だけでなく、地域で生活する住民の立場にたってなぜ必要か、いつ、どのように活用するべきなのか等が事例を通じて理解できるとよい」、薬学部では「申請に多いに賛成する。また、プログラムを構成する科目についても適当であると考える。各講義内容のより具体的な方略が示されるとなお分かり易い」等の意見をいただいており、プログラム改善と合わせ検討していかねばならない。</t>
    <phoneticPr fontId="1"/>
  </si>
  <si>
    <t>薬学部では、プログラムを構成する「情報科学演習」1単位（必修）、「医薬品情報学」1単位（必修）、「医療統計学」1単位（必修）、「臨床薬物動態学」1単位（必修）の合計4単位を取得すること。</t>
    <rPh sb="0" eb="3">
      <t>ヤクガクブ</t>
    </rPh>
    <phoneticPr fontId="1"/>
  </si>
  <si>
    <t>医学部では、プログラムを構成する「データサイエンス１」1.5単位（必修）、「学生研究2」4.5単位（必修）、「学生研究3」1.5単位（必修）の合計7.5単位を取得すること。</t>
    <phoneticPr fontId="1"/>
  </si>
  <si>
    <r>
      <rPr>
        <b/>
        <u/>
        <sz val="10"/>
        <rFont val="ＭＳ Ｐゴシック"/>
        <family val="3"/>
        <charset val="128"/>
        <scheme val="minor"/>
      </rPr>
      <t>第1学年：「データサイエンス１」（必修）</t>
    </r>
    <r>
      <rPr>
        <sz val="10"/>
        <rFont val="ＭＳ Ｐゴシック"/>
        <family val="2"/>
        <charset val="128"/>
        <scheme val="minor"/>
      </rPr>
      <t xml:space="preserve">
・授業タイトル「データサイエンスとは何か」  授業項目「社会の中におけるデータサイエンス」（1回目、2回目）
・授業タイトル「医学・医療におけるデータサイエンス」  授業項目「データ駆動型社会　Society5.0に対応した医療人を目指すために」（7回目、8回目）
・授業タイトル「AIの利活用の現状と課題」  授業項目「AIの概念や利活用の現状、関連課題」（15回目、16回目）
・授業タイトル「IoT/IoHとビッグデータ」 授業項目「ビッグデータの活用（グループワーク）」（19回目、20回目）</t>
    </r>
    <rPh sb="72" eb="74">
      <t>カイメ</t>
    </rPh>
    <phoneticPr fontId="1"/>
  </si>
  <si>
    <r>
      <rPr>
        <b/>
        <u/>
        <sz val="10"/>
        <rFont val="ＭＳ Ｐゴシック"/>
        <family val="3"/>
        <charset val="128"/>
        <scheme val="minor"/>
      </rPr>
      <t xml:space="preserve">第1学年：「データサイエンス１」（必修）
</t>
    </r>
    <r>
      <rPr>
        <sz val="10"/>
        <rFont val="ＭＳ Ｐゴシック"/>
        <family val="2"/>
        <charset val="128"/>
        <scheme val="minor"/>
      </rPr>
      <t>・授業タイトル「AIの利活用の現状と課題」  授業項目「AIの概念や利活用の現状、関連課題」（15回目、16回目）
・授業タイトル「IoT/IoHとビッグデータ」 授業項目「ビッグデータの活用（グループワーク）」</t>
    </r>
    <r>
      <rPr>
        <sz val="10"/>
        <rFont val="ＭＳ Ｐゴシック"/>
        <family val="3"/>
        <charset val="128"/>
        <scheme val="minor"/>
      </rPr>
      <t>（19回目、20回目）</t>
    </r>
    <phoneticPr fontId="1"/>
  </si>
  <si>
    <r>
      <rPr>
        <b/>
        <u/>
        <sz val="10"/>
        <rFont val="ＭＳ Ｐゴシック"/>
        <family val="3"/>
        <charset val="128"/>
        <scheme val="minor"/>
      </rPr>
      <t>第1学年：「データサイエンス１」（必修）</t>
    </r>
    <r>
      <rPr>
        <sz val="10"/>
        <rFont val="ＭＳ Ｐゴシック"/>
        <family val="2"/>
        <charset val="128"/>
        <scheme val="minor"/>
      </rPr>
      <t xml:space="preserve">
・授業タイトル「今後の医療におけるデータサイエンスの活用」  授業項目「医療におけるデータサイエンス活用の将来的展望を知り、データサイエンスを学ぶ意義の理解を深める」</t>
    </r>
    <r>
      <rPr>
        <sz val="10"/>
        <rFont val="ＭＳ Ｐゴシック"/>
        <family val="3"/>
        <charset val="128"/>
        <scheme val="minor"/>
      </rPr>
      <t>（21回目、22回目）</t>
    </r>
    <phoneticPr fontId="1"/>
  </si>
  <si>
    <r>
      <rPr>
        <b/>
        <u/>
        <sz val="10"/>
        <rFont val="ＭＳ Ｐゴシック"/>
        <family val="3"/>
        <charset val="128"/>
        <scheme val="minor"/>
      </rPr>
      <t>第1学年：「データサイエンス１」（必修）</t>
    </r>
    <r>
      <rPr>
        <sz val="10"/>
        <rFont val="ＭＳ Ｐゴシック"/>
        <family val="3"/>
        <charset val="128"/>
        <scheme val="minor"/>
      </rPr>
      <t xml:space="preserve">
授業タイトル「個人のデータに関連する法規」  授業項目「個人のデータに関連する法規」（9回目、10回目）
授業タイトル「データサイエンスと倫理」  授業項目「データ収集、分析、活用と倫理的配慮」（13回目、14回目）
授業タイトル「AIの利活用の現状と課題」  授業項目「AIの概念や利活用の現状、関連課題」 （15回目、16回目）
</t>
    </r>
    <r>
      <rPr>
        <b/>
        <u/>
        <sz val="10"/>
        <rFont val="ＭＳ Ｐゴシック"/>
        <family val="3"/>
        <charset val="128"/>
        <scheme val="minor"/>
      </rPr>
      <t>第3学年「学生研究2」（必修）</t>
    </r>
    <r>
      <rPr>
        <sz val="10"/>
        <rFont val="ＭＳ Ｐゴシック"/>
        <family val="3"/>
        <charset val="128"/>
        <scheme val="minor"/>
      </rPr>
      <t xml:space="preserve">
授業タイトル「電子カルテ(臨床)に関する倫理について」、授業項目「電子カルテ(臨床)に関する倫理について」（19回目、20回目）</t>
    </r>
    <phoneticPr fontId="1"/>
  </si>
  <si>
    <r>
      <rPr>
        <b/>
        <u/>
        <sz val="10"/>
        <rFont val="ＭＳ Ｐゴシック"/>
        <family val="3"/>
        <charset val="128"/>
        <scheme val="minor"/>
      </rPr>
      <t>第1学年：「データサイエンス１」（必修）</t>
    </r>
    <r>
      <rPr>
        <sz val="10"/>
        <rFont val="ＭＳ Ｐゴシック"/>
        <family val="3"/>
        <charset val="128"/>
        <scheme val="minor"/>
      </rPr>
      <t xml:space="preserve">
授業タイトル「データサイエンスにおける統計の役割」、授業項目「統計の役割を学ぶ」（3回目、4回目）
授業タイトル「社会におけるデータを分類する①」、授業項目「質的変数と量的変数、様々な尺度、時系列データの扱い」（5回目、6回目）
授業タイトル「社会におけるデータを解釈する②」、授業項目「関連を測定する：多変数データの分析、相関、回帰、因果」（11回目、12回目）
授業タイトル「社会におけるデータを解析する③」、授業項目「記述統計、確率論の導入と推測統計、標本調査の方法、統計解析と機械学習」（17回目、18回目）
授業タイトル「IoT/IoHとビッグデータ」、授業項目「ビッグデータの活用（グループワーク）」（19回目、20回目）
授業タイトル「社会におけるデータを表現する④」、授業項目「データを可視化するグラフ(様々なグラフとその適切な活用)」（23回目、24回目）
</t>
    </r>
    <r>
      <rPr>
        <b/>
        <u/>
        <sz val="10"/>
        <rFont val="ＭＳ Ｐゴシック"/>
        <family val="3"/>
        <charset val="128"/>
        <scheme val="minor"/>
      </rPr>
      <t>第3学年「学生研究2」（必修）</t>
    </r>
    <r>
      <rPr>
        <sz val="10"/>
        <rFont val="ＭＳ Ｐゴシック"/>
        <family val="3"/>
        <charset val="128"/>
        <scheme val="minor"/>
      </rPr>
      <t xml:space="preserve">
授業タイトル「医学統計・データサイエンス入門」  授業項目「医学統計・データサイエンス入門（講義）」（5回目、6回目、7回目、8回目）
授業タイトル「医学統計・データサイエンス入門」、授業項目「医学統計・データサイエンス入門（演習）」（21回目、22回目、23回目、24回目）
</t>
    </r>
    <r>
      <rPr>
        <b/>
        <u/>
        <sz val="10"/>
        <rFont val="ＭＳ Ｐゴシック"/>
        <family val="3"/>
        <charset val="128"/>
        <scheme val="minor"/>
      </rPr>
      <t>第4学年「学生研究3」（必修）</t>
    </r>
    <r>
      <rPr>
        <sz val="10"/>
        <rFont val="ＭＳ Ｐゴシック"/>
        <family val="3"/>
        <charset val="128"/>
        <scheme val="minor"/>
      </rPr>
      <t xml:space="preserve">
授業タイトル「医学統計・データサイエンス演習」   授業項目「医学統計・データサイエンス演習」（1回目～8回目、25回目～28回目）</t>
    </r>
    <rPh sb="631" eb="633">
      <t>カイメ</t>
    </rPh>
    <rPh sb="635" eb="637">
      <t>カイメ</t>
    </rPh>
    <rPh sb="640" eb="642">
      <t>カイメ</t>
    </rPh>
    <rPh sb="645" eb="647">
      <t>カイメ</t>
    </rPh>
    <phoneticPr fontId="1"/>
  </si>
  <si>
    <r>
      <rPr>
        <b/>
        <sz val="10"/>
        <rFont val="ＭＳ Ｐゴシック"/>
        <family val="3"/>
        <charset val="128"/>
        <scheme val="minor"/>
      </rPr>
      <t>第4学年：「臨床薬物動態学」（必修）　　　　　　　　　　　　　　　　　　　　　　　　　　　　　　　　　　　　　　　　　　　　　　　　　　　　　　　　　　　　　　　　　　　　　　　　　　　　　</t>
    </r>
    <r>
      <rPr>
        <sz val="10"/>
        <rFont val="ＭＳ Ｐゴシック"/>
        <family val="3"/>
        <charset val="128"/>
        <scheme val="minor"/>
      </rPr>
      <t>・授業タイトル「TDMの実際」（8回目）　　　　　　　　　　　　　　　　　　　　　　　　　　　　　　　　　　　　　　　　　　　　　　　　　　　　　　　　　　　　　　　　　　　　　　　　　　　　　　　　　　　　　　　　　　　授業項目「治療薬物モニタリング（TDM）の意義を説明し、TDMが有効な薬物を列挙できる。TDMを行う際の採血ポイント、試料の取り扱い、測定法について説明できる。代表的なTDM対象薬について、薬物動態パラメータを算出し、患者ごとの薬物投与設計ができる。代表的なTDM対象薬について、薬物血中濃度の推移が薬物療法の効果および副作用について予測できる。薬物血中濃度に基づき、医師に対し、薬剤の種類、投与量、投与方法、投与期間等を変更するための提案内容について説明できる。」</t>
    </r>
    <phoneticPr fontId="1"/>
  </si>
  <si>
    <r>
      <rPr>
        <b/>
        <sz val="10"/>
        <rFont val="ＭＳ Ｐゴシック"/>
        <family val="3"/>
        <charset val="128"/>
        <scheme val="minor"/>
      </rPr>
      <t>第1学年：「情報科学演習」（必修）　</t>
    </r>
    <r>
      <rPr>
        <sz val="10"/>
        <rFont val="ＭＳ Ｐゴシック"/>
        <family val="3"/>
        <charset val="128"/>
        <scheme val="minor"/>
      </rPr>
      <t>　　　　　　　　　　　　　　　　　　　　　　　　　　　　　　　　　　　　　　　　　　　　　　　　　　　　　　　　　　　　　　　　　　　　　　　・授業タイトル「情報社会への参画と情報倫理と情報セキュリティ」（1回目）　　　　　　　　　　　　　　　　　　　　　　　　　　　　　　　　　　　　　　　　　　　　　　　　　　　　　　　　　　　　　　　　　　　　　　授業項目「情報社会に主体的に参画するための知識と態度、行動を身に付け、情報技術の進展が社会にどのような変化をもたらし、いかなる問題を生じうるかについて、技術、法律、倫理、活用の４つの面から重要性を学び、これらに関する知識と技能を修得する。」　　　　　　　　　　　　　　　　　　　　　　　　　　　　　　　　　　　　　　　　　　　　　　　　　　　　　　　　　　　　　　　　　　　</t>
    </r>
    <r>
      <rPr>
        <b/>
        <sz val="10"/>
        <rFont val="ＭＳ Ｐゴシック"/>
        <family val="3"/>
        <charset val="128"/>
        <scheme val="minor"/>
      </rPr>
      <t/>
    </r>
    <rPh sb="14" eb="16">
      <t>ヒッシュウ</t>
    </rPh>
    <rPh sb="197" eb="199">
      <t>コウモク</t>
    </rPh>
    <phoneticPr fontId="1"/>
  </si>
  <si>
    <r>
      <rPr>
        <b/>
        <sz val="10"/>
        <rFont val="ＭＳ Ｐゴシック"/>
        <family val="3"/>
        <charset val="128"/>
        <scheme val="minor"/>
      </rPr>
      <t>第１学年：情報科学演習 （必修）</t>
    </r>
    <r>
      <rPr>
        <sz val="10"/>
        <rFont val="ＭＳ Ｐゴシック"/>
        <family val="2"/>
        <charset val="128"/>
        <scheme val="minor"/>
      </rPr>
      <t>　　　　　　　　　　　　　　　　　　　　　　　　　　　　　　　　　　　　　　　　　　　　　　　　　　　　　　　　　　　　　　　　　　　　　　・授業タイトル「人工知能(AI)とデータ科学」（2回目）　　　　　　　　　　　　　　　　　　　　　　　　　　　　　　　　　　　　　　　　　　　　　　　　　　　　　　　　　　　　　　　　　　　　　　　　　　　　　　　　　　　　　　　授業項目「ディープラーニングなどの人工知能(AI)の実用化などの情報システムの高度化、データの広域・大量化及びIoT、ビッグデータ活用など情報技術革新の流れを踏まえ、Society5.0に向けた情報化の進展についての知識を修得する。」　　　　　　　　　　　　　　　　　　　　　　　　　　　　　　　　　　　　　　　　　</t>
    </r>
    <rPh sb="0" eb="1">
      <t>ダイ</t>
    </rPh>
    <rPh sb="2" eb="4">
      <t>ガクネン</t>
    </rPh>
    <rPh sb="5" eb="7">
      <t>ジョウホウ</t>
    </rPh>
    <rPh sb="7" eb="9">
      <t>カガク</t>
    </rPh>
    <rPh sb="9" eb="11">
      <t>エンシュウ</t>
    </rPh>
    <rPh sb="13" eb="15">
      <t>ヒッシュウ</t>
    </rPh>
    <rPh sb="87" eb="89">
      <t>ジュギョウ</t>
    </rPh>
    <rPh sb="111" eb="113">
      <t>カイメ</t>
    </rPh>
    <rPh sb="201" eb="203">
      <t>ジュギョウ</t>
    </rPh>
    <rPh sb="203" eb="205">
      <t>コウモク</t>
    </rPh>
    <phoneticPr fontId="1"/>
  </si>
  <si>
    <r>
      <rPr>
        <b/>
        <sz val="10"/>
        <rFont val="ＭＳ Ｐゴシック"/>
        <family val="3"/>
        <charset val="128"/>
        <scheme val="minor"/>
      </rPr>
      <t>第１学年：情報科学演習 （必修）　</t>
    </r>
    <r>
      <rPr>
        <sz val="10"/>
        <rFont val="ＭＳ Ｐゴシック"/>
        <family val="2"/>
        <charset val="128"/>
        <scheme val="minor"/>
      </rPr>
      <t>　　　　　　　　　　　　　　　　　　　　　　　　　　　　　　　　　　　　　　　　　　　　　　　　　　　　　　　　　　　　　　　　　　　　　　　　　　　　　　　　　　　　　　　　　　　　　　　　　　　　　　　　　　　　　　　　　　　　　　　　　　　　　　　　　　　　　　　　　　　　　　　　　　　　　・授業タイトル「人工知能(AI)とデータ科学」（2回目）　　　　　　　　　　　　　　　　　　　　　　　　　　　　　　　　　　　　　　　　　　　　　　　　　　　　　　　　　　　　　　　　　授業項目「ディープラーニングなどの人工知能(AI)の実用化などの情報システムの高度化、データの広域・大量化及びIoT、ビッグデータ活用など情報技術革新の流れを踏まえ、Society5.0に向けた情報化の進展についての知識を修得する。」　　
　　　　　　　　　　　　　　　　　　　　　　　　　　　　　　　　　　　　　　　　　　　　　　　　　　　　　　　　　　　　　　　　　　　　　　　　　　　　　　　　　　　　　　　　　　　　　　　　　　　　　　　　　　　　　　　　　　　　　　　　　　　　　　　　　　　　　　　　　　　　　　　　　　　　　　　　　　　　　　・授業タイトル「クラウドコンピューティングと情報検索」（3回目）　　　　　　　　　　　　　　　　　　　　　　　　　　　　　　　　　　　　　　　　　　　　　　　　　　　　　　　　　　　　　　　　　　　　　　　　　　　　　　　　　　　　　　　　　授業項目「クラウドコンピューティングのサービスを利用して利点、問題点の理解を深めて、必要となったときに実践的な判断を可能とする知識と技術を修得する。大学図書館と様々なインターネット上の情報源について、学術情報の視点から理解すると共に目的に沿った情報検索に関する知識と技能を修得する。 」</t>
    </r>
    <rPh sb="13" eb="15">
      <t>ヒッシュウ</t>
    </rPh>
    <rPh sb="261" eb="263">
      <t>コウモク</t>
    </rPh>
    <rPh sb="660" eb="662">
      <t>コウモク</t>
    </rPh>
    <phoneticPr fontId="1"/>
  </si>
  <si>
    <r>
      <rPr>
        <b/>
        <sz val="10"/>
        <rFont val="ＭＳ Ｐゴシック"/>
        <family val="3"/>
        <charset val="128"/>
        <scheme val="minor"/>
      </rPr>
      <t>第3学年：「医薬品情報学」（必修）　</t>
    </r>
    <r>
      <rPr>
        <sz val="10"/>
        <rFont val="ＭＳ Ｐゴシック"/>
        <family val="3"/>
        <charset val="128"/>
        <scheme val="minor"/>
      </rPr>
      <t xml:space="preserve">　　　　　　　　　　　　　　　　　　　　　　　　　　　　　　　　　　　　　　　　　　　　　　　　　　　　　　　　　　　　　　　　　　　　　　　　　　　　　　　　　　　　　　　　　　　　　　　　　　　　　　　　　　　　　　　　　　　　　　　　　　　　　　　　　　　　　　　　・授業タイトル「医薬品情報の情報源」（6回目）　　　　　　　　　　　　　　　　　　　　　　　　　　　　　　　　　　　　　　　　　　　　　　　　　　　　　　　　　　　　　　　　　　　　　　　　　　　　　　　授業項目「臨床で遭遇する様々な事例の問題解決に取り組みながら、医薬品情報源の種類や分類、目的に応じた情報の選択、検索、収集について理解する。」
・授業タイトル「患者情報の収集」（7回目）　　　　　　　　　　　　　　　　　　　　　　　　　　　　　　　　　　　　　　　　　　　　　　　　　　　　　　　　　　　　　　　　　　　　　　　　　　　　　　　　　　　　　授業項目「臨床で遭遇する様々な事例の問題解決に取り組みながら、患者情報の収集とその記録方法を理解する。また、患者情報を取り扱う上で、守秘義務や個人情報保護など情報管理の重要性を理解する。」　　
</t>
    </r>
    <r>
      <rPr>
        <b/>
        <sz val="10"/>
        <rFont val="ＭＳ Ｐゴシック"/>
        <family val="3"/>
        <charset val="128"/>
        <scheme val="minor"/>
      </rPr>
      <t xml:space="preserve">
第4学年：「医療統計学」（必修）　　　　　　　　　　　　　　　　　　　　　　　　　　　　　　　　　　　　　　　　　　　　　　　　　　　　　　　　　　　　　　　　　　　　　　　　　　　　　　</t>
    </r>
    <r>
      <rPr>
        <sz val="10"/>
        <rFont val="ＭＳ Ｐゴシック"/>
        <family val="3"/>
        <charset val="128"/>
        <scheme val="minor"/>
      </rPr>
      <t>・授業タイトル「臨床研究デザインと統計解析」（5回目）　　　　　　　　　　　　　　　　　　　　　　　　　　　　　　　　　　　　　　　　　　　　　　　　　　　　　　　　　　　　　　　　　　　　　　　　　　　　授業項目「臨床研究（治験を含む）の代表的な手法（介入研究、観察研究）を列挙し、それらの特徴および長所と短所を挙げ、それらのエビデンスレベルについて概説できる。EBMの基本概念と実践のプロセスについて説明できる。」
・授業タイトル「観察研究（ケース・コントロール研究とオッズ比/コホート研究と相対リスク）」（6回目）　　　　　　　　　　　　　　　　　　　　　　　　　　　　　　　　　　　　　　　　　　　　　　　　　授業項目「観察研究での主な疫学研究デザイン（症例報告、症例集積、コホート研究、ケースコントロール研究、ネステッドケースコントロール研究、ケースコホート研究など）について概説できる。ケースコントロール研究で用いられるオッズ比を算出できる。コホート研究で用いられる相対リスクを算出できる。主な回帰分析（直線回帰、ロジスティック回帰など）と相関係数の検定について概説できる。臨床研究におけるバイアス・交絡について概説できる。」
・授業タイトル「介入研究（研究の立案/評価）」（7回目）　　　　　　　　　　　　　　　　　　　　　　　　　　　　　　　　　　　　　　　　　　　　　　　　　　　　　　　　　　　　　　　　　　　　　　　　　　　授業項目「介入研究の計画上の技法（症例数設定、ランダム化、盲検化など）について概説できる。介入研究の効果指標（真のエンドポイントと代用のエンドポイント、主要エンドポイントと副次的エンドポイント）の違いを、例を挙げて説明できる。臨床研究におけるバイアス・交絡について概説できる。」
・授業タイトル「優越性試験と非劣性試験、メタアナリシス、生存分析」（8回目）　　　　　　　　　　　　　　　　　　　　　　　　　　　　　　　　　　　　　　　　　　　　　　　　　　　　　　　　　　　　授業項目「優越性試験と非劣性試験の違いについて説明できる。メタアナリシスの概念を理解し、結果を説明できる。基本的な生存時間解析法（カプラン・マイヤー曲線など）について概説できる。」</t>
    </r>
    <rPh sb="155" eb="157">
      <t>ジュギョウ</t>
    </rPh>
    <rPh sb="174" eb="176">
      <t>カイメ</t>
    </rPh>
    <rPh sb="256" eb="258">
      <t>ジュギョウ</t>
    </rPh>
    <rPh sb="258" eb="260">
      <t>コウモク</t>
    </rPh>
    <rPh sb="330" eb="332">
      <t>ジュギョウ</t>
    </rPh>
    <rPh sb="347" eb="349">
      <t>カイメ</t>
    </rPh>
    <rPh sb="435" eb="437">
      <t>ジュギョウ</t>
    </rPh>
    <rPh sb="437" eb="439">
      <t>コウモク</t>
    </rPh>
    <rPh sb="628" eb="630">
      <t>ジュギョウ</t>
    </rPh>
    <rPh sb="651" eb="653">
      <t>カイメ</t>
    </rPh>
    <rPh sb="730" eb="732">
      <t>ジュギョウ</t>
    </rPh>
    <rPh sb="732" eb="734">
      <t>コウモク</t>
    </rPh>
    <rPh sb="839" eb="841">
      <t>ジュギョウ</t>
    </rPh>
    <rPh sb="885" eb="887">
      <t>カイメ</t>
    </rPh>
    <rPh sb="937" eb="939">
      <t>ジュギョウ</t>
    </rPh>
    <rPh sb="939" eb="941">
      <t>コウモク</t>
    </rPh>
    <rPh sb="1150" eb="1152">
      <t>ジュギョウ</t>
    </rPh>
    <rPh sb="1174" eb="1176">
      <t>カイメ</t>
    </rPh>
    <rPh sb="1252" eb="1254">
      <t>ジュギョウ</t>
    </rPh>
    <rPh sb="1254" eb="1256">
      <t>コウモク</t>
    </rPh>
    <rPh sb="1394" eb="1396">
      <t>ジュギョウ</t>
    </rPh>
    <rPh sb="1428" eb="1430">
      <t>カイメ</t>
    </rPh>
    <rPh sb="1491" eb="1493">
      <t>ジュギョウ</t>
    </rPh>
    <rPh sb="1493" eb="1495">
      <t>コウモク</t>
    </rPh>
    <phoneticPr fontId="1"/>
  </si>
  <si>
    <r>
      <rPr>
        <b/>
        <sz val="10"/>
        <rFont val="ＭＳ Ｐゴシック"/>
        <family val="3"/>
        <charset val="128"/>
        <scheme val="minor"/>
      </rPr>
      <t>第3学年：「医薬品情報学」（必修）　</t>
    </r>
    <r>
      <rPr>
        <sz val="10"/>
        <rFont val="ＭＳ Ｐゴシック"/>
        <family val="3"/>
        <charset val="128"/>
        <scheme val="minor"/>
      </rPr>
      <t xml:space="preserve">　　　　　　　　　　　　　　　　　　　　　　　　　　　　　　　　　　　　　　　　　　　　　　　　　　　　　　　　　　　　　　　　　　　　　　　　　　　　　　　　　　　　　　　　　　　　　　　　　　　　　　　　　　　　　　　　　　　　　　　　　　　　　　　　　　　　　　　　・授業タイトル「医薬品情報の情報源」（6回目）　　　　　　　　　　　　　　　　　　　　　　　　　　　　　　　　　　　　　　　　　　　　　　　　　　　　　　　　　　　　　　　　　　　　　　　　　　　　　　　　　　　　授業項目「臨床で遭遇する様々な事例の問題解決に取り組みながら、医薬品情報源の種類や分類、目的に応じた情報の選択、検索、収集について理解する。」
・授業タイトル「患者情報の収集」（7回目）　　　　　　　　　　　　　　　　　　　　　　　　　　　　　　　　　　　　　　　　　　　　　　　　　　　　　　　　　　　　　　　　　　　　　　　　　　　　　　　　　　　　授業項目「臨床で遭遇する様々な事例の問題解決に取り組みながら、患者情報の収集とその記録方法を理解する。また、患者情報を取り扱う上で、守秘義務や個人情報保護など情報管理の重要性を理解する。」　　　
</t>
    </r>
    <r>
      <rPr>
        <b/>
        <sz val="10"/>
        <rFont val="ＭＳ Ｐゴシック"/>
        <family val="3"/>
        <charset val="128"/>
        <scheme val="minor"/>
      </rPr>
      <t xml:space="preserve">
第4学年：「医療統計学」（必修）　　　　　　　　　　　　　　　　　　　　　　　　　　　　　　　　　　　　　　　　　　　　　　　　　　　　　　　　　　　　　　　　　　　　　　　　　　　　　　</t>
    </r>
    <r>
      <rPr>
        <sz val="10"/>
        <rFont val="ＭＳ Ｐゴシック"/>
        <family val="3"/>
        <charset val="128"/>
        <scheme val="minor"/>
      </rPr>
      <t>・授業タイトル「臨床研究デザインと統計解析」（5回目）　　　　　　　　　　　　　　　　　　　　　　　　　　　　　　　　　　　　　　　　　　　　　　　　　　　　　　　　　　　　　　　　　　　　　　　　　　授業項目「臨床研究（治験を含む）の代表的な手法（介入研究、観察研究）を列挙し、それらの特徴および長所と短所を挙げ、それらのエビデンスレベルについて概説できる。EBMの基本概念と実践のプロセスについて説明できる。」
・授業タイトル「観察研究（ケース・コントロール研究とオッズ比/コホート研究と相対リスク）」　（6回目）　　　　　　　　　　　　　　　　　　　　　　　　　　　　　　　　　　　　　　　　　　　　　　　授業項目「観察研究での主な疫学研究デザイン（症例報告、症例集積、コホート研究、ケースコントロール研究、ネステッドケースコントロール研究、ケースコホート研究など）について概説できる。ケースコントロール研究で用いられるオッズ比を算出できる。コホート研究で用いられる相対リスクを算出できる。主な回帰分析（直線回帰、ロジスティック回帰など）と相関係数の検定について概説できる。臨床研究におけるバイアス・交絡について概説できる。」
・授業タイトル「介入研究（研究の立案/評価）」（7回目）　　　　　　　　　　　　　　　　　　　　　　　　　　　　　　　　　　　　　　　　　　　　　　　　　　　　　　　　　　　　　　　　　　　　　　　　　　　　　　授業項目「介入研究の計画上の技法（症例数設定、ランダム化、盲検化など）について概説できる。介入研究の効果指標（真のエンドポイントと代用のエンドポイント、主要エンドポイントと副次的エンドポイント）の違いを、例を挙げて説明できる。臨床研究におけるバイアス・交絡について概説できる。」
・授業タイトル「優越性試験と非劣性試験、メタアナリシス、生存分析」（8回目）　　　　　　　　　　　　　　　　　　　　　　　　　　　　　　　　　　　　　　　　　　　　　　　　　　　　　　　　　　　　　　　　　　　　　授業項目「優越性試験と非劣性試験の違いについて説明できる。メタアナリシスの概念を理解し、結果を説明できる。基本的な生存時間解析法（カプラン・マイヤー曲線など）について概説できる。」</t>
    </r>
    <rPh sb="174" eb="176">
      <t>カイメ</t>
    </rPh>
    <rPh sb="263" eb="265">
      <t>コウモク</t>
    </rPh>
    <rPh sb="352" eb="354">
      <t>カイメ</t>
    </rPh>
    <rPh sb="441" eb="443">
      <t>コウモク</t>
    </rPh>
    <rPh sb="656" eb="658">
      <t>カイメ</t>
    </rPh>
    <rPh sb="735" eb="737">
      <t>コウモク</t>
    </rPh>
    <rPh sb="939" eb="941">
      <t>ジュギョウ</t>
    </rPh>
    <rPh sb="941" eb="943">
      <t>コウモク</t>
    </rPh>
    <rPh sb="1257" eb="1259">
      <t>ジュギョウ</t>
    </rPh>
    <rPh sb="1259" eb="1261">
      <t>コウモク</t>
    </rPh>
    <rPh sb="1399" eb="1401">
      <t>ジュギョウ</t>
    </rPh>
    <rPh sb="1505" eb="1507">
      <t>ジュギョウ</t>
    </rPh>
    <rPh sb="1507" eb="1509">
      <t>コウモク</t>
    </rPh>
    <phoneticPr fontId="1"/>
  </si>
  <si>
    <r>
      <t>第1学年：「情報リテラシー」（必修）
「データサイエンスとは何か」（データサイエンスとは　　社会で活用されているデータ）</t>
    </r>
    <r>
      <rPr>
        <sz val="12"/>
        <rFont val="ＭＳ Ｐゴシック"/>
        <family val="3"/>
        <charset val="128"/>
        <scheme val="minor"/>
      </rPr>
      <t>（4回目）</t>
    </r>
    <rPh sb="62" eb="64">
      <t>カイメ</t>
    </rPh>
    <phoneticPr fontId="1"/>
  </si>
  <si>
    <t>第1学年：「情報リテラシー」（必修）
「データ・AI の活用領域」（データの活用領域）（5回目）</t>
    <rPh sb="28" eb="30">
      <t>カツヨウ</t>
    </rPh>
    <rPh sb="30" eb="32">
      <t>リョウイキ</t>
    </rPh>
    <rPh sb="38" eb="40">
      <t>カツヨウ</t>
    </rPh>
    <rPh sb="40" eb="42">
      <t>リョウイキ</t>
    </rPh>
    <phoneticPr fontId="1"/>
  </si>
  <si>
    <t>第1学年：「情報リテラシー」（必修）
「データサイエンスとは何か」（データサイエンスとは　　社会で活用されているデータ）（4回目）</t>
    <rPh sb="62" eb="64">
      <t>カイメ</t>
    </rPh>
    <phoneticPr fontId="1"/>
  </si>
  <si>
    <t>第1学年：「情報リテラシー」（必修）
「データ・AIの活用領域」（データの活用領域　データ・AI利活用における留意事項）（5回目）
「情報検索とファイル操作」（ネット利用時の諸注意）（6回目）</t>
    <rPh sb="93" eb="95">
      <t>カイメ</t>
    </rPh>
    <phoneticPr fontId="1"/>
  </si>
  <si>
    <t>第1学年：「統計学」（必修）
「基本的な用語とデータ」(3回目)「基本的なデータの種類」(4回目)「質的データの分類」(5回目)「量的データの分類」(6回目)「記述統計と推測統計の区別」(7回目)「1変数の記述統計」(8回目)「ヒストグラム」(9回目)「データの分布と代表値」(10回目)「データのばらつきの指標」(11回目)「標準偏差および分布の形状」(12回目)「質的2変数の関係」(13回目)「量的2変数の関係」(14回目)</t>
    <rPh sb="0" eb="1">
      <t>ダイ</t>
    </rPh>
    <rPh sb="2" eb="4">
      <t>ガクネン</t>
    </rPh>
    <rPh sb="6" eb="9">
      <t>トウケイガク</t>
    </rPh>
    <rPh sb="11" eb="13">
      <t>ヒッシュウ</t>
    </rPh>
    <rPh sb="16" eb="19">
      <t>キホンテキ</t>
    </rPh>
    <rPh sb="20" eb="22">
      <t>ヨウゴ</t>
    </rPh>
    <rPh sb="33" eb="36">
      <t>キホンテキ</t>
    </rPh>
    <rPh sb="41" eb="43">
      <t>シュルイ</t>
    </rPh>
    <rPh sb="50" eb="52">
      <t>シツテキ</t>
    </rPh>
    <rPh sb="56" eb="58">
      <t>ブンルイ</t>
    </rPh>
    <rPh sb="65" eb="67">
      <t>リョウテキ</t>
    </rPh>
    <rPh sb="71" eb="73">
      <t>ブンルイ</t>
    </rPh>
    <rPh sb="80" eb="82">
      <t>キジュツ</t>
    </rPh>
    <rPh sb="82" eb="84">
      <t>トウケイ</t>
    </rPh>
    <rPh sb="85" eb="87">
      <t>スイソク</t>
    </rPh>
    <rPh sb="87" eb="89">
      <t>トウケイ</t>
    </rPh>
    <rPh sb="90" eb="92">
      <t>クベツ</t>
    </rPh>
    <rPh sb="100" eb="102">
      <t>ヘンスウ</t>
    </rPh>
    <rPh sb="103" eb="105">
      <t>キジュツ</t>
    </rPh>
    <rPh sb="105" eb="107">
      <t>トウケイ</t>
    </rPh>
    <rPh sb="131" eb="133">
      <t>ブンプ</t>
    </rPh>
    <rPh sb="134" eb="136">
      <t>ダイヒョウ</t>
    </rPh>
    <rPh sb="136" eb="137">
      <t>チ</t>
    </rPh>
    <rPh sb="154" eb="156">
      <t>シヒョウ</t>
    </rPh>
    <rPh sb="164" eb="166">
      <t>ヒョウジュン</t>
    </rPh>
    <rPh sb="166" eb="168">
      <t>ヘンサ</t>
    </rPh>
    <rPh sb="171" eb="173">
      <t>ブンプ</t>
    </rPh>
    <rPh sb="174" eb="176">
      <t>ケイジョウ</t>
    </rPh>
    <rPh sb="184" eb="186">
      <t>シツテキ</t>
    </rPh>
    <rPh sb="187" eb="189">
      <t>ヘンスウ</t>
    </rPh>
    <rPh sb="190" eb="192">
      <t>カンケイ</t>
    </rPh>
    <rPh sb="200" eb="202">
      <t>リョウテキ</t>
    </rPh>
    <rPh sb="203" eb="205">
      <t>ヘンスウ</t>
    </rPh>
    <rPh sb="206" eb="208">
      <t>カンケイ</t>
    </rPh>
    <phoneticPr fontId="1"/>
  </si>
  <si>
    <t>第1学年：「統計学」（必修）
「基本的な用語とデータ」(3回目)「基本的なデータの種類」(4回目)「質的データの分類」(5回目)「量的データの分類」(6回目)「記述統計と推測統計の区別」(7回目)「1変数の記述統計」(8回目)「ヒストグラム」(9回目)「データの分布と代表値」(10回目)「データのばらつきの指標」(11回目)「標準偏差および分布の形状」(12回目)「質的2変数の関係」(13回目)「量的2変数の関係」(14回目)</t>
    <rPh sb="0" eb="1">
      <t>ダイ</t>
    </rPh>
    <rPh sb="2" eb="4">
      <t>ガクネン</t>
    </rPh>
    <rPh sb="6" eb="9">
      <t>トウケイガク</t>
    </rPh>
    <rPh sb="11" eb="13">
      <t>ヒッシュウ</t>
    </rPh>
    <phoneticPr fontId="1"/>
  </si>
  <si>
    <t>第2学年：「データ処理演習」（選択）
「データ処理の基本」（2回目)「統計学の基礎的事項の理解1・2・3」（1回目、3回目、5回目)「実際のデータを利用して統計処理1・2」（4回目、10回目）「検定について1・2・3・4・5」（6回目～9回目、12回目）「データ解析より表の作成・分析手法」（11回目）「アンケート集計・分析」（13回目）</t>
    <rPh sb="0" eb="1">
      <t>ダイ</t>
    </rPh>
    <rPh sb="2" eb="4">
      <t>ガクネン</t>
    </rPh>
    <rPh sb="9" eb="11">
      <t>ショリ</t>
    </rPh>
    <rPh sb="11" eb="13">
      <t>エンシュウ</t>
    </rPh>
    <rPh sb="15" eb="17">
      <t>センタク</t>
    </rPh>
    <rPh sb="23" eb="25">
      <t>ショリ</t>
    </rPh>
    <rPh sb="26" eb="28">
      <t>キホン</t>
    </rPh>
    <rPh sb="35" eb="38">
      <t>トウケイガク</t>
    </rPh>
    <rPh sb="39" eb="42">
      <t>キソテキ</t>
    </rPh>
    <rPh sb="42" eb="44">
      <t>ジコウ</t>
    </rPh>
    <rPh sb="45" eb="47">
      <t>リカイ</t>
    </rPh>
    <rPh sb="59" eb="61">
      <t>カイメ</t>
    </rPh>
    <rPh sb="63" eb="65">
      <t>カイメ</t>
    </rPh>
    <rPh sb="67" eb="69">
      <t>ジッサイ</t>
    </rPh>
    <rPh sb="74" eb="76">
      <t>リヨウ</t>
    </rPh>
    <rPh sb="78" eb="80">
      <t>トウケイ</t>
    </rPh>
    <rPh sb="80" eb="82">
      <t>ショリ</t>
    </rPh>
    <rPh sb="88" eb="90">
      <t>カイメ</t>
    </rPh>
    <rPh sb="93" eb="95">
      <t>カイメ</t>
    </rPh>
    <rPh sb="97" eb="99">
      <t>ケンテイ</t>
    </rPh>
    <rPh sb="115" eb="117">
      <t>カイメ</t>
    </rPh>
    <rPh sb="119" eb="121">
      <t>カイメ</t>
    </rPh>
    <rPh sb="124" eb="126">
      <t>カイメ</t>
    </rPh>
    <rPh sb="131" eb="133">
      <t>カイセキ</t>
    </rPh>
    <rPh sb="135" eb="136">
      <t>ヒョウ</t>
    </rPh>
    <rPh sb="137" eb="139">
      <t>サクセイ</t>
    </rPh>
    <rPh sb="140" eb="142">
      <t>ブンセキ</t>
    </rPh>
    <rPh sb="142" eb="144">
      <t>シュホウ</t>
    </rPh>
    <rPh sb="148" eb="150">
      <t>カイメ</t>
    </rPh>
    <rPh sb="157" eb="159">
      <t>シュウケイ</t>
    </rPh>
    <rPh sb="160" eb="162">
      <t>ブンセキ</t>
    </rPh>
    <rPh sb="166" eb="168">
      <t>カイメ</t>
    </rPh>
    <phoneticPr fontId="1"/>
  </si>
  <si>
    <t xml:space="preserve">看護学部では、プログラムを構成する「情報リテラシー」1単位（必修）、「統計学」2単位（必修）、「データ処理演習」1単位（選択）の合計4単位を取得すること。
</t>
    <phoneticPr fontId="1"/>
  </si>
  <si>
    <t>微生物学・感染制御学教室教授（医学教育センター長）</t>
    <rPh sb="5" eb="7">
      <t>カンセン</t>
    </rPh>
    <rPh sb="7" eb="9">
      <t>セイギョ</t>
    </rPh>
    <rPh sb="9" eb="10">
      <t>ガク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</si>
</sst>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1"/>
      <color rgb="FFFF0000"/>
      <name val="ＭＳ Ｐゴシック"/>
      <family val="3"/>
      <charset val="128"/>
      <scheme val="minor"/>
    </font>
    <font>
      <sz val="10"/>
      <name val="ＭＳ Ｐゴシック"/>
      <family val="3"/>
      <charset val="128"/>
      <scheme val="minor"/>
    </font>
    <font>
      <sz val="10"/>
      <name val="ＭＳ Ｐゴシック"/>
      <family val="2"/>
      <charset val="128"/>
      <scheme val="minor"/>
    </font>
    <font>
      <b/>
      <u/>
      <sz val="10"/>
      <name val="ＭＳ Ｐゴシック"/>
      <family val="3"/>
      <charset val="128"/>
      <scheme val="minor"/>
    </font>
    <font>
      <b/>
      <sz val="10"/>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479">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0" xfId="0" applyFont="1" applyBorder="1" applyAlignment="1">
      <alignment vertical="center" shrinkToFit="1"/>
    </xf>
    <xf numFmtId="0" fontId="8" fillId="0" borderId="38" xfId="0" applyFont="1" applyBorder="1" applyAlignment="1">
      <alignment horizontal="center" vertical="center"/>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2" borderId="5" xfId="0" applyFont="1" applyFill="1" applyBorder="1">
      <alignment vertical="center"/>
    </xf>
    <xf numFmtId="0" fontId="8" fillId="2" borderId="0" xfId="0" applyFont="1" applyFill="1">
      <alignment vertical="center"/>
    </xf>
    <xf numFmtId="0" fontId="8" fillId="2" borderId="0" xfId="0" applyFont="1" applyFill="1" applyBorder="1">
      <alignment vertical="center"/>
    </xf>
    <xf numFmtId="176" fontId="8" fillId="2" borderId="0" xfId="0" applyNumberFormat="1" applyFont="1" applyFill="1" applyBorder="1" applyAlignment="1">
      <alignment vertical="center" wrapText="1"/>
    </xf>
    <xf numFmtId="176" fontId="8" fillId="2" borderId="3" xfId="0" applyNumberFormat="1" applyFont="1" applyFill="1" applyBorder="1" applyAlignment="1">
      <alignment vertical="center" shrinkToFit="1"/>
    </xf>
    <xf numFmtId="0" fontId="8" fillId="0" borderId="5" xfId="0" applyFont="1" applyBorder="1" applyAlignment="1">
      <alignment vertical="center" shrinkToFit="1"/>
    </xf>
    <xf numFmtId="176" fontId="8" fillId="0" borderId="5" xfId="0" applyNumberFormat="1" applyFont="1" applyBorder="1" applyAlignment="1">
      <alignment vertical="center" shrinkToFit="1"/>
    </xf>
    <xf numFmtId="176" fontId="8" fillId="0" borderId="31" xfId="0" applyNumberFormat="1" applyFont="1" applyBorder="1" applyAlignment="1">
      <alignment vertical="center" shrinkToFit="1"/>
    </xf>
    <xf numFmtId="176" fontId="8" fillId="0" borderId="19" xfId="0" applyNumberFormat="1" applyFont="1" applyFill="1" applyBorder="1" applyAlignment="1">
      <alignment vertical="center" shrinkToFit="1"/>
    </xf>
    <xf numFmtId="176" fontId="8" fillId="0" borderId="33" xfId="0" applyNumberFormat="1" applyFont="1" applyBorder="1" applyAlignment="1">
      <alignment vertical="center" shrinkToFit="1"/>
    </xf>
    <xf numFmtId="176" fontId="8" fillId="0" borderId="19" xfId="0" applyNumberFormat="1" applyFont="1" applyBorder="1" applyAlignment="1">
      <alignment vertical="center" shrinkToFit="1"/>
    </xf>
    <xf numFmtId="176" fontId="8" fillId="0" borderId="32" xfId="0" applyNumberFormat="1" applyFont="1" applyBorder="1" applyAlignment="1">
      <alignment vertical="center" shrinkToFit="1"/>
    </xf>
    <xf numFmtId="176" fontId="8" fillId="0" borderId="10" xfId="0" applyNumberFormat="1" applyFont="1" applyBorder="1" applyAlignment="1">
      <alignment vertical="center" shrinkToFit="1"/>
    </xf>
    <xf numFmtId="176" fontId="8" fillId="0" borderId="34" xfId="0" applyNumberFormat="1" applyFont="1" applyBorder="1" applyAlignment="1">
      <alignment vertical="center" shrinkToFit="1"/>
    </xf>
    <xf numFmtId="176" fontId="8" fillId="0" borderId="18" xfId="0" applyNumberFormat="1" applyFont="1" applyBorder="1" applyAlignment="1">
      <alignment vertical="center" shrinkToFit="1"/>
    </xf>
    <xf numFmtId="0" fontId="19" fillId="0" borderId="0" xfId="0" applyFont="1" applyAlignment="1">
      <alignment vertical="top" wrapText="1"/>
    </xf>
    <xf numFmtId="0" fontId="8" fillId="0" borderId="19" xfId="0" applyFont="1" applyBorder="1" applyAlignment="1">
      <alignment vertical="center" shrinkToFit="1"/>
    </xf>
    <xf numFmtId="0" fontId="9" fillId="2" borderId="0" xfId="0" applyFont="1" applyFill="1">
      <alignment vertical="center"/>
    </xf>
    <xf numFmtId="0" fontId="8" fillId="2" borderId="0" xfId="0" applyFont="1" applyFill="1" applyAlignment="1">
      <alignment horizontal="center" vertical="center"/>
    </xf>
    <xf numFmtId="0" fontId="8" fillId="2" borderId="0" xfId="0" applyFont="1" applyFill="1" applyAlignment="1">
      <alignment vertical="center"/>
    </xf>
    <xf numFmtId="0" fontId="8" fillId="2" borderId="0" xfId="0" applyFont="1" applyFill="1" applyAlignment="1">
      <alignment horizontal="left" vertical="center"/>
    </xf>
    <xf numFmtId="0" fontId="8" fillId="2" borderId="1" xfId="0" applyFont="1" applyFill="1" applyBorder="1" applyAlignment="1">
      <alignment vertical="center" shrinkToFit="1"/>
    </xf>
    <xf numFmtId="0" fontId="22" fillId="2" borderId="4" xfId="0" applyFont="1" applyFill="1" applyBorder="1" applyAlignment="1">
      <alignment horizontal="center" vertical="center" shrinkToFit="1"/>
    </xf>
    <xf numFmtId="49" fontId="19" fillId="2" borderId="1" xfId="0" applyNumberFormat="1" applyFont="1" applyFill="1" applyBorder="1" applyAlignment="1">
      <alignment horizontal="center" vertical="center"/>
    </xf>
    <xf numFmtId="0" fontId="8" fillId="2" borderId="14" xfId="0" applyFont="1" applyFill="1" applyBorder="1" applyAlignment="1">
      <alignment horizontal="center" vertical="center" shrinkToFit="1"/>
    </xf>
    <xf numFmtId="0" fontId="8" fillId="2" borderId="23" xfId="0" applyFont="1" applyFill="1" applyBorder="1" applyAlignment="1">
      <alignment horizontal="center" vertical="center" shrinkToFit="1"/>
    </xf>
    <xf numFmtId="0" fontId="8" fillId="2" borderId="13" xfId="0" applyFont="1" applyFill="1" applyBorder="1" applyAlignment="1">
      <alignment horizontal="center" vertical="center" shrinkToFit="1"/>
    </xf>
    <xf numFmtId="0" fontId="8" fillId="2" borderId="43" xfId="0" applyFont="1" applyFill="1" applyBorder="1" applyAlignment="1">
      <alignment horizontal="center" vertical="center" shrinkToFit="1"/>
    </xf>
    <xf numFmtId="0" fontId="8" fillId="2" borderId="0" xfId="0" applyFont="1" applyFill="1" applyAlignment="1">
      <alignment vertical="center" shrinkToFit="1"/>
    </xf>
    <xf numFmtId="0" fontId="8" fillId="2" borderId="0" xfId="0" applyFont="1" applyFill="1" applyAlignment="1">
      <alignment vertical="top" wrapText="1"/>
    </xf>
    <xf numFmtId="0" fontId="8" fillId="2" borderId="2" xfId="0" applyFont="1" applyFill="1" applyBorder="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0" xfId="0" applyFont="1" applyFill="1" applyBorder="1" applyAlignment="1">
      <alignment vertical="center" shrinkToFit="1"/>
    </xf>
    <xf numFmtId="0" fontId="8" fillId="2" borderId="0" xfId="0" applyFont="1" applyFill="1" applyBorder="1" applyAlignment="1">
      <alignment horizontal="center" vertical="center" shrinkToFit="1"/>
    </xf>
    <xf numFmtId="0" fontId="9" fillId="2" borderId="2" xfId="0" applyFont="1" applyFill="1" applyBorder="1">
      <alignment vertical="center"/>
    </xf>
    <xf numFmtId="0" fontId="9" fillId="2" borderId="4" xfId="0" applyFont="1" applyFill="1" applyBorder="1">
      <alignment vertical="center"/>
    </xf>
    <xf numFmtId="49" fontId="19" fillId="2" borderId="51" xfId="0" applyNumberFormat="1" applyFont="1" applyFill="1" applyBorder="1" applyAlignment="1">
      <alignment horizontal="center" vertical="center"/>
    </xf>
    <xf numFmtId="49" fontId="19" fillId="2" borderId="52" xfId="0" applyNumberFormat="1" applyFont="1" applyFill="1" applyBorder="1" applyAlignment="1">
      <alignment horizontal="center" vertical="center"/>
    </xf>
    <xf numFmtId="49" fontId="19" fillId="2" borderId="47" xfId="0" applyNumberFormat="1" applyFont="1" applyFill="1" applyBorder="1" applyAlignment="1">
      <alignment horizontal="center" vertical="center"/>
    </xf>
    <xf numFmtId="49" fontId="19" fillId="2" borderId="29" xfId="0" applyNumberFormat="1" applyFont="1" applyFill="1" applyBorder="1" applyAlignment="1">
      <alignment horizontal="center" vertical="center"/>
    </xf>
    <xf numFmtId="49" fontId="19" fillId="2" borderId="50" xfId="0" applyNumberFormat="1" applyFont="1" applyFill="1" applyBorder="1" applyAlignment="1">
      <alignment horizontal="center" vertical="center"/>
    </xf>
    <xf numFmtId="49" fontId="19" fillId="2" borderId="33" xfId="0" applyNumberFormat="1" applyFont="1" applyFill="1" applyBorder="1" applyAlignment="1">
      <alignment horizontal="center" vertical="center"/>
    </xf>
    <xf numFmtId="0" fontId="19" fillId="0" borderId="20" xfId="0" applyFont="1" applyBorder="1" applyAlignment="1">
      <alignment vertical="top" shrinkToFit="1"/>
    </xf>
    <xf numFmtId="0" fontId="19" fillId="0" borderId="18" xfId="0" applyFont="1" applyBorder="1" applyAlignment="1">
      <alignment vertical="top" shrinkToFit="1"/>
    </xf>
    <xf numFmtId="0" fontId="2" fillId="2" borderId="0" xfId="0" applyFont="1" applyFill="1">
      <alignment vertical="center"/>
    </xf>
    <xf numFmtId="0" fontId="8" fillId="2" borderId="42" xfId="0" applyFont="1" applyFill="1" applyBorder="1" applyAlignment="1">
      <alignment horizontal="center" vertical="center"/>
    </xf>
    <xf numFmtId="0" fontId="8" fillId="2" borderId="18" xfId="0" applyFont="1" applyFill="1" applyBorder="1" applyAlignment="1">
      <alignment horizontal="center" vertical="center"/>
    </xf>
    <xf numFmtId="0" fontId="8" fillId="2" borderId="38" xfId="0" applyFont="1" applyFill="1" applyBorder="1" applyAlignment="1">
      <alignment horizontal="center" vertical="center"/>
    </xf>
    <xf numFmtId="0" fontId="8" fillId="0" borderId="15" xfId="0" applyFont="1" applyBorder="1" applyAlignment="1">
      <alignment horizontal="center" vertical="center" shrinkToFit="1"/>
    </xf>
    <xf numFmtId="0" fontId="8" fillId="2" borderId="42" xfId="0" applyFont="1" applyFill="1" applyBorder="1" applyAlignment="1">
      <alignment horizontal="center" vertical="center"/>
    </xf>
    <xf numFmtId="0" fontId="8" fillId="2" borderId="18" xfId="0" applyFont="1" applyFill="1" applyBorder="1" applyAlignment="1">
      <alignment horizontal="center" vertical="center"/>
    </xf>
    <xf numFmtId="0" fontId="8" fillId="2" borderId="38" xfId="0" applyFont="1" applyFill="1" applyBorder="1" applyAlignment="1">
      <alignment horizontal="center" vertical="center"/>
    </xf>
    <xf numFmtId="49" fontId="17" fillId="2" borderId="2" xfId="2" applyNumberFormat="1" applyFont="1" applyFill="1" applyBorder="1" applyAlignment="1">
      <alignment vertical="center" shrinkToFit="1"/>
    </xf>
    <xf numFmtId="49" fontId="8" fillId="2" borderId="3" xfId="0" applyNumberFormat="1" applyFont="1" applyFill="1" applyBorder="1" applyAlignment="1">
      <alignment vertical="center" shrinkToFit="1"/>
    </xf>
    <xf numFmtId="49" fontId="8" fillId="2" borderId="4" xfId="0" applyNumberFormat="1" applyFont="1" applyFill="1" applyBorder="1" applyAlignment="1">
      <alignment vertical="center" shrinkToFit="1"/>
    </xf>
    <xf numFmtId="49" fontId="8" fillId="2" borderId="2" xfId="1" applyNumberFormat="1" applyFont="1" applyFill="1" applyBorder="1" applyAlignment="1">
      <alignment horizontal="center" vertical="center" shrinkToFit="1"/>
    </xf>
    <xf numFmtId="49" fontId="8" fillId="2" borderId="3" xfId="1" applyNumberFormat="1" applyFont="1" applyFill="1" applyBorder="1" applyAlignment="1">
      <alignment horizontal="center" vertical="center" shrinkToFit="1"/>
    </xf>
    <xf numFmtId="49" fontId="8" fillId="2" borderId="4" xfId="1" applyNumberFormat="1" applyFont="1" applyFill="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2" borderId="2" xfId="0" applyNumberFormat="1" applyFont="1" applyFill="1" applyBorder="1" applyAlignment="1">
      <alignment horizontal="center" vertical="center" shrinkToFit="1"/>
    </xf>
    <xf numFmtId="176" fontId="8" fillId="2" borderId="4" xfId="0" applyNumberFormat="1" applyFont="1" applyFill="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2" borderId="3" xfId="0" applyNumberFormat="1" applyFont="1" applyFill="1" applyBorder="1" applyAlignment="1">
      <alignment horizontal="center" vertical="center" shrinkToFit="1"/>
    </xf>
    <xf numFmtId="0" fontId="13" fillId="0" borderId="0" xfId="0" applyFont="1" applyAlignment="1">
      <alignment horizontal="center" vertical="center"/>
    </xf>
    <xf numFmtId="0" fontId="8" fillId="2" borderId="0" xfId="0" applyFont="1" applyFill="1" applyBorder="1" applyAlignment="1">
      <alignment horizontal="right" vertical="center"/>
    </xf>
    <xf numFmtId="0" fontId="8" fillId="2" borderId="10" xfId="0" applyFont="1" applyFill="1" applyBorder="1" applyAlignment="1">
      <alignment horizontal="right"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9" fillId="0" borderId="7" xfId="0" applyFont="1" applyBorder="1" applyAlignment="1">
      <alignment vertical="center" wrapText="1" shrinkToFit="1"/>
    </xf>
    <xf numFmtId="0" fontId="9" fillId="0" borderId="8" xfId="0" applyFont="1" applyBorder="1" applyAlignment="1">
      <alignment vertical="center" wrapText="1" shrinkToFit="1"/>
    </xf>
    <xf numFmtId="0" fontId="9" fillId="0" borderId="9" xfId="0" applyFont="1" applyBorder="1" applyAlignment="1">
      <alignment vertical="center" wrapText="1" shrinkToFit="1"/>
    </xf>
    <xf numFmtId="0" fontId="9" fillId="0" borderId="5" xfId="0" applyFont="1" applyBorder="1" applyAlignment="1">
      <alignment vertical="center" wrapText="1" shrinkToFit="1"/>
    </xf>
    <xf numFmtId="0" fontId="9" fillId="0" borderId="0" xfId="0" applyFont="1" applyBorder="1" applyAlignment="1">
      <alignment vertical="center" wrapText="1" shrinkToFit="1"/>
    </xf>
    <xf numFmtId="0" fontId="9" fillId="0" borderId="10" xfId="0" applyFont="1" applyBorder="1" applyAlignment="1">
      <alignment vertical="center" wrapText="1" shrinkToFit="1"/>
    </xf>
    <xf numFmtId="0" fontId="9" fillId="0" borderId="11" xfId="0" applyFont="1" applyBorder="1" applyAlignment="1">
      <alignment vertical="center" wrapText="1" shrinkToFit="1"/>
    </xf>
    <xf numFmtId="0" fontId="9" fillId="0" borderId="6" xfId="0" applyFont="1" applyBorder="1" applyAlignment="1">
      <alignment vertical="center" wrapText="1" shrinkToFit="1"/>
    </xf>
    <xf numFmtId="0" fontId="9" fillId="0" borderId="12" xfId="0" applyFont="1" applyBorder="1" applyAlignment="1">
      <alignment vertical="center" wrapText="1"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24" fillId="2" borderId="7" xfId="0" applyFont="1" applyFill="1" applyBorder="1" applyAlignment="1">
      <alignment horizontal="left" vertical="center" wrapText="1" shrinkToFit="1"/>
    </xf>
    <xf numFmtId="0" fontId="24" fillId="2" borderId="8" xfId="0" applyFont="1" applyFill="1" applyBorder="1" applyAlignment="1">
      <alignment horizontal="left" vertical="center" wrapText="1" shrinkToFit="1"/>
    </xf>
    <xf numFmtId="0" fontId="24" fillId="2" borderId="9" xfId="0" applyFont="1" applyFill="1" applyBorder="1" applyAlignment="1">
      <alignment horizontal="left" vertical="center" wrapText="1" shrinkToFit="1"/>
    </xf>
    <xf numFmtId="0" fontId="24" fillId="2" borderId="11" xfId="0" applyFont="1" applyFill="1" applyBorder="1" applyAlignment="1">
      <alignment horizontal="left" vertical="center" wrapText="1" shrinkToFit="1"/>
    </xf>
    <xf numFmtId="0" fontId="24" fillId="2" borderId="6" xfId="0" applyFont="1" applyFill="1" applyBorder="1" applyAlignment="1">
      <alignment horizontal="left" vertical="center" wrapText="1" shrinkToFit="1"/>
    </xf>
    <xf numFmtId="0" fontId="24" fillId="2" borderId="12" xfId="0" applyFont="1" applyFill="1" applyBorder="1" applyAlignment="1">
      <alignment horizontal="left" vertical="center" wrapText="1" shrinkToFit="1"/>
    </xf>
    <xf numFmtId="0" fontId="20" fillId="0" borderId="48" xfId="0" applyFont="1" applyBorder="1" applyAlignment="1">
      <alignment vertical="center" wrapText="1"/>
    </xf>
    <xf numFmtId="0" fontId="21" fillId="0" borderId="32" xfId="0" applyFont="1" applyBorder="1" applyAlignment="1">
      <alignment vertical="center" wrapText="1"/>
    </xf>
    <xf numFmtId="0" fontId="20" fillId="0" borderId="32" xfId="0" applyFont="1" applyBorder="1" applyAlignment="1">
      <alignment vertical="center" wrapText="1"/>
    </xf>
    <xf numFmtId="0" fontId="21" fillId="0" borderId="49" xfId="0" applyFont="1" applyBorder="1" applyAlignment="1">
      <alignment vertical="center" wrapText="1"/>
    </xf>
    <xf numFmtId="0" fontId="21" fillId="0" borderId="48" xfId="0" applyFont="1" applyBorder="1" applyAlignment="1">
      <alignment vertical="center" wrapText="1"/>
    </xf>
    <xf numFmtId="0" fontId="24" fillId="2" borderId="5" xfId="0" applyFont="1" applyFill="1" applyBorder="1" applyAlignment="1">
      <alignment horizontal="left" vertical="center" wrapText="1" shrinkToFit="1"/>
    </xf>
    <xf numFmtId="0" fontId="24" fillId="2" borderId="0" xfId="0" applyFont="1" applyFill="1" applyBorder="1" applyAlignment="1">
      <alignment horizontal="left" vertical="center" wrapText="1" shrinkToFit="1"/>
    </xf>
    <xf numFmtId="0" fontId="24" fillId="2" borderId="10" xfId="0" applyFont="1" applyFill="1" applyBorder="1" applyAlignment="1">
      <alignment horizontal="left" vertical="center" wrapText="1"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4" fillId="0" borderId="7" xfId="0" applyFont="1" applyBorder="1" applyAlignment="1">
      <alignment horizontal="left" vertical="center" wrapText="1" shrinkToFit="1"/>
    </xf>
    <xf numFmtId="0" fontId="24" fillId="0" borderId="8" xfId="0" applyFont="1" applyBorder="1" applyAlignment="1">
      <alignment horizontal="left" vertical="center" wrapText="1" shrinkToFit="1"/>
    </xf>
    <xf numFmtId="0" fontId="24" fillId="0" borderId="9" xfId="0" applyFont="1" applyBorder="1" applyAlignment="1">
      <alignment horizontal="left" vertical="center" wrapText="1" shrinkToFit="1"/>
    </xf>
    <xf numFmtId="0" fontId="24" fillId="0" borderId="11" xfId="0" applyFont="1" applyBorder="1" applyAlignment="1">
      <alignment horizontal="left" vertical="center" wrapText="1" shrinkToFit="1"/>
    </xf>
    <xf numFmtId="0" fontId="24" fillId="0" borderId="6" xfId="0" applyFont="1" applyBorder="1" applyAlignment="1">
      <alignment horizontal="left" vertical="center" wrapText="1" shrinkToFit="1"/>
    </xf>
    <xf numFmtId="0" fontId="24" fillId="0" borderId="12" xfId="0" applyFont="1" applyBorder="1" applyAlignment="1">
      <alignment horizontal="left" vertical="center" wrapText="1"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0" xfId="0" applyFont="1" applyAlignment="1">
      <alignment vertical="center" wrapTex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9" fillId="0" borderId="0" xfId="0" applyFont="1" applyAlignment="1">
      <alignment horizontal="center" vertical="center"/>
    </xf>
    <xf numFmtId="0" fontId="18"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20" fillId="2" borderId="48" xfId="0" applyFont="1" applyFill="1" applyBorder="1" applyAlignment="1">
      <alignment vertical="center" wrapText="1"/>
    </xf>
    <xf numFmtId="0" fontId="20" fillId="2" borderId="32" xfId="0" applyFont="1" applyFill="1" applyBorder="1" applyAlignment="1">
      <alignment vertical="center" wrapText="1"/>
    </xf>
    <xf numFmtId="0" fontId="21" fillId="2" borderId="49" xfId="0" applyFont="1" applyFill="1" applyBorder="1" applyAlignment="1">
      <alignment vertical="center" wrapText="1"/>
    </xf>
    <xf numFmtId="0" fontId="24" fillId="2" borderId="3" xfId="0" applyFont="1" applyFill="1" applyBorder="1" applyAlignment="1">
      <alignment horizontal="left" vertical="center" wrapText="1" shrinkToFit="1"/>
    </xf>
    <xf numFmtId="0" fontId="9" fillId="2" borderId="3" xfId="0" applyFont="1" applyFill="1" applyBorder="1" applyAlignment="1">
      <alignment horizontal="left" vertical="center" shrinkToFit="1"/>
    </xf>
    <xf numFmtId="0" fontId="9" fillId="2" borderId="4" xfId="0" applyFont="1" applyFill="1" applyBorder="1" applyAlignment="1">
      <alignment horizontal="left" vertical="center" shrinkToFit="1"/>
    </xf>
    <xf numFmtId="0" fontId="9" fillId="2" borderId="7" xfId="0" applyFont="1" applyFill="1" applyBorder="1" applyAlignment="1">
      <alignment vertical="center" wrapText="1" shrinkToFit="1"/>
    </xf>
    <xf numFmtId="0" fontId="9" fillId="2" borderId="8" xfId="0" applyFont="1" applyFill="1" applyBorder="1" applyAlignment="1">
      <alignment vertical="center" wrapText="1" shrinkToFit="1"/>
    </xf>
    <xf numFmtId="0" fontId="9" fillId="2" borderId="9" xfId="0" applyFont="1" applyFill="1" applyBorder="1" applyAlignment="1">
      <alignment vertical="center" wrapText="1" shrinkToFit="1"/>
    </xf>
    <xf numFmtId="0" fontId="9" fillId="2" borderId="5" xfId="0" applyFont="1" applyFill="1" applyBorder="1" applyAlignment="1">
      <alignment vertical="center" wrapText="1" shrinkToFit="1"/>
    </xf>
    <xf numFmtId="0" fontId="9" fillId="2" borderId="0" xfId="0" applyFont="1" applyFill="1" applyBorder="1" applyAlignment="1">
      <alignment vertical="center" wrapText="1" shrinkToFit="1"/>
    </xf>
    <xf numFmtId="0" fontId="9" fillId="2" borderId="10" xfId="0" applyFont="1" applyFill="1" applyBorder="1" applyAlignment="1">
      <alignment vertical="center" wrapText="1" shrinkToFit="1"/>
    </xf>
    <xf numFmtId="0" fontId="9" fillId="2" borderId="11" xfId="0" applyFont="1" applyFill="1" applyBorder="1" applyAlignment="1">
      <alignment vertical="center" wrapText="1" shrinkToFit="1"/>
    </xf>
    <xf numFmtId="0" fontId="9" fillId="2" borderId="6" xfId="0" applyFont="1" applyFill="1" applyBorder="1" applyAlignment="1">
      <alignment vertical="center" wrapText="1" shrinkToFit="1"/>
    </xf>
    <xf numFmtId="0" fontId="9" fillId="2" borderId="12" xfId="0" applyFont="1" applyFill="1" applyBorder="1" applyAlignment="1">
      <alignment vertical="center" wrapText="1" shrinkToFit="1"/>
    </xf>
    <xf numFmtId="0" fontId="7" fillId="2" borderId="2" xfId="2" applyFill="1" applyBorder="1" applyAlignment="1">
      <alignment vertical="center" shrinkToFit="1"/>
    </xf>
    <xf numFmtId="0" fontId="9" fillId="2" borderId="3" xfId="0" applyFont="1" applyFill="1" applyBorder="1" applyAlignment="1">
      <alignment vertical="center" shrinkToFit="1"/>
    </xf>
    <xf numFmtId="0" fontId="9" fillId="2" borderId="4" xfId="0" applyFont="1" applyFill="1" applyBorder="1" applyAlignment="1">
      <alignment vertical="center" shrinkToFit="1"/>
    </xf>
    <xf numFmtId="0" fontId="21" fillId="2" borderId="48" xfId="0" applyFont="1" applyFill="1" applyBorder="1" applyAlignment="1">
      <alignment vertical="center" wrapText="1"/>
    </xf>
    <xf numFmtId="0" fontId="8" fillId="2" borderId="40" xfId="0" applyFont="1" applyFill="1" applyBorder="1" applyAlignment="1">
      <alignment vertical="center" shrinkToFit="1"/>
    </xf>
    <xf numFmtId="0" fontId="8" fillId="2" borderId="41" xfId="0" applyFont="1" applyFill="1" applyBorder="1" applyAlignment="1">
      <alignment vertical="center" shrinkToFit="1"/>
    </xf>
    <xf numFmtId="0" fontId="8" fillId="2" borderId="42" xfId="0" applyFont="1" applyFill="1" applyBorder="1" applyAlignment="1">
      <alignment vertical="center" shrinkToFit="1"/>
    </xf>
    <xf numFmtId="0" fontId="8" fillId="2" borderId="40" xfId="0" applyFont="1" applyFill="1" applyBorder="1" applyAlignment="1">
      <alignment horizontal="center" vertical="center" shrinkToFit="1"/>
    </xf>
    <xf numFmtId="0" fontId="8" fillId="2" borderId="41" xfId="0" applyFont="1" applyFill="1" applyBorder="1" applyAlignment="1">
      <alignment horizontal="center" vertical="center" shrinkToFit="1"/>
    </xf>
    <xf numFmtId="0" fontId="8" fillId="2" borderId="42" xfId="0" applyFont="1" applyFill="1" applyBorder="1" applyAlignment="1">
      <alignment horizontal="center" vertical="center" shrinkToFit="1"/>
    </xf>
    <xf numFmtId="0" fontId="9" fillId="2" borderId="3" xfId="0" applyFont="1" applyFill="1" applyBorder="1" applyAlignment="1">
      <alignment horizontal="center" vertical="center"/>
    </xf>
    <xf numFmtId="0" fontId="9" fillId="2" borderId="4" xfId="0" applyFont="1" applyFill="1" applyBorder="1" applyAlignment="1">
      <alignment horizontal="center" vertical="center"/>
    </xf>
    <xf numFmtId="0" fontId="8" fillId="2" borderId="19" xfId="0" applyFont="1" applyFill="1" applyBorder="1" applyAlignment="1">
      <alignment vertical="center" shrinkToFit="1"/>
    </xf>
    <xf numFmtId="0" fontId="8" fillId="2" borderId="20" xfId="0" applyFont="1" applyFill="1" applyBorder="1" applyAlignment="1">
      <alignment vertical="center" shrinkToFit="1"/>
    </xf>
    <xf numFmtId="0" fontId="8" fillId="2" borderId="18" xfId="0" applyFont="1" applyFill="1" applyBorder="1" applyAlignment="1">
      <alignment vertical="center" shrinkToFit="1"/>
    </xf>
    <xf numFmtId="0" fontId="8" fillId="2" borderId="19" xfId="0" applyFont="1" applyFill="1" applyBorder="1" applyAlignment="1">
      <alignment horizontal="center" vertical="center" shrinkToFit="1"/>
    </xf>
    <xf numFmtId="0" fontId="8" fillId="2" borderId="20" xfId="0" applyFont="1" applyFill="1" applyBorder="1" applyAlignment="1">
      <alignment horizontal="center" vertical="center" shrinkToFit="1"/>
    </xf>
    <xf numFmtId="0" fontId="8" fillId="2" borderId="18" xfId="0" applyFont="1" applyFill="1" applyBorder="1" applyAlignment="1">
      <alignment horizontal="center" vertical="center" shrinkToFit="1"/>
    </xf>
    <xf numFmtId="0" fontId="8" fillId="2" borderId="37" xfId="0" applyFont="1" applyFill="1" applyBorder="1" applyAlignment="1">
      <alignment vertical="center" shrinkToFit="1"/>
    </xf>
    <xf numFmtId="0" fontId="8" fillId="2" borderId="39" xfId="0" applyFont="1" applyFill="1" applyBorder="1" applyAlignment="1">
      <alignment vertical="center" shrinkToFit="1"/>
    </xf>
    <xf numFmtId="0" fontId="8" fillId="2" borderId="38" xfId="0" applyFont="1" applyFill="1" applyBorder="1" applyAlignment="1">
      <alignment vertical="center" shrinkToFit="1"/>
    </xf>
    <xf numFmtId="0" fontId="8" fillId="2" borderId="37" xfId="0" applyFont="1" applyFill="1" applyBorder="1" applyAlignment="1">
      <alignment horizontal="center" vertical="center" shrinkToFit="1"/>
    </xf>
    <xf numFmtId="0" fontId="8" fillId="2" borderId="39" xfId="0" applyFont="1" applyFill="1" applyBorder="1" applyAlignment="1">
      <alignment horizontal="center" vertical="center" shrinkToFit="1"/>
    </xf>
    <xf numFmtId="0" fontId="8" fillId="2" borderId="38" xfId="0" applyFont="1" applyFill="1" applyBorder="1" applyAlignment="1">
      <alignment horizontal="center" vertical="center" shrinkToFit="1"/>
    </xf>
    <xf numFmtId="0" fontId="8" fillId="2" borderId="40" xfId="0" applyFont="1" applyFill="1" applyBorder="1" applyAlignment="1">
      <alignment horizontal="center" vertical="center"/>
    </xf>
    <xf numFmtId="0" fontId="8" fillId="2" borderId="41" xfId="0" applyFont="1" applyFill="1" applyBorder="1" applyAlignment="1">
      <alignment horizontal="center" vertical="center"/>
    </xf>
    <xf numFmtId="0" fontId="8" fillId="2" borderId="42" xfId="0"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0" fontId="8" fillId="2" borderId="9" xfId="0" applyFont="1" applyFill="1" applyBorder="1" applyAlignment="1">
      <alignment horizontal="center" vertical="center"/>
    </xf>
    <xf numFmtId="0" fontId="8" fillId="2" borderId="19" xfId="0" applyFont="1" applyFill="1" applyBorder="1" applyAlignment="1">
      <alignment horizontal="center" vertical="center"/>
    </xf>
    <xf numFmtId="0" fontId="8" fillId="2" borderId="20" xfId="0" applyFont="1" applyFill="1" applyBorder="1" applyAlignment="1">
      <alignment horizontal="center" vertical="center"/>
    </xf>
    <xf numFmtId="0" fontId="8" fillId="2" borderId="18" xfId="0" applyFont="1" applyFill="1" applyBorder="1" applyAlignment="1">
      <alignment horizontal="center" vertical="center"/>
    </xf>
    <xf numFmtId="0" fontId="8" fillId="2" borderId="37" xfId="0" applyFont="1" applyFill="1" applyBorder="1" applyAlignment="1">
      <alignment horizontal="center" vertical="center"/>
    </xf>
    <xf numFmtId="0" fontId="8" fillId="2" borderId="39" xfId="0" applyFont="1" applyFill="1" applyBorder="1" applyAlignment="1">
      <alignment horizontal="center" vertical="center"/>
    </xf>
    <xf numFmtId="0" fontId="8" fillId="2" borderId="38" xfId="0" applyFont="1" applyFill="1" applyBorder="1" applyAlignment="1">
      <alignment horizontal="center" vertical="center"/>
    </xf>
    <xf numFmtId="0" fontId="8" fillId="2" borderId="40" xfId="0" applyFont="1" applyFill="1" applyBorder="1" applyAlignment="1">
      <alignment horizontal="left" vertical="center" shrinkToFit="1"/>
    </xf>
    <xf numFmtId="0" fontId="8" fillId="2" borderId="41" xfId="0" applyFont="1" applyFill="1" applyBorder="1" applyAlignment="1">
      <alignment horizontal="left" vertical="center" shrinkToFit="1"/>
    </xf>
    <xf numFmtId="0" fontId="8" fillId="2" borderId="42" xfId="0" applyFont="1" applyFill="1" applyBorder="1" applyAlignment="1">
      <alignment horizontal="left" vertical="center" shrinkToFit="1"/>
    </xf>
    <xf numFmtId="0" fontId="8" fillId="2" borderId="0" xfId="0" applyFont="1" applyFill="1" applyAlignment="1">
      <alignment vertical="center" wrapText="1"/>
    </xf>
    <xf numFmtId="0" fontId="8" fillId="2" borderId="19" xfId="0" applyFont="1" applyFill="1" applyBorder="1" applyAlignment="1">
      <alignment horizontal="left" vertical="center" shrinkToFit="1"/>
    </xf>
    <xf numFmtId="0" fontId="8" fillId="2" borderId="20" xfId="0" applyFont="1" applyFill="1" applyBorder="1" applyAlignment="1">
      <alignment horizontal="left" vertical="center" shrinkToFit="1"/>
    </xf>
    <xf numFmtId="0" fontId="8" fillId="2" borderId="18" xfId="0" applyFont="1" applyFill="1" applyBorder="1" applyAlignment="1">
      <alignment horizontal="left" vertical="center" shrinkToFit="1"/>
    </xf>
    <xf numFmtId="0" fontId="8" fillId="2" borderId="37" xfId="0" applyFont="1" applyFill="1" applyBorder="1" applyAlignment="1">
      <alignment horizontal="left" vertical="center" shrinkToFit="1"/>
    </xf>
    <xf numFmtId="0" fontId="8" fillId="2" borderId="39" xfId="0" applyFont="1" applyFill="1" applyBorder="1" applyAlignment="1">
      <alignment horizontal="left" vertical="center" shrinkToFit="1"/>
    </xf>
    <xf numFmtId="0" fontId="8" fillId="2" borderId="38" xfId="0" applyFont="1" applyFill="1" applyBorder="1" applyAlignment="1">
      <alignment horizontal="left" vertical="center" shrinkToFit="1"/>
    </xf>
    <xf numFmtId="0" fontId="9" fillId="2" borderId="0" xfId="0" applyFont="1" applyFill="1" applyAlignment="1">
      <alignment horizontal="center" vertical="center"/>
    </xf>
    <xf numFmtId="0" fontId="18" fillId="2" borderId="0" xfId="0" applyFont="1" applyFill="1" applyAlignment="1">
      <alignment horizontal="center" vertical="center"/>
    </xf>
    <xf numFmtId="0" fontId="21" fillId="2" borderId="7" xfId="0" applyFont="1" applyFill="1" applyBorder="1" applyAlignment="1">
      <alignment horizontal="left" vertical="top" wrapText="1" shrinkToFit="1"/>
    </xf>
    <xf numFmtId="0" fontId="21" fillId="2" borderId="8" xfId="0" applyFont="1" applyFill="1" applyBorder="1" applyAlignment="1">
      <alignment horizontal="left" vertical="top" wrapText="1" shrinkToFit="1"/>
    </xf>
    <xf numFmtId="0" fontId="21" fillId="2" borderId="9" xfId="0" applyFont="1" applyFill="1" applyBorder="1" applyAlignment="1">
      <alignment horizontal="left" vertical="top" wrapText="1" shrinkToFit="1"/>
    </xf>
    <xf numFmtId="0" fontId="21" fillId="2" borderId="5" xfId="0" applyFont="1" applyFill="1" applyBorder="1" applyAlignment="1">
      <alignment horizontal="left" vertical="top" wrapText="1" shrinkToFit="1"/>
    </xf>
    <xf numFmtId="0" fontId="21" fillId="2" borderId="0" xfId="0" applyFont="1" applyFill="1" applyBorder="1" applyAlignment="1">
      <alignment horizontal="left" vertical="top" wrapText="1" shrinkToFit="1"/>
    </xf>
    <xf numFmtId="0" fontId="21" fillId="2" borderId="10" xfId="0" applyFont="1" applyFill="1" applyBorder="1" applyAlignment="1">
      <alignment horizontal="left" vertical="top" wrapText="1" shrinkToFit="1"/>
    </xf>
    <xf numFmtId="0" fontId="21" fillId="2" borderId="0" xfId="0" applyFont="1" applyFill="1" applyAlignment="1">
      <alignment horizontal="left" vertical="top" wrapText="1" shrinkToFit="1"/>
    </xf>
    <xf numFmtId="0" fontId="21" fillId="2" borderId="11" xfId="0" applyFont="1" applyFill="1" applyBorder="1" applyAlignment="1">
      <alignment horizontal="left" vertical="top" wrapText="1" shrinkToFit="1"/>
    </xf>
    <xf numFmtId="0" fontId="21" fillId="2" borderId="6" xfId="0" applyFont="1" applyFill="1" applyBorder="1" applyAlignment="1">
      <alignment horizontal="left" vertical="top" wrapText="1" shrinkToFit="1"/>
    </xf>
    <xf numFmtId="0" fontId="21" fillId="2" borderId="12" xfId="0" applyFont="1" applyFill="1" applyBorder="1" applyAlignment="1">
      <alignment horizontal="left" vertical="top" wrapText="1" shrinkToFit="1"/>
    </xf>
    <xf numFmtId="0" fontId="21" fillId="2" borderId="32" xfId="0" applyFont="1" applyFill="1" applyBorder="1" applyAlignment="1">
      <alignment vertical="center" wrapText="1"/>
    </xf>
    <xf numFmtId="0" fontId="8" fillId="2" borderId="7" xfId="0" applyFont="1" applyFill="1" applyBorder="1" applyAlignment="1">
      <alignment horizontal="left" vertical="center" wrapText="1" shrinkToFit="1"/>
    </xf>
    <xf numFmtId="0" fontId="8" fillId="2" borderId="8" xfId="0" applyFont="1" applyFill="1" applyBorder="1" applyAlignment="1">
      <alignment horizontal="left" vertical="center" wrapText="1" shrinkToFit="1"/>
    </xf>
    <xf numFmtId="0" fontId="8" fillId="2" borderId="9" xfId="0" applyFont="1" applyFill="1" applyBorder="1" applyAlignment="1">
      <alignment horizontal="left" vertical="center" wrapText="1" shrinkToFit="1"/>
    </xf>
    <xf numFmtId="0" fontId="8" fillId="2" borderId="11" xfId="0" applyFont="1" applyFill="1" applyBorder="1" applyAlignment="1">
      <alignment horizontal="left" vertical="center" wrapText="1" shrinkToFit="1"/>
    </xf>
    <xf numFmtId="0" fontId="8" fillId="2" borderId="6" xfId="0" applyFont="1" applyFill="1" applyBorder="1" applyAlignment="1">
      <alignment horizontal="left" vertical="center" wrapText="1" shrinkToFit="1"/>
    </xf>
    <xf numFmtId="0" fontId="8" fillId="2" borderId="12" xfId="0" applyFont="1" applyFill="1" applyBorder="1" applyAlignment="1">
      <alignment horizontal="left" vertical="center" wrapText="1" shrinkToFit="1"/>
    </xf>
    <xf numFmtId="0" fontId="8" fillId="2" borderId="39" xfId="0" applyFont="1" applyFill="1" applyBorder="1" applyAlignment="1">
      <alignment vertical="center" wrapText="1" shrinkToFit="1"/>
    </xf>
    <xf numFmtId="0" fontId="8" fillId="2" borderId="19" xfId="0" applyFont="1" applyFill="1" applyBorder="1" applyAlignment="1">
      <alignment vertical="center" wrapText="1" shrinkToFit="1"/>
    </xf>
    <xf numFmtId="0" fontId="8" fillId="2" borderId="20" xfId="0" applyFont="1" applyFill="1" applyBorder="1" applyAlignment="1">
      <alignment vertical="center" wrapText="1" shrinkToFit="1"/>
    </xf>
    <xf numFmtId="0" fontId="8" fillId="2" borderId="18" xfId="0" applyFont="1" applyFill="1" applyBorder="1" applyAlignment="1">
      <alignment vertical="center" wrapText="1" shrinkToFit="1"/>
    </xf>
    <xf numFmtId="0" fontId="8" fillId="2" borderId="6" xfId="0" applyFont="1" applyFill="1" applyBorder="1" applyAlignment="1">
      <alignment vertical="center" wrapText="1" shrinkToFit="1"/>
    </xf>
    <xf numFmtId="0" fontId="8" fillId="2" borderId="6" xfId="0" applyFont="1" applyFill="1" applyBorder="1" applyAlignment="1">
      <alignment vertical="center" shrinkToFit="1"/>
    </xf>
    <xf numFmtId="0" fontId="8" fillId="2" borderId="12" xfId="0" applyFont="1" applyFill="1" applyBorder="1" applyAlignment="1">
      <alignment vertical="center" shrinkToFit="1"/>
    </xf>
    <xf numFmtId="0" fontId="8" fillId="0" borderId="39" xfId="0" applyFont="1" applyFill="1" applyBorder="1" applyAlignment="1">
      <alignment horizontal="left" vertical="center" wrapText="1" shrinkToFit="1"/>
    </xf>
    <xf numFmtId="0" fontId="8" fillId="0" borderId="39" xfId="0" applyFont="1" applyFill="1" applyBorder="1" applyAlignment="1">
      <alignment horizontal="left" vertical="center" shrinkToFit="1"/>
    </xf>
    <xf numFmtId="0" fontId="8" fillId="0" borderId="38" xfId="0" applyFont="1" applyFill="1" applyBorder="1" applyAlignment="1">
      <alignment horizontal="left" vertical="center" shrinkToFit="1"/>
    </xf>
    <xf numFmtId="0" fontId="8" fillId="2" borderId="41" xfId="0" applyFont="1" applyFill="1" applyBorder="1" applyAlignment="1">
      <alignment horizontal="left" vertical="center" wrapText="1" shrinkToFit="1"/>
    </xf>
    <xf numFmtId="0" fontId="8" fillId="2" borderId="39" xfId="0" applyFont="1" applyFill="1" applyBorder="1" applyAlignment="1">
      <alignment horizontal="left" vertical="center" wrapText="1" shrinkToFit="1"/>
    </xf>
    <xf numFmtId="0" fontId="8" fillId="2" borderId="6" xfId="0" applyFont="1" applyFill="1" applyBorder="1" applyAlignment="1">
      <alignment horizontal="left" vertical="center" shrinkToFit="1"/>
    </xf>
    <xf numFmtId="0" fontId="8" fillId="2" borderId="12" xfId="0" applyFont="1" applyFill="1" applyBorder="1" applyAlignment="1">
      <alignment horizontal="left" vertical="center" shrinkToFit="1"/>
    </xf>
    <xf numFmtId="0" fontId="9" fillId="0" borderId="8" xfId="0" applyFont="1" applyFill="1" applyBorder="1" applyAlignment="1">
      <alignment horizontal="left" vertical="center" wrapText="1" shrinkToFit="1"/>
    </xf>
    <xf numFmtId="0" fontId="8" fillId="0" borderId="8" xfId="0" applyFont="1" applyFill="1" applyBorder="1" applyAlignment="1">
      <alignment horizontal="left" vertical="center" shrinkToFit="1"/>
    </xf>
    <xf numFmtId="0" fontId="8" fillId="0" borderId="9" xfId="0" applyFont="1" applyFill="1" applyBorder="1" applyAlignment="1">
      <alignment horizontal="left" vertical="center" shrinkToFit="1"/>
    </xf>
    <xf numFmtId="0" fontId="8" fillId="2" borderId="22" xfId="0" applyFont="1" applyFill="1" applyBorder="1" applyAlignment="1">
      <alignment horizontal="left" vertical="center" wrapText="1" shrinkToFit="1"/>
    </xf>
    <xf numFmtId="0" fontId="8" fillId="2" borderId="22" xfId="0" applyFont="1" applyFill="1" applyBorder="1" applyAlignment="1">
      <alignment horizontal="left" vertical="center" shrinkToFit="1"/>
    </xf>
    <xf numFmtId="0" fontId="8" fillId="2" borderId="21" xfId="0" applyFont="1" applyFill="1" applyBorder="1" applyAlignment="1">
      <alignment horizontal="left" vertical="center" shrinkToFit="1"/>
    </xf>
    <xf numFmtId="0" fontId="8" fillId="2" borderId="7" xfId="0" applyFont="1" applyFill="1" applyBorder="1" applyAlignment="1">
      <alignment horizontal="left" vertical="top" wrapText="1" shrinkToFit="1"/>
    </xf>
    <xf numFmtId="0" fontId="8" fillId="2" borderId="8" xfId="0" applyFont="1" applyFill="1" applyBorder="1" applyAlignment="1">
      <alignment horizontal="left" vertical="top" wrapText="1" shrinkToFit="1"/>
    </xf>
    <xf numFmtId="0" fontId="8" fillId="2" borderId="9" xfId="0" applyFont="1" applyFill="1" applyBorder="1" applyAlignment="1">
      <alignment horizontal="left" vertical="top" wrapText="1" shrinkToFit="1"/>
    </xf>
    <xf numFmtId="0" fontId="8" fillId="2" borderId="5" xfId="0" applyFont="1" applyFill="1" applyBorder="1" applyAlignment="1">
      <alignment horizontal="left" vertical="top" wrapText="1" shrinkToFit="1"/>
    </xf>
    <xf numFmtId="0" fontId="8" fillId="2" borderId="0" xfId="0" applyFont="1" applyFill="1" applyBorder="1" applyAlignment="1">
      <alignment horizontal="left" vertical="top" wrapText="1" shrinkToFit="1"/>
    </xf>
    <xf numFmtId="0" fontId="8" fillId="2" borderId="10" xfId="0" applyFont="1" applyFill="1" applyBorder="1" applyAlignment="1">
      <alignment horizontal="left" vertical="top" wrapText="1" shrinkToFit="1"/>
    </xf>
    <xf numFmtId="0" fontId="8" fillId="2" borderId="0" xfId="0" applyFont="1" applyFill="1" applyAlignment="1">
      <alignment horizontal="left" vertical="top" wrapText="1" shrinkToFit="1"/>
    </xf>
    <xf numFmtId="0" fontId="8" fillId="2" borderId="11" xfId="0" applyFont="1" applyFill="1" applyBorder="1" applyAlignment="1">
      <alignment horizontal="left" vertical="top" wrapText="1" shrinkToFit="1"/>
    </xf>
    <xf numFmtId="0" fontId="8" fillId="2" borderId="6" xfId="0" applyFont="1" applyFill="1" applyBorder="1" applyAlignment="1">
      <alignment horizontal="left" vertical="top" wrapText="1" shrinkToFit="1"/>
    </xf>
    <xf numFmtId="0" fontId="8" fillId="2" borderId="12" xfId="0" applyFont="1" applyFill="1" applyBorder="1" applyAlignment="1">
      <alignment horizontal="left" vertical="top" wrapText="1" shrinkToFit="1"/>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4" xfId="0" applyFont="1" applyBorder="1" applyAlignment="1">
      <alignment vertical="center" shrinkToFit="1"/>
    </xf>
    <xf numFmtId="0" fontId="24"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7"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6" xfId="0" applyFont="1" applyBorder="1">
      <alignment vertical="center"/>
    </xf>
    <xf numFmtId="0" fontId="2" fillId="0" borderId="17" xfId="0" applyFont="1" applyBorder="1">
      <alignment vertical="center"/>
    </xf>
    <xf numFmtId="0" fontId="0" fillId="0" borderId="18" xfId="0" applyBorder="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8" fillId="2" borderId="19" xfId="0" applyFont="1" applyFill="1" applyBorder="1" applyAlignment="1">
      <alignment vertical="top" wrapText="1" shrinkToFit="1"/>
    </xf>
    <xf numFmtId="0" fontId="8" fillId="2" borderId="20" xfId="0" applyFont="1" applyFill="1" applyBorder="1" applyAlignment="1">
      <alignment vertical="top" wrapText="1" shrinkToFit="1"/>
    </xf>
    <xf numFmtId="0" fontId="8" fillId="2" borderId="18" xfId="0" applyFont="1" applyFill="1" applyBorder="1" applyAlignment="1">
      <alignment vertical="top" wrapText="1" shrinkToFit="1"/>
    </xf>
    <xf numFmtId="0" fontId="9" fillId="2" borderId="17" xfId="0" applyFont="1" applyFill="1" applyBorder="1" applyAlignment="1">
      <alignment vertical="center" wrapText="1"/>
    </xf>
    <xf numFmtId="0" fontId="8" fillId="2" borderId="18" xfId="0" applyFont="1" applyFill="1" applyBorder="1" applyAlignment="1">
      <alignment vertical="center" wrapText="1"/>
    </xf>
    <xf numFmtId="0" fontId="21" fillId="2" borderId="20" xfId="0" applyFont="1" applyFill="1" applyBorder="1" applyAlignment="1">
      <alignment vertical="top" wrapText="1" shrinkToFit="1"/>
    </xf>
    <xf numFmtId="0" fontId="21" fillId="2" borderId="18" xfId="0" applyFont="1" applyFill="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2" borderId="2" xfId="2" applyFill="1" applyBorder="1" applyAlignment="1">
      <alignment horizontal="left" vertical="center" indent="1" shrinkToFit="1"/>
    </xf>
    <xf numFmtId="0" fontId="11" fillId="2" borderId="3" xfId="2" applyFont="1" applyFill="1" applyBorder="1" applyAlignment="1">
      <alignment horizontal="left" vertical="center" indent="1" shrinkToFit="1"/>
    </xf>
    <xf numFmtId="0" fontId="11" fillId="2" borderId="4" xfId="2" applyFont="1" applyFill="1" applyBorder="1" applyAlignment="1">
      <alignment horizontal="left" vertical="center" indent="1" shrinkToFit="1"/>
    </xf>
    <xf numFmtId="0" fontId="23" fillId="2" borderId="20" xfId="0" applyFont="1" applyFill="1" applyBorder="1" applyAlignment="1">
      <alignment vertical="top" wrapText="1" shrinkToFit="1"/>
    </xf>
    <xf numFmtId="0" fontId="23" fillId="2" borderId="18" xfId="0" applyFont="1" applyFill="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21" fillId="0" borderId="20" xfId="0" applyFont="1" applyBorder="1" applyAlignment="1">
      <alignment vertical="top" wrapText="1" shrinkToFit="1"/>
    </xf>
    <xf numFmtId="0" fontId="21" fillId="0" borderId="18" xfId="0" applyFont="1" applyBorder="1" applyAlignment="1">
      <alignment vertical="top" wrapText="1" shrinkToFit="1"/>
    </xf>
    <xf numFmtId="0" fontId="9" fillId="0" borderId="0" xfId="0" applyFont="1" applyAlignment="1">
      <alignment horizontal="right" vertical="center"/>
    </xf>
    <xf numFmtId="0" fontId="8" fillId="0" borderId="0" xfId="0" applyFont="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175260</xdr:colOff>
      <xdr:row>69</xdr:row>
      <xdr:rowOff>28157</xdr:rowOff>
    </xdr:from>
    <xdr:to>
      <xdr:col>2</xdr:col>
      <xdr:colOff>2465771</xdr:colOff>
      <xdr:row>81</xdr:row>
      <xdr:rowOff>23874</xdr:rowOff>
    </xdr:to>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432435" y="16315907"/>
          <a:ext cx="3471611" cy="285321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achi.fujiwara@omp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ompu.ac.jp/education/datascience/index.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ompu.ac.jp/education/datascience/index.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ompu.ac.jp/education/datascience/index.htm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ompu.ac.jp/education/datascience/index.html"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Normal="100" zoomScaleSheetLayoutView="100" workbookViewId="0">
      <selection activeCell="P23" sqref="P23"/>
    </sheetView>
  </sheetViews>
  <sheetFormatPr defaultColWidth="9" defaultRowHeight="18.75" customHeight="1" x14ac:dyDescent="0.15"/>
  <cols>
    <col min="1" max="1" width="3.375" style="13" customWidth="1"/>
    <col min="2" max="2" width="11.125" style="13" customWidth="1"/>
    <col min="3" max="8" width="6.625" style="13" customWidth="1"/>
    <col min="9" max="9" width="3.375" style="13" customWidth="1"/>
    <col min="10" max="10" width="10" style="13" customWidth="1"/>
    <col min="11" max="11" width="3.375" style="13" customWidth="1"/>
    <col min="12" max="12" width="7.75" style="13" customWidth="1"/>
    <col min="13" max="13" width="3.375" style="13" customWidth="1"/>
    <col min="14" max="14" width="4.5" style="13" customWidth="1"/>
    <col min="15" max="15" width="9" style="29"/>
    <col min="16" max="16384" width="9" style="12"/>
  </cols>
  <sheetData>
    <row r="1" spans="1:15" ht="24" customHeight="1" x14ac:dyDescent="0.15">
      <c r="M1" s="189" t="s">
        <v>26</v>
      </c>
      <c r="N1" s="189"/>
    </row>
    <row r="2" spans="1:15" ht="24" customHeight="1" x14ac:dyDescent="0.15">
      <c r="A2" s="193" t="s">
        <v>87</v>
      </c>
      <c r="B2" s="193"/>
      <c r="C2" s="193"/>
      <c r="D2" s="193"/>
      <c r="E2" s="193"/>
      <c r="F2" s="193"/>
      <c r="G2" s="193"/>
      <c r="H2" s="193"/>
      <c r="I2" s="193"/>
      <c r="J2" s="193"/>
      <c r="K2" s="193"/>
      <c r="L2" s="193"/>
      <c r="M2" s="193"/>
      <c r="N2" s="193"/>
    </row>
    <row r="3" spans="1:15" ht="24" customHeight="1" x14ac:dyDescent="0.15"/>
    <row r="4" spans="1:15" ht="24" customHeight="1" x14ac:dyDescent="0.15">
      <c r="A4" s="13" t="s">
        <v>6</v>
      </c>
      <c r="B4" s="14" t="s">
        <v>17</v>
      </c>
      <c r="C4" s="179" t="s">
        <v>152</v>
      </c>
      <c r="D4" s="180"/>
      <c r="E4" s="180"/>
      <c r="F4" s="180"/>
      <c r="G4" s="180"/>
      <c r="H4" s="180"/>
      <c r="I4" s="180"/>
      <c r="J4" s="180"/>
      <c r="K4" s="180"/>
      <c r="L4" s="180"/>
      <c r="M4" s="180"/>
      <c r="N4" s="181"/>
      <c r="O4" s="29" t="str">
        <f>IF(C4="","入力してください","")</f>
        <v/>
      </c>
    </row>
    <row r="5" spans="1:15" ht="7.5" customHeight="1" x14ac:dyDescent="0.15">
      <c r="B5" s="14"/>
      <c r="C5" s="14"/>
      <c r="D5" s="14"/>
      <c r="E5" s="15"/>
      <c r="F5" s="33"/>
      <c r="G5" s="33"/>
      <c r="H5" s="33"/>
      <c r="I5" s="33"/>
      <c r="J5" s="33"/>
      <c r="K5" s="33"/>
      <c r="L5" s="33"/>
      <c r="M5" s="33"/>
      <c r="N5" s="33"/>
    </row>
    <row r="6" spans="1:15" ht="24" customHeight="1" x14ac:dyDescent="0.15">
      <c r="A6" s="13" t="s">
        <v>50</v>
      </c>
      <c r="B6" s="14" t="s">
        <v>51</v>
      </c>
      <c r="C6" s="14"/>
      <c r="D6" s="179" t="s">
        <v>188</v>
      </c>
      <c r="E6" s="180"/>
      <c r="F6" s="180"/>
      <c r="G6" s="180"/>
      <c r="H6" s="181"/>
      <c r="I6" s="16" t="s">
        <v>90</v>
      </c>
      <c r="J6" s="33" t="s">
        <v>91</v>
      </c>
      <c r="K6" s="179" t="s">
        <v>153</v>
      </c>
      <c r="L6" s="180"/>
      <c r="M6" s="180"/>
      <c r="N6" s="181"/>
      <c r="O6" s="29" t="str">
        <f>IF(D6="","入力してください","")</f>
        <v/>
      </c>
    </row>
    <row r="7" spans="1:15" ht="7.5" customHeight="1" x14ac:dyDescent="0.15">
      <c r="B7" s="14"/>
      <c r="C7" s="14"/>
      <c r="D7" s="14"/>
      <c r="E7" s="15"/>
      <c r="F7" s="33"/>
      <c r="G7" s="33"/>
      <c r="H7" s="33"/>
      <c r="I7" s="33"/>
      <c r="J7" s="33"/>
      <c r="K7" s="33"/>
      <c r="L7" s="33"/>
      <c r="M7" s="33"/>
      <c r="N7" s="33"/>
    </row>
    <row r="8" spans="1:15" ht="24" customHeight="1" x14ac:dyDescent="0.15">
      <c r="A8" s="13" t="s">
        <v>14</v>
      </c>
      <c r="B8" s="14" t="s">
        <v>47</v>
      </c>
      <c r="C8" s="179" t="s">
        <v>154</v>
      </c>
      <c r="D8" s="180"/>
      <c r="E8" s="180"/>
      <c r="F8" s="180"/>
      <c r="G8" s="180"/>
      <c r="H8" s="180"/>
      <c r="I8" s="180"/>
      <c r="J8" s="180"/>
      <c r="K8" s="180"/>
      <c r="L8" s="180"/>
      <c r="M8" s="180"/>
      <c r="N8" s="181"/>
      <c r="O8" s="29" t="str">
        <f>IF(C8="","入力してください","")</f>
        <v/>
      </c>
    </row>
    <row r="9" spans="1:15" ht="7.5" customHeight="1" x14ac:dyDescent="0.15">
      <c r="B9" s="14"/>
      <c r="C9" s="14"/>
      <c r="D9" s="14"/>
      <c r="E9" s="15"/>
      <c r="F9" s="33"/>
      <c r="G9" s="33"/>
      <c r="H9" s="33"/>
      <c r="I9" s="33"/>
      <c r="J9" s="33"/>
      <c r="K9" s="33"/>
      <c r="L9" s="33"/>
      <c r="M9" s="33"/>
      <c r="N9" s="33"/>
    </row>
    <row r="10" spans="1:15" ht="24" customHeight="1" x14ac:dyDescent="0.15">
      <c r="A10" s="13" t="s">
        <v>12</v>
      </c>
      <c r="B10" s="14" t="s">
        <v>89</v>
      </c>
      <c r="C10" s="14"/>
      <c r="D10" s="14"/>
      <c r="E10" s="179" t="s">
        <v>155</v>
      </c>
      <c r="F10" s="180"/>
      <c r="G10" s="180"/>
      <c r="H10" s="180"/>
      <c r="I10" s="180"/>
      <c r="J10" s="180"/>
      <c r="K10" s="180"/>
      <c r="L10" s="180"/>
      <c r="M10" s="180"/>
      <c r="N10" s="181"/>
      <c r="O10" s="29" t="str">
        <f>IF(E10="","入力してください","")</f>
        <v/>
      </c>
    </row>
    <row r="11" spans="1:15" ht="7.5" customHeight="1" x14ac:dyDescent="0.15">
      <c r="B11" s="15"/>
      <c r="C11" s="15"/>
      <c r="D11" s="15"/>
      <c r="E11" s="15"/>
      <c r="F11" s="33"/>
      <c r="G11" s="33"/>
      <c r="H11" s="33"/>
      <c r="I11" s="33"/>
      <c r="J11" s="33"/>
      <c r="K11" s="33"/>
      <c r="L11" s="33"/>
      <c r="M11" s="33"/>
      <c r="N11" s="33"/>
    </row>
    <row r="12" spans="1:15" ht="24" customHeight="1" x14ac:dyDescent="0.15">
      <c r="A12" s="13" t="s">
        <v>60</v>
      </c>
      <c r="B12" s="15" t="s">
        <v>61</v>
      </c>
      <c r="C12" s="15"/>
      <c r="D12" s="15"/>
      <c r="E12" s="196" t="s">
        <v>156</v>
      </c>
      <c r="F12" s="197"/>
      <c r="G12" s="16" t="s">
        <v>100</v>
      </c>
      <c r="H12" s="13" t="s">
        <v>101</v>
      </c>
      <c r="N12" s="112" t="s">
        <v>157</v>
      </c>
      <c r="O12" s="29" t="str">
        <f>IF(E12="","入力してください","")</f>
        <v/>
      </c>
    </row>
    <row r="13" spans="1:15" ht="7.5" customHeight="1" x14ac:dyDescent="0.15">
      <c r="B13" s="15"/>
      <c r="C13" s="15"/>
      <c r="D13" s="15"/>
      <c r="E13" s="15"/>
      <c r="F13" s="33"/>
      <c r="G13" s="33"/>
      <c r="H13" s="33"/>
      <c r="I13" s="33"/>
      <c r="J13" s="33"/>
      <c r="K13" s="33"/>
      <c r="L13" s="33"/>
      <c r="M13" s="33"/>
      <c r="N13" s="33"/>
    </row>
    <row r="14" spans="1:15" ht="24" customHeight="1" x14ac:dyDescent="0.15">
      <c r="A14" s="13" t="s">
        <v>55</v>
      </c>
      <c r="B14" s="13" t="s">
        <v>0</v>
      </c>
      <c r="C14" s="190" t="s">
        <v>5</v>
      </c>
      <c r="D14" s="191"/>
      <c r="E14" s="182">
        <v>582</v>
      </c>
      <c r="F14" s="183"/>
      <c r="G14" s="119" t="s">
        <v>8</v>
      </c>
      <c r="H14" s="120"/>
      <c r="I14" s="194" t="s">
        <v>9</v>
      </c>
      <c r="J14" s="195"/>
      <c r="K14" s="182">
        <v>389</v>
      </c>
      <c r="L14" s="192"/>
      <c r="M14" s="183"/>
      <c r="N14" s="17" t="s">
        <v>8</v>
      </c>
      <c r="O14" s="29" t="str">
        <f>IF(OR(E14="",K14=""),"入力してください","")</f>
        <v/>
      </c>
    </row>
    <row r="15" spans="1:15" ht="7.5" customHeight="1" x14ac:dyDescent="0.15">
      <c r="E15" s="120"/>
      <c r="F15" s="121"/>
      <c r="G15" s="121"/>
      <c r="H15" s="121"/>
      <c r="I15" s="121"/>
      <c r="J15" s="121"/>
      <c r="K15" s="121"/>
      <c r="L15" s="121"/>
      <c r="M15" s="122"/>
      <c r="N15" s="17"/>
    </row>
    <row r="16" spans="1:15" ht="24" customHeight="1" x14ac:dyDescent="0.15">
      <c r="A16" s="13" t="s">
        <v>62</v>
      </c>
      <c r="B16" s="13" t="s">
        <v>72</v>
      </c>
      <c r="E16" s="120"/>
      <c r="F16" s="121"/>
      <c r="G16" s="121"/>
      <c r="H16" s="121"/>
      <c r="I16" s="121"/>
      <c r="J16" s="121"/>
      <c r="K16" s="198">
        <v>228</v>
      </c>
      <c r="L16" s="199"/>
      <c r="M16" s="200"/>
      <c r="N16" s="17" t="s">
        <v>53</v>
      </c>
      <c r="O16" s="29" t="str">
        <f>IF(K16="","入力してください","")</f>
        <v/>
      </c>
    </row>
    <row r="17" spans="1:15" ht="7.5" customHeight="1" x14ac:dyDescent="0.15">
      <c r="F17" s="18"/>
      <c r="G17" s="18"/>
      <c r="H17" s="18"/>
      <c r="I17" s="18"/>
      <c r="J17" s="18"/>
      <c r="K17" s="18"/>
      <c r="L17" s="18"/>
      <c r="M17" s="17"/>
      <c r="N17" s="17"/>
    </row>
    <row r="18" spans="1:15" ht="24" customHeight="1" x14ac:dyDescent="0.15">
      <c r="A18" s="13" t="s">
        <v>25</v>
      </c>
      <c r="B18" s="13" t="s">
        <v>81</v>
      </c>
      <c r="E18" s="205">
        <v>491</v>
      </c>
      <c r="F18" s="206"/>
      <c r="G18" s="19" t="s">
        <v>22</v>
      </c>
      <c r="H18" s="18"/>
      <c r="K18" s="204"/>
      <c r="L18" s="204"/>
      <c r="M18" s="204"/>
      <c r="N18" s="204"/>
      <c r="O18" s="29" t="str">
        <f>IF(E18="","入力してください","")</f>
        <v/>
      </c>
    </row>
    <row r="19" spans="1:15" ht="7.5" customHeight="1" x14ac:dyDescent="0.15">
      <c r="E19" s="10"/>
      <c r="F19" s="18"/>
      <c r="G19" s="18"/>
      <c r="L19" s="32"/>
      <c r="M19" s="32"/>
      <c r="N19" s="20"/>
    </row>
    <row r="20" spans="1:15" ht="24" customHeight="1" x14ac:dyDescent="0.15">
      <c r="A20" s="13" t="s">
        <v>80</v>
      </c>
      <c r="B20" s="13" t="s">
        <v>82</v>
      </c>
      <c r="E20" s="10"/>
      <c r="F20" s="18"/>
      <c r="G20" s="18"/>
      <c r="H20" s="13" t="s">
        <v>54</v>
      </c>
      <c r="J20" s="201">
        <v>2911</v>
      </c>
      <c r="K20" s="202"/>
      <c r="L20" s="203"/>
      <c r="M20" s="32" t="s">
        <v>53</v>
      </c>
      <c r="N20" s="20"/>
      <c r="O20" s="29" t="str">
        <f>IF(J20="","入力してください","")</f>
        <v/>
      </c>
    </row>
    <row r="21" spans="1:15" ht="7.5" customHeight="1" x14ac:dyDescent="0.15">
      <c r="E21" s="10"/>
      <c r="F21" s="18"/>
      <c r="G21" s="18"/>
      <c r="L21" s="32"/>
      <c r="M21" s="32"/>
      <c r="N21" s="20"/>
    </row>
    <row r="22" spans="1:15" ht="24" customHeight="1" x14ac:dyDescent="0.15">
      <c r="B22" s="27" t="s">
        <v>18</v>
      </c>
      <c r="C22" s="182">
        <v>534</v>
      </c>
      <c r="D22" s="183"/>
      <c r="E22" s="10" t="s">
        <v>23</v>
      </c>
      <c r="F22" s="18"/>
      <c r="G22" s="178" t="s">
        <v>19</v>
      </c>
      <c r="H22" s="178"/>
      <c r="I22" s="182">
        <v>516</v>
      </c>
      <c r="J22" s="183"/>
      <c r="K22" s="16" t="s">
        <v>23</v>
      </c>
      <c r="M22" s="32"/>
      <c r="N22" s="20"/>
    </row>
    <row r="23" spans="1:15" ht="7.5" customHeight="1" x14ac:dyDescent="0.15">
      <c r="B23" s="27"/>
      <c r="C23" s="123"/>
      <c r="D23" s="123"/>
      <c r="E23" s="10"/>
      <c r="F23" s="18"/>
      <c r="G23" s="32"/>
      <c r="H23" s="32"/>
      <c r="I23" s="123"/>
      <c r="J23" s="123"/>
      <c r="K23" s="16"/>
      <c r="M23" s="32"/>
      <c r="N23" s="20"/>
    </row>
    <row r="24" spans="1:15" ht="24" customHeight="1" x14ac:dyDescent="0.15">
      <c r="B24" s="27" t="s">
        <v>20</v>
      </c>
      <c r="C24" s="182">
        <v>513</v>
      </c>
      <c r="D24" s="183"/>
      <c r="E24" s="10" t="s">
        <v>23</v>
      </c>
      <c r="F24" s="18"/>
      <c r="G24" s="178" t="s">
        <v>21</v>
      </c>
      <c r="H24" s="178"/>
      <c r="I24" s="182">
        <v>485</v>
      </c>
      <c r="J24" s="183"/>
      <c r="K24" s="16" t="s">
        <v>23</v>
      </c>
      <c r="M24" s="32"/>
      <c r="N24" s="20"/>
    </row>
    <row r="25" spans="1:15" ht="7.5" customHeight="1" x14ac:dyDescent="0.15">
      <c r="B25" s="27"/>
      <c r="C25" s="123"/>
      <c r="D25" s="123"/>
      <c r="E25" s="10"/>
      <c r="F25" s="18"/>
      <c r="G25" s="32"/>
      <c r="H25" s="32"/>
      <c r="I25" s="123"/>
      <c r="J25" s="123"/>
      <c r="K25" s="16"/>
      <c r="M25" s="32"/>
      <c r="N25" s="20"/>
    </row>
    <row r="26" spans="1:15" ht="24" customHeight="1" x14ac:dyDescent="0.15">
      <c r="B26" s="27" t="s">
        <v>48</v>
      </c>
      <c r="C26" s="182">
        <v>425</v>
      </c>
      <c r="D26" s="183"/>
      <c r="E26" s="10" t="s">
        <v>8</v>
      </c>
      <c r="F26" s="18"/>
      <c r="G26" s="178" t="s">
        <v>49</v>
      </c>
      <c r="H26" s="178"/>
      <c r="I26" s="182">
        <v>438</v>
      </c>
      <c r="J26" s="183"/>
      <c r="K26" s="16" t="s">
        <v>8</v>
      </c>
      <c r="M26" s="32"/>
      <c r="N26" s="20"/>
    </row>
    <row r="27" spans="1:15" ht="7.5" customHeight="1" x14ac:dyDescent="0.15">
      <c r="F27" s="18"/>
      <c r="G27" s="18"/>
      <c r="M27" s="21"/>
      <c r="N27" s="21"/>
    </row>
    <row r="28" spans="1:15" ht="24" customHeight="1" x14ac:dyDescent="0.15">
      <c r="A28" s="13" t="s">
        <v>52</v>
      </c>
      <c r="B28" s="14" t="s">
        <v>79</v>
      </c>
      <c r="C28" s="14"/>
      <c r="D28" s="14"/>
      <c r="E28" s="14"/>
      <c r="F28" s="16"/>
      <c r="G28" s="33"/>
      <c r="H28" s="33"/>
      <c r="I28" s="33"/>
      <c r="J28" s="22"/>
      <c r="K28" s="22"/>
      <c r="L28" s="22"/>
      <c r="M28" s="22"/>
      <c r="N28" s="22"/>
    </row>
    <row r="29" spans="1:15" s="13" customFormat="1" ht="24" customHeight="1" x14ac:dyDescent="0.15">
      <c r="B29" s="186" t="s">
        <v>78</v>
      </c>
      <c r="C29" s="186"/>
      <c r="D29" s="179" t="s">
        <v>158</v>
      </c>
      <c r="E29" s="180"/>
      <c r="F29" s="180"/>
      <c r="G29" s="187" t="s">
        <v>24</v>
      </c>
      <c r="H29" s="186"/>
      <c r="I29" s="188"/>
      <c r="J29" s="179" t="s">
        <v>235</v>
      </c>
      <c r="K29" s="180"/>
      <c r="L29" s="180"/>
      <c r="M29" s="180"/>
      <c r="N29" s="181"/>
      <c r="O29" s="29" t="str">
        <f>IF(OR(D29="",J29=""),"入力してください","")</f>
        <v/>
      </c>
    </row>
    <row r="30" spans="1:15" ht="7.5" customHeight="1" x14ac:dyDescent="0.15">
      <c r="F30" s="18"/>
      <c r="G30" s="18"/>
      <c r="M30" s="21"/>
      <c r="N30" s="21"/>
    </row>
    <row r="31" spans="1:15" ht="24" customHeight="1" x14ac:dyDescent="0.15">
      <c r="A31" s="13" t="s">
        <v>56</v>
      </c>
      <c r="B31" s="14" t="s">
        <v>84</v>
      </c>
      <c r="C31" s="14"/>
      <c r="D31" s="14"/>
      <c r="E31" s="14"/>
      <c r="F31" s="16"/>
      <c r="G31" s="22"/>
      <c r="H31" s="22"/>
      <c r="I31" s="22"/>
      <c r="J31" s="22"/>
      <c r="K31" s="22"/>
      <c r="L31" s="22"/>
      <c r="M31" s="22"/>
      <c r="N31" s="22"/>
    </row>
    <row r="32" spans="1:15" ht="24" customHeight="1" x14ac:dyDescent="0.15">
      <c r="B32" s="179" t="s">
        <v>159</v>
      </c>
      <c r="C32" s="180"/>
      <c r="D32" s="180"/>
      <c r="E32" s="180"/>
      <c r="F32" s="180"/>
      <c r="G32" s="180"/>
      <c r="H32" s="180"/>
      <c r="I32" s="180"/>
      <c r="J32" s="180"/>
      <c r="K32" s="180"/>
      <c r="L32" s="180"/>
      <c r="M32" s="180"/>
      <c r="N32" s="181"/>
      <c r="O32" s="29" t="str">
        <f>IF(B32="","入力してください","")</f>
        <v/>
      </c>
    </row>
    <row r="33" spans="1:15" ht="7.5" customHeight="1" x14ac:dyDescent="0.15">
      <c r="B33" s="11"/>
      <c r="C33" s="11"/>
      <c r="D33" s="11"/>
      <c r="E33" s="11"/>
      <c r="F33" s="11"/>
      <c r="G33" s="11"/>
      <c r="H33" s="11"/>
      <c r="I33" s="11"/>
      <c r="J33" s="11"/>
      <c r="K33" s="11"/>
      <c r="L33" s="11"/>
      <c r="M33" s="11"/>
      <c r="N33" s="11"/>
    </row>
    <row r="34" spans="1:15" s="13" customFormat="1" ht="24" customHeight="1" x14ac:dyDescent="0.15">
      <c r="B34" s="186" t="s">
        <v>78</v>
      </c>
      <c r="C34" s="186"/>
      <c r="D34" s="179" t="s">
        <v>158</v>
      </c>
      <c r="E34" s="180"/>
      <c r="F34" s="180"/>
      <c r="G34" s="187" t="s">
        <v>57</v>
      </c>
      <c r="H34" s="186"/>
      <c r="I34" s="188"/>
      <c r="J34" s="179" t="s">
        <v>160</v>
      </c>
      <c r="K34" s="180"/>
      <c r="L34" s="180"/>
      <c r="M34" s="180"/>
      <c r="N34" s="181"/>
      <c r="O34" s="29" t="str">
        <f>IF(OR(D34="",J34=""),"入力してください","")</f>
        <v/>
      </c>
    </row>
    <row r="35" spans="1:15" ht="7.5" customHeight="1" x14ac:dyDescent="0.15">
      <c r="F35" s="33"/>
      <c r="G35" s="33"/>
      <c r="H35" s="33"/>
      <c r="I35" s="33"/>
      <c r="J35" s="33"/>
      <c r="K35" s="33"/>
      <c r="L35" s="33"/>
      <c r="M35" s="33"/>
      <c r="N35" s="33"/>
    </row>
    <row r="36" spans="1:15" ht="24" customHeight="1" x14ac:dyDescent="0.15">
      <c r="A36" s="13" t="s">
        <v>63</v>
      </c>
      <c r="B36" s="13" t="s">
        <v>85</v>
      </c>
      <c r="M36" s="21"/>
      <c r="N36" s="21"/>
    </row>
    <row r="37" spans="1:15" ht="24" customHeight="1" x14ac:dyDescent="0.15">
      <c r="B37" s="179" t="s">
        <v>161</v>
      </c>
      <c r="C37" s="180"/>
      <c r="D37" s="180"/>
      <c r="E37" s="180"/>
      <c r="F37" s="180"/>
      <c r="G37" s="180"/>
      <c r="H37" s="180"/>
      <c r="I37" s="180"/>
      <c r="J37" s="180"/>
      <c r="K37" s="180"/>
      <c r="L37" s="180"/>
      <c r="M37" s="180"/>
      <c r="N37" s="181"/>
      <c r="O37" s="29" t="str">
        <f>IF(B37="","入力してください","")</f>
        <v/>
      </c>
    </row>
    <row r="38" spans="1:15" ht="7.5" customHeight="1" x14ac:dyDescent="0.15">
      <c r="F38" s="33"/>
      <c r="G38" s="33"/>
      <c r="H38" s="33"/>
      <c r="I38" s="33"/>
      <c r="J38" s="33"/>
      <c r="K38" s="33"/>
      <c r="L38" s="33"/>
      <c r="M38" s="33"/>
      <c r="N38" s="33"/>
    </row>
    <row r="39" spans="1:15" s="13" customFormat="1" ht="24" customHeight="1" x14ac:dyDescent="0.15">
      <c r="B39" s="186" t="s">
        <v>78</v>
      </c>
      <c r="C39" s="186"/>
      <c r="D39" s="179" t="s">
        <v>162</v>
      </c>
      <c r="E39" s="180"/>
      <c r="F39" s="180"/>
      <c r="G39" s="187" t="s">
        <v>57</v>
      </c>
      <c r="H39" s="186"/>
      <c r="I39" s="188"/>
      <c r="J39" s="179" t="s">
        <v>163</v>
      </c>
      <c r="K39" s="180"/>
      <c r="L39" s="180"/>
      <c r="M39" s="180"/>
      <c r="N39" s="181"/>
      <c r="O39" s="29" t="str">
        <f>IF(OR(D39="",J39=""),"入力してください","")</f>
        <v/>
      </c>
    </row>
    <row r="40" spans="1:15" ht="7.5" customHeight="1" x14ac:dyDescent="0.15">
      <c r="F40" s="33"/>
      <c r="G40" s="33"/>
      <c r="H40" s="33"/>
      <c r="I40" s="33"/>
      <c r="J40" s="33"/>
      <c r="K40" s="33"/>
      <c r="L40" s="33"/>
      <c r="M40" s="33"/>
      <c r="N40" s="33"/>
    </row>
    <row r="41" spans="1:15" ht="24" customHeight="1" x14ac:dyDescent="0.15">
      <c r="A41" s="13" t="s">
        <v>92</v>
      </c>
      <c r="B41" s="68" t="s">
        <v>71</v>
      </c>
      <c r="E41" s="69"/>
      <c r="F41" s="179" t="s">
        <v>164</v>
      </c>
      <c r="G41" s="180"/>
      <c r="H41" s="180"/>
      <c r="I41" s="180"/>
      <c r="J41" s="180"/>
      <c r="K41" s="180"/>
      <c r="L41" s="180"/>
      <c r="M41" s="180"/>
      <c r="N41" s="181"/>
      <c r="O41" s="29" t="str">
        <f>IF(F41="","入力してください","")</f>
        <v/>
      </c>
    </row>
    <row r="42" spans="1:15" ht="7.5" customHeight="1" x14ac:dyDescent="0.15">
      <c r="F42" s="33"/>
      <c r="G42" s="33"/>
      <c r="H42" s="33"/>
      <c r="I42" s="33"/>
      <c r="J42" s="33"/>
      <c r="K42" s="33"/>
      <c r="L42" s="33"/>
      <c r="M42" s="33"/>
      <c r="N42" s="33"/>
    </row>
    <row r="43" spans="1:15" ht="24" customHeight="1" x14ac:dyDescent="0.15">
      <c r="A43" s="13" t="s">
        <v>102</v>
      </c>
    </row>
    <row r="44" spans="1:15" ht="24" customHeight="1" x14ac:dyDescent="0.15">
      <c r="B44" s="28" t="s">
        <v>1</v>
      </c>
      <c r="C44" s="184" t="s">
        <v>165</v>
      </c>
      <c r="D44" s="185"/>
      <c r="E44" s="185"/>
      <c r="F44" s="185"/>
      <c r="G44" s="185"/>
      <c r="H44" s="185"/>
      <c r="I44" s="24" t="s">
        <v>2</v>
      </c>
      <c r="J44" s="25"/>
      <c r="K44" s="179" t="s">
        <v>166</v>
      </c>
      <c r="L44" s="180"/>
      <c r="M44" s="180"/>
      <c r="N44" s="181"/>
      <c r="O44" s="29" t="str">
        <f>IF(OR(C44="",K44=""),"入力してください","")</f>
        <v/>
      </c>
    </row>
    <row r="45" spans="1:15" ht="24" customHeight="1" x14ac:dyDescent="0.15">
      <c r="B45" s="23" t="s">
        <v>4</v>
      </c>
      <c r="C45" s="172" t="s">
        <v>167</v>
      </c>
      <c r="D45" s="173"/>
      <c r="E45" s="173"/>
      <c r="F45" s="173"/>
      <c r="G45" s="173"/>
      <c r="H45" s="174"/>
      <c r="I45" s="24" t="s">
        <v>3</v>
      </c>
      <c r="J45" s="25"/>
      <c r="K45" s="175" t="s">
        <v>168</v>
      </c>
      <c r="L45" s="176"/>
      <c r="M45" s="176"/>
      <c r="N45" s="177"/>
      <c r="O45" s="29"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00000000-0002-0000-0000-000001000000}">
      <formula1>"有,無"</formula1>
    </dataValidation>
    <dataValidation type="list" allowBlank="1" showInputMessage="1" showErrorMessage="1" sqref="F41:N41" xr:uid="{00000000-0002-0000-0000-000002000000}">
      <formula1>"認定教育プログラム,認定教育プログラム+（プラス）,認定教育プログラムと認定教育プログラム+（プラス）"</formula1>
    </dataValidation>
  </dataValidations>
  <hyperlinks>
    <hyperlink ref="C45"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
  <sheetViews>
    <sheetView showZeros="0" view="pageBreakPreview" topLeftCell="A7" zoomScaleNormal="100" zoomScaleSheetLayoutView="100" workbookViewId="0">
      <selection activeCell="B6" sqref="B6:Z11"/>
    </sheetView>
  </sheetViews>
  <sheetFormatPr defaultColWidth="9" defaultRowHeight="18.75" customHeight="1" x14ac:dyDescent="0.15"/>
  <cols>
    <col min="1" max="1" width="2.5" style="12" customWidth="1"/>
    <col min="2" max="2" width="27.75" style="12" customWidth="1"/>
    <col min="3" max="13" width="3.375" style="12" customWidth="1"/>
    <col min="14" max="14" width="8.875" style="12" customWidth="1"/>
    <col min="15" max="15" width="18.875" style="12" customWidth="1"/>
    <col min="16" max="19" width="3.375" style="12" customWidth="1"/>
    <col min="20" max="20" width="3.5" style="12" customWidth="1"/>
    <col min="21" max="26" width="3.375" style="12" customWidth="1"/>
    <col min="27" max="16384" width="9" style="12"/>
  </cols>
  <sheetData>
    <row r="1" spans="1:26" ht="15" customHeight="1" x14ac:dyDescent="0.15">
      <c r="W1" s="284" t="s">
        <v>183</v>
      </c>
      <c r="X1" s="284"/>
      <c r="Y1" s="284"/>
      <c r="Z1" s="284"/>
    </row>
    <row r="2" spans="1:26" ht="18" customHeight="1" x14ac:dyDescent="0.15">
      <c r="A2" s="285" t="s">
        <v>69</v>
      </c>
      <c r="B2" s="285"/>
      <c r="C2" s="285"/>
      <c r="D2" s="285"/>
      <c r="E2" s="285"/>
      <c r="F2" s="285"/>
      <c r="G2" s="285"/>
      <c r="H2" s="285"/>
      <c r="I2" s="285"/>
      <c r="J2" s="285"/>
      <c r="K2" s="285"/>
      <c r="L2" s="285"/>
      <c r="M2" s="285"/>
      <c r="N2" s="285"/>
      <c r="O2" s="285"/>
      <c r="P2" s="285"/>
      <c r="Q2" s="285"/>
      <c r="R2" s="285"/>
      <c r="S2" s="285"/>
      <c r="T2" s="285"/>
      <c r="U2" s="285"/>
      <c r="V2" s="285"/>
      <c r="W2" s="285"/>
      <c r="X2" s="285"/>
      <c r="Y2" s="285"/>
      <c r="Z2" s="285"/>
    </row>
    <row r="3" spans="1:26" ht="15" customHeight="1" x14ac:dyDescent="0.15">
      <c r="B3" s="27"/>
      <c r="C3" s="27"/>
      <c r="D3" s="27"/>
      <c r="E3" s="27"/>
      <c r="F3" s="27"/>
      <c r="G3" s="27"/>
      <c r="H3" s="27"/>
      <c r="I3" s="27"/>
      <c r="J3" s="27"/>
      <c r="K3" s="27"/>
      <c r="L3" s="27"/>
      <c r="M3" s="27"/>
      <c r="N3" s="27"/>
      <c r="O3" s="27"/>
      <c r="P3" s="27"/>
      <c r="Q3" s="27"/>
      <c r="R3" s="27"/>
      <c r="S3" s="27"/>
      <c r="T3" s="27"/>
      <c r="U3" s="27"/>
      <c r="V3" s="27"/>
      <c r="W3" s="27"/>
      <c r="X3" s="27"/>
      <c r="Y3" s="27"/>
      <c r="Z3" s="27"/>
    </row>
    <row r="4" spans="1:26" ht="18" customHeight="1" x14ac:dyDescent="0.15">
      <c r="A4" s="12" t="s">
        <v>103</v>
      </c>
      <c r="B4" s="27"/>
      <c r="C4" s="27"/>
      <c r="D4" s="27"/>
      <c r="E4" s="27"/>
      <c r="F4" s="27"/>
      <c r="G4" s="27"/>
      <c r="H4" s="14" t="s">
        <v>116</v>
      </c>
      <c r="I4" s="27"/>
      <c r="J4" s="27"/>
      <c r="K4" s="27"/>
      <c r="L4" s="27"/>
      <c r="M4" s="27"/>
      <c r="N4" s="27"/>
      <c r="O4" s="262" t="s">
        <v>175</v>
      </c>
      <c r="P4" s="263"/>
      <c r="Q4" s="263"/>
      <c r="R4" s="263"/>
      <c r="S4" s="263"/>
      <c r="T4" s="263"/>
      <c r="U4" s="263"/>
      <c r="V4" s="263"/>
      <c r="W4" s="263"/>
      <c r="X4" s="263"/>
      <c r="Y4" s="263"/>
      <c r="Z4" s="264"/>
    </row>
    <row r="5" spans="1:26" ht="6" customHeight="1" x14ac:dyDescent="0.15">
      <c r="B5" s="27"/>
      <c r="C5" s="27"/>
      <c r="D5" s="27"/>
      <c r="E5" s="27"/>
      <c r="F5" s="27"/>
      <c r="G5" s="27"/>
      <c r="H5" s="27"/>
      <c r="I5" s="27"/>
      <c r="J5" s="27"/>
      <c r="K5" s="27"/>
      <c r="L5" s="27"/>
      <c r="M5" s="27"/>
      <c r="N5" s="27"/>
      <c r="O5" s="15"/>
      <c r="P5" s="27"/>
      <c r="Q5" s="27"/>
      <c r="R5" s="27"/>
      <c r="S5" s="27"/>
      <c r="T5" s="27"/>
      <c r="U5" s="27"/>
      <c r="V5" s="27"/>
      <c r="W5" s="27"/>
      <c r="X5" s="27"/>
      <c r="Y5" s="27"/>
      <c r="Z5" s="27"/>
    </row>
    <row r="6" spans="1:26" ht="18" customHeight="1" x14ac:dyDescent="0.15">
      <c r="B6" s="286" t="s">
        <v>215</v>
      </c>
      <c r="C6" s="287"/>
      <c r="D6" s="287"/>
      <c r="E6" s="287"/>
      <c r="F6" s="287"/>
      <c r="G6" s="287"/>
      <c r="H6" s="287"/>
      <c r="I6" s="287"/>
      <c r="J6" s="287"/>
      <c r="K6" s="287"/>
      <c r="L6" s="287"/>
      <c r="M6" s="287"/>
      <c r="N6" s="287"/>
      <c r="O6" s="287"/>
      <c r="P6" s="287"/>
      <c r="Q6" s="287"/>
      <c r="R6" s="287"/>
      <c r="S6" s="287"/>
      <c r="T6" s="287"/>
      <c r="U6" s="287"/>
      <c r="V6" s="287"/>
      <c r="W6" s="287"/>
      <c r="X6" s="287"/>
      <c r="Y6" s="287"/>
      <c r="Z6" s="288"/>
    </row>
    <row r="7" spans="1:26" ht="18" customHeight="1" x14ac:dyDescent="0.15">
      <c r="B7" s="289"/>
      <c r="C7" s="290"/>
      <c r="D7" s="290"/>
      <c r="E7" s="290"/>
      <c r="F7" s="290"/>
      <c r="G7" s="290"/>
      <c r="H7" s="290"/>
      <c r="I7" s="290"/>
      <c r="J7" s="290"/>
      <c r="K7" s="290"/>
      <c r="L7" s="290"/>
      <c r="M7" s="290"/>
      <c r="N7" s="290"/>
      <c r="O7" s="290"/>
      <c r="P7" s="290"/>
      <c r="Q7" s="290"/>
      <c r="R7" s="290"/>
      <c r="S7" s="290"/>
      <c r="T7" s="290"/>
      <c r="U7" s="290"/>
      <c r="V7" s="290"/>
      <c r="W7" s="290"/>
      <c r="X7" s="290"/>
      <c r="Y7" s="290"/>
      <c r="Z7" s="291"/>
    </row>
    <row r="8" spans="1:26" ht="18" customHeight="1" x14ac:dyDescent="0.15">
      <c r="B8" s="289"/>
      <c r="C8" s="290"/>
      <c r="D8" s="290"/>
      <c r="E8" s="290"/>
      <c r="F8" s="290"/>
      <c r="G8" s="290"/>
      <c r="H8" s="290"/>
      <c r="I8" s="290"/>
      <c r="J8" s="290"/>
      <c r="K8" s="290"/>
      <c r="L8" s="290"/>
      <c r="M8" s="290"/>
      <c r="N8" s="290"/>
      <c r="O8" s="290"/>
      <c r="P8" s="290"/>
      <c r="Q8" s="290"/>
      <c r="R8" s="290"/>
      <c r="S8" s="290"/>
      <c r="T8" s="290"/>
      <c r="U8" s="290"/>
      <c r="V8" s="290"/>
      <c r="W8" s="290"/>
      <c r="X8" s="290"/>
      <c r="Y8" s="290"/>
      <c r="Z8" s="291"/>
    </row>
    <row r="9" spans="1:26" ht="18" customHeight="1" x14ac:dyDescent="0.15">
      <c r="B9" s="289"/>
      <c r="C9" s="290"/>
      <c r="D9" s="290"/>
      <c r="E9" s="290"/>
      <c r="F9" s="290"/>
      <c r="G9" s="290"/>
      <c r="H9" s="290"/>
      <c r="I9" s="290"/>
      <c r="J9" s="290"/>
      <c r="K9" s="290"/>
      <c r="L9" s="290"/>
      <c r="M9" s="290"/>
      <c r="N9" s="290"/>
      <c r="O9" s="290"/>
      <c r="P9" s="290"/>
      <c r="Q9" s="290"/>
      <c r="R9" s="290"/>
      <c r="S9" s="290"/>
      <c r="T9" s="290"/>
      <c r="U9" s="290"/>
      <c r="V9" s="290"/>
      <c r="W9" s="290"/>
      <c r="X9" s="290"/>
      <c r="Y9" s="290"/>
      <c r="Z9" s="291"/>
    </row>
    <row r="10" spans="1:26" ht="18" customHeight="1" x14ac:dyDescent="0.15">
      <c r="B10" s="289"/>
      <c r="C10" s="292"/>
      <c r="D10" s="292"/>
      <c r="E10" s="292"/>
      <c r="F10" s="292"/>
      <c r="G10" s="292"/>
      <c r="H10" s="292"/>
      <c r="I10" s="292"/>
      <c r="J10" s="292"/>
      <c r="K10" s="292"/>
      <c r="L10" s="292"/>
      <c r="M10" s="292"/>
      <c r="N10" s="292"/>
      <c r="O10" s="292"/>
      <c r="P10" s="292"/>
      <c r="Q10" s="292"/>
      <c r="R10" s="292"/>
      <c r="S10" s="292"/>
      <c r="T10" s="292"/>
      <c r="U10" s="292"/>
      <c r="V10" s="292"/>
      <c r="W10" s="292"/>
      <c r="X10" s="292"/>
      <c r="Y10" s="292"/>
      <c r="Z10" s="291"/>
    </row>
    <row r="11" spans="1:26" ht="18" customHeight="1" x14ac:dyDescent="0.15">
      <c r="B11" s="293"/>
      <c r="C11" s="294"/>
      <c r="D11" s="294"/>
      <c r="E11" s="294"/>
      <c r="F11" s="294"/>
      <c r="G11" s="294"/>
      <c r="H11" s="294"/>
      <c r="I11" s="294"/>
      <c r="J11" s="294"/>
      <c r="K11" s="294"/>
      <c r="L11" s="294"/>
      <c r="M11" s="294"/>
      <c r="N11" s="294"/>
      <c r="O11" s="294"/>
      <c r="P11" s="294"/>
      <c r="Q11" s="294"/>
      <c r="R11" s="294"/>
      <c r="S11" s="294"/>
      <c r="T11" s="294"/>
      <c r="U11" s="294"/>
      <c r="V11" s="294"/>
      <c r="W11" s="294"/>
      <c r="X11" s="294"/>
      <c r="Y11" s="294"/>
      <c r="Z11" s="295"/>
    </row>
    <row r="12" spans="1:26" ht="7.5" customHeight="1" x14ac:dyDescent="0.15">
      <c r="B12" s="27"/>
      <c r="C12" s="27"/>
      <c r="D12" s="27"/>
      <c r="E12" s="27"/>
      <c r="F12" s="27"/>
      <c r="G12" s="27"/>
      <c r="H12" s="27"/>
      <c r="I12" s="27"/>
      <c r="J12" s="27"/>
      <c r="K12" s="27"/>
      <c r="L12" s="27"/>
      <c r="M12" s="27"/>
      <c r="N12" s="27"/>
      <c r="O12" s="27"/>
      <c r="P12" s="27"/>
      <c r="Q12" s="27"/>
      <c r="R12" s="27"/>
      <c r="S12" s="27"/>
      <c r="T12" s="27"/>
      <c r="U12" s="27"/>
      <c r="V12" s="27"/>
      <c r="W12" s="27"/>
      <c r="X12" s="27"/>
      <c r="Y12" s="27"/>
      <c r="Z12" s="27"/>
    </row>
    <row r="13" spans="1:26" ht="18" customHeight="1" x14ac:dyDescent="0.15">
      <c r="A13" s="277" t="s">
        <v>129</v>
      </c>
      <c r="B13" s="277"/>
      <c r="C13" s="277"/>
      <c r="D13" s="277"/>
      <c r="E13" s="277"/>
      <c r="F13" s="277"/>
      <c r="G13" s="277"/>
      <c r="H13" s="277"/>
      <c r="I13" s="277"/>
      <c r="J13" s="277"/>
      <c r="K13" s="277"/>
      <c r="L13" s="277"/>
      <c r="M13" s="277"/>
      <c r="N13" s="277"/>
      <c r="O13" s="277"/>
      <c r="P13" s="277"/>
      <c r="Q13" s="277"/>
      <c r="R13" s="277"/>
      <c r="S13" s="277"/>
      <c r="T13" s="277"/>
      <c r="U13" s="277"/>
      <c r="V13" s="277"/>
      <c r="W13" s="277"/>
      <c r="X13" s="277"/>
      <c r="Y13" s="277"/>
      <c r="Z13" s="277"/>
    </row>
    <row r="14" spans="1:26" ht="18" customHeight="1" x14ac:dyDescent="0.15">
      <c r="A14" s="277"/>
      <c r="B14" s="277"/>
      <c r="C14" s="277"/>
      <c r="D14" s="277"/>
      <c r="E14" s="277"/>
      <c r="F14" s="277"/>
      <c r="G14" s="277"/>
      <c r="H14" s="277"/>
      <c r="I14" s="277"/>
      <c r="J14" s="277"/>
      <c r="K14" s="277"/>
      <c r="L14" s="277"/>
      <c r="M14" s="277"/>
      <c r="N14" s="277"/>
      <c r="O14" s="277"/>
      <c r="P14" s="277"/>
      <c r="Q14" s="277"/>
      <c r="R14" s="277"/>
      <c r="S14" s="277"/>
      <c r="T14" s="277"/>
      <c r="U14" s="277"/>
      <c r="V14" s="277"/>
      <c r="W14" s="277"/>
      <c r="X14" s="277"/>
      <c r="Y14" s="277"/>
      <c r="Z14" s="277"/>
    </row>
    <row r="15" spans="1:26" ht="18" customHeight="1" x14ac:dyDescent="0.15">
      <c r="A15" s="13"/>
      <c r="B15" s="262" t="s">
        <v>104</v>
      </c>
      <c r="C15" s="263"/>
      <c r="D15" s="263"/>
      <c r="E15" s="263"/>
      <c r="F15" s="264"/>
      <c r="G15" s="28" t="s">
        <v>145</v>
      </c>
      <c r="H15" s="107" t="s">
        <v>144</v>
      </c>
      <c r="I15" s="263" t="s">
        <v>105</v>
      </c>
      <c r="J15" s="263"/>
      <c r="K15" s="263"/>
      <c r="L15" s="70" t="s">
        <v>108</v>
      </c>
      <c r="M15" s="70" t="s">
        <v>111</v>
      </c>
      <c r="N15" s="262" t="s">
        <v>104</v>
      </c>
      <c r="O15" s="263"/>
      <c r="P15" s="263"/>
      <c r="Q15" s="263"/>
      <c r="R15" s="263"/>
      <c r="S15" s="264"/>
      <c r="T15" s="28" t="s">
        <v>145</v>
      </c>
      <c r="U15" s="107" t="s">
        <v>144</v>
      </c>
      <c r="V15" s="263" t="s">
        <v>105</v>
      </c>
      <c r="W15" s="263"/>
      <c r="X15" s="263"/>
      <c r="Y15" s="70" t="s">
        <v>108</v>
      </c>
      <c r="Z15" s="70" t="s">
        <v>111</v>
      </c>
    </row>
    <row r="16" spans="1:26" ht="18" customHeight="1" x14ac:dyDescent="0.15">
      <c r="A16" s="13"/>
      <c r="B16" s="281" t="s">
        <v>176</v>
      </c>
      <c r="C16" s="282"/>
      <c r="D16" s="282"/>
      <c r="E16" s="282"/>
      <c r="F16" s="283"/>
      <c r="G16" s="108">
        <v>1.5</v>
      </c>
      <c r="H16" s="108" t="s">
        <v>177</v>
      </c>
      <c r="I16" s="271" t="s">
        <v>210</v>
      </c>
      <c r="J16" s="272"/>
      <c r="K16" s="273"/>
      <c r="L16" s="108" t="s">
        <v>177</v>
      </c>
      <c r="M16" s="108" t="s">
        <v>177</v>
      </c>
      <c r="N16" s="253"/>
      <c r="O16" s="254"/>
      <c r="P16" s="254"/>
      <c r="Q16" s="254"/>
      <c r="R16" s="254"/>
      <c r="S16" s="255"/>
      <c r="T16" s="108"/>
      <c r="U16" s="108"/>
      <c r="V16" s="271"/>
      <c r="W16" s="272"/>
      <c r="X16" s="273"/>
      <c r="Y16" s="108"/>
      <c r="Z16" s="108"/>
    </row>
    <row r="17" spans="1:26" ht="18" customHeight="1" x14ac:dyDescent="0.15">
      <c r="A17" s="13"/>
      <c r="B17" s="278"/>
      <c r="C17" s="279"/>
      <c r="D17" s="279"/>
      <c r="E17" s="279"/>
      <c r="F17" s="280"/>
      <c r="G17" s="109"/>
      <c r="H17" s="109"/>
      <c r="I17" s="268"/>
      <c r="J17" s="269"/>
      <c r="K17" s="270"/>
      <c r="L17" s="109"/>
      <c r="M17" s="109"/>
      <c r="N17" s="241"/>
      <c r="O17" s="242"/>
      <c r="P17" s="242"/>
      <c r="Q17" s="242"/>
      <c r="R17" s="242"/>
      <c r="S17" s="243"/>
      <c r="T17" s="109"/>
      <c r="U17" s="109"/>
      <c r="V17" s="268"/>
      <c r="W17" s="269"/>
      <c r="X17" s="270"/>
      <c r="Y17" s="109"/>
      <c r="Z17" s="109"/>
    </row>
    <row r="18" spans="1:26" ht="18" customHeight="1" x14ac:dyDescent="0.15">
      <c r="A18" s="13"/>
      <c r="B18" s="278"/>
      <c r="C18" s="279"/>
      <c r="D18" s="279"/>
      <c r="E18" s="279"/>
      <c r="F18" s="280"/>
      <c r="G18" s="109"/>
      <c r="H18" s="109"/>
      <c r="I18" s="268"/>
      <c r="J18" s="269"/>
      <c r="K18" s="270"/>
      <c r="L18" s="109"/>
      <c r="M18" s="109"/>
      <c r="N18" s="241"/>
      <c r="O18" s="242"/>
      <c r="P18" s="242"/>
      <c r="Q18" s="242"/>
      <c r="R18" s="242"/>
      <c r="S18" s="243"/>
      <c r="T18" s="109"/>
      <c r="U18" s="109"/>
      <c r="V18" s="268"/>
      <c r="W18" s="269"/>
      <c r="X18" s="270"/>
      <c r="Y18" s="109"/>
      <c r="Z18" s="109"/>
    </row>
    <row r="19" spans="1:26" ht="18" customHeight="1" x14ac:dyDescent="0.15">
      <c r="A19" s="13"/>
      <c r="B19" s="278"/>
      <c r="C19" s="279"/>
      <c r="D19" s="279"/>
      <c r="E19" s="279"/>
      <c r="F19" s="280"/>
      <c r="G19" s="109"/>
      <c r="H19" s="109"/>
      <c r="I19" s="268"/>
      <c r="J19" s="269"/>
      <c r="K19" s="270"/>
      <c r="L19" s="109"/>
      <c r="M19" s="109"/>
      <c r="N19" s="241"/>
      <c r="O19" s="242"/>
      <c r="P19" s="242"/>
      <c r="Q19" s="242"/>
      <c r="R19" s="242"/>
      <c r="S19" s="243"/>
      <c r="T19" s="109"/>
      <c r="U19" s="109"/>
      <c r="V19" s="268"/>
      <c r="W19" s="269"/>
      <c r="X19" s="270"/>
      <c r="Y19" s="109"/>
      <c r="Z19" s="109"/>
    </row>
    <row r="20" spans="1:26" ht="18" customHeight="1" x14ac:dyDescent="0.15">
      <c r="A20" s="13"/>
      <c r="B20" s="278"/>
      <c r="C20" s="279"/>
      <c r="D20" s="279"/>
      <c r="E20" s="279"/>
      <c r="F20" s="280"/>
      <c r="G20" s="109"/>
      <c r="H20" s="109"/>
      <c r="I20" s="268"/>
      <c r="J20" s="269"/>
      <c r="K20" s="270"/>
      <c r="L20" s="109"/>
      <c r="M20" s="109"/>
      <c r="N20" s="241"/>
      <c r="O20" s="242"/>
      <c r="P20" s="242"/>
      <c r="Q20" s="242"/>
      <c r="R20" s="242"/>
      <c r="S20" s="243"/>
      <c r="T20" s="109"/>
      <c r="U20" s="109"/>
      <c r="V20" s="268"/>
      <c r="W20" s="269"/>
      <c r="X20" s="270"/>
      <c r="Y20" s="109"/>
      <c r="Z20" s="109"/>
    </row>
    <row r="21" spans="1:26" ht="18" customHeight="1" x14ac:dyDescent="0.15">
      <c r="A21" s="27"/>
      <c r="B21" s="278"/>
      <c r="C21" s="279"/>
      <c r="D21" s="279"/>
      <c r="E21" s="279"/>
      <c r="F21" s="280"/>
      <c r="G21" s="109"/>
      <c r="H21" s="109"/>
      <c r="I21" s="268"/>
      <c r="J21" s="269"/>
      <c r="K21" s="270"/>
      <c r="L21" s="109"/>
      <c r="M21" s="109"/>
      <c r="N21" s="241"/>
      <c r="O21" s="242"/>
      <c r="P21" s="242"/>
      <c r="Q21" s="242"/>
      <c r="R21" s="242"/>
      <c r="S21" s="243"/>
      <c r="T21" s="109"/>
      <c r="U21" s="109"/>
      <c r="V21" s="268"/>
      <c r="W21" s="269"/>
      <c r="X21" s="270"/>
      <c r="Y21" s="109"/>
      <c r="Z21" s="109"/>
    </row>
    <row r="22" spans="1:26" ht="18" customHeight="1" x14ac:dyDescent="0.15">
      <c r="A22" s="27"/>
      <c r="B22" s="274"/>
      <c r="C22" s="275"/>
      <c r="D22" s="275"/>
      <c r="E22" s="275"/>
      <c r="F22" s="276"/>
      <c r="G22" s="110"/>
      <c r="H22" s="110"/>
      <c r="I22" s="259"/>
      <c r="J22" s="260"/>
      <c r="K22" s="261"/>
      <c r="L22" s="113"/>
      <c r="M22" s="113"/>
      <c r="N22" s="233"/>
      <c r="O22" s="234"/>
      <c r="P22" s="234"/>
      <c r="Q22" s="234"/>
      <c r="R22" s="234"/>
      <c r="S22" s="235"/>
      <c r="T22" s="110"/>
      <c r="U22" s="110"/>
      <c r="V22" s="259"/>
      <c r="W22" s="260"/>
      <c r="X22" s="261"/>
      <c r="Y22" s="113"/>
      <c r="Z22" s="113"/>
    </row>
    <row r="23" spans="1:26" ht="7.5" customHeight="1" x14ac:dyDescent="0.15">
      <c r="A23" s="27"/>
      <c r="B23" s="71"/>
      <c r="C23" s="71"/>
      <c r="D23" s="27"/>
      <c r="E23" s="27"/>
      <c r="F23" s="27"/>
      <c r="G23" s="27"/>
      <c r="H23" s="27"/>
      <c r="I23" s="27"/>
      <c r="J23" s="27"/>
      <c r="K23" s="27"/>
      <c r="L23" s="71"/>
      <c r="M23" s="71"/>
      <c r="N23" s="71"/>
      <c r="O23" s="71"/>
      <c r="P23" s="71"/>
      <c r="Q23" s="71"/>
      <c r="R23" s="71"/>
      <c r="S23" s="71"/>
      <c r="T23" s="71"/>
      <c r="U23" s="71"/>
      <c r="V23" s="71"/>
      <c r="W23" s="71"/>
      <c r="X23" s="71"/>
      <c r="Y23" s="71"/>
      <c r="Z23" s="27"/>
    </row>
    <row r="24" spans="1:26" ht="18" customHeight="1" x14ac:dyDescent="0.15">
      <c r="A24" s="277" t="s">
        <v>130</v>
      </c>
      <c r="B24" s="277"/>
      <c r="C24" s="277"/>
      <c r="D24" s="277"/>
      <c r="E24" s="277"/>
      <c r="F24" s="277"/>
      <c r="G24" s="277"/>
      <c r="H24" s="277"/>
      <c r="I24" s="277"/>
      <c r="J24" s="277"/>
      <c r="K24" s="277"/>
      <c r="L24" s="277"/>
      <c r="M24" s="277"/>
      <c r="N24" s="277"/>
      <c r="O24" s="277"/>
      <c r="P24" s="277"/>
      <c r="Q24" s="277"/>
      <c r="R24" s="277"/>
      <c r="S24" s="277"/>
      <c r="T24" s="277"/>
      <c r="U24" s="277"/>
      <c r="V24" s="277"/>
      <c r="W24" s="277"/>
      <c r="X24" s="277"/>
      <c r="Y24" s="277"/>
      <c r="Z24" s="277"/>
    </row>
    <row r="25" spans="1:26" ht="18" customHeight="1" x14ac:dyDescent="0.15">
      <c r="A25" s="277"/>
      <c r="B25" s="277"/>
      <c r="C25" s="277"/>
      <c r="D25" s="277"/>
      <c r="E25" s="277"/>
      <c r="F25" s="277"/>
      <c r="G25" s="277"/>
      <c r="H25" s="277"/>
      <c r="I25" s="277"/>
      <c r="J25" s="277"/>
      <c r="K25" s="277"/>
      <c r="L25" s="277"/>
      <c r="M25" s="277"/>
      <c r="N25" s="277"/>
      <c r="O25" s="277"/>
      <c r="P25" s="277"/>
      <c r="Q25" s="277"/>
      <c r="R25" s="277"/>
      <c r="S25" s="277"/>
      <c r="T25" s="277"/>
      <c r="U25" s="277"/>
      <c r="V25" s="277"/>
      <c r="W25" s="277"/>
      <c r="X25" s="277"/>
      <c r="Y25" s="277"/>
      <c r="Z25" s="277"/>
    </row>
    <row r="26" spans="1:26" ht="18" customHeight="1" x14ac:dyDescent="0.15">
      <c r="A26" s="13"/>
      <c r="B26" s="262" t="s">
        <v>104</v>
      </c>
      <c r="C26" s="263"/>
      <c r="D26" s="263"/>
      <c r="E26" s="263"/>
      <c r="F26" s="264"/>
      <c r="G26" s="28" t="s">
        <v>145</v>
      </c>
      <c r="H26" s="107" t="s">
        <v>144</v>
      </c>
      <c r="I26" s="263" t="s">
        <v>105</v>
      </c>
      <c r="J26" s="263"/>
      <c r="K26" s="263"/>
      <c r="L26" s="70" t="s">
        <v>131</v>
      </c>
      <c r="M26" s="70" t="s">
        <v>132</v>
      </c>
      <c r="N26" s="262" t="s">
        <v>104</v>
      </c>
      <c r="O26" s="263"/>
      <c r="P26" s="263"/>
      <c r="Q26" s="263"/>
      <c r="R26" s="263"/>
      <c r="S26" s="264"/>
      <c r="T26" s="28" t="s">
        <v>145</v>
      </c>
      <c r="U26" s="107" t="s">
        <v>144</v>
      </c>
      <c r="V26" s="263" t="s">
        <v>105</v>
      </c>
      <c r="W26" s="263"/>
      <c r="X26" s="263"/>
      <c r="Y26" s="70" t="s">
        <v>131</v>
      </c>
      <c r="Z26" s="70" t="s">
        <v>132</v>
      </c>
    </row>
    <row r="27" spans="1:26" ht="18" customHeight="1" x14ac:dyDescent="0.15">
      <c r="A27" s="13"/>
      <c r="B27" s="281" t="s">
        <v>176</v>
      </c>
      <c r="C27" s="282"/>
      <c r="D27" s="282"/>
      <c r="E27" s="282"/>
      <c r="F27" s="283"/>
      <c r="G27" s="108">
        <v>1.5</v>
      </c>
      <c r="H27" s="108" t="s">
        <v>177</v>
      </c>
      <c r="I27" s="271" t="s">
        <v>210</v>
      </c>
      <c r="J27" s="272"/>
      <c r="K27" s="273"/>
      <c r="L27" s="108" t="s">
        <v>177</v>
      </c>
      <c r="M27" s="108" t="s">
        <v>177</v>
      </c>
      <c r="N27" s="253"/>
      <c r="O27" s="254"/>
      <c r="P27" s="254"/>
      <c r="Q27" s="254"/>
      <c r="R27" s="254"/>
      <c r="S27" s="255"/>
      <c r="T27" s="108"/>
      <c r="U27" s="108"/>
      <c r="V27" s="271"/>
      <c r="W27" s="272"/>
      <c r="X27" s="273"/>
      <c r="Y27" s="108"/>
      <c r="Z27" s="108"/>
    </row>
    <row r="28" spans="1:26" ht="18" customHeight="1" x14ac:dyDescent="0.15">
      <c r="A28" s="13"/>
      <c r="B28" s="278"/>
      <c r="C28" s="279"/>
      <c r="D28" s="279"/>
      <c r="E28" s="279"/>
      <c r="F28" s="280"/>
      <c r="G28" s="109"/>
      <c r="H28" s="109"/>
      <c r="I28" s="268"/>
      <c r="J28" s="269"/>
      <c r="K28" s="270"/>
      <c r="L28" s="109"/>
      <c r="M28" s="109"/>
      <c r="N28" s="241"/>
      <c r="O28" s="242"/>
      <c r="P28" s="242"/>
      <c r="Q28" s="242"/>
      <c r="R28" s="242"/>
      <c r="S28" s="243"/>
      <c r="T28" s="109"/>
      <c r="U28" s="109"/>
      <c r="V28" s="268"/>
      <c r="W28" s="269"/>
      <c r="X28" s="270"/>
      <c r="Y28" s="109"/>
      <c r="Z28" s="109"/>
    </row>
    <row r="29" spans="1:26" ht="18" customHeight="1" x14ac:dyDescent="0.15">
      <c r="A29" s="13"/>
      <c r="B29" s="278"/>
      <c r="C29" s="279"/>
      <c r="D29" s="279"/>
      <c r="E29" s="279"/>
      <c r="F29" s="280"/>
      <c r="G29" s="109"/>
      <c r="H29" s="109"/>
      <c r="I29" s="268"/>
      <c r="J29" s="269"/>
      <c r="K29" s="270"/>
      <c r="L29" s="109"/>
      <c r="M29" s="109"/>
      <c r="N29" s="241"/>
      <c r="O29" s="242"/>
      <c r="P29" s="242"/>
      <c r="Q29" s="242"/>
      <c r="R29" s="242"/>
      <c r="S29" s="243"/>
      <c r="T29" s="109"/>
      <c r="U29" s="109"/>
      <c r="V29" s="268"/>
      <c r="W29" s="269"/>
      <c r="X29" s="270"/>
      <c r="Y29" s="109"/>
      <c r="Z29" s="109"/>
    </row>
    <row r="30" spans="1:26" ht="18" customHeight="1" x14ac:dyDescent="0.15">
      <c r="A30" s="13"/>
      <c r="B30" s="278"/>
      <c r="C30" s="279"/>
      <c r="D30" s="279"/>
      <c r="E30" s="279"/>
      <c r="F30" s="280"/>
      <c r="G30" s="109"/>
      <c r="H30" s="109"/>
      <c r="I30" s="268"/>
      <c r="J30" s="269"/>
      <c r="K30" s="270"/>
      <c r="L30" s="109"/>
      <c r="M30" s="109"/>
      <c r="N30" s="241"/>
      <c r="O30" s="242"/>
      <c r="P30" s="242"/>
      <c r="Q30" s="242"/>
      <c r="R30" s="242"/>
      <c r="S30" s="243"/>
      <c r="T30" s="109"/>
      <c r="U30" s="109"/>
      <c r="V30" s="268"/>
      <c r="W30" s="269"/>
      <c r="X30" s="270"/>
      <c r="Y30" s="109"/>
      <c r="Z30" s="109"/>
    </row>
    <row r="31" spans="1:26" ht="18" customHeight="1" x14ac:dyDescent="0.15">
      <c r="A31" s="13"/>
      <c r="B31" s="278"/>
      <c r="C31" s="279"/>
      <c r="D31" s="279"/>
      <c r="E31" s="279"/>
      <c r="F31" s="280"/>
      <c r="G31" s="109"/>
      <c r="H31" s="109"/>
      <c r="I31" s="268"/>
      <c r="J31" s="269"/>
      <c r="K31" s="270"/>
      <c r="L31" s="109"/>
      <c r="M31" s="109"/>
      <c r="N31" s="241"/>
      <c r="O31" s="242"/>
      <c r="P31" s="242"/>
      <c r="Q31" s="242"/>
      <c r="R31" s="242"/>
      <c r="S31" s="243"/>
      <c r="T31" s="109"/>
      <c r="U31" s="109"/>
      <c r="V31" s="268"/>
      <c r="W31" s="269"/>
      <c r="X31" s="270"/>
      <c r="Y31" s="109"/>
      <c r="Z31" s="109"/>
    </row>
    <row r="32" spans="1:26" ht="18" customHeight="1" x14ac:dyDescent="0.15">
      <c r="A32" s="13"/>
      <c r="B32" s="278"/>
      <c r="C32" s="279"/>
      <c r="D32" s="279"/>
      <c r="E32" s="279"/>
      <c r="F32" s="280"/>
      <c r="G32" s="109"/>
      <c r="H32" s="109"/>
      <c r="I32" s="268"/>
      <c r="J32" s="269"/>
      <c r="K32" s="270"/>
      <c r="L32" s="109"/>
      <c r="M32" s="109"/>
      <c r="N32" s="241"/>
      <c r="O32" s="242"/>
      <c r="P32" s="242"/>
      <c r="Q32" s="242"/>
      <c r="R32" s="242"/>
      <c r="S32" s="243"/>
      <c r="T32" s="109"/>
      <c r="U32" s="109"/>
      <c r="V32" s="268"/>
      <c r="W32" s="269"/>
      <c r="X32" s="270"/>
      <c r="Y32" s="109"/>
      <c r="Z32" s="109"/>
    </row>
    <row r="33" spans="1:26" ht="18" customHeight="1" x14ac:dyDescent="0.15">
      <c r="A33" s="13"/>
      <c r="B33" s="274"/>
      <c r="C33" s="275"/>
      <c r="D33" s="275"/>
      <c r="E33" s="275"/>
      <c r="F33" s="276"/>
      <c r="G33" s="110"/>
      <c r="H33" s="110"/>
      <c r="I33" s="259"/>
      <c r="J33" s="260"/>
      <c r="K33" s="261"/>
      <c r="L33" s="113"/>
      <c r="M33" s="113"/>
      <c r="N33" s="233"/>
      <c r="O33" s="234"/>
      <c r="P33" s="234"/>
      <c r="Q33" s="234"/>
      <c r="R33" s="234"/>
      <c r="S33" s="235"/>
      <c r="T33" s="110"/>
      <c r="U33" s="110"/>
      <c r="V33" s="259"/>
      <c r="W33" s="260"/>
      <c r="X33" s="261"/>
      <c r="Y33" s="113"/>
      <c r="Z33" s="113"/>
    </row>
    <row r="34" spans="1:26" ht="7.5" customHeight="1" x14ac:dyDescent="0.15">
      <c r="A34" s="27"/>
      <c r="B34" s="71"/>
      <c r="C34" s="71"/>
      <c r="D34" s="27"/>
      <c r="E34" s="27"/>
      <c r="F34" s="27"/>
      <c r="G34" s="27"/>
      <c r="H34" s="27"/>
      <c r="I34" s="27"/>
      <c r="J34" s="27"/>
      <c r="K34" s="27"/>
      <c r="L34" s="71"/>
      <c r="M34" s="71"/>
      <c r="N34" s="71"/>
      <c r="O34" s="71"/>
      <c r="P34" s="71"/>
      <c r="Q34" s="71"/>
      <c r="R34" s="71"/>
      <c r="S34" s="71"/>
      <c r="T34" s="71"/>
      <c r="U34" s="71"/>
      <c r="V34" s="71"/>
      <c r="W34" s="71"/>
      <c r="X34" s="71"/>
      <c r="Y34" s="71"/>
      <c r="Z34" s="27"/>
    </row>
    <row r="35" spans="1:26" ht="18" customHeight="1" x14ac:dyDescent="0.15">
      <c r="A35" s="277" t="s">
        <v>133</v>
      </c>
      <c r="B35" s="277"/>
      <c r="C35" s="277"/>
      <c r="D35" s="277"/>
      <c r="E35" s="277"/>
      <c r="F35" s="277"/>
      <c r="G35" s="277"/>
      <c r="H35" s="277"/>
      <c r="I35" s="277"/>
      <c r="J35" s="277"/>
      <c r="K35" s="277"/>
      <c r="L35" s="277"/>
      <c r="M35" s="277"/>
      <c r="N35" s="277"/>
      <c r="O35" s="277"/>
      <c r="P35" s="277"/>
      <c r="Q35" s="277"/>
      <c r="R35" s="277"/>
      <c r="S35" s="277"/>
      <c r="T35" s="277"/>
      <c r="U35" s="277"/>
      <c r="V35" s="277"/>
      <c r="W35" s="277"/>
      <c r="X35" s="277"/>
      <c r="Y35" s="277"/>
      <c r="Z35" s="277"/>
    </row>
    <row r="36" spans="1:26" ht="18" customHeight="1" x14ac:dyDescent="0.15">
      <c r="A36" s="277"/>
      <c r="B36" s="277"/>
      <c r="C36" s="277"/>
      <c r="D36" s="277"/>
      <c r="E36" s="277"/>
      <c r="F36" s="277"/>
      <c r="G36" s="277"/>
      <c r="H36" s="277"/>
      <c r="I36" s="277"/>
      <c r="J36" s="277"/>
      <c r="K36" s="277"/>
      <c r="L36" s="277"/>
      <c r="M36" s="277"/>
      <c r="N36" s="277"/>
      <c r="O36" s="277"/>
      <c r="P36" s="277"/>
      <c r="Q36" s="277"/>
      <c r="R36" s="277"/>
      <c r="S36" s="277"/>
      <c r="T36" s="277"/>
      <c r="U36" s="277"/>
      <c r="V36" s="277"/>
      <c r="W36" s="277"/>
      <c r="X36" s="277"/>
      <c r="Y36" s="277"/>
      <c r="Z36" s="277"/>
    </row>
    <row r="37" spans="1:26" ht="18" customHeight="1" x14ac:dyDescent="0.15">
      <c r="A37" s="13"/>
      <c r="B37" s="262" t="s">
        <v>104</v>
      </c>
      <c r="C37" s="263"/>
      <c r="D37" s="263"/>
      <c r="E37" s="263"/>
      <c r="F37" s="264"/>
      <c r="G37" s="28" t="s">
        <v>145</v>
      </c>
      <c r="H37" s="107" t="s">
        <v>144</v>
      </c>
      <c r="I37" s="262" t="s">
        <v>105</v>
      </c>
      <c r="J37" s="263"/>
      <c r="K37" s="264"/>
      <c r="L37" s="70" t="s">
        <v>134</v>
      </c>
      <c r="M37" s="70" t="s">
        <v>135</v>
      </c>
      <c r="N37" s="262" t="s">
        <v>104</v>
      </c>
      <c r="O37" s="263"/>
      <c r="P37" s="263"/>
      <c r="Q37" s="263"/>
      <c r="R37" s="263"/>
      <c r="S37" s="264"/>
      <c r="T37" s="28" t="s">
        <v>145</v>
      </c>
      <c r="U37" s="107" t="s">
        <v>144</v>
      </c>
      <c r="V37" s="262" t="s">
        <v>105</v>
      </c>
      <c r="W37" s="263"/>
      <c r="X37" s="264"/>
      <c r="Y37" s="70" t="s">
        <v>134</v>
      </c>
      <c r="Z37" s="70" t="s">
        <v>135</v>
      </c>
    </row>
    <row r="38" spans="1:26" ht="18" customHeight="1" x14ac:dyDescent="0.15">
      <c r="A38" s="27"/>
      <c r="B38" s="281" t="s">
        <v>176</v>
      </c>
      <c r="C38" s="282"/>
      <c r="D38" s="282"/>
      <c r="E38" s="282"/>
      <c r="F38" s="283"/>
      <c r="G38" s="108">
        <v>1.5</v>
      </c>
      <c r="H38" s="108" t="s">
        <v>177</v>
      </c>
      <c r="I38" s="271" t="s">
        <v>210</v>
      </c>
      <c r="J38" s="272"/>
      <c r="K38" s="273"/>
      <c r="L38" s="108" t="s">
        <v>177</v>
      </c>
      <c r="M38" s="108" t="s">
        <v>177</v>
      </c>
      <c r="N38" s="253"/>
      <c r="O38" s="254"/>
      <c r="P38" s="254"/>
      <c r="Q38" s="254"/>
      <c r="R38" s="254"/>
      <c r="S38" s="255"/>
      <c r="T38" s="108"/>
      <c r="U38" s="108"/>
      <c r="V38" s="271"/>
      <c r="W38" s="272"/>
      <c r="X38" s="273"/>
      <c r="Y38" s="108"/>
      <c r="Z38" s="108"/>
    </row>
    <row r="39" spans="1:26" ht="18" customHeight="1" x14ac:dyDescent="0.15">
      <c r="A39" s="27"/>
      <c r="B39" s="278"/>
      <c r="C39" s="279"/>
      <c r="D39" s="279"/>
      <c r="E39" s="279"/>
      <c r="F39" s="280"/>
      <c r="G39" s="109"/>
      <c r="H39" s="109"/>
      <c r="I39" s="268"/>
      <c r="J39" s="269"/>
      <c r="K39" s="270"/>
      <c r="L39" s="109"/>
      <c r="M39" s="109"/>
      <c r="N39" s="241"/>
      <c r="O39" s="242"/>
      <c r="P39" s="242"/>
      <c r="Q39" s="242"/>
      <c r="R39" s="242"/>
      <c r="S39" s="243"/>
      <c r="T39" s="109"/>
      <c r="U39" s="109"/>
      <c r="V39" s="268"/>
      <c r="W39" s="269"/>
      <c r="X39" s="270"/>
      <c r="Y39" s="109"/>
      <c r="Z39" s="109"/>
    </row>
    <row r="40" spans="1:26" ht="18" customHeight="1" x14ac:dyDescent="0.15">
      <c r="A40" s="27"/>
      <c r="B40" s="278"/>
      <c r="C40" s="279"/>
      <c r="D40" s="279"/>
      <c r="E40" s="279"/>
      <c r="F40" s="280"/>
      <c r="G40" s="109"/>
      <c r="H40" s="109"/>
      <c r="I40" s="268"/>
      <c r="J40" s="269"/>
      <c r="K40" s="270"/>
      <c r="L40" s="109"/>
      <c r="M40" s="109"/>
      <c r="N40" s="241"/>
      <c r="O40" s="242"/>
      <c r="P40" s="242"/>
      <c r="Q40" s="242"/>
      <c r="R40" s="242"/>
      <c r="S40" s="243"/>
      <c r="T40" s="109"/>
      <c r="U40" s="109"/>
      <c r="V40" s="268"/>
      <c r="W40" s="269"/>
      <c r="X40" s="270"/>
      <c r="Y40" s="109"/>
      <c r="Z40" s="109"/>
    </row>
    <row r="41" spans="1:26" ht="18" customHeight="1" x14ac:dyDescent="0.15">
      <c r="A41" s="27"/>
      <c r="B41" s="278"/>
      <c r="C41" s="279"/>
      <c r="D41" s="279"/>
      <c r="E41" s="279"/>
      <c r="F41" s="280"/>
      <c r="G41" s="109"/>
      <c r="H41" s="109"/>
      <c r="I41" s="268"/>
      <c r="J41" s="269"/>
      <c r="K41" s="270"/>
      <c r="L41" s="109"/>
      <c r="M41" s="109"/>
      <c r="N41" s="241"/>
      <c r="O41" s="242"/>
      <c r="P41" s="242"/>
      <c r="Q41" s="242"/>
      <c r="R41" s="242"/>
      <c r="S41" s="243"/>
      <c r="T41" s="109"/>
      <c r="U41" s="109"/>
      <c r="V41" s="268"/>
      <c r="W41" s="269"/>
      <c r="X41" s="270"/>
      <c r="Y41" s="109"/>
      <c r="Z41" s="109"/>
    </row>
    <row r="42" spans="1:26" ht="18" customHeight="1" x14ac:dyDescent="0.15">
      <c r="A42" s="27"/>
      <c r="B42" s="278"/>
      <c r="C42" s="279"/>
      <c r="D42" s="279"/>
      <c r="E42" s="279"/>
      <c r="F42" s="280"/>
      <c r="G42" s="109"/>
      <c r="H42" s="109"/>
      <c r="I42" s="268"/>
      <c r="J42" s="269"/>
      <c r="K42" s="270"/>
      <c r="L42" s="109"/>
      <c r="M42" s="109"/>
      <c r="N42" s="241"/>
      <c r="O42" s="242"/>
      <c r="P42" s="242"/>
      <c r="Q42" s="242"/>
      <c r="R42" s="242"/>
      <c r="S42" s="243"/>
      <c r="T42" s="109"/>
      <c r="U42" s="109"/>
      <c r="V42" s="268"/>
      <c r="W42" s="269"/>
      <c r="X42" s="270"/>
      <c r="Y42" s="109"/>
      <c r="Z42" s="109"/>
    </row>
    <row r="43" spans="1:26" ht="18" customHeight="1" x14ac:dyDescent="0.15">
      <c r="A43" s="27"/>
      <c r="B43" s="278"/>
      <c r="C43" s="279"/>
      <c r="D43" s="279"/>
      <c r="E43" s="279"/>
      <c r="F43" s="280"/>
      <c r="G43" s="109"/>
      <c r="H43" s="109"/>
      <c r="I43" s="268"/>
      <c r="J43" s="269"/>
      <c r="K43" s="270"/>
      <c r="L43" s="109"/>
      <c r="M43" s="109"/>
      <c r="N43" s="241"/>
      <c r="O43" s="242"/>
      <c r="P43" s="242"/>
      <c r="Q43" s="242"/>
      <c r="R43" s="242"/>
      <c r="S43" s="243"/>
      <c r="T43" s="109"/>
      <c r="U43" s="109"/>
      <c r="V43" s="268"/>
      <c r="W43" s="269"/>
      <c r="X43" s="270"/>
      <c r="Y43" s="109"/>
      <c r="Z43" s="109"/>
    </row>
    <row r="44" spans="1:26" ht="18" customHeight="1" x14ac:dyDescent="0.15">
      <c r="A44" s="27"/>
      <c r="B44" s="274"/>
      <c r="C44" s="275"/>
      <c r="D44" s="275"/>
      <c r="E44" s="275"/>
      <c r="F44" s="276"/>
      <c r="G44" s="110"/>
      <c r="H44" s="110"/>
      <c r="I44" s="259"/>
      <c r="J44" s="260"/>
      <c r="K44" s="261"/>
      <c r="L44" s="113"/>
      <c r="M44" s="113"/>
      <c r="N44" s="233"/>
      <c r="O44" s="234"/>
      <c r="P44" s="234"/>
      <c r="Q44" s="234"/>
      <c r="R44" s="234"/>
      <c r="S44" s="235"/>
      <c r="T44" s="110"/>
      <c r="U44" s="110"/>
      <c r="V44" s="259"/>
      <c r="W44" s="260"/>
      <c r="X44" s="261"/>
      <c r="Y44" s="113"/>
      <c r="Z44" s="113"/>
    </row>
    <row r="45" spans="1:26" ht="7.5" customHeight="1" x14ac:dyDescent="0.15">
      <c r="B45" s="72"/>
      <c r="C45" s="72"/>
      <c r="D45" s="72"/>
      <c r="E45" s="72"/>
      <c r="F45" s="72"/>
      <c r="G45" s="72"/>
      <c r="H45" s="72"/>
      <c r="I45" s="72"/>
      <c r="J45" s="72"/>
      <c r="K45" s="72"/>
      <c r="L45" s="72"/>
      <c r="M45" s="72"/>
      <c r="N45" s="72"/>
      <c r="O45" s="72"/>
      <c r="P45" s="72"/>
      <c r="Q45" s="72"/>
      <c r="R45" s="72"/>
      <c r="S45" s="72"/>
      <c r="T45" s="72"/>
      <c r="U45" s="72"/>
      <c r="V45" s="72"/>
      <c r="W45" s="72"/>
      <c r="X45" s="72"/>
      <c r="Y45" s="72"/>
    </row>
    <row r="46" spans="1:26" ht="18" customHeight="1" x14ac:dyDescent="0.15">
      <c r="A46" s="277" t="s">
        <v>136</v>
      </c>
      <c r="B46" s="277"/>
      <c r="C46" s="277"/>
      <c r="D46" s="277"/>
      <c r="E46" s="277"/>
      <c r="F46" s="277"/>
      <c r="G46" s="277"/>
      <c r="H46" s="277"/>
      <c r="I46" s="277"/>
      <c r="J46" s="277"/>
      <c r="K46" s="277"/>
      <c r="L46" s="277"/>
      <c r="M46" s="277"/>
      <c r="N46" s="277"/>
      <c r="O46" s="277"/>
      <c r="P46" s="277"/>
      <c r="Q46" s="277"/>
      <c r="R46" s="277"/>
      <c r="S46" s="277"/>
      <c r="T46" s="277"/>
      <c r="U46" s="277"/>
      <c r="V46" s="277"/>
      <c r="W46" s="277"/>
      <c r="X46" s="277"/>
      <c r="Y46" s="277"/>
      <c r="Z46" s="277"/>
    </row>
    <row r="47" spans="1:26" ht="18" customHeight="1" x14ac:dyDescent="0.15">
      <c r="A47" s="277"/>
      <c r="B47" s="277"/>
      <c r="C47" s="277"/>
      <c r="D47" s="277"/>
      <c r="E47" s="277"/>
      <c r="F47" s="277"/>
      <c r="G47" s="277"/>
      <c r="H47" s="277"/>
      <c r="I47" s="277"/>
      <c r="J47" s="277"/>
      <c r="K47" s="277"/>
      <c r="L47" s="277"/>
      <c r="M47" s="277"/>
      <c r="N47" s="277"/>
      <c r="O47" s="277"/>
      <c r="P47" s="277"/>
      <c r="Q47" s="277"/>
      <c r="R47" s="277"/>
      <c r="S47" s="277"/>
      <c r="T47" s="277"/>
      <c r="U47" s="277"/>
      <c r="V47" s="277"/>
      <c r="W47" s="277"/>
      <c r="X47" s="277"/>
      <c r="Y47" s="277"/>
      <c r="Z47" s="277"/>
    </row>
    <row r="48" spans="1:26" ht="18" customHeight="1" x14ac:dyDescent="0.15">
      <c r="A48" s="13"/>
      <c r="B48" s="262" t="s">
        <v>104</v>
      </c>
      <c r="C48" s="263"/>
      <c r="D48" s="263"/>
      <c r="E48" s="263"/>
      <c r="F48" s="264"/>
      <c r="G48" s="28" t="s">
        <v>145</v>
      </c>
      <c r="H48" s="107" t="s">
        <v>144</v>
      </c>
      <c r="I48" s="262" t="s">
        <v>105</v>
      </c>
      <c r="J48" s="263"/>
      <c r="K48" s="264"/>
      <c r="L48" s="70" t="s">
        <v>110</v>
      </c>
      <c r="M48" s="70" t="s">
        <v>112</v>
      </c>
      <c r="N48" s="262" t="s">
        <v>104</v>
      </c>
      <c r="O48" s="263"/>
      <c r="P48" s="263"/>
      <c r="Q48" s="263"/>
      <c r="R48" s="263"/>
      <c r="S48" s="264"/>
      <c r="T48" s="28" t="s">
        <v>145</v>
      </c>
      <c r="U48" s="107" t="s">
        <v>144</v>
      </c>
      <c r="V48" s="262" t="s">
        <v>105</v>
      </c>
      <c r="W48" s="263"/>
      <c r="X48" s="264"/>
      <c r="Y48" s="70" t="s">
        <v>110</v>
      </c>
      <c r="Z48" s="70" t="s">
        <v>112</v>
      </c>
    </row>
    <row r="49" spans="1:26" ht="18" customHeight="1" x14ac:dyDescent="0.15">
      <c r="A49" s="27"/>
      <c r="B49" s="281" t="s">
        <v>180</v>
      </c>
      <c r="C49" s="282"/>
      <c r="D49" s="282"/>
      <c r="E49" s="282"/>
      <c r="F49" s="283"/>
      <c r="G49" s="108">
        <v>1.5</v>
      </c>
      <c r="H49" s="108" t="s">
        <v>177</v>
      </c>
      <c r="I49" s="271" t="s">
        <v>210</v>
      </c>
      <c r="J49" s="272"/>
      <c r="K49" s="273"/>
      <c r="L49" s="168" t="s">
        <v>177</v>
      </c>
      <c r="M49" s="108" t="s">
        <v>177</v>
      </c>
      <c r="N49" s="253"/>
      <c r="O49" s="254"/>
      <c r="P49" s="254"/>
      <c r="Q49" s="254"/>
      <c r="R49" s="254"/>
      <c r="S49" s="255"/>
      <c r="T49" s="108"/>
      <c r="U49" s="108"/>
      <c r="V49" s="271"/>
      <c r="W49" s="272"/>
      <c r="X49" s="273"/>
      <c r="Y49" s="108"/>
      <c r="Z49" s="108"/>
    </row>
    <row r="50" spans="1:26" ht="18" customHeight="1" x14ac:dyDescent="0.15">
      <c r="A50" s="27"/>
      <c r="B50" s="278" t="s">
        <v>179</v>
      </c>
      <c r="C50" s="279"/>
      <c r="D50" s="279"/>
      <c r="E50" s="279"/>
      <c r="F50" s="280"/>
      <c r="G50" s="109">
        <v>4.5</v>
      </c>
      <c r="H50" s="109" t="s">
        <v>177</v>
      </c>
      <c r="I50" s="268" t="s">
        <v>210</v>
      </c>
      <c r="J50" s="269"/>
      <c r="K50" s="270"/>
      <c r="L50" s="109" t="s">
        <v>177</v>
      </c>
      <c r="M50" s="109" t="s">
        <v>177</v>
      </c>
      <c r="N50" s="241"/>
      <c r="O50" s="242"/>
      <c r="P50" s="242"/>
      <c r="Q50" s="242"/>
      <c r="R50" s="242"/>
      <c r="S50" s="243"/>
      <c r="T50" s="109"/>
      <c r="U50" s="109"/>
      <c r="V50" s="268"/>
      <c r="W50" s="269"/>
      <c r="X50" s="270"/>
      <c r="Y50" s="109"/>
      <c r="Z50" s="109"/>
    </row>
    <row r="51" spans="1:26" ht="18" customHeight="1" x14ac:dyDescent="0.15">
      <c r="A51" s="27"/>
      <c r="B51" s="278"/>
      <c r="C51" s="279"/>
      <c r="D51" s="279"/>
      <c r="E51" s="279"/>
      <c r="F51" s="280"/>
      <c r="G51" s="109"/>
      <c r="H51" s="109"/>
      <c r="I51" s="268"/>
      <c r="J51" s="269"/>
      <c r="K51" s="270"/>
      <c r="L51" s="109"/>
      <c r="M51" s="109"/>
      <c r="N51" s="241"/>
      <c r="O51" s="242"/>
      <c r="P51" s="242"/>
      <c r="Q51" s="242"/>
      <c r="R51" s="242"/>
      <c r="S51" s="243"/>
      <c r="T51" s="109"/>
      <c r="U51" s="109"/>
      <c r="V51" s="268"/>
      <c r="W51" s="269"/>
      <c r="X51" s="270"/>
      <c r="Y51" s="109"/>
      <c r="Z51" s="109"/>
    </row>
    <row r="52" spans="1:26" ht="18" customHeight="1" x14ac:dyDescent="0.15">
      <c r="A52" s="27"/>
      <c r="B52" s="278"/>
      <c r="C52" s="279"/>
      <c r="D52" s="279"/>
      <c r="E52" s="279"/>
      <c r="F52" s="280"/>
      <c r="G52" s="109"/>
      <c r="H52" s="109"/>
      <c r="I52" s="268"/>
      <c r="J52" s="269"/>
      <c r="K52" s="270"/>
      <c r="L52" s="109"/>
      <c r="M52" s="109"/>
      <c r="N52" s="241"/>
      <c r="O52" s="242"/>
      <c r="P52" s="242"/>
      <c r="Q52" s="242"/>
      <c r="R52" s="242"/>
      <c r="S52" s="243"/>
      <c r="T52" s="109"/>
      <c r="U52" s="109"/>
      <c r="V52" s="268"/>
      <c r="W52" s="269"/>
      <c r="X52" s="270"/>
      <c r="Y52" s="109"/>
      <c r="Z52" s="109"/>
    </row>
    <row r="53" spans="1:26" ht="18" customHeight="1" x14ac:dyDescent="0.15">
      <c r="A53" s="27"/>
      <c r="B53" s="278"/>
      <c r="C53" s="279"/>
      <c r="D53" s="279"/>
      <c r="E53" s="279"/>
      <c r="F53" s="280"/>
      <c r="G53" s="109"/>
      <c r="H53" s="109"/>
      <c r="I53" s="268"/>
      <c r="J53" s="269"/>
      <c r="K53" s="270"/>
      <c r="L53" s="109"/>
      <c r="M53" s="109"/>
      <c r="N53" s="241"/>
      <c r="O53" s="242"/>
      <c r="P53" s="242"/>
      <c r="Q53" s="242"/>
      <c r="R53" s="242"/>
      <c r="S53" s="243"/>
      <c r="T53" s="109"/>
      <c r="U53" s="109"/>
      <c r="V53" s="268"/>
      <c r="W53" s="269"/>
      <c r="X53" s="270"/>
      <c r="Y53" s="109"/>
      <c r="Z53" s="109"/>
    </row>
    <row r="54" spans="1:26" ht="18" customHeight="1" x14ac:dyDescent="0.15">
      <c r="A54" s="27"/>
      <c r="B54" s="278"/>
      <c r="C54" s="279"/>
      <c r="D54" s="279"/>
      <c r="E54" s="279"/>
      <c r="F54" s="280"/>
      <c r="G54" s="109"/>
      <c r="H54" s="109"/>
      <c r="I54" s="268"/>
      <c r="J54" s="269"/>
      <c r="K54" s="270"/>
      <c r="L54" s="109"/>
      <c r="M54" s="109"/>
      <c r="N54" s="241"/>
      <c r="O54" s="242"/>
      <c r="P54" s="242"/>
      <c r="Q54" s="242"/>
      <c r="R54" s="242"/>
      <c r="S54" s="243"/>
      <c r="T54" s="109"/>
      <c r="U54" s="109"/>
      <c r="V54" s="268"/>
      <c r="W54" s="269"/>
      <c r="X54" s="270"/>
      <c r="Y54" s="109"/>
      <c r="Z54" s="109"/>
    </row>
    <row r="55" spans="1:26" ht="18" customHeight="1" x14ac:dyDescent="0.15">
      <c r="A55" s="27"/>
      <c r="B55" s="274"/>
      <c r="C55" s="275"/>
      <c r="D55" s="275"/>
      <c r="E55" s="275"/>
      <c r="F55" s="276"/>
      <c r="G55" s="110"/>
      <c r="H55" s="110"/>
      <c r="I55" s="259"/>
      <c r="J55" s="260"/>
      <c r="K55" s="261"/>
      <c r="L55" s="113"/>
      <c r="M55" s="113"/>
      <c r="N55" s="233"/>
      <c r="O55" s="234"/>
      <c r="P55" s="234"/>
      <c r="Q55" s="234"/>
      <c r="R55" s="234"/>
      <c r="S55" s="235"/>
      <c r="T55" s="110"/>
      <c r="U55" s="110"/>
      <c r="V55" s="259"/>
      <c r="W55" s="260"/>
      <c r="X55" s="261"/>
      <c r="Y55" s="113"/>
      <c r="Z55" s="113"/>
    </row>
    <row r="56" spans="1:26" ht="7.5" customHeight="1" x14ac:dyDescent="0.15">
      <c r="B56" s="72"/>
      <c r="C56" s="72"/>
      <c r="D56" s="72"/>
      <c r="E56" s="72"/>
      <c r="F56" s="72"/>
      <c r="G56" s="72"/>
      <c r="H56" s="72"/>
      <c r="I56" s="72"/>
      <c r="J56" s="72"/>
      <c r="K56" s="72"/>
      <c r="L56" s="72"/>
      <c r="M56" s="72"/>
      <c r="N56" s="72"/>
      <c r="O56" s="72"/>
      <c r="P56" s="72"/>
      <c r="Q56" s="72"/>
      <c r="R56" s="72"/>
      <c r="S56" s="72"/>
      <c r="T56" s="72"/>
      <c r="U56" s="72"/>
      <c r="V56" s="72"/>
      <c r="W56" s="72"/>
      <c r="X56" s="72"/>
      <c r="Y56" s="72"/>
    </row>
    <row r="57" spans="1:26" ht="18" customHeight="1" x14ac:dyDescent="0.15">
      <c r="A57" s="277" t="s">
        <v>137</v>
      </c>
      <c r="B57" s="277"/>
      <c r="C57" s="277"/>
      <c r="D57" s="277"/>
      <c r="E57" s="277"/>
      <c r="F57" s="277"/>
      <c r="G57" s="277"/>
      <c r="H57" s="277"/>
      <c r="I57" s="277"/>
      <c r="J57" s="277"/>
      <c r="K57" s="277"/>
      <c r="L57" s="277"/>
      <c r="M57" s="277"/>
      <c r="N57" s="277"/>
      <c r="O57" s="277"/>
      <c r="P57" s="277"/>
      <c r="Q57" s="277"/>
      <c r="R57" s="277"/>
      <c r="S57" s="277"/>
      <c r="T57" s="277"/>
      <c r="U57" s="277"/>
      <c r="V57" s="277"/>
      <c r="W57" s="277"/>
      <c r="X57" s="277"/>
      <c r="Y57" s="277"/>
      <c r="Z57" s="277"/>
    </row>
    <row r="58" spans="1:26" ht="18" customHeight="1" x14ac:dyDescent="0.15">
      <c r="A58" s="277"/>
      <c r="B58" s="277"/>
      <c r="C58" s="277"/>
      <c r="D58" s="277"/>
      <c r="E58" s="277"/>
      <c r="F58" s="277"/>
      <c r="G58" s="277"/>
      <c r="H58" s="277"/>
      <c r="I58" s="277"/>
      <c r="J58" s="277"/>
      <c r="K58" s="277"/>
      <c r="L58" s="277"/>
      <c r="M58" s="277"/>
      <c r="N58" s="277"/>
      <c r="O58" s="277"/>
      <c r="P58" s="277"/>
      <c r="Q58" s="277"/>
      <c r="R58" s="277"/>
      <c r="S58" s="277"/>
      <c r="T58" s="277"/>
      <c r="U58" s="277"/>
      <c r="V58" s="277"/>
      <c r="W58" s="277"/>
      <c r="X58" s="277"/>
      <c r="Y58" s="277"/>
      <c r="Z58" s="277"/>
    </row>
    <row r="59" spans="1:26" ht="18" customHeight="1" x14ac:dyDescent="0.15">
      <c r="A59" s="13"/>
      <c r="B59" s="262" t="s">
        <v>104</v>
      </c>
      <c r="C59" s="263"/>
      <c r="D59" s="263"/>
      <c r="E59" s="264"/>
      <c r="F59" s="28" t="s">
        <v>145</v>
      </c>
      <c r="G59" s="107" t="s">
        <v>144</v>
      </c>
      <c r="H59" s="102" t="s">
        <v>105</v>
      </c>
      <c r="I59" s="103"/>
      <c r="J59" s="104"/>
      <c r="K59" s="70" t="s">
        <v>109</v>
      </c>
      <c r="L59" s="70" t="s">
        <v>138</v>
      </c>
      <c r="M59" s="70" t="s">
        <v>139</v>
      </c>
      <c r="N59" s="262" t="s">
        <v>104</v>
      </c>
      <c r="O59" s="263"/>
      <c r="P59" s="263"/>
      <c r="Q59" s="263"/>
      <c r="R59" s="264"/>
      <c r="S59" s="28" t="s">
        <v>145</v>
      </c>
      <c r="T59" s="107" t="s">
        <v>144</v>
      </c>
      <c r="U59" s="102" t="s">
        <v>105</v>
      </c>
      <c r="V59" s="103"/>
      <c r="W59" s="104"/>
      <c r="X59" s="70" t="s">
        <v>109</v>
      </c>
      <c r="Y59" s="70" t="s">
        <v>138</v>
      </c>
      <c r="Z59" s="70" t="s">
        <v>139</v>
      </c>
    </row>
    <row r="60" spans="1:26" ht="18" customHeight="1" x14ac:dyDescent="0.15">
      <c r="A60" s="27"/>
      <c r="B60" s="253" t="s">
        <v>180</v>
      </c>
      <c r="C60" s="254"/>
      <c r="D60" s="254"/>
      <c r="E60" s="255"/>
      <c r="F60" s="108">
        <v>1.5</v>
      </c>
      <c r="G60" s="108" t="s">
        <v>177</v>
      </c>
      <c r="H60" s="271" t="s">
        <v>210</v>
      </c>
      <c r="I60" s="272"/>
      <c r="J60" s="273"/>
      <c r="K60" s="108" t="s">
        <v>177</v>
      </c>
      <c r="L60" s="108" t="s">
        <v>177</v>
      </c>
      <c r="M60" s="108" t="s">
        <v>177</v>
      </c>
      <c r="N60" s="253"/>
      <c r="O60" s="254"/>
      <c r="P60" s="254"/>
      <c r="Q60" s="254"/>
      <c r="R60" s="255"/>
      <c r="S60" s="108"/>
      <c r="T60" s="108"/>
      <c r="U60" s="271"/>
      <c r="V60" s="272"/>
      <c r="W60" s="273"/>
      <c r="X60" s="115"/>
      <c r="Y60" s="108"/>
      <c r="Z60" s="108"/>
    </row>
    <row r="61" spans="1:26" ht="18" customHeight="1" x14ac:dyDescent="0.15">
      <c r="A61" s="27"/>
      <c r="B61" s="241" t="s">
        <v>179</v>
      </c>
      <c r="C61" s="242"/>
      <c r="D61" s="242"/>
      <c r="E61" s="243"/>
      <c r="F61" s="109">
        <v>4.5</v>
      </c>
      <c r="G61" s="109" t="s">
        <v>177</v>
      </c>
      <c r="H61" s="268" t="s">
        <v>210</v>
      </c>
      <c r="I61" s="269"/>
      <c r="J61" s="270"/>
      <c r="K61" s="109" t="s">
        <v>177</v>
      </c>
      <c r="L61" s="109" t="s">
        <v>177</v>
      </c>
      <c r="M61" s="109" t="s">
        <v>177</v>
      </c>
      <c r="N61" s="241"/>
      <c r="O61" s="242"/>
      <c r="P61" s="242"/>
      <c r="Q61" s="242"/>
      <c r="R61" s="243"/>
      <c r="S61" s="109"/>
      <c r="T61" s="109"/>
      <c r="U61" s="268"/>
      <c r="V61" s="269"/>
      <c r="W61" s="270"/>
      <c r="X61" s="116"/>
      <c r="Y61" s="109"/>
      <c r="Z61" s="109"/>
    </row>
    <row r="62" spans="1:26" ht="18" customHeight="1" x14ac:dyDescent="0.15">
      <c r="A62" s="27"/>
      <c r="B62" s="241" t="s">
        <v>178</v>
      </c>
      <c r="C62" s="242"/>
      <c r="D62" s="242"/>
      <c r="E62" s="243"/>
      <c r="F62" s="109">
        <v>1.5</v>
      </c>
      <c r="G62" s="109" t="s">
        <v>177</v>
      </c>
      <c r="H62" s="268" t="s">
        <v>210</v>
      </c>
      <c r="I62" s="269"/>
      <c r="J62" s="270"/>
      <c r="K62" s="109" t="s">
        <v>177</v>
      </c>
      <c r="L62" s="109" t="s">
        <v>177</v>
      </c>
      <c r="M62" s="109" t="s">
        <v>189</v>
      </c>
      <c r="N62" s="241"/>
      <c r="O62" s="242"/>
      <c r="P62" s="242"/>
      <c r="Q62" s="242"/>
      <c r="R62" s="243"/>
      <c r="S62" s="109"/>
      <c r="T62" s="109"/>
      <c r="U62" s="268"/>
      <c r="V62" s="269"/>
      <c r="W62" s="270"/>
      <c r="X62" s="116"/>
      <c r="Y62" s="109"/>
      <c r="Z62" s="109"/>
    </row>
    <row r="63" spans="1:26" ht="18" customHeight="1" x14ac:dyDescent="0.15">
      <c r="A63" s="27"/>
      <c r="B63" s="241"/>
      <c r="C63" s="242"/>
      <c r="D63" s="242"/>
      <c r="E63" s="243"/>
      <c r="F63" s="109"/>
      <c r="G63" s="109"/>
      <c r="H63" s="268"/>
      <c r="I63" s="269"/>
      <c r="J63" s="270"/>
      <c r="K63" s="116"/>
      <c r="L63" s="109"/>
      <c r="M63" s="109"/>
      <c r="N63" s="241"/>
      <c r="O63" s="242"/>
      <c r="P63" s="242"/>
      <c r="Q63" s="242"/>
      <c r="R63" s="243"/>
      <c r="S63" s="109"/>
      <c r="T63" s="109"/>
      <c r="U63" s="268"/>
      <c r="V63" s="269"/>
      <c r="W63" s="270"/>
      <c r="X63" s="116"/>
      <c r="Y63" s="109"/>
      <c r="Z63" s="109"/>
    </row>
    <row r="64" spans="1:26" ht="18" customHeight="1" x14ac:dyDescent="0.15">
      <c r="A64" s="27"/>
      <c r="B64" s="241"/>
      <c r="C64" s="242"/>
      <c r="D64" s="242"/>
      <c r="E64" s="243"/>
      <c r="F64" s="109"/>
      <c r="G64" s="109"/>
      <c r="H64" s="268"/>
      <c r="I64" s="269"/>
      <c r="J64" s="270"/>
      <c r="K64" s="116"/>
      <c r="L64" s="109"/>
      <c r="M64" s="109"/>
      <c r="N64" s="241"/>
      <c r="O64" s="242"/>
      <c r="P64" s="242"/>
      <c r="Q64" s="242"/>
      <c r="R64" s="243"/>
      <c r="S64" s="109"/>
      <c r="T64" s="109"/>
      <c r="U64" s="268"/>
      <c r="V64" s="269"/>
      <c r="W64" s="270"/>
      <c r="X64" s="116"/>
      <c r="Y64" s="109"/>
      <c r="Z64" s="109"/>
    </row>
    <row r="65" spans="1:26" ht="18" customHeight="1" x14ac:dyDescent="0.15">
      <c r="A65" s="27"/>
      <c r="B65" s="241"/>
      <c r="C65" s="242"/>
      <c r="D65" s="242"/>
      <c r="E65" s="243"/>
      <c r="F65" s="109"/>
      <c r="G65" s="109"/>
      <c r="H65" s="268"/>
      <c r="I65" s="269"/>
      <c r="J65" s="270"/>
      <c r="K65" s="116"/>
      <c r="L65" s="109"/>
      <c r="M65" s="109"/>
      <c r="N65" s="241"/>
      <c r="O65" s="242"/>
      <c r="P65" s="242"/>
      <c r="Q65" s="242"/>
      <c r="R65" s="243"/>
      <c r="S65" s="109"/>
      <c r="T65" s="109"/>
      <c r="U65" s="268"/>
      <c r="V65" s="269"/>
      <c r="W65" s="270"/>
      <c r="X65" s="116"/>
      <c r="Y65" s="109"/>
      <c r="Z65" s="109"/>
    </row>
    <row r="66" spans="1:26" ht="18" customHeight="1" x14ac:dyDescent="0.15">
      <c r="A66" s="27"/>
      <c r="B66" s="233"/>
      <c r="C66" s="234"/>
      <c r="D66" s="234"/>
      <c r="E66" s="235"/>
      <c r="F66" s="110"/>
      <c r="G66" s="110"/>
      <c r="H66" s="259"/>
      <c r="I66" s="260"/>
      <c r="J66" s="261"/>
      <c r="K66" s="117"/>
      <c r="L66" s="113"/>
      <c r="M66" s="113"/>
      <c r="N66" s="233"/>
      <c r="O66" s="234"/>
      <c r="P66" s="234"/>
      <c r="Q66" s="234"/>
      <c r="R66" s="235"/>
      <c r="S66" s="110"/>
      <c r="T66" s="110"/>
      <c r="U66" s="259"/>
      <c r="V66" s="260"/>
      <c r="W66" s="261"/>
      <c r="X66" s="117"/>
      <c r="Y66" s="113"/>
      <c r="Z66" s="113"/>
    </row>
    <row r="67" spans="1:26" ht="7.5" customHeight="1" x14ac:dyDescent="0.15">
      <c r="B67" s="72"/>
      <c r="C67" s="72"/>
      <c r="D67" s="72"/>
      <c r="E67" s="72"/>
      <c r="F67" s="72"/>
      <c r="G67" s="72"/>
      <c r="H67" s="72"/>
      <c r="I67" s="72"/>
      <c r="J67" s="72"/>
      <c r="K67" s="72"/>
      <c r="L67" s="72"/>
      <c r="M67" s="72"/>
      <c r="N67" s="72"/>
      <c r="O67" s="72"/>
      <c r="P67" s="72"/>
      <c r="Q67" s="72"/>
      <c r="R67" s="72"/>
      <c r="S67" s="72"/>
      <c r="T67" s="72"/>
      <c r="U67" s="72"/>
      <c r="V67" s="72"/>
      <c r="W67" s="72"/>
      <c r="X67" s="72"/>
      <c r="Y67" s="72"/>
    </row>
    <row r="68" spans="1:26" ht="18" customHeight="1" x14ac:dyDescent="0.15">
      <c r="A68" s="13" t="s">
        <v>140</v>
      </c>
      <c r="B68" s="13"/>
      <c r="C68" s="13"/>
      <c r="D68" s="13"/>
      <c r="E68" s="13"/>
      <c r="F68" s="13"/>
      <c r="G68" s="13"/>
      <c r="H68" s="13"/>
      <c r="I68" s="13"/>
      <c r="J68" s="13"/>
      <c r="K68" s="13"/>
      <c r="L68" s="27"/>
      <c r="M68" s="27"/>
      <c r="N68" s="27"/>
      <c r="O68" s="27"/>
      <c r="P68" s="27"/>
      <c r="Q68" s="27"/>
      <c r="R68" s="27"/>
      <c r="S68" s="27"/>
      <c r="T68" s="27"/>
      <c r="U68" s="27"/>
      <c r="V68" s="27"/>
      <c r="W68" s="27"/>
      <c r="X68" s="27"/>
      <c r="Y68" s="27"/>
      <c r="Z68" s="27"/>
    </row>
    <row r="69" spans="1:26" ht="18" customHeight="1" x14ac:dyDescent="0.15">
      <c r="A69" s="13"/>
      <c r="B69" s="262" t="s">
        <v>104</v>
      </c>
      <c r="C69" s="263"/>
      <c r="D69" s="263"/>
      <c r="E69" s="263"/>
      <c r="F69" s="264"/>
      <c r="G69" s="262" t="s">
        <v>150</v>
      </c>
      <c r="H69" s="263"/>
      <c r="I69" s="263"/>
      <c r="J69" s="263"/>
      <c r="K69" s="263"/>
      <c r="L69" s="263"/>
      <c r="M69" s="264"/>
      <c r="N69" s="265" t="s">
        <v>104</v>
      </c>
      <c r="O69" s="266"/>
      <c r="P69" s="266"/>
      <c r="Q69" s="266"/>
      <c r="R69" s="266"/>
      <c r="S69" s="267"/>
      <c r="T69" s="262" t="s">
        <v>150</v>
      </c>
      <c r="U69" s="263"/>
      <c r="V69" s="263"/>
      <c r="W69" s="263"/>
      <c r="X69" s="263"/>
      <c r="Y69" s="263"/>
      <c r="Z69" s="264"/>
    </row>
    <row r="70" spans="1:26" ht="18" customHeight="1" x14ac:dyDescent="0.15">
      <c r="A70" s="27"/>
      <c r="B70" s="253"/>
      <c r="C70" s="254"/>
      <c r="D70" s="254"/>
      <c r="E70" s="254"/>
      <c r="F70" s="255"/>
      <c r="G70" s="256"/>
      <c r="H70" s="257"/>
      <c r="I70" s="257"/>
      <c r="J70" s="257"/>
      <c r="K70" s="257"/>
      <c r="L70" s="257"/>
      <c r="M70" s="258"/>
      <c r="N70" s="253"/>
      <c r="O70" s="254"/>
      <c r="P70" s="254"/>
      <c r="Q70" s="254"/>
      <c r="R70" s="254"/>
      <c r="S70" s="255"/>
      <c r="T70" s="256"/>
      <c r="U70" s="257"/>
      <c r="V70" s="257"/>
      <c r="W70" s="257"/>
      <c r="X70" s="257"/>
      <c r="Y70" s="257"/>
      <c r="Z70" s="258"/>
    </row>
    <row r="71" spans="1:26" ht="18" customHeight="1" x14ac:dyDescent="0.15">
      <c r="A71" s="27"/>
      <c r="B71" s="241"/>
      <c r="C71" s="242"/>
      <c r="D71" s="242"/>
      <c r="E71" s="242"/>
      <c r="F71" s="243"/>
      <c r="G71" s="244"/>
      <c r="H71" s="245"/>
      <c r="I71" s="245"/>
      <c r="J71" s="245"/>
      <c r="K71" s="245"/>
      <c r="L71" s="245"/>
      <c r="M71" s="246"/>
      <c r="N71" s="241"/>
      <c r="O71" s="242"/>
      <c r="P71" s="242"/>
      <c r="Q71" s="242"/>
      <c r="R71" s="242"/>
      <c r="S71" s="243"/>
      <c r="T71" s="244"/>
      <c r="U71" s="245"/>
      <c r="V71" s="245"/>
      <c r="W71" s="245"/>
      <c r="X71" s="245"/>
      <c r="Y71" s="245"/>
      <c r="Z71" s="246"/>
    </row>
    <row r="72" spans="1:26" ht="18" customHeight="1" x14ac:dyDescent="0.15">
      <c r="A72" s="27"/>
      <c r="B72" s="241"/>
      <c r="C72" s="242"/>
      <c r="D72" s="242"/>
      <c r="E72" s="242"/>
      <c r="F72" s="243"/>
      <c r="G72" s="244"/>
      <c r="H72" s="245"/>
      <c r="I72" s="245"/>
      <c r="J72" s="245"/>
      <c r="K72" s="245"/>
      <c r="L72" s="245"/>
      <c r="M72" s="246"/>
      <c r="N72" s="241"/>
      <c r="O72" s="242"/>
      <c r="P72" s="242"/>
      <c r="Q72" s="242"/>
      <c r="R72" s="242"/>
      <c r="S72" s="243"/>
      <c r="T72" s="244"/>
      <c r="U72" s="245"/>
      <c r="V72" s="245"/>
      <c r="W72" s="245"/>
      <c r="X72" s="245"/>
      <c r="Y72" s="245"/>
      <c r="Z72" s="246"/>
    </row>
    <row r="73" spans="1:26" ht="18" customHeight="1" x14ac:dyDescent="0.15">
      <c r="A73" s="27"/>
      <c r="B73" s="241"/>
      <c r="C73" s="242"/>
      <c r="D73" s="242"/>
      <c r="E73" s="242"/>
      <c r="F73" s="243"/>
      <c r="G73" s="244"/>
      <c r="H73" s="245"/>
      <c r="I73" s="245"/>
      <c r="J73" s="245"/>
      <c r="K73" s="245"/>
      <c r="L73" s="245"/>
      <c r="M73" s="246"/>
      <c r="N73" s="241"/>
      <c r="O73" s="242"/>
      <c r="P73" s="242"/>
      <c r="Q73" s="242"/>
      <c r="R73" s="242"/>
      <c r="S73" s="243"/>
      <c r="T73" s="244"/>
      <c r="U73" s="245"/>
      <c r="V73" s="245"/>
      <c r="W73" s="245"/>
      <c r="X73" s="245"/>
      <c r="Y73" s="245"/>
      <c r="Z73" s="246"/>
    </row>
    <row r="74" spans="1:26" ht="18" customHeight="1" x14ac:dyDescent="0.15">
      <c r="A74" s="27"/>
      <c r="B74" s="241"/>
      <c r="C74" s="242"/>
      <c r="D74" s="242"/>
      <c r="E74" s="242"/>
      <c r="F74" s="243"/>
      <c r="G74" s="244"/>
      <c r="H74" s="245"/>
      <c r="I74" s="245"/>
      <c r="J74" s="245"/>
      <c r="K74" s="245"/>
      <c r="L74" s="245"/>
      <c r="M74" s="246"/>
      <c r="N74" s="241"/>
      <c r="O74" s="242"/>
      <c r="P74" s="242"/>
      <c r="Q74" s="242"/>
      <c r="R74" s="242"/>
      <c r="S74" s="243"/>
      <c r="T74" s="244"/>
      <c r="U74" s="245"/>
      <c r="V74" s="245"/>
      <c r="W74" s="245"/>
      <c r="X74" s="245"/>
      <c r="Y74" s="245"/>
      <c r="Z74" s="246"/>
    </row>
    <row r="75" spans="1:26" ht="18" customHeight="1" x14ac:dyDescent="0.15">
      <c r="A75" s="27"/>
      <c r="B75" s="241"/>
      <c r="C75" s="242"/>
      <c r="D75" s="242"/>
      <c r="E75" s="242"/>
      <c r="F75" s="243"/>
      <c r="G75" s="244"/>
      <c r="H75" s="245"/>
      <c r="I75" s="245"/>
      <c r="J75" s="245"/>
      <c r="K75" s="245"/>
      <c r="L75" s="245"/>
      <c r="M75" s="246"/>
      <c r="N75" s="241"/>
      <c r="O75" s="242"/>
      <c r="P75" s="242"/>
      <c r="Q75" s="242"/>
      <c r="R75" s="242"/>
      <c r="S75" s="243"/>
      <c r="T75" s="244"/>
      <c r="U75" s="245"/>
      <c r="V75" s="245"/>
      <c r="W75" s="245"/>
      <c r="X75" s="245"/>
      <c r="Y75" s="245"/>
      <c r="Z75" s="246"/>
    </row>
    <row r="76" spans="1:26" ht="18" customHeight="1" x14ac:dyDescent="0.15">
      <c r="A76" s="27"/>
      <c r="B76" s="233"/>
      <c r="C76" s="234"/>
      <c r="D76" s="234"/>
      <c r="E76" s="234"/>
      <c r="F76" s="235"/>
      <c r="G76" s="236"/>
      <c r="H76" s="237"/>
      <c r="I76" s="237"/>
      <c r="J76" s="237"/>
      <c r="K76" s="237"/>
      <c r="L76" s="237"/>
      <c r="M76" s="238"/>
      <c r="N76" s="233"/>
      <c r="O76" s="234"/>
      <c r="P76" s="234"/>
      <c r="Q76" s="234"/>
      <c r="R76" s="234"/>
      <c r="S76" s="235"/>
      <c r="T76" s="236"/>
      <c r="U76" s="237"/>
      <c r="V76" s="237"/>
      <c r="W76" s="237"/>
      <c r="X76" s="237"/>
      <c r="Y76" s="237"/>
      <c r="Z76" s="238"/>
    </row>
    <row r="77" spans="1:26" ht="18" customHeight="1" x14ac:dyDescent="0.15">
      <c r="A77" s="27"/>
      <c r="B77" s="114"/>
      <c r="C77" s="114"/>
      <c r="D77" s="114"/>
      <c r="E77" s="114"/>
      <c r="F77" s="114"/>
      <c r="G77" s="11"/>
      <c r="H77" s="11"/>
      <c r="I77" s="11"/>
      <c r="J77" s="11"/>
      <c r="K77" s="11"/>
      <c r="L77" s="11"/>
      <c r="M77" s="11"/>
      <c r="N77" s="114"/>
      <c r="O77" s="114"/>
      <c r="P77" s="114"/>
      <c r="Q77" s="114"/>
      <c r="R77" s="114"/>
      <c r="S77" s="114"/>
      <c r="T77" s="11"/>
      <c r="U77" s="11"/>
      <c r="V77" s="11"/>
      <c r="W77" s="11"/>
      <c r="X77" s="11"/>
      <c r="Y77" s="11"/>
      <c r="Z77" s="11"/>
    </row>
    <row r="78" spans="1:26" ht="18.75" customHeight="1" x14ac:dyDescent="0.15">
      <c r="A78" s="12" t="s">
        <v>146</v>
      </c>
    </row>
    <row r="79" spans="1:26" ht="18.75" customHeight="1" x14ac:dyDescent="0.15">
      <c r="B79" s="73" t="s">
        <v>106</v>
      </c>
      <c r="C79" s="74"/>
      <c r="D79" s="239" t="s">
        <v>107</v>
      </c>
      <c r="E79" s="239"/>
      <c r="F79" s="239"/>
      <c r="G79" s="239"/>
      <c r="H79" s="239"/>
      <c r="I79" s="239"/>
      <c r="J79" s="239"/>
      <c r="K79" s="239"/>
      <c r="L79" s="239"/>
      <c r="M79" s="239"/>
      <c r="N79" s="239"/>
      <c r="O79" s="239"/>
      <c r="P79" s="239"/>
      <c r="Q79" s="239"/>
      <c r="R79" s="239"/>
      <c r="S79" s="239"/>
      <c r="T79" s="239"/>
      <c r="U79" s="239"/>
      <c r="V79" s="239"/>
      <c r="W79" s="239"/>
      <c r="X79" s="239"/>
      <c r="Y79" s="239"/>
      <c r="Z79" s="240"/>
    </row>
    <row r="80" spans="1:26" ht="78" customHeight="1" x14ac:dyDescent="0.15">
      <c r="B80" s="225" t="s">
        <v>113</v>
      </c>
      <c r="C80" s="80" t="s">
        <v>108</v>
      </c>
      <c r="D80" s="247" t="s">
        <v>216</v>
      </c>
      <c r="E80" s="248"/>
      <c r="F80" s="248"/>
      <c r="G80" s="248"/>
      <c r="H80" s="248"/>
      <c r="I80" s="248"/>
      <c r="J80" s="248"/>
      <c r="K80" s="248"/>
      <c r="L80" s="248"/>
      <c r="M80" s="248"/>
      <c r="N80" s="248"/>
      <c r="O80" s="248"/>
      <c r="P80" s="248"/>
      <c r="Q80" s="248"/>
      <c r="R80" s="248"/>
      <c r="S80" s="248"/>
      <c r="T80" s="248"/>
      <c r="U80" s="248"/>
      <c r="V80" s="248"/>
      <c r="W80" s="248"/>
      <c r="X80" s="248"/>
      <c r="Y80" s="248"/>
      <c r="Z80" s="249"/>
    </row>
    <row r="81" spans="1:26" ht="78" customHeight="1" x14ac:dyDescent="0.15">
      <c r="B81" s="227"/>
      <c r="C81" s="105" t="s">
        <v>141</v>
      </c>
      <c r="D81" s="250"/>
      <c r="E81" s="251"/>
      <c r="F81" s="251"/>
      <c r="G81" s="251"/>
      <c r="H81" s="251"/>
      <c r="I81" s="251"/>
      <c r="J81" s="251"/>
      <c r="K81" s="251"/>
      <c r="L81" s="251"/>
      <c r="M81" s="251"/>
      <c r="N81" s="251"/>
      <c r="O81" s="251"/>
      <c r="P81" s="251"/>
      <c r="Q81" s="251"/>
      <c r="R81" s="251"/>
      <c r="S81" s="251"/>
      <c r="T81" s="251"/>
      <c r="U81" s="251"/>
      <c r="V81" s="251"/>
      <c r="W81" s="251"/>
      <c r="X81" s="251"/>
      <c r="Y81" s="251"/>
      <c r="Z81" s="252"/>
    </row>
    <row r="82" spans="1:26" ht="78" customHeight="1" x14ac:dyDescent="0.15">
      <c r="B82" s="229" t="s">
        <v>114</v>
      </c>
      <c r="C82" s="75" t="s">
        <v>131</v>
      </c>
      <c r="D82" s="219" t="s">
        <v>217</v>
      </c>
      <c r="E82" s="220"/>
      <c r="F82" s="220"/>
      <c r="G82" s="220"/>
      <c r="H82" s="220"/>
      <c r="I82" s="220"/>
      <c r="J82" s="220"/>
      <c r="K82" s="220"/>
      <c r="L82" s="220"/>
      <c r="M82" s="220"/>
      <c r="N82" s="220"/>
      <c r="O82" s="220"/>
      <c r="P82" s="220"/>
      <c r="Q82" s="220"/>
      <c r="R82" s="220"/>
      <c r="S82" s="220"/>
      <c r="T82" s="220"/>
      <c r="U82" s="220"/>
      <c r="V82" s="220"/>
      <c r="W82" s="220"/>
      <c r="X82" s="220"/>
      <c r="Y82" s="220"/>
      <c r="Z82" s="221"/>
    </row>
    <row r="83" spans="1:26" ht="78" customHeight="1" x14ac:dyDescent="0.15">
      <c r="B83" s="228"/>
      <c r="C83" s="106" t="s">
        <v>132</v>
      </c>
      <c r="D83" s="222"/>
      <c r="E83" s="223"/>
      <c r="F83" s="223"/>
      <c r="G83" s="223"/>
      <c r="H83" s="223"/>
      <c r="I83" s="223"/>
      <c r="J83" s="223"/>
      <c r="K83" s="223"/>
      <c r="L83" s="223"/>
      <c r="M83" s="223"/>
      <c r="N83" s="223"/>
      <c r="O83" s="223"/>
      <c r="P83" s="223"/>
      <c r="Q83" s="223"/>
      <c r="R83" s="223"/>
      <c r="S83" s="223"/>
      <c r="T83" s="223"/>
      <c r="U83" s="223"/>
      <c r="V83" s="223"/>
      <c r="W83" s="223"/>
      <c r="X83" s="223"/>
      <c r="Y83" s="223"/>
      <c r="Z83" s="224"/>
    </row>
    <row r="84" spans="1:26" ht="66" customHeight="1" x14ac:dyDescent="0.15">
      <c r="B84" s="229" t="s">
        <v>115</v>
      </c>
      <c r="C84" s="75" t="s">
        <v>134</v>
      </c>
      <c r="D84" s="219" t="s">
        <v>218</v>
      </c>
      <c r="E84" s="220"/>
      <c r="F84" s="220"/>
      <c r="G84" s="220"/>
      <c r="H84" s="220"/>
      <c r="I84" s="220"/>
      <c r="J84" s="220"/>
      <c r="K84" s="220"/>
      <c r="L84" s="220"/>
      <c r="M84" s="220"/>
      <c r="N84" s="220"/>
      <c r="O84" s="220"/>
      <c r="P84" s="220"/>
      <c r="Q84" s="220"/>
      <c r="R84" s="220"/>
      <c r="S84" s="220"/>
      <c r="T84" s="220"/>
      <c r="U84" s="220"/>
      <c r="V84" s="220"/>
      <c r="W84" s="220"/>
      <c r="X84" s="220"/>
      <c r="Y84" s="220"/>
      <c r="Z84" s="221"/>
    </row>
    <row r="85" spans="1:26" ht="66" customHeight="1" x14ac:dyDescent="0.15">
      <c r="B85" s="228"/>
      <c r="C85" s="77" t="s">
        <v>135</v>
      </c>
      <c r="D85" s="222"/>
      <c r="E85" s="223"/>
      <c r="F85" s="223"/>
      <c r="G85" s="223"/>
      <c r="H85" s="223"/>
      <c r="I85" s="223"/>
      <c r="J85" s="223"/>
      <c r="K85" s="223"/>
      <c r="L85" s="223"/>
      <c r="M85" s="223"/>
      <c r="N85" s="223"/>
      <c r="O85" s="223"/>
      <c r="P85" s="223"/>
      <c r="Q85" s="223"/>
      <c r="R85" s="223"/>
      <c r="S85" s="223"/>
      <c r="T85" s="223"/>
      <c r="U85" s="223"/>
      <c r="V85" s="223"/>
      <c r="W85" s="223"/>
      <c r="X85" s="223"/>
      <c r="Y85" s="223"/>
      <c r="Z85" s="224"/>
    </row>
    <row r="86" spans="1:26" ht="66" customHeight="1" x14ac:dyDescent="0.15">
      <c r="B86" s="225" t="s">
        <v>142</v>
      </c>
      <c r="C86" s="80" t="s">
        <v>110</v>
      </c>
      <c r="D86" s="219" t="s">
        <v>219</v>
      </c>
      <c r="E86" s="220"/>
      <c r="F86" s="220"/>
      <c r="G86" s="220"/>
      <c r="H86" s="220"/>
      <c r="I86" s="220"/>
      <c r="J86" s="220"/>
      <c r="K86" s="220"/>
      <c r="L86" s="220"/>
      <c r="M86" s="220"/>
      <c r="N86" s="220"/>
      <c r="O86" s="220"/>
      <c r="P86" s="220"/>
      <c r="Q86" s="220"/>
      <c r="R86" s="220"/>
      <c r="S86" s="220"/>
      <c r="T86" s="220"/>
      <c r="U86" s="220"/>
      <c r="V86" s="220"/>
      <c r="W86" s="220"/>
      <c r="X86" s="220"/>
      <c r="Y86" s="220"/>
      <c r="Z86" s="221"/>
    </row>
    <row r="87" spans="1:26" ht="66" customHeight="1" x14ac:dyDescent="0.15">
      <c r="B87" s="226"/>
      <c r="C87" s="76" t="s">
        <v>112</v>
      </c>
      <c r="D87" s="222"/>
      <c r="E87" s="223"/>
      <c r="F87" s="223"/>
      <c r="G87" s="223"/>
      <c r="H87" s="223"/>
      <c r="I87" s="223"/>
      <c r="J87" s="223"/>
      <c r="K87" s="223"/>
      <c r="L87" s="223"/>
      <c r="M87" s="223"/>
      <c r="N87" s="223"/>
      <c r="O87" s="223"/>
      <c r="P87" s="223"/>
      <c r="Q87" s="223"/>
      <c r="R87" s="223"/>
      <c r="S87" s="223"/>
      <c r="T87" s="223"/>
      <c r="U87" s="223"/>
      <c r="V87" s="223"/>
      <c r="W87" s="223"/>
      <c r="X87" s="223"/>
      <c r="Y87" s="223"/>
      <c r="Z87" s="224"/>
    </row>
    <row r="88" spans="1:26" ht="105.75" customHeight="1" x14ac:dyDescent="0.15">
      <c r="B88" s="225" t="s">
        <v>143</v>
      </c>
      <c r="C88" s="75" t="s">
        <v>109</v>
      </c>
      <c r="D88" s="219" t="s">
        <v>220</v>
      </c>
      <c r="E88" s="220"/>
      <c r="F88" s="220"/>
      <c r="G88" s="220"/>
      <c r="H88" s="220"/>
      <c r="I88" s="220"/>
      <c r="J88" s="220"/>
      <c r="K88" s="220"/>
      <c r="L88" s="220"/>
      <c r="M88" s="220"/>
      <c r="N88" s="220"/>
      <c r="O88" s="220"/>
      <c r="P88" s="220"/>
      <c r="Q88" s="220"/>
      <c r="R88" s="220"/>
      <c r="S88" s="220"/>
      <c r="T88" s="220"/>
      <c r="U88" s="220"/>
      <c r="V88" s="220"/>
      <c r="W88" s="220"/>
      <c r="X88" s="220"/>
      <c r="Y88" s="220"/>
      <c r="Z88" s="221"/>
    </row>
    <row r="89" spans="1:26" ht="105.75" customHeight="1" x14ac:dyDescent="0.15">
      <c r="B89" s="227"/>
      <c r="C89" s="76" t="s">
        <v>138</v>
      </c>
      <c r="D89" s="230"/>
      <c r="E89" s="231"/>
      <c r="F89" s="231"/>
      <c r="G89" s="231"/>
      <c r="H89" s="231"/>
      <c r="I89" s="231"/>
      <c r="J89" s="231"/>
      <c r="K89" s="231"/>
      <c r="L89" s="231"/>
      <c r="M89" s="231"/>
      <c r="N89" s="231"/>
      <c r="O89" s="231"/>
      <c r="P89" s="231"/>
      <c r="Q89" s="231"/>
      <c r="R89" s="231"/>
      <c r="S89" s="231"/>
      <c r="T89" s="231"/>
      <c r="U89" s="231"/>
      <c r="V89" s="231"/>
      <c r="W89" s="231"/>
      <c r="X89" s="231"/>
      <c r="Y89" s="231"/>
      <c r="Z89" s="232"/>
    </row>
    <row r="90" spans="1:26" ht="105.75" customHeight="1" x14ac:dyDescent="0.15">
      <c r="B90" s="228"/>
      <c r="C90" s="77" t="s">
        <v>139</v>
      </c>
      <c r="D90" s="222"/>
      <c r="E90" s="223"/>
      <c r="F90" s="223"/>
      <c r="G90" s="223"/>
      <c r="H90" s="223"/>
      <c r="I90" s="223"/>
      <c r="J90" s="223"/>
      <c r="K90" s="223"/>
      <c r="L90" s="223"/>
      <c r="M90" s="223"/>
      <c r="N90" s="223"/>
      <c r="O90" s="223"/>
      <c r="P90" s="223"/>
      <c r="Q90" s="223"/>
      <c r="R90" s="223"/>
      <c r="S90" s="223"/>
      <c r="T90" s="223"/>
      <c r="U90" s="223"/>
      <c r="V90" s="223"/>
      <c r="W90" s="223"/>
      <c r="X90" s="223"/>
      <c r="Y90" s="223"/>
      <c r="Z90" s="224"/>
    </row>
    <row r="91" spans="1:26" ht="6" customHeight="1" x14ac:dyDescent="0.15"/>
    <row r="92" spans="1:26" ht="18.75" customHeight="1" x14ac:dyDescent="0.15">
      <c r="A92" s="12" t="s">
        <v>147</v>
      </c>
    </row>
    <row r="93" spans="1:26" ht="21" customHeight="1" x14ac:dyDescent="0.15">
      <c r="B93" s="207" t="s">
        <v>181</v>
      </c>
      <c r="C93" s="208"/>
      <c r="D93" s="208"/>
      <c r="E93" s="208"/>
      <c r="F93" s="208"/>
      <c r="G93" s="208"/>
      <c r="H93" s="208"/>
      <c r="I93" s="208"/>
      <c r="J93" s="208"/>
      <c r="K93" s="208"/>
      <c r="L93" s="208"/>
      <c r="M93" s="208"/>
      <c r="N93" s="208"/>
      <c r="O93" s="208"/>
      <c r="P93" s="208"/>
      <c r="Q93" s="208"/>
      <c r="R93" s="208"/>
      <c r="S93" s="208"/>
      <c r="T93" s="208"/>
      <c r="U93" s="208"/>
      <c r="V93" s="208"/>
      <c r="W93" s="208"/>
      <c r="X93" s="208"/>
      <c r="Y93" s="208"/>
      <c r="Z93" s="209"/>
    </row>
    <row r="94" spans="1:26" ht="21" customHeight="1" x14ac:dyDescent="0.15">
      <c r="B94" s="210"/>
      <c r="C94" s="211"/>
      <c r="D94" s="211"/>
      <c r="E94" s="211"/>
      <c r="F94" s="211"/>
      <c r="G94" s="211"/>
      <c r="H94" s="211"/>
      <c r="I94" s="211"/>
      <c r="J94" s="211"/>
      <c r="K94" s="211"/>
      <c r="L94" s="211"/>
      <c r="M94" s="211"/>
      <c r="N94" s="211"/>
      <c r="O94" s="211"/>
      <c r="P94" s="211"/>
      <c r="Q94" s="211"/>
      <c r="R94" s="211"/>
      <c r="S94" s="211"/>
      <c r="T94" s="211"/>
      <c r="U94" s="211"/>
      <c r="V94" s="211"/>
      <c r="W94" s="211"/>
      <c r="X94" s="211"/>
      <c r="Y94" s="211"/>
      <c r="Z94" s="212"/>
    </row>
    <row r="95" spans="1:26" ht="21" customHeight="1" x14ac:dyDescent="0.15">
      <c r="B95" s="213"/>
      <c r="C95" s="214"/>
      <c r="D95" s="214"/>
      <c r="E95" s="214"/>
      <c r="F95" s="214"/>
      <c r="G95" s="214"/>
      <c r="H95" s="214"/>
      <c r="I95" s="214"/>
      <c r="J95" s="214"/>
      <c r="K95" s="214"/>
      <c r="L95" s="214"/>
      <c r="M95" s="214"/>
      <c r="N95" s="214"/>
      <c r="O95" s="214"/>
      <c r="P95" s="214"/>
      <c r="Q95" s="214"/>
      <c r="R95" s="214"/>
      <c r="S95" s="214"/>
      <c r="T95" s="214"/>
      <c r="U95" s="214"/>
      <c r="V95" s="214"/>
      <c r="W95" s="214"/>
      <c r="X95" s="214"/>
      <c r="Y95" s="214"/>
      <c r="Z95" s="215"/>
    </row>
    <row r="96" spans="1:26" ht="6" customHeight="1" x14ac:dyDescent="0.15"/>
    <row r="97" spans="1:26" ht="15" customHeight="1" x14ac:dyDescent="0.15">
      <c r="A97" s="12" t="s">
        <v>148</v>
      </c>
    </row>
    <row r="98" spans="1:26" ht="21" customHeight="1" x14ac:dyDescent="0.15">
      <c r="B98" s="216" t="s">
        <v>182</v>
      </c>
      <c r="C98" s="217"/>
      <c r="D98" s="217"/>
      <c r="E98" s="217"/>
      <c r="F98" s="217"/>
      <c r="G98" s="217"/>
      <c r="H98" s="217"/>
      <c r="I98" s="217"/>
      <c r="J98" s="217"/>
      <c r="K98" s="217"/>
      <c r="L98" s="217"/>
      <c r="M98" s="217"/>
      <c r="N98" s="217"/>
      <c r="O98" s="217"/>
      <c r="P98" s="217"/>
      <c r="Q98" s="217"/>
      <c r="R98" s="217"/>
      <c r="S98" s="217"/>
      <c r="T98" s="217"/>
      <c r="U98" s="217"/>
      <c r="V98" s="217"/>
      <c r="W98" s="217"/>
      <c r="X98" s="217"/>
      <c r="Y98" s="217"/>
      <c r="Z98" s="218"/>
    </row>
  </sheetData>
  <mergeCells count="212">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4:F44"/>
    <mergeCell ref="I44:K44"/>
    <mergeCell ref="N44:S44"/>
    <mergeCell ref="V44:X44"/>
    <mergeCell ref="A46:Z47"/>
    <mergeCell ref="B48:F48"/>
    <mergeCell ref="I48:K48"/>
    <mergeCell ref="N48:S48"/>
    <mergeCell ref="V48:X48"/>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76:F76"/>
    <mergeCell ref="G76:M76"/>
    <mergeCell ref="N76:S76"/>
    <mergeCell ref="T76:Z76"/>
    <mergeCell ref="D79:Z79"/>
    <mergeCell ref="B80:B81"/>
    <mergeCell ref="B74:F74"/>
    <mergeCell ref="G74:M74"/>
    <mergeCell ref="N74:S74"/>
    <mergeCell ref="T74:Z74"/>
    <mergeCell ref="B75:F75"/>
    <mergeCell ref="G75:M75"/>
    <mergeCell ref="N75:S75"/>
    <mergeCell ref="T75:Z75"/>
    <mergeCell ref="D80:Z81"/>
    <mergeCell ref="B93:Z95"/>
    <mergeCell ref="B98:Z98"/>
    <mergeCell ref="D82:Z83"/>
    <mergeCell ref="D84:Z85"/>
    <mergeCell ref="B86:B87"/>
    <mergeCell ref="B88:B90"/>
    <mergeCell ref="B82:B83"/>
    <mergeCell ref="B84:B85"/>
    <mergeCell ref="D86:Z87"/>
    <mergeCell ref="D88:Z90"/>
  </mergeCells>
  <phoneticPr fontId="1"/>
  <dataValidations count="4">
    <dataValidation type="list" allowBlank="1" showInputMessage="1" showErrorMessage="1" sqref="Y16:Z22 L16:M22 Y27:Z33 L27:M33 H38:H44 Y38:Z44 H49:H55 Y49:Z55 Y60:Z66 L60:M66 H16:H22 U16:U22 H27:H33 U27:U33 T60:T66 U38:U44 L38:M44 U49:U55 G60:G66 K60:K62 L49:M55" xr:uid="{00000000-0002-0000-0100-000000000000}">
      <formula1>"○"</formula1>
    </dataValidation>
    <dataValidation type="list" allowBlank="1" showInputMessage="1" showErrorMessage="1" sqref="Z23 Z34 D34:K34 D23:K23 V16:V22 I16:I22 V27:V33 I27:I33 V38:V44 H60:H66 V49:V55 I38:I44 U60:U66 I49:I55" xr:uid="{00000000-0002-0000-0100-000001000000}">
      <formula1>"全学開講,一部開講"</formula1>
    </dataValidation>
    <dataValidation type="list" allowBlank="1" showInputMessage="1" showErrorMessage="1" sqref="O4" xr:uid="{00000000-0002-0000-01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1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00000000-0004-0000-0100-000000000000}"/>
  </hyperlinks>
  <printOptions horizontalCentered="1"/>
  <pageMargins left="0.78740157480314965" right="0.78740157480314965" top="0.59055118110236227" bottom="0.19685039370078741" header="0.31496062992125984" footer="0.19685039370078741"/>
  <pageSetup paperSize="9" scale="98" orientation="landscape" r:id="rId2"/>
  <rowBreaks count="4" manualBreakCount="4">
    <brk id="34" max="25" man="1"/>
    <brk id="67" max="25" man="1"/>
    <brk id="83" max="25" man="1"/>
    <brk id="91"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DCAA6-9D63-4B9E-AE5E-2C3A2AA31B0E}">
  <dimension ref="A1:Z98"/>
  <sheetViews>
    <sheetView showZeros="0" view="pageBreakPreview" zoomScale="85" zoomScaleNormal="100" zoomScaleSheetLayoutView="85" workbookViewId="0">
      <selection activeCell="D86" sqref="D86:Z87"/>
    </sheetView>
  </sheetViews>
  <sheetFormatPr defaultColWidth="9" defaultRowHeight="18.75" customHeight="1" x14ac:dyDescent="0.15"/>
  <cols>
    <col min="1" max="1" width="2.5" style="136" customWidth="1"/>
    <col min="2" max="2" width="27.75" style="136" customWidth="1"/>
    <col min="3" max="13" width="3.375" style="136" customWidth="1"/>
    <col min="14" max="14" width="8.875" style="136" customWidth="1"/>
    <col min="15" max="15" width="18.875" style="136" customWidth="1"/>
    <col min="16" max="19" width="3.375" style="136" customWidth="1"/>
    <col min="20" max="20" width="3.5" style="136" customWidth="1"/>
    <col min="21" max="26" width="3.375" style="136" customWidth="1"/>
    <col min="27" max="16384" width="9" style="136"/>
  </cols>
  <sheetData>
    <row r="1" spans="1:26" ht="15" customHeight="1" x14ac:dyDescent="0.15">
      <c r="W1" s="357" t="s">
        <v>191</v>
      </c>
      <c r="X1" s="357"/>
      <c r="Y1" s="357"/>
      <c r="Z1" s="357"/>
    </row>
    <row r="2" spans="1:26" ht="18" customHeight="1" x14ac:dyDescent="0.15">
      <c r="A2" s="358" t="s">
        <v>69</v>
      </c>
      <c r="B2" s="358"/>
      <c r="C2" s="358"/>
      <c r="D2" s="358"/>
      <c r="E2" s="358"/>
      <c r="F2" s="358"/>
      <c r="G2" s="358"/>
      <c r="H2" s="358"/>
      <c r="I2" s="358"/>
      <c r="J2" s="358"/>
      <c r="K2" s="358"/>
      <c r="L2" s="358"/>
      <c r="M2" s="358"/>
      <c r="N2" s="358"/>
      <c r="O2" s="358"/>
      <c r="P2" s="358"/>
      <c r="Q2" s="358"/>
      <c r="R2" s="358"/>
      <c r="S2" s="358"/>
      <c r="T2" s="358"/>
      <c r="U2" s="358"/>
      <c r="V2" s="358"/>
      <c r="W2" s="358"/>
      <c r="X2" s="358"/>
      <c r="Y2" s="358"/>
      <c r="Z2" s="358"/>
    </row>
    <row r="3" spans="1:26" ht="15" customHeight="1" x14ac:dyDescent="0.15">
      <c r="B3" s="137"/>
      <c r="C3" s="137"/>
      <c r="D3" s="137"/>
      <c r="E3" s="137"/>
      <c r="F3" s="137"/>
      <c r="G3" s="137"/>
      <c r="H3" s="137"/>
      <c r="I3" s="137"/>
      <c r="J3" s="137"/>
      <c r="K3" s="137"/>
      <c r="L3" s="137"/>
      <c r="M3" s="137"/>
      <c r="N3" s="137"/>
      <c r="O3" s="137"/>
      <c r="P3" s="137"/>
      <c r="Q3" s="137"/>
      <c r="R3" s="137"/>
      <c r="S3" s="137"/>
      <c r="T3" s="137"/>
      <c r="U3" s="137"/>
      <c r="V3" s="137"/>
      <c r="W3" s="137"/>
      <c r="X3" s="137"/>
      <c r="Y3" s="137"/>
      <c r="Z3" s="137"/>
    </row>
    <row r="4" spans="1:26" ht="18" customHeight="1" x14ac:dyDescent="0.15">
      <c r="A4" s="136" t="s">
        <v>103</v>
      </c>
      <c r="B4" s="137"/>
      <c r="C4" s="137"/>
      <c r="D4" s="137"/>
      <c r="E4" s="137"/>
      <c r="F4" s="137"/>
      <c r="G4" s="137"/>
      <c r="H4" s="138" t="s">
        <v>116</v>
      </c>
      <c r="I4" s="137"/>
      <c r="J4" s="137"/>
      <c r="K4" s="137"/>
      <c r="L4" s="137"/>
      <c r="M4" s="137"/>
      <c r="N4" s="137"/>
      <c r="O4" s="198" t="s">
        <v>175</v>
      </c>
      <c r="P4" s="199"/>
      <c r="Q4" s="199"/>
      <c r="R4" s="199"/>
      <c r="S4" s="199"/>
      <c r="T4" s="199"/>
      <c r="U4" s="199"/>
      <c r="V4" s="199"/>
      <c r="W4" s="199"/>
      <c r="X4" s="199"/>
      <c r="Y4" s="199"/>
      <c r="Z4" s="200"/>
    </row>
    <row r="5" spans="1:26" ht="6" customHeight="1" x14ac:dyDescent="0.15">
      <c r="B5" s="137"/>
      <c r="C5" s="137"/>
      <c r="D5" s="137"/>
      <c r="E5" s="137"/>
      <c r="F5" s="137"/>
      <c r="G5" s="137"/>
      <c r="H5" s="137"/>
      <c r="I5" s="137"/>
      <c r="J5" s="137"/>
      <c r="K5" s="137"/>
      <c r="L5" s="137"/>
      <c r="M5" s="137"/>
      <c r="N5" s="137"/>
      <c r="O5" s="139"/>
      <c r="P5" s="137"/>
      <c r="Q5" s="137"/>
      <c r="R5" s="137"/>
      <c r="S5" s="137"/>
      <c r="T5" s="137"/>
      <c r="U5" s="137"/>
      <c r="V5" s="137"/>
      <c r="W5" s="137"/>
      <c r="X5" s="137"/>
      <c r="Y5" s="137"/>
      <c r="Z5" s="137"/>
    </row>
    <row r="6" spans="1:26" ht="18" customHeight="1" x14ac:dyDescent="0.15">
      <c r="B6" s="359" t="s">
        <v>214</v>
      </c>
      <c r="C6" s="360"/>
      <c r="D6" s="360"/>
      <c r="E6" s="360"/>
      <c r="F6" s="360"/>
      <c r="G6" s="360"/>
      <c r="H6" s="360"/>
      <c r="I6" s="360"/>
      <c r="J6" s="360"/>
      <c r="K6" s="360"/>
      <c r="L6" s="360"/>
      <c r="M6" s="360"/>
      <c r="N6" s="360"/>
      <c r="O6" s="360"/>
      <c r="P6" s="360"/>
      <c r="Q6" s="360"/>
      <c r="R6" s="360"/>
      <c r="S6" s="360"/>
      <c r="T6" s="360"/>
      <c r="U6" s="360"/>
      <c r="V6" s="360"/>
      <c r="W6" s="360"/>
      <c r="X6" s="360"/>
      <c r="Y6" s="360"/>
      <c r="Z6" s="361"/>
    </row>
    <row r="7" spans="1:26" ht="18" customHeight="1" x14ac:dyDescent="0.15">
      <c r="B7" s="362"/>
      <c r="C7" s="363"/>
      <c r="D7" s="363"/>
      <c r="E7" s="363"/>
      <c r="F7" s="363"/>
      <c r="G7" s="363"/>
      <c r="H7" s="363"/>
      <c r="I7" s="363"/>
      <c r="J7" s="363"/>
      <c r="K7" s="363"/>
      <c r="L7" s="363"/>
      <c r="M7" s="363"/>
      <c r="N7" s="363"/>
      <c r="O7" s="363"/>
      <c r="P7" s="363"/>
      <c r="Q7" s="363"/>
      <c r="R7" s="363"/>
      <c r="S7" s="363"/>
      <c r="T7" s="363"/>
      <c r="U7" s="363"/>
      <c r="V7" s="363"/>
      <c r="W7" s="363"/>
      <c r="X7" s="363"/>
      <c r="Y7" s="363"/>
      <c r="Z7" s="364"/>
    </row>
    <row r="8" spans="1:26" ht="18" customHeight="1" x14ac:dyDescent="0.15">
      <c r="B8" s="362"/>
      <c r="C8" s="363"/>
      <c r="D8" s="363"/>
      <c r="E8" s="363"/>
      <c r="F8" s="363"/>
      <c r="G8" s="363"/>
      <c r="H8" s="363"/>
      <c r="I8" s="363"/>
      <c r="J8" s="363"/>
      <c r="K8" s="363"/>
      <c r="L8" s="363"/>
      <c r="M8" s="363"/>
      <c r="N8" s="363"/>
      <c r="O8" s="363"/>
      <c r="P8" s="363"/>
      <c r="Q8" s="363"/>
      <c r="R8" s="363"/>
      <c r="S8" s="363"/>
      <c r="T8" s="363"/>
      <c r="U8" s="363"/>
      <c r="V8" s="363"/>
      <c r="W8" s="363"/>
      <c r="X8" s="363"/>
      <c r="Y8" s="363"/>
      <c r="Z8" s="364"/>
    </row>
    <row r="9" spans="1:26" ht="18" customHeight="1" x14ac:dyDescent="0.15">
      <c r="B9" s="362"/>
      <c r="C9" s="363"/>
      <c r="D9" s="363"/>
      <c r="E9" s="363"/>
      <c r="F9" s="363"/>
      <c r="G9" s="363"/>
      <c r="H9" s="363"/>
      <c r="I9" s="363"/>
      <c r="J9" s="363"/>
      <c r="K9" s="363"/>
      <c r="L9" s="363"/>
      <c r="M9" s="363"/>
      <c r="N9" s="363"/>
      <c r="O9" s="363"/>
      <c r="P9" s="363"/>
      <c r="Q9" s="363"/>
      <c r="R9" s="363"/>
      <c r="S9" s="363"/>
      <c r="T9" s="363"/>
      <c r="U9" s="363"/>
      <c r="V9" s="363"/>
      <c r="W9" s="363"/>
      <c r="X9" s="363"/>
      <c r="Y9" s="363"/>
      <c r="Z9" s="364"/>
    </row>
    <row r="10" spans="1:26" ht="18" customHeight="1" x14ac:dyDescent="0.15">
      <c r="B10" s="362"/>
      <c r="C10" s="365"/>
      <c r="D10" s="365"/>
      <c r="E10" s="365"/>
      <c r="F10" s="365"/>
      <c r="G10" s="365"/>
      <c r="H10" s="365"/>
      <c r="I10" s="365"/>
      <c r="J10" s="365"/>
      <c r="K10" s="365"/>
      <c r="L10" s="365"/>
      <c r="M10" s="365"/>
      <c r="N10" s="365"/>
      <c r="O10" s="365"/>
      <c r="P10" s="365"/>
      <c r="Q10" s="365"/>
      <c r="R10" s="365"/>
      <c r="S10" s="365"/>
      <c r="T10" s="365"/>
      <c r="U10" s="365"/>
      <c r="V10" s="365"/>
      <c r="W10" s="365"/>
      <c r="X10" s="365"/>
      <c r="Y10" s="365"/>
      <c r="Z10" s="364"/>
    </row>
    <row r="11" spans="1:26" ht="18" customHeight="1" x14ac:dyDescent="0.15">
      <c r="B11" s="366"/>
      <c r="C11" s="367"/>
      <c r="D11" s="367"/>
      <c r="E11" s="367"/>
      <c r="F11" s="367"/>
      <c r="G11" s="367"/>
      <c r="H11" s="367"/>
      <c r="I11" s="367"/>
      <c r="J11" s="367"/>
      <c r="K11" s="367"/>
      <c r="L11" s="367"/>
      <c r="M11" s="367"/>
      <c r="N11" s="367"/>
      <c r="O11" s="367"/>
      <c r="P11" s="367"/>
      <c r="Q11" s="367"/>
      <c r="R11" s="367"/>
      <c r="S11" s="367"/>
      <c r="T11" s="367"/>
      <c r="U11" s="367"/>
      <c r="V11" s="367"/>
      <c r="W11" s="367"/>
      <c r="X11" s="367"/>
      <c r="Y11" s="367"/>
      <c r="Z11" s="368"/>
    </row>
    <row r="12" spans="1:26" ht="7.5" customHeight="1" x14ac:dyDescent="0.15">
      <c r="B12" s="137"/>
      <c r="C12" s="137"/>
      <c r="D12" s="137"/>
      <c r="E12" s="137"/>
      <c r="F12" s="137"/>
      <c r="G12" s="137"/>
      <c r="H12" s="137"/>
      <c r="I12" s="137"/>
      <c r="J12" s="137"/>
      <c r="K12" s="137"/>
      <c r="L12" s="137"/>
      <c r="M12" s="137"/>
      <c r="N12" s="137"/>
      <c r="O12" s="137"/>
      <c r="P12" s="137"/>
      <c r="Q12" s="137"/>
      <c r="R12" s="137"/>
      <c r="S12" s="137"/>
      <c r="T12" s="137"/>
      <c r="U12" s="137"/>
      <c r="V12" s="137"/>
      <c r="W12" s="137"/>
      <c r="X12" s="137"/>
      <c r="Y12" s="137"/>
      <c r="Z12" s="137"/>
    </row>
    <row r="13" spans="1:26" ht="18" customHeight="1" x14ac:dyDescent="0.15">
      <c r="A13" s="350" t="s">
        <v>129</v>
      </c>
      <c r="B13" s="350"/>
      <c r="C13" s="350"/>
      <c r="D13" s="350"/>
      <c r="E13" s="350"/>
      <c r="F13" s="350"/>
      <c r="G13" s="350"/>
      <c r="H13" s="350"/>
      <c r="I13" s="350"/>
      <c r="J13" s="350"/>
      <c r="K13" s="350"/>
      <c r="L13" s="350"/>
      <c r="M13" s="350"/>
      <c r="N13" s="350"/>
      <c r="O13" s="350"/>
      <c r="P13" s="350"/>
      <c r="Q13" s="350"/>
      <c r="R13" s="350"/>
      <c r="S13" s="350"/>
      <c r="T13" s="350"/>
      <c r="U13" s="350"/>
      <c r="V13" s="350"/>
      <c r="W13" s="350"/>
      <c r="X13" s="350"/>
      <c r="Y13" s="350"/>
      <c r="Z13" s="350"/>
    </row>
    <row r="14" spans="1:26" ht="18" customHeight="1" x14ac:dyDescent="0.15">
      <c r="A14" s="350"/>
      <c r="B14" s="350"/>
      <c r="C14" s="350"/>
      <c r="D14" s="350"/>
      <c r="E14" s="350"/>
      <c r="F14" s="350"/>
      <c r="G14" s="350"/>
      <c r="H14" s="350"/>
      <c r="I14" s="350"/>
      <c r="J14" s="350"/>
      <c r="K14" s="350"/>
      <c r="L14" s="350"/>
      <c r="M14" s="350"/>
      <c r="N14" s="350"/>
      <c r="O14" s="350"/>
      <c r="P14" s="350"/>
      <c r="Q14" s="350"/>
      <c r="R14" s="350"/>
      <c r="S14" s="350"/>
      <c r="T14" s="350"/>
      <c r="U14" s="350"/>
      <c r="V14" s="350"/>
      <c r="W14" s="350"/>
      <c r="X14" s="350"/>
      <c r="Y14" s="350"/>
      <c r="Z14" s="350"/>
    </row>
    <row r="15" spans="1:26" ht="18" customHeight="1" x14ac:dyDescent="0.15">
      <c r="A15" s="120"/>
      <c r="B15" s="198" t="s">
        <v>104</v>
      </c>
      <c r="C15" s="199"/>
      <c r="D15" s="199"/>
      <c r="E15" s="199"/>
      <c r="F15" s="200"/>
      <c r="G15" s="140" t="s">
        <v>145</v>
      </c>
      <c r="H15" s="141" t="s">
        <v>144</v>
      </c>
      <c r="I15" s="199" t="s">
        <v>105</v>
      </c>
      <c r="J15" s="199"/>
      <c r="K15" s="199"/>
      <c r="L15" s="142" t="s">
        <v>108</v>
      </c>
      <c r="M15" s="142" t="s">
        <v>111</v>
      </c>
      <c r="N15" s="198" t="s">
        <v>104</v>
      </c>
      <c r="O15" s="199"/>
      <c r="P15" s="199"/>
      <c r="Q15" s="199"/>
      <c r="R15" s="199"/>
      <c r="S15" s="200"/>
      <c r="T15" s="140" t="s">
        <v>145</v>
      </c>
      <c r="U15" s="141" t="s">
        <v>144</v>
      </c>
      <c r="V15" s="199" t="s">
        <v>105</v>
      </c>
      <c r="W15" s="199"/>
      <c r="X15" s="199"/>
      <c r="Y15" s="142" t="s">
        <v>108</v>
      </c>
      <c r="Z15" s="142" t="s">
        <v>111</v>
      </c>
    </row>
    <row r="16" spans="1:26" ht="18" customHeight="1" x14ac:dyDescent="0.15">
      <c r="A16" s="120"/>
      <c r="B16" s="354" t="s">
        <v>192</v>
      </c>
      <c r="C16" s="355"/>
      <c r="D16" s="355"/>
      <c r="E16" s="355"/>
      <c r="F16" s="356"/>
      <c r="G16" s="143">
        <v>1</v>
      </c>
      <c r="H16" s="143" t="s">
        <v>177</v>
      </c>
      <c r="I16" s="344" t="s">
        <v>210</v>
      </c>
      <c r="J16" s="345"/>
      <c r="K16" s="346"/>
      <c r="L16" s="143" t="s">
        <v>177</v>
      </c>
      <c r="M16" s="143" t="s">
        <v>177</v>
      </c>
      <c r="N16" s="329"/>
      <c r="O16" s="330"/>
      <c r="P16" s="330"/>
      <c r="Q16" s="330"/>
      <c r="R16" s="330"/>
      <c r="S16" s="331"/>
      <c r="T16" s="143"/>
      <c r="U16" s="143"/>
      <c r="V16" s="344"/>
      <c r="W16" s="345"/>
      <c r="X16" s="346"/>
      <c r="Y16" s="143"/>
      <c r="Z16" s="143"/>
    </row>
    <row r="17" spans="1:26" ht="18" customHeight="1" x14ac:dyDescent="0.15">
      <c r="A17" s="120"/>
      <c r="B17" s="351"/>
      <c r="C17" s="352"/>
      <c r="D17" s="352"/>
      <c r="E17" s="352"/>
      <c r="F17" s="353"/>
      <c r="G17" s="144"/>
      <c r="H17" s="144"/>
      <c r="I17" s="341"/>
      <c r="J17" s="342"/>
      <c r="K17" s="343"/>
      <c r="L17" s="144"/>
      <c r="M17" s="144"/>
      <c r="N17" s="323"/>
      <c r="O17" s="324"/>
      <c r="P17" s="324"/>
      <c r="Q17" s="324"/>
      <c r="R17" s="324"/>
      <c r="S17" s="325"/>
      <c r="T17" s="144"/>
      <c r="U17" s="144"/>
      <c r="V17" s="341"/>
      <c r="W17" s="342"/>
      <c r="X17" s="343"/>
      <c r="Y17" s="144"/>
      <c r="Z17" s="144"/>
    </row>
    <row r="18" spans="1:26" ht="18" customHeight="1" x14ac:dyDescent="0.15">
      <c r="A18" s="120"/>
      <c r="B18" s="351"/>
      <c r="C18" s="352"/>
      <c r="D18" s="352"/>
      <c r="E18" s="352"/>
      <c r="F18" s="353"/>
      <c r="G18" s="144"/>
      <c r="H18" s="144"/>
      <c r="I18" s="341"/>
      <c r="J18" s="342"/>
      <c r="K18" s="343"/>
      <c r="L18" s="144"/>
      <c r="M18" s="144"/>
      <c r="N18" s="323"/>
      <c r="O18" s="324"/>
      <c r="P18" s="324"/>
      <c r="Q18" s="324"/>
      <c r="R18" s="324"/>
      <c r="S18" s="325"/>
      <c r="T18" s="144"/>
      <c r="U18" s="144"/>
      <c r="V18" s="341"/>
      <c r="W18" s="342"/>
      <c r="X18" s="343"/>
      <c r="Y18" s="144"/>
      <c r="Z18" s="144"/>
    </row>
    <row r="19" spans="1:26" ht="18" customHeight="1" x14ac:dyDescent="0.15">
      <c r="A19" s="120"/>
      <c r="B19" s="351"/>
      <c r="C19" s="352"/>
      <c r="D19" s="352"/>
      <c r="E19" s="352"/>
      <c r="F19" s="353"/>
      <c r="G19" s="144"/>
      <c r="H19" s="144"/>
      <c r="I19" s="341"/>
      <c r="J19" s="342"/>
      <c r="K19" s="343"/>
      <c r="L19" s="144"/>
      <c r="M19" s="144"/>
      <c r="N19" s="323"/>
      <c r="O19" s="324"/>
      <c r="P19" s="324"/>
      <c r="Q19" s="324"/>
      <c r="R19" s="324"/>
      <c r="S19" s="325"/>
      <c r="T19" s="144"/>
      <c r="U19" s="144"/>
      <c r="V19" s="341"/>
      <c r="W19" s="342"/>
      <c r="X19" s="343"/>
      <c r="Y19" s="144"/>
      <c r="Z19" s="144"/>
    </row>
    <row r="20" spans="1:26" ht="18" customHeight="1" x14ac:dyDescent="0.15">
      <c r="A20" s="120"/>
      <c r="B20" s="351"/>
      <c r="C20" s="352"/>
      <c r="D20" s="352"/>
      <c r="E20" s="352"/>
      <c r="F20" s="353"/>
      <c r="G20" s="144"/>
      <c r="H20" s="144"/>
      <c r="I20" s="341"/>
      <c r="J20" s="342"/>
      <c r="K20" s="343"/>
      <c r="L20" s="144"/>
      <c r="M20" s="144"/>
      <c r="N20" s="323"/>
      <c r="O20" s="324"/>
      <c r="P20" s="324"/>
      <c r="Q20" s="324"/>
      <c r="R20" s="324"/>
      <c r="S20" s="325"/>
      <c r="T20" s="144"/>
      <c r="U20" s="144"/>
      <c r="V20" s="341"/>
      <c r="W20" s="342"/>
      <c r="X20" s="343"/>
      <c r="Y20" s="144"/>
      <c r="Z20" s="144"/>
    </row>
    <row r="21" spans="1:26" ht="18" customHeight="1" x14ac:dyDescent="0.15">
      <c r="A21" s="137"/>
      <c r="B21" s="351"/>
      <c r="C21" s="352"/>
      <c r="D21" s="352"/>
      <c r="E21" s="352"/>
      <c r="F21" s="353"/>
      <c r="G21" s="144"/>
      <c r="H21" s="144"/>
      <c r="I21" s="341"/>
      <c r="J21" s="342"/>
      <c r="K21" s="343"/>
      <c r="L21" s="144"/>
      <c r="M21" s="144"/>
      <c r="N21" s="323"/>
      <c r="O21" s="324"/>
      <c r="P21" s="324"/>
      <c r="Q21" s="324"/>
      <c r="R21" s="324"/>
      <c r="S21" s="325"/>
      <c r="T21" s="144"/>
      <c r="U21" s="144"/>
      <c r="V21" s="341"/>
      <c r="W21" s="342"/>
      <c r="X21" s="343"/>
      <c r="Y21" s="144"/>
      <c r="Z21" s="144"/>
    </row>
    <row r="22" spans="1:26" ht="18" customHeight="1" x14ac:dyDescent="0.15">
      <c r="A22" s="137"/>
      <c r="B22" s="347"/>
      <c r="C22" s="348"/>
      <c r="D22" s="348"/>
      <c r="E22" s="348"/>
      <c r="F22" s="349"/>
      <c r="G22" s="145"/>
      <c r="H22" s="145"/>
      <c r="I22" s="335"/>
      <c r="J22" s="336"/>
      <c r="K22" s="337"/>
      <c r="L22" s="146"/>
      <c r="M22" s="146"/>
      <c r="N22" s="315"/>
      <c r="O22" s="316"/>
      <c r="P22" s="316"/>
      <c r="Q22" s="316"/>
      <c r="R22" s="316"/>
      <c r="S22" s="317"/>
      <c r="T22" s="145"/>
      <c r="U22" s="145"/>
      <c r="V22" s="335"/>
      <c r="W22" s="336"/>
      <c r="X22" s="337"/>
      <c r="Y22" s="146"/>
      <c r="Z22" s="146"/>
    </row>
    <row r="23" spans="1:26" ht="7.5" customHeight="1" x14ac:dyDescent="0.15">
      <c r="A23" s="137"/>
      <c r="B23" s="147"/>
      <c r="C23" s="147"/>
      <c r="D23" s="137"/>
      <c r="E23" s="137"/>
      <c r="F23" s="137"/>
      <c r="G23" s="137"/>
      <c r="H23" s="137"/>
      <c r="I23" s="137"/>
      <c r="J23" s="137"/>
      <c r="K23" s="137"/>
      <c r="L23" s="147"/>
      <c r="M23" s="147"/>
      <c r="N23" s="147"/>
      <c r="O23" s="147"/>
      <c r="P23" s="147"/>
      <c r="Q23" s="147"/>
      <c r="R23" s="147"/>
      <c r="S23" s="147"/>
      <c r="T23" s="147"/>
      <c r="U23" s="147"/>
      <c r="V23" s="147"/>
      <c r="W23" s="147"/>
      <c r="X23" s="147"/>
      <c r="Y23" s="147"/>
      <c r="Z23" s="137"/>
    </row>
    <row r="24" spans="1:26" ht="18" customHeight="1" x14ac:dyDescent="0.15">
      <c r="A24" s="350" t="s">
        <v>130</v>
      </c>
      <c r="B24" s="350"/>
      <c r="C24" s="350"/>
      <c r="D24" s="350"/>
      <c r="E24" s="350"/>
      <c r="F24" s="350"/>
      <c r="G24" s="350"/>
      <c r="H24" s="350"/>
      <c r="I24" s="350"/>
      <c r="J24" s="350"/>
      <c r="K24" s="350"/>
      <c r="L24" s="350"/>
      <c r="M24" s="350"/>
      <c r="N24" s="350"/>
      <c r="O24" s="350"/>
      <c r="P24" s="350"/>
      <c r="Q24" s="350"/>
      <c r="R24" s="350"/>
      <c r="S24" s="350"/>
      <c r="T24" s="350"/>
      <c r="U24" s="350"/>
      <c r="V24" s="350"/>
      <c r="W24" s="350"/>
      <c r="X24" s="350"/>
      <c r="Y24" s="350"/>
      <c r="Z24" s="350"/>
    </row>
    <row r="25" spans="1:26" ht="18" customHeight="1" x14ac:dyDescent="0.15">
      <c r="A25" s="350"/>
      <c r="B25" s="350"/>
      <c r="C25" s="350"/>
      <c r="D25" s="350"/>
      <c r="E25" s="350"/>
      <c r="F25" s="350"/>
      <c r="G25" s="350"/>
      <c r="H25" s="350"/>
      <c r="I25" s="350"/>
      <c r="J25" s="350"/>
      <c r="K25" s="350"/>
      <c r="L25" s="350"/>
      <c r="M25" s="350"/>
      <c r="N25" s="350"/>
      <c r="O25" s="350"/>
      <c r="P25" s="350"/>
      <c r="Q25" s="350"/>
      <c r="R25" s="350"/>
      <c r="S25" s="350"/>
      <c r="T25" s="350"/>
      <c r="U25" s="350"/>
      <c r="V25" s="350"/>
      <c r="W25" s="350"/>
      <c r="X25" s="350"/>
      <c r="Y25" s="350"/>
      <c r="Z25" s="350"/>
    </row>
    <row r="26" spans="1:26" ht="18" customHeight="1" x14ac:dyDescent="0.15">
      <c r="A26" s="120"/>
      <c r="B26" s="198" t="s">
        <v>104</v>
      </c>
      <c r="C26" s="199"/>
      <c r="D26" s="199"/>
      <c r="E26" s="199"/>
      <c r="F26" s="200"/>
      <c r="G26" s="140" t="s">
        <v>145</v>
      </c>
      <c r="H26" s="141" t="s">
        <v>144</v>
      </c>
      <c r="I26" s="199" t="s">
        <v>105</v>
      </c>
      <c r="J26" s="199"/>
      <c r="K26" s="199"/>
      <c r="L26" s="142" t="s">
        <v>131</v>
      </c>
      <c r="M26" s="142" t="s">
        <v>132</v>
      </c>
      <c r="N26" s="198" t="s">
        <v>104</v>
      </c>
      <c r="O26" s="199"/>
      <c r="P26" s="199"/>
      <c r="Q26" s="199"/>
      <c r="R26" s="199"/>
      <c r="S26" s="200"/>
      <c r="T26" s="140" t="s">
        <v>145</v>
      </c>
      <c r="U26" s="141" t="s">
        <v>144</v>
      </c>
      <c r="V26" s="199" t="s">
        <v>105</v>
      </c>
      <c r="W26" s="199"/>
      <c r="X26" s="199"/>
      <c r="Y26" s="142" t="s">
        <v>131</v>
      </c>
      <c r="Z26" s="142" t="s">
        <v>132</v>
      </c>
    </row>
    <row r="27" spans="1:26" ht="18" customHeight="1" x14ac:dyDescent="0.15">
      <c r="A27" s="120"/>
      <c r="B27" s="354" t="s">
        <v>192</v>
      </c>
      <c r="C27" s="355"/>
      <c r="D27" s="355"/>
      <c r="E27" s="355"/>
      <c r="F27" s="356"/>
      <c r="G27" s="143">
        <v>1</v>
      </c>
      <c r="H27" s="143" t="s">
        <v>177</v>
      </c>
      <c r="I27" s="344" t="s">
        <v>210</v>
      </c>
      <c r="J27" s="345"/>
      <c r="K27" s="346"/>
      <c r="L27" s="143" t="s">
        <v>177</v>
      </c>
      <c r="M27" s="143" t="s">
        <v>177</v>
      </c>
      <c r="N27" s="329"/>
      <c r="O27" s="330"/>
      <c r="P27" s="330"/>
      <c r="Q27" s="330"/>
      <c r="R27" s="330"/>
      <c r="S27" s="331"/>
      <c r="T27" s="143"/>
      <c r="U27" s="143"/>
      <c r="V27" s="344"/>
      <c r="W27" s="345"/>
      <c r="X27" s="346"/>
      <c r="Y27" s="143"/>
      <c r="Z27" s="143"/>
    </row>
    <row r="28" spans="1:26" ht="18" customHeight="1" x14ac:dyDescent="0.15">
      <c r="A28" s="120"/>
      <c r="B28" s="351"/>
      <c r="C28" s="352"/>
      <c r="D28" s="352"/>
      <c r="E28" s="352"/>
      <c r="F28" s="353"/>
      <c r="G28" s="144"/>
      <c r="H28" s="144"/>
      <c r="I28" s="341"/>
      <c r="J28" s="342"/>
      <c r="K28" s="343"/>
      <c r="L28" s="144"/>
      <c r="M28" s="144"/>
      <c r="N28" s="323"/>
      <c r="O28" s="324"/>
      <c r="P28" s="324"/>
      <c r="Q28" s="324"/>
      <c r="R28" s="324"/>
      <c r="S28" s="325"/>
      <c r="T28" s="144"/>
      <c r="U28" s="144"/>
      <c r="V28" s="341"/>
      <c r="W28" s="342"/>
      <c r="X28" s="343"/>
      <c r="Y28" s="144"/>
      <c r="Z28" s="144"/>
    </row>
    <row r="29" spans="1:26" ht="18" customHeight="1" x14ac:dyDescent="0.15">
      <c r="A29" s="120"/>
      <c r="B29" s="351"/>
      <c r="C29" s="352"/>
      <c r="D29" s="352"/>
      <c r="E29" s="352"/>
      <c r="F29" s="353"/>
      <c r="G29" s="144"/>
      <c r="H29" s="144"/>
      <c r="I29" s="341"/>
      <c r="J29" s="342"/>
      <c r="K29" s="343"/>
      <c r="L29" s="144"/>
      <c r="M29" s="144"/>
      <c r="N29" s="323"/>
      <c r="O29" s="324"/>
      <c r="P29" s="324"/>
      <c r="Q29" s="324"/>
      <c r="R29" s="324"/>
      <c r="S29" s="325"/>
      <c r="T29" s="144"/>
      <c r="U29" s="144"/>
      <c r="V29" s="341"/>
      <c r="W29" s="342"/>
      <c r="X29" s="343"/>
      <c r="Y29" s="144"/>
      <c r="Z29" s="144"/>
    </row>
    <row r="30" spans="1:26" ht="18" customHeight="1" x14ac:dyDescent="0.15">
      <c r="A30" s="120"/>
      <c r="B30" s="351"/>
      <c r="C30" s="352"/>
      <c r="D30" s="352"/>
      <c r="E30" s="352"/>
      <c r="F30" s="353"/>
      <c r="G30" s="144"/>
      <c r="H30" s="144"/>
      <c r="I30" s="341"/>
      <c r="J30" s="342"/>
      <c r="K30" s="343"/>
      <c r="L30" s="144"/>
      <c r="M30" s="144"/>
      <c r="N30" s="323"/>
      <c r="O30" s="324"/>
      <c r="P30" s="324"/>
      <c r="Q30" s="324"/>
      <c r="R30" s="324"/>
      <c r="S30" s="325"/>
      <c r="T30" s="144"/>
      <c r="U30" s="144"/>
      <c r="V30" s="341"/>
      <c r="W30" s="342"/>
      <c r="X30" s="343"/>
      <c r="Y30" s="144"/>
      <c r="Z30" s="144"/>
    </row>
    <row r="31" spans="1:26" ht="18" customHeight="1" x14ac:dyDescent="0.15">
      <c r="A31" s="120"/>
      <c r="B31" s="351"/>
      <c r="C31" s="352"/>
      <c r="D31" s="352"/>
      <c r="E31" s="352"/>
      <c r="F31" s="353"/>
      <c r="G31" s="144"/>
      <c r="H31" s="144"/>
      <c r="I31" s="341"/>
      <c r="J31" s="342"/>
      <c r="K31" s="343"/>
      <c r="L31" s="144"/>
      <c r="M31" s="144"/>
      <c r="N31" s="323"/>
      <c r="O31" s="324"/>
      <c r="P31" s="324"/>
      <c r="Q31" s="324"/>
      <c r="R31" s="324"/>
      <c r="S31" s="325"/>
      <c r="T31" s="144"/>
      <c r="U31" s="144"/>
      <c r="V31" s="341"/>
      <c r="W31" s="342"/>
      <c r="X31" s="343"/>
      <c r="Y31" s="144"/>
      <c r="Z31" s="144"/>
    </row>
    <row r="32" spans="1:26" ht="18" customHeight="1" x14ac:dyDescent="0.15">
      <c r="A32" s="120"/>
      <c r="B32" s="351"/>
      <c r="C32" s="352"/>
      <c r="D32" s="352"/>
      <c r="E32" s="352"/>
      <c r="F32" s="353"/>
      <c r="G32" s="144"/>
      <c r="H32" s="144"/>
      <c r="I32" s="341"/>
      <c r="J32" s="342"/>
      <c r="K32" s="343"/>
      <c r="L32" s="144"/>
      <c r="M32" s="144"/>
      <c r="N32" s="323"/>
      <c r="O32" s="324"/>
      <c r="P32" s="324"/>
      <c r="Q32" s="324"/>
      <c r="R32" s="324"/>
      <c r="S32" s="325"/>
      <c r="T32" s="144"/>
      <c r="U32" s="144"/>
      <c r="V32" s="341"/>
      <c r="W32" s="342"/>
      <c r="X32" s="343"/>
      <c r="Y32" s="144"/>
      <c r="Z32" s="144"/>
    </row>
    <row r="33" spans="1:26" ht="18" customHeight="1" x14ac:dyDescent="0.15">
      <c r="A33" s="120"/>
      <c r="B33" s="347"/>
      <c r="C33" s="348"/>
      <c r="D33" s="348"/>
      <c r="E33" s="348"/>
      <c r="F33" s="349"/>
      <c r="G33" s="145"/>
      <c r="H33" s="145"/>
      <c r="I33" s="335"/>
      <c r="J33" s="336"/>
      <c r="K33" s="337"/>
      <c r="L33" s="146"/>
      <c r="M33" s="146"/>
      <c r="N33" s="315"/>
      <c r="O33" s="316"/>
      <c r="P33" s="316"/>
      <c r="Q33" s="316"/>
      <c r="R33" s="316"/>
      <c r="S33" s="317"/>
      <c r="T33" s="145"/>
      <c r="U33" s="145"/>
      <c r="V33" s="335"/>
      <c r="W33" s="336"/>
      <c r="X33" s="337"/>
      <c r="Y33" s="146"/>
      <c r="Z33" s="146"/>
    </row>
    <row r="34" spans="1:26" ht="7.5" customHeight="1" x14ac:dyDescent="0.15">
      <c r="A34" s="137"/>
      <c r="B34" s="147"/>
      <c r="C34" s="147"/>
      <c r="D34" s="137"/>
      <c r="E34" s="137"/>
      <c r="F34" s="137"/>
      <c r="G34" s="137"/>
      <c r="H34" s="137"/>
      <c r="I34" s="137"/>
      <c r="J34" s="137"/>
      <c r="K34" s="137"/>
      <c r="L34" s="147"/>
      <c r="M34" s="147"/>
      <c r="N34" s="147"/>
      <c r="O34" s="147"/>
      <c r="P34" s="147"/>
      <c r="Q34" s="147"/>
      <c r="R34" s="147"/>
      <c r="S34" s="147"/>
      <c r="T34" s="147"/>
      <c r="U34" s="147"/>
      <c r="V34" s="147"/>
      <c r="W34" s="147"/>
      <c r="X34" s="147"/>
      <c r="Y34" s="147"/>
      <c r="Z34" s="137"/>
    </row>
    <row r="35" spans="1:26" ht="18" customHeight="1" x14ac:dyDescent="0.15">
      <c r="A35" s="350" t="s">
        <v>133</v>
      </c>
      <c r="B35" s="350"/>
      <c r="C35" s="350"/>
      <c r="D35" s="350"/>
      <c r="E35" s="350"/>
      <c r="F35" s="350"/>
      <c r="G35" s="350"/>
      <c r="H35" s="350"/>
      <c r="I35" s="350"/>
      <c r="J35" s="350"/>
      <c r="K35" s="350"/>
      <c r="L35" s="350"/>
      <c r="M35" s="350"/>
      <c r="N35" s="350"/>
      <c r="O35" s="350"/>
      <c r="P35" s="350"/>
      <c r="Q35" s="350"/>
      <c r="R35" s="350"/>
      <c r="S35" s="350"/>
      <c r="T35" s="350"/>
      <c r="U35" s="350"/>
      <c r="V35" s="350"/>
      <c r="W35" s="350"/>
      <c r="X35" s="350"/>
      <c r="Y35" s="350"/>
      <c r="Z35" s="350"/>
    </row>
    <row r="36" spans="1:26" ht="18" customHeight="1" x14ac:dyDescent="0.15">
      <c r="A36" s="350"/>
      <c r="B36" s="350"/>
      <c r="C36" s="350"/>
      <c r="D36" s="350"/>
      <c r="E36" s="350"/>
      <c r="F36" s="350"/>
      <c r="G36" s="350"/>
      <c r="H36" s="350"/>
      <c r="I36" s="350"/>
      <c r="J36" s="350"/>
      <c r="K36" s="350"/>
      <c r="L36" s="350"/>
      <c r="M36" s="350"/>
      <c r="N36" s="350"/>
      <c r="O36" s="350"/>
      <c r="P36" s="350"/>
      <c r="Q36" s="350"/>
      <c r="R36" s="350"/>
      <c r="S36" s="350"/>
      <c r="T36" s="350"/>
      <c r="U36" s="350"/>
      <c r="V36" s="350"/>
      <c r="W36" s="350"/>
      <c r="X36" s="350"/>
      <c r="Y36" s="350"/>
      <c r="Z36" s="350"/>
    </row>
    <row r="37" spans="1:26" ht="18" customHeight="1" x14ac:dyDescent="0.15">
      <c r="A37" s="120"/>
      <c r="B37" s="198" t="s">
        <v>104</v>
      </c>
      <c r="C37" s="199"/>
      <c r="D37" s="199"/>
      <c r="E37" s="199"/>
      <c r="F37" s="200"/>
      <c r="G37" s="140" t="s">
        <v>145</v>
      </c>
      <c r="H37" s="141" t="s">
        <v>144</v>
      </c>
      <c r="I37" s="198" t="s">
        <v>105</v>
      </c>
      <c r="J37" s="199"/>
      <c r="K37" s="200"/>
      <c r="L37" s="142" t="s">
        <v>134</v>
      </c>
      <c r="M37" s="142" t="s">
        <v>135</v>
      </c>
      <c r="N37" s="198" t="s">
        <v>104</v>
      </c>
      <c r="O37" s="199"/>
      <c r="P37" s="199"/>
      <c r="Q37" s="199"/>
      <c r="R37" s="199"/>
      <c r="S37" s="200"/>
      <c r="T37" s="140" t="s">
        <v>145</v>
      </c>
      <c r="U37" s="141" t="s">
        <v>144</v>
      </c>
      <c r="V37" s="198" t="s">
        <v>105</v>
      </c>
      <c r="W37" s="199"/>
      <c r="X37" s="200"/>
      <c r="Y37" s="142" t="s">
        <v>134</v>
      </c>
      <c r="Z37" s="142" t="s">
        <v>135</v>
      </c>
    </row>
    <row r="38" spans="1:26" ht="18" customHeight="1" x14ac:dyDescent="0.15">
      <c r="A38" s="137"/>
      <c r="B38" s="351" t="s">
        <v>193</v>
      </c>
      <c r="C38" s="352"/>
      <c r="D38" s="352"/>
      <c r="E38" s="352"/>
      <c r="F38" s="353"/>
      <c r="G38" s="144">
        <v>1</v>
      </c>
      <c r="H38" s="144" t="s">
        <v>177</v>
      </c>
      <c r="I38" s="341" t="s">
        <v>210</v>
      </c>
      <c r="J38" s="342"/>
      <c r="K38" s="343"/>
      <c r="L38" s="144" t="s">
        <v>177</v>
      </c>
      <c r="M38" s="144" t="s">
        <v>177</v>
      </c>
      <c r="N38" s="329"/>
      <c r="O38" s="330"/>
      <c r="P38" s="330"/>
      <c r="Q38" s="330"/>
      <c r="R38" s="330"/>
      <c r="S38" s="331"/>
      <c r="T38" s="143"/>
      <c r="U38" s="143"/>
      <c r="V38" s="344"/>
      <c r="W38" s="345"/>
      <c r="X38" s="346"/>
      <c r="Y38" s="143"/>
      <c r="Z38" s="143"/>
    </row>
    <row r="39" spans="1:26" ht="18" customHeight="1" x14ac:dyDescent="0.15">
      <c r="A39" s="137"/>
      <c r="B39" s="351"/>
      <c r="C39" s="352"/>
      <c r="D39" s="352"/>
      <c r="E39" s="352"/>
      <c r="F39" s="353"/>
      <c r="G39" s="144"/>
      <c r="H39" s="144"/>
      <c r="I39" s="341"/>
      <c r="J39" s="342"/>
      <c r="K39" s="343"/>
      <c r="L39" s="144"/>
      <c r="M39" s="144"/>
      <c r="N39" s="323"/>
      <c r="O39" s="324"/>
      <c r="P39" s="324"/>
      <c r="Q39" s="324"/>
      <c r="R39" s="324"/>
      <c r="S39" s="325"/>
      <c r="T39" s="144"/>
      <c r="U39" s="144"/>
      <c r="V39" s="341"/>
      <c r="W39" s="342"/>
      <c r="X39" s="343"/>
      <c r="Y39" s="144"/>
      <c r="Z39" s="144"/>
    </row>
    <row r="40" spans="1:26" ht="18" customHeight="1" x14ac:dyDescent="0.15">
      <c r="A40" s="137"/>
      <c r="B40" s="351"/>
      <c r="C40" s="352"/>
      <c r="D40" s="352"/>
      <c r="E40" s="352"/>
      <c r="F40" s="353"/>
      <c r="G40" s="144"/>
      <c r="H40" s="144"/>
      <c r="I40" s="341"/>
      <c r="J40" s="342"/>
      <c r="K40" s="343"/>
      <c r="L40" s="144"/>
      <c r="M40" s="144"/>
      <c r="N40" s="323"/>
      <c r="O40" s="324"/>
      <c r="P40" s="324"/>
      <c r="Q40" s="324"/>
      <c r="R40" s="324"/>
      <c r="S40" s="325"/>
      <c r="T40" s="144"/>
      <c r="U40" s="144"/>
      <c r="V40" s="341"/>
      <c r="W40" s="342"/>
      <c r="X40" s="343"/>
      <c r="Y40" s="144"/>
      <c r="Z40" s="144"/>
    </row>
    <row r="41" spans="1:26" ht="18" customHeight="1" x14ac:dyDescent="0.15">
      <c r="A41" s="137"/>
      <c r="B41" s="351"/>
      <c r="C41" s="352"/>
      <c r="D41" s="352"/>
      <c r="E41" s="352"/>
      <c r="F41" s="353"/>
      <c r="G41" s="144"/>
      <c r="H41" s="144"/>
      <c r="I41" s="341"/>
      <c r="J41" s="342"/>
      <c r="K41" s="343"/>
      <c r="L41" s="144"/>
      <c r="M41" s="144"/>
      <c r="N41" s="323"/>
      <c r="O41" s="324"/>
      <c r="P41" s="324"/>
      <c r="Q41" s="324"/>
      <c r="R41" s="324"/>
      <c r="S41" s="325"/>
      <c r="T41" s="144"/>
      <c r="U41" s="144"/>
      <c r="V41" s="341"/>
      <c r="W41" s="342"/>
      <c r="X41" s="343"/>
      <c r="Y41" s="144"/>
      <c r="Z41" s="144"/>
    </row>
    <row r="42" spans="1:26" ht="18" customHeight="1" x14ac:dyDescent="0.15">
      <c r="A42" s="137"/>
      <c r="B42" s="351"/>
      <c r="C42" s="352"/>
      <c r="D42" s="352"/>
      <c r="E42" s="352"/>
      <c r="F42" s="353"/>
      <c r="G42" s="144"/>
      <c r="H42" s="144"/>
      <c r="I42" s="341"/>
      <c r="J42" s="342"/>
      <c r="K42" s="343"/>
      <c r="L42" s="144"/>
      <c r="M42" s="144"/>
      <c r="N42" s="323"/>
      <c r="O42" s="324"/>
      <c r="P42" s="324"/>
      <c r="Q42" s="324"/>
      <c r="R42" s="324"/>
      <c r="S42" s="325"/>
      <c r="T42" s="144"/>
      <c r="U42" s="144"/>
      <c r="V42" s="341"/>
      <c r="W42" s="342"/>
      <c r="X42" s="343"/>
      <c r="Y42" s="144"/>
      <c r="Z42" s="144"/>
    </row>
    <row r="43" spans="1:26" ht="18" customHeight="1" x14ac:dyDescent="0.15">
      <c r="A43" s="137"/>
      <c r="B43" s="351"/>
      <c r="C43" s="352"/>
      <c r="D43" s="352"/>
      <c r="E43" s="352"/>
      <c r="F43" s="353"/>
      <c r="G43" s="144"/>
      <c r="H43" s="144"/>
      <c r="I43" s="341"/>
      <c r="J43" s="342"/>
      <c r="K43" s="343"/>
      <c r="L43" s="144"/>
      <c r="M43" s="144"/>
      <c r="N43" s="323"/>
      <c r="O43" s="324"/>
      <c r="P43" s="324"/>
      <c r="Q43" s="324"/>
      <c r="R43" s="324"/>
      <c r="S43" s="325"/>
      <c r="T43" s="144"/>
      <c r="U43" s="144"/>
      <c r="V43" s="341"/>
      <c r="W43" s="342"/>
      <c r="X43" s="343"/>
      <c r="Y43" s="144"/>
      <c r="Z43" s="144"/>
    </row>
    <row r="44" spans="1:26" ht="18" customHeight="1" x14ac:dyDescent="0.15">
      <c r="A44" s="137"/>
      <c r="B44" s="347"/>
      <c r="C44" s="348"/>
      <c r="D44" s="348"/>
      <c r="E44" s="348"/>
      <c r="F44" s="349"/>
      <c r="G44" s="145"/>
      <c r="H44" s="145"/>
      <c r="I44" s="335"/>
      <c r="J44" s="336"/>
      <c r="K44" s="337"/>
      <c r="L44" s="146"/>
      <c r="M44" s="146"/>
      <c r="N44" s="315"/>
      <c r="O44" s="316"/>
      <c r="P44" s="316"/>
      <c r="Q44" s="316"/>
      <c r="R44" s="316"/>
      <c r="S44" s="317"/>
      <c r="T44" s="145"/>
      <c r="U44" s="145"/>
      <c r="V44" s="335"/>
      <c r="W44" s="336"/>
      <c r="X44" s="337"/>
      <c r="Y44" s="146"/>
      <c r="Z44" s="146"/>
    </row>
    <row r="45" spans="1:26" ht="7.5" customHeight="1" x14ac:dyDescent="0.15">
      <c r="B45" s="148"/>
      <c r="C45" s="148"/>
      <c r="D45" s="148"/>
      <c r="E45" s="148"/>
      <c r="F45" s="148"/>
      <c r="G45" s="148"/>
      <c r="H45" s="148"/>
      <c r="I45" s="148"/>
      <c r="J45" s="148"/>
      <c r="K45" s="148"/>
      <c r="L45" s="148"/>
      <c r="M45" s="148"/>
      <c r="N45" s="148"/>
      <c r="O45" s="148"/>
      <c r="P45" s="148"/>
      <c r="Q45" s="148"/>
      <c r="R45" s="148"/>
      <c r="S45" s="148"/>
      <c r="T45" s="148"/>
      <c r="U45" s="148"/>
      <c r="V45" s="148"/>
      <c r="W45" s="148"/>
      <c r="X45" s="148"/>
      <c r="Y45" s="148"/>
    </row>
    <row r="46" spans="1:26" ht="18" customHeight="1" x14ac:dyDescent="0.15">
      <c r="A46" s="350" t="s">
        <v>136</v>
      </c>
      <c r="B46" s="350"/>
      <c r="C46" s="350"/>
      <c r="D46" s="350"/>
      <c r="E46" s="350"/>
      <c r="F46" s="350"/>
      <c r="G46" s="350"/>
      <c r="H46" s="350"/>
      <c r="I46" s="350"/>
      <c r="J46" s="350"/>
      <c r="K46" s="350"/>
      <c r="L46" s="350"/>
      <c r="M46" s="350"/>
      <c r="N46" s="350"/>
      <c r="O46" s="350"/>
      <c r="P46" s="350"/>
      <c r="Q46" s="350"/>
      <c r="R46" s="350"/>
      <c r="S46" s="350"/>
      <c r="T46" s="350"/>
      <c r="U46" s="350"/>
      <c r="V46" s="350"/>
      <c r="W46" s="350"/>
      <c r="X46" s="350"/>
      <c r="Y46" s="350"/>
      <c r="Z46" s="350"/>
    </row>
    <row r="47" spans="1:26" ht="18" customHeight="1" x14ac:dyDescent="0.15">
      <c r="A47" s="350"/>
      <c r="B47" s="350"/>
      <c r="C47" s="350"/>
      <c r="D47" s="350"/>
      <c r="E47" s="350"/>
      <c r="F47" s="350"/>
      <c r="G47" s="350"/>
      <c r="H47" s="350"/>
      <c r="I47" s="350"/>
      <c r="J47" s="350"/>
      <c r="K47" s="350"/>
      <c r="L47" s="350"/>
      <c r="M47" s="350"/>
      <c r="N47" s="350"/>
      <c r="O47" s="350"/>
      <c r="P47" s="350"/>
      <c r="Q47" s="350"/>
      <c r="R47" s="350"/>
      <c r="S47" s="350"/>
      <c r="T47" s="350"/>
      <c r="U47" s="350"/>
      <c r="V47" s="350"/>
      <c r="W47" s="350"/>
      <c r="X47" s="350"/>
      <c r="Y47" s="350"/>
      <c r="Z47" s="350"/>
    </row>
    <row r="48" spans="1:26" ht="18" customHeight="1" x14ac:dyDescent="0.15">
      <c r="A48" s="120"/>
      <c r="B48" s="198" t="s">
        <v>104</v>
      </c>
      <c r="C48" s="199"/>
      <c r="D48" s="199"/>
      <c r="E48" s="199"/>
      <c r="F48" s="200"/>
      <c r="G48" s="140" t="s">
        <v>145</v>
      </c>
      <c r="H48" s="141" t="s">
        <v>144</v>
      </c>
      <c r="I48" s="198" t="s">
        <v>105</v>
      </c>
      <c r="J48" s="199"/>
      <c r="K48" s="200"/>
      <c r="L48" s="142" t="s">
        <v>110</v>
      </c>
      <c r="M48" s="142" t="s">
        <v>112</v>
      </c>
      <c r="N48" s="198" t="s">
        <v>104</v>
      </c>
      <c r="O48" s="199"/>
      <c r="P48" s="199"/>
      <c r="Q48" s="199"/>
      <c r="R48" s="199"/>
      <c r="S48" s="200"/>
      <c r="T48" s="140" t="s">
        <v>145</v>
      </c>
      <c r="U48" s="141" t="s">
        <v>144</v>
      </c>
      <c r="V48" s="198" t="s">
        <v>105</v>
      </c>
      <c r="W48" s="199"/>
      <c r="X48" s="200"/>
      <c r="Y48" s="142" t="s">
        <v>110</v>
      </c>
      <c r="Z48" s="142" t="s">
        <v>112</v>
      </c>
    </row>
    <row r="49" spans="1:26" ht="18" customHeight="1" x14ac:dyDescent="0.15">
      <c r="A49" s="137"/>
      <c r="B49" s="354" t="s">
        <v>192</v>
      </c>
      <c r="C49" s="355"/>
      <c r="D49" s="355"/>
      <c r="E49" s="355"/>
      <c r="F49" s="356"/>
      <c r="G49" s="143">
        <v>1</v>
      </c>
      <c r="H49" s="143" t="s">
        <v>177</v>
      </c>
      <c r="I49" s="344" t="s">
        <v>210</v>
      </c>
      <c r="J49" s="345"/>
      <c r="K49" s="346"/>
      <c r="L49" s="143" t="s">
        <v>177</v>
      </c>
      <c r="M49" s="143" t="s">
        <v>177</v>
      </c>
      <c r="N49" s="329"/>
      <c r="O49" s="330"/>
      <c r="P49" s="330"/>
      <c r="Q49" s="330"/>
      <c r="R49" s="330"/>
      <c r="S49" s="331"/>
      <c r="T49" s="143"/>
      <c r="U49" s="143"/>
      <c r="V49" s="344"/>
      <c r="W49" s="345"/>
      <c r="X49" s="346"/>
      <c r="Y49" s="143"/>
      <c r="Z49" s="143"/>
    </row>
    <row r="50" spans="1:26" ht="18" customHeight="1" x14ac:dyDescent="0.15">
      <c r="A50" s="137"/>
      <c r="B50" s="351"/>
      <c r="C50" s="352"/>
      <c r="D50" s="352"/>
      <c r="E50" s="352"/>
      <c r="F50" s="353"/>
      <c r="G50" s="144"/>
      <c r="H50" s="144"/>
      <c r="I50" s="341"/>
      <c r="J50" s="342"/>
      <c r="K50" s="343"/>
      <c r="L50" s="144"/>
      <c r="M50" s="144"/>
      <c r="N50" s="323"/>
      <c r="O50" s="324"/>
      <c r="P50" s="324"/>
      <c r="Q50" s="324"/>
      <c r="R50" s="324"/>
      <c r="S50" s="325"/>
      <c r="T50" s="144"/>
      <c r="U50" s="144"/>
      <c r="V50" s="341"/>
      <c r="W50" s="342"/>
      <c r="X50" s="343"/>
      <c r="Y50" s="144"/>
      <c r="Z50" s="144"/>
    </row>
    <row r="51" spans="1:26" ht="18" customHeight="1" x14ac:dyDescent="0.15">
      <c r="A51" s="137"/>
      <c r="B51" s="351"/>
      <c r="C51" s="352"/>
      <c r="D51" s="352"/>
      <c r="E51" s="352"/>
      <c r="F51" s="353"/>
      <c r="G51" s="144"/>
      <c r="H51" s="144"/>
      <c r="I51" s="341"/>
      <c r="J51" s="342"/>
      <c r="K51" s="343"/>
      <c r="L51" s="144"/>
      <c r="M51" s="144"/>
      <c r="N51" s="323"/>
      <c r="O51" s="324"/>
      <c r="P51" s="324"/>
      <c r="Q51" s="324"/>
      <c r="R51" s="324"/>
      <c r="S51" s="325"/>
      <c r="T51" s="144"/>
      <c r="U51" s="144"/>
      <c r="V51" s="341"/>
      <c r="W51" s="342"/>
      <c r="X51" s="343"/>
      <c r="Y51" s="144"/>
      <c r="Z51" s="144"/>
    </row>
    <row r="52" spans="1:26" ht="18" customHeight="1" x14ac:dyDescent="0.15">
      <c r="A52" s="137"/>
      <c r="B52" s="351"/>
      <c r="C52" s="352"/>
      <c r="D52" s="352"/>
      <c r="E52" s="352"/>
      <c r="F52" s="353"/>
      <c r="G52" s="144"/>
      <c r="H52" s="144"/>
      <c r="I52" s="341"/>
      <c r="J52" s="342"/>
      <c r="K52" s="343"/>
      <c r="L52" s="144"/>
      <c r="M52" s="144"/>
      <c r="N52" s="323"/>
      <c r="O52" s="324"/>
      <c r="P52" s="324"/>
      <c r="Q52" s="324"/>
      <c r="R52" s="324"/>
      <c r="S52" s="325"/>
      <c r="T52" s="144"/>
      <c r="U52" s="144"/>
      <c r="V52" s="341"/>
      <c r="W52" s="342"/>
      <c r="X52" s="343"/>
      <c r="Y52" s="144"/>
      <c r="Z52" s="144"/>
    </row>
    <row r="53" spans="1:26" ht="18" customHeight="1" x14ac:dyDescent="0.15">
      <c r="A53" s="137"/>
      <c r="B53" s="351"/>
      <c r="C53" s="352"/>
      <c r="D53" s="352"/>
      <c r="E53" s="352"/>
      <c r="F53" s="353"/>
      <c r="G53" s="144"/>
      <c r="H53" s="144"/>
      <c r="I53" s="341"/>
      <c r="J53" s="342"/>
      <c r="K53" s="343"/>
      <c r="L53" s="144"/>
      <c r="M53" s="144"/>
      <c r="N53" s="323"/>
      <c r="O53" s="324"/>
      <c r="P53" s="324"/>
      <c r="Q53" s="324"/>
      <c r="R53" s="324"/>
      <c r="S53" s="325"/>
      <c r="T53" s="144"/>
      <c r="U53" s="144"/>
      <c r="V53" s="341"/>
      <c r="W53" s="342"/>
      <c r="X53" s="343"/>
      <c r="Y53" s="144"/>
      <c r="Z53" s="144"/>
    </row>
    <row r="54" spans="1:26" ht="18" customHeight="1" x14ac:dyDescent="0.15">
      <c r="A54" s="137"/>
      <c r="B54" s="351"/>
      <c r="C54" s="352"/>
      <c r="D54" s="352"/>
      <c r="E54" s="352"/>
      <c r="F54" s="353"/>
      <c r="G54" s="144"/>
      <c r="H54" s="144"/>
      <c r="I54" s="341"/>
      <c r="J54" s="342"/>
      <c r="K54" s="343"/>
      <c r="L54" s="144"/>
      <c r="M54" s="144"/>
      <c r="N54" s="323"/>
      <c r="O54" s="324"/>
      <c r="P54" s="324"/>
      <c r="Q54" s="324"/>
      <c r="R54" s="324"/>
      <c r="S54" s="325"/>
      <c r="T54" s="144"/>
      <c r="U54" s="144"/>
      <c r="V54" s="341"/>
      <c r="W54" s="342"/>
      <c r="X54" s="343"/>
      <c r="Y54" s="144"/>
      <c r="Z54" s="144"/>
    </row>
    <row r="55" spans="1:26" ht="18" customHeight="1" x14ac:dyDescent="0.15">
      <c r="A55" s="137"/>
      <c r="B55" s="347"/>
      <c r="C55" s="348"/>
      <c r="D55" s="348"/>
      <c r="E55" s="348"/>
      <c r="F55" s="349"/>
      <c r="G55" s="145"/>
      <c r="H55" s="145"/>
      <c r="I55" s="335"/>
      <c r="J55" s="336"/>
      <c r="K55" s="337"/>
      <c r="L55" s="146"/>
      <c r="M55" s="146"/>
      <c r="N55" s="315"/>
      <c r="O55" s="316"/>
      <c r="P55" s="316"/>
      <c r="Q55" s="316"/>
      <c r="R55" s="316"/>
      <c r="S55" s="317"/>
      <c r="T55" s="145"/>
      <c r="U55" s="145"/>
      <c r="V55" s="335"/>
      <c r="W55" s="336"/>
      <c r="X55" s="337"/>
      <c r="Y55" s="146"/>
      <c r="Z55" s="146"/>
    </row>
    <row r="56" spans="1:26" ht="7.5" customHeight="1" x14ac:dyDescent="0.15">
      <c r="B56" s="148"/>
      <c r="C56" s="148"/>
      <c r="D56" s="148"/>
      <c r="E56" s="148"/>
      <c r="F56" s="148"/>
      <c r="G56" s="148"/>
      <c r="H56" s="148"/>
      <c r="I56" s="148"/>
      <c r="J56" s="148"/>
      <c r="K56" s="148"/>
      <c r="L56" s="148"/>
      <c r="M56" s="148"/>
      <c r="N56" s="148"/>
      <c r="O56" s="148"/>
      <c r="P56" s="148"/>
      <c r="Q56" s="148"/>
      <c r="R56" s="148"/>
      <c r="S56" s="148"/>
      <c r="T56" s="148"/>
      <c r="U56" s="148"/>
      <c r="V56" s="148"/>
      <c r="W56" s="148"/>
      <c r="X56" s="148"/>
      <c r="Y56" s="148"/>
    </row>
    <row r="57" spans="1:26" ht="18" customHeight="1" x14ac:dyDescent="0.15">
      <c r="A57" s="350" t="s">
        <v>137</v>
      </c>
      <c r="B57" s="350"/>
      <c r="C57" s="350"/>
      <c r="D57" s="350"/>
      <c r="E57" s="350"/>
      <c r="F57" s="350"/>
      <c r="G57" s="350"/>
      <c r="H57" s="350"/>
      <c r="I57" s="350"/>
      <c r="J57" s="350"/>
      <c r="K57" s="350"/>
      <c r="L57" s="350"/>
      <c r="M57" s="350"/>
      <c r="N57" s="350"/>
      <c r="O57" s="350"/>
      <c r="P57" s="350"/>
      <c r="Q57" s="350"/>
      <c r="R57" s="350"/>
      <c r="S57" s="350"/>
      <c r="T57" s="350"/>
      <c r="U57" s="350"/>
      <c r="V57" s="350"/>
      <c r="W57" s="350"/>
      <c r="X57" s="350"/>
      <c r="Y57" s="350"/>
      <c r="Z57" s="350"/>
    </row>
    <row r="58" spans="1:26" ht="18" customHeight="1" x14ac:dyDescent="0.15">
      <c r="A58" s="350"/>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350"/>
      <c r="Z58" s="350"/>
    </row>
    <row r="59" spans="1:26" ht="18" customHeight="1" x14ac:dyDescent="0.15">
      <c r="A59" s="120"/>
      <c r="B59" s="198" t="s">
        <v>104</v>
      </c>
      <c r="C59" s="199"/>
      <c r="D59" s="199"/>
      <c r="E59" s="200"/>
      <c r="F59" s="140" t="s">
        <v>145</v>
      </c>
      <c r="G59" s="141" t="s">
        <v>144</v>
      </c>
      <c r="H59" s="149" t="s">
        <v>105</v>
      </c>
      <c r="I59" s="150"/>
      <c r="J59" s="151"/>
      <c r="K59" s="142" t="s">
        <v>109</v>
      </c>
      <c r="L59" s="142" t="s">
        <v>138</v>
      </c>
      <c r="M59" s="142" t="s">
        <v>139</v>
      </c>
      <c r="N59" s="198" t="s">
        <v>104</v>
      </c>
      <c r="O59" s="199"/>
      <c r="P59" s="199"/>
      <c r="Q59" s="199"/>
      <c r="R59" s="200"/>
      <c r="S59" s="140" t="s">
        <v>145</v>
      </c>
      <c r="T59" s="141" t="s">
        <v>144</v>
      </c>
      <c r="U59" s="149" t="s">
        <v>105</v>
      </c>
      <c r="V59" s="150"/>
      <c r="W59" s="151"/>
      <c r="X59" s="142" t="s">
        <v>109</v>
      </c>
      <c r="Y59" s="142" t="s">
        <v>138</v>
      </c>
      <c r="Z59" s="142" t="s">
        <v>139</v>
      </c>
    </row>
    <row r="60" spans="1:26" ht="18" customHeight="1" x14ac:dyDescent="0.15">
      <c r="A60" s="137"/>
      <c r="B60" s="329" t="s">
        <v>194</v>
      </c>
      <c r="C60" s="330"/>
      <c r="D60" s="330"/>
      <c r="E60" s="331"/>
      <c r="F60" s="143">
        <v>1</v>
      </c>
      <c r="G60" s="143" t="s">
        <v>177</v>
      </c>
      <c r="H60" s="344" t="s">
        <v>210</v>
      </c>
      <c r="I60" s="345"/>
      <c r="J60" s="346"/>
      <c r="K60" s="143" t="s">
        <v>177</v>
      </c>
      <c r="L60" s="143" t="s">
        <v>177</v>
      </c>
      <c r="M60" s="143" t="s">
        <v>177</v>
      </c>
      <c r="N60" s="329"/>
      <c r="O60" s="330"/>
      <c r="P60" s="330"/>
      <c r="Q60" s="330"/>
      <c r="R60" s="331"/>
      <c r="S60" s="143"/>
      <c r="T60" s="143"/>
      <c r="U60" s="344"/>
      <c r="V60" s="345"/>
      <c r="W60" s="346"/>
      <c r="X60" s="167"/>
      <c r="Y60" s="143"/>
      <c r="Z60" s="143"/>
    </row>
    <row r="61" spans="1:26" ht="18" customHeight="1" x14ac:dyDescent="0.15">
      <c r="A61" s="137"/>
      <c r="B61" s="323" t="s">
        <v>195</v>
      </c>
      <c r="C61" s="324"/>
      <c r="D61" s="324"/>
      <c r="E61" s="325"/>
      <c r="F61" s="144">
        <v>1</v>
      </c>
      <c r="G61" s="144" t="s">
        <v>177</v>
      </c>
      <c r="H61" s="341" t="s">
        <v>210</v>
      </c>
      <c r="I61" s="342"/>
      <c r="J61" s="343"/>
      <c r="K61" s="144" t="s">
        <v>177</v>
      </c>
      <c r="L61" s="144" t="s">
        <v>177</v>
      </c>
      <c r="M61" s="144" t="s">
        <v>177</v>
      </c>
      <c r="N61" s="323"/>
      <c r="O61" s="324"/>
      <c r="P61" s="324"/>
      <c r="Q61" s="324"/>
      <c r="R61" s="325"/>
      <c r="S61" s="144"/>
      <c r="T61" s="144"/>
      <c r="U61" s="341"/>
      <c r="V61" s="342"/>
      <c r="W61" s="343"/>
      <c r="X61" s="166"/>
      <c r="Y61" s="144"/>
      <c r="Z61" s="144"/>
    </row>
    <row r="62" spans="1:26" ht="18" customHeight="1" x14ac:dyDescent="0.15">
      <c r="A62" s="137"/>
      <c r="B62" s="323"/>
      <c r="C62" s="324"/>
      <c r="D62" s="324"/>
      <c r="E62" s="325"/>
      <c r="F62" s="144"/>
      <c r="G62" s="144"/>
      <c r="H62" s="341"/>
      <c r="I62" s="342"/>
      <c r="J62" s="343"/>
      <c r="K62" s="166"/>
      <c r="L62" s="144"/>
      <c r="M62" s="144"/>
      <c r="N62" s="323"/>
      <c r="O62" s="324"/>
      <c r="P62" s="324"/>
      <c r="Q62" s="324"/>
      <c r="R62" s="325"/>
      <c r="S62" s="144"/>
      <c r="T62" s="144"/>
      <c r="U62" s="341"/>
      <c r="V62" s="342"/>
      <c r="W62" s="343"/>
      <c r="X62" s="166"/>
      <c r="Y62" s="144"/>
      <c r="Z62" s="144"/>
    </row>
    <row r="63" spans="1:26" ht="18" customHeight="1" x14ac:dyDescent="0.15">
      <c r="A63" s="137"/>
      <c r="B63" s="323"/>
      <c r="C63" s="324"/>
      <c r="D63" s="324"/>
      <c r="E63" s="325"/>
      <c r="F63" s="144"/>
      <c r="G63" s="144"/>
      <c r="H63" s="341"/>
      <c r="I63" s="342"/>
      <c r="J63" s="343"/>
      <c r="K63" s="166"/>
      <c r="L63" s="144"/>
      <c r="M63" s="144"/>
      <c r="N63" s="323"/>
      <c r="O63" s="324"/>
      <c r="P63" s="324"/>
      <c r="Q63" s="324"/>
      <c r="R63" s="325"/>
      <c r="S63" s="144"/>
      <c r="T63" s="144"/>
      <c r="U63" s="341"/>
      <c r="V63" s="342"/>
      <c r="W63" s="343"/>
      <c r="X63" s="166"/>
      <c r="Y63" s="144"/>
      <c r="Z63" s="144"/>
    </row>
    <row r="64" spans="1:26" ht="18" customHeight="1" x14ac:dyDescent="0.15">
      <c r="A64" s="137"/>
      <c r="B64" s="323"/>
      <c r="C64" s="324"/>
      <c r="D64" s="324"/>
      <c r="E64" s="325"/>
      <c r="F64" s="144"/>
      <c r="G64" s="144"/>
      <c r="H64" s="341"/>
      <c r="I64" s="342"/>
      <c r="J64" s="343"/>
      <c r="K64" s="166"/>
      <c r="L64" s="144"/>
      <c r="M64" s="144"/>
      <c r="N64" s="323"/>
      <c r="O64" s="324"/>
      <c r="P64" s="324"/>
      <c r="Q64" s="324"/>
      <c r="R64" s="325"/>
      <c r="S64" s="144"/>
      <c r="T64" s="144"/>
      <c r="U64" s="341"/>
      <c r="V64" s="342"/>
      <c r="W64" s="343"/>
      <c r="X64" s="166"/>
      <c r="Y64" s="144"/>
      <c r="Z64" s="144"/>
    </row>
    <row r="65" spans="1:26" ht="18" customHeight="1" x14ac:dyDescent="0.15">
      <c r="A65" s="137"/>
      <c r="B65" s="323"/>
      <c r="C65" s="324"/>
      <c r="D65" s="324"/>
      <c r="E65" s="325"/>
      <c r="F65" s="144"/>
      <c r="G65" s="144"/>
      <c r="H65" s="341"/>
      <c r="I65" s="342"/>
      <c r="J65" s="343"/>
      <c r="K65" s="166"/>
      <c r="L65" s="144"/>
      <c r="M65" s="144"/>
      <c r="N65" s="323"/>
      <c r="O65" s="324"/>
      <c r="P65" s="324"/>
      <c r="Q65" s="324"/>
      <c r="R65" s="325"/>
      <c r="S65" s="144"/>
      <c r="T65" s="144"/>
      <c r="U65" s="341"/>
      <c r="V65" s="342"/>
      <c r="W65" s="343"/>
      <c r="X65" s="166"/>
      <c r="Y65" s="144"/>
      <c r="Z65" s="144"/>
    </row>
    <row r="66" spans="1:26" ht="18" customHeight="1" x14ac:dyDescent="0.15">
      <c r="A66" s="137"/>
      <c r="B66" s="315"/>
      <c r="C66" s="316"/>
      <c r="D66" s="316"/>
      <c r="E66" s="317"/>
      <c r="F66" s="145"/>
      <c r="G66" s="145"/>
      <c r="H66" s="335"/>
      <c r="I66" s="336"/>
      <c r="J66" s="337"/>
      <c r="K66" s="165"/>
      <c r="L66" s="146"/>
      <c r="M66" s="146"/>
      <c r="N66" s="315"/>
      <c r="O66" s="316"/>
      <c r="P66" s="316"/>
      <c r="Q66" s="316"/>
      <c r="R66" s="317"/>
      <c r="S66" s="145"/>
      <c r="T66" s="145"/>
      <c r="U66" s="335"/>
      <c r="V66" s="336"/>
      <c r="W66" s="337"/>
      <c r="X66" s="165"/>
      <c r="Y66" s="146"/>
      <c r="Z66" s="146"/>
    </row>
    <row r="67" spans="1:26" ht="7.5" customHeight="1" x14ac:dyDescent="0.15">
      <c r="B67" s="148"/>
      <c r="C67" s="148"/>
      <c r="D67" s="148"/>
      <c r="E67" s="148"/>
      <c r="F67" s="148"/>
      <c r="G67" s="148"/>
      <c r="H67" s="148"/>
      <c r="I67" s="148"/>
      <c r="J67" s="148"/>
      <c r="K67" s="148"/>
      <c r="L67" s="148"/>
      <c r="M67" s="148"/>
      <c r="N67" s="148"/>
      <c r="O67" s="148"/>
      <c r="P67" s="148"/>
      <c r="Q67" s="148"/>
      <c r="R67" s="148"/>
      <c r="S67" s="148"/>
      <c r="T67" s="148"/>
      <c r="U67" s="148"/>
      <c r="V67" s="148"/>
      <c r="W67" s="148"/>
      <c r="X67" s="148"/>
      <c r="Y67" s="148"/>
    </row>
    <row r="68" spans="1:26" ht="18" customHeight="1" x14ac:dyDescent="0.15">
      <c r="A68" s="120" t="s">
        <v>140</v>
      </c>
      <c r="B68" s="120"/>
      <c r="C68" s="120"/>
      <c r="D68" s="120"/>
      <c r="E68" s="120"/>
      <c r="F68" s="120"/>
      <c r="G68" s="120"/>
      <c r="H68" s="120"/>
      <c r="I68" s="120"/>
      <c r="J68" s="120"/>
      <c r="K68" s="120"/>
      <c r="L68" s="137"/>
      <c r="M68" s="137"/>
      <c r="N68" s="137"/>
      <c r="O68" s="137"/>
      <c r="P68" s="137"/>
      <c r="Q68" s="137"/>
      <c r="R68" s="137"/>
      <c r="S68" s="137"/>
      <c r="T68" s="137"/>
      <c r="U68" s="137"/>
      <c r="V68" s="137"/>
      <c r="W68" s="137"/>
      <c r="X68" s="137"/>
      <c r="Y68" s="137"/>
      <c r="Z68" s="137"/>
    </row>
    <row r="69" spans="1:26" ht="18" customHeight="1" x14ac:dyDescent="0.15">
      <c r="A69" s="120"/>
      <c r="B69" s="198" t="s">
        <v>104</v>
      </c>
      <c r="C69" s="199"/>
      <c r="D69" s="199"/>
      <c r="E69" s="199"/>
      <c r="F69" s="200"/>
      <c r="G69" s="198" t="s">
        <v>150</v>
      </c>
      <c r="H69" s="199"/>
      <c r="I69" s="199"/>
      <c r="J69" s="199"/>
      <c r="K69" s="199"/>
      <c r="L69" s="199"/>
      <c r="M69" s="200"/>
      <c r="N69" s="338" t="s">
        <v>104</v>
      </c>
      <c r="O69" s="339"/>
      <c r="P69" s="339"/>
      <c r="Q69" s="339"/>
      <c r="R69" s="339"/>
      <c r="S69" s="340"/>
      <c r="T69" s="198" t="s">
        <v>150</v>
      </c>
      <c r="U69" s="199"/>
      <c r="V69" s="199"/>
      <c r="W69" s="199"/>
      <c r="X69" s="199"/>
      <c r="Y69" s="199"/>
      <c r="Z69" s="200"/>
    </row>
    <row r="70" spans="1:26" ht="18" customHeight="1" x14ac:dyDescent="0.15">
      <c r="A70" s="137"/>
      <c r="B70" s="329"/>
      <c r="C70" s="330"/>
      <c r="D70" s="330"/>
      <c r="E70" s="330"/>
      <c r="F70" s="331"/>
      <c r="G70" s="332"/>
      <c r="H70" s="333"/>
      <c r="I70" s="333"/>
      <c r="J70" s="333"/>
      <c r="K70" s="333"/>
      <c r="L70" s="333"/>
      <c r="M70" s="334"/>
      <c r="N70" s="329"/>
      <c r="O70" s="330"/>
      <c r="P70" s="330"/>
      <c r="Q70" s="330"/>
      <c r="R70" s="330"/>
      <c r="S70" s="331"/>
      <c r="T70" s="332"/>
      <c r="U70" s="333"/>
      <c r="V70" s="333"/>
      <c r="W70" s="333"/>
      <c r="X70" s="333"/>
      <c r="Y70" s="333"/>
      <c r="Z70" s="334"/>
    </row>
    <row r="71" spans="1:26" ht="18" customHeight="1" x14ac:dyDescent="0.15">
      <c r="A71" s="137"/>
      <c r="B71" s="323"/>
      <c r="C71" s="324"/>
      <c r="D71" s="324"/>
      <c r="E71" s="324"/>
      <c r="F71" s="325"/>
      <c r="G71" s="326"/>
      <c r="H71" s="327"/>
      <c r="I71" s="327"/>
      <c r="J71" s="327"/>
      <c r="K71" s="327"/>
      <c r="L71" s="327"/>
      <c r="M71" s="328"/>
      <c r="N71" s="323"/>
      <c r="O71" s="324"/>
      <c r="P71" s="324"/>
      <c r="Q71" s="324"/>
      <c r="R71" s="324"/>
      <c r="S71" s="325"/>
      <c r="T71" s="326"/>
      <c r="U71" s="327"/>
      <c r="V71" s="327"/>
      <c r="W71" s="327"/>
      <c r="X71" s="327"/>
      <c r="Y71" s="327"/>
      <c r="Z71" s="328"/>
    </row>
    <row r="72" spans="1:26" ht="18" customHeight="1" x14ac:dyDescent="0.15">
      <c r="A72" s="137"/>
      <c r="B72" s="323"/>
      <c r="C72" s="324"/>
      <c r="D72" s="324"/>
      <c r="E72" s="324"/>
      <c r="F72" s="325"/>
      <c r="G72" s="326"/>
      <c r="H72" s="327"/>
      <c r="I72" s="327"/>
      <c r="J72" s="327"/>
      <c r="K72" s="327"/>
      <c r="L72" s="327"/>
      <c r="M72" s="328"/>
      <c r="N72" s="323"/>
      <c r="O72" s="324"/>
      <c r="P72" s="324"/>
      <c r="Q72" s="324"/>
      <c r="R72" s="324"/>
      <c r="S72" s="325"/>
      <c r="T72" s="326"/>
      <c r="U72" s="327"/>
      <c r="V72" s="327"/>
      <c r="W72" s="327"/>
      <c r="X72" s="327"/>
      <c r="Y72" s="327"/>
      <c r="Z72" s="328"/>
    </row>
    <row r="73" spans="1:26" ht="18" customHeight="1" x14ac:dyDescent="0.15">
      <c r="A73" s="137"/>
      <c r="B73" s="323"/>
      <c r="C73" s="324"/>
      <c r="D73" s="324"/>
      <c r="E73" s="324"/>
      <c r="F73" s="325"/>
      <c r="G73" s="326"/>
      <c r="H73" s="327"/>
      <c r="I73" s="327"/>
      <c r="J73" s="327"/>
      <c r="K73" s="327"/>
      <c r="L73" s="327"/>
      <c r="M73" s="328"/>
      <c r="N73" s="323"/>
      <c r="O73" s="324"/>
      <c r="P73" s="324"/>
      <c r="Q73" s="324"/>
      <c r="R73" s="324"/>
      <c r="S73" s="325"/>
      <c r="T73" s="326"/>
      <c r="U73" s="327"/>
      <c r="V73" s="327"/>
      <c r="W73" s="327"/>
      <c r="X73" s="327"/>
      <c r="Y73" s="327"/>
      <c r="Z73" s="328"/>
    </row>
    <row r="74" spans="1:26" ht="18" customHeight="1" x14ac:dyDescent="0.15">
      <c r="A74" s="137"/>
      <c r="B74" s="323"/>
      <c r="C74" s="324"/>
      <c r="D74" s="324"/>
      <c r="E74" s="324"/>
      <c r="F74" s="325"/>
      <c r="G74" s="326"/>
      <c r="H74" s="327"/>
      <c r="I74" s="327"/>
      <c r="J74" s="327"/>
      <c r="K74" s="327"/>
      <c r="L74" s="327"/>
      <c r="M74" s="328"/>
      <c r="N74" s="323"/>
      <c r="O74" s="324"/>
      <c r="P74" s="324"/>
      <c r="Q74" s="324"/>
      <c r="R74" s="324"/>
      <c r="S74" s="325"/>
      <c r="T74" s="326"/>
      <c r="U74" s="327"/>
      <c r="V74" s="327"/>
      <c r="W74" s="327"/>
      <c r="X74" s="327"/>
      <c r="Y74" s="327"/>
      <c r="Z74" s="328"/>
    </row>
    <row r="75" spans="1:26" ht="18" customHeight="1" x14ac:dyDescent="0.15">
      <c r="A75" s="137"/>
      <c r="B75" s="323"/>
      <c r="C75" s="324"/>
      <c r="D75" s="324"/>
      <c r="E75" s="324"/>
      <c r="F75" s="325"/>
      <c r="G75" s="326"/>
      <c r="H75" s="327"/>
      <c r="I75" s="327"/>
      <c r="J75" s="327"/>
      <c r="K75" s="327"/>
      <c r="L75" s="327"/>
      <c r="M75" s="328"/>
      <c r="N75" s="323"/>
      <c r="O75" s="324"/>
      <c r="P75" s="324"/>
      <c r="Q75" s="324"/>
      <c r="R75" s="324"/>
      <c r="S75" s="325"/>
      <c r="T75" s="326"/>
      <c r="U75" s="327"/>
      <c r="V75" s="327"/>
      <c r="W75" s="327"/>
      <c r="X75" s="327"/>
      <c r="Y75" s="327"/>
      <c r="Z75" s="328"/>
    </row>
    <row r="76" spans="1:26" ht="18" customHeight="1" x14ac:dyDescent="0.15">
      <c r="A76" s="137"/>
      <c r="B76" s="315"/>
      <c r="C76" s="316"/>
      <c r="D76" s="316"/>
      <c r="E76" s="316"/>
      <c r="F76" s="317"/>
      <c r="G76" s="318"/>
      <c r="H76" s="319"/>
      <c r="I76" s="319"/>
      <c r="J76" s="319"/>
      <c r="K76" s="319"/>
      <c r="L76" s="319"/>
      <c r="M76" s="320"/>
      <c r="N76" s="315"/>
      <c r="O76" s="316"/>
      <c r="P76" s="316"/>
      <c r="Q76" s="316"/>
      <c r="R76" s="316"/>
      <c r="S76" s="317"/>
      <c r="T76" s="318"/>
      <c r="U76" s="319"/>
      <c r="V76" s="319"/>
      <c r="W76" s="319"/>
      <c r="X76" s="319"/>
      <c r="Y76" s="319"/>
      <c r="Z76" s="320"/>
    </row>
    <row r="77" spans="1:26" ht="18" customHeight="1" x14ac:dyDescent="0.15">
      <c r="A77" s="137"/>
      <c r="B77" s="152"/>
      <c r="C77" s="152"/>
      <c r="D77" s="152"/>
      <c r="E77" s="152"/>
      <c r="F77" s="152"/>
      <c r="G77" s="153"/>
      <c r="H77" s="153"/>
      <c r="I77" s="153"/>
      <c r="J77" s="153"/>
      <c r="K77" s="153"/>
      <c r="L77" s="153"/>
      <c r="M77" s="153"/>
      <c r="N77" s="152"/>
      <c r="O77" s="152"/>
      <c r="P77" s="152"/>
      <c r="Q77" s="152"/>
      <c r="R77" s="152"/>
      <c r="S77" s="152"/>
      <c r="T77" s="153"/>
      <c r="U77" s="153"/>
      <c r="V77" s="153"/>
      <c r="W77" s="153"/>
      <c r="X77" s="153"/>
      <c r="Y77" s="153"/>
      <c r="Z77" s="153"/>
    </row>
    <row r="78" spans="1:26" ht="18.75" customHeight="1" x14ac:dyDescent="0.15">
      <c r="A78" s="136" t="s">
        <v>146</v>
      </c>
    </row>
    <row r="79" spans="1:26" ht="18.75" customHeight="1" x14ac:dyDescent="0.15">
      <c r="B79" s="154" t="s">
        <v>106</v>
      </c>
      <c r="C79" s="155"/>
      <c r="D79" s="321" t="s">
        <v>107</v>
      </c>
      <c r="E79" s="321"/>
      <c r="F79" s="321"/>
      <c r="G79" s="321"/>
      <c r="H79" s="321"/>
      <c r="I79" s="321"/>
      <c r="J79" s="321"/>
      <c r="K79" s="321"/>
      <c r="L79" s="321"/>
      <c r="M79" s="321"/>
      <c r="N79" s="321"/>
      <c r="O79" s="321"/>
      <c r="P79" s="321"/>
      <c r="Q79" s="321"/>
      <c r="R79" s="321"/>
      <c r="S79" s="321"/>
      <c r="T79" s="321"/>
      <c r="U79" s="321"/>
      <c r="V79" s="321"/>
      <c r="W79" s="321"/>
      <c r="X79" s="321"/>
      <c r="Y79" s="321"/>
      <c r="Z79" s="322"/>
    </row>
    <row r="80" spans="1:26" ht="111" customHeight="1" x14ac:dyDescent="0.15">
      <c r="B80" s="296" t="s">
        <v>113</v>
      </c>
      <c r="C80" s="156" t="s">
        <v>108</v>
      </c>
      <c r="D80" s="219" t="s">
        <v>223</v>
      </c>
      <c r="E80" s="220"/>
      <c r="F80" s="220"/>
      <c r="G80" s="220"/>
      <c r="H80" s="220"/>
      <c r="I80" s="220"/>
      <c r="J80" s="220"/>
      <c r="K80" s="220"/>
      <c r="L80" s="220"/>
      <c r="M80" s="220"/>
      <c r="N80" s="220"/>
      <c r="O80" s="220"/>
      <c r="P80" s="220"/>
      <c r="Q80" s="220"/>
      <c r="R80" s="220"/>
      <c r="S80" s="220"/>
      <c r="T80" s="220"/>
      <c r="U80" s="220"/>
      <c r="V80" s="220"/>
      <c r="W80" s="220"/>
      <c r="X80" s="220"/>
      <c r="Y80" s="220"/>
      <c r="Z80" s="221"/>
    </row>
    <row r="81" spans="1:26" ht="26.25" customHeight="1" x14ac:dyDescent="0.15">
      <c r="B81" s="297"/>
      <c r="C81" s="157" t="s">
        <v>141</v>
      </c>
      <c r="D81" s="222"/>
      <c r="E81" s="223"/>
      <c r="F81" s="223"/>
      <c r="G81" s="223"/>
      <c r="H81" s="223"/>
      <c r="I81" s="223"/>
      <c r="J81" s="223"/>
      <c r="K81" s="223"/>
      <c r="L81" s="223"/>
      <c r="M81" s="223"/>
      <c r="N81" s="223"/>
      <c r="O81" s="223"/>
      <c r="P81" s="223"/>
      <c r="Q81" s="223"/>
      <c r="R81" s="223"/>
      <c r="S81" s="223"/>
      <c r="T81" s="223"/>
      <c r="U81" s="223"/>
      <c r="V81" s="223"/>
      <c r="W81" s="223"/>
      <c r="X81" s="223"/>
      <c r="Y81" s="223"/>
      <c r="Z81" s="224"/>
    </row>
    <row r="82" spans="1:26" ht="114.75" customHeight="1" x14ac:dyDescent="0.15">
      <c r="B82" s="314" t="s">
        <v>114</v>
      </c>
      <c r="C82" s="158" t="s">
        <v>131</v>
      </c>
      <c r="D82" s="219" t="s">
        <v>224</v>
      </c>
      <c r="E82" s="220"/>
      <c r="F82" s="220"/>
      <c r="G82" s="220"/>
      <c r="H82" s="220"/>
      <c r="I82" s="220"/>
      <c r="J82" s="220"/>
      <c r="K82" s="220"/>
      <c r="L82" s="220"/>
      <c r="M82" s="220"/>
      <c r="N82" s="220"/>
      <c r="O82" s="220"/>
      <c r="P82" s="220"/>
      <c r="Q82" s="220"/>
      <c r="R82" s="220"/>
      <c r="S82" s="220"/>
      <c r="T82" s="220"/>
      <c r="U82" s="220"/>
      <c r="V82" s="220"/>
      <c r="W82" s="220"/>
      <c r="X82" s="220"/>
      <c r="Y82" s="220"/>
      <c r="Z82" s="221"/>
    </row>
    <row r="83" spans="1:26" ht="78" customHeight="1" x14ac:dyDescent="0.15">
      <c r="B83" s="298"/>
      <c r="C83" s="159" t="s">
        <v>132</v>
      </c>
      <c r="D83" s="222"/>
      <c r="E83" s="223"/>
      <c r="F83" s="223"/>
      <c r="G83" s="223"/>
      <c r="H83" s="223"/>
      <c r="I83" s="223"/>
      <c r="J83" s="223"/>
      <c r="K83" s="223"/>
      <c r="L83" s="223"/>
      <c r="M83" s="223"/>
      <c r="N83" s="223"/>
      <c r="O83" s="223"/>
      <c r="P83" s="223"/>
      <c r="Q83" s="223"/>
      <c r="R83" s="223"/>
      <c r="S83" s="223"/>
      <c r="T83" s="223"/>
      <c r="U83" s="223"/>
      <c r="V83" s="223"/>
      <c r="W83" s="223"/>
      <c r="X83" s="223"/>
      <c r="Y83" s="223"/>
      <c r="Z83" s="224"/>
    </row>
    <row r="84" spans="1:26" ht="157.5" customHeight="1" x14ac:dyDescent="0.15">
      <c r="B84" s="314" t="s">
        <v>115</v>
      </c>
      <c r="C84" s="158" t="s">
        <v>134</v>
      </c>
      <c r="D84" s="219" t="s">
        <v>221</v>
      </c>
      <c r="E84" s="220"/>
      <c r="F84" s="220"/>
      <c r="G84" s="220"/>
      <c r="H84" s="220"/>
      <c r="I84" s="220"/>
      <c r="J84" s="220"/>
      <c r="K84" s="220"/>
      <c r="L84" s="220"/>
      <c r="M84" s="220"/>
      <c r="N84" s="220"/>
      <c r="O84" s="220"/>
      <c r="P84" s="220"/>
      <c r="Q84" s="220"/>
      <c r="R84" s="220"/>
      <c r="S84" s="220"/>
      <c r="T84" s="220"/>
      <c r="U84" s="220"/>
      <c r="V84" s="220"/>
      <c r="W84" s="220"/>
      <c r="X84" s="220"/>
      <c r="Y84" s="220"/>
      <c r="Z84" s="221"/>
    </row>
    <row r="85" spans="1:26" ht="128.25" customHeight="1" x14ac:dyDescent="0.15">
      <c r="B85" s="298"/>
      <c r="C85" s="160" t="s">
        <v>135</v>
      </c>
      <c r="D85" s="222"/>
      <c r="E85" s="223"/>
      <c r="F85" s="223"/>
      <c r="G85" s="223"/>
      <c r="H85" s="223"/>
      <c r="I85" s="223"/>
      <c r="J85" s="223"/>
      <c r="K85" s="223"/>
      <c r="L85" s="223"/>
      <c r="M85" s="223"/>
      <c r="N85" s="223"/>
      <c r="O85" s="223"/>
      <c r="P85" s="223"/>
      <c r="Q85" s="223"/>
      <c r="R85" s="223"/>
      <c r="S85" s="223"/>
      <c r="T85" s="223"/>
      <c r="U85" s="223"/>
      <c r="V85" s="223"/>
      <c r="W85" s="223"/>
      <c r="X85" s="223"/>
      <c r="Y85" s="223"/>
      <c r="Z85" s="224"/>
    </row>
    <row r="86" spans="1:26" ht="141" customHeight="1" x14ac:dyDescent="0.15">
      <c r="B86" s="296" t="s">
        <v>142</v>
      </c>
      <c r="C86" s="156" t="s">
        <v>110</v>
      </c>
      <c r="D86" s="219" t="s">
        <v>222</v>
      </c>
      <c r="E86" s="220"/>
      <c r="F86" s="220"/>
      <c r="G86" s="220"/>
      <c r="H86" s="220"/>
      <c r="I86" s="220"/>
      <c r="J86" s="220"/>
      <c r="K86" s="220"/>
      <c r="L86" s="220"/>
      <c r="M86" s="220"/>
      <c r="N86" s="220"/>
      <c r="O86" s="220"/>
      <c r="P86" s="220"/>
      <c r="Q86" s="220"/>
      <c r="R86" s="220"/>
      <c r="S86" s="220"/>
      <c r="T86" s="220"/>
      <c r="U86" s="220"/>
      <c r="V86" s="220"/>
      <c r="W86" s="220"/>
      <c r="X86" s="220"/>
      <c r="Y86" s="220"/>
      <c r="Z86" s="221"/>
    </row>
    <row r="87" spans="1:26" ht="133.5" customHeight="1" x14ac:dyDescent="0.15">
      <c r="B87" s="298"/>
      <c r="C87" s="159" t="s">
        <v>112</v>
      </c>
      <c r="D87" s="222"/>
      <c r="E87" s="223"/>
      <c r="F87" s="223"/>
      <c r="G87" s="223"/>
      <c r="H87" s="223"/>
      <c r="I87" s="223"/>
      <c r="J87" s="223"/>
      <c r="K87" s="223"/>
      <c r="L87" s="223"/>
      <c r="M87" s="223"/>
      <c r="N87" s="223"/>
      <c r="O87" s="223"/>
      <c r="P87" s="223"/>
      <c r="Q87" s="223"/>
      <c r="R87" s="223"/>
      <c r="S87" s="223"/>
      <c r="T87" s="223"/>
      <c r="U87" s="223"/>
      <c r="V87" s="223"/>
      <c r="W87" s="223"/>
      <c r="X87" s="223"/>
      <c r="Y87" s="223"/>
      <c r="Z87" s="224"/>
    </row>
    <row r="88" spans="1:26" ht="275.25" customHeight="1" x14ac:dyDescent="0.15">
      <c r="B88" s="296" t="s">
        <v>143</v>
      </c>
      <c r="C88" s="158" t="s">
        <v>109</v>
      </c>
      <c r="D88" s="219" t="s">
        <v>226</v>
      </c>
      <c r="E88" s="220"/>
      <c r="F88" s="220"/>
      <c r="G88" s="220"/>
      <c r="H88" s="220"/>
      <c r="I88" s="220"/>
      <c r="J88" s="220"/>
      <c r="K88" s="220"/>
      <c r="L88" s="220"/>
      <c r="M88" s="220"/>
      <c r="N88" s="220"/>
      <c r="O88" s="220"/>
      <c r="P88" s="220"/>
      <c r="Q88" s="220"/>
      <c r="R88" s="220"/>
      <c r="S88" s="220"/>
      <c r="T88" s="220"/>
      <c r="U88" s="220"/>
      <c r="V88" s="220"/>
      <c r="W88" s="220"/>
      <c r="X88" s="220"/>
      <c r="Y88" s="220"/>
      <c r="Z88" s="221"/>
    </row>
    <row r="89" spans="1:26" ht="295.5" customHeight="1" x14ac:dyDescent="0.15">
      <c r="B89" s="297"/>
      <c r="C89" s="161" t="s">
        <v>138</v>
      </c>
      <c r="D89" s="222"/>
      <c r="E89" s="223"/>
      <c r="F89" s="223"/>
      <c r="G89" s="223"/>
      <c r="H89" s="223"/>
      <c r="I89" s="223"/>
      <c r="J89" s="223"/>
      <c r="K89" s="223"/>
      <c r="L89" s="223"/>
      <c r="M89" s="223"/>
      <c r="N89" s="223"/>
      <c r="O89" s="223"/>
      <c r="P89" s="223"/>
      <c r="Q89" s="223"/>
      <c r="R89" s="223"/>
      <c r="S89" s="223"/>
      <c r="T89" s="223"/>
      <c r="U89" s="223"/>
      <c r="V89" s="223"/>
      <c r="W89" s="223"/>
      <c r="X89" s="223"/>
      <c r="Y89" s="223"/>
      <c r="Z89" s="224"/>
    </row>
    <row r="90" spans="1:26" ht="409.5" customHeight="1" x14ac:dyDescent="0.15">
      <c r="B90" s="298"/>
      <c r="C90" s="160" t="s">
        <v>139</v>
      </c>
      <c r="D90" s="299" t="s">
        <v>225</v>
      </c>
      <c r="E90" s="300"/>
      <c r="F90" s="300"/>
      <c r="G90" s="300"/>
      <c r="H90" s="300"/>
      <c r="I90" s="300"/>
      <c r="J90" s="300"/>
      <c r="K90" s="300"/>
      <c r="L90" s="300"/>
      <c r="M90" s="300"/>
      <c r="N90" s="300"/>
      <c r="O90" s="300"/>
      <c r="P90" s="300"/>
      <c r="Q90" s="300"/>
      <c r="R90" s="300"/>
      <c r="S90" s="300"/>
      <c r="T90" s="300"/>
      <c r="U90" s="300"/>
      <c r="V90" s="300"/>
      <c r="W90" s="300"/>
      <c r="X90" s="300"/>
      <c r="Y90" s="300"/>
      <c r="Z90" s="301"/>
    </row>
    <row r="91" spans="1:26" ht="6" customHeight="1" x14ac:dyDescent="0.15"/>
    <row r="92" spans="1:26" ht="18.75" customHeight="1" x14ac:dyDescent="0.15">
      <c r="A92" s="136" t="s">
        <v>147</v>
      </c>
    </row>
    <row r="93" spans="1:26" ht="18.75" customHeight="1" x14ac:dyDescent="0.15">
      <c r="B93" s="302" t="s">
        <v>181</v>
      </c>
      <c r="C93" s="303"/>
      <c r="D93" s="303"/>
      <c r="E93" s="303"/>
      <c r="F93" s="303"/>
      <c r="G93" s="303"/>
      <c r="H93" s="303"/>
      <c r="I93" s="303"/>
      <c r="J93" s="303"/>
      <c r="K93" s="303"/>
      <c r="L93" s="303"/>
      <c r="M93" s="303"/>
      <c r="N93" s="303"/>
      <c r="O93" s="303"/>
      <c r="P93" s="303"/>
      <c r="Q93" s="303"/>
      <c r="R93" s="303"/>
      <c r="S93" s="303"/>
      <c r="T93" s="303"/>
      <c r="U93" s="303"/>
      <c r="V93" s="303"/>
      <c r="W93" s="303"/>
      <c r="X93" s="303"/>
      <c r="Y93" s="303"/>
      <c r="Z93" s="304"/>
    </row>
    <row r="94" spans="1:26" ht="18.75" customHeight="1" x14ac:dyDescent="0.15">
      <c r="B94" s="305"/>
      <c r="C94" s="306"/>
      <c r="D94" s="306"/>
      <c r="E94" s="306"/>
      <c r="F94" s="306"/>
      <c r="G94" s="306"/>
      <c r="H94" s="306"/>
      <c r="I94" s="306"/>
      <c r="J94" s="306"/>
      <c r="K94" s="306"/>
      <c r="L94" s="306"/>
      <c r="M94" s="306"/>
      <c r="N94" s="306"/>
      <c r="O94" s="306"/>
      <c r="P94" s="306"/>
      <c r="Q94" s="306"/>
      <c r="R94" s="306"/>
      <c r="S94" s="306"/>
      <c r="T94" s="306"/>
      <c r="U94" s="306"/>
      <c r="V94" s="306"/>
      <c r="W94" s="306"/>
      <c r="X94" s="306"/>
      <c r="Y94" s="306"/>
      <c r="Z94" s="307"/>
    </row>
    <row r="95" spans="1:26" ht="18.75" customHeight="1" x14ac:dyDescent="0.15">
      <c r="B95" s="308"/>
      <c r="C95" s="309"/>
      <c r="D95" s="309"/>
      <c r="E95" s="309"/>
      <c r="F95" s="309"/>
      <c r="G95" s="309"/>
      <c r="H95" s="309"/>
      <c r="I95" s="309"/>
      <c r="J95" s="309"/>
      <c r="K95" s="309"/>
      <c r="L95" s="309"/>
      <c r="M95" s="309"/>
      <c r="N95" s="309"/>
      <c r="O95" s="309"/>
      <c r="P95" s="309"/>
      <c r="Q95" s="309"/>
      <c r="R95" s="309"/>
      <c r="S95" s="309"/>
      <c r="T95" s="309"/>
      <c r="U95" s="309"/>
      <c r="V95" s="309"/>
      <c r="W95" s="309"/>
      <c r="X95" s="309"/>
      <c r="Y95" s="309"/>
      <c r="Z95" s="310"/>
    </row>
    <row r="96" spans="1:26" ht="6" customHeight="1" x14ac:dyDescent="0.15"/>
    <row r="97" spans="1:26" ht="15" customHeight="1" x14ac:dyDescent="0.15">
      <c r="A97" s="136" t="s">
        <v>148</v>
      </c>
    </row>
    <row r="98" spans="1:26" ht="15" customHeight="1" x14ac:dyDescent="0.15">
      <c r="B98" s="311" t="s">
        <v>182</v>
      </c>
      <c r="C98" s="312"/>
      <c r="D98" s="312"/>
      <c r="E98" s="312"/>
      <c r="F98" s="312"/>
      <c r="G98" s="312"/>
      <c r="H98" s="312"/>
      <c r="I98" s="312"/>
      <c r="J98" s="312"/>
      <c r="K98" s="312"/>
      <c r="L98" s="312"/>
      <c r="M98" s="312"/>
      <c r="N98" s="312"/>
      <c r="O98" s="312"/>
      <c r="P98" s="312"/>
      <c r="Q98" s="312"/>
      <c r="R98" s="312"/>
      <c r="S98" s="312"/>
      <c r="T98" s="312"/>
      <c r="U98" s="312"/>
      <c r="V98" s="312"/>
      <c r="W98" s="312"/>
      <c r="X98" s="312"/>
      <c r="Y98" s="312"/>
      <c r="Z98" s="313"/>
    </row>
  </sheetData>
  <mergeCells count="213">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4:F44"/>
    <mergeCell ref="I44:K44"/>
    <mergeCell ref="N44:S44"/>
    <mergeCell ref="V44:X44"/>
    <mergeCell ref="A46:Z47"/>
    <mergeCell ref="B48:F48"/>
    <mergeCell ref="I48:K48"/>
    <mergeCell ref="N48:S48"/>
    <mergeCell ref="V48:X48"/>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76:F76"/>
    <mergeCell ref="G76:M76"/>
    <mergeCell ref="N76:S76"/>
    <mergeCell ref="T76:Z76"/>
    <mergeCell ref="D79:Z79"/>
    <mergeCell ref="B80:B81"/>
    <mergeCell ref="D80:Z81"/>
    <mergeCell ref="B74:F74"/>
    <mergeCell ref="G74:M74"/>
    <mergeCell ref="N74:S74"/>
    <mergeCell ref="T74:Z74"/>
    <mergeCell ref="B75:F75"/>
    <mergeCell ref="G75:M75"/>
    <mergeCell ref="N75:S75"/>
    <mergeCell ref="T75:Z75"/>
    <mergeCell ref="B88:B90"/>
    <mergeCell ref="D88:Z89"/>
    <mergeCell ref="D90:Z90"/>
    <mergeCell ref="B93:Z95"/>
    <mergeCell ref="B98:Z98"/>
    <mergeCell ref="B82:B83"/>
    <mergeCell ref="D82:Z83"/>
    <mergeCell ref="B84:B85"/>
    <mergeCell ref="D84:Z85"/>
    <mergeCell ref="B86:B87"/>
    <mergeCell ref="D86:Z87"/>
  </mergeCells>
  <phoneticPr fontId="1"/>
  <dataValidations count="4">
    <dataValidation type="list" allowBlank="1" showInputMessage="1" showErrorMessage="1" sqref="Y16:Z22 L16:M22 Y27:Z33 L27:M33 H38:H44 Y38:Z44 L49:M55 Y49:Z55 Y60:Z66 T60:T66 H16:H22 U16:U22 H27:H33 U27:U33 L62:M66 U38:U44 H49:H55 U49:U55 G60:G66 K60:M61 L38:M44" xr:uid="{978C4F03-2110-4818-90AC-E9CE76F2CEA6}">
      <formula1>"○"</formula1>
    </dataValidation>
    <dataValidation type="list" allowBlank="1" showInputMessage="1" showErrorMessage="1" sqref="Z23 Z34 D34:K34 D23:K23 V16:V22 I16:I22 V27:V33 I27:I33 V38:V44 H60:H66 V49:V55 I49:I55 U60:U66 I38:I44" xr:uid="{7C888955-7B3C-4BE7-AC31-5696635234F8}">
      <formula1>"全学開講,一部開講"</formula1>
    </dataValidation>
    <dataValidation type="list" allowBlank="1" showInputMessage="1" showErrorMessage="1" sqref="O4" xr:uid="{8B0D2515-916D-4A26-84B8-6564A4F62BB1}">
      <formula1>"学部・学科によって、修了要件は相違する,学部・学科によって、修了要件は相違しない"</formula1>
    </dataValidation>
    <dataValidation type="list" allowBlank="1" showInputMessage="1" showErrorMessage="1" sqref="H74:M77 G70:G77 H70:M71 T70:T77 U70:Z71 U74:Z77" xr:uid="{1354F529-F719-4449-ACEB-4264D7B29C59}">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06B05801-2F15-4225-BD7F-696DCE388F5D}"/>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87408-A0DC-49F7-B16A-DBCF3ACCE235}">
  <dimension ref="A1:Z98"/>
  <sheetViews>
    <sheetView showZeros="0" view="pageBreakPreview" zoomScaleNormal="100" zoomScaleSheetLayoutView="100" workbookViewId="0">
      <selection activeCell="B6" sqref="B6:Z11"/>
    </sheetView>
  </sheetViews>
  <sheetFormatPr defaultColWidth="9" defaultRowHeight="18.75" customHeight="1" x14ac:dyDescent="0.15"/>
  <cols>
    <col min="1" max="1" width="2.5" style="136" customWidth="1"/>
    <col min="2" max="2" width="27.75" style="136" customWidth="1"/>
    <col min="3" max="13" width="3.375" style="136" customWidth="1"/>
    <col min="14" max="14" width="8.875" style="136" customWidth="1"/>
    <col min="15" max="15" width="18.875" style="136" customWidth="1"/>
    <col min="16" max="19" width="3.375" style="136" customWidth="1"/>
    <col min="20" max="20" width="3.5" style="136" customWidth="1"/>
    <col min="21" max="26" width="3.375" style="136" customWidth="1"/>
    <col min="27" max="16384" width="9" style="136"/>
  </cols>
  <sheetData>
    <row r="1" spans="1:26" ht="15" customHeight="1" x14ac:dyDescent="0.15">
      <c r="W1" s="357" t="s">
        <v>184</v>
      </c>
      <c r="X1" s="357"/>
      <c r="Y1" s="357"/>
      <c r="Z1" s="357"/>
    </row>
    <row r="2" spans="1:26" ht="18" customHeight="1" x14ac:dyDescent="0.15">
      <c r="A2" s="358" t="s">
        <v>69</v>
      </c>
      <c r="B2" s="358"/>
      <c r="C2" s="358"/>
      <c r="D2" s="358"/>
      <c r="E2" s="358"/>
      <c r="F2" s="358"/>
      <c r="G2" s="358"/>
      <c r="H2" s="358"/>
      <c r="I2" s="358"/>
      <c r="J2" s="358"/>
      <c r="K2" s="358"/>
      <c r="L2" s="358"/>
      <c r="M2" s="358"/>
      <c r="N2" s="358"/>
      <c r="O2" s="358"/>
      <c r="P2" s="358"/>
      <c r="Q2" s="358"/>
      <c r="R2" s="358"/>
      <c r="S2" s="358"/>
      <c r="T2" s="358"/>
      <c r="U2" s="358"/>
      <c r="V2" s="358"/>
      <c r="W2" s="358"/>
      <c r="X2" s="358"/>
      <c r="Y2" s="358"/>
      <c r="Z2" s="358"/>
    </row>
    <row r="3" spans="1:26" ht="15" customHeight="1" x14ac:dyDescent="0.15">
      <c r="B3" s="137"/>
      <c r="C3" s="137"/>
      <c r="D3" s="137"/>
      <c r="E3" s="137"/>
      <c r="F3" s="137"/>
      <c r="G3" s="137"/>
      <c r="H3" s="137"/>
      <c r="I3" s="137"/>
      <c r="J3" s="137"/>
      <c r="K3" s="137"/>
      <c r="L3" s="137"/>
      <c r="M3" s="137"/>
      <c r="N3" s="137"/>
      <c r="O3" s="137"/>
      <c r="P3" s="137"/>
      <c r="Q3" s="137"/>
      <c r="R3" s="137"/>
      <c r="S3" s="137"/>
      <c r="T3" s="137"/>
      <c r="U3" s="137"/>
      <c r="V3" s="137"/>
      <c r="W3" s="137"/>
      <c r="X3" s="137"/>
      <c r="Y3" s="137"/>
      <c r="Z3" s="137"/>
    </row>
    <row r="4" spans="1:26" ht="18" customHeight="1" x14ac:dyDescent="0.15">
      <c r="A4" s="136" t="s">
        <v>103</v>
      </c>
      <c r="B4" s="137"/>
      <c r="C4" s="137"/>
      <c r="D4" s="137"/>
      <c r="E4" s="137"/>
      <c r="F4" s="137"/>
      <c r="G4" s="137"/>
      <c r="H4" s="138" t="s">
        <v>116</v>
      </c>
      <c r="I4" s="137"/>
      <c r="J4" s="137"/>
      <c r="K4" s="137"/>
      <c r="L4" s="137"/>
      <c r="M4" s="137"/>
      <c r="N4" s="137"/>
      <c r="O4" s="198" t="s">
        <v>175</v>
      </c>
      <c r="P4" s="199"/>
      <c r="Q4" s="199"/>
      <c r="R4" s="199"/>
      <c r="S4" s="199"/>
      <c r="T4" s="199"/>
      <c r="U4" s="199"/>
      <c r="V4" s="199"/>
      <c r="W4" s="199"/>
      <c r="X4" s="199"/>
      <c r="Y4" s="199"/>
      <c r="Z4" s="200"/>
    </row>
    <row r="5" spans="1:26" ht="6" customHeight="1" x14ac:dyDescent="0.15">
      <c r="B5" s="137"/>
      <c r="C5" s="137"/>
      <c r="D5" s="137"/>
      <c r="E5" s="137"/>
      <c r="F5" s="137"/>
      <c r="G5" s="137"/>
      <c r="H5" s="137"/>
      <c r="I5" s="137"/>
      <c r="J5" s="137"/>
      <c r="K5" s="137"/>
      <c r="L5" s="137"/>
      <c r="M5" s="137"/>
      <c r="N5" s="137"/>
      <c r="O5" s="139"/>
      <c r="P5" s="137"/>
      <c r="Q5" s="137"/>
      <c r="R5" s="137"/>
      <c r="S5" s="137"/>
      <c r="T5" s="137"/>
      <c r="U5" s="137"/>
      <c r="V5" s="137"/>
      <c r="W5" s="137"/>
      <c r="X5" s="137"/>
      <c r="Y5" s="137"/>
      <c r="Z5" s="137"/>
    </row>
    <row r="6" spans="1:26" ht="18" customHeight="1" x14ac:dyDescent="0.15">
      <c r="B6" s="396" t="s">
        <v>234</v>
      </c>
      <c r="C6" s="397"/>
      <c r="D6" s="397"/>
      <c r="E6" s="397"/>
      <c r="F6" s="397"/>
      <c r="G6" s="397"/>
      <c r="H6" s="397"/>
      <c r="I6" s="397"/>
      <c r="J6" s="397"/>
      <c r="K6" s="397"/>
      <c r="L6" s="397"/>
      <c r="M6" s="397"/>
      <c r="N6" s="397"/>
      <c r="O6" s="397"/>
      <c r="P6" s="397"/>
      <c r="Q6" s="397"/>
      <c r="R6" s="397"/>
      <c r="S6" s="397"/>
      <c r="T6" s="397"/>
      <c r="U6" s="397"/>
      <c r="V6" s="397"/>
      <c r="W6" s="397"/>
      <c r="X6" s="397"/>
      <c r="Y6" s="397"/>
      <c r="Z6" s="398"/>
    </row>
    <row r="7" spans="1:26" ht="18" customHeight="1" x14ac:dyDescent="0.15">
      <c r="B7" s="399"/>
      <c r="C7" s="400"/>
      <c r="D7" s="400"/>
      <c r="E7" s="400"/>
      <c r="F7" s="400"/>
      <c r="G7" s="400"/>
      <c r="H7" s="400"/>
      <c r="I7" s="400"/>
      <c r="J7" s="400"/>
      <c r="K7" s="400"/>
      <c r="L7" s="400"/>
      <c r="M7" s="400"/>
      <c r="N7" s="400"/>
      <c r="O7" s="400"/>
      <c r="P7" s="400"/>
      <c r="Q7" s="400"/>
      <c r="R7" s="400"/>
      <c r="S7" s="400"/>
      <c r="T7" s="400"/>
      <c r="U7" s="400"/>
      <c r="V7" s="400"/>
      <c r="W7" s="400"/>
      <c r="X7" s="400"/>
      <c r="Y7" s="400"/>
      <c r="Z7" s="401"/>
    </row>
    <row r="8" spans="1:26" ht="18" customHeight="1" x14ac:dyDescent="0.15">
      <c r="B8" s="399"/>
      <c r="C8" s="400"/>
      <c r="D8" s="400"/>
      <c r="E8" s="400"/>
      <c r="F8" s="400"/>
      <c r="G8" s="400"/>
      <c r="H8" s="400"/>
      <c r="I8" s="400"/>
      <c r="J8" s="400"/>
      <c r="K8" s="400"/>
      <c r="L8" s="400"/>
      <c r="M8" s="400"/>
      <c r="N8" s="400"/>
      <c r="O8" s="400"/>
      <c r="P8" s="400"/>
      <c r="Q8" s="400"/>
      <c r="R8" s="400"/>
      <c r="S8" s="400"/>
      <c r="T8" s="400"/>
      <c r="U8" s="400"/>
      <c r="V8" s="400"/>
      <c r="W8" s="400"/>
      <c r="X8" s="400"/>
      <c r="Y8" s="400"/>
      <c r="Z8" s="401"/>
    </row>
    <row r="9" spans="1:26" ht="18" customHeight="1" x14ac:dyDescent="0.15">
      <c r="B9" s="399"/>
      <c r="C9" s="400"/>
      <c r="D9" s="400"/>
      <c r="E9" s="400"/>
      <c r="F9" s="400"/>
      <c r="G9" s="400"/>
      <c r="H9" s="400"/>
      <c r="I9" s="400"/>
      <c r="J9" s="400"/>
      <c r="K9" s="400"/>
      <c r="L9" s="400"/>
      <c r="M9" s="400"/>
      <c r="N9" s="400"/>
      <c r="O9" s="400"/>
      <c r="P9" s="400"/>
      <c r="Q9" s="400"/>
      <c r="R9" s="400"/>
      <c r="S9" s="400"/>
      <c r="T9" s="400"/>
      <c r="U9" s="400"/>
      <c r="V9" s="400"/>
      <c r="W9" s="400"/>
      <c r="X9" s="400"/>
      <c r="Y9" s="400"/>
      <c r="Z9" s="401"/>
    </row>
    <row r="10" spans="1:26" ht="18" customHeight="1" x14ac:dyDescent="0.15">
      <c r="B10" s="399"/>
      <c r="C10" s="402"/>
      <c r="D10" s="402"/>
      <c r="E10" s="402"/>
      <c r="F10" s="402"/>
      <c r="G10" s="402"/>
      <c r="H10" s="402"/>
      <c r="I10" s="402"/>
      <c r="J10" s="402"/>
      <c r="K10" s="402"/>
      <c r="L10" s="402"/>
      <c r="M10" s="402"/>
      <c r="N10" s="402"/>
      <c r="O10" s="402"/>
      <c r="P10" s="402"/>
      <c r="Q10" s="402"/>
      <c r="R10" s="402"/>
      <c r="S10" s="402"/>
      <c r="T10" s="402"/>
      <c r="U10" s="402"/>
      <c r="V10" s="402"/>
      <c r="W10" s="402"/>
      <c r="X10" s="402"/>
      <c r="Y10" s="402"/>
      <c r="Z10" s="401"/>
    </row>
    <row r="11" spans="1:26" ht="18" customHeight="1" x14ac:dyDescent="0.15">
      <c r="B11" s="403"/>
      <c r="C11" s="404"/>
      <c r="D11" s="404"/>
      <c r="E11" s="404"/>
      <c r="F11" s="404"/>
      <c r="G11" s="404"/>
      <c r="H11" s="404"/>
      <c r="I11" s="404"/>
      <c r="J11" s="404"/>
      <c r="K11" s="404"/>
      <c r="L11" s="404"/>
      <c r="M11" s="404"/>
      <c r="N11" s="404"/>
      <c r="O11" s="404"/>
      <c r="P11" s="404"/>
      <c r="Q11" s="404"/>
      <c r="R11" s="404"/>
      <c r="S11" s="404"/>
      <c r="T11" s="404"/>
      <c r="U11" s="404"/>
      <c r="V11" s="404"/>
      <c r="W11" s="404"/>
      <c r="X11" s="404"/>
      <c r="Y11" s="404"/>
      <c r="Z11" s="405"/>
    </row>
    <row r="12" spans="1:26" ht="7.5" customHeight="1" x14ac:dyDescent="0.15">
      <c r="B12" s="137"/>
      <c r="C12" s="137"/>
      <c r="D12" s="137"/>
      <c r="E12" s="137"/>
      <c r="F12" s="137"/>
      <c r="G12" s="137"/>
      <c r="H12" s="137"/>
      <c r="I12" s="137"/>
      <c r="J12" s="137"/>
      <c r="K12" s="137"/>
      <c r="L12" s="137"/>
      <c r="M12" s="137"/>
      <c r="N12" s="137"/>
      <c r="O12" s="137"/>
      <c r="P12" s="137"/>
      <c r="Q12" s="137"/>
      <c r="R12" s="137"/>
      <c r="S12" s="137"/>
      <c r="T12" s="137"/>
      <c r="U12" s="137"/>
      <c r="V12" s="137"/>
      <c r="W12" s="137"/>
      <c r="X12" s="137"/>
      <c r="Y12" s="137"/>
      <c r="Z12" s="137"/>
    </row>
    <row r="13" spans="1:26" ht="18" customHeight="1" x14ac:dyDescent="0.15">
      <c r="A13" s="350" t="s">
        <v>129</v>
      </c>
      <c r="B13" s="350"/>
      <c r="C13" s="350"/>
      <c r="D13" s="350"/>
      <c r="E13" s="350"/>
      <c r="F13" s="350"/>
      <c r="G13" s="350"/>
      <c r="H13" s="350"/>
      <c r="I13" s="350"/>
      <c r="J13" s="350"/>
      <c r="K13" s="350"/>
      <c r="L13" s="350"/>
      <c r="M13" s="350"/>
      <c r="N13" s="350"/>
      <c r="O13" s="350"/>
      <c r="P13" s="350"/>
      <c r="Q13" s="350"/>
      <c r="R13" s="350"/>
      <c r="S13" s="350"/>
      <c r="T13" s="350"/>
      <c r="U13" s="350"/>
      <c r="V13" s="350"/>
      <c r="W13" s="350"/>
      <c r="X13" s="350"/>
      <c r="Y13" s="350"/>
      <c r="Z13" s="350"/>
    </row>
    <row r="14" spans="1:26" ht="18" customHeight="1" x14ac:dyDescent="0.15">
      <c r="A14" s="350"/>
      <c r="B14" s="350"/>
      <c r="C14" s="350"/>
      <c r="D14" s="350"/>
      <c r="E14" s="350"/>
      <c r="F14" s="350"/>
      <c r="G14" s="350"/>
      <c r="H14" s="350"/>
      <c r="I14" s="350"/>
      <c r="J14" s="350"/>
      <c r="K14" s="350"/>
      <c r="L14" s="350"/>
      <c r="M14" s="350"/>
      <c r="N14" s="350"/>
      <c r="O14" s="350"/>
      <c r="P14" s="350"/>
      <c r="Q14" s="350"/>
      <c r="R14" s="350"/>
      <c r="S14" s="350"/>
      <c r="T14" s="350"/>
      <c r="U14" s="350"/>
      <c r="V14" s="350"/>
      <c r="W14" s="350"/>
      <c r="X14" s="350"/>
      <c r="Y14" s="350"/>
      <c r="Z14" s="350"/>
    </row>
    <row r="15" spans="1:26" ht="18" customHeight="1" x14ac:dyDescent="0.15">
      <c r="A15" s="120"/>
      <c r="B15" s="198" t="s">
        <v>104</v>
      </c>
      <c r="C15" s="199"/>
      <c r="D15" s="199"/>
      <c r="E15" s="199"/>
      <c r="F15" s="200"/>
      <c r="G15" s="140" t="s">
        <v>145</v>
      </c>
      <c r="H15" s="141" t="s">
        <v>144</v>
      </c>
      <c r="I15" s="199" t="s">
        <v>105</v>
      </c>
      <c r="J15" s="199"/>
      <c r="K15" s="199"/>
      <c r="L15" s="142" t="s">
        <v>108</v>
      </c>
      <c r="M15" s="142" t="s">
        <v>111</v>
      </c>
      <c r="N15" s="198" t="s">
        <v>104</v>
      </c>
      <c r="O15" s="199"/>
      <c r="P15" s="199"/>
      <c r="Q15" s="199"/>
      <c r="R15" s="199"/>
      <c r="S15" s="200"/>
      <c r="T15" s="140" t="s">
        <v>145</v>
      </c>
      <c r="U15" s="141" t="s">
        <v>144</v>
      </c>
      <c r="V15" s="199" t="s">
        <v>105</v>
      </c>
      <c r="W15" s="199"/>
      <c r="X15" s="199"/>
      <c r="Y15" s="142" t="s">
        <v>108</v>
      </c>
      <c r="Z15" s="142" t="s">
        <v>111</v>
      </c>
    </row>
    <row r="16" spans="1:26" ht="18" customHeight="1" x14ac:dyDescent="0.15">
      <c r="A16" s="120"/>
      <c r="B16" s="354" t="s">
        <v>185</v>
      </c>
      <c r="C16" s="355"/>
      <c r="D16" s="355"/>
      <c r="E16" s="355"/>
      <c r="F16" s="356"/>
      <c r="G16" s="143">
        <v>1</v>
      </c>
      <c r="H16" s="143" t="s">
        <v>177</v>
      </c>
      <c r="I16" s="344" t="s">
        <v>210</v>
      </c>
      <c r="J16" s="345"/>
      <c r="K16" s="346"/>
      <c r="L16" s="143" t="s">
        <v>177</v>
      </c>
      <c r="M16" s="143" t="s">
        <v>177</v>
      </c>
      <c r="N16" s="329"/>
      <c r="O16" s="330"/>
      <c r="P16" s="330"/>
      <c r="Q16" s="330"/>
      <c r="R16" s="330"/>
      <c r="S16" s="331"/>
      <c r="T16" s="143"/>
      <c r="U16" s="143"/>
      <c r="V16" s="344"/>
      <c r="W16" s="345"/>
      <c r="X16" s="346"/>
      <c r="Y16" s="143"/>
      <c r="Z16" s="143"/>
    </row>
    <row r="17" spans="1:26" ht="18" customHeight="1" x14ac:dyDescent="0.15">
      <c r="A17" s="120"/>
      <c r="B17" s="351"/>
      <c r="C17" s="352"/>
      <c r="D17" s="352"/>
      <c r="E17" s="352"/>
      <c r="F17" s="353"/>
      <c r="G17" s="144"/>
      <c r="H17" s="144"/>
      <c r="I17" s="341"/>
      <c r="J17" s="342"/>
      <c r="K17" s="343"/>
      <c r="L17" s="144"/>
      <c r="M17" s="144"/>
      <c r="N17" s="323"/>
      <c r="O17" s="324"/>
      <c r="P17" s="324"/>
      <c r="Q17" s="324"/>
      <c r="R17" s="324"/>
      <c r="S17" s="325"/>
      <c r="T17" s="144"/>
      <c r="U17" s="144"/>
      <c r="V17" s="341"/>
      <c r="W17" s="342"/>
      <c r="X17" s="343"/>
      <c r="Y17" s="144"/>
      <c r="Z17" s="144"/>
    </row>
    <row r="18" spans="1:26" ht="18" customHeight="1" x14ac:dyDescent="0.15">
      <c r="A18" s="120"/>
      <c r="B18" s="351"/>
      <c r="C18" s="352"/>
      <c r="D18" s="352"/>
      <c r="E18" s="352"/>
      <c r="F18" s="353"/>
      <c r="G18" s="144"/>
      <c r="H18" s="144"/>
      <c r="I18" s="341"/>
      <c r="J18" s="342"/>
      <c r="K18" s="343"/>
      <c r="L18" s="144"/>
      <c r="M18" s="144"/>
      <c r="N18" s="323"/>
      <c r="O18" s="324"/>
      <c r="P18" s="324"/>
      <c r="Q18" s="324"/>
      <c r="R18" s="324"/>
      <c r="S18" s="325"/>
      <c r="T18" s="144"/>
      <c r="U18" s="144"/>
      <c r="V18" s="341"/>
      <c r="W18" s="342"/>
      <c r="X18" s="343"/>
      <c r="Y18" s="144"/>
      <c r="Z18" s="144"/>
    </row>
    <row r="19" spans="1:26" ht="18" customHeight="1" x14ac:dyDescent="0.15">
      <c r="A19" s="120"/>
      <c r="B19" s="351"/>
      <c r="C19" s="352"/>
      <c r="D19" s="352"/>
      <c r="E19" s="352"/>
      <c r="F19" s="353"/>
      <c r="G19" s="144"/>
      <c r="H19" s="144"/>
      <c r="I19" s="341"/>
      <c r="J19" s="342"/>
      <c r="K19" s="343"/>
      <c r="L19" s="144"/>
      <c r="M19" s="144"/>
      <c r="N19" s="323"/>
      <c r="O19" s="324"/>
      <c r="P19" s="324"/>
      <c r="Q19" s="324"/>
      <c r="R19" s="324"/>
      <c r="S19" s="325"/>
      <c r="T19" s="144"/>
      <c r="U19" s="144"/>
      <c r="V19" s="341"/>
      <c r="W19" s="342"/>
      <c r="X19" s="343"/>
      <c r="Y19" s="144"/>
      <c r="Z19" s="144"/>
    </row>
    <row r="20" spans="1:26" ht="18" customHeight="1" x14ac:dyDescent="0.15">
      <c r="A20" s="120"/>
      <c r="B20" s="351"/>
      <c r="C20" s="352"/>
      <c r="D20" s="352"/>
      <c r="E20" s="352"/>
      <c r="F20" s="353"/>
      <c r="G20" s="144"/>
      <c r="H20" s="144"/>
      <c r="I20" s="341"/>
      <c r="J20" s="342"/>
      <c r="K20" s="343"/>
      <c r="L20" s="144"/>
      <c r="M20" s="144"/>
      <c r="N20" s="323"/>
      <c r="O20" s="324"/>
      <c r="P20" s="324"/>
      <c r="Q20" s="324"/>
      <c r="R20" s="324"/>
      <c r="S20" s="325"/>
      <c r="T20" s="144"/>
      <c r="U20" s="144"/>
      <c r="V20" s="341"/>
      <c r="W20" s="342"/>
      <c r="X20" s="343"/>
      <c r="Y20" s="144"/>
      <c r="Z20" s="144"/>
    </row>
    <row r="21" spans="1:26" ht="18" customHeight="1" x14ac:dyDescent="0.15">
      <c r="A21" s="137"/>
      <c r="B21" s="351"/>
      <c r="C21" s="352"/>
      <c r="D21" s="352"/>
      <c r="E21" s="352"/>
      <c r="F21" s="353"/>
      <c r="G21" s="144"/>
      <c r="H21" s="144"/>
      <c r="I21" s="341"/>
      <c r="J21" s="342"/>
      <c r="K21" s="343"/>
      <c r="L21" s="144"/>
      <c r="M21" s="144"/>
      <c r="N21" s="323"/>
      <c r="O21" s="324"/>
      <c r="P21" s="324"/>
      <c r="Q21" s="324"/>
      <c r="R21" s="324"/>
      <c r="S21" s="325"/>
      <c r="T21" s="144"/>
      <c r="U21" s="144"/>
      <c r="V21" s="341"/>
      <c r="W21" s="342"/>
      <c r="X21" s="343"/>
      <c r="Y21" s="144"/>
      <c r="Z21" s="144"/>
    </row>
    <row r="22" spans="1:26" ht="18" customHeight="1" x14ac:dyDescent="0.15">
      <c r="A22" s="137"/>
      <c r="B22" s="347"/>
      <c r="C22" s="348"/>
      <c r="D22" s="348"/>
      <c r="E22" s="348"/>
      <c r="F22" s="349"/>
      <c r="G22" s="145"/>
      <c r="H22" s="145"/>
      <c r="I22" s="335"/>
      <c r="J22" s="336"/>
      <c r="K22" s="337"/>
      <c r="L22" s="146"/>
      <c r="M22" s="146"/>
      <c r="N22" s="315"/>
      <c r="O22" s="316"/>
      <c r="P22" s="316"/>
      <c r="Q22" s="316"/>
      <c r="R22" s="316"/>
      <c r="S22" s="317"/>
      <c r="T22" s="145"/>
      <c r="U22" s="145"/>
      <c r="V22" s="335"/>
      <c r="W22" s="336"/>
      <c r="X22" s="337"/>
      <c r="Y22" s="146"/>
      <c r="Z22" s="146"/>
    </row>
    <row r="23" spans="1:26" ht="7.5" customHeight="1" x14ac:dyDescent="0.15">
      <c r="A23" s="137"/>
      <c r="B23" s="147"/>
      <c r="C23" s="147"/>
      <c r="D23" s="137"/>
      <c r="E23" s="137"/>
      <c r="F23" s="137"/>
      <c r="G23" s="137"/>
      <c r="H23" s="137"/>
      <c r="I23" s="137"/>
      <c r="J23" s="137"/>
      <c r="K23" s="137"/>
      <c r="L23" s="147"/>
      <c r="M23" s="147"/>
      <c r="N23" s="147"/>
      <c r="O23" s="147"/>
      <c r="P23" s="147"/>
      <c r="Q23" s="147"/>
      <c r="R23" s="147"/>
      <c r="S23" s="147"/>
      <c r="T23" s="147"/>
      <c r="U23" s="147"/>
      <c r="V23" s="147"/>
      <c r="W23" s="147"/>
      <c r="X23" s="147"/>
      <c r="Y23" s="147"/>
      <c r="Z23" s="137"/>
    </row>
    <row r="24" spans="1:26" ht="18" customHeight="1" x14ac:dyDescent="0.15">
      <c r="A24" s="350" t="s">
        <v>130</v>
      </c>
      <c r="B24" s="350"/>
      <c r="C24" s="350"/>
      <c r="D24" s="350"/>
      <c r="E24" s="350"/>
      <c r="F24" s="350"/>
      <c r="G24" s="350"/>
      <c r="H24" s="350"/>
      <c r="I24" s="350"/>
      <c r="J24" s="350"/>
      <c r="K24" s="350"/>
      <c r="L24" s="350"/>
      <c r="M24" s="350"/>
      <c r="N24" s="350"/>
      <c r="O24" s="350"/>
      <c r="P24" s="350"/>
      <c r="Q24" s="350"/>
      <c r="R24" s="350"/>
      <c r="S24" s="350"/>
      <c r="T24" s="350"/>
      <c r="U24" s="350"/>
      <c r="V24" s="350"/>
      <c r="W24" s="350"/>
      <c r="X24" s="350"/>
      <c r="Y24" s="350"/>
      <c r="Z24" s="350"/>
    </row>
    <row r="25" spans="1:26" ht="18" customHeight="1" x14ac:dyDescent="0.15">
      <c r="A25" s="350"/>
      <c r="B25" s="350"/>
      <c r="C25" s="350"/>
      <c r="D25" s="350"/>
      <c r="E25" s="350"/>
      <c r="F25" s="350"/>
      <c r="G25" s="350"/>
      <c r="H25" s="350"/>
      <c r="I25" s="350"/>
      <c r="J25" s="350"/>
      <c r="K25" s="350"/>
      <c r="L25" s="350"/>
      <c r="M25" s="350"/>
      <c r="N25" s="350"/>
      <c r="O25" s="350"/>
      <c r="P25" s="350"/>
      <c r="Q25" s="350"/>
      <c r="R25" s="350"/>
      <c r="S25" s="350"/>
      <c r="T25" s="350"/>
      <c r="U25" s="350"/>
      <c r="V25" s="350"/>
      <c r="W25" s="350"/>
      <c r="X25" s="350"/>
      <c r="Y25" s="350"/>
      <c r="Z25" s="350"/>
    </row>
    <row r="26" spans="1:26" ht="18" customHeight="1" x14ac:dyDescent="0.15">
      <c r="A26" s="120"/>
      <c r="B26" s="198" t="s">
        <v>104</v>
      </c>
      <c r="C26" s="199"/>
      <c r="D26" s="199"/>
      <c r="E26" s="199"/>
      <c r="F26" s="200"/>
      <c r="G26" s="140" t="s">
        <v>145</v>
      </c>
      <c r="H26" s="141" t="s">
        <v>144</v>
      </c>
      <c r="I26" s="199" t="s">
        <v>105</v>
      </c>
      <c r="J26" s="199"/>
      <c r="K26" s="199"/>
      <c r="L26" s="142" t="s">
        <v>131</v>
      </c>
      <c r="M26" s="142" t="s">
        <v>132</v>
      </c>
      <c r="N26" s="198" t="s">
        <v>104</v>
      </c>
      <c r="O26" s="199"/>
      <c r="P26" s="199"/>
      <c r="Q26" s="199"/>
      <c r="R26" s="199"/>
      <c r="S26" s="200"/>
      <c r="T26" s="140" t="s">
        <v>145</v>
      </c>
      <c r="U26" s="141" t="s">
        <v>144</v>
      </c>
      <c r="V26" s="199" t="s">
        <v>105</v>
      </c>
      <c r="W26" s="199"/>
      <c r="X26" s="199"/>
      <c r="Y26" s="142" t="s">
        <v>131</v>
      </c>
      <c r="Z26" s="142" t="s">
        <v>132</v>
      </c>
    </row>
    <row r="27" spans="1:26" ht="18" customHeight="1" x14ac:dyDescent="0.15">
      <c r="A27" s="120"/>
      <c r="B27" s="354" t="s">
        <v>185</v>
      </c>
      <c r="C27" s="355"/>
      <c r="D27" s="355"/>
      <c r="E27" s="355"/>
      <c r="F27" s="356"/>
      <c r="G27" s="143">
        <v>1</v>
      </c>
      <c r="H27" s="143" t="s">
        <v>177</v>
      </c>
      <c r="I27" s="344" t="s">
        <v>210</v>
      </c>
      <c r="J27" s="345"/>
      <c r="K27" s="346"/>
      <c r="L27" s="143" t="s">
        <v>177</v>
      </c>
      <c r="M27" s="143" t="s">
        <v>177</v>
      </c>
      <c r="N27" s="329"/>
      <c r="O27" s="330"/>
      <c r="P27" s="330"/>
      <c r="Q27" s="330"/>
      <c r="R27" s="330"/>
      <c r="S27" s="331"/>
      <c r="T27" s="143"/>
      <c r="U27" s="143"/>
      <c r="V27" s="344"/>
      <c r="W27" s="345"/>
      <c r="X27" s="346"/>
      <c r="Y27" s="143"/>
      <c r="Z27" s="143"/>
    </row>
    <row r="28" spans="1:26" ht="18" customHeight="1" x14ac:dyDescent="0.15">
      <c r="A28" s="120"/>
      <c r="B28" s="351"/>
      <c r="C28" s="352"/>
      <c r="D28" s="352"/>
      <c r="E28" s="352"/>
      <c r="F28" s="353"/>
      <c r="G28" s="144"/>
      <c r="H28" s="144"/>
      <c r="I28" s="341"/>
      <c r="J28" s="342"/>
      <c r="K28" s="343"/>
      <c r="L28" s="144"/>
      <c r="M28" s="144"/>
      <c r="N28" s="323"/>
      <c r="O28" s="324"/>
      <c r="P28" s="324"/>
      <c r="Q28" s="324"/>
      <c r="R28" s="324"/>
      <c r="S28" s="325"/>
      <c r="T28" s="144"/>
      <c r="U28" s="144"/>
      <c r="V28" s="341"/>
      <c r="W28" s="342"/>
      <c r="X28" s="343"/>
      <c r="Y28" s="144"/>
      <c r="Z28" s="144"/>
    </row>
    <row r="29" spans="1:26" ht="18" customHeight="1" x14ac:dyDescent="0.15">
      <c r="A29" s="120"/>
      <c r="B29" s="351"/>
      <c r="C29" s="352"/>
      <c r="D29" s="352"/>
      <c r="E29" s="352"/>
      <c r="F29" s="353"/>
      <c r="G29" s="144"/>
      <c r="H29" s="144"/>
      <c r="I29" s="341"/>
      <c r="J29" s="342"/>
      <c r="K29" s="343"/>
      <c r="L29" s="144"/>
      <c r="M29" s="144"/>
      <c r="N29" s="323"/>
      <c r="O29" s="324"/>
      <c r="P29" s="324"/>
      <c r="Q29" s="324"/>
      <c r="R29" s="324"/>
      <c r="S29" s="325"/>
      <c r="T29" s="144"/>
      <c r="U29" s="144"/>
      <c r="V29" s="341"/>
      <c r="W29" s="342"/>
      <c r="X29" s="343"/>
      <c r="Y29" s="144"/>
      <c r="Z29" s="144"/>
    </row>
    <row r="30" spans="1:26" ht="18" customHeight="1" x14ac:dyDescent="0.15">
      <c r="A30" s="120"/>
      <c r="B30" s="351"/>
      <c r="C30" s="352"/>
      <c r="D30" s="352"/>
      <c r="E30" s="352"/>
      <c r="F30" s="353"/>
      <c r="G30" s="144"/>
      <c r="H30" s="144"/>
      <c r="I30" s="341"/>
      <c r="J30" s="342"/>
      <c r="K30" s="343"/>
      <c r="L30" s="144"/>
      <c r="M30" s="144"/>
      <c r="N30" s="323"/>
      <c r="O30" s="324"/>
      <c r="P30" s="324"/>
      <c r="Q30" s="324"/>
      <c r="R30" s="324"/>
      <c r="S30" s="325"/>
      <c r="T30" s="144"/>
      <c r="U30" s="144"/>
      <c r="V30" s="341"/>
      <c r="W30" s="342"/>
      <c r="X30" s="343"/>
      <c r="Y30" s="144"/>
      <c r="Z30" s="144"/>
    </row>
    <row r="31" spans="1:26" ht="18" customHeight="1" x14ac:dyDescent="0.15">
      <c r="A31" s="120"/>
      <c r="B31" s="351"/>
      <c r="C31" s="352"/>
      <c r="D31" s="352"/>
      <c r="E31" s="352"/>
      <c r="F31" s="353"/>
      <c r="G31" s="144"/>
      <c r="H31" s="144"/>
      <c r="I31" s="341"/>
      <c r="J31" s="342"/>
      <c r="K31" s="343"/>
      <c r="L31" s="144"/>
      <c r="M31" s="144"/>
      <c r="N31" s="323"/>
      <c r="O31" s="324"/>
      <c r="P31" s="324"/>
      <c r="Q31" s="324"/>
      <c r="R31" s="324"/>
      <c r="S31" s="325"/>
      <c r="T31" s="144"/>
      <c r="U31" s="144"/>
      <c r="V31" s="341"/>
      <c r="W31" s="342"/>
      <c r="X31" s="343"/>
      <c r="Y31" s="144"/>
      <c r="Z31" s="144"/>
    </row>
    <row r="32" spans="1:26" ht="18" customHeight="1" x14ac:dyDescent="0.15">
      <c r="A32" s="120"/>
      <c r="B32" s="351"/>
      <c r="C32" s="352"/>
      <c r="D32" s="352"/>
      <c r="E32" s="352"/>
      <c r="F32" s="353"/>
      <c r="G32" s="144"/>
      <c r="H32" s="144"/>
      <c r="I32" s="341"/>
      <c r="J32" s="342"/>
      <c r="K32" s="343"/>
      <c r="L32" s="144"/>
      <c r="M32" s="144"/>
      <c r="N32" s="323"/>
      <c r="O32" s="324"/>
      <c r="P32" s="324"/>
      <c r="Q32" s="324"/>
      <c r="R32" s="324"/>
      <c r="S32" s="325"/>
      <c r="T32" s="144"/>
      <c r="U32" s="144"/>
      <c r="V32" s="341"/>
      <c r="W32" s="342"/>
      <c r="X32" s="343"/>
      <c r="Y32" s="144"/>
      <c r="Z32" s="144"/>
    </row>
    <row r="33" spans="1:26" ht="18" customHeight="1" x14ac:dyDescent="0.15">
      <c r="A33" s="120"/>
      <c r="B33" s="347"/>
      <c r="C33" s="348"/>
      <c r="D33" s="348"/>
      <c r="E33" s="348"/>
      <c r="F33" s="349"/>
      <c r="G33" s="145"/>
      <c r="H33" s="145"/>
      <c r="I33" s="335"/>
      <c r="J33" s="336"/>
      <c r="K33" s="337"/>
      <c r="L33" s="146"/>
      <c r="M33" s="146"/>
      <c r="N33" s="315"/>
      <c r="O33" s="316"/>
      <c r="P33" s="316"/>
      <c r="Q33" s="316"/>
      <c r="R33" s="316"/>
      <c r="S33" s="317"/>
      <c r="T33" s="145"/>
      <c r="U33" s="145"/>
      <c r="V33" s="335"/>
      <c r="W33" s="336"/>
      <c r="X33" s="337"/>
      <c r="Y33" s="146"/>
      <c r="Z33" s="146"/>
    </row>
    <row r="34" spans="1:26" ht="7.5" customHeight="1" x14ac:dyDescent="0.15">
      <c r="A34" s="137"/>
      <c r="B34" s="147"/>
      <c r="C34" s="147"/>
      <c r="D34" s="137"/>
      <c r="E34" s="137"/>
      <c r="F34" s="137"/>
      <c r="G34" s="137"/>
      <c r="H34" s="137"/>
      <c r="I34" s="137"/>
      <c r="J34" s="137"/>
      <c r="K34" s="137"/>
      <c r="L34" s="147"/>
      <c r="M34" s="147"/>
      <c r="N34" s="147"/>
      <c r="O34" s="147"/>
      <c r="P34" s="147"/>
      <c r="Q34" s="147"/>
      <c r="R34" s="147"/>
      <c r="S34" s="147"/>
      <c r="T34" s="147"/>
      <c r="U34" s="147"/>
      <c r="V34" s="147"/>
      <c r="W34" s="147"/>
      <c r="X34" s="147"/>
      <c r="Y34" s="147"/>
      <c r="Z34" s="137"/>
    </row>
    <row r="35" spans="1:26" ht="18" customHeight="1" x14ac:dyDescent="0.15">
      <c r="A35" s="350" t="s">
        <v>133</v>
      </c>
      <c r="B35" s="350"/>
      <c r="C35" s="350"/>
      <c r="D35" s="350"/>
      <c r="E35" s="350"/>
      <c r="F35" s="350"/>
      <c r="G35" s="350"/>
      <c r="H35" s="350"/>
      <c r="I35" s="350"/>
      <c r="J35" s="350"/>
      <c r="K35" s="350"/>
      <c r="L35" s="350"/>
      <c r="M35" s="350"/>
      <c r="N35" s="350"/>
      <c r="O35" s="350"/>
      <c r="P35" s="350"/>
      <c r="Q35" s="350"/>
      <c r="R35" s="350"/>
      <c r="S35" s="350"/>
      <c r="T35" s="350"/>
      <c r="U35" s="350"/>
      <c r="V35" s="350"/>
      <c r="W35" s="350"/>
      <c r="X35" s="350"/>
      <c r="Y35" s="350"/>
      <c r="Z35" s="350"/>
    </row>
    <row r="36" spans="1:26" ht="18" customHeight="1" x14ac:dyDescent="0.15">
      <c r="A36" s="350"/>
      <c r="B36" s="350"/>
      <c r="C36" s="350"/>
      <c r="D36" s="350"/>
      <c r="E36" s="350"/>
      <c r="F36" s="350"/>
      <c r="G36" s="350"/>
      <c r="H36" s="350"/>
      <c r="I36" s="350"/>
      <c r="J36" s="350"/>
      <c r="K36" s="350"/>
      <c r="L36" s="350"/>
      <c r="M36" s="350"/>
      <c r="N36" s="350"/>
      <c r="O36" s="350"/>
      <c r="P36" s="350"/>
      <c r="Q36" s="350"/>
      <c r="R36" s="350"/>
      <c r="S36" s="350"/>
      <c r="T36" s="350"/>
      <c r="U36" s="350"/>
      <c r="V36" s="350"/>
      <c r="W36" s="350"/>
      <c r="X36" s="350"/>
      <c r="Y36" s="350"/>
      <c r="Z36" s="350"/>
    </row>
    <row r="37" spans="1:26" ht="18" customHeight="1" x14ac:dyDescent="0.15">
      <c r="A37" s="120"/>
      <c r="B37" s="198" t="s">
        <v>104</v>
      </c>
      <c r="C37" s="199"/>
      <c r="D37" s="199"/>
      <c r="E37" s="199"/>
      <c r="F37" s="200"/>
      <c r="G37" s="140" t="s">
        <v>145</v>
      </c>
      <c r="H37" s="141" t="s">
        <v>144</v>
      </c>
      <c r="I37" s="198" t="s">
        <v>105</v>
      </c>
      <c r="J37" s="199"/>
      <c r="K37" s="200"/>
      <c r="L37" s="142" t="s">
        <v>134</v>
      </c>
      <c r="M37" s="142" t="s">
        <v>135</v>
      </c>
      <c r="N37" s="198" t="s">
        <v>104</v>
      </c>
      <c r="O37" s="199"/>
      <c r="P37" s="199"/>
      <c r="Q37" s="199"/>
      <c r="R37" s="199"/>
      <c r="S37" s="200"/>
      <c r="T37" s="140" t="s">
        <v>145</v>
      </c>
      <c r="U37" s="141" t="s">
        <v>144</v>
      </c>
      <c r="V37" s="198" t="s">
        <v>105</v>
      </c>
      <c r="W37" s="199"/>
      <c r="X37" s="200"/>
      <c r="Y37" s="142" t="s">
        <v>134</v>
      </c>
      <c r="Z37" s="142" t="s">
        <v>135</v>
      </c>
    </row>
    <row r="38" spans="1:26" ht="18" customHeight="1" x14ac:dyDescent="0.15">
      <c r="A38" s="137"/>
      <c r="B38" s="354" t="s">
        <v>185</v>
      </c>
      <c r="C38" s="355"/>
      <c r="D38" s="355"/>
      <c r="E38" s="355"/>
      <c r="F38" s="356"/>
      <c r="G38" s="143">
        <v>1</v>
      </c>
      <c r="H38" s="143" t="s">
        <v>177</v>
      </c>
      <c r="I38" s="344" t="s">
        <v>210</v>
      </c>
      <c r="J38" s="345"/>
      <c r="K38" s="346"/>
      <c r="L38" s="143" t="s">
        <v>177</v>
      </c>
      <c r="M38" s="143" t="s">
        <v>177</v>
      </c>
      <c r="N38" s="329"/>
      <c r="O38" s="330"/>
      <c r="P38" s="330"/>
      <c r="Q38" s="330"/>
      <c r="R38" s="330"/>
      <c r="S38" s="331"/>
      <c r="T38" s="143"/>
      <c r="U38" s="143"/>
      <c r="V38" s="344"/>
      <c r="W38" s="345"/>
      <c r="X38" s="346"/>
      <c r="Y38" s="143"/>
      <c r="Z38" s="143"/>
    </row>
    <row r="39" spans="1:26" ht="18" customHeight="1" x14ac:dyDescent="0.15">
      <c r="A39" s="137"/>
      <c r="B39" s="351"/>
      <c r="C39" s="352"/>
      <c r="D39" s="352"/>
      <c r="E39" s="352"/>
      <c r="F39" s="353"/>
      <c r="G39" s="144"/>
      <c r="H39" s="144"/>
      <c r="I39" s="341"/>
      <c r="J39" s="342"/>
      <c r="K39" s="343"/>
      <c r="L39" s="144"/>
      <c r="M39" s="144"/>
      <c r="N39" s="323"/>
      <c r="O39" s="324"/>
      <c r="P39" s="324"/>
      <c r="Q39" s="324"/>
      <c r="R39" s="324"/>
      <c r="S39" s="325"/>
      <c r="T39" s="144"/>
      <c r="U39" s="144"/>
      <c r="V39" s="341"/>
      <c r="W39" s="342"/>
      <c r="X39" s="343"/>
      <c r="Y39" s="144"/>
      <c r="Z39" s="144"/>
    </row>
    <row r="40" spans="1:26" ht="18" customHeight="1" x14ac:dyDescent="0.15">
      <c r="A40" s="137"/>
      <c r="B40" s="351"/>
      <c r="C40" s="352"/>
      <c r="D40" s="352"/>
      <c r="E40" s="352"/>
      <c r="F40" s="353"/>
      <c r="G40" s="144"/>
      <c r="H40" s="144"/>
      <c r="I40" s="341"/>
      <c r="J40" s="342"/>
      <c r="K40" s="343"/>
      <c r="L40" s="144"/>
      <c r="M40" s="144"/>
      <c r="N40" s="323"/>
      <c r="O40" s="324"/>
      <c r="P40" s="324"/>
      <c r="Q40" s="324"/>
      <c r="R40" s="324"/>
      <c r="S40" s="325"/>
      <c r="T40" s="144"/>
      <c r="U40" s="144"/>
      <c r="V40" s="341"/>
      <c r="W40" s="342"/>
      <c r="X40" s="343"/>
      <c r="Y40" s="144"/>
      <c r="Z40" s="144"/>
    </row>
    <row r="41" spans="1:26" ht="18" customHeight="1" x14ac:dyDescent="0.15">
      <c r="A41" s="137"/>
      <c r="B41" s="351"/>
      <c r="C41" s="352"/>
      <c r="D41" s="352"/>
      <c r="E41" s="352"/>
      <c r="F41" s="353"/>
      <c r="G41" s="144"/>
      <c r="H41" s="144"/>
      <c r="I41" s="341"/>
      <c r="J41" s="342"/>
      <c r="K41" s="343"/>
      <c r="L41" s="144"/>
      <c r="M41" s="144"/>
      <c r="N41" s="323"/>
      <c r="O41" s="324"/>
      <c r="P41" s="324"/>
      <c r="Q41" s="324"/>
      <c r="R41" s="324"/>
      <c r="S41" s="325"/>
      <c r="T41" s="144"/>
      <c r="U41" s="144"/>
      <c r="V41" s="341"/>
      <c r="W41" s="342"/>
      <c r="X41" s="343"/>
      <c r="Y41" s="144"/>
      <c r="Z41" s="144"/>
    </row>
    <row r="42" spans="1:26" ht="18" customHeight="1" x14ac:dyDescent="0.15">
      <c r="A42" s="137"/>
      <c r="B42" s="351"/>
      <c r="C42" s="352"/>
      <c r="D42" s="352"/>
      <c r="E42" s="352"/>
      <c r="F42" s="353"/>
      <c r="G42" s="144"/>
      <c r="H42" s="144"/>
      <c r="I42" s="341"/>
      <c r="J42" s="342"/>
      <c r="K42" s="343"/>
      <c r="L42" s="144"/>
      <c r="M42" s="144"/>
      <c r="N42" s="323"/>
      <c r="O42" s="324"/>
      <c r="P42" s="324"/>
      <c r="Q42" s="324"/>
      <c r="R42" s="324"/>
      <c r="S42" s="325"/>
      <c r="T42" s="144"/>
      <c r="U42" s="144"/>
      <c r="V42" s="341"/>
      <c r="W42" s="342"/>
      <c r="X42" s="343"/>
      <c r="Y42" s="144"/>
      <c r="Z42" s="144"/>
    </row>
    <row r="43" spans="1:26" ht="18" customHeight="1" x14ac:dyDescent="0.15">
      <c r="A43" s="137"/>
      <c r="B43" s="351"/>
      <c r="C43" s="352"/>
      <c r="D43" s="352"/>
      <c r="E43" s="352"/>
      <c r="F43" s="353"/>
      <c r="G43" s="144"/>
      <c r="H43" s="144"/>
      <c r="I43" s="341"/>
      <c r="J43" s="342"/>
      <c r="K43" s="343"/>
      <c r="L43" s="144"/>
      <c r="M43" s="144"/>
      <c r="N43" s="323"/>
      <c r="O43" s="324"/>
      <c r="P43" s="324"/>
      <c r="Q43" s="324"/>
      <c r="R43" s="324"/>
      <c r="S43" s="325"/>
      <c r="T43" s="144"/>
      <c r="U43" s="144"/>
      <c r="V43" s="341"/>
      <c r="W43" s="342"/>
      <c r="X43" s="343"/>
      <c r="Y43" s="144"/>
      <c r="Z43" s="144"/>
    </row>
    <row r="44" spans="1:26" ht="18" customHeight="1" x14ac:dyDescent="0.15">
      <c r="A44" s="137"/>
      <c r="B44" s="347"/>
      <c r="C44" s="348"/>
      <c r="D44" s="348"/>
      <c r="E44" s="348"/>
      <c r="F44" s="349"/>
      <c r="G44" s="145"/>
      <c r="H44" s="145"/>
      <c r="I44" s="335"/>
      <c r="J44" s="336"/>
      <c r="K44" s="337"/>
      <c r="L44" s="146"/>
      <c r="M44" s="146"/>
      <c r="N44" s="315"/>
      <c r="O44" s="316"/>
      <c r="P44" s="316"/>
      <c r="Q44" s="316"/>
      <c r="R44" s="316"/>
      <c r="S44" s="317"/>
      <c r="T44" s="145"/>
      <c r="U44" s="145"/>
      <c r="V44" s="335"/>
      <c r="W44" s="336"/>
      <c r="X44" s="337"/>
      <c r="Y44" s="146"/>
      <c r="Z44" s="146"/>
    </row>
    <row r="45" spans="1:26" ht="7.5" customHeight="1" x14ac:dyDescent="0.15">
      <c r="B45" s="148"/>
      <c r="C45" s="148"/>
      <c r="D45" s="148"/>
      <c r="E45" s="148"/>
      <c r="F45" s="148"/>
      <c r="G45" s="148"/>
      <c r="H45" s="148"/>
      <c r="I45" s="148"/>
      <c r="J45" s="148"/>
      <c r="K45" s="148"/>
      <c r="L45" s="148"/>
      <c r="M45" s="148"/>
      <c r="N45" s="148"/>
      <c r="O45" s="148"/>
      <c r="P45" s="148"/>
      <c r="Q45" s="148"/>
      <c r="R45" s="148"/>
      <c r="S45" s="148"/>
      <c r="T45" s="148"/>
      <c r="U45" s="148"/>
      <c r="V45" s="148"/>
      <c r="W45" s="148"/>
      <c r="X45" s="148"/>
      <c r="Y45" s="148"/>
    </row>
    <row r="46" spans="1:26" ht="18" customHeight="1" x14ac:dyDescent="0.15">
      <c r="A46" s="350" t="s">
        <v>136</v>
      </c>
      <c r="B46" s="350"/>
      <c r="C46" s="350"/>
      <c r="D46" s="350"/>
      <c r="E46" s="350"/>
      <c r="F46" s="350"/>
      <c r="G46" s="350"/>
      <c r="H46" s="350"/>
      <c r="I46" s="350"/>
      <c r="J46" s="350"/>
      <c r="K46" s="350"/>
      <c r="L46" s="350"/>
      <c r="M46" s="350"/>
      <c r="N46" s="350"/>
      <c r="O46" s="350"/>
      <c r="P46" s="350"/>
      <c r="Q46" s="350"/>
      <c r="R46" s="350"/>
      <c r="S46" s="350"/>
      <c r="T46" s="350"/>
      <c r="U46" s="350"/>
      <c r="V46" s="350"/>
      <c r="W46" s="350"/>
      <c r="X46" s="350"/>
      <c r="Y46" s="350"/>
      <c r="Z46" s="350"/>
    </row>
    <row r="47" spans="1:26" ht="18" customHeight="1" x14ac:dyDescent="0.15">
      <c r="A47" s="350"/>
      <c r="B47" s="350"/>
      <c r="C47" s="350"/>
      <c r="D47" s="350"/>
      <c r="E47" s="350"/>
      <c r="F47" s="350"/>
      <c r="G47" s="350"/>
      <c r="H47" s="350"/>
      <c r="I47" s="350"/>
      <c r="J47" s="350"/>
      <c r="K47" s="350"/>
      <c r="L47" s="350"/>
      <c r="M47" s="350"/>
      <c r="N47" s="350"/>
      <c r="O47" s="350"/>
      <c r="P47" s="350"/>
      <c r="Q47" s="350"/>
      <c r="R47" s="350"/>
      <c r="S47" s="350"/>
      <c r="T47" s="350"/>
      <c r="U47" s="350"/>
      <c r="V47" s="350"/>
      <c r="W47" s="350"/>
      <c r="X47" s="350"/>
      <c r="Y47" s="350"/>
      <c r="Z47" s="350"/>
    </row>
    <row r="48" spans="1:26" ht="18" customHeight="1" x14ac:dyDescent="0.15">
      <c r="A48" s="120"/>
      <c r="B48" s="198" t="s">
        <v>104</v>
      </c>
      <c r="C48" s="199"/>
      <c r="D48" s="199"/>
      <c r="E48" s="199"/>
      <c r="F48" s="200"/>
      <c r="G48" s="140" t="s">
        <v>145</v>
      </c>
      <c r="H48" s="141" t="s">
        <v>144</v>
      </c>
      <c r="I48" s="198" t="s">
        <v>105</v>
      </c>
      <c r="J48" s="199"/>
      <c r="K48" s="200"/>
      <c r="L48" s="142" t="s">
        <v>110</v>
      </c>
      <c r="M48" s="142" t="s">
        <v>112</v>
      </c>
      <c r="N48" s="198" t="s">
        <v>104</v>
      </c>
      <c r="O48" s="199"/>
      <c r="P48" s="199"/>
      <c r="Q48" s="199"/>
      <c r="R48" s="199"/>
      <c r="S48" s="200"/>
      <c r="T48" s="140" t="s">
        <v>145</v>
      </c>
      <c r="U48" s="141" t="s">
        <v>144</v>
      </c>
      <c r="V48" s="198" t="s">
        <v>105</v>
      </c>
      <c r="W48" s="199"/>
      <c r="X48" s="200"/>
      <c r="Y48" s="142" t="s">
        <v>110</v>
      </c>
      <c r="Z48" s="142" t="s">
        <v>112</v>
      </c>
    </row>
    <row r="49" spans="1:26" ht="18" customHeight="1" x14ac:dyDescent="0.15">
      <c r="A49" s="137"/>
      <c r="B49" s="354" t="s">
        <v>185</v>
      </c>
      <c r="C49" s="355"/>
      <c r="D49" s="355"/>
      <c r="E49" s="355"/>
      <c r="F49" s="356"/>
      <c r="G49" s="143">
        <v>1</v>
      </c>
      <c r="H49" s="143" t="s">
        <v>177</v>
      </c>
      <c r="I49" s="344" t="s">
        <v>210</v>
      </c>
      <c r="J49" s="345"/>
      <c r="K49" s="346"/>
      <c r="L49" s="143" t="s">
        <v>177</v>
      </c>
      <c r="M49" s="143" t="s">
        <v>177</v>
      </c>
      <c r="N49" s="329"/>
      <c r="O49" s="330"/>
      <c r="P49" s="330"/>
      <c r="Q49" s="330"/>
      <c r="R49" s="330"/>
      <c r="S49" s="331"/>
      <c r="T49" s="143"/>
      <c r="U49" s="143"/>
      <c r="V49" s="344"/>
      <c r="W49" s="345"/>
      <c r="X49" s="346"/>
      <c r="Y49" s="143"/>
      <c r="Z49" s="143"/>
    </row>
    <row r="50" spans="1:26" ht="18" customHeight="1" x14ac:dyDescent="0.15">
      <c r="A50" s="137"/>
      <c r="B50" s="351"/>
      <c r="C50" s="352"/>
      <c r="D50" s="352"/>
      <c r="E50" s="352"/>
      <c r="F50" s="353"/>
      <c r="G50" s="144"/>
      <c r="H50" s="144"/>
      <c r="I50" s="341"/>
      <c r="J50" s="342"/>
      <c r="K50" s="343"/>
      <c r="L50" s="144"/>
      <c r="M50" s="144"/>
      <c r="N50" s="323"/>
      <c r="O50" s="324"/>
      <c r="P50" s="324"/>
      <c r="Q50" s="324"/>
      <c r="R50" s="324"/>
      <c r="S50" s="325"/>
      <c r="T50" s="144"/>
      <c r="U50" s="144"/>
      <c r="V50" s="341"/>
      <c r="W50" s="342"/>
      <c r="X50" s="343"/>
      <c r="Y50" s="144"/>
      <c r="Z50" s="144"/>
    </row>
    <row r="51" spans="1:26" ht="18" customHeight="1" x14ac:dyDescent="0.15">
      <c r="A51" s="137"/>
      <c r="B51" s="351"/>
      <c r="C51" s="352"/>
      <c r="D51" s="352"/>
      <c r="E51" s="352"/>
      <c r="F51" s="353"/>
      <c r="G51" s="144"/>
      <c r="H51" s="144"/>
      <c r="I51" s="341"/>
      <c r="J51" s="342"/>
      <c r="K51" s="343"/>
      <c r="L51" s="144"/>
      <c r="M51" s="144"/>
      <c r="N51" s="323"/>
      <c r="O51" s="324"/>
      <c r="P51" s="324"/>
      <c r="Q51" s="324"/>
      <c r="R51" s="324"/>
      <c r="S51" s="325"/>
      <c r="T51" s="144"/>
      <c r="U51" s="144"/>
      <c r="V51" s="341"/>
      <c r="W51" s="342"/>
      <c r="X51" s="343"/>
      <c r="Y51" s="144"/>
      <c r="Z51" s="144"/>
    </row>
    <row r="52" spans="1:26" ht="18" customHeight="1" x14ac:dyDescent="0.15">
      <c r="A52" s="137"/>
      <c r="B52" s="351"/>
      <c r="C52" s="352"/>
      <c r="D52" s="352"/>
      <c r="E52" s="352"/>
      <c r="F52" s="353"/>
      <c r="G52" s="144"/>
      <c r="H52" s="144"/>
      <c r="I52" s="341"/>
      <c r="J52" s="342"/>
      <c r="K52" s="343"/>
      <c r="L52" s="144"/>
      <c r="M52" s="144"/>
      <c r="N52" s="323"/>
      <c r="O52" s="324"/>
      <c r="P52" s="324"/>
      <c r="Q52" s="324"/>
      <c r="R52" s="324"/>
      <c r="S52" s="325"/>
      <c r="T52" s="144"/>
      <c r="U52" s="144"/>
      <c r="V52" s="341"/>
      <c r="W52" s="342"/>
      <c r="X52" s="343"/>
      <c r="Y52" s="144"/>
      <c r="Z52" s="144"/>
    </row>
    <row r="53" spans="1:26" ht="18" customHeight="1" x14ac:dyDescent="0.15">
      <c r="A53" s="137"/>
      <c r="B53" s="351"/>
      <c r="C53" s="352"/>
      <c r="D53" s="352"/>
      <c r="E53" s="352"/>
      <c r="F53" s="353"/>
      <c r="G53" s="144"/>
      <c r="H53" s="144"/>
      <c r="I53" s="341"/>
      <c r="J53" s="342"/>
      <c r="K53" s="343"/>
      <c r="L53" s="144"/>
      <c r="M53" s="144"/>
      <c r="N53" s="323"/>
      <c r="O53" s="324"/>
      <c r="P53" s="324"/>
      <c r="Q53" s="324"/>
      <c r="R53" s="324"/>
      <c r="S53" s="325"/>
      <c r="T53" s="144"/>
      <c r="U53" s="144"/>
      <c r="V53" s="341"/>
      <c r="W53" s="342"/>
      <c r="X53" s="343"/>
      <c r="Y53" s="144"/>
      <c r="Z53" s="144"/>
    </row>
    <row r="54" spans="1:26" ht="18" customHeight="1" x14ac:dyDescent="0.15">
      <c r="A54" s="137"/>
      <c r="B54" s="351"/>
      <c r="C54" s="352"/>
      <c r="D54" s="352"/>
      <c r="E54" s="352"/>
      <c r="F54" s="353"/>
      <c r="G54" s="144"/>
      <c r="H54" s="144"/>
      <c r="I54" s="341"/>
      <c r="J54" s="342"/>
      <c r="K54" s="343"/>
      <c r="L54" s="144"/>
      <c r="M54" s="144"/>
      <c r="N54" s="323"/>
      <c r="O54" s="324"/>
      <c r="P54" s="324"/>
      <c r="Q54" s="324"/>
      <c r="R54" s="324"/>
      <c r="S54" s="325"/>
      <c r="T54" s="144"/>
      <c r="U54" s="144"/>
      <c r="V54" s="341"/>
      <c r="W54" s="342"/>
      <c r="X54" s="343"/>
      <c r="Y54" s="144"/>
      <c r="Z54" s="144"/>
    </row>
    <row r="55" spans="1:26" ht="18" customHeight="1" x14ac:dyDescent="0.15">
      <c r="A55" s="137"/>
      <c r="B55" s="347"/>
      <c r="C55" s="348"/>
      <c r="D55" s="348"/>
      <c r="E55" s="348"/>
      <c r="F55" s="349"/>
      <c r="G55" s="145"/>
      <c r="H55" s="145"/>
      <c r="I55" s="335"/>
      <c r="J55" s="336"/>
      <c r="K55" s="337"/>
      <c r="L55" s="146"/>
      <c r="M55" s="146"/>
      <c r="N55" s="315"/>
      <c r="O55" s="316"/>
      <c r="P55" s="316"/>
      <c r="Q55" s="316"/>
      <c r="R55" s="316"/>
      <c r="S55" s="317"/>
      <c r="T55" s="145"/>
      <c r="U55" s="145"/>
      <c r="V55" s="335"/>
      <c r="W55" s="336"/>
      <c r="X55" s="337"/>
      <c r="Y55" s="146"/>
      <c r="Z55" s="146"/>
    </row>
    <row r="56" spans="1:26" ht="7.5" customHeight="1" x14ac:dyDescent="0.15">
      <c r="B56" s="148"/>
      <c r="C56" s="148"/>
      <c r="D56" s="148"/>
      <c r="E56" s="148"/>
      <c r="F56" s="148"/>
      <c r="G56" s="148"/>
      <c r="H56" s="148"/>
      <c r="I56" s="148"/>
      <c r="J56" s="148"/>
      <c r="K56" s="148"/>
      <c r="L56" s="148"/>
      <c r="M56" s="148"/>
      <c r="N56" s="148"/>
      <c r="O56" s="148"/>
      <c r="P56" s="148"/>
      <c r="Q56" s="148"/>
      <c r="R56" s="148"/>
      <c r="S56" s="148"/>
      <c r="T56" s="148"/>
      <c r="U56" s="148"/>
      <c r="V56" s="148"/>
      <c r="W56" s="148"/>
      <c r="X56" s="148"/>
      <c r="Y56" s="148"/>
    </row>
    <row r="57" spans="1:26" ht="18" customHeight="1" x14ac:dyDescent="0.15">
      <c r="A57" s="350" t="s">
        <v>137</v>
      </c>
      <c r="B57" s="350"/>
      <c r="C57" s="350"/>
      <c r="D57" s="350"/>
      <c r="E57" s="350"/>
      <c r="F57" s="350"/>
      <c r="G57" s="350"/>
      <c r="H57" s="350"/>
      <c r="I57" s="350"/>
      <c r="J57" s="350"/>
      <c r="K57" s="350"/>
      <c r="L57" s="350"/>
      <c r="M57" s="350"/>
      <c r="N57" s="350"/>
      <c r="O57" s="350"/>
      <c r="P57" s="350"/>
      <c r="Q57" s="350"/>
      <c r="R57" s="350"/>
      <c r="S57" s="350"/>
      <c r="T57" s="350"/>
      <c r="U57" s="350"/>
      <c r="V57" s="350"/>
      <c r="W57" s="350"/>
      <c r="X57" s="350"/>
      <c r="Y57" s="350"/>
      <c r="Z57" s="350"/>
    </row>
    <row r="58" spans="1:26" ht="18" customHeight="1" x14ac:dyDescent="0.15">
      <c r="A58" s="350"/>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350"/>
      <c r="Z58" s="350"/>
    </row>
    <row r="59" spans="1:26" ht="18" customHeight="1" x14ac:dyDescent="0.15">
      <c r="A59" s="120"/>
      <c r="B59" s="198" t="s">
        <v>104</v>
      </c>
      <c r="C59" s="199"/>
      <c r="D59" s="199"/>
      <c r="E59" s="200"/>
      <c r="F59" s="140" t="s">
        <v>145</v>
      </c>
      <c r="G59" s="141" t="s">
        <v>144</v>
      </c>
      <c r="H59" s="149" t="s">
        <v>105</v>
      </c>
      <c r="I59" s="150"/>
      <c r="J59" s="151"/>
      <c r="K59" s="142" t="s">
        <v>109</v>
      </c>
      <c r="L59" s="142" t="s">
        <v>138</v>
      </c>
      <c r="M59" s="142" t="s">
        <v>139</v>
      </c>
      <c r="N59" s="198" t="s">
        <v>104</v>
      </c>
      <c r="O59" s="199"/>
      <c r="P59" s="199"/>
      <c r="Q59" s="199"/>
      <c r="R59" s="200"/>
      <c r="S59" s="140" t="s">
        <v>145</v>
      </c>
      <c r="T59" s="141" t="s">
        <v>144</v>
      </c>
      <c r="U59" s="149" t="s">
        <v>105</v>
      </c>
      <c r="V59" s="150"/>
      <c r="W59" s="151"/>
      <c r="X59" s="142" t="s">
        <v>109</v>
      </c>
      <c r="Y59" s="142" t="s">
        <v>138</v>
      </c>
      <c r="Z59" s="142" t="s">
        <v>139</v>
      </c>
    </row>
    <row r="60" spans="1:26" ht="18" customHeight="1" x14ac:dyDescent="0.15">
      <c r="A60" s="137"/>
      <c r="B60" s="329" t="s">
        <v>190</v>
      </c>
      <c r="C60" s="330"/>
      <c r="D60" s="330"/>
      <c r="E60" s="331"/>
      <c r="F60" s="143">
        <v>2</v>
      </c>
      <c r="G60" s="143" t="s">
        <v>177</v>
      </c>
      <c r="H60" s="344" t="s">
        <v>210</v>
      </c>
      <c r="I60" s="345"/>
      <c r="J60" s="346"/>
      <c r="K60" s="171" t="s">
        <v>189</v>
      </c>
      <c r="L60" s="143" t="s">
        <v>177</v>
      </c>
      <c r="M60" s="143" t="s">
        <v>177</v>
      </c>
      <c r="N60" s="329"/>
      <c r="O60" s="330"/>
      <c r="P60" s="330"/>
      <c r="Q60" s="330"/>
      <c r="R60" s="331"/>
      <c r="S60" s="143"/>
      <c r="T60" s="143"/>
      <c r="U60" s="344"/>
      <c r="V60" s="345"/>
      <c r="W60" s="346"/>
      <c r="X60" s="171"/>
      <c r="Y60" s="143"/>
      <c r="Z60" s="143"/>
    </row>
    <row r="61" spans="1:26" ht="18" customHeight="1" x14ac:dyDescent="0.15">
      <c r="A61" s="137"/>
      <c r="B61" s="323" t="s">
        <v>186</v>
      </c>
      <c r="C61" s="324"/>
      <c r="D61" s="324"/>
      <c r="E61" s="325"/>
      <c r="F61" s="143">
        <v>1</v>
      </c>
      <c r="G61" s="143"/>
      <c r="H61" s="344" t="s">
        <v>210</v>
      </c>
      <c r="I61" s="345"/>
      <c r="J61" s="346"/>
      <c r="K61" s="170" t="s">
        <v>189</v>
      </c>
      <c r="L61" s="144" t="s">
        <v>177</v>
      </c>
      <c r="M61" s="144" t="s">
        <v>177</v>
      </c>
      <c r="N61" s="323"/>
      <c r="O61" s="324"/>
      <c r="P61" s="324"/>
      <c r="Q61" s="324"/>
      <c r="R61" s="325"/>
      <c r="S61" s="144"/>
      <c r="T61" s="144"/>
      <c r="U61" s="341"/>
      <c r="V61" s="342"/>
      <c r="W61" s="343"/>
      <c r="X61" s="170"/>
      <c r="Y61" s="144"/>
      <c r="Z61" s="144"/>
    </row>
    <row r="62" spans="1:26" ht="18" customHeight="1" x14ac:dyDescent="0.15">
      <c r="A62" s="137"/>
      <c r="B62" s="323"/>
      <c r="C62" s="324"/>
      <c r="D62" s="324"/>
      <c r="E62" s="325"/>
      <c r="F62" s="144"/>
      <c r="G62" s="144"/>
      <c r="H62" s="341"/>
      <c r="I62" s="342"/>
      <c r="J62" s="343"/>
      <c r="K62" s="170"/>
      <c r="L62" s="144"/>
      <c r="M62" s="144"/>
      <c r="N62" s="323"/>
      <c r="O62" s="324"/>
      <c r="P62" s="324"/>
      <c r="Q62" s="324"/>
      <c r="R62" s="325"/>
      <c r="S62" s="144"/>
      <c r="T62" s="144"/>
      <c r="U62" s="341"/>
      <c r="V62" s="342"/>
      <c r="W62" s="343"/>
      <c r="X62" s="170"/>
      <c r="Y62" s="144"/>
      <c r="Z62" s="144"/>
    </row>
    <row r="63" spans="1:26" ht="18" customHeight="1" x14ac:dyDescent="0.15">
      <c r="A63" s="137"/>
      <c r="B63" s="323"/>
      <c r="C63" s="324"/>
      <c r="D63" s="324"/>
      <c r="E63" s="325"/>
      <c r="F63" s="144"/>
      <c r="G63" s="144"/>
      <c r="H63" s="341"/>
      <c r="I63" s="342"/>
      <c r="J63" s="343"/>
      <c r="K63" s="170"/>
      <c r="L63" s="144"/>
      <c r="M63" s="144"/>
      <c r="N63" s="323"/>
      <c r="O63" s="324"/>
      <c r="P63" s="324"/>
      <c r="Q63" s="324"/>
      <c r="R63" s="325"/>
      <c r="S63" s="144"/>
      <c r="T63" s="144"/>
      <c r="U63" s="341"/>
      <c r="V63" s="342"/>
      <c r="W63" s="343"/>
      <c r="X63" s="170"/>
      <c r="Y63" s="144"/>
      <c r="Z63" s="144"/>
    </row>
    <row r="64" spans="1:26" ht="18" customHeight="1" x14ac:dyDescent="0.15">
      <c r="A64" s="137"/>
      <c r="B64" s="323"/>
      <c r="C64" s="324"/>
      <c r="D64" s="324"/>
      <c r="E64" s="325"/>
      <c r="F64" s="144"/>
      <c r="G64" s="144"/>
      <c r="H64" s="341"/>
      <c r="I64" s="342"/>
      <c r="J64" s="343"/>
      <c r="K64" s="170"/>
      <c r="L64" s="144"/>
      <c r="M64" s="144"/>
      <c r="N64" s="323"/>
      <c r="O64" s="324"/>
      <c r="P64" s="324"/>
      <c r="Q64" s="324"/>
      <c r="R64" s="325"/>
      <c r="S64" s="144"/>
      <c r="T64" s="144"/>
      <c r="U64" s="341"/>
      <c r="V64" s="342"/>
      <c r="W64" s="343"/>
      <c r="X64" s="170"/>
      <c r="Y64" s="144"/>
      <c r="Z64" s="144"/>
    </row>
    <row r="65" spans="1:26" ht="18" customHeight="1" x14ac:dyDescent="0.15">
      <c r="A65" s="137"/>
      <c r="B65" s="323"/>
      <c r="C65" s="324"/>
      <c r="D65" s="324"/>
      <c r="E65" s="325"/>
      <c r="F65" s="144"/>
      <c r="G65" s="144"/>
      <c r="H65" s="341"/>
      <c r="I65" s="342"/>
      <c r="J65" s="343"/>
      <c r="K65" s="170"/>
      <c r="L65" s="144"/>
      <c r="M65" s="144"/>
      <c r="N65" s="323"/>
      <c r="O65" s="324"/>
      <c r="P65" s="324"/>
      <c r="Q65" s="324"/>
      <c r="R65" s="325"/>
      <c r="S65" s="144"/>
      <c r="T65" s="144"/>
      <c r="U65" s="341"/>
      <c r="V65" s="342"/>
      <c r="W65" s="343"/>
      <c r="X65" s="170"/>
      <c r="Y65" s="144"/>
      <c r="Z65" s="144"/>
    </row>
    <row r="66" spans="1:26" ht="18" customHeight="1" x14ac:dyDescent="0.15">
      <c r="A66" s="137"/>
      <c r="B66" s="315"/>
      <c r="C66" s="316"/>
      <c r="D66" s="316"/>
      <c r="E66" s="317"/>
      <c r="F66" s="145"/>
      <c r="G66" s="145"/>
      <c r="H66" s="335"/>
      <c r="I66" s="336"/>
      <c r="J66" s="337"/>
      <c r="K66" s="169"/>
      <c r="L66" s="146"/>
      <c r="M66" s="146"/>
      <c r="N66" s="315"/>
      <c r="O66" s="316"/>
      <c r="P66" s="316"/>
      <c r="Q66" s="316"/>
      <c r="R66" s="317"/>
      <c r="S66" s="145"/>
      <c r="T66" s="145"/>
      <c r="U66" s="335"/>
      <c r="V66" s="336"/>
      <c r="W66" s="337"/>
      <c r="X66" s="169"/>
      <c r="Y66" s="146"/>
      <c r="Z66" s="146"/>
    </row>
    <row r="67" spans="1:26" ht="7.5" customHeight="1" x14ac:dyDescent="0.15">
      <c r="B67" s="148"/>
      <c r="C67" s="148"/>
      <c r="D67" s="148"/>
      <c r="E67" s="148"/>
      <c r="F67" s="148"/>
      <c r="G67" s="148"/>
      <c r="H67" s="148"/>
      <c r="I67" s="148"/>
      <c r="J67" s="148"/>
      <c r="K67" s="148"/>
      <c r="L67" s="148"/>
      <c r="M67" s="148"/>
      <c r="N67" s="148"/>
      <c r="O67" s="148"/>
      <c r="P67" s="148"/>
      <c r="Q67" s="148"/>
      <c r="R67" s="148"/>
      <c r="S67" s="148"/>
      <c r="T67" s="148"/>
      <c r="U67" s="148"/>
      <c r="V67" s="148"/>
      <c r="W67" s="148"/>
      <c r="X67" s="148"/>
      <c r="Y67" s="148"/>
    </row>
    <row r="68" spans="1:26" ht="18" customHeight="1" x14ac:dyDescent="0.15">
      <c r="A68" s="120" t="s">
        <v>140</v>
      </c>
      <c r="B68" s="120"/>
      <c r="C68" s="120"/>
      <c r="D68" s="120"/>
      <c r="E68" s="120"/>
      <c r="F68" s="120"/>
      <c r="G68" s="120"/>
      <c r="H68" s="120"/>
      <c r="I68" s="120"/>
      <c r="J68" s="120"/>
      <c r="K68" s="120"/>
      <c r="L68" s="137"/>
      <c r="M68" s="137"/>
      <c r="N68" s="137"/>
      <c r="O68" s="137"/>
      <c r="P68" s="137"/>
      <c r="Q68" s="137"/>
      <c r="R68" s="137"/>
      <c r="S68" s="137"/>
      <c r="T68" s="137"/>
      <c r="U68" s="137"/>
      <c r="V68" s="137"/>
      <c r="W68" s="137"/>
      <c r="X68" s="137"/>
      <c r="Y68" s="137"/>
      <c r="Z68" s="137"/>
    </row>
    <row r="69" spans="1:26" ht="18" customHeight="1" x14ac:dyDescent="0.15">
      <c r="A69" s="120"/>
      <c r="B69" s="198" t="s">
        <v>104</v>
      </c>
      <c r="C69" s="199"/>
      <c r="D69" s="199"/>
      <c r="E69" s="199"/>
      <c r="F69" s="200"/>
      <c r="G69" s="198" t="s">
        <v>150</v>
      </c>
      <c r="H69" s="199"/>
      <c r="I69" s="199"/>
      <c r="J69" s="199"/>
      <c r="K69" s="199"/>
      <c r="L69" s="199"/>
      <c r="M69" s="200"/>
      <c r="N69" s="338" t="s">
        <v>104</v>
      </c>
      <c r="O69" s="339"/>
      <c r="P69" s="339"/>
      <c r="Q69" s="339"/>
      <c r="R69" s="339"/>
      <c r="S69" s="340"/>
      <c r="T69" s="198" t="s">
        <v>150</v>
      </c>
      <c r="U69" s="199"/>
      <c r="V69" s="199"/>
      <c r="W69" s="199"/>
      <c r="X69" s="199"/>
      <c r="Y69" s="199"/>
      <c r="Z69" s="200"/>
    </row>
    <row r="70" spans="1:26" ht="18" customHeight="1" x14ac:dyDescent="0.15">
      <c r="A70" s="137"/>
      <c r="B70" s="329"/>
      <c r="C70" s="330"/>
      <c r="D70" s="330"/>
      <c r="E70" s="330"/>
      <c r="F70" s="331"/>
      <c r="G70" s="332"/>
      <c r="H70" s="333"/>
      <c r="I70" s="333"/>
      <c r="J70" s="333"/>
      <c r="K70" s="333"/>
      <c r="L70" s="333"/>
      <c r="M70" s="334"/>
      <c r="N70" s="329"/>
      <c r="O70" s="330"/>
      <c r="P70" s="330"/>
      <c r="Q70" s="330"/>
      <c r="R70" s="330"/>
      <c r="S70" s="331"/>
      <c r="T70" s="332"/>
      <c r="U70" s="333"/>
      <c r="V70" s="333"/>
      <c r="W70" s="333"/>
      <c r="X70" s="333"/>
      <c r="Y70" s="333"/>
      <c r="Z70" s="334"/>
    </row>
    <row r="71" spans="1:26" ht="18" customHeight="1" x14ac:dyDescent="0.15">
      <c r="A71" s="137"/>
      <c r="B71" s="323"/>
      <c r="C71" s="324"/>
      <c r="D71" s="324"/>
      <c r="E71" s="324"/>
      <c r="F71" s="325"/>
      <c r="G71" s="326"/>
      <c r="H71" s="327"/>
      <c r="I71" s="327"/>
      <c r="J71" s="327"/>
      <c r="K71" s="327"/>
      <c r="L71" s="327"/>
      <c r="M71" s="328"/>
      <c r="N71" s="323"/>
      <c r="O71" s="324"/>
      <c r="P71" s="324"/>
      <c r="Q71" s="324"/>
      <c r="R71" s="324"/>
      <c r="S71" s="325"/>
      <c r="T71" s="326"/>
      <c r="U71" s="327"/>
      <c r="V71" s="327"/>
      <c r="W71" s="327"/>
      <c r="X71" s="327"/>
      <c r="Y71" s="327"/>
      <c r="Z71" s="328"/>
    </row>
    <row r="72" spans="1:26" ht="18" customHeight="1" x14ac:dyDescent="0.15">
      <c r="A72" s="137"/>
      <c r="B72" s="323"/>
      <c r="C72" s="324"/>
      <c r="D72" s="324"/>
      <c r="E72" s="324"/>
      <c r="F72" s="325"/>
      <c r="G72" s="326"/>
      <c r="H72" s="327"/>
      <c r="I72" s="327"/>
      <c r="J72" s="327"/>
      <c r="K72" s="327"/>
      <c r="L72" s="327"/>
      <c r="M72" s="328"/>
      <c r="N72" s="323"/>
      <c r="O72" s="324"/>
      <c r="P72" s="324"/>
      <c r="Q72" s="324"/>
      <c r="R72" s="324"/>
      <c r="S72" s="325"/>
      <c r="T72" s="326"/>
      <c r="U72" s="327"/>
      <c r="V72" s="327"/>
      <c r="W72" s="327"/>
      <c r="X72" s="327"/>
      <c r="Y72" s="327"/>
      <c r="Z72" s="328"/>
    </row>
    <row r="73" spans="1:26" ht="18" customHeight="1" x14ac:dyDescent="0.15">
      <c r="A73" s="137"/>
      <c r="B73" s="323"/>
      <c r="C73" s="324"/>
      <c r="D73" s="324"/>
      <c r="E73" s="324"/>
      <c r="F73" s="325"/>
      <c r="G73" s="326"/>
      <c r="H73" s="327"/>
      <c r="I73" s="327"/>
      <c r="J73" s="327"/>
      <c r="K73" s="327"/>
      <c r="L73" s="327"/>
      <c r="M73" s="328"/>
      <c r="N73" s="323"/>
      <c r="O73" s="324"/>
      <c r="P73" s="324"/>
      <c r="Q73" s="324"/>
      <c r="R73" s="324"/>
      <c r="S73" s="325"/>
      <c r="T73" s="326"/>
      <c r="U73" s="327"/>
      <c r="V73" s="327"/>
      <c r="W73" s="327"/>
      <c r="X73" s="327"/>
      <c r="Y73" s="327"/>
      <c r="Z73" s="328"/>
    </row>
    <row r="74" spans="1:26" ht="18" customHeight="1" x14ac:dyDescent="0.15">
      <c r="A74" s="137"/>
      <c r="B74" s="323"/>
      <c r="C74" s="324"/>
      <c r="D74" s="324"/>
      <c r="E74" s="324"/>
      <c r="F74" s="325"/>
      <c r="G74" s="326"/>
      <c r="H74" s="327"/>
      <c r="I74" s="327"/>
      <c r="J74" s="327"/>
      <c r="K74" s="327"/>
      <c r="L74" s="327"/>
      <c r="M74" s="328"/>
      <c r="N74" s="323"/>
      <c r="O74" s="324"/>
      <c r="P74" s="324"/>
      <c r="Q74" s="324"/>
      <c r="R74" s="324"/>
      <c r="S74" s="325"/>
      <c r="T74" s="326"/>
      <c r="U74" s="327"/>
      <c r="V74" s="327"/>
      <c r="W74" s="327"/>
      <c r="X74" s="327"/>
      <c r="Y74" s="327"/>
      <c r="Z74" s="328"/>
    </row>
    <row r="75" spans="1:26" ht="18" customHeight="1" x14ac:dyDescent="0.15">
      <c r="A75" s="137"/>
      <c r="B75" s="323"/>
      <c r="C75" s="324"/>
      <c r="D75" s="324"/>
      <c r="E75" s="324"/>
      <c r="F75" s="325"/>
      <c r="G75" s="326"/>
      <c r="H75" s="327"/>
      <c r="I75" s="327"/>
      <c r="J75" s="327"/>
      <c r="K75" s="327"/>
      <c r="L75" s="327"/>
      <c r="M75" s="328"/>
      <c r="N75" s="323"/>
      <c r="O75" s="324"/>
      <c r="P75" s="324"/>
      <c r="Q75" s="324"/>
      <c r="R75" s="324"/>
      <c r="S75" s="325"/>
      <c r="T75" s="326"/>
      <c r="U75" s="327"/>
      <c r="V75" s="327"/>
      <c r="W75" s="327"/>
      <c r="X75" s="327"/>
      <c r="Y75" s="327"/>
      <c r="Z75" s="328"/>
    </row>
    <row r="76" spans="1:26" ht="18" customHeight="1" x14ac:dyDescent="0.15">
      <c r="A76" s="137"/>
      <c r="B76" s="315"/>
      <c r="C76" s="316"/>
      <c r="D76" s="316"/>
      <c r="E76" s="316"/>
      <c r="F76" s="317"/>
      <c r="G76" s="318"/>
      <c r="H76" s="319"/>
      <c r="I76" s="319"/>
      <c r="J76" s="319"/>
      <c r="K76" s="319"/>
      <c r="L76" s="319"/>
      <c r="M76" s="320"/>
      <c r="N76" s="315"/>
      <c r="O76" s="316"/>
      <c r="P76" s="316"/>
      <c r="Q76" s="316"/>
      <c r="R76" s="316"/>
      <c r="S76" s="317"/>
      <c r="T76" s="318"/>
      <c r="U76" s="319"/>
      <c r="V76" s="319"/>
      <c r="W76" s="319"/>
      <c r="X76" s="319"/>
      <c r="Y76" s="319"/>
      <c r="Z76" s="320"/>
    </row>
    <row r="77" spans="1:26" ht="18" customHeight="1" x14ac:dyDescent="0.15">
      <c r="A77" s="137"/>
      <c r="B77" s="152"/>
      <c r="C77" s="152"/>
      <c r="D77" s="152"/>
      <c r="E77" s="152"/>
      <c r="F77" s="152"/>
      <c r="G77" s="153"/>
      <c r="H77" s="153"/>
      <c r="I77" s="153"/>
      <c r="J77" s="153"/>
      <c r="K77" s="153"/>
      <c r="L77" s="153"/>
      <c r="M77" s="153"/>
      <c r="N77" s="152"/>
      <c r="O77" s="152"/>
      <c r="P77" s="152"/>
      <c r="Q77" s="152"/>
      <c r="R77" s="152"/>
      <c r="S77" s="152"/>
      <c r="T77" s="153"/>
      <c r="U77" s="153"/>
      <c r="V77" s="153"/>
      <c r="W77" s="153"/>
      <c r="X77" s="153"/>
      <c r="Y77" s="153"/>
      <c r="Z77" s="153"/>
    </row>
    <row r="78" spans="1:26" ht="18.75" customHeight="1" x14ac:dyDescent="0.15">
      <c r="A78" s="136" t="s">
        <v>146</v>
      </c>
    </row>
    <row r="79" spans="1:26" ht="18.75" customHeight="1" x14ac:dyDescent="0.15">
      <c r="B79" s="154" t="s">
        <v>106</v>
      </c>
      <c r="C79" s="155"/>
      <c r="D79" s="321" t="s">
        <v>107</v>
      </c>
      <c r="E79" s="321"/>
      <c r="F79" s="321"/>
      <c r="G79" s="321"/>
      <c r="H79" s="321"/>
      <c r="I79" s="321"/>
      <c r="J79" s="321"/>
      <c r="K79" s="321"/>
      <c r="L79" s="321"/>
      <c r="M79" s="321"/>
      <c r="N79" s="321"/>
      <c r="O79" s="321"/>
      <c r="P79" s="321"/>
      <c r="Q79" s="321"/>
      <c r="R79" s="321"/>
      <c r="S79" s="321"/>
      <c r="T79" s="321"/>
      <c r="U79" s="321"/>
      <c r="V79" s="321"/>
      <c r="W79" s="321"/>
      <c r="X79" s="321"/>
      <c r="Y79" s="321"/>
      <c r="Z79" s="322"/>
    </row>
    <row r="80" spans="1:26" ht="78" customHeight="1" x14ac:dyDescent="0.15">
      <c r="B80" s="296" t="s">
        <v>113</v>
      </c>
      <c r="C80" s="156" t="s">
        <v>108</v>
      </c>
      <c r="D80" s="390" t="s">
        <v>227</v>
      </c>
      <c r="E80" s="391"/>
      <c r="F80" s="391"/>
      <c r="G80" s="391"/>
      <c r="H80" s="391"/>
      <c r="I80" s="391"/>
      <c r="J80" s="391"/>
      <c r="K80" s="391"/>
      <c r="L80" s="391"/>
      <c r="M80" s="391"/>
      <c r="N80" s="391"/>
      <c r="O80" s="391"/>
      <c r="P80" s="391"/>
      <c r="Q80" s="391"/>
      <c r="R80" s="391"/>
      <c r="S80" s="391"/>
      <c r="T80" s="391"/>
      <c r="U80" s="391"/>
      <c r="V80" s="391"/>
      <c r="W80" s="391"/>
      <c r="X80" s="391"/>
      <c r="Y80" s="391"/>
      <c r="Z80" s="392"/>
    </row>
    <row r="81" spans="1:26" ht="78" customHeight="1" x14ac:dyDescent="0.15">
      <c r="B81" s="297"/>
      <c r="C81" s="157" t="s">
        <v>141</v>
      </c>
      <c r="D81" s="393" t="s">
        <v>228</v>
      </c>
      <c r="E81" s="394"/>
      <c r="F81" s="394"/>
      <c r="G81" s="394"/>
      <c r="H81" s="394"/>
      <c r="I81" s="394"/>
      <c r="J81" s="394"/>
      <c r="K81" s="394"/>
      <c r="L81" s="394"/>
      <c r="M81" s="394"/>
      <c r="N81" s="394"/>
      <c r="O81" s="394"/>
      <c r="P81" s="394"/>
      <c r="Q81" s="394"/>
      <c r="R81" s="394"/>
      <c r="S81" s="394"/>
      <c r="T81" s="394"/>
      <c r="U81" s="394"/>
      <c r="V81" s="394"/>
      <c r="W81" s="394"/>
      <c r="X81" s="394"/>
      <c r="Y81" s="394"/>
      <c r="Z81" s="395"/>
    </row>
    <row r="82" spans="1:26" ht="78" customHeight="1" x14ac:dyDescent="0.15">
      <c r="B82" s="314" t="s">
        <v>114</v>
      </c>
      <c r="C82" s="158" t="s">
        <v>131</v>
      </c>
      <c r="D82" s="383" t="s">
        <v>229</v>
      </c>
      <c r="E82" s="384"/>
      <c r="F82" s="384"/>
      <c r="G82" s="384"/>
      <c r="H82" s="384"/>
      <c r="I82" s="384"/>
      <c r="J82" s="384"/>
      <c r="K82" s="384"/>
      <c r="L82" s="384"/>
      <c r="M82" s="384"/>
      <c r="N82" s="384"/>
      <c r="O82" s="384"/>
      <c r="P82" s="384"/>
      <c r="Q82" s="384"/>
      <c r="R82" s="384"/>
      <c r="S82" s="384"/>
      <c r="T82" s="384"/>
      <c r="U82" s="384"/>
      <c r="V82" s="384"/>
      <c r="W82" s="384"/>
      <c r="X82" s="384"/>
      <c r="Y82" s="384"/>
      <c r="Z82" s="385"/>
    </row>
    <row r="83" spans="1:26" ht="78" customHeight="1" x14ac:dyDescent="0.15">
      <c r="B83" s="298"/>
      <c r="C83" s="159" t="s">
        <v>132</v>
      </c>
      <c r="D83" s="386" t="s">
        <v>228</v>
      </c>
      <c r="E83" s="348"/>
      <c r="F83" s="348"/>
      <c r="G83" s="348"/>
      <c r="H83" s="348"/>
      <c r="I83" s="348"/>
      <c r="J83" s="348"/>
      <c r="K83" s="348"/>
      <c r="L83" s="348"/>
      <c r="M83" s="348"/>
      <c r="N83" s="348"/>
      <c r="O83" s="348"/>
      <c r="P83" s="348"/>
      <c r="Q83" s="348"/>
      <c r="R83" s="348"/>
      <c r="S83" s="348"/>
      <c r="T83" s="348"/>
      <c r="U83" s="348"/>
      <c r="V83" s="348"/>
      <c r="W83" s="348"/>
      <c r="X83" s="348"/>
      <c r="Y83" s="348"/>
      <c r="Z83" s="349"/>
    </row>
    <row r="84" spans="1:26" ht="66" customHeight="1" x14ac:dyDescent="0.15">
      <c r="B84" s="314" t="s">
        <v>115</v>
      </c>
      <c r="C84" s="158" t="s">
        <v>134</v>
      </c>
      <c r="D84" s="387" t="s">
        <v>228</v>
      </c>
      <c r="E84" s="355"/>
      <c r="F84" s="355"/>
      <c r="G84" s="355"/>
      <c r="H84" s="355"/>
      <c r="I84" s="355"/>
      <c r="J84" s="355"/>
      <c r="K84" s="355"/>
      <c r="L84" s="355"/>
      <c r="M84" s="355"/>
      <c r="N84" s="355"/>
      <c r="O84" s="355"/>
      <c r="P84" s="355"/>
      <c r="Q84" s="355"/>
      <c r="R84" s="355"/>
      <c r="S84" s="355"/>
      <c r="T84" s="355"/>
      <c r="U84" s="355"/>
      <c r="V84" s="355"/>
      <c r="W84" s="355"/>
      <c r="X84" s="355"/>
      <c r="Y84" s="355"/>
      <c r="Z84" s="356"/>
    </row>
    <row r="85" spans="1:26" ht="66" customHeight="1" x14ac:dyDescent="0.15">
      <c r="B85" s="298"/>
      <c r="C85" s="160" t="s">
        <v>135</v>
      </c>
      <c r="D85" s="374" t="s">
        <v>228</v>
      </c>
      <c r="E85" s="388"/>
      <c r="F85" s="388"/>
      <c r="G85" s="388"/>
      <c r="H85" s="388"/>
      <c r="I85" s="388"/>
      <c r="J85" s="388"/>
      <c r="K85" s="388"/>
      <c r="L85" s="388"/>
      <c r="M85" s="388"/>
      <c r="N85" s="388"/>
      <c r="O85" s="388"/>
      <c r="P85" s="388"/>
      <c r="Q85" s="388"/>
      <c r="R85" s="388"/>
      <c r="S85" s="388"/>
      <c r="T85" s="388"/>
      <c r="U85" s="388"/>
      <c r="V85" s="388"/>
      <c r="W85" s="388"/>
      <c r="X85" s="388"/>
      <c r="Y85" s="388"/>
      <c r="Z85" s="389"/>
    </row>
    <row r="86" spans="1:26" ht="66" customHeight="1" x14ac:dyDescent="0.15">
      <c r="B86" s="296" t="s">
        <v>142</v>
      </c>
      <c r="C86" s="156" t="s">
        <v>110</v>
      </c>
      <c r="D86" s="370" t="s">
        <v>230</v>
      </c>
      <c r="E86" s="371"/>
      <c r="F86" s="371"/>
      <c r="G86" s="371"/>
      <c r="H86" s="371"/>
      <c r="I86" s="371"/>
      <c r="J86" s="371"/>
      <c r="K86" s="371"/>
      <c r="L86" s="371"/>
      <c r="M86" s="371"/>
      <c r="N86" s="371"/>
      <c r="O86" s="371"/>
      <c r="P86" s="371"/>
      <c r="Q86" s="371"/>
      <c r="R86" s="371"/>
      <c r="S86" s="371"/>
      <c r="T86" s="371"/>
      <c r="U86" s="371"/>
      <c r="V86" s="371"/>
      <c r="W86" s="371"/>
      <c r="X86" s="371"/>
      <c r="Y86" s="371"/>
      <c r="Z86" s="372"/>
    </row>
    <row r="87" spans="1:26" ht="66" customHeight="1" x14ac:dyDescent="0.15">
      <c r="B87" s="369"/>
      <c r="C87" s="161" t="s">
        <v>112</v>
      </c>
      <c r="D87" s="373"/>
      <c r="E87" s="374"/>
      <c r="F87" s="374"/>
      <c r="G87" s="374"/>
      <c r="H87" s="374"/>
      <c r="I87" s="374"/>
      <c r="J87" s="374"/>
      <c r="K87" s="374"/>
      <c r="L87" s="374"/>
      <c r="M87" s="374"/>
      <c r="N87" s="374"/>
      <c r="O87" s="374"/>
      <c r="P87" s="374"/>
      <c r="Q87" s="374"/>
      <c r="R87" s="374"/>
      <c r="S87" s="374"/>
      <c r="T87" s="374"/>
      <c r="U87" s="374"/>
      <c r="V87" s="374"/>
      <c r="W87" s="374"/>
      <c r="X87" s="374"/>
      <c r="Y87" s="374"/>
      <c r="Z87" s="375"/>
    </row>
    <row r="88" spans="1:26" ht="102.75" customHeight="1" x14ac:dyDescent="0.15">
      <c r="B88" s="296" t="s">
        <v>143</v>
      </c>
      <c r="C88" s="158" t="s">
        <v>109</v>
      </c>
      <c r="D88" s="376" t="s">
        <v>231</v>
      </c>
      <c r="E88" s="330"/>
      <c r="F88" s="330"/>
      <c r="G88" s="330"/>
      <c r="H88" s="330"/>
      <c r="I88" s="330"/>
      <c r="J88" s="330"/>
      <c r="K88" s="330"/>
      <c r="L88" s="330"/>
      <c r="M88" s="330"/>
      <c r="N88" s="330"/>
      <c r="O88" s="330"/>
      <c r="P88" s="330"/>
      <c r="Q88" s="330"/>
      <c r="R88" s="330"/>
      <c r="S88" s="330"/>
      <c r="T88" s="330"/>
      <c r="U88" s="330"/>
      <c r="V88" s="330"/>
      <c r="W88" s="330"/>
      <c r="X88" s="330"/>
      <c r="Y88" s="330"/>
      <c r="Z88" s="331"/>
    </row>
    <row r="89" spans="1:26" ht="102.75" customHeight="1" x14ac:dyDescent="0.15">
      <c r="B89" s="297"/>
      <c r="C89" s="161" t="s">
        <v>138</v>
      </c>
      <c r="D89" s="377" t="s">
        <v>232</v>
      </c>
      <c r="E89" s="378"/>
      <c r="F89" s="378"/>
      <c r="G89" s="378"/>
      <c r="H89" s="378"/>
      <c r="I89" s="378"/>
      <c r="J89" s="378"/>
      <c r="K89" s="378"/>
      <c r="L89" s="378"/>
      <c r="M89" s="378"/>
      <c r="N89" s="378"/>
      <c r="O89" s="378"/>
      <c r="P89" s="378"/>
      <c r="Q89" s="378"/>
      <c r="R89" s="378"/>
      <c r="S89" s="378"/>
      <c r="T89" s="378"/>
      <c r="U89" s="378"/>
      <c r="V89" s="378"/>
      <c r="W89" s="378"/>
      <c r="X89" s="378"/>
      <c r="Y89" s="378"/>
      <c r="Z89" s="379"/>
    </row>
    <row r="90" spans="1:26" ht="102.75" customHeight="1" x14ac:dyDescent="0.15">
      <c r="B90" s="298"/>
      <c r="C90" s="160" t="s">
        <v>139</v>
      </c>
      <c r="D90" s="380" t="s">
        <v>233</v>
      </c>
      <c r="E90" s="381"/>
      <c r="F90" s="381"/>
      <c r="G90" s="381"/>
      <c r="H90" s="381"/>
      <c r="I90" s="381"/>
      <c r="J90" s="381"/>
      <c r="K90" s="381"/>
      <c r="L90" s="381"/>
      <c r="M90" s="381"/>
      <c r="N90" s="381"/>
      <c r="O90" s="381"/>
      <c r="P90" s="381"/>
      <c r="Q90" s="381"/>
      <c r="R90" s="381"/>
      <c r="S90" s="381"/>
      <c r="T90" s="381"/>
      <c r="U90" s="381"/>
      <c r="V90" s="381"/>
      <c r="W90" s="381"/>
      <c r="X90" s="381"/>
      <c r="Y90" s="381"/>
      <c r="Z90" s="382"/>
    </row>
    <row r="91" spans="1:26" ht="6" customHeight="1" x14ac:dyDescent="0.15"/>
    <row r="92" spans="1:26" ht="18.75" customHeight="1" x14ac:dyDescent="0.15">
      <c r="A92" s="136" t="s">
        <v>147</v>
      </c>
    </row>
    <row r="93" spans="1:26" ht="18.75" customHeight="1" x14ac:dyDescent="0.15">
      <c r="B93" s="302" t="s">
        <v>181</v>
      </c>
      <c r="C93" s="303"/>
      <c r="D93" s="303"/>
      <c r="E93" s="303"/>
      <c r="F93" s="303"/>
      <c r="G93" s="303"/>
      <c r="H93" s="303"/>
      <c r="I93" s="303"/>
      <c r="J93" s="303"/>
      <c r="K93" s="303"/>
      <c r="L93" s="303"/>
      <c r="M93" s="303"/>
      <c r="N93" s="303"/>
      <c r="O93" s="303"/>
      <c r="P93" s="303"/>
      <c r="Q93" s="303"/>
      <c r="R93" s="303"/>
      <c r="S93" s="303"/>
      <c r="T93" s="303"/>
      <c r="U93" s="303"/>
      <c r="V93" s="303"/>
      <c r="W93" s="303"/>
      <c r="X93" s="303"/>
      <c r="Y93" s="303"/>
      <c r="Z93" s="304"/>
    </row>
    <row r="94" spans="1:26" ht="18.75" customHeight="1" x14ac:dyDescent="0.15">
      <c r="B94" s="305"/>
      <c r="C94" s="306"/>
      <c r="D94" s="306"/>
      <c r="E94" s="306"/>
      <c r="F94" s="306"/>
      <c r="G94" s="306"/>
      <c r="H94" s="306"/>
      <c r="I94" s="306"/>
      <c r="J94" s="306"/>
      <c r="K94" s="306"/>
      <c r="L94" s="306"/>
      <c r="M94" s="306"/>
      <c r="N94" s="306"/>
      <c r="O94" s="306"/>
      <c r="P94" s="306"/>
      <c r="Q94" s="306"/>
      <c r="R94" s="306"/>
      <c r="S94" s="306"/>
      <c r="T94" s="306"/>
      <c r="U94" s="306"/>
      <c r="V94" s="306"/>
      <c r="W94" s="306"/>
      <c r="X94" s="306"/>
      <c r="Y94" s="306"/>
      <c r="Z94" s="307"/>
    </row>
    <row r="95" spans="1:26" ht="18.75" customHeight="1" x14ac:dyDescent="0.15">
      <c r="B95" s="308"/>
      <c r="C95" s="309"/>
      <c r="D95" s="309"/>
      <c r="E95" s="309"/>
      <c r="F95" s="309"/>
      <c r="G95" s="309"/>
      <c r="H95" s="309"/>
      <c r="I95" s="309"/>
      <c r="J95" s="309"/>
      <c r="K95" s="309"/>
      <c r="L95" s="309"/>
      <c r="M95" s="309"/>
      <c r="N95" s="309"/>
      <c r="O95" s="309"/>
      <c r="P95" s="309"/>
      <c r="Q95" s="309"/>
      <c r="R95" s="309"/>
      <c r="S95" s="309"/>
      <c r="T95" s="309"/>
      <c r="U95" s="309"/>
      <c r="V95" s="309"/>
      <c r="W95" s="309"/>
      <c r="X95" s="309"/>
      <c r="Y95" s="309"/>
      <c r="Z95" s="310"/>
    </row>
    <row r="96" spans="1:26" ht="9" customHeight="1" x14ac:dyDescent="0.15"/>
    <row r="97" spans="1:26" ht="15" customHeight="1" x14ac:dyDescent="0.15">
      <c r="A97" s="136" t="s">
        <v>148</v>
      </c>
    </row>
    <row r="98" spans="1:26" ht="22.5" customHeight="1" x14ac:dyDescent="0.15">
      <c r="B98" s="311" t="s">
        <v>182</v>
      </c>
      <c r="C98" s="312"/>
      <c r="D98" s="312"/>
      <c r="E98" s="312"/>
      <c r="F98" s="312"/>
      <c r="G98" s="312"/>
      <c r="H98" s="312"/>
      <c r="I98" s="312"/>
      <c r="J98" s="312"/>
      <c r="K98" s="312"/>
      <c r="L98" s="312"/>
      <c r="M98" s="312"/>
      <c r="N98" s="312"/>
      <c r="O98" s="312"/>
      <c r="P98" s="312"/>
      <c r="Q98" s="312"/>
      <c r="R98" s="312"/>
      <c r="S98" s="312"/>
      <c r="T98" s="312"/>
      <c r="U98" s="312"/>
      <c r="V98" s="312"/>
      <c r="W98" s="312"/>
      <c r="X98" s="312"/>
      <c r="Y98" s="312"/>
      <c r="Z98" s="313"/>
    </row>
  </sheetData>
  <mergeCells count="217">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4:F44"/>
    <mergeCell ref="I44:K44"/>
    <mergeCell ref="N44:S44"/>
    <mergeCell ref="V44:X44"/>
    <mergeCell ref="A46:Z47"/>
    <mergeCell ref="B48:F48"/>
    <mergeCell ref="I48:K48"/>
    <mergeCell ref="N48:S48"/>
    <mergeCell ref="V48:X48"/>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93:Z95"/>
    <mergeCell ref="B98:Z98"/>
    <mergeCell ref="B86:B87"/>
    <mergeCell ref="D86:Z87"/>
    <mergeCell ref="B88:B90"/>
    <mergeCell ref="D88:Z88"/>
    <mergeCell ref="D89:Z89"/>
    <mergeCell ref="D90:Z90"/>
    <mergeCell ref="B82:B83"/>
    <mergeCell ref="D82:Z82"/>
    <mergeCell ref="D83:Z83"/>
    <mergeCell ref="B84:B85"/>
    <mergeCell ref="D84:Z84"/>
    <mergeCell ref="D85:Z85"/>
  </mergeCells>
  <phoneticPr fontId="1"/>
  <dataValidations count="4">
    <dataValidation type="list" allowBlank="1" showInputMessage="1" showErrorMessage="1" sqref="H74:M77 G70:G77 H70:M71 T70:T77 U70:Z71 U74:Z77" xr:uid="{976DA905-4465-475C-A522-6FBE81032ADB}">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87BBC918-FC94-4AF7-AD1D-3F3E224ADF87}">
      <formula1>"学部・学科によって、修了要件は相違する,学部・学科によって、修了要件は相違しない"</formula1>
    </dataValidation>
    <dataValidation type="list" allowBlank="1" showInputMessage="1" showErrorMessage="1" sqref="Z23 Z34 D34:K34 D23:K23 V16:V22 I16:I22 V27:V33 I27:I33 V38:V44 I49:I55 V49:V55 I38:I44 U60:U66 H60:H66" xr:uid="{AEACC073-E857-4AAD-A746-A05016777246}">
      <formula1>"全学開講,一部開講"</formula1>
    </dataValidation>
    <dataValidation type="list" allowBlank="1" showInputMessage="1" showErrorMessage="1" sqref="Y16:Z22 L16:M22 Y27:Z33 L27:M33 H38:H44 Y38:Z44 H49:H55 Y49:Z55 Y60:Z66 L60:M66 H16:H22 U16:U22 H27:H33 U27:U33 T60:T66 U38:U44 L38:M44 U49:U55 L49:M55 G60:G66" xr:uid="{5B6735C6-0805-4865-93B7-3E249BCBFF50}">
      <formula1>"○"</formula1>
    </dataValidation>
  </dataValidations>
  <hyperlinks>
    <hyperlink ref="B98" r:id="rId1" xr:uid="{3813F50D-F4D6-4104-9E10-E1762B69D485}"/>
  </hyperlinks>
  <printOptions horizontalCentered="1"/>
  <pageMargins left="0.78740157480314965" right="0.78740157480314965" top="0.59055118110236227" bottom="0.19685039370078741" header="0.31496062992125984" footer="0.19685039370078741"/>
  <pageSetup paperSize="9" scale="98" orientation="landscape" r:id="rId2"/>
  <rowBreaks count="4" manualBreakCount="4">
    <brk id="34" max="25" man="1"/>
    <brk id="67" max="25" man="1"/>
    <brk id="83" max="25" man="1"/>
    <brk id="91"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30"/>
  <sheetViews>
    <sheetView showZeros="0" view="pageBreakPreview" zoomScaleNormal="100" zoomScaleSheetLayoutView="100" workbookViewId="0">
      <selection activeCell="P23" sqref="P23"/>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406" t="s">
        <v>65</v>
      </c>
      <c r="G1" s="406"/>
      <c r="H1" s="406"/>
      <c r="I1" s="406"/>
      <c r="J1" s="406"/>
      <c r="K1" s="406"/>
      <c r="L1" s="406"/>
      <c r="M1" s="406"/>
      <c r="N1" s="406"/>
      <c r="O1" s="406"/>
      <c r="P1" s="406"/>
      <c r="Q1" s="406"/>
      <c r="R1" s="406"/>
    </row>
    <row r="2" spans="1:20" ht="18" customHeight="1" x14ac:dyDescent="0.15">
      <c r="A2" s="407" t="s">
        <v>93</v>
      </c>
      <c r="B2" s="407"/>
      <c r="C2" s="407"/>
      <c r="D2" s="407"/>
      <c r="E2" s="407"/>
      <c r="F2" s="407"/>
      <c r="G2" s="407"/>
      <c r="H2" s="407"/>
      <c r="I2" s="407"/>
      <c r="J2" s="407"/>
      <c r="K2" s="407"/>
      <c r="L2" s="407"/>
      <c r="M2" s="407"/>
      <c r="N2" s="407"/>
      <c r="O2" s="407"/>
      <c r="P2" s="407"/>
      <c r="Q2" s="407"/>
      <c r="R2" s="407"/>
      <c r="S2" s="4"/>
    </row>
    <row r="3" spans="1:20" ht="7.5" customHeight="1" x14ac:dyDescent="0.15">
      <c r="A3" s="34"/>
      <c r="B3" s="34"/>
      <c r="C3" s="34"/>
      <c r="D3" s="34"/>
      <c r="E3" s="34"/>
      <c r="F3" s="34"/>
      <c r="G3" s="34"/>
      <c r="H3" s="34"/>
      <c r="I3" s="34"/>
      <c r="J3" s="34"/>
      <c r="K3" s="34"/>
      <c r="L3" s="34"/>
      <c r="M3" s="34"/>
      <c r="N3" s="34"/>
      <c r="O3" s="34"/>
      <c r="P3" s="34"/>
      <c r="Q3" s="34"/>
      <c r="R3" s="34"/>
    </row>
    <row r="4" spans="1:20" ht="18" customHeight="1" x14ac:dyDescent="0.15">
      <c r="A4" s="4" t="s">
        <v>151</v>
      </c>
      <c r="B4" s="4"/>
      <c r="C4" s="408" t="str">
        <f>'様式１　大学等概要'!E12</f>
        <v>2021年度</v>
      </c>
      <c r="D4" s="409"/>
      <c r="E4" s="34" t="s">
        <v>117</v>
      </c>
      <c r="F4" s="34"/>
      <c r="G4" s="34"/>
      <c r="H4" s="34"/>
      <c r="I4" s="34"/>
      <c r="J4" s="81"/>
      <c r="K4" s="34"/>
      <c r="L4" s="34"/>
      <c r="M4" s="111"/>
      <c r="N4" s="111"/>
      <c r="O4" s="111"/>
      <c r="P4" s="111"/>
      <c r="Q4" s="111"/>
      <c r="R4" s="111"/>
    </row>
    <row r="5" spans="1:20" ht="6" customHeight="1" x14ac:dyDescent="0.15">
      <c r="A5" s="34"/>
      <c r="B5" s="34"/>
      <c r="C5" s="34"/>
      <c r="D5" s="34"/>
      <c r="E5" s="34"/>
      <c r="F5" s="34"/>
      <c r="G5" s="34"/>
      <c r="H5" s="34"/>
      <c r="I5" s="34"/>
      <c r="J5" s="34"/>
      <c r="K5" s="34"/>
      <c r="L5" s="34"/>
      <c r="M5" s="34"/>
      <c r="N5" s="34"/>
      <c r="O5" s="34"/>
      <c r="P5" s="34"/>
      <c r="Q5" s="34"/>
      <c r="R5" s="34"/>
    </row>
    <row r="6" spans="1:20" ht="18" customHeight="1" x14ac:dyDescent="0.15">
      <c r="A6" s="4" t="s">
        <v>149</v>
      </c>
      <c r="B6" s="34"/>
      <c r="C6" s="34"/>
      <c r="D6" s="34"/>
      <c r="E6" s="34"/>
      <c r="F6" s="34"/>
      <c r="G6" s="34"/>
      <c r="H6" s="34"/>
      <c r="I6" s="34"/>
      <c r="J6" s="34"/>
      <c r="K6" s="34"/>
      <c r="L6" s="34"/>
      <c r="M6" s="34"/>
      <c r="N6" s="34"/>
      <c r="O6" s="34"/>
      <c r="P6" s="34"/>
      <c r="Q6" s="34"/>
      <c r="R6" s="34"/>
    </row>
    <row r="7" spans="1:20" ht="6" customHeight="1" x14ac:dyDescent="0.15">
      <c r="A7" s="4"/>
      <c r="B7" s="34"/>
      <c r="C7" s="34"/>
      <c r="D7" s="34"/>
      <c r="E7" s="34"/>
      <c r="F7" s="34"/>
      <c r="G7" s="34"/>
      <c r="H7" s="34"/>
      <c r="I7" s="34"/>
      <c r="J7" s="34"/>
      <c r="K7" s="34"/>
      <c r="L7" s="34"/>
      <c r="M7" s="34"/>
      <c r="N7" s="34"/>
      <c r="O7" s="34"/>
      <c r="P7" s="34"/>
      <c r="Q7" s="34"/>
      <c r="R7" s="34"/>
    </row>
    <row r="8" spans="1:20" ht="18" customHeight="1" x14ac:dyDescent="0.15">
      <c r="B8" s="410" t="s">
        <v>83</v>
      </c>
      <c r="C8" s="412" t="s">
        <v>88</v>
      </c>
      <c r="D8" s="414" t="s">
        <v>70</v>
      </c>
      <c r="E8" s="416" t="s">
        <v>94</v>
      </c>
      <c r="F8" s="416"/>
      <c r="G8" s="416" t="s">
        <v>95</v>
      </c>
      <c r="H8" s="416"/>
      <c r="I8" s="416" t="s">
        <v>96</v>
      </c>
      <c r="J8" s="416"/>
      <c r="K8" s="417" t="s">
        <v>97</v>
      </c>
      <c r="L8" s="418"/>
      <c r="M8" s="417" t="s">
        <v>98</v>
      </c>
      <c r="N8" s="418"/>
      <c r="O8" s="417" t="s">
        <v>99</v>
      </c>
      <c r="P8" s="418"/>
      <c r="Q8" s="419" t="s">
        <v>64</v>
      </c>
      <c r="R8" s="421" t="s">
        <v>58</v>
      </c>
      <c r="T8" s="30"/>
    </row>
    <row r="9" spans="1:20" ht="18" customHeight="1" x14ac:dyDescent="0.15">
      <c r="A9" s="4"/>
      <c r="B9" s="411"/>
      <c r="C9" s="413"/>
      <c r="D9" s="415"/>
      <c r="E9" s="39" t="s">
        <v>46</v>
      </c>
      <c r="F9" s="40" t="s">
        <v>45</v>
      </c>
      <c r="G9" s="41" t="s">
        <v>46</v>
      </c>
      <c r="H9" s="42" t="s">
        <v>45</v>
      </c>
      <c r="I9" s="39" t="s">
        <v>46</v>
      </c>
      <c r="J9" s="40" t="s">
        <v>45</v>
      </c>
      <c r="K9" s="41" t="s">
        <v>46</v>
      </c>
      <c r="L9" s="42" t="s">
        <v>45</v>
      </c>
      <c r="M9" s="39" t="s">
        <v>46</v>
      </c>
      <c r="N9" s="40" t="s">
        <v>45</v>
      </c>
      <c r="O9" s="41" t="s">
        <v>46</v>
      </c>
      <c r="P9" s="42" t="s">
        <v>45</v>
      </c>
      <c r="Q9" s="420"/>
      <c r="R9" s="422"/>
      <c r="T9" s="30"/>
    </row>
    <row r="10" spans="1:20" ht="18" customHeight="1" x14ac:dyDescent="0.15">
      <c r="A10" s="43"/>
      <c r="B10" s="82" t="s">
        <v>169</v>
      </c>
      <c r="C10" s="43">
        <v>112</v>
      </c>
      <c r="D10" s="124">
        <v>672</v>
      </c>
      <c r="E10" s="125">
        <v>112</v>
      </c>
      <c r="F10" s="126">
        <v>0</v>
      </c>
      <c r="G10" s="130">
        <v>0</v>
      </c>
      <c r="H10" s="131">
        <v>0</v>
      </c>
      <c r="I10" s="125">
        <v>0</v>
      </c>
      <c r="J10" s="126">
        <v>0</v>
      </c>
      <c r="K10" s="130">
        <v>0</v>
      </c>
      <c r="L10" s="131">
        <v>0</v>
      </c>
      <c r="M10" s="125">
        <v>0</v>
      </c>
      <c r="N10" s="126">
        <v>0</v>
      </c>
      <c r="O10" s="130">
        <v>0</v>
      </c>
      <c r="P10" s="131">
        <v>0</v>
      </c>
      <c r="Q10" s="49">
        <f>E10+G10+I10+K10+M10+O10</f>
        <v>112</v>
      </c>
      <c r="R10" s="50">
        <f>Q10/D10</f>
        <v>0.16666666666666666</v>
      </c>
    </row>
    <row r="11" spans="1:20" ht="18" customHeight="1" x14ac:dyDescent="0.15">
      <c r="A11" s="43"/>
      <c r="B11" s="83" t="s">
        <v>170</v>
      </c>
      <c r="C11" s="59">
        <v>294</v>
      </c>
      <c r="D11" s="135">
        <v>1723</v>
      </c>
      <c r="E11" s="127">
        <v>305</v>
      </c>
      <c r="F11" s="128">
        <v>0</v>
      </c>
      <c r="G11" s="132">
        <v>0</v>
      </c>
      <c r="H11" s="133">
        <v>0</v>
      </c>
      <c r="I11" s="129">
        <v>0</v>
      </c>
      <c r="J11" s="128">
        <v>0</v>
      </c>
      <c r="K11" s="132">
        <v>0</v>
      </c>
      <c r="L11" s="133">
        <v>0</v>
      </c>
      <c r="M11" s="129">
        <v>0</v>
      </c>
      <c r="N11" s="128">
        <v>0</v>
      </c>
      <c r="O11" s="132">
        <v>0</v>
      </c>
      <c r="P11" s="133">
        <v>0</v>
      </c>
      <c r="Q11" s="57">
        <f t="shared" ref="Q11:Q29" si="0">E11+G11+I11+K11+M11+O11</f>
        <v>305</v>
      </c>
      <c r="R11" s="58">
        <f t="shared" ref="R11:R12" si="1">Q11/D11</f>
        <v>0.17701683110853164</v>
      </c>
    </row>
    <row r="12" spans="1:20" ht="18" customHeight="1" x14ac:dyDescent="0.15">
      <c r="A12" s="43"/>
      <c r="B12" s="83" t="s">
        <v>171</v>
      </c>
      <c r="C12" s="59">
        <v>85</v>
      </c>
      <c r="D12" s="135">
        <v>340</v>
      </c>
      <c r="E12" s="129">
        <v>91</v>
      </c>
      <c r="F12" s="128">
        <v>0</v>
      </c>
      <c r="G12" s="132">
        <v>0</v>
      </c>
      <c r="H12" s="133">
        <v>0</v>
      </c>
      <c r="I12" s="129">
        <v>0</v>
      </c>
      <c r="J12" s="128">
        <v>0</v>
      </c>
      <c r="K12" s="129">
        <v>0</v>
      </c>
      <c r="L12" s="128">
        <v>0</v>
      </c>
      <c r="M12" s="129">
        <v>0</v>
      </c>
      <c r="N12" s="128">
        <v>0</v>
      </c>
      <c r="O12" s="129">
        <v>0</v>
      </c>
      <c r="P12" s="128">
        <v>0</v>
      </c>
      <c r="Q12" s="57">
        <f t="shared" si="0"/>
        <v>91</v>
      </c>
      <c r="R12" s="58">
        <f t="shared" si="1"/>
        <v>0.2676470588235294</v>
      </c>
    </row>
    <row r="13" spans="1:20" ht="18" customHeight="1" x14ac:dyDescent="0.15">
      <c r="A13" s="43"/>
      <c r="B13" s="83"/>
      <c r="C13" s="59"/>
      <c r="D13" s="52"/>
      <c r="E13" s="53"/>
      <c r="F13" s="54"/>
      <c r="G13" s="55"/>
      <c r="H13" s="56"/>
      <c r="I13" s="53"/>
      <c r="J13" s="54"/>
      <c r="K13" s="55"/>
      <c r="L13" s="56"/>
      <c r="M13" s="53"/>
      <c r="N13" s="54"/>
      <c r="O13" s="55"/>
      <c r="P13" s="56"/>
      <c r="Q13" s="57">
        <f t="shared" si="0"/>
        <v>0</v>
      </c>
      <c r="R13" s="58"/>
    </row>
    <row r="14" spans="1:20" ht="18" customHeight="1" x14ac:dyDescent="0.15">
      <c r="A14" s="43"/>
      <c r="B14" s="83"/>
      <c r="C14" s="59"/>
      <c r="D14" s="52"/>
      <c r="E14" s="53"/>
      <c r="F14" s="54"/>
      <c r="G14" s="55"/>
      <c r="H14" s="56"/>
      <c r="I14" s="53"/>
      <c r="J14" s="54"/>
      <c r="K14" s="55"/>
      <c r="L14" s="56"/>
      <c r="M14" s="53"/>
      <c r="N14" s="54"/>
      <c r="O14" s="55"/>
      <c r="P14" s="56"/>
      <c r="Q14" s="57">
        <f t="shared" si="0"/>
        <v>0</v>
      </c>
      <c r="R14" s="58"/>
    </row>
    <row r="15" spans="1:20" ht="18" customHeight="1" x14ac:dyDescent="0.15">
      <c r="A15" s="43"/>
      <c r="B15" s="83"/>
      <c r="C15" s="59"/>
      <c r="D15" s="52"/>
      <c r="E15" s="53"/>
      <c r="F15" s="54"/>
      <c r="G15" s="55"/>
      <c r="H15" s="56"/>
      <c r="I15" s="53"/>
      <c r="J15" s="54"/>
      <c r="K15" s="55"/>
      <c r="L15" s="56"/>
      <c r="M15" s="53"/>
      <c r="N15" s="54"/>
      <c r="O15" s="55"/>
      <c r="P15" s="56"/>
      <c r="Q15" s="57">
        <f t="shared" si="0"/>
        <v>0</v>
      </c>
      <c r="R15" s="58"/>
    </row>
    <row r="16" spans="1:20" ht="18" customHeight="1" x14ac:dyDescent="0.15">
      <c r="A16" s="43"/>
      <c r="B16" s="83"/>
      <c r="C16" s="59"/>
      <c r="D16" s="52"/>
      <c r="E16" s="53"/>
      <c r="F16" s="54"/>
      <c r="G16" s="55"/>
      <c r="H16" s="56"/>
      <c r="I16" s="53"/>
      <c r="J16" s="54"/>
      <c r="K16" s="55"/>
      <c r="L16" s="56"/>
      <c r="M16" s="53"/>
      <c r="N16" s="54"/>
      <c r="O16" s="55"/>
      <c r="P16" s="56"/>
      <c r="Q16" s="57">
        <f t="shared" si="0"/>
        <v>0</v>
      </c>
      <c r="R16" s="58"/>
    </row>
    <row r="17" spans="1:18" ht="18" customHeight="1" x14ac:dyDescent="0.15">
      <c r="A17" s="43"/>
      <c r="B17" s="83"/>
      <c r="C17" s="59"/>
      <c r="D17" s="52"/>
      <c r="E17" s="53"/>
      <c r="F17" s="54"/>
      <c r="G17" s="55"/>
      <c r="H17" s="56"/>
      <c r="I17" s="53"/>
      <c r="J17" s="54"/>
      <c r="K17" s="55"/>
      <c r="L17" s="56"/>
      <c r="M17" s="53"/>
      <c r="N17" s="54"/>
      <c r="O17" s="55"/>
      <c r="P17" s="56"/>
      <c r="Q17" s="57">
        <f t="shared" si="0"/>
        <v>0</v>
      </c>
      <c r="R17" s="58"/>
    </row>
    <row r="18" spans="1:18" ht="18" customHeight="1" x14ac:dyDescent="0.15">
      <c r="A18" s="43"/>
      <c r="B18" s="83"/>
      <c r="C18" s="59"/>
      <c r="D18" s="52"/>
      <c r="E18" s="53"/>
      <c r="F18" s="54"/>
      <c r="G18" s="55"/>
      <c r="H18" s="56"/>
      <c r="I18" s="53"/>
      <c r="J18" s="54"/>
      <c r="K18" s="55"/>
      <c r="L18" s="56"/>
      <c r="M18" s="53"/>
      <c r="N18" s="54"/>
      <c r="O18" s="55"/>
      <c r="P18" s="56"/>
      <c r="Q18" s="57">
        <f>E18+G18+I18+K18+M18+O18</f>
        <v>0</v>
      </c>
      <c r="R18" s="58"/>
    </row>
    <row r="19" spans="1:18" ht="18" customHeight="1" x14ac:dyDescent="0.15">
      <c r="A19" s="43"/>
      <c r="B19" s="83"/>
      <c r="C19" s="59"/>
      <c r="D19" s="52"/>
      <c r="E19" s="53"/>
      <c r="F19" s="54"/>
      <c r="G19" s="55"/>
      <c r="H19" s="56"/>
      <c r="I19" s="53"/>
      <c r="J19" s="54"/>
      <c r="K19" s="55"/>
      <c r="L19" s="56"/>
      <c r="M19" s="53"/>
      <c r="N19" s="54"/>
      <c r="O19" s="55"/>
      <c r="P19" s="56"/>
      <c r="Q19" s="57">
        <f t="shared" si="0"/>
        <v>0</v>
      </c>
      <c r="R19" s="58"/>
    </row>
    <row r="20" spans="1:18" ht="18" customHeight="1" x14ac:dyDescent="0.15">
      <c r="A20" s="43"/>
      <c r="B20" s="83"/>
      <c r="C20" s="59"/>
      <c r="D20" s="52"/>
      <c r="E20" s="53"/>
      <c r="F20" s="54"/>
      <c r="G20" s="55"/>
      <c r="H20" s="56"/>
      <c r="I20" s="53"/>
      <c r="J20" s="54"/>
      <c r="K20" s="55"/>
      <c r="L20" s="56"/>
      <c r="M20" s="53"/>
      <c r="N20" s="54"/>
      <c r="O20" s="55"/>
      <c r="P20" s="56"/>
      <c r="Q20" s="57">
        <f t="shared" si="0"/>
        <v>0</v>
      </c>
      <c r="R20" s="58"/>
    </row>
    <row r="21" spans="1:18" ht="18" customHeight="1" x14ac:dyDescent="0.15">
      <c r="A21" s="43"/>
      <c r="B21" s="83"/>
      <c r="C21" s="59"/>
      <c r="D21" s="52"/>
      <c r="E21" s="53"/>
      <c r="F21" s="54"/>
      <c r="G21" s="55"/>
      <c r="H21" s="56"/>
      <c r="I21" s="53"/>
      <c r="J21" s="54"/>
      <c r="K21" s="55"/>
      <c r="L21" s="56"/>
      <c r="M21" s="53"/>
      <c r="N21" s="54"/>
      <c r="O21" s="55"/>
      <c r="P21" s="56"/>
      <c r="Q21" s="57">
        <f t="shared" si="0"/>
        <v>0</v>
      </c>
      <c r="R21" s="58"/>
    </row>
    <row r="22" spans="1:18" ht="18" customHeight="1" x14ac:dyDescent="0.15">
      <c r="A22" s="43"/>
      <c r="B22" s="83"/>
      <c r="C22" s="59"/>
      <c r="D22" s="52"/>
      <c r="E22" s="53"/>
      <c r="F22" s="54"/>
      <c r="G22" s="55"/>
      <c r="H22" s="56"/>
      <c r="I22" s="53"/>
      <c r="J22" s="54"/>
      <c r="K22" s="55"/>
      <c r="L22" s="56"/>
      <c r="M22" s="53"/>
      <c r="N22" s="54"/>
      <c r="O22" s="55"/>
      <c r="P22" s="56"/>
      <c r="Q22" s="57">
        <f t="shared" si="0"/>
        <v>0</v>
      </c>
      <c r="R22" s="58"/>
    </row>
    <row r="23" spans="1:18" ht="18" customHeight="1" x14ac:dyDescent="0.15">
      <c r="A23" s="43"/>
      <c r="B23" s="83"/>
      <c r="C23" s="59"/>
      <c r="D23" s="52"/>
      <c r="E23" s="53"/>
      <c r="F23" s="54"/>
      <c r="G23" s="55"/>
      <c r="H23" s="56"/>
      <c r="I23" s="53"/>
      <c r="J23" s="54"/>
      <c r="K23" s="55"/>
      <c r="L23" s="56"/>
      <c r="M23" s="53"/>
      <c r="N23" s="54"/>
      <c r="O23" s="55"/>
      <c r="P23" s="56"/>
      <c r="Q23" s="57">
        <f t="shared" si="0"/>
        <v>0</v>
      </c>
      <c r="R23" s="58"/>
    </row>
    <row r="24" spans="1:18" ht="18" customHeight="1" x14ac:dyDescent="0.15">
      <c r="A24" s="43"/>
      <c r="B24" s="83"/>
      <c r="C24" s="59"/>
      <c r="D24" s="52"/>
      <c r="E24" s="53"/>
      <c r="F24" s="54"/>
      <c r="G24" s="55"/>
      <c r="H24" s="56"/>
      <c r="I24" s="53"/>
      <c r="J24" s="54"/>
      <c r="K24" s="55"/>
      <c r="L24" s="56"/>
      <c r="M24" s="53"/>
      <c r="N24" s="54"/>
      <c r="O24" s="55"/>
      <c r="P24" s="56"/>
      <c r="Q24" s="57">
        <f t="shared" si="0"/>
        <v>0</v>
      </c>
      <c r="R24" s="58"/>
    </row>
    <row r="25" spans="1:18" ht="18" customHeight="1" x14ac:dyDescent="0.15">
      <c r="A25" s="43"/>
      <c r="B25" s="83"/>
      <c r="C25" s="59"/>
      <c r="D25" s="52"/>
      <c r="E25" s="53"/>
      <c r="F25" s="54"/>
      <c r="G25" s="55"/>
      <c r="H25" s="56"/>
      <c r="I25" s="53"/>
      <c r="J25" s="54"/>
      <c r="K25" s="55"/>
      <c r="L25" s="56"/>
      <c r="M25" s="53"/>
      <c r="N25" s="54"/>
      <c r="O25" s="55"/>
      <c r="P25" s="56"/>
      <c r="Q25" s="57">
        <f t="shared" si="0"/>
        <v>0</v>
      </c>
      <c r="R25" s="58"/>
    </row>
    <row r="26" spans="1:18" ht="18" customHeight="1" x14ac:dyDescent="0.15">
      <c r="A26" s="43"/>
      <c r="B26" s="83"/>
      <c r="C26" s="59"/>
      <c r="D26" s="52"/>
      <c r="E26" s="53"/>
      <c r="F26" s="54"/>
      <c r="G26" s="55"/>
      <c r="H26" s="56"/>
      <c r="I26" s="53"/>
      <c r="J26" s="54"/>
      <c r="K26" s="55"/>
      <c r="L26" s="56"/>
      <c r="M26" s="53"/>
      <c r="N26" s="54"/>
      <c r="O26" s="55"/>
      <c r="P26" s="56"/>
      <c r="Q26" s="57">
        <f t="shared" si="0"/>
        <v>0</v>
      </c>
      <c r="R26" s="58"/>
    </row>
    <row r="27" spans="1:18" ht="18" customHeight="1" x14ac:dyDescent="0.15">
      <c r="A27" s="43"/>
      <c r="B27" s="83"/>
      <c r="C27" s="51"/>
      <c r="D27" s="52"/>
      <c r="E27" s="53"/>
      <c r="F27" s="54"/>
      <c r="G27" s="55"/>
      <c r="H27" s="56"/>
      <c r="I27" s="53"/>
      <c r="J27" s="54"/>
      <c r="K27" s="55"/>
      <c r="L27" s="56"/>
      <c r="M27" s="53"/>
      <c r="N27" s="54"/>
      <c r="O27" s="55"/>
      <c r="P27" s="56"/>
      <c r="Q27" s="57">
        <f t="shared" si="0"/>
        <v>0</v>
      </c>
      <c r="R27" s="58"/>
    </row>
    <row r="28" spans="1:18" ht="18" customHeight="1" x14ac:dyDescent="0.15">
      <c r="A28" s="43"/>
      <c r="B28" s="83"/>
      <c r="C28" s="51"/>
      <c r="D28" s="52"/>
      <c r="E28" s="53"/>
      <c r="F28" s="54"/>
      <c r="G28" s="55"/>
      <c r="H28" s="56"/>
      <c r="I28" s="53"/>
      <c r="J28" s="54"/>
      <c r="K28" s="55"/>
      <c r="L28" s="56"/>
      <c r="M28" s="53"/>
      <c r="N28" s="54"/>
      <c r="O28" s="55"/>
      <c r="P28" s="56"/>
      <c r="Q28" s="57">
        <f t="shared" si="0"/>
        <v>0</v>
      </c>
      <c r="R28" s="58"/>
    </row>
    <row r="29" spans="1:18" ht="18" customHeight="1" thickBot="1" x14ac:dyDescent="0.2">
      <c r="A29" s="43"/>
      <c r="B29" s="84"/>
      <c r="C29" s="85"/>
      <c r="D29" s="44"/>
      <c r="E29" s="45"/>
      <c r="F29" s="46"/>
      <c r="G29" s="47"/>
      <c r="H29" s="48"/>
      <c r="I29" s="45"/>
      <c r="J29" s="46"/>
      <c r="K29" s="47"/>
      <c r="L29" s="48"/>
      <c r="M29" s="45"/>
      <c r="N29" s="46"/>
      <c r="O29" s="47"/>
      <c r="P29" s="48"/>
      <c r="Q29" s="60">
        <f t="shared" si="0"/>
        <v>0</v>
      </c>
      <c r="R29" s="50"/>
    </row>
    <row r="30" spans="1:18" ht="18" customHeight="1" thickTop="1" x14ac:dyDescent="0.15">
      <c r="B30" s="86" t="s">
        <v>59</v>
      </c>
      <c r="C30" s="87">
        <f t="shared" ref="C30:Q30" si="2">SUM(C10:C29)</f>
        <v>491</v>
      </c>
      <c r="D30" s="61">
        <f t="shared" si="2"/>
        <v>2735</v>
      </c>
      <c r="E30" s="62">
        <f t="shared" si="2"/>
        <v>508</v>
      </c>
      <c r="F30" s="63">
        <f t="shared" si="2"/>
        <v>0</v>
      </c>
      <c r="G30" s="64">
        <f t="shared" si="2"/>
        <v>0</v>
      </c>
      <c r="H30" s="65">
        <f t="shared" si="2"/>
        <v>0</v>
      </c>
      <c r="I30" s="62">
        <f t="shared" si="2"/>
        <v>0</v>
      </c>
      <c r="J30" s="63">
        <f t="shared" si="2"/>
        <v>0</v>
      </c>
      <c r="K30" s="64">
        <f t="shared" si="2"/>
        <v>0</v>
      </c>
      <c r="L30" s="65">
        <f t="shared" si="2"/>
        <v>0</v>
      </c>
      <c r="M30" s="62">
        <f t="shared" si="2"/>
        <v>0</v>
      </c>
      <c r="N30" s="63">
        <f t="shared" si="2"/>
        <v>0</v>
      </c>
      <c r="O30" s="64">
        <f t="shared" si="2"/>
        <v>0</v>
      </c>
      <c r="P30" s="65">
        <f t="shared" si="2"/>
        <v>0</v>
      </c>
      <c r="Q30" s="66">
        <f t="shared" si="2"/>
        <v>508</v>
      </c>
      <c r="R30" s="67">
        <f>Q30/D30</f>
        <v>0.18574040219378427</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43"/>
  <sheetViews>
    <sheetView showZeros="0" view="pageBreakPreview" topLeftCell="A112" zoomScaleNormal="100" zoomScaleSheetLayoutView="100" workbookViewId="0">
      <selection activeCell="N46" sqref="N46"/>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29"/>
    <col min="12" max="16384" width="11.375" style="1"/>
  </cols>
  <sheetData>
    <row r="1" spans="1:11" ht="18.75" customHeight="1" x14ac:dyDescent="0.15">
      <c r="A1" s="2" t="s">
        <v>118</v>
      </c>
      <c r="J1" s="37" t="s">
        <v>119</v>
      </c>
    </row>
    <row r="2" spans="1:11" ht="18.75" customHeight="1" x14ac:dyDescent="0.15">
      <c r="A2" s="407" t="s">
        <v>66</v>
      </c>
      <c r="B2" s="407"/>
      <c r="C2" s="407"/>
      <c r="D2" s="407"/>
      <c r="E2" s="407"/>
      <c r="F2" s="407"/>
      <c r="G2" s="407"/>
      <c r="H2" s="407"/>
      <c r="I2" s="407"/>
      <c r="J2" s="407"/>
    </row>
    <row r="3" spans="1:11" ht="7.5" customHeight="1" x14ac:dyDescent="0.15">
      <c r="B3" s="34"/>
      <c r="C3" s="34"/>
      <c r="D3" s="34"/>
      <c r="E3" s="34"/>
      <c r="F3" s="34"/>
      <c r="G3" s="34"/>
      <c r="H3" s="34"/>
      <c r="I3" s="34"/>
      <c r="J3" s="34"/>
    </row>
    <row r="4" spans="1:11" ht="18.75" customHeight="1" x14ac:dyDescent="0.15">
      <c r="A4" s="1" t="s">
        <v>6</v>
      </c>
      <c r="B4" s="4" t="s">
        <v>76</v>
      </c>
      <c r="C4" s="4"/>
      <c r="D4" s="4"/>
      <c r="E4" s="4"/>
      <c r="F4" s="4"/>
      <c r="G4" s="4"/>
      <c r="H4" s="4"/>
      <c r="I4" s="34"/>
      <c r="J4" s="34"/>
    </row>
    <row r="5" spans="1:11" ht="18.75" customHeight="1" x14ac:dyDescent="0.15">
      <c r="A5" s="1"/>
      <c r="B5" s="184" t="s">
        <v>172</v>
      </c>
      <c r="C5" s="185"/>
      <c r="D5" s="185"/>
      <c r="E5" s="185"/>
      <c r="F5" s="185"/>
      <c r="G5" s="185"/>
      <c r="H5" s="185"/>
      <c r="I5" s="185"/>
      <c r="J5" s="432"/>
      <c r="K5" s="29" t="str">
        <f>IF(B5="","入力してください","")</f>
        <v/>
      </c>
    </row>
    <row r="6" spans="1:11" ht="7.5" customHeight="1" x14ac:dyDescent="0.15">
      <c r="B6" s="27"/>
      <c r="C6" s="27"/>
      <c r="D6" s="27"/>
      <c r="E6" s="27"/>
      <c r="F6" s="27"/>
      <c r="G6" s="27"/>
      <c r="H6" s="27"/>
      <c r="I6" s="27"/>
      <c r="J6" s="27"/>
    </row>
    <row r="7" spans="1:11" s="4" customFormat="1" ht="18.75" customHeight="1" x14ac:dyDescent="0.15">
      <c r="A7" s="1" t="s">
        <v>10</v>
      </c>
      <c r="B7" s="13" t="s">
        <v>41</v>
      </c>
      <c r="C7" s="13"/>
      <c r="D7" s="13"/>
      <c r="E7" s="13"/>
      <c r="F7" s="13"/>
      <c r="G7" s="13"/>
      <c r="H7" s="13"/>
      <c r="I7" s="13"/>
      <c r="J7" s="13"/>
      <c r="K7" s="31"/>
    </row>
    <row r="8" spans="1:11" s="4" customFormat="1" ht="25.5" customHeight="1" x14ac:dyDescent="0.15">
      <c r="A8" s="88"/>
      <c r="B8" s="433" t="s">
        <v>173</v>
      </c>
      <c r="C8" s="434"/>
      <c r="D8" s="434"/>
      <c r="E8" s="434"/>
      <c r="F8" s="434"/>
      <c r="G8" s="434"/>
      <c r="H8" s="434"/>
      <c r="I8" s="435"/>
      <c r="J8" s="436"/>
      <c r="K8" s="29" t="str">
        <f>IF(B8="","入力してください","")</f>
        <v/>
      </c>
    </row>
    <row r="9" spans="1:11" s="4" customFormat="1" ht="25.5" customHeight="1" x14ac:dyDescent="0.15">
      <c r="A9" s="88"/>
      <c r="B9" s="426"/>
      <c r="C9" s="427"/>
      <c r="D9" s="427"/>
      <c r="E9" s="427"/>
      <c r="F9" s="427"/>
      <c r="G9" s="427"/>
      <c r="H9" s="427"/>
      <c r="I9" s="427"/>
      <c r="J9" s="428"/>
      <c r="K9" s="29"/>
    </row>
    <row r="10" spans="1:11" s="4" customFormat="1" ht="25.5" customHeight="1" x14ac:dyDescent="0.15">
      <c r="A10" s="88"/>
      <c r="B10" s="426"/>
      <c r="C10" s="427"/>
      <c r="D10" s="427"/>
      <c r="E10" s="427"/>
      <c r="F10" s="427"/>
      <c r="G10" s="427"/>
      <c r="H10" s="427"/>
      <c r="I10" s="427"/>
      <c r="J10" s="428"/>
      <c r="K10" s="29"/>
    </row>
    <row r="11" spans="1:11" s="4" customFormat="1" ht="25.5" customHeight="1" x14ac:dyDescent="0.15">
      <c r="A11" s="88"/>
      <c r="B11" s="426"/>
      <c r="C11" s="427"/>
      <c r="D11" s="427"/>
      <c r="E11" s="427"/>
      <c r="F11" s="427"/>
      <c r="G11" s="427"/>
      <c r="H11" s="427"/>
      <c r="I11" s="427"/>
      <c r="J11" s="428"/>
      <c r="K11" s="29"/>
    </row>
    <row r="12" spans="1:11" s="4" customFormat="1" ht="25.5" customHeight="1" x14ac:dyDescent="0.15">
      <c r="A12" s="88"/>
      <c r="B12" s="429"/>
      <c r="C12" s="430"/>
      <c r="D12" s="430"/>
      <c r="E12" s="430"/>
      <c r="F12" s="430"/>
      <c r="G12" s="430"/>
      <c r="H12" s="430"/>
      <c r="I12" s="430"/>
      <c r="J12" s="431"/>
      <c r="K12" s="29"/>
    </row>
    <row r="13" spans="1:11" s="4" customFormat="1" ht="7.5" customHeight="1" x14ac:dyDescent="0.15">
      <c r="A13" s="88"/>
      <c r="B13" s="72"/>
      <c r="C13" s="72"/>
      <c r="D13" s="72"/>
      <c r="E13" s="72"/>
      <c r="F13" s="72"/>
      <c r="G13" s="72"/>
      <c r="H13" s="72"/>
      <c r="I13" s="72"/>
      <c r="J13" s="72"/>
      <c r="K13" s="29"/>
    </row>
    <row r="14" spans="1:11" s="4" customFormat="1" ht="18.75" customHeight="1" x14ac:dyDescent="0.15">
      <c r="A14" s="89" t="s">
        <v>11</v>
      </c>
      <c r="B14" s="118" t="s">
        <v>16</v>
      </c>
      <c r="C14" s="118"/>
      <c r="D14" s="118"/>
      <c r="E14" s="118"/>
      <c r="F14" s="118"/>
      <c r="G14" s="118"/>
      <c r="H14" s="118"/>
      <c r="I14" s="118"/>
      <c r="J14" s="118"/>
      <c r="K14" s="29"/>
    </row>
    <row r="15" spans="1:11" s="4" customFormat="1" ht="18.75" customHeight="1" x14ac:dyDescent="0.15">
      <c r="A15" s="88"/>
      <c r="B15" s="437" t="s">
        <v>187</v>
      </c>
      <c r="C15" s="434"/>
      <c r="D15" s="434"/>
      <c r="E15" s="434"/>
      <c r="F15" s="434"/>
      <c r="G15" s="434"/>
      <c r="H15" s="434"/>
      <c r="I15" s="435"/>
      <c r="J15" s="436"/>
      <c r="K15" s="29" t="str">
        <f>IF(B15="","入力してください","")</f>
        <v/>
      </c>
    </row>
    <row r="16" spans="1:11" s="4" customFormat="1" ht="18.75" customHeight="1" x14ac:dyDescent="0.15">
      <c r="A16" s="88"/>
      <c r="B16" s="426"/>
      <c r="C16" s="427"/>
      <c r="D16" s="427"/>
      <c r="E16" s="427"/>
      <c r="F16" s="427"/>
      <c r="G16" s="427"/>
      <c r="H16" s="427"/>
      <c r="I16" s="427"/>
      <c r="J16" s="428"/>
      <c r="K16" s="29"/>
    </row>
    <row r="17" spans="1:11" s="4" customFormat="1" ht="18.75" customHeight="1" x14ac:dyDescent="0.15">
      <c r="A17" s="88"/>
      <c r="B17" s="426"/>
      <c r="C17" s="427"/>
      <c r="D17" s="427"/>
      <c r="E17" s="427"/>
      <c r="F17" s="427"/>
      <c r="G17" s="427"/>
      <c r="H17" s="427"/>
      <c r="I17" s="427"/>
      <c r="J17" s="428"/>
      <c r="K17" s="29"/>
    </row>
    <row r="18" spans="1:11" s="4" customFormat="1" ht="18.75" customHeight="1" x14ac:dyDescent="0.15">
      <c r="A18" s="88"/>
      <c r="B18" s="426"/>
      <c r="C18" s="427"/>
      <c r="D18" s="427"/>
      <c r="E18" s="427"/>
      <c r="F18" s="427"/>
      <c r="G18" s="427"/>
      <c r="H18" s="427"/>
      <c r="I18" s="427"/>
      <c r="J18" s="428"/>
      <c r="K18" s="29"/>
    </row>
    <row r="19" spans="1:11" s="4" customFormat="1" ht="18.75" customHeight="1" x14ac:dyDescent="0.15">
      <c r="A19" s="88"/>
      <c r="B19" s="426"/>
      <c r="C19" s="427"/>
      <c r="D19" s="427"/>
      <c r="E19" s="427"/>
      <c r="F19" s="427"/>
      <c r="G19" s="427"/>
      <c r="H19" s="427"/>
      <c r="I19" s="427"/>
      <c r="J19" s="428"/>
      <c r="K19" s="29"/>
    </row>
    <row r="20" spans="1:11" s="4" customFormat="1" ht="18.75" customHeight="1" x14ac:dyDescent="0.15">
      <c r="A20" s="88"/>
      <c r="B20" s="426"/>
      <c r="C20" s="427"/>
      <c r="D20" s="427"/>
      <c r="E20" s="427"/>
      <c r="F20" s="427"/>
      <c r="G20" s="427"/>
      <c r="H20" s="427"/>
      <c r="I20" s="427"/>
      <c r="J20" s="428"/>
      <c r="K20" s="29"/>
    </row>
    <row r="21" spans="1:11" s="4" customFormat="1" ht="18.75" customHeight="1" x14ac:dyDescent="0.15">
      <c r="A21" s="88"/>
      <c r="B21" s="426"/>
      <c r="C21" s="427"/>
      <c r="D21" s="427"/>
      <c r="E21" s="427"/>
      <c r="F21" s="427"/>
      <c r="G21" s="427"/>
      <c r="H21" s="427"/>
      <c r="I21" s="427"/>
      <c r="J21" s="428"/>
      <c r="K21" s="29"/>
    </row>
    <row r="22" spans="1:11" s="4" customFormat="1" ht="18.75" customHeight="1" x14ac:dyDescent="0.15">
      <c r="A22" s="88"/>
      <c r="B22" s="426"/>
      <c r="C22" s="427"/>
      <c r="D22" s="427"/>
      <c r="E22" s="427"/>
      <c r="F22" s="427"/>
      <c r="G22" s="427"/>
      <c r="H22" s="427"/>
      <c r="I22" s="427"/>
      <c r="J22" s="428"/>
      <c r="K22" s="29"/>
    </row>
    <row r="23" spans="1:11" s="4" customFormat="1" ht="18.75" customHeight="1" x14ac:dyDescent="0.15">
      <c r="A23" s="88"/>
      <c r="B23" s="426"/>
      <c r="C23" s="427"/>
      <c r="D23" s="427"/>
      <c r="E23" s="427"/>
      <c r="F23" s="427"/>
      <c r="G23" s="427"/>
      <c r="H23" s="427"/>
      <c r="I23" s="427"/>
      <c r="J23" s="428"/>
      <c r="K23" s="29"/>
    </row>
    <row r="24" spans="1:11" s="4" customFormat="1" ht="18.75" customHeight="1" x14ac:dyDescent="0.15">
      <c r="A24" s="88"/>
      <c r="B24" s="426"/>
      <c r="C24" s="427"/>
      <c r="D24" s="427"/>
      <c r="E24" s="427"/>
      <c r="F24" s="427"/>
      <c r="G24" s="427"/>
      <c r="H24" s="427"/>
      <c r="I24" s="427"/>
      <c r="J24" s="428"/>
      <c r="K24" s="29"/>
    </row>
    <row r="25" spans="1:11" s="4" customFormat="1" ht="18.75" customHeight="1" x14ac:dyDescent="0.15">
      <c r="A25" s="88"/>
      <c r="B25" s="429"/>
      <c r="C25" s="430"/>
      <c r="D25" s="430"/>
      <c r="E25" s="430"/>
      <c r="F25" s="430"/>
      <c r="G25" s="430"/>
      <c r="H25" s="430"/>
      <c r="I25" s="430"/>
      <c r="J25" s="431"/>
      <c r="K25" s="29"/>
    </row>
    <row r="26" spans="1:11" ht="7.5" customHeight="1" x14ac:dyDescent="0.15">
      <c r="A26" s="35"/>
      <c r="B26" s="134"/>
      <c r="C26" s="134"/>
      <c r="D26" s="134"/>
      <c r="E26" s="134"/>
      <c r="F26" s="134"/>
      <c r="G26" s="134"/>
      <c r="H26" s="134"/>
      <c r="I26" s="134"/>
      <c r="J26" s="134"/>
    </row>
    <row r="27" spans="1:11" s="4" customFormat="1" ht="18.75" customHeight="1" x14ac:dyDescent="0.15">
      <c r="A27" s="1" t="s">
        <v>14</v>
      </c>
      <c r="B27" s="13" t="s">
        <v>27</v>
      </c>
      <c r="C27" s="13"/>
      <c r="D27" s="13"/>
      <c r="E27" s="13"/>
      <c r="F27" s="13"/>
      <c r="G27" s="13"/>
      <c r="H27" s="13"/>
      <c r="I27" s="13"/>
      <c r="J27" s="13"/>
      <c r="K27" s="29"/>
    </row>
    <row r="28" spans="1:11" s="27" customFormat="1" ht="18.75" customHeight="1" x14ac:dyDescent="0.15">
      <c r="B28" s="90" t="s">
        <v>120</v>
      </c>
      <c r="C28" s="91">
        <f>'様式３　履修者等数の実績'!R30</f>
        <v>0.18574040219378427</v>
      </c>
      <c r="D28" s="92"/>
      <c r="E28" s="92" t="s">
        <v>121</v>
      </c>
      <c r="F28" s="91">
        <v>0.38</v>
      </c>
      <c r="G28" s="92"/>
      <c r="H28" s="92" t="s">
        <v>122</v>
      </c>
      <c r="I28" s="93">
        <v>0.56999999999999995</v>
      </c>
      <c r="J28" s="94"/>
      <c r="K28" s="29"/>
    </row>
    <row r="29" spans="1:11" s="27" customFormat="1" ht="18.75" customHeight="1" x14ac:dyDescent="0.15">
      <c r="B29" s="78" t="s">
        <v>123</v>
      </c>
      <c r="C29" s="95">
        <v>0.76</v>
      </c>
      <c r="D29" s="79"/>
      <c r="E29" s="79" t="s">
        <v>124</v>
      </c>
      <c r="F29" s="95">
        <v>0.95</v>
      </c>
      <c r="G29" s="79"/>
      <c r="H29" s="79" t="s">
        <v>125</v>
      </c>
      <c r="I29" s="96">
        <f>'様式３　履修者等数の実績'!D30</f>
        <v>2735</v>
      </c>
      <c r="J29" s="97"/>
      <c r="K29" s="31"/>
    </row>
    <row r="30" spans="1:11" s="4" customFormat="1" ht="18.75" customHeight="1" x14ac:dyDescent="0.15">
      <c r="A30" s="1"/>
      <c r="B30" s="244" t="s">
        <v>126</v>
      </c>
      <c r="C30" s="245"/>
      <c r="D30" s="245"/>
      <c r="E30" s="245"/>
      <c r="F30" s="245"/>
      <c r="G30" s="245"/>
      <c r="H30" s="245"/>
      <c r="I30" s="245"/>
      <c r="J30" s="246"/>
      <c r="K30" s="31"/>
    </row>
    <row r="31" spans="1:11" s="4" customFormat="1" ht="18.75" customHeight="1" x14ac:dyDescent="0.15">
      <c r="A31" s="1"/>
      <c r="B31" s="423" t="s">
        <v>211</v>
      </c>
      <c r="C31" s="424"/>
      <c r="D31" s="424"/>
      <c r="E31" s="424"/>
      <c r="F31" s="424"/>
      <c r="G31" s="424"/>
      <c r="H31" s="424"/>
      <c r="I31" s="424"/>
      <c r="J31" s="425"/>
      <c r="K31" s="31" t="str">
        <f>IF(B31="","入力してください","")</f>
        <v/>
      </c>
    </row>
    <row r="32" spans="1:11" s="4" customFormat="1" ht="18.75" customHeight="1" x14ac:dyDescent="0.15">
      <c r="A32" s="1"/>
      <c r="B32" s="426"/>
      <c r="C32" s="427"/>
      <c r="D32" s="427"/>
      <c r="E32" s="427"/>
      <c r="F32" s="427"/>
      <c r="G32" s="427"/>
      <c r="H32" s="427"/>
      <c r="I32" s="427"/>
      <c r="J32" s="428"/>
      <c r="K32" s="31"/>
    </row>
    <row r="33" spans="1:11" s="4" customFormat="1" ht="18.75" customHeight="1" x14ac:dyDescent="0.15">
      <c r="A33" s="1"/>
      <c r="B33" s="426"/>
      <c r="C33" s="427"/>
      <c r="D33" s="427"/>
      <c r="E33" s="427"/>
      <c r="F33" s="427"/>
      <c r="G33" s="427"/>
      <c r="H33" s="427"/>
      <c r="I33" s="427"/>
      <c r="J33" s="428"/>
      <c r="K33" s="31"/>
    </row>
    <row r="34" spans="1:11" s="4" customFormat="1" ht="18.75" customHeight="1" x14ac:dyDescent="0.15">
      <c r="A34" s="1"/>
      <c r="B34" s="426"/>
      <c r="C34" s="427"/>
      <c r="D34" s="427"/>
      <c r="E34" s="427"/>
      <c r="F34" s="427"/>
      <c r="G34" s="427"/>
      <c r="H34" s="427"/>
      <c r="I34" s="427"/>
      <c r="J34" s="428"/>
      <c r="K34" s="31"/>
    </row>
    <row r="35" spans="1:11" s="4" customFormat="1" ht="18.75" customHeight="1" x14ac:dyDescent="0.15">
      <c r="A35" s="1"/>
      <c r="B35" s="426"/>
      <c r="C35" s="427"/>
      <c r="D35" s="427"/>
      <c r="E35" s="427"/>
      <c r="F35" s="427"/>
      <c r="G35" s="427"/>
      <c r="H35" s="427"/>
      <c r="I35" s="427"/>
      <c r="J35" s="428"/>
      <c r="K35" s="31"/>
    </row>
    <row r="36" spans="1:11" s="4" customFormat="1" ht="18.75" customHeight="1" x14ac:dyDescent="0.15">
      <c r="A36" s="1"/>
      <c r="B36" s="426"/>
      <c r="C36" s="427"/>
      <c r="D36" s="427"/>
      <c r="E36" s="427"/>
      <c r="F36" s="427"/>
      <c r="G36" s="427"/>
      <c r="H36" s="427"/>
      <c r="I36" s="427"/>
      <c r="J36" s="428"/>
      <c r="K36" s="31"/>
    </row>
    <row r="37" spans="1:11" s="4" customFormat="1" ht="18.75" customHeight="1" x14ac:dyDescent="0.15">
      <c r="A37" s="1"/>
      <c r="B37" s="426"/>
      <c r="C37" s="427"/>
      <c r="D37" s="427"/>
      <c r="E37" s="427"/>
      <c r="F37" s="427"/>
      <c r="G37" s="427"/>
      <c r="H37" s="427"/>
      <c r="I37" s="427"/>
      <c r="J37" s="428"/>
      <c r="K37" s="31"/>
    </row>
    <row r="38" spans="1:11" s="4" customFormat="1" ht="18.75" customHeight="1" x14ac:dyDescent="0.15">
      <c r="A38" s="1"/>
      <c r="B38" s="426"/>
      <c r="C38" s="427"/>
      <c r="D38" s="427"/>
      <c r="E38" s="427"/>
      <c r="F38" s="427"/>
      <c r="G38" s="427"/>
      <c r="H38" s="427"/>
      <c r="I38" s="427"/>
      <c r="J38" s="428"/>
      <c r="K38" s="31"/>
    </row>
    <row r="39" spans="1:11" s="4" customFormat="1" ht="18.75" customHeight="1" x14ac:dyDescent="0.15">
      <c r="A39" s="1"/>
      <c r="B39" s="426"/>
      <c r="C39" s="427"/>
      <c r="D39" s="427"/>
      <c r="E39" s="427"/>
      <c r="F39" s="427"/>
      <c r="G39" s="427"/>
      <c r="H39" s="427"/>
      <c r="I39" s="427"/>
      <c r="J39" s="428"/>
      <c r="K39" s="31"/>
    </row>
    <row r="40" spans="1:11" s="4" customFormat="1" ht="18.75" customHeight="1" x14ac:dyDescent="0.15">
      <c r="A40" s="1"/>
      <c r="B40" s="426"/>
      <c r="C40" s="427"/>
      <c r="D40" s="427"/>
      <c r="E40" s="427"/>
      <c r="F40" s="427"/>
      <c r="G40" s="427"/>
      <c r="H40" s="427"/>
      <c r="I40" s="427"/>
      <c r="J40" s="428"/>
      <c r="K40" s="31"/>
    </row>
    <row r="41" spans="1:11" s="4" customFormat="1" ht="18.75" customHeight="1" x14ac:dyDescent="0.15">
      <c r="A41" s="1"/>
      <c r="B41" s="426"/>
      <c r="C41" s="427"/>
      <c r="D41" s="427"/>
      <c r="E41" s="427"/>
      <c r="F41" s="427"/>
      <c r="G41" s="427"/>
      <c r="H41" s="427"/>
      <c r="I41" s="427"/>
      <c r="J41" s="428"/>
      <c r="K41" s="31"/>
    </row>
    <row r="42" spans="1:11" ht="18.75" customHeight="1" x14ac:dyDescent="0.15">
      <c r="A42" s="35"/>
      <c r="B42" s="426"/>
      <c r="C42" s="427"/>
      <c r="D42" s="427"/>
      <c r="E42" s="427"/>
      <c r="F42" s="427"/>
      <c r="G42" s="427"/>
      <c r="H42" s="427"/>
      <c r="I42" s="427"/>
      <c r="J42" s="428"/>
      <c r="K42" s="31"/>
    </row>
    <row r="43" spans="1:11" ht="18.75" customHeight="1" x14ac:dyDescent="0.15">
      <c r="A43" s="35"/>
      <c r="B43" s="429"/>
      <c r="C43" s="430"/>
      <c r="D43" s="430"/>
      <c r="E43" s="430"/>
      <c r="F43" s="430"/>
      <c r="G43" s="430"/>
      <c r="H43" s="430"/>
      <c r="I43" s="430"/>
      <c r="J43" s="431"/>
    </row>
    <row r="44" spans="1:11" s="4" customFormat="1" ht="18.75" customHeight="1" x14ac:dyDescent="0.15">
      <c r="A44" s="98" t="s">
        <v>12</v>
      </c>
      <c r="B44" s="13" t="s">
        <v>67</v>
      </c>
      <c r="C44" s="13"/>
      <c r="D44" s="13"/>
      <c r="E44" s="13"/>
      <c r="F44" s="13"/>
      <c r="G44" s="13"/>
      <c r="H44" s="13"/>
      <c r="I44" s="118"/>
      <c r="J44" s="118"/>
      <c r="K44" s="29"/>
    </row>
    <row r="45" spans="1:11" ht="18.75" customHeight="1" x14ac:dyDescent="0.15">
      <c r="A45" s="35"/>
      <c r="B45" s="437" t="s">
        <v>207</v>
      </c>
      <c r="C45" s="434"/>
      <c r="D45" s="434"/>
      <c r="E45" s="434"/>
      <c r="F45" s="434"/>
      <c r="G45" s="434"/>
      <c r="H45" s="434"/>
      <c r="I45" s="434"/>
      <c r="J45" s="438"/>
      <c r="K45" s="29" t="str">
        <f>IF(B45="","入力してください","")</f>
        <v/>
      </c>
    </row>
    <row r="46" spans="1:11" ht="18.75" customHeight="1" x14ac:dyDescent="0.15">
      <c r="A46" s="35"/>
      <c r="B46" s="439"/>
      <c r="C46" s="440"/>
      <c r="D46" s="440"/>
      <c r="E46" s="440"/>
      <c r="F46" s="440"/>
      <c r="G46" s="440"/>
      <c r="H46" s="440"/>
      <c r="I46" s="440"/>
      <c r="J46" s="441"/>
    </row>
    <row r="47" spans="1:11" ht="18.75" customHeight="1" x14ac:dyDescent="0.15">
      <c r="A47" s="35"/>
      <c r="B47" s="439"/>
      <c r="C47" s="440"/>
      <c r="D47" s="440"/>
      <c r="E47" s="440"/>
      <c r="F47" s="440"/>
      <c r="G47" s="440"/>
      <c r="H47" s="440"/>
      <c r="I47" s="440"/>
      <c r="J47" s="441"/>
    </row>
    <row r="48" spans="1:11" ht="18.75" customHeight="1" x14ac:dyDescent="0.15">
      <c r="A48" s="35"/>
      <c r="B48" s="439"/>
      <c r="C48" s="440"/>
      <c r="D48" s="440"/>
      <c r="E48" s="440"/>
      <c r="F48" s="440"/>
      <c r="G48" s="440"/>
      <c r="H48" s="440"/>
      <c r="I48" s="440"/>
      <c r="J48" s="441"/>
    </row>
    <row r="49" spans="1:10" ht="18.75" customHeight="1" x14ac:dyDescent="0.15">
      <c r="A49" s="35"/>
      <c r="B49" s="439"/>
      <c r="C49" s="440"/>
      <c r="D49" s="440"/>
      <c r="E49" s="440"/>
      <c r="F49" s="440"/>
      <c r="G49" s="440"/>
      <c r="H49" s="440"/>
      <c r="I49" s="440"/>
      <c r="J49" s="441"/>
    </row>
    <row r="50" spans="1:10" ht="18.75" customHeight="1" x14ac:dyDescent="0.15">
      <c r="A50" s="35"/>
      <c r="B50" s="439"/>
      <c r="C50" s="440"/>
      <c r="D50" s="440"/>
      <c r="E50" s="440"/>
      <c r="F50" s="440"/>
      <c r="G50" s="440"/>
      <c r="H50" s="440"/>
      <c r="I50" s="440"/>
      <c r="J50" s="441"/>
    </row>
    <row r="51" spans="1:10" ht="18.75" customHeight="1" x14ac:dyDescent="0.15">
      <c r="A51" s="35"/>
      <c r="B51" s="439"/>
      <c r="C51" s="440"/>
      <c r="D51" s="440"/>
      <c r="E51" s="440"/>
      <c r="F51" s="440"/>
      <c r="G51" s="440"/>
      <c r="H51" s="440"/>
      <c r="I51" s="440"/>
      <c r="J51" s="441"/>
    </row>
    <row r="52" spans="1:10" ht="18.75" customHeight="1" x14ac:dyDescent="0.15">
      <c r="A52" s="35"/>
      <c r="B52" s="439"/>
      <c r="C52" s="440"/>
      <c r="D52" s="440"/>
      <c r="E52" s="440"/>
      <c r="F52" s="440"/>
      <c r="G52" s="440"/>
      <c r="H52" s="440"/>
      <c r="I52" s="440"/>
      <c r="J52" s="441"/>
    </row>
    <row r="53" spans="1:10" ht="18.75" customHeight="1" x14ac:dyDescent="0.15">
      <c r="A53" s="35"/>
      <c r="B53" s="439"/>
      <c r="C53" s="440"/>
      <c r="D53" s="440"/>
      <c r="E53" s="440"/>
      <c r="F53" s="440"/>
      <c r="G53" s="440"/>
      <c r="H53" s="440"/>
      <c r="I53" s="440"/>
      <c r="J53" s="441"/>
    </row>
    <row r="54" spans="1:10" ht="18.75" customHeight="1" x14ac:dyDescent="0.15">
      <c r="A54" s="35"/>
      <c r="B54" s="439"/>
      <c r="C54" s="440"/>
      <c r="D54" s="440"/>
      <c r="E54" s="440"/>
      <c r="F54" s="440"/>
      <c r="G54" s="440"/>
      <c r="H54" s="440"/>
      <c r="I54" s="440"/>
      <c r="J54" s="441"/>
    </row>
    <row r="55" spans="1:10" ht="18.75" customHeight="1" x14ac:dyDescent="0.15">
      <c r="A55" s="35"/>
      <c r="B55" s="439"/>
      <c r="C55" s="440"/>
      <c r="D55" s="440"/>
      <c r="E55" s="440"/>
      <c r="F55" s="440"/>
      <c r="G55" s="440"/>
      <c r="H55" s="440"/>
      <c r="I55" s="440"/>
      <c r="J55" s="441"/>
    </row>
    <row r="56" spans="1:10" ht="18.75" customHeight="1" x14ac:dyDescent="0.15">
      <c r="A56" s="35"/>
      <c r="B56" s="439"/>
      <c r="C56" s="440"/>
      <c r="D56" s="440"/>
      <c r="E56" s="440"/>
      <c r="F56" s="440"/>
      <c r="G56" s="440"/>
      <c r="H56" s="440"/>
      <c r="I56" s="440"/>
      <c r="J56" s="441"/>
    </row>
    <row r="57" spans="1:10" ht="18.75" customHeight="1" x14ac:dyDescent="0.15">
      <c r="A57" s="35"/>
      <c r="B57" s="439"/>
      <c r="C57" s="440"/>
      <c r="D57" s="440"/>
      <c r="E57" s="440"/>
      <c r="F57" s="440"/>
      <c r="G57" s="440"/>
      <c r="H57" s="440"/>
      <c r="I57" s="440"/>
      <c r="J57" s="441"/>
    </row>
    <row r="58" spans="1:10" ht="18.75" customHeight="1" x14ac:dyDescent="0.15">
      <c r="A58" s="35"/>
      <c r="B58" s="439"/>
      <c r="C58" s="440"/>
      <c r="D58" s="440"/>
      <c r="E58" s="440"/>
      <c r="F58" s="440"/>
      <c r="G58" s="440"/>
      <c r="H58" s="440"/>
      <c r="I58" s="440"/>
      <c r="J58" s="441"/>
    </row>
    <row r="59" spans="1:10" ht="18.75" customHeight="1" x14ac:dyDescent="0.15">
      <c r="A59" s="35"/>
      <c r="B59" s="439"/>
      <c r="C59" s="440"/>
      <c r="D59" s="440"/>
      <c r="E59" s="440"/>
      <c r="F59" s="440"/>
      <c r="G59" s="440"/>
      <c r="H59" s="440"/>
      <c r="I59" s="440"/>
      <c r="J59" s="441"/>
    </row>
    <row r="60" spans="1:10" ht="18.75" customHeight="1" x14ac:dyDescent="0.15">
      <c r="A60" s="35"/>
      <c r="B60" s="439"/>
      <c r="C60" s="440"/>
      <c r="D60" s="440"/>
      <c r="E60" s="440"/>
      <c r="F60" s="440"/>
      <c r="G60" s="440"/>
      <c r="H60" s="440"/>
      <c r="I60" s="440"/>
      <c r="J60" s="441"/>
    </row>
    <row r="61" spans="1:10" ht="18.75" customHeight="1" x14ac:dyDescent="0.15">
      <c r="A61" s="35"/>
      <c r="B61" s="439"/>
      <c r="C61" s="440"/>
      <c r="D61" s="440"/>
      <c r="E61" s="440"/>
      <c r="F61" s="440"/>
      <c r="G61" s="440"/>
      <c r="H61" s="440"/>
      <c r="I61" s="440"/>
      <c r="J61" s="441"/>
    </row>
    <row r="62" spans="1:10" ht="18.75" customHeight="1" x14ac:dyDescent="0.15">
      <c r="A62" s="35"/>
      <c r="B62" s="439"/>
      <c r="C62" s="440"/>
      <c r="D62" s="440"/>
      <c r="E62" s="440"/>
      <c r="F62" s="440"/>
      <c r="G62" s="440"/>
      <c r="H62" s="440"/>
      <c r="I62" s="440"/>
      <c r="J62" s="441"/>
    </row>
    <row r="63" spans="1:10" ht="18.75" customHeight="1" x14ac:dyDescent="0.15">
      <c r="A63" s="35"/>
      <c r="B63" s="439"/>
      <c r="C63" s="440"/>
      <c r="D63" s="440"/>
      <c r="E63" s="440"/>
      <c r="F63" s="440"/>
      <c r="G63" s="440"/>
      <c r="H63" s="440"/>
      <c r="I63" s="440"/>
      <c r="J63" s="441"/>
    </row>
    <row r="64" spans="1:10" ht="18.75" customHeight="1" x14ac:dyDescent="0.15">
      <c r="A64" s="35"/>
      <c r="B64" s="439"/>
      <c r="C64" s="440"/>
      <c r="D64" s="440"/>
      <c r="E64" s="440"/>
      <c r="F64" s="440"/>
      <c r="G64" s="440"/>
      <c r="H64" s="440"/>
      <c r="I64" s="440"/>
      <c r="J64" s="441"/>
    </row>
    <row r="65" spans="1:11" ht="18.75" customHeight="1" x14ac:dyDescent="0.15">
      <c r="A65" s="35"/>
      <c r="B65" s="442"/>
      <c r="C65" s="443"/>
      <c r="D65" s="443"/>
      <c r="E65" s="443"/>
      <c r="F65" s="443"/>
      <c r="G65" s="443"/>
      <c r="H65" s="443"/>
      <c r="I65" s="443"/>
      <c r="J65" s="444"/>
    </row>
    <row r="66" spans="1:11" ht="7.5" customHeight="1" x14ac:dyDescent="0.15">
      <c r="A66" s="35"/>
      <c r="B66" s="134"/>
      <c r="C66" s="134"/>
      <c r="D66" s="134"/>
      <c r="E66" s="134"/>
      <c r="F66" s="134"/>
      <c r="G66" s="134"/>
      <c r="H66" s="134"/>
      <c r="I66" s="134"/>
      <c r="J66" s="134"/>
    </row>
    <row r="67" spans="1:11" s="4" customFormat="1" ht="18.75" customHeight="1" x14ac:dyDescent="0.15">
      <c r="A67" s="1" t="s">
        <v>15</v>
      </c>
      <c r="B67" s="13" t="s">
        <v>75</v>
      </c>
      <c r="C67" s="13"/>
      <c r="D67" s="13"/>
      <c r="E67" s="13"/>
      <c r="F67" s="13"/>
      <c r="G67" s="13"/>
      <c r="H67" s="13"/>
      <c r="I67" s="13"/>
      <c r="J67" s="13"/>
      <c r="K67" s="29"/>
    </row>
    <row r="68" spans="1:11" s="4" customFormat="1" ht="18.75" customHeight="1" x14ac:dyDescent="0.15">
      <c r="A68" s="1"/>
      <c r="B68" s="437" t="s">
        <v>198</v>
      </c>
      <c r="C68" s="434"/>
      <c r="D68" s="434"/>
      <c r="E68" s="434"/>
      <c r="F68" s="434"/>
      <c r="G68" s="434"/>
      <c r="H68" s="434"/>
      <c r="I68" s="435"/>
      <c r="J68" s="436"/>
      <c r="K68" s="31" t="str">
        <f>IF(B68="","入力してください","")</f>
        <v/>
      </c>
    </row>
    <row r="69" spans="1:11" s="4" customFormat="1" ht="18.75" customHeight="1" x14ac:dyDescent="0.15">
      <c r="A69" s="1"/>
      <c r="B69" s="426"/>
      <c r="C69" s="427"/>
      <c r="D69" s="427"/>
      <c r="E69" s="427"/>
      <c r="F69" s="427"/>
      <c r="G69" s="427"/>
      <c r="H69" s="427"/>
      <c r="I69" s="427"/>
      <c r="J69" s="428"/>
      <c r="K69" s="31"/>
    </row>
    <row r="70" spans="1:11" s="4" customFormat="1" ht="18.75" customHeight="1" x14ac:dyDescent="0.15">
      <c r="A70" s="1"/>
      <c r="B70" s="426"/>
      <c r="C70" s="427"/>
      <c r="D70" s="427"/>
      <c r="E70" s="427"/>
      <c r="F70" s="427"/>
      <c r="G70" s="427"/>
      <c r="H70" s="427"/>
      <c r="I70" s="427"/>
      <c r="J70" s="428"/>
      <c r="K70" s="31"/>
    </row>
    <row r="71" spans="1:11" s="4" customFormat="1" ht="18.75" customHeight="1" x14ac:dyDescent="0.15">
      <c r="A71" s="1"/>
      <c r="B71" s="426"/>
      <c r="C71" s="427"/>
      <c r="D71" s="427"/>
      <c r="E71" s="427"/>
      <c r="F71" s="427"/>
      <c r="G71" s="427"/>
      <c r="H71" s="427"/>
      <c r="I71" s="427"/>
      <c r="J71" s="428"/>
      <c r="K71" s="31"/>
    </row>
    <row r="72" spans="1:11" s="4" customFormat="1" ht="18.75" customHeight="1" x14ac:dyDescent="0.15">
      <c r="A72" s="1"/>
      <c r="B72" s="426"/>
      <c r="C72" s="427"/>
      <c r="D72" s="427"/>
      <c r="E72" s="427"/>
      <c r="F72" s="427"/>
      <c r="G72" s="427"/>
      <c r="H72" s="427"/>
      <c r="I72" s="427"/>
      <c r="J72" s="428"/>
      <c r="K72" s="31"/>
    </row>
    <row r="73" spans="1:11" s="4" customFormat="1" ht="18.75" customHeight="1" x14ac:dyDescent="0.15">
      <c r="A73" s="1"/>
      <c r="B73" s="426"/>
      <c r="C73" s="427"/>
      <c r="D73" s="427"/>
      <c r="E73" s="427"/>
      <c r="F73" s="427"/>
      <c r="G73" s="427"/>
      <c r="H73" s="427"/>
      <c r="I73" s="427"/>
      <c r="J73" s="428"/>
      <c r="K73" s="31"/>
    </row>
    <row r="74" spans="1:11" s="4" customFormat="1" ht="18.75" customHeight="1" x14ac:dyDescent="0.15">
      <c r="A74" s="1"/>
      <c r="B74" s="426"/>
      <c r="C74" s="427"/>
      <c r="D74" s="427"/>
      <c r="E74" s="427"/>
      <c r="F74" s="427"/>
      <c r="G74" s="427"/>
      <c r="H74" s="427"/>
      <c r="I74" s="427"/>
      <c r="J74" s="428"/>
      <c r="K74" s="31"/>
    </row>
    <row r="75" spans="1:11" s="4" customFormat="1" ht="18.75" customHeight="1" x14ac:dyDescent="0.15">
      <c r="A75" s="1"/>
      <c r="B75" s="426"/>
      <c r="C75" s="427"/>
      <c r="D75" s="427"/>
      <c r="E75" s="427"/>
      <c r="F75" s="427"/>
      <c r="G75" s="427"/>
      <c r="H75" s="427"/>
      <c r="I75" s="427"/>
      <c r="J75" s="428"/>
      <c r="K75" s="31"/>
    </row>
    <row r="76" spans="1:11" s="4" customFormat="1" ht="18.75" customHeight="1" x14ac:dyDescent="0.15">
      <c r="A76" s="1"/>
      <c r="B76" s="426"/>
      <c r="C76" s="427"/>
      <c r="D76" s="427"/>
      <c r="E76" s="427"/>
      <c r="F76" s="427"/>
      <c r="G76" s="427"/>
      <c r="H76" s="427"/>
      <c r="I76" s="427"/>
      <c r="J76" s="428"/>
      <c r="K76" s="31"/>
    </row>
    <row r="77" spans="1:11" s="4" customFormat="1" ht="18.75" customHeight="1" x14ac:dyDescent="0.15">
      <c r="A77" s="1"/>
      <c r="B77" s="426"/>
      <c r="C77" s="427"/>
      <c r="D77" s="427"/>
      <c r="E77" s="427"/>
      <c r="F77" s="427"/>
      <c r="G77" s="427"/>
      <c r="H77" s="427"/>
      <c r="I77" s="427"/>
      <c r="J77" s="428"/>
      <c r="K77" s="31"/>
    </row>
    <row r="78" spans="1:11" s="4" customFormat="1" ht="18.75" customHeight="1" x14ac:dyDescent="0.15">
      <c r="A78" s="1"/>
      <c r="B78" s="426"/>
      <c r="C78" s="427"/>
      <c r="D78" s="427"/>
      <c r="E78" s="427"/>
      <c r="F78" s="427"/>
      <c r="G78" s="427"/>
      <c r="H78" s="427"/>
      <c r="I78" s="427"/>
      <c r="J78" s="428"/>
      <c r="K78" s="31"/>
    </row>
    <row r="79" spans="1:11" s="4" customFormat="1" ht="18.75" customHeight="1" x14ac:dyDescent="0.15">
      <c r="A79" s="1"/>
      <c r="B79" s="426"/>
      <c r="C79" s="427"/>
      <c r="D79" s="427"/>
      <c r="E79" s="427"/>
      <c r="F79" s="427"/>
      <c r="G79" s="427"/>
      <c r="H79" s="427"/>
      <c r="I79" s="427"/>
      <c r="J79" s="428"/>
      <c r="K79" s="31"/>
    </row>
    <row r="80" spans="1:11" s="4" customFormat="1" ht="18.75" customHeight="1" x14ac:dyDescent="0.15">
      <c r="A80" s="1"/>
      <c r="B80" s="426"/>
      <c r="C80" s="427"/>
      <c r="D80" s="427"/>
      <c r="E80" s="427"/>
      <c r="F80" s="427"/>
      <c r="G80" s="427"/>
      <c r="H80" s="427"/>
      <c r="I80" s="427"/>
      <c r="J80" s="428"/>
      <c r="K80" s="31"/>
    </row>
    <row r="81" spans="1:11" s="4" customFormat="1" ht="18.75" customHeight="1" x14ac:dyDescent="0.15">
      <c r="A81" s="1"/>
      <c r="B81" s="426"/>
      <c r="C81" s="427"/>
      <c r="D81" s="427"/>
      <c r="E81" s="427"/>
      <c r="F81" s="427"/>
      <c r="G81" s="427"/>
      <c r="H81" s="427"/>
      <c r="I81" s="427"/>
      <c r="J81" s="428"/>
      <c r="K81" s="31"/>
    </row>
    <row r="82" spans="1:11" s="4" customFormat="1" ht="18.75" customHeight="1" x14ac:dyDescent="0.15">
      <c r="A82" s="1"/>
      <c r="B82" s="426"/>
      <c r="C82" s="427"/>
      <c r="D82" s="427"/>
      <c r="E82" s="427"/>
      <c r="F82" s="427"/>
      <c r="G82" s="427"/>
      <c r="H82" s="427"/>
      <c r="I82" s="427"/>
      <c r="J82" s="428"/>
      <c r="K82" s="31"/>
    </row>
    <row r="83" spans="1:11" s="4" customFormat="1" ht="18.75" customHeight="1" x14ac:dyDescent="0.15">
      <c r="A83" s="1"/>
      <c r="B83" s="426"/>
      <c r="C83" s="427"/>
      <c r="D83" s="427"/>
      <c r="E83" s="427"/>
      <c r="F83" s="427"/>
      <c r="G83" s="427"/>
      <c r="H83" s="427"/>
      <c r="I83" s="427"/>
      <c r="J83" s="428"/>
      <c r="K83" s="31"/>
    </row>
    <row r="84" spans="1:11" ht="18.75" customHeight="1" x14ac:dyDescent="0.15">
      <c r="A84" s="35"/>
      <c r="B84" s="426"/>
      <c r="C84" s="427"/>
      <c r="D84" s="427"/>
      <c r="E84" s="427"/>
      <c r="F84" s="427"/>
      <c r="G84" s="427"/>
      <c r="H84" s="427"/>
      <c r="I84" s="427"/>
      <c r="J84" s="428"/>
      <c r="K84" s="31"/>
    </row>
    <row r="85" spans="1:11" ht="18.75" customHeight="1" x14ac:dyDescent="0.15">
      <c r="A85" s="35"/>
      <c r="B85" s="429"/>
      <c r="C85" s="430"/>
      <c r="D85" s="430"/>
      <c r="E85" s="430"/>
      <c r="F85" s="430"/>
      <c r="G85" s="430"/>
      <c r="H85" s="430"/>
      <c r="I85" s="430"/>
      <c r="J85" s="431"/>
      <c r="K85" s="31"/>
    </row>
    <row r="86" spans="1:11" ht="7.5" customHeight="1" x14ac:dyDescent="0.15">
      <c r="A86" s="35"/>
      <c r="B86" s="134"/>
      <c r="C86" s="134"/>
      <c r="D86" s="134"/>
      <c r="E86" s="134"/>
      <c r="F86" s="134"/>
      <c r="G86" s="134"/>
      <c r="H86" s="134"/>
      <c r="I86" s="134"/>
      <c r="J86" s="134"/>
    </row>
    <row r="87" spans="1:11" s="4" customFormat="1" ht="18.75" customHeight="1" x14ac:dyDescent="0.15">
      <c r="A87" s="1" t="s">
        <v>13</v>
      </c>
      <c r="B87" s="13" t="s">
        <v>29</v>
      </c>
      <c r="C87" s="13"/>
      <c r="D87" s="13"/>
      <c r="E87" s="13"/>
      <c r="F87" s="13"/>
      <c r="G87" s="13"/>
      <c r="H87" s="13"/>
      <c r="I87" s="13"/>
      <c r="J87" s="13"/>
      <c r="K87" s="29"/>
    </row>
    <row r="88" spans="1:11" s="4" customFormat="1" ht="18.75" customHeight="1" x14ac:dyDescent="0.15">
      <c r="A88" s="1"/>
      <c r="B88" s="437" t="s">
        <v>199</v>
      </c>
      <c r="C88" s="434"/>
      <c r="D88" s="434"/>
      <c r="E88" s="434"/>
      <c r="F88" s="434"/>
      <c r="G88" s="434"/>
      <c r="H88" s="434"/>
      <c r="I88" s="435"/>
      <c r="J88" s="436"/>
      <c r="K88" s="29"/>
    </row>
    <row r="89" spans="1:11" s="4" customFormat="1" ht="18.75" customHeight="1" x14ac:dyDescent="0.15">
      <c r="A89" s="1"/>
      <c r="B89" s="426"/>
      <c r="C89" s="427"/>
      <c r="D89" s="427"/>
      <c r="E89" s="427"/>
      <c r="F89" s="427"/>
      <c r="G89" s="427"/>
      <c r="H89" s="427"/>
      <c r="I89" s="427"/>
      <c r="J89" s="428"/>
      <c r="K89" s="31"/>
    </row>
    <row r="90" spans="1:11" s="4" customFormat="1" ht="18.75" customHeight="1" x14ac:dyDescent="0.15">
      <c r="A90" s="1"/>
      <c r="B90" s="426"/>
      <c r="C90" s="427"/>
      <c r="D90" s="427"/>
      <c r="E90" s="427"/>
      <c r="F90" s="427"/>
      <c r="G90" s="427"/>
      <c r="H90" s="427"/>
      <c r="I90" s="427"/>
      <c r="J90" s="428"/>
      <c r="K90" s="31" t="str">
        <f>IF(B88="","入力してください","")</f>
        <v/>
      </c>
    </row>
    <row r="91" spans="1:11" s="4" customFormat="1" ht="18.75" customHeight="1" x14ac:dyDescent="0.15">
      <c r="A91" s="1"/>
      <c r="B91" s="426"/>
      <c r="C91" s="427"/>
      <c r="D91" s="427"/>
      <c r="E91" s="427"/>
      <c r="F91" s="427"/>
      <c r="G91" s="427"/>
      <c r="H91" s="427"/>
      <c r="I91" s="427"/>
      <c r="J91" s="428"/>
      <c r="K91" s="31"/>
    </row>
    <row r="92" spans="1:11" s="4" customFormat="1" ht="18.75" customHeight="1" x14ac:dyDescent="0.15">
      <c r="A92" s="1"/>
      <c r="B92" s="426"/>
      <c r="C92" s="427"/>
      <c r="D92" s="427"/>
      <c r="E92" s="427"/>
      <c r="F92" s="427"/>
      <c r="G92" s="427"/>
      <c r="H92" s="427"/>
      <c r="I92" s="427"/>
      <c r="J92" s="428"/>
      <c r="K92" s="31"/>
    </row>
    <row r="93" spans="1:11" s="4" customFormat="1" ht="18.75" customHeight="1" x14ac:dyDescent="0.15">
      <c r="A93" s="1"/>
      <c r="B93" s="426"/>
      <c r="C93" s="427"/>
      <c r="D93" s="427"/>
      <c r="E93" s="427"/>
      <c r="F93" s="427"/>
      <c r="G93" s="427"/>
      <c r="H93" s="427"/>
      <c r="I93" s="427"/>
      <c r="J93" s="428"/>
      <c r="K93" s="31"/>
    </row>
    <row r="94" spans="1:11" s="4" customFormat="1" ht="18.75" customHeight="1" x14ac:dyDescent="0.15">
      <c r="A94" s="1"/>
      <c r="B94" s="426"/>
      <c r="C94" s="427"/>
      <c r="D94" s="427"/>
      <c r="E94" s="427"/>
      <c r="F94" s="427"/>
      <c r="G94" s="427"/>
      <c r="H94" s="427"/>
      <c r="I94" s="427"/>
      <c r="J94" s="428"/>
      <c r="K94" s="31"/>
    </row>
    <row r="95" spans="1:11" s="4" customFormat="1" ht="18.75" customHeight="1" x14ac:dyDescent="0.15">
      <c r="A95" s="1"/>
      <c r="B95" s="426"/>
      <c r="C95" s="427"/>
      <c r="D95" s="427"/>
      <c r="E95" s="427"/>
      <c r="F95" s="427"/>
      <c r="G95" s="427"/>
      <c r="H95" s="427"/>
      <c r="I95" s="427"/>
      <c r="J95" s="428"/>
      <c r="K95" s="31"/>
    </row>
    <row r="96" spans="1:11" s="4" customFormat="1" ht="18.75" customHeight="1" x14ac:dyDescent="0.15">
      <c r="A96" s="1"/>
      <c r="B96" s="426"/>
      <c r="C96" s="427"/>
      <c r="D96" s="427"/>
      <c r="E96" s="427"/>
      <c r="F96" s="427"/>
      <c r="G96" s="427"/>
      <c r="H96" s="427"/>
      <c r="I96" s="427"/>
      <c r="J96" s="428"/>
      <c r="K96" s="31"/>
    </row>
    <row r="97" spans="1:11" s="4" customFormat="1" ht="18.75" customHeight="1" x14ac:dyDescent="0.15">
      <c r="A97" s="1"/>
      <c r="B97" s="426"/>
      <c r="C97" s="427"/>
      <c r="D97" s="427"/>
      <c r="E97" s="427"/>
      <c r="F97" s="427"/>
      <c r="G97" s="427"/>
      <c r="H97" s="427"/>
      <c r="I97" s="427"/>
      <c r="J97" s="428"/>
      <c r="K97" s="31"/>
    </row>
    <row r="98" spans="1:11" s="4" customFormat="1" ht="18.75" customHeight="1" x14ac:dyDescent="0.15">
      <c r="A98" s="1"/>
      <c r="B98" s="426"/>
      <c r="C98" s="427"/>
      <c r="D98" s="427"/>
      <c r="E98" s="427"/>
      <c r="F98" s="427"/>
      <c r="G98" s="427"/>
      <c r="H98" s="427"/>
      <c r="I98" s="427"/>
      <c r="J98" s="428"/>
      <c r="K98" s="31"/>
    </row>
    <row r="99" spans="1:11" s="4" customFormat="1" ht="18.75" customHeight="1" x14ac:dyDescent="0.15">
      <c r="A99" s="1"/>
      <c r="B99" s="426"/>
      <c r="C99" s="427"/>
      <c r="D99" s="427"/>
      <c r="E99" s="427"/>
      <c r="F99" s="427"/>
      <c r="G99" s="427"/>
      <c r="H99" s="427"/>
      <c r="I99" s="427"/>
      <c r="J99" s="428"/>
      <c r="K99" s="31"/>
    </row>
    <row r="100" spans="1:11" s="4" customFormat="1" ht="18.75" customHeight="1" x14ac:dyDescent="0.15">
      <c r="A100" s="1"/>
      <c r="B100" s="426"/>
      <c r="C100" s="427"/>
      <c r="D100" s="427"/>
      <c r="E100" s="427"/>
      <c r="F100" s="427"/>
      <c r="G100" s="427"/>
      <c r="H100" s="427"/>
      <c r="I100" s="427"/>
      <c r="J100" s="428"/>
      <c r="K100" s="31"/>
    </row>
    <row r="101" spans="1:11" s="4" customFormat="1" ht="18.75" customHeight="1" x14ac:dyDescent="0.15">
      <c r="A101" s="1"/>
      <c r="B101" s="426"/>
      <c r="C101" s="427"/>
      <c r="D101" s="427"/>
      <c r="E101" s="427"/>
      <c r="F101" s="427"/>
      <c r="G101" s="427"/>
      <c r="H101" s="427"/>
      <c r="I101" s="427"/>
      <c r="J101" s="428"/>
      <c r="K101" s="31"/>
    </row>
    <row r="102" spans="1:11" s="4" customFormat="1" ht="18.75" customHeight="1" x14ac:dyDescent="0.15">
      <c r="A102" s="1"/>
      <c r="B102" s="426"/>
      <c r="C102" s="427"/>
      <c r="D102" s="427"/>
      <c r="E102" s="427"/>
      <c r="F102" s="427"/>
      <c r="G102" s="427"/>
      <c r="H102" s="427"/>
      <c r="I102" s="427"/>
      <c r="J102" s="428"/>
      <c r="K102" s="31"/>
    </row>
    <row r="103" spans="1:11" s="4" customFormat="1" ht="18.75" customHeight="1" x14ac:dyDescent="0.15">
      <c r="A103" s="1"/>
      <c r="B103" s="426"/>
      <c r="C103" s="427"/>
      <c r="D103" s="427"/>
      <c r="E103" s="427"/>
      <c r="F103" s="427"/>
      <c r="G103" s="427"/>
      <c r="H103" s="427"/>
      <c r="I103" s="427"/>
      <c r="J103" s="428"/>
      <c r="K103" s="31"/>
    </row>
    <row r="104" spans="1:11" s="4" customFormat="1" ht="18.75" customHeight="1" x14ac:dyDescent="0.15">
      <c r="A104" s="1"/>
      <c r="B104" s="426"/>
      <c r="C104" s="427"/>
      <c r="D104" s="427"/>
      <c r="E104" s="427"/>
      <c r="F104" s="427"/>
      <c r="G104" s="427"/>
      <c r="H104" s="427"/>
      <c r="I104" s="427"/>
      <c r="J104" s="428"/>
      <c r="K104" s="31"/>
    </row>
    <row r="105" spans="1:11" s="4" customFormat="1" ht="18.75" customHeight="1" x14ac:dyDescent="0.15">
      <c r="A105" s="1"/>
      <c r="B105" s="426"/>
      <c r="C105" s="427"/>
      <c r="D105" s="427"/>
      <c r="E105" s="427"/>
      <c r="F105" s="427"/>
      <c r="G105" s="427"/>
      <c r="H105" s="427"/>
      <c r="I105" s="427"/>
      <c r="J105" s="428"/>
      <c r="K105" s="31"/>
    </row>
    <row r="106" spans="1:11" ht="18.75" customHeight="1" x14ac:dyDescent="0.15">
      <c r="A106" s="35"/>
      <c r="B106" s="426"/>
      <c r="C106" s="427"/>
      <c r="D106" s="427"/>
      <c r="E106" s="427"/>
      <c r="F106" s="427"/>
      <c r="G106" s="427"/>
      <c r="H106" s="427"/>
      <c r="I106" s="427"/>
      <c r="J106" s="428"/>
      <c r="K106" s="31"/>
    </row>
    <row r="107" spans="1:11" ht="18.75" customHeight="1" x14ac:dyDescent="0.15">
      <c r="A107" s="35"/>
      <c r="B107" s="429"/>
      <c r="C107" s="430"/>
      <c r="D107" s="430"/>
      <c r="E107" s="430"/>
      <c r="F107" s="430"/>
      <c r="G107" s="430"/>
      <c r="H107" s="430"/>
      <c r="I107" s="430"/>
      <c r="J107" s="431"/>
      <c r="K107" s="31"/>
    </row>
    <row r="108" spans="1:11" ht="7.5" customHeight="1" x14ac:dyDescent="0.15">
      <c r="A108" s="35"/>
      <c r="B108" s="134"/>
      <c r="C108" s="134"/>
      <c r="D108" s="134"/>
      <c r="E108" s="134"/>
      <c r="F108" s="134"/>
      <c r="G108" s="134"/>
      <c r="H108" s="134"/>
      <c r="I108" s="134"/>
      <c r="J108" s="134"/>
    </row>
    <row r="109" spans="1:11" s="4" customFormat="1" ht="18.75" customHeight="1" x14ac:dyDescent="0.15">
      <c r="A109" s="1" t="s">
        <v>55</v>
      </c>
      <c r="B109" s="445" t="s">
        <v>86</v>
      </c>
      <c r="C109" s="445"/>
      <c r="D109" s="445"/>
      <c r="E109" s="445"/>
      <c r="F109" s="445"/>
      <c r="G109" s="445"/>
      <c r="H109" s="445"/>
      <c r="I109" s="445"/>
      <c r="J109" s="445"/>
      <c r="K109" s="29"/>
    </row>
    <row r="110" spans="1:11" ht="18.75" customHeight="1" x14ac:dyDescent="0.15">
      <c r="A110" s="35"/>
      <c r="B110" s="437" t="s">
        <v>196</v>
      </c>
      <c r="C110" s="434"/>
      <c r="D110" s="434"/>
      <c r="E110" s="434"/>
      <c r="F110" s="434"/>
      <c r="G110" s="434"/>
      <c r="H110" s="434"/>
      <c r="I110" s="435"/>
      <c r="J110" s="436"/>
    </row>
    <row r="111" spans="1:11" ht="18.75" customHeight="1" x14ac:dyDescent="0.15">
      <c r="A111" s="35"/>
      <c r="B111" s="426"/>
      <c r="C111" s="427"/>
      <c r="D111" s="427"/>
      <c r="E111" s="427"/>
      <c r="F111" s="427"/>
      <c r="G111" s="427"/>
      <c r="H111" s="427"/>
      <c r="I111" s="427"/>
      <c r="J111" s="428"/>
      <c r="K111" s="31"/>
    </row>
    <row r="112" spans="1:11" ht="18.75" customHeight="1" x14ac:dyDescent="0.15">
      <c r="A112" s="35"/>
      <c r="B112" s="426"/>
      <c r="C112" s="427"/>
      <c r="D112" s="427"/>
      <c r="E112" s="427"/>
      <c r="F112" s="427"/>
      <c r="G112" s="427"/>
      <c r="H112" s="427"/>
      <c r="I112" s="427"/>
      <c r="J112" s="428"/>
      <c r="K112" s="29" t="str">
        <f>IF(B110="","入力してください","")</f>
        <v/>
      </c>
    </row>
    <row r="113" spans="1:10" ht="18.75" customHeight="1" x14ac:dyDescent="0.15">
      <c r="A113" s="35"/>
      <c r="B113" s="426"/>
      <c r="C113" s="427"/>
      <c r="D113" s="427"/>
      <c r="E113" s="427"/>
      <c r="F113" s="427"/>
      <c r="G113" s="427"/>
      <c r="H113" s="427"/>
      <c r="I113" s="427"/>
      <c r="J113" s="428"/>
    </row>
    <row r="114" spans="1:10" ht="18.75" customHeight="1" x14ac:dyDescent="0.15">
      <c r="A114" s="35"/>
      <c r="B114" s="426"/>
      <c r="C114" s="427"/>
      <c r="D114" s="427"/>
      <c r="E114" s="427"/>
      <c r="F114" s="427"/>
      <c r="G114" s="427"/>
      <c r="H114" s="427"/>
      <c r="I114" s="427"/>
      <c r="J114" s="428"/>
    </row>
    <row r="115" spans="1:10" ht="18.75" customHeight="1" x14ac:dyDescent="0.15">
      <c r="A115" s="35"/>
      <c r="B115" s="426"/>
      <c r="C115" s="427"/>
      <c r="D115" s="427"/>
      <c r="E115" s="427"/>
      <c r="F115" s="427"/>
      <c r="G115" s="427"/>
      <c r="H115" s="427"/>
      <c r="I115" s="427"/>
      <c r="J115" s="428"/>
    </row>
    <row r="116" spans="1:10" ht="18.75" customHeight="1" x14ac:dyDescent="0.15">
      <c r="A116" s="35"/>
      <c r="B116" s="426"/>
      <c r="C116" s="427"/>
      <c r="D116" s="427"/>
      <c r="E116" s="427"/>
      <c r="F116" s="427"/>
      <c r="G116" s="427"/>
      <c r="H116" s="427"/>
      <c r="I116" s="427"/>
      <c r="J116" s="428"/>
    </row>
    <row r="117" spans="1:10" ht="18.75" customHeight="1" x14ac:dyDescent="0.15">
      <c r="A117" s="35"/>
      <c r="B117" s="426"/>
      <c r="C117" s="427"/>
      <c r="D117" s="427"/>
      <c r="E117" s="427"/>
      <c r="F117" s="427"/>
      <c r="G117" s="427"/>
      <c r="H117" s="427"/>
      <c r="I117" s="427"/>
      <c r="J117" s="428"/>
    </row>
    <row r="118" spans="1:10" ht="18.75" customHeight="1" x14ac:dyDescent="0.15">
      <c r="A118" s="35"/>
      <c r="B118" s="426"/>
      <c r="C118" s="427"/>
      <c r="D118" s="427"/>
      <c r="E118" s="427"/>
      <c r="F118" s="427"/>
      <c r="G118" s="427"/>
      <c r="H118" s="427"/>
      <c r="I118" s="427"/>
      <c r="J118" s="428"/>
    </row>
    <row r="119" spans="1:10" ht="18.75" customHeight="1" x14ac:dyDescent="0.15">
      <c r="A119" s="35"/>
      <c r="B119" s="426"/>
      <c r="C119" s="427"/>
      <c r="D119" s="427"/>
      <c r="E119" s="427"/>
      <c r="F119" s="427"/>
      <c r="G119" s="427"/>
      <c r="H119" s="427"/>
      <c r="I119" s="427"/>
      <c r="J119" s="428"/>
    </row>
    <row r="120" spans="1:10" ht="18.75" customHeight="1" x14ac:dyDescent="0.15">
      <c r="A120" s="35"/>
      <c r="B120" s="426"/>
      <c r="C120" s="427"/>
      <c r="D120" s="427"/>
      <c r="E120" s="427"/>
      <c r="F120" s="427"/>
      <c r="G120" s="427"/>
      <c r="H120" s="427"/>
      <c r="I120" s="427"/>
      <c r="J120" s="428"/>
    </row>
    <row r="121" spans="1:10" ht="18.75" customHeight="1" x14ac:dyDescent="0.15">
      <c r="A121" s="35"/>
      <c r="B121" s="426"/>
      <c r="C121" s="427"/>
      <c r="D121" s="427"/>
      <c r="E121" s="427"/>
      <c r="F121" s="427"/>
      <c r="G121" s="427"/>
      <c r="H121" s="427"/>
      <c r="I121" s="427"/>
      <c r="J121" s="428"/>
    </row>
    <row r="122" spans="1:10" ht="18.75" customHeight="1" x14ac:dyDescent="0.15">
      <c r="A122" s="35"/>
      <c r="B122" s="426"/>
      <c r="C122" s="427"/>
      <c r="D122" s="427"/>
      <c r="E122" s="427"/>
      <c r="F122" s="427"/>
      <c r="G122" s="427"/>
      <c r="H122" s="427"/>
      <c r="I122" s="427"/>
      <c r="J122" s="428"/>
    </row>
    <row r="123" spans="1:10" ht="18.75" customHeight="1" x14ac:dyDescent="0.15">
      <c r="A123" s="35"/>
      <c r="B123" s="426"/>
      <c r="C123" s="427"/>
      <c r="D123" s="427"/>
      <c r="E123" s="427"/>
      <c r="F123" s="427"/>
      <c r="G123" s="427"/>
      <c r="H123" s="427"/>
      <c r="I123" s="427"/>
      <c r="J123" s="428"/>
    </row>
    <row r="124" spans="1:10" ht="18.75" customHeight="1" x14ac:dyDescent="0.15">
      <c r="A124" s="35"/>
      <c r="B124" s="426"/>
      <c r="C124" s="427"/>
      <c r="D124" s="427"/>
      <c r="E124" s="427"/>
      <c r="F124" s="427"/>
      <c r="G124" s="427"/>
      <c r="H124" s="427"/>
      <c r="I124" s="427"/>
      <c r="J124" s="428"/>
    </row>
    <row r="125" spans="1:10" ht="18.75" customHeight="1" x14ac:dyDescent="0.15">
      <c r="A125" s="35"/>
      <c r="B125" s="426"/>
      <c r="C125" s="427"/>
      <c r="D125" s="427"/>
      <c r="E125" s="427"/>
      <c r="F125" s="427"/>
      <c r="G125" s="427"/>
      <c r="H125" s="427"/>
      <c r="I125" s="427"/>
      <c r="J125" s="428"/>
    </row>
    <row r="126" spans="1:10" ht="18.75" customHeight="1" x14ac:dyDescent="0.15">
      <c r="A126" s="35"/>
      <c r="B126" s="426"/>
      <c r="C126" s="427"/>
      <c r="D126" s="427"/>
      <c r="E126" s="427"/>
      <c r="F126" s="427"/>
      <c r="G126" s="427"/>
      <c r="H126" s="427"/>
      <c r="I126" s="427"/>
      <c r="J126" s="428"/>
    </row>
    <row r="127" spans="1:10" ht="18.75" customHeight="1" x14ac:dyDescent="0.15">
      <c r="A127" s="35"/>
      <c r="B127" s="426"/>
      <c r="C127" s="427"/>
      <c r="D127" s="427"/>
      <c r="E127" s="427"/>
      <c r="F127" s="427"/>
      <c r="G127" s="427"/>
      <c r="H127" s="427"/>
      <c r="I127" s="427"/>
      <c r="J127" s="428"/>
    </row>
    <row r="128" spans="1:10" ht="18.75" customHeight="1" x14ac:dyDescent="0.15">
      <c r="A128" s="35"/>
      <c r="B128" s="429"/>
      <c r="C128" s="430"/>
      <c r="D128" s="430"/>
      <c r="E128" s="430"/>
      <c r="F128" s="430"/>
      <c r="G128" s="430"/>
      <c r="H128" s="430"/>
      <c r="I128" s="430"/>
      <c r="J128" s="431"/>
    </row>
    <row r="129" spans="1:10" ht="7.5" customHeight="1" x14ac:dyDescent="0.15">
      <c r="A129" s="35"/>
      <c r="B129" s="99"/>
      <c r="C129" s="99"/>
      <c r="D129" s="99"/>
      <c r="E129" s="99"/>
      <c r="F129" s="99"/>
      <c r="G129" s="99"/>
      <c r="H129" s="99"/>
      <c r="I129" s="99"/>
      <c r="J129" s="99"/>
    </row>
    <row r="130" spans="1:10" ht="18.75" customHeight="1" x14ac:dyDescent="0.15">
      <c r="A130" s="35"/>
      <c r="B130" s="35"/>
      <c r="C130" s="35"/>
      <c r="D130" s="35"/>
      <c r="E130" s="35"/>
      <c r="F130" s="35"/>
      <c r="G130" s="35"/>
      <c r="H130" s="35"/>
      <c r="I130" s="35"/>
      <c r="J130" s="35"/>
    </row>
    <row r="131" spans="1:10" ht="18.75" customHeight="1" x14ac:dyDescent="0.15">
      <c r="A131" s="35"/>
      <c r="B131" s="35"/>
      <c r="C131" s="35"/>
      <c r="D131" s="35"/>
      <c r="E131" s="35"/>
      <c r="F131" s="35"/>
      <c r="G131" s="35"/>
      <c r="H131" s="35"/>
      <c r="I131" s="35"/>
      <c r="J131" s="35"/>
    </row>
    <row r="132" spans="1:10" ht="18.75" customHeight="1" x14ac:dyDescent="0.15">
      <c r="A132" s="35"/>
      <c r="B132" s="35"/>
      <c r="C132" s="35"/>
      <c r="D132" s="35"/>
      <c r="E132" s="35"/>
      <c r="F132" s="35"/>
      <c r="G132" s="35"/>
      <c r="H132" s="35"/>
      <c r="I132" s="35"/>
      <c r="J132" s="35"/>
    </row>
    <row r="133" spans="1:10" ht="18.75" customHeight="1" x14ac:dyDescent="0.15">
      <c r="A133" s="35"/>
      <c r="B133" s="35"/>
      <c r="C133" s="35"/>
      <c r="D133" s="35"/>
      <c r="E133" s="35"/>
      <c r="F133" s="35"/>
      <c r="G133" s="35"/>
      <c r="H133" s="35"/>
      <c r="I133" s="35"/>
      <c r="J133" s="35"/>
    </row>
    <row r="134" spans="1:10" ht="18.75" customHeight="1" x14ac:dyDescent="0.15">
      <c r="A134" s="35"/>
      <c r="B134" s="35"/>
      <c r="C134" s="35"/>
      <c r="D134" s="35"/>
      <c r="E134" s="35"/>
      <c r="F134" s="35"/>
      <c r="G134" s="35"/>
      <c r="H134" s="35"/>
      <c r="I134" s="35"/>
      <c r="J134" s="35"/>
    </row>
    <row r="135" spans="1:10" ht="18.75" customHeight="1" x14ac:dyDescent="0.15">
      <c r="A135" s="35"/>
      <c r="B135" s="35"/>
      <c r="C135" s="35"/>
      <c r="D135" s="35"/>
      <c r="E135" s="35"/>
      <c r="F135" s="35"/>
      <c r="G135" s="35"/>
      <c r="H135" s="35"/>
      <c r="I135" s="35"/>
      <c r="J135" s="35"/>
    </row>
    <row r="136" spans="1:10" ht="18.75" customHeight="1" x14ac:dyDescent="0.15">
      <c r="A136" s="35"/>
      <c r="B136" s="35"/>
      <c r="C136" s="35"/>
      <c r="D136" s="35"/>
      <c r="E136" s="35"/>
      <c r="F136" s="35"/>
      <c r="G136" s="35"/>
      <c r="H136" s="35"/>
      <c r="I136" s="35"/>
      <c r="J136" s="35"/>
    </row>
    <row r="137" spans="1:10" ht="18.75" customHeight="1" x14ac:dyDescent="0.15">
      <c r="A137" s="35"/>
      <c r="B137" s="35"/>
      <c r="C137" s="35"/>
      <c r="D137" s="35"/>
      <c r="E137" s="35"/>
      <c r="F137" s="35"/>
      <c r="G137" s="35"/>
      <c r="H137" s="35"/>
      <c r="I137" s="35"/>
      <c r="J137" s="35"/>
    </row>
    <row r="138" spans="1:10" ht="18.75" customHeight="1" x14ac:dyDescent="0.15">
      <c r="A138" s="35"/>
      <c r="B138" s="35"/>
      <c r="C138" s="35"/>
      <c r="D138" s="35"/>
      <c r="E138" s="35"/>
      <c r="F138" s="35"/>
      <c r="G138" s="35"/>
      <c r="H138" s="35"/>
      <c r="I138" s="35"/>
      <c r="J138" s="35"/>
    </row>
    <row r="139" spans="1:10" ht="18.75" customHeight="1" x14ac:dyDescent="0.15">
      <c r="A139" s="35"/>
      <c r="B139" s="35"/>
      <c r="C139" s="35"/>
      <c r="D139" s="35"/>
      <c r="E139" s="35"/>
      <c r="F139" s="35"/>
      <c r="G139" s="35"/>
      <c r="H139" s="35"/>
      <c r="I139" s="35"/>
      <c r="J139" s="35"/>
    </row>
    <row r="140" spans="1:10" ht="18.75" customHeight="1" x14ac:dyDescent="0.15">
      <c r="A140" s="35"/>
      <c r="B140" s="35"/>
      <c r="C140" s="35"/>
      <c r="D140" s="35"/>
      <c r="E140" s="35"/>
      <c r="F140" s="35"/>
      <c r="G140" s="35"/>
      <c r="H140" s="35"/>
      <c r="I140" s="35"/>
      <c r="J140" s="35"/>
    </row>
    <row r="141" spans="1:10" ht="18.75" customHeight="1" x14ac:dyDescent="0.15">
      <c r="A141" s="35"/>
      <c r="B141" s="35"/>
      <c r="C141" s="35"/>
      <c r="D141" s="35"/>
      <c r="E141" s="35"/>
      <c r="F141" s="35"/>
      <c r="G141" s="35"/>
      <c r="H141" s="35"/>
      <c r="I141" s="35"/>
      <c r="J141" s="35"/>
    </row>
    <row r="142" spans="1:10" ht="14.25" x14ac:dyDescent="0.15">
      <c r="A142" s="35"/>
      <c r="B142" s="35"/>
      <c r="C142" s="35"/>
      <c r="D142" s="35"/>
      <c r="E142" s="35"/>
      <c r="F142" s="35"/>
      <c r="G142" s="35"/>
      <c r="H142" s="35"/>
      <c r="I142" s="35"/>
      <c r="J142" s="35"/>
    </row>
    <row r="143" spans="1:10" ht="7.5" customHeight="1" x14ac:dyDescent="0.15">
      <c r="A143" s="100"/>
      <c r="B143" s="100"/>
      <c r="C143" s="100"/>
      <c r="D143" s="100"/>
      <c r="E143" s="100"/>
      <c r="F143" s="100"/>
      <c r="G143" s="100"/>
      <c r="H143" s="100"/>
      <c r="I143" s="100"/>
      <c r="J143" s="100"/>
    </row>
  </sheetData>
  <mergeCells count="11">
    <mergeCell ref="B45:J65"/>
    <mergeCell ref="B68:J85"/>
    <mergeCell ref="B88:J107"/>
    <mergeCell ref="B109:J109"/>
    <mergeCell ref="B110:J128"/>
    <mergeCell ref="B31:J43"/>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3" max="9" man="1"/>
    <brk id="86"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33"/>
  <sheetViews>
    <sheetView showZeros="0" view="pageBreakPreview" topLeftCell="A3" zoomScale="70" zoomScaleNormal="100" zoomScaleSheetLayoutView="70" workbookViewId="0">
      <selection activeCell="D22" sqref="D22"/>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29" customWidth="1"/>
    <col min="12" max="16384" width="11.375" style="1"/>
  </cols>
  <sheetData>
    <row r="1" spans="1:11" ht="18.75" customHeight="1" x14ac:dyDescent="0.15">
      <c r="A1" s="1" t="s">
        <v>127</v>
      </c>
      <c r="J1" s="37" t="s">
        <v>77</v>
      </c>
    </row>
    <row r="2" spans="1:11" ht="18.75" customHeight="1" x14ac:dyDescent="0.15">
      <c r="A2" s="407" t="s">
        <v>44</v>
      </c>
      <c r="B2" s="407"/>
      <c r="C2" s="407"/>
      <c r="D2" s="407"/>
      <c r="E2" s="407"/>
      <c r="F2" s="407"/>
      <c r="G2" s="407"/>
      <c r="H2" s="407"/>
      <c r="I2" s="407"/>
      <c r="J2" s="407"/>
    </row>
    <row r="3" spans="1:11" ht="7.5" customHeight="1" x14ac:dyDescent="0.15">
      <c r="A3" s="38"/>
      <c r="B3" s="38"/>
      <c r="C3" s="38"/>
      <c r="D3" s="38"/>
      <c r="E3" s="38"/>
      <c r="F3" s="38"/>
      <c r="G3" s="38"/>
      <c r="H3" s="38"/>
      <c r="I3" s="38"/>
      <c r="J3" s="38"/>
    </row>
    <row r="4" spans="1:11" ht="18.75" customHeight="1" x14ac:dyDescent="0.15">
      <c r="A4" s="1" t="s">
        <v>6</v>
      </c>
      <c r="B4" s="4" t="s">
        <v>43</v>
      </c>
      <c r="C4" s="35"/>
      <c r="D4" s="35"/>
      <c r="E4" s="36"/>
      <c r="F4" s="36"/>
      <c r="G4" s="36"/>
      <c r="H4" s="36"/>
      <c r="I4" s="36"/>
      <c r="J4" s="36"/>
    </row>
    <row r="5" spans="1:11" ht="18.75" customHeight="1" x14ac:dyDescent="0.15">
      <c r="B5" s="451" t="s">
        <v>40</v>
      </c>
      <c r="C5" s="452"/>
      <c r="D5" s="453"/>
      <c r="E5" s="454" t="s">
        <v>42</v>
      </c>
      <c r="F5" s="454"/>
      <c r="G5" s="454"/>
      <c r="H5" s="454"/>
      <c r="I5" s="454"/>
      <c r="J5" s="455"/>
    </row>
    <row r="6" spans="1:11" ht="18.75" customHeight="1" x14ac:dyDescent="0.15">
      <c r="B6" s="3" t="s">
        <v>30</v>
      </c>
      <c r="C6" s="35"/>
      <c r="D6" s="7"/>
      <c r="I6" s="36"/>
      <c r="J6" s="5"/>
    </row>
    <row r="7" spans="1:11" ht="147.75" customHeight="1" x14ac:dyDescent="0.15">
      <c r="B7" s="6"/>
      <c r="C7" s="456" t="s">
        <v>31</v>
      </c>
      <c r="D7" s="457"/>
      <c r="E7" s="448" t="s">
        <v>200</v>
      </c>
      <c r="F7" s="449"/>
      <c r="G7" s="449"/>
      <c r="H7" s="449"/>
      <c r="I7" s="449"/>
      <c r="J7" s="450"/>
      <c r="K7" s="29" t="str">
        <f>IF(E7="","入力してください","")</f>
        <v/>
      </c>
    </row>
    <row r="8" spans="1:11" ht="132.75" customHeight="1" x14ac:dyDescent="0.15">
      <c r="B8" s="6"/>
      <c r="C8" s="446" t="s">
        <v>32</v>
      </c>
      <c r="D8" s="447"/>
      <c r="E8" s="448" t="s">
        <v>206</v>
      </c>
      <c r="F8" s="449"/>
      <c r="G8" s="449"/>
      <c r="H8" s="449"/>
      <c r="I8" s="449"/>
      <c r="J8" s="450"/>
      <c r="K8" s="29" t="str">
        <f>IF(E8="","入力してください","")</f>
        <v/>
      </c>
    </row>
    <row r="9" spans="1:11" ht="132.75" customHeight="1" x14ac:dyDescent="0.15">
      <c r="B9" s="6"/>
      <c r="C9" s="456" t="s">
        <v>33</v>
      </c>
      <c r="D9" s="457"/>
      <c r="E9" s="448" t="s">
        <v>203</v>
      </c>
      <c r="F9" s="449"/>
      <c r="G9" s="449"/>
      <c r="H9" s="449"/>
      <c r="I9" s="449"/>
      <c r="J9" s="450"/>
      <c r="K9" s="29" t="str">
        <f>IF(E9="","入力してください","")</f>
        <v/>
      </c>
    </row>
    <row r="10" spans="1:11" ht="172.5" customHeight="1" x14ac:dyDescent="0.15">
      <c r="B10" s="6"/>
      <c r="C10" s="456" t="s">
        <v>34</v>
      </c>
      <c r="D10" s="457"/>
      <c r="E10" s="458" t="s">
        <v>201</v>
      </c>
      <c r="F10" s="459"/>
      <c r="G10" s="459"/>
      <c r="H10" s="459"/>
      <c r="I10" s="459"/>
      <c r="J10" s="460"/>
      <c r="K10" s="29" t="str">
        <f t="shared" ref="K10:K14" si="0">IF(E10="","入力してください","")</f>
        <v/>
      </c>
    </row>
    <row r="11" spans="1:11" ht="172.5" customHeight="1" x14ac:dyDescent="0.15">
      <c r="B11" s="6"/>
      <c r="C11" s="461" t="s">
        <v>35</v>
      </c>
      <c r="D11" s="462"/>
      <c r="E11" s="458" t="s">
        <v>202</v>
      </c>
      <c r="F11" s="463"/>
      <c r="G11" s="463"/>
      <c r="H11" s="463"/>
      <c r="I11" s="463"/>
      <c r="J11" s="464"/>
      <c r="K11" s="29" t="str">
        <f t="shared" si="0"/>
        <v/>
      </c>
    </row>
    <row r="12" spans="1:11" ht="18.75" customHeight="1" x14ac:dyDescent="0.15">
      <c r="B12" s="9" t="s">
        <v>36</v>
      </c>
      <c r="C12" s="26"/>
      <c r="D12" s="8"/>
      <c r="E12" s="162"/>
      <c r="F12" s="162"/>
      <c r="G12" s="162"/>
      <c r="H12" s="162"/>
      <c r="I12" s="162"/>
      <c r="J12" s="163"/>
    </row>
    <row r="13" spans="1:11" ht="91.5" customHeight="1" x14ac:dyDescent="0.15">
      <c r="B13" s="6"/>
      <c r="C13" s="456" t="s">
        <v>37</v>
      </c>
      <c r="D13" s="457"/>
      <c r="E13" s="449" t="s">
        <v>174</v>
      </c>
      <c r="F13" s="449"/>
      <c r="G13" s="449"/>
      <c r="H13" s="449"/>
      <c r="I13" s="449"/>
      <c r="J13" s="450"/>
      <c r="K13" s="29" t="str">
        <f t="shared" si="0"/>
        <v/>
      </c>
    </row>
    <row r="14" spans="1:11" ht="120" customHeight="1" x14ac:dyDescent="0.15">
      <c r="B14" s="6"/>
      <c r="C14" s="456" t="s">
        <v>38</v>
      </c>
      <c r="D14" s="457"/>
      <c r="E14" s="459" t="s">
        <v>213</v>
      </c>
      <c r="F14" s="471"/>
      <c r="G14" s="471"/>
      <c r="H14" s="471"/>
      <c r="I14" s="471"/>
      <c r="J14" s="472"/>
      <c r="K14" s="29" t="str">
        <f t="shared" si="0"/>
        <v/>
      </c>
    </row>
    <row r="15" spans="1:11" ht="120" customHeight="1" x14ac:dyDescent="0.15">
      <c r="B15" s="473" t="s">
        <v>39</v>
      </c>
      <c r="C15" s="474"/>
      <c r="D15" s="457"/>
      <c r="E15" s="449" t="s">
        <v>204</v>
      </c>
      <c r="F15" s="475"/>
      <c r="G15" s="475"/>
      <c r="H15" s="475"/>
      <c r="I15" s="475"/>
      <c r="J15" s="476"/>
      <c r="K15" s="29" t="str">
        <f>IF(E15="","入力してください","")</f>
        <v/>
      </c>
    </row>
    <row r="16" spans="1:11" ht="151.5" customHeight="1" x14ac:dyDescent="0.15">
      <c r="A16" s="29"/>
      <c r="B16" s="465" t="s">
        <v>68</v>
      </c>
      <c r="C16" s="466"/>
      <c r="D16" s="467"/>
      <c r="E16" s="443" t="s">
        <v>205</v>
      </c>
      <c r="F16" s="443"/>
      <c r="G16" s="443"/>
      <c r="H16" s="443"/>
      <c r="I16" s="443"/>
      <c r="J16" s="444"/>
      <c r="K16" s="29" t="str">
        <f>IF(E16="","入力してください","")</f>
        <v/>
      </c>
    </row>
    <row r="17" spans="1:11" ht="7.5" customHeight="1" x14ac:dyDescent="0.15">
      <c r="B17" s="35"/>
      <c r="C17" s="35"/>
      <c r="D17" s="35"/>
      <c r="E17" s="36"/>
      <c r="F17" s="36"/>
      <c r="G17" s="36"/>
      <c r="H17" s="36"/>
      <c r="I17" s="36"/>
      <c r="J17" s="36"/>
    </row>
    <row r="18" spans="1:11" ht="21.75" customHeight="1" x14ac:dyDescent="0.15">
      <c r="A18" s="1" t="s">
        <v>128</v>
      </c>
      <c r="B18" s="4"/>
      <c r="C18" s="35"/>
      <c r="D18" s="35"/>
      <c r="E18" s="36"/>
      <c r="F18" s="89"/>
      <c r="G18" s="468" t="s">
        <v>182</v>
      </c>
      <c r="H18" s="469"/>
      <c r="I18" s="469"/>
      <c r="J18" s="470"/>
      <c r="K18" s="29" t="str">
        <f>IF(G18="","入力してください","")</f>
        <v/>
      </c>
    </row>
    <row r="19" spans="1:11" ht="22.5" customHeight="1" x14ac:dyDescent="0.15">
      <c r="B19" s="35"/>
      <c r="C19" s="35"/>
      <c r="D19" s="35"/>
      <c r="E19" s="36"/>
      <c r="F19" s="36"/>
      <c r="G19" s="36"/>
      <c r="H19" s="36"/>
      <c r="I19" s="36"/>
      <c r="J19" s="36"/>
    </row>
    <row r="20" spans="1:11" ht="22.5" customHeight="1" x14ac:dyDescent="0.15">
      <c r="B20" s="35"/>
      <c r="C20" s="35"/>
      <c r="D20" s="35"/>
      <c r="E20" s="36"/>
      <c r="F20" s="36"/>
      <c r="G20" s="36"/>
      <c r="H20" s="36"/>
      <c r="I20" s="36"/>
      <c r="J20" s="36"/>
    </row>
    <row r="21" spans="1:11" ht="22.5" customHeight="1" x14ac:dyDescent="0.15">
      <c r="B21" s="35"/>
      <c r="C21" s="35"/>
      <c r="D21" s="35"/>
      <c r="E21" s="36"/>
      <c r="F21" s="36"/>
      <c r="G21" s="36"/>
      <c r="H21" s="36"/>
      <c r="I21" s="36"/>
      <c r="J21" s="36"/>
    </row>
    <row r="22" spans="1:11" ht="22.5" customHeight="1" x14ac:dyDescent="0.15">
      <c r="B22" s="35"/>
      <c r="C22" s="35"/>
      <c r="D22" s="35"/>
      <c r="E22" s="36"/>
      <c r="F22" s="36"/>
      <c r="G22" s="36"/>
      <c r="H22" s="36"/>
      <c r="I22" s="36"/>
      <c r="J22" s="36"/>
    </row>
    <row r="23" spans="1:11" ht="22.5" customHeight="1" x14ac:dyDescent="0.15">
      <c r="B23" s="35"/>
      <c r="C23" s="35"/>
      <c r="D23" s="35"/>
      <c r="E23" s="36"/>
      <c r="F23" s="36"/>
      <c r="G23" s="36"/>
      <c r="H23" s="36"/>
      <c r="I23" s="36"/>
      <c r="J23" s="36"/>
    </row>
    <row r="24" spans="1:11" ht="22.5" customHeight="1" x14ac:dyDescent="0.15">
      <c r="B24" s="101"/>
      <c r="C24" s="101"/>
      <c r="D24" s="101"/>
      <c r="E24" s="101"/>
      <c r="F24" s="101"/>
      <c r="G24" s="101"/>
      <c r="H24" s="101"/>
      <c r="I24" s="101"/>
      <c r="J24" s="101"/>
    </row>
    <row r="25" spans="1:11" ht="22.5" customHeight="1" x14ac:dyDescent="0.15">
      <c r="B25" s="101"/>
      <c r="C25" s="101"/>
      <c r="D25" s="101"/>
      <c r="E25" s="101"/>
      <c r="F25" s="101"/>
      <c r="G25" s="101"/>
      <c r="H25" s="101"/>
      <c r="I25" s="101"/>
      <c r="J25" s="101"/>
    </row>
    <row r="26" spans="1:11" ht="22.5" customHeight="1" x14ac:dyDescent="0.15">
      <c r="B26" s="101"/>
      <c r="C26" s="101"/>
      <c r="D26" s="101"/>
      <c r="E26" s="101"/>
      <c r="F26" s="101"/>
      <c r="G26" s="101"/>
      <c r="H26" s="101"/>
      <c r="I26" s="101"/>
      <c r="J26" s="101"/>
    </row>
    <row r="33" spans="8:8" ht="22.5" customHeight="1" x14ac:dyDescent="0.15">
      <c r="H33" s="164"/>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xr:uid="{00000000-0004-0000-0600-000000000000}"/>
  </hyperlinks>
  <printOptions horizontalCentered="1"/>
  <pageMargins left="0.78740157480314965" right="0.78740157480314965" top="0.78740157480314965" bottom="0.78740157480314965" header="0.31496062992125984" footer="0.31496062992125984"/>
  <pageSetup paperSize="9" orientation="landscape" r:id="rId2"/>
  <rowBreaks count="1" manualBreakCount="1">
    <brk id="11" max="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24"/>
  <sheetViews>
    <sheetView showZeros="0" view="pageBreakPreview" topLeftCell="A103" zoomScaleNormal="100" zoomScaleSheetLayoutView="100" workbookViewId="0">
      <selection activeCell="J136" sqref="J136"/>
    </sheetView>
  </sheetViews>
  <sheetFormatPr defaultColWidth="11.375" defaultRowHeight="18.75" customHeight="1" x14ac:dyDescent="0.15"/>
  <cols>
    <col min="1" max="1" width="3.375" style="12" customWidth="1"/>
    <col min="2" max="2" width="15.5" style="12" customWidth="1"/>
    <col min="3" max="3" width="37.75" style="12" customWidth="1"/>
    <col min="4" max="4" width="1.125" style="12" customWidth="1"/>
    <col min="5" max="5" width="21.125" style="12" customWidth="1"/>
    <col min="6" max="6" width="7.75" style="12" customWidth="1"/>
    <col min="7" max="7" width="2.25" style="12" customWidth="1"/>
    <col min="8" max="8" width="2.125" style="12" customWidth="1"/>
    <col min="9" max="16384" width="11.375" style="12"/>
  </cols>
  <sheetData>
    <row r="1" spans="1:6" ht="18.75" customHeight="1" x14ac:dyDescent="0.15">
      <c r="E1" s="477" t="s">
        <v>7</v>
      </c>
      <c r="F1" s="477"/>
    </row>
    <row r="2" spans="1:6" ht="18.75" customHeight="1" x14ac:dyDescent="0.15">
      <c r="A2" s="478" t="s">
        <v>197</v>
      </c>
      <c r="B2" s="478"/>
      <c r="C2" s="478"/>
      <c r="D2" s="478"/>
      <c r="E2" s="478"/>
      <c r="F2" s="478"/>
    </row>
    <row r="3" spans="1:6" ht="7.5" customHeight="1" x14ac:dyDescent="0.15">
      <c r="A3" s="27"/>
      <c r="B3" s="27"/>
      <c r="C3" s="27"/>
      <c r="D3" s="27"/>
      <c r="E3" s="27"/>
      <c r="F3" s="27"/>
    </row>
    <row r="4" spans="1:6" ht="18.75" customHeight="1" x14ac:dyDescent="0.15">
      <c r="A4" s="27" t="s">
        <v>6</v>
      </c>
      <c r="B4" s="13" t="s">
        <v>28</v>
      </c>
      <c r="C4" s="27"/>
      <c r="D4" s="27"/>
      <c r="E4" s="27"/>
      <c r="F4" s="27"/>
    </row>
    <row r="5" spans="1:6" ht="18.75" customHeight="1" x14ac:dyDescent="0.15">
      <c r="A5" s="27"/>
      <c r="B5" s="437" t="s">
        <v>212</v>
      </c>
      <c r="C5" s="435"/>
      <c r="D5" s="435"/>
      <c r="E5" s="435"/>
      <c r="F5" s="436"/>
    </row>
    <row r="6" spans="1:6" ht="18.75" customHeight="1" x14ac:dyDescent="0.15">
      <c r="A6" s="27"/>
      <c r="B6" s="426"/>
      <c r="C6" s="427"/>
      <c r="D6" s="427"/>
      <c r="E6" s="427"/>
      <c r="F6" s="428"/>
    </row>
    <row r="7" spans="1:6" ht="18.75" customHeight="1" x14ac:dyDescent="0.15">
      <c r="A7" s="27"/>
      <c r="B7" s="426"/>
      <c r="C7" s="427"/>
      <c r="D7" s="427"/>
      <c r="E7" s="427"/>
      <c r="F7" s="428"/>
    </row>
    <row r="8" spans="1:6" ht="18.75" customHeight="1" x14ac:dyDescent="0.15">
      <c r="A8" s="27"/>
      <c r="B8" s="426"/>
      <c r="C8" s="427"/>
      <c r="D8" s="427"/>
      <c r="E8" s="427"/>
      <c r="F8" s="428"/>
    </row>
    <row r="9" spans="1:6" ht="18.75" customHeight="1" x14ac:dyDescent="0.15">
      <c r="A9" s="27"/>
      <c r="B9" s="426"/>
      <c r="C9" s="427"/>
      <c r="D9" s="427"/>
      <c r="E9" s="427"/>
      <c r="F9" s="428"/>
    </row>
    <row r="10" spans="1:6" ht="18.75" customHeight="1" x14ac:dyDescent="0.15">
      <c r="A10" s="27"/>
      <c r="B10" s="426"/>
      <c r="C10" s="427"/>
      <c r="D10" s="427"/>
      <c r="E10" s="427"/>
      <c r="F10" s="428"/>
    </row>
    <row r="11" spans="1:6" ht="18.75" customHeight="1" x14ac:dyDescent="0.15">
      <c r="A11" s="27"/>
      <c r="B11" s="426"/>
      <c r="C11" s="427"/>
      <c r="D11" s="427"/>
      <c r="E11" s="427"/>
      <c r="F11" s="428"/>
    </row>
    <row r="12" spans="1:6" ht="18.75" customHeight="1" x14ac:dyDescent="0.15">
      <c r="A12" s="27"/>
      <c r="B12" s="426"/>
      <c r="C12" s="427"/>
      <c r="D12" s="427"/>
      <c r="E12" s="427"/>
      <c r="F12" s="428"/>
    </row>
    <row r="13" spans="1:6" ht="18.75" customHeight="1" x14ac:dyDescent="0.15">
      <c r="A13" s="27"/>
      <c r="B13" s="426"/>
      <c r="C13" s="427"/>
      <c r="D13" s="427"/>
      <c r="E13" s="427"/>
      <c r="F13" s="428"/>
    </row>
    <row r="14" spans="1:6" ht="18.75" customHeight="1" x14ac:dyDescent="0.15">
      <c r="A14" s="27"/>
      <c r="B14" s="426"/>
      <c r="C14" s="427"/>
      <c r="D14" s="427"/>
      <c r="E14" s="427"/>
      <c r="F14" s="428"/>
    </row>
    <row r="15" spans="1:6" ht="18.75" customHeight="1" x14ac:dyDescent="0.15">
      <c r="A15" s="27"/>
      <c r="B15" s="426"/>
      <c r="C15" s="427"/>
      <c r="D15" s="427"/>
      <c r="E15" s="427"/>
      <c r="F15" s="428"/>
    </row>
    <row r="16" spans="1:6" ht="18.75" customHeight="1" x14ac:dyDescent="0.15">
      <c r="A16" s="27"/>
      <c r="B16" s="426"/>
      <c r="C16" s="427"/>
      <c r="D16" s="427"/>
      <c r="E16" s="427"/>
      <c r="F16" s="428"/>
    </row>
    <row r="17" spans="1:6" ht="18.75" customHeight="1" x14ac:dyDescent="0.15">
      <c r="A17" s="27"/>
      <c r="B17" s="426"/>
      <c r="C17" s="427"/>
      <c r="D17" s="427"/>
      <c r="E17" s="427"/>
      <c r="F17" s="428"/>
    </row>
    <row r="18" spans="1:6" ht="18.75" customHeight="1" x14ac:dyDescent="0.15">
      <c r="A18" s="27"/>
      <c r="B18" s="426"/>
      <c r="C18" s="427"/>
      <c r="D18" s="427"/>
      <c r="E18" s="427"/>
      <c r="F18" s="428"/>
    </row>
    <row r="19" spans="1:6" ht="18.75" customHeight="1" x14ac:dyDescent="0.15">
      <c r="A19" s="27"/>
      <c r="B19" s="426"/>
      <c r="C19" s="427"/>
      <c r="D19" s="427"/>
      <c r="E19" s="427"/>
      <c r="F19" s="428"/>
    </row>
    <row r="20" spans="1:6" ht="18.75" customHeight="1" x14ac:dyDescent="0.15">
      <c r="A20" s="27"/>
      <c r="B20" s="426"/>
      <c r="C20" s="427"/>
      <c r="D20" s="427"/>
      <c r="E20" s="427"/>
      <c r="F20" s="428"/>
    </row>
    <row r="21" spans="1:6" ht="18.75" customHeight="1" x14ac:dyDescent="0.15">
      <c r="A21" s="27"/>
      <c r="B21" s="426"/>
      <c r="C21" s="427"/>
      <c r="D21" s="427"/>
      <c r="E21" s="427"/>
      <c r="F21" s="428"/>
    </row>
    <row r="22" spans="1:6" ht="18.75" customHeight="1" x14ac:dyDescent="0.15">
      <c r="A22" s="27"/>
      <c r="B22" s="426"/>
      <c r="C22" s="427"/>
      <c r="D22" s="427"/>
      <c r="E22" s="427"/>
      <c r="F22" s="428"/>
    </row>
    <row r="23" spans="1:6" ht="18.75" customHeight="1" x14ac:dyDescent="0.15">
      <c r="A23" s="27"/>
      <c r="B23" s="426"/>
      <c r="C23" s="427"/>
      <c r="D23" s="427"/>
      <c r="E23" s="427"/>
      <c r="F23" s="428"/>
    </row>
    <row r="24" spans="1:6" ht="18.75" customHeight="1" x14ac:dyDescent="0.15">
      <c r="A24" s="27"/>
      <c r="B24" s="426"/>
      <c r="C24" s="427"/>
      <c r="D24" s="427"/>
      <c r="E24" s="427"/>
      <c r="F24" s="428"/>
    </row>
    <row r="25" spans="1:6" ht="18.75" customHeight="1" x14ac:dyDescent="0.15">
      <c r="A25" s="27"/>
      <c r="B25" s="426"/>
      <c r="C25" s="427"/>
      <c r="D25" s="427"/>
      <c r="E25" s="427"/>
      <c r="F25" s="428"/>
    </row>
    <row r="26" spans="1:6" ht="18.75" customHeight="1" x14ac:dyDescent="0.15">
      <c r="A26" s="27"/>
      <c r="B26" s="426"/>
      <c r="C26" s="427"/>
      <c r="D26" s="427"/>
      <c r="E26" s="427"/>
      <c r="F26" s="428"/>
    </row>
    <row r="27" spans="1:6" ht="18.75" customHeight="1" x14ac:dyDescent="0.15">
      <c r="A27" s="27"/>
      <c r="B27" s="426"/>
      <c r="C27" s="427"/>
      <c r="D27" s="427"/>
      <c r="E27" s="427"/>
      <c r="F27" s="428"/>
    </row>
    <row r="28" spans="1:6" ht="18.75" customHeight="1" x14ac:dyDescent="0.15">
      <c r="A28" s="27"/>
      <c r="B28" s="426"/>
      <c r="C28" s="427"/>
      <c r="D28" s="427"/>
      <c r="E28" s="427"/>
      <c r="F28" s="428"/>
    </row>
    <row r="29" spans="1:6" ht="18.75" customHeight="1" x14ac:dyDescent="0.15">
      <c r="A29" s="27"/>
      <c r="B29" s="426"/>
      <c r="C29" s="427"/>
      <c r="D29" s="427"/>
      <c r="E29" s="427"/>
      <c r="F29" s="428"/>
    </row>
    <row r="30" spans="1:6" ht="18.75" customHeight="1" x14ac:dyDescent="0.15">
      <c r="A30" s="27"/>
      <c r="B30" s="426"/>
      <c r="C30" s="427"/>
      <c r="D30" s="427"/>
      <c r="E30" s="427"/>
      <c r="F30" s="428"/>
    </row>
    <row r="31" spans="1:6" ht="18.75" customHeight="1" x14ac:dyDescent="0.15">
      <c r="A31" s="27"/>
      <c r="B31" s="426"/>
      <c r="C31" s="427"/>
      <c r="D31" s="427"/>
      <c r="E31" s="427"/>
      <c r="F31" s="428"/>
    </row>
    <row r="32" spans="1:6" ht="18.75" customHeight="1" x14ac:dyDescent="0.15">
      <c r="A32" s="27"/>
      <c r="B32" s="426"/>
      <c r="C32" s="427"/>
      <c r="D32" s="427"/>
      <c r="E32" s="427"/>
      <c r="F32" s="428"/>
    </row>
    <row r="33" spans="1:6" ht="18.75" customHeight="1" x14ac:dyDescent="0.15">
      <c r="A33" s="27"/>
      <c r="B33" s="426"/>
      <c r="C33" s="427"/>
      <c r="D33" s="427"/>
      <c r="E33" s="427"/>
      <c r="F33" s="428"/>
    </row>
    <row r="34" spans="1:6" ht="18.75" customHeight="1" x14ac:dyDescent="0.15">
      <c r="A34" s="27"/>
      <c r="B34" s="426"/>
      <c r="C34" s="427"/>
      <c r="D34" s="427"/>
      <c r="E34" s="427"/>
      <c r="F34" s="428"/>
    </row>
    <row r="35" spans="1:6" ht="18.75" customHeight="1" x14ac:dyDescent="0.15">
      <c r="A35" s="27"/>
      <c r="B35" s="426"/>
      <c r="C35" s="427"/>
      <c r="D35" s="427"/>
      <c r="E35" s="427"/>
      <c r="F35" s="428"/>
    </row>
    <row r="36" spans="1:6" ht="18.75" customHeight="1" x14ac:dyDescent="0.15">
      <c r="A36" s="27"/>
      <c r="B36" s="426"/>
      <c r="C36" s="427"/>
      <c r="D36" s="427"/>
      <c r="E36" s="427"/>
      <c r="F36" s="428"/>
    </row>
    <row r="37" spans="1:6" ht="18.75" customHeight="1" x14ac:dyDescent="0.15">
      <c r="A37" s="27"/>
      <c r="B37" s="426"/>
      <c r="C37" s="427"/>
      <c r="D37" s="427"/>
      <c r="E37" s="427"/>
      <c r="F37" s="428"/>
    </row>
    <row r="38" spans="1:6" ht="18.75" customHeight="1" x14ac:dyDescent="0.15">
      <c r="A38" s="27"/>
      <c r="B38" s="426"/>
      <c r="C38" s="427"/>
      <c r="D38" s="427"/>
      <c r="E38" s="427"/>
      <c r="F38" s="428"/>
    </row>
    <row r="39" spans="1:6" ht="18.75" customHeight="1" x14ac:dyDescent="0.15">
      <c r="A39" s="27"/>
      <c r="B39" s="426"/>
      <c r="C39" s="427"/>
      <c r="D39" s="427"/>
      <c r="E39" s="427"/>
      <c r="F39" s="428"/>
    </row>
    <row r="40" spans="1:6" ht="18.75" customHeight="1" x14ac:dyDescent="0.15">
      <c r="A40" s="27"/>
      <c r="B40" s="426"/>
      <c r="C40" s="427"/>
      <c r="D40" s="427"/>
      <c r="E40" s="427"/>
      <c r="F40" s="428"/>
    </row>
    <row r="41" spans="1:6" ht="18.75" customHeight="1" x14ac:dyDescent="0.15">
      <c r="A41" s="27"/>
      <c r="B41" s="426"/>
      <c r="C41" s="427"/>
      <c r="D41" s="427"/>
      <c r="E41" s="427"/>
      <c r="F41" s="428"/>
    </row>
    <row r="42" spans="1:6" ht="18.75" customHeight="1" x14ac:dyDescent="0.15">
      <c r="A42" s="27"/>
      <c r="B42" s="429"/>
      <c r="C42" s="430"/>
      <c r="D42" s="430"/>
      <c r="E42" s="430"/>
      <c r="F42" s="431"/>
    </row>
    <row r="43" spans="1:6" ht="18.75" customHeight="1" x14ac:dyDescent="0.15">
      <c r="A43" s="27" t="s">
        <v>10</v>
      </c>
      <c r="B43" s="13" t="s">
        <v>73</v>
      </c>
      <c r="C43" s="27"/>
      <c r="D43" s="27"/>
      <c r="E43" s="27"/>
      <c r="F43" s="27"/>
    </row>
    <row r="44" spans="1:6" ht="18.75" customHeight="1" x14ac:dyDescent="0.15">
      <c r="A44" s="27"/>
      <c r="B44" s="437" t="s">
        <v>208</v>
      </c>
      <c r="C44" s="435"/>
      <c r="D44" s="435"/>
      <c r="E44" s="435"/>
      <c r="F44" s="436"/>
    </row>
    <row r="45" spans="1:6" ht="18.75" customHeight="1" x14ac:dyDescent="0.15">
      <c r="A45" s="27"/>
      <c r="B45" s="426"/>
      <c r="C45" s="427"/>
      <c r="D45" s="427"/>
      <c r="E45" s="427"/>
      <c r="F45" s="428"/>
    </row>
    <row r="46" spans="1:6" ht="18.75" customHeight="1" x14ac:dyDescent="0.15">
      <c r="A46" s="27"/>
      <c r="B46" s="426"/>
      <c r="C46" s="427"/>
      <c r="D46" s="427"/>
      <c r="E46" s="427"/>
      <c r="F46" s="428"/>
    </row>
    <row r="47" spans="1:6" ht="18.75" customHeight="1" x14ac:dyDescent="0.15">
      <c r="A47" s="27"/>
      <c r="B47" s="426"/>
      <c r="C47" s="427"/>
      <c r="D47" s="427"/>
      <c r="E47" s="427"/>
      <c r="F47" s="428"/>
    </row>
    <row r="48" spans="1:6" ht="18.75" customHeight="1" x14ac:dyDescent="0.15">
      <c r="A48" s="27"/>
      <c r="B48" s="426"/>
      <c r="C48" s="427"/>
      <c r="D48" s="427"/>
      <c r="E48" s="427"/>
      <c r="F48" s="428"/>
    </row>
    <row r="49" spans="1:6" ht="18.75" customHeight="1" x14ac:dyDescent="0.15">
      <c r="A49" s="27"/>
      <c r="B49" s="426"/>
      <c r="C49" s="427"/>
      <c r="D49" s="427"/>
      <c r="E49" s="427"/>
      <c r="F49" s="428"/>
    </row>
    <row r="50" spans="1:6" ht="18.75" customHeight="1" x14ac:dyDescent="0.15">
      <c r="A50" s="27"/>
      <c r="B50" s="426"/>
      <c r="C50" s="427"/>
      <c r="D50" s="427"/>
      <c r="E50" s="427"/>
      <c r="F50" s="428"/>
    </row>
    <row r="51" spans="1:6" ht="18.75" customHeight="1" x14ac:dyDescent="0.15">
      <c r="A51" s="27"/>
      <c r="B51" s="426"/>
      <c r="C51" s="427"/>
      <c r="D51" s="427"/>
      <c r="E51" s="427"/>
      <c r="F51" s="428"/>
    </row>
    <row r="52" spans="1:6" ht="18.75" customHeight="1" x14ac:dyDescent="0.15">
      <c r="A52" s="27"/>
      <c r="B52" s="426"/>
      <c r="C52" s="427"/>
      <c r="D52" s="427"/>
      <c r="E52" s="427"/>
      <c r="F52" s="428"/>
    </row>
    <row r="53" spans="1:6" ht="18.75" customHeight="1" x14ac:dyDescent="0.15">
      <c r="A53" s="27"/>
      <c r="B53" s="426"/>
      <c r="C53" s="427"/>
      <c r="D53" s="427"/>
      <c r="E53" s="427"/>
      <c r="F53" s="428"/>
    </row>
    <row r="54" spans="1:6" ht="18.75" customHeight="1" x14ac:dyDescent="0.15">
      <c r="A54" s="27"/>
      <c r="B54" s="426"/>
      <c r="C54" s="427"/>
      <c r="D54" s="427"/>
      <c r="E54" s="427"/>
      <c r="F54" s="428"/>
    </row>
    <row r="55" spans="1:6" ht="18.75" customHeight="1" x14ac:dyDescent="0.15">
      <c r="A55" s="27"/>
      <c r="B55" s="426"/>
      <c r="C55" s="427"/>
      <c r="D55" s="427"/>
      <c r="E55" s="427"/>
      <c r="F55" s="428"/>
    </row>
    <row r="56" spans="1:6" ht="18.75" customHeight="1" x14ac:dyDescent="0.15">
      <c r="A56" s="27"/>
      <c r="B56" s="426"/>
      <c r="C56" s="427"/>
      <c r="D56" s="427"/>
      <c r="E56" s="427"/>
      <c r="F56" s="428"/>
    </row>
    <row r="57" spans="1:6" ht="18.75" customHeight="1" x14ac:dyDescent="0.15">
      <c r="A57" s="27"/>
      <c r="B57" s="426"/>
      <c r="C57" s="427"/>
      <c r="D57" s="427"/>
      <c r="E57" s="427"/>
      <c r="F57" s="428"/>
    </row>
    <row r="58" spans="1:6" ht="18.75" customHeight="1" x14ac:dyDescent="0.15">
      <c r="A58" s="27"/>
      <c r="B58" s="426"/>
      <c r="C58" s="427"/>
      <c r="D58" s="427"/>
      <c r="E58" s="427"/>
      <c r="F58" s="428"/>
    </row>
    <row r="59" spans="1:6" ht="18.75" customHeight="1" x14ac:dyDescent="0.15">
      <c r="A59" s="27"/>
      <c r="B59" s="426"/>
      <c r="C59" s="427"/>
      <c r="D59" s="427"/>
      <c r="E59" s="427"/>
      <c r="F59" s="428"/>
    </row>
    <row r="60" spans="1:6" ht="18.75" customHeight="1" x14ac:dyDescent="0.15">
      <c r="A60" s="27"/>
      <c r="B60" s="426"/>
      <c r="C60" s="427"/>
      <c r="D60" s="427"/>
      <c r="E60" s="427"/>
      <c r="F60" s="428"/>
    </row>
    <row r="61" spans="1:6" ht="18.75" customHeight="1" x14ac:dyDescent="0.15">
      <c r="A61" s="27"/>
      <c r="B61" s="426"/>
      <c r="C61" s="427"/>
      <c r="D61" s="427"/>
      <c r="E61" s="427"/>
      <c r="F61" s="428"/>
    </row>
    <row r="62" spans="1:6" ht="18.75" customHeight="1" x14ac:dyDescent="0.15">
      <c r="A62" s="27"/>
      <c r="B62" s="426"/>
      <c r="C62" s="427"/>
      <c r="D62" s="427"/>
      <c r="E62" s="427"/>
      <c r="F62" s="428"/>
    </row>
    <row r="63" spans="1:6" ht="18.75" customHeight="1" x14ac:dyDescent="0.15">
      <c r="A63" s="27"/>
      <c r="B63" s="426"/>
      <c r="C63" s="427"/>
      <c r="D63" s="427"/>
      <c r="E63" s="427"/>
      <c r="F63" s="428"/>
    </row>
    <row r="64" spans="1:6" ht="18.75" customHeight="1" x14ac:dyDescent="0.15">
      <c r="A64" s="27"/>
      <c r="B64" s="426"/>
      <c r="C64" s="427"/>
      <c r="D64" s="427"/>
      <c r="E64" s="427"/>
      <c r="F64" s="428"/>
    </row>
    <row r="65" spans="1:6" ht="18.75" customHeight="1" x14ac:dyDescent="0.15">
      <c r="A65" s="27"/>
      <c r="B65" s="426"/>
      <c r="C65" s="427"/>
      <c r="D65" s="427"/>
      <c r="E65" s="427"/>
      <c r="F65" s="428"/>
    </row>
    <row r="66" spans="1:6" ht="18.75" customHeight="1" x14ac:dyDescent="0.15">
      <c r="A66" s="27"/>
      <c r="B66" s="426"/>
      <c r="C66" s="427"/>
      <c r="D66" s="427"/>
      <c r="E66" s="427"/>
      <c r="F66" s="428"/>
    </row>
    <row r="67" spans="1:6" ht="18.75" customHeight="1" x14ac:dyDescent="0.15">
      <c r="A67" s="27"/>
      <c r="B67" s="426"/>
      <c r="C67" s="427"/>
      <c r="D67" s="427"/>
      <c r="E67" s="427"/>
      <c r="F67" s="428"/>
    </row>
    <row r="68" spans="1:6" ht="18.75" customHeight="1" x14ac:dyDescent="0.15">
      <c r="A68" s="27"/>
      <c r="B68" s="426"/>
      <c r="C68" s="427"/>
      <c r="D68" s="427"/>
      <c r="E68" s="427"/>
      <c r="F68" s="428"/>
    </row>
    <row r="69" spans="1:6" ht="18.75" customHeight="1" x14ac:dyDescent="0.15">
      <c r="A69" s="27"/>
      <c r="B69" s="426"/>
      <c r="C69" s="427"/>
      <c r="D69" s="427"/>
      <c r="E69" s="427"/>
      <c r="F69" s="428"/>
    </row>
    <row r="70" spans="1:6" ht="18.75" customHeight="1" x14ac:dyDescent="0.15">
      <c r="A70" s="27"/>
      <c r="B70" s="426"/>
      <c r="C70" s="427"/>
      <c r="D70" s="427"/>
      <c r="E70" s="427"/>
      <c r="F70" s="428"/>
    </row>
    <row r="71" spans="1:6" ht="18.75" customHeight="1" x14ac:dyDescent="0.15">
      <c r="A71" s="27"/>
      <c r="B71" s="426"/>
      <c r="C71" s="427"/>
      <c r="D71" s="427"/>
      <c r="E71" s="427"/>
      <c r="F71" s="428"/>
    </row>
    <row r="72" spans="1:6" ht="18.75" customHeight="1" x14ac:dyDescent="0.15">
      <c r="A72" s="27"/>
      <c r="B72" s="426"/>
      <c r="C72" s="427"/>
      <c r="D72" s="427"/>
      <c r="E72" s="427"/>
      <c r="F72" s="428"/>
    </row>
    <row r="73" spans="1:6" ht="18.75" customHeight="1" x14ac:dyDescent="0.15">
      <c r="A73" s="27"/>
      <c r="B73" s="426"/>
      <c r="C73" s="427"/>
      <c r="D73" s="427"/>
      <c r="E73" s="427"/>
      <c r="F73" s="428"/>
    </row>
    <row r="74" spans="1:6" ht="18.75" customHeight="1" x14ac:dyDescent="0.15">
      <c r="A74" s="27"/>
      <c r="B74" s="426"/>
      <c r="C74" s="427"/>
      <c r="D74" s="427"/>
      <c r="E74" s="427"/>
      <c r="F74" s="428"/>
    </row>
    <row r="75" spans="1:6" ht="18.75" customHeight="1" x14ac:dyDescent="0.15">
      <c r="A75" s="27"/>
      <c r="B75" s="426"/>
      <c r="C75" s="427"/>
      <c r="D75" s="427"/>
      <c r="E75" s="427"/>
      <c r="F75" s="428"/>
    </row>
    <row r="76" spans="1:6" ht="18.75" customHeight="1" x14ac:dyDescent="0.15">
      <c r="A76" s="27"/>
      <c r="B76" s="426"/>
      <c r="C76" s="427"/>
      <c r="D76" s="427"/>
      <c r="E76" s="427"/>
      <c r="F76" s="428"/>
    </row>
    <row r="77" spans="1:6" ht="18.75" customHeight="1" x14ac:dyDescent="0.15">
      <c r="A77" s="27"/>
      <c r="B77" s="426"/>
      <c r="C77" s="427"/>
      <c r="D77" s="427"/>
      <c r="E77" s="427"/>
      <c r="F77" s="428"/>
    </row>
    <row r="78" spans="1:6" ht="18.75" customHeight="1" x14ac:dyDescent="0.15">
      <c r="A78" s="27"/>
      <c r="B78" s="426"/>
      <c r="C78" s="427"/>
      <c r="D78" s="427"/>
      <c r="E78" s="427"/>
      <c r="F78" s="428"/>
    </row>
    <row r="79" spans="1:6" ht="18.75" customHeight="1" x14ac:dyDescent="0.15">
      <c r="A79" s="27"/>
      <c r="B79" s="426"/>
      <c r="C79" s="427"/>
      <c r="D79" s="427"/>
      <c r="E79" s="427"/>
      <c r="F79" s="428"/>
    </row>
    <row r="80" spans="1:6" ht="18.75" customHeight="1" x14ac:dyDescent="0.15">
      <c r="A80" s="27"/>
      <c r="B80" s="426"/>
      <c r="C80" s="427"/>
      <c r="D80" s="427"/>
      <c r="E80" s="427"/>
      <c r="F80" s="428"/>
    </row>
    <row r="81" spans="1:6" ht="18.75" customHeight="1" x14ac:dyDescent="0.15">
      <c r="A81" s="27"/>
      <c r="B81" s="426"/>
      <c r="C81" s="427"/>
      <c r="D81" s="427"/>
      <c r="E81" s="427"/>
      <c r="F81" s="428"/>
    </row>
    <row r="82" spans="1:6" ht="18.75" customHeight="1" x14ac:dyDescent="0.15">
      <c r="A82" s="27"/>
      <c r="B82" s="426"/>
      <c r="C82" s="427"/>
      <c r="D82" s="427"/>
      <c r="E82" s="427"/>
      <c r="F82" s="428"/>
    </row>
    <row r="83" spans="1:6" ht="18.75" customHeight="1" x14ac:dyDescent="0.15">
      <c r="A83" s="27"/>
      <c r="B83" s="429"/>
      <c r="C83" s="430"/>
      <c r="D83" s="430"/>
      <c r="E83" s="430"/>
      <c r="F83" s="431"/>
    </row>
    <row r="84" spans="1:6" ht="18.75" customHeight="1" x14ac:dyDescent="0.15">
      <c r="A84" s="13" t="s">
        <v>11</v>
      </c>
      <c r="B84" s="13" t="s">
        <v>74</v>
      </c>
      <c r="C84" s="13"/>
      <c r="D84" s="13"/>
      <c r="E84" s="13"/>
      <c r="F84" s="13"/>
    </row>
    <row r="85" spans="1:6" ht="18.75" customHeight="1" x14ac:dyDescent="0.15">
      <c r="A85" s="27"/>
      <c r="B85" s="437" t="s">
        <v>209</v>
      </c>
      <c r="C85" s="435"/>
      <c r="D85" s="435"/>
      <c r="E85" s="435"/>
      <c r="F85" s="436"/>
    </row>
    <row r="86" spans="1:6" ht="18.75" customHeight="1" x14ac:dyDescent="0.15">
      <c r="A86" s="27"/>
      <c r="B86" s="426"/>
      <c r="C86" s="427"/>
      <c r="D86" s="427"/>
      <c r="E86" s="427"/>
      <c r="F86" s="428"/>
    </row>
    <row r="87" spans="1:6" ht="18.75" customHeight="1" x14ac:dyDescent="0.15">
      <c r="A87" s="27"/>
      <c r="B87" s="426"/>
      <c r="C87" s="427"/>
      <c r="D87" s="427"/>
      <c r="E87" s="427"/>
      <c r="F87" s="428"/>
    </row>
    <row r="88" spans="1:6" ht="18.75" customHeight="1" x14ac:dyDescent="0.15">
      <c r="A88" s="27"/>
      <c r="B88" s="426"/>
      <c r="C88" s="427"/>
      <c r="D88" s="427"/>
      <c r="E88" s="427"/>
      <c r="F88" s="428"/>
    </row>
    <row r="89" spans="1:6" ht="18.75" customHeight="1" x14ac:dyDescent="0.15">
      <c r="A89" s="27"/>
      <c r="B89" s="426"/>
      <c r="C89" s="427"/>
      <c r="D89" s="427"/>
      <c r="E89" s="427"/>
      <c r="F89" s="428"/>
    </row>
    <row r="90" spans="1:6" ht="18.75" customHeight="1" x14ac:dyDescent="0.15">
      <c r="A90" s="27"/>
      <c r="B90" s="426"/>
      <c r="C90" s="427"/>
      <c r="D90" s="427"/>
      <c r="E90" s="427"/>
      <c r="F90" s="428"/>
    </row>
    <row r="91" spans="1:6" ht="18.75" customHeight="1" x14ac:dyDescent="0.15">
      <c r="A91" s="27"/>
      <c r="B91" s="426"/>
      <c r="C91" s="427"/>
      <c r="D91" s="427"/>
      <c r="E91" s="427"/>
      <c r="F91" s="428"/>
    </row>
    <row r="92" spans="1:6" ht="18.75" customHeight="1" x14ac:dyDescent="0.15">
      <c r="A92" s="27"/>
      <c r="B92" s="426"/>
      <c r="C92" s="427"/>
      <c r="D92" s="427"/>
      <c r="E92" s="427"/>
      <c r="F92" s="428"/>
    </row>
    <row r="93" spans="1:6" ht="18.75" customHeight="1" x14ac:dyDescent="0.15">
      <c r="A93" s="27"/>
      <c r="B93" s="426"/>
      <c r="C93" s="427"/>
      <c r="D93" s="427"/>
      <c r="E93" s="427"/>
      <c r="F93" s="428"/>
    </row>
    <row r="94" spans="1:6" ht="18.75" customHeight="1" x14ac:dyDescent="0.15">
      <c r="A94" s="27"/>
      <c r="B94" s="426"/>
      <c r="C94" s="427"/>
      <c r="D94" s="427"/>
      <c r="E94" s="427"/>
      <c r="F94" s="428"/>
    </row>
    <row r="95" spans="1:6" ht="18.75" customHeight="1" x14ac:dyDescent="0.15">
      <c r="A95" s="27"/>
      <c r="B95" s="426"/>
      <c r="C95" s="427"/>
      <c r="D95" s="427"/>
      <c r="E95" s="427"/>
      <c r="F95" s="428"/>
    </row>
    <row r="96" spans="1:6" ht="18.75" customHeight="1" x14ac:dyDescent="0.15">
      <c r="A96" s="27"/>
      <c r="B96" s="426"/>
      <c r="C96" s="427"/>
      <c r="D96" s="427"/>
      <c r="E96" s="427"/>
      <c r="F96" s="428"/>
    </row>
    <row r="97" spans="1:6" ht="18.75" customHeight="1" x14ac:dyDescent="0.15">
      <c r="A97" s="27"/>
      <c r="B97" s="426"/>
      <c r="C97" s="427"/>
      <c r="D97" s="427"/>
      <c r="E97" s="427"/>
      <c r="F97" s="428"/>
    </row>
    <row r="98" spans="1:6" ht="18.75" customHeight="1" x14ac:dyDescent="0.15">
      <c r="A98" s="27"/>
      <c r="B98" s="426"/>
      <c r="C98" s="427"/>
      <c r="D98" s="427"/>
      <c r="E98" s="427"/>
      <c r="F98" s="428"/>
    </row>
    <row r="99" spans="1:6" ht="18.75" customHeight="1" x14ac:dyDescent="0.15">
      <c r="A99" s="27"/>
      <c r="B99" s="426"/>
      <c r="C99" s="427"/>
      <c r="D99" s="427"/>
      <c r="E99" s="427"/>
      <c r="F99" s="428"/>
    </row>
    <row r="100" spans="1:6" ht="18.75" customHeight="1" x14ac:dyDescent="0.15">
      <c r="A100" s="27"/>
      <c r="B100" s="426"/>
      <c r="C100" s="427"/>
      <c r="D100" s="427"/>
      <c r="E100" s="427"/>
      <c r="F100" s="428"/>
    </row>
    <row r="101" spans="1:6" ht="18.75" customHeight="1" x14ac:dyDescent="0.15">
      <c r="A101" s="27"/>
      <c r="B101" s="426"/>
      <c r="C101" s="427"/>
      <c r="D101" s="427"/>
      <c r="E101" s="427"/>
      <c r="F101" s="428"/>
    </row>
    <row r="102" spans="1:6" ht="18.75" customHeight="1" x14ac:dyDescent="0.15">
      <c r="A102" s="27"/>
      <c r="B102" s="426"/>
      <c r="C102" s="427"/>
      <c r="D102" s="427"/>
      <c r="E102" s="427"/>
      <c r="F102" s="428"/>
    </row>
    <row r="103" spans="1:6" ht="18.75" customHeight="1" x14ac:dyDescent="0.15">
      <c r="A103" s="27"/>
      <c r="B103" s="426"/>
      <c r="C103" s="427"/>
      <c r="D103" s="427"/>
      <c r="E103" s="427"/>
      <c r="F103" s="428"/>
    </row>
    <row r="104" spans="1:6" ht="18.75" customHeight="1" x14ac:dyDescent="0.15">
      <c r="A104" s="27"/>
      <c r="B104" s="426"/>
      <c r="C104" s="427"/>
      <c r="D104" s="427"/>
      <c r="E104" s="427"/>
      <c r="F104" s="428"/>
    </row>
    <row r="105" spans="1:6" ht="18.75" customHeight="1" x14ac:dyDescent="0.15">
      <c r="A105" s="27"/>
      <c r="B105" s="426"/>
      <c r="C105" s="427"/>
      <c r="D105" s="427"/>
      <c r="E105" s="427"/>
      <c r="F105" s="428"/>
    </row>
    <row r="106" spans="1:6" ht="18.75" customHeight="1" x14ac:dyDescent="0.15">
      <c r="A106" s="27"/>
      <c r="B106" s="426"/>
      <c r="C106" s="427"/>
      <c r="D106" s="427"/>
      <c r="E106" s="427"/>
      <c r="F106" s="428"/>
    </row>
    <row r="107" spans="1:6" ht="18.75" customHeight="1" x14ac:dyDescent="0.15">
      <c r="A107" s="27"/>
      <c r="B107" s="426"/>
      <c r="C107" s="427"/>
      <c r="D107" s="427"/>
      <c r="E107" s="427"/>
      <c r="F107" s="428"/>
    </row>
    <row r="108" spans="1:6" ht="18.75" customHeight="1" x14ac:dyDescent="0.15">
      <c r="A108" s="27"/>
      <c r="B108" s="426"/>
      <c r="C108" s="427"/>
      <c r="D108" s="427"/>
      <c r="E108" s="427"/>
      <c r="F108" s="428"/>
    </row>
    <row r="109" spans="1:6" ht="18.75" customHeight="1" x14ac:dyDescent="0.15">
      <c r="A109" s="27"/>
      <c r="B109" s="426"/>
      <c r="C109" s="427"/>
      <c r="D109" s="427"/>
      <c r="E109" s="427"/>
      <c r="F109" s="428"/>
    </row>
    <row r="110" spans="1:6" ht="18.75" customHeight="1" x14ac:dyDescent="0.15">
      <c r="A110" s="27"/>
      <c r="B110" s="426"/>
      <c r="C110" s="427"/>
      <c r="D110" s="427"/>
      <c r="E110" s="427"/>
      <c r="F110" s="428"/>
    </row>
    <row r="111" spans="1:6" ht="18.75" customHeight="1" x14ac:dyDescent="0.15">
      <c r="A111" s="27"/>
      <c r="B111" s="426"/>
      <c r="C111" s="427"/>
      <c r="D111" s="427"/>
      <c r="E111" s="427"/>
      <c r="F111" s="428"/>
    </row>
    <row r="112" spans="1:6" ht="18.75" customHeight="1" x14ac:dyDescent="0.15">
      <c r="A112" s="27"/>
      <c r="B112" s="426"/>
      <c r="C112" s="427"/>
      <c r="D112" s="427"/>
      <c r="E112" s="427"/>
      <c r="F112" s="428"/>
    </row>
    <row r="113" spans="1:6" ht="18.75" customHeight="1" x14ac:dyDescent="0.15">
      <c r="A113" s="27"/>
      <c r="B113" s="426"/>
      <c r="C113" s="427"/>
      <c r="D113" s="427"/>
      <c r="E113" s="427"/>
      <c r="F113" s="428"/>
    </row>
    <row r="114" spans="1:6" ht="18.75" customHeight="1" x14ac:dyDescent="0.15">
      <c r="A114" s="27"/>
      <c r="B114" s="426"/>
      <c r="C114" s="427"/>
      <c r="D114" s="427"/>
      <c r="E114" s="427"/>
      <c r="F114" s="428"/>
    </row>
    <row r="115" spans="1:6" ht="18.75" customHeight="1" x14ac:dyDescent="0.15">
      <c r="A115" s="27"/>
      <c r="B115" s="426"/>
      <c r="C115" s="427"/>
      <c r="D115" s="427"/>
      <c r="E115" s="427"/>
      <c r="F115" s="428"/>
    </row>
    <row r="116" spans="1:6" ht="18.75" customHeight="1" x14ac:dyDescent="0.15">
      <c r="A116" s="27"/>
      <c r="B116" s="426"/>
      <c r="C116" s="427"/>
      <c r="D116" s="427"/>
      <c r="E116" s="427"/>
      <c r="F116" s="428"/>
    </row>
    <row r="117" spans="1:6" ht="18.75" customHeight="1" x14ac:dyDescent="0.15">
      <c r="A117" s="27"/>
      <c r="B117" s="426"/>
      <c r="C117" s="427"/>
      <c r="D117" s="427"/>
      <c r="E117" s="427"/>
      <c r="F117" s="428"/>
    </row>
    <row r="118" spans="1:6" ht="18.75" customHeight="1" x14ac:dyDescent="0.15">
      <c r="A118" s="27"/>
      <c r="B118" s="426"/>
      <c r="C118" s="427"/>
      <c r="D118" s="427"/>
      <c r="E118" s="427"/>
      <c r="F118" s="428"/>
    </row>
    <row r="119" spans="1:6" ht="18.75" customHeight="1" x14ac:dyDescent="0.15">
      <c r="A119" s="27"/>
      <c r="B119" s="426"/>
      <c r="C119" s="427"/>
      <c r="D119" s="427"/>
      <c r="E119" s="427"/>
      <c r="F119" s="428"/>
    </row>
    <row r="120" spans="1:6" ht="18.75" customHeight="1" x14ac:dyDescent="0.15">
      <c r="A120" s="27"/>
      <c r="B120" s="426"/>
      <c r="C120" s="427"/>
      <c r="D120" s="427"/>
      <c r="E120" s="427"/>
      <c r="F120" s="428"/>
    </row>
    <row r="121" spans="1:6" ht="18.75" customHeight="1" x14ac:dyDescent="0.15">
      <c r="A121" s="27"/>
      <c r="B121" s="426"/>
      <c r="C121" s="427"/>
      <c r="D121" s="427"/>
      <c r="E121" s="427"/>
      <c r="F121" s="428"/>
    </row>
    <row r="122" spans="1:6" ht="18.75" customHeight="1" x14ac:dyDescent="0.15">
      <c r="A122" s="27"/>
      <c r="B122" s="426"/>
      <c r="C122" s="427"/>
      <c r="D122" s="427"/>
      <c r="E122" s="427"/>
      <c r="F122" s="428"/>
    </row>
    <row r="123" spans="1:6" ht="18.75" customHeight="1" x14ac:dyDescent="0.15">
      <c r="A123" s="27"/>
      <c r="B123" s="426"/>
      <c r="C123" s="427"/>
      <c r="D123" s="427"/>
      <c r="E123" s="427"/>
      <c r="F123" s="428"/>
    </row>
    <row r="124" spans="1:6" ht="18.75" customHeight="1" x14ac:dyDescent="0.15">
      <c r="A124" s="27"/>
      <c r="B124" s="429"/>
      <c r="C124" s="430"/>
      <c r="D124" s="430"/>
      <c r="E124" s="430"/>
      <c r="F124" s="431"/>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8</vt:i4>
      </vt:variant>
    </vt:vector>
  </HeadingPairs>
  <TitlesOfParts>
    <vt:vector size="16" baseType="lpstr">
      <vt:lpstr>様式１　大学等概要</vt:lpstr>
      <vt:lpstr>様式２-１　プログラムを構成する授業科目【医学部】 </vt:lpstr>
      <vt:lpstr>様式２-２　プログラムを構成する授業科目【薬学部】 </vt:lpstr>
      <vt:lpstr>様式２-３　プログラムを構成する授業科目【看護学部】</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'様式２-１　プログラムを構成する授業科目【医学部】 '!Print_Area</vt:lpstr>
      <vt:lpstr>'様式２-２　プログラムを構成する授業科目【薬学部】 '!Print_Area</vt:lpstr>
      <vt:lpstr>'様式２-３　プログラムを構成する授業科目【看護学部】'!Print_Area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admin</cp:lastModifiedBy>
  <cp:lastPrinted>2022-05-25T06:05:24Z</cp:lastPrinted>
  <dcterms:created xsi:type="dcterms:W3CDTF">2011-06-14T05:32:50Z</dcterms:created>
  <dcterms:modified xsi:type="dcterms:W3CDTF">2022-05-25T07:17:59Z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