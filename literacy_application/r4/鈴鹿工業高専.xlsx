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aspen\jim\share\gakuseika\学務教務係\38.数理・データサイエンス・AI教育PG\申請\20220708再提出\"/>
    </mc:Choice>
  </mc:AlternateContent>
  <bookViews>
    <workbookView xWindow="0" yWindow="0" windowWidth="28800" windowHeight="11460" tabRatio="885"/>
  </bookViews>
  <sheets>
    <sheet name="様式１　大学等概要" sheetId="8" r:id="rId1"/>
    <sheet name="様式２　プログラムを構成する授業科目 (1)" sheetId="44" r:id="rId2"/>
    <sheet name="様式２　プログラムを構成する授業科目 (2)" sheetId="45" r:id="rId3"/>
    <sheet name="様式３　履修者等数の実績" sheetId="40" r:id="rId4"/>
    <sheet name="様式４　教育の質・履修者数を向上させるための体制・計画" sheetId="41" r:id="rId5"/>
    <sheet name="様式５　自己点検・評価" sheetId="42" r:id="rId6"/>
    <sheet name="様式６　特色ある取組" sheetId="43" r:id="rId7"/>
  </sheets>
  <definedNames>
    <definedName name="_xlnm._FilterDatabase" localSheetId="1" hidden="1">'様式２　プログラムを構成する授業科目 (1)'!#REF!</definedName>
    <definedName name="_xlnm._FilterDatabase" localSheetId="2" hidden="1">'様式２　プログラムを構成する授業科目 (2)'!#REF!</definedName>
    <definedName name="_xlnm._FilterDatabase" localSheetId="3" hidden="1">'様式３　履修者等数の実績'!#REF!</definedName>
    <definedName name="_xlnm.Print_Area" localSheetId="0">'様式１　大学等概要'!$A$1:$N$45</definedName>
    <definedName name="_xlnm.Print_Area" localSheetId="1">'様式２　プログラムを構成する授業科目 (1)'!$A$1:$Z$98</definedName>
    <definedName name="_xlnm.Print_Area" localSheetId="2">'様式２　プログラムを構成する授業科目 (2)'!$A$1:$Z$98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 name="_xlnm.Print_Area" localSheetId="6">'様式６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<sst xmlns="http://schemas.openxmlformats.org/spreadsheetml/2006/main" count="508" uniqueCount="221">
  <si>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</si>
  <si>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</si>
  <si>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</si>
  <si>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</si>
  <si>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鈴鹿工業高等専門学校</t>
    <rPh sb="0" eb="10">
      <t>スズカコウギョウコウトウセンモンガッコウ</t>
    </rPh>
    <phoneticPr fontId="1"/>
  </si>
  <si>
    <t>②</t>
    <phoneticPr fontId="1"/>
  </si>
  <si>
    <t>大学等の設置者</t>
  </si>
  <si>
    <t>独立行政法人 国立高等専門学校機構</t>
    <phoneticPr fontId="1"/>
  </si>
  <si>
    <t>③</t>
  </si>
  <si>
    <t>設置形態</t>
    <phoneticPr fontId="1"/>
  </si>
  <si>
    <t>高等専門学校</t>
  </si>
  <si>
    <t>④</t>
    <phoneticPr fontId="1"/>
  </si>
  <si>
    <t>所在地</t>
    <phoneticPr fontId="1"/>
  </si>
  <si>
    <t>三重県鈴鹿市白子町</t>
    <phoneticPr fontId="1"/>
  </si>
  <si>
    <t>⑤</t>
    <phoneticPr fontId="1"/>
  </si>
  <si>
    <t>申請するプログラム名称</t>
    <rPh sb="0" eb="2">
      <t>シンセイ</t>
    </rPh>
    <rPh sb="9" eb="11">
      <t>メイショウ</t>
    </rPh>
    <phoneticPr fontId="1"/>
  </si>
  <si>
    <t>鈴鹿工業高等専門学校数理・データサイエンス・ＡＩ教育プログラム</t>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</si>
  <si>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</si>
  <si>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</si>
  <si>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</si>
  <si>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</si>
  <si>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</si>
  <si>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</si>
  <si>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</si>
  <si>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</si>
  <si>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</si>
  <si>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</si>
  <si>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</si>
  <si>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</si>
  <si>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</si>
  <si>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</si>
  <si>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</si>
  <si>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</si>
  <si>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</si>
  <si>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</si>
  <si>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</si>
  <si>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</si>
  <si>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</si>
  <si>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</si>
  <si>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</si>
  <si>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</si>
  <si>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</si>
  <si>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</si>
  <si>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</si>
  <si>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竹茂　求</t>
    <phoneticPr fontId="1"/>
  </si>
  <si>
    <t>（役職名）</t>
    <rPh sb="1" eb="4">
      <t>ヤクショクメイ</t>
    </rPh>
    <phoneticPr fontId="1"/>
  </si>
  <si>
    <t>校長</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</si>
  <si>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</si>
  <si>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</si>
  <si>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rPh sb="0" eb="2">
      <t>キョウム</t>
    </rPh>
    <rPh sb="2" eb="5">
      <t>イインカイ</t>
    </rPh>
    <phoneticPr fontId="1"/>
  </si>
  <si>
    <t>下古谷　博司</t>
    <rPh sb="0" eb="3">
      <t>シモフルヤ</t>
    </rPh>
    <rPh sb="4" eb="6">
      <t>ヒロシ</t>
    </rPh>
    <phoneticPr fontId="1"/>
  </si>
  <si>
    <t>委員長（教務主事）</t>
    <rPh sb="0" eb="3">
      <t>イインチョウ</t>
    </rPh>
    <rPh sb="4" eb="6">
      <t>キョウム</t>
    </rPh>
    <rPh sb="6" eb="8">
      <t>シュジ</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</si>
  <si>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</si>
  <si>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</si>
  <si>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委員長（教務主事）</t>
    <phoneticPr fontId="1"/>
  </si>
  <si>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</si>
  <si>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</si>
  <si>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</si>
  <si>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</si>
  <si>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</si>
  <si>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学生課教務係</t>
    <phoneticPr fontId="1"/>
  </si>
  <si>
    <t>担当者名</t>
    <rPh sb="0" eb="2">
      <t>タントウ</t>
    </rPh>
    <rPh sb="2" eb="3">
      <t>シャ</t>
    </rPh>
    <rPh sb="3" eb="4">
      <t>メイ</t>
    </rPh>
    <phoneticPr fontId="1"/>
  </si>
  <si>
    <t>金田智士</t>
    <phoneticPr fontId="1"/>
  </si>
  <si>
    <t>E-mail</t>
  </si>
  <si>
    <t>kyoumu@jim.suzuka-ct.ac.jp</t>
    <phoneticPr fontId="1"/>
  </si>
  <si>
    <t>電話番号</t>
  </si>
  <si>
    <t>059-368-1731</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</si>
  <si>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</si>
  <si>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</si>
  <si>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</si>
  <si>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</si>
  <si>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機械工学科・電気電子工学科・生物応用化学科・材料工学科では，一般科目「技術者倫理入門（4年・必修1単位）」「物理Ⅱ（2年・必修2単位）」，専門科目「情報処理Ⅰ（1年・必修1単位）」を修得することにより，教育プログラムを修了できる．さらに，専門科目「情報処理Ⅱ（2年・必修1単位）」を修得することにより，数理・データサイエンス・AI（リテラシーレベル）モデルカリキュラムの「選択」に相当する学習内容を修めることができる．</t>
    <rPh sb="91" eb="93">
      <t>シュウトク</t>
    </rPh>
    <rPh sb="141" eb="143">
      <t>シュウトク</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</si>
  <si>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</si>
  <si>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</si>
  <si>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</si>
  <si>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</si>
  <si>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</si>
  <si>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</si>
  <si>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</si>
  <si>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情報処理Ⅰ</t>
    <rPh sb="0" eb="4">
      <t>ジョウホウショリ</t>
    </rPh>
    <phoneticPr fontId="1"/>
  </si>
  <si>
    <t>○</t>
  </si>
  <si>
    <t>一部開講</t>
  </si>
  <si>
    <t>技術者倫理入門</t>
    <rPh sb="0" eb="3">
      <t>ギジュツシャ</t>
    </rPh>
    <rPh sb="3" eb="5">
      <t>リンリ</t>
    </rPh>
    <rPh sb="5" eb="7">
      <t>ニュウモン</t>
    </rPh>
    <phoneticPr fontId="1"/>
  </si>
  <si>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</si>
  <si>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</si>
  <si>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</si>
  <si>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</si>
  <si>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</si>
  <si>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</si>
  <si>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</si>
  <si>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</si>
  <si>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</si>
  <si>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</si>
  <si>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</si>
  <si>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</si>
  <si>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</si>
  <si>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</si>
  <si>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物理Ⅱ</t>
    <rPh sb="0" eb="2">
      <t>ブツリ</t>
    </rPh>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</si>
  <si>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</si>
  <si>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</si>
  <si>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情報処理Ⅱ</t>
    <rPh sb="0" eb="2">
      <t>ジョウホウ</t>
    </rPh>
    <rPh sb="2" eb="4">
      <t>ショリ</t>
    </rPh>
    <phoneticPr fontId="1"/>
  </si>
  <si>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</si>
  <si>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</si>
  <si>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</si>
  <si>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</si>
  <si>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</si>
  <si>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</si>
  <si>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・企業における技術者「技術者倫理入門」（12-13週）</t>
    <rPh sb="1" eb="3">
      <t>キギョウ</t>
    </rPh>
    <rPh sb="7" eb="10">
      <t>ギジュツシャ</t>
    </rPh>
    <rPh sb="11" eb="14">
      <t>ギジュツシャ</t>
    </rPh>
    <rPh sb="14" eb="16">
      <t>リンリ</t>
    </rPh>
    <rPh sb="16" eb="18">
      <t>ニュウモン</t>
    </rPh>
    <rPh sb="25" eb="26">
      <t>シュウ</t>
    </rPh>
    <phoneticPr fontId="1"/>
  </si>
  <si>
    <t>1-6</t>
    <phoneticPr fontId="1"/>
  </si>
  <si>
    <t>・情報社会とリテラシー「情報処理Ⅰ」（5週）</t>
    <rPh sb="1" eb="3">
      <t>ジョウホウ</t>
    </rPh>
    <rPh sb="3" eb="5">
      <t>シャカイ</t>
    </rPh>
    <rPh sb="12" eb="16">
      <t>ジョウホウショリ</t>
    </rPh>
    <rPh sb="20" eb="21">
      <t>シュウ</t>
    </rPh>
    <phoneticPr fontId="1"/>
  </si>
  <si>
    <t>（２）「社会で活用されているデータ」や「データの活用領域」は非常に広範囲であって、日常生活や社会の課題を解決する有用なツールになり得るもの</t>
    <phoneticPr fontId="1"/>
  </si>
  <si>
    <t>・技術的判断と経営的判断「技術者倫理入門」（3-4週）</t>
    <rPh sb="1" eb="4">
      <t>ギジュツテキ</t>
    </rPh>
    <rPh sb="4" eb="6">
      <t>ハンダン</t>
    </rPh>
    <rPh sb="7" eb="10">
      <t>ケイエイテキ</t>
    </rPh>
    <rPh sb="10" eb="12">
      <t>ハンダン</t>
    </rPh>
    <rPh sb="13" eb="16">
      <t>ギジュツシャ</t>
    </rPh>
    <rPh sb="16" eb="18">
      <t>リンリ</t>
    </rPh>
    <rPh sb="18" eb="20">
      <t>ニュウモン</t>
    </rPh>
    <rPh sb="25" eb="26">
      <t>シュウ</t>
    </rPh>
    <phoneticPr fontId="1"/>
  </si>
  <si>
    <t>・情報通信ネットワーク，暗号化方式，情報の保護技術「情報処理Ⅰ」（14週）</t>
    <rPh sb="1" eb="3">
      <t>ジョウホウ</t>
    </rPh>
    <rPh sb="3" eb="5">
      <t>ツウシン</t>
    </rPh>
    <rPh sb="12" eb="15">
      <t>アンゴウカ</t>
    </rPh>
    <rPh sb="15" eb="17">
      <t>ホウシキ</t>
    </rPh>
    <rPh sb="18" eb="20">
      <t>ジョウホウ</t>
    </rPh>
    <rPh sb="21" eb="23">
      <t>ホゴ</t>
    </rPh>
    <rPh sb="23" eb="25">
      <t>ギジュツ</t>
    </rPh>
    <rPh sb="26" eb="28">
      <t>ジョウホウ</t>
    </rPh>
    <rPh sb="28" eb="30">
      <t>ショリ</t>
    </rPh>
    <rPh sb="35" eb="36">
      <t>シュウ</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</si>
  <si>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</si>
  <si>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・情報のディジタル表現「情報処理Ⅰ」（11週）</t>
    <rPh sb="1" eb="3">
      <t>ジョウホウ</t>
    </rPh>
    <rPh sb="9" eb="11">
      <t>ヒョウゲン</t>
    </rPh>
    <rPh sb="12" eb="16">
      <t>ジョウホウショリ</t>
    </rPh>
    <rPh sb="21" eb="22">
      <t>シュウ</t>
    </rPh>
    <phoneticPr fontId="1"/>
  </si>
  <si>
    <t>・説明責任「技術者倫理入門」（5-6週）</t>
    <rPh sb="1" eb="3">
      <t>セツメイ</t>
    </rPh>
    <rPh sb="3" eb="5">
      <t>セキニン</t>
    </rPh>
    <rPh sb="6" eb="9">
      <t>ギジュツシャ</t>
    </rPh>
    <rPh sb="9" eb="11">
      <t>リンリ</t>
    </rPh>
    <rPh sb="11" eb="13">
      <t>ニュウモン</t>
    </rPh>
    <rPh sb="18" eb="19">
      <t>シュウ</t>
    </rPh>
    <phoneticPr fontId="1"/>
  </si>
  <si>
    <t>（４）活用に当たっての様々な留意事項（ELSI、個人情報、データ倫理、ＡＩ社会原則等）を考慮し、情報セキュリティや情報漏洩等、データを守る上での留意事項への理解をする</t>
    <phoneticPr fontId="1"/>
  </si>
  <si>
    <t>・リスクマネジメント「技術者倫理入門」（2週）</t>
    <rPh sb="11" eb="14">
      <t>ギジュツシャ</t>
    </rPh>
    <rPh sb="14" eb="16">
      <t>リンリ</t>
    </rPh>
    <rPh sb="16" eb="18">
      <t>ニュウモン</t>
    </rPh>
    <rPh sb="21" eb="22">
      <t>シュウ</t>
    </rPh>
    <phoneticPr fontId="1"/>
  </si>
  <si>
    <t>・情報倫理とセキュリティ「情報処理Ⅰ」（6週）
・プライバシー・知的財産等の重要情報，知的財産（著作物・産業財産）情報検索「情報処理Ⅰ」（9週）</t>
    <rPh sb="1" eb="3">
      <t>ジョウホウ</t>
    </rPh>
    <rPh sb="3" eb="5">
      <t>リンリ</t>
    </rPh>
    <rPh sb="13" eb="17">
      <t>ジョウホウショリ</t>
    </rPh>
    <rPh sb="21" eb="22">
      <t>シュウ</t>
    </rPh>
    <rPh sb="32" eb="37">
      <t>チテキザイサントウ</t>
    </rPh>
    <rPh sb="38" eb="40">
      <t>ジュウヨウ</t>
    </rPh>
    <rPh sb="40" eb="42">
      <t>ジョウホウ</t>
    </rPh>
    <rPh sb="43" eb="45">
      <t>チテキ</t>
    </rPh>
    <rPh sb="45" eb="47">
      <t>ザイサン</t>
    </rPh>
    <rPh sb="48" eb="51">
      <t>チョサクブツ</t>
    </rPh>
    <rPh sb="52" eb="54">
      <t>サンギョウ</t>
    </rPh>
    <rPh sb="54" eb="56">
      <t>ザイサン</t>
    </rPh>
    <rPh sb="57" eb="59">
      <t>ジョウホウ</t>
    </rPh>
    <rPh sb="59" eb="61">
      <t>ケンサク</t>
    </rPh>
    <rPh sb="62" eb="64">
      <t>ジョウホウ</t>
    </rPh>
    <rPh sb="64" eb="66">
      <t>ショリ</t>
    </rPh>
    <rPh sb="70" eb="71">
      <t>シュウ</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</si>
  <si>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</si>
  <si>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・さまざまな実験テーマによる実習・レポート作成「物理Ⅱ」（後期2-7, 9-14週）</t>
    <rPh sb="6" eb="8">
      <t>ジッケン</t>
    </rPh>
    <rPh sb="14" eb="16">
      <t>ジッシュウ</t>
    </rPh>
    <rPh sb="21" eb="23">
      <t>サクセイ</t>
    </rPh>
    <rPh sb="24" eb="26">
      <t>ブツリ</t>
    </rPh>
    <rPh sb="29" eb="31">
      <t>コウキ</t>
    </rPh>
    <rPh sb="40" eb="41">
      <t>シュウ</t>
    </rPh>
    <phoneticPr fontId="1"/>
  </si>
  <si>
    <t>・officeリテラシー(word, excel, powerpoint)「情報処理Ⅰ」（3-4週）
・さまざまな実験テーマによる実習・レポート作成「物理Ⅱ」（後期2-7, 9-14週）</t>
    <rPh sb="38" eb="42">
      <t>ジョウホウショリ</t>
    </rPh>
    <rPh sb="48" eb="49">
      <t>シュウ</t>
    </rPh>
    <rPh sb="57" eb="59">
      <t>ジッケン</t>
    </rPh>
    <rPh sb="65" eb="67">
      <t>ジッシュウ</t>
    </rPh>
    <rPh sb="72" eb="74">
      <t>サクセイ</t>
    </rPh>
    <rPh sb="75" eb="77">
      <t>ブツリ</t>
    </rPh>
    <rPh sb="80" eb="82">
      <t>コウキ</t>
    </rPh>
    <rPh sb="91" eb="92">
      <t>シュウ</t>
    </rPh>
    <phoneticPr fontId="1"/>
  </si>
  <si>
    <t>⑩プログラムの学修成果（学生等が身に付けられる能力等）</t>
    <phoneticPr fontId="1"/>
  </si>
  <si>
    <t>数理・データサイエンス・AIへの関心を高め，適切に理解し，活用する基礎的な能力．
自らの専門分野において，データを分析した結果から課題を抽出し，その解決を検討する能力．
社会変化を適切に把握し，その基盤となる情報通信技術が社会に与える影響を考察する能力．</t>
    <rPh sb="0" eb="2">
      <t>スウリ</t>
    </rPh>
    <rPh sb="16" eb="18">
      <t>カンシン</t>
    </rPh>
    <rPh sb="19" eb="20">
      <t>タカ</t>
    </rPh>
    <rPh sb="22" eb="24">
      <t>テキセツ</t>
    </rPh>
    <rPh sb="25" eb="27">
      <t>リカイ</t>
    </rPh>
    <rPh sb="29" eb="31">
      <t>カツヨウ</t>
    </rPh>
    <rPh sb="33" eb="36">
      <t>キソテキ</t>
    </rPh>
    <rPh sb="37" eb="39">
      <t>ノウリョク</t>
    </rPh>
    <rPh sb="41" eb="42">
      <t>ミズカ</t>
    </rPh>
    <rPh sb="44" eb="46">
      <t>センモン</t>
    </rPh>
    <rPh sb="46" eb="48">
      <t>ブンヤ</t>
    </rPh>
    <rPh sb="57" eb="59">
      <t>ブンセキ</t>
    </rPh>
    <rPh sb="61" eb="63">
      <t>ケッカ</t>
    </rPh>
    <rPh sb="65" eb="67">
      <t>カダイ</t>
    </rPh>
    <rPh sb="68" eb="70">
      <t>チュウシュツ</t>
    </rPh>
    <rPh sb="74" eb="76">
      <t>カイケツ</t>
    </rPh>
    <rPh sb="77" eb="79">
      <t>ケントウ</t>
    </rPh>
    <rPh sb="81" eb="83">
      <t>ノウリョク</t>
    </rPh>
    <rPh sb="85" eb="87">
      <t>シャカイ</t>
    </rPh>
    <rPh sb="87" eb="89">
      <t>ヘンカ</t>
    </rPh>
    <rPh sb="90" eb="92">
      <t>テキセツ</t>
    </rPh>
    <rPh sb="93" eb="95">
      <t>ハアク</t>
    </rPh>
    <rPh sb="99" eb="101">
      <t>キバン</t>
    </rPh>
    <rPh sb="104" eb="106">
      <t>ジョウホウ</t>
    </rPh>
    <rPh sb="106" eb="108">
      <t>ツウシン</t>
    </rPh>
    <rPh sb="108" eb="110">
      <t>ギジュツ</t>
    </rPh>
    <rPh sb="111" eb="113">
      <t>シャカイ</t>
    </rPh>
    <rPh sb="114" eb="115">
      <t>アタ</t>
    </rPh>
    <rPh sb="117" eb="119">
      <t>エイキョウ</t>
    </rPh>
    <rPh sb="120" eb="122">
      <t>コウサツ</t>
    </rPh>
    <rPh sb="124" eb="126">
      <t>ノウリョク</t>
    </rPh>
    <phoneticPr fontId="1"/>
  </si>
  <si>
    <t>⑪プログラムの授業内容等を公表しているアドレス</t>
    <phoneticPr fontId="1"/>
  </si>
  <si>
    <t>電子情報工学科では，一般科目「技術者倫理入門（4年・必修1単位）」「物理Ⅱ（2年・必修2単位）」，専門科目「情報処理Ⅰ（1年・必修1単位）」を修得することにより，教育プログラムを修了できる．さらに，専門科目「プログラミングⅠ（1年・必修1単位）」「データ構造とアルゴリズム（3年・必修2単位）」を修得することにより，数理・データサイエンス・AI（リテラシーレベル）モデルカリキュラムの「選択」に相当する学習内容を修めることができる．</t>
    <rPh sb="71" eb="73">
      <t>シュウトク</t>
    </rPh>
    <rPh sb="148" eb="150">
      <t>シュウトク</t>
    </rPh>
    <phoneticPr fontId="1"/>
  </si>
  <si>
    <t>プログラミングⅠ</t>
    <phoneticPr fontId="1"/>
  </si>
  <si>
    <t>データ構造とアルゴリズム</t>
    <rPh sb="3" eb="5">
      <t>コウゾウ</t>
    </rPh>
    <phoneticPr fontId="1"/>
  </si>
  <si>
    <t>・情報社会とリテラシー「情報処理Ⅰ」（2週）</t>
    <rPh sb="1" eb="3">
      <t>ジョウホウ</t>
    </rPh>
    <rPh sb="3" eb="5">
      <t>シャカイ</t>
    </rPh>
    <rPh sb="12" eb="16">
      <t>ジョウホウショリ</t>
    </rPh>
    <rPh sb="20" eb="21">
      <t>シュウ</t>
    </rPh>
    <phoneticPr fontId="1"/>
  </si>
  <si>
    <t>・情報通信ネットワーク，暗号化方式，情報の保護技術「情報処理Ⅰ」（7週）</t>
    <rPh sb="1" eb="3">
      <t>ジョウホウ</t>
    </rPh>
    <rPh sb="3" eb="5">
      <t>ツウシン</t>
    </rPh>
    <rPh sb="12" eb="15">
      <t>アンゴウカ</t>
    </rPh>
    <rPh sb="15" eb="17">
      <t>ホウシキ</t>
    </rPh>
    <rPh sb="18" eb="20">
      <t>ジョウホウ</t>
    </rPh>
    <rPh sb="21" eb="23">
      <t>ホゴ</t>
    </rPh>
    <rPh sb="23" eb="25">
      <t>ギジュツ</t>
    </rPh>
    <rPh sb="26" eb="28">
      <t>ジョウホウ</t>
    </rPh>
    <rPh sb="28" eb="30">
      <t>ショリ</t>
    </rPh>
    <rPh sb="34" eb="35">
      <t>シュウ</t>
    </rPh>
    <phoneticPr fontId="1"/>
  </si>
  <si>
    <t>・情報のディジタル表現「情報処理Ⅰ」（5週）</t>
    <rPh sb="1" eb="3">
      <t>ジョウホウ</t>
    </rPh>
    <rPh sb="9" eb="11">
      <t>ヒョウゲン</t>
    </rPh>
    <rPh sb="12" eb="16">
      <t>ジョウホウショリ</t>
    </rPh>
    <rPh sb="20" eb="21">
      <t>シュウ</t>
    </rPh>
    <phoneticPr fontId="1"/>
  </si>
  <si>
    <t>・情報倫理とセキュリティ「情報処理Ⅰ」（3週）
・プライバシー・知的財産等の重要情報，知的財産（著作物・産業財産）情報検索「情報処理Ⅰ」（4週）</t>
    <rPh sb="1" eb="3">
      <t>ジョウホウ</t>
    </rPh>
    <rPh sb="3" eb="5">
      <t>リンリ</t>
    </rPh>
    <rPh sb="13" eb="17">
      <t>ジョウホウショリ</t>
    </rPh>
    <rPh sb="21" eb="22">
      <t>シュウ</t>
    </rPh>
    <rPh sb="32" eb="37">
      <t>チテキザイサントウ</t>
    </rPh>
    <rPh sb="38" eb="40">
      <t>ジュウヨウ</t>
    </rPh>
    <rPh sb="40" eb="42">
      <t>ジョウホウ</t>
    </rPh>
    <rPh sb="43" eb="45">
      <t>チテキ</t>
    </rPh>
    <rPh sb="45" eb="47">
      <t>ザイサン</t>
    </rPh>
    <rPh sb="48" eb="51">
      <t>チョサクブツ</t>
    </rPh>
    <rPh sb="52" eb="54">
      <t>サンギョウ</t>
    </rPh>
    <rPh sb="54" eb="56">
      <t>ザイサン</t>
    </rPh>
    <rPh sb="57" eb="59">
      <t>ジョウホウ</t>
    </rPh>
    <rPh sb="59" eb="61">
      <t>ケンサク</t>
    </rPh>
    <rPh sb="62" eb="64">
      <t>ジョウホウ</t>
    </rPh>
    <rPh sb="64" eb="66">
      <t>ショリ</t>
    </rPh>
    <rPh sb="70" eb="71">
      <t>シュウ</t>
    </rPh>
    <phoneticPr fontId="1"/>
  </si>
  <si>
    <t>・Office365の利用方法（1週）
・さまざまな実験テーマによる実習・レポート作成「物理Ⅱ」（後期2-7, 9-14週）</t>
    <rPh sb="11" eb="13">
      <t>リヨウ</t>
    </rPh>
    <rPh sb="13" eb="15">
      <t>ホウホウ</t>
    </rPh>
    <rPh sb="17" eb="18">
      <t>シュウ</t>
    </rPh>
    <rPh sb="26" eb="28">
      <t>ジッケン</t>
    </rPh>
    <rPh sb="34" eb="36">
      <t>ジッシュウ</t>
    </rPh>
    <rPh sb="41" eb="43">
      <t>サクセイ</t>
    </rPh>
    <rPh sb="44" eb="46">
      <t>ブツリ</t>
    </rPh>
    <rPh sb="49" eb="51">
      <t>コウキ</t>
    </rPh>
    <rPh sb="60" eb="61">
      <t>シュウ</t>
    </rPh>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</si>
  <si>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</si>
  <si>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</si>
  <si>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</si>
  <si>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</si>
  <si>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</si>
  <si>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</si>
  <si>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</si>
  <si>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</si>
  <si>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</si>
  <si>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</si>
  <si>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</si>
  <si>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</si>
  <si>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</si>
  <si>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</si>
  <si>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</si>
  <si>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</si>
  <si>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</si>
  <si>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機械工学科</t>
  </si>
  <si>
    <t>電気電子工学科</t>
  </si>
  <si>
    <t>電子情報工学科</t>
  </si>
  <si>
    <t>生物応用化学科</t>
  </si>
  <si>
    <t>材料工学科</t>
  </si>
  <si>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</si>
  <si>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</si>
  <si>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</si>
  <si>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</si>
  <si>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</si>
  <si>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鈴鹿工業高等専門学校教務委員会規程，鈴鹿工業高等専門学校 数理・データサイエンス・AI 教育プログラム規則</t>
    <phoneticPr fontId="1"/>
  </si>
  <si>
    <t>体制の目的</t>
    <rPh sb="0" eb="2">
      <t>タイセイ</t>
    </rPh>
    <rPh sb="3" eb="5">
      <t>モクテキ</t>
    </rPh>
    <phoneticPr fontId="1"/>
  </si>
  <si>
    <t>　鈴鹿工業高等専門学校の本科及び専攻科の正課教育の運営を円滑にするために、鈴鹿工業高等専門学校教務委員会を置く。教務委員会は数理・データサイエンス・AI教育プログラムを含む全学のカリキュラムや単位/成績の認定など全学科の教務に関する事項を掌握しており、教務委員会で本教育プログラムの質の向上に関する事項を取り扱う。</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</si>
  <si>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</si>
  <si>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</si>
  <si>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</si>
  <si>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</si>
  <si>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</si>
  <si>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</si>
  <si>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</si>
  <si>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</si>
  <si>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</si>
  <si>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</si>
  <si>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本教育プログラムに関わる科目は、すべて第4学年以下に必修科目として設定されており、全学生が履修および修得を促す規則となっている。
　全学科の教育プログラムを必修科目で構成しており，入学者全てが履修する。教育プログラムが平成29年度入学生から開始され必修科目で教育プログラムが構成されているため、過去2年間の教育プログラム履修率は様式3のように100％となっている。令和4年度以降も100%となる計画であ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</si>
  <si>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</si>
  <si>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</si>
  <si>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⑦</t>
    <phoneticPr fontId="1"/>
  </si>
  <si>
    <t>できる限り多くの学生が履修・修得できるようなサポート体制</t>
    <rPh sb="26" eb="28">
      <t>タイセイ</t>
    </rPh>
    <phoneticPr fontId="1"/>
  </si>
  <si>
    <t>　本教育プログラムは必修科目で構成しており，カリキュラム上，在学中の適切な時期に対象科目を開講している。
　また，高専は1クラス約40名という少人数教育を実施しており，各学年にクラス担任、学年主任を配置するとともに低学年には担任補佐を設置し学生に手厚い支援体制を構築している。さらに，R4年度入学生からBYOD(Bring Your Own Device）を推進するとともに全学生にTeamsによるオンラインおよびオフィスアワーズを利用した質問体制も構築し，学生の履修・修得を支援している。</t>
    <rPh sb="91" eb="93">
      <t>タンニン</t>
    </rPh>
    <rPh sb="216" eb="218">
      <t>リヨウ</t>
    </rPh>
    <phoneticPr fontId="1"/>
  </si>
  <si>
    <t>授業時間内外で学習指導、質問を受け付ける具体的な仕組み</t>
    <rPh sb="20" eb="23">
      <t>グタイテキ</t>
    </rPh>
    <phoneticPr fontId="1"/>
  </si>
  <si>
    <t>　インターネットを利用したTeams環境を整備しており，オンラインで教員に相談できる環境を整備している。また，既に公開しているオフィスアワーズの時間帯を利用することで学生の質問等に対応するサポート体制も構築している。</t>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</si>
  <si>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</si>
  <si>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</si>
  <si>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</si>
  <si>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</si>
  <si>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</si>
  <si>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</si>
  <si>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</si>
  <si>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</si>
  <si>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本教育プログラムに関する科目（情報処理Ⅰ、物理Ⅱ、技術者倫理入門）は全て必修科目であるため全学生が履修しており、履修状況および単位修得状況については教務委員会で確認している。
　また、質問や課題のある学生に対しては、Teamsによるオンラインでの質問体制やオフィスアワーズを利用したサポート体制を既に構築済みである。令和3年度から学修支援室を立ち上げ授業全体に対するサポート体制も構築している。
　本教育プログラムの履修実績としては平成29年度以降の入学生全員が履修している状況である。また、令和3年度卒業生の修了率は100％であり修得状況は良好である。</t>
    <phoneticPr fontId="1"/>
  </si>
  <si>
    <t>学修成果</t>
    <rPh sb="0" eb="2">
      <t>ガクシュウ</t>
    </rPh>
    <rPh sb="2" eb="4">
      <t>セイカ</t>
    </rPh>
    <phoneticPr fontId="1"/>
  </si>
  <si>
    <t>　該当科目（情報処理Ⅰ、物理Ⅱ、技術者倫理入門）における学年末成績の平均点はそれぞれ84点、94点、92点と良好であり、学生の理解度等は高く学習成果が上がっている。また、授業アンケートでも、該当科目の評価（令和3年度）は、全アンケート項目に対して平均で4.5、4.7、4.5（5段階評価）と高い評価を得ている。
　さらに、全学的なICT教育の推進、R4年度入学生からBYODの導入や1年教室へのウルトラワイドプロジェクターの設置によるICT環境の整備など、数理・データサイエンス・AI分野を含むICT教育の強化を図っている。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</si>
  <si>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</si>
  <si>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本校では学生全員に対して授業アンケートを実施し、そのアンケートの結果は授業担当教員にフィードバックを行い、教員自らによる授業改善に活用している。また、シラバスにはその科目のルーブリックが掲載されており、学生自身も理解度を把握できる仕組みとなっている。
　令和3年度の該当科目である情報処理Ⅰ、技術者倫理入門の授業アンケート項目「学生は、授業によってこの分野の理解が深まりましたか？」および物理Ⅱ「この実験（実習）によって、技術が身に付いたり、この分野の理解が深まったと思いましたか？」について、平均値がそれぞれ4.6、4.7、4.6（5段階評価）であり理解度が高いものとなっ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</si>
  <si>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</si>
  <si>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　本教育プログラムを構成する科目（情報処理Ⅰ、物理Ⅱ、技術者倫理入門）は全て必修科目であるため全学生が履修者である。
　ただし、授業アンケートを通じて授業における学生の興味関心の確認は絶えず行っている。該当科目のアンケート結果（情報処理Ⅰと技術者倫理入門；「授業は、興味や関心を持たせるものでしたか？魅力的な授業でしたか？」、物理Ⅱ；「この実験（実習）によって、技術が身に付いたり、この分野の理解が深まったと思いましたか？」）では、平均が4.5、4.6、4.6であり高い評価を得ている。各授業担当教員は、その結果を踏まえて次年度に向けた授業改善や質の向上を図り学生の学習意欲の向上へと繋げている。
</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</si>
  <si>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</si>
  <si>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本教育プログラムを構成する科目（情報処理Ⅰ、物理Ⅱ、技術者倫理入門）は全て必修科目であり、学生全員が履修者となる。このため、該当科目の履修率は100％である。
　今後、新たなカリキュラムを編成する必要が生じた際にも本教育プログラムを達成するために必修科目群でカリキュラムを構成する方針である。
　また、該当科目（情報処理Ⅰ、物理Ⅱ、技術者倫理入門）が必修科目であることに加え、情報処理Ⅰおよび物理Ⅱは第2学年以下に設定しており、第3学年以下は学年制でることから履修及び修得を促す規則となっている。
　平成29年度の入学者から教育プログラムが適用され、以降すべての入学者（約200名）が履修している。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</si>
  <si>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</si>
  <si>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</si>
  <si>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　卒業生の進路（就職先・進学先）は運営会議で報告され学校として把握しており、教育プログラムの成果を点検する一助となっている。外部有識者を評価委員とする運営諮問会議を毎年開催し、教育の内部質保証システムを含む自己点検評価も実施している。
　本科卒業生および専攻科修了生の進路先である企業・大学等にアンケート調査を3年に一度実施しており、これらの評価に基づき本教育プログラムを含む教育カリキュラムの改善を行う体制が整っている。
　さらに、数理・データサイエンス・AI分野において顕著な活躍がある学生については、今後、学校の広報誌等を通じて、その活躍を報告することを検討している。
</t>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</si>
  <si>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</si>
  <si>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外部評価委員で構成される運営諮問会議を毎年開催しており、その場で教育内容等についての意見をいただき、教育の点検と改善を行っていきたい。
　学生のインターンシップ先の企業や本校と協力体制にある鈴鹿高専テクノプラザ関係企業へのアンケートや卒業生・修了生が就職した企業の上司へのアンケート等を活用し、産業界からの教育への期待等を取り入れた点検や改善を行っていきたい。</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</si>
  <si>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</si>
  <si>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　本教育プログラムを構成する科目の授業アンケートでは「学ぶ楽しさ」「学ぶことの意義」が反映される項目として情報処理Ⅰと技術者倫理入門では「学生は、積極的に授業の内容を理解しようと努めましたか？」と「あなたは、この授業と将来の自分との関わりについて考えましたか？」で、物理Ⅱでは「あなたは、積極的に実験（実習）の内容を理解しようと努めましたか？」と「あなたは、この授業と将来の自分との関わりについて考えましたか？」で確認している。その結果、前者は4.6、4.6、4.5、4.6であり、後者は4.8と4.2と高い評価となっており、学生が興味関心を持ち真摯に授業を受けていることが確認できる。
</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</si>
  <si>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</si>
  <si>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授業アンケートによって授業内容の分かりやすさの確認を行っており、該当科目の授業アンケート結果（情報処理Ⅰと技術者倫理入門；「先生は、教え方などを工夫しわかりやすく授業を行っていましたか？」）、では、4.5と4.6、物理Ⅱ（「この実験（実習）の多くは私にとって、⑤難しすぎた　④やや難しかった　③適切であった　②やや易しかった　①易しすぎた」）では3.4（3に近いほど適切である）であり、比較的分かりやすい授業となっていることが確認できている。また、この結果は授業担当教員へフィードバックされ、授業担当教員は次年度に向けた授業改善や質の向上に努めており学生の学習意欲の向上へと繋げている。</t>
    <phoneticPr fontId="1"/>
  </si>
  <si>
    <t>②自己点検・評価体制における意見等を公表しているアドレス</t>
    <phoneticPr fontId="1"/>
  </si>
  <si>
    <t>http://wp.suzuka-ct.ac.jp/guide/guide_index/education/?preview_id=1837&amp;preview_nonce=5c0b40fbb8&amp;preview=true</t>
  </si>
  <si>
    <t>様式６</t>
    <rPh sb="0" eb="2">
      <t>ヨウシキ</t>
    </rPh>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</si>
  <si>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</si>
  <si>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</si>
  <si>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</si>
  <si>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</si>
  <si>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平成２９</t>
    <rPh sb="0" eb="2">
      <t>ヘイセイ</t>
    </rPh>
    <phoneticPr fontId="1"/>
  </si>
  <si>
    <t>委員会は次の教職員を委員として組織する。
（１）　教務主事：下古谷　博司
（２）　副校長：末次　正寛
（３）　専攻科長：田添　丈博
（４）　学科長：藤松　孝裕，横山　春喜，箕浦　弘人，船越　邦夫，和田　憲幸
（５）　教務主事補（専門学科）：白井　達也，柴垣　寛治，森　育子，髙倉　克人，黒飛　紀美
（６）　教務主事補（教養教育）：桑野　一成，大貫　洋介，丹波　之宏
（７）　教務主事補（専攻科）：近藤　邦和
（８）　専攻科長補佐：近藤　邦和，山本　智代
（９）　学生課長：五十棲　等
（10）　学生課長補佐：高吉 康弘</t>
    <rPh sb="222" eb="223">
      <t>モト</t>
    </rPh>
    <rPh sb="236" eb="238">
      <t>ゴジュウ</t>
    </rPh>
    <rPh sb="238" eb="239">
      <t>ス</t>
    </rPh>
    <rPh sb="240" eb="241">
      <t>ヒトシ</t>
    </rPh>
    <phoneticPr fontId="1"/>
  </si>
  <si>
    <r>
      <t xml:space="preserve">　教育プログラムを全学科の学生全員が受講する必修科目で構成しており、入学者全員が履修する体制となっている。
</t>
    </r>
    <r>
      <rPr>
        <sz val="12"/>
        <rFont val="ＭＳ Ｐゴシック"/>
        <family val="3"/>
        <charset val="128"/>
        <scheme val="minor"/>
      </rPr>
      <t>各専門学科の学生が（専門性を活かしつつ）プログラムを履修できるように、各学科ごとに教育プログラムを構成している。</t>
    </r>
    <phoneticPr fontId="1"/>
  </si>
  <si>
    <t>　教育プログラムを必修科目で構成しており，全学生が履修する。教育プログラムについては鈴鹿高専ホームページ(https://www.ishikawa-nct.ac.jp/kitls/DSAI_literacy)に掲載しており、特活やTeamsなどで学生に周知を行う。</t>
    <phoneticPr fontId="1"/>
  </si>
  <si>
    <t>様式２－１</t>
    <phoneticPr fontId="1"/>
  </si>
  <si>
    <t>様式２－２</t>
    <phoneticPr fontId="1"/>
  </si>
  <si>
    <t>https://www.suzuka-ct.ac.jp/guide/guide_index/education/</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</si>
</sst>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4">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cellStyleXfs>
  <cellXfs count="28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1"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3" fillId="0" borderId="0" xfId="0" applyFont="1" applyAlignment="1">
      <alignment horizontal="center"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7" fillId="0" borderId="1" xfId="0" applyNumberFormat="1" applyFont="1" applyBorder="1" applyAlignment="1">
      <alignment horizontal="center" vertical="center"/>
    </xf>
    <xf numFmtId="0" fontId="8" fillId="0" borderId="0" xfId="0" applyFont="1" applyAlignment="1">
      <alignment vertical="top" wrapText="1"/>
    </xf>
    <xf numFmtId="49" fontId="17" fillId="0" borderId="47" xfId="0" applyNumberFormat="1" applyFont="1" applyBorder="1" applyAlignment="1">
      <alignment horizontal="center" vertical="center"/>
    </xf>
    <xf numFmtId="49" fontId="17" fillId="0" borderId="33" xfId="0" applyNumberFormat="1" applyFont="1" applyBorder="1" applyAlignment="1">
      <alignment horizontal="center" vertical="center"/>
    </xf>
    <xf numFmtId="49" fontId="17" fillId="0" borderId="50" xfId="0" applyNumberFormat="1" applyFont="1" applyBorder="1" applyAlignment="1">
      <alignment horizontal="center" vertical="center"/>
    </xf>
    <xf numFmtId="49" fontId="17"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9" xfId="0"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49" fontId="17" fillId="0" borderId="52" xfId="0" applyNumberFormat="1" applyFont="1" applyBorder="1" applyAlignment="1">
      <alignment horizontal="center" vertical="center"/>
    </xf>
    <xf numFmtId="49" fontId="17"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17" fillId="0" borderId="20" xfId="0" applyFont="1" applyBorder="1" applyAlignment="1">
      <alignment vertical="top" shrinkToFit="1"/>
    </xf>
    <xf numFmtId="0" fontId="17" fillId="0" borderId="18" xfId="0" applyFont="1" applyBorder="1" applyAlignment="1">
      <alignment vertical="top" shrinkToFit="1"/>
    </xf>
    <xf numFmtId="0" fontId="8" fillId="0" borderId="3" xfId="0" applyFont="1" applyBorder="1">
      <alignment vertical="center"/>
    </xf>
    <xf numFmtId="0" fontId="8" fillId="0" borderId="0" xfId="0" applyFont="1" applyAlignment="1">
      <alignment horizontal="center" vertical="center"/>
    </xf>
    <xf numFmtId="0" fontId="8" fillId="0" borderId="0" xfId="0" applyFont="1" applyAlignment="1">
      <alignment vertical="center" shrinkToFit="1"/>
    </xf>
    <xf numFmtId="0" fontId="8" fillId="0" borderId="38" xfId="0" applyFont="1" applyBorder="1" applyAlignment="1">
      <alignment horizontal="center" vertical="center"/>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wrapText="1" shrinkToFit="1"/>
    </xf>
    <xf numFmtId="0" fontId="8" fillId="0" borderId="8" xfId="0" applyFont="1" applyFill="1" applyBorder="1" applyAlignment="1">
      <alignment horizontal="center" vertical="center" wrapText="1" shrinkToFit="1"/>
    </xf>
    <xf numFmtId="9" fontId="8" fillId="0" borderId="8" xfId="0" applyNumberFormat="1" applyFont="1" applyFill="1" applyBorder="1" applyAlignment="1">
      <alignment horizontal="center" vertical="center" shrinkToFit="1"/>
    </xf>
    <xf numFmtId="0" fontId="8" fillId="0" borderId="44" xfId="0" applyFont="1" applyFill="1" applyBorder="1" applyAlignment="1">
      <alignment horizontal="center" vertical="center" shrinkToFit="1"/>
    </xf>
    <xf numFmtId="9" fontId="8" fillId="0" borderId="45" xfId="0" applyNumberFormat="1" applyFont="1" applyFill="1" applyBorder="1" applyAlignment="1">
      <alignment horizontal="center" vertical="center" shrinkToFit="1"/>
    </xf>
    <xf numFmtId="0" fontId="8" fillId="0" borderId="45" xfId="0" applyFont="1" applyFill="1" applyBorder="1" applyAlignment="1">
      <alignment horizontal="center" vertical="center" shrinkToFit="1"/>
    </xf>
    <xf numFmtId="176" fontId="8" fillId="0" borderId="45" xfId="0" applyNumberFormat="1" applyFont="1" applyFill="1" applyBorder="1" applyAlignment="1">
      <alignment horizontal="center" vertical="center" shrinkToFit="1"/>
    </xf>
    <xf numFmtId="0" fontId="3" fillId="0" borderId="5" xfId="0" applyFont="1" applyFill="1" applyBorder="1" applyAlignment="1">
      <alignment vertical="center" shrinkToFit="1"/>
    </xf>
    <xf numFmtId="0" fontId="3" fillId="0" borderId="19" xfId="0" applyFont="1" applyFill="1" applyBorder="1" applyAlignment="1">
      <alignment vertical="center" shrinkToFit="1"/>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2"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7" fillId="0" borderId="2" xfId="2" applyBorder="1" applyAlignment="1">
      <alignment vertical="center" shrinkToFit="1"/>
    </xf>
    <xf numFmtId="0" fontId="8" fillId="0" borderId="4" xfId="0" applyFont="1" applyBorder="1" applyAlignment="1">
      <alignment vertical="center" shrinkToFit="1"/>
    </xf>
    <xf numFmtId="0" fontId="18" fillId="0" borderId="48" xfId="0" applyFont="1" applyBorder="1" applyAlignment="1">
      <alignment vertical="center" wrapText="1"/>
    </xf>
    <xf numFmtId="0" fontId="18" fillId="0" borderId="32" xfId="0" applyFont="1" applyBorder="1" applyAlignment="1">
      <alignment vertical="center" wrapTex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18" fillId="0" borderId="49" xfId="0" applyFont="1" applyBorder="1" applyAlignment="1">
      <alignment vertical="center" wrapTex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9" xfId="0" applyFont="1" applyBorder="1" applyAlignment="1">
      <alignmen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40" xfId="0" applyFont="1" applyBorder="1" applyAlignment="1">
      <alignment horizontal="left" vertical="center" shrinkToFit="1"/>
    </xf>
    <xf numFmtId="0" fontId="8" fillId="0" borderId="0" xfId="0" applyFont="1" applyAlignment="1">
      <alignment vertical="center" wrapText="1"/>
    </xf>
    <xf numFmtId="0" fontId="8" fillId="0" borderId="19" xfId="0" applyFont="1" applyBorder="1" applyAlignment="1">
      <alignment horizontal="left" vertical="center" shrinkToFit="1"/>
    </xf>
    <xf numFmtId="0" fontId="8" fillId="0" borderId="37" xfId="0" applyFont="1" applyBorder="1" applyAlignment="1">
      <alignment horizontal="left" vertical="center" shrinkToFit="1"/>
    </xf>
    <xf numFmtId="0" fontId="9" fillId="0" borderId="0" xfId="0" applyFont="1" applyFill="1" applyAlignment="1">
      <alignment horizontal="center" vertical="center"/>
    </xf>
    <xf numFmtId="0" fontId="16"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2" fillId="0" borderId="0" xfId="0" applyFont="1" applyAlignment="1">
      <alignment horizontal="right" vertical="center"/>
    </xf>
    <xf numFmtId="0" fontId="13"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9" fillId="0" borderId="7"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3" applyBorder="1" applyAlignment="1">
      <alignment horizontal="center" vertical="center" shrinkToFit="1"/>
    </xf>
    <xf numFmtId="0" fontId="7" fillId="0" borderId="3" xfId="3" applyBorder="1" applyAlignment="1">
      <alignment horizontal="center" vertical="center" shrinkToFit="1"/>
    </xf>
    <xf numFmtId="0" fontId="7" fillId="0" borderId="4" xfId="3"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4">
    <cellStyle name="Hyperlink" xfId="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jim.suzuka-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uzuka-ct.ac.jp/guide/guide_index/educatio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uzuka-ct.ac.jp/guide/guide_index/educatio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p.suzuka-ct.ac.jp/guide/guide_index/education/?preview_id=1837&amp;preview_nonce=5c0b40fbb8&amp;preview=tru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zoomScaleNormal="100" zoomScaleSheetLayoutView="100" workbookViewId="0"/>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7"/>
    <col min="16" max="16384" width="9" style="13"/>
  </cols>
  <sheetData>
    <row r="1" spans="1:15" ht="24" customHeight="1" x14ac:dyDescent="0.15">
      <c r="M1" s="129" t="s">
        <v>0</v>
      </c>
      <c r="N1" s="129"/>
    </row>
    <row r="2" spans="1:15" ht="24" customHeight="1" x14ac:dyDescent="0.15">
      <c r="A2" s="132" t="s">
        <v>1</v>
      </c>
      <c r="B2" s="132"/>
      <c r="C2" s="132"/>
      <c r="D2" s="132"/>
      <c r="E2" s="132"/>
      <c r="F2" s="132"/>
      <c r="G2" s="132"/>
      <c r="H2" s="132"/>
      <c r="I2" s="132"/>
      <c r="J2" s="132"/>
      <c r="K2" s="132"/>
      <c r="L2" s="132"/>
      <c r="M2" s="132"/>
      <c r="N2" s="132"/>
    </row>
    <row r="3" spans="1:15" ht="24" customHeight="1" x14ac:dyDescent="0.15"/>
    <row r="4" spans="1:15" ht="24" customHeight="1" x14ac:dyDescent="0.15">
      <c r="A4" s="14" t="s">
        <v>2</v>
      </c>
      <c r="B4" s="14" t="s">
        <v>3</v>
      </c>
      <c r="C4" s="119" t="s">
        <v>4</v>
      </c>
      <c r="D4" s="120"/>
      <c r="E4" s="120"/>
      <c r="F4" s="120"/>
      <c r="G4" s="120"/>
      <c r="H4" s="120"/>
      <c r="I4" s="120"/>
      <c r="J4" s="120"/>
      <c r="K4" s="120"/>
      <c r="L4" s="120"/>
      <c r="M4" s="120"/>
      <c r="N4" s="121"/>
      <c r="O4" s="27" t="str">
        <f>IF(C4="","入力してください","")</f>
        <v/>
      </c>
    </row>
    <row r="5" spans="1:15" ht="7.5" customHeight="1" x14ac:dyDescent="0.15">
      <c r="E5" s="15"/>
      <c r="F5" s="29"/>
      <c r="G5" s="29"/>
      <c r="H5" s="29"/>
      <c r="I5" s="29"/>
      <c r="J5" s="29"/>
      <c r="K5" s="29"/>
      <c r="L5" s="29"/>
      <c r="M5" s="29"/>
      <c r="N5" s="29"/>
    </row>
    <row r="6" spans="1:15" ht="24" customHeight="1" x14ac:dyDescent="0.15">
      <c r="A6" s="14" t="s">
        <v>5</v>
      </c>
      <c r="B6" s="14" t="s">
        <v>6</v>
      </c>
      <c r="D6" s="119" t="s">
        <v>7</v>
      </c>
      <c r="E6" s="120"/>
      <c r="F6" s="120"/>
      <c r="G6" s="120"/>
      <c r="H6" s="121"/>
      <c r="I6" s="14" t="s">
        <v>8</v>
      </c>
      <c r="J6" s="29" t="s">
        <v>9</v>
      </c>
      <c r="K6" s="119" t="s">
        <v>10</v>
      </c>
      <c r="L6" s="120"/>
      <c r="M6" s="120"/>
      <c r="N6" s="121"/>
      <c r="O6" s="27" t="str">
        <f>IF(D6="","入力してください","")</f>
        <v/>
      </c>
    </row>
    <row r="7" spans="1:15" ht="7.5" customHeight="1" x14ac:dyDescent="0.15">
      <c r="E7" s="15"/>
      <c r="F7" s="29"/>
      <c r="G7" s="29"/>
      <c r="H7" s="29"/>
      <c r="I7" s="29"/>
      <c r="J7" s="29"/>
      <c r="K7" s="29"/>
      <c r="L7" s="29"/>
      <c r="M7" s="29"/>
      <c r="N7" s="29"/>
    </row>
    <row r="8" spans="1:15" ht="24" customHeight="1" x14ac:dyDescent="0.15">
      <c r="A8" s="14" t="s">
        <v>11</v>
      </c>
      <c r="B8" s="14" t="s">
        <v>12</v>
      </c>
      <c r="C8" s="119" t="s">
        <v>13</v>
      </c>
      <c r="D8" s="120"/>
      <c r="E8" s="120"/>
      <c r="F8" s="120"/>
      <c r="G8" s="120"/>
      <c r="H8" s="120"/>
      <c r="I8" s="120"/>
      <c r="J8" s="120"/>
      <c r="K8" s="120"/>
      <c r="L8" s="120"/>
      <c r="M8" s="120"/>
      <c r="N8" s="121"/>
      <c r="O8" s="27" t="str">
        <f>IF(C8="","入力してください","")</f>
        <v/>
      </c>
    </row>
    <row r="9" spans="1:15" ht="7.5" customHeight="1" x14ac:dyDescent="0.15">
      <c r="E9" s="15"/>
      <c r="F9" s="29"/>
      <c r="G9" s="29"/>
      <c r="H9" s="29"/>
      <c r="I9" s="29"/>
      <c r="J9" s="29"/>
      <c r="K9" s="29"/>
      <c r="L9" s="29"/>
      <c r="M9" s="29"/>
      <c r="N9" s="29"/>
    </row>
    <row r="10" spans="1:15" ht="24" customHeight="1" x14ac:dyDescent="0.15">
      <c r="A10" s="14" t="s">
        <v>14</v>
      </c>
      <c r="B10" s="14" t="s">
        <v>15</v>
      </c>
      <c r="E10" s="119" t="s">
        <v>16</v>
      </c>
      <c r="F10" s="120"/>
      <c r="G10" s="120"/>
      <c r="H10" s="120"/>
      <c r="I10" s="120"/>
      <c r="J10" s="120"/>
      <c r="K10" s="120"/>
      <c r="L10" s="120"/>
      <c r="M10" s="120"/>
      <c r="N10" s="121"/>
      <c r="O10" s="27" t="str">
        <f>IF(E10="","入力してください","")</f>
        <v/>
      </c>
    </row>
    <row r="11" spans="1:15" ht="7.5" customHeight="1" x14ac:dyDescent="0.15">
      <c r="B11" s="15"/>
      <c r="C11" s="15"/>
      <c r="D11" s="15"/>
      <c r="E11" s="15"/>
      <c r="F11" s="29"/>
      <c r="G11" s="29"/>
      <c r="H11" s="29"/>
      <c r="I11" s="29"/>
      <c r="J11" s="29"/>
      <c r="K11" s="29"/>
      <c r="L11" s="29"/>
      <c r="M11" s="29"/>
      <c r="N11" s="29"/>
    </row>
    <row r="12" spans="1:15" ht="24" customHeight="1" x14ac:dyDescent="0.15">
      <c r="A12" s="14" t="s">
        <v>17</v>
      </c>
      <c r="B12" s="15" t="s">
        <v>18</v>
      </c>
      <c r="C12" s="15"/>
      <c r="D12" s="15"/>
      <c r="E12" s="133" t="s">
        <v>214</v>
      </c>
      <c r="F12" s="134"/>
      <c r="G12" s="14" t="s">
        <v>19</v>
      </c>
      <c r="H12" s="14" t="s">
        <v>20</v>
      </c>
      <c r="N12" s="92" t="s">
        <v>21</v>
      </c>
      <c r="O12" s="27" t="str">
        <f>IF(E12="","入力してください","")</f>
        <v/>
      </c>
    </row>
    <row r="13" spans="1:15" ht="7.5" customHeight="1" x14ac:dyDescent="0.15">
      <c r="B13" s="15"/>
      <c r="C13" s="15"/>
      <c r="D13" s="15"/>
      <c r="E13" s="15"/>
      <c r="F13" s="29"/>
      <c r="G13" s="29"/>
      <c r="H13" s="29"/>
      <c r="I13" s="29"/>
      <c r="J13" s="29"/>
      <c r="K13" s="29"/>
      <c r="L13" s="29"/>
      <c r="M13" s="29"/>
      <c r="N13" s="29"/>
    </row>
    <row r="14" spans="1:15" ht="24" customHeight="1" x14ac:dyDescent="0.15">
      <c r="A14" s="14" t="s">
        <v>22</v>
      </c>
      <c r="B14" s="14" t="s">
        <v>23</v>
      </c>
      <c r="C14" s="129" t="s">
        <v>24</v>
      </c>
      <c r="D14" s="130"/>
      <c r="E14" s="122">
        <v>75</v>
      </c>
      <c r="F14" s="123"/>
      <c r="G14" s="16" t="s">
        <v>25</v>
      </c>
      <c r="I14" s="129" t="s">
        <v>26</v>
      </c>
      <c r="J14" s="130"/>
      <c r="K14" s="122">
        <v>39</v>
      </c>
      <c r="L14" s="131"/>
      <c r="M14" s="123"/>
      <c r="N14" s="17" t="s">
        <v>25</v>
      </c>
      <c r="O14" s="27" t="str">
        <f>IF(OR(E14="",K14=""),"入力してください","")</f>
        <v/>
      </c>
    </row>
    <row r="15" spans="1:15" ht="7.5" customHeight="1" x14ac:dyDescent="0.15">
      <c r="M15" s="17"/>
      <c r="N15" s="17"/>
    </row>
    <row r="16" spans="1:15" ht="24" customHeight="1" x14ac:dyDescent="0.15">
      <c r="A16" s="14" t="s">
        <v>27</v>
      </c>
      <c r="B16" s="14" t="s">
        <v>28</v>
      </c>
      <c r="K16" s="133">
        <v>3</v>
      </c>
      <c r="L16" s="135"/>
      <c r="M16" s="134"/>
      <c r="N16" s="17" t="s">
        <v>25</v>
      </c>
      <c r="O16" s="27" t="str">
        <f>IF(K16="","入力してください","")</f>
        <v/>
      </c>
    </row>
    <row r="17" spans="1:15" ht="7.5" customHeight="1" x14ac:dyDescent="0.15">
      <c r="M17" s="17"/>
      <c r="N17" s="17"/>
    </row>
    <row r="18" spans="1:15" ht="24" customHeight="1" x14ac:dyDescent="0.15">
      <c r="A18" s="14" t="s">
        <v>29</v>
      </c>
      <c r="B18" s="14" t="s">
        <v>30</v>
      </c>
      <c r="E18" s="122">
        <v>200</v>
      </c>
      <c r="F18" s="123"/>
      <c r="G18" s="18" t="s">
        <v>31</v>
      </c>
      <c r="K18" s="139"/>
      <c r="L18" s="139"/>
      <c r="M18" s="139"/>
      <c r="N18" s="139"/>
      <c r="O18" s="27" t="str">
        <f>IF(E18="","入力してください","")</f>
        <v/>
      </c>
    </row>
    <row r="19" spans="1:15" ht="7.5" customHeight="1" x14ac:dyDescent="0.15">
      <c r="E19" s="10"/>
      <c r="L19" s="25"/>
      <c r="M19" s="25"/>
      <c r="N19" s="17"/>
    </row>
    <row r="20" spans="1:15" ht="24" customHeight="1" x14ac:dyDescent="0.15">
      <c r="A20" s="14" t="s">
        <v>32</v>
      </c>
      <c r="B20" s="14" t="s">
        <v>33</v>
      </c>
      <c r="E20" s="10"/>
      <c r="H20" s="14" t="s">
        <v>34</v>
      </c>
      <c r="J20" s="136">
        <v>1047</v>
      </c>
      <c r="K20" s="137"/>
      <c r="L20" s="138"/>
      <c r="M20" s="25" t="s">
        <v>25</v>
      </c>
      <c r="N20" s="17"/>
      <c r="O20" s="27" t="str">
        <f>IF(J20="","入力してください","")</f>
        <v/>
      </c>
    </row>
    <row r="21" spans="1:15" ht="7.5" customHeight="1" x14ac:dyDescent="0.15">
      <c r="E21" s="10"/>
      <c r="L21" s="25"/>
      <c r="M21" s="25"/>
      <c r="N21" s="17"/>
    </row>
    <row r="22" spans="1:15" ht="24" customHeight="1" x14ac:dyDescent="0.15">
      <c r="B22" s="25" t="s">
        <v>35</v>
      </c>
      <c r="C22" s="122">
        <v>212</v>
      </c>
      <c r="D22" s="123"/>
      <c r="E22" s="10" t="s">
        <v>25</v>
      </c>
      <c r="G22" s="118" t="s">
        <v>36</v>
      </c>
      <c r="H22" s="118"/>
      <c r="I22" s="122">
        <v>209</v>
      </c>
      <c r="J22" s="123"/>
      <c r="K22" s="14" t="s">
        <v>25</v>
      </c>
      <c r="M22" s="25"/>
      <c r="N22" s="17"/>
    </row>
    <row r="23" spans="1:15" ht="7.5" customHeight="1" x14ac:dyDescent="0.15">
      <c r="B23" s="25"/>
      <c r="C23" s="11"/>
      <c r="D23" s="11"/>
      <c r="E23" s="10"/>
      <c r="G23" s="25"/>
      <c r="H23" s="25"/>
      <c r="I23" s="11"/>
      <c r="J23" s="11"/>
      <c r="M23" s="25"/>
      <c r="N23" s="17"/>
    </row>
    <row r="24" spans="1:15" ht="24" customHeight="1" x14ac:dyDescent="0.15">
      <c r="B24" s="25" t="s">
        <v>37</v>
      </c>
      <c r="C24" s="122">
        <v>210</v>
      </c>
      <c r="D24" s="123"/>
      <c r="E24" s="10" t="s">
        <v>25</v>
      </c>
      <c r="G24" s="118" t="s">
        <v>38</v>
      </c>
      <c r="H24" s="118"/>
      <c r="I24" s="122">
        <v>197</v>
      </c>
      <c r="J24" s="123"/>
      <c r="K24" s="14" t="s">
        <v>25</v>
      </c>
      <c r="M24" s="25"/>
      <c r="N24" s="17"/>
    </row>
    <row r="25" spans="1:15" ht="7.5" customHeight="1" x14ac:dyDescent="0.15">
      <c r="B25" s="25"/>
      <c r="C25" s="11"/>
      <c r="D25" s="11"/>
      <c r="E25" s="10"/>
      <c r="G25" s="25"/>
      <c r="H25" s="25"/>
      <c r="I25" s="11"/>
      <c r="J25" s="11"/>
      <c r="M25" s="25"/>
      <c r="N25" s="17"/>
    </row>
    <row r="26" spans="1:15" ht="24" customHeight="1" x14ac:dyDescent="0.15">
      <c r="B26" s="25" t="s">
        <v>39</v>
      </c>
      <c r="C26" s="122">
        <v>219</v>
      </c>
      <c r="D26" s="123"/>
      <c r="E26" s="10" t="s">
        <v>25</v>
      </c>
      <c r="G26" s="118" t="s">
        <v>40</v>
      </c>
      <c r="H26" s="118"/>
      <c r="I26" s="122">
        <v>59</v>
      </c>
      <c r="J26" s="123"/>
      <c r="K26" s="14" t="s">
        <v>25</v>
      </c>
      <c r="M26" s="25"/>
      <c r="N26" s="17"/>
    </row>
    <row r="27" spans="1:15" ht="7.5" customHeight="1" x14ac:dyDescent="0.15">
      <c r="M27" s="19"/>
      <c r="N27" s="19"/>
    </row>
    <row r="28" spans="1:15" ht="24" customHeight="1" x14ac:dyDescent="0.15">
      <c r="A28" s="14" t="s">
        <v>41</v>
      </c>
      <c r="B28" s="14" t="s">
        <v>42</v>
      </c>
      <c r="G28" s="29"/>
      <c r="H28" s="29"/>
      <c r="I28" s="29"/>
      <c r="J28" s="20"/>
      <c r="K28" s="20"/>
      <c r="L28" s="20"/>
      <c r="M28" s="20"/>
      <c r="N28" s="20"/>
    </row>
    <row r="29" spans="1:15" s="14" customFormat="1" ht="24" customHeight="1" x14ac:dyDescent="0.15">
      <c r="B29" s="126" t="s">
        <v>43</v>
      </c>
      <c r="C29" s="126"/>
      <c r="D29" s="119" t="s">
        <v>44</v>
      </c>
      <c r="E29" s="120"/>
      <c r="F29" s="120"/>
      <c r="G29" s="127" t="s">
        <v>45</v>
      </c>
      <c r="H29" s="126"/>
      <c r="I29" s="128"/>
      <c r="J29" s="119" t="s">
        <v>46</v>
      </c>
      <c r="K29" s="120"/>
      <c r="L29" s="120"/>
      <c r="M29" s="120"/>
      <c r="N29" s="121"/>
      <c r="O29" s="27" t="str">
        <f>IF(OR(D29="",J29=""),"入力してください","")</f>
        <v/>
      </c>
    </row>
    <row r="30" spans="1:15" ht="7.5" customHeight="1" x14ac:dyDescent="0.15">
      <c r="M30" s="19"/>
      <c r="N30" s="19"/>
    </row>
    <row r="31" spans="1:15" ht="24" customHeight="1" x14ac:dyDescent="0.15">
      <c r="A31" s="14" t="s">
        <v>47</v>
      </c>
      <c r="B31" s="14" t="s">
        <v>48</v>
      </c>
      <c r="G31" s="20"/>
      <c r="H31" s="20"/>
      <c r="I31" s="20"/>
      <c r="J31" s="20"/>
      <c r="K31" s="20"/>
      <c r="L31" s="20"/>
      <c r="M31" s="20"/>
      <c r="N31" s="20"/>
    </row>
    <row r="32" spans="1:15" ht="24" customHeight="1" x14ac:dyDescent="0.15">
      <c r="B32" s="119" t="s">
        <v>49</v>
      </c>
      <c r="C32" s="120"/>
      <c r="D32" s="120"/>
      <c r="E32" s="120"/>
      <c r="F32" s="120"/>
      <c r="G32" s="120"/>
      <c r="H32" s="120"/>
      <c r="I32" s="120"/>
      <c r="J32" s="120"/>
      <c r="K32" s="120"/>
      <c r="L32" s="120"/>
      <c r="M32" s="120"/>
      <c r="N32" s="121"/>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6" t="s">
        <v>43</v>
      </c>
      <c r="C34" s="126"/>
      <c r="D34" s="119" t="s">
        <v>50</v>
      </c>
      <c r="E34" s="120"/>
      <c r="F34" s="120"/>
      <c r="G34" s="127" t="s">
        <v>45</v>
      </c>
      <c r="H34" s="126"/>
      <c r="I34" s="128"/>
      <c r="J34" s="119" t="s">
        <v>51</v>
      </c>
      <c r="K34" s="120"/>
      <c r="L34" s="120"/>
      <c r="M34" s="120"/>
      <c r="N34" s="121"/>
      <c r="O34" s="27" t="str">
        <f>IF(OR(D34="",J34=""),"入力してください","")</f>
        <v/>
      </c>
    </row>
    <row r="35" spans="1:15" ht="7.5" customHeight="1" x14ac:dyDescent="0.15">
      <c r="F35" s="29"/>
      <c r="G35" s="29"/>
      <c r="H35" s="29"/>
      <c r="I35" s="29"/>
      <c r="J35" s="29"/>
      <c r="K35" s="29"/>
      <c r="L35" s="29"/>
      <c r="M35" s="29"/>
      <c r="N35" s="29"/>
    </row>
    <row r="36" spans="1:15" ht="24" customHeight="1" x14ac:dyDescent="0.15">
      <c r="A36" s="14" t="s">
        <v>52</v>
      </c>
      <c r="B36" s="14" t="s">
        <v>53</v>
      </c>
      <c r="M36" s="19"/>
      <c r="N36" s="19"/>
    </row>
    <row r="37" spans="1:15" ht="24" customHeight="1" x14ac:dyDescent="0.15">
      <c r="B37" s="119" t="s">
        <v>49</v>
      </c>
      <c r="C37" s="120"/>
      <c r="D37" s="120"/>
      <c r="E37" s="120"/>
      <c r="F37" s="120"/>
      <c r="G37" s="120"/>
      <c r="H37" s="120"/>
      <c r="I37" s="120"/>
      <c r="J37" s="120"/>
      <c r="K37" s="120"/>
      <c r="L37" s="120"/>
      <c r="M37" s="120"/>
      <c r="N37" s="121"/>
      <c r="O37" s="27" t="str">
        <f>IF(B37="","入力してください","")</f>
        <v/>
      </c>
    </row>
    <row r="38" spans="1:15" ht="7.5" customHeight="1" x14ac:dyDescent="0.15">
      <c r="F38" s="29"/>
      <c r="G38" s="29"/>
      <c r="H38" s="29"/>
      <c r="I38" s="29"/>
      <c r="J38" s="29"/>
      <c r="K38" s="29"/>
      <c r="L38" s="29"/>
      <c r="M38" s="29"/>
      <c r="N38" s="29"/>
    </row>
    <row r="39" spans="1:15" s="14" customFormat="1" ht="24" customHeight="1" x14ac:dyDescent="0.15">
      <c r="B39" s="126" t="s">
        <v>43</v>
      </c>
      <c r="C39" s="126"/>
      <c r="D39" s="119" t="s">
        <v>50</v>
      </c>
      <c r="E39" s="120"/>
      <c r="F39" s="120"/>
      <c r="G39" s="127" t="s">
        <v>45</v>
      </c>
      <c r="H39" s="126"/>
      <c r="I39" s="128"/>
      <c r="J39" s="119" t="s">
        <v>54</v>
      </c>
      <c r="K39" s="120"/>
      <c r="L39" s="120"/>
      <c r="M39" s="120"/>
      <c r="N39" s="121"/>
      <c r="O39" s="27" t="str">
        <f>IF(OR(D39="",J39=""),"入力してください","")</f>
        <v/>
      </c>
    </row>
    <row r="40" spans="1:15" ht="7.5" customHeight="1" x14ac:dyDescent="0.15">
      <c r="F40" s="29"/>
      <c r="G40" s="29"/>
      <c r="H40" s="29"/>
      <c r="I40" s="29"/>
      <c r="J40" s="29"/>
      <c r="K40" s="29"/>
      <c r="L40" s="29"/>
      <c r="M40" s="29"/>
      <c r="N40" s="29"/>
    </row>
    <row r="41" spans="1:15" ht="24" customHeight="1" x14ac:dyDescent="0.15">
      <c r="A41" s="14" t="s">
        <v>55</v>
      </c>
      <c r="B41" s="14" t="s">
        <v>56</v>
      </c>
      <c r="E41" s="64"/>
      <c r="F41" s="119" t="s">
        <v>57</v>
      </c>
      <c r="G41" s="120"/>
      <c r="H41" s="120"/>
      <c r="I41" s="120"/>
      <c r="J41" s="120"/>
      <c r="K41" s="120"/>
      <c r="L41" s="120"/>
      <c r="M41" s="120"/>
      <c r="N41" s="121"/>
      <c r="O41" s="27" t="str">
        <f>IF(F41="","入力してください","")</f>
        <v/>
      </c>
    </row>
    <row r="42" spans="1:15" ht="7.5" customHeight="1" x14ac:dyDescent="0.15">
      <c r="F42" s="29"/>
      <c r="G42" s="29"/>
      <c r="H42" s="29"/>
      <c r="I42" s="29"/>
      <c r="J42" s="29"/>
      <c r="K42" s="29"/>
      <c r="L42" s="29"/>
      <c r="M42" s="29"/>
      <c r="N42" s="29"/>
    </row>
    <row r="43" spans="1:15" ht="24" customHeight="1" x14ac:dyDescent="0.15">
      <c r="A43" s="14" t="s">
        <v>58</v>
      </c>
    </row>
    <row r="44" spans="1:15" ht="24" customHeight="1" x14ac:dyDescent="0.15">
      <c r="B44" s="26" t="s">
        <v>59</v>
      </c>
      <c r="C44" s="124" t="s">
        <v>60</v>
      </c>
      <c r="D44" s="125"/>
      <c r="E44" s="125"/>
      <c r="F44" s="125"/>
      <c r="G44" s="125"/>
      <c r="H44" s="125"/>
      <c r="I44" s="22" t="s">
        <v>61</v>
      </c>
      <c r="J44" s="23"/>
      <c r="K44" s="119" t="s">
        <v>62</v>
      </c>
      <c r="L44" s="120"/>
      <c r="M44" s="120"/>
      <c r="N44" s="121"/>
      <c r="O44" s="27" t="str">
        <f>IF(OR(C44="",K44=""),"入力してください","")</f>
        <v/>
      </c>
    </row>
    <row r="45" spans="1:15" ht="24" customHeight="1" x14ac:dyDescent="0.15">
      <c r="B45" s="21" t="s">
        <v>63</v>
      </c>
      <c r="C45" s="112" t="s">
        <v>64</v>
      </c>
      <c r="D45" s="113"/>
      <c r="E45" s="113"/>
      <c r="F45" s="113"/>
      <c r="G45" s="113"/>
      <c r="H45" s="114"/>
      <c r="I45" s="22" t="s">
        <v>65</v>
      </c>
      <c r="J45" s="23"/>
      <c r="K45" s="115" t="s">
        <v>66</v>
      </c>
      <c r="L45" s="116"/>
      <c r="M45" s="116"/>
      <c r="N45" s="117"/>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01" t="s">
        <v>218</v>
      </c>
      <c r="X1" s="201"/>
      <c r="Y1" s="201"/>
      <c r="Z1" s="201"/>
    </row>
    <row r="2" spans="1:26" ht="18" customHeight="1" x14ac:dyDescent="0.15">
      <c r="A2" s="202" t="s">
        <v>67</v>
      </c>
      <c r="B2" s="202"/>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ht="15" customHeight="1" x14ac:dyDescent="0.15">
      <c r="B3" s="97"/>
      <c r="C3" s="97"/>
      <c r="D3" s="97"/>
      <c r="E3" s="97"/>
      <c r="F3" s="97"/>
      <c r="G3" s="97"/>
      <c r="H3" s="97"/>
      <c r="I3" s="97"/>
      <c r="J3" s="97"/>
      <c r="K3" s="97"/>
      <c r="L3" s="97"/>
      <c r="M3" s="97"/>
      <c r="N3" s="97"/>
      <c r="O3" s="97"/>
      <c r="P3" s="97"/>
      <c r="Q3" s="97"/>
      <c r="R3" s="97"/>
      <c r="S3" s="97"/>
      <c r="T3" s="97"/>
      <c r="U3" s="97"/>
      <c r="V3" s="97"/>
      <c r="W3" s="97"/>
      <c r="X3" s="97"/>
      <c r="Y3" s="97"/>
      <c r="Z3" s="97"/>
    </row>
    <row r="4" spans="1:26" ht="18" customHeight="1" x14ac:dyDescent="0.15">
      <c r="A4" s="13" t="s">
        <v>68</v>
      </c>
      <c r="B4" s="97"/>
      <c r="C4" s="97"/>
      <c r="D4" s="97"/>
      <c r="E4" s="97"/>
      <c r="F4" s="97"/>
      <c r="G4" s="97"/>
      <c r="H4" s="14" t="s">
        <v>69</v>
      </c>
      <c r="I4" s="97"/>
      <c r="J4" s="97"/>
      <c r="K4" s="97"/>
      <c r="L4" s="97"/>
      <c r="M4" s="97"/>
      <c r="N4" s="97"/>
      <c r="O4" s="133" t="s">
        <v>70</v>
      </c>
      <c r="P4" s="135"/>
      <c r="Q4" s="135"/>
      <c r="R4" s="135"/>
      <c r="S4" s="135"/>
      <c r="T4" s="135"/>
      <c r="U4" s="135"/>
      <c r="V4" s="135"/>
      <c r="W4" s="135"/>
      <c r="X4" s="135"/>
      <c r="Y4" s="135"/>
      <c r="Z4" s="134"/>
    </row>
    <row r="5" spans="1:26" ht="6" customHeight="1" x14ac:dyDescent="0.15">
      <c r="B5" s="97"/>
      <c r="C5" s="97"/>
      <c r="D5" s="97"/>
      <c r="E5" s="97"/>
      <c r="F5" s="97"/>
      <c r="G5" s="97"/>
      <c r="H5" s="97"/>
      <c r="I5" s="97"/>
      <c r="J5" s="97"/>
      <c r="K5" s="97"/>
      <c r="L5" s="97"/>
      <c r="M5" s="97"/>
      <c r="N5" s="97"/>
      <c r="O5" s="15"/>
      <c r="P5" s="97"/>
      <c r="Q5" s="97"/>
      <c r="R5" s="97"/>
      <c r="S5" s="97"/>
      <c r="T5" s="97"/>
      <c r="U5" s="97"/>
      <c r="V5" s="97"/>
      <c r="W5" s="97"/>
      <c r="X5" s="97"/>
      <c r="Y5" s="97"/>
      <c r="Z5" s="97"/>
    </row>
    <row r="6" spans="1:26" ht="18" customHeight="1" x14ac:dyDescent="0.15">
      <c r="B6" s="203" t="s">
        <v>71</v>
      </c>
      <c r="C6" s="204"/>
      <c r="D6" s="204"/>
      <c r="E6" s="204"/>
      <c r="F6" s="204"/>
      <c r="G6" s="204"/>
      <c r="H6" s="204"/>
      <c r="I6" s="204"/>
      <c r="J6" s="204"/>
      <c r="K6" s="204"/>
      <c r="L6" s="204"/>
      <c r="M6" s="204"/>
      <c r="N6" s="204"/>
      <c r="O6" s="204"/>
      <c r="P6" s="204"/>
      <c r="Q6" s="204"/>
      <c r="R6" s="204"/>
      <c r="S6" s="204"/>
      <c r="T6" s="204"/>
      <c r="U6" s="204"/>
      <c r="V6" s="204"/>
      <c r="W6" s="204"/>
      <c r="X6" s="204"/>
      <c r="Y6" s="204"/>
      <c r="Z6" s="205"/>
    </row>
    <row r="7" spans="1:26" ht="18" customHeight="1" x14ac:dyDescent="0.15">
      <c r="B7" s="206"/>
      <c r="C7" s="207"/>
      <c r="D7" s="207"/>
      <c r="E7" s="207"/>
      <c r="F7" s="207"/>
      <c r="G7" s="207"/>
      <c r="H7" s="207"/>
      <c r="I7" s="207"/>
      <c r="J7" s="207"/>
      <c r="K7" s="207"/>
      <c r="L7" s="207"/>
      <c r="M7" s="207"/>
      <c r="N7" s="207"/>
      <c r="O7" s="207"/>
      <c r="P7" s="207"/>
      <c r="Q7" s="207"/>
      <c r="R7" s="207"/>
      <c r="S7" s="207"/>
      <c r="T7" s="207"/>
      <c r="U7" s="207"/>
      <c r="V7" s="207"/>
      <c r="W7" s="207"/>
      <c r="X7" s="207"/>
      <c r="Y7" s="207"/>
      <c r="Z7" s="208"/>
    </row>
    <row r="8" spans="1:26" ht="18" customHeight="1" x14ac:dyDescent="0.15">
      <c r="B8" s="206"/>
      <c r="C8" s="207"/>
      <c r="D8" s="207"/>
      <c r="E8" s="207"/>
      <c r="F8" s="207"/>
      <c r="G8" s="207"/>
      <c r="H8" s="207"/>
      <c r="I8" s="207"/>
      <c r="J8" s="207"/>
      <c r="K8" s="207"/>
      <c r="L8" s="207"/>
      <c r="M8" s="207"/>
      <c r="N8" s="207"/>
      <c r="O8" s="207"/>
      <c r="P8" s="207"/>
      <c r="Q8" s="207"/>
      <c r="R8" s="207"/>
      <c r="S8" s="207"/>
      <c r="T8" s="207"/>
      <c r="U8" s="207"/>
      <c r="V8" s="207"/>
      <c r="W8" s="207"/>
      <c r="X8" s="207"/>
      <c r="Y8" s="207"/>
      <c r="Z8" s="208"/>
    </row>
    <row r="9" spans="1:26" ht="18" customHeight="1" x14ac:dyDescent="0.15">
      <c r="B9" s="206"/>
      <c r="C9" s="207"/>
      <c r="D9" s="207"/>
      <c r="E9" s="207"/>
      <c r="F9" s="207"/>
      <c r="G9" s="207"/>
      <c r="H9" s="207"/>
      <c r="I9" s="207"/>
      <c r="J9" s="207"/>
      <c r="K9" s="207"/>
      <c r="L9" s="207"/>
      <c r="M9" s="207"/>
      <c r="N9" s="207"/>
      <c r="O9" s="207"/>
      <c r="P9" s="207"/>
      <c r="Q9" s="207"/>
      <c r="R9" s="207"/>
      <c r="S9" s="207"/>
      <c r="T9" s="207"/>
      <c r="U9" s="207"/>
      <c r="V9" s="207"/>
      <c r="W9" s="207"/>
      <c r="X9" s="207"/>
      <c r="Y9" s="207"/>
      <c r="Z9" s="208"/>
    </row>
    <row r="10" spans="1:26" ht="18" customHeight="1" x14ac:dyDescent="0.15">
      <c r="B10" s="206"/>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8"/>
    </row>
    <row r="11" spans="1:26" ht="18" customHeight="1" x14ac:dyDescent="0.15">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1"/>
    </row>
    <row r="12" spans="1:26" ht="7.5" customHeight="1" x14ac:dyDescent="0.15">
      <c r="B12" s="97"/>
      <c r="C12" s="97"/>
      <c r="D12" s="97"/>
      <c r="E12" s="97"/>
      <c r="F12" s="97"/>
      <c r="G12" s="97"/>
      <c r="H12" s="97"/>
      <c r="I12" s="97"/>
      <c r="J12" s="97"/>
      <c r="K12" s="97"/>
      <c r="L12" s="97"/>
      <c r="M12" s="97"/>
      <c r="N12" s="97"/>
      <c r="O12" s="97"/>
      <c r="P12" s="97"/>
      <c r="Q12" s="97"/>
      <c r="R12" s="97"/>
      <c r="S12" s="97"/>
      <c r="T12" s="97"/>
      <c r="U12" s="97"/>
      <c r="V12" s="97"/>
      <c r="W12" s="97"/>
      <c r="X12" s="97"/>
      <c r="Y12" s="97"/>
      <c r="Z12" s="97"/>
    </row>
    <row r="13" spans="1:26" ht="18" customHeight="1" x14ac:dyDescent="0.15">
      <c r="A13" s="198" t="s">
        <v>72</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33" t="s">
        <v>73</v>
      </c>
      <c r="C15" s="135"/>
      <c r="D15" s="135"/>
      <c r="E15" s="135"/>
      <c r="F15" s="134"/>
      <c r="G15" s="26" t="s">
        <v>74</v>
      </c>
      <c r="H15" s="88" t="s">
        <v>75</v>
      </c>
      <c r="I15" s="135" t="s">
        <v>76</v>
      </c>
      <c r="J15" s="135"/>
      <c r="K15" s="135"/>
      <c r="L15" s="65" t="s">
        <v>77</v>
      </c>
      <c r="M15" s="65" t="s">
        <v>78</v>
      </c>
      <c r="N15" s="133" t="s">
        <v>73</v>
      </c>
      <c r="O15" s="135"/>
      <c r="P15" s="135"/>
      <c r="Q15" s="135"/>
      <c r="R15" s="135"/>
      <c r="S15" s="134"/>
      <c r="T15" s="26" t="s">
        <v>74</v>
      </c>
      <c r="U15" s="88" t="s">
        <v>75</v>
      </c>
      <c r="V15" s="135" t="s">
        <v>76</v>
      </c>
      <c r="W15" s="135"/>
      <c r="X15" s="135"/>
      <c r="Y15" s="65" t="s">
        <v>77</v>
      </c>
      <c r="Z15" s="65" t="s">
        <v>78</v>
      </c>
    </row>
    <row r="16" spans="1:26" ht="18" customHeight="1" x14ac:dyDescent="0.15">
      <c r="A16" s="14"/>
      <c r="B16" s="200" t="s">
        <v>79</v>
      </c>
      <c r="C16" s="161"/>
      <c r="D16" s="161"/>
      <c r="E16" s="161"/>
      <c r="F16" s="162"/>
      <c r="G16" s="89">
        <v>1</v>
      </c>
      <c r="H16" s="89" t="s">
        <v>80</v>
      </c>
      <c r="I16" s="194" t="s">
        <v>81</v>
      </c>
      <c r="J16" s="195"/>
      <c r="K16" s="196"/>
      <c r="L16" s="89"/>
      <c r="M16" s="89" t="s">
        <v>80</v>
      </c>
      <c r="N16" s="181"/>
      <c r="O16" s="158"/>
      <c r="P16" s="158"/>
      <c r="Q16" s="158"/>
      <c r="R16" s="158"/>
      <c r="S16" s="159"/>
      <c r="T16" s="89"/>
      <c r="U16" s="89"/>
      <c r="V16" s="194"/>
      <c r="W16" s="195"/>
      <c r="X16" s="196"/>
      <c r="Y16" s="89"/>
      <c r="Z16" s="89"/>
    </row>
    <row r="17" spans="1:26" ht="18" customHeight="1" x14ac:dyDescent="0.15">
      <c r="A17" s="14"/>
      <c r="B17" s="199" t="s">
        <v>82</v>
      </c>
      <c r="C17" s="155"/>
      <c r="D17" s="155"/>
      <c r="E17" s="155"/>
      <c r="F17" s="156"/>
      <c r="G17" s="90">
        <v>1</v>
      </c>
      <c r="H17" s="90" t="s">
        <v>80</v>
      </c>
      <c r="I17" s="191" t="s">
        <v>83</v>
      </c>
      <c r="J17" s="192"/>
      <c r="K17" s="193"/>
      <c r="L17" s="90" t="s">
        <v>80</v>
      </c>
      <c r="M17" s="90"/>
      <c r="N17" s="175"/>
      <c r="O17" s="176"/>
      <c r="P17" s="176"/>
      <c r="Q17" s="176"/>
      <c r="R17" s="176"/>
      <c r="S17" s="177"/>
      <c r="T17" s="90"/>
      <c r="U17" s="90"/>
      <c r="V17" s="191"/>
      <c r="W17" s="192"/>
      <c r="X17" s="193"/>
      <c r="Y17" s="90"/>
      <c r="Z17" s="90"/>
    </row>
    <row r="18" spans="1:26" ht="18" customHeight="1" x14ac:dyDescent="0.15">
      <c r="A18" s="14"/>
      <c r="B18" s="199"/>
      <c r="C18" s="155"/>
      <c r="D18" s="155"/>
      <c r="E18" s="155"/>
      <c r="F18" s="156"/>
      <c r="G18" s="90"/>
      <c r="H18" s="90"/>
      <c r="I18" s="191"/>
      <c r="J18" s="192"/>
      <c r="K18" s="193"/>
      <c r="L18" s="90"/>
      <c r="M18" s="90"/>
      <c r="N18" s="175"/>
      <c r="O18" s="176"/>
      <c r="P18" s="176"/>
      <c r="Q18" s="176"/>
      <c r="R18" s="176"/>
      <c r="S18" s="177"/>
      <c r="T18" s="90"/>
      <c r="U18" s="90"/>
      <c r="V18" s="191"/>
      <c r="W18" s="192"/>
      <c r="X18" s="193"/>
      <c r="Y18" s="90"/>
      <c r="Z18" s="90"/>
    </row>
    <row r="19" spans="1:26" ht="18" customHeight="1" x14ac:dyDescent="0.15">
      <c r="A19" s="14"/>
      <c r="B19" s="199"/>
      <c r="C19" s="155"/>
      <c r="D19" s="155"/>
      <c r="E19" s="155"/>
      <c r="F19" s="156"/>
      <c r="G19" s="90"/>
      <c r="H19" s="90"/>
      <c r="I19" s="191"/>
      <c r="J19" s="192"/>
      <c r="K19" s="193"/>
      <c r="L19" s="90"/>
      <c r="M19" s="90"/>
      <c r="N19" s="175"/>
      <c r="O19" s="176"/>
      <c r="P19" s="176"/>
      <c r="Q19" s="176"/>
      <c r="R19" s="176"/>
      <c r="S19" s="177"/>
      <c r="T19" s="90"/>
      <c r="U19" s="90"/>
      <c r="V19" s="191"/>
      <c r="W19" s="192"/>
      <c r="X19" s="193"/>
      <c r="Y19" s="90"/>
      <c r="Z19" s="90"/>
    </row>
    <row r="20" spans="1:26" ht="18" customHeight="1" x14ac:dyDescent="0.15">
      <c r="A20" s="14"/>
      <c r="B20" s="199"/>
      <c r="C20" s="155"/>
      <c r="D20" s="155"/>
      <c r="E20" s="155"/>
      <c r="F20" s="156"/>
      <c r="G20" s="90"/>
      <c r="H20" s="90"/>
      <c r="I20" s="191"/>
      <c r="J20" s="192"/>
      <c r="K20" s="193"/>
      <c r="L20" s="90"/>
      <c r="M20" s="90"/>
      <c r="N20" s="175"/>
      <c r="O20" s="176"/>
      <c r="P20" s="176"/>
      <c r="Q20" s="176"/>
      <c r="R20" s="176"/>
      <c r="S20" s="177"/>
      <c r="T20" s="90"/>
      <c r="U20" s="90"/>
      <c r="V20" s="191"/>
      <c r="W20" s="192"/>
      <c r="X20" s="193"/>
      <c r="Y20" s="90"/>
      <c r="Z20" s="90"/>
    </row>
    <row r="21" spans="1:26" ht="18" customHeight="1" x14ac:dyDescent="0.15">
      <c r="A21" s="97"/>
      <c r="B21" s="199"/>
      <c r="C21" s="155"/>
      <c r="D21" s="155"/>
      <c r="E21" s="155"/>
      <c r="F21" s="156"/>
      <c r="G21" s="90"/>
      <c r="H21" s="90"/>
      <c r="I21" s="191"/>
      <c r="J21" s="192"/>
      <c r="K21" s="193"/>
      <c r="L21" s="90"/>
      <c r="M21" s="90"/>
      <c r="N21" s="175"/>
      <c r="O21" s="176"/>
      <c r="P21" s="176"/>
      <c r="Q21" s="176"/>
      <c r="R21" s="176"/>
      <c r="S21" s="177"/>
      <c r="T21" s="90"/>
      <c r="U21" s="90"/>
      <c r="V21" s="191"/>
      <c r="W21" s="192"/>
      <c r="X21" s="193"/>
      <c r="Y21" s="90"/>
      <c r="Z21" s="90"/>
    </row>
    <row r="22" spans="1:26" ht="18" customHeight="1" x14ac:dyDescent="0.15">
      <c r="A22" s="97"/>
      <c r="B22" s="197"/>
      <c r="C22" s="163"/>
      <c r="D22" s="163"/>
      <c r="E22" s="163"/>
      <c r="F22" s="164"/>
      <c r="G22" s="91"/>
      <c r="H22" s="91"/>
      <c r="I22" s="185"/>
      <c r="J22" s="186"/>
      <c r="K22" s="187"/>
      <c r="L22" s="93"/>
      <c r="M22" s="93"/>
      <c r="N22" s="167"/>
      <c r="O22" s="168"/>
      <c r="P22" s="168"/>
      <c r="Q22" s="168"/>
      <c r="R22" s="168"/>
      <c r="S22" s="169"/>
      <c r="T22" s="91"/>
      <c r="U22" s="91"/>
      <c r="V22" s="185"/>
      <c r="W22" s="186"/>
      <c r="X22" s="187"/>
      <c r="Y22" s="93"/>
      <c r="Z22" s="93"/>
    </row>
    <row r="23" spans="1:26" ht="7.5" customHeight="1" x14ac:dyDescent="0.15">
      <c r="A23" s="97"/>
      <c r="B23" s="98"/>
      <c r="C23" s="98"/>
      <c r="D23" s="97"/>
      <c r="E23" s="97"/>
      <c r="F23" s="97"/>
      <c r="G23" s="97"/>
      <c r="H23" s="97"/>
      <c r="I23" s="97"/>
      <c r="J23" s="97"/>
      <c r="K23" s="97"/>
      <c r="L23" s="98"/>
      <c r="M23" s="98"/>
      <c r="N23" s="98"/>
      <c r="O23" s="98"/>
      <c r="P23" s="98"/>
      <c r="Q23" s="98"/>
      <c r="R23" s="98"/>
      <c r="S23" s="98"/>
      <c r="T23" s="98"/>
      <c r="U23" s="98"/>
      <c r="V23" s="98"/>
      <c r="W23" s="98"/>
      <c r="X23" s="98"/>
      <c r="Y23" s="98"/>
      <c r="Z23" s="97"/>
    </row>
    <row r="24" spans="1:26" ht="18" customHeight="1" x14ac:dyDescent="0.15">
      <c r="A24" s="198" t="s">
        <v>84</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33" t="s">
        <v>73</v>
      </c>
      <c r="C26" s="135"/>
      <c r="D26" s="135"/>
      <c r="E26" s="135"/>
      <c r="F26" s="134"/>
      <c r="G26" s="26" t="s">
        <v>74</v>
      </c>
      <c r="H26" s="88" t="s">
        <v>75</v>
      </c>
      <c r="I26" s="135" t="s">
        <v>76</v>
      </c>
      <c r="J26" s="135"/>
      <c r="K26" s="135"/>
      <c r="L26" s="65" t="s">
        <v>85</v>
      </c>
      <c r="M26" s="65" t="s">
        <v>86</v>
      </c>
      <c r="N26" s="133" t="s">
        <v>73</v>
      </c>
      <c r="O26" s="135"/>
      <c r="P26" s="135"/>
      <c r="Q26" s="135"/>
      <c r="R26" s="135"/>
      <c r="S26" s="134"/>
      <c r="T26" s="26" t="s">
        <v>74</v>
      </c>
      <c r="U26" s="88" t="s">
        <v>75</v>
      </c>
      <c r="V26" s="135" t="s">
        <v>76</v>
      </c>
      <c r="W26" s="135"/>
      <c r="X26" s="135"/>
      <c r="Y26" s="65" t="s">
        <v>85</v>
      </c>
      <c r="Z26" s="65" t="s">
        <v>86</v>
      </c>
    </row>
    <row r="27" spans="1:26" ht="18" customHeight="1" x14ac:dyDescent="0.15">
      <c r="A27" s="14"/>
      <c r="B27" s="200" t="s">
        <v>79</v>
      </c>
      <c r="C27" s="161"/>
      <c r="D27" s="161"/>
      <c r="E27" s="161"/>
      <c r="F27" s="162"/>
      <c r="G27" s="89">
        <v>1</v>
      </c>
      <c r="H27" s="89" t="s">
        <v>80</v>
      </c>
      <c r="I27" s="194" t="s">
        <v>81</v>
      </c>
      <c r="J27" s="195"/>
      <c r="K27" s="196"/>
      <c r="L27" s="89"/>
      <c r="M27" s="89" t="s">
        <v>80</v>
      </c>
      <c r="N27" s="181"/>
      <c r="O27" s="158"/>
      <c r="P27" s="158"/>
      <c r="Q27" s="158"/>
      <c r="R27" s="158"/>
      <c r="S27" s="159"/>
      <c r="T27" s="89"/>
      <c r="U27" s="89"/>
      <c r="V27" s="194"/>
      <c r="W27" s="195"/>
      <c r="X27" s="196"/>
      <c r="Y27" s="89"/>
      <c r="Z27" s="89"/>
    </row>
    <row r="28" spans="1:26" ht="18" customHeight="1" x14ac:dyDescent="0.15">
      <c r="A28" s="14"/>
      <c r="B28" s="199" t="s">
        <v>82</v>
      </c>
      <c r="C28" s="155"/>
      <c r="D28" s="155"/>
      <c r="E28" s="155"/>
      <c r="F28" s="156"/>
      <c r="G28" s="90">
        <v>1</v>
      </c>
      <c r="H28" s="90" t="s">
        <v>80</v>
      </c>
      <c r="I28" s="191" t="s">
        <v>83</v>
      </c>
      <c r="J28" s="192"/>
      <c r="K28" s="193"/>
      <c r="L28" s="90" t="s">
        <v>80</v>
      </c>
      <c r="M28" s="90"/>
      <c r="N28" s="175"/>
      <c r="O28" s="176"/>
      <c r="P28" s="176"/>
      <c r="Q28" s="176"/>
      <c r="R28" s="176"/>
      <c r="S28" s="177"/>
      <c r="T28" s="90"/>
      <c r="U28" s="90"/>
      <c r="V28" s="191"/>
      <c r="W28" s="192"/>
      <c r="X28" s="193"/>
      <c r="Y28" s="90"/>
      <c r="Z28" s="90"/>
    </row>
    <row r="29" spans="1:26" ht="18" customHeight="1" x14ac:dyDescent="0.15">
      <c r="A29" s="14"/>
      <c r="B29" s="199"/>
      <c r="C29" s="155"/>
      <c r="D29" s="155"/>
      <c r="E29" s="155"/>
      <c r="F29" s="156"/>
      <c r="G29" s="90"/>
      <c r="H29" s="90"/>
      <c r="I29" s="191"/>
      <c r="J29" s="192"/>
      <c r="K29" s="193"/>
      <c r="L29" s="90"/>
      <c r="M29" s="90"/>
      <c r="N29" s="175"/>
      <c r="O29" s="176"/>
      <c r="P29" s="176"/>
      <c r="Q29" s="176"/>
      <c r="R29" s="176"/>
      <c r="S29" s="177"/>
      <c r="T29" s="90"/>
      <c r="U29" s="90"/>
      <c r="V29" s="191"/>
      <c r="W29" s="192"/>
      <c r="X29" s="193"/>
      <c r="Y29" s="90"/>
      <c r="Z29" s="90"/>
    </row>
    <row r="30" spans="1:26" ht="18" customHeight="1" x14ac:dyDescent="0.15">
      <c r="A30" s="14"/>
      <c r="B30" s="199"/>
      <c r="C30" s="155"/>
      <c r="D30" s="155"/>
      <c r="E30" s="155"/>
      <c r="F30" s="156"/>
      <c r="G30" s="90"/>
      <c r="H30" s="90"/>
      <c r="I30" s="191"/>
      <c r="J30" s="192"/>
      <c r="K30" s="193"/>
      <c r="L30" s="90"/>
      <c r="M30" s="90"/>
      <c r="N30" s="175"/>
      <c r="O30" s="176"/>
      <c r="P30" s="176"/>
      <c r="Q30" s="176"/>
      <c r="R30" s="176"/>
      <c r="S30" s="177"/>
      <c r="T30" s="90"/>
      <c r="U30" s="90"/>
      <c r="V30" s="191"/>
      <c r="W30" s="192"/>
      <c r="X30" s="193"/>
      <c r="Y30" s="90"/>
      <c r="Z30" s="90"/>
    </row>
    <row r="31" spans="1:26" ht="18" customHeight="1" x14ac:dyDescent="0.15">
      <c r="A31" s="14"/>
      <c r="B31" s="199"/>
      <c r="C31" s="155"/>
      <c r="D31" s="155"/>
      <c r="E31" s="155"/>
      <c r="F31" s="156"/>
      <c r="G31" s="90"/>
      <c r="H31" s="90"/>
      <c r="I31" s="191"/>
      <c r="J31" s="192"/>
      <c r="K31" s="193"/>
      <c r="L31" s="90"/>
      <c r="M31" s="90"/>
      <c r="N31" s="175"/>
      <c r="O31" s="176"/>
      <c r="P31" s="176"/>
      <c r="Q31" s="176"/>
      <c r="R31" s="176"/>
      <c r="S31" s="177"/>
      <c r="T31" s="90"/>
      <c r="U31" s="90"/>
      <c r="V31" s="191"/>
      <c r="W31" s="192"/>
      <c r="X31" s="193"/>
      <c r="Y31" s="90"/>
      <c r="Z31" s="90"/>
    </row>
    <row r="32" spans="1:26" ht="18" customHeight="1" x14ac:dyDescent="0.15">
      <c r="A32" s="14"/>
      <c r="B32" s="199"/>
      <c r="C32" s="155"/>
      <c r="D32" s="155"/>
      <c r="E32" s="155"/>
      <c r="F32" s="156"/>
      <c r="G32" s="90"/>
      <c r="H32" s="90"/>
      <c r="I32" s="191"/>
      <c r="J32" s="192"/>
      <c r="K32" s="193"/>
      <c r="L32" s="90"/>
      <c r="M32" s="90"/>
      <c r="N32" s="175"/>
      <c r="O32" s="176"/>
      <c r="P32" s="176"/>
      <c r="Q32" s="176"/>
      <c r="R32" s="176"/>
      <c r="S32" s="177"/>
      <c r="T32" s="90"/>
      <c r="U32" s="90"/>
      <c r="V32" s="191"/>
      <c r="W32" s="192"/>
      <c r="X32" s="193"/>
      <c r="Y32" s="90"/>
      <c r="Z32" s="90"/>
    </row>
    <row r="33" spans="1:26" ht="18" customHeight="1" x14ac:dyDescent="0.15">
      <c r="A33" s="14"/>
      <c r="B33" s="197"/>
      <c r="C33" s="163"/>
      <c r="D33" s="163"/>
      <c r="E33" s="163"/>
      <c r="F33" s="164"/>
      <c r="G33" s="91"/>
      <c r="H33" s="91"/>
      <c r="I33" s="185"/>
      <c r="J33" s="186"/>
      <c r="K33" s="187"/>
      <c r="L33" s="93"/>
      <c r="M33" s="93"/>
      <c r="N33" s="167"/>
      <c r="O33" s="168"/>
      <c r="P33" s="168"/>
      <c r="Q33" s="168"/>
      <c r="R33" s="168"/>
      <c r="S33" s="169"/>
      <c r="T33" s="91"/>
      <c r="U33" s="91"/>
      <c r="V33" s="185"/>
      <c r="W33" s="186"/>
      <c r="X33" s="187"/>
      <c r="Y33" s="93"/>
      <c r="Z33" s="93"/>
    </row>
    <row r="34" spans="1:26" ht="7.5" customHeight="1" x14ac:dyDescent="0.15">
      <c r="A34" s="97"/>
      <c r="B34" s="98"/>
      <c r="C34" s="98"/>
      <c r="D34" s="97"/>
      <c r="E34" s="97"/>
      <c r="F34" s="97"/>
      <c r="G34" s="97"/>
      <c r="H34" s="97"/>
      <c r="I34" s="97"/>
      <c r="J34" s="97"/>
      <c r="K34" s="97"/>
      <c r="L34" s="98"/>
      <c r="M34" s="98"/>
      <c r="N34" s="98"/>
      <c r="O34" s="98"/>
      <c r="P34" s="98"/>
      <c r="Q34" s="98"/>
      <c r="R34" s="98"/>
      <c r="S34" s="98"/>
      <c r="T34" s="98"/>
      <c r="U34" s="98"/>
      <c r="V34" s="98"/>
      <c r="W34" s="98"/>
      <c r="X34" s="98"/>
      <c r="Y34" s="98"/>
      <c r="Z34" s="97"/>
    </row>
    <row r="35" spans="1:26" ht="18" customHeight="1" x14ac:dyDescent="0.15">
      <c r="A35" s="198" t="s">
        <v>87</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33" t="s">
        <v>73</v>
      </c>
      <c r="C37" s="135"/>
      <c r="D37" s="135"/>
      <c r="E37" s="135"/>
      <c r="F37" s="134"/>
      <c r="G37" s="26" t="s">
        <v>74</v>
      </c>
      <c r="H37" s="88" t="s">
        <v>75</v>
      </c>
      <c r="I37" s="133" t="s">
        <v>76</v>
      </c>
      <c r="J37" s="135"/>
      <c r="K37" s="134"/>
      <c r="L37" s="65" t="s">
        <v>88</v>
      </c>
      <c r="M37" s="65" t="s">
        <v>89</v>
      </c>
      <c r="N37" s="133" t="s">
        <v>73</v>
      </c>
      <c r="O37" s="135"/>
      <c r="P37" s="135"/>
      <c r="Q37" s="135"/>
      <c r="R37" s="135"/>
      <c r="S37" s="134"/>
      <c r="T37" s="26" t="s">
        <v>74</v>
      </c>
      <c r="U37" s="88" t="s">
        <v>75</v>
      </c>
      <c r="V37" s="133" t="s">
        <v>76</v>
      </c>
      <c r="W37" s="135"/>
      <c r="X37" s="134"/>
      <c r="Y37" s="65" t="s">
        <v>88</v>
      </c>
      <c r="Z37" s="65" t="s">
        <v>89</v>
      </c>
    </row>
    <row r="38" spans="1:26" ht="18" customHeight="1" x14ac:dyDescent="0.15">
      <c r="A38" s="97"/>
      <c r="B38" s="200" t="s">
        <v>79</v>
      </c>
      <c r="C38" s="161"/>
      <c r="D38" s="161"/>
      <c r="E38" s="161"/>
      <c r="F38" s="162"/>
      <c r="G38" s="89">
        <v>1</v>
      </c>
      <c r="H38" s="89" t="s">
        <v>80</v>
      </c>
      <c r="I38" s="194" t="s">
        <v>81</v>
      </c>
      <c r="J38" s="195"/>
      <c r="K38" s="196"/>
      <c r="L38" s="89" t="s">
        <v>80</v>
      </c>
      <c r="M38" s="89"/>
      <c r="N38" s="181"/>
      <c r="O38" s="158"/>
      <c r="P38" s="158"/>
      <c r="Q38" s="158"/>
      <c r="R38" s="158"/>
      <c r="S38" s="159"/>
      <c r="T38" s="89"/>
      <c r="U38" s="89"/>
      <c r="V38" s="194"/>
      <c r="W38" s="195"/>
      <c r="X38" s="196"/>
      <c r="Y38" s="89"/>
      <c r="Z38" s="89"/>
    </row>
    <row r="39" spans="1:26" ht="18" customHeight="1" x14ac:dyDescent="0.15">
      <c r="A39" s="97"/>
      <c r="B39" s="199" t="s">
        <v>82</v>
      </c>
      <c r="C39" s="155"/>
      <c r="D39" s="155"/>
      <c r="E39" s="155"/>
      <c r="F39" s="156"/>
      <c r="G39" s="90">
        <v>1</v>
      </c>
      <c r="H39" s="90" t="s">
        <v>80</v>
      </c>
      <c r="I39" s="191" t="s">
        <v>83</v>
      </c>
      <c r="J39" s="192"/>
      <c r="K39" s="193"/>
      <c r="L39" s="90"/>
      <c r="M39" s="90" t="s">
        <v>80</v>
      </c>
      <c r="N39" s="175"/>
      <c r="O39" s="176"/>
      <c r="P39" s="176"/>
      <c r="Q39" s="176"/>
      <c r="R39" s="176"/>
      <c r="S39" s="177"/>
      <c r="T39" s="90"/>
      <c r="U39" s="90"/>
      <c r="V39" s="191"/>
      <c r="W39" s="192"/>
      <c r="X39" s="193"/>
      <c r="Y39" s="90"/>
      <c r="Z39" s="90"/>
    </row>
    <row r="40" spans="1:26" ht="18" customHeight="1" x14ac:dyDescent="0.15">
      <c r="A40" s="97"/>
      <c r="B40" s="199"/>
      <c r="C40" s="155"/>
      <c r="D40" s="155"/>
      <c r="E40" s="155"/>
      <c r="F40" s="156"/>
      <c r="G40" s="90"/>
      <c r="H40" s="90"/>
      <c r="I40" s="191"/>
      <c r="J40" s="192"/>
      <c r="K40" s="193"/>
      <c r="L40" s="90"/>
      <c r="M40" s="90"/>
      <c r="N40" s="175"/>
      <c r="O40" s="176"/>
      <c r="P40" s="176"/>
      <c r="Q40" s="176"/>
      <c r="R40" s="176"/>
      <c r="S40" s="177"/>
      <c r="T40" s="90"/>
      <c r="U40" s="90"/>
      <c r="V40" s="191"/>
      <c r="W40" s="192"/>
      <c r="X40" s="193"/>
      <c r="Y40" s="90"/>
      <c r="Z40" s="90"/>
    </row>
    <row r="41" spans="1:26" ht="18" customHeight="1" x14ac:dyDescent="0.15">
      <c r="A41" s="97"/>
      <c r="B41" s="199"/>
      <c r="C41" s="155"/>
      <c r="D41" s="155"/>
      <c r="E41" s="155"/>
      <c r="F41" s="156"/>
      <c r="G41" s="90"/>
      <c r="H41" s="90"/>
      <c r="I41" s="191"/>
      <c r="J41" s="192"/>
      <c r="K41" s="193"/>
      <c r="L41" s="90"/>
      <c r="M41" s="90"/>
      <c r="N41" s="175"/>
      <c r="O41" s="176"/>
      <c r="P41" s="176"/>
      <c r="Q41" s="176"/>
      <c r="R41" s="176"/>
      <c r="S41" s="177"/>
      <c r="T41" s="90"/>
      <c r="U41" s="90"/>
      <c r="V41" s="191"/>
      <c r="W41" s="192"/>
      <c r="X41" s="193"/>
      <c r="Y41" s="90"/>
      <c r="Z41" s="90"/>
    </row>
    <row r="42" spans="1:26" ht="18" customHeight="1" x14ac:dyDescent="0.15">
      <c r="A42" s="97"/>
      <c r="B42" s="199"/>
      <c r="C42" s="155"/>
      <c r="D42" s="155"/>
      <c r="E42" s="155"/>
      <c r="F42" s="156"/>
      <c r="G42" s="90"/>
      <c r="H42" s="90"/>
      <c r="I42" s="191"/>
      <c r="J42" s="192"/>
      <c r="K42" s="193"/>
      <c r="L42" s="90"/>
      <c r="M42" s="90"/>
      <c r="N42" s="175"/>
      <c r="O42" s="176"/>
      <c r="P42" s="176"/>
      <c r="Q42" s="176"/>
      <c r="R42" s="176"/>
      <c r="S42" s="177"/>
      <c r="T42" s="90"/>
      <c r="U42" s="90"/>
      <c r="V42" s="191"/>
      <c r="W42" s="192"/>
      <c r="X42" s="193"/>
      <c r="Y42" s="90"/>
      <c r="Z42" s="90"/>
    </row>
    <row r="43" spans="1:26" ht="18" customHeight="1" x14ac:dyDescent="0.15">
      <c r="A43" s="97"/>
      <c r="B43" s="199"/>
      <c r="C43" s="155"/>
      <c r="D43" s="155"/>
      <c r="E43" s="155"/>
      <c r="F43" s="156"/>
      <c r="G43" s="90"/>
      <c r="H43" s="90"/>
      <c r="I43" s="191"/>
      <c r="J43" s="192"/>
      <c r="K43" s="193"/>
      <c r="L43" s="90"/>
      <c r="M43" s="90"/>
      <c r="N43" s="175"/>
      <c r="O43" s="176"/>
      <c r="P43" s="176"/>
      <c r="Q43" s="176"/>
      <c r="R43" s="176"/>
      <c r="S43" s="177"/>
      <c r="T43" s="90"/>
      <c r="U43" s="90"/>
      <c r="V43" s="191"/>
      <c r="W43" s="192"/>
      <c r="X43" s="193"/>
      <c r="Y43" s="90"/>
      <c r="Z43" s="90"/>
    </row>
    <row r="44" spans="1:26" ht="18" customHeight="1" x14ac:dyDescent="0.15">
      <c r="A44" s="97"/>
      <c r="B44" s="197"/>
      <c r="C44" s="163"/>
      <c r="D44" s="163"/>
      <c r="E44" s="163"/>
      <c r="F44" s="164"/>
      <c r="G44" s="91"/>
      <c r="H44" s="91"/>
      <c r="I44" s="185"/>
      <c r="J44" s="186"/>
      <c r="K44" s="187"/>
      <c r="L44" s="93"/>
      <c r="M44" s="93"/>
      <c r="N44" s="167"/>
      <c r="O44" s="168"/>
      <c r="P44" s="168"/>
      <c r="Q44" s="168"/>
      <c r="R44" s="168"/>
      <c r="S44" s="169"/>
      <c r="T44" s="91"/>
      <c r="U44" s="91"/>
      <c r="V44" s="185"/>
      <c r="W44" s="186"/>
      <c r="X44" s="187"/>
      <c r="Y44" s="93"/>
      <c r="Z44" s="93"/>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90</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33" t="s">
        <v>73</v>
      </c>
      <c r="C48" s="135"/>
      <c r="D48" s="135"/>
      <c r="E48" s="135"/>
      <c r="F48" s="134"/>
      <c r="G48" s="26" t="s">
        <v>74</v>
      </c>
      <c r="H48" s="88" t="s">
        <v>75</v>
      </c>
      <c r="I48" s="133" t="s">
        <v>76</v>
      </c>
      <c r="J48" s="135"/>
      <c r="K48" s="134"/>
      <c r="L48" s="65" t="s">
        <v>91</v>
      </c>
      <c r="M48" s="65" t="s">
        <v>92</v>
      </c>
      <c r="N48" s="133" t="s">
        <v>73</v>
      </c>
      <c r="O48" s="135"/>
      <c r="P48" s="135"/>
      <c r="Q48" s="135"/>
      <c r="R48" s="135"/>
      <c r="S48" s="134"/>
      <c r="T48" s="26" t="s">
        <v>74</v>
      </c>
      <c r="U48" s="88" t="s">
        <v>75</v>
      </c>
      <c r="V48" s="133" t="s">
        <v>76</v>
      </c>
      <c r="W48" s="135"/>
      <c r="X48" s="134"/>
      <c r="Y48" s="65" t="s">
        <v>91</v>
      </c>
      <c r="Z48" s="65" t="s">
        <v>92</v>
      </c>
    </row>
    <row r="49" spans="1:26" ht="18" customHeight="1" x14ac:dyDescent="0.15">
      <c r="A49" s="97"/>
      <c r="B49" s="200" t="s">
        <v>79</v>
      </c>
      <c r="C49" s="161"/>
      <c r="D49" s="161"/>
      <c r="E49" s="161"/>
      <c r="F49" s="162"/>
      <c r="G49" s="89">
        <v>1</v>
      </c>
      <c r="H49" s="89" t="s">
        <v>80</v>
      </c>
      <c r="I49" s="194" t="s">
        <v>81</v>
      </c>
      <c r="J49" s="195"/>
      <c r="K49" s="196"/>
      <c r="L49" s="89"/>
      <c r="M49" s="89" t="s">
        <v>80</v>
      </c>
      <c r="N49" s="181"/>
      <c r="O49" s="158"/>
      <c r="P49" s="158"/>
      <c r="Q49" s="158"/>
      <c r="R49" s="158"/>
      <c r="S49" s="159"/>
      <c r="T49" s="89"/>
      <c r="U49" s="89"/>
      <c r="V49" s="194"/>
      <c r="W49" s="195"/>
      <c r="X49" s="196"/>
      <c r="Y49" s="89"/>
      <c r="Z49" s="89"/>
    </row>
    <row r="50" spans="1:26" ht="18" customHeight="1" x14ac:dyDescent="0.15">
      <c r="A50" s="97"/>
      <c r="B50" s="199" t="s">
        <v>82</v>
      </c>
      <c r="C50" s="155"/>
      <c r="D50" s="155"/>
      <c r="E50" s="155"/>
      <c r="F50" s="156"/>
      <c r="G50" s="90">
        <v>1</v>
      </c>
      <c r="H50" s="90" t="s">
        <v>80</v>
      </c>
      <c r="I50" s="191" t="s">
        <v>83</v>
      </c>
      <c r="J50" s="192"/>
      <c r="K50" s="193"/>
      <c r="L50" s="90" t="s">
        <v>80</v>
      </c>
      <c r="M50" s="90"/>
      <c r="N50" s="175"/>
      <c r="O50" s="176"/>
      <c r="P50" s="176"/>
      <c r="Q50" s="176"/>
      <c r="R50" s="176"/>
      <c r="S50" s="177"/>
      <c r="T50" s="90"/>
      <c r="U50" s="90"/>
      <c r="V50" s="191"/>
      <c r="W50" s="192"/>
      <c r="X50" s="193"/>
      <c r="Y50" s="90"/>
      <c r="Z50" s="90"/>
    </row>
    <row r="51" spans="1:26" ht="18" customHeight="1" x14ac:dyDescent="0.15">
      <c r="A51" s="97"/>
      <c r="B51" s="199"/>
      <c r="C51" s="155"/>
      <c r="D51" s="155"/>
      <c r="E51" s="155"/>
      <c r="F51" s="156"/>
      <c r="G51" s="90"/>
      <c r="H51" s="90"/>
      <c r="I51" s="191"/>
      <c r="J51" s="192"/>
      <c r="K51" s="193"/>
      <c r="L51" s="90"/>
      <c r="M51" s="90"/>
      <c r="N51" s="175"/>
      <c r="O51" s="176"/>
      <c r="P51" s="176"/>
      <c r="Q51" s="176"/>
      <c r="R51" s="176"/>
      <c r="S51" s="177"/>
      <c r="T51" s="90"/>
      <c r="U51" s="90"/>
      <c r="V51" s="191"/>
      <c r="W51" s="192"/>
      <c r="X51" s="193"/>
      <c r="Y51" s="90"/>
      <c r="Z51" s="90"/>
    </row>
    <row r="52" spans="1:26" ht="18" customHeight="1" x14ac:dyDescent="0.15">
      <c r="A52" s="97"/>
      <c r="B52" s="199"/>
      <c r="C52" s="155"/>
      <c r="D52" s="155"/>
      <c r="E52" s="155"/>
      <c r="F52" s="156"/>
      <c r="G52" s="90"/>
      <c r="H52" s="90"/>
      <c r="I52" s="191"/>
      <c r="J52" s="192"/>
      <c r="K52" s="193"/>
      <c r="L52" s="90"/>
      <c r="M52" s="90"/>
      <c r="N52" s="175"/>
      <c r="O52" s="176"/>
      <c r="P52" s="176"/>
      <c r="Q52" s="176"/>
      <c r="R52" s="176"/>
      <c r="S52" s="177"/>
      <c r="T52" s="90"/>
      <c r="U52" s="90"/>
      <c r="V52" s="191"/>
      <c r="W52" s="192"/>
      <c r="X52" s="193"/>
      <c r="Y52" s="90"/>
      <c r="Z52" s="90"/>
    </row>
    <row r="53" spans="1:26" ht="18" customHeight="1" x14ac:dyDescent="0.15">
      <c r="A53" s="97"/>
      <c r="B53" s="199"/>
      <c r="C53" s="155"/>
      <c r="D53" s="155"/>
      <c r="E53" s="155"/>
      <c r="F53" s="156"/>
      <c r="G53" s="90"/>
      <c r="H53" s="90"/>
      <c r="I53" s="191"/>
      <c r="J53" s="192"/>
      <c r="K53" s="193"/>
      <c r="L53" s="90"/>
      <c r="M53" s="90"/>
      <c r="N53" s="175"/>
      <c r="O53" s="176"/>
      <c r="P53" s="176"/>
      <c r="Q53" s="176"/>
      <c r="R53" s="176"/>
      <c r="S53" s="177"/>
      <c r="T53" s="90"/>
      <c r="U53" s="90"/>
      <c r="V53" s="191"/>
      <c r="W53" s="192"/>
      <c r="X53" s="193"/>
      <c r="Y53" s="90"/>
      <c r="Z53" s="90"/>
    </row>
    <row r="54" spans="1:26" ht="18" customHeight="1" x14ac:dyDescent="0.15">
      <c r="A54" s="97"/>
      <c r="B54" s="199"/>
      <c r="C54" s="155"/>
      <c r="D54" s="155"/>
      <c r="E54" s="155"/>
      <c r="F54" s="156"/>
      <c r="G54" s="90"/>
      <c r="H54" s="90"/>
      <c r="I54" s="191"/>
      <c r="J54" s="192"/>
      <c r="K54" s="193"/>
      <c r="L54" s="90"/>
      <c r="M54" s="90"/>
      <c r="N54" s="175"/>
      <c r="O54" s="176"/>
      <c r="P54" s="176"/>
      <c r="Q54" s="176"/>
      <c r="R54" s="176"/>
      <c r="S54" s="177"/>
      <c r="T54" s="90"/>
      <c r="U54" s="90"/>
      <c r="V54" s="191"/>
      <c r="W54" s="192"/>
      <c r="X54" s="193"/>
      <c r="Y54" s="90"/>
      <c r="Z54" s="90"/>
    </row>
    <row r="55" spans="1:26" ht="18" customHeight="1" x14ac:dyDescent="0.15">
      <c r="A55" s="97"/>
      <c r="B55" s="197"/>
      <c r="C55" s="163"/>
      <c r="D55" s="163"/>
      <c r="E55" s="163"/>
      <c r="F55" s="164"/>
      <c r="G55" s="91"/>
      <c r="H55" s="91"/>
      <c r="I55" s="185"/>
      <c r="J55" s="186"/>
      <c r="K55" s="187"/>
      <c r="L55" s="93"/>
      <c r="M55" s="93"/>
      <c r="N55" s="167"/>
      <c r="O55" s="168"/>
      <c r="P55" s="168"/>
      <c r="Q55" s="168"/>
      <c r="R55" s="168"/>
      <c r="S55" s="169"/>
      <c r="T55" s="91"/>
      <c r="U55" s="91"/>
      <c r="V55" s="185"/>
      <c r="W55" s="186"/>
      <c r="X55" s="187"/>
      <c r="Y55" s="93"/>
      <c r="Z55" s="93"/>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93</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33" t="s">
        <v>73</v>
      </c>
      <c r="C59" s="135"/>
      <c r="D59" s="135"/>
      <c r="E59" s="134"/>
      <c r="F59" s="26" t="s">
        <v>74</v>
      </c>
      <c r="G59" s="88" t="s">
        <v>75</v>
      </c>
      <c r="H59" s="22" t="s">
        <v>76</v>
      </c>
      <c r="I59" s="96"/>
      <c r="J59" s="23"/>
      <c r="K59" s="65" t="s">
        <v>94</v>
      </c>
      <c r="L59" s="65" t="s">
        <v>95</v>
      </c>
      <c r="M59" s="65" t="s">
        <v>96</v>
      </c>
      <c r="N59" s="133" t="s">
        <v>73</v>
      </c>
      <c r="O59" s="135"/>
      <c r="P59" s="135"/>
      <c r="Q59" s="135"/>
      <c r="R59" s="134"/>
      <c r="S59" s="26" t="s">
        <v>74</v>
      </c>
      <c r="T59" s="88" t="s">
        <v>75</v>
      </c>
      <c r="U59" s="22" t="s">
        <v>76</v>
      </c>
      <c r="V59" s="96"/>
      <c r="W59" s="23"/>
      <c r="X59" s="65" t="s">
        <v>94</v>
      </c>
      <c r="Y59" s="65" t="s">
        <v>95</v>
      </c>
      <c r="Z59" s="65" t="s">
        <v>96</v>
      </c>
    </row>
    <row r="60" spans="1:26" ht="18" customHeight="1" x14ac:dyDescent="0.15">
      <c r="A60" s="97"/>
      <c r="B60" s="181" t="s">
        <v>79</v>
      </c>
      <c r="C60" s="158"/>
      <c r="D60" s="158"/>
      <c r="E60" s="159"/>
      <c r="F60" s="89">
        <v>1</v>
      </c>
      <c r="G60" s="89" t="s">
        <v>80</v>
      </c>
      <c r="H60" s="194" t="s">
        <v>81</v>
      </c>
      <c r="I60" s="195"/>
      <c r="J60" s="196"/>
      <c r="K60" s="89"/>
      <c r="L60" s="89"/>
      <c r="M60" s="89" t="s">
        <v>80</v>
      </c>
      <c r="N60" s="181"/>
      <c r="O60" s="158"/>
      <c r="P60" s="158"/>
      <c r="Q60" s="158"/>
      <c r="R60" s="159"/>
      <c r="S60" s="89"/>
      <c r="T60" s="89"/>
      <c r="U60" s="194"/>
      <c r="V60" s="195"/>
      <c r="W60" s="196"/>
      <c r="X60" s="99"/>
      <c r="Y60" s="89"/>
      <c r="Z60" s="89"/>
    </row>
    <row r="61" spans="1:26" ht="18" customHeight="1" x14ac:dyDescent="0.15">
      <c r="A61" s="97"/>
      <c r="B61" s="175" t="s">
        <v>97</v>
      </c>
      <c r="C61" s="176"/>
      <c r="D61" s="176"/>
      <c r="E61" s="177"/>
      <c r="F61" s="90">
        <v>2</v>
      </c>
      <c r="G61" s="90" t="s">
        <v>80</v>
      </c>
      <c r="H61" s="191" t="s">
        <v>83</v>
      </c>
      <c r="I61" s="192"/>
      <c r="J61" s="193"/>
      <c r="K61" s="90" t="s">
        <v>80</v>
      </c>
      <c r="L61" s="90" t="s">
        <v>80</v>
      </c>
      <c r="M61" s="90" t="s">
        <v>80</v>
      </c>
      <c r="N61" s="175"/>
      <c r="O61" s="176"/>
      <c r="P61" s="176"/>
      <c r="Q61" s="176"/>
      <c r="R61" s="177"/>
      <c r="S61" s="90"/>
      <c r="T61" s="90"/>
      <c r="U61" s="191"/>
      <c r="V61" s="192"/>
      <c r="W61" s="193"/>
      <c r="X61" s="100"/>
      <c r="Y61" s="90"/>
      <c r="Z61" s="90"/>
    </row>
    <row r="62" spans="1:26" ht="18" customHeight="1" x14ac:dyDescent="0.15">
      <c r="A62" s="97"/>
      <c r="B62" s="175"/>
      <c r="C62" s="176"/>
      <c r="D62" s="176"/>
      <c r="E62" s="177"/>
      <c r="F62" s="90"/>
      <c r="G62" s="90"/>
      <c r="H62" s="191"/>
      <c r="I62" s="192"/>
      <c r="J62" s="193"/>
      <c r="K62" s="90"/>
      <c r="L62" s="90"/>
      <c r="M62" s="90"/>
      <c r="N62" s="175"/>
      <c r="O62" s="176"/>
      <c r="P62" s="176"/>
      <c r="Q62" s="176"/>
      <c r="R62" s="177"/>
      <c r="S62" s="90"/>
      <c r="T62" s="90"/>
      <c r="U62" s="191"/>
      <c r="V62" s="192"/>
      <c r="W62" s="193"/>
      <c r="X62" s="100"/>
      <c r="Y62" s="90"/>
      <c r="Z62" s="90"/>
    </row>
    <row r="63" spans="1:26" ht="18" customHeight="1" x14ac:dyDescent="0.15">
      <c r="A63" s="97"/>
      <c r="B63" s="175"/>
      <c r="C63" s="176"/>
      <c r="D63" s="176"/>
      <c r="E63" s="177"/>
      <c r="F63" s="90"/>
      <c r="G63" s="90"/>
      <c r="H63" s="191"/>
      <c r="I63" s="192"/>
      <c r="J63" s="193"/>
      <c r="K63" s="90"/>
      <c r="L63" s="90"/>
      <c r="M63" s="90"/>
      <c r="N63" s="175"/>
      <c r="O63" s="176"/>
      <c r="P63" s="176"/>
      <c r="Q63" s="176"/>
      <c r="R63" s="177"/>
      <c r="S63" s="90"/>
      <c r="T63" s="90"/>
      <c r="U63" s="191"/>
      <c r="V63" s="192"/>
      <c r="W63" s="193"/>
      <c r="X63" s="100"/>
      <c r="Y63" s="90"/>
      <c r="Z63" s="90"/>
    </row>
    <row r="64" spans="1:26" ht="18" customHeight="1" x14ac:dyDescent="0.15">
      <c r="A64" s="97"/>
      <c r="B64" s="175"/>
      <c r="C64" s="176"/>
      <c r="D64" s="176"/>
      <c r="E64" s="177"/>
      <c r="F64" s="90"/>
      <c r="G64" s="90"/>
      <c r="H64" s="191"/>
      <c r="I64" s="192"/>
      <c r="J64" s="193"/>
      <c r="K64" s="90"/>
      <c r="L64" s="90"/>
      <c r="M64" s="90"/>
      <c r="N64" s="175"/>
      <c r="O64" s="176"/>
      <c r="P64" s="176"/>
      <c r="Q64" s="176"/>
      <c r="R64" s="177"/>
      <c r="S64" s="90"/>
      <c r="T64" s="90"/>
      <c r="U64" s="191"/>
      <c r="V64" s="192"/>
      <c r="W64" s="193"/>
      <c r="X64" s="100"/>
      <c r="Y64" s="90"/>
      <c r="Z64" s="90"/>
    </row>
    <row r="65" spans="1:26" ht="18" customHeight="1" x14ac:dyDescent="0.15">
      <c r="A65" s="97"/>
      <c r="B65" s="175"/>
      <c r="C65" s="176"/>
      <c r="D65" s="176"/>
      <c r="E65" s="177"/>
      <c r="F65" s="90"/>
      <c r="G65" s="90"/>
      <c r="H65" s="191"/>
      <c r="I65" s="192"/>
      <c r="J65" s="193"/>
      <c r="K65" s="90"/>
      <c r="L65" s="90"/>
      <c r="M65" s="90"/>
      <c r="N65" s="175"/>
      <c r="O65" s="176"/>
      <c r="P65" s="176"/>
      <c r="Q65" s="176"/>
      <c r="R65" s="177"/>
      <c r="S65" s="90"/>
      <c r="T65" s="90"/>
      <c r="U65" s="191"/>
      <c r="V65" s="192"/>
      <c r="W65" s="193"/>
      <c r="X65" s="100"/>
      <c r="Y65" s="90"/>
      <c r="Z65" s="90"/>
    </row>
    <row r="66" spans="1:26" ht="18" customHeight="1" x14ac:dyDescent="0.15">
      <c r="A66" s="97"/>
      <c r="B66" s="167"/>
      <c r="C66" s="168"/>
      <c r="D66" s="168"/>
      <c r="E66" s="169"/>
      <c r="F66" s="91"/>
      <c r="G66" s="91"/>
      <c r="H66" s="185"/>
      <c r="I66" s="186"/>
      <c r="J66" s="187"/>
      <c r="K66" s="93"/>
      <c r="L66" s="93"/>
      <c r="M66" s="93"/>
      <c r="N66" s="167"/>
      <c r="O66" s="168"/>
      <c r="P66" s="168"/>
      <c r="Q66" s="168"/>
      <c r="R66" s="169"/>
      <c r="S66" s="91"/>
      <c r="T66" s="91"/>
      <c r="U66" s="185"/>
      <c r="V66" s="186"/>
      <c r="W66" s="187"/>
      <c r="X66" s="101"/>
      <c r="Y66" s="93"/>
      <c r="Z66" s="93"/>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98</v>
      </c>
      <c r="B68" s="14"/>
      <c r="C68" s="14"/>
      <c r="D68" s="14"/>
      <c r="E68" s="14"/>
      <c r="F68" s="14"/>
      <c r="G68" s="14"/>
      <c r="H68" s="14"/>
      <c r="I68" s="14"/>
      <c r="J68" s="14"/>
      <c r="K68" s="14"/>
      <c r="L68" s="97"/>
      <c r="M68" s="97"/>
      <c r="N68" s="97"/>
      <c r="O68" s="97"/>
      <c r="P68" s="97"/>
      <c r="Q68" s="97"/>
      <c r="R68" s="97"/>
      <c r="S68" s="97"/>
      <c r="T68" s="97"/>
      <c r="U68" s="97"/>
      <c r="V68" s="97"/>
      <c r="W68" s="97"/>
      <c r="X68" s="97"/>
      <c r="Y68" s="97"/>
      <c r="Z68" s="97"/>
    </row>
    <row r="69" spans="1:26" ht="18" customHeight="1" x14ac:dyDescent="0.15">
      <c r="A69" s="14"/>
      <c r="B69" s="133" t="s">
        <v>73</v>
      </c>
      <c r="C69" s="135"/>
      <c r="D69" s="135"/>
      <c r="E69" s="135"/>
      <c r="F69" s="134"/>
      <c r="G69" s="133" t="s">
        <v>99</v>
      </c>
      <c r="H69" s="135"/>
      <c r="I69" s="135"/>
      <c r="J69" s="135"/>
      <c r="K69" s="135"/>
      <c r="L69" s="135"/>
      <c r="M69" s="134"/>
      <c r="N69" s="188" t="s">
        <v>73</v>
      </c>
      <c r="O69" s="189"/>
      <c r="P69" s="189"/>
      <c r="Q69" s="189"/>
      <c r="R69" s="189"/>
      <c r="S69" s="190"/>
      <c r="T69" s="133" t="s">
        <v>99</v>
      </c>
      <c r="U69" s="135"/>
      <c r="V69" s="135"/>
      <c r="W69" s="135"/>
      <c r="X69" s="135"/>
      <c r="Y69" s="135"/>
      <c r="Z69" s="134"/>
    </row>
    <row r="70" spans="1:26" ht="18" customHeight="1" x14ac:dyDescent="0.15">
      <c r="A70" s="97"/>
      <c r="B70" s="181" t="s">
        <v>100</v>
      </c>
      <c r="C70" s="158"/>
      <c r="D70" s="158"/>
      <c r="E70" s="158"/>
      <c r="F70" s="159"/>
      <c r="G70" s="182" t="s">
        <v>101</v>
      </c>
      <c r="H70" s="183"/>
      <c r="I70" s="183"/>
      <c r="J70" s="183"/>
      <c r="K70" s="183"/>
      <c r="L70" s="183"/>
      <c r="M70" s="184"/>
      <c r="N70" s="181"/>
      <c r="O70" s="158"/>
      <c r="P70" s="158"/>
      <c r="Q70" s="158"/>
      <c r="R70" s="158"/>
      <c r="S70" s="159"/>
      <c r="T70" s="182"/>
      <c r="U70" s="183"/>
      <c r="V70" s="183"/>
      <c r="W70" s="183"/>
      <c r="X70" s="183"/>
      <c r="Y70" s="183"/>
      <c r="Z70" s="184"/>
    </row>
    <row r="71" spans="1:26" ht="18" customHeight="1" x14ac:dyDescent="0.15">
      <c r="A71" s="97"/>
      <c r="B71" s="175" t="s">
        <v>100</v>
      </c>
      <c r="C71" s="176"/>
      <c r="D71" s="176"/>
      <c r="E71" s="176"/>
      <c r="F71" s="177"/>
      <c r="G71" s="178" t="s">
        <v>102</v>
      </c>
      <c r="H71" s="179"/>
      <c r="I71" s="179"/>
      <c r="J71" s="179"/>
      <c r="K71" s="179"/>
      <c r="L71" s="179"/>
      <c r="M71" s="180"/>
      <c r="N71" s="175"/>
      <c r="O71" s="176"/>
      <c r="P71" s="176"/>
      <c r="Q71" s="176"/>
      <c r="R71" s="176"/>
      <c r="S71" s="177"/>
      <c r="T71" s="178"/>
      <c r="U71" s="179"/>
      <c r="V71" s="179"/>
      <c r="W71" s="179"/>
      <c r="X71" s="179"/>
      <c r="Y71" s="179"/>
      <c r="Z71" s="180"/>
    </row>
    <row r="72" spans="1:26" ht="18" customHeight="1" x14ac:dyDescent="0.15">
      <c r="A72" s="97"/>
      <c r="B72" s="175"/>
      <c r="C72" s="176"/>
      <c r="D72" s="176"/>
      <c r="E72" s="176"/>
      <c r="F72" s="177"/>
      <c r="G72" s="178"/>
      <c r="H72" s="179"/>
      <c r="I72" s="179"/>
      <c r="J72" s="179"/>
      <c r="K72" s="179"/>
      <c r="L72" s="179"/>
      <c r="M72" s="180"/>
      <c r="N72" s="175"/>
      <c r="O72" s="176"/>
      <c r="P72" s="176"/>
      <c r="Q72" s="176"/>
      <c r="R72" s="176"/>
      <c r="S72" s="177"/>
      <c r="T72" s="178"/>
      <c r="U72" s="179"/>
      <c r="V72" s="179"/>
      <c r="W72" s="179"/>
      <c r="X72" s="179"/>
      <c r="Y72" s="179"/>
      <c r="Z72" s="180"/>
    </row>
    <row r="73" spans="1:26" ht="18" customHeight="1" x14ac:dyDescent="0.15">
      <c r="A73" s="97"/>
      <c r="B73" s="175"/>
      <c r="C73" s="176"/>
      <c r="D73" s="176"/>
      <c r="E73" s="176"/>
      <c r="F73" s="177"/>
      <c r="G73" s="178"/>
      <c r="H73" s="179"/>
      <c r="I73" s="179"/>
      <c r="J73" s="179"/>
      <c r="K73" s="179"/>
      <c r="L73" s="179"/>
      <c r="M73" s="180"/>
      <c r="N73" s="175"/>
      <c r="O73" s="176"/>
      <c r="P73" s="176"/>
      <c r="Q73" s="176"/>
      <c r="R73" s="176"/>
      <c r="S73" s="177"/>
      <c r="T73" s="178"/>
      <c r="U73" s="179"/>
      <c r="V73" s="179"/>
      <c r="W73" s="179"/>
      <c r="X73" s="179"/>
      <c r="Y73" s="179"/>
      <c r="Z73" s="180"/>
    </row>
    <row r="74" spans="1:26" ht="18" customHeight="1" x14ac:dyDescent="0.15">
      <c r="A74" s="97"/>
      <c r="B74" s="175"/>
      <c r="C74" s="176"/>
      <c r="D74" s="176"/>
      <c r="E74" s="176"/>
      <c r="F74" s="177"/>
      <c r="G74" s="178"/>
      <c r="H74" s="179"/>
      <c r="I74" s="179"/>
      <c r="J74" s="179"/>
      <c r="K74" s="179"/>
      <c r="L74" s="179"/>
      <c r="M74" s="180"/>
      <c r="N74" s="175"/>
      <c r="O74" s="176"/>
      <c r="P74" s="176"/>
      <c r="Q74" s="176"/>
      <c r="R74" s="176"/>
      <c r="S74" s="177"/>
      <c r="T74" s="178"/>
      <c r="U74" s="179"/>
      <c r="V74" s="179"/>
      <c r="W74" s="179"/>
      <c r="X74" s="179"/>
      <c r="Y74" s="179"/>
      <c r="Z74" s="180"/>
    </row>
    <row r="75" spans="1:26" ht="18" customHeight="1" x14ac:dyDescent="0.15">
      <c r="A75" s="97"/>
      <c r="B75" s="175"/>
      <c r="C75" s="176"/>
      <c r="D75" s="176"/>
      <c r="E75" s="176"/>
      <c r="F75" s="177"/>
      <c r="G75" s="178"/>
      <c r="H75" s="179"/>
      <c r="I75" s="179"/>
      <c r="J75" s="179"/>
      <c r="K75" s="179"/>
      <c r="L75" s="179"/>
      <c r="M75" s="180"/>
      <c r="N75" s="175"/>
      <c r="O75" s="176"/>
      <c r="P75" s="176"/>
      <c r="Q75" s="176"/>
      <c r="R75" s="176"/>
      <c r="S75" s="177"/>
      <c r="T75" s="178"/>
      <c r="U75" s="179"/>
      <c r="V75" s="179"/>
      <c r="W75" s="179"/>
      <c r="X75" s="179"/>
      <c r="Y75" s="179"/>
      <c r="Z75" s="180"/>
    </row>
    <row r="76" spans="1:26" ht="18" customHeight="1" x14ac:dyDescent="0.15">
      <c r="A76" s="97"/>
      <c r="B76" s="167"/>
      <c r="C76" s="168"/>
      <c r="D76" s="168"/>
      <c r="E76" s="168"/>
      <c r="F76" s="169"/>
      <c r="G76" s="170"/>
      <c r="H76" s="171"/>
      <c r="I76" s="171"/>
      <c r="J76" s="171"/>
      <c r="K76" s="171"/>
      <c r="L76" s="171"/>
      <c r="M76" s="172"/>
      <c r="N76" s="167"/>
      <c r="O76" s="168"/>
      <c r="P76" s="168"/>
      <c r="Q76" s="168"/>
      <c r="R76" s="168"/>
      <c r="S76" s="169"/>
      <c r="T76" s="170"/>
      <c r="U76" s="171"/>
      <c r="V76" s="171"/>
      <c r="W76" s="171"/>
      <c r="X76" s="171"/>
      <c r="Y76" s="171"/>
      <c r="Z76" s="172"/>
    </row>
    <row r="77" spans="1:26" ht="18" customHeight="1" x14ac:dyDescent="0.15">
      <c r="A77" s="97"/>
      <c r="B77" s="98"/>
      <c r="C77" s="98"/>
      <c r="D77" s="98"/>
      <c r="E77" s="98"/>
      <c r="F77" s="98"/>
      <c r="G77" s="12"/>
      <c r="H77" s="12"/>
      <c r="I77" s="12"/>
      <c r="J77" s="12"/>
      <c r="K77" s="12"/>
      <c r="L77" s="12"/>
      <c r="M77" s="12"/>
      <c r="N77" s="98"/>
      <c r="O77" s="98"/>
      <c r="P77" s="98"/>
      <c r="Q77" s="98"/>
      <c r="R77" s="98"/>
      <c r="S77" s="98"/>
      <c r="T77" s="12"/>
      <c r="U77" s="12"/>
      <c r="V77" s="12"/>
      <c r="W77" s="12"/>
      <c r="X77" s="12"/>
      <c r="Y77" s="12"/>
      <c r="Z77" s="12"/>
    </row>
    <row r="78" spans="1:26" ht="18.75" customHeight="1" x14ac:dyDescent="0.15">
      <c r="A78" s="13" t="s">
        <v>103</v>
      </c>
    </row>
    <row r="79" spans="1:26" ht="18.75" customHeight="1" x14ac:dyDescent="0.15">
      <c r="B79" s="22" t="s">
        <v>104</v>
      </c>
      <c r="C79" s="23"/>
      <c r="D79" s="135" t="s">
        <v>105</v>
      </c>
      <c r="E79" s="135"/>
      <c r="F79" s="135"/>
      <c r="G79" s="135"/>
      <c r="H79" s="135"/>
      <c r="I79" s="135"/>
      <c r="J79" s="135"/>
      <c r="K79" s="135"/>
      <c r="L79" s="135"/>
      <c r="M79" s="135"/>
      <c r="N79" s="135"/>
      <c r="O79" s="135"/>
      <c r="P79" s="135"/>
      <c r="Q79" s="135"/>
      <c r="R79" s="135"/>
      <c r="S79" s="135"/>
      <c r="T79" s="135"/>
      <c r="U79" s="135"/>
      <c r="V79" s="135"/>
      <c r="W79" s="135"/>
      <c r="X79" s="135"/>
      <c r="Y79" s="135"/>
      <c r="Z79" s="134"/>
    </row>
    <row r="80" spans="1:26" ht="78" customHeight="1" x14ac:dyDescent="0.15">
      <c r="B80" s="150" t="s">
        <v>106</v>
      </c>
      <c r="C80" s="70" t="s">
        <v>77</v>
      </c>
      <c r="D80" s="152" t="s">
        <v>107</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86" t="s">
        <v>108</v>
      </c>
      <c r="D81" s="173" t="s">
        <v>109</v>
      </c>
      <c r="E81" s="173"/>
      <c r="F81" s="173"/>
      <c r="G81" s="173"/>
      <c r="H81" s="173"/>
      <c r="I81" s="173"/>
      <c r="J81" s="173"/>
      <c r="K81" s="173"/>
      <c r="L81" s="173"/>
      <c r="M81" s="173"/>
      <c r="N81" s="173"/>
      <c r="O81" s="173"/>
      <c r="P81" s="173"/>
      <c r="Q81" s="173"/>
      <c r="R81" s="173"/>
      <c r="S81" s="173"/>
      <c r="T81" s="173"/>
      <c r="U81" s="173"/>
      <c r="V81" s="173"/>
      <c r="W81" s="173"/>
      <c r="X81" s="173"/>
      <c r="Y81" s="173"/>
      <c r="Z81" s="174"/>
    </row>
    <row r="82" spans="1:26" ht="78" customHeight="1" x14ac:dyDescent="0.15">
      <c r="B82" s="150" t="s">
        <v>110</v>
      </c>
      <c r="C82" s="67" t="s">
        <v>85</v>
      </c>
      <c r="D82" s="161" t="s">
        <v>111</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157"/>
      <c r="C83" s="87" t="s">
        <v>86</v>
      </c>
      <c r="D83" s="163" t="s">
        <v>112</v>
      </c>
      <c r="E83" s="163"/>
      <c r="F83" s="163"/>
      <c r="G83" s="163"/>
      <c r="H83" s="163"/>
      <c r="I83" s="163"/>
      <c r="J83" s="163"/>
      <c r="K83" s="163"/>
      <c r="L83" s="163"/>
      <c r="M83" s="163"/>
      <c r="N83" s="163"/>
      <c r="O83" s="163"/>
      <c r="P83" s="163"/>
      <c r="Q83" s="163"/>
      <c r="R83" s="163"/>
      <c r="S83" s="163"/>
      <c r="T83" s="163"/>
      <c r="U83" s="163"/>
      <c r="V83" s="163"/>
      <c r="W83" s="163"/>
      <c r="X83" s="163"/>
      <c r="Y83" s="163"/>
      <c r="Z83" s="164"/>
    </row>
    <row r="84" spans="1:26" ht="66" customHeight="1" x14ac:dyDescent="0.15">
      <c r="B84" s="150" t="s">
        <v>113</v>
      </c>
      <c r="C84" s="67" t="s">
        <v>88</v>
      </c>
      <c r="D84" s="161" t="s">
        <v>114</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157"/>
      <c r="C85" s="69" t="s">
        <v>89</v>
      </c>
      <c r="D85" s="165" t="s">
        <v>115</v>
      </c>
      <c r="E85" s="165"/>
      <c r="F85" s="165"/>
      <c r="G85" s="165"/>
      <c r="H85" s="165"/>
      <c r="I85" s="165"/>
      <c r="J85" s="165"/>
      <c r="K85" s="165"/>
      <c r="L85" s="165"/>
      <c r="M85" s="165"/>
      <c r="N85" s="165"/>
      <c r="O85" s="165"/>
      <c r="P85" s="165"/>
      <c r="Q85" s="165"/>
      <c r="R85" s="165"/>
      <c r="S85" s="165"/>
      <c r="T85" s="165"/>
      <c r="U85" s="165"/>
      <c r="V85" s="165"/>
      <c r="W85" s="165"/>
      <c r="X85" s="165"/>
      <c r="Y85" s="165"/>
      <c r="Z85" s="166"/>
    </row>
    <row r="86" spans="1:26" ht="66" customHeight="1" x14ac:dyDescent="0.15">
      <c r="B86" s="150" t="s">
        <v>116</v>
      </c>
      <c r="C86" s="70" t="s">
        <v>91</v>
      </c>
      <c r="D86" s="152" t="s">
        <v>117</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68" t="s">
        <v>92</v>
      </c>
      <c r="D87" s="154" t="s">
        <v>118</v>
      </c>
      <c r="E87" s="155"/>
      <c r="F87" s="155"/>
      <c r="G87" s="155"/>
      <c r="H87" s="155"/>
      <c r="I87" s="155"/>
      <c r="J87" s="155"/>
      <c r="K87" s="155"/>
      <c r="L87" s="155"/>
      <c r="M87" s="155"/>
      <c r="N87" s="155"/>
      <c r="O87" s="155"/>
      <c r="P87" s="155"/>
      <c r="Q87" s="155"/>
      <c r="R87" s="155"/>
      <c r="S87" s="155"/>
      <c r="T87" s="155"/>
      <c r="U87" s="155"/>
      <c r="V87" s="155"/>
      <c r="W87" s="155"/>
      <c r="X87" s="155"/>
      <c r="Y87" s="155"/>
      <c r="Z87" s="156"/>
    </row>
    <row r="88" spans="1:26" ht="66" customHeight="1" x14ac:dyDescent="0.15">
      <c r="B88" s="150" t="s">
        <v>119</v>
      </c>
      <c r="C88" s="67" t="s">
        <v>94</v>
      </c>
      <c r="D88" s="158" t="s">
        <v>120</v>
      </c>
      <c r="E88" s="158"/>
      <c r="F88" s="158"/>
      <c r="G88" s="158"/>
      <c r="H88" s="158"/>
      <c r="I88" s="158"/>
      <c r="J88" s="158"/>
      <c r="K88" s="158"/>
      <c r="L88" s="158"/>
      <c r="M88" s="158"/>
      <c r="N88" s="158"/>
      <c r="O88" s="158"/>
      <c r="P88" s="158"/>
      <c r="Q88" s="158"/>
      <c r="R88" s="158"/>
      <c r="S88" s="158"/>
      <c r="T88" s="158"/>
      <c r="U88" s="158"/>
      <c r="V88" s="158"/>
      <c r="W88" s="158"/>
      <c r="X88" s="158"/>
      <c r="Y88" s="158"/>
      <c r="Z88" s="159"/>
    </row>
    <row r="89" spans="1:26" ht="66" customHeight="1" x14ac:dyDescent="0.15">
      <c r="B89" s="151"/>
      <c r="C89" s="68" t="s">
        <v>95</v>
      </c>
      <c r="D89" s="158" t="s">
        <v>120</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7"/>
      <c r="C90" s="69" t="s">
        <v>96</v>
      </c>
      <c r="D90" s="160" t="s">
        <v>121</v>
      </c>
      <c r="E90" s="158"/>
      <c r="F90" s="158"/>
      <c r="G90" s="158"/>
      <c r="H90" s="158"/>
      <c r="I90" s="158"/>
      <c r="J90" s="158"/>
      <c r="K90" s="158"/>
      <c r="L90" s="158"/>
      <c r="M90" s="158"/>
      <c r="N90" s="158"/>
      <c r="O90" s="158"/>
      <c r="P90" s="158"/>
      <c r="Q90" s="158"/>
      <c r="R90" s="158"/>
      <c r="S90" s="158"/>
      <c r="T90" s="158"/>
      <c r="U90" s="158"/>
      <c r="V90" s="158"/>
      <c r="W90" s="158"/>
      <c r="X90" s="158"/>
      <c r="Y90" s="158"/>
      <c r="Z90" s="159"/>
    </row>
    <row r="91" spans="1:26" ht="6" customHeight="1" x14ac:dyDescent="0.15"/>
    <row r="92" spans="1:26" ht="18.75" customHeight="1" x14ac:dyDescent="0.15">
      <c r="A92" s="13" t="s">
        <v>122</v>
      </c>
    </row>
    <row r="93" spans="1:26" ht="18.75" customHeight="1" x14ac:dyDescent="0.15">
      <c r="B93" s="140" t="s">
        <v>123</v>
      </c>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2"/>
    </row>
    <row r="94" spans="1:26" ht="18.75" customHeight="1" x14ac:dyDescent="0.15">
      <c r="B94" s="143"/>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44"/>
    </row>
    <row r="95" spans="1:26" ht="18.75" customHeight="1" x14ac:dyDescent="0.15">
      <c r="B95" s="145"/>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7"/>
    </row>
    <row r="96" spans="1:26" ht="6" customHeight="1" x14ac:dyDescent="0.15"/>
    <row r="97" spans="1:26" ht="15" customHeight="1" x14ac:dyDescent="0.15">
      <c r="A97" s="13" t="s">
        <v>124</v>
      </c>
    </row>
    <row r="98" spans="1:26" ht="15" customHeight="1" x14ac:dyDescent="0.15">
      <c r="B98" s="148" t="s">
        <v>220</v>
      </c>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4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Y16:Z22 L16:M22 Y27:Z33 L27:M33 L38:M44 Y38:Z44 L49:M55 Y49:Z55 Y60:Z66 K60:M66 H16:H22 U16:U22 T60:T66 U27:U33 H27:H33 U38:U44 H38:H44 U49:U55 G60:G66 H49:H55">
      <formula1>"○"</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view="pageBreakPreview" zoomScaleNormal="100" zoomScaleSheetLayoutView="100" workbookViewId="0"/>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01" t="s">
        <v>219</v>
      </c>
      <c r="X1" s="201"/>
      <c r="Y1" s="201"/>
      <c r="Z1" s="201"/>
    </row>
    <row r="2" spans="1:26" ht="18" customHeight="1" x14ac:dyDescent="0.15">
      <c r="A2" s="202" t="s">
        <v>67</v>
      </c>
      <c r="B2" s="202"/>
      <c r="C2" s="202"/>
      <c r="D2" s="202"/>
      <c r="E2" s="202"/>
      <c r="F2" s="202"/>
      <c r="G2" s="202"/>
      <c r="H2" s="202"/>
      <c r="I2" s="202"/>
      <c r="J2" s="202"/>
      <c r="K2" s="202"/>
      <c r="L2" s="202"/>
      <c r="M2" s="202"/>
      <c r="N2" s="202"/>
      <c r="O2" s="202"/>
      <c r="P2" s="202"/>
      <c r="Q2" s="202"/>
      <c r="R2" s="202"/>
      <c r="S2" s="202"/>
      <c r="T2" s="202"/>
      <c r="U2" s="202"/>
      <c r="V2" s="202"/>
      <c r="W2" s="202"/>
      <c r="X2" s="202"/>
      <c r="Y2" s="202"/>
      <c r="Z2" s="202"/>
    </row>
    <row r="3" spans="1:26" ht="15" customHeight="1" x14ac:dyDescent="0.15">
      <c r="B3" s="97"/>
      <c r="C3" s="97"/>
      <c r="D3" s="97"/>
      <c r="E3" s="97"/>
      <c r="F3" s="97"/>
      <c r="G3" s="97"/>
      <c r="H3" s="97"/>
      <c r="I3" s="97"/>
      <c r="J3" s="97"/>
      <c r="K3" s="97"/>
      <c r="L3" s="97"/>
      <c r="M3" s="97"/>
      <c r="N3" s="97"/>
      <c r="O3" s="97"/>
      <c r="P3" s="97"/>
      <c r="Q3" s="97"/>
      <c r="R3" s="97"/>
      <c r="S3" s="97"/>
      <c r="T3" s="97"/>
      <c r="U3" s="97"/>
      <c r="V3" s="97"/>
      <c r="W3" s="97"/>
      <c r="X3" s="97"/>
      <c r="Y3" s="97"/>
      <c r="Z3" s="97"/>
    </row>
    <row r="4" spans="1:26" ht="18" customHeight="1" x14ac:dyDescent="0.15">
      <c r="A4" s="13" t="s">
        <v>68</v>
      </c>
      <c r="B4" s="97"/>
      <c r="C4" s="97"/>
      <c r="D4" s="97"/>
      <c r="E4" s="97"/>
      <c r="F4" s="97"/>
      <c r="G4" s="97"/>
      <c r="H4" s="14" t="s">
        <v>69</v>
      </c>
      <c r="I4" s="97"/>
      <c r="J4" s="97"/>
      <c r="K4" s="97"/>
      <c r="L4" s="97"/>
      <c r="M4" s="97"/>
      <c r="N4" s="97"/>
      <c r="O4" s="133" t="s">
        <v>70</v>
      </c>
      <c r="P4" s="135"/>
      <c r="Q4" s="135"/>
      <c r="R4" s="135"/>
      <c r="S4" s="135"/>
      <c r="T4" s="135"/>
      <c r="U4" s="135"/>
      <c r="V4" s="135"/>
      <c r="W4" s="135"/>
      <c r="X4" s="135"/>
      <c r="Y4" s="135"/>
      <c r="Z4" s="134"/>
    </row>
    <row r="5" spans="1:26" ht="6" customHeight="1" x14ac:dyDescent="0.15">
      <c r="B5" s="97"/>
      <c r="C5" s="97"/>
      <c r="D5" s="97"/>
      <c r="E5" s="97"/>
      <c r="F5" s="97"/>
      <c r="G5" s="97"/>
      <c r="H5" s="97"/>
      <c r="I5" s="97"/>
      <c r="J5" s="97"/>
      <c r="K5" s="97"/>
      <c r="L5" s="97"/>
      <c r="M5" s="97"/>
      <c r="N5" s="97"/>
      <c r="O5" s="15"/>
      <c r="P5" s="97"/>
      <c r="Q5" s="97"/>
      <c r="R5" s="97"/>
      <c r="S5" s="97"/>
      <c r="T5" s="97"/>
      <c r="U5" s="97"/>
      <c r="V5" s="97"/>
      <c r="W5" s="97"/>
      <c r="X5" s="97"/>
      <c r="Y5" s="97"/>
      <c r="Z5" s="97"/>
    </row>
    <row r="6" spans="1:26" ht="18" customHeight="1" x14ac:dyDescent="0.15">
      <c r="B6" s="203" t="s">
        <v>125</v>
      </c>
      <c r="C6" s="204"/>
      <c r="D6" s="204"/>
      <c r="E6" s="204"/>
      <c r="F6" s="204"/>
      <c r="G6" s="204"/>
      <c r="H6" s="204"/>
      <c r="I6" s="204"/>
      <c r="J6" s="204"/>
      <c r="K6" s="204"/>
      <c r="L6" s="204"/>
      <c r="M6" s="204"/>
      <c r="N6" s="204"/>
      <c r="O6" s="204"/>
      <c r="P6" s="204"/>
      <c r="Q6" s="204"/>
      <c r="R6" s="204"/>
      <c r="S6" s="204"/>
      <c r="T6" s="204"/>
      <c r="U6" s="204"/>
      <c r="V6" s="204"/>
      <c r="W6" s="204"/>
      <c r="X6" s="204"/>
      <c r="Y6" s="204"/>
      <c r="Z6" s="205"/>
    </row>
    <row r="7" spans="1:26" ht="18" customHeight="1" x14ac:dyDescent="0.15">
      <c r="B7" s="206"/>
      <c r="C7" s="207"/>
      <c r="D7" s="207"/>
      <c r="E7" s="207"/>
      <c r="F7" s="207"/>
      <c r="G7" s="207"/>
      <c r="H7" s="207"/>
      <c r="I7" s="207"/>
      <c r="J7" s="207"/>
      <c r="K7" s="207"/>
      <c r="L7" s="207"/>
      <c r="M7" s="207"/>
      <c r="N7" s="207"/>
      <c r="O7" s="207"/>
      <c r="P7" s="207"/>
      <c r="Q7" s="207"/>
      <c r="R7" s="207"/>
      <c r="S7" s="207"/>
      <c r="T7" s="207"/>
      <c r="U7" s="207"/>
      <c r="V7" s="207"/>
      <c r="W7" s="207"/>
      <c r="X7" s="207"/>
      <c r="Y7" s="207"/>
      <c r="Z7" s="208"/>
    </row>
    <row r="8" spans="1:26" ht="18" customHeight="1" x14ac:dyDescent="0.15">
      <c r="B8" s="206"/>
      <c r="C8" s="207"/>
      <c r="D8" s="207"/>
      <c r="E8" s="207"/>
      <c r="F8" s="207"/>
      <c r="G8" s="207"/>
      <c r="H8" s="207"/>
      <c r="I8" s="207"/>
      <c r="J8" s="207"/>
      <c r="K8" s="207"/>
      <c r="L8" s="207"/>
      <c r="M8" s="207"/>
      <c r="N8" s="207"/>
      <c r="O8" s="207"/>
      <c r="P8" s="207"/>
      <c r="Q8" s="207"/>
      <c r="R8" s="207"/>
      <c r="S8" s="207"/>
      <c r="T8" s="207"/>
      <c r="U8" s="207"/>
      <c r="V8" s="207"/>
      <c r="W8" s="207"/>
      <c r="X8" s="207"/>
      <c r="Y8" s="207"/>
      <c r="Z8" s="208"/>
    </row>
    <row r="9" spans="1:26" ht="18" customHeight="1" x14ac:dyDescent="0.15">
      <c r="B9" s="206"/>
      <c r="C9" s="207"/>
      <c r="D9" s="207"/>
      <c r="E9" s="207"/>
      <c r="F9" s="207"/>
      <c r="G9" s="207"/>
      <c r="H9" s="207"/>
      <c r="I9" s="207"/>
      <c r="J9" s="207"/>
      <c r="K9" s="207"/>
      <c r="L9" s="207"/>
      <c r="M9" s="207"/>
      <c r="N9" s="207"/>
      <c r="O9" s="207"/>
      <c r="P9" s="207"/>
      <c r="Q9" s="207"/>
      <c r="R9" s="207"/>
      <c r="S9" s="207"/>
      <c r="T9" s="207"/>
      <c r="U9" s="207"/>
      <c r="V9" s="207"/>
      <c r="W9" s="207"/>
      <c r="X9" s="207"/>
      <c r="Y9" s="207"/>
      <c r="Z9" s="208"/>
    </row>
    <row r="10" spans="1:26" ht="18" customHeight="1" x14ac:dyDescent="0.15">
      <c r="B10" s="206"/>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8"/>
    </row>
    <row r="11" spans="1:26" ht="18" customHeight="1" x14ac:dyDescent="0.15">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1"/>
    </row>
    <row r="12" spans="1:26" ht="7.5" customHeight="1" x14ac:dyDescent="0.15">
      <c r="B12" s="97"/>
      <c r="C12" s="97"/>
      <c r="D12" s="97"/>
      <c r="E12" s="97"/>
      <c r="F12" s="97"/>
      <c r="G12" s="97"/>
      <c r="H12" s="97"/>
      <c r="I12" s="97"/>
      <c r="J12" s="97"/>
      <c r="K12" s="97"/>
      <c r="L12" s="97"/>
      <c r="M12" s="97"/>
      <c r="N12" s="97"/>
      <c r="O12" s="97"/>
      <c r="P12" s="97"/>
      <c r="Q12" s="97"/>
      <c r="R12" s="97"/>
      <c r="S12" s="97"/>
      <c r="T12" s="97"/>
      <c r="U12" s="97"/>
      <c r="V12" s="97"/>
      <c r="W12" s="97"/>
      <c r="X12" s="97"/>
      <c r="Y12" s="97"/>
      <c r="Z12" s="97"/>
    </row>
    <row r="13" spans="1:26" ht="18" customHeight="1" x14ac:dyDescent="0.15">
      <c r="A13" s="198" t="s">
        <v>72</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33" t="s">
        <v>73</v>
      </c>
      <c r="C15" s="135"/>
      <c r="D15" s="135"/>
      <c r="E15" s="135"/>
      <c r="F15" s="134"/>
      <c r="G15" s="26" t="s">
        <v>74</v>
      </c>
      <c r="H15" s="88" t="s">
        <v>75</v>
      </c>
      <c r="I15" s="135" t="s">
        <v>76</v>
      </c>
      <c r="J15" s="135"/>
      <c r="K15" s="135"/>
      <c r="L15" s="65" t="s">
        <v>77</v>
      </c>
      <c r="M15" s="65" t="s">
        <v>78</v>
      </c>
      <c r="N15" s="133" t="s">
        <v>73</v>
      </c>
      <c r="O15" s="135"/>
      <c r="P15" s="135"/>
      <c r="Q15" s="135"/>
      <c r="R15" s="135"/>
      <c r="S15" s="134"/>
      <c r="T15" s="26" t="s">
        <v>74</v>
      </c>
      <c r="U15" s="88" t="s">
        <v>75</v>
      </c>
      <c r="V15" s="135" t="s">
        <v>76</v>
      </c>
      <c r="W15" s="135"/>
      <c r="X15" s="135"/>
      <c r="Y15" s="65" t="s">
        <v>77</v>
      </c>
      <c r="Z15" s="65" t="s">
        <v>78</v>
      </c>
    </row>
    <row r="16" spans="1:26" ht="18" customHeight="1" x14ac:dyDescent="0.15">
      <c r="A16" s="14"/>
      <c r="B16" s="200" t="s">
        <v>79</v>
      </c>
      <c r="C16" s="161"/>
      <c r="D16" s="161"/>
      <c r="E16" s="161"/>
      <c r="F16" s="162"/>
      <c r="G16" s="89">
        <v>1</v>
      </c>
      <c r="H16" s="89" t="s">
        <v>80</v>
      </c>
      <c r="I16" s="194" t="s">
        <v>81</v>
      </c>
      <c r="J16" s="195"/>
      <c r="K16" s="196"/>
      <c r="L16" s="89"/>
      <c r="M16" s="89" t="s">
        <v>80</v>
      </c>
      <c r="N16" s="181"/>
      <c r="O16" s="158"/>
      <c r="P16" s="158"/>
      <c r="Q16" s="158"/>
      <c r="R16" s="158"/>
      <c r="S16" s="159"/>
      <c r="T16" s="89"/>
      <c r="U16" s="89"/>
      <c r="V16" s="194"/>
      <c r="W16" s="195"/>
      <c r="X16" s="196"/>
      <c r="Y16" s="89"/>
      <c r="Z16" s="89"/>
    </row>
    <row r="17" spans="1:26" ht="18" customHeight="1" x14ac:dyDescent="0.15">
      <c r="A17" s="14"/>
      <c r="B17" s="199" t="s">
        <v>82</v>
      </c>
      <c r="C17" s="155"/>
      <c r="D17" s="155"/>
      <c r="E17" s="155"/>
      <c r="F17" s="156"/>
      <c r="G17" s="90">
        <v>1</v>
      </c>
      <c r="H17" s="90" t="s">
        <v>80</v>
      </c>
      <c r="I17" s="191" t="s">
        <v>83</v>
      </c>
      <c r="J17" s="192"/>
      <c r="K17" s="193"/>
      <c r="L17" s="90" t="s">
        <v>80</v>
      </c>
      <c r="M17" s="90"/>
      <c r="N17" s="175"/>
      <c r="O17" s="176"/>
      <c r="P17" s="176"/>
      <c r="Q17" s="176"/>
      <c r="R17" s="176"/>
      <c r="S17" s="177"/>
      <c r="T17" s="90"/>
      <c r="U17" s="90"/>
      <c r="V17" s="191"/>
      <c r="W17" s="192"/>
      <c r="X17" s="193"/>
      <c r="Y17" s="90"/>
      <c r="Z17" s="90"/>
    </row>
    <row r="18" spans="1:26" ht="18" customHeight="1" x14ac:dyDescent="0.15">
      <c r="A18" s="14"/>
      <c r="B18" s="199"/>
      <c r="C18" s="155"/>
      <c r="D18" s="155"/>
      <c r="E18" s="155"/>
      <c r="F18" s="156"/>
      <c r="G18" s="90"/>
      <c r="H18" s="90"/>
      <c r="I18" s="191"/>
      <c r="J18" s="192"/>
      <c r="K18" s="193"/>
      <c r="L18" s="90"/>
      <c r="M18" s="90"/>
      <c r="N18" s="175"/>
      <c r="O18" s="176"/>
      <c r="P18" s="176"/>
      <c r="Q18" s="176"/>
      <c r="R18" s="176"/>
      <c r="S18" s="177"/>
      <c r="T18" s="90"/>
      <c r="U18" s="90"/>
      <c r="V18" s="191"/>
      <c r="W18" s="192"/>
      <c r="X18" s="193"/>
      <c r="Y18" s="90"/>
      <c r="Z18" s="90"/>
    </row>
    <row r="19" spans="1:26" ht="18" customHeight="1" x14ac:dyDescent="0.15">
      <c r="A19" s="14"/>
      <c r="B19" s="199"/>
      <c r="C19" s="155"/>
      <c r="D19" s="155"/>
      <c r="E19" s="155"/>
      <c r="F19" s="156"/>
      <c r="G19" s="90"/>
      <c r="H19" s="90"/>
      <c r="I19" s="191"/>
      <c r="J19" s="192"/>
      <c r="K19" s="193"/>
      <c r="L19" s="90"/>
      <c r="M19" s="90"/>
      <c r="N19" s="175"/>
      <c r="O19" s="176"/>
      <c r="P19" s="176"/>
      <c r="Q19" s="176"/>
      <c r="R19" s="176"/>
      <c r="S19" s="177"/>
      <c r="T19" s="90"/>
      <c r="U19" s="90"/>
      <c r="V19" s="191"/>
      <c r="W19" s="192"/>
      <c r="X19" s="193"/>
      <c r="Y19" s="90"/>
      <c r="Z19" s="90"/>
    </row>
    <row r="20" spans="1:26" ht="18" customHeight="1" x14ac:dyDescent="0.15">
      <c r="A20" s="14"/>
      <c r="B20" s="199"/>
      <c r="C20" s="155"/>
      <c r="D20" s="155"/>
      <c r="E20" s="155"/>
      <c r="F20" s="156"/>
      <c r="G20" s="90"/>
      <c r="H20" s="90"/>
      <c r="I20" s="191"/>
      <c r="J20" s="192"/>
      <c r="K20" s="193"/>
      <c r="L20" s="90"/>
      <c r="M20" s="90"/>
      <c r="N20" s="175"/>
      <c r="O20" s="176"/>
      <c r="P20" s="176"/>
      <c r="Q20" s="176"/>
      <c r="R20" s="176"/>
      <c r="S20" s="177"/>
      <c r="T20" s="90"/>
      <c r="U20" s="90"/>
      <c r="V20" s="191"/>
      <c r="W20" s="192"/>
      <c r="X20" s="193"/>
      <c r="Y20" s="90"/>
      <c r="Z20" s="90"/>
    </row>
    <row r="21" spans="1:26" ht="18" customHeight="1" x14ac:dyDescent="0.15">
      <c r="A21" s="97"/>
      <c r="B21" s="199"/>
      <c r="C21" s="155"/>
      <c r="D21" s="155"/>
      <c r="E21" s="155"/>
      <c r="F21" s="156"/>
      <c r="G21" s="90"/>
      <c r="H21" s="90"/>
      <c r="I21" s="191"/>
      <c r="J21" s="192"/>
      <c r="K21" s="193"/>
      <c r="L21" s="90"/>
      <c r="M21" s="90"/>
      <c r="N21" s="175"/>
      <c r="O21" s="176"/>
      <c r="P21" s="176"/>
      <c r="Q21" s="176"/>
      <c r="R21" s="176"/>
      <c r="S21" s="177"/>
      <c r="T21" s="90"/>
      <c r="U21" s="90"/>
      <c r="V21" s="191"/>
      <c r="W21" s="192"/>
      <c r="X21" s="193"/>
      <c r="Y21" s="90"/>
      <c r="Z21" s="90"/>
    </row>
    <row r="22" spans="1:26" ht="18" customHeight="1" x14ac:dyDescent="0.15">
      <c r="A22" s="97"/>
      <c r="B22" s="197"/>
      <c r="C22" s="163"/>
      <c r="D22" s="163"/>
      <c r="E22" s="163"/>
      <c r="F22" s="164"/>
      <c r="G22" s="91"/>
      <c r="H22" s="91"/>
      <c r="I22" s="185"/>
      <c r="J22" s="186"/>
      <c r="K22" s="187"/>
      <c r="L22" s="93"/>
      <c r="M22" s="93"/>
      <c r="N22" s="167"/>
      <c r="O22" s="168"/>
      <c r="P22" s="168"/>
      <c r="Q22" s="168"/>
      <c r="R22" s="168"/>
      <c r="S22" s="169"/>
      <c r="T22" s="91"/>
      <c r="U22" s="91"/>
      <c r="V22" s="185"/>
      <c r="W22" s="186"/>
      <c r="X22" s="187"/>
      <c r="Y22" s="93"/>
      <c r="Z22" s="93"/>
    </row>
    <row r="23" spans="1:26" ht="7.5" customHeight="1" x14ac:dyDescent="0.15">
      <c r="A23" s="97"/>
      <c r="B23" s="98"/>
      <c r="C23" s="98"/>
      <c r="D23" s="97"/>
      <c r="E23" s="97"/>
      <c r="F23" s="97"/>
      <c r="G23" s="97"/>
      <c r="H23" s="97"/>
      <c r="I23" s="97"/>
      <c r="J23" s="97"/>
      <c r="K23" s="97"/>
      <c r="L23" s="98"/>
      <c r="M23" s="98"/>
      <c r="N23" s="98"/>
      <c r="O23" s="98"/>
      <c r="P23" s="98"/>
      <c r="Q23" s="98"/>
      <c r="R23" s="98"/>
      <c r="S23" s="98"/>
      <c r="T23" s="98"/>
      <c r="U23" s="98"/>
      <c r="V23" s="98"/>
      <c r="W23" s="98"/>
      <c r="X23" s="98"/>
      <c r="Y23" s="98"/>
      <c r="Z23" s="97"/>
    </row>
    <row r="24" spans="1:26" ht="18" customHeight="1" x14ac:dyDescent="0.15">
      <c r="A24" s="198" t="s">
        <v>84</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33" t="s">
        <v>73</v>
      </c>
      <c r="C26" s="135"/>
      <c r="D26" s="135"/>
      <c r="E26" s="135"/>
      <c r="F26" s="134"/>
      <c r="G26" s="26" t="s">
        <v>74</v>
      </c>
      <c r="H26" s="88" t="s">
        <v>75</v>
      </c>
      <c r="I26" s="135" t="s">
        <v>76</v>
      </c>
      <c r="J26" s="135"/>
      <c r="K26" s="135"/>
      <c r="L26" s="65" t="s">
        <v>85</v>
      </c>
      <c r="M26" s="65" t="s">
        <v>86</v>
      </c>
      <c r="N26" s="133" t="s">
        <v>73</v>
      </c>
      <c r="O26" s="135"/>
      <c r="P26" s="135"/>
      <c r="Q26" s="135"/>
      <c r="R26" s="135"/>
      <c r="S26" s="134"/>
      <c r="T26" s="26" t="s">
        <v>74</v>
      </c>
      <c r="U26" s="88" t="s">
        <v>75</v>
      </c>
      <c r="V26" s="135" t="s">
        <v>76</v>
      </c>
      <c r="W26" s="135"/>
      <c r="X26" s="135"/>
      <c r="Y26" s="65" t="s">
        <v>85</v>
      </c>
      <c r="Z26" s="65" t="s">
        <v>86</v>
      </c>
    </row>
    <row r="27" spans="1:26" ht="18" customHeight="1" x14ac:dyDescent="0.15">
      <c r="A27" s="14"/>
      <c r="B27" s="200" t="s">
        <v>79</v>
      </c>
      <c r="C27" s="161"/>
      <c r="D27" s="161"/>
      <c r="E27" s="161"/>
      <c r="F27" s="162"/>
      <c r="G27" s="89">
        <v>1</v>
      </c>
      <c r="H27" s="89" t="s">
        <v>80</v>
      </c>
      <c r="I27" s="194" t="s">
        <v>81</v>
      </c>
      <c r="J27" s="195"/>
      <c r="K27" s="196"/>
      <c r="L27" s="89"/>
      <c r="M27" s="89" t="s">
        <v>80</v>
      </c>
      <c r="N27" s="181"/>
      <c r="O27" s="158"/>
      <c r="P27" s="158"/>
      <c r="Q27" s="158"/>
      <c r="R27" s="158"/>
      <c r="S27" s="159"/>
      <c r="T27" s="89"/>
      <c r="U27" s="89"/>
      <c r="V27" s="194"/>
      <c r="W27" s="195"/>
      <c r="X27" s="196"/>
      <c r="Y27" s="89"/>
      <c r="Z27" s="89"/>
    </row>
    <row r="28" spans="1:26" ht="18" customHeight="1" x14ac:dyDescent="0.15">
      <c r="A28" s="14"/>
      <c r="B28" s="199" t="s">
        <v>82</v>
      </c>
      <c r="C28" s="155"/>
      <c r="D28" s="155"/>
      <c r="E28" s="155"/>
      <c r="F28" s="156"/>
      <c r="G28" s="90">
        <v>1</v>
      </c>
      <c r="H28" s="90" t="s">
        <v>80</v>
      </c>
      <c r="I28" s="191" t="s">
        <v>83</v>
      </c>
      <c r="J28" s="192"/>
      <c r="K28" s="193"/>
      <c r="L28" s="90" t="s">
        <v>80</v>
      </c>
      <c r="M28" s="90"/>
      <c r="N28" s="175"/>
      <c r="O28" s="176"/>
      <c r="P28" s="176"/>
      <c r="Q28" s="176"/>
      <c r="R28" s="176"/>
      <c r="S28" s="177"/>
      <c r="T28" s="90"/>
      <c r="U28" s="90"/>
      <c r="V28" s="191"/>
      <c r="W28" s="192"/>
      <c r="X28" s="193"/>
      <c r="Y28" s="90"/>
      <c r="Z28" s="90"/>
    </row>
    <row r="29" spans="1:26" ht="18" customHeight="1" x14ac:dyDescent="0.15">
      <c r="A29" s="14"/>
      <c r="B29" s="199"/>
      <c r="C29" s="155"/>
      <c r="D29" s="155"/>
      <c r="E29" s="155"/>
      <c r="F29" s="156"/>
      <c r="G29" s="90"/>
      <c r="H29" s="90"/>
      <c r="I29" s="191"/>
      <c r="J29" s="192"/>
      <c r="K29" s="193"/>
      <c r="L29" s="90"/>
      <c r="M29" s="90"/>
      <c r="N29" s="175"/>
      <c r="O29" s="176"/>
      <c r="P29" s="176"/>
      <c r="Q29" s="176"/>
      <c r="R29" s="176"/>
      <c r="S29" s="177"/>
      <c r="T29" s="90"/>
      <c r="U29" s="90"/>
      <c r="V29" s="191"/>
      <c r="W29" s="192"/>
      <c r="X29" s="193"/>
      <c r="Y29" s="90"/>
      <c r="Z29" s="90"/>
    </row>
    <row r="30" spans="1:26" ht="18" customHeight="1" x14ac:dyDescent="0.15">
      <c r="A30" s="14"/>
      <c r="B30" s="199"/>
      <c r="C30" s="155"/>
      <c r="D30" s="155"/>
      <c r="E30" s="155"/>
      <c r="F30" s="156"/>
      <c r="G30" s="90"/>
      <c r="H30" s="90"/>
      <c r="I30" s="191"/>
      <c r="J30" s="192"/>
      <c r="K30" s="193"/>
      <c r="L30" s="90"/>
      <c r="M30" s="90"/>
      <c r="N30" s="175"/>
      <c r="O30" s="176"/>
      <c r="P30" s="176"/>
      <c r="Q30" s="176"/>
      <c r="R30" s="176"/>
      <c r="S30" s="177"/>
      <c r="T30" s="90"/>
      <c r="U30" s="90"/>
      <c r="V30" s="191"/>
      <c r="W30" s="192"/>
      <c r="X30" s="193"/>
      <c r="Y30" s="90"/>
      <c r="Z30" s="90"/>
    </row>
    <row r="31" spans="1:26" ht="18" customHeight="1" x14ac:dyDescent="0.15">
      <c r="A31" s="14"/>
      <c r="B31" s="199"/>
      <c r="C31" s="155"/>
      <c r="D31" s="155"/>
      <c r="E31" s="155"/>
      <c r="F31" s="156"/>
      <c r="G31" s="90"/>
      <c r="H31" s="90"/>
      <c r="I31" s="191"/>
      <c r="J31" s="192"/>
      <c r="K31" s="193"/>
      <c r="L31" s="90"/>
      <c r="M31" s="90"/>
      <c r="N31" s="175"/>
      <c r="O31" s="176"/>
      <c r="P31" s="176"/>
      <c r="Q31" s="176"/>
      <c r="R31" s="176"/>
      <c r="S31" s="177"/>
      <c r="T31" s="90"/>
      <c r="U31" s="90"/>
      <c r="V31" s="191"/>
      <c r="W31" s="192"/>
      <c r="X31" s="193"/>
      <c r="Y31" s="90"/>
      <c r="Z31" s="90"/>
    </row>
    <row r="32" spans="1:26" ht="18" customHeight="1" x14ac:dyDescent="0.15">
      <c r="A32" s="14"/>
      <c r="B32" s="199"/>
      <c r="C32" s="155"/>
      <c r="D32" s="155"/>
      <c r="E32" s="155"/>
      <c r="F32" s="156"/>
      <c r="G32" s="90"/>
      <c r="H32" s="90"/>
      <c r="I32" s="191"/>
      <c r="J32" s="192"/>
      <c r="K32" s="193"/>
      <c r="L32" s="90"/>
      <c r="M32" s="90"/>
      <c r="N32" s="175"/>
      <c r="O32" s="176"/>
      <c r="P32" s="176"/>
      <c r="Q32" s="176"/>
      <c r="R32" s="176"/>
      <c r="S32" s="177"/>
      <c r="T32" s="90"/>
      <c r="U32" s="90"/>
      <c r="V32" s="191"/>
      <c r="W32" s="192"/>
      <c r="X32" s="193"/>
      <c r="Y32" s="90"/>
      <c r="Z32" s="90"/>
    </row>
    <row r="33" spans="1:26" ht="18" customHeight="1" x14ac:dyDescent="0.15">
      <c r="A33" s="14"/>
      <c r="B33" s="197"/>
      <c r="C33" s="163"/>
      <c r="D33" s="163"/>
      <c r="E33" s="163"/>
      <c r="F33" s="164"/>
      <c r="G33" s="91"/>
      <c r="H33" s="91"/>
      <c r="I33" s="185"/>
      <c r="J33" s="186"/>
      <c r="K33" s="187"/>
      <c r="L33" s="93"/>
      <c r="M33" s="93"/>
      <c r="N33" s="167"/>
      <c r="O33" s="168"/>
      <c r="P33" s="168"/>
      <c r="Q33" s="168"/>
      <c r="R33" s="168"/>
      <c r="S33" s="169"/>
      <c r="T33" s="91"/>
      <c r="U33" s="91"/>
      <c r="V33" s="185"/>
      <c r="W33" s="186"/>
      <c r="X33" s="187"/>
      <c r="Y33" s="93"/>
      <c r="Z33" s="93"/>
    </row>
    <row r="34" spans="1:26" ht="7.5" customHeight="1" x14ac:dyDescent="0.15">
      <c r="A34" s="97"/>
      <c r="B34" s="98"/>
      <c r="C34" s="98"/>
      <c r="D34" s="97"/>
      <c r="E34" s="97"/>
      <c r="F34" s="97"/>
      <c r="G34" s="97"/>
      <c r="H34" s="97"/>
      <c r="I34" s="97"/>
      <c r="J34" s="97"/>
      <c r="K34" s="97"/>
      <c r="L34" s="98"/>
      <c r="M34" s="98"/>
      <c r="N34" s="98"/>
      <c r="O34" s="98"/>
      <c r="P34" s="98"/>
      <c r="Q34" s="98"/>
      <c r="R34" s="98"/>
      <c r="S34" s="98"/>
      <c r="T34" s="98"/>
      <c r="U34" s="98"/>
      <c r="V34" s="98"/>
      <c r="W34" s="98"/>
      <c r="X34" s="98"/>
      <c r="Y34" s="98"/>
      <c r="Z34" s="97"/>
    </row>
    <row r="35" spans="1:26" ht="18" customHeight="1" x14ac:dyDescent="0.15">
      <c r="A35" s="198" t="s">
        <v>87</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33" t="s">
        <v>73</v>
      </c>
      <c r="C37" s="135"/>
      <c r="D37" s="135"/>
      <c r="E37" s="135"/>
      <c r="F37" s="134"/>
      <c r="G37" s="26" t="s">
        <v>74</v>
      </c>
      <c r="H37" s="88" t="s">
        <v>75</v>
      </c>
      <c r="I37" s="133" t="s">
        <v>76</v>
      </c>
      <c r="J37" s="135"/>
      <c r="K37" s="134"/>
      <c r="L37" s="65" t="s">
        <v>88</v>
      </c>
      <c r="M37" s="65" t="s">
        <v>89</v>
      </c>
      <c r="N37" s="133" t="s">
        <v>73</v>
      </c>
      <c r="O37" s="135"/>
      <c r="P37" s="135"/>
      <c r="Q37" s="135"/>
      <c r="R37" s="135"/>
      <c r="S37" s="134"/>
      <c r="T37" s="26" t="s">
        <v>74</v>
      </c>
      <c r="U37" s="88" t="s">
        <v>75</v>
      </c>
      <c r="V37" s="133" t="s">
        <v>76</v>
      </c>
      <c r="W37" s="135"/>
      <c r="X37" s="134"/>
      <c r="Y37" s="65" t="s">
        <v>88</v>
      </c>
      <c r="Z37" s="65" t="s">
        <v>89</v>
      </c>
    </row>
    <row r="38" spans="1:26" ht="18" customHeight="1" x14ac:dyDescent="0.15">
      <c r="A38" s="97"/>
      <c r="B38" s="200" t="s">
        <v>79</v>
      </c>
      <c r="C38" s="161"/>
      <c r="D38" s="161"/>
      <c r="E38" s="161"/>
      <c r="F38" s="162"/>
      <c r="G38" s="89">
        <v>1</v>
      </c>
      <c r="H38" s="89" t="s">
        <v>80</v>
      </c>
      <c r="I38" s="194" t="s">
        <v>81</v>
      </c>
      <c r="J38" s="195"/>
      <c r="K38" s="196"/>
      <c r="L38" s="89" t="s">
        <v>80</v>
      </c>
      <c r="M38" s="89"/>
      <c r="N38" s="181"/>
      <c r="O38" s="158"/>
      <c r="P38" s="158"/>
      <c r="Q38" s="158"/>
      <c r="R38" s="158"/>
      <c r="S38" s="159"/>
      <c r="T38" s="89"/>
      <c r="U38" s="89"/>
      <c r="V38" s="194"/>
      <c r="W38" s="195"/>
      <c r="X38" s="196"/>
      <c r="Y38" s="89"/>
      <c r="Z38" s="89"/>
    </row>
    <row r="39" spans="1:26" ht="18" customHeight="1" x14ac:dyDescent="0.15">
      <c r="A39" s="97"/>
      <c r="B39" s="199" t="s">
        <v>82</v>
      </c>
      <c r="C39" s="155"/>
      <c r="D39" s="155"/>
      <c r="E39" s="155"/>
      <c r="F39" s="156"/>
      <c r="G39" s="90">
        <v>1</v>
      </c>
      <c r="H39" s="90" t="s">
        <v>80</v>
      </c>
      <c r="I39" s="191" t="s">
        <v>83</v>
      </c>
      <c r="J39" s="192"/>
      <c r="K39" s="193"/>
      <c r="L39" s="90"/>
      <c r="M39" s="90" t="s">
        <v>80</v>
      </c>
      <c r="N39" s="175"/>
      <c r="O39" s="176"/>
      <c r="P39" s="176"/>
      <c r="Q39" s="176"/>
      <c r="R39" s="176"/>
      <c r="S39" s="177"/>
      <c r="T39" s="90"/>
      <c r="U39" s="90"/>
      <c r="V39" s="191"/>
      <c r="W39" s="192"/>
      <c r="X39" s="193"/>
      <c r="Y39" s="90"/>
      <c r="Z39" s="90"/>
    </row>
    <row r="40" spans="1:26" ht="18" customHeight="1" x14ac:dyDescent="0.15">
      <c r="A40" s="97"/>
      <c r="B40" s="199"/>
      <c r="C40" s="155"/>
      <c r="D40" s="155"/>
      <c r="E40" s="155"/>
      <c r="F40" s="156"/>
      <c r="G40" s="90"/>
      <c r="H40" s="90"/>
      <c r="I40" s="191"/>
      <c r="J40" s="192"/>
      <c r="K40" s="193"/>
      <c r="L40" s="90"/>
      <c r="M40" s="90"/>
      <c r="N40" s="175"/>
      <c r="O40" s="176"/>
      <c r="P40" s="176"/>
      <c r="Q40" s="176"/>
      <c r="R40" s="176"/>
      <c r="S40" s="177"/>
      <c r="T40" s="90"/>
      <c r="U40" s="90"/>
      <c r="V40" s="191"/>
      <c r="W40" s="192"/>
      <c r="X40" s="193"/>
      <c r="Y40" s="90"/>
      <c r="Z40" s="90"/>
    </row>
    <row r="41" spans="1:26" ht="18" customHeight="1" x14ac:dyDescent="0.15">
      <c r="A41" s="97"/>
      <c r="B41" s="199"/>
      <c r="C41" s="155"/>
      <c r="D41" s="155"/>
      <c r="E41" s="155"/>
      <c r="F41" s="156"/>
      <c r="G41" s="90"/>
      <c r="H41" s="90"/>
      <c r="I41" s="191"/>
      <c r="J41" s="192"/>
      <c r="K41" s="193"/>
      <c r="L41" s="90"/>
      <c r="M41" s="90"/>
      <c r="N41" s="175"/>
      <c r="O41" s="176"/>
      <c r="P41" s="176"/>
      <c r="Q41" s="176"/>
      <c r="R41" s="176"/>
      <c r="S41" s="177"/>
      <c r="T41" s="90"/>
      <c r="U41" s="90"/>
      <c r="V41" s="191"/>
      <c r="W41" s="192"/>
      <c r="X41" s="193"/>
      <c r="Y41" s="90"/>
      <c r="Z41" s="90"/>
    </row>
    <row r="42" spans="1:26" ht="18" customHeight="1" x14ac:dyDescent="0.15">
      <c r="A42" s="97"/>
      <c r="B42" s="199"/>
      <c r="C42" s="155"/>
      <c r="D42" s="155"/>
      <c r="E42" s="155"/>
      <c r="F42" s="156"/>
      <c r="G42" s="90"/>
      <c r="H42" s="90"/>
      <c r="I42" s="191"/>
      <c r="J42" s="192"/>
      <c r="K42" s="193"/>
      <c r="L42" s="90"/>
      <c r="M42" s="90"/>
      <c r="N42" s="175"/>
      <c r="O42" s="176"/>
      <c r="P42" s="176"/>
      <c r="Q42" s="176"/>
      <c r="R42" s="176"/>
      <c r="S42" s="177"/>
      <c r="T42" s="90"/>
      <c r="U42" s="90"/>
      <c r="V42" s="191"/>
      <c r="W42" s="192"/>
      <c r="X42" s="193"/>
      <c r="Y42" s="90"/>
      <c r="Z42" s="90"/>
    </row>
    <row r="43" spans="1:26" ht="18" customHeight="1" x14ac:dyDescent="0.15">
      <c r="A43" s="97"/>
      <c r="B43" s="199"/>
      <c r="C43" s="155"/>
      <c r="D43" s="155"/>
      <c r="E43" s="155"/>
      <c r="F43" s="156"/>
      <c r="G43" s="90"/>
      <c r="H43" s="90"/>
      <c r="I43" s="191"/>
      <c r="J43" s="192"/>
      <c r="K43" s="193"/>
      <c r="L43" s="90"/>
      <c r="M43" s="90"/>
      <c r="N43" s="175"/>
      <c r="O43" s="176"/>
      <c r="P43" s="176"/>
      <c r="Q43" s="176"/>
      <c r="R43" s="176"/>
      <c r="S43" s="177"/>
      <c r="T43" s="90"/>
      <c r="U43" s="90"/>
      <c r="V43" s="191"/>
      <c r="W43" s="192"/>
      <c r="X43" s="193"/>
      <c r="Y43" s="90"/>
      <c r="Z43" s="90"/>
    </row>
    <row r="44" spans="1:26" ht="18" customHeight="1" x14ac:dyDescent="0.15">
      <c r="A44" s="97"/>
      <c r="B44" s="197"/>
      <c r="C44" s="163"/>
      <c r="D44" s="163"/>
      <c r="E44" s="163"/>
      <c r="F44" s="164"/>
      <c r="G44" s="91"/>
      <c r="H44" s="91"/>
      <c r="I44" s="185"/>
      <c r="J44" s="186"/>
      <c r="K44" s="187"/>
      <c r="L44" s="93"/>
      <c r="M44" s="93"/>
      <c r="N44" s="167"/>
      <c r="O44" s="168"/>
      <c r="P44" s="168"/>
      <c r="Q44" s="168"/>
      <c r="R44" s="168"/>
      <c r="S44" s="169"/>
      <c r="T44" s="91"/>
      <c r="U44" s="91"/>
      <c r="V44" s="185"/>
      <c r="W44" s="186"/>
      <c r="X44" s="187"/>
      <c r="Y44" s="93"/>
      <c r="Z44" s="93"/>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90</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33" t="s">
        <v>73</v>
      </c>
      <c r="C48" s="135"/>
      <c r="D48" s="135"/>
      <c r="E48" s="135"/>
      <c r="F48" s="134"/>
      <c r="G48" s="26" t="s">
        <v>74</v>
      </c>
      <c r="H48" s="88" t="s">
        <v>75</v>
      </c>
      <c r="I48" s="133" t="s">
        <v>76</v>
      </c>
      <c r="J48" s="135"/>
      <c r="K48" s="134"/>
      <c r="L48" s="65" t="s">
        <v>91</v>
      </c>
      <c r="M48" s="65" t="s">
        <v>92</v>
      </c>
      <c r="N48" s="133" t="s">
        <v>73</v>
      </c>
      <c r="O48" s="135"/>
      <c r="P48" s="135"/>
      <c r="Q48" s="135"/>
      <c r="R48" s="135"/>
      <c r="S48" s="134"/>
      <c r="T48" s="26" t="s">
        <v>74</v>
      </c>
      <c r="U48" s="88" t="s">
        <v>75</v>
      </c>
      <c r="V48" s="133" t="s">
        <v>76</v>
      </c>
      <c r="W48" s="135"/>
      <c r="X48" s="134"/>
      <c r="Y48" s="65" t="s">
        <v>91</v>
      </c>
      <c r="Z48" s="65" t="s">
        <v>92</v>
      </c>
    </row>
    <row r="49" spans="1:26" ht="18" customHeight="1" x14ac:dyDescent="0.15">
      <c r="A49" s="97"/>
      <c r="B49" s="200" t="s">
        <v>79</v>
      </c>
      <c r="C49" s="161"/>
      <c r="D49" s="161"/>
      <c r="E49" s="161"/>
      <c r="F49" s="162"/>
      <c r="G49" s="89">
        <v>1</v>
      </c>
      <c r="H49" s="89" t="s">
        <v>80</v>
      </c>
      <c r="I49" s="194" t="s">
        <v>81</v>
      </c>
      <c r="J49" s="195"/>
      <c r="K49" s="196"/>
      <c r="L49" s="89"/>
      <c r="M49" s="89" t="s">
        <v>80</v>
      </c>
      <c r="N49" s="181"/>
      <c r="O49" s="158"/>
      <c r="P49" s="158"/>
      <c r="Q49" s="158"/>
      <c r="R49" s="158"/>
      <c r="S49" s="159"/>
      <c r="T49" s="89"/>
      <c r="U49" s="89"/>
      <c r="V49" s="194"/>
      <c r="W49" s="195"/>
      <c r="X49" s="196"/>
      <c r="Y49" s="89"/>
      <c r="Z49" s="89"/>
    </row>
    <row r="50" spans="1:26" ht="18" customHeight="1" x14ac:dyDescent="0.15">
      <c r="A50" s="97"/>
      <c r="B50" s="199" t="s">
        <v>82</v>
      </c>
      <c r="C50" s="155"/>
      <c r="D50" s="155"/>
      <c r="E50" s="155"/>
      <c r="F50" s="156"/>
      <c r="G50" s="90">
        <v>1</v>
      </c>
      <c r="H50" s="90" t="s">
        <v>80</v>
      </c>
      <c r="I50" s="191" t="s">
        <v>83</v>
      </c>
      <c r="J50" s="192"/>
      <c r="K50" s="193"/>
      <c r="L50" s="90" t="s">
        <v>80</v>
      </c>
      <c r="M50" s="90"/>
      <c r="N50" s="175"/>
      <c r="O50" s="176"/>
      <c r="P50" s="176"/>
      <c r="Q50" s="176"/>
      <c r="R50" s="176"/>
      <c r="S50" s="177"/>
      <c r="T50" s="90"/>
      <c r="U50" s="90"/>
      <c r="V50" s="191"/>
      <c r="W50" s="192"/>
      <c r="X50" s="193"/>
      <c r="Y50" s="90"/>
      <c r="Z50" s="90"/>
    </row>
    <row r="51" spans="1:26" ht="18" customHeight="1" x14ac:dyDescent="0.15">
      <c r="A51" s="97"/>
      <c r="B51" s="199"/>
      <c r="C51" s="155"/>
      <c r="D51" s="155"/>
      <c r="E51" s="155"/>
      <c r="F51" s="156"/>
      <c r="G51" s="90"/>
      <c r="H51" s="90"/>
      <c r="I51" s="191"/>
      <c r="J51" s="192"/>
      <c r="K51" s="193"/>
      <c r="L51" s="90"/>
      <c r="M51" s="90"/>
      <c r="N51" s="175"/>
      <c r="O51" s="176"/>
      <c r="P51" s="176"/>
      <c r="Q51" s="176"/>
      <c r="R51" s="176"/>
      <c r="S51" s="177"/>
      <c r="T51" s="90"/>
      <c r="U51" s="90"/>
      <c r="V51" s="191"/>
      <c r="W51" s="192"/>
      <c r="X51" s="193"/>
      <c r="Y51" s="90"/>
      <c r="Z51" s="90"/>
    </row>
    <row r="52" spans="1:26" ht="18" customHeight="1" x14ac:dyDescent="0.15">
      <c r="A52" s="97"/>
      <c r="B52" s="199"/>
      <c r="C52" s="155"/>
      <c r="D52" s="155"/>
      <c r="E52" s="155"/>
      <c r="F52" s="156"/>
      <c r="G52" s="90"/>
      <c r="H52" s="90"/>
      <c r="I52" s="191"/>
      <c r="J52" s="192"/>
      <c r="K52" s="193"/>
      <c r="L52" s="90"/>
      <c r="M52" s="90"/>
      <c r="N52" s="175"/>
      <c r="O52" s="176"/>
      <c r="P52" s="176"/>
      <c r="Q52" s="176"/>
      <c r="R52" s="176"/>
      <c r="S52" s="177"/>
      <c r="T52" s="90"/>
      <c r="U52" s="90"/>
      <c r="V52" s="191"/>
      <c r="W52" s="192"/>
      <c r="X52" s="193"/>
      <c r="Y52" s="90"/>
      <c r="Z52" s="90"/>
    </row>
    <row r="53" spans="1:26" ht="18" customHeight="1" x14ac:dyDescent="0.15">
      <c r="A53" s="97"/>
      <c r="B53" s="199"/>
      <c r="C53" s="155"/>
      <c r="D53" s="155"/>
      <c r="E53" s="155"/>
      <c r="F53" s="156"/>
      <c r="G53" s="90"/>
      <c r="H53" s="90"/>
      <c r="I53" s="191"/>
      <c r="J53" s="192"/>
      <c r="K53" s="193"/>
      <c r="L53" s="90"/>
      <c r="M53" s="90"/>
      <c r="N53" s="175"/>
      <c r="O53" s="176"/>
      <c r="P53" s="176"/>
      <c r="Q53" s="176"/>
      <c r="R53" s="176"/>
      <c r="S53" s="177"/>
      <c r="T53" s="90"/>
      <c r="U53" s="90"/>
      <c r="V53" s="191"/>
      <c r="W53" s="192"/>
      <c r="X53" s="193"/>
      <c r="Y53" s="90"/>
      <c r="Z53" s="90"/>
    </row>
    <row r="54" spans="1:26" ht="18" customHeight="1" x14ac:dyDescent="0.15">
      <c r="A54" s="97"/>
      <c r="B54" s="199"/>
      <c r="C54" s="155"/>
      <c r="D54" s="155"/>
      <c r="E54" s="155"/>
      <c r="F54" s="156"/>
      <c r="G54" s="90"/>
      <c r="H54" s="90"/>
      <c r="I54" s="191"/>
      <c r="J54" s="192"/>
      <c r="K54" s="193"/>
      <c r="L54" s="90"/>
      <c r="M54" s="90"/>
      <c r="N54" s="175"/>
      <c r="O54" s="176"/>
      <c r="P54" s="176"/>
      <c r="Q54" s="176"/>
      <c r="R54" s="176"/>
      <c r="S54" s="177"/>
      <c r="T54" s="90"/>
      <c r="U54" s="90"/>
      <c r="V54" s="191"/>
      <c r="W54" s="192"/>
      <c r="X54" s="193"/>
      <c r="Y54" s="90"/>
      <c r="Z54" s="90"/>
    </row>
    <row r="55" spans="1:26" ht="18" customHeight="1" x14ac:dyDescent="0.15">
      <c r="A55" s="97"/>
      <c r="B55" s="197"/>
      <c r="C55" s="163"/>
      <c r="D55" s="163"/>
      <c r="E55" s="163"/>
      <c r="F55" s="164"/>
      <c r="G55" s="91"/>
      <c r="H55" s="91"/>
      <c r="I55" s="185"/>
      <c r="J55" s="186"/>
      <c r="K55" s="187"/>
      <c r="L55" s="93"/>
      <c r="M55" s="93"/>
      <c r="N55" s="167"/>
      <c r="O55" s="168"/>
      <c r="P55" s="168"/>
      <c r="Q55" s="168"/>
      <c r="R55" s="168"/>
      <c r="S55" s="169"/>
      <c r="T55" s="91"/>
      <c r="U55" s="91"/>
      <c r="V55" s="185"/>
      <c r="W55" s="186"/>
      <c r="X55" s="187"/>
      <c r="Y55" s="93"/>
      <c r="Z55" s="93"/>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93</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33" t="s">
        <v>73</v>
      </c>
      <c r="C59" s="135"/>
      <c r="D59" s="135"/>
      <c r="E59" s="134"/>
      <c r="F59" s="26" t="s">
        <v>74</v>
      </c>
      <c r="G59" s="88" t="s">
        <v>75</v>
      </c>
      <c r="H59" s="22" t="s">
        <v>76</v>
      </c>
      <c r="I59" s="96"/>
      <c r="J59" s="23"/>
      <c r="K59" s="65" t="s">
        <v>94</v>
      </c>
      <c r="L59" s="65" t="s">
        <v>95</v>
      </c>
      <c r="M59" s="65" t="s">
        <v>96</v>
      </c>
      <c r="N59" s="133" t="s">
        <v>73</v>
      </c>
      <c r="O59" s="135"/>
      <c r="P59" s="135"/>
      <c r="Q59" s="135"/>
      <c r="R59" s="134"/>
      <c r="S59" s="26" t="s">
        <v>74</v>
      </c>
      <c r="T59" s="88" t="s">
        <v>75</v>
      </c>
      <c r="U59" s="22" t="s">
        <v>76</v>
      </c>
      <c r="V59" s="96"/>
      <c r="W59" s="23"/>
      <c r="X59" s="65" t="s">
        <v>94</v>
      </c>
      <c r="Y59" s="65" t="s">
        <v>95</v>
      </c>
      <c r="Z59" s="65" t="s">
        <v>96</v>
      </c>
    </row>
    <row r="60" spans="1:26" ht="18" customHeight="1" x14ac:dyDescent="0.15">
      <c r="A60" s="97"/>
      <c r="B60" s="181" t="s">
        <v>79</v>
      </c>
      <c r="C60" s="158"/>
      <c r="D60" s="158"/>
      <c r="E60" s="159"/>
      <c r="F60" s="89">
        <v>1</v>
      </c>
      <c r="G60" s="89" t="s">
        <v>80</v>
      </c>
      <c r="H60" s="194" t="s">
        <v>81</v>
      </c>
      <c r="I60" s="195"/>
      <c r="J60" s="196"/>
      <c r="K60" s="89"/>
      <c r="L60" s="89"/>
      <c r="M60" s="89" t="s">
        <v>80</v>
      </c>
      <c r="N60" s="181"/>
      <c r="O60" s="158"/>
      <c r="P60" s="158"/>
      <c r="Q60" s="158"/>
      <c r="R60" s="159"/>
      <c r="S60" s="89"/>
      <c r="T60" s="89"/>
      <c r="U60" s="194"/>
      <c r="V60" s="195"/>
      <c r="W60" s="196"/>
      <c r="X60" s="99"/>
      <c r="Y60" s="89"/>
      <c r="Z60" s="89"/>
    </row>
    <row r="61" spans="1:26" ht="18" customHeight="1" x14ac:dyDescent="0.15">
      <c r="A61" s="97"/>
      <c r="B61" s="175" t="s">
        <v>97</v>
      </c>
      <c r="C61" s="176"/>
      <c r="D61" s="176"/>
      <c r="E61" s="177"/>
      <c r="F61" s="90">
        <v>2</v>
      </c>
      <c r="G61" s="90" t="s">
        <v>80</v>
      </c>
      <c r="H61" s="191" t="s">
        <v>83</v>
      </c>
      <c r="I61" s="192"/>
      <c r="J61" s="193"/>
      <c r="K61" s="90" t="s">
        <v>80</v>
      </c>
      <c r="L61" s="90" t="s">
        <v>80</v>
      </c>
      <c r="M61" s="90" t="s">
        <v>80</v>
      </c>
      <c r="N61" s="175"/>
      <c r="O61" s="176"/>
      <c r="P61" s="176"/>
      <c r="Q61" s="176"/>
      <c r="R61" s="177"/>
      <c r="S61" s="90"/>
      <c r="T61" s="90"/>
      <c r="U61" s="191"/>
      <c r="V61" s="192"/>
      <c r="W61" s="193"/>
      <c r="X61" s="100"/>
      <c r="Y61" s="90"/>
      <c r="Z61" s="90"/>
    </row>
    <row r="62" spans="1:26" ht="18" customHeight="1" x14ac:dyDescent="0.15">
      <c r="A62" s="97"/>
      <c r="B62" s="175"/>
      <c r="C62" s="176"/>
      <c r="D62" s="176"/>
      <c r="E62" s="177"/>
      <c r="F62" s="90"/>
      <c r="G62" s="90"/>
      <c r="H62" s="191"/>
      <c r="I62" s="192"/>
      <c r="J62" s="193"/>
      <c r="K62" s="100"/>
      <c r="L62" s="90"/>
      <c r="M62" s="90"/>
      <c r="N62" s="175"/>
      <c r="O62" s="176"/>
      <c r="P62" s="176"/>
      <c r="Q62" s="176"/>
      <c r="R62" s="177"/>
      <c r="S62" s="90"/>
      <c r="T62" s="90"/>
      <c r="U62" s="191"/>
      <c r="V62" s="192"/>
      <c r="W62" s="193"/>
      <c r="X62" s="100"/>
      <c r="Y62" s="90"/>
      <c r="Z62" s="90"/>
    </row>
    <row r="63" spans="1:26" ht="18" customHeight="1" x14ac:dyDescent="0.15">
      <c r="A63" s="97"/>
      <c r="B63" s="175"/>
      <c r="C63" s="176"/>
      <c r="D63" s="176"/>
      <c r="E63" s="177"/>
      <c r="F63" s="90"/>
      <c r="G63" s="90"/>
      <c r="H63" s="191"/>
      <c r="I63" s="192"/>
      <c r="J63" s="193"/>
      <c r="K63" s="100"/>
      <c r="L63" s="90"/>
      <c r="M63" s="90"/>
      <c r="N63" s="175"/>
      <c r="O63" s="176"/>
      <c r="P63" s="176"/>
      <c r="Q63" s="176"/>
      <c r="R63" s="177"/>
      <c r="S63" s="90"/>
      <c r="T63" s="90"/>
      <c r="U63" s="191"/>
      <c r="V63" s="192"/>
      <c r="W63" s="193"/>
      <c r="X63" s="100"/>
      <c r="Y63" s="90"/>
      <c r="Z63" s="90"/>
    </row>
    <row r="64" spans="1:26" ht="18" customHeight="1" x14ac:dyDescent="0.15">
      <c r="A64" s="97"/>
      <c r="B64" s="175"/>
      <c r="C64" s="176"/>
      <c r="D64" s="176"/>
      <c r="E64" s="177"/>
      <c r="F64" s="90"/>
      <c r="G64" s="90"/>
      <c r="H64" s="191"/>
      <c r="I64" s="192"/>
      <c r="J64" s="193"/>
      <c r="K64" s="100"/>
      <c r="L64" s="90"/>
      <c r="M64" s="90"/>
      <c r="N64" s="175"/>
      <c r="O64" s="176"/>
      <c r="P64" s="176"/>
      <c r="Q64" s="176"/>
      <c r="R64" s="177"/>
      <c r="S64" s="90"/>
      <c r="T64" s="90"/>
      <c r="U64" s="191"/>
      <c r="V64" s="192"/>
      <c r="W64" s="193"/>
      <c r="X64" s="100"/>
      <c r="Y64" s="90"/>
      <c r="Z64" s="90"/>
    </row>
    <row r="65" spans="1:26" ht="18" customHeight="1" x14ac:dyDescent="0.15">
      <c r="A65" s="97"/>
      <c r="B65" s="175"/>
      <c r="C65" s="176"/>
      <c r="D65" s="176"/>
      <c r="E65" s="177"/>
      <c r="F65" s="90"/>
      <c r="G65" s="90"/>
      <c r="H65" s="191"/>
      <c r="I65" s="192"/>
      <c r="J65" s="193"/>
      <c r="K65" s="100"/>
      <c r="L65" s="90"/>
      <c r="M65" s="90"/>
      <c r="N65" s="175"/>
      <c r="O65" s="176"/>
      <c r="P65" s="176"/>
      <c r="Q65" s="176"/>
      <c r="R65" s="177"/>
      <c r="S65" s="90"/>
      <c r="T65" s="90"/>
      <c r="U65" s="191"/>
      <c r="V65" s="192"/>
      <c r="W65" s="193"/>
      <c r="X65" s="100"/>
      <c r="Y65" s="90"/>
      <c r="Z65" s="90"/>
    </row>
    <row r="66" spans="1:26" ht="18" customHeight="1" x14ac:dyDescent="0.15">
      <c r="A66" s="97"/>
      <c r="B66" s="167"/>
      <c r="C66" s="168"/>
      <c r="D66" s="168"/>
      <c r="E66" s="169"/>
      <c r="F66" s="91"/>
      <c r="G66" s="91"/>
      <c r="H66" s="185"/>
      <c r="I66" s="186"/>
      <c r="J66" s="187"/>
      <c r="K66" s="101"/>
      <c r="L66" s="93"/>
      <c r="M66" s="93"/>
      <c r="N66" s="167"/>
      <c r="O66" s="168"/>
      <c r="P66" s="168"/>
      <c r="Q66" s="168"/>
      <c r="R66" s="169"/>
      <c r="S66" s="91"/>
      <c r="T66" s="91"/>
      <c r="U66" s="185"/>
      <c r="V66" s="186"/>
      <c r="W66" s="187"/>
      <c r="X66" s="101"/>
      <c r="Y66" s="93"/>
      <c r="Z66" s="93"/>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98</v>
      </c>
      <c r="B68" s="14"/>
      <c r="C68" s="14"/>
      <c r="D68" s="14"/>
      <c r="E68" s="14"/>
      <c r="F68" s="14"/>
      <c r="G68" s="14"/>
      <c r="H68" s="14"/>
      <c r="I68" s="14"/>
      <c r="J68" s="14"/>
      <c r="K68" s="14"/>
      <c r="L68" s="97"/>
      <c r="M68" s="97"/>
      <c r="N68" s="97"/>
      <c r="O68" s="97"/>
      <c r="P68" s="97"/>
      <c r="Q68" s="97"/>
      <c r="R68" s="97"/>
      <c r="S68" s="97"/>
      <c r="T68" s="97"/>
      <c r="U68" s="97"/>
      <c r="V68" s="97"/>
      <c r="W68" s="97"/>
      <c r="X68" s="97"/>
      <c r="Y68" s="97"/>
      <c r="Z68" s="97"/>
    </row>
    <row r="69" spans="1:26" ht="18" customHeight="1" x14ac:dyDescent="0.15">
      <c r="A69" s="14"/>
      <c r="B69" s="133" t="s">
        <v>73</v>
      </c>
      <c r="C69" s="135"/>
      <c r="D69" s="135"/>
      <c r="E69" s="135"/>
      <c r="F69" s="134"/>
      <c r="G69" s="133" t="s">
        <v>99</v>
      </c>
      <c r="H69" s="135"/>
      <c r="I69" s="135"/>
      <c r="J69" s="135"/>
      <c r="K69" s="135"/>
      <c r="L69" s="135"/>
      <c r="M69" s="134"/>
      <c r="N69" s="188" t="s">
        <v>73</v>
      </c>
      <c r="O69" s="189"/>
      <c r="P69" s="189"/>
      <c r="Q69" s="189"/>
      <c r="R69" s="189"/>
      <c r="S69" s="190"/>
      <c r="T69" s="133" t="s">
        <v>99</v>
      </c>
      <c r="U69" s="135"/>
      <c r="V69" s="135"/>
      <c r="W69" s="135"/>
      <c r="X69" s="135"/>
      <c r="Y69" s="135"/>
      <c r="Z69" s="134"/>
    </row>
    <row r="70" spans="1:26" ht="18" customHeight="1" x14ac:dyDescent="0.15">
      <c r="A70" s="97"/>
      <c r="B70" s="181" t="s">
        <v>126</v>
      </c>
      <c r="C70" s="158"/>
      <c r="D70" s="158"/>
      <c r="E70" s="158"/>
      <c r="F70" s="159"/>
      <c r="G70" s="182" t="s">
        <v>101</v>
      </c>
      <c r="H70" s="183"/>
      <c r="I70" s="183"/>
      <c r="J70" s="183"/>
      <c r="K70" s="183"/>
      <c r="L70" s="183"/>
      <c r="M70" s="184"/>
      <c r="N70" s="181"/>
      <c r="O70" s="158"/>
      <c r="P70" s="158"/>
      <c r="Q70" s="158"/>
      <c r="R70" s="158"/>
      <c r="S70" s="159"/>
      <c r="T70" s="182"/>
      <c r="U70" s="183"/>
      <c r="V70" s="183"/>
      <c r="W70" s="183"/>
      <c r="X70" s="183"/>
      <c r="Y70" s="183"/>
      <c r="Z70" s="184"/>
    </row>
    <row r="71" spans="1:26" ht="18" customHeight="1" x14ac:dyDescent="0.15">
      <c r="A71" s="97"/>
      <c r="B71" s="175" t="s">
        <v>126</v>
      </c>
      <c r="C71" s="176"/>
      <c r="D71" s="176"/>
      <c r="E71" s="176"/>
      <c r="F71" s="177"/>
      <c r="G71" s="178" t="s">
        <v>102</v>
      </c>
      <c r="H71" s="179"/>
      <c r="I71" s="179"/>
      <c r="J71" s="179"/>
      <c r="K71" s="179"/>
      <c r="L71" s="179"/>
      <c r="M71" s="180"/>
      <c r="N71" s="175"/>
      <c r="O71" s="176"/>
      <c r="P71" s="176"/>
      <c r="Q71" s="176"/>
      <c r="R71" s="176"/>
      <c r="S71" s="177"/>
      <c r="T71" s="178"/>
      <c r="U71" s="179"/>
      <c r="V71" s="179"/>
      <c r="W71" s="179"/>
      <c r="X71" s="179"/>
      <c r="Y71" s="179"/>
      <c r="Z71" s="180"/>
    </row>
    <row r="72" spans="1:26" ht="18" customHeight="1" x14ac:dyDescent="0.15">
      <c r="A72" s="97"/>
      <c r="B72" s="175" t="s">
        <v>127</v>
      </c>
      <c r="C72" s="176"/>
      <c r="D72" s="176"/>
      <c r="E72" s="176"/>
      <c r="F72" s="177"/>
      <c r="G72" s="178" t="s">
        <v>101</v>
      </c>
      <c r="H72" s="179"/>
      <c r="I72" s="179"/>
      <c r="J72" s="179"/>
      <c r="K72" s="179"/>
      <c r="L72" s="179"/>
      <c r="M72" s="180"/>
      <c r="N72" s="175"/>
      <c r="O72" s="176"/>
      <c r="P72" s="176"/>
      <c r="Q72" s="176"/>
      <c r="R72" s="176"/>
      <c r="S72" s="177"/>
      <c r="T72" s="178"/>
      <c r="U72" s="179"/>
      <c r="V72" s="179"/>
      <c r="W72" s="179"/>
      <c r="X72" s="179"/>
      <c r="Y72" s="179"/>
      <c r="Z72" s="180"/>
    </row>
    <row r="73" spans="1:26" ht="18" customHeight="1" x14ac:dyDescent="0.15">
      <c r="A73" s="97"/>
      <c r="B73" s="175" t="s">
        <v>127</v>
      </c>
      <c r="C73" s="176"/>
      <c r="D73" s="176"/>
      <c r="E73" s="176"/>
      <c r="F73" s="177"/>
      <c r="G73" s="178" t="s">
        <v>102</v>
      </c>
      <c r="H73" s="179"/>
      <c r="I73" s="179"/>
      <c r="J73" s="179"/>
      <c r="K73" s="179"/>
      <c r="L73" s="179"/>
      <c r="M73" s="180"/>
      <c r="N73" s="175"/>
      <c r="O73" s="176"/>
      <c r="P73" s="176"/>
      <c r="Q73" s="176"/>
      <c r="R73" s="176"/>
      <c r="S73" s="177"/>
      <c r="T73" s="178"/>
      <c r="U73" s="179"/>
      <c r="V73" s="179"/>
      <c r="W73" s="179"/>
      <c r="X73" s="179"/>
      <c r="Y73" s="179"/>
      <c r="Z73" s="180"/>
    </row>
    <row r="74" spans="1:26" ht="18" customHeight="1" x14ac:dyDescent="0.15">
      <c r="A74" s="97"/>
      <c r="B74" s="175"/>
      <c r="C74" s="176"/>
      <c r="D74" s="176"/>
      <c r="E74" s="176"/>
      <c r="F74" s="177"/>
      <c r="G74" s="178"/>
      <c r="H74" s="179"/>
      <c r="I74" s="179"/>
      <c r="J74" s="179"/>
      <c r="K74" s="179"/>
      <c r="L74" s="179"/>
      <c r="M74" s="180"/>
      <c r="N74" s="175"/>
      <c r="O74" s="176"/>
      <c r="P74" s="176"/>
      <c r="Q74" s="176"/>
      <c r="R74" s="176"/>
      <c r="S74" s="177"/>
      <c r="T74" s="178"/>
      <c r="U74" s="179"/>
      <c r="V74" s="179"/>
      <c r="W74" s="179"/>
      <c r="X74" s="179"/>
      <c r="Y74" s="179"/>
      <c r="Z74" s="180"/>
    </row>
    <row r="75" spans="1:26" ht="18" customHeight="1" x14ac:dyDescent="0.15">
      <c r="A75" s="97"/>
      <c r="B75" s="175"/>
      <c r="C75" s="176"/>
      <c r="D75" s="176"/>
      <c r="E75" s="176"/>
      <c r="F75" s="177"/>
      <c r="G75" s="178"/>
      <c r="H75" s="179"/>
      <c r="I75" s="179"/>
      <c r="J75" s="179"/>
      <c r="K75" s="179"/>
      <c r="L75" s="179"/>
      <c r="M75" s="180"/>
      <c r="N75" s="175"/>
      <c r="O75" s="176"/>
      <c r="P75" s="176"/>
      <c r="Q75" s="176"/>
      <c r="R75" s="176"/>
      <c r="S75" s="177"/>
      <c r="T75" s="178"/>
      <c r="U75" s="179"/>
      <c r="V75" s="179"/>
      <c r="W75" s="179"/>
      <c r="X75" s="179"/>
      <c r="Y75" s="179"/>
      <c r="Z75" s="180"/>
    </row>
    <row r="76" spans="1:26" ht="18" customHeight="1" x14ac:dyDescent="0.15">
      <c r="A76" s="97"/>
      <c r="B76" s="167"/>
      <c r="C76" s="168"/>
      <c r="D76" s="168"/>
      <c r="E76" s="168"/>
      <c r="F76" s="169"/>
      <c r="G76" s="170"/>
      <c r="H76" s="171"/>
      <c r="I76" s="171"/>
      <c r="J76" s="171"/>
      <c r="K76" s="171"/>
      <c r="L76" s="171"/>
      <c r="M76" s="172"/>
      <c r="N76" s="167"/>
      <c r="O76" s="168"/>
      <c r="P76" s="168"/>
      <c r="Q76" s="168"/>
      <c r="R76" s="168"/>
      <c r="S76" s="169"/>
      <c r="T76" s="170"/>
      <c r="U76" s="171"/>
      <c r="V76" s="171"/>
      <c r="W76" s="171"/>
      <c r="X76" s="171"/>
      <c r="Y76" s="171"/>
      <c r="Z76" s="172"/>
    </row>
    <row r="77" spans="1:26" ht="18" customHeight="1" x14ac:dyDescent="0.15">
      <c r="A77" s="97"/>
      <c r="B77" s="98"/>
      <c r="C77" s="98"/>
      <c r="D77" s="98"/>
      <c r="E77" s="98"/>
      <c r="F77" s="98"/>
      <c r="G77" s="12"/>
      <c r="H77" s="12"/>
      <c r="I77" s="12"/>
      <c r="J77" s="12"/>
      <c r="K77" s="12"/>
      <c r="L77" s="12"/>
      <c r="M77" s="12"/>
      <c r="N77" s="98"/>
      <c r="O77" s="98"/>
      <c r="P77" s="98"/>
      <c r="Q77" s="98"/>
      <c r="R77" s="98"/>
      <c r="S77" s="98"/>
      <c r="T77" s="12"/>
      <c r="U77" s="12"/>
      <c r="V77" s="12"/>
      <c r="W77" s="12"/>
      <c r="X77" s="12"/>
      <c r="Y77" s="12"/>
      <c r="Z77" s="12"/>
    </row>
    <row r="78" spans="1:26" ht="18.75" customHeight="1" x14ac:dyDescent="0.15">
      <c r="A78" s="13" t="s">
        <v>103</v>
      </c>
    </row>
    <row r="79" spans="1:26" ht="18.75" customHeight="1" x14ac:dyDescent="0.15">
      <c r="B79" s="22" t="s">
        <v>104</v>
      </c>
      <c r="C79" s="23"/>
      <c r="D79" s="135" t="s">
        <v>105</v>
      </c>
      <c r="E79" s="135"/>
      <c r="F79" s="135"/>
      <c r="G79" s="135"/>
      <c r="H79" s="135"/>
      <c r="I79" s="135"/>
      <c r="J79" s="135"/>
      <c r="K79" s="135"/>
      <c r="L79" s="135"/>
      <c r="M79" s="135"/>
      <c r="N79" s="135"/>
      <c r="O79" s="135"/>
      <c r="P79" s="135"/>
      <c r="Q79" s="135"/>
      <c r="R79" s="135"/>
      <c r="S79" s="135"/>
      <c r="T79" s="135"/>
      <c r="U79" s="135"/>
      <c r="V79" s="135"/>
      <c r="W79" s="135"/>
      <c r="X79" s="135"/>
      <c r="Y79" s="135"/>
      <c r="Z79" s="134"/>
    </row>
    <row r="80" spans="1:26" ht="78" customHeight="1" x14ac:dyDescent="0.15">
      <c r="B80" s="150" t="s">
        <v>106</v>
      </c>
      <c r="C80" s="70" t="s">
        <v>77</v>
      </c>
      <c r="D80" s="152" t="s">
        <v>107</v>
      </c>
      <c r="E80" s="152"/>
      <c r="F80" s="152"/>
      <c r="G80" s="152"/>
      <c r="H80" s="152"/>
      <c r="I80" s="152"/>
      <c r="J80" s="152"/>
      <c r="K80" s="152"/>
      <c r="L80" s="152"/>
      <c r="M80" s="152"/>
      <c r="N80" s="152"/>
      <c r="O80" s="152"/>
      <c r="P80" s="152"/>
      <c r="Q80" s="152"/>
      <c r="R80" s="152"/>
      <c r="S80" s="152"/>
      <c r="T80" s="152"/>
      <c r="U80" s="152"/>
      <c r="V80" s="152"/>
      <c r="W80" s="152"/>
      <c r="X80" s="152"/>
      <c r="Y80" s="152"/>
      <c r="Z80" s="153"/>
    </row>
    <row r="81" spans="1:26" ht="78" customHeight="1" x14ac:dyDescent="0.15">
      <c r="B81" s="151"/>
      <c r="C81" s="86" t="s">
        <v>108</v>
      </c>
      <c r="D81" s="173" t="s">
        <v>128</v>
      </c>
      <c r="E81" s="173"/>
      <c r="F81" s="173"/>
      <c r="G81" s="173"/>
      <c r="H81" s="173"/>
      <c r="I81" s="173"/>
      <c r="J81" s="173"/>
      <c r="K81" s="173"/>
      <c r="L81" s="173"/>
      <c r="M81" s="173"/>
      <c r="N81" s="173"/>
      <c r="O81" s="173"/>
      <c r="P81" s="173"/>
      <c r="Q81" s="173"/>
      <c r="R81" s="173"/>
      <c r="S81" s="173"/>
      <c r="T81" s="173"/>
      <c r="U81" s="173"/>
      <c r="V81" s="173"/>
      <c r="W81" s="173"/>
      <c r="X81" s="173"/>
      <c r="Y81" s="173"/>
      <c r="Z81" s="174"/>
    </row>
    <row r="82" spans="1:26" ht="78" customHeight="1" x14ac:dyDescent="0.15">
      <c r="B82" s="150" t="s">
        <v>110</v>
      </c>
      <c r="C82" s="67" t="s">
        <v>85</v>
      </c>
      <c r="D82" s="161" t="s">
        <v>111</v>
      </c>
      <c r="E82" s="161"/>
      <c r="F82" s="161"/>
      <c r="G82" s="161"/>
      <c r="H82" s="161"/>
      <c r="I82" s="161"/>
      <c r="J82" s="161"/>
      <c r="K82" s="161"/>
      <c r="L82" s="161"/>
      <c r="M82" s="161"/>
      <c r="N82" s="161"/>
      <c r="O82" s="161"/>
      <c r="P82" s="161"/>
      <c r="Q82" s="161"/>
      <c r="R82" s="161"/>
      <c r="S82" s="161"/>
      <c r="T82" s="161"/>
      <c r="U82" s="161"/>
      <c r="V82" s="161"/>
      <c r="W82" s="161"/>
      <c r="X82" s="161"/>
      <c r="Y82" s="161"/>
      <c r="Z82" s="162"/>
    </row>
    <row r="83" spans="1:26" ht="78" customHeight="1" x14ac:dyDescent="0.15">
      <c r="B83" s="157"/>
      <c r="C83" s="87" t="s">
        <v>86</v>
      </c>
      <c r="D83" s="163" t="s">
        <v>129</v>
      </c>
      <c r="E83" s="163"/>
      <c r="F83" s="163"/>
      <c r="G83" s="163"/>
      <c r="H83" s="163"/>
      <c r="I83" s="163"/>
      <c r="J83" s="163"/>
      <c r="K83" s="163"/>
      <c r="L83" s="163"/>
      <c r="M83" s="163"/>
      <c r="N83" s="163"/>
      <c r="O83" s="163"/>
      <c r="P83" s="163"/>
      <c r="Q83" s="163"/>
      <c r="R83" s="163"/>
      <c r="S83" s="163"/>
      <c r="T83" s="163"/>
      <c r="U83" s="163"/>
      <c r="V83" s="163"/>
      <c r="W83" s="163"/>
      <c r="X83" s="163"/>
      <c r="Y83" s="163"/>
      <c r="Z83" s="164"/>
    </row>
    <row r="84" spans="1:26" ht="66" customHeight="1" x14ac:dyDescent="0.15">
      <c r="B84" s="150" t="s">
        <v>113</v>
      </c>
      <c r="C84" s="67" t="s">
        <v>88</v>
      </c>
      <c r="D84" s="161" t="s">
        <v>130</v>
      </c>
      <c r="E84" s="161"/>
      <c r="F84" s="161"/>
      <c r="G84" s="161"/>
      <c r="H84" s="161"/>
      <c r="I84" s="161"/>
      <c r="J84" s="161"/>
      <c r="K84" s="161"/>
      <c r="L84" s="161"/>
      <c r="M84" s="161"/>
      <c r="N84" s="161"/>
      <c r="O84" s="161"/>
      <c r="P84" s="161"/>
      <c r="Q84" s="161"/>
      <c r="R84" s="161"/>
      <c r="S84" s="161"/>
      <c r="T84" s="161"/>
      <c r="U84" s="161"/>
      <c r="V84" s="161"/>
      <c r="W84" s="161"/>
      <c r="X84" s="161"/>
      <c r="Y84" s="161"/>
      <c r="Z84" s="162"/>
    </row>
    <row r="85" spans="1:26" ht="66" customHeight="1" x14ac:dyDescent="0.15">
      <c r="B85" s="157"/>
      <c r="C85" s="69" t="s">
        <v>89</v>
      </c>
      <c r="D85" s="165" t="s">
        <v>115</v>
      </c>
      <c r="E85" s="165"/>
      <c r="F85" s="165"/>
      <c r="G85" s="165"/>
      <c r="H85" s="165"/>
      <c r="I85" s="165"/>
      <c r="J85" s="165"/>
      <c r="K85" s="165"/>
      <c r="L85" s="165"/>
      <c r="M85" s="165"/>
      <c r="N85" s="165"/>
      <c r="O85" s="165"/>
      <c r="P85" s="165"/>
      <c r="Q85" s="165"/>
      <c r="R85" s="165"/>
      <c r="S85" s="165"/>
      <c r="T85" s="165"/>
      <c r="U85" s="165"/>
      <c r="V85" s="165"/>
      <c r="W85" s="165"/>
      <c r="X85" s="165"/>
      <c r="Y85" s="165"/>
      <c r="Z85" s="166"/>
    </row>
    <row r="86" spans="1:26" ht="66" customHeight="1" x14ac:dyDescent="0.15">
      <c r="B86" s="150" t="s">
        <v>116</v>
      </c>
      <c r="C86" s="70" t="s">
        <v>91</v>
      </c>
      <c r="D86" s="152" t="s">
        <v>117</v>
      </c>
      <c r="E86" s="152"/>
      <c r="F86" s="152"/>
      <c r="G86" s="152"/>
      <c r="H86" s="152"/>
      <c r="I86" s="152"/>
      <c r="J86" s="152"/>
      <c r="K86" s="152"/>
      <c r="L86" s="152"/>
      <c r="M86" s="152"/>
      <c r="N86" s="152"/>
      <c r="O86" s="152"/>
      <c r="P86" s="152"/>
      <c r="Q86" s="152"/>
      <c r="R86" s="152"/>
      <c r="S86" s="152"/>
      <c r="T86" s="152"/>
      <c r="U86" s="152"/>
      <c r="V86" s="152"/>
      <c r="W86" s="152"/>
      <c r="X86" s="152"/>
      <c r="Y86" s="152"/>
      <c r="Z86" s="153"/>
    </row>
    <row r="87" spans="1:26" ht="66" customHeight="1" x14ac:dyDescent="0.15">
      <c r="B87" s="151"/>
      <c r="C87" s="68" t="s">
        <v>92</v>
      </c>
      <c r="D87" s="154" t="s">
        <v>131</v>
      </c>
      <c r="E87" s="155"/>
      <c r="F87" s="155"/>
      <c r="G87" s="155"/>
      <c r="H87" s="155"/>
      <c r="I87" s="155"/>
      <c r="J87" s="155"/>
      <c r="K87" s="155"/>
      <c r="L87" s="155"/>
      <c r="M87" s="155"/>
      <c r="N87" s="155"/>
      <c r="O87" s="155"/>
      <c r="P87" s="155"/>
      <c r="Q87" s="155"/>
      <c r="R87" s="155"/>
      <c r="S87" s="155"/>
      <c r="T87" s="155"/>
      <c r="U87" s="155"/>
      <c r="V87" s="155"/>
      <c r="W87" s="155"/>
      <c r="X87" s="155"/>
      <c r="Y87" s="155"/>
      <c r="Z87" s="156"/>
    </row>
    <row r="88" spans="1:26" ht="66" customHeight="1" x14ac:dyDescent="0.15">
      <c r="B88" s="150" t="s">
        <v>119</v>
      </c>
      <c r="C88" s="67" t="s">
        <v>94</v>
      </c>
      <c r="D88" s="158" t="s">
        <v>120</v>
      </c>
      <c r="E88" s="158"/>
      <c r="F88" s="158"/>
      <c r="G88" s="158"/>
      <c r="H88" s="158"/>
      <c r="I88" s="158"/>
      <c r="J88" s="158"/>
      <c r="K88" s="158"/>
      <c r="L88" s="158"/>
      <c r="M88" s="158"/>
      <c r="N88" s="158"/>
      <c r="O88" s="158"/>
      <c r="P88" s="158"/>
      <c r="Q88" s="158"/>
      <c r="R88" s="158"/>
      <c r="S88" s="158"/>
      <c r="T88" s="158"/>
      <c r="U88" s="158"/>
      <c r="V88" s="158"/>
      <c r="W88" s="158"/>
      <c r="X88" s="158"/>
      <c r="Y88" s="158"/>
      <c r="Z88" s="159"/>
    </row>
    <row r="89" spans="1:26" ht="66" customHeight="1" x14ac:dyDescent="0.15">
      <c r="B89" s="151"/>
      <c r="C89" s="68" t="s">
        <v>95</v>
      </c>
      <c r="D89" s="158" t="s">
        <v>120</v>
      </c>
      <c r="E89" s="158"/>
      <c r="F89" s="158"/>
      <c r="G89" s="158"/>
      <c r="H89" s="158"/>
      <c r="I89" s="158"/>
      <c r="J89" s="158"/>
      <c r="K89" s="158"/>
      <c r="L89" s="158"/>
      <c r="M89" s="158"/>
      <c r="N89" s="158"/>
      <c r="O89" s="158"/>
      <c r="P89" s="158"/>
      <c r="Q89" s="158"/>
      <c r="R89" s="158"/>
      <c r="S89" s="158"/>
      <c r="T89" s="158"/>
      <c r="U89" s="158"/>
      <c r="V89" s="158"/>
      <c r="W89" s="158"/>
      <c r="X89" s="158"/>
      <c r="Y89" s="158"/>
      <c r="Z89" s="159"/>
    </row>
    <row r="90" spans="1:26" ht="66" customHeight="1" x14ac:dyDescent="0.15">
      <c r="B90" s="157"/>
      <c r="C90" s="69" t="s">
        <v>96</v>
      </c>
      <c r="D90" s="160" t="s">
        <v>132</v>
      </c>
      <c r="E90" s="158"/>
      <c r="F90" s="158"/>
      <c r="G90" s="158"/>
      <c r="H90" s="158"/>
      <c r="I90" s="158"/>
      <c r="J90" s="158"/>
      <c r="K90" s="158"/>
      <c r="L90" s="158"/>
      <c r="M90" s="158"/>
      <c r="N90" s="158"/>
      <c r="O90" s="158"/>
      <c r="P90" s="158"/>
      <c r="Q90" s="158"/>
      <c r="R90" s="158"/>
      <c r="S90" s="158"/>
      <c r="T90" s="158"/>
      <c r="U90" s="158"/>
      <c r="V90" s="158"/>
      <c r="W90" s="158"/>
      <c r="X90" s="158"/>
      <c r="Y90" s="158"/>
      <c r="Z90" s="159"/>
    </row>
    <row r="91" spans="1:26" ht="6" customHeight="1" x14ac:dyDescent="0.15"/>
    <row r="92" spans="1:26" ht="18.75" customHeight="1" x14ac:dyDescent="0.15">
      <c r="A92" s="13" t="s">
        <v>122</v>
      </c>
    </row>
    <row r="93" spans="1:26" ht="18.75" customHeight="1" x14ac:dyDescent="0.15">
      <c r="B93" s="140" t="s">
        <v>123</v>
      </c>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2"/>
    </row>
    <row r="94" spans="1:26" ht="18.75" customHeight="1" x14ac:dyDescent="0.15">
      <c r="B94" s="143"/>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44"/>
    </row>
    <row r="95" spans="1:26" ht="18.75" customHeight="1" x14ac:dyDescent="0.15">
      <c r="B95" s="145"/>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7"/>
    </row>
    <row r="96" spans="1:26" ht="6" customHeight="1" x14ac:dyDescent="0.15"/>
    <row r="97" spans="1:26" ht="15" customHeight="1" x14ac:dyDescent="0.15">
      <c r="A97" s="13" t="s">
        <v>124</v>
      </c>
    </row>
    <row r="98" spans="1:26" ht="15" customHeight="1" x14ac:dyDescent="0.15">
      <c r="B98" s="148" t="s">
        <v>220</v>
      </c>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4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H16:H22 Y27:Z33 H27:H33 H38:H44 Y38:Z44 H49:H55 Y49:Z55 Y60:Z66 G60:G66 T60:T66 U16:U22 L16:M22 U27:U33 L27:M33 U38:U44 L38:M44 U49:U55 L49:M55 L62:M66 K60:M61">
      <formula1>"○"</formula1>
    </dataValidation>
    <dataValidation type="list" allowBlank="1" showInputMessage="1" showErrorMessage="1" sqref="Z23 Z34 D34:K34 D23:K23 V16:V22 I49:I55 V27:V33 I16:I22 V38:V44 I27:I33 V49:V55 I38:I44 U60:U66 H60:H66">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12" t="s">
        <v>133</v>
      </c>
      <c r="G1" s="212"/>
      <c r="H1" s="212"/>
      <c r="I1" s="212"/>
      <c r="J1" s="212"/>
      <c r="K1" s="212"/>
      <c r="L1" s="212"/>
      <c r="M1" s="212"/>
      <c r="N1" s="212"/>
      <c r="O1" s="212"/>
      <c r="P1" s="212"/>
      <c r="Q1" s="212"/>
      <c r="R1" s="212"/>
    </row>
    <row r="2" spans="1:20" ht="18" customHeight="1" x14ac:dyDescent="0.15">
      <c r="A2" s="213" t="s">
        <v>134</v>
      </c>
      <c r="B2" s="213"/>
      <c r="C2" s="213"/>
      <c r="D2" s="213"/>
      <c r="E2" s="213"/>
      <c r="F2" s="213"/>
      <c r="G2" s="213"/>
      <c r="H2" s="213"/>
      <c r="I2" s="213"/>
      <c r="J2" s="213"/>
      <c r="K2" s="213"/>
      <c r="L2" s="213"/>
      <c r="M2" s="213"/>
      <c r="N2" s="213"/>
      <c r="O2" s="213"/>
      <c r="P2" s="213"/>
      <c r="Q2" s="213"/>
      <c r="R2" s="213"/>
      <c r="S2" s="4"/>
    </row>
    <row r="3" spans="1:20" ht="7.5" customHeight="1" x14ac:dyDescent="0.15">
      <c r="A3" s="30"/>
      <c r="B3" s="30"/>
      <c r="C3" s="30"/>
      <c r="D3" s="30"/>
      <c r="E3" s="30"/>
      <c r="F3" s="30"/>
      <c r="G3" s="30"/>
      <c r="H3" s="30"/>
      <c r="I3" s="30"/>
      <c r="J3" s="30"/>
      <c r="K3" s="30"/>
      <c r="L3" s="30"/>
      <c r="M3" s="30"/>
      <c r="N3" s="30"/>
      <c r="O3" s="30"/>
      <c r="P3" s="30"/>
      <c r="Q3" s="30"/>
      <c r="R3" s="30"/>
    </row>
    <row r="4" spans="1:20" ht="18" customHeight="1" x14ac:dyDescent="0.15">
      <c r="A4" s="4" t="s">
        <v>135</v>
      </c>
      <c r="B4" s="4"/>
      <c r="C4" s="214" t="str">
        <f>'様式１　大学等概要'!E12</f>
        <v>平成２９</v>
      </c>
      <c r="D4" s="215"/>
      <c r="E4" s="30" t="s">
        <v>19</v>
      </c>
      <c r="F4" s="30"/>
      <c r="G4" s="30"/>
      <c r="H4" s="30"/>
      <c r="I4" s="30"/>
      <c r="J4" s="71"/>
      <c r="K4" s="30"/>
      <c r="L4" s="30"/>
      <c r="M4" s="39"/>
      <c r="N4" s="39"/>
      <c r="O4" s="39"/>
      <c r="P4" s="39"/>
      <c r="Q4" s="39"/>
      <c r="R4" s="39"/>
    </row>
    <row r="5" spans="1:20" ht="6" customHeight="1" x14ac:dyDescent="0.15">
      <c r="A5" s="30"/>
      <c r="B5" s="30"/>
      <c r="C5" s="30"/>
      <c r="D5" s="30"/>
      <c r="E5" s="30"/>
      <c r="F5" s="30"/>
      <c r="G5" s="30"/>
      <c r="H5" s="30"/>
      <c r="I5" s="30"/>
      <c r="J5" s="30"/>
      <c r="K5" s="30"/>
      <c r="L5" s="30"/>
      <c r="M5" s="30"/>
      <c r="N5" s="30"/>
      <c r="O5" s="30"/>
      <c r="P5" s="30"/>
      <c r="Q5" s="30"/>
      <c r="R5" s="30"/>
    </row>
    <row r="6" spans="1:20" ht="18" customHeight="1" x14ac:dyDescent="0.15">
      <c r="A6" s="4" t="s">
        <v>136</v>
      </c>
      <c r="B6" s="30"/>
      <c r="C6" s="30"/>
      <c r="D6" s="30"/>
      <c r="E6" s="30"/>
      <c r="F6" s="30"/>
      <c r="G6" s="30"/>
      <c r="H6" s="30"/>
      <c r="I6" s="30"/>
      <c r="J6" s="30"/>
      <c r="K6" s="30"/>
      <c r="L6" s="30"/>
      <c r="M6" s="30"/>
      <c r="N6" s="30"/>
      <c r="O6" s="30"/>
      <c r="P6" s="30"/>
      <c r="Q6" s="30"/>
      <c r="R6" s="30"/>
    </row>
    <row r="7" spans="1:20" ht="6" customHeight="1" x14ac:dyDescent="0.15">
      <c r="A7" s="4"/>
      <c r="B7" s="30"/>
      <c r="C7" s="30"/>
      <c r="D7" s="30"/>
      <c r="E7" s="30"/>
      <c r="F7" s="30"/>
      <c r="G7" s="30"/>
      <c r="H7" s="30"/>
      <c r="I7" s="30"/>
      <c r="J7" s="30"/>
      <c r="K7" s="30"/>
      <c r="L7" s="30"/>
      <c r="M7" s="30"/>
      <c r="N7" s="30"/>
      <c r="O7" s="30"/>
      <c r="P7" s="30"/>
      <c r="Q7" s="30"/>
      <c r="R7" s="30"/>
    </row>
    <row r="8" spans="1:20" ht="18" customHeight="1" x14ac:dyDescent="0.15">
      <c r="B8" s="216" t="s">
        <v>137</v>
      </c>
      <c r="C8" s="218" t="s">
        <v>138</v>
      </c>
      <c r="D8" s="220" t="s">
        <v>139</v>
      </c>
      <c r="E8" s="222" t="s">
        <v>140</v>
      </c>
      <c r="F8" s="222"/>
      <c r="G8" s="222" t="s">
        <v>141</v>
      </c>
      <c r="H8" s="222"/>
      <c r="I8" s="222" t="s">
        <v>142</v>
      </c>
      <c r="J8" s="222"/>
      <c r="K8" s="223" t="s">
        <v>143</v>
      </c>
      <c r="L8" s="224"/>
      <c r="M8" s="223" t="s">
        <v>144</v>
      </c>
      <c r="N8" s="224"/>
      <c r="O8" s="223" t="s">
        <v>145</v>
      </c>
      <c r="P8" s="224"/>
      <c r="Q8" s="225" t="s">
        <v>146</v>
      </c>
      <c r="R8" s="227" t="s">
        <v>147</v>
      </c>
      <c r="T8" s="28"/>
    </row>
    <row r="9" spans="1:20" ht="18" customHeight="1" x14ac:dyDescent="0.15">
      <c r="A9" s="4"/>
      <c r="B9" s="217"/>
      <c r="C9" s="219"/>
      <c r="D9" s="221"/>
      <c r="E9" s="35" t="s">
        <v>148</v>
      </c>
      <c r="F9" s="36" t="s">
        <v>149</v>
      </c>
      <c r="G9" s="37" t="s">
        <v>148</v>
      </c>
      <c r="H9" s="38" t="s">
        <v>149</v>
      </c>
      <c r="I9" s="35" t="s">
        <v>148</v>
      </c>
      <c r="J9" s="36" t="s">
        <v>149</v>
      </c>
      <c r="K9" s="37" t="s">
        <v>148</v>
      </c>
      <c r="L9" s="38" t="s">
        <v>149</v>
      </c>
      <c r="M9" s="35" t="s">
        <v>148</v>
      </c>
      <c r="N9" s="36" t="s">
        <v>149</v>
      </c>
      <c r="O9" s="37" t="s">
        <v>148</v>
      </c>
      <c r="P9" s="38" t="s">
        <v>149</v>
      </c>
      <c r="Q9" s="226"/>
      <c r="R9" s="228"/>
      <c r="T9" s="28"/>
    </row>
    <row r="10" spans="1:20" ht="18" customHeight="1" x14ac:dyDescent="0.15">
      <c r="A10" s="39"/>
      <c r="B10" s="72" t="s">
        <v>150</v>
      </c>
      <c r="C10" s="39">
        <v>40</v>
      </c>
      <c r="D10" s="110">
        <v>200</v>
      </c>
      <c r="E10" s="41">
        <v>40</v>
      </c>
      <c r="F10" s="42">
        <v>47</v>
      </c>
      <c r="G10" s="43">
        <v>40</v>
      </c>
      <c r="H10" s="44">
        <v>33</v>
      </c>
      <c r="I10" s="41">
        <v>46</v>
      </c>
      <c r="J10" s="42"/>
      <c r="K10" s="43">
        <v>47</v>
      </c>
      <c r="L10" s="44"/>
      <c r="M10" s="41">
        <v>33</v>
      </c>
      <c r="N10" s="42"/>
      <c r="O10" s="43"/>
      <c r="P10" s="44"/>
      <c r="Q10" s="45">
        <f>E10+G10+I10+K10+M10+O10</f>
        <v>206</v>
      </c>
      <c r="R10" s="46">
        <f>Q10/D10</f>
        <v>1.03</v>
      </c>
    </row>
    <row r="11" spans="1:20" ht="18" customHeight="1" x14ac:dyDescent="0.15">
      <c r="A11" s="39"/>
      <c r="B11" s="73" t="s">
        <v>151</v>
      </c>
      <c r="C11" s="55">
        <v>40</v>
      </c>
      <c r="D11" s="111">
        <v>200</v>
      </c>
      <c r="E11" s="49">
        <v>42</v>
      </c>
      <c r="F11" s="50">
        <v>44</v>
      </c>
      <c r="G11" s="51">
        <v>40</v>
      </c>
      <c r="H11" s="52">
        <v>40</v>
      </c>
      <c r="I11" s="49">
        <v>44</v>
      </c>
      <c r="J11" s="50"/>
      <c r="K11" s="51">
        <v>44</v>
      </c>
      <c r="L11" s="52"/>
      <c r="M11" s="49">
        <v>40</v>
      </c>
      <c r="N11" s="50"/>
      <c r="O11" s="51"/>
      <c r="P11" s="52"/>
      <c r="Q11" s="53">
        <f t="shared" ref="Q11:Q29" si="0">E11+G11+I11+K11+M11+O11</f>
        <v>210</v>
      </c>
      <c r="R11" s="54">
        <f t="shared" ref="R11:R29" si="1">Q11/D11</f>
        <v>1.05</v>
      </c>
    </row>
    <row r="12" spans="1:20" ht="18" customHeight="1" x14ac:dyDescent="0.15">
      <c r="A12" s="39"/>
      <c r="B12" s="73" t="s">
        <v>152</v>
      </c>
      <c r="C12" s="55">
        <v>40</v>
      </c>
      <c r="D12" s="111">
        <v>200</v>
      </c>
      <c r="E12" s="49">
        <v>43</v>
      </c>
      <c r="F12" s="50">
        <v>41</v>
      </c>
      <c r="G12" s="51">
        <v>39</v>
      </c>
      <c r="H12" s="52">
        <v>28</v>
      </c>
      <c r="I12" s="49">
        <v>40</v>
      </c>
      <c r="J12" s="50"/>
      <c r="K12" s="51">
        <v>41</v>
      </c>
      <c r="L12" s="52"/>
      <c r="M12" s="49">
        <v>28</v>
      </c>
      <c r="N12" s="50"/>
      <c r="O12" s="51"/>
      <c r="P12" s="52"/>
      <c r="Q12" s="53">
        <f t="shared" si="0"/>
        <v>191</v>
      </c>
      <c r="R12" s="54">
        <f t="shared" si="1"/>
        <v>0.95499999999999996</v>
      </c>
    </row>
    <row r="13" spans="1:20" ht="18" customHeight="1" x14ac:dyDescent="0.15">
      <c r="A13" s="39"/>
      <c r="B13" s="73" t="s">
        <v>153</v>
      </c>
      <c r="C13" s="55">
        <v>40</v>
      </c>
      <c r="D13" s="111">
        <v>200</v>
      </c>
      <c r="E13" s="49">
        <v>41</v>
      </c>
      <c r="F13" s="50">
        <v>44</v>
      </c>
      <c r="G13" s="51">
        <v>39</v>
      </c>
      <c r="H13" s="52">
        <v>42</v>
      </c>
      <c r="I13" s="49">
        <v>41</v>
      </c>
      <c r="J13" s="50"/>
      <c r="K13" s="51">
        <v>44</v>
      </c>
      <c r="L13" s="52"/>
      <c r="M13" s="49">
        <v>42</v>
      </c>
      <c r="N13" s="50"/>
      <c r="O13" s="51"/>
      <c r="P13" s="52"/>
      <c r="Q13" s="53">
        <f t="shared" si="0"/>
        <v>207</v>
      </c>
      <c r="R13" s="54">
        <f t="shared" si="1"/>
        <v>1.0349999999999999</v>
      </c>
    </row>
    <row r="14" spans="1:20" ht="18" customHeight="1" x14ac:dyDescent="0.15">
      <c r="A14" s="39"/>
      <c r="B14" s="73" t="s">
        <v>154</v>
      </c>
      <c r="C14" s="55">
        <v>40</v>
      </c>
      <c r="D14" s="111">
        <v>200</v>
      </c>
      <c r="E14" s="49">
        <v>41</v>
      </c>
      <c r="F14" s="50">
        <v>44</v>
      </c>
      <c r="G14" s="51">
        <v>40</v>
      </c>
      <c r="H14" s="52">
        <v>36</v>
      </c>
      <c r="I14" s="49">
        <v>42</v>
      </c>
      <c r="J14" s="50"/>
      <c r="K14" s="51">
        <v>44</v>
      </c>
      <c r="L14" s="52"/>
      <c r="M14" s="49">
        <v>36</v>
      </c>
      <c r="N14" s="50"/>
      <c r="O14" s="51"/>
      <c r="P14" s="52"/>
      <c r="Q14" s="53">
        <f t="shared" si="0"/>
        <v>203</v>
      </c>
      <c r="R14" s="54">
        <f t="shared" si="1"/>
        <v>1.0149999999999999</v>
      </c>
    </row>
    <row r="15" spans="1:20" ht="18" customHeight="1" x14ac:dyDescent="0.15">
      <c r="A15" s="39"/>
      <c r="B15" s="73"/>
      <c r="C15" s="55"/>
      <c r="D15" s="48"/>
      <c r="E15" s="49"/>
      <c r="F15" s="50"/>
      <c r="G15" s="51"/>
      <c r="H15" s="52"/>
      <c r="I15" s="49"/>
      <c r="J15" s="50"/>
      <c r="K15" s="51"/>
      <c r="L15" s="52"/>
      <c r="M15" s="49"/>
      <c r="N15" s="50"/>
      <c r="O15" s="51"/>
      <c r="P15" s="52"/>
      <c r="Q15" s="53">
        <f t="shared" si="0"/>
        <v>0</v>
      </c>
      <c r="R15" s="54" t="e">
        <f t="shared" si="1"/>
        <v>#DIV/0!</v>
      </c>
    </row>
    <row r="16" spans="1:20" ht="18" customHeight="1" x14ac:dyDescent="0.15">
      <c r="A16" s="39"/>
      <c r="B16" s="73"/>
      <c r="C16" s="55"/>
      <c r="D16" s="48"/>
      <c r="E16" s="49"/>
      <c r="F16" s="50"/>
      <c r="G16" s="51"/>
      <c r="H16" s="52"/>
      <c r="I16" s="49"/>
      <c r="J16" s="50"/>
      <c r="K16" s="51"/>
      <c r="L16" s="52"/>
      <c r="M16" s="49"/>
      <c r="N16" s="50"/>
      <c r="O16" s="51"/>
      <c r="P16" s="52"/>
      <c r="Q16" s="53">
        <f t="shared" si="0"/>
        <v>0</v>
      </c>
      <c r="R16" s="54" t="e">
        <f t="shared" si="1"/>
        <v>#DIV/0!</v>
      </c>
    </row>
    <row r="17" spans="1:18" ht="18" customHeight="1" x14ac:dyDescent="0.15">
      <c r="A17" s="39"/>
      <c r="B17" s="73"/>
      <c r="C17" s="55"/>
      <c r="D17" s="48"/>
      <c r="E17" s="49"/>
      <c r="F17" s="50"/>
      <c r="G17" s="51"/>
      <c r="H17" s="52"/>
      <c r="I17" s="49"/>
      <c r="J17" s="50"/>
      <c r="K17" s="51"/>
      <c r="L17" s="52"/>
      <c r="M17" s="49"/>
      <c r="N17" s="50"/>
      <c r="O17" s="51"/>
      <c r="P17" s="52"/>
      <c r="Q17" s="53">
        <f t="shared" si="0"/>
        <v>0</v>
      </c>
      <c r="R17" s="54" t="e">
        <f t="shared" si="1"/>
        <v>#DIV/0!</v>
      </c>
    </row>
    <row r="18" spans="1:18" ht="18" customHeight="1" x14ac:dyDescent="0.15">
      <c r="A18" s="39"/>
      <c r="B18" s="73"/>
      <c r="C18" s="55"/>
      <c r="D18" s="48"/>
      <c r="E18" s="49"/>
      <c r="F18" s="50"/>
      <c r="G18" s="51"/>
      <c r="H18" s="52"/>
      <c r="I18" s="49"/>
      <c r="J18" s="50"/>
      <c r="K18" s="51"/>
      <c r="L18" s="52"/>
      <c r="M18" s="49"/>
      <c r="N18" s="50"/>
      <c r="O18" s="51"/>
      <c r="P18" s="52"/>
      <c r="Q18" s="53">
        <f>E18+G18+I18+K18+M18+O18</f>
        <v>0</v>
      </c>
      <c r="R18" s="54" t="e">
        <f t="shared" si="1"/>
        <v>#DIV/0!</v>
      </c>
    </row>
    <row r="19" spans="1:18" ht="18" customHeight="1" x14ac:dyDescent="0.15">
      <c r="A19" s="39"/>
      <c r="B19" s="73"/>
      <c r="C19" s="55"/>
      <c r="D19" s="48"/>
      <c r="E19" s="49"/>
      <c r="F19" s="50"/>
      <c r="G19" s="51"/>
      <c r="H19" s="52"/>
      <c r="I19" s="49"/>
      <c r="J19" s="50"/>
      <c r="K19" s="51"/>
      <c r="L19" s="52"/>
      <c r="M19" s="49"/>
      <c r="N19" s="50"/>
      <c r="O19" s="51"/>
      <c r="P19" s="52"/>
      <c r="Q19" s="53">
        <f t="shared" si="0"/>
        <v>0</v>
      </c>
      <c r="R19" s="54" t="e">
        <f t="shared" si="1"/>
        <v>#DIV/0!</v>
      </c>
    </row>
    <row r="20" spans="1:18" ht="18" customHeight="1" x14ac:dyDescent="0.15">
      <c r="A20" s="39"/>
      <c r="B20" s="73"/>
      <c r="C20" s="55"/>
      <c r="D20" s="48"/>
      <c r="E20" s="49"/>
      <c r="F20" s="50"/>
      <c r="G20" s="51"/>
      <c r="H20" s="52"/>
      <c r="I20" s="49"/>
      <c r="J20" s="50"/>
      <c r="K20" s="51"/>
      <c r="L20" s="52"/>
      <c r="M20" s="49"/>
      <c r="N20" s="50"/>
      <c r="O20" s="51"/>
      <c r="P20" s="52"/>
      <c r="Q20" s="53">
        <f t="shared" si="0"/>
        <v>0</v>
      </c>
      <c r="R20" s="54" t="e">
        <f t="shared" si="1"/>
        <v>#DIV/0!</v>
      </c>
    </row>
    <row r="21" spans="1:18" ht="18" customHeight="1" x14ac:dyDescent="0.15">
      <c r="A21" s="39"/>
      <c r="B21" s="73"/>
      <c r="C21" s="55"/>
      <c r="D21" s="48"/>
      <c r="E21" s="49"/>
      <c r="F21" s="50"/>
      <c r="G21" s="51"/>
      <c r="H21" s="52"/>
      <c r="I21" s="49"/>
      <c r="J21" s="50"/>
      <c r="K21" s="51"/>
      <c r="L21" s="52"/>
      <c r="M21" s="49"/>
      <c r="N21" s="50"/>
      <c r="O21" s="51"/>
      <c r="P21" s="52"/>
      <c r="Q21" s="53">
        <f t="shared" si="0"/>
        <v>0</v>
      </c>
      <c r="R21" s="54" t="e">
        <f t="shared" si="1"/>
        <v>#DIV/0!</v>
      </c>
    </row>
    <row r="22" spans="1:18" ht="18" customHeight="1" x14ac:dyDescent="0.15">
      <c r="A22" s="39"/>
      <c r="B22" s="73"/>
      <c r="C22" s="55"/>
      <c r="D22" s="48"/>
      <c r="E22" s="49"/>
      <c r="F22" s="50"/>
      <c r="G22" s="51"/>
      <c r="H22" s="52"/>
      <c r="I22" s="49"/>
      <c r="J22" s="50"/>
      <c r="K22" s="51"/>
      <c r="L22" s="52"/>
      <c r="M22" s="49"/>
      <c r="N22" s="50"/>
      <c r="O22" s="51"/>
      <c r="P22" s="52"/>
      <c r="Q22" s="53">
        <f t="shared" si="0"/>
        <v>0</v>
      </c>
      <c r="R22" s="54" t="e">
        <f t="shared" si="1"/>
        <v>#DIV/0!</v>
      </c>
    </row>
    <row r="23" spans="1:18" ht="18" customHeight="1" x14ac:dyDescent="0.15">
      <c r="A23" s="39"/>
      <c r="B23" s="73"/>
      <c r="C23" s="55"/>
      <c r="D23" s="48"/>
      <c r="E23" s="49"/>
      <c r="F23" s="50"/>
      <c r="G23" s="51"/>
      <c r="H23" s="52"/>
      <c r="I23" s="49"/>
      <c r="J23" s="50"/>
      <c r="K23" s="51"/>
      <c r="L23" s="52"/>
      <c r="M23" s="49"/>
      <c r="N23" s="50"/>
      <c r="O23" s="51"/>
      <c r="P23" s="52"/>
      <c r="Q23" s="53">
        <f t="shared" si="0"/>
        <v>0</v>
      </c>
      <c r="R23" s="54" t="e">
        <f t="shared" si="1"/>
        <v>#DIV/0!</v>
      </c>
    </row>
    <row r="24" spans="1:18" ht="18" customHeight="1" x14ac:dyDescent="0.15">
      <c r="A24" s="39"/>
      <c r="B24" s="73"/>
      <c r="C24" s="55"/>
      <c r="D24" s="48"/>
      <c r="E24" s="49"/>
      <c r="F24" s="50"/>
      <c r="G24" s="51"/>
      <c r="H24" s="52"/>
      <c r="I24" s="49"/>
      <c r="J24" s="50"/>
      <c r="K24" s="51"/>
      <c r="L24" s="52"/>
      <c r="M24" s="49"/>
      <c r="N24" s="50"/>
      <c r="O24" s="51"/>
      <c r="P24" s="52"/>
      <c r="Q24" s="53">
        <f t="shared" si="0"/>
        <v>0</v>
      </c>
      <c r="R24" s="54" t="e">
        <f t="shared" si="1"/>
        <v>#DIV/0!</v>
      </c>
    </row>
    <row r="25" spans="1:18" ht="18" customHeight="1" x14ac:dyDescent="0.15">
      <c r="A25" s="39"/>
      <c r="B25" s="73"/>
      <c r="C25" s="55"/>
      <c r="D25" s="48"/>
      <c r="E25" s="49"/>
      <c r="F25" s="50"/>
      <c r="G25" s="51"/>
      <c r="H25" s="52"/>
      <c r="I25" s="49"/>
      <c r="J25" s="50"/>
      <c r="K25" s="51"/>
      <c r="L25" s="52"/>
      <c r="M25" s="49"/>
      <c r="N25" s="50"/>
      <c r="O25" s="51"/>
      <c r="P25" s="52"/>
      <c r="Q25" s="53">
        <f t="shared" si="0"/>
        <v>0</v>
      </c>
      <c r="R25" s="54" t="e">
        <f t="shared" si="1"/>
        <v>#DIV/0!</v>
      </c>
    </row>
    <row r="26" spans="1:18" ht="18" customHeight="1" x14ac:dyDescent="0.15">
      <c r="A26" s="39"/>
      <c r="B26" s="73"/>
      <c r="C26" s="55"/>
      <c r="D26" s="48"/>
      <c r="E26" s="49"/>
      <c r="F26" s="50"/>
      <c r="G26" s="51"/>
      <c r="H26" s="52"/>
      <c r="I26" s="49"/>
      <c r="J26" s="50"/>
      <c r="K26" s="51"/>
      <c r="L26" s="52"/>
      <c r="M26" s="49"/>
      <c r="N26" s="50"/>
      <c r="O26" s="51"/>
      <c r="P26" s="52"/>
      <c r="Q26" s="53">
        <f t="shared" si="0"/>
        <v>0</v>
      </c>
      <c r="R26" s="54" t="e">
        <f t="shared" si="1"/>
        <v>#DIV/0!</v>
      </c>
    </row>
    <row r="27" spans="1:18" ht="18" customHeight="1" x14ac:dyDescent="0.15">
      <c r="A27" s="39"/>
      <c r="B27" s="73"/>
      <c r="C27" s="47"/>
      <c r="D27" s="48"/>
      <c r="E27" s="49"/>
      <c r="F27" s="50"/>
      <c r="G27" s="51"/>
      <c r="H27" s="52"/>
      <c r="I27" s="49"/>
      <c r="J27" s="50"/>
      <c r="K27" s="51"/>
      <c r="L27" s="52"/>
      <c r="M27" s="49"/>
      <c r="N27" s="50"/>
      <c r="O27" s="51"/>
      <c r="P27" s="52"/>
      <c r="Q27" s="53">
        <f t="shared" si="0"/>
        <v>0</v>
      </c>
      <c r="R27" s="54" t="e">
        <f t="shared" si="1"/>
        <v>#DIV/0!</v>
      </c>
    </row>
    <row r="28" spans="1:18" ht="18" customHeight="1" x14ac:dyDescent="0.15">
      <c r="A28" s="39"/>
      <c r="B28" s="73"/>
      <c r="C28" s="47"/>
      <c r="D28" s="48"/>
      <c r="E28" s="49"/>
      <c r="F28" s="50"/>
      <c r="G28" s="51"/>
      <c r="H28" s="52"/>
      <c r="I28" s="49"/>
      <c r="J28" s="50"/>
      <c r="K28" s="51"/>
      <c r="L28" s="52"/>
      <c r="M28" s="49"/>
      <c r="N28" s="50"/>
      <c r="O28" s="51"/>
      <c r="P28" s="52"/>
      <c r="Q28" s="53">
        <f t="shared" si="0"/>
        <v>0</v>
      </c>
      <c r="R28" s="54" t="e">
        <f t="shared" si="1"/>
        <v>#DIV/0!</v>
      </c>
    </row>
    <row r="29" spans="1:18" ht="18" customHeight="1" thickBot="1" x14ac:dyDescent="0.2">
      <c r="A29" s="39"/>
      <c r="B29" s="74"/>
      <c r="C29" s="75"/>
      <c r="D29" s="40"/>
      <c r="E29" s="41"/>
      <c r="F29" s="42"/>
      <c r="G29" s="43"/>
      <c r="H29" s="44"/>
      <c r="I29" s="41"/>
      <c r="J29" s="42"/>
      <c r="K29" s="43"/>
      <c r="L29" s="44"/>
      <c r="M29" s="41"/>
      <c r="N29" s="42"/>
      <c r="O29" s="43"/>
      <c r="P29" s="44"/>
      <c r="Q29" s="56">
        <f t="shared" si="0"/>
        <v>0</v>
      </c>
      <c r="R29" s="46" t="e">
        <f t="shared" si="1"/>
        <v>#DIV/0!</v>
      </c>
    </row>
    <row r="30" spans="1:18" ht="18" customHeight="1" thickTop="1" x14ac:dyDescent="0.15">
      <c r="B30" s="76" t="s">
        <v>155</v>
      </c>
      <c r="C30" s="77">
        <f t="shared" ref="C30:Q30" si="2">SUM(C10:C29)</f>
        <v>200</v>
      </c>
      <c r="D30" s="57">
        <f t="shared" si="2"/>
        <v>1000</v>
      </c>
      <c r="E30" s="58">
        <f t="shared" si="2"/>
        <v>207</v>
      </c>
      <c r="F30" s="59">
        <f t="shared" si="2"/>
        <v>220</v>
      </c>
      <c r="G30" s="60">
        <f t="shared" si="2"/>
        <v>198</v>
      </c>
      <c r="H30" s="61">
        <f t="shared" si="2"/>
        <v>179</v>
      </c>
      <c r="I30" s="58">
        <f t="shared" si="2"/>
        <v>213</v>
      </c>
      <c r="J30" s="59">
        <f t="shared" si="2"/>
        <v>0</v>
      </c>
      <c r="K30" s="60">
        <f t="shared" si="2"/>
        <v>220</v>
      </c>
      <c r="L30" s="61">
        <f t="shared" si="2"/>
        <v>0</v>
      </c>
      <c r="M30" s="58">
        <f t="shared" si="2"/>
        <v>179</v>
      </c>
      <c r="N30" s="59">
        <f t="shared" si="2"/>
        <v>0</v>
      </c>
      <c r="O30" s="60">
        <f t="shared" si="2"/>
        <v>0</v>
      </c>
      <c r="P30" s="61">
        <f t="shared" si="2"/>
        <v>0</v>
      </c>
      <c r="Q30" s="62">
        <f t="shared" si="2"/>
        <v>1017</v>
      </c>
      <c r="R30" s="63">
        <f>Q30/D30</f>
        <v>1.0169999999999999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156</v>
      </c>
      <c r="J1" s="33" t="s">
        <v>157</v>
      </c>
    </row>
    <row r="2" spans="1:11" ht="18.75" customHeight="1" x14ac:dyDescent="0.15">
      <c r="A2" s="213" t="s">
        <v>158</v>
      </c>
      <c r="B2" s="213"/>
      <c r="C2" s="213"/>
      <c r="D2" s="213"/>
      <c r="E2" s="213"/>
      <c r="F2" s="213"/>
      <c r="G2" s="213"/>
      <c r="H2" s="213"/>
      <c r="I2" s="213"/>
      <c r="J2" s="213"/>
    </row>
    <row r="3" spans="1:11" ht="7.5" customHeight="1" x14ac:dyDescent="0.15">
      <c r="B3" s="30"/>
      <c r="C3" s="30"/>
      <c r="D3" s="30"/>
      <c r="E3" s="30"/>
      <c r="F3" s="30"/>
      <c r="G3" s="30"/>
      <c r="H3" s="30"/>
      <c r="I3" s="30"/>
      <c r="J3" s="30"/>
    </row>
    <row r="4" spans="1:11" ht="18.75" customHeight="1" x14ac:dyDescent="0.15">
      <c r="A4" s="1" t="s">
        <v>2</v>
      </c>
      <c r="B4" s="4" t="s">
        <v>159</v>
      </c>
      <c r="C4" s="4"/>
      <c r="D4" s="4"/>
      <c r="E4" s="4"/>
      <c r="F4" s="4"/>
      <c r="G4" s="4"/>
      <c r="H4" s="4"/>
      <c r="I4" s="30"/>
      <c r="J4" s="30"/>
    </row>
    <row r="5" spans="1:11" ht="18.75" customHeight="1" x14ac:dyDescent="0.15">
      <c r="A5" s="1"/>
      <c r="B5" s="124" t="s">
        <v>160</v>
      </c>
      <c r="C5" s="125"/>
      <c r="D5" s="125"/>
      <c r="E5" s="125"/>
      <c r="F5" s="125"/>
      <c r="G5" s="125"/>
      <c r="H5" s="125"/>
      <c r="I5" s="125"/>
      <c r="J5" s="149"/>
      <c r="K5" s="27" t="str">
        <f>IF(B5="","入力してください","")</f>
        <v/>
      </c>
    </row>
    <row r="6" spans="1:11" ht="7.5" customHeight="1" x14ac:dyDescent="0.15">
      <c r="B6" s="30"/>
      <c r="C6" s="30"/>
      <c r="D6" s="30"/>
      <c r="E6" s="30"/>
      <c r="F6" s="30"/>
      <c r="G6" s="30"/>
      <c r="H6" s="30"/>
      <c r="I6" s="30"/>
      <c r="J6" s="30"/>
    </row>
    <row r="7" spans="1:11" s="4" customFormat="1" ht="18.75" customHeight="1" x14ac:dyDescent="0.15">
      <c r="A7" s="1" t="s">
        <v>5</v>
      </c>
      <c r="B7" s="1" t="s">
        <v>161</v>
      </c>
      <c r="C7" s="1"/>
      <c r="D7" s="1"/>
      <c r="E7" s="1"/>
      <c r="F7" s="1"/>
      <c r="G7" s="1"/>
      <c r="H7" s="1"/>
      <c r="I7" s="1"/>
      <c r="J7" s="1"/>
      <c r="K7" s="27"/>
    </row>
    <row r="8" spans="1:11" s="4" customFormat="1" ht="18.75" customHeight="1" x14ac:dyDescent="0.15">
      <c r="A8" s="78"/>
      <c r="B8" s="238" t="s">
        <v>162</v>
      </c>
      <c r="C8" s="239"/>
      <c r="D8" s="239"/>
      <c r="E8" s="239"/>
      <c r="F8" s="239"/>
      <c r="G8" s="239"/>
      <c r="H8" s="239"/>
      <c r="I8" s="240"/>
      <c r="J8" s="241"/>
      <c r="K8" s="27" t="str">
        <f>IF(B8="","入力してください","")</f>
        <v/>
      </c>
    </row>
    <row r="9" spans="1:11" s="4" customFormat="1" ht="18.75" customHeight="1" x14ac:dyDescent="0.15">
      <c r="A9" s="78"/>
      <c r="B9" s="232"/>
      <c r="C9" s="233"/>
      <c r="D9" s="233"/>
      <c r="E9" s="233"/>
      <c r="F9" s="233"/>
      <c r="G9" s="233"/>
      <c r="H9" s="233"/>
      <c r="I9" s="233"/>
      <c r="J9" s="234"/>
      <c r="K9" s="27"/>
    </row>
    <row r="10" spans="1:11" s="4" customFormat="1" ht="18.75" customHeight="1" x14ac:dyDescent="0.15">
      <c r="A10" s="78"/>
      <c r="B10" s="232"/>
      <c r="C10" s="233"/>
      <c r="D10" s="233"/>
      <c r="E10" s="233"/>
      <c r="F10" s="233"/>
      <c r="G10" s="233"/>
      <c r="H10" s="233"/>
      <c r="I10" s="233"/>
      <c r="J10" s="234"/>
      <c r="K10" s="27"/>
    </row>
    <row r="11" spans="1:11" s="4" customFormat="1" ht="18.75" customHeight="1" x14ac:dyDescent="0.15">
      <c r="A11" s="78"/>
      <c r="B11" s="232"/>
      <c r="C11" s="233"/>
      <c r="D11" s="233"/>
      <c r="E11" s="233"/>
      <c r="F11" s="233"/>
      <c r="G11" s="233"/>
      <c r="H11" s="233"/>
      <c r="I11" s="233"/>
      <c r="J11" s="234"/>
      <c r="K11" s="27"/>
    </row>
    <row r="12" spans="1:11" s="4" customFormat="1" ht="18.75" customHeight="1" x14ac:dyDescent="0.15">
      <c r="A12" s="78"/>
      <c r="B12" s="235"/>
      <c r="C12" s="236"/>
      <c r="D12" s="236"/>
      <c r="E12" s="236"/>
      <c r="F12" s="236"/>
      <c r="G12" s="236"/>
      <c r="H12" s="236"/>
      <c r="I12" s="236"/>
      <c r="J12" s="237"/>
      <c r="K12" s="27"/>
    </row>
    <row r="13" spans="1:11" s="4" customFormat="1" ht="7.5" customHeight="1" x14ac:dyDescent="0.15">
      <c r="A13" s="78"/>
      <c r="B13" s="78"/>
      <c r="C13" s="78"/>
      <c r="D13" s="78"/>
      <c r="E13" s="78"/>
      <c r="F13" s="78"/>
      <c r="G13" s="78"/>
      <c r="H13" s="78"/>
      <c r="I13" s="78"/>
      <c r="J13" s="78"/>
      <c r="K13" s="27"/>
    </row>
    <row r="14" spans="1:11" s="4" customFormat="1" ht="18.75" customHeight="1" x14ac:dyDescent="0.15">
      <c r="A14" s="79" t="s">
        <v>163</v>
      </c>
      <c r="B14" s="79" t="s">
        <v>164</v>
      </c>
      <c r="C14" s="79"/>
      <c r="D14" s="79"/>
      <c r="E14" s="79"/>
      <c r="F14" s="79"/>
      <c r="G14" s="79"/>
      <c r="H14" s="79"/>
      <c r="I14" s="79"/>
      <c r="J14" s="79"/>
      <c r="K14" s="27"/>
    </row>
    <row r="15" spans="1:11" s="4" customFormat="1" ht="18.75" customHeight="1" x14ac:dyDescent="0.15">
      <c r="A15" s="78"/>
      <c r="B15" s="238" t="s">
        <v>215</v>
      </c>
      <c r="C15" s="239"/>
      <c r="D15" s="239"/>
      <c r="E15" s="239"/>
      <c r="F15" s="239"/>
      <c r="G15" s="239"/>
      <c r="H15" s="239"/>
      <c r="I15" s="240"/>
      <c r="J15" s="241"/>
      <c r="K15" s="27" t="str">
        <f>IF(B15="","入力してください","")</f>
        <v/>
      </c>
    </row>
    <row r="16" spans="1:11" s="4" customFormat="1" ht="18.75" customHeight="1" x14ac:dyDescent="0.15">
      <c r="A16" s="78"/>
      <c r="B16" s="232"/>
      <c r="C16" s="233"/>
      <c r="D16" s="233"/>
      <c r="E16" s="233"/>
      <c r="F16" s="233"/>
      <c r="G16" s="233"/>
      <c r="H16" s="233"/>
      <c r="I16" s="233"/>
      <c r="J16" s="234"/>
      <c r="K16" s="27"/>
    </row>
    <row r="17" spans="1:11" s="4" customFormat="1" ht="18.75" customHeight="1" x14ac:dyDescent="0.15">
      <c r="A17" s="78"/>
      <c r="B17" s="232"/>
      <c r="C17" s="233"/>
      <c r="D17" s="233"/>
      <c r="E17" s="233"/>
      <c r="F17" s="233"/>
      <c r="G17" s="233"/>
      <c r="H17" s="233"/>
      <c r="I17" s="233"/>
      <c r="J17" s="234"/>
      <c r="K17" s="27"/>
    </row>
    <row r="18" spans="1:11" s="4" customFormat="1" ht="18.75" customHeight="1" x14ac:dyDescent="0.15">
      <c r="A18" s="78"/>
      <c r="B18" s="232"/>
      <c r="C18" s="233"/>
      <c r="D18" s="233"/>
      <c r="E18" s="233"/>
      <c r="F18" s="233"/>
      <c r="G18" s="233"/>
      <c r="H18" s="233"/>
      <c r="I18" s="233"/>
      <c r="J18" s="234"/>
      <c r="K18" s="27"/>
    </row>
    <row r="19" spans="1:11" s="4" customFormat="1" ht="18.75" customHeight="1" x14ac:dyDescent="0.15">
      <c r="A19" s="78"/>
      <c r="B19" s="232"/>
      <c r="C19" s="233"/>
      <c r="D19" s="233"/>
      <c r="E19" s="233"/>
      <c r="F19" s="233"/>
      <c r="G19" s="233"/>
      <c r="H19" s="233"/>
      <c r="I19" s="233"/>
      <c r="J19" s="234"/>
      <c r="K19" s="27"/>
    </row>
    <row r="20" spans="1:11" s="4" customFormat="1" ht="18.75" customHeight="1" x14ac:dyDescent="0.15">
      <c r="A20" s="78"/>
      <c r="B20" s="232"/>
      <c r="C20" s="233"/>
      <c r="D20" s="233"/>
      <c r="E20" s="233"/>
      <c r="F20" s="233"/>
      <c r="G20" s="233"/>
      <c r="H20" s="233"/>
      <c r="I20" s="233"/>
      <c r="J20" s="234"/>
      <c r="K20" s="27"/>
    </row>
    <row r="21" spans="1:11" s="4" customFormat="1" ht="18.75" customHeight="1" x14ac:dyDescent="0.15">
      <c r="A21" s="78"/>
      <c r="B21" s="232"/>
      <c r="C21" s="233"/>
      <c r="D21" s="233"/>
      <c r="E21" s="233"/>
      <c r="F21" s="233"/>
      <c r="G21" s="233"/>
      <c r="H21" s="233"/>
      <c r="I21" s="233"/>
      <c r="J21" s="234"/>
      <c r="K21" s="27"/>
    </row>
    <row r="22" spans="1:11" s="4" customFormat="1" ht="18.75" customHeight="1" x14ac:dyDescent="0.15">
      <c r="A22" s="78"/>
      <c r="B22" s="232"/>
      <c r="C22" s="233"/>
      <c r="D22" s="233"/>
      <c r="E22" s="233"/>
      <c r="F22" s="233"/>
      <c r="G22" s="233"/>
      <c r="H22" s="233"/>
      <c r="I22" s="233"/>
      <c r="J22" s="234"/>
      <c r="K22" s="27"/>
    </row>
    <row r="23" spans="1:11" s="4" customFormat="1" ht="18.75" customHeight="1" x14ac:dyDescent="0.15">
      <c r="A23" s="78"/>
      <c r="B23" s="232"/>
      <c r="C23" s="233"/>
      <c r="D23" s="233"/>
      <c r="E23" s="233"/>
      <c r="F23" s="233"/>
      <c r="G23" s="233"/>
      <c r="H23" s="233"/>
      <c r="I23" s="233"/>
      <c r="J23" s="234"/>
      <c r="K23" s="27"/>
    </row>
    <row r="24" spans="1:11" s="4" customFormat="1" ht="18.75" customHeight="1" x14ac:dyDescent="0.15">
      <c r="A24" s="78"/>
      <c r="B24" s="232"/>
      <c r="C24" s="233"/>
      <c r="D24" s="233"/>
      <c r="E24" s="233"/>
      <c r="F24" s="233"/>
      <c r="G24" s="233"/>
      <c r="H24" s="233"/>
      <c r="I24" s="233"/>
      <c r="J24" s="234"/>
      <c r="K24" s="27"/>
    </row>
    <row r="25" spans="1:11" s="4" customFormat="1" ht="18.75" customHeight="1" x14ac:dyDescent="0.15">
      <c r="A25" s="78"/>
      <c r="B25" s="235"/>
      <c r="C25" s="236"/>
      <c r="D25" s="236"/>
      <c r="E25" s="236"/>
      <c r="F25" s="236"/>
      <c r="G25" s="236"/>
      <c r="H25" s="236"/>
      <c r="I25" s="236"/>
      <c r="J25" s="237"/>
      <c r="K25" s="27"/>
    </row>
    <row r="26" spans="1:11" ht="7.5" customHeight="1" x14ac:dyDescent="0.15">
      <c r="A26" s="31"/>
      <c r="B26" s="31"/>
      <c r="C26" s="31"/>
      <c r="D26" s="31"/>
      <c r="E26" s="31"/>
      <c r="F26" s="31"/>
      <c r="G26" s="31"/>
      <c r="H26" s="31"/>
      <c r="I26" s="31"/>
      <c r="J26" s="31"/>
    </row>
    <row r="27" spans="1:11" s="4" customFormat="1" ht="18.75" customHeight="1" x14ac:dyDescent="0.15">
      <c r="A27" s="1" t="s">
        <v>11</v>
      </c>
      <c r="B27" s="1" t="s">
        <v>165</v>
      </c>
      <c r="C27" s="1"/>
      <c r="D27" s="1"/>
      <c r="E27" s="1"/>
      <c r="F27" s="1"/>
      <c r="G27" s="1"/>
      <c r="H27" s="1"/>
      <c r="I27" s="1"/>
      <c r="J27" s="1"/>
      <c r="K27" s="27"/>
    </row>
    <row r="28" spans="1:11" s="25" customFormat="1" ht="18.75" customHeight="1" x14ac:dyDescent="0.15">
      <c r="B28" s="102" t="s">
        <v>166</v>
      </c>
      <c r="C28" s="103">
        <f>'様式３　履修者等数の実績'!R30</f>
        <v>1.0169999999999999</v>
      </c>
      <c r="D28" s="104"/>
      <c r="E28" s="104" t="s">
        <v>167</v>
      </c>
      <c r="F28" s="103">
        <v>1</v>
      </c>
      <c r="G28" s="104"/>
      <c r="H28" s="104" t="s">
        <v>168</v>
      </c>
      <c r="I28" s="105">
        <v>1</v>
      </c>
      <c r="J28" s="80"/>
      <c r="K28" s="27"/>
    </row>
    <row r="29" spans="1:11" s="25" customFormat="1" ht="18.75" customHeight="1" x14ac:dyDescent="0.15">
      <c r="B29" s="106" t="s">
        <v>169</v>
      </c>
      <c r="C29" s="107">
        <v>1</v>
      </c>
      <c r="D29" s="108"/>
      <c r="E29" s="108" t="s">
        <v>170</v>
      </c>
      <c r="F29" s="107">
        <v>1</v>
      </c>
      <c r="G29" s="108"/>
      <c r="H29" s="108" t="s">
        <v>171</v>
      </c>
      <c r="I29" s="109">
        <f>'様式３　履修者等数の実績'!D30</f>
        <v>1000</v>
      </c>
      <c r="J29" s="81"/>
      <c r="K29" s="27"/>
    </row>
    <row r="30" spans="1:11" s="4" customFormat="1" ht="18.75" customHeight="1" x14ac:dyDescent="0.15">
      <c r="A30" s="1"/>
      <c r="B30" s="178" t="s">
        <v>172</v>
      </c>
      <c r="C30" s="179"/>
      <c r="D30" s="179"/>
      <c r="E30" s="179"/>
      <c r="F30" s="179"/>
      <c r="G30" s="179"/>
      <c r="H30" s="179"/>
      <c r="I30" s="179"/>
      <c r="J30" s="180"/>
      <c r="K30" s="27"/>
    </row>
    <row r="31" spans="1:11" s="4" customFormat="1" ht="18.75" customHeight="1" x14ac:dyDescent="0.15">
      <c r="A31" s="1"/>
      <c r="B31" s="229" t="s">
        <v>173</v>
      </c>
      <c r="C31" s="230"/>
      <c r="D31" s="230"/>
      <c r="E31" s="230"/>
      <c r="F31" s="230"/>
      <c r="G31" s="230"/>
      <c r="H31" s="230"/>
      <c r="I31" s="230"/>
      <c r="J31" s="231"/>
      <c r="K31" s="27" t="str">
        <f>IF(B31="","入力してください","")</f>
        <v/>
      </c>
    </row>
    <row r="32" spans="1:11" s="4" customFormat="1" ht="18.75" customHeight="1" x14ac:dyDescent="0.15">
      <c r="A32" s="1"/>
      <c r="B32" s="232"/>
      <c r="C32" s="233"/>
      <c r="D32" s="233"/>
      <c r="E32" s="233"/>
      <c r="F32" s="233"/>
      <c r="G32" s="233"/>
      <c r="H32" s="233"/>
      <c r="I32" s="233"/>
      <c r="J32" s="234"/>
      <c r="K32" s="27"/>
    </row>
    <row r="33" spans="1:11" s="4" customFormat="1" ht="18.75" customHeight="1" x14ac:dyDescent="0.15">
      <c r="A33" s="1"/>
      <c r="B33" s="232"/>
      <c r="C33" s="233"/>
      <c r="D33" s="233"/>
      <c r="E33" s="233"/>
      <c r="F33" s="233"/>
      <c r="G33" s="233"/>
      <c r="H33" s="233"/>
      <c r="I33" s="233"/>
      <c r="J33" s="234"/>
      <c r="K33" s="27"/>
    </row>
    <row r="34" spans="1:11" s="4" customFormat="1" ht="18.75" customHeight="1" x14ac:dyDescent="0.15">
      <c r="A34" s="1"/>
      <c r="B34" s="232"/>
      <c r="C34" s="233"/>
      <c r="D34" s="233"/>
      <c r="E34" s="233"/>
      <c r="F34" s="233"/>
      <c r="G34" s="233"/>
      <c r="H34" s="233"/>
      <c r="I34" s="233"/>
      <c r="J34" s="234"/>
      <c r="K34" s="27"/>
    </row>
    <row r="35" spans="1:11" s="4" customFormat="1" ht="18.75" customHeight="1" x14ac:dyDescent="0.15">
      <c r="A35" s="1"/>
      <c r="B35" s="232"/>
      <c r="C35" s="233"/>
      <c r="D35" s="233"/>
      <c r="E35" s="233"/>
      <c r="F35" s="233"/>
      <c r="G35" s="233"/>
      <c r="H35" s="233"/>
      <c r="I35" s="233"/>
      <c r="J35" s="234"/>
      <c r="K35" s="27"/>
    </row>
    <row r="36" spans="1:11" s="4" customFormat="1" ht="18.75" customHeight="1" x14ac:dyDescent="0.15">
      <c r="A36" s="1"/>
      <c r="B36" s="232"/>
      <c r="C36" s="233"/>
      <c r="D36" s="233"/>
      <c r="E36" s="233"/>
      <c r="F36" s="233"/>
      <c r="G36" s="233"/>
      <c r="H36" s="233"/>
      <c r="I36" s="233"/>
      <c r="J36" s="234"/>
      <c r="K36" s="27"/>
    </row>
    <row r="37" spans="1:11" s="4" customFormat="1" ht="18.75" customHeight="1" x14ac:dyDescent="0.15">
      <c r="A37" s="1"/>
      <c r="B37" s="232"/>
      <c r="C37" s="233"/>
      <c r="D37" s="233"/>
      <c r="E37" s="233"/>
      <c r="F37" s="233"/>
      <c r="G37" s="233"/>
      <c r="H37" s="233"/>
      <c r="I37" s="233"/>
      <c r="J37" s="234"/>
      <c r="K37" s="27"/>
    </row>
    <row r="38" spans="1:11" s="4" customFormat="1" ht="18.75" customHeight="1" x14ac:dyDescent="0.15">
      <c r="A38" s="1"/>
      <c r="B38" s="232"/>
      <c r="C38" s="233"/>
      <c r="D38" s="233"/>
      <c r="E38" s="233"/>
      <c r="F38" s="233"/>
      <c r="G38" s="233"/>
      <c r="H38" s="233"/>
      <c r="I38" s="233"/>
      <c r="J38" s="234"/>
      <c r="K38" s="27"/>
    </row>
    <row r="39" spans="1:11" s="4" customFormat="1" ht="18.75" customHeight="1" x14ac:dyDescent="0.15">
      <c r="A39" s="1"/>
      <c r="B39" s="232"/>
      <c r="C39" s="233"/>
      <c r="D39" s="233"/>
      <c r="E39" s="233"/>
      <c r="F39" s="233"/>
      <c r="G39" s="233"/>
      <c r="H39" s="233"/>
      <c r="I39" s="233"/>
      <c r="J39" s="234"/>
      <c r="K39" s="27"/>
    </row>
    <row r="40" spans="1:11" s="4" customFormat="1" ht="18.75" customHeight="1" x14ac:dyDescent="0.15">
      <c r="A40" s="1"/>
      <c r="B40" s="232"/>
      <c r="C40" s="233"/>
      <c r="D40" s="233"/>
      <c r="E40" s="233"/>
      <c r="F40" s="233"/>
      <c r="G40" s="233"/>
      <c r="H40" s="233"/>
      <c r="I40" s="233"/>
      <c r="J40" s="234"/>
      <c r="K40" s="27"/>
    </row>
    <row r="41" spans="1:11" s="4" customFormat="1" ht="18.75" customHeight="1" x14ac:dyDescent="0.15">
      <c r="A41" s="1"/>
      <c r="B41" s="232"/>
      <c r="C41" s="233"/>
      <c r="D41" s="233"/>
      <c r="E41" s="233"/>
      <c r="F41" s="233"/>
      <c r="G41" s="233"/>
      <c r="H41" s="233"/>
      <c r="I41" s="233"/>
      <c r="J41" s="234"/>
      <c r="K41" s="27"/>
    </row>
    <row r="42" spans="1:11" s="4" customFormat="1" ht="18.75" customHeight="1" x14ac:dyDescent="0.15">
      <c r="A42" s="1"/>
      <c r="B42" s="232"/>
      <c r="C42" s="233"/>
      <c r="D42" s="233"/>
      <c r="E42" s="233"/>
      <c r="F42" s="233"/>
      <c r="G42" s="233"/>
      <c r="H42" s="233"/>
      <c r="I42" s="233"/>
      <c r="J42" s="234"/>
      <c r="K42" s="27"/>
    </row>
    <row r="43" spans="1:11" ht="18.75" customHeight="1" x14ac:dyDescent="0.15">
      <c r="A43" s="31"/>
      <c r="B43" s="232"/>
      <c r="C43" s="233"/>
      <c r="D43" s="233"/>
      <c r="E43" s="233"/>
      <c r="F43" s="233"/>
      <c r="G43" s="233"/>
      <c r="H43" s="233"/>
      <c r="I43" s="233"/>
      <c r="J43" s="234"/>
    </row>
    <row r="44" spans="1:11" ht="18.75" customHeight="1" x14ac:dyDescent="0.15">
      <c r="A44" s="31"/>
      <c r="B44" s="235"/>
      <c r="C44" s="236"/>
      <c r="D44" s="236"/>
      <c r="E44" s="236"/>
      <c r="F44" s="236"/>
      <c r="G44" s="236"/>
      <c r="H44" s="236"/>
      <c r="I44" s="236"/>
      <c r="J44" s="237"/>
    </row>
    <row r="45" spans="1:11" s="4" customFormat="1" ht="18.75" customHeight="1" x14ac:dyDescent="0.15">
      <c r="A45" s="82" t="s">
        <v>14</v>
      </c>
      <c r="B45" s="1" t="s">
        <v>174</v>
      </c>
      <c r="C45" s="1"/>
      <c r="D45" s="1"/>
      <c r="E45" s="1"/>
      <c r="F45" s="1"/>
      <c r="G45" s="1"/>
      <c r="H45" s="1"/>
      <c r="I45" s="82"/>
      <c r="J45" s="82"/>
      <c r="K45" s="27"/>
    </row>
    <row r="46" spans="1:11" ht="18.75" customHeight="1" x14ac:dyDescent="0.15">
      <c r="A46" s="31"/>
      <c r="B46" s="242" t="s">
        <v>216</v>
      </c>
      <c r="C46" s="239"/>
      <c r="D46" s="239"/>
      <c r="E46" s="239"/>
      <c r="F46" s="239"/>
      <c r="G46" s="239"/>
      <c r="H46" s="239"/>
      <c r="I46" s="239"/>
      <c r="J46" s="243"/>
      <c r="K46" s="27" t="str">
        <f>IF(B46="","入力してください","")</f>
        <v/>
      </c>
    </row>
    <row r="47" spans="1:11" ht="18.75" customHeight="1" x14ac:dyDescent="0.15">
      <c r="A47" s="31"/>
      <c r="B47" s="244"/>
      <c r="C47" s="245"/>
      <c r="D47" s="245"/>
      <c r="E47" s="245"/>
      <c r="F47" s="245"/>
      <c r="G47" s="245"/>
      <c r="H47" s="245"/>
      <c r="I47" s="245"/>
      <c r="J47" s="246"/>
    </row>
    <row r="48" spans="1:11" ht="18.75" customHeight="1" x14ac:dyDescent="0.15">
      <c r="A48" s="31"/>
      <c r="B48" s="244"/>
      <c r="C48" s="245"/>
      <c r="D48" s="245"/>
      <c r="E48" s="245"/>
      <c r="F48" s="245"/>
      <c r="G48" s="245"/>
      <c r="H48" s="245"/>
      <c r="I48" s="245"/>
      <c r="J48" s="246"/>
    </row>
    <row r="49" spans="1:10" ht="18.75" customHeight="1" x14ac:dyDescent="0.15">
      <c r="A49" s="31"/>
      <c r="B49" s="244"/>
      <c r="C49" s="245"/>
      <c r="D49" s="245"/>
      <c r="E49" s="245"/>
      <c r="F49" s="245"/>
      <c r="G49" s="245"/>
      <c r="H49" s="245"/>
      <c r="I49" s="245"/>
      <c r="J49" s="246"/>
    </row>
    <row r="50" spans="1:10" ht="18.75" customHeight="1" x14ac:dyDescent="0.15">
      <c r="A50" s="31"/>
      <c r="B50" s="244"/>
      <c r="C50" s="245"/>
      <c r="D50" s="245"/>
      <c r="E50" s="245"/>
      <c r="F50" s="245"/>
      <c r="G50" s="245"/>
      <c r="H50" s="245"/>
      <c r="I50" s="245"/>
      <c r="J50" s="246"/>
    </row>
    <row r="51" spans="1:10" ht="18.75" customHeight="1" x14ac:dyDescent="0.15">
      <c r="A51" s="31"/>
      <c r="B51" s="244"/>
      <c r="C51" s="245"/>
      <c r="D51" s="245"/>
      <c r="E51" s="245"/>
      <c r="F51" s="245"/>
      <c r="G51" s="245"/>
      <c r="H51" s="245"/>
      <c r="I51" s="245"/>
      <c r="J51" s="246"/>
    </row>
    <row r="52" spans="1:10" ht="18.75" customHeight="1" x14ac:dyDescent="0.15">
      <c r="A52" s="31"/>
      <c r="B52" s="244"/>
      <c r="C52" s="245"/>
      <c r="D52" s="245"/>
      <c r="E52" s="245"/>
      <c r="F52" s="245"/>
      <c r="G52" s="245"/>
      <c r="H52" s="245"/>
      <c r="I52" s="245"/>
      <c r="J52" s="246"/>
    </row>
    <row r="53" spans="1:10" ht="18.75" customHeight="1" x14ac:dyDescent="0.15">
      <c r="A53" s="31"/>
      <c r="B53" s="244"/>
      <c r="C53" s="245"/>
      <c r="D53" s="245"/>
      <c r="E53" s="245"/>
      <c r="F53" s="245"/>
      <c r="G53" s="245"/>
      <c r="H53" s="245"/>
      <c r="I53" s="245"/>
      <c r="J53" s="246"/>
    </row>
    <row r="54" spans="1:10" ht="18.75" customHeight="1" x14ac:dyDescent="0.15">
      <c r="A54" s="31"/>
      <c r="B54" s="244"/>
      <c r="C54" s="245"/>
      <c r="D54" s="245"/>
      <c r="E54" s="245"/>
      <c r="F54" s="245"/>
      <c r="G54" s="245"/>
      <c r="H54" s="245"/>
      <c r="I54" s="245"/>
      <c r="J54" s="246"/>
    </row>
    <row r="55" spans="1:10" ht="18.75" customHeight="1" x14ac:dyDescent="0.15">
      <c r="A55" s="31"/>
      <c r="B55" s="244"/>
      <c r="C55" s="245"/>
      <c r="D55" s="245"/>
      <c r="E55" s="245"/>
      <c r="F55" s="245"/>
      <c r="G55" s="245"/>
      <c r="H55" s="245"/>
      <c r="I55" s="245"/>
      <c r="J55" s="246"/>
    </row>
    <row r="56" spans="1:10" ht="18.75" customHeight="1" x14ac:dyDescent="0.15">
      <c r="A56" s="31"/>
      <c r="B56" s="244"/>
      <c r="C56" s="245"/>
      <c r="D56" s="245"/>
      <c r="E56" s="245"/>
      <c r="F56" s="245"/>
      <c r="G56" s="245"/>
      <c r="H56" s="245"/>
      <c r="I56" s="245"/>
      <c r="J56" s="246"/>
    </row>
    <row r="57" spans="1:10" ht="18.75" customHeight="1" x14ac:dyDescent="0.15">
      <c r="A57" s="31"/>
      <c r="B57" s="244"/>
      <c r="C57" s="245"/>
      <c r="D57" s="245"/>
      <c r="E57" s="245"/>
      <c r="F57" s="245"/>
      <c r="G57" s="245"/>
      <c r="H57" s="245"/>
      <c r="I57" s="245"/>
      <c r="J57" s="246"/>
    </row>
    <row r="58" spans="1:10" ht="18.75" customHeight="1" x14ac:dyDescent="0.15">
      <c r="A58" s="31"/>
      <c r="B58" s="244"/>
      <c r="C58" s="245"/>
      <c r="D58" s="245"/>
      <c r="E58" s="245"/>
      <c r="F58" s="245"/>
      <c r="G58" s="245"/>
      <c r="H58" s="245"/>
      <c r="I58" s="245"/>
      <c r="J58" s="246"/>
    </row>
    <row r="59" spans="1:10" ht="18.75" customHeight="1" x14ac:dyDescent="0.15">
      <c r="A59" s="31"/>
      <c r="B59" s="244"/>
      <c r="C59" s="245"/>
      <c r="D59" s="245"/>
      <c r="E59" s="245"/>
      <c r="F59" s="245"/>
      <c r="G59" s="245"/>
      <c r="H59" s="245"/>
      <c r="I59" s="245"/>
      <c r="J59" s="246"/>
    </row>
    <row r="60" spans="1:10" ht="18.75" customHeight="1" x14ac:dyDescent="0.15">
      <c r="A60" s="31"/>
      <c r="B60" s="244"/>
      <c r="C60" s="245"/>
      <c r="D60" s="245"/>
      <c r="E60" s="245"/>
      <c r="F60" s="245"/>
      <c r="G60" s="245"/>
      <c r="H60" s="245"/>
      <c r="I60" s="245"/>
      <c r="J60" s="246"/>
    </row>
    <row r="61" spans="1:10" ht="18.75" customHeight="1" x14ac:dyDescent="0.15">
      <c r="A61" s="31"/>
      <c r="B61" s="244"/>
      <c r="C61" s="245"/>
      <c r="D61" s="245"/>
      <c r="E61" s="245"/>
      <c r="F61" s="245"/>
      <c r="G61" s="245"/>
      <c r="H61" s="245"/>
      <c r="I61" s="245"/>
      <c r="J61" s="246"/>
    </row>
    <row r="62" spans="1:10" ht="18.75" customHeight="1" x14ac:dyDescent="0.15">
      <c r="A62" s="31"/>
      <c r="B62" s="244"/>
      <c r="C62" s="245"/>
      <c r="D62" s="245"/>
      <c r="E62" s="245"/>
      <c r="F62" s="245"/>
      <c r="G62" s="245"/>
      <c r="H62" s="245"/>
      <c r="I62" s="245"/>
      <c r="J62" s="246"/>
    </row>
    <row r="63" spans="1:10" ht="18.75" customHeight="1" x14ac:dyDescent="0.15">
      <c r="A63" s="31"/>
      <c r="B63" s="244"/>
      <c r="C63" s="245"/>
      <c r="D63" s="245"/>
      <c r="E63" s="245"/>
      <c r="F63" s="245"/>
      <c r="G63" s="245"/>
      <c r="H63" s="245"/>
      <c r="I63" s="245"/>
      <c r="J63" s="246"/>
    </row>
    <row r="64" spans="1:10" ht="18.75" customHeight="1" x14ac:dyDescent="0.15">
      <c r="A64" s="31"/>
      <c r="B64" s="244"/>
      <c r="C64" s="245"/>
      <c r="D64" s="245"/>
      <c r="E64" s="245"/>
      <c r="F64" s="245"/>
      <c r="G64" s="245"/>
      <c r="H64" s="245"/>
      <c r="I64" s="245"/>
      <c r="J64" s="246"/>
    </row>
    <row r="65" spans="1:11" ht="18.75" customHeight="1" x14ac:dyDescent="0.15">
      <c r="A65" s="31"/>
      <c r="B65" s="244"/>
      <c r="C65" s="245"/>
      <c r="D65" s="245"/>
      <c r="E65" s="245"/>
      <c r="F65" s="245"/>
      <c r="G65" s="245"/>
      <c r="H65" s="245"/>
      <c r="I65" s="245"/>
      <c r="J65" s="246"/>
    </row>
    <row r="66" spans="1:11" ht="18.75" customHeight="1" x14ac:dyDescent="0.15">
      <c r="A66" s="31"/>
      <c r="B66" s="247"/>
      <c r="C66" s="248"/>
      <c r="D66" s="248"/>
      <c r="E66" s="248"/>
      <c r="F66" s="248"/>
      <c r="G66" s="248"/>
      <c r="H66" s="248"/>
      <c r="I66" s="248"/>
      <c r="J66" s="249"/>
    </row>
    <row r="67" spans="1:11" ht="7.5" customHeight="1" x14ac:dyDescent="0.15">
      <c r="A67" s="31"/>
      <c r="B67" s="31"/>
      <c r="C67" s="31"/>
      <c r="D67" s="31"/>
      <c r="E67" s="31"/>
      <c r="F67" s="31"/>
      <c r="G67" s="31"/>
      <c r="H67" s="31"/>
      <c r="I67" s="31"/>
      <c r="J67" s="31"/>
    </row>
    <row r="68" spans="1:11" s="4" customFormat="1" ht="18.75" customHeight="1" x14ac:dyDescent="0.15">
      <c r="A68" s="1" t="s">
        <v>17</v>
      </c>
      <c r="B68" s="1" t="s">
        <v>175</v>
      </c>
      <c r="C68" s="1"/>
      <c r="D68" s="1"/>
      <c r="E68" s="1"/>
      <c r="F68" s="1"/>
      <c r="G68" s="1"/>
      <c r="H68" s="1"/>
      <c r="I68" s="1"/>
      <c r="J68" s="1"/>
      <c r="K68" s="27"/>
    </row>
    <row r="69" spans="1:11" s="4" customFormat="1" ht="18.75" customHeight="1" x14ac:dyDescent="0.15">
      <c r="A69" s="1"/>
      <c r="B69" s="238" t="s">
        <v>217</v>
      </c>
      <c r="C69" s="239"/>
      <c r="D69" s="239"/>
      <c r="E69" s="239"/>
      <c r="F69" s="239"/>
      <c r="G69" s="239"/>
      <c r="H69" s="239"/>
      <c r="I69" s="240"/>
      <c r="J69" s="241"/>
      <c r="K69" s="27" t="str">
        <f>IF(B69="","入力してください","")</f>
        <v/>
      </c>
    </row>
    <row r="70" spans="1:11" s="4" customFormat="1" ht="18.75" customHeight="1" x14ac:dyDescent="0.15">
      <c r="A70" s="1"/>
      <c r="B70" s="232"/>
      <c r="C70" s="233"/>
      <c r="D70" s="233"/>
      <c r="E70" s="233"/>
      <c r="F70" s="233"/>
      <c r="G70" s="233"/>
      <c r="H70" s="233"/>
      <c r="I70" s="233"/>
      <c r="J70" s="234"/>
      <c r="K70" s="27"/>
    </row>
    <row r="71" spans="1:11" s="4" customFormat="1" ht="18.75" customHeight="1" x14ac:dyDescent="0.15">
      <c r="A71" s="1"/>
      <c r="B71" s="232"/>
      <c r="C71" s="233"/>
      <c r="D71" s="233"/>
      <c r="E71" s="233"/>
      <c r="F71" s="233"/>
      <c r="G71" s="233"/>
      <c r="H71" s="233"/>
      <c r="I71" s="233"/>
      <c r="J71" s="234"/>
      <c r="K71" s="27"/>
    </row>
    <row r="72" spans="1:11" s="4" customFormat="1" ht="18.75" customHeight="1" x14ac:dyDescent="0.15">
      <c r="A72" s="1"/>
      <c r="B72" s="232"/>
      <c r="C72" s="233"/>
      <c r="D72" s="233"/>
      <c r="E72" s="233"/>
      <c r="F72" s="233"/>
      <c r="G72" s="233"/>
      <c r="H72" s="233"/>
      <c r="I72" s="233"/>
      <c r="J72" s="234"/>
      <c r="K72" s="27"/>
    </row>
    <row r="73" spans="1:11" s="4" customFormat="1" ht="18.75" customHeight="1" x14ac:dyDescent="0.15">
      <c r="A73" s="1"/>
      <c r="B73" s="232"/>
      <c r="C73" s="233"/>
      <c r="D73" s="233"/>
      <c r="E73" s="233"/>
      <c r="F73" s="233"/>
      <c r="G73" s="233"/>
      <c r="H73" s="233"/>
      <c r="I73" s="233"/>
      <c r="J73" s="234"/>
      <c r="K73" s="27"/>
    </row>
    <row r="74" spans="1:11" s="4" customFormat="1" ht="18.75" customHeight="1" x14ac:dyDescent="0.15">
      <c r="A74" s="1"/>
      <c r="B74" s="232"/>
      <c r="C74" s="233"/>
      <c r="D74" s="233"/>
      <c r="E74" s="233"/>
      <c r="F74" s="233"/>
      <c r="G74" s="233"/>
      <c r="H74" s="233"/>
      <c r="I74" s="233"/>
      <c r="J74" s="234"/>
      <c r="K74" s="27"/>
    </row>
    <row r="75" spans="1:11" s="4" customFormat="1" ht="18.75" customHeight="1" x14ac:dyDescent="0.15">
      <c r="A75" s="1"/>
      <c r="B75" s="232"/>
      <c r="C75" s="233"/>
      <c r="D75" s="233"/>
      <c r="E75" s="233"/>
      <c r="F75" s="233"/>
      <c r="G75" s="233"/>
      <c r="H75" s="233"/>
      <c r="I75" s="233"/>
      <c r="J75" s="234"/>
      <c r="K75" s="27"/>
    </row>
    <row r="76" spans="1:11" s="4" customFormat="1" ht="18.75" customHeight="1" x14ac:dyDescent="0.15">
      <c r="A76" s="1"/>
      <c r="B76" s="232"/>
      <c r="C76" s="233"/>
      <c r="D76" s="233"/>
      <c r="E76" s="233"/>
      <c r="F76" s="233"/>
      <c r="G76" s="233"/>
      <c r="H76" s="233"/>
      <c r="I76" s="233"/>
      <c r="J76" s="234"/>
      <c r="K76" s="27"/>
    </row>
    <row r="77" spans="1:11" s="4" customFormat="1" ht="18.75" customHeight="1" x14ac:dyDescent="0.15">
      <c r="A77" s="1"/>
      <c r="B77" s="232"/>
      <c r="C77" s="233"/>
      <c r="D77" s="233"/>
      <c r="E77" s="233"/>
      <c r="F77" s="233"/>
      <c r="G77" s="233"/>
      <c r="H77" s="233"/>
      <c r="I77" s="233"/>
      <c r="J77" s="234"/>
      <c r="K77" s="27"/>
    </row>
    <row r="78" spans="1:11" s="4" customFormat="1" ht="18.75" customHeight="1" x14ac:dyDescent="0.15">
      <c r="A78" s="1"/>
      <c r="B78" s="232"/>
      <c r="C78" s="233"/>
      <c r="D78" s="233"/>
      <c r="E78" s="233"/>
      <c r="F78" s="233"/>
      <c r="G78" s="233"/>
      <c r="H78" s="233"/>
      <c r="I78" s="233"/>
      <c r="J78" s="234"/>
      <c r="K78" s="27"/>
    </row>
    <row r="79" spans="1:11" s="4" customFormat="1" ht="18.75" customHeight="1" x14ac:dyDescent="0.15">
      <c r="A79" s="1"/>
      <c r="B79" s="232"/>
      <c r="C79" s="233"/>
      <c r="D79" s="233"/>
      <c r="E79" s="233"/>
      <c r="F79" s="233"/>
      <c r="G79" s="233"/>
      <c r="H79" s="233"/>
      <c r="I79" s="233"/>
      <c r="J79" s="234"/>
      <c r="K79" s="27"/>
    </row>
    <row r="80" spans="1:11" s="4" customFormat="1" ht="18.75" customHeight="1" x14ac:dyDescent="0.15">
      <c r="A80" s="1"/>
      <c r="B80" s="232"/>
      <c r="C80" s="233"/>
      <c r="D80" s="233"/>
      <c r="E80" s="233"/>
      <c r="F80" s="233"/>
      <c r="G80" s="233"/>
      <c r="H80" s="233"/>
      <c r="I80" s="233"/>
      <c r="J80" s="234"/>
      <c r="K80" s="27"/>
    </row>
    <row r="81" spans="1:11" s="4" customFormat="1" ht="18.75" customHeight="1" x14ac:dyDescent="0.15">
      <c r="A81" s="1"/>
      <c r="B81" s="232"/>
      <c r="C81" s="233"/>
      <c r="D81" s="233"/>
      <c r="E81" s="233"/>
      <c r="F81" s="233"/>
      <c r="G81" s="233"/>
      <c r="H81" s="233"/>
      <c r="I81" s="233"/>
      <c r="J81" s="234"/>
      <c r="K81" s="27"/>
    </row>
    <row r="82" spans="1:11" s="4" customFormat="1" ht="18.75" customHeight="1" x14ac:dyDescent="0.15">
      <c r="A82" s="1"/>
      <c r="B82" s="232"/>
      <c r="C82" s="233"/>
      <c r="D82" s="233"/>
      <c r="E82" s="233"/>
      <c r="F82" s="233"/>
      <c r="G82" s="233"/>
      <c r="H82" s="233"/>
      <c r="I82" s="233"/>
      <c r="J82" s="234"/>
      <c r="K82" s="27"/>
    </row>
    <row r="83" spans="1:11" s="4" customFormat="1" ht="18.75" customHeight="1" x14ac:dyDescent="0.15">
      <c r="A83" s="1"/>
      <c r="B83" s="232"/>
      <c r="C83" s="233"/>
      <c r="D83" s="233"/>
      <c r="E83" s="233"/>
      <c r="F83" s="233"/>
      <c r="G83" s="233"/>
      <c r="H83" s="233"/>
      <c r="I83" s="233"/>
      <c r="J83" s="234"/>
      <c r="K83" s="27"/>
    </row>
    <row r="84" spans="1:11" s="4" customFormat="1" ht="18.75" customHeight="1" x14ac:dyDescent="0.15">
      <c r="A84" s="1"/>
      <c r="B84" s="232"/>
      <c r="C84" s="233"/>
      <c r="D84" s="233"/>
      <c r="E84" s="233"/>
      <c r="F84" s="233"/>
      <c r="G84" s="233"/>
      <c r="H84" s="233"/>
      <c r="I84" s="233"/>
      <c r="J84" s="234"/>
      <c r="K84" s="27"/>
    </row>
    <row r="85" spans="1:11" ht="18.75" customHeight="1" x14ac:dyDescent="0.15">
      <c r="A85" s="31"/>
      <c r="B85" s="232"/>
      <c r="C85" s="233"/>
      <c r="D85" s="233"/>
      <c r="E85" s="233"/>
      <c r="F85" s="233"/>
      <c r="G85" s="233"/>
      <c r="H85" s="233"/>
      <c r="I85" s="233"/>
      <c r="J85" s="234"/>
    </row>
    <row r="86" spans="1:11" ht="18.75" customHeight="1" x14ac:dyDescent="0.15">
      <c r="A86" s="31"/>
      <c r="B86" s="235"/>
      <c r="C86" s="236"/>
      <c r="D86" s="236"/>
      <c r="E86" s="236"/>
      <c r="F86" s="236"/>
      <c r="G86" s="236"/>
      <c r="H86" s="236"/>
      <c r="I86" s="236"/>
      <c r="J86" s="237"/>
    </row>
    <row r="87" spans="1:11" ht="7.5" customHeight="1" x14ac:dyDescent="0.15">
      <c r="A87" s="31"/>
      <c r="B87" s="31"/>
      <c r="C87" s="31"/>
      <c r="D87" s="31"/>
      <c r="E87" s="31"/>
      <c r="F87" s="31"/>
      <c r="G87" s="31"/>
      <c r="H87" s="31"/>
      <c r="I87" s="31"/>
      <c r="J87" s="31"/>
    </row>
    <row r="88" spans="1:11" s="4" customFormat="1" ht="18.75" customHeight="1" x14ac:dyDescent="0.15">
      <c r="A88" s="1" t="s">
        <v>176</v>
      </c>
      <c r="B88" s="1" t="s">
        <v>177</v>
      </c>
      <c r="C88" s="1"/>
      <c r="D88" s="1"/>
      <c r="E88" s="1"/>
      <c r="F88" s="1"/>
      <c r="G88" s="1"/>
      <c r="H88" s="1"/>
      <c r="I88" s="1"/>
      <c r="J88" s="1"/>
      <c r="K88" s="27"/>
    </row>
    <row r="89" spans="1:11" s="4" customFormat="1" ht="18.75" customHeight="1" x14ac:dyDescent="0.15">
      <c r="A89" s="1"/>
      <c r="B89" s="242" t="s">
        <v>178</v>
      </c>
      <c r="C89" s="239"/>
      <c r="D89" s="239"/>
      <c r="E89" s="239"/>
      <c r="F89" s="239"/>
      <c r="G89" s="239"/>
      <c r="H89" s="239"/>
      <c r="I89" s="240"/>
      <c r="J89" s="241"/>
      <c r="K89" s="27"/>
    </row>
    <row r="90" spans="1:11" s="4" customFormat="1" ht="18.75" customHeight="1" x14ac:dyDescent="0.15">
      <c r="A90" s="1"/>
      <c r="B90" s="232"/>
      <c r="C90" s="233"/>
      <c r="D90" s="233"/>
      <c r="E90" s="233"/>
      <c r="F90" s="233"/>
      <c r="G90" s="233"/>
      <c r="H90" s="233"/>
      <c r="I90" s="233"/>
      <c r="J90" s="234"/>
      <c r="K90" s="27"/>
    </row>
    <row r="91" spans="1:11" s="4" customFormat="1" ht="18.75" customHeight="1" x14ac:dyDescent="0.15">
      <c r="A91" s="1"/>
      <c r="B91" s="232"/>
      <c r="C91" s="233"/>
      <c r="D91" s="233"/>
      <c r="E91" s="233"/>
      <c r="F91" s="233"/>
      <c r="G91" s="233"/>
      <c r="H91" s="233"/>
      <c r="I91" s="233"/>
      <c r="J91" s="234"/>
      <c r="K91" s="27" t="str">
        <f>IF(B89="","入力してください","")</f>
        <v/>
      </c>
    </row>
    <row r="92" spans="1:11" s="4" customFormat="1" ht="18.75" customHeight="1" x14ac:dyDescent="0.15">
      <c r="A92" s="1"/>
      <c r="B92" s="232"/>
      <c r="C92" s="233"/>
      <c r="D92" s="233"/>
      <c r="E92" s="233"/>
      <c r="F92" s="233"/>
      <c r="G92" s="233"/>
      <c r="H92" s="233"/>
      <c r="I92" s="233"/>
      <c r="J92" s="234"/>
      <c r="K92" s="27"/>
    </row>
    <row r="93" spans="1:11" s="4" customFormat="1" ht="18.75" customHeight="1" x14ac:dyDescent="0.15">
      <c r="A93" s="1"/>
      <c r="B93" s="232"/>
      <c r="C93" s="233"/>
      <c r="D93" s="233"/>
      <c r="E93" s="233"/>
      <c r="F93" s="233"/>
      <c r="G93" s="233"/>
      <c r="H93" s="233"/>
      <c r="I93" s="233"/>
      <c r="J93" s="234"/>
      <c r="K93" s="27"/>
    </row>
    <row r="94" spans="1:11" s="4" customFormat="1" ht="18.75" customHeight="1" x14ac:dyDescent="0.15">
      <c r="A94" s="1"/>
      <c r="B94" s="232"/>
      <c r="C94" s="233"/>
      <c r="D94" s="233"/>
      <c r="E94" s="233"/>
      <c r="F94" s="233"/>
      <c r="G94" s="233"/>
      <c r="H94" s="233"/>
      <c r="I94" s="233"/>
      <c r="J94" s="234"/>
      <c r="K94" s="27"/>
    </row>
    <row r="95" spans="1:11" s="4" customFormat="1" ht="18.75" customHeight="1" x14ac:dyDescent="0.15">
      <c r="A95" s="1"/>
      <c r="B95" s="232"/>
      <c r="C95" s="233"/>
      <c r="D95" s="233"/>
      <c r="E95" s="233"/>
      <c r="F95" s="233"/>
      <c r="G95" s="233"/>
      <c r="H95" s="233"/>
      <c r="I95" s="233"/>
      <c r="J95" s="234"/>
      <c r="K95" s="27"/>
    </row>
    <row r="96" spans="1:11" s="4" customFormat="1" ht="18.75" customHeight="1" x14ac:dyDescent="0.15">
      <c r="A96" s="1"/>
      <c r="B96" s="232"/>
      <c r="C96" s="233"/>
      <c r="D96" s="233"/>
      <c r="E96" s="233"/>
      <c r="F96" s="233"/>
      <c r="G96" s="233"/>
      <c r="H96" s="233"/>
      <c r="I96" s="233"/>
      <c r="J96" s="234"/>
      <c r="K96" s="27"/>
    </row>
    <row r="97" spans="1:11" s="4" customFormat="1" ht="18.75" customHeight="1" x14ac:dyDescent="0.15">
      <c r="A97" s="1"/>
      <c r="B97" s="232"/>
      <c r="C97" s="233"/>
      <c r="D97" s="233"/>
      <c r="E97" s="233"/>
      <c r="F97" s="233"/>
      <c r="G97" s="233"/>
      <c r="H97" s="233"/>
      <c r="I97" s="233"/>
      <c r="J97" s="234"/>
      <c r="K97" s="27"/>
    </row>
    <row r="98" spans="1:11" s="4" customFormat="1" ht="18.75" customHeight="1" x14ac:dyDescent="0.15">
      <c r="A98" s="1"/>
      <c r="B98" s="232"/>
      <c r="C98" s="233"/>
      <c r="D98" s="233"/>
      <c r="E98" s="233"/>
      <c r="F98" s="233"/>
      <c r="G98" s="233"/>
      <c r="H98" s="233"/>
      <c r="I98" s="233"/>
      <c r="J98" s="234"/>
      <c r="K98" s="27"/>
    </row>
    <row r="99" spans="1:11" s="4" customFormat="1" ht="18.75" customHeight="1" x14ac:dyDescent="0.15">
      <c r="A99" s="1"/>
      <c r="B99" s="232"/>
      <c r="C99" s="233"/>
      <c r="D99" s="233"/>
      <c r="E99" s="233"/>
      <c r="F99" s="233"/>
      <c r="G99" s="233"/>
      <c r="H99" s="233"/>
      <c r="I99" s="233"/>
      <c r="J99" s="234"/>
      <c r="K99" s="27"/>
    </row>
    <row r="100" spans="1:11" s="4" customFormat="1" ht="18.75" customHeight="1" x14ac:dyDescent="0.15">
      <c r="A100" s="1"/>
      <c r="B100" s="232"/>
      <c r="C100" s="233"/>
      <c r="D100" s="233"/>
      <c r="E100" s="233"/>
      <c r="F100" s="233"/>
      <c r="G100" s="233"/>
      <c r="H100" s="233"/>
      <c r="I100" s="233"/>
      <c r="J100" s="234"/>
      <c r="K100" s="27"/>
    </row>
    <row r="101" spans="1:11" s="4" customFormat="1" ht="18.75" customHeight="1" x14ac:dyDescent="0.15">
      <c r="A101" s="1"/>
      <c r="B101" s="232"/>
      <c r="C101" s="233"/>
      <c r="D101" s="233"/>
      <c r="E101" s="233"/>
      <c r="F101" s="233"/>
      <c r="G101" s="233"/>
      <c r="H101" s="233"/>
      <c r="I101" s="233"/>
      <c r="J101" s="234"/>
      <c r="K101" s="27"/>
    </row>
    <row r="102" spans="1:11" s="4" customFormat="1" ht="18.75" customHeight="1" x14ac:dyDescent="0.15">
      <c r="A102" s="1"/>
      <c r="B102" s="232"/>
      <c r="C102" s="233"/>
      <c r="D102" s="233"/>
      <c r="E102" s="233"/>
      <c r="F102" s="233"/>
      <c r="G102" s="233"/>
      <c r="H102" s="233"/>
      <c r="I102" s="233"/>
      <c r="J102" s="234"/>
      <c r="K102" s="27"/>
    </row>
    <row r="103" spans="1:11" s="4" customFormat="1" ht="18.75" customHeight="1" x14ac:dyDescent="0.15">
      <c r="A103" s="1"/>
      <c r="B103" s="232"/>
      <c r="C103" s="233"/>
      <c r="D103" s="233"/>
      <c r="E103" s="233"/>
      <c r="F103" s="233"/>
      <c r="G103" s="233"/>
      <c r="H103" s="233"/>
      <c r="I103" s="233"/>
      <c r="J103" s="234"/>
      <c r="K103" s="27"/>
    </row>
    <row r="104" spans="1:11" s="4" customFormat="1" ht="18.75" customHeight="1" x14ac:dyDescent="0.15">
      <c r="A104" s="1"/>
      <c r="B104" s="232"/>
      <c r="C104" s="233"/>
      <c r="D104" s="233"/>
      <c r="E104" s="233"/>
      <c r="F104" s="233"/>
      <c r="G104" s="233"/>
      <c r="H104" s="233"/>
      <c r="I104" s="233"/>
      <c r="J104" s="234"/>
      <c r="K104" s="27"/>
    </row>
    <row r="105" spans="1:11" s="4" customFormat="1" ht="18.75" customHeight="1" x14ac:dyDescent="0.15">
      <c r="A105" s="1"/>
      <c r="B105" s="232"/>
      <c r="C105" s="233"/>
      <c r="D105" s="233"/>
      <c r="E105" s="233"/>
      <c r="F105" s="233"/>
      <c r="G105" s="233"/>
      <c r="H105" s="233"/>
      <c r="I105" s="233"/>
      <c r="J105" s="234"/>
      <c r="K105" s="27"/>
    </row>
    <row r="106" spans="1:11" s="4" customFormat="1" ht="18.75" customHeight="1" x14ac:dyDescent="0.15">
      <c r="A106" s="1"/>
      <c r="B106" s="232"/>
      <c r="C106" s="233"/>
      <c r="D106" s="233"/>
      <c r="E106" s="233"/>
      <c r="F106" s="233"/>
      <c r="G106" s="233"/>
      <c r="H106" s="233"/>
      <c r="I106" s="233"/>
      <c r="J106" s="234"/>
      <c r="K106" s="27"/>
    </row>
    <row r="107" spans="1:11" ht="18.75" customHeight="1" x14ac:dyDescent="0.15">
      <c r="A107" s="31"/>
      <c r="B107" s="232"/>
      <c r="C107" s="233"/>
      <c r="D107" s="233"/>
      <c r="E107" s="233"/>
      <c r="F107" s="233"/>
      <c r="G107" s="233"/>
      <c r="H107" s="233"/>
      <c r="I107" s="233"/>
      <c r="J107" s="234"/>
    </row>
    <row r="108" spans="1:11" ht="18.75" customHeight="1" x14ac:dyDescent="0.15">
      <c r="A108" s="31"/>
      <c r="B108" s="235"/>
      <c r="C108" s="236"/>
      <c r="D108" s="236"/>
      <c r="E108" s="236"/>
      <c r="F108" s="236"/>
      <c r="G108" s="236"/>
      <c r="H108" s="236"/>
      <c r="I108" s="236"/>
      <c r="J108" s="237"/>
    </row>
    <row r="109" spans="1:11" ht="7.5" customHeight="1" x14ac:dyDescent="0.15">
      <c r="A109" s="31"/>
      <c r="B109" s="31"/>
      <c r="C109" s="31"/>
      <c r="D109" s="31"/>
      <c r="E109" s="31"/>
      <c r="F109" s="31"/>
      <c r="G109" s="31"/>
      <c r="H109" s="31"/>
      <c r="I109" s="31"/>
      <c r="J109" s="31"/>
    </row>
    <row r="110" spans="1:11" s="4" customFormat="1" ht="18.75" customHeight="1" x14ac:dyDescent="0.15">
      <c r="A110" s="1" t="s">
        <v>22</v>
      </c>
      <c r="B110" s="250" t="s">
        <v>179</v>
      </c>
      <c r="C110" s="250"/>
      <c r="D110" s="250"/>
      <c r="E110" s="250"/>
      <c r="F110" s="250"/>
      <c r="G110" s="250"/>
      <c r="H110" s="250"/>
      <c r="I110" s="250"/>
      <c r="J110" s="250"/>
      <c r="K110" s="27"/>
    </row>
    <row r="111" spans="1:11" ht="18.75" customHeight="1" x14ac:dyDescent="0.15">
      <c r="A111" s="31"/>
      <c r="B111" s="242" t="s">
        <v>180</v>
      </c>
      <c r="C111" s="239"/>
      <c r="D111" s="239"/>
      <c r="E111" s="239"/>
      <c r="F111" s="239"/>
      <c r="G111" s="239"/>
      <c r="H111" s="239"/>
      <c r="I111" s="240"/>
      <c r="J111" s="241"/>
    </row>
    <row r="112" spans="1:11" ht="18.75" customHeight="1" x14ac:dyDescent="0.15">
      <c r="A112" s="31"/>
      <c r="B112" s="232"/>
      <c r="C112" s="233"/>
      <c r="D112" s="233"/>
      <c r="E112" s="233"/>
      <c r="F112" s="233"/>
      <c r="G112" s="233"/>
      <c r="H112" s="233"/>
      <c r="I112" s="233"/>
      <c r="J112" s="234"/>
    </row>
    <row r="113" spans="1:11" ht="18.75" customHeight="1" x14ac:dyDescent="0.15">
      <c r="A113" s="31"/>
      <c r="B113" s="232"/>
      <c r="C113" s="233"/>
      <c r="D113" s="233"/>
      <c r="E113" s="233"/>
      <c r="F113" s="233"/>
      <c r="G113" s="233"/>
      <c r="H113" s="233"/>
      <c r="I113" s="233"/>
      <c r="J113" s="234"/>
      <c r="K113" s="27" t="str">
        <f>IF(B111="","入力してください","")</f>
        <v/>
      </c>
    </row>
    <row r="114" spans="1:11" ht="18.75" customHeight="1" x14ac:dyDescent="0.15">
      <c r="A114" s="31"/>
      <c r="B114" s="232"/>
      <c r="C114" s="233"/>
      <c r="D114" s="233"/>
      <c r="E114" s="233"/>
      <c r="F114" s="233"/>
      <c r="G114" s="233"/>
      <c r="H114" s="233"/>
      <c r="I114" s="233"/>
      <c r="J114" s="234"/>
    </row>
    <row r="115" spans="1:11" ht="18.75" customHeight="1" x14ac:dyDescent="0.15">
      <c r="A115" s="31"/>
      <c r="B115" s="232"/>
      <c r="C115" s="233"/>
      <c r="D115" s="233"/>
      <c r="E115" s="233"/>
      <c r="F115" s="233"/>
      <c r="G115" s="233"/>
      <c r="H115" s="233"/>
      <c r="I115" s="233"/>
      <c r="J115" s="234"/>
    </row>
    <row r="116" spans="1:11" ht="18.75" customHeight="1" x14ac:dyDescent="0.15">
      <c r="A116" s="31"/>
      <c r="B116" s="232"/>
      <c r="C116" s="233"/>
      <c r="D116" s="233"/>
      <c r="E116" s="233"/>
      <c r="F116" s="233"/>
      <c r="G116" s="233"/>
      <c r="H116" s="233"/>
      <c r="I116" s="233"/>
      <c r="J116" s="234"/>
    </row>
    <row r="117" spans="1:11" ht="18.75" customHeight="1" x14ac:dyDescent="0.15">
      <c r="A117" s="31"/>
      <c r="B117" s="232"/>
      <c r="C117" s="233"/>
      <c r="D117" s="233"/>
      <c r="E117" s="233"/>
      <c r="F117" s="233"/>
      <c r="G117" s="233"/>
      <c r="H117" s="233"/>
      <c r="I117" s="233"/>
      <c r="J117" s="234"/>
    </row>
    <row r="118" spans="1:11" ht="18.75" customHeight="1" x14ac:dyDescent="0.15">
      <c r="A118" s="31"/>
      <c r="B118" s="232"/>
      <c r="C118" s="233"/>
      <c r="D118" s="233"/>
      <c r="E118" s="233"/>
      <c r="F118" s="233"/>
      <c r="G118" s="233"/>
      <c r="H118" s="233"/>
      <c r="I118" s="233"/>
      <c r="J118" s="234"/>
    </row>
    <row r="119" spans="1:11" ht="18.75" customHeight="1" x14ac:dyDescent="0.15">
      <c r="A119" s="31"/>
      <c r="B119" s="232"/>
      <c r="C119" s="233"/>
      <c r="D119" s="233"/>
      <c r="E119" s="233"/>
      <c r="F119" s="233"/>
      <c r="G119" s="233"/>
      <c r="H119" s="233"/>
      <c r="I119" s="233"/>
      <c r="J119" s="234"/>
    </row>
    <row r="120" spans="1:11" ht="18.75" customHeight="1" x14ac:dyDescent="0.15">
      <c r="A120" s="31"/>
      <c r="B120" s="232"/>
      <c r="C120" s="233"/>
      <c r="D120" s="233"/>
      <c r="E120" s="233"/>
      <c r="F120" s="233"/>
      <c r="G120" s="233"/>
      <c r="H120" s="233"/>
      <c r="I120" s="233"/>
      <c r="J120" s="234"/>
    </row>
    <row r="121" spans="1:11" ht="18.75" customHeight="1" x14ac:dyDescent="0.15">
      <c r="A121" s="31"/>
      <c r="B121" s="232"/>
      <c r="C121" s="233"/>
      <c r="D121" s="233"/>
      <c r="E121" s="233"/>
      <c r="F121" s="233"/>
      <c r="G121" s="233"/>
      <c r="H121" s="233"/>
      <c r="I121" s="233"/>
      <c r="J121" s="234"/>
    </row>
    <row r="122" spans="1:11" ht="18.75" customHeight="1" x14ac:dyDescent="0.15">
      <c r="A122" s="31"/>
      <c r="B122" s="232"/>
      <c r="C122" s="233"/>
      <c r="D122" s="233"/>
      <c r="E122" s="233"/>
      <c r="F122" s="233"/>
      <c r="G122" s="233"/>
      <c r="H122" s="233"/>
      <c r="I122" s="233"/>
      <c r="J122" s="234"/>
    </row>
    <row r="123" spans="1:11" ht="18.75" customHeight="1" x14ac:dyDescent="0.15">
      <c r="A123" s="31"/>
      <c r="B123" s="232"/>
      <c r="C123" s="233"/>
      <c r="D123" s="233"/>
      <c r="E123" s="233"/>
      <c r="F123" s="233"/>
      <c r="G123" s="233"/>
      <c r="H123" s="233"/>
      <c r="I123" s="233"/>
      <c r="J123" s="234"/>
    </row>
    <row r="124" spans="1:11" ht="18.75" customHeight="1" x14ac:dyDescent="0.15">
      <c r="A124" s="31"/>
      <c r="B124" s="232"/>
      <c r="C124" s="233"/>
      <c r="D124" s="233"/>
      <c r="E124" s="233"/>
      <c r="F124" s="233"/>
      <c r="G124" s="233"/>
      <c r="H124" s="233"/>
      <c r="I124" s="233"/>
      <c r="J124" s="234"/>
    </row>
    <row r="125" spans="1:11" ht="18.75" customHeight="1" x14ac:dyDescent="0.15">
      <c r="A125" s="31"/>
      <c r="B125" s="232"/>
      <c r="C125" s="233"/>
      <c r="D125" s="233"/>
      <c r="E125" s="233"/>
      <c r="F125" s="233"/>
      <c r="G125" s="233"/>
      <c r="H125" s="233"/>
      <c r="I125" s="233"/>
      <c r="J125" s="234"/>
    </row>
    <row r="126" spans="1:11" ht="18.75" customHeight="1" x14ac:dyDescent="0.15">
      <c r="A126" s="31"/>
      <c r="B126" s="232"/>
      <c r="C126" s="233"/>
      <c r="D126" s="233"/>
      <c r="E126" s="233"/>
      <c r="F126" s="233"/>
      <c r="G126" s="233"/>
      <c r="H126" s="233"/>
      <c r="I126" s="233"/>
      <c r="J126" s="234"/>
    </row>
    <row r="127" spans="1:11" ht="18.75" customHeight="1" x14ac:dyDescent="0.15">
      <c r="A127" s="31"/>
      <c r="B127" s="232"/>
      <c r="C127" s="233"/>
      <c r="D127" s="233"/>
      <c r="E127" s="233"/>
      <c r="F127" s="233"/>
      <c r="G127" s="233"/>
      <c r="H127" s="233"/>
      <c r="I127" s="233"/>
      <c r="J127" s="234"/>
    </row>
    <row r="128" spans="1:11" ht="18.75" customHeight="1" x14ac:dyDescent="0.15">
      <c r="A128" s="31"/>
      <c r="B128" s="232"/>
      <c r="C128" s="233"/>
      <c r="D128" s="233"/>
      <c r="E128" s="233"/>
      <c r="F128" s="233"/>
      <c r="G128" s="233"/>
      <c r="H128" s="233"/>
      <c r="I128" s="233"/>
      <c r="J128" s="234"/>
    </row>
    <row r="129" spans="1:10" ht="18.75" customHeight="1" x14ac:dyDescent="0.15">
      <c r="A129" s="31"/>
      <c r="B129" s="235"/>
      <c r="C129" s="236"/>
      <c r="D129" s="236"/>
      <c r="E129" s="236"/>
      <c r="F129" s="236"/>
      <c r="G129" s="236"/>
      <c r="H129" s="236"/>
      <c r="I129" s="236"/>
      <c r="J129" s="237"/>
    </row>
    <row r="130" spans="1:10" ht="7.5" customHeight="1" x14ac:dyDescent="0.15">
      <c r="A130" s="31"/>
      <c r="B130" s="83"/>
      <c r="C130" s="83"/>
      <c r="D130" s="83"/>
      <c r="E130" s="83"/>
      <c r="F130" s="83"/>
      <c r="G130" s="83"/>
      <c r="H130" s="83"/>
      <c r="I130" s="83"/>
      <c r="J130" s="83"/>
    </row>
    <row r="131" spans="1:10" ht="18.75" customHeight="1" x14ac:dyDescent="0.15">
      <c r="A131" s="31"/>
      <c r="B131" s="31"/>
      <c r="C131" s="31"/>
      <c r="D131" s="31"/>
      <c r="E131" s="31"/>
      <c r="F131" s="31"/>
      <c r="G131" s="31"/>
      <c r="H131" s="31"/>
      <c r="I131" s="31"/>
      <c r="J131" s="31"/>
    </row>
    <row r="132" spans="1:10" ht="18.75" customHeight="1" x14ac:dyDescent="0.15">
      <c r="A132" s="31"/>
      <c r="B132" s="31"/>
      <c r="C132" s="31"/>
      <c r="D132" s="31"/>
      <c r="E132" s="31"/>
      <c r="F132" s="31"/>
      <c r="G132" s="31"/>
      <c r="H132" s="31"/>
      <c r="I132" s="31"/>
      <c r="J132" s="31"/>
    </row>
    <row r="133" spans="1:10" ht="18.75" customHeight="1" x14ac:dyDescent="0.15">
      <c r="A133" s="31"/>
      <c r="B133" s="31"/>
      <c r="C133" s="31"/>
      <c r="D133" s="31"/>
      <c r="E133" s="31"/>
      <c r="F133" s="31"/>
      <c r="G133" s="31"/>
      <c r="H133" s="31"/>
      <c r="I133" s="31"/>
      <c r="J133" s="31"/>
    </row>
    <row r="134" spans="1:10" ht="18.75" customHeight="1" x14ac:dyDescent="0.15">
      <c r="A134" s="31"/>
      <c r="B134" s="31"/>
      <c r="C134" s="31"/>
      <c r="D134" s="31"/>
      <c r="E134" s="31"/>
      <c r="F134" s="31"/>
      <c r="G134" s="31"/>
      <c r="H134" s="31"/>
      <c r="I134" s="31"/>
      <c r="J134" s="31"/>
    </row>
    <row r="135" spans="1:10" ht="18.75" customHeight="1" x14ac:dyDescent="0.15">
      <c r="A135" s="31"/>
      <c r="B135" s="31"/>
      <c r="C135" s="31"/>
      <c r="D135" s="31"/>
      <c r="E135" s="31"/>
      <c r="F135" s="31"/>
      <c r="G135" s="31"/>
      <c r="H135" s="31"/>
      <c r="I135" s="31"/>
      <c r="J135" s="31"/>
    </row>
    <row r="136" spans="1:10" ht="18.75" customHeight="1" x14ac:dyDescent="0.15">
      <c r="A136" s="31"/>
      <c r="B136" s="31"/>
      <c r="C136" s="31"/>
      <c r="D136" s="31"/>
      <c r="E136" s="31"/>
      <c r="F136" s="31"/>
      <c r="G136" s="31"/>
      <c r="H136" s="31"/>
      <c r="I136" s="31"/>
      <c r="J136" s="31"/>
    </row>
    <row r="137" spans="1:10" ht="18.75" customHeight="1" x14ac:dyDescent="0.15">
      <c r="A137" s="31"/>
      <c r="B137" s="31"/>
      <c r="C137" s="31"/>
      <c r="D137" s="31"/>
      <c r="E137" s="31"/>
      <c r="F137" s="31"/>
      <c r="G137" s="31"/>
      <c r="H137" s="31"/>
      <c r="I137" s="31"/>
      <c r="J137" s="31"/>
    </row>
    <row r="138" spans="1:10" ht="18.75" customHeight="1" x14ac:dyDescent="0.15">
      <c r="A138" s="31"/>
      <c r="B138" s="31"/>
      <c r="C138" s="31"/>
      <c r="D138" s="31"/>
      <c r="E138" s="31"/>
      <c r="F138" s="31"/>
      <c r="G138" s="31"/>
      <c r="H138" s="31"/>
      <c r="I138" s="31"/>
      <c r="J138" s="31"/>
    </row>
    <row r="139" spans="1:10" ht="18.75" customHeight="1" x14ac:dyDescent="0.15">
      <c r="A139" s="31"/>
      <c r="B139" s="31"/>
      <c r="C139" s="31"/>
      <c r="D139" s="31"/>
      <c r="E139" s="31"/>
      <c r="F139" s="31"/>
      <c r="G139" s="31"/>
      <c r="H139" s="31"/>
      <c r="I139" s="31"/>
      <c r="J139" s="31"/>
    </row>
    <row r="140" spans="1:10" ht="18.75" customHeight="1" x14ac:dyDescent="0.15">
      <c r="A140" s="31"/>
      <c r="B140" s="31"/>
      <c r="C140" s="31"/>
      <c r="D140" s="31"/>
      <c r="E140" s="31"/>
      <c r="F140" s="31"/>
      <c r="G140" s="31"/>
      <c r="H140" s="31"/>
      <c r="I140" s="31"/>
      <c r="J140" s="31"/>
    </row>
    <row r="141" spans="1:10" ht="18.75" customHeight="1" x14ac:dyDescent="0.15">
      <c r="A141" s="31"/>
      <c r="B141" s="31"/>
      <c r="C141" s="31"/>
      <c r="D141" s="31"/>
      <c r="E141" s="31"/>
      <c r="F141" s="31"/>
      <c r="G141" s="31"/>
      <c r="H141" s="31"/>
      <c r="I141" s="31"/>
      <c r="J141" s="31"/>
    </row>
    <row r="142" spans="1:10" ht="18.75" customHeight="1" x14ac:dyDescent="0.15">
      <c r="A142" s="31"/>
      <c r="B142" s="31"/>
      <c r="C142" s="31"/>
      <c r="D142" s="31"/>
      <c r="E142" s="31"/>
      <c r="F142" s="31"/>
      <c r="G142" s="31"/>
      <c r="H142" s="31"/>
      <c r="I142" s="31"/>
      <c r="J142" s="31"/>
    </row>
    <row r="143" spans="1:10" ht="14.25" x14ac:dyDescent="0.15">
      <c r="A143" s="31"/>
      <c r="B143" s="31"/>
      <c r="C143" s="31"/>
      <c r="D143" s="31"/>
      <c r="E143" s="31"/>
      <c r="F143" s="31"/>
      <c r="G143" s="31"/>
      <c r="H143" s="31"/>
      <c r="I143" s="31"/>
      <c r="J143" s="31"/>
    </row>
    <row r="144" spans="1:10" ht="7.5" customHeight="1" x14ac:dyDescent="0.15">
      <c r="A144" s="84"/>
      <c r="B144" s="84"/>
      <c r="C144" s="84"/>
      <c r="D144" s="84"/>
      <c r="E144" s="84"/>
      <c r="F144" s="84"/>
      <c r="G144" s="84"/>
      <c r="H144" s="84"/>
      <c r="I144" s="84"/>
      <c r="J144" s="84"/>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showZeros="0" view="pageBreakPreview" zoomScaleNormal="100" zoomScaleSheetLayoutView="100" workbookViewId="0"/>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181</v>
      </c>
      <c r="J1" s="33" t="s">
        <v>182</v>
      </c>
    </row>
    <row r="2" spans="1:11" ht="18.75" customHeight="1" x14ac:dyDescent="0.15">
      <c r="A2" s="213" t="s">
        <v>183</v>
      </c>
      <c r="B2" s="213"/>
      <c r="C2" s="213"/>
      <c r="D2" s="213"/>
      <c r="E2" s="213"/>
      <c r="F2" s="213"/>
      <c r="G2" s="213"/>
      <c r="H2" s="213"/>
      <c r="I2" s="213"/>
      <c r="J2" s="213"/>
    </row>
    <row r="3" spans="1:11" ht="7.5" customHeight="1" x14ac:dyDescent="0.15">
      <c r="A3" s="34"/>
      <c r="B3" s="34"/>
      <c r="C3" s="34"/>
      <c r="D3" s="34"/>
      <c r="E3" s="34"/>
      <c r="F3" s="34"/>
      <c r="G3" s="34"/>
      <c r="H3" s="34"/>
      <c r="I3" s="34"/>
      <c r="J3" s="34"/>
    </row>
    <row r="4" spans="1:11" ht="18.75" customHeight="1" x14ac:dyDescent="0.15">
      <c r="A4" s="1" t="s">
        <v>2</v>
      </c>
      <c r="B4" s="4" t="s">
        <v>184</v>
      </c>
      <c r="C4" s="31"/>
      <c r="D4" s="31"/>
      <c r="E4" s="32"/>
      <c r="F4" s="32"/>
      <c r="G4" s="32"/>
      <c r="H4" s="32"/>
      <c r="I4" s="32"/>
      <c r="J4" s="32"/>
    </row>
    <row r="5" spans="1:11" ht="18.75" customHeight="1" x14ac:dyDescent="0.15">
      <c r="B5" s="256" t="s">
        <v>185</v>
      </c>
      <c r="C5" s="257"/>
      <c r="D5" s="258"/>
      <c r="E5" s="259" t="s">
        <v>186</v>
      </c>
      <c r="F5" s="259"/>
      <c r="G5" s="259"/>
      <c r="H5" s="259"/>
      <c r="I5" s="259"/>
      <c r="J5" s="260"/>
    </row>
    <row r="6" spans="1:11" ht="18.75" customHeight="1" x14ac:dyDescent="0.15">
      <c r="B6" s="3" t="s">
        <v>187</v>
      </c>
      <c r="C6" s="31"/>
      <c r="D6" s="7"/>
      <c r="I6" s="32"/>
      <c r="J6" s="5"/>
    </row>
    <row r="7" spans="1:11" ht="207" customHeight="1" x14ac:dyDescent="0.15">
      <c r="B7" s="6"/>
      <c r="C7" s="261" t="s">
        <v>188</v>
      </c>
      <c r="D7" s="262"/>
      <c r="E7" s="253" t="s">
        <v>189</v>
      </c>
      <c r="F7" s="254"/>
      <c r="G7" s="254"/>
      <c r="H7" s="254"/>
      <c r="I7" s="254"/>
      <c r="J7" s="255"/>
      <c r="K7" s="27" t="str">
        <f>IF(E7="","入力してください","")</f>
        <v/>
      </c>
    </row>
    <row r="8" spans="1:11" ht="207" customHeight="1" x14ac:dyDescent="0.15">
      <c r="B8" s="6"/>
      <c r="C8" s="251" t="s">
        <v>190</v>
      </c>
      <c r="D8" s="252"/>
      <c r="E8" s="253" t="s">
        <v>191</v>
      </c>
      <c r="F8" s="254"/>
      <c r="G8" s="254"/>
      <c r="H8" s="254"/>
      <c r="I8" s="254"/>
      <c r="J8" s="255"/>
      <c r="K8" s="27" t="str">
        <f>IF(E8="","入力してください","")</f>
        <v/>
      </c>
    </row>
    <row r="9" spans="1:11" ht="172.5" customHeight="1" x14ac:dyDescent="0.15">
      <c r="B9" s="6"/>
      <c r="C9" s="261" t="s">
        <v>192</v>
      </c>
      <c r="D9" s="262"/>
      <c r="E9" s="253" t="s">
        <v>193</v>
      </c>
      <c r="F9" s="254"/>
      <c r="G9" s="254"/>
      <c r="H9" s="254"/>
      <c r="I9" s="254"/>
      <c r="J9" s="255"/>
      <c r="K9" s="27" t="str">
        <f>IF(E9="","入力してください","")</f>
        <v/>
      </c>
    </row>
    <row r="10" spans="1:11" ht="172.5" customHeight="1" x14ac:dyDescent="0.15">
      <c r="B10" s="6"/>
      <c r="C10" s="261" t="s">
        <v>194</v>
      </c>
      <c r="D10" s="262"/>
      <c r="E10" s="253" t="s">
        <v>195</v>
      </c>
      <c r="F10" s="254"/>
      <c r="G10" s="254"/>
      <c r="H10" s="254"/>
      <c r="I10" s="254"/>
      <c r="J10" s="255"/>
      <c r="K10" s="27" t="str">
        <f t="shared" ref="K10:K14" si="0">IF(E10="","入力してください","")</f>
        <v/>
      </c>
    </row>
    <row r="11" spans="1:11" ht="172.5" customHeight="1" x14ac:dyDescent="0.15">
      <c r="B11" s="6"/>
      <c r="C11" s="261" t="s">
        <v>196</v>
      </c>
      <c r="D11" s="262"/>
      <c r="E11" s="253" t="s">
        <v>197</v>
      </c>
      <c r="F11" s="254"/>
      <c r="G11" s="254"/>
      <c r="H11" s="254"/>
      <c r="I11" s="254"/>
      <c r="J11" s="255"/>
      <c r="K11" s="27" t="str">
        <f t="shared" si="0"/>
        <v/>
      </c>
    </row>
    <row r="12" spans="1:11" ht="18.75" customHeight="1" x14ac:dyDescent="0.15">
      <c r="B12" s="9" t="s">
        <v>198</v>
      </c>
      <c r="C12" s="24"/>
      <c r="D12" s="8"/>
      <c r="E12" s="94"/>
      <c r="F12" s="94"/>
      <c r="G12" s="94"/>
      <c r="H12" s="94"/>
      <c r="I12" s="94"/>
      <c r="J12" s="95"/>
    </row>
    <row r="13" spans="1:11" ht="244.15" customHeight="1" x14ac:dyDescent="0.15">
      <c r="B13" s="6"/>
      <c r="C13" s="261" t="s">
        <v>199</v>
      </c>
      <c r="D13" s="262"/>
      <c r="E13" s="254" t="s">
        <v>200</v>
      </c>
      <c r="F13" s="254"/>
      <c r="G13" s="254"/>
      <c r="H13" s="254"/>
      <c r="I13" s="254"/>
      <c r="J13" s="255"/>
      <c r="K13" s="27" t="str">
        <f t="shared" si="0"/>
        <v/>
      </c>
    </row>
    <row r="14" spans="1:11" ht="255" customHeight="1" x14ac:dyDescent="0.15">
      <c r="B14" s="6"/>
      <c r="C14" s="261" t="s">
        <v>201</v>
      </c>
      <c r="D14" s="262"/>
      <c r="E14" s="254" t="s">
        <v>202</v>
      </c>
      <c r="F14" s="254"/>
      <c r="G14" s="254"/>
      <c r="H14" s="254"/>
      <c r="I14" s="254"/>
      <c r="J14" s="255"/>
      <c r="K14" s="27" t="str">
        <f t="shared" si="0"/>
        <v/>
      </c>
    </row>
    <row r="15" spans="1:11" ht="243" customHeight="1" x14ac:dyDescent="0.15">
      <c r="B15" s="269" t="s">
        <v>203</v>
      </c>
      <c r="C15" s="270"/>
      <c r="D15" s="262"/>
      <c r="E15" s="254" t="s">
        <v>204</v>
      </c>
      <c r="F15" s="254"/>
      <c r="G15" s="254"/>
      <c r="H15" s="254"/>
      <c r="I15" s="254"/>
      <c r="J15" s="255"/>
      <c r="K15" s="27" t="str">
        <f>IF(E15="","入力してください","")</f>
        <v/>
      </c>
    </row>
    <row r="16" spans="1:11" ht="243" customHeight="1" x14ac:dyDescent="0.15">
      <c r="A16" s="27"/>
      <c r="B16" s="263" t="s">
        <v>205</v>
      </c>
      <c r="C16" s="264"/>
      <c r="D16" s="265"/>
      <c r="E16" s="248" t="s">
        <v>206</v>
      </c>
      <c r="F16" s="248"/>
      <c r="G16" s="248"/>
      <c r="H16" s="248"/>
      <c r="I16" s="248"/>
      <c r="J16" s="249"/>
      <c r="K16" s="27" t="str">
        <f>IF(E16="","入力してください","")</f>
        <v/>
      </c>
    </row>
    <row r="17" spans="1:11" ht="7.5" customHeight="1" x14ac:dyDescent="0.15">
      <c r="B17" s="31"/>
      <c r="C17" s="31"/>
      <c r="D17" s="31"/>
      <c r="E17" s="32"/>
      <c r="F17" s="32"/>
      <c r="G17" s="32"/>
      <c r="H17" s="32"/>
      <c r="I17" s="32"/>
      <c r="J17" s="32"/>
    </row>
    <row r="18" spans="1:11" ht="18.75" customHeight="1" x14ac:dyDescent="0.15">
      <c r="A18" s="1" t="s">
        <v>207</v>
      </c>
      <c r="B18" s="4"/>
      <c r="C18" s="31"/>
      <c r="D18" s="31"/>
      <c r="E18" s="32"/>
      <c r="F18" s="79"/>
      <c r="G18" s="266" t="s">
        <v>208</v>
      </c>
      <c r="H18" s="267"/>
      <c r="I18" s="267"/>
      <c r="J18" s="268"/>
      <c r="K18" s="27" t="str">
        <f>IF(G18="","入力してください","")</f>
        <v/>
      </c>
    </row>
    <row r="19" spans="1:11" ht="22.5" customHeight="1" x14ac:dyDescent="0.15">
      <c r="B19" s="31"/>
      <c r="C19" s="31"/>
      <c r="D19" s="31"/>
      <c r="E19" s="32"/>
      <c r="F19" s="32"/>
      <c r="G19" s="32"/>
      <c r="H19" s="32"/>
      <c r="I19" s="32"/>
      <c r="J19" s="32"/>
    </row>
    <row r="20" spans="1:11" ht="22.5" customHeight="1" x14ac:dyDescent="0.15">
      <c r="B20" s="31"/>
      <c r="C20" s="31"/>
      <c r="D20" s="31"/>
      <c r="E20" s="32"/>
      <c r="F20" s="32"/>
      <c r="G20" s="32"/>
      <c r="H20" s="32"/>
      <c r="I20" s="32"/>
      <c r="J20" s="32"/>
    </row>
    <row r="21" spans="1:11" ht="22.5" customHeight="1" x14ac:dyDescent="0.15">
      <c r="B21" s="31"/>
      <c r="C21" s="31"/>
      <c r="D21" s="31"/>
      <c r="E21" s="32"/>
      <c r="F21" s="32"/>
      <c r="G21" s="32"/>
      <c r="H21" s="32"/>
      <c r="I21" s="32"/>
      <c r="J21" s="32"/>
    </row>
    <row r="22" spans="1:11" ht="22.5" customHeight="1" x14ac:dyDescent="0.15">
      <c r="B22" s="31"/>
      <c r="C22" s="31"/>
      <c r="D22" s="31"/>
      <c r="E22" s="32"/>
      <c r="F22" s="32"/>
      <c r="G22" s="32"/>
      <c r="H22" s="32"/>
      <c r="I22" s="32"/>
      <c r="J22" s="32"/>
    </row>
    <row r="23" spans="1:11" ht="22.5" customHeight="1" x14ac:dyDescent="0.15">
      <c r="B23" s="31"/>
      <c r="C23" s="31"/>
      <c r="D23" s="31"/>
      <c r="E23" s="32"/>
      <c r="F23" s="32"/>
      <c r="G23" s="32"/>
      <c r="H23" s="32"/>
      <c r="I23" s="32"/>
      <c r="J23" s="32"/>
    </row>
    <row r="24" spans="1:11" ht="22.5" customHeight="1" x14ac:dyDescent="0.15">
      <c r="B24" s="85"/>
      <c r="C24" s="85"/>
      <c r="D24" s="85"/>
      <c r="E24" s="85"/>
      <c r="F24" s="85"/>
      <c r="G24" s="85"/>
      <c r="H24" s="85"/>
      <c r="I24" s="85"/>
      <c r="J24" s="85"/>
    </row>
    <row r="25" spans="1:11" ht="22.5" customHeight="1" x14ac:dyDescent="0.15">
      <c r="B25" s="85"/>
      <c r="C25" s="85"/>
      <c r="D25" s="85"/>
      <c r="E25" s="85"/>
      <c r="F25" s="85"/>
      <c r="G25" s="85"/>
      <c r="H25" s="85"/>
      <c r="I25" s="85"/>
      <c r="J25" s="85"/>
    </row>
    <row r="26" spans="1:11" ht="22.5" customHeight="1" x14ac:dyDescent="0.15">
      <c r="B26" s="85"/>
      <c r="C26" s="85"/>
      <c r="D26" s="85"/>
      <c r="E26" s="85"/>
      <c r="F26" s="85"/>
      <c r="G26" s="85"/>
      <c r="H26" s="85"/>
      <c r="I26" s="85"/>
      <c r="J26" s="8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hyperlinks>
    <hyperlink ref="G18:J18" r:id="rId1" display="http://wp.suzuka-ct.ac.jp/guide/guide_index/education/?preview_id=1837&amp;preview_nonce=5c0b40fbb8&amp;preview=true"/>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L19" sqref="L19"/>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12" t="s">
        <v>209</v>
      </c>
      <c r="F1" s="212"/>
    </row>
    <row r="2" spans="1:6" ht="18.75" customHeight="1" x14ac:dyDescent="0.15">
      <c r="A2" s="271" t="s">
        <v>210</v>
      </c>
      <c r="B2" s="271"/>
      <c r="C2" s="271"/>
      <c r="D2" s="271"/>
      <c r="E2" s="271"/>
      <c r="F2" s="271"/>
    </row>
    <row r="3" spans="1:6" ht="7.5" customHeight="1" x14ac:dyDescent="0.15">
      <c r="A3" s="30"/>
      <c r="B3" s="30"/>
      <c r="C3" s="30"/>
      <c r="D3" s="30"/>
      <c r="E3" s="30"/>
      <c r="F3" s="30"/>
    </row>
    <row r="4" spans="1:6" ht="18.75" customHeight="1" x14ac:dyDescent="0.15">
      <c r="A4" s="30" t="s">
        <v>2</v>
      </c>
      <c r="B4" s="4" t="s">
        <v>211</v>
      </c>
      <c r="C4" s="30"/>
      <c r="D4" s="30"/>
      <c r="E4" s="30"/>
      <c r="F4" s="30"/>
    </row>
    <row r="5" spans="1:6" ht="18.75" customHeight="1" x14ac:dyDescent="0.15">
      <c r="A5" s="30"/>
      <c r="B5" s="272"/>
      <c r="C5" s="273"/>
      <c r="D5" s="273"/>
      <c r="E5" s="273"/>
      <c r="F5" s="274"/>
    </row>
    <row r="6" spans="1:6" ht="18.75" customHeight="1" x14ac:dyDescent="0.15">
      <c r="A6" s="30"/>
      <c r="B6" s="275"/>
      <c r="C6" s="276"/>
      <c r="D6" s="276"/>
      <c r="E6" s="276"/>
      <c r="F6" s="277"/>
    </row>
    <row r="7" spans="1:6" ht="18.75" customHeight="1" x14ac:dyDescent="0.15">
      <c r="A7" s="30"/>
      <c r="B7" s="275"/>
      <c r="C7" s="276"/>
      <c r="D7" s="276"/>
      <c r="E7" s="276"/>
      <c r="F7" s="277"/>
    </row>
    <row r="8" spans="1:6" ht="18.75" customHeight="1" x14ac:dyDescent="0.15">
      <c r="A8" s="30"/>
      <c r="B8" s="275"/>
      <c r="C8" s="276"/>
      <c r="D8" s="276"/>
      <c r="E8" s="276"/>
      <c r="F8" s="277"/>
    </row>
    <row r="9" spans="1:6" ht="18.75" customHeight="1" x14ac:dyDescent="0.15">
      <c r="A9" s="30"/>
      <c r="B9" s="275"/>
      <c r="C9" s="276"/>
      <c r="D9" s="276"/>
      <c r="E9" s="276"/>
      <c r="F9" s="277"/>
    </row>
    <row r="10" spans="1:6" ht="18.75" customHeight="1" x14ac:dyDescent="0.15">
      <c r="A10" s="30"/>
      <c r="B10" s="275"/>
      <c r="C10" s="276"/>
      <c r="D10" s="276"/>
      <c r="E10" s="276"/>
      <c r="F10" s="277"/>
    </row>
    <row r="11" spans="1:6" ht="18.75" customHeight="1" x14ac:dyDescent="0.15">
      <c r="A11" s="30"/>
      <c r="B11" s="275"/>
      <c r="C11" s="276"/>
      <c r="D11" s="276"/>
      <c r="E11" s="276"/>
      <c r="F11" s="277"/>
    </row>
    <row r="12" spans="1:6" ht="18.75" customHeight="1" x14ac:dyDescent="0.15">
      <c r="A12" s="30"/>
      <c r="B12" s="275"/>
      <c r="C12" s="276"/>
      <c r="D12" s="276"/>
      <c r="E12" s="276"/>
      <c r="F12" s="277"/>
    </row>
    <row r="13" spans="1:6" ht="18.75" customHeight="1" x14ac:dyDescent="0.15">
      <c r="A13" s="30"/>
      <c r="B13" s="275"/>
      <c r="C13" s="276"/>
      <c r="D13" s="276"/>
      <c r="E13" s="276"/>
      <c r="F13" s="277"/>
    </row>
    <row r="14" spans="1:6" ht="18.75" customHeight="1" x14ac:dyDescent="0.15">
      <c r="A14" s="30"/>
      <c r="B14" s="275"/>
      <c r="C14" s="276"/>
      <c r="D14" s="276"/>
      <c r="E14" s="276"/>
      <c r="F14" s="277"/>
    </row>
    <row r="15" spans="1:6" ht="18.75" customHeight="1" x14ac:dyDescent="0.15">
      <c r="A15" s="30"/>
      <c r="B15" s="275"/>
      <c r="C15" s="276"/>
      <c r="D15" s="276"/>
      <c r="E15" s="276"/>
      <c r="F15" s="277"/>
    </row>
    <row r="16" spans="1:6" ht="18.75" customHeight="1" x14ac:dyDescent="0.15">
      <c r="A16" s="30"/>
      <c r="B16" s="275"/>
      <c r="C16" s="276"/>
      <c r="D16" s="276"/>
      <c r="E16" s="276"/>
      <c r="F16" s="277"/>
    </row>
    <row r="17" spans="1:6" ht="18.75" customHeight="1" x14ac:dyDescent="0.15">
      <c r="A17" s="30"/>
      <c r="B17" s="275"/>
      <c r="C17" s="276"/>
      <c r="D17" s="276"/>
      <c r="E17" s="276"/>
      <c r="F17" s="277"/>
    </row>
    <row r="18" spans="1:6" ht="18.75" customHeight="1" x14ac:dyDescent="0.15">
      <c r="A18" s="30"/>
      <c r="B18" s="275"/>
      <c r="C18" s="276"/>
      <c r="D18" s="276"/>
      <c r="E18" s="276"/>
      <c r="F18" s="277"/>
    </row>
    <row r="19" spans="1:6" ht="18.75" customHeight="1" x14ac:dyDescent="0.15">
      <c r="A19" s="30"/>
      <c r="B19" s="275"/>
      <c r="C19" s="276"/>
      <c r="D19" s="276"/>
      <c r="E19" s="276"/>
      <c r="F19" s="277"/>
    </row>
    <row r="20" spans="1:6" ht="18.75" customHeight="1" x14ac:dyDescent="0.15">
      <c r="A20" s="30"/>
      <c r="B20" s="275"/>
      <c r="C20" s="276"/>
      <c r="D20" s="276"/>
      <c r="E20" s="276"/>
      <c r="F20" s="277"/>
    </row>
    <row r="21" spans="1:6" ht="18.75" customHeight="1" x14ac:dyDescent="0.15">
      <c r="A21" s="30"/>
      <c r="B21" s="275"/>
      <c r="C21" s="276"/>
      <c r="D21" s="276"/>
      <c r="E21" s="276"/>
      <c r="F21" s="277"/>
    </row>
    <row r="22" spans="1:6" ht="18.75" customHeight="1" x14ac:dyDescent="0.15">
      <c r="A22" s="30"/>
      <c r="B22" s="275"/>
      <c r="C22" s="276"/>
      <c r="D22" s="276"/>
      <c r="E22" s="276"/>
      <c r="F22" s="277"/>
    </row>
    <row r="23" spans="1:6" ht="18.75" customHeight="1" x14ac:dyDescent="0.15">
      <c r="A23" s="30"/>
      <c r="B23" s="275"/>
      <c r="C23" s="276"/>
      <c r="D23" s="276"/>
      <c r="E23" s="276"/>
      <c r="F23" s="277"/>
    </row>
    <row r="24" spans="1:6" ht="18.75" customHeight="1" x14ac:dyDescent="0.15">
      <c r="A24" s="30"/>
      <c r="B24" s="275"/>
      <c r="C24" s="276"/>
      <c r="D24" s="276"/>
      <c r="E24" s="276"/>
      <c r="F24" s="277"/>
    </row>
    <row r="25" spans="1:6" ht="18.75" customHeight="1" x14ac:dyDescent="0.15">
      <c r="A25" s="30"/>
      <c r="B25" s="275"/>
      <c r="C25" s="276"/>
      <c r="D25" s="276"/>
      <c r="E25" s="276"/>
      <c r="F25" s="277"/>
    </row>
    <row r="26" spans="1:6" ht="18.75" customHeight="1" x14ac:dyDescent="0.15">
      <c r="A26" s="30"/>
      <c r="B26" s="275"/>
      <c r="C26" s="276"/>
      <c r="D26" s="276"/>
      <c r="E26" s="276"/>
      <c r="F26" s="277"/>
    </row>
    <row r="27" spans="1:6" ht="18.75" customHeight="1" x14ac:dyDescent="0.15">
      <c r="A27" s="30"/>
      <c r="B27" s="275"/>
      <c r="C27" s="276"/>
      <c r="D27" s="276"/>
      <c r="E27" s="276"/>
      <c r="F27" s="277"/>
    </row>
    <row r="28" spans="1:6" ht="18.75" customHeight="1" x14ac:dyDescent="0.15">
      <c r="A28" s="30"/>
      <c r="B28" s="275"/>
      <c r="C28" s="276"/>
      <c r="D28" s="276"/>
      <c r="E28" s="276"/>
      <c r="F28" s="277"/>
    </row>
    <row r="29" spans="1:6" ht="18.75" customHeight="1" x14ac:dyDescent="0.15">
      <c r="A29" s="30"/>
      <c r="B29" s="275"/>
      <c r="C29" s="276"/>
      <c r="D29" s="276"/>
      <c r="E29" s="276"/>
      <c r="F29" s="277"/>
    </row>
    <row r="30" spans="1:6" ht="18.75" customHeight="1" x14ac:dyDescent="0.15">
      <c r="A30" s="30"/>
      <c r="B30" s="275"/>
      <c r="C30" s="276"/>
      <c r="D30" s="276"/>
      <c r="E30" s="276"/>
      <c r="F30" s="277"/>
    </row>
    <row r="31" spans="1:6" ht="18.75" customHeight="1" x14ac:dyDescent="0.15">
      <c r="A31" s="30"/>
      <c r="B31" s="275"/>
      <c r="C31" s="276"/>
      <c r="D31" s="276"/>
      <c r="E31" s="276"/>
      <c r="F31" s="277"/>
    </row>
    <row r="32" spans="1:6" ht="18.75" customHeight="1" x14ac:dyDescent="0.15">
      <c r="A32" s="30"/>
      <c r="B32" s="275"/>
      <c r="C32" s="276"/>
      <c r="D32" s="276"/>
      <c r="E32" s="276"/>
      <c r="F32" s="277"/>
    </row>
    <row r="33" spans="1:6" ht="18.75" customHeight="1" x14ac:dyDescent="0.15">
      <c r="A33" s="30"/>
      <c r="B33" s="275"/>
      <c r="C33" s="276"/>
      <c r="D33" s="276"/>
      <c r="E33" s="276"/>
      <c r="F33" s="277"/>
    </row>
    <row r="34" spans="1:6" ht="18.75" customHeight="1" x14ac:dyDescent="0.15">
      <c r="A34" s="30"/>
      <c r="B34" s="275"/>
      <c r="C34" s="276"/>
      <c r="D34" s="276"/>
      <c r="E34" s="276"/>
      <c r="F34" s="277"/>
    </row>
    <row r="35" spans="1:6" ht="18.75" customHeight="1" x14ac:dyDescent="0.15">
      <c r="A35" s="30"/>
      <c r="B35" s="275"/>
      <c r="C35" s="276"/>
      <c r="D35" s="276"/>
      <c r="E35" s="276"/>
      <c r="F35" s="277"/>
    </row>
    <row r="36" spans="1:6" ht="18.75" customHeight="1" x14ac:dyDescent="0.15">
      <c r="A36" s="30"/>
      <c r="B36" s="275"/>
      <c r="C36" s="276"/>
      <c r="D36" s="276"/>
      <c r="E36" s="276"/>
      <c r="F36" s="277"/>
    </row>
    <row r="37" spans="1:6" ht="18.75" customHeight="1" x14ac:dyDescent="0.15">
      <c r="A37" s="30"/>
      <c r="B37" s="275"/>
      <c r="C37" s="276"/>
      <c r="D37" s="276"/>
      <c r="E37" s="276"/>
      <c r="F37" s="277"/>
    </row>
    <row r="38" spans="1:6" ht="18.75" customHeight="1" x14ac:dyDescent="0.15">
      <c r="A38" s="30"/>
      <c r="B38" s="275"/>
      <c r="C38" s="276"/>
      <c r="D38" s="276"/>
      <c r="E38" s="276"/>
      <c r="F38" s="277"/>
    </row>
    <row r="39" spans="1:6" ht="18.75" customHeight="1" x14ac:dyDescent="0.15">
      <c r="A39" s="30"/>
      <c r="B39" s="275"/>
      <c r="C39" s="276"/>
      <c r="D39" s="276"/>
      <c r="E39" s="276"/>
      <c r="F39" s="277"/>
    </row>
    <row r="40" spans="1:6" ht="18.75" customHeight="1" x14ac:dyDescent="0.15">
      <c r="A40" s="30"/>
      <c r="B40" s="275"/>
      <c r="C40" s="276"/>
      <c r="D40" s="276"/>
      <c r="E40" s="276"/>
      <c r="F40" s="277"/>
    </row>
    <row r="41" spans="1:6" ht="18.75" customHeight="1" x14ac:dyDescent="0.15">
      <c r="A41" s="30"/>
      <c r="B41" s="275"/>
      <c r="C41" s="276"/>
      <c r="D41" s="276"/>
      <c r="E41" s="276"/>
      <c r="F41" s="277"/>
    </row>
    <row r="42" spans="1:6" ht="18.75" customHeight="1" x14ac:dyDescent="0.15">
      <c r="A42" s="30"/>
      <c r="B42" s="278"/>
      <c r="C42" s="279"/>
      <c r="D42" s="279"/>
      <c r="E42" s="279"/>
      <c r="F42" s="280"/>
    </row>
    <row r="43" spans="1:6" ht="18.75" customHeight="1" x14ac:dyDescent="0.15">
      <c r="A43" s="30" t="s">
        <v>5</v>
      </c>
      <c r="B43" s="4" t="s">
        <v>212</v>
      </c>
      <c r="C43" s="30"/>
      <c r="D43" s="30"/>
      <c r="E43" s="30"/>
      <c r="F43" s="30"/>
    </row>
    <row r="44" spans="1:6" ht="18.75" customHeight="1" x14ac:dyDescent="0.15">
      <c r="A44" s="30"/>
      <c r="B44" s="272"/>
      <c r="C44" s="273"/>
      <c r="D44" s="273"/>
      <c r="E44" s="273"/>
      <c r="F44" s="274"/>
    </row>
    <row r="45" spans="1:6" ht="18.75" customHeight="1" x14ac:dyDescent="0.15">
      <c r="A45" s="30"/>
      <c r="B45" s="275"/>
      <c r="C45" s="276"/>
      <c r="D45" s="276"/>
      <c r="E45" s="276"/>
      <c r="F45" s="277"/>
    </row>
    <row r="46" spans="1:6" ht="18.75" customHeight="1" x14ac:dyDescent="0.15">
      <c r="A46" s="30"/>
      <c r="B46" s="275"/>
      <c r="C46" s="276"/>
      <c r="D46" s="276"/>
      <c r="E46" s="276"/>
      <c r="F46" s="277"/>
    </row>
    <row r="47" spans="1:6" ht="18.75" customHeight="1" x14ac:dyDescent="0.15">
      <c r="A47" s="30"/>
      <c r="B47" s="275"/>
      <c r="C47" s="276"/>
      <c r="D47" s="276"/>
      <c r="E47" s="276"/>
      <c r="F47" s="277"/>
    </row>
    <row r="48" spans="1:6" ht="18.75" customHeight="1" x14ac:dyDescent="0.15">
      <c r="A48" s="30"/>
      <c r="B48" s="275"/>
      <c r="C48" s="276"/>
      <c r="D48" s="276"/>
      <c r="E48" s="276"/>
      <c r="F48" s="277"/>
    </row>
    <row r="49" spans="1:6" ht="18.75" customHeight="1" x14ac:dyDescent="0.15">
      <c r="A49" s="30"/>
      <c r="B49" s="275"/>
      <c r="C49" s="276"/>
      <c r="D49" s="276"/>
      <c r="E49" s="276"/>
      <c r="F49" s="277"/>
    </row>
    <row r="50" spans="1:6" ht="18.75" customHeight="1" x14ac:dyDescent="0.15">
      <c r="A50" s="30"/>
      <c r="B50" s="275"/>
      <c r="C50" s="276"/>
      <c r="D50" s="276"/>
      <c r="E50" s="276"/>
      <c r="F50" s="277"/>
    </row>
    <row r="51" spans="1:6" ht="18.75" customHeight="1" x14ac:dyDescent="0.15">
      <c r="A51" s="30"/>
      <c r="B51" s="275"/>
      <c r="C51" s="276"/>
      <c r="D51" s="276"/>
      <c r="E51" s="276"/>
      <c r="F51" s="277"/>
    </row>
    <row r="52" spans="1:6" ht="18.75" customHeight="1" x14ac:dyDescent="0.15">
      <c r="A52" s="30"/>
      <c r="B52" s="275"/>
      <c r="C52" s="276"/>
      <c r="D52" s="276"/>
      <c r="E52" s="276"/>
      <c r="F52" s="277"/>
    </row>
    <row r="53" spans="1:6" ht="18.75" customHeight="1" x14ac:dyDescent="0.15">
      <c r="A53" s="30"/>
      <c r="B53" s="275"/>
      <c r="C53" s="276"/>
      <c r="D53" s="276"/>
      <c r="E53" s="276"/>
      <c r="F53" s="277"/>
    </row>
    <row r="54" spans="1:6" ht="18.75" customHeight="1" x14ac:dyDescent="0.15">
      <c r="A54" s="30"/>
      <c r="B54" s="275"/>
      <c r="C54" s="276"/>
      <c r="D54" s="276"/>
      <c r="E54" s="276"/>
      <c r="F54" s="277"/>
    </row>
    <row r="55" spans="1:6" ht="18.75" customHeight="1" x14ac:dyDescent="0.15">
      <c r="A55" s="30"/>
      <c r="B55" s="275"/>
      <c r="C55" s="276"/>
      <c r="D55" s="276"/>
      <c r="E55" s="276"/>
      <c r="F55" s="277"/>
    </row>
    <row r="56" spans="1:6" ht="18.75" customHeight="1" x14ac:dyDescent="0.15">
      <c r="A56" s="30"/>
      <c r="B56" s="275"/>
      <c r="C56" s="276"/>
      <c r="D56" s="276"/>
      <c r="E56" s="276"/>
      <c r="F56" s="277"/>
    </row>
    <row r="57" spans="1:6" ht="18.75" customHeight="1" x14ac:dyDescent="0.15">
      <c r="A57" s="30"/>
      <c r="B57" s="275"/>
      <c r="C57" s="276"/>
      <c r="D57" s="276"/>
      <c r="E57" s="276"/>
      <c r="F57" s="277"/>
    </row>
    <row r="58" spans="1:6" ht="18.75" customHeight="1" x14ac:dyDescent="0.15">
      <c r="A58" s="30"/>
      <c r="B58" s="275"/>
      <c r="C58" s="276"/>
      <c r="D58" s="276"/>
      <c r="E58" s="276"/>
      <c r="F58" s="277"/>
    </row>
    <row r="59" spans="1:6" ht="18.75" customHeight="1" x14ac:dyDescent="0.15">
      <c r="A59" s="30"/>
      <c r="B59" s="275"/>
      <c r="C59" s="276"/>
      <c r="D59" s="276"/>
      <c r="E59" s="276"/>
      <c r="F59" s="277"/>
    </row>
    <row r="60" spans="1:6" ht="18.75" customHeight="1" x14ac:dyDescent="0.15">
      <c r="A60" s="30"/>
      <c r="B60" s="275"/>
      <c r="C60" s="276"/>
      <c r="D60" s="276"/>
      <c r="E60" s="276"/>
      <c r="F60" s="277"/>
    </row>
    <row r="61" spans="1:6" ht="18.75" customHeight="1" x14ac:dyDescent="0.15">
      <c r="A61" s="30"/>
      <c r="B61" s="275"/>
      <c r="C61" s="276"/>
      <c r="D61" s="276"/>
      <c r="E61" s="276"/>
      <c r="F61" s="277"/>
    </row>
    <row r="62" spans="1:6" ht="18.75" customHeight="1" x14ac:dyDescent="0.15">
      <c r="A62" s="30"/>
      <c r="B62" s="275"/>
      <c r="C62" s="276"/>
      <c r="D62" s="276"/>
      <c r="E62" s="276"/>
      <c r="F62" s="277"/>
    </row>
    <row r="63" spans="1:6" ht="18.75" customHeight="1" x14ac:dyDescent="0.15">
      <c r="A63" s="30"/>
      <c r="B63" s="275"/>
      <c r="C63" s="276"/>
      <c r="D63" s="276"/>
      <c r="E63" s="276"/>
      <c r="F63" s="277"/>
    </row>
    <row r="64" spans="1:6" ht="18.75" customHeight="1" x14ac:dyDescent="0.15">
      <c r="A64" s="30"/>
      <c r="B64" s="275"/>
      <c r="C64" s="276"/>
      <c r="D64" s="276"/>
      <c r="E64" s="276"/>
      <c r="F64" s="277"/>
    </row>
    <row r="65" spans="1:6" ht="18.75" customHeight="1" x14ac:dyDescent="0.15">
      <c r="A65" s="30"/>
      <c r="B65" s="275"/>
      <c r="C65" s="276"/>
      <c r="D65" s="276"/>
      <c r="E65" s="276"/>
      <c r="F65" s="277"/>
    </row>
    <row r="66" spans="1:6" ht="18.75" customHeight="1" x14ac:dyDescent="0.15">
      <c r="A66" s="30"/>
      <c r="B66" s="275"/>
      <c r="C66" s="276"/>
      <c r="D66" s="276"/>
      <c r="E66" s="276"/>
      <c r="F66" s="277"/>
    </row>
    <row r="67" spans="1:6" ht="18.75" customHeight="1" x14ac:dyDescent="0.15">
      <c r="A67" s="30"/>
      <c r="B67" s="275"/>
      <c r="C67" s="276"/>
      <c r="D67" s="276"/>
      <c r="E67" s="276"/>
      <c r="F67" s="277"/>
    </row>
    <row r="68" spans="1:6" ht="18.75" customHeight="1" x14ac:dyDescent="0.15">
      <c r="A68" s="30"/>
      <c r="B68" s="275"/>
      <c r="C68" s="276"/>
      <c r="D68" s="276"/>
      <c r="E68" s="276"/>
      <c r="F68" s="277"/>
    </row>
    <row r="69" spans="1:6" ht="18.75" customHeight="1" x14ac:dyDescent="0.15">
      <c r="A69" s="30"/>
      <c r="B69" s="275"/>
      <c r="C69" s="276"/>
      <c r="D69" s="276"/>
      <c r="E69" s="276"/>
      <c r="F69" s="277"/>
    </row>
    <row r="70" spans="1:6" ht="18.75" customHeight="1" x14ac:dyDescent="0.15">
      <c r="A70" s="30"/>
      <c r="B70" s="275"/>
      <c r="C70" s="276"/>
      <c r="D70" s="276"/>
      <c r="E70" s="276"/>
      <c r="F70" s="277"/>
    </row>
    <row r="71" spans="1:6" ht="18.75" customHeight="1" x14ac:dyDescent="0.15">
      <c r="A71" s="30"/>
      <c r="B71" s="275"/>
      <c r="C71" s="276"/>
      <c r="D71" s="276"/>
      <c r="E71" s="276"/>
      <c r="F71" s="277"/>
    </row>
    <row r="72" spans="1:6" ht="18.75" customHeight="1" x14ac:dyDescent="0.15">
      <c r="A72" s="30"/>
      <c r="B72" s="275"/>
      <c r="C72" s="276"/>
      <c r="D72" s="276"/>
      <c r="E72" s="276"/>
      <c r="F72" s="277"/>
    </row>
    <row r="73" spans="1:6" ht="18.75" customHeight="1" x14ac:dyDescent="0.15">
      <c r="A73" s="30"/>
      <c r="B73" s="275"/>
      <c r="C73" s="276"/>
      <c r="D73" s="276"/>
      <c r="E73" s="276"/>
      <c r="F73" s="277"/>
    </row>
    <row r="74" spans="1:6" ht="18.75" customHeight="1" x14ac:dyDescent="0.15">
      <c r="A74" s="30"/>
      <c r="B74" s="275"/>
      <c r="C74" s="276"/>
      <c r="D74" s="276"/>
      <c r="E74" s="276"/>
      <c r="F74" s="277"/>
    </row>
    <row r="75" spans="1:6" ht="18.75" customHeight="1" x14ac:dyDescent="0.15">
      <c r="A75" s="30"/>
      <c r="B75" s="275"/>
      <c r="C75" s="276"/>
      <c r="D75" s="276"/>
      <c r="E75" s="276"/>
      <c r="F75" s="277"/>
    </row>
    <row r="76" spans="1:6" ht="18.75" customHeight="1" x14ac:dyDescent="0.15">
      <c r="A76" s="30"/>
      <c r="B76" s="275"/>
      <c r="C76" s="276"/>
      <c r="D76" s="276"/>
      <c r="E76" s="276"/>
      <c r="F76" s="277"/>
    </row>
    <row r="77" spans="1:6" ht="18.75" customHeight="1" x14ac:dyDescent="0.15">
      <c r="A77" s="30"/>
      <c r="B77" s="275"/>
      <c r="C77" s="276"/>
      <c r="D77" s="276"/>
      <c r="E77" s="276"/>
      <c r="F77" s="277"/>
    </row>
    <row r="78" spans="1:6" ht="18.75" customHeight="1" x14ac:dyDescent="0.15">
      <c r="A78" s="30"/>
      <c r="B78" s="275"/>
      <c r="C78" s="276"/>
      <c r="D78" s="276"/>
      <c r="E78" s="276"/>
      <c r="F78" s="277"/>
    </row>
    <row r="79" spans="1:6" ht="18.75" customHeight="1" x14ac:dyDescent="0.15">
      <c r="A79" s="30"/>
      <c r="B79" s="275"/>
      <c r="C79" s="276"/>
      <c r="D79" s="276"/>
      <c r="E79" s="276"/>
      <c r="F79" s="277"/>
    </row>
    <row r="80" spans="1:6" ht="18.75" customHeight="1" x14ac:dyDescent="0.15">
      <c r="A80" s="30"/>
      <c r="B80" s="275"/>
      <c r="C80" s="276"/>
      <c r="D80" s="276"/>
      <c r="E80" s="276"/>
      <c r="F80" s="277"/>
    </row>
    <row r="81" spans="1:6" ht="18.75" customHeight="1" x14ac:dyDescent="0.15">
      <c r="A81" s="30"/>
      <c r="B81" s="275"/>
      <c r="C81" s="276"/>
      <c r="D81" s="276"/>
      <c r="E81" s="276"/>
      <c r="F81" s="277"/>
    </row>
    <row r="82" spans="1:6" ht="18.75" customHeight="1" x14ac:dyDescent="0.15">
      <c r="A82" s="30"/>
      <c r="B82" s="275"/>
      <c r="C82" s="276"/>
      <c r="D82" s="276"/>
      <c r="E82" s="276"/>
      <c r="F82" s="277"/>
    </row>
    <row r="83" spans="1:6" ht="18.75" customHeight="1" x14ac:dyDescent="0.15">
      <c r="A83" s="30"/>
      <c r="B83" s="278"/>
      <c r="C83" s="279"/>
      <c r="D83" s="279"/>
      <c r="E83" s="279"/>
      <c r="F83" s="280"/>
    </row>
    <row r="84" spans="1:6" ht="18.75" customHeight="1" x14ac:dyDescent="0.15">
      <c r="A84" s="4" t="s">
        <v>163</v>
      </c>
      <c r="B84" s="4" t="s">
        <v>213</v>
      </c>
      <c r="C84" s="4"/>
      <c r="D84" s="4"/>
      <c r="E84" s="4"/>
      <c r="F84" s="4"/>
    </row>
    <row r="85" spans="1:6" ht="18.75" customHeight="1" x14ac:dyDescent="0.15">
      <c r="A85" s="30"/>
      <c r="B85" s="272"/>
      <c r="C85" s="273"/>
      <c r="D85" s="273"/>
      <c r="E85" s="273"/>
      <c r="F85" s="274"/>
    </row>
    <row r="86" spans="1:6" ht="18.75" customHeight="1" x14ac:dyDescent="0.15">
      <c r="A86" s="30"/>
      <c r="B86" s="275"/>
      <c r="C86" s="276"/>
      <c r="D86" s="276"/>
      <c r="E86" s="276"/>
      <c r="F86" s="277"/>
    </row>
    <row r="87" spans="1:6" ht="18.75" customHeight="1" x14ac:dyDescent="0.15">
      <c r="A87" s="30"/>
      <c r="B87" s="275"/>
      <c r="C87" s="276"/>
      <c r="D87" s="276"/>
      <c r="E87" s="276"/>
      <c r="F87" s="277"/>
    </row>
    <row r="88" spans="1:6" ht="18.75" customHeight="1" x14ac:dyDescent="0.15">
      <c r="A88" s="30"/>
      <c r="B88" s="275"/>
      <c r="C88" s="276"/>
      <c r="D88" s="276"/>
      <c r="E88" s="276"/>
      <c r="F88" s="277"/>
    </row>
    <row r="89" spans="1:6" ht="18.75" customHeight="1" x14ac:dyDescent="0.15">
      <c r="A89" s="30"/>
      <c r="B89" s="275"/>
      <c r="C89" s="276"/>
      <c r="D89" s="276"/>
      <c r="E89" s="276"/>
      <c r="F89" s="277"/>
    </row>
    <row r="90" spans="1:6" ht="18.75" customHeight="1" x14ac:dyDescent="0.15">
      <c r="A90" s="30"/>
      <c r="B90" s="275"/>
      <c r="C90" s="276"/>
      <c r="D90" s="276"/>
      <c r="E90" s="276"/>
      <c r="F90" s="277"/>
    </row>
    <row r="91" spans="1:6" ht="18.75" customHeight="1" x14ac:dyDescent="0.15">
      <c r="A91" s="30"/>
      <c r="B91" s="275"/>
      <c r="C91" s="276"/>
      <c r="D91" s="276"/>
      <c r="E91" s="276"/>
      <c r="F91" s="277"/>
    </row>
    <row r="92" spans="1:6" ht="18.75" customHeight="1" x14ac:dyDescent="0.15">
      <c r="A92" s="30"/>
      <c r="B92" s="275"/>
      <c r="C92" s="276"/>
      <c r="D92" s="276"/>
      <c r="E92" s="276"/>
      <c r="F92" s="277"/>
    </row>
    <row r="93" spans="1:6" ht="18.75" customHeight="1" x14ac:dyDescent="0.15">
      <c r="A93" s="30"/>
      <c r="B93" s="275"/>
      <c r="C93" s="276"/>
      <c r="D93" s="276"/>
      <c r="E93" s="276"/>
      <c r="F93" s="277"/>
    </row>
    <row r="94" spans="1:6" ht="18.75" customHeight="1" x14ac:dyDescent="0.15">
      <c r="A94" s="30"/>
      <c r="B94" s="275"/>
      <c r="C94" s="276"/>
      <c r="D94" s="276"/>
      <c r="E94" s="276"/>
      <c r="F94" s="277"/>
    </row>
    <row r="95" spans="1:6" ht="18.75" customHeight="1" x14ac:dyDescent="0.15">
      <c r="A95" s="30"/>
      <c r="B95" s="275"/>
      <c r="C95" s="276"/>
      <c r="D95" s="276"/>
      <c r="E95" s="276"/>
      <c r="F95" s="277"/>
    </row>
    <row r="96" spans="1:6" ht="18.75" customHeight="1" x14ac:dyDescent="0.15">
      <c r="A96" s="30"/>
      <c r="B96" s="275"/>
      <c r="C96" s="276"/>
      <c r="D96" s="276"/>
      <c r="E96" s="276"/>
      <c r="F96" s="277"/>
    </row>
    <row r="97" spans="1:6" ht="18.75" customHeight="1" x14ac:dyDescent="0.15">
      <c r="A97" s="30"/>
      <c r="B97" s="275"/>
      <c r="C97" s="276"/>
      <c r="D97" s="276"/>
      <c r="E97" s="276"/>
      <c r="F97" s="277"/>
    </row>
    <row r="98" spans="1:6" ht="18.75" customHeight="1" x14ac:dyDescent="0.15">
      <c r="A98" s="30"/>
      <c r="B98" s="275"/>
      <c r="C98" s="276"/>
      <c r="D98" s="276"/>
      <c r="E98" s="276"/>
      <c r="F98" s="277"/>
    </row>
    <row r="99" spans="1:6" ht="18.75" customHeight="1" x14ac:dyDescent="0.15">
      <c r="A99" s="30"/>
      <c r="B99" s="275"/>
      <c r="C99" s="276"/>
      <c r="D99" s="276"/>
      <c r="E99" s="276"/>
      <c r="F99" s="277"/>
    </row>
    <row r="100" spans="1:6" ht="18.75" customHeight="1" x14ac:dyDescent="0.15">
      <c r="A100" s="30"/>
      <c r="B100" s="275"/>
      <c r="C100" s="276"/>
      <c r="D100" s="276"/>
      <c r="E100" s="276"/>
      <c r="F100" s="277"/>
    </row>
    <row r="101" spans="1:6" ht="18.75" customHeight="1" x14ac:dyDescent="0.15">
      <c r="A101" s="30"/>
      <c r="B101" s="275"/>
      <c r="C101" s="276"/>
      <c r="D101" s="276"/>
      <c r="E101" s="276"/>
      <c r="F101" s="277"/>
    </row>
    <row r="102" spans="1:6" ht="18.75" customHeight="1" x14ac:dyDescent="0.15">
      <c r="A102" s="30"/>
      <c r="B102" s="275"/>
      <c r="C102" s="276"/>
      <c r="D102" s="276"/>
      <c r="E102" s="276"/>
      <c r="F102" s="277"/>
    </row>
    <row r="103" spans="1:6" ht="18.75" customHeight="1" x14ac:dyDescent="0.15">
      <c r="A103" s="30"/>
      <c r="B103" s="275"/>
      <c r="C103" s="276"/>
      <c r="D103" s="276"/>
      <c r="E103" s="276"/>
      <c r="F103" s="277"/>
    </row>
    <row r="104" spans="1:6" ht="18.75" customHeight="1" x14ac:dyDescent="0.15">
      <c r="A104" s="30"/>
      <c r="B104" s="275"/>
      <c r="C104" s="276"/>
      <c r="D104" s="276"/>
      <c r="E104" s="276"/>
      <c r="F104" s="277"/>
    </row>
    <row r="105" spans="1:6" ht="18.75" customHeight="1" x14ac:dyDescent="0.15">
      <c r="A105" s="30"/>
      <c r="B105" s="275"/>
      <c r="C105" s="276"/>
      <c r="D105" s="276"/>
      <c r="E105" s="276"/>
      <c r="F105" s="277"/>
    </row>
    <row r="106" spans="1:6" ht="18.75" customHeight="1" x14ac:dyDescent="0.15">
      <c r="A106" s="30"/>
      <c r="B106" s="275"/>
      <c r="C106" s="276"/>
      <c r="D106" s="276"/>
      <c r="E106" s="276"/>
      <c r="F106" s="277"/>
    </row>
    <row r="107" spans="1:6" ht="18.75" customHeight="1" x14ac:dyDescent="0.15">
      <c r="A107" s="30"/>
      <c r="B107" s="275"/>
      <c r="C107" s="276"/>
      <c r="D107" s="276"/>
      <c r="E107" s="276"/>
      <c r="F107" s="277"/>
    </row>
    <row r="108" spans="1:6" ht="18.75" customHeight="1" x14ac:dyDescent="0.15">
      <c r="A108" s="30"/>
      <c r="B108" s="275"/>
      <c r="C108" s="276"/>
      <c r="D108" s="276"/>
      <c r="E108" s="276"/>
      <c r="F108" s="277"/>
    </row>
    <row r="109" spans="1:6" ht="18.75" customHeight="1" x14ac:dyDescent="0.15">
      <c r="A109" s="30"/>
      <c r="B109" s="275"/>
      <c r="C109" s="276"/>
      <c r="D109" s="276"/>
      <c r="E109" s="276"/>
      <c r="F109" s="277"/>
    </row>
    <row r="110" spans="1:6" ht="18.75" customHeight="1" x14ac:dyDescent="0.15">
      <c r="A110" s="30"/>
      <c r="B110" s="275"/>
      <c r="C110" s="276"/>
      <c r="D110" s="276"/>
      <c r="E110" s="276"/>
      <c r="F110" s="277"/>
    </row>
    <row r="111" spans="1:6" ht="18.75" customHeight="1" x14ac:dyDescent="0.15">
      <c r="A111" s="30"/>
      <c r="B111" s="275"/>
      <c r="C111" s="276"/>
      <c r="D111" s="276"/>
      <c r="E111" s="276"/>
      <c r="F111" s="277"/>
    </row>
    <row r="112" spans="1:6" ht="18.75" customHeight="1" x14ac:dyDescent="0.15">
      <c r="A112" s="30"/>
      <c r="B112" s="275"/>
      <c r="C112" s="276"/>
      <c r="D112" s="276"/>
      <c r="E112" s="276"/>
      <c r="F112" s="277"/>
    </row>
    <row r="113" spans="1:6" ht="18.75" customHeight="1" x14ac:dyDescent="0.15">
      <c r="A113" s="30"/>
      <c r="B113" s="275"/>
      <c r="C113" s="276"/>
      <c r="D113" s="276"/>
      <c r="E113" s="276"/>
      <c r="F113" s="277"/>
    </row>
    <row r="114" spans="1:6" ht="18.75" customHeight="1" x14ac:dyDescent="0.15">
      <c r="A114" s="30"/>
      <c r="B114" s="275"/>
      <c r="C114" s="276"/>
      <c r="D114" s="276"/>
      <c r="E114" s="276"/>
      <c r="F114" s="277"/>
    </row>
    <row r="115" spans="1:6" ht="18.75" customHeight="1" x14ac:dyDescent="0.15">
      <c r="A115" s="30"/>
      <c r="B115" s="275"/>
      <c r="C115" s="276"/>
      <c r="D115" s="276"/>
      <c r="E115" s="276"/>
      <c r="F115" s="277"/>
    </row>
    <row r="116" spans="1:6" ht="18.75" customHeight="1" x14ac:dyDescent="0.15">
      <c r="A116" s="30"/>
      <c r="B116" s="275"/>
      <c r="C116" s="276"/>
      <c r="D116" s="276"/>
      <c r="E116" s="276"/>
      <c r="F116" s="277"/>
    </row>
    <row r="117" spans="1:6" ht="18.75" customHeight="1" x14ac:dyDescent="0.15">
      <c r="A117" s="30"/>
      <c r="B117" s="275"/>
      <c r="C117" s="276"/>
      <c r="D117" s="276"/>
      <c r="E117" s="276"/>
      <c r="F117" s="277"/>
    </row>
    <row r="118" spans="1:6" ht="18.75" customHeight="1" x14ac:dyDescent="0.15">
      <c r="A118" s="30"/>
      <c r="B118" s="275"/>
      <c r="C118" s="276"/>
      <c r="D118" s="276"/>
      <c r="E118" s="276"/>
      <c r="F118" s="277"/>
    </row>
    <row r="119" spans="1:6" ht="18.75" customHeight="1" x14ac:dyDescent="0.15">
      <c r="A119" s="30"/>
      <c r="B119" s="275"/>
      <c r="C119" s="276"/>
      <c r="D119" s="276"/>
      <c r="E119" s="276"/>
      <c r="F119" s="277"/>
    </row>
    <row r="120" spans="1:6" ht="18.75" customHeight="1" x14ac:dyDescent="0.15">
      <c r="A120" s="30"/>
      <c r="B120" s="275"/>
      <c r="C120" s="276"/>
      <c r="D120" s="276"/>
      <c r="E120" s="276"/>
      <c r="F120" s="277"/>
    </row>
    <row r="121" spans="1:6" ht="18.75" customHeight="1" x14ac:dyDescent="0.15">
      <c r="A121" s="30"/>
      <c r="B121" s="275"/>
      <c r="C121" s="276"/>
      <c r="D121" s="276"/>
      <c r="E121" s="276"/>
      <c r="F121" s="277"/>
    </row>
    <row r="122" spans="1:6" ht="18.75" customHeight="1" x14ac:dyDescent="0.15">
      <c r="A122" s="30"/>
      <c r="B122" s="275"/>
      <c r="C122" s="276"/>
      <c r="D122" s="276"/>
      <c r="E122" s="276"/>
      <c r="F122" s="277"/>
    </row>
    <row r="123" spans="1:6" ht="18.75" customHeight="1" x14ac:dyDescent="0.15">
      <c r="A123" s="30"/>
      <c r="B123" s="275"/>
      <c r="C123" s="276"/>
      <c r="D123" s="276"/>
      <c r="E123" s="276"/>
      <c r="F123" s="277"/>
    </row>
    <row r="124" spans="1:6" ht="18.75" customHeight="1" x14ac:dyDescent="0.15">
      <c r="A124" s="30"/>
      <c r="B124" s="278"/>
      <c r="C124" s="279"/>
      <c r="D124" s="279"/>
      <c r="E124" s="279"/>
      <c r="F124" s="280"/>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 (1)</vt:lpstr>
      <vt:lpstr>様式２　プログラムを構成する授業科目 (2)</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 (1)'!Print_Area</vt:lpstr>
      <vt:lpstr>'様式２　プログラムを構成する授業科目 (2)'!Print_Area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金田 智士</cp:lastModifiedBy>
  <cp:revision/>
  <cp:lastPrinted>2022-05-09T02:51:13Z</cp:lastPrinted>
  <dcterms:created xsi:type="dcterms:W3CDTF">2011-06-14T05:32:50Z</dcterms:created>
  <dcterms:modified xsi:type="dcterms:W3CDTF">2022-07-08T08:06:42Z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