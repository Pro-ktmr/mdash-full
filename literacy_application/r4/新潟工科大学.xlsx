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学務課_教務\教務係\93_数理データサイエンスAI教育プログラム認定制度\文部科学省\文部科学省_申請関係\申請書類\提出資料\提出_3回目（再提出）\"/>
    </mc:Choice>
  </mc:AlternateContent>
  <bookViews>
    <workbookView xWindow="-105" yWindow="-105" windowWidth="19425" windowHeight="10425"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C30" i="40"/>
  <c r="Q29" i="40"/>
  <c r="R29" i="40" s="1"/>
  <c r="Q28" i="40"/>
  <c r="R28" i="40" s="1"/>
  <c r="Q27" i="40"/>
  <c r="R27" i="40" s="1"/>
  <c r="Q26" i="40"/>
  <c r="R26" i="40" s="1"/>
  <c r="Q25" i="40"/>
  <c r="R25" i="40" s="1"/>
  <c r="R24" i="40"/>
  <c r="Q24" i="40"/>
  <c r="Q23" i="40"/>
  <c r="R23" i="40" s="1"/>
  <c r="Q22" i="40"/>
  <c r="R22" i="40" s="1"/>
  <c r="Q21" i="40"/>
  <c r="R21" i="40" s="1"/>
  <c r="Q20" i="40"/>
  <c r="R20" i="40" s="1"/>
  <c r="Q19" i="40"/>
  <c r="R19" i="40" s="1"/>
  <c r="R18" i="40"/>
  <c r="Q18" i="40"/>
  <c r="Q17" i="40"/>
  <c r="R17" i="40" s="1"/>
  <c r="Q16" i="40"/>
  <c r="R16" i="40" s="1"/>
  <c r="Q15" i="40"/>
  <c r="R15" i="40" s="1"/>
  <c r="Q14" i="40"/>
  <c r="R14" i="40" s="1"/>
  <c r="Q13" i="40"/>
  <c r="R13" i="40" s="1"/>
  <c r="Q12" i="40"/>
  <c r="R12" i="40" s="1"/>
  <c r="Q11" i="40"/>
  <c r="R11" i="40" s="1"/>
  <c r="Q10" i="40"/>
  <c r="Q30" i="40" l="1"/>
  <c r="R30" i="40"/>
  <c r="C28" i="41" s="1"/>
  <c r="R10" i="40"/>
</calcChain>
</file>

<file path=xl/sharedStrings.xml><?xml version="1.0" encoding="utf-8"?>
<sst xmlns="http://schemas.openxmlformats.org/spreadsheetml/2006/main" count="337" uniqueCount="225">
  <si>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</si>
  <si>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</si>
  <si>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</si>
  <si>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</si>
  <si>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</si>
  <si>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</si>
  <si>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</si>
  <si>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</si>
  <si>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</si>
  <si>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</si>
  <si>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</si>
  <si>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</si>
  <si>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</si>
  <si>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</si>
  <si>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</si>
  <si>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</si>
  <si>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</si>
  <si>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</si>
  <si>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</si>
  <si>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</si>
  <si>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</si>
  <si>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</si>
  <si>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</si>
  <si>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</si>
  <si>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</si>
  <si>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</si>
  <si>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</si>
  <si>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</si>
  <si>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</si>
  <si>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</si>
  <si>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</si>
  <si>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</si>
  <si>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</si>
  <si>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</si>
  <si>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</si>
  <si>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</si>
  <si>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</si>
  <si>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</si>
  <si>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</si>
  <si>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</si>
  <si>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</si>
  <si>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</si>
  <si>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</si>
  <si>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</si>
  <si>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</si>
  <si>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</si>
  <si>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</si>
  <si>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</si>
  <si>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</si>
  <si>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</si>
  <si>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</si>
  <si>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</si>
  <si>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</si>
  <si>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</si>
  <si>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</si>
  <si>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</si>
  <si>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</si>
  <si>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</si>
  <si>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</si>
  <si>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</si>
  <si>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</si>
  <si>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</si>
  <si>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</si>
  <si>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</si>
  <si>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</si>
  <si>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</si>
  <si>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</si>
  <si>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</si>
  <si>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</si>
  <si>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</si>
  <si>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</si>
  <si>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</si>
  <si>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</si>
  <si>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</si>
  <si>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</si>
  <si>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</si>
  <si>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</si>
  <si>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</si>
  <si>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</si>
  <si>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</si>
  <si>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</si>
  <si>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</si>
  <si>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</si>
  <si>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</si>
  <si>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</si>
  <si>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</si>
  <si>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</si>
  <si>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</si>
  <si>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</si>
  <si>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</si>
  <si>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</si>
  <si>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</si>
  <si>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</si>
  <si>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</si>
  <si>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</si>
  <si>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</si>
  <si>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</si>
  <si>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</si>
  <si>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</si>
  <si>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</si>
  <si>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</si>
  <si>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</si>
  <si>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</si>
  <si>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</si>
  <si>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</si>
  <si>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</si>
  <si>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</si>
  <si>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</si>
  <si>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</si>
  <si>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</si>
  <si>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</si>
  <si>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</si>
  <si>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</si>
  <si>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</si>
  <si>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</si>
  <si>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</si>
  <si>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</si>
  <si>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</si>
  <si>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</si>
  <si>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</si>
  <si>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</si>
  <si>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</si>
  <si>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</si>
  <si>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</si>
  <si>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</si>
  <si>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</si>
  <si>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</si>
  <si>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</si>
  <si>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</si>
  <si>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</si>
  <si>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</si>
  <si>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</si>
  <si>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</si>
  <si>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</si>
  <si>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</si>
  <si>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</si>
  <si>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</si>
  <si>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</si>
  <si>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</si>
  <si>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</si>
  <si>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</si>
  <si>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</si>
  <si>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</si>
  <si>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</si>
  <si>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</si>
  <si>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</si>
  <si>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</si>
  <si>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</si>
  <si>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</si>
  <si>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新潟工科大学</t>
    <rPh sb="0" eb="6">
      <t xml:space="preserve">ニイガタコウカダイガク </t>
    </rPh>
    <phoneticPr fontId="1"/>
  </si>
  <si>
    <t>学校法人新潟工科大学</t>
    <rPh sb="0" eb="4">
      <t>ガッコウホウジン</t>
    </rPh>
    <rPh sb="4" eb="10">
      <t xml:space="preserve">ニイガタコウカダイガク </t>
    </rPh>
    <phoneticPr fontId="1"/>
  </si>
  <si>
    <t>私立大学</t>
  </si>
  <si>
    <t>数理・データサイエンス・ＡＩ教育プログラム（リテラシーレベル）</t>
    <rPh sb="0" eb="2">
      <t xml:space="preserve">スウリ </t>
    </rPh>
    <rPh sb="14" eb="16">
      <t xml:space="preserve">キョウイクプログラム </t>
    </rPh>
    <phoneticPr fontId="1"/>
  </si>
  <si>
    <t>令和３</t>
    <rPh sb="0" eb="2">
      <t xml:space="preserve">レイワ </t>
    </rPh>
    <phoneticPr fontId="1"/>
  </si>
  <si>
    <t>無</t>
  </si>
  <si>
    <t>副学長（研究・産官学連携担当）</t>
    <phoneticPr fontId="1"/>
  </si>
  <si>
    <t>数理・データサイエンス・ＡＩ教育担当委員会</t>
    <phoneticPr fontId="1"/>
  </si>
  <si>
    <t>教授</t>
    <rPh sb="0" eb="2">
      <t xml:space="preserve">キョウジュ </t>
    </rPh>
    <phoneticPr fontId="1"/>
  </si>
  <si>
    <t>自己点検・自己評価委員会</t>
    <phoneticPr fontId="1"/>
  </si>
  <si>
    <t>認定教育プログラム</t>
  </si>
  <si>
    <t>学部・学科によって、修了要件は相違しない</t>
  </si>
  <si>
    <t>・社会で起きている変化「IoTとAIの基礎」（１回目）</t>
    <rPh sb="1" eb="3">
      <t xml:space="preserve">シャカイデオキテイルヘンカ </t>
    </rPh>
    <rPh sb="19" eb="21">
      <t xml:space="preserve">キソ </t>
    </rPh>
    <rPh sb="24" eb="26">
      <t xml:space="preserve">カイメ </t>
    </rPh>
    <phoneticPr fontId="1"/>
  </si>
  <si>
    <t>・社会で活用されているデータ「IoTとAIの基礎」（２回目）</t>
    <rPh sb="0" eb="1">
      <t>・</t>
    </rPh>
    <rPh sb="1" eb="2">
      <t xml:space="preserve">シャカイデカツヨウサレテイルデータ </t>
    </rPh>
    <phoneticPr fontId="1"/>
  </si>
  <si>
    <t>・データ・ＡＩの活用領域「IoTとAIの基礎」（３回目）</t>
    <rPh sb="8" eb="12">
      <t xml:space="preserve">カツヨウリョウイキ </t>
    </rPh>
    <phoneticPr fontId="1"/>
  </si>
  <si>
    <t>・データ・ＡＩ利活用のための技術「IoTとAIの基礎」（４回目）
・データ・ＡＩ利活用のための技術（２）「IoTとAIの基礎」（５回目）</t>
    <rPh sb="7" eb="10">
      <t xml:space="preserve">リカツヨウノタメノギジュツ </t>
    </rPh>
    <rPh sb="40" eb="43">
      <t xml:space="preserve">リカツヨウノタメノギジュツ </t>
    </rPh>
    <phoneticPr fontId="1"/>
  </si>
  <si>
    <t>・データ・ＡＩ活用の現場「IoTとAIの基礎」（６回目）</t>
    <rPh sb="7" eb="9">
      <t xml:space="preserve">カツヨウノゲンバ </t>
    </rPh>
    <phoneticPr fontId="1"/>
  </si>
  <si>
    <t>・データ・ＡＩ利活用の最新動向「IoTとAIの基礎」（７回目）</t>
    <rPh sb="7" eb="8">
      <t xml:space="preserve">リカツヨウノ </t>
    </rPh>
    <rPh sb="11" eb="15">
      <t xml:space="preserve">サイシンドウコウ </t>
    </rPh>
    <phoneticPr fontId="1"/>
  </si>
  <si>
    <t>・データを扱う「IoTとAIの基礎」（１３回目）</t>
    <rPh sb="5" eb="6">
      <t xml:space="preserve">アツカウ </t>
    </rPh>
    <phoneticPr fontId="1"/>
  </si>
  <si>
    <t>・データ・ＡＩを扱う上での留意事項「IoTとAIの基礎」（１４回目）</t>
    <rPh sb="8" eb="9">
      <t xml:space="preserve">アツカウウエデノ </t>
    </rPh>
    <rPh sb="13" eb="17">
      <t xml:space="preserve">リュウイジコウ </t>
    </rPh>
    <phoneticPr fontId="1"/>
  </si>
  <si>
    <t>・データを守る上での留意事項「IoTとAIの基礎」（１５回目）</t>
    <rPh sb="5" eb="6">
      <t xml:space="preserve">マモル </t>
    </rPh>
    <rPh sb="7" eb="8">
      <t xml:space="preserve">ウエデノ </t>
    </rPh>
    <rPh sb="10" eb="14">
      <t xml:space="preserve">リュウイジコウ </t>
    </rPh>
    <phoneticPr fontId="1"/>
  </si>
  <si>
    <t>・ＡＩとデータサイエンスの重要性を説明できる
・データ分析プロセスについて説明できる</t>
    <phoneticPr fontId="1"/>
  </si>
  <si>
    <t>IoTとAIの基礎</t>
    <rPh sb="7" eb="9">
      <t xml:space="preserve">キソ </t>
    </rPh>
    <phoneticPr fontId="1"/>
  </si>
  <si>
    <t>全学開講</t>
  </si>
  <si>
    <t>○</t>
  </si>
  <si>
    <t>IoTとAIの基礎</t>
    <phoneticPr fontId="1"/>
  </si>
  <si>
    <t>○</t>
    <phoneticPr fontId="1"/>
  </si>
  <si>
    <t>基礎数理Ⅰ</t>
    <rPh sb="0" eb="4">
      <t xml:space="preserve">キソスウリ </t>
    </rPh>
    <phoneticPr fontId="1"/>
  </si>
  <si>
    <t>4-1統計および数理基礎</t>
  </si>
  <si>
    <t>基礎数理Ⅱ</t>
    <rPh sb="0" eb="1">
      <t xml:space="preserve">キソスウリ </t>
    </rPh>
    <phoneticPr fontId="1"/>
  </si>
  <si>
    <t>基礎数理Ⅲ</t>
    <rPh sb="0" eb="4">
      <t xml:space="preserve">キソスウリ </t>
    </rPh>
    <phoneticPr fontId="1"/>
  </si>
  <si>
    <t>コンピュータプログラミング基礎</t>
    <phoneticPr fontId="1"/>
  </si>
  <si>
    <t>4‐3データ構造とプログラミング基礎</t>
  </si>
  <si>
    <t>アルゴリズムとデータ構造</t>
    <phoneticPr fontId="1"/>
  </si>
  <si>
    <t>4‐2アルゴリズム基礎</t>
  </si>
  <si>
    <t>4‐6画像解析</t>
  </si>
  <si>
    <t>4‐4時系列データ解析</t>
  </si>
  <si>
    <t>・データを読む「IoTとAIの基礎」（１０回目）
・データサイエンス演習「知能機械・情報通信学系実験Ⅰ」（２〜４回目）</t>
    <phoneticPr fontId="1"/>
  </si>
  <si>
    <t>・データを説明する「IoTとAIの基礎」（１１回目）
・データサイエンス演習「知能機械・情報通信学系実験Ⅰ」（２〜４回目）</t>
    <rPh sb="5" eb="7">
      <t xml:space="preserve">セツメイスル </t>
    </rPh>
    <rPh sb="36" eb="38">
      <t xml:space="preserve">エンシュウ </t>
    </rPh>
    <rPh sb="39" eb="43">
      <t xml:space="preserve">チノウキカイ </t>
    </rPh>
    <rPh sb="44" eb="52">
      <t xml:space="preserve">ジョウホウツウシンガクケイジッケン </t>
    </rPh>
    <rPh sb="58" eb="60">
      <t xml:space="preserve">カイメ </t>
    </rPh>
    <phoneticPr fontId="1"/>
  </si>
  <si>
    <t>新潟工科大学数理・データサイエンス・ＡＩ教育担当委員会規程</t>
    <rPh sb="0" eb="6">
      <t xml:space="preserve">ニイガタコウカダイガク </t>
    </rPh>
    <rPh sb="6" eb="8">
      <t xml:space="preserve">スウリ </t>
    </rPh>
    <rPh sb="20" eb="29">
      <t xml:space="preserve">キョウイクタントウイインカイキテイ </t>
    </rPh>
    <phoneticPr fontId="1"/>
  </si>
  <si>
    <t>受講生に対する授業評価アンケートの結果に基づき、「学生が選ぶ優秀授業科目」を公表している。授業評価アンケートにおいて、「授業評価」の設問の平均値を集計し、５段階評価の結果が4.0以上と学生からの評価が高かった科目をリストアップし、講義受講の推奨に活用している。</t>
    <rPh sb="0" eb="3">
      <t xml:space="preserve">ジュコウセイニタイスル </t>
    </rPh>
    <rPh sb="7" eb="11">
      <t xml:space="preserve">ジュギョウヒョウカアンケートノケッカ </t>
    </rPh>
    <rPh sb="20" eb="21">
      <t xml:space="preserve">モトヅキ </t>
    </rPh>
    <rPh sb="25" eb="27">
      <t xml:space="preserve">ガクセイガエラブ </t>
    </rPh>
    <rPh sb="30" eb="36">
      <t xml:space="preserve">ユウシュウジュギョウカモク </t>
    </rPh>
    <rPh sb="38" eb="40">
      <t xml:space="preserve">コウヒョウシテイル </t>
    </rPh>
    <rPh sb="45" eb="49">
      <t xml:space="preserve">ジュギョウヒョウカアンケート </t>
    </rPh>
    <rPh sb="60" eb="64">
      <t xml:space="preserve">ジュギョウヒョウカ </t>
    </rPh>
    <rPh sb="66" eb="68">
      <t xml:space="preserve">セツモンノ </t>
    </rPh>
    <rPh sb="69" eb="72">
      <t xml:space="preserve">ヘイキンチ </t>
    </rPh>
    <rPh sb="73" eb="75">
      <t xml:space="preserve">シュウケイシ </t>
    </rPh>
    <rPh sb="78" eb="82">
      <t xml:space="preserve">ダンカイヒョウカ </t>
    </rPh>
    <rPh sb="83" eb="85">
      <t xml:space="preserve">ケッカガ </t>
    </rPh>
    <rPh sb="89" eb="91">
      <t xml:space="preserve">イジョウ </t>
    </rPh>
    <rPh sb="92" eb="94">
      <t xml:space="preserve">ガクセイカラノヒョウカガ </t>
    </rPh>
    <rPh sb="100" eb="101">
      <t xml:space="preserve">タカカッタカモク </t>
    </rPh>
    <rPh sb="115" eb="119">
      <t xml:space="preserve">コウギジュコウノスイショウニカツヨウシテイル </t>
    </rPh>
    <phoneticPr fontId="1"/>
  </si>
  <si>
    <t>教育センターにおいて、プログラムの履修・取得状況の分析を実施し、LMSの活用により、受講者ごとの講義演習進捗状況や課題への回答状況を把握することができる。</t>
    <rPh sb="0" eb="2">
      <t xml:space="preserve">キョウイクセンター </t>
    </rPh>
    <rPh sb="17" eb="19">
      <t xml:space="preserve">リシュウ </t>
    </rPh>
    <rPh sb="20" eb="24">
      <t xml:space="preserve">シュトクジョウキョウノブンセキヲ </t>
    </rPh>
    <rPh sb="28" eb="30">
      <t xml:space="preserve">ジッシシ </t>
    </rPh>
    <rPh sb="42" eb="45">
      <t xml:space="preserve">ジュコウシャゴトノコウギエンシュウシンチョクジョウキョウヤ </t>
    </rPh>
    <rPh sb="57" eb="59">
      <t xml:space="preserve">カダイヘノ </t>
    </rPh>
    <rPh sb="61" eb="65">
      <t xml:space="preserve">カイトウジョウキョウヲハアクスルコトガデキル </t>
    </rPh>
    <phoneticPr fontId="1"/>
  </si>
  <si>
    <t>画像情報処理</t>
    <rPh sb="0" eb="4">
      <t xml:space="preserve">ジョウホウスウガク </t>
    </rPh>
    <phoneticPr fontId="1"/>
  </si>
  <si>
    <t>情報数学Ⅱ</t>
    <phoneticPr fontId="1"/>
  </si>
  <si>
    <t>情報数学Ⅰ</t>
    <phoneticPr fontId="1"/>
  </si>
  <si>
    <t>デジタル信号処理</t>
    <rPh sb="0" eb="1">
      <t xml:space="preserve">ジョウホウスウガク </t>
    </rPh>
    <phoneticPr fontId="1"/>
  </si>
  <si>
    <t>情報理論</t>
    <phoneticPr fontId="1"/>
  </si>
  <si>
    <t>データを活用し社会の課題を発見、解決できる人材を育成するため、数理・データサイエンス・ＡＩ教育の全学的な普及、関連科目の整備を行うことを目的とする。</t>
    <rPh sb="16" eb="18">
      <t xml:space="preserve">カイケツデキルジンザイヲイクセイスルコトヲモクテキニ </t>
    </rPh>
    <rPh sb="31" eb="33">
      <t xml:space="preserve">スウリ </t>
    </rPh>
    <rPh sb="45" eb="47">
      <t xml:space="preserve">キョウイクノ </t>
    </rPh>
    <rPh sb="48" eb="51">
      <t xml:space="preserve">ゼンガクテキナ </t>
    </rPh>
    <rPh sb="52" eb="54">
      <t xml:space="preserve">フキュウ </t>
    </rPh>
    <rPh sb="55" eb="59">
      <t xml:space="preserve">カンレンカモクノセイビヲオコナイ </t>
    </rPh>
    <rPh sb="68" eb="70">
      <t xml:space="preserve">モクテキトシテ </t>
    </rPh>
    <phoneticPr fontId="1"/>
  </si>
  <si>
    <t>本プログラム構成科目「IoTとAIの基礎」において、時事やトレンドなど社会での実例を基にＡＩ等がどのような活用をされているかを中心に好奇心を促す講義内容としている。取り上げる実例については、学生アンケート等を活用し、その内容について評価を実施している。</t>
    <rPh sb="0" eb="1">
      <t xml:space="preserve">ホンプログラムコウセイカモク </t>
    </rPh>
    <rPh sb="18" eb="20">
      <t xml:space="preserve">キソ </t>
    </rPh>
    <rPh sb="35" eb="37">
      <t xml:space="preserve">シャカイデノジツレイヲモトニ </t>
    </rPh>
    <rPh sb="46" eb="47">
      <t xml:space="preserve">トウ </t>
    </rPh>
    <rPh sb="53" eb="55">
      <t xml:space="preserve">カツヨウヲサレテイルカヲ </t>
    </rPh>
    <rPh sb="63" eb="65">
      <t xml:space="preserve">チュウシンニ </t>
    </rPh>
    <rPh sb="66" eb="69">
      <t xml:space="preserve">コウキシンヲウナガスコウギナイヨウトシテイル </t>
    </rPh>
    <rPh sb="82" eb="83">
      <t xml:space="preserve">トリアゲルジツレイニツイテハ </t>
    </rPh>
    <rPh sb="95" eb="97">
      <t xml:space="preserve">ガクセイアンケートトウヲカツヨウシ </t>
    </rPh>
    <rPh sb="116" eb="118">
      <t xml:space="preserve">ヒョウカヲジッシシテイル </t>
    </rPh>
    <phoneticPr fontId="1"/>
  </si>
  <si>
    <t>数理・データサイエンス・ＡＩ教育教育担当委員会にて授業評価アンケート及び産学交流会会員企業からの意見を参考に、学生の「わかりやすさ」の観点から講義の内容・実施方法の見直しを検討している。</t>
    <rPh sb="0" eb="2">
      <t xml:space="preserve">スウリ </t>
    </rPh>
    <rPh sb="14" eb="16">
      <t xml:space="preserve">キョウイクケンキュウセンターニテ </t>
    </rPh>
    <rPh sb="16" eb="23">
      <t xml:space="preserve">キョウイクタントウイインカイ </t>
    </rPh>
    <rPh sb="25" eb="29">
      <t xml:space="preserve">ジュギョウヒョウカ </t>
    </rPh>
    <rPh sb="34" eb="35">
      <t xml:space="preserve">オヨビ </t>
    </rPh>
    <rPh sb="36" eb="41">
      <t xml:space="preserve">サンガクコウリュウカイ </t>
    </rPh>
    <rPh sb="41" eb="43">
      <t xml:space="preserve">カイイン </t>
    </rPh>
    <rPh sb="43" eb="45">
      <t xml:space="preserve">テイケイキギョウカラノイケンヲサンコウニ </t>
    </rPh>
    <rPh sb="55" eb="57">
      <t xml:space="preserve">ガクセイノ </t>
    </rPh>
    <rPh sb="67" eb="69">
      <t xml:space="preserve">カンテンカラ </t>
    </rPh>
    <rPh sb="71" eb="73">
      <t xml:space="preserve">コウギノナイヨウ </t>
    </rPh>
    <rPh sb="77" eb="81">
      <t xml:space="preserve">ジッシホウホウノミナオシヲケントウシテイル </t>
    </rPh>
    <phoneticPr fontId="1"/>
  </si>
  <si>
    <t>本学における数理・データサイエンス教育プログラムの達成目標を実現するため、数理・データサイエンス・AI教育担当委員を教育センターに置き、学生・教員からの問い合わせに対応し、学生の本プログラム履修を促進している。これに加え、１年次開講科目「コンピュータリテラシー」（必修）、「コンピュータプログラミング基礎」（選択）においてデータサイエンスの必要性を説き、学生のプログラム履修を促進している。また、本プログラムの構成科目「IoTとAIの基礎」（２年後期）を令和５年度より全学必修にする計画である。</t>
    <rPh sb="0" eb="2">
      <t xml:space="preserve">ホンガクニオケル </t>
    </rPh>
    <rPh sb="6" eb="8">
      <t xml:space="preserve">スウリ </t>
    </rPh>
    <rPh sb="17" eb="19">
      <t xml:space="preserve">キョウイクプログラムノ </t>
    </rPh>
    <rPh sb="25" eb="27">
      <t xml:space="preserve">タッセイ </t>
    </rPh>
    <rPh sb="27" eb="29">
      <t xml:space="preserve">モクヒョウヲジツゲンスルタメニ </t>
    </rPh>
    <rPh sb="37" eb="39">
      <t xml:space="preserve">スウリ </t>
    </rPh>
    <rPh sb="51" eb="55">
      <t xml:space="preserve">キョウイクタントウ </t>
    </rPh>
    <rPh sb="55" eb="57">
      <t xml:space="preserve">イイン </t>
    </rPh>
    <rPh sb="58" eb="60">
      <t xml:space="preserve">キョウイクセンターニ </t>
    </rPh>
    <rPh sb="65" eb="66">
      <t xml:space="preserve">オキ </t>
    </rPh>
    <rPh sb="68" eb="70">
      <t xml:space="preserve">ガクセイ </t>
    </rPh>
    <rPh sb="71" eb="73">
      <t xml:space="preserve">キョウインカラノトイアワセニタイオウシ </t>
    </rPh>
    <rPh sb="86" eb="88">
      <t xml:space="preserve">ガクセイノホンプログラムリシュウヲソクシンシテイル </t>
    </rPh>
    <rPh sb="114" eb="118">
      <t xml:space="preserve">カイコウカモク </t>
    </rPh>
    <rPh sb="132" eb="134">
      <t xml:space="preserve">ヒッシュウ </t>
    </rPh>
    <rPh sb="154" eb="156">
      <t xml:space="preserve">センタク </t>
    </rPh>
    <rPh sb="170" eb="173">
      <t xml:space="preserve">ヒツヨウセイヲ </t>
    </rPh>
    <rPh sb="174" eb="175">
      <t xml:space="preserve">トキ </t>
    </rPh>
    <rPh sb="177" eb="179">
      <t xml:space="preserve">ガクセイノプログラムリシュウヲソクシンシテイル </t>
    </rPh>
    <rPh sb="198" eb="199">
      <t xml:space="preserve">ホン </t>
    </rPh>
    <rPh sb="205" eb="207">
      <t xml:space="preserve">コウセイスル </t>
    </rPh>
    <rPh sb="225" eb="226">
      <t xml:space="preserve">ネン </t>
    </rPh>
    <rPh sb="227" eb="229">
      <t xml:space="preserve">レイワ </t>
    </rPh>
    <rPh sb="230" eb="232">
      <t xml:space="preserve">ネンドヨリ </t>
    </rPh>
    <rPh sb="234" eb="235">
      <t xml:space="preserve">ニュウガクセイ </t>
    </rPh>
    <rPh sb="241" eb="243">
      <t xml:space="preserve">ケイカクデアル </t>
    </rPh>
    <phoneticPr fontId="1"/>
  </si>
  <si>
    <t>本教育プログラムの構成科目「IoTとAIの基礎」については令和５年度から全学必修を目指しており、履修者数、履修率の向上に向けて推進している。また、数理・データサイエンス・ＡＩ教育担当委員会を定期的に実施し、教育内容について各専門分野からの観点も取り入れ見直し等を検討し、より学生の履修を推進している。</t>
    <rPh sb="0" eb="1">
      <t xml:space="preserve">ホンキョウイクプログラムヲコウセイスルカモク </t>
    </rPh>
    <rPh sb="21" eb="23">
      <t xml:space="preserve">キソ </t>
    </rPh>
    <rPh sb="29" eb="31">
      <t xml:space="preserve">レイワ </t>
    </rPh>
    <rPh sb="32" eb="34">
      <t xml:space="preserve">ネンド </t>
    </rPh>
    <rPh sb="36" eb="40">
      <t xml:space="preserve">ゼンガクヒッシュウヲ </t>
    </rPh>
    <rPh sb="41" eb="43">
      <t xml:space="preserve">メザシテ </t>
    </rPh>
    <rPh sb="48" eb="52">
      <t xml:space="preserve">リシュウシャスウ </t>
    </rPh>
    <rPh sb="53" eb="56">
      <t xml:space="preserve">リシュウリツノコウジョウニムケテ </t>
    </rPh>
    <rPh sb="63" eb="65">
      <t xml:space="preserve">スイシンシテイル </t>
    </rPh>
    <rPh sb="73" eb="75">
      <t xml:space="preserve">スウリ </t>
    </rPh>
    <rPh sb="87" eb="89">
      <t xml:space="preserve">キョウイク </t>
    </rPh>
    <rPh sb="89" eb="94">
      <t xml:space="preserve">タントウイインカイ </t>
    </rPh>
    <rPh sb="95" eb="98">
      <t xml:space="preserve">テイキテキニ </t>
    </rPh>
    <rPh sb="99" eb="101">
      <t xml:space="preserve">ジッシシ </t>
    </rPh>
    <rPh sb="103" eb="105">
      <t xml:space="preserve">キョウイク </t>
    </rPh>
    <rPh sb="105" eb="107">
      <t xml:space="preserve">ナイヨウニツイテ </t>
    </rPh>
    <rPh sb="111" eb="116">
      <t xml:space="preserve">カクセンモンブンヤカラノ </t>
    </rPh>
    <rPh sb="119" eb="121">
      <t xml:space="preserve">カンテンモトリイレ </t>
    </rPh>
    <rPh sb="126" eb="128">
      <t xml:space="preserve">ミナオシトウヲケントウシ </t>
    </rPh>
    <rPh sb="131" eb="133">
      <t xml:space="preserve">ケントウシ </t>
    </rPh>
    <rPh sb="137" eb="139">
      <t xml:space="preserve">ガクセイノリシュウヲスイシンシテイル </t>
    </rPh>
    <phoneticPr fontId="1"/>
  </si>
  <si>
    <t>本学の支援団体である産学交流会会員企業や本学が連携協定を締結している自治体の企業に対して、教育プログラムの講義内容及び実データを活用した演習等の手法について意見を収集するとともに、数理・データサイエンス・ＡＩ教育担当委員会においてプログラムの改善に活用している。</t>
    <rPh sb="0" eb="2">
      <t xml:space="preserve">ホンガクトテイケイヲムスンデイル </t>
    </rPh>
    <rPh sb="3" eb="7">
      <t xml:space="preserve">シエンダンタイ </t>
    </rPh>
    <rPh sb="10" eb="19">
      <t xml:space="preserve">サンガクコウリュウカイキギョウ </t>
    </rPh>
    <rPh sb="20" eb="22">
      <t xml:space="preserve">ホンガクガレンケイキョウテイヲテイケツシテイルジチタイノ </t>
    </rPh>
    <rPh sb="38" eb="40">
      <t xml:space="preserve">キギョウ </t>
    </rPh>
    <rPh sb="45" eb="47">
      <t xml:space="preserve">キョウイクプログラムノコウギナイヨウ </t>
    </rPh>
    <rPh sb="57" eb="58">
      <t xml:space="preserve">オヨビ </t>
    </rPh>
    <rPh sb="59" eb="60">
      <t xml:space="preserve">ジツデータヲカツヨウシタエンシュウトウノシュホウニツイテ </t>
    </rPh>
    <rPh sb="78" eb="80">
      <t xml:space="preserve">イケンヲシュウシュウシ </t>
    </rPh>
    <rPh sb="90" eb="92">
      <t xml:space="preserve">スウリ </t>
    </rPh>
    <rPh sb="104" eb="106">
      <t xml:space="preserve">キョウイク </t>
    </rPh>
    <rPh sb="106" eb="111">
      <t xml:space="preserve">タントウイインカイ </t>
    </rPh>
    <phoneticPr fontId="1"/>
  </si>
  <si>
    <t>数理・データサイエンスの本質を理解するには、数学ⅠA, ⅡB, Ⅲの知識が必要になる。特に、公式や計算結果が持つ意味の理解が欠かせない。基礎学力に起因して、合格基準に達しない、または、履修途中で放棄してしまう学生をなくすための施策として「数学基礎向上プログラム」を実施している。対象学生は、入学時プレースメントテストにおいて数学科目が低得点だった学生である。特色は、対面授業を基本としつつ、eラーニングコンテンツを組み合わせたことである。「数学基礎向上プログラム」は、数理・データサイエンスプログラムの履修が可能なレベルであると判定された時点で修了となる。
また、数理・データサイエンス教育プログラムのすべての授業は、適切にインデックス化され、LMSにアーカイブを蓄積している。例えば、実験データの分析方法など、学内の全学生がいつでも閲覧可能な環境を維持している。</t>
    <phoneticPr fontId="1"/>
  </si>
  <si>
    <t>対面とオンラインの両面で学生をサポートしている。対面の相談は、新潟工科大学教育センターの情報系教員が担当し、オンラインは、LMSにて管理している。オンラインで受け付けた質問は、委員会の教員で共有され、当日中遅くとも3日以内に回答されている。また、受け付けた質問をFAQ形式で集約することで、質問すること自体が他の学生の助けになることを学ばせている。</t>
    <phoneticPr fontId="1"/>
  </si>
  <si>
    <t>学生の内容の理解度を定量的に判断して効果的な学習を実現するために3つの対策を実施している。(1)講義後に複数回レポート課題を与えることで、理解度を把握し、講義の改善に活用している。独自の試みとして、課題ができなかった理由を分析し、分析結果を本プログラムの教員で共有している。(2)全講義終了後に本教育プログラム受講者全員に対して授業評価アンケートを実施しており、教育センターにおいて学生の理解度を分析している。(3)本学では、すべての科目について定期試験終了後に各科目の到達目標について自己評価をさせている。現在、自己評価から学生の学びの意欲と理解度を分析する方法を検討している。</t>
    <rPh sb="0" eb="2">
      <t xml:space="preserve">コウギゴニ </t>
    </rPh>
    <rPh sb="2" eb="3">
      <t xml:space="preserve">ゴ </t>
    </rPh>
    <rPh sb="4" eb="7">
      <t xml:space="preserve">フクスウカイ </t>
    </rPh>
    <rPh sb="11" eb="13">
      <t xml:space="preserve">カダイ </t>
    </rPh>
    <rPh sb="14" eb="15">
      <t xml:space="preserve">アタエ </t>
    </rPh>
    <rPh sb="21" eb="24">
      <t xml:space="preserve">リカイドヲハアクシ </t>
    </rPh>
    <rPh sb="29" eb="31">
      <t xml:space="preserve">コウギノカイゼンニカツヨウシテイル </t>
    </rPh>
    <rPh sb="45" eb="51">
      <t xml:space="preserve">ゼンコウギシュウリョウゴニ </t>
    </rPh>
    <rPh sb="52" eb="55">
      <t xml:space="preserve">ホンキョウイクプログラムジュコウシャゼンインニタイシテ </t>
    </rPh>
    <rPh sb="69" eb="73">
      <t xml:space="preserve">ジュギョウヒョウカアンケートヲジッシシテオリ </t>
    </rPh>
    <rPh sb="86" eb="88">
      <t xml:space="preserve">キョウイクセンターニオイテ </t>
    </rPh>
    <rPh sb="96" eb="98">
      <t xml:space="preserve">ガクセイノリカイドヲ </t>
    </rPh>
    <rPh sb="103" eb="105">
      <t xml:space="preserve">ブンセキシテイル </t>
    </rPh>
    <phoneticPr fontId="1"/>
  </si>
  <si>
    <t>数理・データサイエンス・ＡＩ教育担当委員会が中心となり、本プログラムの構成科目「IoTとAIの基礎」の授業内容の改善を図るとともに、全学系から教員を選出し構成されるワーキング・グループを設立し、各学系の時間割に合わせて科目開設を実施することで、本学２年生（約200人）が受講できる体制を整備する。また、委員会により全学的な教育コンテンツを作成支援し、当該科目についてはオンデマンド教材を整備するとともに、教育センターに担当者を配置し、全学的な履修を支援・促進している。その上、令和４年度入学生から携帯型パソコンを必携とし、本プログラム構成科目の履修をスムーズに行えるようにした。</t>
    <rPh sb="0" eb="2">
      <t xml:space="preserve">スウリ </t>
    </rPh>
    <rPh sb="14" eb="18">
      <t xml:space="preserve">キョウイクタントウ </t>
    </rPh>
    <rPh sb="18" eb="21">
      <t xml:space="preserve">イインカイ </t>
    </rPh>
    <rPh sb="22" eb="24">
      <t xml:space="preserve">チュウシントナリ </t>
    </rPh>
    <rPh sb="28" eb="29">
      <t xml:space="preserve">ホンプログラム </t>
    </rPh>
    <rPh sb="35" eb="37">
      <t xml:space="preserve">コウセイ </t>
    </rPh>
    <rPh sb="37" eb="39">
      <t xml:space="preserve">カモク </t>
    </rPh>
    <rPh sb="47" eb="49">
      <t xml:space="preserve">キソ </t>
    </rPh>
    <rPh sb="51" eb="55">
      <t xml:space="preserve">ジュギョウナイヨウノカイゼンヲハカルトトモニ </t>
    </rPh>
    <rPh sb="66" eb="69">
      <t xml:space="preserve">ゼンガクケイ </t>
    </rPh>
    <rPh sb="71" eb="73">
      <t xml:space="preserve">キョウインヲセンシュツシ </t>
    </rPh>
    <rPh sb="77" eb="79">
      <t xml:space="preserve">コウセイサレル </t>
    </rPh>
    <rPh sb="93" eb="95">
      <t xml:space="preserve">セツリツシ </t>
    </rPh>
    <rPh sb="97" eb="100">
      <t xml:space="preserve">カクガクケイノ </t>
    </rPh>
    <rPh sb="101" eb="104">
      <t xml:space="preserve">ジカンワリニアワセテ </t>
    </rPh>
    <rPh sb="109" eb="111">
      <t xml:space="preserve">カモクカイセツヲジッシスル </t>
    </rPh>
    <rPh sb="111" eb="113">
      <t xml:space="preserve">カイセツ </t>
    </rPh>
    <rPh sb="122" eb="124">
      <t xml:space="preserve">ホンガク </t>
    </rPh>
    <rPh sb="125" eb="127">
      <t xml:space="preserve">ネンセイ </t>
    </rPh>
    <rPh sb="128" eb="129">
      <t xml:space="preserve">ヤク </t>
    </rPh>
    <rPh sb="132" eb="133">
      <t xml:space="preserve">ニン </t>
    </rPh>
    <rPh sb="135" eb="137">
      <t xml:space="preserve">ジュコウデキルタイセイヲ </t>
    </rPh>
    <rPh sb="143" eb="145">
      <t xml:space="preserve">セイビスル </t>
    </rPh>
    <rPh sb="151" eb="154">
      <t xml:space="preserve">イインカイノセッチニヨリ </t>
    </rPh>
    <rPh sb="157" eb="160">
      <t xml:space="preserve">ゼンガクテキナ </t>
    </rPh>
    <rPh sb="161" eb="163">
      <t xml:space="preserve">キョウイクコンテンツヲ </t>
    </rPh>
    <rPh sb="169" eb="173">
      <t xml:space="preserve">サクセイシエンシ </t>
    </rPh>
    <rPh sb="175" eb="179">
      <t xml:space="preserve">トウガイカモク </t>
    </rPh>
    <rPh sb="190" eb="192">
      <t xml:space="preserve">キョウザイヲ </t>
    </rPh>
    <rPh sb="193" eb="195">
      <t xml:space="preserve">セイビスルトトモニ </t>
    </rPh>
    <rPh sb="202" eb="204">
      <t xml:space="preserve">キョウイクセンターニ </t>
    </rPh>
    <rPh sb="209" eb="212">
      <t xml:space="preserve">タントウシャヲ </t>
    </rPh>
    <rPh sb="213" eb="215">
      <t xml:space="preserve">ハイチシ </t>
    </rPh>
    <rPh sb="217" eb="220">
      <t xml:space="preserve">ゼンガクテキナリシュウヲ </t>
    </rPh>
    <rPh sb="224" eb="226">
      <t xml:space="preserve">シエン </t>
    </rPh>
    <rPh sb="227" eb="229">
      <t xml:space="preserve">ソクシンシテイル ゼンガクヒッシュウカ カモク カ メザシテ </t>
    </rPh>
    <rPh sb="238" eb="240">
      <t xml:space="preserve">レイワ </t>
    </rPh>
    <rPh sb="241" eb="243">
      <t xml:space="preserve">ネンド </t>
    </rPh>
    <rPh sb="243" eb="246">
      <t xml:space="preserve">ニュウガクセイカラ </t>
    </rPh>
    <rPh sb="248" eb="251">
      <t xml:space="preserve">ケイタイガタパソコンヲ </t>
    </rPh>
    <rPh sb="256" eb="258">
      <t xml:space="preserve">ヒッケイトシ </t>
    </rPh>
    <rPh sb="261" eb="262">
      <t xml:space="preserve">ホンプログラムコウセイカモクノリシュウヲ </t>
    </rPh>
    <rPh sb="280" eb="281">
      <t xml:space="preserve">オコナエルヨウニシタ </t>
    </rPh>
    <phoneticPr fontId="1"/>
  </si>
  <si>
    <t>２年次のガイダンス、１年次開講科目「コンピュータリテラシー」（必修）、「コンピュータプログラミング基礎」（選択）においてデータサイエンスの必要性を説き、学生のプログラム履修を促進している。また、修学意欲を促進させるため、単位修得者には修了証を発行することを計画している。</t>
    <rPh sb="1" eb="3">
      <t xml:space="preserve">ネンジ </t>
    </rPh>
    <rPh sb="97" eb="101">
      <t xml:space="preserve">シュウガクイヨクヲソクシンサセルタメ </t>
    </rPh>
    <rPh sb="110" eb="115">
      <t xml:space="preserve">タンイシュウトクシャニ </t>
    </rPh>
    <rPh sb="117" eb="120">
      <t xml:space="preserve">シュウリョウショウヲ </t>
    </rPh>
    <rPh sb="121" eb="123">
      <t xml:space="preserve">ハッコウスル </t>
    </rPh>
    <rPh sb="128" eb="130">
      <t xml:space="preserve">ケイカクシテイル </t>
    </rPh>
    <phoneticPr fontId="1"/>
  </si>
  <si>
    <t>教育センターにおいて発行している授業改善報告書の中の、プログラム構成科目に関する報告に含まれる「授業データ」を分析することによって、授業内容の学生の理解度を把握することができ、その結果を数理・データサイエンス・ＡＩ教育担当委員会と連携し、本教育プログラムの評価・改善に活用している。</t>
    <rPh sb="0" eb="1">
      <t xml:space="preserve">キョウイクセンターニオイテ </t>
    </rPh>
    <rPh sb="10" eb="12">
      <t xml:space="preserve">ハッコウ </t>
    </rPh>
    <rPh sb="16" eb="23">
      <t xml:space="preserve">ジュギョウカイゼンホウコクショ </t>
    </rPh>
    <rPh sb="24" eb="25">
      <t xml:space="preserve">ナカノ </t>
    </rPh>
    <rPh sb="32" eb="34">
      <t xml:space="preserve">コウセイ </t>
    </rPh>
    <rPh sb="37" eb="38">
      <t xml:space="preserve">カンスル </t>
    </rPh>
    <rPh sb="40" eb="42">
      <t xml:space="preserve">ホウコク </t>
    </rPh>
    <rPh sb="43" eb="44">
      <t xml:space="preserve">フクマレル </t>
    </rPh>
    <rPh sb="48" eb="50">
      <t xml:space="preserve">ジュギョウデータ </t>
    </rPh>
    <rPh sb="55" eb="57">
      <t xml:space="preserve">ブンセキスルコトニヨッテ </t>
    </rPh>
    <rPh sb="66" eb="70">
      <t xml:space="preserve">ジュギョウナイヨウノ </t>
    </rPh>
    <rPh sb="71" eb="73">
      <t xml:space="preserve">ガクセイノリカイドヲハアクスルコトガデキ </t>
    </rPh>
    <rPh sb="90" eb="92">
      <t xml:space="preserve">ケッカヲ </t>
    </rPh>
    <rPh sb="93" eb="95">
      <t xml:space="preserve">スウリ </t>
    </rPh>
    <rPh sb="107" eb="109">
      <t xml:space="preserve">キョウイクセンタート </t>
    </rPh>
    <rPh sb="109" eb="111">
      <t xml:space="preserve">タントウ </t>
    </rPh>
    <rPh sb="111" eb="114">
      <t xml:space="preserve">イインカイ </t>
    </rPh>
    <rPh sb="115" eb="117">
      <t xml:space="preserve">レンケイシ </t>
    </rPh>
    <rPh sb="119" eb="122">
      <t xml:space="preserve">ホンキョウイクプログラムノヒョウカ </t>
    </rPh>
    <rPh sb="131" eb="133">
      <t xml:space="preserve">カイゼンニカツヨウシテイル </t>
    </rPh>
    <phoneticPr fontId="1"/>
  </si>
  <si>
    <t>プログラムを構成する「IoTとAIの基礎」を取得すること。</t>
    <rPh sb="18" eb="20">
      <t xml:space="preserve">キソ </t>
    </rPh>
    <rPh sb="22" eb="24">
      <t xml:space="preserve">シュトクスルコト </t>
    </rPh>
    <phoneticPr fontId="1"/>
  </si>
  <si>
    <t>卒業生調査を定期的に実施し、本教育プログラムを修了した卒業生の進路や活躍状況の把握が可能である。また本学における産学交流会会員企業に対して企業調査を実施し、本教育プログラムを修了した卒業生における採用状況や企業評価を把握する仕組みを設ける計画である。</t>
    <rPh sb="0" eb="5">
      <t xml:space="preserve">ソツギョウセイチョウサヲ </t>
    </rPh>
    <rPh sb="6" eb="9">
      <t xml:space="preserve">テイキテキ </t>
    </rPh>
    <rPh sb="10" eb="12">
      <t xml:space="preserve">ジッシシ </t>
    </rPh>
    <rPh sb="14" eb="17">
      <t xml:space="preserve">ホンキョウイクプログラムヲシュウリョウシタ </t>
    </rPh>
    <rPh sb="23" eb="25">
      <t xml:space="preserve">シュウリョウ </t>
    </rPh>
    <rPh sb="27" eb="30">
      <t xml:space="preserve">ソツギョウセイノシンロヤ </t>
    </rPh>
    <rPh sb="34" eb="38">
      <t xml:space="preserve">カツヤクジョウキョウノハアクガカ </t>
    </rPh>
    <rPh sb="42" eb="44">
      <t xml:space="preserve">カノウデアル </t>
    </rPh>
    <rPh sb="50" eb="52">
      <t xml:space="preserve">ホンガク </t>
    </rPh>
    <rPh sb="56" eb="61">
      <t xml:space="preserve">サンガクコウリュウカイ </t>
    </rPh>
    <rPh sb="61" eb="63">
      <t xml:space="preserve">カイイン </t>
    </rPh>
    <rPh sb="63" eb="65">
      <t xml:space="preserve">キギョウ </t>
    </rPh>
    <rPh sb="69" eb="73">
      <t xml:space="preserve">キギョウチョウサヲジッシ </t>
    </rPh>
    <rPh sb="78" eb="81">
      <t xml:space="preserve">ホンキョウイクプログラムヲシュウリョウシタソツギョウセイニオケル </t>
    </rPh>
    <rPh sb="87" eb="89">
      <t xml:space="preserve">シュウリョウ </t>
    </rPh>
    <rPh sb="98" eb="102">
      <t xml:space="preserve">サイヨウジョウキョウヤ </t>
    </rPh>
    <rPh sb="103" eb="107">
      <t xml:space="preserve">キギョウヒョウカヲハアクスルシクミヲモウケテイル </t>
    </rPh>
    <rPh sb="119" eb="121">
      <t xml:space="preserve">ケイカクデアル </t>
    </rPh>
    <phoneticPr fontId="1"/>
  </si>
  <si>
    <t>大川　秀雄</t>
    <phoneticPr fontId="1"/>
  </si>
  <si>
    <t>古口　日出男</t>
    <phoneticPr fontId="1"/>
  </si>
  <si>
    <t>中村　誠</t>
    <rPh sb="0" eb="2">
      <t xml:space="preserve">ナカムラ </t>
    </rPh>
    <rPh sb="3" eb="4">
      <t xml:space="preserve">マコト </t>
    </rPh>
    <phoneticPr fontId="1"/>
  </si>
  <si>
    <t>学長</t>
    <rPh sb="0" eb="2">
      <t>ガクチョウ</t>
    </rPh>
    <phoneticPr fontId="1"/>
  </si>
  <si>
    <t>黒金　慶樹</t>
    <rPh sb="0" eb="2">
      <t>クロガネ</t>
    </rPh>
    <rPh sb="3" eb="5">
      <t>ヨシキ</t>
    </rPh>
    <phoneticPr fontId="1"/>
  </si>
  <si>
    <t>gakumu@adm.niit.ac.jp</t>
    <phoneticPr fontId="1"/>
  </si>
  <si>
    <t>0257-22-8111</t>
    <phoneticPr fontId="1"/>
  </si>
  <si>
    <t>工学部</t>
    <rPh sb="0" eb="3">
      <t xml:space="preserve">コウガクブ </t>
    </rPh>
    <phoneticPr fontId="1"/>
  </si>
  <si>
    <t>工学科（機械・素材・食品学系）</t>
    <rPh sb="0" eb="3">
      <t xml:space="preserve">コウガクカ </t>
    </rPh>
    <rPh sb="4" eb="6">
      <t xml:space="preserve">キカイシステム </t>
    </rPh>
    <rPh sb="7" eb="9">
      <t xml:space="preserve">ソザイ </t>
    </rPh>
    <rPh sb="10" eb="12">
      <t xml:space="preserve">ショクヒン </t>
    </rPh>
    <rPh sb="12" eb="14">
      <t xml:space="preserve">ガクケイ </t>
    </rPh>
    <phoneticPr fontId="1"/>
  </si>
  <si>
    <t>工学科（知能機械・情報通信学系）</t>
    <rPh sb="4" eb="8">
      <t xml:space="preserve">チノウキカイ </t>
    </rPh>
    <rPh sb="9" eb="13">
      <t xml:space="preserve">ジョウホウツウシンコース </t>
    </rPh>
    <rPh sb="13" eb="15">
      <t xml:space="preserve">ガクケイ </t>
    </rPh>
    <phoneticPr fontId="1"/>
  </si>
  <si>
    <t>工学科（建築・都市環境学系）</t>
    <rPh sb="0" eb="3">
      <t>コウガクカ</t>
    </rPh>
    <rPh sb="4" eb="6">
      <t xml:space="preserve">ケンチク </t>
    </rPh>
    <rPh sb="7" eb="9">
      <t xml:space="preserve">トシ </t>
    </rPh>
    <rPh sb="9" eb="11">
      <t xml:space="preserve">カンキョウ </t>
    </rPh>
    <rPh sb="11" eb="13">
      <t xml:space="preserve">ガクケイ </t>
    </rPh>
    <phoneticPr fontId="1"/>
  </si>
  <si>
    <t>学務課</t>
    <rPh sb="0" eb="3">
      <t>ガクムカ</t>
    </rPh>
    <phoneticPr fontId="1"/>
  </si>
  <si>
    <t>https://www.niit.ac.jp/ds_ai/index.html</t>
    <phoneticPr fontId="1"/>
  </si>
  <si>
    <t>数理・データサイエンス・ＡＩ教育担当委員長 中村 誠 （工学部工学科電子情報学系（旧知能機械・情報通信学系） 教授）
工学部工学科機械システム学系（旧機械・素材・食品学系） 教授 堀 雅和
工学部工学科電子情報学系（旧知能機械・情報通信学系） 教授 山岸 芳夫
工学部工学科電子情報学系（旧知能機械・情報通信学系） 准教授 海老澤 賢史
工学部 教育センター 准教授 渡邊 壮一
工学部工学科電子情報学系（旧知能機械・情報通信学系） 助教 松田 直祐</t>
    <rPh sb="0" eb="2">
      <t xml:space="preserve">スウリ </t>
    </rPh>
    <rPh sb="14" eb="20">
      <t xml:space="preserve">キョウイクタントウイインカイ </t>
    </rPh>
    <rPh sb="20" eb="21">
      <t xml:space="preserve">チョウ </t>
    </rPh>
    <rPh sb="22" eb="24">
      <t xml:space="preserve">ナカムラ </t>
    </rPh>
    <rPh sb="25" eb="26">
      <t>ジムキョ</t>
    </rPh>
    <rPh sb="28" eb="31">
      <t xml:space="preserve">コウガクブ </t>
    </rPh>
    <rPh sb="31" eb="34">
      <t xml:space="preserve">コウガクカ </t>
    </rPh>
    <rPh sb="34" eb="40">
      <t xml:space="preserve">デンシジョウホウガクケイ </t>
    </rPh>
    <rPh sb="41" eb="42">
      <t xml:space="preserve">キュウ </t>
    </rPh>
    <rPh sb="42" eb="46">
      <t xml:space="preserve">チノウキカイ </t>
    </rPh>
    <rPh sb="47" eb="53">
      <t xml:space="preserve">ジョウホウツウシンガクケイ </t>
    </rPh>
    <rPh sb="55" eb="57">
      <t xml:space="preserve">キョウジュ </t>
    </rPh>
    <rPh sb="59" eb="62">
      <t>ク ガクムカ</t>
    </rPh>
    <rPh sb="62" eb="65">
      <t xml:space="preserve">コウガクカ </t>
    </rPh>
    <rPh sb="65" eb="67">
      <t xml:space="preserve"> カチョウホサ </t>
    </rPh>
    <rPh sb="71" eb="73">
      <t xml:space="preserve">クロガネ </t>
    </rPh>
    <rPh sb="74" eb="75">
      <t xml:space="preserve">キュウ </t>
    </rPh>
    <rPh sb="75" eb="77">
      <t xml:space="preserve">キカイ </t>
    </rPh>
    <rPh sb="78" eb="80">
      <t xml:space="preserve">ソザイ </t>
    </rPh>
    <rPh sb="81" eb="83">
      <t xml:space="preserve">ショクヒン </t>
    </rPh>
    <rPh sb="83" eb="85">
      <t xml:space="preserve">ガクケイ </t>
    </rPh>
    <rPh sb="87" eb="89">
      <t>_x0000__x0000__x0002__x0004__x000E__x0006_</t>
    </rPh>
    <rPh sb="90" eb="91">
      <t>_x0013__x0014__x0001_</t>
    </rPh>
    <rPh sb="92" eb="94">
      <t>_x0017__x0016__x0002__x001C__x0019_</t>
    </rPh>
    <rPh sb="95" eb="98">
      <t/>
    </rPh>
    <rPh sb="98" eb="101">
      <t xml:space="preserve">コウガクカ </t>
    </rPh>
    <rPh sb="101" eb="107">
      <t>ョウホサ クロガネ _x0000__x0000__x0002_</t>
    </rPh>
    <rPh sb="108" eb="109">
      <t xml:space="preserve">キュウ </t>
    </rPh>
    <rPh sb="109" eb="113">
      <t xml:space="preserve">チノウキカイ </t>
    </rPh>
    <rPh sb="114" eb="120">
      <t xml:space="preserve">ジョウホウツウシンガクケイ </t>
    </rPh>
    <rPh sb="122" eb="124">
      <t>_x0004__x000E__x0006__x0013__x0014__x0001_</t>
    </rPh>
    <rPh sb="125" eb="127">
      <t>_x0017__x0016__x0002__x001C__x0019_</t>
    </rPh>
    <rPh sb="128" eb="130">
      <t>_x0001_ _x001B__x0003_</t>
    </rPh>
    <rPh sb="131" eb="134">
      <t>&amp;_x001E__x0002_.$_x0002_</t>
    </rPh>
    <rPh sb="134" eb="137">
      <t xml:space="preserve">コウガクカ </t>
    </rPh>
    <rPh sb="137" eb="143">
      <t>3'_x0002_9*_x0001_&lt;,_x0002_A/_x0003_)</t>
    </rPh>
    <rPh sb="144" eb="145">
      <t xml:space="preserve">キュウ </t>
    </rPh>
    <rPh sb="145" eb="149">
      <t xml:space="preserve">チノウキカイ </t>
    </rPh>
    <rPh sb="150" eb="156">
      <t xml:space="preserve">ジョウホウツウシンガクケイ </t>
    </rPh>
    <rPh sb="158" eb="161">
      <t>2_x0006_69_x0002_&lt;&lt;_x0002_A</t>
    </rPh>
    <rPh sb="162" eb="165">
      <t>?_x0002_EB_x0003_</t>
    </rPh>
    <rPh sb="166" eb="168">
      <t>KE_x0006_X</t>
    </rPh>
    <rPh sb="169" eb="172">
      <t>L_x0003_aP_x0003_f</t>
    </rPh>
    <rPh sb="173" eb="175">
      <t xml:space="preserve">キョウイクセンター </t>
    </rPh>
    <rPh sb="180" eb="183">
      <t xml:space="preserve">ジュンキョウジュ </t>
    </rPh>
    <rPh sb="184" eb="186">
      <t>f_x0002_i</t>
    </rPh>
    <rPh sb="187" eb="189">
      <t>_x0003_l_x0006_</t>
    </rPh>
    <rPh sb="190" eb="193">
      <t>s_x0002_¤v_x0002_¨</t>
    </rPh>
    <rPh sb="193" eb="196">
      <t xml:space="preserve">コウガクカ </t>
    </rPh>
    <rPh sb="196" eb="202">
      <t>y_x0002__x001C_|_x0003_"_x0002_'_x0004_.</t>
    </rPh>
    <rPh sb="203" eb="204">
      <t xml:space="preserve">キュウ </t>
    </rPh>
    <rPh sb="204" eb="208">
      <t xml:space="preserve">チノウキカイ </t>
    </rPh>
    <rPh sb="209" eb="215">
      <t xml:space="preserve">ジョウホウツウシンガクケイ </t>
    </rPh>
    <rPh sb="217" eb="219">
      <t>_x0002__x0000__x0000__x0000__x0000__x0005_</t>
    </rPh>
    <rPh sb="220" eb="222">
      <t>_x0000__x0005_10</t>
    </rPh>
    <rPh sb="223" eb="225">
      <t/>
    </rPh>
    <phoneticPr fontId="1"/>
  </si>
  <si>
    <t>新潟県柏崎市大字藤橋１７１９</t>
    <rPh sb="0" eb="3">
      <t>ニイガタケン</t>
    </rPh>
    <rPh sb="3" eb="6">
      <t>カシワザキシ</t>
    </rPh>
    <rPh sb="6" eb="8">
      <t>オオアザ</t>
    </rPh>
    <rPh sb="8" eb="10">
      <t>フジハシ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</si>
</sst>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FF0000"/>
      <name val="ＭＳ Ｐゴシック"/>
      <family val="3"/>
      <charset val="128"/>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49" fontId="7" fillId="0" borderId="2" xfId="2" applyNumberFormat="1" applyBorder="1" applyAlignment="1">
      <alignment horizontal="center" vertical="center" shrinkToFit="1"/>
    </xf>
    <xf numFmtId="49" fontId="8" fillId="0" borderId="3" xfId="0" applyNumberFormat="1" applyFont="1" applyBorder="1" applyAlignment="1">
      <alignment horizontal="center" vertical="center" shrinkToFit="1"/>
    </xf>
    <xf numFmtId="49" fontId="8" fillId="0" borderId="4" xfId="0" applyNumberFormat="1" applyFont="1" applyBorder="1" applyAlignment="1">
      <alignment horizontal="center"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9" xfId="0" applyFont="1" applyBorder="1" applyAlignment="1">
      <alignment horizontal="left" vertical="center" wrapText="1" shrinkToFit="1"/>
    </xf>
    <xf numFmtId="0" fontId="9" fillId="0" borderId="20"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9" fillId="0" borderId="0" xfId="0" applyFont="1" applyAlignment="1">
      <alignment horizontal="center" vertical="center"/>
    </xf>
    <xf numFmtId="0" fontId="24" fillId="0" borderId="7" xfId="0" applyFont="1" applyBorder="1" applyAlignment="1">
      <alignment horizontal="left" vertical="top"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9" fillId="0" borderId="39"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41" xfId="0" applyFont="1" applyBorder="1" applyAlignment="1">
      <alignment horizontal="left" vertical="center" wrapText="1" shrinkToFit="1"/>
    </xf>
    <xf numFmtId="0" fontId="9" fillId="0" borderId="42" xfId="0" applyFont="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11" fillId="0" borderId="16" xfId="0" applyFont="1" applyBorder="1" applyAlignment="1">
      <alignment vertical="top" wrapText="1" shrinkToFit="1"/>
    </xf>
    <xf numFmtId="0" fontId="11" fillId="0" borderId="22" xfId="0" applyFont="1" applyBorder="1" applyAlignment="1">
      <alignment vertical="top" wrapText="1" shrinkToFit="1"/>
    </xf>
    <xf numFmtId="0" fontId="11" fillId="0" borderId="21"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8" xfId="0" applyFont="1" applyBorder="1" applyAlignment="1">
      <alignment vertical="top"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umu@adm.nii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iit.ac.jp/ds_ai/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niit.ac.jp/ds_ai/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5"/>
  <sheetViews>
    <sheetView tabSelected="1" view="pageBreakPreview" zoomScale="160" zoomScaleNormal="100" zoomScaleSheetLayoutView="160" workbookViewId="0">
      <selection activeCell="E14" sqref="E14:F14"/>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625" style="14" customWidth="1"/>
    <col min="13" max="13" width="3.375" style="14" customWidth="1"/>
    <col min="14" max="14" width="4.5" style="14" customWidth="1"/>
    <col min="15" max="15" width="9" style="31"/>
    <col min="16" max="16384" width="9" style="13"/>
  </cols>
  <sheetData>
    <row r="1" spans="1:15" ht="24" customHeight="1" x14ac:dyDescent="0.15">
      <c r="M1" s="137" t="s">
        <v>25</v>
      </c>
      <c r="N1" s="137"/>
    </row>
    <row r="2" spans="1:15" ht="24" customHeight="1" x14ac:dyDescent="0.15">
      <c r="A2" s="141" t="s">
        <v>83</v>
      </c>
      <c r="B2" s="141"/>
      <c r="C2" s="141"/>
      <c r="D2" s="141"/>
      <c r="E2" s="141"/>
      <c r="F2" s="141"/>
      <c r="G2" s="141"/>
      <c r="H2" s="141"/>
      <c r="I2" s="141"/>
      <c r="J2" s="141"/>
      <c r="K2" s="141"/>
      <c r="L2" s="141"/>
      <c r="M2" s="141"/>
      <c r="N2" s="141"/>
    </row>
    <row r="3" spans="1:15" ht="24" customHeight="1" x14ac:dyDescent="0.15"/>
    <row r="4" spans="1:15" ht="24" customHeight="1" x14ac:dyDescent="0.15">
      <c r="A4" s="14" t="s">
        <v>6</v>
      </c>
      <c r="B4" s="15" t="s">
        <v>16</v>
      </c>
      <c r="C4" s="129" t="s">
        <v>149</v>
      </c>
      <c r="D4" s="130"/>
      <c r="E4" s="130"/>
      <c r="F4" s="130"/>
      <c r="G4" s="130"/>
      <c r="H4" s="130"/>
      <c r="I4" s="130"/>
      <c r="J4" s="130"/>
      <c r="K4" s="130"/>
      <c r="L4" s="130"/>
      <c r="M4" s="130"/>
      <c r="N4" s="131"/>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29" t="s">
        <v>150</v>
      </c>
      <c r="E6" s="130"/>
      <c r="F6" s="130"/>
      <c r="G6" s="130"/>
      <c r="H6" s="131"/>
      <c r="I6" s="17" t="s">
        <v>86</v>
      </c>
      <c r="J6" s="37" t="s">
        <v>87</v>
      </c>
      <c r="K6" s="129" t="s">
        <v>151</v>
      </c>
      <c r="L6" s="130"/>
      <c r="M6" s="130"/>
      <c r="N6" s="131"/>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29" t="s">
        <v>224</v>
      </c>
      <c r="D8" s="130"/>
      <c r="E8" s="130"/>
      <c r="F8" s="130"/>
      <c r="G8" s="130"/>
      <c r="H8" s="130"/>
      <c r="I8" s="130"/>
      <c r="J8" s="130"/>
      <c r="K8" s="130"/>
      <c r="L8" s="130"/>
      <c r="M8" s="130"/>
      <c r="N8" s="131"/>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29" t="s">
        <v>152</v>
      </c>
      <c r="F10" s="130"/>
      <c r="G10" s="130"/>
      <c r="H10" s="130"/>
      <c r="I10" s="130"/>
      <c r="J10" s="130"/>
      <c r="K10" s="130"/>
      <c r="L10" s="130"/>
      <c r="M10" s="130"/>
      <c r="N10" s="131"/>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2" t="s">
        <v>153</v>
      </c>
      <c r="F12" s="143"/>
      <c r="G12" s="17" t="s">
        <v>96</v>
      </c>
      <c r="H12" s="14" t="s">
        <v>97</v>
      </c>
      <c r="N12" s="117" t="s">
        <v>154</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38" t="s">
        <v>5</v>
      </c>
      <c r="D14" s="139"/>
      <c r="E14" s="132">
        <v>44</v>
      </c>
      <c r="F14" s="133"/>
      <c r="G14" s="18" t="s">
        <v>7</v>
      </c>
      <c r="I14" s="138" t="s">
        <v>8</v>
      </c>
      <c r="J14" s="139"/>
      <c r="K14" s="132">
        <v>35</v>
      </c>
      <c r="L14" s="140"/>
      <c r="M14" s="133"/>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44">
        <v>2</v>
      </c>
      <c r="L16" s="145"/>
      <c r="M16" s="146"/>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2">
        <v>200</v>
      </c>
      <c r="F18" s="133"/>
      <c r="G18" s="21" t="s">
        <v>21</v>
      </c>
      <c r="H18" s="20"/>
      <c r="K18" s="150"/>
      <c r="L18" s="150"/>
      <c r="M18" s="150"/>
      <c r="N18" s="150"/>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47">
        <v>701</v>
      </c>
      <c r="K20" s="148"/>
      <c r="L20" s="149"/>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2">
        <v>191</v>
      </c>
      <c r="D22" s="133"/>
      <c r="E22" s="10" t="s">
        <v>22</v>
      </c>
      <c r="F22" s="20"/>
      <c r="G22" s="128" t="s">
        <v>18</v>
      </c>
      <c r="H22" s="128"/>
      <c r="I22" s="132">
        <v>215</v>
      </c>
      <c r="J22" s="133"/>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2">
        <v>157</v>
      </c>
      <c r="D24" s="133"/>
      <c r="E24" s="10" t="s">
        <v>22</v>
      </c>
      <c r="F24" s="20"/>
      <c r="G24" s="128" t="s">
        <v>20</v>
      </c>
      <c r="H24" s="128"/>
      <c r="I24" s="132">
        <v>138</v>
      </c>
      <c r="J24" s="133"/>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2"/>
      <c r="D26" s="133"/>
      <c r="E26" s="10" t="s">
        <v>7</v>
      </c>
      <c r="F26" s="20"/>
      <c r="G26" s="128" t="s">
        <v>47</v>
      </c>
      <c r="H26" s="128"/>
      <c r="I26" s="132"/>
      <c r="J26" s="133"/>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34" t="s">
        <v>74</v>
      </c>
      <c r="C29" s="134"/>
      <c r="D29" s="129" t="s">
        <v>211</v>
      </c>
      <c r="E29" s="130"/>
      <c r="F29" s="130"/>
      <c r="G29" s="135" t="s">
        <v>23</v>
      </c>
      <c r="H29" s="134"/>
      <c r="I29" s="136"/>
      <c r="J29" s="129" t="s">
        <v>155</v>
      </c>
      <c r="K29" s="130"/>
      <c r="L29" s="130"/>
      <c r="M29" s="130"/>
      <c r="N29" s="131"/>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29" t="s">
        <v>156</v>
      </c>
      <c r="C32" s="130"/>
      <c r="D32" s="130"/>
      <c r="E32" s="130"/>
      <c r="F32" s="130"/>
      <c r="G32" s="130"/>
      <c r="H32" s="130"/>
      <c r="I32" s="130"/>
      <c r="J32" s="130"/>
      <c r="K32" s="130"/>
      <c r="L32" s="130"/>
      <c r="M32" s="130"/>
      <c r="N32" s="131"/>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4" t="s">
        <v>74</v>
      </c>
      <c r="C34" s="134"/>
      <c r="D34" s="129" t="s">
        <v>212</v>
      </c>
      <c r="E34" s="130"/>
      <c r="F34" s="130"/>
      <c r="G34" s="135" t="s">
        <v>55</v>
      </c>
      <c r="H34" s="134"/>
      <c r="I34" s="136"/>
      <c r="J34" s="129" t="s">
        <v>157</v>
      </c>
      <c r="K34" s="130"/>
      <c r="L34" s="130"/>
      <c r="M34" s="130"/>
      <c r="N34" s="131"/>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29" t="s">
        <v>158</v>
      </c>
      <c r="C37" s="130"/>
      <c r="D37" s="130"/>
      <c r="E37" s="130"/>
      <c r="F37" s="130"/>
      <c r="G37" s="130"/>
      <c r="H37" s="130"/>
      <c r="I37" s="130"/>
      <c r="J37" s="130"/>
      <c r="K37" s="130"/>
      <c r="L37" s="130"/>
      <c r="M37" s="130"/>
      <c r="N37" s="131"/>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4" t="s">
        <v>74</v>
      </c>
      <c r="C39" s="134"/>
      <c r="D39" s="129" t="s">
        <v>210</v>
      </c>
      <c r="E39" s="130"/>
      <c r="F39" s="130"/>
      <c r="G39" s="135" t="s">
        <v>55</v>
      </c>
      <c r="H39" s="134"/>
      <c r="I39" s="136"/>
      <c r="J39" s="129" t="s">
        <v>213</v>
      </c>
      <c r="K39" s="130"/>
      <c r="L39" s="130"/>
      <c r="M39" s="130"/>
      <c r="N39" s="131"/>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29" t="s">
        <v>159</v>
      </c>
      <c r="G41" s="130"/>
      <c r="H41" s="130"/>
      <c r="I41" s="130"/>
      <c r="J41" s="130"/>
      <c r="K41" s="130"/>
      <c r="L41" s="130"/>
      <c r="M41" s="130"/>
      <c r="N41" s="131"/>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29" t="s">
        <v>221</v>
      </c>
      <c r="D44" s="130"/>
      <c r="E44" s="130"/>
      <c r="F44" s="130"/>
      <c r="G44" s="130"/>
      <c r="H44" s="130"/>
      <c r="I44" s="26" t="s">
        <v>2</v>
      </c>
      <c r="J44" s="27"/>
      <c r="K44" s="129" t="s">
        <v>214</v>
      </c>
      <c r="L44" s="130"/>
      <c r="M44" s="130"/>
      <c r="N44" s="131"/>
      <c r="O44" s="31" t="str">
        <f>IF(OR(C44="",K44=""),"入力してください","")</f>
        <v/>
      </c>
    </row>
    <row r="45" spans="1:15" ht="24" customHeight="1" x14ac:dyDescent="0.15">
      <c r="B45" s="25" t="s">
        <v>4</v>
      </c>
      <c r="C45" s="122" t="s">
        <v>215</v>
      </c>
      <c r="D45" s="123"/>
      <c r="E45" s="123"/>
      <c r="F45" s="123"/>
      <c r="G45" s="123"/>
      <c r="H45" s="124"/>
      <c r="I45" s="26" t="s">
        <v>3</v>
      </c>
      <c r="J45" s="27"/>
      <c r="K45" s="125" t="s">
        <v>216</v>
      </c>
      <c r="L45" s="126"/>
      <c r="M45" s="126"/>
      <c r="N45" s="127"/>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98" right="0.78740157480314998" top="0.78740157480314998" bottom="0.39370078740157499" header="0.31496062992126" footer="0.31496062992126"/>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A13" sqref="A13:Z14"/>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0" t="s">
        <v>113</v>
      </c>
      <c r="X1" s="240"/>
      <c r="Y1" s="240"/>
      <c r="Z1" s="240"/>
    </row>
    <row r="2" spans="1:26" ht="18" customHeight="1" x14ac:dyDescent="0.15">
      <c r="A2" s="200" t="s">
        <v>67</v>
      </c>
      <c r="B2" s="200"/>
      <c r="C2" s="200"/>
      <c r="D2" s="200"/>
      <c r="E2" s="200"/>
      <c r="F2" s="200"/>
      <c r="G2" s="200"/>
      <c r="H2" s="200"/>
      <c r="I2" s="200"/>
      <c r="J2" s="200"/>
      <c r="K2" s="200"/>
      <c r="L2" s="200"/>
      <c r="M2" s="200"/>
      <c r="N2" s="200"/>
      <c r="O2" s="200"/>
      <c r="P2" s="200"/>
      <c r="Q2" s="200"/>
      <c r="R2" s="200"/>
      <c r="S2" s="200"/>
      <c r="T2" s="200"/>
      <c r="U2" s="200"/>
      <c r="V2" s="200"/>
      <c r="W2" s="200"/>
      <c r="X2" s="200"/>
      <c r="Y2" s="200"/>
      <c r="Z2" s="20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44" t="s">
        <v>160</v>
      </c>
      <c r="P4" s="145"/>
      <c r="Q4" s="145"/>
      <c r="R4" s="145"/>
      <c r="S4" s="145"/>
      <c r="T4" s="145"/>
      <c r="U4" s="145"/>
      <c r="V4" s="145"/>
      <c r="W4" s="145"/>
      <c r="X4" s="145"/>
      <c r="Y4" s="145"/>
      <c r="Z4" s="146"/>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01" t="s">
        <v>208</v>
      </c>
      <c r="C6" s="202"/>
      <c r="D6" s="202"/>
      <c r="E6" s="202"/>
      <c r="F6" s="202"/>
      <c r="G6" s="202"/>
      <c r="H6" s="202"/>
      <c r="I6" s="202"/>
      <c r="J6" s="202"/>
      <c r="K6" s="202"/>
      <c r="L6" s="202"/>
      <c r="M6" s="202"/>
      <c r="N6" s="202"/>
      <c r="O6" s="202"/>
      <c r="P6" s="202"/>
      <c r="Q6" s="202"/>
      <c r="R6" s="202"/>
      <c r="S6" s="202"/>
      <c r="T6" s="202"/>
      <c r="U6" s="202"/>
      <c r="V6" s="202"/>
      <c r="W6" s="202"/>
      <c r="X6" s="202"/>
      <c r="Y6" s="202"/>
      <c r="Z6" s="203"/>
    </row>
    <row r="7" spans="1:26" ht="18" customHeight="1" x14ac:dyDescent="0.15">
      <c r="B7" s="204"/>
      <c r="C7" s="205"/>
      <c r="D7" s="205"/>
      <c r="E7" s="205"/>
      <c r="F7" s="205"/>
      <c r="G7" s="205"/>
      <c r="H7" s="205"/>
      <c r="I7" s="205"/>
      <c r="J7" s="205"/>
      <c r="K7" s="205"/>
      <c r="L7" s="205"/>
      <c r="M7" s="205"/>
      <c r="N7" s="205"/>
      <c r="O7" s="205"/>
      <c r="P7" s="205"/>
      <c r="Q7" s="205"/>
      <c r="R7" s="205"/>
      <c r="S7" s="205"/>
      <c r="T7" s="205"/>
      <c r="U7" s="205"/>
      <c r="V7" s="205"/>
      <c r="W7" s="205"/>
      <c r="X7" s="205"/>
      <c r="Y7" s="205"/>
      <c r="Z7" s="206"/>
    </row>
    <row r="8" spans="1:26" ht="18" customHeight="1" x14ac:dyDescent="0.15">
      <c r="B8" s="204"/>
      <c r="C8" s="205"/>
      <c r="D8" s="205"/>
      <c r="E8" s="205"/>
      <c r="F8" s="205"/>
      <c r="G8" s="205"/>
      <c r="H8" s="205"/>
      <c r="I8" s="205"/>
      <c r="J8" s="205"/>
      <c r="K8" s="205"/>
      <c r="L8" s="205"/>
      <c r="M8" s="205"/>
      <c r="N8" s="205"/>
      <c r="O8" s="205"/>
      <c r="P8" s="205"/>
      <c r="Q8" s="205"/>
      <c r="R8" s="205"/>
      <c r="S8" s="205"/>
      <c r="T8" s="205"/>
      <c r="U8" s="205"/>
      <c r="V8" s="205"/>
      <c r="W8" s="205"/>
      <c r="X8" s="205"/>
      <c r="Y8" s="205"/>
      <c r="Z8" s="206"/>
    </row>
    <row r="9" spans="1:26" ht="18" customHeight="1" x14ac:dyDescent="0.15">
      <c r="B9" s="204"/>
      <c r="C9" s="205"/>
      <c r="D9" s="205"/>
      <c r="E9" s="205"/>
      <c r="F9" s="205"/>
      <c r="G9" s="205"/>
      <c r="H9" s="205"/>
      <c r="I9" s="205"/>
      <c r="J9" s="205"/>
      <c r="K9" s="205"/>
      <c r="L9" s="205"/>
      <c r="M9" s="205"/>
      <c r="N9" s="205"/>
      <c r="O9" s="205"/>
      <c r="P9" s="205"/>
      <c r="Q9" s="205"/>
      <c r="R9" s="205"/>
      <c r="S9" s="205"/>
      <c r="T9" s="205"/>
      <c r="U9" s="205"/>
      <c r="V9" s="205"/>
      <c r="W9" s="205"/>
      <c r="X9" s="205"/>
      <c r="Y9" s="205"/>
      <c r="Z9" s="206"/>
    </row>
    <row r="10" spans="1:26" ht="18" customHeight="1" x14ac:dyDescent="0.15">
      <c r="B10" s="204"/>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6"/>
    </row>
    <row r="11" spans="1:26" ht="18" customHeight="1" x14ac:dyDescent="0.15">
      <c r="B11" s="208"/>
      <c r="C11" s="209"/>
      <c r="D11" s="209"/>
      <c r="E11" s="209"/>
      <c r="F11" s="209"/>
      <c r="G11" s="209"/>
      <c r="H11" s="209"/>
      <c r="I11" s="209"/>
      <c r="J11" s="209"/>
      <c r="K11" s="209"/>
      <c r="L11" s="209"/>
      <c r="M11" s="209"/>
      <c r="N11" s="209"/>
      <c r="O11" s="209"/>
      <c r="P11" s="209"/>
      <c r="Q11" s="209"/>
      <c r="R11" s="209"/>
      <c r="S11" s="209"/>
      <c r="T11" s="209"/>
      <c r="U11" s="209"/>
      <c r="V11" s="209"/>
      <c r="W11" s="209"/>
      <c r="X11" s="209"/>
      <c r="Y11" s="209"/>
      <c r="Z11" s="21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96" t="s">
        <v>126</v>
      </c>
      <c r="B13" s="196"/>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row>
    <row r="14" spans="1:26" ht="18" customHeight="1" x14ac:dyDescent="0.15">
      <c r="A14" s="196"/>
      <c r="B14" s="196"/>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row>
    <row r="15" spans="1:26" ht="18" customHeight="1" x14ac:dyDescent="0.15">
      <c r="A15" s="14"/>
      <c r="B15" s="144" t="s">
        <v>100</v>
      </c>
      <c r="C15" s="145"/>
      <c r="D15" s="145"/>
      <c r="E15" s="145"/>
      <c r="F15" s="146"/>
      <c r="G15" s="30" t="s">
        <v>142</v>
      </c>
      <c r="H15" s="112" t="s">
        <v>141</v>
      </c>
      <c r="I15" s="145" t="s">
        <v>101</v>
      </c>
      <c r="J15" s="145"/>
      <c r="K15" s="145"/>
      <c r="L15" s="75" t="s">
        <v>104</v>
      </c>
      <c r="M15" s="75" t="s">
        <v>107</v>
      </c>
      <c r="N15" s="144" t="s">
        <v>100</v>
      </c>
      <c r="O15" s="145"/>
      <c r="P15" s="145"/>
      <c r="Q15" s="145"/>
      <c r="R15" s="145"/>
      <c r="S15" s="146"/>
      <c r="T15" s="30" t="s">
        <v>142</v>
      </c>
      <c r="U15" s="112" t="s">
        <v>141</v>
      </c>
      <c r="V15" s="145" t="s">
        <v>101</v>
      </c>
      <c r="W15" s="145"/>
      <c r="X15" s="145"/>
      <c r="Y15" s="75" t="s">
        <v>104</v>
      </c>
      <c r="Z15" s="75" t="s">
        <v>107</v>
      </c>
    </row>
    <row r="16" spans="1:26" ht="18" customHeight="1" x14ac:dyDescent="0.15">
      <c r="A16" s="14"/>
      <c r="B16" s="187" t="s">
        <v>171</v>
      </c>
      <c r="C16" s="188"/>
      <c r="D16" s="188"/>
      <c r="E16" s="188"/>
      <c r="F16" s="189"/>
      <c r="G16" s="113">
        <v>2</v>
      </c>
      <c r="H16" s="113" t="s">
        <v>173</v>
      </c>
      <c r="I16" s="181" t="s">
        <v>172</v>
      </c>
      <c r="J16" s="182"/>
      <c r="K16" s="183"/>
      <c r="L16" s="113" t="s">
        <v>173</v>
      </c>
      <c r="M16" s="113" t="s">
        <v>173</v>
      </c>
      <c r="N16" s="151"/>
      <c r="O16" s="152"/>
      <c r="P16" s="152"/>
      <c r="Q16" s="152"/>
      <c r="R16" s="152"/>
      <c r="S16" s="153"/>
      <c r="T16" s="113"/>
      <c r="U16" s="113"/>
      <c r="V16" s="181"/>
      <c r="W16" s="182"/>
      <c r="X16" s="183"/>
      <c r="Y16" s="113"/>
      <c r="Z16" s="113"/>
    </row>
    <row r="17" spans="1:26" ht="18" customHeight="1" x14ac:dyDescent="0.15">
      <c r="A17" s="14"/>
      <c r="B17" s="190"/>
      <c r="C17" s="191"/>
      <c r="D17" s="191"/>
      <c r="E17" s="191"/>
      <c r="F17" s="192"/>
      <c r="G17" s="114"/>
      <c r="H17" s="114"/>
      <c r="I17" s="184"/>
      <c r="J17" s="185"/>
      <c r="K17" s="186"/>
      <c r="L17" s="114"/>
      <c r="M17" s="114"/>
      <c r="N17" s="160"/>
      <c r="O17" s="161"/>
      <c r="P17" s="161"/>
      <c r="Q17" s="161"/>
      <c r="R17" s="161"/>
      <c r="S17" s="162"/>
      <c r="T17" s="114"/>
      <c r="U17" s="114"/>
      <c r="V17" s="184"/>
      <c r="W17" s="185"/>
      <c r="X17" s="186"/>
      <c r="Y17" s="114"/>
      <c r="Z17" s="114"/>
    </row>
    <row r="18" spans="1:26" ht="18" customHeight="1" x14ac:dyDescent="0.15">
      <c r="A18" s="14"/>
      <c r="B18" s="190"/>
      <c r="C18" s="191"/>
      <c r="D18" s="191"/>
      <c r="E18" s="191"/>
      <c r="F18" s="192"/>
      <c r="G18" s="114"/>
      <c r="H18" s="114"/>
      <c r="I18" s="184"/>
      <c r="J18" s="185"/>
      <c r="K18" s="186"/>
      <c r="L18" s="114"/>
      <c r="M18" s="114"/>
      <c r="N18" s="160"/>
      <c r="O18" s="161"/>
      <c r="P18" s="161"/>
      <c r="Q18" s="161"/>
      <c r="R18" s="161"/>
      <c r="S18" s="162"/>
      <c r="T18" s="114"/>
      <c r="U18" s="114"/>
      <c r="V18" s="184"/>
      <c r="W18" s="185"/>
      <c r="X18" s="186"/>
      <c r="Y18" s="114"/>
      <c r="Z18" s="114"/>
    </row>
    <row r="19" spans="1:26" ht="18" customHeight="1" x14ac:dyDescent="0.15">
      <c r="A19" s="14"/>
      <c r="B19" s="190"/>
      <c r="C19" s="191"/>
      <c r="D19" s="191"/>
      <c r="E19" s="191"/>
      <c r="F19" s="192"/>
      <c r="G19" s="114"/>
      <c r="H19" s="114"/>
      <c r="I19" s="184"/>
      <c r="J19" s="185"/>
      <c r="K19" s="186"/>
      <c r="L19" s="114"/>
      <c r="M19" s="114"/>
      <c r="N19" s="160"/>
      <c r="O19" s="161"/>
      <c r="P19" s="161"/>
      <c r="Q19" s="161"/>
      <c r="R19" s="161"/>
      <c r="S19" s="162"/>
      <c r="T19" s="114"/>
      <c r="U19" s="114"/>
      <c r="V19" s="184"/>
      <c r="W19" s="185"/>
      <c r="X19" s="186"/>
      <c r="Y19" s="114"/>
      <c r="Z19" s="114"/>
    </row>
    <row r="20" spans="1:26" ht="18" customHeight="1" x14ac:dyDescent="0.15">
      <c r="A20" s="14"/>
      <c r="B20" s="190"/>
      <c r="C20" s="191"/>
      <c r="D20" s="191"/>
      <c r="E20" s="191"/>
      <c r="F20" s="192"/>
      <c r="G20" s="114"/>
      <c r="H20" s="114"/>
      <c r="I20" s="184"/>
      <c r="J20" s="185"/>
      <c r="K20" s="186"/>
      <c r="L20" s="114"/>
      <c r="M20" s="114"/>
      <c r="N20" s="160"/>
      <c r="O20" s="161"/>
      <c r="P20" s="161"/>
      <c r="Q20" s="161"/>
      <c r="R20" s="161"/>
      <c r="S20" s="162"/>
      <c r="T20" s="114"/>
      <c r="U20" s="114"/>
      <c r="V20" s="184"/>
      <c r="W20" s="185"/>
      <c r="X20" s="186"/>
      <c r="Y20" s="114"/>
      <c r="Z20" s="114"/>
    </row>
    <row r="21" spans="1:26" ht="18" customHeight="1" x14ac:dyDescent="0.15">
      <c r="A21" s="29"/>
      <c r="B21" s="190"/>
      <c r="C21" s="191"/>
      <c r="D21" s="191"/>
      <c r="E21" s="191"/>
      <c r="F21" s="192"/>
      <c r="G21" s="114"/>
      <c r="H21" s="114"/>
      <c r="I21" s="184"/>
      <c r="J21" s="185"/>
      <c r="K21" s="186"/>
      <c r="L21" s="114"/>
      <c r="M21" s="114"/>
      <c r="N21" s="160"/>
      <c r="O21" s="161"/>
      <c r="P21" s="161"/>
      <c r="Q21" s="161"/>
      <c r="R21" s="161"/>
      <c r="S21" s="162"/>
      <c r="T21" s="114"/>
      <c r="U21" s="114"/>
      <c r="V21" s="184"/>
      <c r="W21" s="185"/>
      <c r="X21" s="186"/>
      <c r="Y21" s="114"/>
      <c r="Z21" s="114"/>
    </row>
    <row r="22" spans="1:26" ht="18" customHeight="1" x14ac:dyDescent="0.15">
      <c r="A22" s="29"/>
      <c r="B22" s="197"/>
      <c r="C22" s="198"/>
      <c r="D22" s="198"/>
      <c r="E22" s="198"/>
      <c r="F22" s="199"/>
      <c r="G22" s="115"/>
      <c r="H22" s="115"/>
      <c r="I22" s="193"/>
      <c r="J22" s="194"/>
      <c r="K22" s="195"/>
      <c r="L22" s="121"/>
      <c r="M22" s="121"/>
      <c r="N22" s="219"/>
      <c r="O22" s="220"/>
      <c r="P22" s="220"/>
      <c r="Q22" s="220"/>
      <c r="R22" s="220"/>
      <c r="S22" s="221"/>
      <c r="T22" s="115"/>
      <c r="U22" s="115"/>
      <c r="V22" s="193"/>
      <c r="W22" s="194"/>
      <c r="X22" s="195"/>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196" t="s">
        <v>127</v>
      </c>
      <c r="B24" s="196"/>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row>
    <row r="25" spans="1:26" ht="18" customHeight="1" x14ac:dyDescent="0.15">
      <c r="A25" s="196"/>
      <c r="B25" s="196"/>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row>
    <row r="26" spans="1:26" ht="18" customHeight="1" x14ac:dyDescent="0.15">
      <c r="A26" s="14"/>
      <c r="B26" s="144" t="s">
        <v>100</v>
      </c>
      <c r="C26" s="145"/>
      <c r="D26" s="145"/>
      <c r="E26" s="145"/>
      <c r="F26" s="146"/>
      <c r="G26" s="30" t="s">
        <v>142</v>
      </c>
      <c r="H26" s="112" t="s">
        <v>141</v>
      </c>
      <c r="I26" s="145" t="s">
        <v>101</v>
      </c>
      <c r="J26" s="145"/>
      <c r="K26" s="145"/>
      <c r="L26" s="75" t="s">
        <v>128</v>
      </c>
      <c r="M26" s="75" t="s">
        <v>129</v>
      </c>
      <c r="N26" s="144" t="s">
        <v>100</v>
      </c>
      <c r="O26" s="145"/>
      <c r="P26" s="145"/>
      <c r="Q26" s="145"/>
      <c r="R26" s="145"/>
      <c r="S26" s="146"/>
      <c r="T26" s="30" t="s">
        <v>142</v>
      </c>
      <c r="U26" s="112" t="s">
        <v>141</v>
      </c>
      <c r="V26" s="145" t="s">
        <v>101</v>
      </c>
      <c r="W26" s="145"/>
      <c r="X26" s="145"/>
      <c r="Y26" s="75" t="s">
        <v>128</v>
      </c>
      <c r="Z26" s="75" t="s">
        <v>129</v>
      </c>
    </row>
    <row r="27" spans="1:26" ht="18" customHeight="1" x14ac:dyDescent="0.15">
      <c r="A27" s="14"/>
      <c r="B27" s="187" t="s">
        <v>174</v>
      </c>
      <c r="C27" s="188"/>
      <c r="D27" s="188"/>
      <c r="E27" s="188"/>
      <c r="F27" s="189"/>
      <c r="G27" s="113">
        <v>2</v>
      </c>
      <c r="H27" s="113" t="s">
        <v>173</v>
      </c>
      <c r="I27" s="181" t="s">
        <v>172</v>
      </c>
      <c r="J27" s="182"/>
      <c r="K27" s="183"/>
      <c r="L27" s="113" t="s">
        <v>173</v>
      </c>
      <c r="M27" s="113" t="s">
        <v>173</v>
      </c>
      <c r="N27" s="151"/>
      <c r="O27" s="152"/>
      <c r="P27" s="152"/>
      <c r="Q27" s="152"/>
      <c r="R27" s="152"/>
      <c r="S27" s="153"/>
      <c r="T27" s="113"/>
      <c r="U27" s="113"/>
      <c r="V27" s="181"/>
      <c r="W27" s="182"/>
      <c r="X27" s="183"/>
      <c r="Y27" s="113"/>
      <c r="Z27" s="113"/>
    </row>
    <row r="28" spans="1:26" ht="18" customHeight="1" x14ac:dyDescent="0.15">
      <c r="A28" s="14"/>
      <c r="B28" s="190"/>
      <c r="C28" s="191"/>
      <c r="D28" s="191"/>
      <c r="E28" s="191"/>
      <c r="F28" s="192"/>
      <c r="G28" s="114"/>
      <c r="H28" s="114"/>
      <c r="I28" s="184"/>
      <c r="J28" s="185"/>
      <c r="K28" s="186"/>
      <c r="L28" s="114"/>
      <c r="M28" s="114"/>
      <c r="N28" s="160"/>
      <c r="O28" s="161"/>
      <c r="P28" s="161"/>
      <c r="Q28" s="161"/>
      <c r="R28" s="161"/>
      <c r="S28" s="162"/>
      <c r="T28" s="114"/>
      <c r="U28" s="114"/>
      <c r="V28" s="184"/>
      <c r="W28" s="185"/>
      <c r="X28" s="186"/>
      <c r="Y28" s="114"/>
      <c r="Z28" s="114"/>
    </row>
    <row r="29" spans="1:26" ht="18" customHeight="1" x14ac:dyDescent="0.15">
      <c r="A29" s="14"/>
      <c r="B29" s="190"/>
      <c r="C29" s="191"/>
      <c r="D29" s="191"/>
      <c r="E29" s="191"/>
      <c r="F29" s="192"/>
      <c r="G29" s="114"/>
      <c r="H29" s="114"/>
      <c r="I29" s="184"/>
      <c r="J29" s="185"/>
      <c r="K29" s="186"/>
      <c r="L29" s="114"/>
      <c r="M29" s="114"/>
      <c r="N29" s="160"/>
      <c r="O29" s="161"/>
      <c r="P29" s="161"/>
      <c r="Q29" s="161"/>
      <c r="R29" s="161"/>
      <c r="S29" s="162"/>
      <c r="T29" s="114"/>
      <c r="U29" s="114"/>
      <c r="V29" s="184"/>
      <c r="W29" s="185"/>
      <c r="X29" s="186"/>
      <c r="Y29" s="114"/>
      <c r="Z29" s="114"/>
    </row>
    <row r="30" spans="1:26" ht="18" customHeight="1" x14ac:dyDescent="0.15">
      <c r="A30" s="14"/>
      <c r="B30" s="190"/>
      <c r="C30" s="191"/>
      <c r="D30" s="191"/>
      <c r="E30" s="191"/>
      <c r="F30" s="192"/>
      <c r="G30" s="114"/>
      <c r="H30" s="114"/>
      <c r="I30" s="184"/>
      <c r="J30" s="185"/>
      <c r="K30" s="186"/>
      <c r="L30" s="114"/>
      <c r="M30" s="114"/>
      <c r="N30" s="160"/>
      <c r="O30" s="161"/>
      <c r="P30" s="161"/>
      <c r="Q30" s="161"/>
      <c r="R30" s="161"/>
      <c r="S30" s="162"/>
      <c r="T30" s="114"/>
      <c r="U30" s="114"/>
      <c r="V30" s="184"/>
      <c r="W30" s="185"/>
      <c r="X30" s="186"/>
      <c r="Y30" s="114"/>
      <c r="Z30" s="114"/>
    </row>
    <row r="31" spans="1:26" ht="18" customHeight="1" x14ac:dyDescent="0.15">
      <c r="A31" s="14"/>
      <c r="B31" s="190"/>
      <c r="C31" s="191"/>
      <c r="D31" s="191"/>
      <c r="E31" s="191"/>
      <c r="F31" s="192"/>
      <c r="G31" s="114"/>
      <c r="H31" s="114"/>
      <c r="I31" s="184"/>
      <c r="J31" s="185"/>
      <c r="K31" s="186"/>
      <c r="L31" s="114"/>
      <c r="M31" s="114"/>
      <c r="N31" s="160"/>
      <c r="O31" s="161"/>
      <c r="P31" s="161"/>
      <c r="Q31" s="161"/>
      <c r="R31" s="161"/>
      <c r="S31" s="162"/>
      <c r="T31" s="114"/>
      <c r="U31" s="114"/>
      <c r="V31" s="184"/>
      <c r="W31" s="185"/>
      <c r="X31" s="186"/>
      <c r="Y31" s="114"/>
      <c r="Z31" s="114"/>
    </row>
    <row r="32" spans="1:26" ht="18" customHeight="1" x14ac:dyDescent="0.15">
      <c r="A32" s="14"/>
      <c r="B32" s="190"/>
      <c r="C32" s="191"/>
      <c r="D32" s="191"/>
      <c r="E32" s="191"/>
      <c r="F32" s="192"/>
      <c r="G32" s="114"/>
      <c r="H32" s="114"/>
      <c r="I32" s="184"/>
      <c r="J32" s="185"/>
      <c r="K32" s="186"/>
      <c r="L32" s="114"/>
      <c r="M32" s="114"/>
      <c r="N32" s="160"/>
      <c r="O32" s="161"/>
      <c r="P32" s="161"/>
      <c r="Q32" s="161"/>
      <c r="R32" s="161"/>
      <c r="S32" s="162"/>
      <c r="T32" s="114"/>
      <c r="U32" s="114"/>
      <c r="V32" s="184"/>
      <c r="W32" s="185"/>
      <c r="X32" s="186"/>
      <c r="Y32" s="114"/>
      <c r="Z32" s="114"/>
    </row>
    <row r="33" spans="1:26" ht="18" customHeight="1" x14ac:dyDescent="0.15">
      <c r="A33" s="14"/>
      <c r="B33" s="197"/>
      <c r="C33" s="198"/>
      <c r="D33" s="198"/>
      <c r="E33" s="198"/>
      <c r="F33" s="199"/>
      <c r="G33" s="115"/>
      <c r="H33" s="115"/>
      <c r="I33" s="193"/>
      <c r="J33" s="194"/>
      <c r="K33" s="195"/>
      <c r="L33" s="121"/>
      <c r="M33" s="121"/>
      <c r="N33" s="219"/>
      <c r="O33" s="220"/>
      <c r="P33" s="220"/>
      <c r="Q33" s="220"/>
      <c r="R33" s="220"/>
      <c r="S33" s="221"/>
      <c r="T33" s="115"/>
      <c r="U33" s="115"/>
      <c r="V33" s="193"/>
      <c r="W33" s="194"/>
      <c r="X33" s="195"/>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196" t="s">
        <v>130</v>
      </c>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row>
    <row r="36" spans="1:26" ht="18" customHeight="1" x14ac:dyDescent="0.15">
      <c r="A36" s="196"/>
      <c r="B36" s="196"/>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row>
    <row r="37" spans="1:26" ht="18" customHeight="1" x14ac:dyDescent="0.15">
      <c r="A37" s="14"/>
      <c r="B37" s="144" t="s">
        <v>100</v>
      </c>
      <c r="C37" s="145"/>
      <c r="D37" s="145"/>
      <c r="E37" s="145"/>
      <c r="F37" s="146"/>
      <c r="G37" s="30" t="s">
        <v>142</v>
      </c>
      <c r="H37" s="112" t="s">
        <v>141</v>
      </c>
      <c r="I37" s="144" t="s">
        <v>101</v>
      </c>
      <c r="J37" s="145"/>
      <c r="K37" s="146"/>
      <c r="L37" s="75" t="s">
        <v>131</v>
      </c>
      <c r="M37" s="75" t="s">
        <v>132</v>
      </c>
      <c r="N37" s="144" t="s">
        <v>100</v>
      </c>
      <c r="O37" s="145"/>
      <c r="P37" s="145"/>
      <c r="Q37" s="145"/>
      <c r="R37" s="145"/>
      <c r="S37" s="146"/>
      <c r="T37" s="30" t="s">
        <v>142</v>
      </c>
      <c r="U37" s="112" t="s">
        <v>141</v>
      </c>
      <c r="V37" s="144" t="s">
        <v>101</v>
      </c>
      <c r="W37" s="145"/>
      <c r="X37" s="146"/>
      <c r="Y37" s="75" t="s">
        <v>131</v>
      </c>
      <c r="Z37" s="75" t="s">
        <v>132</v>
      </c>
    </row>
    <row r="38" spans="1:26" ht="18" customHeight="1" x14ac:dyDescent="0.15">
      <c r="A38" s="29"/>
      <c r="B38" s="187" t="s">
        <v>174</v>
      </c>
      <c r="C38" s="188"/>
      <c r="D38" s="188"/>
      <c r="E38" s="188"/>
      <c r="F38" s="189"/>
      <c r="G38" s="113">
        <v>2</v>
      </c>
      <c r="H38" s="113" t="s">
        <v>173</v>
      </c>
      <c r="I38" s="181" t="s">
        <v>172</v>
      </c>
      <c r="J38" s="182"/>
      <c r="K38" s="183"/>
      <c r="L38" s="113" t="s">
        <v>173</v>
      </c>
      <c r="M38" s="113" t="s">
        <v>173</v>
      </c>
      <c r="N38" s="151"/>
      <c r="O38" s="152"/>
      <c r="P38" s="152"/>
      <c r="Q38" s="152"/>
      <c r="R38" s="152"/>
      <c r="S38" s="153"/>
      <c r="T38" s="113"/>
      <c r="U38" s="113"/>
      <c r="V38" s="181"/>
      <c r="W38" s="182"/>
      <c r="X38" s="183"/>
      <c r="Y38" s="113"/>
      <c r="Z38" s="113"/>
    </row>
    <row r="39" spans="1:26" ht="18" customHeight="1" x14ac:dyDescent="0.15">
      <c r="A39" s="29"/>
      <c r="B39" s="190"/>
      <c r="C39" s="191"/>
      <c r="D39" s="191"/>
      <c r="E39" s="191"/>
      <c r="F39" s="192"/>
      <c r="G39" s="114"/>
      <c r="H39" s="114"/>
      <c r="I39" s="184"/>
      <c r="J39" s="185"/>
      <c r="K39" s="186"/>
      <c r="L39" s="114"/>
      <c r="M39" s="114"/>
      <c r="N39" s="160"/>
      <c r="O39" s="161"/>
      <c r="P39" s="161"/>
      <c r="Q39" s="161"/>
      <c r="R39" s="161"/>
      <c r="S39" s="162"/>
      <c r="T39" s="114"/>
      <c r="U39" s="114"/>
      <c r="V39" s="184"/>
      <c r="W39" s="185"/>
      <c r="X39" s="186"/>
      <c r="Y39" s="114"/>
      <c r="Z39" s="114"/>
    </row>
    <row r="40" spans="1:26" ht="18" customHeight="1" x14ac:dyDescent="0.15">
      <c r="A40" s="29"/>
      <c r="B40" s="190"/>
      <c r="C40" s="191"/>
      <c r="D40" s="191"/>
      <c r="E40" s="191"/>
      <c r="F40" s="192"/>
      <c r="G40" s="114"/>
      <c r="H40" s="114"/>
      <c r="I40" s="184"/>
      <c r="J40" s="185"/>
      <c r="K40" s="186"/>
      <c r="L40" s="114"/>
      <c r="M40" s="114"/>
      <c r="N40" s="160"/>
      <c r="O40" s="161"/>
      <c r="P40" s="161"/>
      <c r="Q40" s="161"/>
      <c r="R40" s="161"/>
      <c r="S40" s="162"/>
      <c r="T40" s="114"/>
      <c r="U40" s="114"/>
      <c r="V40" s="184"/>
      <c r="W40" s="185"/>
      <c r="X40" s="186"/>
      <c r="Y40" s="114"/>
      <c r="Z40" s="114"/>
    </row>
    <row r="41" spans="1:26" ht="18" customHeight="1" x14ac:dyDescent="0.15">
      <c r="A41" s="29"/>
      <c r="B41" s="190"/>
      <c r="C41" s="191"/>
      <c r="D41" s="191"/>
      <c r="E41" s="191"/>
      <c r="F41" s="192"/>
      <c r="G41" s="114"/>
      <c r="H41" s="114"/>
      <c r="I41" s="184"/>
      <c r="J41" s="185"/>
      <c r="K41" s="186"/>
      <c r="L41" s="114"/>
      <c r="M41" s="114"/>
      <c r="N41" s="160"/>
      <c r="O41" s="161"/>
      <c r="P41" s="161"/>
      <c r="Q41" s="161"/>
      <c r="R41" s="161"/>
      <c r="S41" s="162"/>
      <c r="T41" s="114"/>
      <c r="U41" s="114"/>
      <c r="V41" s="184"/>
      <c r="W41" s="185"/>
      <c r="X41" s="186"/>
      <c r="Y41" s="114"/>
      <c r="Z41" s="114"/>
    </row>
    <row r="42" spans="1:26" ht="18" customHeight="1" x14ac:dyDescent="0.15">
      <c r="A42" s="29"/>
      <c r="B42" s="190"/>
      <c r="C42" s="191"/>
      <c r="D42" s="191"/>
      <c r="E42" s="191"/>
      <c r="F42" s="192"/>
      <c r="G42" s="114"/>
      <c r="H42" s="114"/>
      <c r="I42" s="184"/>
      <c r="J42" s="185"/>
      <c r="K42" s="186"/>
      <c r="L42" s="114"/>
      <c r="M42" s="114"/>
      <c r="N42" s="160"/>
      <c r="O42" s="161"/>
      <c r="P42" s="161"/>
      <c r="Q42" s="161"/>
      <c r="R42" s="161"/>
      <c r="S42" s="162"/>
      <c r="T42" s="114"/>
      <c r="U42" s="114"/>
      <c r="V42" s="184"/>
      <c r="W42" s="185"/>
      <c r="X42" s="186"/>
      <c r="Y42" s="114"/>
      <c r="Z42" s="114"/>
    </row>
    <row r="43" spans="1:26" ht="18" customHeight="1" x14ac:dyDescent="0.15">
      <c r="A43" s="29"/>
      <c r="B43" s="190"/>
      <c r="C43" s="191"/>
      <c r="D43" s="191"/>
      <c r="E43" s="191"/>
      <c r="F43" s="192"/>
      <c r="G43" s="114"/>
      <c r="H43" s="114"/>
      <c r="I43" s="184"/>
      <c r="J43" s="185"/>
      <c r="K43" s="186"/>
      <c r="L43" s="114"/>
      <c r="M43" s="114"/>
      <c r="N43" s="160"/>
      <c r="O43" s="161"/>
      <c r="P43" s="161"/>
      <c r="Q43" s="161"/>
      <c r="R43" s="161"/>
      <c r="S43" s="162"/>
      <c r="T43" s="114"/>
      <c r="U43" s="114"/>
      <c r="V43" s="184"/>
      <c r="W43" s="185"/>
      <c r="X43" s="186"/>
      <c r="Y43" s="114"/>
      <c r="Z43" s="114"/>
    </row>
    <row r="44" spans="1:26" ht="18" customHeight="1" x14ac:dyDescent="0.15">
      <c r="A44" s="29"/>
      <c r="B44" s="197"/>
      <c r="C44" s="198"/>
      <c r="D44" s="198"/>
      <c r="E44" s="198"/>
      <c r="F44" s="199"/>
      <c r="G44" s="115"/>
      <c r="H44" s="115"/>
      <c r="I44" s="193"/>
      <c r="J44" s="194"/>
      <c r="K44" s="195"/>
      <c r="L44" s="121"/>
      <c r="M44" s="121"/>
      <c r="N44" s="219"/>
      <c r="O44" s="220"/>
      <c r="P44" s="220"/>
      <c r="Q44" s="220"/>
      <c r="R44" s="220"/>
      <c r="S44" s="221"/>
      <c r="T44" s="115"/>
      <c r="U44" s="115"/>
      <c r="V44" s="193"/>
      <c r="W44" s="194"/>
      <c r="X44" s="195"/>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196" t="s">
        <v>133</v>
      </c>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row>
    <row r="47" spans="1:26" ht="18" customHeight="1" x14ac:dyDescent="0.15">
      <c r="A47" s="196"/>
      <c r="B47" s="196"/>
      <c r="C47" s="196"/>
      <c r="D47" s="196"/>
      <c r="E47" s="196"/>
      <c r="F47" s="196"/>
      <c r="G47" s="196"/>
      <c r="H47" s="196"/>
      <c r="I47" s="196"/>
      <c r="J47" s="196"/>
      <c r="K47" s="196"/>
      <c r="L47" s="196"/>
      <c r="M47" s="196"/>
      <c r="N47" s="196"/>
      <c r="O47" s="196"/>
      <c r="P47" s="196"/>
      <c r="Q47" s="196"/>
      <c r="R47" s="196"/>
      <c r="S47" s="196"/>
      <c r="T47" s="196"/>
      <c r="U47" s="196"/>
      <c r="V47" s="196"/>
      <c r="W47" s="196"/>
      <c r="X47" s="196"/>
      <c r="Y47" s="196"/>
      <c r="Z47" s="196"/>
    </row>
    <row r="48" spans="1:26" ht="18" customHeight="1" x14ac:dyDescent="0.15">
      <c r="A48" s="14"/>
      <c r="B48" s="144" t="s">
        <v>100</v>
      </c>
      <c r="C48" s="145"/>
      <c r="D48" s="145"/>
      <c r="E48" s="145"/>
      <c r="F48" s="146"/>
      <c r="G48" s="30" t="s">
        <v>142</v>
      </c>
      <c r="H48" s="112" t="s">
        <v>141</v>
      </c>
      <c r="I48" s="144" t="s">
        <v>101</v>
      </c>
      <c r="J48" s="145"/>
      <c r="K48" s="146"/>
      <c r="L48" s="75" t="s">
        <v>106</v>
      </c>
      <c r="M48" s="75" t="s">
        <v>108</v>
      </c>
      <c r="N48" s="144" t="s">
        <v>100</v>
      </c>
      <c r="O48" s="145"/>
      <c r="P48" s="145"/>
      <c r="Q48" s="145"/>
      <c r="R48" s="145"/>
      <c r="S48" s="146"/>
      <c r="T48" s="30" t="s">
        <v>142</v>
      </c>
      <c r="U48" s="112" t="s">
        <v>141</v>
      </c>
      <c r="V48" s="144" t="s">
        <v>101</v>
      </c>
      <c r="W48" s="145"/>
      <c r="X48" s="146"/>
      <c r="Y48" s="75" t="s">
        <v>106</v>
      </c>
      <c r="Z48" s="75" t="s">
        <v>108</v>
      </c>
    </row>
    <row r="49" spans="1:26" ht="18" customHeight="1" x14ac:dyDescent="0.15">
      <c r="A49" s="29"/>
      <c r="B49" s="187" t="s">
        <v>174</v>
      </c>
      <c r="C49" s="188"/>
      <c r="D49" s="188"/>
      <c r="E49" s="188"/>
      <c r="F49" s="189"/>
      <c r="G49" s="113">
        <v>2</v>
      </c>
      <c r="H49" s="113" t="s">
        <v>173</v>
      </c>
      <c r="I49" s="181" t="s">
        <v>172</v>
      </c>
      <c r="J49" s="182"/>
      <c r="K49" s="183"/>
      <c r="L49" s="113" t="s">
        <v>173</v>
      </c>
      <c r="M49" s="113" t="s">
        <v>173</v>
      </c>
      <c r="N49" s="151"/>
      <c r="O49" s="152"/>
      <c r="P49" s="152"/>
      <c r="Q49" s="152"/>
      <c r="R49" s="152"/>
      <c r="S49" s="153"/>
      <c r="T49" s="113"/>
      <c r="U49" s="113"/>
      <c r="V49" s="181"/>
      <c r="W49" s="182"/>
      <c r="X49" s="183"/>
      <c r="Y49" s="113"/>
      <c r="Z49" s="113"/>
    </row>
    <row r="50" spans="1:26" ht="18" customHeight="1" x14ac:dyDescent="0.15">
      <c r="A50" s="29"/>
      <c r="B50" s="190"/>
      <c r="C50" s="191"/>
      <c r="D50" s="191"/>
      <c r="E50" s="191"/>
      <c r="F50" s="192"/>
      <c r="G50" s="114"/>
      <c r="H50" s="114"/>
      <c r="I50" s="184"/>
      <c r="J50" s="185"/>
      <c r="K50" s="186"/>
      <c r="L50" s="114"/>
      <c r="M50" s="114"/>
      <c r="N50" s="160"/>
      <c r="O50" s="161"/>
      <c r="P50" s="161"/>
      <c r="Q50" s="161"/>
      <c r="R50" s="161"/>
      <c r="S50" s="162"/>
      <c r="T50" s="114"/>
      <c r="U50" s="114"/>
      <c r="V50" s="184"/>
      <c r="W50" s="185"/>
      <c r="X50" s="186"/>
      <c r="Y50" s="114"/>
      <c r="Z50" s="114"/>
    </row>
    <row r="51" spans="1:26" ht="18" customHeight="1" x14ac:dyDescent="0.15">
      <c r="A51" s="29"/>
      <c r="B51" s="190"/>
      <c r="C51" s="191"/>
      <c r="D51" s="191"/>
      <c r="E51" s="191"/>
      <c r="F51" s="192"/>
      <c r="G51" s="114"/>
      <c r="H51" s="114"/>
      <c r="I51" s="184"/>
      <c r="J51" s="185"/>
      <c r="K51" s="186"/>
      <c r="L51" s="114"/>
      <c r="M51" s="114"/>
      <c r="N51" s="160"/>
      <c r="O51" s="161"/>
      <c r="P51" s="161"/>
      <c r="Q51" s="161"/>
      <c r="R51" s="161"/>
      <c r="S51" s="162"/>
      <c r="T51" s="114"/>
      <c r="U51" s="114"/>
      <c r="V51" s="184"/>
      <c r="W51" s="185"/>
      <c r="X51" s="186"/>
      <c r="Y51" s="114"/>
      <c r="Z51" s="114"/>
    </row>
    <row r="52" spans="1:26" ht="18" customHeight="1" x14ac:dyDescent="0.15">
      <c r="A52" s="29"/>
      <c r="B52" s="190"/>
      <c r="C52" s="191"/>
      <c r="D52" s="191"/>
      <c r="E52" s="191"/>
      <c r="F52" s="192"/>
      <c r="G52" s="114"/>
      <c r="H52" s="114"/>
      <c r="I52" s="184"/>
      <c r="J52" s="185"/>
      <c r="K52" s="186"/>
      <c r="L52" s="114"/>
      <c r="M52" s="114"/>
      <c r="N52" s="160"/>
      <c r="O52" s="161"/>
      <c r="P52" s="161"/>
      <c r="Q52" s="161"/>
      <c r="R52" s="161"/>
      <c r="S52" s="162"/>
      <c r="T52" s="114"/>
      <c r="U52" s="114"/>
      <c r="V52" s="184"/>
      <c r="W52" s="185"/>
      <c r="X52" s="186"/>
      <c r="Y52" s="114"/>
      <c r="Z52" s="114"/>
    </row>
    <row r="53" spans="1:26" ht="18" customHeight="1" x14ac:dyDescent="0.15">
      <c r="A53" s="29"/>
      <c r="B53" s="190"/>
      <c r="C53" s="191"/>
      <c r="D53" s="191"/>
      <c r="E53" s="191"/>
      <c r="F53" s="192"/>
      <c r="G53" s="114"/>
      <c r="H53" s="114"/>
      <c r="I53" s="184"/>
      <c r="J53" s="185"/>
      <c r="K53" s="186"/>
      <c r="L53" s="114"/>
      <c r="M53" s="114"/>
      <c r="N53" s="160"/>
      <c r="O53" s="161"/>
      <c r="P53" s="161"/>
      <c r="Q53" s="161"/>
      <c r="R53" s="161"/>
      <c r="S53" s="162"/>
      <c r="T53" s="114"/>
      <c r="U53" s="114"/>
      <c r="V53" s="184"/>
      <c r="W53" s="185"/>
      <c r="X53" s="186"/>
      <c r="Y53" s="114"/>
      <c r="Z53" s="114"/>
    </row>
    <row r="54" spans="1:26" ht="18" customHeight="1" x14ac:dyDescent="0.15">
      <c r="A54" s="29"/>
      <c r="B54" s="190"/>
      <c r="C54" s="191"/>
      <c r="D54" s="191"/>
      <c r="E54" s="191"/>
      <c r="F54" s="192"/>
      <c r="G54" s="114"/>
      <c r="H54" s="114"/>
      <c r="I54" s="184"/>
      <c r="J54" s="185"/>
      <c r="K54" s="186"/>
      <c r="L54" s="114"/>
      <c r="M54" s="114"/>
      <c r="N54" s="160"/>
      <c r="O54" s="161"/>
      <c r="P54" s="161"/>
      <c r="Q54" s="161"/>
      <c r="R54" s="161"/>
      <c r="S54" s="162"/>
      <c r="T54" s="114"/>
      <c r="U54" s="114"/>
      <c r="V54" s="184"/>
      <c r="W54" s="185"/>
      <c r="X54" s="186"/>
      <c r="Y54" s="114"/>
      <c r="Z54" s="114"/>
    </row>
    <row r="55" spans="1:26" ht="18" customHeight="1" x14ac:dyDescent="0.15">
      <c r="A55" s="29"/>
      <c r="B55" s="197"/>
      <c r="C55" s="198"/>
      <c r="D55" s="198"/>
      <c r="E55" s="198"/>
      <c r="F55" s="199"/>
      <c r="G55" s="115"/>
      <c r="H55" s="115"/>
      <c r="I55" s="193"/>
      <c r="J55" s="194"/>
      <c r="K55" s="195"/>
      <c r="L55" s="121"/>
      <c r="M55" s="121"/>
      <c r="N55" s="219"/>
      <c r="O55" s="220"/>
      <c r="P55" s="220"/>
      <c r="Q55" s="220"/>
      <c r="R55" s="220"/>
      <c r="S55" s="221"/>
      <c r="T55" s="115"/>
      <c r="U55" s="115"/>
      <c r="V55" s="193"/>
      <c r="W55" s="194"/>
      <c r="X55" s="195"/>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196" t="s">
        <v>134</v>
      </c>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row>
    <row r="58" spans="1:26" ht="18" customHeight="1" x14ac:dyDescent="0.15">
      <c r="A58" s="196"/>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row>
    <row r="59" spans="1:26" ht="18" customHeight="1" x14ac:dyDescent="0.15">
      <c r="A59" s="14"/>
      <c r="B59" s="144" t="s">
        <v>100</v>
      </c>
      <c r="C59" s="145"/>
      <c r="D59" s="145"/>
      <c r="E59" s="146"/>
      <c r="F59" s="30" t="s">
        <v>142</v>
      </c>
      <c r="G59" s="112" t="s">
        <v>141</v>
      </c>
      <c r="H59" s="107" t="s">
        <v>101</v>
      </c>
      <c r="I59" s="108"/>
      <c r="J59" s="109"/>
      <c r="K59" s="75" t="s">
        <v>105</v>
      </c>
      <c r="L59" s="75" t="s">
        <v>135</v>
      </c>
      <c r="M59" s="75" t="s">
        <v>136</v>
      </c>
      <c r="N59" s="144" t="s">
        <v>100</v>
      </c>
      <c r="O59" s="145"/>
      <c r="P59" s="145"/>
      <c r="Q59" s="145"/>
      <c r="R59" s="146"/>
      <c r="S59" s="30" t="s">
        <v>142</v>
      </c>
      <c r="T59" s="112" t="s">
        <v>141</v>
      </c>
      <c r="U59" s="107" t="s">
        <v>101</v>
      </c>
      <c r="V59" s="108"/>
      <c r="W59" s="109"/>
      <c r="X59" s="75" t="s">
        <v>105</v>
      </c>
      <c r="Y59" s="75" t="s">
        <v>135</v>
      </c>
      <c r="Z59" s="75" t="s">
        <v>136</v>
      </c>
    </row>
    <row r="60" spans="1:26" ht="18" customHeight="1" x14ac:dyDescent="0.15">
      <c r="A60" s="29"/>
      <c r="B60" s="151" t="s">
        <v>174</v>
      </c>
      <c r="C60" s="152"/>
      <c r="D60" s="152"/>
      <c r="E60" s="153"/>
      <c r="F60" s="113">
        <v>2</v>
      </c>
      <c r="G60" s="113" t="s">
        <v>173</v>
      </c>
      <c r="H60" s="181" t="s">
        <v>172</v>
      </c>
      <c r="I60" s="182"/>
      <c r="J60" s="183"/>
      <c r="K60" s="120" t="s">
        <v>175</v>
      </c>
      <c r="L60" s="113" t="s">
        <v>173</v>
      </c>
      <c r="M60" s="113" t="s">
        <v>173</v>
      </c>
      <c r="N60" s="151"/>
      <c r="O60" s="152"/>
      <c r="P60" s="152"/>
      <c r="Q60" s="152"/>
      <c r="R60" s="153"/>
      <c r="S60" s="113"/>
      <c r="T60" s="113"/>
      <c r="U60" s="181"/>
      <c r="V60" s="182"/>
      <c r="W60" s="183"/>
      <c r="X60" s="120"/>
      <c r="Y60" s="113"/>
      <c r="Z60" s="113"/>
    </row>
    <row r="61" spans="1:26" ht="18" customHeight="1" x14ac:dyDescent="0.15">
      <c r="A61" s="29"/>
      <c r="B61" s="160"/>
      <c r="C61" s="161"/>
      <c r="D61" s="161"/>
      <c r="E61" s="162"/>
      <c r="F61" s="114"/>
      <c r="G61" s="114"/>
      <c r="H61" s="184"/>
      <c r="I61" s="185"/>
      <c r="J61" s="186"/>
      <c r="K61" s="118"/>
      <c r="L61" s="114"/>
      <c r="M61" s="114"/>
      <c r="N61" s="160"/>
      <c r="O61" s="161"/>
      <c r="P61" s="161"/>
      <c r="Q61" s="161"/>
      <c r="R61" s="162"/>
      <c r="S61" s="114"/>
      <c r="T61" s="114"/>
      <c r="U61" s="184"/>
      <c r="V61" s="185"/>
      <c r="W61" s="186"/>
      <c r="X61" s="118"/>
      <c r="Y61" s="114"/>
      <c r="Z61" s="114"/>
    </row>
    <row r="62" spans="1:26" ht="18" customHeight="1" x14ac:dyDescent="0.15">
      <c r="A62" s="29"/>
      <c r="B62" s="160"/>
      <c r="C62" s="161"/>
      <c r="D62" s="161"/>
      <c r="E62" s="162"/>
      <c r="F62" s="114"/>
      <c r="G62" s="114"/>
      <c r="H62" s="184"/>
      <c r="I62" s="185"/>
      <c r="J62" s="186"/>
      <c r="K62" s="118"/>
      <c r="L62" s="114"/>
      <c r="M62" s="114"/>
      <c r="N62" s="160"/>
      <c r="O62" s="161"/>
      <c r="P62" s="161"/>
      <c r="Q62" s="161"/>
      <c r="R62" s="162"/>
      <c r="S62" s="114"/>
      <c r="T62" s="114"/>
      <c r="U62" s="184"/>
      <c r="V62" s="185"/>
      <c r="W62" s="186"/>
      <c r="X62" s="118"/>
      <c r="Y62" s="114"/>
      <c r="Z62" s="114"/>
    </row>
    <row r="63" spans="1:26" ht="18" customHeight="1" x14ac:dyDescent="0.15">
      <c r="A63" s="29"/>
      <c r="B63" s="160"/>
      <c r="C63" s="161"/>
      <c r="D63" s="161"/>
      <c r="E63" s="162"/>
      <c r="F63" s="114"/>
      <c r="G63" s="114"/>
      <c r="H63" s="184"/>
      <c r="I63" s="185"/>
      <c r="J63" s="186"/>
      <c r="K63" s="118"/>
      <c r="L63" s="114"/>
      <c r="M63" s="114"/>
      <c r="N63" s="160"/>
      <c r="O63" s="161"/>
      <c r="P63" s="161"/>
      <c r="Q63" s="161"/>
      <c r="R63" s="162"/>
      <c r="S63" s="114"/>
      <c r="T63" s="114"/>
      <c r="U63" s="184"/>
      <c r="V63" s="185"/>
      <c r="W63" s="186"/>
      <c r="X63" s="118"/>
      <c r="Y63" s="114"/>
      <c r="Z63" s="114"/>
    </row>
    <row r="64" spans="1:26" ht="18" customHeight="1" x14ac:dyDescent="0.15">
      <c r="A64" s="29"/>
      <c r="B64" s="160"/>
      <c r="C64" s="161"/>
      <c r="D64" s="161"/>
      <c r="E64" s="162"/>
      <c r="F64" s="114"/>
      <c r="G64" s="114"/>
      <c r="H64" s="184"/>
      <c r="I64" s="185"/>
      <c r="J64" s="186"/>
      <c r="K64" s="118"/>
      <c r="L64" s="114"/>
      <c r="M64" s="114"/>
      <c r="N64" s="160"/>
      <c r="O64" s="161"/>
      <c r="P64" s="161"/>
      <c r="Q64" s="161"/>
      <c r="R64" s="162"/>
      <c r="S64" s="114"/>
      <c r="T64" s="114"/>
      <c r="U64" s="184"/>
      <c r="V64" s="185"/>
      <c r="W64" s="186"/>
      <c r="X64" s="118"/>
      <c r="Y64" s="114"/>
      <c r="Z64" s="114"/>
    </row>
    <row r="65" spans="1:26" ht="18" customHeight="1" x14ac:dyDescent="0.15">
      <c r="A65" s="29"/>
      <c r="B65" s="160"/>
      <c r="C65" s="161"/>
      <c r="D65" s="161"/>
      <c r="E65" s="162"/>
      <c r="F65" s="114"/>
      <c r="G65" s="114"/>
      <c r="H65" s="184"/>
      <c r="I65" s="185"/>
      <c r="J65" s="186"/>
      <c r="K65" s="118"/>
      <c r="L65" s="114"/>
      <c r="M65" s="114"/>
      <c r="N65" s="160"/>
      <c r="O65" s="161"/>
      <c r="P65" s="161"/>
      <c r="Q65" s="161"/>
      <c r="R65" s="162"/>
      <c r="S65" s="114"/>
      <c r="T65" s="114"/>
      <c r="U65" s="184"/>
      <c r="V65" s="185"/>
      <c r="W65" s="186"/>
      <c r="X65" s="118"/>
      <c r="Y65" s="114"/>
      <c r="Z65" s="114"/>
    </row>
    <row r="66" spans="1:26" ht="18" customHeight="1" x14ac:dyDescent="0.15">
      <c r="A66" s="29"/>
      <c r="B66" s="219"/>
      <c r="C66" s="220"/>
      <c r="D66" s="220"/>
      <c r="E66" s="221"/>
      <c r="F66" s="115"/>
      <c r="G66" s="115"/>
      <c r="H66" s="193"/>
      <c r="I66" s="194"/>
      <c r="J66" s="195"/>
      <c r="K66" s="119"/>
      <c r="L66" s="121"/>
      <c r="M66" s="121"/>
      <c r="N66" s="219"/>
      <c r="O66" s="220"/>
      <c r="P66" s="220"/>
      <c r="Q66" s="220"/>
      <c r="R66" s="221"/>
      <c r="S66" s="115"/>
      <c r="T66" s="115"/>
      <c r="U66" s="193"/>
      <c r="V66" s="194"/>
      <c r="W66" s="195"/>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137</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4" t="s">
        <v>100</v>
      </c>
      <c r="C69" s="145"/>
      <c r="D69" s="145"/>
      <c r="E69" s="145"/>
      <c r="F69" s="146"/>
      <c r="G69" s="144" t="s">
        <v>147</v>
      </c>
      <c r="H69" s="145"/>
      <c r="I69" s="145"/>
      <c r="J69" s="145"/>
      <c r="K69" s="145"/>
      <c r="L69" s="145"/>
      <c r="M69" s="146"/>
      <c r="N69" s="225" t="s">
        <v>100</v>
      </c>
      <c r="O69" s="226"/>
      <c r="P69" s="226"/>
      <c r="Q69" s="226"/>
      <c r="R69" s="226"/>
      <c r="S69" s="227"/>
      <c r="T69" s="144" t="s">
        <v>147</v>
      </c>
      <c r="U69" s="145"/>
      <c r="V69" s="145"/>
      <c r="W69" s="145"/>
      <c r="X69" s="145"/>
      <c r="Y69" s="145"/>
      <c r="Z69" s="146"/>
    </row>
    <row r="70" spans="1:26" ht="18" customHeight="1" x14ac:dyDescent="0.15">
      <c r="A70" s="29"/>
      <c r="B70" s="151" t="s">
        <v>176</v>
      </c>
      <c r="C70" s="152"/>
      <c r="D70" s="152"/>
      <c r="E70" s="152"/>
      <c r="F70" s="153"/>
      <c r="G70" s="154" t="s">
        <v>177</v>
      </c>
      <c r="H70" s="155"/>
      <c r="I70" s="155"/>
      <c r="J70" s="155"/>
      <c r="K70" s="155"/>
      <c r="L70" s="155"/>
      <c r="M70" s="156"/>
      <c r="N70" s="151" t="s">
        <v>191</v>
      </c>
      <c r="O70" s="152"/>
      <c r="P70" s="152"/>
      <c r="Q70" s="152"/>
      <c r="R70" s="152"/>
      <c r="S70" s="153"/>
      <c r="T70" s="154" t="s">
        <v>184</v>
      </c>
      <c r="U70" s="155"/>
      <c r="V70" s="155"/>
      <c r="W70" s="155"/>
      <c r="X70" s="155"/>
      <c r="Y70" s="155"/>
      <c r="Z70" s="156"/>
    </row>
    <row r="71" spans="1:26" ht="18" customHeight="1" x14ac:dyDescent="0.15">
      <c r="A71" s="29"/>
      <c r="B71" s="160" t="s">
        <v>178</v>
      </c>
      <c r="C71" s="161"/>
      <c r="D71" s="161"/>
      <c r="E71" s="161"/>
      <c r="F71" s="162"/>
      <c r="G71" s="163" t="s">
        <v>177</v>
      </c>
      <c r="H71" s="164"/>
      <c r="I71" s="164"/>
      <c r="J71" s="164"/>
      <c r="K71" s="164"/>
      <c r="L71" s="164"/>
      <c r="M71" s="165"/>
      <c r="N71" s="160" t="s">
        <v>194</v>
      </c>
      <c r="O71" s="161"/>
      <c r="P71" s="161"/>
      <c r="Q71" s="161"/>
      <c r="R71" s="161"/>
      <c r="S71" s="162"/>
      <c r="T71" s="163" t="s">
        <v>185</v>
      </c>
      <c r="U71" s="164"/>
      <c r="V71" s="164"/>
      <c r="W71" s="164"/>
      <c r="X71" s="164"/>
      <c r="Y71" s="164"/>
      <c r="Z71" s="165"/>
    </row>
    <row r="72" spans="1:26" ht="18" customHeight="1" x14ac:dyDescent="0.15">
      <c r="A72" s="29"/>
      <c r="B72" s="160" t="s">
        <v>179</v>
      </c>
      <c r="C72" s="161"/>
      <c r="D72" s="161"/>
      <c r="E72" s="161"/>
      <c r="F72" s="162"/>
      <c r="G72" s="163" t="s">
        <v>177</v>
      </c>
      <c r="H72" s="164"/>
      <c r="I72" s="164"/>
      <c r="J72" s="164"/>
      <c r="K72" s="164"/>
      <c r="L72" s="164"/>
      <c r="M72" s="165"/>
      <c r="N72" s="160" t="s">
        <v>195</v>
      </c>
      <c r="O72" s="161"/>
      <c r="P72" s="161"/>
      <c r="Q72" s="161"/>
      <c r="R72" s="161"/>
      <c r="S72" s="162"/>
      <c r="T72" s="163" t="s">
        <v>185</v>
      </c>
      <c r="U72" s="164"/>
      <c r="V72" s="164"/>
      <c r="W72" s="164"/>
      <c r="X72" s="164"/>
      <c r="Y72" s="164"/>
      <c r="Z72" s="165"/>
    </row>
    <row r="73" spans="1:26" ht="18" customHeight="1" x14ac:dyDescent="0.15">
      <c r="A73" s="29"/>
      <c r="B73" s="160" t="s">
        <v>193</v>
      </c>
      <c r="C73" s="161"/>
      <c r="D73" s="161"/>
      <c r="E73" s="161"/>
      <c r="F73" s="162"/>
      <c r="G73" s="163" t="s">
        <v>177</v>
      </c>
      <c r="H73" s="164"/>
      <c r="I73" s="164"/>
      <c r="J73" s="164"/>
      <c r="K73" s="164"/>
      <c r="L73" s="164"/>
      <c r="M73" s="165"/>
      <c r="N73" s="160"/>
      <c r="O73" s="161"/>
      <c r="P73" s="161"/>
      <c r="Q73" s="161"/>
      <c r="R73" s="161"/>
      <c r="S73" s="162"/>
      <c r="T73" s="163"/>
      <c r="U73" s="164"/>
      <c r="V73" s="164"/>
      <c r="W73" s="164"/>
      <c r="X73" s="164"/>
      <c r="Y73" s="164"/>
      <c r="Z73" s="165"/>
    </row>
    <row r="74" spans="1:26" ht="18" customHeight="1" x14ac:dyDescent="0.15">
      <c r="A74" s="29"/>
      <c r="B74" s="160" t="s">
        <v>192</v>
      </c>
      <c r="C74" s="161"/>
      <c r="D74" s="161"/>
      <c r="E74" s="161"/>
      <c r="F74" s="162"/>
      <c r="G74" s="163" t="s">
        <v>177</v>
      </c>
      <c r="H74" s="164"/>
      <c r="I74" s="164"/>
      <c r="J74" s="164"/>
      <c r="K74" s="164"/>
      <c r="L74" s="164"/>
      <c r="M74" s="165"/>
      <c r="N74" s="160"/>
      <c r="O74" s="161"/>
      <c r="P74" s="161"/>
      <c r="Q74" s="161"/>
      <c r="R74" s="161"/>
      <c r="S74" s="162"/>
      <c r="T74" s="163"/>
      <c r="U74" s="164"/>
      <c r="V74" s="164"/>
      <c r="W74" s="164"/>
      <c r="X74" s="164"/>
      <c r="Y74" s="164"/>
      <c r="Z74" s="165"/>
    </row>
    <row r="75" spans="1:26" ht="18" customHeight="1" x14ac:dyDescent="0.15">
      <c r="A75" s="29"/>
      <c r="B75" s="160" t="s">
        <v>182</v>
      </c>
      <c r="C75" s="161"/>
      <c r="D75" s="161"/>
      <c r="E75" s="161"/>
      <c r="F75" s="162"/>
      <c r="G75" s="163" t="s">
        <v>183</v>
      </c>
      <c r="H75" s="164"/>
      <c r="I75" s="164"/>
      <c r="J75" s="164"/>
      <c r="K75" s="164"/>
      <c r="L75" s="164"/>
      <c r="M75" s="165"/>
      <c r="N75" s="160"/>
      <c r="O75" s="161"/>
      <c r="P75" s="161"/>
      <c r="Q75" s="161"/>
      <c r="R75" s="161"/>
      <c r="S75" s="162"/>
      <c r="T75" s="163"/>
      <c r="U75" s="164"/>
      <c r="V75" s="164"/>
      <c r="W75" s="164"/>
      <c r="X75" s="164"/>
      <c r="Y75" s="164"/>
      <c r="Z75" s="165"/>
    </row>
    <row r="76" spans="1:26" ht="18" customHeight="1" x14ac:dyDescent="0.15">
      <c r="A76" s="29"/>
      <c r="B76" s="219" t="s">
        <v>180</v>
      </c>
      <c r="C76" s="220"/>
      <c r="D76" s="220"/>
      <c r="E76" s="220"/>
      <c r="F76" s="221"/>
      <c r="G76" s="222" t="s">
        <v>181</v>
      </c>
      <c r="H76" s="223"/>
      <c r="I76" s="223"/>
      <c r="J76" s="223"/>
      <c r="K76" s="223"/>
      <c r="L76" s="223"/>
      <c r="M76" s="224"/>
      <c r="N76" s="219"/>
      <c r="O76" s="220"/>
      <c r="P76" s="220"/>
      <c r="Q76" s="220"/>
      <c r="R76" s="220"/>
      <c r="S76" s="221"/>
      <c r="T76" s="222"/>
      <c r="U76" s="223"/>
      <c r="V76" s="223"/>
      <c r="W76" s="223"/>
      <c r="X76" s="223"/>
      <c r="Y76" s="223"/>
      <c r="Z76" s="224"/>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143</v>
      </c>
    </row>
    <row r="79" spans="1:26" ht="18.75" customHeight="1" x14ac:dyDescent="0.15">
      <c r="B79" s="78" t="s">
        <v>102</v>
      </c>
      <c r="C79" s="79"/>
      <c r="D79" s="179" t="s">
        <v>103</v>
      </c>
      <c r="E79" s="179"/>
      <c r="F79" s="179"/>
      <c r="G79" s="179"/>
      <c r="H79" s="179"/>
      <c r="I79" s="179"/>
      <c r="J79" s="179"/>
      <c r="K79" s="179"/>
      <c r="L79" s="179"/>
      <c r="M79" s="179"/>
      <c r="N79" s="179"/>
      <c r="O79" s="179"/>
      <c r="P79" s="179"/>
      <c r="Q79" s="179"/>
      <c r="R79" s="179"/>
      <c r="S79" s="179"/>
      <c r="T79" s="179"/>
      <c r="U79" s="179"/>
      <c r="V79" s="179"/>
      <c r="W79" s="179"/>
      <c r="X79" s="179"/>
      <c r="Y79" s="179"/>
      <c r="Z79" s="180"/>
    </row>
    <row r="80" spans="1:26" ht="78" customHeight="1" x14ac:dyDescent="0.15">
      <c r="B80" s="168" t="s">
        <v>109</v>
      </c>
      <c r="C80" s="85" t="s">
        <v>104</v>
      </c>
      <c r="D80" s="175" t="s">
        <v>161</v>
      </c>
      <c r="E80" s="175"/>
      <c r="F80" s="175"/>
      <c r="G80" s="175"/>
      <c r="H80" s="175"/>
      <c r="I80" s="175"/>
      <c r="J80" s="175"/>
      <c r="K80" s="175"/>
      <c r="L80" s="175"/>
      <c r="M80" s="175"/>
      <c r="N80" s="175"/>
      <c r="O80" s="175"/>
      <c r="P80" s="175"/>
      <c r="Q80" s="175"/>
      <c r="R80" s="175"/>
      <c r="S80" s="175"/>
      <c r="T80" s="175"/>
      <c r="U80" s="175"/>
      <c r="V80" s="175"/>
      <c r="W80" s="175"/>
      <c r="X80" s="175"/>
      <c r="Y80" s="175"/>
      <c r="Z80" s="176"/>
    </row>
    <row r="81" spans="1:26" ht="78" customHeight="1" x14ac:dyDescent="0.15">
      <c r="B81" s="169"/>
      <c r="C81" s="110" t="s">
        <v>138</v>
      </c>
      <c r="D81" s="211" t="s">
        <v>166</v>
      </c>
      <c r="E81" s="211"/>
      <c r="F81" s="211"/>
      <c r="G81" s="211"/>
      <c r="H81" s="211"/>
      <c r="I81" s="211"/>
      <c r="J81" s="211"/>
      <c r="K81" s="211"/>
      <c r="L81" s="211"/>
      <c r="M81" s="211"/>
      <c r="N81" s="211"/>
      <c r="O81" s="211"/>
      <c r="P81" s="211"/>
      <c r="Q81" s="211"/>
      <c r="R81" s="211"/>
      <c r="S81" s="211"/>
      <c r="T81" s="211"/>
      <c r="U81" s="211"/>
      <c r="V81" s="211"/>
      <c r="W81" s="211"/>
      <c r="X81" s="211"/>
      <c r="Y81" s="211"/>
      <c r="Z81" s="212"/>
    </row>
    <row r="82" spans="1:26" ht="78" customHeight="1" x14ac:dyDescent="0.15">
      <c r="B82" s="166" t="s">
        <v>110</v>
      </c>
      <c r="C82" s="80" t="s">
        <v>128</v>
      </c>
      <c r="D82" s="213" t="s">
        <v>162</v>
      </c>
      <c r="E82" s="213"/>
      <c r="F82" s="213"/>
      <c r="G82" s="213"/>
      <c r="H82" s="213"/>
      <c r="I82" s="213"/>
      <c r="J82" s="213"/>
      <c r="K82" s="213"/>
      <c r="L82" s="213"/>
      <c r="M82" s="213"/>
      <c r="N82" s="213"/>
      <c r="O82" s="213"/>
      <c r="P82" s="213"/>
      <c r="Q82" s="213"/>
      <c r="R82" s="213"/>
      <c r="S82" s="213"/>
      <c r="T82" s="213"/>
      <c r="U82" s="213"/>
      <c r="V82" s="213"/>
      <c r="W82" s="213"/>
      <c r="X82" s="213"/>
      <c r="Y82" s="213"/>
      <c r="Z82" s="214"/>
    </row>
    <row r="83" spans="1:26" ht="78" customHeight="1" x14ac:dyDescent="0.15">
      <c r="B83" s="167"/>
      <c r="C83" s="111" t="s">
        <v>129</v>
      </c>
      <c r="D83" s="217" t="s">
        <v>163</v>
      </c>
      <c r="E83" s="217"/>
      <c r="F83" s="217"/>
      <c r="G83" s="217"/>
      <c r="H83" s="217"/>
      <c r="I83" s="217"/>
      <c r="J83" s="217"/>
      <c r="K83" s="217"/>
      <c r="L83" s="217"/>
      <c r="M83" s="217"/>
      <c r="N83" s="217"/>
      <c r="O83" s="217"/>
      <c r="P83" s="217"/>
      <c r="Q83" s="217"/>
      <c r="R83" s="217"/>
      <c r="S83" s="217"/>
      <c r="T83" s="217"/>
      <c r="U83" s="217"/>
      <c r="V83" s="217"/>
      <c r="W83" s="217"/>
      <c r="X83" s="217"/>
      <c r="Y83" s="217"/>
      <c r="Z83" s="218"/>
    </row>
    <row r="84" spans="1:26" ht="66" customHeight="1" x14ac:dyDescent="0.15">
      <c r="B84" s="166" t="s">
        <v>111</v>
      </c>
      <c r="C84" s="80" t="s">
        <v>131</v>
      </c>
      <c r="D84" s="213" t="s">
        <v>164</v>
      </c>
      <c r="E84" s="213"/>
      <c r="F84" s="213"/>
      <c r="G84" s="213"/>
      <c r="H84" s="213"/>
      <c r="I84" s="213"/>
      <c r="J84" s="213"/>
      <c r="K84" s="213"/>
      <c r="L84" s="213"/>
      <c r="M84" s="213"/>
      <c r="N84" s="213"/>
      <c r="O84" s="213"/>
      <c r="P84" s="213"/>
      <c r="Q84" s="213"/>
      <c r="R84" s="213"/>
      <c r="S84" s="213"/>
      <c r="T84" s="213"/>
      <c r="U84" s="213"/>
      <c r="V84" s="213"/>
      <c r="W84" s="213"/>
      <c r="X84" s="213"/>
      <c r="Y84" s="213"/>
      <c r="Z84" s="214"/>
    </row>
    <row r="85" spans="1:26" ht="66" customHeight="1" x14ac:dyDescent="0.15">
      <c r="B85" s="167"/>
      <c r="C85" s="82" t="s">
        <v>132</v>
      </c>
      <c r="D85" s="215" t="s">
        <v>165</v>
      </c>
      <c r="E85" s="215"/>
      <c r="F85" s="215"/>
      <c r="G85" s="215"/>
      <c r="H85" s="215"/>
      <c r="I85" s="215"/>
      <c r="J85" s="215"/>
      <c r="K85" s="215"/>
      <c r="L85" s="215"/>
      <c r="M85" s="215"/>
      <c r="N85" s="215"/>
      <c r="O85" s="215"/>
      <c r="P85" s="215"/>
      <c r="Q85" s="215"/>
      <c r="R85" s="215"/>
      <c r="S85" s="215"/>
      <c r="T85" s="215"/>
      <c r="U85" s="215"/>
      <c r="V85" s="215"/>
      <c r="W85" s="215"/>
      <c r="X85" s="215"/>
      <c r="Y85" s="215"/>
      <c r="Z85" s="216"/>
    </row>
    <row r="86" spans="1:26" ht="66" customHeight="1" x14ac:dyDescent="0.15">
      <c r="B86" s="168" t="s">
        <v>139</v>
      </c>
      <c r="C86" s="85" t="s">
        <v>106</v>
      </c>
      <c r="D86" s="175" t="s">
        <v>168</v>
      </c>
      <c r="E86" s="175"/>
      <c r="F86" s="175"/>
      <c r="G86" s="175"/>
      <c r="H86" s="175"/>
      <c r="I86" s="175"/>
      <c r="J86" s="175"/>
      <c r="K86" s="175"/>
      <c r="L86" s="175"/>
      <c r="M86" s="175"/>
      <c r="N86" s="175"/>
      <c r="O86" s="175"/>
      <c r="P86" s="175"/>
      <c r="Q86" s="175"/>
      <c r="R86" s="175"/>
      <c r="S86" s="175"/>
      <c r="T86" s="175"/>
      <c r="U86" s="175"/>
      <c r="V86" s="175"/>
      <c r="W86" s="175"/>
      <c r="X86" s="175"/>
      <c r="Y86" s="175"/>
      <c r="Z86" s="176"/>
    </row>
    <row r="87" spans="1:26" ht="66" customHeight="1" x14ac:dyDescent="0.15">
      <c r="B87" s="174"/>
      <c r="C87" s="81" t="s">
        <v>108</v>
      </c>
      <c r="D87" s="177" t="s">
        <v>169</v>
      </c>
      <c r="E87" s="177"/>
      <c r="F87" s="177"/>
      <c r="G87" s="177"/>
      <c r="H87" s="177"/>
      <c r="I87" s="177"/>
      <c r="J87" s="177"/>
      <c r="K87" s="177"/>
      <c r="L87" s="177"/>
      <c r="M87" s="177"/>
      <c r="N87" s="177"/>
      <c r="O87" s="177"/>
      <c r="P87" s="177"/>
      <c r="Q87" s="177"/>
      <c r="R87" s="177"/>
      <c r="S87" s="177"/>
      <c r="T87" s="177"/>
      <c r="U87" s="177"/>
      <c r="V87" s="177"/>
      <c r="W87" s="177"/>
      <c r="X87" s="177"/>
      <c r="Y87" s="177"/>
      <c r="Z87" s="178"/>
    </row>
    <row r="88" spans="1:26" ht="66" customHeight="1" x14ac:dyDescent="0.15">
      <c r="B88" s="168" t="s">
        <v>140</v>
      </c>
      <c r="C88" s="80" t="s">
        <v>105</v>
      </c>
      <c r="D88" s="170" t="s">
        <v>186</v>
      </c>
      <c r="E88" s="170"/>
      <c r="F88" s="170"/>
      <c r="G88" s="170"/>
      <c r="H88" s="170"/>
      <c r="I88" s="170"/>
      <c r="J88" s="170"/>
      <c r="K88" s="170"/>
      <c r="L88" s="170"/>
      <c r="M88" s="170"/>
      <c r="N88" s="170"/>
      <c r="O88" s="170"/>
      <c r="P88" s="170"/>
      <c r="Q88" s="170"/>
      <c r="R88" s="170"/>
      <c r="S88" s="170"/>
      <c r="T88" s="170"/>
      <c r="U88" s="170"/>
      <c r="V88" s="170"/>
      <c r="W88" s="170"/>
      <c r="X88" s="170"/>
      <c r="Y88" s="170"/>
      <c r="Z88" s="171"/>
    </row>
    <row r="89" spans="1:26" ht="66" customHeight="1" x14ac:dyDescent="0.15">
      <c r="B89" s="169"/>
      <c r="C89" s="81" t="s">
        <v>135</v>
      </c>
      <c r="D89" s="157" t="s">
        <v>187</v>
      </c>
      <c r="E89" s="158"/>
      <c r="F89" s="158"/>
      <c r="G89" s="158"/>
      <c r="H89" s="158"/>
      <c r="I89" s="158"/>
      <c r="J89" s="158"/>
      <c r="K89" s="158"/>
      <c r="L89" s="158"/>
      <c r="M89" s="158"/>
      <c r="N89" s="158"/>
      <c r="O89" s="158"/>
      <c r="P89" s="158"/>
      <c r="Q89" s="158"/>
      <c r="R89" s="158"/>
      <c r="S89" s="158"/>
      <c r="T89" s="158"/>
      <c r="U89" s="158"/>
      <c r="V89" s="158"/>
      <c r="W89" s="158"/>
      <c r="X89" s="158"/>
      <c r="Y89" s="158"/>
      <c r="Z89" s="159"/>
    </row>
    <row r="90" spans="1:26" ht="66" customHeight="1" x14ac:dyDescent="0.15">
      <c r="B90" s="167"/>
      <c r="C90" s="82" t="s">
        <v>136</v>
      </c>
      <c r="D90" s="172" t="s">
        <v>167</v>
      </c>
      <c r="E90" s="172"/>
      <c r="F90" s="172"/>
      <c r="G90" s="172"/>
      <c r="H90" s="172"/>
      <c r="I90" s="172"/>
      <c r="J90" s="172"/>
      <c r="K90" s="172"/>
      <c r="L90" s="172"/>
      <c r="M90" s="172"/>
      <c r="N90" s="172"/>
      <c r="O90" s="172"/>
      <c r="P90" s="172"/>
      <c r="Q90" s="172"/>
      <c r="R90" s="172"/>
      <c r="S90" s="172"/>
      <c r="T90" s="172"/>
      <c r="U90" s="172"/>
      <c r="V90" s="172"/>
      <c r="W90" s="172"/>
      <c r="X90" s="172"/>
      <c r="Y90" s="172"/>
      <c r="Z90" s="173"/>
    </row>
    <row r="91" spans="1:26" ht="6" customHeight="1" x14ac:dyDescent="0.15"/>
    <row r="92" spans="1:26" ht="18.75" customHeight="1" x14ac:dyDescent="0.15">
      <c r="A92" s="13" t="s">
        <v>144</v>
      </c>
    </row>
    <row r="93" spans="1:26" ht="18.75" customHeight="1" x14ac:dyDescent="0.15">
      <c r="B93" s="228" t="s">
        <v>170</v>
      </c>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30"/>
    </row>
    <row r="94" spans="1:26" ht="18.75" customHeight="1" x14ac:dyDescent="0.15">
      <c r="B94" s="231"/>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3"/>
    </row>
    <row r="95" spans="1:26" ht="18.75" customHeight="1" x14ac:dyDescent="0.15">
      <c r="B95" s="234"/>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6"/>
    </row>
    <row r="96" spans="1:26" ht="6" customHeight="1" x14ac:dyDescent="0.15"/>
    <row r="97" spans="1:26" ht="15" customHeight="1" x14ac:dyDescent="0.15">
      <c r="A97" s="13" t="s">
        <v>145</v>
      </c>
    </row>
    <row r="98" spans="1:26" ht="15" customHeight="1" x14ac:dyDescent="0.15">
      <c r="B98" s="237" t="s">
        <v>222</v>
      </c>
      <c r="C98" s="238"/>
      <c r="D98" s="238"/>
      <c r="E98" s="238"/>
      <c r="F98" s="238"/>
      <c r="G98" s="238"/>
      <c r="H98" s="238"/>
      <c r="I98" s="238"/>
      <c r="J98" s="238"/>
      <c r="K98" s="238"/>
      <c r="L98" s="238"/>
      <c r="M98" s="238"/>
      <c r="N98" s="238"/>
      <c r="O98" s="238"/>
      <c r="P98" s="238"/>
      <c r="Q98" s="238"/>
      <c r="R98" s="238"/>
      <c r="S98" s="238"/>
      <c r="T98" s="238"/>
      <c r="U98" s="238"/>
      <c r="V98" s="238"/>
      <c r="W98" s="238"/>
      <c r="X98" s="238"/>
      <c r="Y98" s="238"/>
      <c r="Z98" s="239"/>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98" right="0.78740157480314998" top="0.59055118110236204" bottom="0.196850393700787" header="0.31496062992126" footer="0.196850393700787"/>
  <pageSetup paperSize="9" scale="92" fitToHeight="4"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I20" sqref="I20"/>
    </sheetView>
  </sheetViews>
  <sheetFormatPr defaultColWidth="9" defaultRowHeight="18.75" customHeight="1" x14ac:dyDescent="0.15"/>
  <cols>
    <col min="1" max="1" width="2.625" style="1" customWidth="1"/>
    <col min="2" max="2" width="30" style="1" customWidth="1"/>
    <col min="3" max="17" width="6.125" style="1" customWidth="1"/>
    <col min="18" max="18" width="6.625" style="1" customWidth="1"/>
    <col min="19" max="16384" width="9" style="1"/>
  </cols>
  <sheetData>
    <row r="1" spans="1:20" ht="18" customHeight="1" x14ac:dyDescent="0.15">
      <c r="F1" s="241" t="s">
        <v>63</v>
      </c>
      <c r="G1" s="241"/>
      <c r="H1" s="241"/>
      <c r="I1" s="241"/>
      <c r="J1" s="241"/>
      <c r="K1" s="241"/>
      <c r="L1" s="241"/>
      <c r="M1" s="241"/>
      <c r="N1" s="241"/>
      <c r="O1" s="241"/>
      <c r="P1" s="241"/>
      <c r="Q1" s="241"/>
      <c r="R1" s="241"/>
    </row>
    <row r="2" spans="1:20" ht="18" customHeight="1" x14ac:dyDescent="0.15">
      <c r="A2" s="242" t="s">
        <v>89</v>
      </c>
      <c r="B2" s="242"/>
      <c r="C2" s="242"/>
      <c r="D2" s="242"/>
      <c r="E2" s="242"/>
      <c r="F2" s="242"/>
      <c r="G2" s="242"/>
      <c r="H2" s="242"/>
      <c r="I2" s="242"/>
      <c r="J2" s="242"/>
      <c r="K2" s="242"/>
      <c r="L2" s="242"/>
      <c r="M2" s="242"/>
      <c r="N2" s="242"/>
      <c r="O2" s="242"/>
      <c r="P2" s="242"/>
      <c r="Q2" s="242"/>
      <c r="R2" s="242"/>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148</v>
      </c>
      <c r="B4" s="4"/>
      <c r="C4" s="243" t="str">
        <f>'様式１　大学等概要'!E12</f>
        <v>令和３</v>
      </c>
      <c r="D4" s="244"/>
      <c r="E4" s="38" t="s">
        <v>114</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146</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45" t="s">
        <v>79</v>
      </c>
      <c r="C8" s="247" t="s">
        <v>84</v>
      </c>
      <c r="D8" s="249" t="s">
        <v>68</v>
      </c>
      <c r="E8" s="251" t="s">
        <v>90</v>
      </c>
      <c r="F8" s="251"/>
      <c r="G8" s="251" t="s">
        <v>91</v>
      </c>
      <c r="H8" s="251"/>
      <c r="I8" s="251" t="s">
        <v>92</v>
      </c>
      <c r="J8" s="251"/>
      <c r="K8" s="252" t="s">
        <v>93</v>
      </c>
      <c r="L8" s="253"/>
      <c r="M8" s="252" t="s">
        <v>94</v>
      </c>
      <c r="N8" s="253"/>
      <c r="O8" s="252" t="s">
        <v>95</v>
      </c>
      <c r="P8" s="253"/>
      <c r="Q8" s="254" t="s">
        <v>62</v>
      </c>
      <c r="R8" s="256" t="s">
        <v>56</v>
      </c>
      <c r="T8" s="34"/>
    </row>
    <row r="9" spans="1:20" ht="18" customHeight="1" x14ac:dyDescent="0.15">
      <c r="A9" s="4"/>
      <c r="B9" s="246"/>
      <c r="C9" s="248"/>
      <c r="D9" s="250"/>
      <c r="E9" s="43" t="s">
        <v>44</v>
      </c>
      <c r="F9" s="44" t="s">
        <v>43</v>
      </c>
      <c r="G9" s="45" t="s">
        <v>44</v>
      </c>
      <c r="H9" s="46" t="s">
        <v>43</v>
      </c>
      <c r="I9" s="43" t="s">
        <v>44</v>
      </c>
      <c r="J9" s="44" t="s">
        <v>43</v>
      </c>
      <c r="K9" s="45" t="s">
        <v>44</v>
      </c>
      <c r="L9" s="46" t="s">
        <v>43</v>
      </c>
      <c r="M9" s="43" t="s">
        <v>44</v>
      </c>
      <c r="N9" s="44" t="s">
        <v>43</v>
      </c>
      <c r="O9" s="45" t="s">
        <v>44</v>
      </c>
      <c r="P9" s="46" t="s">
        <v>43</v>
      </c>
      <c r="Q9" s="255"/>
      <c r="R9" s="257"/>
      <c r="T9" s="34"/>
    </row>
    <row r="10" spans="1:20" ht="18" customHeight="1" x14ac:dyDescent="0.15">
      <c r="A10" s="47"/>
      <c r="B10" s="87" t="s">
        <v>217</v>
      </c>
      <c r="C10" s="47">
        <v>200</v>
      </c>
      <c r="D10" s="48">
        <v>810</v>
      </c>
      <c r="E10" s="49">
        <v>103</v>
      </c>
      <c r="F10" s="50">
        <v>91</v>
      </c>
      <c r="G10" s="51">
        <v>0</v>
      </c>
      <c r="H10" s="52">
        <v>0</v>
      </c>
      <c r="I10" s="49">
        <v>0</v>
      </c>
      <c r="J10" s="50">
        <v>0</v>
      </c>
      <c r="K10" s="51">
        <v>0</v>
      </c>
      <c r="L10" s="52">
        <v>0</v>
      </c>
      <c r="M10" s="49">
        <v>0</v>
      </c>
      <c r="N10" s="50">
        <v>0</v>
      </c>
      <c r="O10" s="51">
        <v>0</v>
      </c>
      <c r="P10" s="52">
        <v>0</v>
      </c>
      <c r="Q10" s="53">
        <f>E10+G10+I10+K10+M10+O10</f>
        <v>103</v>
      </c>
      <c r="R10" s="54">
        <f>Q10/D10</f>
        <v>0.12716049382716049</v>
      </c>
    </row>
    <row r="11" spans="1:20" ht="18" customHeight="1" x14ac:dyDescent="0.15">
      <c r="A11" s="47"/>
      <c r="B11" s="88" t="s">
        <v>218</v>
      </c>
      <c r="C11" s="63"/>
      <c r="D11" s="56"/>
      <c r="E11" s="57"/>
      <c r="F11" s="58"/>
      <c r="G11" s="59"/>
      <c r="H11" s="60"/>
      <c r="I11" s="57"/>
      <c r="J11" s="58"/>
      <c r="K11" s="59"/>
      <c r="L11" s="60"/>
      <c r="M11" s="57"/>
      <c r="N11" s="58"/>
      <c r="O11" s="59"/>
      <c r="P11" s="60"/>
      <c r="Q11" s="61">
        <f t="shared" ref="Q11:Q29" si="0">E11+G11+I11+K11+M11+O11</f>
        <v>0</v>
      </c>
      <c r="R11" s="62" t="e">
        <f t="shared" ref="R11:R29" si="1">Q11/D11</f>
        <v>#DIV/0!</v>
      </c>
    </row>
    <row r="12" spans="1:20" ht="18" customHeight="1" x14ac:dyDescent="0.15">
      <c r="A12" s="47"/>
      <c r="B12" s="88" t="s">
        <v>219</v>
      </c>
      <c r="C12" s="63"/>
      <c r="D12" s="56"/>
      <c r="E12" s="57"/>
      <c r="F12" s="58"/>
      <c r="G12" s="59"/>
      <c r="H12" s="60"/>
      <c r="I12" s="57"/>
      <c r="J12" s="58"/>
      <c r="K12" s="59"/>
      <c r="L12" s="60"/>
      <c r="M12" s="57"/>
      <c r="N12" s="58"/>
      <c r="O12" s="59"/>
      <c r="P12" s="60"/>
      <c r="Q12" s="61">
        <f t="shared" si="0"/>
        <v>0</v>
      </c>
      <c r="R12" s="62" t="e">
        <f t="shared" si="1"/>
        <v>#DIV/0!</v>
      </c>
    </row>
    <row r="13" spans="1:20" ht="18" customHeight="1" x14ac:dyDescent="0.15">
      <c r="A13" s="47"/>
      <c r="B13" s="88" t="s">
        <v>220</v>
      </c>
      <c r="C13" s="63"/>
      <c r="D13" s="56"/>
      <c r="E13" s="57"/>
      <c r="F13" s="58"/>
      <c r="G13" s="59"/>
      <c r="H13" s="60"/>
      <c r="I13" s="57"/>
      <c r="J13" s="58"/>
      <c r="K13" s="59"/>
      <c r="L13" s="60"/>
      <c r="M13" s="57"/>
      <c r="N13" s="58"/>
      <c r="O13" s="59"/>
      <c r="P13" s="60"/>
      <c r="Q13" s="61">
        <f t="shared" si="0"/>
        <v>0</v>
      </c>
      <c r="R13" s="62" t="e">
        <f t="shared" si="1"/>
        <v>#DIV/0!</v>
      </c>
    </row>
    <row r="14" spans="1:20" ht="18" customHeight="1" x14ac:dyDescent="0.15">
      <c r="A14" s="47"/>
      <c r="B14" s="88"/>
      <c r="C14" s="63"/>
      <c r="D14" s="56"/>
      <c r="E14" s="57"/>
      <c r="F14" s="58"/>
      <c r="G14" s="59"/>
      <c r="H14" s="60"/>
      <c r="I14" s="57"/>
      <c r="J14" s="58"/>
      <c r="K14" s="59"/>
      <c r="L14" s="60"/>
      <c r="M14" s="57"/>
      <c r="N14" s="58"/>
      <c r="O14" s="59"/>
      <c r="P14" s="60"/>
      <c r="Q14" s="61">
        <f t="shared" si="0"/>
        <v>0</v>
      </c>
      <c r="R14" s="62" t="e">
        <f t="shared" si="1"/>
        <v>#DIV/0!</v>
      </c>
    </row>
    <row r="15" spans="1:20" ht="18" customHeight="1" x14ac:dyDescent="0.15">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57</v>
      </c>
      <c r="C30" s="92">
        <f t="shared" ref="C30:Q30" si="2">SUM(C10:C29)</f>
        <v>200</v>
      </c>
      <c r="D30" s="65">
        <f t="shared" si="2"/>
        <v>810</v>
      </c>
      <c r="E30" s="66">
        <f t="shared" si="2"/>
        <v>103</v>
      </c>
      <c r="F30" s="67">
        <f t="shared" si="2"/>
        <v>91</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103</v>
      </c>
      <c r="R30" s="71">
        <f>Q30/D30</f>
        <v>0.12716049382716049</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98" right="0.78740157480314998" top="0.78740157480314998" bottom="0.59055118110236204" header="0.31496062992126" footer="0.31496062992126"/>
  <pageSetup paperSize="9" scale="9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15" sqref="B15:J25"/>
    </sheetView>
  </sheetViews>
  <sheetFormatPr defaultColWidth="11.375" defaultRowHeight="18.75" customHeight="1" x14ac:dyDescent="0.15"/>
  <cols>
    <col min="1" max="1" width="2.625" style="2"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1" width="11.375" style="31"/>
    <col min="12" max="16384" width="11.375" style="1"/>
  </cols>
  <sheetData>
    <row r="1" spans="1:11" ht="18.75" customHeight="1" x14ac:dyDescent="0.15">
      <c r="A1" s="2" t="s">
        <v>115</v>
      </c>
      <c r="J1" s="41" t="s">
        <v>116</v>
      </c>
    </row>
    <row r="2" spans="1:11" ht="18.75" customHeight="1" x14ac:dyDescent="0.15">
      <c r="A2" s="242" t="s">
        <v>64</v>
      </c>
      <c r="B2" s="242"/>
      <c r="C2" s="242"/>
      <c r="D2" s="242"/>
      <c r="E2" s="242"/>
      <c r="F2" s="242"/>
      <c r="G2" s="242"/>
      <c r="H2" s="242"/>
      <c r="I2" s="242"/>
      <c r="J2" s="242"/>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267" t="s">
        <v>188</v>
      </c>
      <c r="C5" s="268"/>
      <c r="D5" s="268"/>
      <c r="E5" s="268"/>
      <c r="F5" s="268"/>
      <c r="G5" s="268"/>
      <c r="H5" s="268"/>
      <c r="I5" s="268"/>
      <c r="J5" s="269"/>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3"/>
      <c r="B8" s="270" t="s">
        <v>196</v>
      </c>
      <c r="C8" s="271"/>
      <c r="D8" s="271"/>
      <c r="E8" s="271"/>
      <c r="F8" s="271"/>
      <c r="G8" s="271"/>
      <c r="H8" s="271"/>
      <c r="I8" s="272"/>
      <c r="J8" s="273"/>
      <c r="K8" s="31" t="str">
        <f>IF(B8="","入力してください","")</f>
        <v/>
      </c>
    </row>
    <row r="9" spans="1:11" s="4" customFormat="1" ht="18.75" customHeight="1" x14ac:dyDescent="0.15">
      <c r="A9" s="93"/>
      <c r="B9" s="274"/>
      <c r="C9" s="275"/>
      <c r="D9" s="275"/>
      <c r="E9" s="275"/>
      <c r="F9" s="275"/>
      <c r="G9" s="275"/>
      <c r="H9" s="275"/>
      <c r="I9" s="275"/>
      <c r="J9" s="276"/>
      <c r="K9" s="31"/>
    </row>
    <row r="10" spans="1:11" s="4" customFormat="1" ht="18.75" customHeight="1" x14ac:dyDescent="0.15">
      <c r="A10" s="93"/>
      <c r="B10" s="274"/>
      <c r="C10" s="275"/>
      <c r="D10" s="275"/>
      <c r="E10" s="275"/>
      <c r="F10" s="275"/>
      <c r="G10" s="275"/>
      <c r="H10" s="275"/>
      <c r="I10" s="275"/>
      <c r="J10" s="276"/>
      <c r="K10" s="31"/>
    </row>
    <row r="11" spans="1:11" s="4" customFormat="1" ht="18.75" customHeight="1" x14ac:dyDescent="0.15">
      <c r="A11" s="93"/>
      <c r="B11" s="274"/>
      <c r="C11" s="275"/>
      <c r="D11" s="275"/>
      <c r="E11" s="275"/>
      <c r="F11" s="275"/>
      <c r="G11" s="275"/>
      <c r="H11" s="275"/>
      <c r="I11" s="275"/>
      <c r="J11" s="276"/>
      <c r="K11" s="31"/>
    </row>
    <row r="12" spans="1:11" s="4" customFormat="1" ht="18.75" customHeight="1" x14ac:dyDescent="0.15">
      <c r="A12" s="93"/>
      <c r="B12" s="277"/>
      <c r="C12" s="278"/>
      <c r="D12" s="278"/>
      <c r="E12" s="278"/>
      <c r="F12" s="278"/>
      <c r="G12" s="278"/>
      <c r="H12" s="278"/>
      <c r="I12" s="278"/>
      <c r="J12" s="279"/>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10</v>
      </c>
      <c r="B14" s="94" t="s">
        <v>15</v>
      </c>
      <c r="C14" s="94"/>
      <c r="D14" s="94"/>
      <c r="E14" s="94"/>
      <c r="F14" s="94"/>
      <c r="G14" s="94"/>
      <c r="H14" s="94"/>
      <c r="I14" s="94"/>
      <c r="J14" s="94"/>
      <c r="K14" s="31"/>
    </row>
    <row r="15" spans="1:11" s="4" customFormat="1" ht="18.75" customHeight="1" x14ac:dyDescent="0.15">
      <c r="A15" s="93"/>
      <c r="B15" s="270" t="s">
        <v>223</v>
      </c>
      <c r="C15" s="271"/>
      <c r="D15" s="271"/>
      <c r="E15" s="271"/>
      <c r="F15" s="271"/>
      <c r="G15" s="271"/>
      <c r="H15" s="271"/>
      <c r="I15" s="272"/>
      <c r="J15" s="273"/>
      <c r="K15" s="31" t="str">
        <f>IF(B15="","入力してください","")</f>
        <v/>
      </c>
    </row>
    <row r="16" spans="1:11" s="4" customFormat="1" ht="18.75" customHeight="1" x14ac:dyDescent="0.15">
      <c r="A16" s="93"/>
      <c r="B16" s="274"/>
      <c r="C16" s="275"/>
      <c r="D16" s="275"/>
      <c r="E16" s="275"/>
      <c r="F16" s="275"/>
      <c r="G16" s="275"/>
      <c r="H16" s="275"/>
      <c r="I16" s="275"/>
      <c r="J16" s="276"/>
      <c r="K16" s="31"/>
    </row>
    <row r="17" spans="1:11" s="4" customFormat="1" ht="18.75" customHeight="1" x14ac:dyDescent="0.15">
      <c r="A17" s="93"/>
      <c r="B17" s="274"/>
      <c r="C17" s="275"/>
      <c r="D17" s="275"/>
      <c r="E17" s="275"/>
      <c r="F17" s="275"/>
      <c r="G17" s="275"/>
      <c r="H17" s="275"/>
      <c r="I17" s="275"/>
      <c r="J17" s="276"/>
      <c r="K17" s="31"/>
    </row>
    <row r="18" spans="1:11" s="4" customFormat="1" ht="18.75" customHeight="1" x14ac:dyDescent="0.15">
      <c r="A18" s="93"/>
      <c r="B18" s="274"/>
      <c r="C18" s="275"/>
      <c r="D18" s="275"/>
      <c r="E18" s="275"/>
      <c r="F18" s="275"/>
      <c r="G18" s="275"/>
      <c r="H18" s="275"/>
      <c r="I18" s="275"/>
      <c r="J18" s="276"/>
      <c r="K18" s="31"/>
    </row>
    <row r="19" spans="1:11" s="4" customFormat="1" ht="18.75" customHeight="1" x14ac:dyDescent="0.15">
      <c r="A19" s="93"/>
      <c r="B19" s="274"/>
      <c r="C19" s="275"/>
      <c r="D19" s="275"/>
      <c r="E19" s="275"/>
      <c r="F19" s="275"/>
      <c r="G19" s="275"/>
      <c r="H19" s="275"/>
      <c r="I19" s="275"/>
      <c r="J19" s="276"/>
      <c r="K19" s="31"/>
    </row>
    <row r="20" spans="1:11" s="4" customFormat="1" ht="18.75" customHeight="1" x14ac:dyDescent="0.15">
      <c r="A20" s="93"/>
      <c r="B20" s="274"/>
      <c r="C20" s="275"/>
      <c r="D20" s="275"/>
      <c r="E20" s="275"/>
      <c r="F20" s="275"/>
      <c r="G20" s="275"/>
      <c r="H20" s="275"/>
      <c r="I20" s="275"/>
      <c r="J20" s="276"/>
      <c r="K20" s="31"/>
    </row>
    <row r="21" spans="1:11" s="4" customFormat="1" ht="18.75" customHeight="1" x14ac:dyDescent="0.15">
      <c r="A21" s="93"/>
      <c r="B21" s="274"/>
      <c r="C21" s="275"/>
      <c r="D21" s="275"/>
      <c r="E21" s="275"/>
      <c r="F21" s="275"/>
      <c r="G21" s="275"/>
      <c r="H21" s="275"/>
      <c r="I21" s="275"/>
      <c r="J21" s="276"/>
      <c r="K21" s="31"/>
    </row>
    <row r="22" spans="1:11" s="4" customFormat="1" ht="18.75" customHeight="1" x14ac:dyDescent="0.15">
      <c r="A22" s="93"/>
      <c r="B22" s="274"/>
      <c r="C22" s="275"/>
      <c r="D22" s="275"/>
      <c r="E22" s="275"/>
      <c r="F22" s="275"/>
      <c r="G22" s="275"/>
      <c r="H22" s="275"/>
      <c r="I22" s="275"/>
      <c r="J22" s="276"/>
      <c r="K22" s="31"/>
    </row>
    <row r="23" spans="1:11" s="4" customFormat="1" ht="18.75" customHeight="1" x14ac:dyDescent="0.15">
      <c r="A23" s="93"/>
      <c r="B23" s="274"/>
      <c r="C23" s="275"/>
      <c r="D23" s="275"/>
      <c r="E23" s="275"/>
      <c r="F23" s="275"/>
      <c r="G23" s="275"/>
      <c r="H23" s="275"/>
      <c r="I23" s="275"/>
      <c r="J23" s="276"/>
      <c r="K23" s="31"/>
    </row>
    <row r="24" spans="1:11" s="4" customFormat="1" ht="18.75" customHeight="1" x14ac:dyDescent="0.15">
      <c r="A24" s="93"/>
      <c r="B24" s="274"/>
      <c r="C24" s="275"/>
      <c r="D24" s="275"/>
      <c r="E24" s="275"/>
      <c r="F24" s="275"/>
      <c r="G24" s="275"/>
      <c r="H24" s="275"/>
      <c r="I24" s="275"/>
      <c r="J24" s="276"/>
      <c r="K24" s="31"/>
    </row>
    <row r="25" spans="1:11" s="4" customFormat="1" ht="18.75" customHeight="1" x14ac:dyDescent="0.15">
      <c r="A25" s="93"/>
      <c r="B25" s="277"/>
      <c r="C25" s="278"/>
      <c r="D25" s="278"/>
      <c r="E25" s="278"/>
      <c r="F25" s="278"/>
      <c r="G25" s="278"/>
      <c r="H25" s="278"/>
      <c r="I25" s="278"/>
      <c r="J25" s="279"/>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5" t="s">
        <v>117</v>
      </c>
      <c r="C28" s="96">
        <f>'様式３　履修者等数の実績'!R30</f>
        <v>0.12716049382716049</v>
      </c>
      <c r="D28" s="97"/>
      <c r="E28" s="97" t="s">
        <v>118</v>
      </c>
      <c r="F28" s="96">
        <v>0.5</v>
      </c>
      <c r="G28" s="97"/>
      <c r="H28" s="97" t="s">
        <v>119</v>
      </c>
      <c r="I28" s="98">
        <v>0.75</v>
      </c>
      <c r="J28" s="99"/>
      <c r="K28" s="31"/>
    </row>
    <row r="29" spans="1:11" s="29" customFormat="1" ht="18.75" customHeight="1" x14ac:dyDescent="0.15">
      <c r="B29" s="83" t="s">
        <v>120</v>
      </c>
      <c r="C29" s="100">
        <v>1</v>
      </c>
      <c r="D29" s="84"/>
      <c r="E29" s="84" t="s">
        <v>121</v>
      </c>
      <c r="F29" s="100">
        <v>1</v>
      </c>
      <c r="G29" s="84"/>
      <c r="H29" s="84" t="s">
        <v>122</v>
      </c>
      <c r="I29" s="101">
        <v>810</v>
      </c>
      <c r="J29" s="102"/>
      <c r="K29" s="35"/>
    </row>
    <row r="30" spans="1:11" s="4" customFormat="1" ht="18.75" customHeight="1" x14ac:dyDescent="0.15">
      <c r="A30" s="1"/>
      <c r="B30" s="163" t="s">
        <v>123</v>
      </c>
      <c r="C30" s="164"/>
      <c r="D30" s="164"/>
      <c r="E30" s="164"/>
      <c r="F30" s="164"/>
      <c r="G30" s="164"/>
      <c r="H30" s="164"/>
      <c r="I30" s="164"/>
      <c r="J30" s="165"/>
      <c r="K30" s="35"/>
    </row>
    <row r="31" spans="1:11" s="4" customFormat="1" ht="18.75" customHeight="1" x14ac:dyDescent="0.15">
      <c r="A31" s="1"/>
      <c r="B31" s="258" t="s">
        <v>199</v>
      </c>
      <c r="C31" s="259"/>
      <c r="D31" s="259"/>
      <c r="E31" s="259"/>
      <c r="F31" s="259"/>
      <c r="G31" s="259"/>
      <c r="H31" s="259"/>
      <c r="I31" s="259"/>
      <c r="J31" s="260"/>
      <c r="K31" s="35" t="str">
        <f>IF(B31="","入力してください","")</f>
        <v/>
      </c>
    </row>
    <row r="32" spans="1:11" s="4" customFormat="1" ht="18.75" customHeight="1" x14ac:dyDescent="0.15">
      <c r="A32" s="1"/>
      <c r="B32" s="261"/>
      <c r="C32" s="262"/>
      <c r="D32" s="262"/>
      <c r="E32" s="262"/>
      <c r="F32" s="262"/>
      <c r="G32" s="262"/>
      <c r="H32" s="262"/>
      <c r="I32" s="262"/>
      <c r="J32" s="263"/>
      <c r="K32" s="35"/>
    </row>
    <row r="33" spans="1:11" s="4" customFormat="1" ht="18.75" customHeight="1" x14ac:dyDescent="0.15">
      <c r="A33" s="1"/>
      <c r="B33" s="261"/>
      <c r="C33" s="262"/>
      <c r="D33" s="262"/>
      <c r="E33" s="262"/>
      <c r="F33" s="262"/>
      <c r="G33" s="262"/>
      <c r="H33" s="262"/>
      <c r="I33" s="262"/>
      <c r="J33" s="263"/>
      <c r="K33" s="35"/>
    </row>
    <row r="34" spans="1:11" s="4" customFormat="1" ht="18.75" customHeight="1" x14ac:dyDescent="0.15">
      <c r="A34" s="1"/>
      <c r="B34" s="261"/>
      <c r="C34" s="262"/>
      <c r="D34" s="262"/>
      <c r="E34" s="262"/>
      <c r="F34" s="262"/>
      <c r="G34" s="262"/>
      <c r="H34" s="262"/>
      <c r="I34" s="262"/>
      <c r="J34" s="263"/>
      <c r="K34" s="35"/>
    </row>
    <row r="35" spans="1:11" s="4" customFormat="1" ht="18.75" customHeight="1" x14ac:dyDescent="0.15">
      <c r="A35" s="1"/>
      <c r="B35" s="261"/>
      <c r="C35" s="262"/>
      <c r="D35" s="262"/>
      <c r="E35" s="262"/>
      <c r="F35" s="262"/>
      <c r="G35" s="262"/>
      <c r="H35" s="262"/>
      <c r="I35" s="262"/>
      <c r="J35" s="263"/>
      <c r="K35" s="35"/>
    </row>
    <row r="36" spans="1:11" s="4" customFormat="1" ht="18.75" customHeight="1" x14ac:dyDescent="0.15">
      <c r="A36" s="1"/>
      <c r="B36" s="261"/>
      <c r="C36" s="262"/>
      <c r="D36" s="262"/>
      <c r="E36" s="262"/>
      <c r="F36" s="262"/>
      <c r="G36" s="262"/>
      <c r="H36" s="262"/>
      <c r="I36" s="262"/>
      <c r="J36" s="263"/>
      <c r="K36" s="35"/>
    </row>
    <row r="37" spans="1:11" s="4" customFormat="1" ht="18.75" customHeight="1" x14ac:dyDescent="0.15">
      <c r="A37" s="1"/>
      <c r="B37" s="261"/>
      <c r="C37" s="262"/>
      <c r="D37" s="262"/>
      <c r="E37" s="262"/>
      <c r="F37" s="262"/>
      <c r="G37" s="262"/>
      <c r="H37" s="262"/>
      <c r="I37" s="262"/>
      <c r="J37" s="263"/>
      <c r="K37" s="35"/>
    </row>
    <row r="38" spans="1:11" s="4" customFormat="1" ht="18.75" customHeight="1" x14ac:dyDescent="0.15">
      <c r="A38" s="1"/>
      <c r="B38" s="261"/>
      <c r="C38" s="262"/>
      <c r="D38" s="262"/>
      <c r="E38" s="262"/>
      <c r="F38" s="262"/>
      <c r="G38" s="262"/>
      <c r="H38" s="262"/>
      <c r="I38" s="262"/>
      <c r="J38" s="263"/>
      <c r="K38" s="35"/>
    </row>
    <row r="39" spans="1:11" s="4" customFormat="1" ht="18.75" customHeight="1" x14ac:dyDescent="0.15">
      <c r="A39" s="1"/>
      <c r="B39" s="261"/>
      <c r="C39" s="262"/>
      <c r="D39" s="262"/>
      <c r="E39" s="262"/>
      <c r="F39" s="262"/>
      <c r="G39" s="262"/>
      <c r="H39" s="262"/>
      <c r="I39" s="262"/>
      <c r="J39" s="263"/>
      <c r="K39" s="35"/>
    </row>
    <row r="40" spans="1:11" s="4" customFormat="1" ht="18.75" customHeight="1" x14ac:dyDescent="0.15">
      <c r="A40" s="1"/>
      <c r="B40" s="261"/>
      <c r="C40" s="262"/>
      <c r="D40" s="262"/>
      <c r="E40" s="262"/>
      <c r="F40" s="262"/>
      <c r="G40" s="262"/>
      <c r="H40" s="262"/>
      <c r="I40" s="262"/>
      <c r="J40" s="263"/>
      <c r="K40" s="35"/>
    </row>
    <row r="41" spans="1:11" s="4" customFormat="1" ht="18.75" customHeight="1" x14ac:dyDescent="0.15">
      <c r="A41" s="1"/>
      <c r="B41" s="261"/>
      <c r="C41" s="262"/>
      <c r="D41" s="262"/>
      <c r="E41" s="262"/>
      <c r="F41" s="262"/>
      <c r="G41" s="262"/>
      <c r="H41" s="262"/>
      <c r="I41" s="262"/>
      <c r="J41" s="263"/>
      <c r="K41" s="35"/>
    </row>
    <row r="42" spans="1:11" s="4" customFormat="1" ht="18.75" customHeight="1" x14ac:dyDescent="0.15">
      <c r="A42" s="1"/>
      <c r="B42" s="261"/>
      <c r="C42" s="262"/>
      <c r="D42" s="262"/>
      <c r="E42" s="262"/>
      <c r="F42" s="262"/>
      <c r="G42" s="262"/>
      <c r="H42" s="262"/>
      <c r="I42" s="262"/>
      <c r="J42" s="263"/>
      <c r="K42" s="35"/>
    </row>
    <row r="43" spans="1:11" ht="18.75" customHeight="1" x14ac:dyDescent="0.15">
      <c r="A43" s="39"/>
      <c r="B43" s="261"/>
      <c r="C43" s="262"/>
      <c r="D43" s="262"/>
      <c r="E43" s="262"/>
      <c r="F43" s="262"/>
      <c r="G43" s="262"/>
      <c r="H43" s="262"/>
      <c r="I43" s="262"/>
      <c r="J43" s="263"/>
      <c r="K43" s="35"/>
    </row>
    <row r="44" spans="1:11" ht="18.75" customHeight="1" x14ac:dyDescent="0.15">
      <c r="A44" s="39"/>
      <c r="B44" s="264"/>
      <c r="C44" s="265"/>
      <c r="D44" s="265"/>
      <c r="E44" s="265"/>
      <c r="F44" s="265"/>
      <c r="G44" s="265"/>
      <c r="H44" s="265"/>
      <c r="I44" s="265"/>
      <c r="J44" s="266"/>
    </row>
    <row r="45" spans="1:11" s="4" customFormat="1" ht="18.75" customHeight="1" x14ac:dyDescent="0.15">
      <c r="A45" s="103" t="s">
        <v>11</v>
      </c>
      <c r="B45" s="1" t="s">
        <v>65</v>
      </c>
      <c r="C45" s="1"/>
      <c r="D45" s="1"/>
      <c r="E45" s="1"/>
      <c r="F45" s="1"/>
      <c r="G45" s="1"/>
      <c r="H45" s="1"/>
      <c r="I45" s="103"/>
      <c r="J45" s="103"/>
      <c r="K45" s="31"/>
    </row>
    <row r="46" spans="1:11" ht="18.75" customHeight="1" x14ac:dyDescent="0.15">
      <c r="A46" s="39"/>
      <c r="B46" s="270" t="s">
        <v>205</v>
      </c>
      <c r="C46" s="271"/>
      <c r="D46" s="271"/>
      <c r="E46" s="271"/>
      <c r="F46" s="271"/>
      <c r="G46" s="271"/>
      <c r="H46" s="271"/>
      <c r="I46" s="280"/>
      <c r="J46" s="281"/>
      <c r="K46" s="31" t="str">
        <f>IF(B46="","入力してください","")</f>
        <v/>
      </c>
    </row>
    <row r="47" spans="1:11" ht="18.75" customHeight="1" x14ac:dyDescent="0.15">
      <c r="A47" s="39"/>
      <c r="B47" s="261"/>
      <c r="C47" s="262"/>
      <c r="D47" s="262"/>
      <c r="E47" s="262"/>
      <c r="F47" s="262"/>
      <c r="G47" s="262"/>
      <c r="H47" s="262"/>
      <c r="I47" s="262"/>
      <c r="J47" s="263"/>
    </row>
    <row r="48" spans="1:11" ht="18.75" customHeight="1" x14ac:dyDescent="0.15">
      <c r="A48" s="39"/>
      <c r="B48" s="261"/>
      <c r="C48" s="262"/>
      <c r="D48" s="262"/>
      <c r="E48" s="262"/>
      <c r="F48" s="262"/>
      <c r="G48" s="262"/>
      <c r="H48" s="262"/>
      <c r="I48" s="262"/>
      <c r="J48" s="263"/>
    </row>
    <row r="49" spans="1:10" ht="18.75" customHeight="1" x14ac:dyDescent="0.15">
      <c r="A49" s="39"/>
      <c r="B49" s="261"/>
      <c r="C49" s="262"/>
      <c r="D49" s="262"/>
      <c r="E49" s="262"/>
      <c r="F49" s="262"/>
      <c r="G49" s="262"/>
      <c r="H49" s="262"/>
      <c r="I49" s="262"/>
      <c r="J49" s="263"/>
    </row>
    <row r="50" spans="1:10" ht="18.75" customHeight="1" x14ac:dyDescent="0.15">
      <c r="A50" s="39"/>
      <c r="B50" s="261"/>
      <c r="C50" s="262"/>
      <c r="D50" s="262"/>
      <c r="E50" s="262"/>
      <c r="F50" s="262"/>
      <c r="G50" s="262"/>
      <c r="H50" s="262"/>
      <c r="I50" s="262"/>
      <c r="J50" s="263"/>
    </row>
    <row r="51" spans="1:10" ht="18.75" customHeight="1" x14ac:dyDescent="0.15">
      <c r="A51" s="39"/>
      <c r="B51" s="261"/>
      <c r="C51" s="262"/>
      <c r="D51" s="262"/>
      <c r="E51" s="262"/>
      <c r="F51" s="262"/>
      <c r="G51" s="262"/>
      <c r="H51" s="262"/>
      <c r="I51" s="262"/>
      <c r="J51" s="263"/>
    </row>
    <row r="52" spans="1:10" ht="18.75" customHeight="1" x14ac:dyDescent="0.15">
      <c r="A52" s="39"/>
      <c r="B52" s="261"/>
      <c r="C52" s="262"/>
      <c r="D52" s="262"/>
      <c r="E52" s="262"/>
      <c r="F52" s="262"/>
      <c r="G52" s="262"/>
      <c r="H52" s="262"/>
      <c r="I52" s="262"/>
      <c r="J52" s="263"/>
    </row>
    <row r="53" spans="1:10" ht="18.75" customHeight="1" x14ac:dyDescent="0.15">
      <c r="A53" s="39"/>
      <c r="B53" s="261"/>
      <c r="C53" s="262"/>
      <c r="D53" s="262"/>
      <c r="E53" s="262"/>
      <c r="F53" s="262"/>
      <c r="G53" s="262"/>
      <c r="H53" s="262"/>
      <c r="I53" s="262"/>
      <c r="J53" s="263"/>
    </row>
    <row r="54" spans="1:10" ht="18.75" customHeight="1" x14ac:dyDescent="0.15">
      <c r="A54" s="39"/>
      <c r="B54" s="261"/>
      <c r="C54" s="262"/>
      <c r="D54" s="262"/>
      <c r="E54" s="262"/>
      <c r="F54" s="262"/>
      <c r="G54" s="262"/>
      <c r="H54" s="262"/>
      <c r="I54" s="262"/>
      <c r="J54" s="263"/>
    </row>
    <row r="55" spans="1:10" ht="18.75" customHeight="1" x14ac:dyDescent="0.15">
      <c r="A55" s="39"/>
      <c r="B55" s="261"/>
      <c r="C55" s="262"/>
      <c r="D55" s="262"/>
      <c r="E55" s="262"/>
      <c r="F55" s="262"/>
      <c r="G55" s="262"/>
      <c r="H55" s="262"/>
      <c r="I55" s="262"/>
      <c r="J55" s="263"/>
    </row>
    <row r="56" spans="1:10" ht="18.75" customHeight="1" x14ac:dyDescent="0.15">
      <c r="A56" s="39"/>
      <c r="B56" s="261"/>
      <c r="C56" s="262"/>
      <c r="D56" s="262"/>
      <c r="E56" s="262"/>
      <c r="F56" s="262"/>
      <c r="G56" s="262"/>
      <c r="H56" s="262"/>
      <c r="I56" s="262"/>
      <c r="J56" s="263"/>
    </row>
    <row r="57" spans="1:10" ht="18.75" customHeight="1" x14ac:dyDescent="0.15">
      <c r="A57" s="39"/>
      <c r="B57" s="261"/>
      <c r="C57" s="262"/>
      <c r="D57" s="262"/>
      <c r="E57" s="262"/>
      <c r="F57" s="262"/>
      <c r="G57" s="262"/>
      <c r="H57" s="262"/>
      <c r="I57" s="262"/>
      <c r="J57" s="263"/>
    </row>
    <row r="58" spans="1:10" ht="18.75" customHeight="1" x14ac:dyDescent="0.15">
      <c r="A58" s="39"/>
      <c r="B58" s="261"/>
      <c r="C58" s="262"/>
      <c r="D58" s="262"/>
      <c r="E58" s="262"/>
      <c r="F58" s="262"/>
      <c r="G58" s="262"/>
      <c r="H58" s="262"/>
      <c r="I58" s="262"/>
      <c r="J58" s="263"/>
    </row>
    <row r="59" spans="1:10" ht="18.75" customHeight="1" x14ac:dyDescent="0.15">
      <c r="A59" s="39"/>
      <c r="B59" s="261"/>
      <c r="C59" s="262"/>
      <c r="D59" s="262"/>
      <c r="E59" s="262"/>
      <c r="F59" s="262"/>
      <c r="G59" s="262"/>
      <c r="H59" s="262"/>
      <c r="I59" s="262"/>
      <c r="J59" s="263"/>
    </row>
    <row r="60" spans="1:10" ht="18.75" customHeight="1" x14ac:dyDescent="0.15">
      <c r="A60" s="39"/>
      <c r="B60" s="261"/>
      <c r="C60" s="262"/>
      <c r="D60" s="262"/>
      <c r="E60" s="262"/>
      <c r="F60" s="262"/>
      <c r="G60" s="262"/>
      <c r="H60" s="262"/>
      <c r="I60" s="262"/>
      <c r="J60" s="263"/>
    </row>
    <row r="61" spans="1:10" ht="18.75" customHeight="1" x14ac:dyDescent="0.15">
      <c r="A61" s="39"/>
      <c r="B61" s="261"/>
      <c r="C61" s="262"/>
      <c r="D61" s="262"/>
      <c r="E61" s="262"/>
      <c r="F61" s="262"/>
      <c r="G61" s="262"/>
      <c r="H61" s="262"/>
      <c r="I61" s="262"/>
      <c r="J61" s="263"/>
    </row>
    <row r="62" spans="1:10" ht="18.75" customHeight="1" x14ac:dyDescent="0.15">
      <c r="A62" s="39"/>
      <c r="B62" s="261"/>
      <c r="C62" s="262"/>
      <c r="D62" s="262"/>
      <c r="E62" s="262"/>
      <c r="F62" s="262"/>
      <c r="G62" s="262"/>
      <c r="H62" s="262"/>
      <c r="I62" s="262"/>
      <c r="J62" s="263"/>
    </row>
    <row r="63" spans="1:10" ht="18.75" customHeight="1" x14ac:dyDescent="0.15">
      <c r="A63" s="39"/>
      <c r="B63" s="261"/>
      <c r="C63" s="262"/>
      <c r="D63" s="262"/>
      <c r="E63" s="262"/>
      <c r="F63" s="262"/>
      <c r="G63" s="262"/>
      <c r="H63" s="262"/>
      <c r="I63" s="262"/>
      <c r="J63" s="263"/>
    </row>
    <row r="64" spans="1:10" ht="18.75" customHeight="1" x14ac:dyDescent="0.15">
      <c r="A64" s="39"/>
      <c r="B64" s="261"/>
      <c r="C64" s="262"/>
      <c r="D64" s="262"/>
      <c r="E64" s="262"/>
      <c r="F64" s="262"/>
      <c r="G64" s="262"/>
      <c r="H64" s="262"/>
      <c r="I64" s="262"/>
      <c r="J64" s="263"/>
    </row>
    <row r="65" spans="1:11" ht="18.75" customHeight="1" x14ac:dyDescent="0.15">
      <c r="A65" s="39"/>
      <c r="B65" s="261"/>
      <c r="C65" s="262"/>
      <c r="D65" s="262"/>
      <c r="E65" s="262"/>
      <c r="F65" s="262"/>
      <c r="G65" s="262"/>
      <c r="H65" s="262"/>
      <c r="I65" s="262"/>
      <c r="J65" s="263"/>
    </row>
    <row r="66" spans="1:11" ht="18.75" customHeight="1" x14ac:dyDescent="0.15">
      <c r="A66" s="39"/>
      <c r="B66" s="264"/>
      <c r="C66" s="265"/>
      <c r="D66" s="265"/>
      <c r="E66" s="265"/>
      <c r="F66" s="265"/>
      <c r="G66" s="265"/>
      <c r="H66" s="265"/>
      <c r="I66" s="265"/>
      <c r="J66" s="266"/>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70" t="s">
        <v>206</v>
      </c>
      <c r="C69" s="271"/>
      <c r="D69" s="271"/>
      <c r="E69" s="271"/>
      <c r="F69" s="271"/>
      <c r="G69" s="271"/>
      <c r="H69" s="271"/>
      <c r="I69" s="282"/>
      <c r="J69" s="283"/>
      <c r="K69" s="35" t="str">
        <f>IF(B69="","入力してください","")</f>
        <v/>
      </c>
    </row>
    <row r="70" spans="1:11" s="4" customFormat="1" ht="18.75" customHeight="1" x14ac:dyDescent="0.15">
      <c r="A70" s="1"/>
      <c r="B70" s="284"/>
      <c r="C70" s="285"/>
      <c r="D70" s="285"/>
      <c r="E70" s="285"/>
      <c r="F70" s="285"/>
      <c r="G70" s="285"/>
      <c r="H70" s="285"/>
      <c r="I70" s="285"/>
      <c r="J70" s="286"/>
      <c r="K70" s="35"/>
    </row>
    <row r="71" spans="1:11" s="4" customFormat="1" ht="18.75" customHeight="1" x14ac:dyDescent="0.15">
      <c r="A71" s="1"/>
      <c r="B71" s="284"/>
      <c r="C71" s="285"/>
      <c r="D71" s="285"/>
      <c r="E71" s="285"/>
      <c r="F71" s="285"/>
      <c r="G71" s="285"/>
      <c r="H71" s="285"/>
      <c r="I71" s="285"/>
      <c r="J71" s="286"/>
      <c r="K71" s="35"/>
    </row>
    <row r="72" spans="1:11" s="4" customFormat="1" ht="18.75" customHeight="1" x14ac:dyDescent="0.15">
      <c r="A72" s="1"/>
      <c r="B72" s="284"/>
      <c r="C72" s="285"/>
      <c r="D72" s="285"/>
      <c r="E72" s="285"/>
      <c r="F72" s="285"/>
      <c r="G72" s="285"/>
      <c r="H72" s="285"/>
      <c r="I72" s="285"/>
      <c r="J72" s="286"/>
      <c r="K72" s="35"/>
    </row>
    <row r="73" spans="1:11" s="4" customFormat="1" ht="18.75" customHeight="1" x14ac:dyDescent="0.15">
      <c r="A73" s="1"/>
      <c r="B73" s="284"/>
      <c r="C73" s="285"/>
      <c r="D73" s="285"/>
      <c r="E73" s="285"/>
      <c r="F73" s="285"/>
      <c r="G73" s="285"/>
      <c r="H73" s="285"/>
      <c r="I73" s="285"/>
      <c r="J73" s="286"/>
      <c r="K73" s="35"/>
    </row>
    <row r="74" spans="1:11" s="4" customFormat="1" ht="18.75" customHeight="1" x14ac:dyDescent="0.15">
      <c r="A74" s="1"/>
      <c r="B74" s="284"/>
      <c r="C74" s="285"/>
      <c r="D74" s="285"/>
      <c r="E74" s="285"/>
      <c r="F74" s="285"/>
      <c r="G74" s="285"/>
      <c r="H74" s="285"/>
      <c r="I74" s="285"/>
      <c r="J74" s="286"/>
      <c r="K74" s="35"/>
    </row>
    <row r="75" spans="1:11" s="4" customFormat="1" ht="18.75" customHeight="1" x14ac:dyDescent="0.15">
      <c r="A75" s="1"/>
      <c r="B75" s="284"/>
      <c r="C75" s="285"/>
      <c r="D75" s="285"/>
      <c r="E75" s="285"/>
      <c r="F75" s="285"/>
      <c r="G75" s="285"/>
      <c r="H75" s="285"/>
      <c r="I75" s="285"/>
      <c r="J75" s="286"/>
      <c r="K75" s="35"/>
    </row>
    <row r="76" spans="1:11" s="4" customFormat="1" ht="18.75" customHeight="1" x14ac:dyDescent="0.15">
      <c r="A76" s="1"/>
      <c r="B76" s="284"/>
      <c r="C76" s="285"/>
      <c r="D76" s="285"/>
      <c r="E76" s="285"/>
      <c r="F76" s="285"/>
      <c r="G76" s="285"/>
      <c r="H76" s="285"/>
      <c r="I76" s="285"/>
      <c r="J76" s="286"/>
      <c r="K76" s="35"/>
    </row>
    <row r="77" spans="1:11" s="4" customFormat="1" ht="18.75" customHeight="1" x14ac:dyDescent="0.15">
      <c r="A77" s="1"/>
      <c r="B77" s="284"/>
      <c r="C77" s="285"/>
      <c r="D77" s="285"/>
      <c r="E77" s="285"/>
      <c r="F77" s="285"/>
      <c r="G77" s="285"/>
      <c r="H77" s="285"/>
      <c r="I77" s="285"/>
      <c r="J77" s="286"/>
      <c r="K77" s="35"/>
    </row>
    <row r="78" spans="1:11" s="4" customFormat="1" ht="18.75" customHeight="1" x14ac:dyDescent="0.15">
      <c r="A78" s="1"/>
      <c r="B78" s="284"/>
      <c r="C78" s="285"/>
      <c r="D78" s="285"/>
      <c r="E78" s="285"/>
      <c r="F78" s="285"/>
      <c r="G78" s="285"/>
      <c r="H78" s="285"/>
      <c r="I78" s="285"/>
      <c r="J78" s="286"/>
      <c r="K78" s="35"/>
    </row>
    <row r="79" spans="1:11" s="4" customFormat="1" ht="18.75" customHeight="1" x14ac:dyDescent="0.15">
      <c r="A79" s="1"/>
      <c r="B79" s="284"/>
      <c r="C79" s="285"/>
      <c r="D79" s="285"/>
      <c r="E79" s="285"/>
      <c r="F79" s="285"/>
      <c r="G79" s="285"/>
      <c r="H79" s="285"/>
      <c r="I79" s="285"/>
      <c r="J79" s="286"/>
      <c r="K79" s="35"/>
    </row>
    <row r="80" spans="1:11" s="4" customFormat="1" ht="18.75" customHeight="1" x14ac:dyDescent="0.15">
      <c r="A80" s="1"/>
      <c r="B80" s="284"/>
      <c r="C80" s="285"/>
      <c r="D80" s="285"/>
      <c r="E80" s="285"/>
      <c r="F80" s="285"/>
      <c r="G80" s="285"/>
      <c r="H80" s="285"/>
      <c r="I80" s="285"/>
      <c r="J80" s="286"/>
      <c r="K80" s="35"/>
    </row>
    <row r="81" spans="1:11" s="4" customFormat="1" ht="18.75" customHeight="1" x14ac:dyDescent="0.15">
      <c r="A81" s="1"/>
      <c r="B81" s="284"/>
      <c r="C81" s="285"/>
      <c r="D81" s="285"/>
      <c r="E81" s="285"/>
      <c r="F81" s="285"/>
      <c r="G81" s="285"/>
      <c r="H81" s="285"/>
      <c r="I81" s="285"/>
      <c r="J81" s="286"/>
      <c r="K81" s="35"/>
    </row>
    <row r="82" spans="1:11" s="4" customFormat="1" ht="18.75" customHeight="1" x14ac:dyDescent="0.15">
      <c r="A82" s="1"/>
      <c r="B82" s="284"/>
      <c r="C82" s="285"/>
      <c r="D82" s="285"/>
      <c r="E82" s="285"/>
      <c r="F82" s="285"/>
      <c r="G82" s="285"/>
      <c r="H82" s="285"/>
      <c r="I82" s="285"/>
      <c r="J82" s="286"/>
      <c r="K82" s="35"/>
    </row>
    <row r="83" spans="1:11" s="4" customFormat="1" ht="18.75" customHeight="1" x14ac:dyDescent="0.15">
      <c r="A83" s="1"/>
      <c r="B83" s="284"/>
      <c r="C83" s="285"/>
      <c r="D83" s="285"/>
      <c r="E83" s="285"/>
      <c r="F83" s="285"/>
      <c r="G83" s="285"/>
      <c r="H83" s="285"/>
      <c r="I83" s="285"/>
      <c r="J83" s="286"/>
      <c r="K83" s="35"/>
    </row>
    <row r="84" spans="1:11" s="4" customFormat="1" ht="18.75" customHeight="1" x14ac:dyDescent="0.15">
      <c r="A84" s="1"/>
      <c r="B84" s="284"/>
      <c r="C84" s="285"/>
      <c r="D84" s="285"/>
      <c r="E84" s="285"/>
      <c r="F84" s="285"/>
      <c r="G84" s="285"/>
      <c r="H84" s="285"/>
      <c r="I84" s="285"/>
      <c r="J84" s="286"/>
      <c r="K84" s="35"/>
    </row>
    <row r="85" spans="1:11" ht="18.75" customHeight="1" x14ac:dyDescent="0.15">
      <c r="A85" s="39"/>
      <c r="B85" s="284"/>
      <c r="C85" s="285"/>
      <c r="D85" s="285"/>
      <c r="E85" s="285"/>
      <c r="F85" s="285"/>
      <c r="G85" s="285"/>
      <c r="H85" s="285"/>
      <c r="I85" s="285"/>
      <c r="J85" s="286"/>
      <c r="K85" s="35"/>
    </row>
    <row r="86" spans="1:11" ht="18.75" customHeight="1" x14ac:dyDescent="0.15">
      <c r="A86" s="39"/>
      <c r="B86" s="287"/>
      <c r="C86" s="288"/>
      <c r="D86" s="288"/>
      <c r="E86" s="288"/>
      <c r="F86" s="288"/>
      <c r="G86" s="288"/>
      <c r="H86" s="288"/>
      <c r="I86" s="288"/>
      <c r="J86" s="289"/>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70" t="s">
        <v>202</v>
      </c>
      <c r="C89" s="271"/>
      <c r="D89" s="271"/>
      <c r="E89" s="271"/>
      <c r="F89" s="271"/>
      <c r="G89" s="271"/>
      <c r="H89" s="271"/>
      <c r="I89" s="282"/>
      <c r="J89" s="283"/>
      <c r="K89" s="31"/>
    </row>
    <row r="90" spans="1:11" s="4" customFormat="1" ht="18.75" customHeight="1" x14ac:dyDescent="0.15">
      <c r="A90" s="1"/>
      <c r="B90" s="284"/>
      <c r="C90" s="285"/>
      <c r="D90" s="285"/>
      <c r="E90" s="285"/>
      <c r="F90" s="285"/>
      <c r="G90" s="285"/>
      <c r="H90" s="285"/>
      <c r="I90" s="285"/>
      <c r="J90" s="286"/>
      <c r="K90" s="35"/>
    </row>
    <row r="91" spans="1:11" s="4" customFormat="1" ht="18.75" customHeight="1" x14ac:dyDescent="0.15">
      <c r="A91" s="1"/>
      <c r="B91" s="284"/>
      <c r="C91" s="285"/>
      <c r="D91" s="285"/>
      <c r="E91" s="285"/>
      <c r="F91" s="285"/>
      <c r="G91" s="285"/>
      <c r="H91" s="285"/>
      <c r="I91" s="285"/>
      <c r="J91" s="286"/>
      <c r="K91" s="35" t="str">
        <f>IF(B89="","入力してください","")</f>
        <v/>
      </c>
    </row>
    <row r="92" spans="1:11" s="4" customFormat="1" ht="18.75" customHeight="1" x14ac:dyDescent="0.15">
      <c r="A92" s="1"/>
      <c r="B92" s="284"/>
      <c r="C92" s="285"/>
      <c r="D92" s="285"/>
      <c r="E92" s="285"/>
      <c r="F92" s="285"/>
      <c r="G92" s="285"/>
      <c r="H92" s="285"/>
      <c r="I92" s="285"/>
      <c r="J92" s="286"/>
      <c r="K92" s="35"/>
    </row>
    <row r="93" spans="1:11" s="4" customFormat="1" ht="18.75" customHeight="1" x14ac:dyDescent="0.15">
      <c r="A93" s="1"/>
      <c r="B93" s="284"/>
      <c r="C93" s="285"/>
      <c r="D93" s="285"/>
      <c r="E93" s="285"/>
      <c r="F93" s="285"/>
      <c r="G93" s="285"/>
      <c r="H93" s="285"/>
      <c r="I93" s="285"/>
      <c r="J93" s="286"/>
      <c r="K93" s="35"/>
    </row>
    <row r="94" spans="1:11" s="4" customFormat="1" ht="18.75" customHeight="1" x14ac:dyDescent="0.15">
      <c r="A94" s="1"/>
      <c r="B94" s="284"/>
      <c r="C94" s="285"/>
      <c r="D94" s="285"/>
      <c r="E94" s="285"/>
      <c r="F94" s="285"/>
      <c r="G94" s="285"/>
      <c r="H94" s="285"/>
      <c r="I94" s="285"/>
      <c r="J94" s="286"/>
      <c r="K94" s="35"/>
    </row>
    <row r="95" spans="1:11" s="4" customFormat="1" ht="18.75" customHeight="1" x14ac:dyDescent="0.15">
      <c r="A95" s="1"/>
      <c r="B95" s="284"/>
      <c r="C95" s="285"/>
      <c r="D95" s="285"/>
      <c r="E95" s="285"/>
      <c r="F95" s="285"/>
      <c r="G95" s="285"/>
      <c r="H95" s="285"/>
      <c r="I95" s="285"/>
      <c r="J95" s="286"/>
      <c r="K95" s="35"/>
    </row>
    <row r="96" spans="1:11" s="4" customFormat="1" ht="18.75" customHeight="1" x14ac:dyDescent="0.15">
      <c r="A96" s="1"/>
      <c r="B96" s="284"/>
      <c r="C96" s="285"/>
      <c r="D96" s="285"/>
      <c r="E96" s="285"/>
      <c r="F96" s="285"/>
      <c r="G96" s="285"/>
      <c r="H96" s="285"/>
      <c r="I96" s="285"/>
      <c r="J96" s="286"/>
      <c r="K96" s="35"/>
    </row>
    <row r="97" spans="1:11" s="4" customFormat="1" ht="18.75" customHeight="1" x14ac:dyDescent="0.15">
      <c r="A97" s="1"/>
      <c r="B97" s="284"/>
      <c r="C97" s="285"/>
      <c r="D97" s="285"/>
      <c r="E97" s="285"/>
      <c r="F97" s="285"/>
      <c r="G97" s="285"/>
      <c r="H97" s="285"/>
      <c r="I97" s="285"/>
      <c r="J97" s="286"/>
      <c r="K97" s="35"/>
    </row>
    <row r="98" spans="1:11" s="4" customFormat="1" ht="18.75" customHeight="1" x14ac:dyDescent="0.15">
      <c r="A98" s="1"/>
      <c r="B98" s="284"/>
      <c r="C98" s="285"/>
      <c r="D98" s="285"/>
      <c r="E98" s="285"/>
      <c r="F98" s="285"/>
      <c r="G98" s="285"/>
      <c r="H98" s="285"/>
      <c r="I98" s="285"/>
      <c r="J98" s="286"/>
      <c r="K98" s="35"/>
    </row>
    <row r="99" spans="1:11" s="4" customFormat="1" ht="18.75" customHeight="1" x14ac:dyDescent="0.15">
      <c r="A99" s="1"/>
      <c r="B99" s="284"/>
      <c r="C99" s="285"/>
      <c r="D99" s="285"/>
      <c r="E99" s="285"/>
      <c r="F99" s="285"/>
      <c r="G99" s="285"/>
      <c r="H99" s="285"/>
      <c r="I99" s="285"/>
      <c r="J99" s="286"/>
      <c r="K99" s="35"/>
    </row>
    <row r="100" spans="1:11" s="4" customFormat="1" ht="18.75" customHeight="1" x14ac:dyDescent="0.15">
      <c r="A100" s="1"/>
      <c r="B100" s="284"/>
      <c r="C100" s="285"/>
      <c r="D100" s="285"/>
      <c r="E100" s="285"/>
      <c r="F100" s="285"/>
      <c r="G100" s="285"/>
      <c r="H100" s="285"/>
      <c r="I100" s="285"/>
      <c r="J100" s="286"/>
      <c r="K100" s="35"/>
    </row>
    <row r="101" spans="1:11" s="4" customFormat="1" ht="18.75" customHeight="1" x14ac:dyDescent="0.15">
      <c r="A101" s="1"/>
      <c r="B101" s="284"/>
      <c r="C101" s="285"/>
      <c r="D101" s="285"/>
      <c r="E101" s="285"/>
      <c r="F101" s="285"/>
      <c r="G101" s="285"/>
      <c r="H101" s="285"/>
      <c r="I101" s="285"/>
      <c r="J101" s="286"/>
      <c r="K101" s="35"/>
    </row>
    <row r="102" spans="1:11" s="4" customFormat="1" ht="18.75" customHeight="1" x14ac:dyDescent="0.15">
      <c r="A102" s="1"/>
      <c r="B102" s="284"/>
      <c r="C102" s="285"/>
      <c r="D102" s="285"/>
      <c r="E102" s="285"/>
      <c r="F102" s="285"/>
      <c r="G102" s="285"/>
      <c r="H102" s="285"/>
      <c r="I102" s="285"/>
      <c r="J102" s="286"/>
      <c r="K102" s="35"/>
    </row>
    <row r="103" spans="1:11" s="4" customFormat="1" ht="18.75" customHeight="1" x14ac:dyDescent="0.15">
      <c r="A103" s="1"/>
      <c r="B103" s="284"/>
      <c r="C103" s="285"/>
      <c r="D103" s="285"/>
      <c r="E103" s="285"/>
      <c r="F103" s="285"/>
      <c r="G103" s="285"/>
      <c r="H103" s="285"/>
      <c r="I103" s="285"/>
      <c r="J103" s="286"/>
      <c r="K103" s="35"/>
    </row>
    <row r="104" spans="1:11" s="4" customFormat="1" ht="18.75" customHeight="1" x14ac:dyDescent="0.15">
      <c r="A104" s="1"/>
      <c r="B104" s="284"/>
      <c r="C104" s="285"/>
      <c r="D104" s="285"/>
      <c r="E104" s="285"/>
      <c r="F104" s="285"/>
      <c r="G104" s="285"/>
      <c r="H104" s="285"/>
      <c r="I104" s="285"/>
      <c r="J104" s="286"/>
      <c r="K104" s="35"/>
    </row>
    <row r="105" spans="1:11" s="4" customFormat="1" ht="18.75" customHeight="1" x14ac:dyDescent="0.15">
      <c r="A105" s="1"/>
      <c r="B105" s="284"/>
      <c r="C105" s="285"/>
      <c r="D105" s="285"/>
      <c r="E105" s="285"/>
      <c r="F105" s="285"/>
      <c r="G105" s="285"/>
      <c r="H105" s="285"/>
      <c r="I105" s="285"/>
      <c r="J105" s="286"/>
      <c r="K105" s="35"/>
    </row>
    <row r="106" spans="1:11" s="4" customFormat="1" ht="18.75" customHeight="1" x14ac:dyDescent="0.15">
      <c r="A106" s="1"/>
      <c r="B106" s="284"/>
      <c r="C106" s="285"/>
      <c r="D106" s="285"/>
      <c r="E106" s="285"/>
      <c r="F106" s="285"/>
      <c r="G106" s="285"/>
      <c r="H106" s="285"/>
      <c r="I106" s="285"/>
      <c r="J106" s="286"/>
      <c r="K106" s="35"/>
    </row>
    <row r="107" spans="1:11" ht="18.75" customHeight="1" x14ac:dyDescent="0.15">
      <c r="A107" s="39"/>
      <c r="B107" s="284"/>
      <c r="C107" s="285"/>
      <c r="D107" s="285"/>
      <c r="E107" s="285"/>
      <c r="F107" s="285"/>
      <c r="G107" s="285"/>
      <c r="H107" s="285"/>
      <c r="I107" s="285"/>
      <c r="J107" s="286"/>
      <c r="K107" s="35"/>
    </row>
    <row r="108" spans="1:11" ht="18.75" customHeight="1" x14ac:dyDescent="0.15">
      <c r="A108" s="39"/>
      <c r="B108" s="287"/>
      <c r="C108" s="288"/>
      <c r="D108" s="288"/>
      <c r="E108" s="288"/>
      <c r="F108" s="288"/>
      <c r="G108" s="288"/>
      <c r="H108" s="288"/>
      <c r="I108" s="288"/>
      <c r="J108" s="289"/>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90" t="s">
        <v>82</v>
      </c>
      <c r="C110" s="290"/>
      <c r="D110" s="290"/>
      <c r="E110" s="290"/>
      <c r="F110" s="290"/>
      <c r="G110" s="290"/>
      <c r="H110" s="290"/>
      <c r="I110" s="290"/>
      <c r="J110" s="290"/>
      <c r="K110" s="31"/>
    </row>
    <row r="111" spans="1:11" ht="18.75" customHeight="1" x14ac:dyDescent="0.15">
      <c r="A111" s="39"/>
      <c r="B111" s="270" t="s">
        <v>203</v>
      </c>
      <c r="C111" s="271"/>
      <c r="D111" s="271"/>
      <c r="E111" s="271"/>
      <c r="F111" s="271"/>
      <c r="G111" s="271"/>
      <c r="H111" s="271"/>
      <c r="I111" s="282"/>
      <c r="J111" s="283"/>
    </row>
    <row r="112" spans="1:11" ht="18.75" customHeight="1" x14ac:dyDescent="0.15">
      <c r="A112" s="39"/>
      <c r="B112" s="284"/>
      <c r="C112" s="285"/>
      <c r="D112" s="285"/>
      <c r="E112" s="285"/>
      <c r="F112" s="285"/>
      <c r="G112" s="285"/>
      <c r="H112" s="285"/>
      <c r="I112" s="285"/>
      <c r="J112" s="286"/>
      <c r="K112" s="35"/>
    </row>
    <row r="113" spans="1:11" ht="18.75" customHeight="1" x14ac:dyDescent="0.15">
      <c r="A113" s="39"/>
      <c r="B113" s="284"/>
      <c r="C113" s="285"/>
      <c r="D113" s="285"/>
      <c r="E113" s="285"/>
      <c r="F113" s="285"/>
      <c r="G113" s="285"/>
      <c r="H113" s="285"/>
      <c r="I113" s="285"/>
      <c r="J113" s="286"/>
      <c r="K113" s="31" t="str">
        <f>IF(B111="","入力してください","")</f>
        <v/>
      </c>
    </row>
    <row r="114" spans="1:11" ht="18.75" customHeight="1" x14ac:dyDescent="0.15">
      <c r="A114" s="39"/>
      <c r="B114" s="284"/>
      <c r="C114" s="285"/>
      <c r="D114" s="285"/>
      <c r="E114" s="285"/>
      <c r="F114" s="285"/>
      <c r="G114" s="285"/>
      <c r="H114" s="285"/>
      <c r="I114" s="285"/>
      <c r="J114" s="286"/>
    </row>
    <row r="115" spans="1:11" ht="18.75" customHeight="1" x14ac:dyDescent="0.15">
      <c r="A115" s="39"/>
      <c r="B115" s="284"/>
      <c r="C115" s="285"/>
      <c r="D115" s="285"/>
      <c r="E115" s="285"/>
      <c r="F115" s="285"/>
      <c r="G115" s="285"/>
      <c r="H115" s="285"/>
      <c r="I115" s="285"/>
      <c r="J115" s="286"/>
    </row>
    <row r="116" spans="1:11" ht="18.75" customHeight="1" x14ac:dyDescent="0.15">
      <c r="A116" s="39"/>
      <c r="B116" s="284"/>
      <c r="C116" s="285"/>
      <c r="D116" s="285"/>
      <c r="E116" s="285"/>
      <c r="F116" s="285"/>
      <c r="G116" s="285"/>
      <c r="H116" s="285"/>
      <c r="I116" s="285"/>
      <c r="J116" s="286"/>
    </row>
    <row r="117" spans="1:11" ht="18.75" customHeight="1" x14ac:dyDescent="0.15">
      <c r="A117" s="39"/>
      <c r="B117" s="284"/>
      <c r="C117" s="285"/>
      <c r="D117" s="285"/>
      <c r="E117" s="285"/>
      <c r="F117" s="285"/>
      <c r="G117" s="285"/>
      <c r="H117" s="285"/>
      <c r="I117" s="285"/>
      <c r="J117" s="286"/>
    </row>
    <row r="118" spans="1:11" ht="18.75" customHeight="1" x14ac:dyDescent="0.15">
      <c r="A118" s="39"/>
      <c r="B118" s="284"/>
      <c r="C118" s="285"/>
      <c r="D118" s="285"/>
      <c r="E118" s="285"/>
      <c r="F118" s="285"/>
      <c r="G118" s="285"/>
      <c r="H118" s="285"/>
      <c r="I118" s="285"/>
      <c r="J118" s="286"/>
    </row>
    <row r="119" spans="1:11" ht="18.75" customHeight="1" x14ac:dyDescent="0.15">
      <c r="A119" s="39"/>
      <c r="B119" s="284"/>
      <c r="C119" s="285"/>
      <c r="D119" s="285"/>
      <c r="E119" s="285"/>
      <c r="F119" s="285"/>
      <c r="G119" s="285"/>
      <c r="H119" s="285"/>
      <c r="I119" s="285"/>
      <c r="J119" s="286"/>
    </row>
    <row r="120" spans="1:11" ht="18.75" customHeight="1" x14ac:dyDescent="0.15">
      <c r="A120" s="39"/>
      <c r="B120" s="284"/>
      <c r="C120" s="285"/>
      <c r="D120" s="285"/>
      <c r="E120" s="285"/>
      <c r="F120" s="285"/>
      <c r="G120" s="285"/>
      <c r="H120" s="285"/>
      <c r="I120" s="285"/>
      <c r="J120" s="286"/>
    </row>
    <row r="121" spans="1:11" ht="18.75" customHeight="1" x14ac:dyDescent="0.15">
      <c r="A121" s="39"/>
      <c r="B121" s="284"/>
      <c r="C121" s="285"/>
      <c r="D121" s="285"/>
      <c r="E121" s="285"/>
      <c r="F121" s="285"/>
      <c r="G121" s="285"/>
      <c r="H121" s="285"/>
      <c r="I121" s="285"/>
      <c r="J121" s="286"/>
    </row>
    <row r="122" spans="1:11" ht="18.75" customHeight="1" x14ac:dyDescent="0.15">
      <c r="A122" s="39"/>
      <c r="B122" s="284"/>
      <c r="C122" s="285"/>
      <c r="D122" s="285"/>
      <c r="E122" s="285"/>
      <c r="F122" s="285"/>
      <c r="G122" s="285"/>
      <c r="H122" s="285"/>
      <c r="I122" s="285"/>
      <c r="J122" s="286"/>
    </row>
    <row r="123" spans="1:11" ht="18.75" customHeight="1" x14ac:dyDescent="0.15">
      <c r="A123" s="39"/>
      <c r="B123" s="284"/>
      <c r="C123" s="285"/>
      <c r="D123" s="285"/>
      <c r="E123" s="285"/>
      <c r="F123" s="285"/>
      <c r="G123" s="285"/>
      <c r="H123" s="285"/>
      <c r="I123" s="285"/>
      <c r="J123" s="286"/>
    </row>
    <row r="124" spans="1:11" ht="18.75" customHeight="1" x14ac:dyDescent="0.15">
      <c r="A124" s="39"/>
      <c r="B124" s="284"/>
      <c r="C124" s="285"/>
      <c r="D124" s="285"/>
      <c r="E124" s="285"/>
      <c r="F124" s="285"/>
      <c r="G124" s="285"/>
      <c r="H124" s="285"/>
      <c r="I124" s="285"/>
      <c r="J124" s="286"/>
    </row>
    <row r="125" spans="1:11" ht="18.75" customHeight="1" x14ac:dyDescent="0.15">
      <c r="A125" s="39"/>
      <c r="B125" s="284"/>
      <c r="C125" s="285"/>
      <c r="D125" s="285"/>
      <c r="E125" s="285"/>
      <c r="F125" s="285"/>
      <c r="G125" s="285"/>
      <c r="H125" s="285"/>
      <c r="I125" s="285"/>
      <c r="J125" s="286"/>
    </row>
    <row r="126" spans="1:11" ht="18.75" customHeight="1" x14ac:dyDescent="0.15">
      <c r="A126" s="39"/>
      <c r="B126" s="284"/>
      <c r="C126" s="285"/>
      <c r="D126" s="285"/>
      <c r="E126" s="285"/>
      <c r="F126" s="285"/>
      <c r="G126" s="285"/>
      <c r="H126" s="285"/>
      <c r="I126" s="285"/>
      <c r="J126" s="286"/>
    </row>
    <row r="127" spans="1:11" ht="18.75" customHeight="1" x14ac:dyDescent="0.15">
      <c r="A127" s="39"/>
      <c r="B127" s="284"/>
      <c r="C127" s="285"/>
      <c r="D127" s="285"/>
      <c r="E127" s="285"/>
      <c r="F127" s="285"/>
      <c r="G127" s="285"/>
      <c r="H127" s="285"/>
      <c r="I127" s="285"/>
      <c r="J127" s="286"/>
    </row>
    <row r="128" spans="1:11" ht="18.75" customHeight="1" x14ac:dyDescent="0.15">
      <c r="A128" s="39"/>
      <c r="B128" s="284"/>
      <c r="C128" s="285"/>
      <c r="D128" s="285"/>
      <c r="E128" s="285"/>
      <c r="F128" s="285"/>
      <c r="G128" s="285"/>
      <c r="H128" s="285"/>
      <c r="I128" s="285"/>
      <c r="J128" s="286"/>
    </row>
    <row r="129" spans="1:10" ht="18.75" customHeight="1" x14ac:dyDescent="0.15">
      <c r="A129" s="39"/>
      <c r="B129" s="287"/>
      <c r="C129" s="288"/>
      <c r="D129" s="288"/>
      <c r="E129" s="288"/>
      <c r="F129" s="288"/>
      <c r="G129" s="288"/>
      <c r="H129" s="288"/>
      <c r="I129" s="288"/>
      <c r="J129" s="289"/>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98" right="0.78740157480314998" top="0.78740157480314998" bottom="0.78740157480314998" header="0.31496062992126" footer="0.31496062992126"/>
  <pageSetup paperSize="9" scale="93" fitToHeight="4"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
  <sheetViews>
    <sheetView showZeros="0" view="pageBreakPreview" zoomScaleNormal="100" zoomScaleSheetLayoutView="100" workbookViewId="0">
      <selection activeCell="M14" sqref="M14"/>
    </sheetView>
  </sheetViews>
  <sheetFormatPr defaultColWidth="11.375" defaultRowHeight="22.5" customHeight="1" x14ac:dyDescent="0.15"/>
  <cols>
    <col min="1" max="3" width="2.625" style="1" customWidth="1"/>
    <col min="4" max="4" width="22.125" style="1" customWidth="1"/>
    <col min="5" max="5" width="21.625" style="1" customWidth="1"/>
    <col min="6" max="7" width="7.62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124</v>
      </c>
      <c r="J1" s="41" t="s">
        <v>73</v>
      </c>
    </row>
    <row r="2" spans="1:11" ht="18.75" customHeight="1" x14ac:dyDescent="0.15">
      <c r="A2" s="242" t="s">
        <v>42</v>
      </c>
      <c r="B2" s="242"/>
      <c r="C2" s="242"/>
      <c r="D2" s="242"/>
      <c r="E2" s="242"/>
      <c r="F2" s="242"/>
      <c r="G2" s="242"/>
      <c r="H2" s="242"/>
      <c r="I2" s="242"/>
      <c r="J2" s="242"/>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296" t="s">
        <v>38</v>
      </c>
      <c r="C5" s="297"/>
      <c r="D5" s="298"/>
      <c r="E5" s="299" t="s">
        <v>40</v>
      </c>
      <c r="F5" s="299"/>
      <c r="G5" s="299"/>
      <c r="H5" s="299"/>
      <c r="I5" s="299"/>
      <c r="J5" s="300"/>
    </row>
    <row r="6" spans="1:11" ht="18.75" customHeight="1" x14ac:dyDescent="0.15">
      <c r="B6" s="3" t="s">
        <v>28</v>
      </c>
      <c r="C6" s="39"/>
      <c r="D6" s="7"/>
      <c r="I6" s="40"/>
      <c r="J6" s="5"/>
    </row>
    <row r="7" spans="1:11" ht="207" customHeight="1" x14ac:dyDescent="0.15">
      <c r="B7" s="6"/>
      <c r="C7" s="301" t="s">
        <v>29</v>
      </c>
      <c r="D7" s="302"/>
      <c r="E7" s="293" t="s">
        <v>190</v>
      </c>
      <c r="F7" s="294"/>
      <c r="G7" s="294"/>
      <c r="H7" s="294"/>
      <c r="I7" s="294"/>
      <c r="J7" s="295"/>
      <c r="K7" s="31" t="str">
        <f>IF(E7="","入力してください","")</f>
        <v/>
      </c>
    </row>
    <row r="8" spans="1:11" ht="207" customHeight="1" x14ac:dyDescent="0.15">
      <c r="B8" s="6"/>
      <c r="C8" s="291" t="s">
        <v>30</v>
      </c>
      <c r="D8" s="292"/>
      <c r="E8" s="293" t="s">
        <v>207</v>
      </c>
      <c r="F8" s="294"/>
      <c r="G8" s="294"/>
      <c r="H8" s="294"/>
      <c r="I8" s="294"/>
      <c r="J8" s="295"/>
      <c r="K8" s="31" t="str">
        <f>IF(E8="","入力してください","")</f>
        <v/>
      </c>
    </row>
    <row r="9" spans="1:11" ht="172.5" customHeight="1" x14ac:dyDescent="0.15">
      <c r="B9" s="6"/>
      <c r="C9" s="301" t="s">
        <v>31</v>
      </c>
      <c r="D9" s="302"/>
      <c r="E9" s="293" t="s">
        <v>204</v>
      </c>
      <c r="F9" s="294"/>
      <c r="G9" s="294"/>
      <c r="H9" s="294"/>
      <c r="I9" s="294"/>
      <c r="J9" s="295"/>
      <c r="K9" s="31" t="str">
        <f>IF(E9="","入力してください","")</f>
        <v/>
      </c>
    </row>
    <row r="10" spans="1:11" ht="172.5" customHeight="1" x14ac:dyDescent="0.15">
      <c r="B10" s="6"/>
      <c r="C10" s="301" t="s">
        <v>32</v>
      </c>
      <c r="D10" s="302"/>
      <c r="E10" s="293" t="s">
        <v>189</v>
      </c>
      <c r="F10" s="294"/>
      <c r="G10" s="294"/>
      <c r="H10" s="294"/>
      <c r="I10" s="294"/>
      <c r="J10" s="295"/>
      <c r="K10" s="31" t="str">
        <f t="shared" ref="K10:K14" si="0">IF(E10="","入力してください","")</f>
        <v/>
      </c>
    </row>
    <row r="11" spans="1:11" ht="172.5" customHeight="1" x14ac:dyDescent="0.15">
      <c r="B11" s="6"/>
      <c r="C11" s="301" t="s">
        <v>33</v>
      </c>
      <c r="D11" s="302"/>
      <c r="E11" s="293" t="s">
        <v>200</v>
      </c>
      <c r="F11" s="294"/>
      <c r="G11" s="294"/>
      <c r="H11" s="294"/>
      <c r="I11" s="294"/>
      <c r="J11" s="295"/>
      <c r="K11" s="31" t="str">
        <f t="shared" si="0"/>
        <v/>
      </c>
    </row>
    <row r="12" spans="1:11" ht="18.75" customHeight="1" x14ac:dyDescent="0.15">
      <c r="B12" s="9" t="s">
        <v>34</v>
      </c>
      <c r="C12" s="28"/>
      <c r="D12" s="8"/>
      <c r="E12" s="32"/>
      <c r="F12" s="32"/>
      <c r="G12" s="32"/>
      <c r="H12" s="32"/>
      <c r="I12" s="32"/>
      <c r="J12" s="33"/>
    </row>
    <row r="13" spans="1:11" ht="244.35" customHeight="1" x14ac:dyDescent="0.15">
      <c r="B13" s="6"/>
      <c r="C13" s="301" t="s">
        <v>35</v>
      </c>
      <c r="D13" s="302"/>
      <c r="E13" s="294" t="s">
        <v>209</v>
      </c>
      <c r="F13" s="294"/>
      <c r="G13" s="294"/>
      <c r="H13" s="294"/>
      <c r="I13" s="294"/>
      <c r="J13" s="295"/>
      <c r="K13" s="31" t="str">
        <f t="shared" si="0"/>
        <v/>
      </c>
    </row>
    <row r="14" spans="1:11" ht="255" customHeight="1" x14ac:dyDescent="0.15">
      <c r="B14" s="6"/>
      <c r="C14" s="301" t="s">
        <v>36</v>
      </c>
      <c r="D14" s="302"/>
      <c r="E14" s="294" t="s">
        <v>201</v>
      </c>
      <c r="F14" s="294"/>
      <c r="G14" s="294"/>
      <c r="H14" s="294"/>
      <c r="I14" s="294"/>
      <c r="J14" s="295"/>
      <c r="K14" s="31" t="str">
        <f t="shared" si="0"/>
        <v/>
      </c>
    </row>
    <row r="15" spans="1:11" ht="243" customHeight="1" x14ac:dyDescent="0.15">
      <c r="B15" s="309" t="s">
        <v>37</v>
      </c>
      <c r="C15" s="310"/>
      <c r="D15" s="302"/>
      <c r="E15" s="294" t="s">
        <v>197</v>
      </c>
      <c r="F15" s="294"/>
      <c r="G15" s="294"/>
      <c r="H15" s="294"/>
      <c r="I15" s="294"/>
      <c r="J15" s="295"/>
      <c r="K15" s="31" t="str">
        <f>IF(E15="","入力してください","")</f>
        <v/>
      </c>
    </row>
    <row r="16" spans="1:11" ht="243" customHeight="1" x14ac:dyDescent="0.15">
      <c r="A16" s="31"/>
      <c r="B16" s="303" t="s">
        <v>66</v>
      </c>
      <c r="C16" s="304"/>
      <c r="D16" s="305"/>
      <c r="E16" s="265" t="s">
        <v>198</v>
      </c>
      <c r="F16" s="265"/>
      <c r="G16" s="265"/>
      <c r="H16" s="265"/>
      <c r="I16" s="265"/>
      <c r="J16" s="266"/>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125</v>
      </c>
      <c r="B18" s="4"/>
      <c r="C18" s="39"/>
      <c r="D18" s="39"/>
      <c r="E18" s="40"/>
      <c r="F18" s="94"/>
      <c r="G18" s="306" t="s">
        <v>222</v>
      </c>
      <c r="H18" s="307"/>
      <c r="I18" s="307"/>
      <c r="J18" s="308"/>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98" right="0.78740157480314998" top="0.78740157480314998" bottom="0.78740157480314998" header="0.31496062992126" footer="0.31496062992126"/>
  <pageSetup paperSize="9" fitToHeight="4"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kurogane</cp:lastModifiedBy>
  <cp:lastPrinted>2022-03-29T05:45:47Z</cp:lastPrinted>
  <dcterms:created xsi:type="dcterms:W3CDTF">2011-06-14T05:32:50Z</dcterms:created>
  <dcterms:modified xsi:type="dcterms:W3CDTF">2022-06-02T09:25:43Z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