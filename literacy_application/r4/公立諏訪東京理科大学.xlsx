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V:\学務課\教務関係\22実施\数理データサイエンス申請\（リテラシーレベル）\実際の申請物\第4回目\"/>
    </mc:Choice>
  </mc:AlternateContent>
  <xr:revisionPtr revIDLastSave="0" documentId="13_ncr:1_{C4DE7C4F-7501-49E3-888F-9DE84E512973}" xr6:coauthVersionLast="36" xr6:coauthVersionMax="47" xr10:uidLastSave="{00000000-0000-0000-0000-000000000000}"/>
  <bookViews>
    <workbookView xWindow="780" yWindow="780" windowWidth="24600" windowHeight="15180" tabRatio="885" activeTab="4"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プログラムを構成する授業科目'!$A$1:$Z$108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workbook>
</file>

<file path=xl/calcChain.xml><?xml version="1.0" encoding="utf-8"?>
<calcChain xmlns="http://schemas.openxmlformats.org/spreadsheetml/2006/main">
  <c r="J39" i="8" l="1"/>
  <c r="D39" i="8"/>
  <c r="K18" i="42" l="1"/>
  <c r="K16" i="42"/>
  <c r="K15" i="42"/>
  <c r="K9" i="42"/>
  <c r="K8" i="42"/>
  <c r="K7" i="42"/>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R22" i="40"/>
  <c r="Q22" i="40"/>
  <c r="Q21" i="40"/>
  <c r="R21" i="40" s="1"/>
  <c r="Q20" i="40"/>
  <c r="R20" i="40" s="1"/>
  <c r="Q19" i="40"/>
  <c r="R19" i="40" s="1"/>
  <c r="R18" i="40"/>
  <c r="Q18" i="40"/>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<sst xmlns="http://schemas.openxmlformats.org/spreadsheetml/2006/main" count="345" uniqueCount="227">
  <si>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</si>
  <si>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</si>
  <si>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</si>
  <si>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</si>
  <si>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</si>
  <si>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</si>
  <si>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</si>
  <si>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</si>
  <si>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</si>
  <si>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</si>
  <si>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</si>
  <si>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</si>
  <si>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</si>
  <si>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</si>
  <si>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</si>
  <si>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</si>
  <si>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</si>
  <si>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</si>
  <si>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</si>
  <si>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</si>
  <si>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</si>
  <si>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</si>
  <si>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</si>
  <si>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</si>
  <si>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</si>
  <si>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</si>
  <si>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</si>
  <si>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</si>
  <si>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</si>
  <si>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</si>
  <si>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</si>
  <si>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</si>
  <si>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</si>
  <si>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</si>
  <si>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</si>
  <si>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</si>
  <si>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</si>
  <si>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</si>
  <si>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</si>
  <si>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</si>
  <si>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</si>
  <si>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</si>
  <si>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</si>
  <si>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</si>
  <si>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</si>
  <si>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</si>
  <si>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</si>
  <si>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</si>
  <si>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</si>
  <si>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</si>
  <si>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</si>
  <si>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</si>
  <si>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</si>
  <si>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</si>
  <si>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</si>
  <si>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</si>
  <si>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</si>
  <si>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</si>
  <si>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</si>
  <si>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</si>
  <si>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</si>
  <si>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</si>
  <si>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</si>
  <si>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</si>
  <si>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</si>
  <si>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</si>
  <si>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</si>
  <si>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</si>
  <si>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</si>
  <si>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</si>
  <si>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</si>
  <si>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</si>
  <si>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</si>
  <si>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</si>
  <si>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</si>
  <si>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</si>
  <si>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</si>
  <si>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</si>
  <si>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</si>
  <si>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</si>
  <si>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</si>
  <si>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</si>
  <si>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</si>
  <si>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</si>
  <si>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</si>
  <si>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</si>
  <si>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</si>
  <si>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</si>
  <si>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</si>
  <si>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</si>
  <si>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</si>
  <si>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</si>
  <si>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</si>
  <si>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</si>
  <si>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</si>
  <si>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</si>
  <si>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</si>
  <si>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</si>
  <si>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</si>
  <si>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</si>
  <si>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</si>
  <si>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</si>
  <si>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</si>
  <si>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</si>
  <si>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</si>
  <si>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</si>
  <si>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</si>
  <si>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</si>
  <si>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</si>
  <si>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</si>
  <si>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</si>
  <si>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</si>
  <si>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</si>
  <si>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</si>
  <si>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</si>
  <si>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</si>
  <si>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</si>
  <si>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</si>
  <si>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</si>
  <si>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</si>
  <si>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</si>
  <si>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</si>
  <si>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</si>
  <si>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</si>
  <si>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</si>
  <si>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</si>
  <si>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</si>
  <si>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</si>
  <si>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</si>
  <si>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</si>
  <si>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</si>
  <si>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</si>
  <si>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</si>
  <si>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</si>
  <si>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</si>
  <si>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</si>
  <si>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</si>
  <si>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</si>
  <si>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</si>
  <si>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</si>
  <si>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</si>
  <si>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</si>
  <si>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</si>
  <si>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</si>
  <si>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</si>
  <si>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</si>
  <si>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</si>
  <si>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</si>
  <si>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</si>
  <si>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</si>
  <si>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</si>
  <si>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</si>
  <si>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</si>
  <si>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</si>
  <si>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公立大学</t>
  </si>
  <si>
    <t>認定教育プログラム</t>
  </si>
  <si>
    <t>公立諏訪東京理科大学</t>
    <rPh sb="0" eb="10">
      <t>コウリツ</t>
    </rPh>
    <phoneticPr fontId="1"/>
  </si>
  <si>
    <t>公立大学法人公立諏訪東京理科大学</t>
    <phoneticPr fontId="1"/>
  </si>
  <si>
    <t>長野県茅野市豊平5000‐1</t>
    <phoneticPr fontId="1"/>
  </si>
  <si>
    <t>データサイエンス・AI人材リテラシー教育プログラム</t>
    <phoneticPr fontId="1"/>
  </si>
  <si>
    <t>令和2</t>
    <rPh sb="0" eb="2">
      <t>レイワ</t>
    </rPh>
    <phoneticPr fontId="1"/>
  </si>
  <si>
    <t>無</t>
  </si>
  <si>
    <t>小越　澄雄</t>
    <phoneticPr fontId="1"/>
  </si>
  <si>
    <t>学長</t>
    <rPh sb="0" eb="2">
      <t>ガクチョウ</t>
    </rPh>
    <phoneticPr fontId="1"/>
  </si>
  <si>
    <t>数理・データサイエンス・AI教育プログラム推進委員会</t>
    <phoneticPr fontId="1"/>
  </si>
  <si>
    <t>教務・学生支援課</t>
    <rPh sb="0" eb="8">
      <t>キョウム</t>
    </rPh>
    <phoneticPr fontId="1"/>
  </si>
  <si>
    <t>荻原　由昌</t>
    <rPh sb="0" eb="5">
      <t>オギハラ</t>
    </rPh>
    <phoneticPr fontId="1"/>
  </si>
  <si>
    <t>kyougaku@admin.sus.ac.jp</t>
    <phoneticPr fontId="1"/>
  </si>
  <si>
    <t>学部・学科によって、修了要件は相違しない</t>
  </si>
  <si>
    <t>数理・データサイエンス・AI教育プログラム推進委員会規程</t>
    <phoneticPr fontId="1"/>
  </si>
  <si>
    <t>平田　幸広</t>
    <phoneticPr fontId="1"/>
  </si>
  <si>
    <t>教授</t>
    <rPh sb="0" eb="2">
      <t>キョウジュ</t>
    </rPh>
    <phoneticPr fontId="1"/>
  </si>
  <si>
    <t>AI時代の情報倫理</t>
    <phoneticPr fontId="1"/>
  </si>
  <si>
    <t>○</t>
  </si>
  <si>
    <t>全学開講</t>
  </si>
  <si>
    <t>統計学B</t>
    <phoneticPr fontId="1"/>
  </si>
  <si>
    <t>4-1統計および数理基礎</t>
  </si>
  <si>
    <t>微分積分１，微分積分１演習，微分積分２，微分積分２演習，線形代数，線形代数演習，統計学A</t>
    <phoneticPr fontId="1"/>
  </si>
  <si>
    <t>4‐2アルゴリズム基礎</t>
  </si>
  <si>
    <t>プログラミング１，Cプログラミング基礎及び演習，Javaプログラミング基礎及び演習</t>
    <phoneticPr fontId="1"/>
  </si>
  <si>
    <t>Cプログラミング応用及び演習，Javaプログラミング応用及び演習</t>
    <phoneticPr fontId="1"/>
  </si>
  <si>
    <t>4‐3データ構造とプログラミング基礎</t>
  </si>
  <si>
    <t>4‐4時系列データ解析</t>
  </si>
  <si>
    <t>ビッグデータによる品質管理論</t>
    <phoneticPr fontId="1"/>
  </si>
  <si>
    <t>4‐5テキスト解析</t>
  </si>
  <si>
    <t>自然言語処理論</t>
    <phoneticPr fontId="1"/>
  </si>
  <si>
    <t>メディアリテラシー，メディアシステムデザイン論及び演習</t>
    <phoneticPr fontId="1"/>
  </si>
  <si>
    <t>4‐6画像解析</t>
  </si>
  <si>
    <t>データベース論及び演習</t>
    <phoneticPr fontId="1"/>
  </si>
  <si>
    <t>4‐7データハンドリング</t>
  </si>
  <si>
    <t>機械学習，人工知能</t>
    <phoneticPr fontId="1"/>
  </si>
  <si>
    <t>4‐8データ活用実践（教師あり学習）</t>
  </si>
  <si>
    <t>インターネット論及び演習，Webプログラミング及び演習</t>
    <phoneticPr fontId="1"/>
  </si>
  <si>
    <t>その他</t>
  </si>
  <si>
    <t>・技術革新が社会実装された際の社会変化・市民の行動変容について　「AI時代の情報倫理」（2回目）</t>
    <phoneticPr fontId="1"/>
  </si>
  <si>
    <t>・データ構造や特徴の理解　「統計学B」（１～４回目）</t>
    <rPh sb="14" eb="17">
      <t>トウケイガク</t>
    </rPh>
    <phoneticPr fontId="1"/>
  </si>
  <si>
    <t>・AI技術が社会実装された際に引き起こされる倫理的問題の抽出とその解決方法について　「AI時代の情報倫理」（4回目）</t>
    <phoneticPr fontId="1"/>
  </si>
  <si>
    <t>・AI技術が多数活用された未来都市（スマートシティ）で起こる倫理的課題とそれに対する考え方の整理　「AI時代の情報倫理」（5回目）</t>
    <phoneticPr fontId="1"/>
  </si>
  <si>
    <t>・データの構造理解等　「統計学B」（1～2回目）</t>
    <rPh sb="12" eb="15">
      <t>トウケイガク</t>
    </rPh>
    <rPh sb="21" eb="23">
      <t>カイメ</t>
    </rPh>
    <phoneticPr fontId="1"/>
  </si>
  <si>
    <t>・統計解析ソフト「Ｒ」を用いた実際のデータ判別分析作業　「統計学B」（12～14回目）</t>
    <rPh sb="12" eb="13">
      <t>モチ</t>
    </rPh>
    <rPh sb="15" eb="17">
      <t>ジッサイ</t>
    </rPh>
    <rPh sb="21" eb="23">
      <t>ハンベツ</t>
    </rPh>
    <rPh sb="23" eb="25">
      <t>ブンセキ</t>
    </rPh>
    <rPh sb="25" eb="27">
      <t>サギョウ</t>
    </rPh>
    <rPh sb="29" eb="32">
      <t>トウケイガク</t>
    </rPh>
    <rPh sb="40" eb="41">
      <t>カイ</t>
    </rPh>
    <rPh sb="41" eb="42">
      <t>メ</t>
    </rPh>
    <phoneticPr fontId="1"/>
  </si>
  <si>
    <t>・データからモデルを作成し評価する　「統計学B」（8～11回目）</t>
    <rPh sb="10" eb="12">
      <t>サクセイ</t>
    </rPh>
    <rPh sb="13" eb="15">
      <t>ヒョウカ</t>
    </rPh>
    <rPh sb="19" eb="22">
      <t>トウケイガク</t>
    </rPh>
    <rPh sb="29" eb="31">
      <t>カイメ</t>
    </rPh>
    <phoneticPr fontId="1"/>
  </si>
  <si>
    <t>・AI技術に関する政府動向や産業界の期待について学ぶ　「AI時代の情報倫理」（1回目）</t>
    <rPh sb="24" eb="25">
      <t>マナ</t>
    </rPh>
    <phoneticPr fontId="1"/>
  </si>
  <si>
    <t>工学部・情報応用工学科</t>
    <rPh sb="0" eb="3">
      <t>コウガクブ</t>
    </rPh>
    <rPh sb="4" eb="11">
      <t>ジョウホウ</t>
    </rPh>
    <phoneticPr fontId="1"/>
  </si>
  <si>
    <t>工学部・機械電気工学科</t>
    <phoneticPr fontId="1"/>
  </si>
  <si>
    <t>0266-73-1201（代）</t>
    <rPh sb="12" eb="15">
      <t>ダイヒョウ</t>
    </rPh>
    <phoneticPr fontId="1"/>
  </si>
  <si>
    <t>本学が定める所定の科目（「AI時代の情報倫理」「統計学B」の2科目4単位）を全て修得していること。
なお，数理・データサイエンス・AIに深い興味を持ち，さらに理解を深めるために下記「⑧選択「４．オプション」の内容を含む授業科目」のとおり、選択科目として用意し，カリキュラムチェーンとともに提供する。選択科目の修得は本プログラム修了要件に含まない。</t>
    <phoneticPr fontId="1"/>
  </si>
  <si>
    <t>AI技術が実装されている最新事例を学ぶことにより，AI技術が身近に使われ，今後必要な知識とスキルであることを理解する。また，AI技術がもたらす社会変容やビジネスの変化を考え，国内だけでなくグローバルな視点で倫理的問題及び人間中心に問題を解決する方法に係わる知識やスキルが，今後ますます重要となることを理解する。また，統計学の知識を修得することにより，実社会におけるデータを統計的手法で分析する知識とスキルを修得する。さらに，ＡＩ技術を応用し，より複雑な問題を分析・予測をするために必要な知識として，選択科目を自ら学習する意欲につなげる。</t>
    <phoneticPr fontId="1"/>
  </si>
  <si>
    <t>・データからモデル作成，評価，分析　「統計学B」（5～11回目）</t>
    <phoneticPr fontId="1"/>
  </si>
  <si>
    <t xml:space="preserve">
・AI技術を活用した最新事例　「AI時代の情報倫理」（3回目）</t>
    <phoneticPr fontId="1"/>
  </si>
  <si>
    <t>・AI技術を活用した最新事例の状況理解　「AI時代の情報倫理」（3回目）</t>
    <phoneticPr fontId="1"/>
  </si>
  <si>
    <t>本学は全学的な取り組みとして，課題発見，問題定義，データの収集整理，データ分析，ソリューションを提案できる人材の育成を掲げる。これに必要となる数理・データサイエンス・AI教育プログラムの全学的な普及および関連科目の整備，及び教職員および社会への周知を行うことを目的として，数理・データサイエンス・AI教育プログラム推進委員会を設置した。同委員会が中心となりプログラム内授業のシラバス，授業満足度アンケート等により，半期ごとにフィードバックを行い，授業の質向上を図るとともに，修了者数の増加を目指しプログラムに関わる授業の必修化などについて検討する。</t>
    <phoneticPr fontId="1"/>
  </si>
  <si>
    <t xml:space="preserve">数理・データサイエンス・AI教育プログラム推進委員会
（委員長）
　工学部　情報応用工学科　教授　平田　幸広
（委員）
　工学部　情報応用工学科　教授　広瀬　啓雄
　工学部　機械電気工学科　准教授　来須　孝光
　共通・マネジメント教育センター　准教授　櫻井　哲朗
　事務部　次長　加藤　聡一
</t>
    <rPh sb="49" eb="54">
      <t>ヒラタ</t>
    </rPh>
    <rPh sb="76" eb="81">
      <t>ヒロセ</t>
    </rPh>
    <rPh sb="137" eb="139">
      <t>ジチョウ</t>
    </rPh>
    <phoneticPr fontId="1"/>
  </si>
  <si>
    <t>標準履修年次を2年次前期としているため，入学時の修学ガイダンスだけでなく，各学年の各種ガイダンスにて，本プログラムの履修について強く促す。特に，情報応用工学科では，将来の職業としてデータサイエンティスト・AIエンジニアを志望する学生も多く，”卒業までに履修すべきプログラム”であることをしっかりと伝え，100％の履修率を目指す。また，2年以降に数理・データサイエンス・AIに関する多くの専門科目があるため，これらの科目を履修するための基礎知識として重要であることを，履修の手引き，シラバスやカリキュラムチェーンに明示するなどの方法で，学生に周知する。
機械電気工学科に関しても，専門知識を活かしてソリューションを導くための重要な知識とスキルとして”新しい時代に求められる人材に必要なリテラシー”を学ぶ場であることをしっかりと伝える。情報応用工学科同様に，履修の手引き，シラバスやカリキュラムチェーンに明示するなどの方法で，学生に周知する。</t>
    <phoneticPr fontId="1"/>
  </si>
  <si>
    <t>プログラムの対象授業2科目を，学科に関係なく全学生が受講可能となるように，時間割を設定している。対象授業2科目のうち，『AI時代の情報倫理』に関しては，異なる学科の学生でも履修しやすいように，集中講義授業として設定している。集中講義の日程は，土曜日など大学のほかの行事と重複しないように工夫している。2021年度について，コロナ禍を受けて，2020年度同様にZoomによる遠隔授業を行い，録画された授業での復習，ブレイクアウトルームを使った学生同士のディスカッションを実施し，対面授業と同等の教育効果を発揮できたものと考える。今後新型コロナ感染症の拡大状況により授業実施方法の変更があり得るが，対面授業・遠隔授業のいずれにおいても，通常の授業と重複することなく多くの学生が履修可能となる。
『統計学B』に関しても，2年前期であればすべての学生が履修できる時間割としている。演習を含む内容であることからも，教育効果を上げるため少人数クラスが適していると考え，2講座開講している。</t>
    <rPh sb="154" eb="156">
      <t>ネンド</t>
    </rPh>
    <rPh sb="166" eb="167">
      <t>ウ</t>
    </rPh>
    <rPh sb="238" eb="240">
      <t>タイメン</t>
    </rPh>
    <rPh sb="240" eb="242">
      <t>ジュギョウ</t>
    </rPh>
    <rPh sb="243" eb="245">
      <t>ドウトウ</t>
    </rPh>
    <rPh sb="246" eb="248">
      <t>キョウイク</t>
    </rPh>
    <rPh sb="248" eb="250">
      <t>コウカ</t>
    </rPh>
    <rPh sb="251" eb="253">
      <t>ハッキ</t>
    </rPh>
    <rPh sb="259" eb="260">
      <t>カンガ</t>
    </rPh>
    <rPh sb="263" eb="265">
      <t>コンゴ</t>
    </rPh>
    <rPh sb="265" eb="267">
      <t>シンガタ</t>
    </rPh>
    <rPh sb="270" eb="273">
      <t>カンセンショウ</t>
    </rPh>
    <rPh sb="274" eb="276">
      <t>カクダイ</t>
    </rPh>
    <rPh sb="276" eb="278">
      <t>ジョウキョウ</t>
    </rPh>
    <rPh sb="281" eb="283">
      <t>ジュギョウ</t>
    </rPh>
    <rPh sb="283" eb="285">
      <t>ジッシ</t>
    </rPh>
    <rPh sb="285" eb="287">
      <t>ホウホウ</t>
    </rPh>
    <rPh sb="288" eb="290">
      <t>ヘンコウ</t>
    </rPh>
    <rPh sb="293" eb="294">
      <t>ウ</t>
    </rPh>
    <phoneticPr fontId="1"/>
  </si>
  <si>
    <t>本教育プログラムの授業に限らず，令和3年度後期より基本的に全ての授業の撮影を実施し，LMSにアーカイブを蓄積することとし，これに向け学内設備の準備を開始している。これにより，学生がいつでも講義内容の閲覧が可能となり，学修効果を高めることができると考えている。
また，授業で利用する教材・資料はLMSにアップし，学生がいつでも主体的に学習できるようサポートする。
具体的には，『AI時代の情報倫理』に関しては，講義の内容を可能な範囲で録画し，LMSにアップロードする。また，授業関係資料も授業実施にあわせてLMSに掲載する。これにより，履修者はいつでも授業の復習ができることから授業の理解が深まり，修得者増加につながる。
『統計学B』に関しては，授業録画公開の他，学習支援室の教育助教スタッフが学習内容の質問など対応する。授業で分からなかったこと，レポートでできないことなどがあった場合は，学習支援室の教育助教スタッフが個別対応するため，理解できない学生をフォローすることができる。これにより，修得者増加につながる。</t>
    <rPh sb="210" eb="212">
      <t>カノウ</t>
    </rPh>
    <rPh sb="213" eb="215">
      <t>ハンイ</t>
    </rPh>
    <rPh sb="236" eb="238">
      <t>ジュギョウ</t>
    </rPh>
    <rPh sb="238" eb="240">
      <t>カンケイ</t>
    </rPh>
    <rPh sb="240" eb="242">
      <t>シリョウ</t>
    </rPh>
    <rPh sb="243" eb="245">
      <t>ジュギョウ</t>
    </rPh>
    <rPh sb="245" eb="247">
      <t>ジッシ</t>
    </rPh>
    <rPh sb="256" eb="258">
      <t>ケイサイ</t>
    </rPh>
    <rPh sb="322" eb="324">
      <t>ジュギョウ</t>
    </rPh>
    <rPh sb="324" eb="326">
      <t>ロクガ</t>
    </rPh>
    <rPh sb="326" eb="328">
      <t>コウカイ</t>
    </rPh>
    <rPh sb="329" eb="330">
      <t>ホカ</t>
    </rPh>
    <phoneticPr fontId="1"/>
  </si>
  <si>
    <t>本教育プログラムの授業に限らず，すべての授業において，LMSのチャット機能・掲示板機能・メール機能を用いて，学生から24時間オンラインで質問を受け付けられる体制をとっている。
2020年度から，Zoomによるすべての遠隔授業は，授業の内容を録画しLMSにアップする規則のもとで運用している。前述のとおり，2021年度後期から全ての授業を自動的に撮影・LMSにアップし，学生がいつでも授業映像を見て主体的に学習できるシステムを構築した（一部授業を除く）。また，学習支援室を設置し，3名の教育助教が授業の質問やレポートに個別対応する体制をとっている。</t>
    <rPh sb="217" eb="219">
      <t>イチブ</t>
    </rPh>
    <rPh sb="219" eb="221">
      <t>ジュギョウ</t>
    </rPh>
    <rPh sb="222" eb="223">
      <t>ノゾ</t>
    </rPh>
    <phoneticPr fontId="1"/>
  </si>
  <si>
    <t>数理・データサイエンス・AI教育プログラム推進委員会において，プログラムの履修・取得状況の分析を実施する。履修管理システム，出席管理システム，LMSが導入されていて，すべての授業において出席管理の利用，授業資料のアップロードをすることになっている。このため，履修状況，出席状況は逐次，授業担当者以外でも把握できる。また，LMSのレポート提出機能を使うことにより，受講者毎の講義演習進捗状況や課題への対応状況を把握することができる。
履修状況，出席状況，レポート提出などの状況は，同推進委員会で逐次チェックし，改善が必要な場合にはその検討を行う体制とする。また，プログラムを担当する講師と，同委員会で密に連絡を取り，各種改善策の検討を行う体制とする。</t>
    <phoneticPr fontId="1"/>
  </si>
  <si>
    <t>教務・学生支援課キャリア支援係と共同し，本教育プログラムを修了した学生の進路先や就職内定状況を把握する。また民間企業等からの評価に関しては，本学が毎年2月に実施し，200社以上に参加いただいている合同企業研究会の参加企業に対して，本教育プログラムを修了した卒業生の採用状況や企業での活躍状況，および企業からの意見などを収集し，本プログラムに係る講義内容・方法などのフィードバックを，数理・データサイエンス・ＡＩ教育プログラム推進委員会が中心となって検討し，本プログラムの改善活動を継続的に実施する。</t>
    <phoneticPr fontId="1"/>
  </si>
  <si>
    <t>共同研究等関連企業及び本学が毎年実施している地域連携研究開発機構研究成果報告会に参加する企業に対してアンケートを実施し，教育プログラムの講義内容及び実データを活用した演習等の手法について意見を収集するとともに，数理・データサイエンス・AI教育プログラム推進委員会においてプログラムの改善に活用する。</t>
    <phoneticPr fontId="1"/>
  </si>
  <si>
    <r>
      <t>教学マネジメント推進委員会にて，セメスターごとに，10問程度で構成される授業満足度アンケートをすべての科目で実施し，アンケート集計結果およびアンケート結果に対する教員のフィードバックは，Webにて公開される。このアンケートには</t>
    </r>
    <r>
      <rPr>
        <b/>
        <sz val="12"/>
        <rFont val="ＭＳ Ｐゴシック"/>
        <family val="3"/>
        <charset val="128"/>
        <scheme val="minor"/>
      </rPr>
      <t>，</t>
    </r>
    <r>
      <rPr>
        <sz val="12"/>
        <rFont val="ＭＳ Ｐゴシック"/>
        <family val="3"/>
        <charset val="128"/>
        <scheme val="minor"/>
      </rPr>
      <t>「授業時間以外の学習時間」「授業の難易度」「分野への興味」「授業内容の有用性」「授業への満足度」等の項目があり，これらを分析することによって，授業内容の学生の理解度や興味の高さ，有用性，満足度を把握することができる。
また，期末試験または最終レポートの結果などを授業担当者と数理・データサイエンス・AI教育プログラム推進委員会で共有し，学修成果の確認をおこなう。問題がある場合は，同推進委員会と本プログラムに係る授業担当教員で連携し</t>
    </r>
    <r>
      <rPr>
        <b/>
        <sz val="12"/>
        <rFont val="ＭＳ Ｐゴシック"/>
        <family val="3"/>
        <charset val="128"/>
        <scheme val="minor"/>
      </rPr>
      <t>，</t>
    </r>
    <r>
      <rPr>
        <sz val="12"/>
        <rFont val="ＭＳ Ｐゴシック"/>
        <family val="3"/>
        <charset val="128"/>
        <scheme val="minor"/>
      </rPr>
      <t>改善策の検討をする体制を整える。</t>
    </r>
    <rPh sb="28" eb="30">
      <t>テイド</t>
    </rPh>
    <phoneticPr fontId="1"/>
  </si>
  <si>
    <r>
      <t>教学マネジメント推進委員会では，セメスターごとに卒業研究を除くすべての授業を対象に，主に授業満足度を調査するＷｅｂによるアンケートを実施し，学生から概ね80％前後の回答を得ている。アンケート集計結果について，教員から良かった点，悪かった点，改善すべき点についてのフィードバックを収集し，Ｗｅｂにて公開している。
授業満足度アンケートは，10問程度から構成され，「授業難易度」「教員の説明がわかりやすかったか」「分野への興味・関心度」「新しい知識の習得度」「授業以外の学習時間」などから構成される。本プログラム対象科目の授業アンケートについて</t>
    </r>
    <r>
      <rPr>
        <b/>
        <sz val="12"/>
        <rFont val="ＭＳ Ｐゴシック"/>
        <family val="3"/>
        <charset val="128"/>
        <scheme val="minor"/>
      </rPr>
      <t>，</t>
    </r>
    <r>
      <rPr>
        <sz val="12"/>
        <rFont val="ＭＳ Ｐゴシック"/>
        <family val="3"/>
        <charset val="128"/>
        <scheme val="minor"/>
      </rPr>
      <t>数理・データーサイエンス・AI教育プログラム推進委員会において分析し，学生が数理・データサイエンス・AIについて興味・関心を持ち，意欲的に学習し，理解度が上がっているかを分析する。問題がある場合は，同委員会と担当教員で連携し改善策の検討をする体制を整える。</t>
    </r>
    <phoneticPr fontId="1"/>
  </si>
  <si>
    <r>
      <t>本プログラムの授業アンケート結果を，修学ガイダンスなどで紹介する。また，授業アンケートとは別に本プログラム受講者に対して</t>
    </r>
    <r>
      <rPr>
        <b/>
        <sz val="12"/>
        <rFont val="ＭＳ Ｐゴシック"/>
        <family val="3"/>
        <charset val="128"/>
        <scheme val="minor"/>
      </rPr>
      <t>，</t>
    </r>
    <r>
      <rPr>
        <sz val="12"/>
        <rFont val="ＭＳ Ｐゴシック"/>
        <family val="3"/>
        <charset val="128"/>
        <scheme val="minor"/>
      </rPr>
      <t>後輩学生や他の学生へ本プログラムの推奨度を推し量るアンケートを実施し，修学ガイダンスなどで紹介する。
また，本プログラム修了者と修了していない学生の就職内定率などを，数理・データサイエンス・AI教育プログラム推進委員会でウオッチし，良い結果であれば，同様に修学ガイダンスなどで周知する。</t>
    </r>
    <phoneticPr fontId="1"/>
  </si>
  <si>
    <r>
      <t>工学系単科大学の本学では，1年次よりプログラミング・統計学の基礎，2年次前期に本プログラム，さらに2年次以降には，様式２に提示した通り，数理・データサイエンス・AI専門家になるべく多くの選択科目を開講している。カリキュラムチェーンにも明示し，専門科目を取るために必要な知識とスキルと位置付けて，多くの学生が履修・修得することを，履修の手引き，セメスターの始まり行うに修学ガイダンスで周知する。
令和3年度以降の履修者数</t>
    </r>
    <r>
      <rPr>
        <b/>
        <sz val="12"/>
        <rFont val="ＭＳ Ｐゴシック"/>
        <family val="3"/>
        <charset val="128"/>
        <scheme val="minor"/>
      </rPr>
      <t>，</t>
    </r>
    <r>
      <rPr>
        <sz val="12"/>
        <rFont val="ＭＳ Ｐゴシック"/>
        <family val="3"/>
        <charset val="128"/>
        <scheme val="minor"/>
      </rPr>
      <t>履修率を</t>
    </r>
    <r>
      <rPr>
        <b/>
        <sz val="12"/>
        <rFont val="ＭＳ Ｐゴシック"/>
        <family val="3"/>
        <charset val="128"/>
        <scheme val="minor"/>
      </rPr>
      <t>，</t>
    </r>
    <r>
      <rPr>
        <sz val="12"/>
        <rFont val="ＭＳ Ｐゴシック"/>
        <family val="3"/>
        <charset val="128"/>
        <scheme val="minor"/>
      </rPr>
      <t>数理・データサイエンス・AI教育プログラム推進委員会で確認し</t>
    </r>
    <r>
      <rPr>
        <b/>
        <sz val="12"/>
        <rFont val="ＭＳ Ｐゴシック"/>
        <family val="3"/>
        <charset val="128"/>
        <scheme val="minor"/>
      </rPr>
      <t>，</t>
    </r>
    <r>
      <rPr>
        <sz val="12"/>
        <rFont val="ＭＳ Ｐゴシック"/>
        <family val="3"/>
        <charset val="128"/>
        <scheme val="minor"/>
      </rPr>
      <t>目標値を達成したか否かに関わらず</t>
    </r>
    <r>
      <rPr>
        <b/>
        <sz val="12"/>
        <rFont val="ＭＳ Ｐゴシック"/>
        <family val="3"/>
        <charset val="128"/>
        <scheme val="minor"/>
      </rPr>
      <t>，</t>
    </r>
    <r>
      <rPr>
        <sz val="12"/>
        <rFont val="ＭＳ Ｐゴシック"/>
        <family val="3"/>
        <charset val="128"/>
        <scheme val="minor"/>
      </rPr>
      <t>次年度に向け履修者数を向上させる施策を継続的に検討し，令和5年度には全体の60％以上が本プログラム修了者となるように働きかける。</t>
    </r>
    <phoneticPr fontId="1"/>
  </si>
  <si>
    <t>AI時代の倫理・行動規範の基礎内容を学び，AIの技術発展が引き起こす人の行動規範や社会変化を予測し理解することで，AI時代を生きる者としてなすべき行動を自分の言葉で語れるようになる。同時に，学生同士のグループディスカッションやグループワークを通じて，正解のない論点について議論するスキルも身につける。
様式２のモデルカリキュラム「選択」で示したとおり，リテラシーレベルに続き，AI技術を習得・応用するための多くの専門科目を開講している。本プログラム履修後，AI技術についてさらに学習する意欲が向上しているかを，選択科目の履修率の推移によりウオッチし，履修率が向上しない場合は，プログラム内容や授業内容について数理・データサイエンス・AI教育プログラム推進委員会で改善策を検討する。</t>
    <phoneticPr fontId="1"/>
  </si>
  <si>
    <r>
      <t>すべての科目においてシラバスをピアレビューし，問題がある場合は修正するシステムを導入している。本プログラムに係る科目については，シラバスをピアレビューだけでなく，数理・データサイエンス・AI教育プログラム推進委員会にてレビューし，内容について精査する。
また，履修者数，合格者数，不合格者数，同委員会でウオッチし，履修者数が目標値よりも少ない場合や，不合格者数の割合が極端に多い場合など，問題がある場合は，当委員会および担当教員と協力し</t>
    </r>
    <r>
      <rPr>
        <b/>
        <sz val="12"/>
        <rFont val="ＭＳ Ｐゴシック"/>
        <family val="3"/>
        <charset val="128"/>
        <scheme val="minor"/>
      </rPr>
      <t>，</t>
    </r>
    <r>
      <rPr>
        <sz val="12"/>
        <rFont val="ＭＳ Ｐゴシック"/>
        <family val="3"/>
        <charset val="128"/>
        <scheme val="minor"/>
      </rPr>
      <t>問題解決策を検討する。同様に期末テストまたは最終レポートについても，授業担当者と同委員会で共有し，授業の水準について確認する。
さらに，授業アンケート及び各種関連企業等からの意見を参考に</t>
    </r>
    <r>
      <rPr>
        <b/>
        <sz val="12"/>
        <rFont val="ＭＳ Ｐゴシック"/>
        <family val="3"/>
        <charset val="128"/>
        <scheme val="minor"/>
      </rPr>
      <t>，</t>
    </r>
    <r>
      <rPr>
        <sz val="12"/>
        <rFont val="ＭＳ Ｐゴシック"/>
        <family val="3"/>
        <charset val="128"/>
        <scheme val="minor"/>
      </rPr>
      <t>学生の「分かりやすさ」の観点から講義の内容・実施方法の見直しを，同委員会および担当教員で協力し検討する。</t>
    </r>
    <phoneticPr fontId="1"/>
  </si>
  <si>
    <t>各年度の履修者数の目標を以下のとおりとする。（（　）内は履修率。）
　令和3年度　240名　（20％）
　令和4年度　240名　（40％）
　令和5年度　240名　（60％）
　令和6年度　240名　（80％）
　令和7年度　240名　（80％）
当該プログラムの標準履修年次は2年次とし，令和2年度よりプログラムを開始した。しかし，令和2年度は新型コロナウイルス感染症の影響により学生周知が十分とは言いがたい状況となり，履修者数は少なかった。令和3年度は，情報応用工学科については選択科目ではあるが”卒業までに履修すべきプログラム”という扱いとすることで，2年次学生では履修率100％（150人）を目指したところ，77名の修了者があり，所定の2科目のうち1科目を履修した者が40名いたため，それらの者は来年度以降の修了に結び付付くことから合計すると目標に近い履修率を達成できた。一方の機械電気工学科に関しても，新しい時代に求められる人材として必要なリテラシーであることを学生に伝え，少なくとも2年次学生の20％程度が履修すると目論んだところ，2年次学生では19名の修了者があり，所定の2科目のうち1科目を履修した者が66名いたため，こちらも来年度以降の修了に結び付けることができる見込みである。標準履修年次以降の学生についてもこれを広く周知することで，10％程度（60名）が履修すると考え，令和3年度の履修者数は240名程度まで増加すると考えており，概ね達成できた。令和4年度以降も同様の対応を行うことに加え，年度初めの修学指導期間中に学生全員に配布する履修の手引へ当該プログラムについて明記したことより同程度の履修者数を見込む。令和2年度にプログラム開始をしているため，収容定員に対する履修率は当初は低く見えるが，年度経過とともに履修率は向上し，8割程度の卒業生が当該プログラムを履修する想定である。そもそも，工学部の単科大学という特性上，これらリテラシーが必要であることが自明な分野であることから，履修率は高くなると考えられる。</t>
    <rPh sb="280" eb="281">
      <t>ネン</t>
    </rPh>
    <rPh sb="281" eb="282">
      <t>ジ</t>
    </rPh>
    <rPh sb="282" eb="284">
      <t>ガクセイ</t>
    </rPh>
    <rPh sb="286" eb="288">
      <t>リシュウ</t>
    </rPh>
    <rPh sb="288" eb="289">
      <t>リツ</t>
    </rPh>
    <rPh sb="297" eb="298">
      <t>ニン</t>
    </rPh>
    <rPh sb="300" eb="302">
      <t>メザ</t>
    </rPh>
    <rPh sb="310" eb="311">
      <t>メイ</t>
    </rPh>
    <rPh sb="312" eb="314">
      <t>シュウリョウ</t>
    </rPh>
    <rPh sb="314" eb="315">
      <t>シャ</t>
    </rPh>
    <rPh sb="319" eb="321">
      <t>ショテイ</t>
    </rPh>
    <rPh sb="323" eb="325">
      <t>カモク</t>
    </rPh>
    <rPh sb="329" eb="331">
      <t>カモク</t>
    </rPh>
    <rPh sb="332" eb="334">
      <t>リシュウ</t>
    </rPh>
    <rPh sb="336" eb="337">
      <t>シャ</t>
    </rPh>
    <rPh sb="340" eb="341">
      <t>メイ</t>
    </rPh>
    <rPh sb="350" eb="351">
      <t>シャ</t>
    </rPh>
    <rPh sb="352" eb="355">
      <t>ライネンド</t>
    </rPh>
    <rPh sb="355" eb="357">
      <t>イコウ</t>
    </rPh>
    <rPh sb="358" eb="360">
      <t>シュウリョウ</t>
    </rPh>
    <rPh sb="361" eb="362">
      <t>ムス</t>
    </rPh>
    <rPh sb="363" eb="364">
      <t>ツ</t>
    </rPh>
    <rPh sb="364" eb="365">
      <t>ツ</t>
    </rPh>
    <rPh sb="370" eb="372">
      <t>ゴウケイ</t>
    </rPh>
    <rPh sb="375" eb="377">
      <t>モクヒョウ</t>
    </rPh>
    <rPh sb="378" eb="379">
      <t>チカ</t>
    </rPh>
    <rPh sb="380" eb="382">
      <t>リシュウ</t>
    </rPh>
    <rPh sb="382" eb="383">
      <t>リツ</t>
    </rPh>
    <rPh sb="384" eb="386">
      <t>タッセイ</t>
    </rPh>
    <rPh sb="442" eb="443">
      <t>スク</t>
    </rPh>
    <rPh sb="448" eb="449">
      <t>ネン</t>
    </rPh>
    <rPh sb="449" eb="450">
      <t>ジ</t>
    </rPh>
    <rPh sb="450" eb="452">
      <t>ガクセイ</t>
    </rPh>
    <rPh sb="456" eb="458">
      <t>テイド</t>
    </rPh>
    <rPh sb="459" eb="461">
      <t>リシュウ</t>
    </rPh>
    <rPh sb="473" eb="474">
      <t>ネン</t>
    </rPh>
    <rPh sb="474" eb="475">
      <t>ジ</t>
    </rPh>
    <rPh sb="475" eb="477">
      <t>ガクセイ</t>
    </rPh>
    <rPh sb="481" eb="482">
      <t>メイ</t>
    </rPh>
    <rPh sb="483" eb="485">
      <t>シュウリョウ</t>
    </rPh>
    <rPh sb="485" eb="486">
      <t>シャ</t>
    </rPh>
    <rPh sb="503" eb="505">
      <t>リシュウ</t>
    </rPh>
    <rPh sb="511" eb="512">
      <t>メイ</t>
    </rPh>
    <rPh sb="521" eb="524">
      <t>ライネンド</t>
    </rPh>
    <rPh sb="524" eb="526">
      <t>イコウ</t>
    </rPh>
    <rPh sb="527" eb="529">
      <t>シュウリョウ</t>
    </rPh>
    <rPh sb="530" eb="531">
      <t>ムス</t>
    </rPh>
    <rPh sb="532" eb="533">
      <t>ツ</t>
    </rPh>
    <rPh sb="541" eb="543">
      <t>ミコ</t>
    </rPh>
    <rPh sb="626" eb="627">
      <t>オオム</t>
    </rPh>
    <rPh sb="628" eb="630">
      <t>タッセイ</t>
    </rPh>
    <rPh sb="648" eb="649">
      <t>オコナ</t>
    </rPh>
    <rPh sb="653" eb="654">
      <t>クワ</t>
    </rPh>
    <rPh sb="656" eb="658">
      <t>ネンド</t>
    </rPh>
    <rPh sb="658" eb="659">
      <t>ハジ</t>
    </rPh>
    <rPh sb="661" eb="663">
      <t>シュウガク</t>
    </rPh>
    <rPh sb="663" eb="665">
      <t>シドウ</t>
    </rPh>
    <rPh sb="665" eb="668">
      <t>キカンチュウ</t>
    </rPh>
    <rPh sb="669" eb="671">
      <t>ガクセイ</t>
    </rPh>
    <rPh sb="671" eb="673">
      <t>ゼンイン</t>
    </rPh>
    <rPh sb="674" eb="676">
      <t>ハイフ</t>
    </rPh>
    <rPh sb="678" eb="680">
      <t>リシュウ</t>
    </rPh>
    <rPh sb="681" eb="683">
      <t>テビ</t>
    </rPh>
    <rPh sb="684" eb="686">
      <t>トウガイ</t>
    </rPh>
    <rPh sb="695" eb="697">
      <t>メイキ</t>
    </rPh>
    <phoneticPr fontId="1"/>
  </si>
  <si>
    <t>https://www.sus.ac.jp/academics/ds-ai-program/</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</si>
</sst>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b/>
      <sz val="12"/>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349">
    <xf numFmtId="0" fontId="0" fillId="0" borderId="0" xfId="0">
      <alignment vertical="center"/>
    </xf>
    <xf numFmtId="0" fontId="2" fillId="0" borderId="0" xfId="0" applyFont="1">
      <alignment vertical="center"/>
    </xf>
    <xf numFmtId="0" fontId="4" fillId="0" borderId="0" xfId="0" applyFont="1">
      <alignment vertical="center"/>
    </xf>
    <xf numFmtId="0" fontId="3" fillId="0" borderId="0" xfId="0" applyFont="1">
      <alignment vertical="center"/>
    </xf>
    <xf numFmtId="176" fontId="7" fillId="0" borderId="0" xfId="0" applyNumberFormat="1" applyFont="1" applyBorder="1">
      <alignment vertical="center"/>
    </xf>
    <xf numFmtId="0" fontId="7" fillId="0" borderId="0" xfId="0" applyFont="1" applyBorder="1" applyAlignment="1">
      <alignment horizontal="center" vertical="center" shrinkToFit="1"/>
    </xf>
    <xf numFmtId="0" fontId="8" fillId="0" borderId="0" xfId="0" applyFont="1">
      <alignment vertical="center"/>
    </xf>
    <xf numFmtId="0" fontId="7" fillId="0" borderId="0" xfId="0" applyFont="1">
      <alignment vertical="center"/>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Border="1" applyAlignment="1">
      <alignment vertical="center"/>
    </xf>
    <xf numFmtId="0" fontId="7" fillId="0" borderId="5" xfId="0" applyFont="1" applyBorder="1">
      <alignment vertical="center"/>
    </xf>
    <xf numFmtId="176" fontId="7" fillId="0" borderId="0" xfId="0" applyNumberFormat="1" applyFont="1" applyBorder="1" applyAlignment="1">
      <alignment vertical="center" wrapText="1"/>
    </xf>
    <xf numFmtId="0" fontId="7" fillId="0" borderId="0" xfId="0" applyFont="1" applyBorder="1">
      <alignment vertical="center"/>
    </xf>
    <xf numFmtId="176" fontId="7" fillId="0" borderId="5" xfId="0" applyNumberFormat="1" applyFont="1" applyBorder="1" applyAlignment="1">
      <alignment vertical="center"/>
    </xf>
    <xf numFmtId="176" fontId="7" fillId="0" borderId="0" xfId="0" applyNumberFormat="1" applyFont="1" applyAlignment="1">
      <alignment vertical="center" wrapText="1"/>
    </xf>
    <xf numFmtId="176" fontId="7" fillId="0" borderId="0" xfId="0" applyNumberFormat="1" applyFont="1" applyAlignment="1">
      <alignment horizontal="left" vertical="center" wrapText="1"/>
    </xf>
    <xf numFmtId="0" fontId="7" fillId="0" borderId="6" xfId="0" applyFont="1" applyBorder="1" applyAlignment="1">
      <alignment vertical="center" shrinkToFit="1"/>
    </xf>
    <xf numFmtId="0" fontId="7" fillId="0" borderId="1" xfId="0" applyFont="1" applyBorder="1">
      <alignment vertical="center"/>
    </xf>
    <xf numFmtId="0" fontId="7" fillId="0" borderId="2" xfId="0" applyFont="1" applyBorder="1">
      <alignment vertical="center"/>
    </xf>
    <xf numFmtId="0" fontId="7" fillId="0" borderId="4" xfId="0" applyFont="1" applyBorder="1">
      <alignment vertical="center"/>
    </xf>
    <xf numFmtId="0" fontId="7" fillId="0" borderId="0" xfId="0" applyFont="1" applyAlignment="1">
      <alignment horizontal="center" vertical="center"/>
    </xf>
    <xf numFmtId="0" fontId="7" fillId="0" borderId="1" xfId="0" applyFont="1" applyBorder="1" applyAlignment="1">
      <alignment vertical="center" shrinkToFit="1"/>
    </xf>
    <xf numFmtId="0" fontId="9" fillId="0" borderId="0" xfId="0" applyFont="1">
      <alignment vertical="center"/>
    </xf>
    <xf numFmtId="0" fontId="11" fillId="0" borderId="0" xfId="0" applyFont="1">
      <alignment vertical="center"/>
    </xf>
    <xf numFmtId="0" fontId="3" fillId="0" borderId="0" xfId="0" applyFont="1" applyAlignment="1">
      <alignment horizontal="center" vertical="center"/>
    </xf>
    <xf numFmtId="0" fontId="4" fillId="0" borderId="0" xfId="0" applyFont="1" applyAlignment="1">
      <alignment vertical="top" wrapText="1"/>
    </xf>
    <xf numFmtId="0" fontId="2" fillId="0" borderId="0" xfId="0" applyFont="1" applyAlignment="1">
      <alignment horizontal="right" vertical="center"/>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7" fillId="0" borderId="0" xfId="0" applyFont="1" applyBorder="1" applyAlignment="1">
      <alignment vertical="center" shrinkToFit="1"/>
    </xf>
    <xf numFmtId="0" fontId="7" fillId="0" borderId="0" xfId="0" applyFont="1" applyFill="1">
      <alignment vertical="center"/>
    </xf>
    <xf numFmtId="0" fontId="7" fillId="0" borderId="10" xfId="0" applyFont="1" applyBorder="1" applyAlignment="1">
      <alignment vertical="center" shrinkToFit="1"/>
    </xf>
    <xf numFmtId="49" fontId="18" fillId="0" borderId="1" xfId="0" applyNumberFormat="1" applyFont="1" applyBorder="1" applyAlignment="1">
      <alignment horizontal="center" vertical="center"/>
    </xf>
    <xf numFmtId="0" fontId="7" fillId="0" borderId="0" xfId="0" applyFont="1" applyAlignment="1">
      <alignment vertical="center" shrinkToFit="1"/>
    </xf>
    <xf numFmtId="0" fontId="7" fillId="0" borderId="0" xfId="0" applyFont="1" applyAlignment="1">
      <alignment vertical="top" wrapText="1"/>
    </xf>
    <xf numFmtId="0" fontId="8" fillId="0" borderId="2" xfId="0" applyFont="1" applyBorder="1">
      <alignment vertical="center"/>
    </xf>
    <xf numFmtId="0" fontId="8"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7" fillId="0" borderId="44" xfId="0" applyFont="1" applyBorder="1" applyAlignment="1">
      <alignment horizontal="center" vertical="center" shrinkToFit="1"/>
    </xf>
    <xf numFmtId="0" fontId="7"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7" fillId="0" borderId="7" xfId="0" applyFont="1" applyBorder="1" applyAlignment="1">
      <alignment horizontal="center" vertical="center" wrapText="1" shrinkToFit="1"/>
    </xf>
    <xf numFmtId="9" fontId="7" fillId="0" borderId="8" xfId="0" applyNumberFormat="1" applyFont="1" applyBorder="1" applyAlignment="1">
      <alignment horizontal="center" vertical="center" wrapText="1" shrinkToFit="1"/>
    </xf>
    <xf numFmtId="0" fontId="7" fillId="0" borderId="8" xfId="0" applyFont="1" applyBorder="1" applyAlignment="1">
      <alignment horizontal="center" vertical="center" wrapText="1" shrinkToFit="1"/>
    </xf>
    <xf numFmtId="9" fontId="7" fillId="0" borderId="8" xfId="0" applyNumberFormat="1" applyFont="1" applyBorder="1" applyAlignment="1">
      <alignment horizontal="center" vertical="center" shrinkToFit="1"/>
    </xf>
    <xf numFmtId="0" fontId="7" fillId="0" borderId="9" xfId="0" applyFont="1" applyBorder="1" applyAlignment="1">
      <alignment horizontal="center" vertical="center" shrinkToFit="1"/>
    </xf>
    <xf numFmtId="9" fontId="7" fillId="0" borderId="45" xfId="0" applyNumberFormat="1" applyFont="1" applyBorder="1" applyAlignment="1">
      <alignment horizontal="center" vertical="center" shrinkToFit="1"/>
    </xf>
    <xf numFmtId="176" fontId="7" fillId="0" borderId="45" xfId="0" applyNumberFormat="1" applyFont="1" applyBorder="1" applyAlignment="1">
      <alignment horizontal="center" vertical="center" shrinkToFit="1"/>
    </xf>
    <xf numFmtId="0" fontId="7"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7"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7" fillId="0" borderId="14"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13" xfId="0" applyFont="1" applyBorder="1" applyAlignment="1">
      <alignment horizontal="center" vertical="center" shrinkToFit="1"/>
    </xf>
    <xf numFmtId="0" fontId="3" fillId="0" borderId="0" xfId="0" applyFont="1" applyBorder="1" applyAlignment="1">
      <alignment vertical="center" shrinkToFit="1"/>
    </xf>
    <xf numFmtId="0" fontId="7" fillId="0" borderId="1" xfId="0" applyFont="1" applyBorder="1" applyAlignment="1">
      <alignment horizontal="center" vertical="center" shrinkToFit="1"/>
    </xf>
    <xf numFmtId="0" fontId="7" fillId="0" borderId="18" xfId="0" applyFont="1" applyBorder="1" applyAlignment="1">
      <alignment horizontal="center" vertical="center"/>
    </xf>
    <xf numFmtId="0" fontId="7" fillId="0" borderId="42" xfId="0" applyFont="1" applyBorder="1" applyAlignment="1">
      <alignment horizontal="center" vertical="center"/>
    </xf>
    <xf numFmtId="0" fontId="7" fillId="0" borderId="38" xfId="0" applyFont="1" applyBorder="1" applyAlignment="1">
      <alignment horizontal="center" vertical="center"/>
    </xf>
    <xf numFmtId="0" fontId="7" fillId="0" borderId="43" xfId="0" applyFont="1" applyBorder="1" applyAlignment="1">
      <alignment horizontal="center" vertical="center" shrinkToFit="1"/>
    </xf>
    <xf numFmtId="0" fontId="7" fillId="0" borderId="0" xfId="0" applyFont="1" applyBorder="1" applyAlignment="1">
      <alignment horizontal="center" vertical="center"/>
    </xf>
    <xf numFmtId="0" fontId="7" fillId="0" borderId="0" xfId="0" applyFont="1" applyBorder="1" applyAlignment="1">
      <alignment vertical="center" shrinkToFit="1"/>
    </xf>
    <xf numFmtId="176" fontId="7" fillId="0" borderId="0" xfId="0" applyNumberFormat="1" applyFont="1" applyFill="1" applyBorder="1">
      <alignment vertical="center"/>
    </xf>
    <xf numFmtId="0" fontId="7" fillId="0" borderId="0" xfId="0" applyFont="1" applyFill="1" applyBorder="1">
      <alignment vertical="center"/>
    </xf>
    <xf numFmtId="176" fontId="7" fillId="0" borderId="3" xfId="0" applyNumberFormat="1" applyFont="1" applyFill="1" applyBorder="1" applyAlignment="1">
      <alignment vertical="center" shrinkToFit="1"/>
    </xf>
    <xf numFmtId="0" fontId="7" fillId="0" borderId="0" xfId="0" applyFont="1" applyFill="1" applyBorder="1" applyAlignment="1">
      <alignment horizontal="center" vertical="center"/>
    </xf>
    <xf numFmtId="0" fontId="10" fillId="0" borderId="23" xfId="0" applyFont="1" applyBorder="1" applyAlignment="1">
      <alignment horizontal="left" vertical="center" shrinkToFit="1"/>
    </xf>
    <xf numFmtId="0" fontId="3" fillId="0" borderId="0" xfId="0" applyFont="1" applyFill="1" applyAlignment="1">
      <alignment vertical="center" shrinkToFit="1"/>
    </xf>
    <xf numFmtId="0" fontId="3" fillId="0" borderId="5" xfId="0" applyFont="1" applyFill="1" applyBorder="1" applyAlignment="1">
      <alignment vertical="center" shrinkToFit="1"/>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0" fontId="7" fillId="0" borderId="0" xfId="0" applyFont="1" applyAlignment="1">
      <alignment horizontal="right" vertical="center"/>
    </xf>
    <xf numFmtId="0" fontId="7" fillId="0" borderId="0" xfId="0" applyFont="1" applyAlignment="1">
      <alignment vertical="center" wrapText="1"/>
    </xf>
    <xf numFmtId="0" fontId="17" fillId="0" borderId="0" xfId="0" applyFont="1" applyAlignment="1">
      <alignment horizontal="center" vertical="center"/>
    </xf>
    <xf numFmtId="0" fontId="18" fillId="0" borderId="0" xfId="0" applyFont="1" applyAlignment="1">
      <alignment vertical="top" wrapText="1"/>
    </xf>
    <xf numFmtId="0" fontId="18" fillId="0" borderId="10" xfId="0" applyFont="1" applyBorder="1" applyAlignment="1">
      <alignment vertical="top" wrapText="1"/>
    </xf>
    <xf numFmtId="0" fontId="18" fillId="0" borderId="5" xfId="0" applyFont="1" applyBorder="1" applyAlignment="1">
      <alignment vertical="top" wrapText="1"/>
    </xf>
    <xf numFmtId="0" fontId="7" fillId="0" borderId="16" xfId="0" applyFont="1" applyBorder="1">
      <alignment vertical="center"/>
    </xf>
    <xf numFmtId="0" fontId="18" fillId="0" borderId="20" xfId="0" applyFont="1" applyBorder="1" applyAlignment="1">
      <alignment vertical="top" wrapText="1"/>
    </xf>
    <xf numFmtId="0" fontId="18" fillId="0" borderId="18" xfId="0" applyFont="1" applyBorder="1" applyAlignment="1">
      <alignment vertical="top" wrapText="1"/>
    </xf>
    <xf numFmtId="0" fontId="18" fillId="0" borderId="20" xfId="0" applyFont="1" applyBorder="1" applyAlignment="1">
      <alignment vertical="top" shrinkToFit="1"/>
    </xf>
    <xf numFmtId="0" fontId="18" fillId="0" borderId="18" xfId="0" applyFont="1" applyBorder="1" applyAlignment="1">
      <alignment vertical="top" shrinkToFit="1"/>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4" xfId="0" applyFont="1" applyFill="1" applyBorder="1" applyAlignment="1">
      <alignment horizontal="center" vertical="center"/>
    </xf>
    <xf numFmtId="176" fontId="7" fillId="0" borderId="2" xfId="0" applyNumberFormat="1" applyFont="1" applyFill="1" applyBorder="1" applyAlignment="1">
      <alignment horizontal="center" vertical="center"/>
    </xf>
    <xf numFmtId="176" fontId="7" fillId="0" borderId="3" xfId="0" applyNumberFormat="1" applyFont="1" applyFill="1" applyBorder="1" applyAlignment="1">
      <alignment horizontal="center" vertical="center"/>
    </xf>
    <xf numFmtId="176" fontId="7" fillId="0" borderId="4" xfId="0" applyNumberFormat="1" applyFont="1" applyFill="1" applyBorder="1" applyAlignment="1">
      <alignment horizontal="center" vertical="center"/>
    </xf>
    <xf numFmtId="0" fontId="7" fillId="0" borderId="0" xfId="0" applyFont="1" applyFill="1" applyBorder="1" applyAlignment="1">
      <alignment horizontal="center" vertical="center"/>
    </xf>
    <xf numFmtId="0" fontId="7" fillId="0" borderId="10" xfId="0" applyFont="1" applyFill="1" applyBorder="1" applyAlignment="1">
      <alignment horizontal="center" vertical="center"/>
    </xf>
    <xf numFmtId="0" fontId="7" fillId="0" borderId="0" xfId="0" applyFont="1" applyBorder="1" applyAlignment="1">
      <alignment horizontal="right" vertical="center" shrinkToFit="1"/>
    </xf>
    <xf numFmtId="0" fontId="7" fillId="0" borderId="10" xfId="0" applyFont="1" applyBorder="1" applyAlignment="1">
      <alignment horizontal="right" vertical="center" shrinkToFit="1"/>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0" fontId="7" fillId="0" borderId="5" xfId="0" applyFont="1" applyBorder="1" applyAlignment="1">
      <alignment horizontal="right" vertical="center" shrinkToFit="1"/>
    </xf>
    <xf numFmtId="176" fontId="7" fillId="0" borderId="2" xfId="0" applyNumberFormat="1" applyFont="1" applyFill="1" applyBorder="1" applyAlignment="1">
      <alignment horizontal="center" vertical="center" shrinkToFit="1"/>
    </xf>
    <xf numFmtId="176" fontId="7" fillId="0" borderId="4" xfId="0" applyNumberFormat="1" applyFont="1" applyFill="1" applyBorder="1" applyAlignment="1">
      <alignment horizontal="center" vertical="center" shrinkToFit="1"/>
    </xf>
    <xf numFmtId="0" fontId="7" fillId="0" borderId="0" xfId="0" applyFont="1" applyBorder="1" applyAlignment="1">
      <alignment vertical="center" shrinkToFit="1"/>
    </xf>
    <xf numFmtId="176" fontId="7" fillId="0" borderId="2" xfId="0" applyNumberFormat="1" applyFont="1" applyBorder="1" applyAlignment="1">
      <alignment horizontal="center" vertical="center" shrinkToFit="1"/>
    </xf>
    <xf numFmtId="176" fontId="7" fillId="0" borderId="4" xfId="0" applyNumberFormat="1" applyFont="1" applyBorder="1" applyAlignment="1">
      <alignment horizontal="center" vertical="center" shrinkToFit="1"/>
    </xf>
    <xf numFmtId="0" fontId="7" fillId="0" borderId="2" xfId="0" applyFont="1" applyFill="1" applyBorder="1" applyAlignment="1">
      <alignment horizontal="center" vertical="center" shrinkToFit="1"/>
    </xf>
    <xf numFmtId="0" fontId="7" fillId="0" borderId="3" xfId="0" applyFont="1" applyFill="1" applyBorder="1" applyAlignment="1">
      <alignment horizontal="center" vertical="center" shrinkToFit="1"/>
    </xf>
    <xf numFmtId="0" fontId="7" fillId="0" borderId="4" xfId="0" applyFont="1" applyFill="1" applyBorder="1" applyAlignment="1">
      <alignment horizontal="center" vertical="center" shrinkToFit="1"/>
    </xf>
    <xf numFmtId="0" fontId="7" fillId="0" borderId="0" xfId="0" applyFont="1" applyAlignment="1">
      <alignment horizontal="right" vertical="center"/>
    </xf>
    <xf numFmtId="0" fontId="7" fillId="0" borderId="0" xfId="0" applyFont="1" applyBorder="1" applyAlignment="1">
      <alignment horizontal="right" vertical="center"/>
    </xf>
    <xf numFmtId="0" fontId="7" fillId="0" borderId="10" xfId="0" applyFont="1" applyBorder="1" applyAlignment="1">
      <alignment horizontal="right" vertical="center"/>
    </xf>
    <xf numFmtId="176" fontId="7" fillId="0" borderId="3" xfId="0" applyNumberFormat="1" applyFont="1" applyFill="1" applyBorder="1" applyAlignment="1">
      <alignment horizontal="center" vertical="center" shrinkToFit="1"/>
    </xf>
    <xf numFmtId="0" fontId="12" fillId="0" borderId="0" xfId="0" applyFont="1" applyAlignment="1">
      <alignment horizontal="center" vertical="center"/>
    </xf>
    <xf numFmtId="0" fontId="7" fillId="0" borderId="2" xfId="0" applyNumberFormat="1" applyFont="1" applyBorder="1" applyAlignment="1">
      <alignment horizontal="center" vertical="center"/>
    </xf>
    <xf numFmtId="0" fontId="7" fillId="0" borderId="4" xfId="0" applyNumberFormat="1" applyFont="1" applyBorder="1" applyAlignment="1">
      <alignment horizontal="center" vertical="center"/>
    </xf>
    <xf numFmtId="49" fontId="6" fillId="0" borderId="2" xfId="2" applyNumberFormat="1" applyBorder="1" applyAlignment="1">
      <alignment vertical="center" shrinkToFit="1"/>
    </xf>
    <xf numFmtId="49" fontId="16" fillId="0" borderId="3" xfId="2" applyNumberFormat="1" applyFont="1" applyBorder="1" applyAlignment="1">
      <alignment vertical="center" shrinkToFit="1"/>
    </xf>
    <xf numFmtId="49" fontId="16" fillId="0" borderId="4" xfId="2" applyNumberFormat="1" applyFont="1" applyBorder="1" applyAlignment="1">
      <alignment vertical="center" shrinkToFit="1"/>
    </xf>
    <xf numFmtId="49" fontId="7" fillId="0" borderId="2" xfId="1" applyNumberFormat="1" applyFont="1" applyBorder="1" applyAlignment="1">
      <alignment horizontal="center" vertical="center" shrinkToFit="1"/>
    </xf>
    <xf numFmtId="49" fontId="7" fillId="0" borderId="3" xfId="1" applyNumberFormat="1" applyFont="1" applyBorder="1" applyAlignment="1">
      <alignment horizontal="center" vertical="center" shrinkToFit="1"/>
    </xf>
    <xf numFmtId="49" fontId="7" fillId="0" borderId="4" xfId="1" applyNumberFormat="1" applyFont="1" applyBorder="1" applyAlignment="1">
      <alignment horizontal="center" vertical="center" shrinkToFit="1"/>
    </xf>
    <xf numFmtId="0" fontId="7" fillId="0" borderId="2" xfId="0" applyFont="1" applyBorder="1" applyAlignment="1">
      <alignment vertical="center" shrinkToFit="1"/>
    </xf>
    <xf numFmtId="0" fontId="7" fillId="0" borderId="3" xfId="0" applyFont="1" applyBorder="1" applyAlignment="1">
      <alignment vertical="center" shrinkToFit="1"/>
    </xf>
    <xf numFmtId="0" fontId="7" fillId="0" borderId="4" xfId="0" applyFont="1" applyBorder="1" applyAlignment="1">
      <alignment vertical="center" shrinkToFit="1"/>
    </xf>
    <xf numFmtId="0" fontId="7" fillId="0" borderId="37" xfId="0" applyFont="1" applyBorder="1" applyAlignment="1">
      <alignment vertical="center" shrinkToFit="1"/>
    </xf>
    <xf numFmtId="0" fontId="7" fillId="0" borderId="39" xfId="0" applyFont="1" applyBorder="1" applyAlignment="1">
      <alignment vertical="center" shrinkToFit="1"/>
    </xf>
    <xf numFmtId="0" fontId="7" fillId="0" borderId="38" xfId="0" applyFont="1" applyBorder="1" applyAlignment="1">
      <alignment vertical="center" shrinkToFit="1"/>
    </xf>
    <xf numFmtId="0" fontId="7" fillId="0" borderId="19" xfId="0" applyFont="1" applyBorder="1" applyAlignment="1">
      <alignment vertical="center"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7" fillId="0" borderId="40" xfId="0" applyFont="1" applyBorder="1" applyAlignment="1">
      <alignment vertical="center" shrinkToFit="1"/>
    </xf>
    <xf numFmtId="0" fontId="7" fillId="0" borderId="41" xfId="0" applyFont="1" applyBorder="1" applyAlignment="1">
      <alignment vertical="center" shrinkToFit="1"/>
    </xf>
    <xf numFmtId="0" fontId="7" fillId="0" borderId="42" xfId="0" applyFont="1" applyBorder="1" applyAlignment="1">
      <alignment vertical="center" shrinkToFit="1"/>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8" xfId="0" applyFont="1" applyBorder="1" applyAlignment="1">
      <alignment horizontal="center" vertical="center"/>
    </xf>
    <xf numFmtId="0" fontId="7" fillId="0" borderId="40" xfId="0" applyFont="1" applyBorder="1" applyAlignment="1">
      <alignment horizontal="center" vertical="center"/>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9" xfId="0" applyFont="1" applyBorder="1" applyAlignment="1">
      <alignment horizontal="left" vertical="center" shrinkToFit="1"/>
    </xf>
    <xf numFmtId="0" fontId="7" fillId="0" borderId="20" xfId="0" applyFont="1" applyBorder="1" applyAlignment="1">
      <alignment horizontal="left" vertical="center" shrinkToFit="1"/>
    </xf>
    <xf numFmtId="0" fontId="7" fillId="0" borderId="18" xfId="0" applyFont="1" applyBorder="1" applyAlignment="1">
      <alignment horizontal="left" vertical="center" shrinkToFit="1"/>
    </xf>
    <xf numFmtId="0" fontId="7" fillId="0" borderId="40"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42" xfId="0" applyFont="1" applyBorder="1" applyAlignment="1">
      <alignment horizontal="left" vertical="center" shrinkToFit="1"/>
    </xf>
    <xf numFmtId="0" fontId="8" fillId="0" borderId="0" xfId="0" applyFont="1" applyAlignment="1">
      <alignment horizontal="center" vertical="center"/>
    </xf>
    <xf numFmtId="0" fontId="7" fillId="0" borderId="37" xfId="0" applyFont="1" applyBorder="1" applyAlignment="1">
      <alignment horizontal="left" vertical="center" shrinkToFit="1"/>
    </xf>
    <xf numFmtId="0" fontId="7" fillId="0" borderId="39" xfId="0" applyFont="1" applyBorder="1" applyAlignment="1">
      <alignment horizontal="left" vertical="center" shrinkToFit="1"/>
    </xf>
    <xf numFmtId="0" fontId="7" fillId="0" borderId="38" xfId="0" applyFont="1" applyBorder="1" applyAlignment="1">
      <alignment horizontal="left" vertical="center" shrinkToFi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37" xfId="0" applyFont="1" applyBorder="1" applyAlignment="1">
      <alignment horizontal="center" vertical="center"/>
    </xf>
    <xf numFmtId="0" fontId="7" fillId="0" borderId="39" xfId="0" applyFont="1" applyBorder="1" applyAlignment="1">
      <alignment horizontal="center" vertical="center"/>
    </xf>
    <xf numFmtId="0" fontId="7" fillId="0" borderId="38" xfId="0" applyFont="1" applyBorder="1" applyAlignment="1">
      <alignment horizontal="center" vertical="center"/>
    </xf>
    <xf numFmtId="0" fontId="8" fillId="0" borderId="7" xfId="0" applyFont="1" applyBorder="1" applyAlignment="1">
      <alignment vertical="center" wrapText="1"/>
    </xf>
    <xf numFmtId="0" fontId="8" fillId="0" borderId="8" xfId="0" applyFont="1" applyBorder="1" applyAlignment="1">
      <alignment vertical="center" wrapText="1"/>
    </xf>
    <xf numFmtId="0" fontId="8" fillId="0" borderId="9" xfId="0" applyFont="1" applyBorder="1" applyAlignment="1">
      <alignment vertical="center" wrapText="1"/>
    </xf>
    <xf numFmtId="0" fontId="8" fillId="0" borderId="5" xfId="0" applyFont="1" applyBorder="1" applyAlignment="1">
      <alignment vertical="center" wrapText="1"/>
    </xf>
    <xf numFmtId="0" fontId="8" fillId="0" borderId="0" xfId="0" applyFont="1" applyBorder="1" applyAlignment="1">
      <alignment vertical="center" wrapText="1"/>
    </xf>
    <xf numFmtId="0" fontId="8" fillId="0" borderId="10" xfId="0" applyFont="1" applyBorder="1" applyAlignment="1">
      <alignment vertical="center" wrapTex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6" fillId="0" borderId="2" xfId="2"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7" fillId="0" borderId="40" xfId="0" applyFont="1" applyFill="1" applyBorder="1" applyAlignment="1">
      <alignment horizontal="center" vertical="center" shrinkToFit="1"/>
    </xf>
    <xf numFmtId="0" fontId="7" fillId="0" borderId="41" xfId="0" applyFont="1" applyFill="1" applyBorder="1" applyAlignment="1">
      <alignment horizontal="center" vertical="center" shrinkToFit="1"/>
    </xf>
    <xf numFmtId="0" fontId="7" fillId="0" borderId="42" xfId="0" applyFont="1" applyFill="1" applyBorder="1" applyAlignment="1">
      <alignment horizontal="center" vertical="center" shrinkToFit="1"/>
    </xf>
    <xf numFmtId="0" fontId="7" fillId="0" borderId="19" xfId="0" applyFont="1" applyFill="1" applyBorder="1" applyAlignment="1">
      <alignment vertical="center" shrinkToFit="1"/>
    </xf>
    <xf numFmtId="0" fontId="7" fillId="0" borderId="20" xfId="0" applyFont="1" applyFill="1" applyBorder="1" applyAlignment="1">
      <alignment vertical="center" shrinkToFit="1"/>
    </xf>
    <xf numFmtId="0" fontId="7" fillId="0" borderId="18" xfId="0" applyFont="1" applyFill="1" applyBorder="1" applyAlignment="1">
      <alignment vertical="center" shrinkToFit="1"/>
    </xf>
    <xf numFmtId="0" fontId="7" fillId="0" borderId="19" xfId="0" applyFont="1" applyFill="1" applyBorder="1" applyAlignment="1">
      <alignment horizontal="center" vertical="center" shrinkToFit="1"/>
    </xf>
    <xf numFmtId="0" fontId="7" fillId="0" borderId="20" xfId="0" applyFont="1" applyFill="1" applyBorder="1" applyAlignment="1">
      <alignment horizontal="center" vertical="center" shrinkToFit="1"/>
    </xf>
    <xf numFmtId="0" fontId="7" fillId="0" borderId="18" xfId="0" applyFont="1" applyFill="1" applyBorder="1" applyAlignment="1">
      <alignment horizontal="center" vertical="center" shrinkToFit="1"/>
    </xf>
    <xf numFmtId="0" fontId="8" fillId="0" borderId="22" xfId="0" applyFont="1" applyBorder="1" applyAlignment="1">
      <alignment horizontal="left" vertical="center" wrapText="1" shrinkToFit="1"/>
    </xf>
    <xf numFmtId="0" fontId="8" fillId="0" borderId="21" xfId="0" applyFont="1" applyBorder="1" applyAlignment="1">
      <alignment horizontal="left" vertical="center" wrapText="1"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7" fillId="0" borderId="40" xfId="0" applyFont="1" applyFill="1" applyBorder="1" applyAlignment="1">
      <alignment vertical="center" shrinkToFit="1"/>
    </xf>
    <xf numFmtId="0" fontId="7" fillId="0" borderId="41" xfId="0" applyFont="1" applyFill="1" applyBorder="1" applyAlignment="1">
      <alignment vertical="center" shrinkToFit="1"/>
    </xf>
    <xf numFmtId="0" fontId="7" fillId="0" borderId="42" xfId="0" applyFont="1" applyFill="1" applyBorder="1" applyAlignment="1">
      <alignment vertical="center" shrinkToFit="1"/>
    </xf>
    <xf numFmtId="0" fontId="7" fillId="0" borderId="0" xfId="0" applyFont="1" applyAlignment="1">
      <alignment vertical="center" wrapText="1"/>
    </xf>
    <xf numFmtId="0" fontId="17" fillId="0" borderId="0" xfId="0" applyFont="1" applyAlignment="1">
      <alignment horizontal="center" vertical="center"/>
    </xf>
    <xf numFmtId="0" fontId="7" fillId="0" borderId="7" xfId="0" applyFont="1" applyFill="1" applyBorder="1" applyAlignment="1">
      <alignment horizontal="left" vertical="top" wrapText="1" shrinkToFit="1"/>
    </xf>
    <xf numFmtId="0" fontId="7" fillId="0" borderId="8" xfId="0" applyFont="1" applyFill="1" applyBorder="1" applyAlignment="1">
      <alignment horizontal="left" vertical="top" shrinkToFit="1"/>
    </xf>
    <xf numFmtId="0" fontId="7" fillId="0" borderId="9" xfId="0" applyFont="1" applyFill="1" applyBorder="1" applyAlignment="1">
      <alignment horizontal="left" vertical="top" shrinkToFit="1"/>
    </xf>
    <xf numFmtId="0" fontId="7" fillId="0" borderId="5" xfId="0" applyFont="1" applyFill="1" applyBorder="1" applyAlignment="1">
      <alignment horizontal="left" vertical="top" shrinkToFit="1"/>
    </xf>
    <xf numFmtId="0" fontId="7" fillId="0" borderId="0" xfId="0" applyFont="1" applyFill="1" applyBorder="1" applyAlignment="1">
      <alignment horizontal="left" vertical="top" shrinkToFit="1"/>
    </xf>
    <xf numFmtId="0" fontId="7" fillId="0" borderId="10" xfId="0" applyFont="1" applyFill="1" applyBorder="1" applyAlignment="1">
      <alignment horizontal="left" vertical="top" shrinkToFit="1"/>
    </xf>
    <xf numFmtId="0" fontId="7" fillId="0" borderId="0" xfId="0" applyFont="1" applyFill="1" applyAlignment="1">
      <alignment horizontal="left" vertical="top" shrinkToFit="1"/>
    </xf>
    <xf numFmtId="0" fontId="7" fillId="0" borderId="11" xfId="0" applyFont="1" applyFill="1" applyBorder="1" applyAlignment="1">
      <alignment horizontal="left" vertical="top" shrinkToFit="1"/>
    </xf>
    <xf numFmtId="0" fontId="7" fillId="0" borderId="6" xfId="0" applyFont="1" applyFill="1" applyBorder="1" applyAlignment="1">
      <alignment horizontal="left" vertical="top" shrinkToFit="1"/>
    </xf>
    <xf numFmtId="0" fontId="7" fillId="0" borderId="12" xfId="0" applyFont="1" applyFill="1" applyBorder="1" applyAlignment="1">
      <alignment horizontal="left" vertical="top" shrinkToFit="1"/>
    </xf>
    <xf numFmtId="0" fontId="7" fillId="0" borderId="37" xfId="0" applyFont="1" applyFill="1" applyBorder="1" applyAlignment="1">
      <alignment vertical="center" shrinkToFit="1"/>
    </xf>
    <xf numFmtId="0" fontId="7" fillId="0" borderId="39" xfId="0" applyFont="1" applyFill="1" applyBorder="1" applyAlignment="1">
      <alignment vertical="center" shrinkToFit="1"/>
    </xf>
    <xf numFmtId="0" fontId="7" fillId="0" borderId="38" xfId="0" applyFont="1" applyFill="1" applyBorder="1" applyAlignment="1">
      <alignment vertical="center" shrinkToFit="1"/>
    </xf>
    <xf numFmtId="0" fontId="7" fillId="0" borderId="37" xfId="0" applyFont="1" applyFill="1" applyBorder="1" applyAlignment="1">
      <alignment horizontal="center" vertical="center" shrinkToFit="1"/>
    </xf>
    <xf numFmtId="0" fontId="7" fillId="0" borderId="39" xfId="0" applyFont="1" applyFill="1" applyBorder="1" applyAlignment="1">
      <alignment horizontal="center" vertical="center" shrinkToFit="1"/>
    </xf>
    <xf numFmtId="0" fontId="7" fillId="0" borderId="38" xfId="0" applyFont="1" applyFill="1" applyBorder="1" applyAlignment="1">
      <alignment horizontal="center"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20" fillId="0" borderId="32" xfId="0" applyFont="1" applyBorder="1" applyAlignment="1">
      <alignment vertical="center" wrapTex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horizontal="left" vertical="center" wrapText="1" shrinkToFit="1"/>
    </xf>
    <xf numFmtId="0" fontId="2" fillId="0" borderId="0" xfId="0" applyFont="1" applyAlignment="1">
      <alignment horizontal="right" vertical="center"/>
    </xf>
    <xf numFmtId="0" fontId="13"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8" xfId="0" applyFont="1" applyBorder="1" applyAlignment="1">
      <alignment vertical="top" shrinkToFit="1"/>
    </xf>
    <xf numFmtId="0" fontId="7" fillId="0" borderId="9"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7" fillId="0" borderId="16" xfId="0" applyFont="1" applyFill="1" applyBorder="1" applyAlignment="1">
      <alignment vertical="top" wrapText="1" shrinkToFit="1"/>
    </xf>
    <xf numFmtId="0" fontId="7" fillId="0" borderId="22" xfId="0" applyFont="1" applyFill="1" applyBorder="1" applyAlignment="1">
      <alignment vertical="top" shrinkToFit="1"/>
    </xf>
    <xf numFmtId="0" fontId="7" fillId="0" borderId="21" xfId="0" applyFont="1" applyFill="1" applyBorder="1" applyAlignment="1">
      <alignment vertical="top" shrinkToFit="1"/>
    </xf>
    <xf numFmtId="0" fontId="7" fillId="0" borderId="5" xfId="0" applyFont="1" applyFill="1" applyBorder="1" applyAlignment="1">
      <alignment vertical="top" shrinkToFit="1"/>
    </xf>
    <xf numFmtId="0" fontId="7" fillId="0" borderId="0" xfId="0" applyFont="1" applyFill="1" applyAlignment="1">
      <alignment vertical="top" shrinkToFit="1"/>
    </xf>
    <xf numFmtId="0" fontId="7" fillId="0" borderId="10" xfId="0" applyFont="1" applyFill="1" applyBorder="1" applyAlignment="1">
      <alignment vertical="top" shrinkToFit="1"/>
    </xf>
    <xf numFmtId="0" fontId="7" fillId="0" borderId="11" xfId="0" applyFont="1" applyFill="1" applyBorder="1" applyAlignment="1">
      <alignment vertical="top" shrinkToFit="1"/>
    </xf>
    <xf numFmtId="0" fontId="7" fillId="0" borderId="6" xfId="0" applyFont="1" applyFill="1" applyBorder="1" applyAlignment="1">
      <alignment vertical="top" shrinkToFit="1"/>
    </xf>
    <xf numFmtId="0" fontId="7" fillId="0" borderId="12" xfId="0" applyFont="1" applyFill="1" applyBorder="1" applyAlignment="1">
      <alignment vertical="top" shrinkToFit="1"/>
    </xf>
    <xf numFmtId="0" fontId="7" fillId="0" borderId="19"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18" xfId="0" applyFont="1" applyBorder="1" applyAlignment="1">
      <alignment horizontal="center" vertical="center" shrinkToFit="1"/>
    </xf>
    <xf numFmtId="0" fontId="7" fillId="0" borderId="9" xfId="0" applyFont="1" applyBorder="1" applyAlignment="1">
      <alignment vertical="top" wrapText="1" shrinkToFit="1"/>
    </xf>
    <xf numFmtId="0" fontId="7" fillId="0" borderId="5" xfId="0" applyFont="1" applyBorder="1" applyAlignment="1">
      <alignment vertical="top" wrapText="1" shrinkToFit="1"/>
    </xf>
    <xf numFmtId="0" fontId="7" fillId="0" borderId="0" xfId="0" applyFont="1" applyAlignment="1">
      <alignment vertical="top" wrapText="1" shrinkToFit="1"/>
    </xf>
    <xf numFmtId="0" fontId="7" fillId="0" borderId="10" xfId="0" applyFont="1" applyBorder="1" applyAlignment="1">
      <alignment vertical="top" wrapText="1" shrinkToFit="1"/>
    </xf>
    <xf numFmtId="0" fontId="7" fillId="0" borderId="11" xfId="0" applyFont="1" applyBorder="1" applyAlignment="1">
      <alignment vertical="top" wrapText="1" shrinkToFit="1"/>
    </xf>
    <xf numFmtId="0" fontId="7" fillId="0" borderId="6" xfId="0" applyFont="1" applyBorder="1" applyAlignment="1">
      <alignment vertical="top" wrapText="1" shrinkToFit="1"/>
    </xf>
    <xf numFmtId="0" fontId="7" fillId="0" borderId="12" xfId="0" applyFont="1" applyBorder="1" applyAlignment="1">
      <alignment vertical="top" wrapText="1" shrinkToFit="1"/>
    </xf>
    <xf numFmtId="0" fontId="10" fillId="0" borderId="8" xfId="0" applyFont="1" applyBorder="1" applyAlignment="1">
      <alignment vertical="top" wrapText="1" shrinkToFit="1"/>
    </xf>
    <xf numFmtId="0" fontId="10" fillId="0" borderId="8" xfId="0" applyFont="1" applyBorder="1" applyAlignment="1">
      <alignment vertical="top"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2" fillId="0" borderId="6" xfId="0" applyFont="1" applyBorder="1">
      <alignment vertical="center"/>
    </xf>
    <xf numFmtId="0" fontId="7" fillId="0" borderId="11" xfId="0" applyFont="1" applyBorder="1" applyAlignment="1">
      <alignment vertical="center" wrapText="1"/>
    </xf>
    <xf numFmtId="0" fontId="7" fillId="0" borderId="6" xfId="0" applyFont="1" applyBorder="1" applyAlignment="1">
      <alignment vertical="center" wrapText="1"/>
    </xf>
    <xf numFmtId="0" fontId="7" fillId="0" borderId="12" xfId="0" applyFont="1" applyBorder="1" applyAlignment="1">
      <alignment vertical="center" wrapText="1"/>
    </xf>
    <xf numFmtId="0" fontId="16" fillId="0" borderId="3" xfId="2" applyFont="1" applyBorder="1" applyAlignment="1">
      <alignment horizontal="center" vertical="center" shrinkToFit="1"/>
    </xf>
    <xf numFmtId="0" fontId="16" fillId="0" borderId="4" xfId="2" applyFont="1" applyBorder="1" applyAlignment="1">
      <alignment horizontal="center" vertical="center" shrinkToFit="1"/>
    </xf>
    <xf numFmtId="0" fontId="7" fillId="0" borderId="17" xfId="0" applyFont="1" applyBorder="1" applyAlignment="1">
      <alignment vertical="center" wrapText="1"/>
    </xf>
    <xf numFmtId="0" fontId="7" fillId="0" borderId="18" xfId="0" applyFont="1" applyBorder="1" applyAlignment="1">
      <alignment vertical="center" wrapText="1"/>
    </xf>
    <xf numFmtId="0" fontId="7" fillId="0" borderId="20" xfId="0" applyFont="1" applyBorder="1" applyAlignment="1">
      <alignment vertical="top" wrapText="1" shrinkToFit="1"/>
    </xf>
    <xf numFmtId="0" fontId="7" fillId="0" borderId="18" xfId="0" applyFont="1" applyBorder="1" applyAlignment="1">
      <alignment vertical="top" wrapText="1" shrinkToFit="1"/>
    </xf>
    <xf numFmtId="0" fontId="7" fillId="0" borderId="19" xfId="0" applyFont="1" applyBorder="1" applyAlignment="1">
      <alignment vertical="center" wrapText="1"/>
    </xf>
    <xf numFmtId="0" fontId="7" fillId="0" borderId="20" xfId="0" applyFont="1" applyBorder="1" applyAlignment="1">
      <alignment vertical="center" wrapText="1"/>
    </xf>
    <xf numFmtId="0" fontId="7" fillId="0" borderId="19" xfId="0" applyFont="1" applyBorder="1" applyAlignment="1">
      <alignment vertical="top" wrapText="1" shrinkToFit="1"/>
    </xf>
    <xf numFmtId="0" fontId="7" fillId="0" borderId="17" xfId="0" applyFont="1" applyBorder="1">
      <alignment vertical="center"/>
    </xf>
    <xf numFmtId="0" fontId="20" fillId="0" borderId="18" xfId="0" applyFont="1" applyBorder="1">
      <alignment vertical="center"/>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6" fillId="0" borderId="2" xfId="2" applyBorder="1" applyAlignment="1">
      <alignment horizontal="center"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gaku@admin.sus.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us.ac.jp/academics/ds-ai-progra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us.ac.jp/academics/ds-ai-progra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K46" sqref="K46"/>
    </sheetView>
  </sheetViews>
  <sheetFormatPr defaultColWidth="9" defaultRowHeight="18.75" customHeight="1" x14ac:dyDescent="0.2"/>
  <cols>
    <col min="1" max="1" width="3.33203125" style="7" customWidth="1"/>
    <col min="2" max="2" width="11.109375" style="7" customWidth="1"/>
    <col min="3" max="8" width="6.6640625" style="7" customWidth="1"/>
    <col min="9" max="9" width="3.33203125" style="7" customWidth="1"/>
    <col min="10" max="10" width="10" style="7" customWidth="1"/>
    <col min="11" max="11" width="3.33203125" style="7" customWidth="1"/>
    <col min="12" max="12" width="7.77734375" style="7" customWidth="1"/>
    <col min="13" max="13" width="3.33203125" style="7" customWidth="1"/>
    <col min="14" max="14" width="4.44140625" style="7" customWidth="1"/>
    <col min="15" max="15" width="9" style="23"/>
    <col min="16" max="16384" width="9" style="6"/>
  </cols>
  <sheetData>
    <row r="1" spans="1:15" ht="24" customHeight="1" x14ac:dyDescent="0.2">
      <c r="M1" s="150" t="s">
        <v>26</v>
      </c>
      <c r="N1" s="150"/>
    </row>
    <row r="2" spans="1:15" ht="24" customHeight="1" x14ac:dyDescent="0.2">
      <c r="A2" s="154" t="s">
        <v>87</v>
      </c>
      <c r="B2" s="154"/>
      <c r="C2" s="154"/>
      <c r="D2" s="154"/>
      <c r="E2" s="154"/>
      <c r="F2" s="154"/>
      <c r="G2" s="154"/>
      <c r="H2" s="154"/>
      <c r="I2" s="154"/>
      <c r="J2" s="154"/>
      <c r="K2" s="154"/>
      <c r="L2" s="154"/>
      <c r="M2" s="154"/>
      <c r="N2" s="154"/>
    </row>
    <row r="3" spans="1:15" ht="24" customHeight="1" x14ac:dyDescent="0.2"/>
    <row r="4" spans="1:15" ht="24" customHeight="1" x14ac:dyDescent="0.2">
      <c r="A4" s="7" t="s">
        <v>6</v>
      </c>
      <c r="B4" s="8" t="s">
        <v>17</v>
      </c>
      <c r="C4" s="138" t="s">
        <v>156</v>
      </c>
      <c r="D4" s="139"/>
      <c r="E4" s="139"/>
      <c r="F4" s="139"/>
      <c r="G4" s="139"/>
      <c r="H4" s="139"/>
      <c r="I4" s="139"/>
      <c r="J4" s="139"/>
      <c r="K4" s="139"/>
      <c r="L4" s="139"/>
      <c r="M4" s="139"/>
      <c r="N4" s="140"/>
      <c r="O4" s="23" t="str">
        <f>IF(C4="","入力してください","")</f>
        <v/>
      </c>
    </row>
    <row r="5" spans="1:15" ht="7.5" customHeight="1" x14ac:dyDescent="0.2">
      <c r="B5" s="8"/>
      <c r="C5" s="8"/>
      <c r="D5" s="8"/>
      <c r="E5" s="9"/>
      <c r="F5" s="107"/>
      <c r="G5" s="107"/>
      <c r="H5" s="107"/>
      <c r="I5" s="107"/>
      <c r="J5" s="107"/>
      <c r="K5" s="107"/>
      <c r="L5" s="107"/>
      <c r="M5" s="107"/>
      <c r="N5" s="107"/>
    </row>
    <row r="6" spans="1:15" ht="24" customHeight="1" x14ac:dyDescent="0.2">
      <c r="A6" s="7" t="s">
        <v>50</v>
      </c>
      <c r="B6" s="8" t="s">
        <v>51</v>
      </c>
      <c r="C6" s="8"/>
      <c r="D6" s="138" t="s">
        <v>157</v>
      </c>
      <c r="E6" s="139"/>
      <c r="F6" s="139"/>
      <c r="G6" s="139"/>
      <c r="H6" s="140"/>
      <c r="I6" s="10" t="s">
        <v>90</v>
      </c>
      <c r="J6" s="107" t="s">
        <v>91</v>
      </c>
      <c r="K6" s="138" t="s">
        <v>154</v>
      </c>
      <c r="L6" s="139"/>
      <c r="M6" s="139"/>
      <c r="N6" s="140"/>
      <c r="O6" s="23" t="str">
        <f>IF(D6="","入力してください","")</f>
        <v/>
      </c>
    </row>
    <row r="7" spans="1:15" ht="7.5" customHeight="1" x14ac:dyDescent="0.2">
      <c r="B7" s="8"/>
      <c r="C7" s="8"/>
      <c r="D7" s="8"/>
      <c r="E7" s="9"/>
      <c r="F7" s="107"/>
      <c r="G7" s="107"/>
      <c r="H7" s="107"/>
      <c r="I7" s="107"/>
      <c r="J7" s="107"/>
      <c r="K7" s="107"/>
      <c r="L7" s="107"/>
      <c r="M7" s="107"/>
      <c r="N7" s="107"/>
    </row>
    <row r="8" spans="1:15" ht="24" customHeight="1" x14ac:dyDescent="0.2">
      <c r="A8" s="7" t="s">
        <v>14</v>
      </c>
      <c r="B8" s="8" t="s">
        <v>47</v>
      </c>
      <c r="C8" s="138" t="s">
        <v>158</v>
      </c>
      <c r="D8" s="139"/>
      <c r="E8" s="139"/>
      <c r="F8" s="139"/>
      <c r="G8" s="139"/>
      <c r="H8" s="139"/>
      <c r="I8" s="139"/>
      <c r="J8" s="139"/>
      <c r="K8" s="139"/>
      <c r="L8" s="139"/>
      <c r="M8" s="139"/>
      <c r="N8" s="140"/>
      <c r="O8" s="23" t="str">
        <f>IF(C8="","入力してください","")</f>
        <v/>
      </c>
    </row>
    <row r="9" spans="1:15" ht="7.5" customHeight="1" x14ac:dyDescent="0.2">
      <c r="B9" s="8"/>
      <c r="C9" s="8"/>
      <c r="D9" s="8"/>
      <c r="E9" s="9"/>
      <c r="F9" s="107"/>
      <c r="G9" s="107"/>
      <c r="H9" s="107"/>
      <c r="I9" s="107"/>
      <c r="J9" s="107"/>
      <c r="K9" s="107"/>
      <c r="L9" s="107"/>
      <c r="M9" s="107"/>
      <c r="N9" s="107"/>
    </row>
    <row r="10" spans="1:15" ht="24" customHeight="1" x14ac:dyDescent="0.2">
      <c r="A10" s="7" t="s">
        <v>12</v>
      </c>
      <c r="B10" s="8" t="s">
        <v>89</v>
      </c>
      <c r="C10" s="8"/>
      <c r="D10" s="8"/>
      <c r="E10" s="138" t="s">
        <v>159</v>
      </c>
      <c r="F10" s="139"/>
      <c r="G10" s="139"/>
      <c r="H10" s="139"/>
      <c r="I10" s="139"/>
      <c r="J10" s="139"/>
      <c r="K10" s="139"/>
      <c r="L10" s="139"/>
      <c r="M10" s="139"/>
      <c r="N10" s="140"/>
      <c r="O10" s="23" t="str">
        <f>IF(E10="","入力してください","")</f>
        <v/>
      </c>
    </row>
    <row r="11" spans="1:15" ht="7.5" customHeight="1" x14ac:dyDescent="0.2">
      <c r="B11" s="9"/>
      <c r="C11" s="9"/>
      <c r="D11" s="9"/>
      <c r="E11" s="9"/>
      <c r="F11" s="107"/>
      <c r="G11" s="107"/>
      <c r="H11" s="107"/>
      <c r="I11" s="107"/>
      <c r="J11" s="107"/>
      <c r="K11" s="107"/>
      <c r="L11" s="107"/>
      <c r="M11" s="107"/>
      <c r="N11" s="107"/>
    </row>
    <row r="12" spans="1:15" ht="24" customHeight="1" x14ac:dyDescent="0.2">
      <c r="A12" s="7" t="s">
        <v>60</v>
      </c>
      <c r="B12" s="9" t="s">
        <v>61</v>
      </c>
      <c r="C12" s="9"/>
      <c r="D12" s="9"/>
      <c r="E12" s="155" t="s">
        <v>160</v>
      </c>
      <c r="F12" s="156"/>
      <c r="G12" s="10" t="s">
        <v>100</v>
      </c>
      <c r="H12" s="7" t="s">
        <v>101</v>
      </c>
      <c r="N12" s="101" t="s">
        <v>161</v>
      </c>
      <c r="O12" s="23" t="str">
        <f>IF(E12="","入力してください","")</f>
        <v/>
      </c>
    </row>
    <row r="13" spans="1:15" ht="7.5" customHeight="1" x14ac:dyDescent="0.2">
      <c r="B13" s="9"/>
      <c r="C13" s="9"/>
      <c r="D13" s="9"/>
      <c r="E13" s="9"/>
      <c r="F13" s="107"/>
      <c r="G13" s="107"/>
      <c r="H13" s="107"/>
      <c r="I13" s="107"/>
      <c r="J13" s="107"/>
      <c r="K13" s="107"/>
      <c r="L13" s="107"/>
      <c r="M13" s="107"/>
      <c r="N13" s="107"/>
    </row>
    <row r="14" spans="1:15" ht="24" customHeight="1" x14ac:dyDescent="0.2">
      <c r="A14" s="7" t="s">
        <v>55</v>
      </c>
      <c r="B14" s="7" t="s">
        <v>0</v>
      </c>
      <c r="C14" s="151" t="s">
        <v>5</v>
      </c>
      <c r="D14" s="152"/>
      <c r="E14" s="142">
        <v>60</v>
      </c>
      <c r="F14" s="143"/>
      <c r="G14" s="11" t="s">
        <v>8</v>
      </c>
      <c r="I14" s="151" t="s">
        <v>9</v>
      </c>
      <c r="J14" s="152"/>
      <c r="K14" s="142">
        <v>57</v>
      </c>
      <c r="L14" s="153"/>
      <c r="M14" s="143"/>
      <c r="N14" s="12" t="s">
        <v>8</v>
      </c>
      <c r="O14" s="23" t="str">
        <f>IF(OR(E14="",K14=""),"入力してください","")</f>
        <v/>
      </c>
    </row>
    <row r="15" spans="1:15" ht="7.5" customHeight="1" x14ac:dyDescent="0.2">
      <c r="F15" s="13"/>
      <c r="G15" s="13"/>
      <c r="H15" s="13"/>
      <c r="I15" s="13"/>
      <c r="J15" s="13"/>
      <c r="K15" s="13"/>
      <c r="L15" s="13"/>
      <c r="M15" s="12"/>
      <c r="N15" s="12"/>
    </row>
    <row r="16" spans="1:15" ht="24" customHeight="1" x14ac:dyDescent="0.2">
      <c r="A16" s="7" t="s">
        <v>62</v>
      </c>
      <c r="B16" s="7" t="s">
        <v>72</v>
      </c>
      <c r="F16" s="13"/>
      <c r="G16" s="13"/>
      <c r="H16" s="13"/>
      <c r="I16" s="13"/>
      <c r="J16" s="13"/>
      <c r="K16" s="128">
        <v>27</v>
      </c>
      <c r="L16" s="129"/>
      <c r="M16" s="130"/>
      <c r="N16" s="12" t="s">
        <v>53</v>
      </c>
      <c r="O16" s="23" t="str">
        <f>IF(K16="","入力してください","")</f>
        <v/>
      </c>
    </row>
    <row r="17" spans="1:15" ht="7.5" customHeight="1" x14ac:dyDescent="0.2">
      <c r="F17" s="13"/>
      <c r="G17" s="13"/>
      <c r="H17" s="13"/>
      <c r="I17" s="13"/>
      <c r="J17" s="13"/>
      <c r="K17" s="13"/>
      <c r="L17" s="13"/>
      <c r="M17" s="12"/>
      <c r="N17" s="12"/>
    </row>
    <row r="18" spans="1:15" ht="24" customHeight="1" x14ac:dyDescent="0.2">
      <c r="A18" s="7" t="s">
        <v>25</v>
      </c>
      <c r="B18" s="7" t="s">
        <v>81</v>
      </c>
      <c r="E18" s="145">
        <v>300</v>
      </c>
      <c r="F18" s="146"/>
      <c r="G18" s="14" t="s">
        <v>22</v>
      </c>
      <c r="H18" s="13"/>
      <c r="K18" s="144"/>
      <c r="L18" s="144"/>
      <c r="M18" s="144"/>
      <c r="N18" s="144"/>
      <c r="O18" s="23" t="str">
        <f>IF(E18="","入力してください","")</f>
        <v/>
      </c>
    </row>
    <row r="19" spans="1:15" ht="7.5" customHeight="1" x14ac:dyDescent="0.2">
      <c r="E19" s="4"/>
      <c r="F19" s="13"/>
      <c r="G19" s="13"/>
      <c r="L19" s="106"/>
      <c r="M19" s="106"/>
      <c r="N19" s="15"/>
    </row>
    <row r="20" spans="1:15" ht="24" customHeight="1" x14ac:dyDescent="0.2">
      <c r="A20" s="7" t="s">
        <v>80</v>
      </c>
      <c r="B20" s="7" t="s">
        <v>82</v>
      </c>
      <c r="E20" s="4"/>
      <c r="F20" s="13"/>
      <c r="G20" s="13"/>
      <c r="H20" s="7" t="s">
        <v>54</v>
      </c>
      <c r="J20" s="131">
        <v>1328</v>
      </c>
      <c r="K20" s="132"/>
      <c r="L20" s="133"/>
      <c r="M20" s="106" t="s">
        <v>53</v>
      </c>
      <c r="N20" s="15"/>
      <c r="O20" s="23" t="str">
        <f>IF(J20="","入力してください","")</f>
        <v/>
      </c>
    </row>
    <row r="21" spans="1:15" ht="7.5" customHeight="1" x14ac:dyDescent="0.2">
      <c r="E21" s="4"/>
      <c r="F21" s="13"/>
      <c r="G21" s="13"/>
      <c r="L21" s="106"/>
      <c r="M21" s="106"/>
      <c r="N21" s="15"/>
    </row>
    <row r="22" spans="1:15" ht="24" customHeight="1" x14ac:dyDescent="0.2">
      <c r="B22" s="21" t="s">
        <v>18</v>
      </c>
      <c r="C22" s="142">
        <v>325</v>
      </c>
      <c r="D22" s="143"/>
      <c r="E22" s="108" t="s">
        <v>23</v>
      </c>
      <c r="F22" s="109"/>
      <c r="G22" s="134" t="s">
        <v>19</v>
      </c>
      <c r="H22" s="135"/>
      <c r="I22" s="142">
        <v>323</v>
      </c>
      <c r="J22" s="143"/>
      <c r="K22" s="10" t="s">
        <v>23</v>
      </c>
      <c r="M22" s="106"/>
      <c r="N22" s="15"/>
    </row>
    <row r="23" spans="1:15" ht="7.5" customHeight="1" x14ac:dyDescent="0.2">
      <c r="B23" s="21"/>
      <c r="C23" s="110"/>
      <c r="D23" s="110"/>
      <c r="E23" s="108"/>
      <c r="F23" s="109"/>
      <c r="G23" s="111"/>
      <c r="H23" s="111"/>
      <c r="I23" s="110"/>
      <c r="J23" s="110"/>
      <c r="K23" s="10"/>
      <c r="M23" s="106"/>
      <c r="N23" s="15"/>
    </row>
    <row r="24" spans="1:15" ht="24" customHeight="1" x14ac:dyDescent="0.2">
      <c r="B24" s="21" t="s">
        <v>20</v>
      </c>
      <c r="C24" s="142">
        <v>305</v>
      </c>
      <c r="D24" s="143"/>
      <c r="E24" s="108" t="s">
        <v>23</v>
      </c>
      <c r="F24" s="109"/>
      <c r="G24" s="134" t="s">
        <v>21</v>
      </c>
      <c r="H24" s="135"/>
      <c r="I24" s="142">
        <v>375</v>
      </c>
      <c r="J24" s="143"/>
      <c r="K24" s="10" t="s">
        <v>23</v>
      </c>
      <c r="M24" s="106"/>
      <c r="N24" s="15"/>
    </row>
    <row r="25" spans="1:15" ht="7.5" customHeight="1" x14ac:dyDescent="0.2">
      <c r="B25" s="21"/>
      <c r="C25" s="110"/>
      <c r="D25" s="110"/>
      <c r="E25" s="108"/>
      <c r="F25" s="109"/>
      <c r="G25" s="111"/>
      <c r="H25" s="111"/>
      <c r="I25" s="110"/>
      <c r="J25" s="110"/>
      <c r="K25" s="10"/>
      <c r="M25" s="106"/>
      <c r="N25" s="15"/>
    </row>
    <row r="26" spans="1:15" ht="24" customHeight="1" x14ac:dyDescent="0.2">
      <c r="B26" s="21" t="s">
        <v>48</v>
      </c>
      <c r="C26" s="142"/>
      <c r="D26" s="143"/>
      <c r="E26" s="108" t="s">
        <v>8</v>
      </c>
      <c r="F26" s="109"/>
      <c r="G26" s="134" t="s">
        <v>49</v>
      </c>
      <c r="H26" s="135"/>
      <c r="I26" s="142"/>
      <c r="J26" s="143"/>
      <c r="K26" s="10" t="s">
        <v>8</v>
      </c>
      <c r="M26" s="106"/>
      <c r="N26" s="15"/>
    </row>
    <row r="27" spans="1:15" ht="7.5" customHeight="1" x14ac:dyDescent="0.2">
      <c r="F27" s="13"/>
      <c r="G27" s="13"/>
      <c r="M27" s="16"/>
      <c r="N27" s="16"/>
    </row>
    <row r="28" spans="1:15" ht="24" customHeight="1" x14ac:dyDescent="0.2">
      <c r="A28" s="7" t="s">
        <v>52</v>
      </c>
      <c r="B28" s="8" t="s">
        <v>79</v>
      </c>
      <c r="C28" s="8"/>
      <c r="D28" s="8"/>
      <c r="E28" s="8"/>
      <c r="F28" s="10"/>
      <c r="G28" s="107"/>
      <c r="H28" s="107"/>
      <c r="I28" s="107"/>
      <c r="J28" s="17"/>
      <c r="K28" s="17"/>
      <c r="L28" s="17"/>
      <c r="M28" s="17"/>
      <c r="N28" s="17"/>
    </row>
    <row r="29" spans="1:15" s="7" customFormat="1" ht="24" customHeight="1" x14ac:dyDescent="0.2">
      <c r="B29" s="136" t="s">
        <v>78</v>
      </c>
      <c r="C29" s="137"/>
      <c r="D29" s="138" t="s">
        <v>162</v>
      </c>
      <c r="E29" s="139"/>
      <c r="F29" s="140"/>
      <c r="G29" s="141" t="s">
        <v>24</v>
      </c>
      <c r="H29" s="136"/>
      <c r="I29" s="137"/>
      <c r="J29" s="138" t="s">
        <v>163</v>
      </c>
      <c r="K29" s="139"/>
      <c r="L29" s="139"/>
      <c r="M29" s="139"/>
      <c r="N29" s="140"/>
      <c r="O29" s="23" t="str">
        <f>IF(OR(D29="",J29=""),"入力してください","")</f>
        <v/>
      </c>
    </row>
    <row r="30" spans="1:15" ht="7.5" customHeight="1" x14ac:dyDescent="0.2">
      <c r="F30" s="13"/>
      <c r="G30" s="13"/>
      <c r="M30" s="16"/>
      <c r="N30" s="16"/>
    </row>
    <row r="31" spans="1:15" ht="24" customHeight="1" x14ac:dyDescent="0.2">
      <c r="A31" s="7" t="s">
        <v>56</v>
      </c>
      <c r="B31" s="8" t="s">
        <v>84</v>
      </c>
      <c r="C31" s="8"/>
      <c r="D31" s="8"/>
      <c r="E31" s="8"/>
      <c r="F31" s="10"/>
      <c r="G31" s="17"/>
      <c r="H31" s="17"/>
      <c r="I31" s="17"/>
      <c r="J31" s="17"/>
      <c r="K31" s="17"/>
      <c r="L31" s="17"/>
      <c r="M31" s="17"/>
      <c r="N31" s="17"/>
    </row>
    <row r="32" spans="1:15" ht="24" customHeight="1" x14ac:dyDescent="0.2">
      <c r="B32" s="138" t="s">
        <v>164</v>
      </c>
      <c r="C32" s="139"/>
      <c r="D32" s="139"/>
      <c r="E32" s="139"/>
      <c r="F32" s="139"/>
      <c r="G32" s="139"/>
      <c r="H32" s="139"/>
      <c r="I32" s="139"/>
      <c r="J32" s="139"/>
      <c r="K32" s="139"/>
      <c r="L32" s="139"/>
      <c r="M32" s="139"/>
      <c r="N32" s="140"/>
      <c r="O32" s="23" t="str">
        <f>IF(B32="","入力してください","")</f>
        <v/>
      </c>
    </row>
    <row r="33" spans="1:15" ht="7.5" customHeight="1" x14ac:dyDescent="0.2">
      <c r="B33" s="5"/>
      <c r="C33" s="5"/>
      <c r="D33" s="5"/>
      <c r="E33" s="5"/>
      <c r="F33" s="5"/>
      <c r="G33" s="5"/>
      <c r="H33" s="5"/>
      <c r="I33" s="5"/>
      <c r="J33" s="5"/>
      <c r="K33" s="5"/>
      <c r="L33" s="5"/>
      <c r="M33" s="5"/>
      <c r="N33" s="5"/>
    </row>
    <row r="34" spans="1:15" s="7" customFormat="1" ht="24" customHeight="1" x14ac:dyDescent="0.2">
      <c r="B34" s="136" t="s">
        <v>78</v>
      </c>
      <c r="C34" s="137"/>
      <c r="D34" s="147" t="s">
        <v>170</v>
      </c>
      <c r="E34" s="148"/>
      <c r="F34" s="149"/>
      <c r="G34" s="141" t="s">
        <v>57</v>
      </c>
      <c r="H34" s="136"/>
      <c r="I34" s="137"/>
      <c r="J34" s="147" t="s">
        <v>171</v>
      </c>
      <c r="K34" s="148"/>
      <c r="L34" s="148"/>
      <c r="M34" s="148"/>
      <c r="N34" s="149"/>
      <c r="O34" s="23" t="str">
        <f>IF(OR(D34="",J34=""),"入力してください","")</f>
        <v/>
      </c>
    </row>
    <row r="35" spans="1:15" ht="7.5" customHeight="1" x14ac:dyDescent="0.2">
      <c r="F35" s="107"/>
      <c r="G35" s="107"/>
      <c r="H35" s="107"/>
      <c r="I35" s="107"/>
      <c r="J35" s="107"/>
      <c r="K35" s="107"/>
      <c r="L35" s="107"/>
      <c r="M35" s="107"/>
      <c r="N35" s="107"/>
    </row>
    <row r="36" spans="1:15" ht="24" customHeight="1" x14ac:dyDescent="0.2">
      <c r="A36" s="7" t="s">
        <v>63</v>
      </c>
      <c r="B36" s="7" t="s">
        <v>85</v>
      </c>
      <c r="M36" s="16"/>
      <c r="N36" s="16"/>
    </row>
    <row r="37" spans="1:15" ht="24" customHeight="1" x14ac:dyDescent="0.2">
      <c r="B37" s="138" t="s">
        <v>164</v>
      </c>
      <c r="C37" s="139"/>
      <c r="D37" s="139"/>
      <c r="E37" s="139"/>
      <c r="F37" s="139"/>
      <c r="G37" s="139"/>
      <c r="H37" s="139"/>
      <c r="I37" s="139"/>
      <c r="J37" s="139"/>
      <c r="K37" s="139"/>
      <c r="L37" s="139"/>
      <c r="M37" s="139"/>
      <c r="N37" s="140"/>
      <c r="O37" s="23" t="str">
        <f>IF(B37="","入力してください","")</f>
        <v/>
      </c>
    </row>
    <row r="38" spans="1:15" ht="7.5" customHeight="1" x14ac:dyDescent="0.2">
      <c r="F38" s="107"/>
      <c r="G38" s="107"/>
      <c r="H38" s="107"/>
      <c r="I38" s="107"/>
      <c r="J38" s="107"/>
      <c r="K38" s="107"/>
      <c r="L38" s="107"/>
      <c r="M38" s="107"/>
      <c r="N38" s="107"/>
    </row>
    <row r="39" spans="1:15" s="7" customFormat="1" ht="24" customHeight="1" x14ac:dyDescent="0.2">
      <c r="B39" s="136" t="s">
        <v>78</v>
      </c>
      <c r="C39" s="137"/>
      <c r="D39" s="147" t="str">
        <f>D34</f>
        <v>平田　幸広</v>
      </c>
      <c r="E39" s="148"/>
      <c r="F39" s="149"/>
      <c r="G39" s="141" t="s">
        <v>57</v>
      </c>
      <c r="H39" s="136"/>
      <c r="I39" s="137"/>
      <c r="J39" s="147" t="str">
        <f>J34</f>
        <v>教授</v>
      </c>
      <c r="K39" s="148"/>
      <c r="L39" s="148"/>
      <c r="M39" s="148"/>
      <c r="N39" s="149"/>
      <c r="O39" s="23" t="str">
        <f>IF(OR(D39="",J39=""),"入力してください","")</f>
        <v/>
      </c>
    </row>
    <row r="40" spans="1:15" ht="7.5" customHeight="1" x14ac:dyDescent="0.2">
      <c r="F40" s="107"/>
      <c r="G40" s="107"/>
      <c r="H40" s="107"/>
      <c r="I40" s="107"/>
      <c r="J40" s="107"/>
      <c r="K40" s="107"/>
      <c r="L40" s="107"/>
      <c r="M40" s="107"/>
      <c r="N40" s="107"/>
    </row>
    <row r="41" spans="1:15" ht="24" customHeight="1" x14ac:dyDescent="0.2">
      <c r="A41" s="7" t="s">
        <v>92</v>
      </c>
      <c r="B41" s="58" t="s">
        <v>71</v>
      </c>
      <c r="E41" s="59"/>
      <c r="F41" s="138" t="s">
        <v>155</v>
      </c>
      <c r="G41" s="139"/>
      <c r="H41" s="139"/>
      <c r="I41" s="139"/>
      <c r="J41" s="139"/>
      <c r="K41" s="139"/>
      <c r="L41" s="139"/>
      <c r="M41" s="139"/>
      <c r="N41" s="140"/>
      <c r="O41" s="23" t="str">
        <f>IF(F41="","入力してください","")</f>
        <v/>
      </c>
    </row>
    <row r="42" spans="1:15" ht="7.5" customHeight="1" x14ac:dyDescent="0.2">
      <c r="F42" s="107"/>
      <c r="G42" s="107"/>
      <c r="H42" s="107"/>
      <c r="I42" s="107"/>
      <c r="J42" s="107"/>
      <c r="K42" s="107"/>
      <c r="L42" s="107"/>
      <c r="M42" s="107"/>
      <c r="N42" s="107"/>
    </row>
    <row r="43" spans="1:15" ht="24" customHeight="1" x14ac:dyDescent="0.2">
      <c r="A43" s="7" t="s">
        <v>102</v>
      </c>
    </row>
    <row r="44" spans="1:15" ht="24" customHeight="1" x14ac:dyDescent="0.2">
      <c r="B44" s="22" t="s">
        <v>1</v>
      </c>
      <c r="C44" s="163" t="s">
        <v>165</v>
      </c>
      <c r="D44" s="164"/>
      <c r="E44" s="164"/>
      <c r="F44" s="164"/>
      <c r="G44" s="164"/>
      <c r="H44" s="165"/>
      <c r="I44" s="19" t="s">
        <v>2</v>
      </c>
      <c r="J44" s="20"/>
      <c r="K44" s="138" t="s">
        <v>166</v>
      </c>
      <c r="L44" s="139"/>
      <c r="M44" s="139"/>
      <c r="N44" s="140"/>
      <c r="O44" s="23" t="str">
        <f>IF(OR(C44="",K44=""),"入力してください","")</f>
        <v/>
      </c>
    </row>
    <row r="45" spans="1:15" ht="24" customHeight="1" x14ac:dyDescent="0.2">
      <c r="B45" s="18" t="s">
        <v>4</v>
      </c>
      <c r="C45" s="157" t="s">
        <v>167</v>
      </c>
      <c r="D45" s="158"/>
      <c r="E45" s="158"/>
      <c r="F45" s="158"/>
      <c r="G45" s="158"/>
      <c r="H45" s="159"/>
      <c r="I45" s="19" t="s">
        <v>3</v>
      </c>
      <c r="J45" s="20"/>
      <c r="K45" s="160" t="s">
        <v>204</v>
      </c>
      <c r="L45" s="161"/>
      <c r="M45" s="161"/>
      <c r="N45" s="162"/>
      <c r="O45" s="23"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7406B3B-B8E6-482E-9947-A34BEACB0CF9}">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72D811ED-C57D-410B-94C3-BF14E600B23F}"/>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91" zoomScale="75" zoomScaleNormal="100" zoomScaleSheetLayoutView="75" workbookViewId="0">
      <selection activeCell="B98" sqref="B98:Z98"/>
    </sheetView>
  </sheetViews>
  <sheetFormatPr defaultColWidth="9" defaultRowHeight="18.75" customHeight="1" x14ac:dyDescent="0.2"/>
  <cols>
    <col min="1" max="1" width="2.44140625" style="6" customWidth="1"/>
    <col min="2" max="2" width="27.77734375" style="6" customWidth="1"/>
    <col min="3" max="13" width="3.33203125" style="6" customWidth="1"/>
    <col min="14" max="14" width="8.88671875" style="6" customWidth="1"/>
    <col min="15" max="15" width="18.88671875" style="6" customWidth="1"/>
    <col min="16" max="19" width="3.33203125" style="6" customWidth="1"/>
    <col min="20" max="20" width="3.44140625" style="6" customWidth="1"/>
    <col min="21" max="26" width="3.33203125" style="6" customWidth="1"/>
    <col min="27" max="16384" width="9" style="6"/>
  </cols>
  <sheetData>
    <row r="1" spans="1:26" ht="15" customHeight="1" x14ac:dyDescent="0.2">
      <c r="W1" s="190" t="s">
        <v>117</v>
      </c>
      <c r="X1" s="190"/>
      <c r="Y1" s="190"/>
      <c r="Z1" s="190"/>
    </row>
    <row r="2" spans="1:26" ht="18" customHeight="1" x14ac:dyDescent="0.2">
      <c r="A2" s="234" t="s">
        <v>69</v>
      </c>
      <c r="B2" s="234"/>
      <c r="C2" s="234"/>
      <c r="D2" s="234"/>
      <c r="E2" s="234"/>
      <c r="F2" s="234"/>
      <c r="G2" s="234"/>
      <c r="H2" s="234"/>
      <c r="I2" s="234"/>
      <c r="J2" s="234"/>
      <c r="K2" s="234"/>
      <c r="L2" s="234"/>
      <c r="M2" s="234"/>
      <c r="N2" s="234"/>
      <c r="O2" s="234"/>
      <c r="P2" s="234"/>
      <c r="Q2" s="234"/>
      <c r="R2" s="234"/>
      <c r="S2" s="234"/>
      <c r="T2" s="234"/>
      <c r="U2" s="234"/>
      <c r="V2" s="234"/>
      <c r="W2" s="234"/>
      <c r="X2" s="234"/>
      <c r="Y2" s="234"/>
      <c r="Z2" s="234"/>
    </row>
    <row r="3" spans="1:26" ht="15" customHeight="1" x14ac:dyDescent="0.2">
      <c r="B3" s="21"/>
      <c r="C3" s="21"/>
      <c r="D3" s="21"/>
      <c r="E3" s="21"/>
      <c r="F3" s="21"/>
      <c r="G3" s="21"/>
      <c r="H3" s="21"/>
      <c r="I3" s="21"/>
      <c r="J3" s="21"/>
      <c r="K3" s="21"/>
      <c r="L3" s="21"/>
      <c r="M3" s="21"/>
      <c r="N3" s="21"/>
      <c r="O3" s="21"/>
      <c r="P3" s="21"/>
      <c r="Q3" s="21"/>
      <c r="R3" s="21"/>
      <c r="S3" s="21"/>
      <c r="T3" s="21"/>
      <c r="U3" s="21"/>
      <c r="V3" s="21"/>
      <c r="W3" s="21"/>
      <c r="X3" s="21"/>
      <c r="Y3" s="21"/>
      <c r="Z3" s="21"/>
    </row>
    <row r="4" spans="1:26" ht="18" customHeight="1" x14ac:dyDescent="0.2">
      <c r="A4" s="6" t="s">
        <v>103</v>
      </c>
      <c r="B4" s="21"/>
      <c r="C4" s="21"/>
      <c r="D4" s="21"/>
      <c r="E4" s="21"/>
      <c r="F4" s="21"/>
      <c r="G4" s="21"/>
      <c r="H4" s="8" t="s">
        <v>116</v>
      </c>
      <c r="I4" s="21"/>
      <c r="J4" s="21"/>
      <c r="K4" s="21"/>
      <c r="L4" s="21"/>
      <c r="M4" s="21"/>
      <c r="N4" s="21"/>
      <c r="O4" s="181" t="s">
        <v>168</v>
      </c>
      <c r="P4" s="182"/>
      <c r="Q4" s="182"/>
      <c r="R4" s="182"/>
      <c r="S4" s="182"/>
      <c r="T4" s="182"/>
      <c r="U4" s="182"/>
      <c r="V4" s="182"/>
      <c r="W4" s="182"/>
      <c r="X4" s="182"/>
      <c r="Y4" s="182"/>
      <c r="Z4" s="183"/>
    </row>
    <row r="5" spans="1:26" ht="6" customHeight="1" x14ac:dyDescent="0.2">
      <c r="B5" s="21"/>
      <c r="C5" s="21"/>
      <c r="D5" s="21"/>
      <c r="E5" s="21"/>
      <c r="F5" s="21"/>
      <c r="G5" s="21"/>
      <c r="H5" s="21"/>
      <c r="I5" s="21"/>
      <c r="J5" s="21"/>
      <c r="K5" s="21"/>
      <c r="L5" s="21"/>
      <c r="M5" s="21"/>
      <c r="N5" s="21"/>
      <c r="O5" s="9"/>
      <c r="P5" s="21"/>
      <c r="Q5" s="21"/>
      <c r="R5" s="21"/>
      <c r="S5" s="21"/>
      <c r="T5" s="21"/>
      <c r="U5" s="21"/>
      <c r="V5" s="21"/>
      <c r="W5" s="21"/>
      <c r="X5" s="21"/>
      <c r="Y5" s="21"/>
      <c r="Z5" s="21"/>
    </row>
    <row r="6" spans="1:26" ht="18" customHeight="1" x14ac:dyDescent="0.2">
      <c r="B6" s="235" t="s">
        <v>205</v>
      </c>
      <c r="C6" s="236"/>
      <c r="D6" s="236"/>
      <c r="E6" s="236"/>
      <c r="F6" s="236"/>
      <c r="G6" s="236"/>
      <c r="H6" s="236"/>
      <c r="I6" s="236"/>
      <c r="J6" s="236"/>
      <c r="K6" s="236"/>
      <c r="L6" s="236"/>
      <c r="M6" s="236"/>
      <c r="N6" s="236"/>
      <c r="O6" s="236"/>
      <c r="P6" s="236"/>
      <c r="Q6" s="236"/>
      <c r="R6" s="236"/>
      <c r="S6" s="236"/>
      <c r="T6" s="236"/>
      <c r="U6" s="236"/>
      <c r="V6" s="236"/>
      <c r="W6" s="236"/>
      <c r="X6" s="236"/>
      <c r="Y6" s="236"/>
      <c r="Z6" s="237"/>
    </row>
    <row r="7" spans="1:26" ht="18" customHeight="1" x14ac:dyDescent="0.2">
      <c r="B7" s="238"/>
      <c r="C7" s="239"/>
      <c r="D7" s="239"/>
      <c r="E7" s="239"/>
      <c r="F7" s="239"/>
      <c r="G7" s="239"/>
      <c r="H7" s="239"/>
      <c r="I7" s="239"/>
      <c r="J7" s="239"/>
      <c r="K7" s="239"/>
      <c r="L7" s="239"/>
      <c r="M7" s="239"/>
      <c r="N7" s="239"/>
      <c r="O7" s="239"/>
      <c r="P7" s="239"/>
      <c r="Q7" s="239"/>
      <c r="R7" s="239"/>
      <c r="S7" s="239"/>
      <c r="T7" s="239"/>
      <c r="U7" s="239"/>
      <c r="V7" s="239"/>
      <c r="W7" s="239"/>
      <c r="X7" s="239"/>
      <c r="Y7" s="239"/>
      <c r="Z7" s="240"/>
    </row>
    <row r="8" spans="1:26" ht="18" customHeight="1" x14ac:dyDescent="0.2">
      <c r="B8" s="238"/>
      <c r="C8" s="239"/>
      <c r="D8" s="239"/>
      <c r="E8" s="239"/>
      <c r="F8" s="239"/>
      <c r="G8" s="239"/>
      <c r="H8" s="239"/>
      <c r="I8" s="239"/>
      <c r="J8" s="239"/>
      <c r="K8" s="239"/>
      <c r="L8" s="239"/>
      <c r="M8" s="239"/>
      <c r="N8" s="239"/>
      <c r="O8" s="239"/>
      <c r="P8" s="239"/>
      <c r="Q8" s="239"/>
      <c r="R8" s="239"/>
      <c r="S8" s="239"/>
      <c r="T8" s="239"/>
      <c r="U8" s="239"/>
      <c r="V8" s="239"/>
      <c r="W8" s="239"/>
      <c r="X8" s="239"/>
      <c r="Y8" s="239"/>
      <c r="Z8" s="240"/>
    </row>
    <row r="9" spans="1:26" ht="18" customHeight="1" x14ac:dyDescent="0.2">
      <c r="B9" s="238"/>
      <c r="C9" s="239"/>
      <c r="D9" s="239"/>
      <c r="E9" s="239"/>
      <c r="F9" s="239"/>
      <c r="G9" s="239"/>
      <c r="H9" s="239"/>
      <c r="I9" s="239"/>
      <c r="J9" s="239"/>
      <c r="K9" s="239"/>
      <c r="L9" s="239"/>
      <c r="M9" s="239"/>
      <c r="N9" s="239"/>
      <c r="O9" s="239"/>
      <c r="P9" s="239"/>
      <c r="Q9" s="239"/>
      <c r="R9" s="239"/>
      <c r="S9" s="239"/>
      <c r="T9" s="239"/>
      <c r="U9" s="239"/>
      <c r="V9" s="239"/>
      <c r="W9" s="239"/>
      <c r="X9" s="239"/>
      <c r="Y9" s="239"/>
      <c r="Z9" s="240"/>
    </row>
    <row r="10" spans="1:26" ht="18" customHeight="1" x14ac:dyDescent="0.2">
      <c r="B10" s="238"/>
      <c r="C10" s="241"/>
      <c r="D10" s="241"/>
      <c r="E10" s="241"/>
      <c r="F10" s="241"/>
      <c r="G10" s="241"/>
      <c r="H10" s="241"/>
      <c r="I10" s="241"/>
      <c r="J10" s="241"/>
      <c r="K10" s="241"/>
      <c r="L10" s="241"/>
      <c r="M10" s="241"/>
      <c r="N10" s="241"/>
      <c r="O10" s="241"/>
      <c r="P10" s="241"/>
      <c r="Q10" s="241"/>
      <c r="R10" s="241"/>
      <c r="S10" s="241"/>
      <c r="T10" s="241"/>
      <c r="U10" s="241"/>
      <c r="V10" s="241"/>
      <c r="W10" s="241"/>
      <c r="X10" s="241"/>
      <c r="Y10" s="241"/>
      <c r="Z10" s="240"/>
    </row>
    <row r="11" spans="1:26" ht="18" customHeight="1" x14ac:dyDescent="0.2">
      <c r="B11" s="242"/>
      <c r="C11" s="243"/>
      <c r="D11" s="243"/>
      <c r="E11" s="243"/>
      <c r="F11" s="243"/>
      <c r="G11" s="243"/>
      <c r="H11" s="243"/>
      <c r="I11" s="243"/>
      <c r="J11" s="243"/>
      <c r="K11" s="243"/>
      <c r="L11" s="243"/>
      <c r="M11" s="243"/>
      <c r="N11" s="243"/>
      <c r="O11" s="243"/>
      <c r="P11" s="243"/>
      <c r="Q11" s="243"/>
      <c r="R11" s="243"/>
      <c r="S11" s="243"/>
      <c r="T11" s="243"/>
      <c r="U11" s="243"/>
      <c r="V11" s="243"/>
      <c r="W11" s="243"/>
      <c r="X11" s="243"/>
      <c r="Y11" s="243"/>
      <c r="Z11" s="244"/>
    </row>
    <row r="12" spans="1:26" ht="7.5" customHeight="1" x14ac:dyDescent="0.2">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x14ac:dyDescent="0.2">
      <c r="A13" s="233" t="s">
        <v>130</v>
      </c>
      <c r="B13" s="233"/>
      <c r="C13" s="233"/>
      <c r="D13" s="233"/>
      <c r="E13" s="233"/>
      <c r="F13" s="233"/>
      <c r="G13" s="233"/>
      <c r="H13" s="233"/>
      <c r="I13" s="233"/>
      <c r="J13" s="233"/>
      <c r="K13" s="233"/>
      <c r="L13" s="233"/>
      <c r="M13" s="233"/>
      <c r="N13" s="233"/>
      <c r="O13" s="233"/>
      <c r="P13" s="233"/>
      <c r="Q13" s="233"/>
      <c r="R13" s="233"/>
      <c r="S13" s="233"/>
      <c r="T13" s="233"/>
      <c r="U13" s="233"/>
      <c r="V13" s="233"/>
      <c r="W13" s="233"/>
      <c r="X13" s="233"/>
      <c r="Y13" s="233"/>
      <c r="Z13" s="233"/>
    </row>
    <row r="14" spans="1:26" ht="18" customHeight="1" x14ac:dyDescent="0.2">
      <c r="A14" s="233"/>
      <c r="B14" s="233"/>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row>
    <row r="15" spans="1:26" ht="18" customHeight="1" x14ac:dyDescent="0.2">
      <c r="A15" s="7"/>
      <c r="B15" s="181" t="s">
        <v>104</v>
      </c>
      <c r="C15" s="182"/>
      <c r="D15" s="182"/>
      <c r="E15" s="182"/>
      <c r="F15" s="183"/>
      <c r="G15" s="22" t="s">
        <v>146</v>
      </c>
      <c r="H15" s="96" t="s">
        <v>145</v>
      </c>
      <c r="I15" s="182" t="s">
        <v>105</v>
      </c>
      <c r="J15" s="182"/>
      <c r="K15" s="182"/>
      <c r="L15" s="60" t="s">
        <v>108</v>
      </c>
      <c r="M15" s="60" t="s">
        <v>111</v>
      </c>
      <c r="N15" s="181" t="s">
        <v>104</v>
      </c>
      <c r="O15" s="182"/>
      <c r="P15" s="182"/>
      <c r="Q15" s="182"/>
      <c r="R15" s="182"/>
      <c r="S15" s="183"/>
      <c r="T15" s="22" t="s">
        <v>146</v>
      </c>
      <c r="U15" s="96" t="s">
        <v>145</v>
      </c>
      <c r="V15" s="182" t="s">
        <v>105</v>
      </c>
      <c r="W15" s="182"/>
      <c r="X15" s="182"/>
      <c r="Y15" s="60" t="s">
        <v>108</v>
      </c>
      <c r="Z15" s="60" t="s">
        <v>111</v>
      </c>
    </row>
    <row r="16" spans="1:26" ht="18" customHeight="1" x14ac:dyDescent="0.2">
      <c r="A16" s="7"/>
      <c r="B16" s="191" t="s">
        <v>172</v>
      </c>
      <c r="C16" s="192"/>
      <c r="D16" s="192"/>
      <c r="E16" s="192"/>
      <c r="F16" s="193"/>
      <c r="G16" s="97">
        <v>2</v>
      </c>
      <c r="H16" s="97" t="s">
        <v>173</v>
      </c>
      <c r="I16" s="197" t="s">
        <v>174</v>
      </c>
      <c r="J16" s="198"/>
      <c r="K16" s="199"/>
      <c r="L16" s="97" t="s">
        <v>173</v>
      </c>
      <c r="M16" s="97" t="s">
        <v>173</v>
      </c>
      <c r="N16" s="166"/>
      <c r="O16" s="167"/>
      <c r="P16" s="167"/>
      <c r="Q16" s="167"/>
      <c r="R16" s="167"/>
      <c r="S16" s="168"/>
      <c r="T16" s="97"/>
      <c r="U16" s="97"/>
      <c r="V16" s="197"/>
      <c r="W16" s="198"/>
      <c r="X16" s="199"/>
      <c r="Y16" s="97"/>
      <c r="Z16" s="97"/>
    </row>
    <row r="17" spans="1:26" ht="18" customHeight="1" x14ac:dyDescent="0.2">
      <c r="A17" s="7"/>
      <c r="B17" s="184"/>
      <c r="C17" s="185"/>
      <c r="D17" s="185"/>
      <c r="E17" s="185"/>
      <c r="F17" s="186"/>
      <c r="G17" s="98"/>
      <c r="H17" s="98"/>
      <c r="I17" s="175"/>
      <c r="J17" s="176"/>
      <c r="K17" s="177"/>
      <c r="L17" s="98"/>
      <c r="M17" s="98"/>
      <c r="N17" s="169"/>
      <c r="O17" s="170"/>
      <c r="P17" s="170"/>
      <c r="Q17" s="170"/>
      <c r="R17" s="170"/>
      <c r="S17" s="171"/>
      <c r="T17" s="98"/>
      <c r="U17" s="98"/>
      <c r="V17" s="175"/>
      <c r="W17" s="176"/>
      <c r="X17" s="177"/>
      <c r="Y17" s="98"/>
      <c r="Z17" s="98"/>
    </row>
    <row r="18" spans="1:26" ht="18" customHeight="1" x14ac:dyDescent="0.2">
      <c r="A18" s="7"/>
      <c r="B18" s="184"/>
      <c r="C18" s="185"/>
      <c r="D18" s="185"/>
      <c r="E18" s="185"/>
      <c r="F18" s="186"/>
      <c r="G18" s="98"/>
      <c r="H18" s="98"/>
      <c r="I18" s="175"/>
      <c r="J18" s="176"/>
      <c r="K18" s="177"/>
      <c r="L18" s="98"/>
      <c r="M18" s="98"/>
      <c r="N18" s="169"/>
      <c r="O18" s="170"/>
      <c r="P18" s="170"/>
      <c r="Q18" s="170"/>
      <c r="R18" s="170"/>
      <c r="S18" s="171"/>
      <c r="T18" s="98"/>
      <c r="U18" s="98"/>
      <c r="V18" s="175"/>
      <c r="W18" s="176"/>
      <c r="X18" s="177"/>
      <c r="Y18" s="98"/>
      <c r="Z18" s="98"/>
    </row>
    <row r="19" spans="1:26" ht="18" customHeight="1" x14ac:dyDescent="0.2">
      <c r="A19" s="7"/>
      <c r="B19" s="184"/>
      <c r="C19" s="185"/>
      <c r="D19" s="185"/>
      <c r="E19" s="185"/>
      <c r="F19" s="186"/>
      <c r="G19" s="98"/>
      <c r="H19" s="98"/>
      <c r="I19" s="175"/>
      <c r="J19" s="176"/>
      <c r="K19" s="177"/>
      <c r="L19" s="98"/>
      <c r="M19" s="98"/>
      <c r="N19" s="169"/>
      <c r="O19" s="170"/>
      <c r="P19" s="170"/>
      <c r="Q19" s="170"/>
      <c r="R19" s="170"/>
      <c r="S19" s="171"/>
      <c r="T19" s="98"/>
      <c r="U19" s="98"/>
      <c r="V19" s="175"/>
      <c r="W19" s="176"/>
      <c r="X19" s="177"/>
      <c r="Y19" s="98"/>
      <c r="Z19" s="98"/>
    </row>
    <row r="20" spans="1:26" ht="18" customHeight="1" x14ac:dyDescent="0.2">
      <c r="A20" s="7"/>
      <c r="B20" s="184"/>
      <c r="C20" s="185"/>
      <c r="D20" s="185"/>
      <c r="E20" s="185"/>
      <c r="F20" s="186"/>
      <c r="G20" s="98"/>
      <c r="H20" s="98"/>
      <c r="I20" s="175"/>
      <c r="J20" s="176"/>
      <c r="K20" s="177"/>
      <c r="L20" s="98"/>
      <c r="M20" s="98"/>
      <c r="N20" s="169"/>
      <c r="O20" s="170"/>
      <c r="P20" s="170"/>
      <c r="Q20" s="170"/>
      <c r="R20" s="170"/>
      <c r="S20" s="171"/>
      <c r="T20" s="98"/>
      <c r="U20" s="98"/>
      <c r="V20" s="175"/>
      <c r="W20" s="176"/>
      <c r="X20" s="177"/>
      <c r="Y20" s="98"/>
      <c r="Z20" s="98"/>
    </row>
    <row r="21" spans="1:26" ht="18" customHeight="1" x14ac:dyDescent="0.2">
      <c r="A21" s="21"/>
      <c r="B21" s="184"/>
      <c r="C21" s="185"/>
      <c r="D21" s="185"/>
      <c r="E21" s="185"/>
      <c r="F21" s="186"/>
      <c r="G21" s="98"/>
      <c r="H21" s="98"/>
      <c r="I21" s="175"/>
      <c r="J21" s="176"/>
      <c r="K21" s="177"/>
      <c r="L21" s="98"/>
      <c r="M21" s="98"/>
      <c r="N21" s="169"/>
      <c r="O21" s="170"/>
      <c r="P21" s="170"/>
      <c r="Q21" s="170"/>
      <c r="R21" s="170"/>
      <c r="S21" s="171"/>
      <c r="T21" s="98"/>
      <c r="U21" s="98"/>
      <c r="V21" s="175"/>
      <c r="W21" s="176"/>
      <c r="X21" s="177"/>
      <c r="Y21" s="98"/>
      <c r="Z21" s="98"/>
    </row>
    <row r="22" spans="1:26" ht="18" customHeight="1" x14ac:dyDescent="0.2">
      <c r="A22" s="21"/>
      <c r="B22" s="187"/>
      <c r="C22" s="188"/>
      <c r="D22" s="188"/>
      <c r="E22" s="188"/>
      <c r="F22" s="189"/>
      <c r="G22" s="99"/>
      <c r="H22" s="99"/>
      <c r="I22" s="178"/>
      <c r="J22" s="179"/>
      <c r="K22" s="180"/>
      <c r="L22" s="105"/>
      <c r="M22" s="105"/>
      <c r="N22" s="172"/>
      <c r="O22" s="173"/>
      <c r="P22" s="173"/>
      <c r="Q22" s="173"/>
      <c r="R22" s="173"/>
      <c r="S22" s="174"/>
      <c r="T22" s="99"/>
      <c r="U22" s="99"/>
      <c r="V22" s="178"/>
      <c r="W22" s="179"/>
      <c r="X22" s="180"/>
      <c r="Y22" s="105"/>
      <c r="Z22" s="105"/>
    </row>
    <row r="23" spans="1:26" ht="7.5" customHeight="1" x14ac:dyDescent="0.2">
      <c r="A23" s="21"/>
      <c r="B23" s="61"/>
      <c r="C23" s="61"/>
      <c r="D23" s="21"/>
      <c r="E23" s="21"/>
      <c r="F23" s="21"/>
      <c r="G23" s="21"/>
      <c r="H23" s="21"/>
      <c r="I23" s="21"/>
      <c r="J23" s="21"/>
      <c r="K23" s="21"/>
      <c r="L23" s="61"/>
      <c r="M23" s="61"/>
      <c r="N23" s="61"/>
      <c r="O23" s="61"/>
      <c r="P23" s="61"/>
      <c r="Q23" s="61"/>
      <c r="R23" s="61"/>
      <c r="S23" s="61"/>
      <c r="T23" s="61"/>
      <c r="U23" s="61"/>
      <c r="V23" s="61"/>
      <c r="W23" s="61"/>
      <c r="X23" s="61"/>
      <c r="Y23" s="61"/>
      <c r="Z23" s="21"/>
    </row>
    <row r="24" spans="1:26" ht="18" customHeight="1" x14ac:dyDescent="0.2">
      <c r="A24" s="233" t="s">
        <v>131</v>
      </c>
      <c r="B24" s="233"/>
      <c r="C24" s="233"/>
      <c r="D24" s="233"/>
      <c r="E24" s="233"/>
      <c r="F24" s="233"/>
      <c r="G24" s="233"/>
      <c r="H24" s="233"/>
      <c r="I24" s="233"/>
      <c r="J24" s="233"/>
      <c r="K24" s="233"/>
      <c r="L24" s="233"/>
      <c r="M24" s="233"/>
      <c r="N24" s="233"/>
      <c r="O24" s="233"/>
      <c r="P24" s="233"/>
      <c r="Q24" s="233"/>
      <c r="R24" s="233"/>
      <c r="S24" s="233"/>
      <c r="T24" s="233"/>
      <c r="U24" s="233"/>
      <c r="V24" s="233"/>
      <c r="W24" s="233"/>
      <c r="X24" s="233"/>
      <c r="Y24" s="233"/>
      <c r="Z24" s="233"/>
    </row>
    <row r="25" spans="1:26" ht="18" customHeight="1" x14ac:dyDescent="0.2">
      <c r="A25" s="233"/>
      <c r="B25" s="233"/>
      <c r="C25" s="233"/>
      <c r="D25" s="233"/>
      <c r="E25" s="233"/>
      <c r="F25" s="233"/>
      <c r="G25" s="233"/>
      <c r="H25" s="233"/>
      <c r="I25" s="233"/>
      <c r="J25" s="233"/>
      <c r="K25" s="233"/>
      <c r="L25" s="233"/>
      <c r="M25" s="233"/>
      <c r="N25" s="233"/>
      <c r="O25" s="233"/>
      <c r="P25" s="233"/>
      <c r="Q25" s="233"/>
      <c r="R25" s="233"/>
      <c r="S25" s="233"/>
      <c r="T25" s="233"/>
      <c r="U25" s="233"/>
      <c r="V25" s="233"/>
      <c r="W25" s="233"/>
      <c r="X25" s="233"/>
      <c r="Y25" s="233"/>
      <c r="Z25" s="233"/>
    </row>
    <row r="26" spans="1:26" ht="18" customHeight="1" x14ac:dyDescent="0.2">
      <c r="A26" s="7"/>
      <c r="B26" s="181" t="s">
        <v>104</v>
      </c>
      <c r="C26" s="182"/>
      <c r="D26" s="182"/>
      <c r="E26" s="182"/>
      <c r="F26" s="183"/>
      <c r="G26" s="22" t="s">
        <v>146</v>
      </c>
      <c r="H26" s="96" t="s">
        <v>145</v>
      </c>
      <c r="I26" s="182" t="s">
        <v>105</v>
      </c>
      <c r="J26" s="182"/>
      <c r="K26" s="182"/>
      <c r="L26" s="60" t="s">
        <v>132</v>
      </c>
      <c r="M26" s="60" t="s">
        <v>133</v>
      </c>
      <c r="N26" s="181" t="s">
        <v>104</v>
      </c>
      <c r="O26" s="182"/>
      <c r="P26" s="182"/>
      <c r="Q26" s="182"/>
      <c r="R26" s="182"/>
      <c r="S26" s="183"/>
      <c r="T26" s="22" t="s">
        <v>146</v>
      </c>
      <c r="U26" s="96" t="s">
        <v>145</v>
      </c>
      <c r="V26" s="182" t="s">
        <v>105</v>
      </c>
      <c r="W26" s="182"/>
      <c r="X26" s="182"/>
      <c r="Y26" s="60" t="s">
        <v>132</v>
      </c>
      <c r="Z26" s="60" t="s">
        <v>133</v>
      </c>
    </row>
    <row r="27" spans="1:26" ht="18" customHeight="1" x14ac:dyDescent="0.2">
      <c r="A27" s="7"/>
      <c r="B27" s="191" t="s">
        <v>172</v>
      </c>
      <c r="C27" s="192"/>
      <c r="D27" s="192"/>
      <c r="E27" s="192"/>
      <c r="F27" s="193"/>
      <c r="G27" s="97">
        <v>2</v>
      </c>
      <c r="H27" s="97" t="s">
        <v>173</v>
      </c>
      <c r="I27" s="197" t="s">
        <v>174</v>
      </c>
      <c r="J27" s="198"/>
      <c r="K27" s="199"/>
      <c r="L27" s="97" t="s">
        <v>173</v>
      </c>
      <c r="M27" s="97"/>
      <c r="N27" s="166"/>
      <c r="O27" s="167"/>
      <c r="P27" s="167"/>
      <c r="Q27" s="167"/>
      <c r="R27" s="167"/>
      <c r="S27" s="168"/>
      <c r="T27" s="97"/>
      <c r="U27" s="97"/>
      <c r="V27" s="197"/>
      <c r="W27" s="198"/>
      <c r="X27" s="199"/>
      <c r="Y27" s="97"/>
      <c r="Z27" s="97"/>
    </row>
    <row r="28" spans="1:26" ht="18" customHeight="1" x14ac:dyDescent="0.2">
      <c r="A28" s="7"/>
      <c r="B28" s="184" t="s">
        <v>175</v>
      </c>
      <c r="C28" s="185"/>
      <c r="D28" s="185"/>
      <c r="E28" s="185"/>
      <c r="F28" s="186"/>
      <c r="G28" s="98">
        <v>2</v>
      </c>
      <c r="H28" s="98" t="s">
        <v>173</v>
      </c>
      <c r="I28" s="175" t="s">
        <v>174</v>
      </c>
      <c r="J28" s="176"/>
      <c r="K28" s="177"/>
      <c r="L28" s="98"/>
      <c r="M28" s="98" t="s">
        <v>173</v>
      </c>
      <c r="N28" s="169"/>
      <c r="O28" s="170"/>
      <c r="P28" s="170"/>
      <c r="Q28" s="170"/>
      <c r="R28" s="170"/>
      <c r="S28" s="171"/>
      <c r="T28" s="98"/>
      <c r="U28" s="98"/>
      <c r="V28" s="175"/>
      <c r="W28" s="176"/>
      <c r="X28" s="177"/>
      <c r="Y28" s="98"/>
      <c r="Z28" s="98"/>
    </row>
    <row r="29" spans="1:26" ht="18" customHeight="1" x14ac:dyDescent="0.2">
      <c r="A29" s="7"/>
      <c r="B29" s="184"/>
      <c r="C29" s="185"/>
      <c r="D29" s="185"/>
      <c r="E29" s="185"/>
      <c r="F29" s="186"/>
      <c r="G29" s="98"/>
      <c r="H29" s="98"/>
      <c r="I29" s="175"/>
      <c r="J29" s="176"/>
      <c r="K29" s="177"/>
      <c r="L29" s="98"/>
      <c r="M29" s="98"/>
      <c r="N29" s="169"/>
      <c r="O29" s="170"/>
      <c r="P29" s="170"/>
      <c r="Q29" s="170"/>
      <c r="R29" s="170"/>
      <c r="S29" s="171"/>
      <c r="T29" s="98"/>
      <c r="U29" s="98"/>
      <c r="V29" s="175"/>
      <c r="W29" s="176"/>
      <c r="X29" s="177"/>
      <c r="Y29" s="98"/>
      <c r="Z29" s="98"/>
    </row>
    <row r="30" spans="1:26" ht="18" customHeight="1" x14ac:dyDescent="0.2">
      <c r="A30" s="7"/>
      <c r="B30" s="184"/>
      <c r="C30" s="185"/>
      <c r="D30" s="185"/>
      <c r="E30" s="185"/>
      <c r="F30" s="186"/>
      <c r="G30" s="98"/>
      <c r="H30" s="98"/>
      <c r="I30" s="175"/>
      <c r="J30" s="176"/>
      <c r="K30" s="177"/>
      <c r="L30" s="98"/>
      <c r="M30" s="98"/>
      <c r="N30" s="169"/>
      <c r="O30" s="170"/>
      <c r="P30" s="170"/>
      <c r="Q30" s="170"/>
      <c r="R30" s="170"/>
      <c r="S30" s="171"/>
      <c r="T30" s="98"/>
      <c r="U30" s="98"/>
      <c r="V30" s="175"/>
      <c r="W30" s="176"/>
      <c r="X30" s="177"/>
      <c r="Y30" s="98"/>
      <c r="Z30" s="98"/>
    </row>
    <row r="31" spans="1:26" ht="18" customHeight="1" x14ac:dyDescent="0.2">
      <c r="A31" s="7"/>
      <c r="B31" s="184"/>
      <c r="C31" s="185"/>
      <c r="D31" s="185"/>
      <c r="E31" s="185"/>
      <c r="F31" s="186"/>
      <c r="G31" s="98"/>
      <c r="H31" s="98"/>
      <c r="I31" s="175"/>
      <c r="J31" s="176"/>
      <c r="K31" s="177"/>
      <c r="L31" s="98"/>
      <c r="M31" s="98"/>
      <c r="N31" s="169"/>
      <c r="O31" s="170"/>
      <c r="P31" s="170"/>
      <c r="Q31" s="170"/>
      <c r="R31" s="170"/>
      <c r="S31" s="171"/>
      <c r="T31" s="98"/>
      <c r="U31" s="98"/>
      <c r="V31" s="175"/>
      <c r="W31" s="176"/>
      <c r="X31" s="177"/>
      <c r="Y31" s="98"/>
      <c r="Z31" s="98"/>
    </row>
    <row r="32" spans="1:26" ht="18" customHeight="1" x14ac:dyDescent="0.2">
      <c r="A32" s="7"/>
      <c r="B32" s="184"/>
      <c r="C32" s="185"/>
      <c r="D32" s="185"/>
      <c r="E32" s="185"/>
      <c r="F32" s="186"/>
      <c r="G32" s="98"/>
      <c r="H32" s="98"/>
      <c r="I32" s="175"/>
      <c r="J32" s="176"/>
      <c r="K32" s="177"/>
      <c r="L32" s="98"/>
      <c r="M32" s="98"/>
      <c r="N32" s="169"/>
      <c r="O32" s="170"/>
      <c r="P32" s="170"/>
      <c r="Q32" s="170"/>
      <c r="R32" s="170"/>
      <c r="S32" s="171"/>
      <c r="T32" s="98"/>
      <c r="U32" s="98"/>
      <c r="V32" s="175"/>
      <c r="W32" s="176"/>
      <c r="X32" s="177"/>
      <c r="Y32" s="98"/>
      <c r="Z32" s="98"/>
    </row>
    <row r="33" spans="1:26" ht="18" customHeight="1" x14ac:dyDescent="0.2">
      <c r="A33" s="7"/>
      <c r="B33" s="187"/>
      <c r="C33" s="188"/>
      <c r="D33" s="188"/>
      <c r="E33" s="188"/>
      <c r="F33" s="189"/>
      <c r="G33" s="99"/>
      <c r="H33" s="99"/>
      <c r="I33" s="178"/>
      <c r="J33" s="179"/>
      <c r="K33" s="180"/>
      <c r="L33" s="105"/>
      <c r="M33" s="105"/>
      <c r="N33" s="172"/>
      <c r="O33" s="173"/>
      <c r="P33" s="173"/>
      <c r="Q33" s="173"/>
      <c r="R33" s="173"/>
      <c r="S33" s="174"/>
      <c r="T33" s="99"/>
      <c r="U33" s="99"/>
      <c r="V33" s="178"/>
      <c r="W33" s="179"/>
      <c r="X33" s="180"/>
      <c r="Y33" s="105"/>
      <c r="Z33" s="105"/>
    </row>
    <row r="34" spans="1:26" ht="7.5" customHeight="1" x14ac:dyDescent="0.2">
      <c r="A34" s="21"/>
      <c r="B34" s="61"/>
      <c r="C34" s="61"/>
      <c r="D34" s="21"/>
      <c r="E34" s="21"/>
      <c r="F34" s="21"/>
      <c r="G34" s="21"/>
      <c r="H34" s="21"/>
      <c r="I34" s="21"/>
      <c r="J34" s="21"/>
      <c r="K34" s="21"/>
      <c r="L34" s="61"/>
      <c r="M34" s="61"/>
      <c r="N34" s="61"/>
      <c r="O34" s="61"/>
      <c r="P34" s="61"/>
      <c r="Q34" s="61"/>
      <c r="R34" s="61"/>
      <c r="S34" s="61"/>
      <c r="T34" s="61"/>
      <c r="U34" s="61"/>
      <c r="V34" s="61"/>
      <c r="W34" s="61"/>
      <c r="X34" s="61"/>
      <c r="Y34" s="61"/>
      <c r="Z34" s="21"/>
    </row>
    <row r="35" spans="1:26" ht="18" customHeight="1" x14ac:dyDescent="0.2">
      <c r="A35" s="233" t="s">
        <v>134</v>
      </c>
      <c r="B35" s="233"/>
      <c r="C35" s="233"/>
      <c r="D35" s="233"/>
      <c r="E35" s="233"/>
      <c r="F35" s="233"/>
      <c r="G35" s="233"/>
      <c r="H35" s="233"/>
      <c r="I35" s="233"/>
      <c r="J35" s="233"/>
      <c r="K35" s="233"/>
      <c r="L35" s="233"/>
      <c r="M35" s="233"/>
      <c r="N35" s="233"/>
      <c r="O35" s="233"/>
      <c r="P35" s="233"/>
      <c r="Q35" s="233"/>
      <c r="R35" s="233"/>
      <c r="S35" s="233"/>
      <c r="T35" s="233"/>
      <c r="U35" s="233"/>
      <c r="V35" s="233"/>
      <c r="W35" s="233"/>
      <c r="X35" s="233"/>
      <c r="Y35" s="233"/>
      <c r="Z35" s="233"/>
    </row>
    <row r="36" spans="1:26" ht="18" customHeight="1" x14ac:dyDescent="0.2">
      <c r="A36" s="233"/>
      <c r="B36" s="233"/>
      <c r="C36" s="233"/>
      <c r="D36" s="233"/>
      <c r="E36" s="233"/>
      <c r="F36" s="233"/>
      <c r="G36" s="233"/>
      <c r="H36" s="233"/>
      <c r="I36" s="233"/>
      <c r="J36" s="233"/>
      <c r="K36" s="233"/>
      <c r="L36" s="233"/>
      <c r="M36" s="233"/>
      <c r="N36" s="233"/>
      <c r="O36" s="233"/>
      <c r="P36" s="233"/>
      <c r="Q36" s="233"/>
      <c r="R36" s="233"/>
      <c r="S36" s="233"/>
      <c r="T36" s="233"/>
      <c r="U36" s="233"/>
      <c r="V36" s="233"/>
      <c r="W36" s="233"/>
      <c r="X36" s="233"/>
      <c r="Y36" s="233"/>
      <c r="Z36" s="233"/>
    </row>
    <row r="37" spans="1:26" ht="18" customHeight="1" x14ac:dyDescent="0.2">
      <c r="A37" s="7"/>
      <c r="B37" s="181" t="s">
        <v>104</v>
      </c>
      <c r="C37" s="182"/>
      <c r="D37" s="182"/>
      <c r="E37" s="182"/>
      <c r="F37" s="183"/>
      <c r="G37" s="22" t="s">
        <v>146</v>
      </c>
      <c r="H37" s="96" t="s">
        <v>145</v>
      </c>
      <c r="I37" s="181" t="s">
        <v>105</v>
      </c>
      <c r="J37" s="182"/>
      <c r="K37" s="183"/>
      <c r="L37" s="60" t="s">
        <v>135</v>
      </c>
      <c r="M37" s="60" t="s">
        <v>136</v>
      </c>
      <c r="N37" s="181" t="s">
        <v>104</v>
      </c>
      <c r="O37" s="182"/>
      <c r="P37" s="182"/>
      <c r="Q37" s="182"/>
      <c r="R37" s="182"/>
      <c r="S37" s="183"/>
      <c r="T37" s="22" t="s">
        <v>146</v>
      </c>
      <c r="U37" s="96" t="s">
        <v>145</v>
      </c>
      <c r="V37" s="181" t="s">
        <v>105</v>
      </c>
      <c r="W37" s="182"/>
      <c r="X37" s="183"/>
      <c r="Y37" s="60" t="s">
        <v>135</v>
      </c>
      <c r="Z37" s="60" t="s">
        <v>136</v>
      </c>
    </row>
    <row r="38" spans="1:26" ht="18" customHeight="1" x14ac:dyDescent="0.2">
      <c r="A38" s="21"/>
      <c r="B38" s="191" t="s">
        <v>172</v>
      </c>
      <c r="C38" s="192"/>
      <c r="D38" s="192"/>
      <c r="E38" s="192"/>
      <c r="F38" s="193"/>
      <c r="G38" s="97">
        <v>2</v>
      </c>
      <c r="H38" s="97" t="s">
        <v>173</v>
      </c>
      <c r="I38" s="197" t="s">
        <v>174</v>
      </c>
      <c r="J38" s="198"/>
      <c r="K38" s="199"/>
      <c r="L38" s="97"/>
      <c r="M38" s="97" t="s">
        <v>173</v>
      </c>
      <c r="N38" s="166"/>
      <c r="O38" s="167"/>
      <c r="P38" s="167"/>
      <c r="Q38" s="167"/>
      <c r="R38" s="167"/>
      <c r="S38" s="168"/>
      <c r="T38" s="97"/>
      <c r="U38" s="97"/>
      <c r="V38" s="197"/>
      <c r="W38" s="198"/>
      <c r="X38" s="199"/>
      <c r="Y38" s="97"/>
      <c r="Z38" s="97"/>
    </row>
    <row r="39" spans="1:26" ht="18" customHeight="1" x14ac:dyDescent="0.2">
      <c r="A39" s="21"/>
      <c r="B39" s="184" t="s">
        <v>175</v>
      </c>
      <c r="C39" s="185"/>
      <c r="D39" s="185"/>
      <c r="E39" s="185"/>
      <c r="F39" s="186"/>
      <c r="G39" s="98">
        <v>2</v>
      </c>
      <c r="H39" s="98" t="s">
        <v>173</v>
      </c>
      <c r="I39" s="175" t="s">
        <v>174</v>
      </c>
      <c r="J39" s="176"/>
      <c r="K39" s="177"/>
      <c r="L39" s="98" t="s">
        <v>173</v>
      </c>
      <c r="M39" s="98"/>
      <c r="N39" s="169"/>
      <c r="O39" s="170"/>
      <c r="P39" s="170"/>
      <c r="Q39" s="170"/>
      <c r="R39" s="170"/>
      <c r="S39" s="171"/>
      <c r="T39" s="98"/>
      <c r="U39" s="98"/>
      <c r="V39" s="175"/>
      <c r="W39" s="176"/>
      <c r="X39" s="177"/>
      <c r="Y39" s="98"/>
      <c r="Z39" s="98"/>
    </row>
    <row r="40" spans="1:26" ht="18" customHeight="1" x14ac:dyDescent="0.2">
      <c r="A40" s="21"/>
      <c r="B40" s="184"/>
      <c r="C40" s="185"/>
      <c r="D40" s="185"/>
      <c r="E40" s="185"/>
      <c r="F40" s="186"/>
      <c r="G40" s="98"/>
      <c r="H40" s="98"/>
      <c r="I40" s="175"/>
      <c r="J40" s="176"/>
      <c r="K40" s="177"/>
      <c r="L40" s="98"/>
      <c r="M40" s="98"/>
      <c r="N40" s="169"/>
      <c r="O40" s="170"/>
      <c r="P40" s="170"/>
      <c r="Q40" s="170"/>
      <c r="R40" s="170"/>
      <c r="S40" s="171"/>
      <c r="T40" s="98"/>
      <c r="U40" s="98"/>
      <c r="V40" s="175"/>
      <c r="W40" s="176"/>
      <c r="X40" s="177"/>
      <c r="Y40" s="98"/>
      <c r="Z40" s="98"/>
    </row>
    <row r="41" spans="1:26" ht="18" customHeight="1" x14ac:dyDescent="0.2">
      <c r="A41" s="21"/>
      <c r="B41" s="184"/>
      <c r="C41" s="185"/>
      <c r="D41" s="185"/>
      <c r="E41" s="185"/>
      <c r="F41" s="186"/>
      <c r="G41" s="98"/>
      <c r="H41" s="98"/>
      <c r="I41" s="175"/>
      <c r="J41" s="176"/>
      <c r="K41" s="177"/>
      <c r="L41" s="98"/>
      <c r="M41" s="98"/>
      <c r="N41" s="169"/>
      <c r="O41" s="170"/>
      <c r="P41" s="170"/>
      <c r="Q41" s="170"/>
      <c r="R41" s="170"/>
      <c r="S41" s="171"/>
      <c r="T41" s="98"/>
      <c r="U41" s="98"/>
      <c r="V41" s="175"/>
      <c r="W41" s="176"/>
      <c r="X41" s="177"/>
      <c r="Y41" s="98"/>
      <c r="Z41" s="98"/>
    </row>
    <row r="42" spans="1:26" ht="18" customHeight="1" x14ac:dyDescent="0.2">
      <c r="A42" s="21"/>
      <c r="B42" s="184"/>
      <c r="C42" s="185"/>
      <c r="D42" s="185"/>
      <c r="E42" s="185"/>
      <c r="F42" s="186"/>
      <c r="G42" s="98"/>
      <c r="H42" s="98"/>
      <c r="I42" s="175"/>
      <c r="J42" s="176"/>
      <c r="K42" s="177"/>
      <c r="L42" s="98"/>
      <c r="M42" s="98"/>
      <c r="N42" s="169"/>
      <c r="O42" s="170"/>
      <c r="P42" s="170"/>
      <c r="Q42" s="170"/>
      <c r="R42" s="170"/>
      <c r="S42" s="171"/>
      <c r="T42" s="98"/>
      <c r="U42" s="98"/>
      <c r="V42" s="175"/>
      <c r="W42" s="176"/>
      <c r="X42" s="177"/>
      <c r="Y42" s="98"/>
      <c r="Z42" s="98"/>
    </row>
    <row r="43" spans="1:26" ht="18" customHeight="1" x14ac:dyDescent="0.2">
      <c r="A43" s="21"/>
      <c r="B43" s="184"/>
      <c r="C43" s="185"/>
      <c r="D43" s="185"/>
      <c r="E43" s="185"/>
      <c r="F43" s="186"/>
      <c r="G43" s="98"/>
      <c r="H43" s="98"/>
      <c r="I43" s="175"/>
      <c r="J43" s="176"/>
      <c r="K43" s="177"/>
      <c r="L43" s="98"/>
      <c r="M43" s="98"/>
      <c r="N43" s="169"/>
      <c r="O43" s="170"/>
      <c r="P43" s="170"/>
      <c r="Q43" s="170"/>
      <c r="R43" s="170"/>
      <c r="S43" s="171"/>
      <c r="T43" s="98"/>
      <c r="U43" s="98"/>
      <c r="V43" s="175"/>
      <c r="W43" s="176"/>
      <c r="X43" s="177"/>
      <c r="Y43" s="98"/>
      <c r="Z43" s="98"/>
    </row>
    <row r="44" spans="1:26" ht="18" customHeight="1" x14ac:dyDescent="0.2">
      <c r="A44" s="21"/>
      <c r="B44" s="187"/>
      <c r="C44" s="188"/>
      <c r="D44" s="188"/>
      <c r="E44" s="188"/>
      <c r="F44" s="189"/>
      <c r="G44" s="99"/>
      <c r="H44" s="99"/>
      <c r="I44" s="178"/>
      <c r="J44" s="179"/>
      <c r="K44" s="180"/>
      <c r="L44" s="105"/>
      <c r="M44" s="105"/>
      <c r="N44" s="172"/>
      <c r="O44" s="173"/>
      <c r="P44" s="173"/>
      <c r="Q44" s="173"/>
      <c r="R44" s="173"/>
      <c r="S44" s="174"/>
      <c r="T44" s="99"/>
      <c r="U44" s="99"/>
      <c r="V44" s="178"/>
      <c r="W44" s="179"/>
      <c r="X44" s="180"/>
      <c r="Y44" s="105"/>
      <c r="Z44" s="105"/>
    </row>
    <row r="45" spans="1:26" ht="7.5" customHeight="1" x14ac:dyDescent="0.2">
      <c r="B45" s="62"/>
      <c r="C45" s="62"/>
      <c r="D45" s="62"/>
      <c r="E45" s="62"/>
      <c r="F45" s="62"/>
      <c r="G45" s="62"/>
      <c r="H45" s="62"/>
      <c r="I45" s="62"/>
      <c r="J45" s="62"/>
      <c r="K45" s="62"/>
      <c r="L45" s="62"/>
      <c r="M45" s="62"/>
      <c r="N45" s="62"/>
      <c r="O45" s="62"/>
      <c r="P45" s="62"/>
      <c r="Q45" s="62"/>
      <c r="R45" s="62"/>
      <c r="S45" s="62"/>
      <c r="T45" s="62"/>
      <c r="U45" s="62"/>
      <c r="V45" s="62"/>
      <c r="W45" s="62"/>
      <c r="X45" s="62"/>
      <c r="Y45" s="62"/>
    </row>
    <row r="46" spans="1:26" ht="18" customHeight="1" x14ac:dyDescent="0.2">
      <c r="A46" s="233" t="s">
        <v>137</v>
      </c>
      <c r="B46" s="233"/>
      <c r="C46" s="233"/>
      <c r="D46" s="233"/>
      <c r="E46" s="233"/>
      <c r="F46" s="233"/>
      <c r="G46" s="233"/>
      <c r="H46" s="233"/>
      <c r="I46" s="233"/>
      <c r="J46" s="233"/>
      <c r="K46" s="233"/>
      <c r="L46" s="233"/>
      <c r="M46" s="233"/>
      <c r="N46" s="233"/>
      <c r="O46" s="233"/>
      <c r="P46" s="233"/>
      <c r="Q46" s="233"/>
      <c r="R46" s="233"/>
      <c r="S46" s="233"/>
      <c r="T46" s="233"/>
      <c r="U46" s="233"/>
      <c r="V46" s="233"/>
      <c r="W46" s="233"/>
      <c r="X46" s="233"/>
      <c r="Y46" s="233"/>
      <c r="Z46" s="233"/>
    </row>
    <row r="47" spans="1:26" ht="18" customHeight="1" x14ac:dyDescent="0.2">
      <c r="A47" s="233"/>
      <c r="B47" s="233"/>
      <c r="C47" s="233"/>
      <c r="D47" s="233"/>
      <c r="E47" s="233"/>
      <c r="F47" s="233"/>
      <c r="G47" s="233"/>
      <c r="H47" s="233"/>
      <c r="I47" s="233"/>
      <c r="J47" s="233"/>
      <c r="K47" s="233"/>
      <c r="L47" s="233"/>
      <c r="M47" s="233"/>
      <c r="N47" s="233"/>
      <c r="O47" s="233"/>
      <c r="P47" s="233"/>
      <c r="Q47" s="233"/>
      <c r="R47" s="233"/>
      <c r="S47" s="233"/>
      <c r="T47" s="233"/>
      <c r="U47" s="233"/>
      <c r="V47" s="233"/>
      <c r="W47" s="233"/>
      <c r="X47" s="233"/>
      <c r="Y47" s="233"/>
      <c r="Z47" s="233"/>
    </row>
    <row r="48" spans="1:26" ht="18" customHeight="1" x14ac:dyDescent="0.2">
      <c r="A48" s="7"/>
      <c r="B48" s="181" t="s">
        <v>104</v>
      </c>
      <c r="C48" s="182"/>
      <c r="D48" s="182"/>
      <c r="E48" s="182"/>
      <c r="F48" s="183"/>
      <c r="G48" s="22" t="s">
        <v>146</v>
      </c>
      <c r="H48" s="96" t="s">
        <v>145</v>
      </c>
      <c r="I48" s="181" t="s">
        <v>105</v>
      </c>
      <c r="J48" s="182"/>
      <c r="K48" s="183"/>
      <c r="L48" s="60" t="s">
        <v>110</v>
      </c>
      <c r="M48" s="60" t="s">
        <v>112</v>
      </c>
      <c r="N48" s="181" t="s">
        <v>104</v>
      </c>
      <c r="O48" s="182"/>
      <c r="P48" s="182"/>
      <c r="Q48" s="182"/>
      <c r="R48" s="182"/>
      <c r="S48" s="183"/>
      <c r="T48" s="22" t="s">
        <v>146</v>
      </c>
      <c r="U48" s="96" t="s">
        <v>145</v>
      </c>
      <c r="V48" s="181" t="s">
        <v>105</v>
      </c>
      <c r="W48" s="182"/>
      <c r="X48" s="183"/>
      <c r="Y48" s="60" t="s">
        <v>110</v>
      </c>
      <c r="Z48" s="60" t="s">
        <v>112</v>
      </c>
    </row>
    <row r="49" spans="1:26" ht="18" customHeight="1" x14ac:dyDescent="0.2">
      <c r="A49" s="21"/>
      <c r="B49" s="191" t="s">
        <v>172</v>
      </c>
      <c r="C49" s="192"/>
      <c r="D49" s="192"/>
      <c r="E49" s="192"/>
      <c r="F49" s="193"/>
      <c r="G49" s="97">
        <v>2</v>
      </c>
      <c r="H49" s="97" t="s">
        <v>173</v>
      </c>
      <c r="I49" s="197" t="s">
        <v>174</v>
      </c>
      <c r="J49" s="198"/>
      <c r="K49" s="199"/>
      <c r="L49" s="97" t="s">
        <v>173</v>
      </c>
      <c r="M49" s="97" t="s">
        <v>173</v>
      </c>
      <c r="N49" s="166"/>
      <c r="O49" s="167"/>
      <c r="P49" s="167"/>
      <c r="Q49" s="167"/>
      <c r="R49" s="167"/>
      <c r="S49" s="168"/>
      <c r="T49" s="97"/>
      <c r="U49" s="97"/>
      <c r="V49" s="197"/>
      <c r="W49" s="198"/>
      <c r="X49" s="199"/>
      <c r="Y49" s="97"/>
      <c r="Z49" s="97"/>
    </row>
    <row r="50" spans="1:26" ht="18" customHeight="1" x14ac:dyDescent="0.2">
      <c r="A50" s="21"/>
      <c r="B50" s="184"/>
      <c r="C50" s="185"/>
      <c r="D50" s="185"/>
      <c r="E50" s="185"/>
      <c r="F50" s="186"/>
      <c r="G50" s="98"/>
      <c r="H50" s="98"/>
      <c r="I50" s="175"/>
      <c r="J50" s="176"/>
      <c r="K50" s="177"/>
      <c r="L50" s="98"/>
      <c r="M50" s="98"/>
      <c r="N50" s="169"/>
      <c r="O50" s="170"/>
      <c r="P50" s="170"/>
      <c r="Q50" s="170"/>
      <c r="R50" s="170"/>
      <c r="S50" s="171"/>
      <c r="T50" s="98"/>
      <c r="U50" s="98"/>
      <c r="V50" s="175"/>
      <c r="W50" s="176"/>
      <c r="X50" s="177"/>
      <c r="Y50" s="98"/>
      <c r="Z50" s="98"/>
    </row>
    <row r="51" spans="1:26" ht="18" customHeight="1" x14ac:dyDescent="0.2">
      <c r="A51" s="21"/>
      <c r="B51" s="184"/>
      <c r="C51" s="185"/>
      <c r="D51" s="185"/>
      <c r="E51" s="185"/>
      <c r="F51" s="186"/>
      <c r="G51" s="98"/>
      <c r="H51" s="98"/>
      <c r="I51" s="175"/>
      <c r="J51" s="176"/>
      <c r="K51" s="177"/>
      <c r="L51" s="98"/>
      <c r="M51" s="98"/>
      <c r="N51" s="169"/>
      <c r="O51" s="170"/>
      <c r="P51" s="170"/>
      <c r="Q51" s="170"/>
      <c r="R51" s="170"/>
      <c r="S51" s="171"/>
      <c r="T51" s="98"/>
      <c r="U51" s="98"/>
      <c r="V51" s="175"/>
      <c r="W51" s="176"/>
      <c r="X51" s="177"/>
      <c r="Y51" s="98"/>
      <c r="Z51" s="98"/>
    </row>
    <row r="52" spans="1:26" ht="18" customHeight="1" x14ac:dyDescent="0.2">
      <c r="A52" s="21"/>
      <c r="B52" s="184"/>
      <c r="C52" s="185"/>
      <c r="D52" s="185"/>
      <c r="E52" s="185"/>
      <c r="F52" s="186"/>
      <c r="G52" s="98"/>
      <c r="H52" s="98"/>
      <c r="I52" s="175"/>
      <c r="J52" s="176"/>
      <c r="K52" s="177"/>
      <c r="L52" s="98"/>
      <c r="M52" s="98"/>
      <c r="N52" s="169"/>
      <c r="O52" s="170"/>
      <c r="P52" s="170"/>
      <c r="Q52" s="170"/>
      <c r="R52" s="170"/>
      <c r="S52" s="171"/>
      <c r="T52" s="98"/>
      <c r="U52" s="98"/>
      <c r="V52" s="175"/>
      <c r="W52" s="176"/>
      <c r="X52" s="177"/>
      <c r="Y52" s="98"/>
      <c r="Z52" s="98"/>
    </row>
    <row r="53" spans="1:26" ht="18" customHeight="1" x14ac:dyDescent="0.2">
      <c r="A53" s="21"/>
      <c r="B53" s="184"/>
      <c r="C53" s="185"/>
      <c r="D53" s="185"/>
      <c r="E53" s="185"/>
      <c r="F53" s="186"/>
      <c r="G53" s="98"/>
      <c r="H53" s="98"/>
      <c r="I53" s="175"/>
      <c r="J53" s="176"/>
      <c r="K53" s="177"/>
      <c r="L53" s="98"/>
      <c r="M53" s="98"/>
      <c r="N53" s="169"/>
      <c r="O53" s="170"/>
      <c r="P53" s="170"/>
      <c r="Q53" s="170"/>
      <c r="R53" s="170"/>
      <c r="S53" s="171"/>
      <c r="T53" s="98"/>
      <c r="U53" s="98"/>
      <c r="V53" s="175"/>
      <c r="W53" s="176"/>
      <c r="X53" s="177"/>
      <c r="Y53" s="98"/>
      <c r="Z53" s="98"/>
    </row>
    <row r="54" spans="1:26" ht="18" customHeight="1" x14ac:dyDescent="0.2">
      <c r="A54" s="21"/>
      <c r="B54" s="184"/>
      <c r="C54" s="185"/>
      <c r="D54" s="185"/>
      <c r="E54" s="185"/>
      <c r="F54" s="186"/>
      <c r="G54" s="98"/>
      <c r="H54" s="98"/>
      <c r="I54" s="175"/>
      <c r="J54" s="176"/>
      <c r="K54" s="177"/>
      <c r="L54" s="98"/>
      <c r="M54" s="98"/>
      <c r="N54" s="169"/>
      <c r="O54" s="170"/>
      <c r="P54" s="170"/>
      <c r="Q54" s="170"/>
      <c r="R54" s="170"/>
      <c r="S54" s="171"/>
      <c r="T54" s="98"/>
      <c r="U54" s="98"/>
      <c r="V54" s="175"/>
      <c r="W54" s="176"/>
      <c r="X54" s="177"/>
      <c r="Y54" s="98"/>
      <c r="Z54" s="98"/>
    </row>
    <row r="55" spans="1:26" ht="18" customHeight="1" x14ac:dyDescent="0.2">
      <c r="A55" s="21"/>
      <c r="B55" s="187"/>
      <c r="C55" s="188"/>
      <c r="D55" s="188"/>
      <c r="E55" s="188"/>
      <c r="F55" s="189"/>
      <c r="G55" s="99"/>
      <c r="H55" s="99"/>
      <c r="I55" s="178"/>
      <c r="J55" s="179"/>
      <c r="K55" s="180"/>
      <c r="L55" s="105"/>
      <c r="M55" s="105"/>
      <c r="N55" s="172"/>
      <c r="O55" s="173"/>
      <c r="P55" s="173"/>
      <c r="Q55" s="173"/>
      <c r="R55" s="173"/>
      <c r="S55" s="174"/>
      <c r="T55" s="99"/>
      <c r="U55" s="99"/>
      <c r="V55" s="178"/>
      <c r="W55" s="179"/>
      <c r="X55" s="180"/>
      <c r="Y55" s="105"/>
      <c r="Z55" s="105"/>
    </row>
    <row r="56" spans="1:26" ht="7.5" customHeight="1" x14ac:dyDescent="0.2">
      <c r="B56" s="62"/>
      <c r="C56" s="62"/>
      <c r="D56" s="62"/>
      <c r="E56" s="62"/>
      <c r="F56" s="62"/>
      <c r="G56" s="62"/>
      <c r="H56" s="62"/>
      <c r="I56" s="62"/>
      <c r="J56" s="62"/>
      <c r="K56" s="62"/>
      <c r="L56" s="62"/>
      <c r="M56" s="62"/>
      <c r="N56" s="62"/>
      <c r="O56" s="62"/>
      <c r="P56" s="62"/>
      <c r="Q56" s="62"/>
      <c r="R56" s="62"/>
      <c r="S56" s="62"/>
      <c r="T56" s="62"/>
      <c r="U56" s="62"/>
      <c r="V56" s="62"/>
      <c r="W56" s="62"/>
      <c r="X56" s="62"/>
      <c r="Y56" s="62"/>
    </row>
    <row r="57" spans="1:26" ht="18" customHeight="1" x14ac:dyDescent="0.2">
      <c r="A57" s="233" t="s">
        <v>138</v>
      </c>
      <c r="B57" s="233"/>
      <c r="C57" s="233"/>
      <c r="D57" s="233"/>
      <c r="E57" s="233"/>
      <c r="F57" s="233"/>
      <c r="G57" s="233"/>
      <c r="H57" s="233"/>
      <c r="I57" s="233"/>
      <c r="J57" s="233"/>
      <c r="K57" s="233"/>
      <c r="L57" s="233"/>
      <c r="M57" s="233"/>
      <c r="N57" s="233"/>
      <c r="O57" s="233"/>
      <c r="P57" s="233"/>
      <c r="Q57" s="233"/>
      <c r="R57" s="233"/>
      <c r="S57" s="233"/>
      <c r="T57" s="233"/>
      <c r="U57" s="233"/>
      <c r="V57" s="233"/>
      <c r="W57" s="233"/>
      <c r="X57" s="233"/>
      <c r="Y57" s="233"/>
      <c r="Z57" s="233"/>
    </row>
    <row r="58" spans="1:26" ht="18" customHeight="1" x14ac:dyDescent="0.2">
      <c r="A58" s="233"/>
      <c r="B58" s="233"/>
      <c r="C58" s="233"/>
      <c r="D58" s="233"/>
      <c r="E58" s="233"/>
      <c r="F58" s="233"/>
      <c r="G58" s="233"/>
      <c r="H58" s="233"/>
      <c r="I58" s="233"/>
      <c r="J58" s="233"/>
      <c r="K58" s="233"/>
      <c r="L58" s="233"/>
      <c r="M58" s="233"/>
      <c r="N58" s="233"/>
      <c r="O58" s="233"/>
      <c r="P58" s="233"/>
      <c r="Q58" s="233"/>
      <c r="R58" s="233"/>
      <c r="S58" s="233"/>
      <c r="T58" s="233"/>
      <c r="U58" s="233"/>
      <c r="V58" s="233"/>
      <c r="W58" s="233"/>
      <c r="X58" s="233"/>
      <c r="Y58" s="233"/>
      <c r="Z58" s="233"/>
    </row>
    <row r="59" spans="1:26" ht="18" customHeight="1" x14ac:dyDescent="0.2">
      <c r="A59" s="7"/>
      <c r="B59" s="181" t="s">
        <v>104</v>
      </c>
      <c r="C59" s="182"/>
      <c r="D59" s="182"/>
      <c r="E59" s="183"/>
      <c r="F59" s="22" t="s">
        <v>146</v>
      </c>
      <c r="G59" s="96" t="s">
        <v>145</v>
      </c>
      <c r="H59" s="91" t="s">
        <v>105</v>
      </c>
      <c r="I59" s="92"/>
      <c r="J59" s="93"/>
      <c r="K59" s="60" t="s">
        <v>109</v>
      </c>
      <c r="L59" s="60" t="s">
        <v>139</v>
      </c>
      <c r="M59" s="60" t="s">
        <v>140</v>
      </c>
      <c r="N59" s="181" t="s">
        <v>104</v>
      </c>
      <c r="O59" s="182"/>
      <c r="P59" s="182"/>
      <c r="Q59" s="182"/>
      <c r="R59" s="183"/>
      <c r="S59" s="22" t="s">
        <v>146</v>
      </c>
      <c r="T59" s="96" t="s">
        <v>145</v>
      </c>
      <c r="U59" s="91" t="s">
        <v>105</v>
      </c>
      <c r="V59" s="92"/>
      <c r="W59" s="93"/>
      <c r="X59" s="60" t="s">
        <v>109</v>
      </c>
      <c r="Y59" s="60" t="s">
        <v>139</v>
      </c>
      <c r="Z59" s="60" t="s">
        <v>140</v>
      </c>
    </row>
    <row r="60" spans="1:26" ht="18" customHeight="1" x14ac:dyDescent="0.2">
      <c r="A60" s="21"/>
      <c r="B60" s="166" t="s">
        <v>175</v>
      </c>
      <c r="C60" s="167"/>
      <c r="D60" s="167"/>
      <c r="E60" s="168"/>
      <c r="F60" s="97">
        <v>2</v>
      </c>
      <c r="G60" s="97" t="s">
        <v>173</v>
      </c>
      <c r="H60" s="197" t="s">
        <v>174</v>
      </c>
      <c r="I60" s="198"/>
      <c r="J60" s="199"/>
      <c r="K60" s="97" t="s">
        <v>173</v>
      </c>
      <c r="L60" s="97" t="s">
        <v>173</v>
      </c>
      <c r="M60" s="97" t="s">
        <v>173</v>
      </c>
      <c r="N60" s="166"/>
      <c r="O60" s="167"/>
      <c r="P60" s="167"/>
      <c r="Q60" s="167"/>
      <c r="R60" s="168"/>
      <c r="S60" s="97"/>
      <c r="T60" s="97"/>
      <c r="U60" s="197"/>
      <c r="V60" s="198"/>
      <c r="W60" s="199"/>
      <c r="X60" s="104"/>
      <c r="Y60" s="97"/>
      <c r="Z60" s="97"/>
    </row>
    <row r="61" spans="1:26" ht="18" customHeight="1" x14ac:dyDescent="0.2">
      <c r="A61" s="21"/>
      <c r="B61" s="169"/>
      <c r="C61" s="170"/>
      <c r="D61" s="170"/>
      <c r="E61" s="171"/>
      <c r="F61" s="98"/>
      <c r="G61" s="98"/>
      <c r="H61" s="175"/>
      <c r="I61" s="176"/>
      <c r="J61" s="177"/>
      <c r="K61" s="102"/>
      <c r="L61" s="98"/>
      <c r="M61" s="98"/>
      <c r="N61" s="169"/>
      <c r="O61" s="170"/>
      <c r="P61" s="170"/>
      <c r="Q61" s="170"/>
      <c r="R61" s="171"/>
      <c r="S61" s="98"/>
      <c r="T61" s="98"/>
      <c r="U61" s="175"/>
      <c r="V61" s="176"/>
      <c r="W61" s="177"/>
      <c r="X61" s="102"/>
      <c r="Y61" s="98"/>
      <c r="Z61" s="98"/>
    </row>
    <row r="62" spans="1:26" ht="18" customHeight="1" x14ac:dyDescent="0.2">
      <c r="A62" s="21"/>
      <c r="B62" s="169"/>
      <c r="C62" s="170"/>
      <c r="D62" s="170"/>
      <c r="E62" s="171"/>
      <c r="F62" s="98"/>
      <c r="G62" s="98"/>
      <c r="H62" s="175"/>
      <c r="I62" s="176"/>
      <c r="J62" s="177"/>
      <c r="K62" s="102"/>
      <c r="L62" s="98"/>
      <c r="M62" s="98"/>
      <c r="N62" s="169"/>
      <c r="O62" s="170"/>
      <c r="P62" s="170"/>
      <c r="Q62" s="170"/>
      <c r="R62" s="171"/>
      <c r="S62" s="98"/>
      <c r="T62" s="98"/>
      <c r="U62" s="175"/>
      <c r="V62" s="176"/>
      <c r="W62" s="177"/>
      <c r="X62" s="102"/>
      <c r="Y62" s="98"/>
      <c r="Z62" s="98"/>
    </row>
    <row r="63" spans="1:26" ht="18" customHeight="1" x14ac:dyDescent="0.2">
      <c r="A63" s="21"/>
      <c r="B63" s="169"/>
      <c r="C63" s="170"/>
      <c r="D63" s="170"/>
      <c r="E63" s="171"/>
      <c r="F63" s="98"/>
      <c r="G63" s="98"/>
      <c r="H63" s="175"/>
      <c r="I63" s="176"/>
      <c r="J63" s="177"/>
      <c r="K63" s="102"/>
      <c r="L63" s="98"/>
      <c r="M63" s="98"/>
      <c r="N63" s="169"/>
      <c r="O63" s="170"/>
      <c r="P63" s="170"/>
      <c r="Q63" s="170"/>
      <c r="R63" s="171"/>
      <c r="S63" s="98"/>
      <c r="T63" s="98"/>
      <c r="U63" s="175"/>
      <c r="V63" s="176"/>
      <c r="W63" s="177"/>
      <c r="X63" s="102"/>
      <c r="Y63" s="98"/>
      <c r="Z63" s="98"/>
    </row>
    <row r="64" spans="1:26" ht="18" customHeight="1" x14ac:dyDescent="0.2">
      <c r="A64" s="21"/>
      <c r="B64" s="169"/>
      <c r="C64" s="170"/>
      <c r="D64" s="170"/>
      <c r="E64" s="171"/>
      <c r="F64" s="98"/>
      <c r="G64" s="98"/>
      <c r="H64" s="175"/>
      <c r="I64" s="176"/>
      <c r="J64" s="177"/>
      <c r="K64" s="102"/>
      <c r="L64" s="98"/>
      <c r="M64" s="98"/>
      <c r="N64" s="169"/>
      <c r="O64" s="170"/>
      <c r="P64" s="170"/>
      <c r="Q64" s="170"/>
      <c r="R64" s="171"/>
      <c r="S64" s="98"/>
      <c r="T64" s="98"/>
      <c r="U64" s="175"/>
      <c r="V64" s="176"/>
      <c r="W64" s="177"/>
      <c r="X64" s="102"/>
      <c r="Y64" s="98"/>
      <c r="Z64" s="98"/>
    </row>
    <row r="65" spans="1:26" ht="18" customHeight="1" x14ac:dyDescent="0.2">
      <c r="A65" s="21"/>
      <c r="B65" s="169"/>
      <c r="C65" s="170"/>
      <c r="D65" s="170"/>
      <c r="E65" s="171"/>
      <c r="F65" s="98"/>
      <c r="G65" s="98"/>
      <c r="H65" s="175"/>
      <c r="I65" s="176"/>
      <c r="J65" s="177"/>
      <c r="K65" s="102"/>
      <c r="L65" s="98"/>
      <c r="M65" s="98"/>
      <c r="N65" s="169"/>
      <c r="O65" s="170"/>
      <c r="P65" s="170"/>
      <c r="Q65" s="170"/>
      <c r="R65" s="171"/>
      <c r="S65" s="98"/>
      <c r="T65" s="98"/>
      <c r="U65" s="175"/>
      <c r="V65" s="176"/>
      <c r="W65" s="177"/>
      <c r="X65" s="102"/>
      <c r="Y65" s="98"/>
      <c r="Z65" s="98"/>
    </row>
    <row r="66" spans="1:26" ht="18" customHeight="1" x14ac:dyDescent="0.2">
      <c r="A66" s="21"/>
      <c r="B66" s="172"/>
      <c r="C66" s="173"/>
      <c r="D66" s="173"/>
      <c r="E66" s="174"/>
      <c r="F66" s="99"/>
      <c r="G66" s="99"/>
      <c r="H66" s="178"/>
      <c r="I66" s="179"/>
      <c r="J66" s="180"/>
      <c r="K66" s="103"/>
      <c r="L66" s="105"/>
      <c r="M66" s="105"/>
      <c r="N66" s="172"/>
      <c r="O66" s="173"/>
      <c r="P66" s="173"/>
      <c r="Q66" s="173"/>
      <c r="R66" s="174"/>
      <c r="S66" s="99"/>
      <c r="T66" s="99"/>
      <c r="U66" s="178"/>
      <c r="V66" s="179"/>
      <c r="W66" s="180"/>
      <c r="X66" s="103"/>
      <c r="Y66" s="105"/>
      <c r="Z66" s="105"/>
    </row>
    <row r="67" spans="1:26" ht="7.5" customHeight="1" x14ac:dyDescent="0.2">
      <c r="B67" s="62"/>
      <c r="C67" s="62"/>
      <c r="D67" s="62"/>
      <c r="E67" s="62"/>
      <c r="F67" s="62"/>
      <c r="G67" s="62"/>
      <c r="H67" s="62"/>
      <c r="I67" s="62"/>
      <c r="J67" s="62"/>
      <c r="K67" s="62"/>
      <c r="L67" s="62"/>
      <c r="M67" s="62"/>
      <c r="N67" s="62"/>
      <c r="O67" s="62"/>
      <c r="P67" s="62"/>
      <c r="Q67" s="62"/>
      <c r="R67" s="62"/>
      <c r="S67" s="62"/>
      <c r="T67" s="62"/>
      <c r="U67" s="62"/>
      <c r="V67" s="62"/>
      <c r="W67" s="62"/>
      <c r="X67" s="62"/>
      <c r="Y67" s="62"/>
    </row>
    <row r="68" spans="1:26" ht="18" customHeight="1" x14ac:dyDescent="0.2">
      <c r="A68" s="7" t="s">
        <v>141</v>
      </c>
      <c r="B68" s="7"/>
      <c r="C68" s="7"/>
      <c r="D68" s="7"/>
      <c r="E68" s="7"/>
      <c r="F68" s="7"/>
      <c r="G68" s="7"/>
      <c r="H68" s="7"/>
      <c r="I68" s="7"/>
      <c r="J68" s="7"/>
      <c r="K68" s="7"/>
      <c r="L68" s="21"/>
      <c r="M68" s="21"/>
      <c r="N68" s="21"/>
      <c r="O68" s="21"/>
      <c r="P68" s="21"/>
      <c r="Q68" s="21"/>
      <c r="R68" s="21"/>
      <c r="S68" s="21"/>
      <c r="T68" s="21"/>
      <c r="U68" s="21"/>
      <c r="V68" s="21"/>
      <c r="W68" s="21"/>
      <c r="X68" s="21"/>
      <c r="Y68" s="21"/>
      <c r="Z68" s="21"/>
    </row>
    <row r="69" spans="1:26" ht="18" customHeight="1" x14ac:dyDescent="0.2">
      <c r="A69" s="7"/>
      <c r="B69" s="181" t="s">
        <v>104</v>
      </c>
      <c r="C69" s="182"/>
      <c r="D69" s="182"/>
      <c r="E69" s="182"/>
      <c r="F69" s="183"/>
      <c r="G69" s="181" t="s">
        <v>151</v>
      </c>
      <c r="H69" s="182"/>
      <c r="I69" s="182"/>
      <c r="J69" s="182"/>
      <c r="K69" s="182"/>
      <c r="L69" s="182"/>
      <c r="M69" s="183"/>
      <c r="N69" s="194" t="s">
        <v>104</v>
      </c>
      <c r="O69" s="195"/>
      <c r="P69" s="195"/>
      <c r="Q69" s="195"/>
      <c r="R69" s="195"/>
      <c r="S69" s="196"/>
      <c r="T69" s="181" t="s">
        <v>151</v>
      </c>
      <c r="U69" s="182"/>
      <c r="V69" s="182"/>
      <c r="W69" s="182"/>
      <c r="X69" s="182"/>
      <c r="Y69" s="182"/>
      <c r="Z69" s="183"/>
    </row>
    <row r="70" spans="1:26" ht="18" customHeight="1" x14ac:dyDescent="0.2">
      <c r="A70" s="21"/>
      <c r="B70" s="245" t="s">
        <v>177</v>
      </c>
      <c r="C70" s="246"/>
      <c r="D70" s="246"/>
      <c r="E70" s="246"/>
      <c r="F70" s="247"/>
      <c r="G70" s="248" t="s">
        <v>176</v>
      </c>
      <c r="H70" s="249"/>
      <c r="I70" s="249"/>
      <c r="J70" s="249"/>
      <c r="K70" s="249"/>
      <c r="L70" s="249"/>
      <c r="M70" s="250"/>
      <c r="N70" s="245" t="s">
        <v>190</v>
      </c>
      <c r="O70" s="246"/>
      <c r="P70" s="246"/>
      <c r="Q70" s="246"/>
      <c r="R70" s="246"/>
      <c r="S70" s="247"/>
      <c r="T70" s="248" t="s">
        <v>191</v>
      </c>
      <c r="U70" s="249"/>
      <c r="V70" s="249"/>
      <c r="W70" s="249"/>
      <c r="X70" s="249"/>
      <c r="Y70" s="249"/>
      <c r="Z70" s="250"/>
    </row>
    <row r="71" spans="1:26" ht="18" customHeight="1" x14ac:dyDescent="0.2">
      <c r="A71" s="21"/>
      <c r="B71" s="215" t="s">
        <v>179</v>
      </c>
      <c r="C71" s="216"/>
      <c r="D71" s="216"/>
      <c r="E71" s="216"/>
      <c r="F71" s="217"/>
      <c r="G71" s="218" t="s">
        <v>178</v>
      </c>
      <c r="H71" s="219"/>
      <c r="I71" s="219"/>
      <c r="J71" s="219"/>
      <c r="K71" s="219"/>
      <c r="L71" s="219"/>
      <c r="M71" s="220"/>
      <c r="N71" s="215" t="s">
        <v>192</v>
      </c>
      <c r="O71" s="216"/>
      <c r="P71" s="216"/>
      <c r="Q71" s="216"/>
      <c r="R71" s="216"/>
      <c r="S71" s="217"/>
      <c r="T71" s="218" t="s">
        <v>193</v>
      </c>
      <c r="U71" s="219"/>
      <c r="V71" s="219"/>
      <c r="W71" s="219"/>
      <c r="X71" s="219"/>
      <c r="Y71" s="219"/>
      <c r="Z71" s="220"/>
    </row>
    <row r="72" spans="1:26" ht="18" customHeight="1" x14ac:dyDescent="0.2">
      <c r="A72" s="21"/>
      <c r="B72" s="215" t="s">
        <v>180</v>
      </c>
      <c r="C72" s="216"/>
      <c r="D72" s="216"/>
      <c r="E72" s="216"/>
      <c r="F72" s="217"/>
      <c r="G72" s="218" t="s">
        <v>181</v>
      </c>
      <c r="H72" s="219"/>
      <c r="I72" s="219"/>
      <c r="J72" s="219"/>
      <c r="K72" s="219"/>
      <c r="L72" s="219"/>
      <c r="M72" s="220"/>
      <c r="N72" s="215"/>
      <c r="O72" s="216"/>
      <c r="P72" s="216"/>
      <c r="Q72" s="216"/>
      <c r="R72" s="216"/>
      <c r="S72" s="217"/>
      <c r="T72" s="218"/>
      <c r="U72" s="219"/>
      <c r="V72" s="219"/>
      <c r="W72" s="219"/>
      <c r="X72" s="219"/>
      <c r="Y72" s="219"/>
      <c r="Z72" s="220"/>
    </row>
    <row r="73" spans="1:26" ht="18" customHeight="1" x14ac:dyDescent="0.2">
      <c r="A73" s="21"/>
      <c r="B73" s="215" t="s">
        <v>183</v>
      </c>
      <c r="C73" s="216"/>
      <c r="D73" s="216"/>
      <c r="E73" s="216"/>
      <c r="F73" s="217"/>
      <c r="G73" s="218" t="s">
        <v>182</v>
      </c>
      <c r="H73" s="219"/>
      <c r="I73" s="219"/>
      <c r="J73" s="219"/>
      <c r="K73" s="219"/>
      <c r="L73" s="219"/>
      <c r="M73" s="220"/>
      <c r="N73" s="215"/>
      <c r="O73" s="216"/>
      <c r="P73" s="216"/>
      <c r="Q73" s="216"/>
      <c r="R73" s="216"/>
      <c r="S73" s="217"/>
      <c r="T73" s="218"/>
      <c r="U73" s="219"/>
      <c r="V73" s="219"/>
      <c r="W73" s="219"/>
      <c r="X73" s="219"/>
      <c r="Y73" s="219"/>
      <c r="Z73" s="220"/>
    </row>
    <row r="74" spans="1:26" ht="18" customHeight="1" x14ac:dyDescent="0.2">
      <c r="A74" s="21"/>
      <c r="B74" s="215" t="s">
        <v>185</v>
      </c>
      <c r="C74" s="216"/>
      <c r="D74" s="216"/>
      <c r="E74" s="216"/>
      <c r="F74" s="217"/>
      <c r="G74" s="218" t="s">
        <v>184</v>
      </c>
      <c r="H74" s="219"/>
      <c r="I74" s="219"/>
      <c r="J74" s="219"/>
      <c r="K74" s="219"/>
      <c r="L74" s="219"/>
      <c r="M74" s="220"/>
      <c r="N74" s="215"/>
      <c r="O74" s="216"/>
      <c r="P74" s="216"/>
      <c r="Q74" s="216"/>
      <c r="R74" s="216"/>
      <c r="S74" s="217"/>
      <c r="T74" s="218"/>
      <c r="U74" s="219"/>
      <c r="V74" s="219"/>
      <c r="W74" s="219"/>
      <c r="X74" s="219"/>
      <c r="Y74" s="219"/>
      <c r="Z74" s="220"/>
    </row>
    <row r="75" spans="1:26" ht="18" customHeight="1" x14ac:dyDescent="0.2">
      <c r="A75" s="21"/>
      <c r="B75" s="215" t="s">
        <v>186</v>
      </c>
      <c r="C75" s="216"/>
      <c r="D75" s="216"/>
      <c r="E75" s="216"/>
      <c r="F75" s="217"/>
      <c r="G75" s="218" t="s">
        <v>187</v>
      </c>
      <c r="H75" s="219"/>
      <c r="I75" s="219"/>
      <c r="J75" s="219"/>
      <c r="K75" s="219"/>
      <c r="L75" s="219"/>
      <c r="M75" s="220"/>
      <c r="N75" s="215"/>
      <c r="O75" s="216"/>
      <c r="P75" s="216"/>
      <c r="Q75" s="216"/>
      <c r="R75" s="216"/>
      <c r="S75" s="217"/>
      <c r="T75" s="218"/>
      <c r="U75" s="219"/>
      <c r="V75" s="219"/>
      <c r="W75" s="219"/>
      <c r="X75" s="219"/>
      <c r="Y75" s="219"/>
      <c r="Z75" s="220"/>
    </row>
    <row r="76" spans="1:26" ht="18" customHeight="1" x14ac:dyDescent="0.2">
      <c r="A76" s="21"/>
      <c r="B76" s="230" t="s">
        <v>188</v>
      </c>
      <c r="C76" s="231"/>
      <c r="D76" s="231"/>
      <c r="E76" s="231"/>
      <c r="F76" s="232"/>
      <c r="G76" s="212" t="s">
        <v>189</v>
      </c>
      <c r="H76" s="213"/>
      <c r="I76" s="213"/>
      <c r="J76" s="213"/>
      <c r="K76" s="213"/>
      <c r="L76" s="213"/>
      <c r="M76" s="214"/>
      <c r="N76" s="230"/>
      <c r="O76" s="231"/>
      <c r="P76" s="231"/>
      <c r="Q76" s="231"/>
      <c r="R76" s="231"/>
      <c r="S76" s="232"/>
      <c r="T76" s="212"/>
      <c r="U76" s="213"/>
      <c r="V76" s="213"/>
      <c r="W76" s="213"/>
      <c r="X76" s="213"/>
      <c r="Y76" s="213"/>
      <c r="Z76" s="214"/>
    </row>
    <row r="77" spans="1:26" ht="18" customHeight="1" x14ac:dyDescent="0.2">
      <c r="A77" s="21"/>
      <c r="B77" s="57"/>
      <c r="C77" s="57"/>
      <c r="D77" s="57"/>
      <c r="E77" s="57"/>
      <c r="F77" s="57"/>
      <c r="G77" s="5"/>
      <c r="H77" s="5"/>
      <c r="I77" s="5"/>
      <c r="J77" s="5"/>
      <c r="K77" s="5"/>
      <c r="L77" s="5"/>
      <c r="M77" s="5"/>
      <c r="N77" s="57"/>
      <c r="O77" s="57"/>
      <c r="P77" s="57"/>
      <c r="Q77" s="57"/>
      <c r="R77" s="57"/>
      <c r="S77" s="57"/>
      <c r="T77" s="5"/>
      <c r="U77" s="5"/>
      <c r="V77" s="5"/>
      <c r="W77" s="5"/>
      <c r="X77" s="5"/>
      <c r="Y77" s="5"/>
      <c r="Z77" s="5"/>
    </row>
    <row r="78" spans="1:26" ht="18.75" customHeight="1" x14ac:dyDescent="0.2">
      <c r="A78" s="6" t="s">
        <v>147</v>
      </c>
    </row>
    <row r="79" spans="1:26" ht="18.75" customHeight="1" x14ac:dyDescent="0.2">
      <c r="B79" s="63" t="s">
        <v>106</v>
      </c>
      <c r="C79" s="64"/>
      <c r="D79" s="265" t="s">
        <v>107</v>
      </c>
      <c r="E79" s="265"/>
      <c r="F79" s="265"/>
      <c r="G79" s="265"/>
      <c r="H79" s="265"/>
      <c r="I79" s="265"/>
      <c r="J79" s="265"/>
      <c r="K79" s="265"/>
      <c r="L79" s="265"/>
      <c r="M79" s="265"/>
      <c r="N79" s="265"/>
      <c r="O79" s="265"/>
      <c r="P79" s="265"/>
      <c r="Q79" s="265"/>
      <c r="R79" s="265"/>
      <c r="S79" s="265"/>
      <c r="T79" s="265"/>
      <c r="U79" s="265"/>
      <c r="V79" s="265"/>
      <c r="W79" s="265"/>
      <c r="X79" s="265"/>
      <c r="Y79" s="265"/>
      <c r="Z79" s="266"/>
    </row>
    <row r="80" spans="1:26" ht="78" customHeight="1" x14ac:dyDescent="0.2">
      <c r="B80" s="256" t="s">
        <v>113</v>
      </c>
      <c r="C80" s="70" t="s">
        <v>108</v>
      </c>
      <c r="D80" s="267" t="s">
        <v>201</v>
      </c>
      <c r="E80" s="263"/>
      <c r="F80" s="263"/>
      <c r="G80" s="263"/>
      <c r="H80" s="263"/>
      <c r="I80" s="263"/>
      <c r="J80" s="263"/>
      <c r="K80" s="263"/>
      <c r="L80" s="263"/>
      <c r="M80" s="263"/>
      <c r="N80" s="263"/>
      <c r="O80" s="263"/>
      <c r="P80" s="263"/>
      <c r="Q80" s="263"/>
      <c r="R80" s="263"/>
      <c r="S80" s="263"/>
      <c r="T80" s="263"/>
      <c r="U80" s="263"/>
      <c r="V80" s="263"/>
      <c r="W80" s="263"/>
      <c r="X80" s="263"/>
      <c r="Y80" s="263"/>
      <c r="Z80" s="264"/>
    </row>
    <row r="81" spans="1:26" ht="78" customHeight="1" x14ac:dyDescent="0.2">
      <c r="B81" s="257"/>
      <c r="C81" s="94" t="s">
        <v>142</v>
      </c>
      <c r="D81" s="221" t="s">
        <v>209</v>
      </c>
      <c r="E81" s="221"/>
      <c r="F81" s="221"/>
      <c r="G81" s="221"/>
      <c r="H81" s="221"/>
      <c r="I81" s="221"/>
      <c r="J81" s="221"/>
      <c r="K81" s="221"/>
      <c r="L81" s="221"/>
      <c r="M81" s="221"/>
      <c r="N81" s="221"/>
      <c r="O81" s="221"/>
      <c r="P81" s="221"/>
      <c r="Q81" s="221"/>
      <c r="R81" s="221"/>
      <c r="S81" s="221"/>
      <c r="T81" s="221"/>
      <c r="U81" s="221"/>
      <c r="V81" s="221"/>
      <c r="W81" s="221"/>
      <c r="X81" s="221"/>
      <c r="Y81" s="221"/>
      <c r="Z81" s="222"/>
    </row>
    <row r="82" spans="1:26" ht="78" customHeight="1" x14ac:dyDescent="0.2">
      <c r="B82" s="254" t="s">
        <v>114</v>
      </c>
      <c r="C82" s="65" t="s">
        <v>132</v>
      </c>
      <c r="D82" s="223" t="s">
        <v>194</v>
      </c>
      <c r="E82" s="223"/>
      <c r="F82" s="223"/>
      <c r="G82" s="223"/>
      <c r="H82" s="223"/>
      <c r="I82" s="223"/>
      <c r="J82" s="223"/>
      <c r="K82" s="223"/>
      <c r="L82" s="223"/>
      <c r="M82" s="223"/>
      <c r="N82" s="223"/>
      <c r="O82" s="223"/>
      <c r="P82" s="223"/>
      <c r="Q82" s="223"/>
      <c r="R82" s="223"/>
      <c r="S82" s="223"/>
      <c r="T82" s="223"/>
      <c r="U82" s="223"/>
      <c r="V82" s="223"/>
      <c r="W82" s="223"/>
      <c r="X82" s="223"/>
      <c r="Y82" s="223"/>
      <c r="Z82" s="224"/>
    </row>
    <row r="83" spans="1:26" ht="78" customHeight="1" x14ac:dyDescent="0.2">
      <c r="B83" s="255"/>
      <c r="C83" s="95" t="s">
        <v>133</v>
      </c>
      <c r="D83" s="228" t="s">
        <v>195</v>
      </c>
      <c r="E83" s="228"/>
      <c r="F83" s="228"/>
      <c r="G83" s="228"/>
      <c r="H83" s="228"/>
      <c r="I83" s="228"/>
      <c r="J83" s="228"/>
      <c r="K83" s="228"/>
      <c r="L83" s="228"/>
      <c r="M83" s="228"/>
      <c r="N83" s="228"/>
      <c r="O83" s="228"/>
      <c r="P83" s="228"/>
      <c r="Q83" s="228"/>
      <c r="R83" s="228"/>
      <c r="S83" s="228"/>
      <c r="T83" s="228"/>
      <c r="U83" s="228"/>
      <c r="V83" s="228"/>
      <c r="W83" s="228"/>
      <c r="X83" s="228"/>
      <c r="Y83" s="228"/>
      <c r="Z83" s="229"/>
    </row>
    <row r="84" spans="1:26" ht="66" customHeight="1" x14ac:dyDescent="0.2">
      <c r="B84" s="254" t="s">
        <v>115</v>
      </c>
      <c r="C84" s="65" t="s">
        <v>135</v>
      </c>
      <c r="D84" s="223" t="s">
        <v>207</v>
      </c>
      <c r="E84" s="223"/>
      <c r="F84" s="223"/>
      <c r="G84" s="223"/>
      <c r="H84" s="223"/>
      <c r="I84" s="223"/>
      <c r="J84" s="223"/>
      <c r="K84" s="223"/>
      <c r="L84" s="223"/>
      <c r="M84" s="223"/>
      <c r="N84" s="223"/>
      <c r="O84" s="223"/>
      <c r="P84" s="223"/>
      <c r="Q84" s="223"/>
      <c r="R84" s="223"/>
      <c r="S84" s="223"/>
      <c r="T84" s="223"/>
      <c r="U84" s="223"/>
      <c r="V84" s="223"/>
      <c r="W84" s="223"/>
      <c r="X84" s="223"/>
      <c r="Y84" s="223"/>
      <c r="Z84" s="224"/>
    </row>
    <row r="85" spans="1:26" ht="66" customHeight="1" x14ac:dyDescent="0.2">
      <c r="B85" s="255"/>
      <c r="C85" s="67" t="s">
        <v>136</v>
      </c>
      <c r="D85" s="225" t="s">
        <v>208</v>
      </c>
      <c r="E85" s="226"/>
      <c r="F85" s="226"/>
      <c r="G85" s="226"/>
      <c r="H85" s="226"/>
      <c r="I85" s="226"/>
      <c r="J85" s="226"/>
      <c r="K85" s="226"/>
      <c r="L85" s="226"/>
      <c r="M85" s="226"/>
      <c r="N85" s="226"/>
      <c r="O85" s="226"/>
      <c r="P85" s="226"/>
      <c r="Q85" s="226"/>
      <c r="R85" s="226"/>
      <c r="S85" s="226"/>
      <c r="T85" s="226"/>
      <c r="U85" s="226"/>
      <c r="V85" s="226"/>
      <c r="W85" s="226"/>
      <c r="X85" s="226"/>
      <c r="Y85" s="226"/>
      <c r="Z85" s="227"/>
    </row>
    <row r="86" spans="1:26" ht="66" customHeight="1" x14ac:dyDescent="0.2">
      <c r="B86" s="256" t="s">
        <v>143</v>
      </c>
      <c r="C86" s="70" t="s">
        <v>110</v>
      </c>
      <c r="D86" s="263" t="s">
        <v>196</v>
      </c>
      <c r="E86" s="263"/>
      <c r="F86" s="263"/>
      <c r="G86" s="263"/>
      <c r="H86" s="263"/>
      <c r="I86" s="263"/>
      <c r="J86" s="263"/>
      <c r="K86" s="263"/>
      <c r="L86" s="263"/>
      <c r="M86" s="263"/>
      <c r="N86" s="263"/>
      <c r="O86" s="263"/>
      <c r="P86" s="263"/>
      <c r="Q86" s="263"/>
      <c r="R86" s="263"/>
      <c r="S86" s="263"/>
      <c r="T86" s="263"/>
      <c r="U86" s="263"/>
      <c r="V86" s="263"/>
      <c r="W86" s="263"/>
      <c r="X86" s="263"/>
      <c r="Y86" s="263"/>
      <c r="Z86" s="264"/>
    </row>
    <row r="87" spans="1:26" ht="66" customHeight="1" x14ac:dyDescent="0.2">
      <c r="B87" s="262"/>
      <c r="C87" s="66" t="s">
        <v>112</v>
      </c>
      <c r="D87" s="263" t="s">
        <v>197</v>
      </c>
      <c r="E87" s="263"/>
      <c r="F87" s="263"/>
      <c r="G87" s="263"/>
      <c r="H87" s="263"/>
      <c r="I87" s="263"/>
      <c r="J87" s="263"/>
      <c r="K87" s="263"/>
      <c r="L87" s="263"/>
      <c r="M87" s="263"/>
      <c r="N87" s="263"/>
      <c r="O87" s="263"/>
      <c r="P87" s="263"/>
      <c r="Q87" s="263"/>
      <c r="R87" s="263"/>
      <c r="S87" s="263"/>
      <c r="T87" s="263"/>
      <c r="U87" s="263"/>
      <c r="V87" s="263"/>
      <c r="W87" s="263"/>
      <c r="X87" s="263"/>
      <c r="Y87" s="263"/>
      <c r="Z87" s="264"/>
    </row>
    <row r="88" spans="1:26" ht="66" customHeight="1" x14ac:dyDescent="0.2">
      <c r="B88" s="256" t="s">
        <v>144</v>
      </c>
      <c r="C88" s="65" t="s">
        <v>109</v>
      </c>
      <c r="D88" s="258" t="s">
        <v>198</v>
      </c>
      <c r="E88" s="258"/>
      <c r="F88" s="258"/>
      <c r="G88" s="258"/>
      <c r="H88" s="258"/>
      <c r="I88" s="258"/>
      <c r="J88" s="258"/>
      <c r="K88" s="258"/>
      <c r="L88" s="258"/>
      <c r="M88" s="258"/>
      <c r="N88" s="258"/>
      <c r="O88" s="258"/>
      <c r="P88" s="258"/>
      <c r="Q88" s="258"/>
      <c r="R88" s="258"/>
      <c r="S88" s="258"/>
      <c r="T88" s="258"/>
      <c r="U88" s="258"/>
      <c r="V88" s="258"/>
      <c r="W88" s="258"/>
      <c r="X88" s="258"/>
      <c r="Y88" s="258"/>
      <c r="Z88" s="259"/>
    </row>
    <row r="89" spans="1:26" ht="66" customHeight="1" x14ac:dyDescent="0.2">
      <c r="B89" s="257"/>
      <c r="C89" s="66" t="s">
        <v>139</v>
      </c>
      <c r="D89" s="251" t="s">
        <v>200</v>
      </c>
      <c r="E89" s="252"/>
      <c r="F89" s="252"/>
      <c r="G89" s="252"/>
      <c r="H89" s="252"/>
      <c r="I89" s="252"/>
      <c r="J89" s="252"/>
      <c r="K89" s="252"/>
      <c r="L89" s="252"/>
      <c r="M89" s="252"/>
      <c r="N89" s="252"/>
      <c r="O89" s="252"/>
      <c r="P89" s="252"/>
      <c r="Q89" s="252"/>
      <c r="R89" s="252"/>
      <c r="S89" s="252"/>
      <c r="T89" s="252"/>
      <c r="U89" s="252"/>
      <c r="V89" s="252"/>
      <c r="W89" s="252"/>
      <c r="X89" s="252"/>
      <c r="Y89" s="252"/>
      <c r="Z89" s="253"/>
    </row>
    <row r="90" spans="1:26" ht="66" customHeight="1" x14ac:dyDescent="0.2">
      <c r="B90" s="255"/>
      <c r="C90" s="67" t="s">
        <v>140</v>
      </c>
      <c r="D90" s="260" t="s">
        <v>199</v>
      </c>
      <c r="E90" s="260"/>
      <c r="F90" s="260"/>
      <c r="G90" s="260"/>
      <c r="H90" s="260"/>
      <c r="I90" s="260"/>
      <c r="J90" s="260"/>
      <c r="K90" s="260"/>
      <c r="L90" s="260"/>
      <c r="M90" s="260"/>
      <c r="N90" s="260"/>
      <c r="O90" s="260"/>
      <c r="P90" s="260"/>
      <c r="Q90" s="260"/>
      <c r="R90" s="260"/>
      <c r="S90" s="260"/>
      <c r="T90" s="260"/>
      <c r="U90" s="260"/>
      <c r="V90" s="260"/>
      <c r="W90" s="260"/>
      <c r="X90" s="260"/>
      <c r="Y90" s="260"/>
      <c r="Z90" s="261"/>
    </row>
    <row r="91" spans="1:26" ht="6" customHeight="1" x14ac:dyDescent="0.2"/>
    <row r="92" spans="1:26" ht="18.75" customHeight="1" x14ac:dyDescent="0.2">
      <c r="A92" s="6" t="s">
        <v>148</v>
      </c>
    </row>
    <row r="93" spans="1:26" ht="32.25" customHeight="1" x14ac:dyDescent="0.2">
      <c r="B93" s="200" t="s">
        <v>206</v>
      </c>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2"/>
    </row>
    <row r="94" spans="1:26" ht="32.25" customHeight="1" x14ac:dyDescent="0.2">
      <c r="B94" s="203"/>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5"/>
    </row>
    <row r="95" spans="1:26" ht="32.25" customHeight="1" x14ac:dyDescent="0.2">
      <c r="B95" s="206"/>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8"/>
    </row>
    <row r="96" spans="1:26" ht="6" customHeight="1" x14ac:dyDescent="0.2"/>
    <row r="97" spans="1:26" ht="15" customHeight="1" x14ac:dyDescent="0.2">
      <c r="A97" s="6" t="s">
        <v>149</v>
      </c>
    </row>
    <row r="98" spans="1:26" ht="15" customHeight="1" x14ac:dyDescent="0.2">
      <c r="B98" s="209" t="s">
        <v>226</v>
      </c>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1"/>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K60"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2A29AB26-41F1-459E-A732-F2D5C64FE7B5}"/>
  </hyperlinks>
  <printOptions horizontalCentered="1"/>
  <pageMargins left="0.78740157480314965" right="0.78740157480314965" top="0.59055118110236227" bottom="0.19685039370078741" header="0.31496062992125984" footer="0.19685039370078741"/>
  <pageSetup paperSize="9" scale="98" orientation="landscape" r:id="rId2"/>
  <headerFooter>
    <oddFooter>&amp;P / &amp;N ページ</oddFooter>
  </headerFooter>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topLeftCell="A13" zoomScaleNormal="100" zoomScaleSheetLayoutView="100" workbookViewId="0">
      <selection activeCell="I19" sqref="I19"/>
    </sheetView>
  </sheetViews>
  <sheetFormatPr defaultColWidth="9" defaultRowHeight="18.75" customHeight="1" x14ac:dyDescent="0.2"/>
  <cols>
    <col min="1" max="1" width="2.77734375" style="1" customWidth="1"/>
    <col min="2" max="2" width="30" style="1" customWidth="1"/>
    <col min="3" max="17" width="6.109375" style="1" customWidth="1"/>
    <col min="18" max="18" width="6.6640625" style="1" customWidth="1"/>
    <col min="19" max="16384" width="9" style="1"/>
  </cols>
  <sheetData>
    <row r="1" spans="1:20" ht="18" customHeight="1" x14ac:dyDescent="0.2">
      <c r="F1" s="268" t="s">
        <v>65</v>
      </c>
      <c r="G1" s="268"/>
      <c r="H1" s="268"/>
      <c r="I1" s="268"/>
      <c r="J1" s="268"/>
      <c r="K1" s="268"/>
      <c r="L1" s="268"/>
      <c r="M1" s="268"/>
      <c r="N1" s="268"/>
      <c r="O1" s="268"/>
      <c r="P1" s="268"/>
      <c r="Q1" s="268"/>
      <c r="R1" s="268"/>
    </row>
    <row r="2" spans="1:20" ht="18" customHeight="1" x14ac:dyDescent="0.2">
      <c r="A2" s="269" t="s">
        <v>93</v>
      </c>
      <c r="B2" s="269"/>
      <c r="C2" s="269"/>
      <c r="D2" s="269"/>
      <c r="E2" s="269"/>
      <c r="F2" s="269"/>
      <c r="G2" s="269"/>
      <c r="H2" s="269"/>
      <c r="I2" s="269"/>
      <c r="J2" s="269"/>
      <c r="K2" s="269"/>
      <c r="L2" s="269"/>
      <c r="M2" s="269"/>
      <c r="N2" s="269"/>
      <c r="O2" s="269"/>
      <c r="P2" s="269"/>
      <c r="Q2" s="269"/>
      <c r="R2" s="269"/>
      <c r="S2" s="3"/>
    </row>
    <row r="3" spans="1:20" ht="7.5" customHeight="1" x14ac:dyDescent="0.2">
      <c r="A3" s="25"/>
      <c r="B3" s="25"/>
      <c r="C3" s="25"/>
      <c r="D3" s="25"/>
      <c r="E3" s="25"/>
      <c r="F3" s="25"/>
      <c r="G3" s="25"/>
      <c r="H3" s="25"/>
      <c r="I3" s="25"/>
      <c r="J3" s="25"/>
      <c r="K3" s="25"/>
      <c r="L3" s="25"/>
      <c r="M3" s="25"/>
      <c r="N3" s="25"/>
      <c r="O3" s="25"/>
      <c r="P3" s="25"/>
      <c r="Q3" s="25"/>
      <c r="R3" s="25"/>
    </row>
    <row r="4" spans="1:20" ht="18" customHeight="1" x14ac:dyDescent="0.2">
      <c r="A4" s="3" t="s">
        <v>152</v>
      </c>
      <c r="B4" s="3"/>
      <c r="C4" s="270" t="str">
        <f>'様式１　大学等概要'!E12</f>
        <v>令和2</v>
      </c>
      <c r="D4" s="271"/>
      <c r="E4" s="25" t="s">
        <v>118</v>
      </c>
      <c r="F4" s="25"/>
      <c r="G4" s="25"/>
      <c r="H4" s="25"/>
      <c r="I4" s="25"/>
      <c r="J4" s="71"/>
      <c r="K4" s="25"/>
      <c r="L4" s="25"/>
      <c r="M4" s="100"/>
      <c r="N4" s="100"/>
      <c r="O4" s="100"/>
      <c r="P4" s="100"/>
      <c r="Q4" s="100"/>
      <c r="R4" s="100"/>
    </row>
    <row r="5" spans="1:20" ht="6" customHeight="1" x14ac:dyDescent="0.2">
      <c r="A5" s="25"/>
      <c r="B5" s="25"/>
      <c r="C5" s="25"/>
      <c r="D5" s="25"/>
      <c r="E5" s="25"/>
      <c r="F5" s="25"/>
      <c r="G5" s="25"/>
      <c r="H5" s="25"/>
      <c r="I5" s="25"/>
      <c r="J5" s="25"/>
      <c r="K5" s="25"/>
      <c r="L5" s="25"/>
      <c r="M5" s="25"/>
      <c r="N5" s="25"/>
      <c r="O5" s="25"/>
      <c r="P5" s="25"/>
      <c r="Q5" s="25"/>
      <c r="R5" s="25"/>
    </row>
    <row r="6" spans="1:20" ht="18" customHeight="1" x14ac:dyDescent="0.2">
      <c r="A6" s="3" t="s">
        <v>150</v>
      </c>
      <c r="B6" s="25"/>
      <c r="C6" s="25"/>
      <c r="D6" s="25"/>
      <c r="E6" s="25"/>
      <c r="F6" s="25"/>
      <c r="G6" s="25"/>
      <c r="H6" s="25"/>
      <c r="I6" s="25"/>
      <c r="J6" s="25"/>
      <c r="K6" s="25"/>
      <c r="L6" s="25"/>
      <c r="M6" s="25"/>
      <c r="N6" s="25"/>
      <c r="O6" s="25"/>
      <c r="P6" s="25"/>
      <c r="Q6" s="25"/>
      <c r="R6" s="25"/>
    </row>
    <row r="7" spans="1:20" ht="6" customHeight="1" x14ac:dyDescent="0.2">
      <c r="A7" s="3"/>
      <c r="B7" s="25"/>
      <c r="C7" s="25"/>
      <c r="D7" s="25"/>
      <c r="E7" s="25"/>
      <c r="F7" s="25"/>
      <c r="G7" s="25"/>
      <c r="H7" s="25"/>
      <c r="I7" s="25"/>
      <c r="J7" s="25"/>
      <c r="K7" s="25"/>
      <c r="L7" s="25"/>
      <c r="M7" s="25"/>
      <c r="N7" s="25"/>
      <c r="O7" s="25"/>
      <c r="P7" s="25"/>
      <c r="Q7" s="25"/>
      <c r="R7" s="25"/>
    </row>
    <row r="8" spans="1:20" ht="18" customHeight="1" x14ac:dyDescent="0.2">
      <c r="B8" s="272" t="s">
        <v>83</v>
      </c>
      <c r="C8" s="274" t="s">
        <v>88</v>
      </c>
      <c r="D8" s="276" t="s">
        <v>70</v>
      </c>
      <c r="E8" s="278" t="s">
        <v>94</v>
      </c>
      <c r="F8" s="278"/>
      <c r="G8" s="278" t="s">
        <v>95</v>
      </c>
      <c r="H8" s="278"/>
      <c r="I8" s="278" t="s">
        <v>96</v>
      </c>
      <c r="J8" s="278"/>
      <c r="K8" s="279" t="s">
        <v>97</v>
      </c>
      <c r="L8" s="280"/>
      <c r="M8" s="279" t="s">
        <v>98</v>
      </c>
      <c r="N8" s="280"/>
      <c r="O8" s="279" t="s">
        <v>99</v>
      </c>
      <c r="P8" s="280"/>
      <c r="Q8" s="281" t="s">
        <v>64</v>
      </c>
      <c r="R8" s="283" t="s">
        <v>58</v>
      </c>
      <c r="T8" s="24"/>
    </row>
    <row r="9" spans="1:20" ht="18" customHeight="1" x14ac:dyDescent="0.2">
      <c r="A9" s="3"/>
      <c r="B9" s="273"/>
      <c r="C9" s="275"/>
      <c r="D9" s="277"/>
      <c r="E9" s="28" t="s">
        <v>46</v>
      </c>
      <c r="F9" s="29" t="s">
        <v>45</v>
      </c>
      <c r="G9" s="30" t="s">
        <v>46</v>
      </c>
      <c r="H9" s="31" t="s">
        <v>45</v>
      </c>
      <c r="I9" s="28" t="s">
        <v>46</v>
      </c>
      <c r="J9" s="29" t="s">
        <v>45</v>
      </c>
      <c r="K9" s="30" t="s">
        <v>46</v>
      </c>
      <c r="L9" s="31" t="s">
        <v>45</v>
      </c>
      <c r="M9" s="28" t="s">
        <v>46</v>
      </c>
      <c r="N9" s="29" t="s">
        <v>45</v>
      </c>
      <c r="O9" s="30" t="s">
        <v>46</v>
      </c>
      <c r="P9" s="31" t="s">
        <v>45</v>
      </c>
      <c r="Q9" s="282"/>
      <c r="R9" s="284"/>
      <c r="T9" s="24"/>
    </row>
    <row r="10" spans="1:20" ht="18" customHeight="1" x14ac:dyDescent="0.2">
      <c r="A10" s="32"/>
      <c r="B10" s="72" t="s">
        <v>202</v>
      </c>
      <c r="C10" s="113">
        <v>150</v>
      </c>
      <c r="D10" s="114">
        <v>600</v>
      </c>
      <c r="E10" s="34">
        <v>91</v>
      </c>
      <c r="F10" s="35">
        <v>91</v>
      </c>
      <c r="G10" s="36">
        <v>2</v>
      </c>
      <c r="H10" s="37">
        <v>2</v>
      </c>
      <c r="I10" s="34"/>
      <c r="J10" s="35"/>
      <c r="K10" s="36"/>
      <c r="L10" s="37"/>
      <c r="M10" s="34"/>
      <c r="N10" s="35"/>
      <c r="O10" s="36"/>
      <c r="P10" s="37"/>
      <c r="Q10" s="38">
        <f>E10+G10+I10+K10+M10+O10</f>
        <v>93</v>
      </c>
      <c r="R10" s="39">
        <f>Q10/D10</f>
        <v>0.155</v>
      </c>
    </row>
    <row r="11" spans="1:20" ht="18" customHeight="1" x14ac:dyDescent="0.2">
      <c r="A11" s="32"/>
      <c r="B11" s="73" t="s">
        <v>203</v>
      </c>
      <c r="C11" s="115">
        <v>150</v>
      </c>
      <c r="D11" s="116">
        <v>600</v>
      </c>
      <c r="E11" s="42">
        <v>19</v>
      </c>
      <c r="F11" s="43">
        <v>19</v>
      </c>
      <c r="G11" s="44">
        <v>0</v>
      </c>
      <c r="H11" s="45">
        <v>0</v>
      </c>
      <c r="I11" s="42"/>
      <c r="J11" s="43"/>
      <c r="K11" s="44"/>
      <c r="L11" s="45"/>
      <c r="M11" s="42"/>
      <c r="N11" s="43"/>
      <c r="O11" s="44"/>
      <c r="P11" s="45"/>
      <c r="Q11" s="46">
        <f t="shared" ref="Q11:Q29" si="0">E11+G11+I11+K11+M11+O11</f>
        <v>19</v>
      </c>
      <c r="R11" s="47">
        <f t="shared" ref="R11:R29" si="1">Q11/D11</f>
        <v>3.1666666666666669E-2</v>
      </c>
    </row>
    <row r="12" spans="1:20" ht="18" customHeight="1" x14ac:dyDescent="0.2">
      <c r="A12" s="32"/>
      <c r="B12" s="73"/>
      <c r="C12" s="115"/>
      <c r="D12" s="116"/>
      <c r="E12" s="42"/>
      <c r="F12" s="43"/>
      <c r="G12" s="44"/>
      <c r="H12" s="45"/>
      <c r="I12" s="42"/>
      <c r="J12" s="43"/>
      <c r="K12" s="44"/>
      <c r="L12" s="45"/>
      <c r="M12" s="42"/>
      <c r="N12" s="43"/>
      <c r="O12" s="44"/>
      <c r="P12" s="45"/>
      <c r="Q12" s="46">
        <f t="shared" si="0"/>
        <v>0</v>
      </c>
      <c r="R12" s="47" t="e">
        <f t="shared" si="1"/>
        <v>#DIV/0!</v>
      </c>
    </row>
    <row r="13" spans="1:20" ht="18" customHeight="1" x14ac:dyDescent="0.2">
      <c r="A13" s="32"/>
      <c r="B13" s="73"/>
      <c r="C13" s="115"/>
      <c r="D13" s="116"/>
      <c r="E13" s="42"/>
      <c r="F13" s="43"/>
      <c r="G13" s="44"/>
      <c r="H13" s="45"/>
      <c r="I13" s="42"/>
      <c r="J13" s="43"/>
      <c r="K13" s="44"/>
      <c r="L13" s="45"/>
      <c r="M13" s="42"/>
      <c r="N13" s="43"/>
      <c r="O13" s="44"/>
      <c r="P13" s="45"/>
      <c r="Q13" s="46">
        <f t="shared" si="0"/>
        <v>0</v>
      </c>
      <c r="R13" s="47" t="e">
        <f t="shared" si="1"/>
        <v>#DIV/0!</v>
      </c>
    </row>
    <row r="14" spans="1:20" ht="18" customHeight="1" x14ac:dyDescent="0.2">
      <c r="A14" s="32"/>
      <c r="B14" s="73"/>
      <c r="C14" s="48"/>
      <c r="D14" s="41"/>
      <c r="E14" s="42"/>
      <c r="F14" s="43"/>
      <c r="G14" s="44"/>
      <c r="H14" s="45"/>
      <c r="I14" s="42"/>
      <c r="J14" s="43"/>
      <c r="K14" s="44"/>
      <c r="L14" s="45"/>
      <c r="M14" s="42"/>
      <c r="N14" s="43"/>
      <c r="O14" s="44"/>
      <c r="P14" s="45"/>
      <c r="Q14" s="46">
        <f t="shared" si="0"/>
        <v>0</v>
      </c>
      <c r="R14" s="47" t="e">
        <f t="shared" si="1"/>
        <v>#DIV/0!</v>
      </c>
    </row>
    <row r="15" spans="1:20" ht="18" customHeight="1" x14ac:dyDescent="0.2">
      <c r="A15" s="32"/>
      <c r="B15" s="73"/>
      <c r="C15" s="48"/>
      <c r="D15" s="41"/>
      <c r="E15" s="42"/>
      <c r="F15" s="43"/>
      <c r="G15" s="44"/>
      <c r="H15" s="45"/>
      <c r="I15" s="42"/>
      <c r="J15" s="43"/>
      <c r="K15" s="44"/>
      <c r="L15" s="45"/>
      <c r="M15" s="42"/>
      <c r="N15" s="43"/>
      <c r="O15" s="44"/>
      <c r="P15" s="45"/>
      <c r="Q15" s="46">
        <f t="shared" si="0"/>
        <v>0</v>
      </c>
      <c r="R15" s="47" t="e">
        <f t="shared" si="1"/>
        <v>#DIV/0!</v>
      </c>
    </row>
    <row r="16" spans="1:20" ht="18" customHeight="1" x14ac:dyDescent="0.2">
      <c r="A16" s="32"/>
      <c r="B16" s="112"/>
      <c r="C16" s="48"/>
      <c r="D16" s="41"/>
      <c r="E16" s="42"/>
      <c r="F16" s="43"/>
      <c r="G16" s="44"/>
      <c r="H16" s="45"/>
      <c r="I16" s="42"/>
      <c r="J16" s="43"/>
      <c r="K16" s="44"/>
      <c r="L16" s="45"/>
      <c r="M16" s="42"/>
      <c r="N16" s="43"/>
      <c r="O16" s="44"/>
      <c r="P16" s="45"/>
      <c r="Q16" s="46">
        <f t="shared" si="0"/>
        <v>0</v>
      </c>
      <c r="R16" s="47" t="e">
        <f t="shared" si="1"/>
        <v>#DIV/0!</v>
      </c>
    </row>
    <row r="17" spans="1:18" ht="18" customHeight="1" x14ac:dyDescent="0.2">
      <c r="A17" s="32"/>
      <c r="B17" s="112"/>
      <c r="C17" s="48"/>
      <c r="D17" s="41"/>
      <c r="E17" s="42"/>
      <c r="F17" s="43"/>
      <c r="G17" s="44"/>
      <c r="H17" s="45"/>
      <c r="I17" s="42"/>
      <c r="J17" s="43"/>
      <c r="K17" s="44"/>
      <c r="L17" s="45"/>
      <c r="M17" s="42"/>
      <c r="N17" s="43"/>
      <c r="O17" s="44"/>
      <c r="P17" s="45"/>
      <c r="Q17" s="46">
        <f t="shared" si="0"/>
        <v>0</v>
      </c>
      <c r="R17" s="47" t="e">
        <f t="shared" si="1"/>
        <v>#DIV/0!</v>
      </c>
    </row>
    <row r="18" spans="1:18" ht="18" customHeight="1" x14ac:dyDescent="0.2">
      <c r="A18" s="32"/>
      <c r="B18" s="73"/>
      <c r="C18" s="48"/>
      <c r="D18" s="41"/>
      <c r="E18" s="42"/>
      <c r="F18" s="43"/>
      <c r="G18" s="44"/>
      <c r="H18" s="45"/>
      <c r="I18" s="42"/>
      <c r="J18" s="43"/>
      <c r="K18" s="44"/>
      <c r="L18" s="45"/>
      <c r="M18" s="42"/>
      <c r="N18" s="43"/>
      <c r="O18" s="44"/>
      <c r="P18" s="45"/>
      <c r="Q18" s="46">
        <f>E18+G18+I18+K18+M18+O18</f>
        <v>0</v>
      </c>
      <c r="R18" s="47" t="e">
        <f t="shared" si="1"/>
        <v>#DIV/0!</v>
      </c>
    </row>
    <row r="19" spans="1:18" ht="18" customHeight="1" x14ac:dyDescent="0.2">
      <c r="A19" s="32"/>
      <c r="B19" s="112"/>
      <c r="C19" s="48"/>
      <c r="D19" s="41"/>
      <c r="E19" s="42"/>
      <c r="F19" s="43"/>
      <c r="G19" s="44"/>
      <c r="H19" s="45"/>
      <c r="I19" s="42"/>
      <c r="J19" s="43"/>
      <c r="K19" s="44"/>
      <c r="L19" s="45"/>
      <c r="M19" s="42"/>
      <c r="N19" s="43"/>
      <c r="O19" s="44"/>
      <c r="P19" s="45"/>
      <c r="Q19" s="46">
        <f t="shared" si="0"/>
        <v>0</v>
      </c>
      <c r="R19" s="47" t="e">
        <f t="shared" si="1"/>
        <v>#DIV/0!</v>
      </c>
    </row>
    <row r="20" spans="1:18" ht="18" customHeight="1" x14ac:dyDescent="0.2">
      <c r="A20" s="32"/>
      <c r="B20" s="112"/>
      <c r="C20" s="48"/>
      <c r="D20" s="41"/>
      <c r="E20" s="42"/>
      <c r="F20" s="43"/>
      <c r="G20" s="44"/>
      <c r="H20" s="45"/>
      <c r="I20" s="42"/>
      <c r="J20" s="43"/>
      <c r="K20" s="44"/>
      <c r="L20" s="45"/>
      <c r="M20" s="42"/>
      <c r="N20" s="43"/>
      <c r="O20" s="44"/>
      <c r="P20" s="45"/>
      <c r="Q20" s="46">
        <f t="shared" si="0"/>
        <v>0</v>
      </c>
      <c r="R20" s="47" t="e">
        <f t="shared" si="1"/>
        <v>#DIV/0!</v>
      </c>
    </row>
    <row r="21" spans="1:18" ht="18" customHeight="1" x14ac:dyDescent="0.2">
      <c r="A21" s="32"/>
      <c r="B21" s="112"/>
      <c r="C21" s="48"/>
      <c r="D21" s="41"/>
      <c r="E21" s="42"/>
      <c r="F21" s="43"/>
      <c r="G21" s="44"/>
      <c r="H21" s="45"/>
      <c r="I21" s="42"/>
      <c r="J21" s="43"/>
      <c r="K21" s="44"/>
      <c r="L21" s="45"/>
      <c r="M21" s="42"/>
      <c r="N21" s="43"/>
      <c r="O21" s="44"/>
      <c r="P21" s="45"/>
      <c r="Q21" s="46">
        <f t="shared" si="0"/>
        <v>0</v>
      </c>
      <c r="R21" s="47" t="e">
        <f t="shared" si="1"/>
        <v>#DIV/0!</v>
      </c>
    </row>
    <row r="22" spans="1:18" ht="18" customHeight="1" x14ac:dyDescent="0.2">
      <c r="A22" s="32"/>
      <c r="B22" s="112"/>
      <c r="C22" s="48"/>
      <c r="D22" s="41"/>
      <c r="E22" s="42"/>
      <c r="F22" s="43"/>
      <c r="G22" s="44"/>
      <c r="H22" s="45"/>
      <c r="I22" s="42"/>
      <c r="J22" s="43"/>
      <c r="K22" s="44"/>
      <c r="L22" s="45"/>
      <c r="M22" s="42"/>
      <c r="N22" s="43"/>
      <c r="O22" s="44"/>
      <c r="P22" s="45"/>
      <c r="Q22" s="46">
        <f t="shared" si="0"/>
        <v>0</v>
      </c>
      <c r="R22" s="47" t="e">
        <f t="shared" si="1"/>
        <v>#DIV/0!</v>
      </c>
    </row>
    <row r="23" spans="1:18" ht="18" customHeight="1" x14ac:dyDescent="0.2">
      <c r="A23" s="32"/>
      <c r="B23" s="112"/>
      <c r="C23" s="48"/>
      <c r="D23" s="41"/>
      <c r="E23" s="42"/>
      <c r="F23" s="43"/>
      <c r="G23" s="44"/>
      <c r="H23" s="45"/>
      <c r="I23" s="42"/>
      <c r="J23" s="43"/>
      <c r="K23" s="44"/>
      <c r="L23" s="45"/>
      <c r="M23" s="42"/>
      <c r="N23" s="43"/>
      <c r="O23" s="44"/>
      <c r="P23" s="45"/>
      <c r="Q23" s="46">
        <f t="shared" si="0"/>
        <v>0</v>
      </c>
      <c r="R23" s="47" t="e">
        <f t="shared" si="1"/>
        <v>#DIV/0!</v>
      </c>
    </row>
    <row r="24" spans="1:18" ht="18" customHeight="1" x14ac:dyDescent="0.2">
      <c r="A24" s="32"/>
      <c r="B24" s="73"/>
      <c r="C24" s="48"/>
      <c r="D24" s="41"/>
      <c r="E24" s="42"/>
      <c r="F24" s="43"/>
      <c r="G24" s="44"/>
      <c r="H24" s="45"/>
      <c r="I24" s="42"/>
      <c r="J24" s="43"/>
      <c r="K24" s="44"/>
      <c r="L24" s="45"/>
      <c r="M24" s="42"/>
      <c r="N24" s="43"/>
      <c r="O24" s="44"/>
      <c r="P24" s="45"/>
      <c r="Q24" s="46">
        <f t="shared" si="0"/>
        <v>0</v>
      </c>
      <c r="R24" s="47" t="e">
        <f t="shared" si="1"/>
        <v>#DIV/0!</v>
      </c>
    </row>
    <row r="25" spans="1:18" ht="18" customHeight="1" x14ac:dyDescent="0.2">
      <c r="A25" s="32"/>
      <c r="B25" s="73"/>
      <c r="C25" s="48"/>
      <c r="D25" s="41"/>
      <c r="E25" s="42"/>
      <c r="F25" s="43"/>
      <c r="G25" s="44"/>
      <c r="H25" s="45"/>
      <c r="I25" s="42"/>
      <c r="J25" s="43"/>
      <c r="K25" s="44"/>
      <c r="L25" s="45"/>
      <c r="M25" s="42"/>
      <c r="N25" s="43"/>
      <c r="O25" s="44"/>
      <c r="P25" s="45"/>
      <c r="Q25" s="46">
        <f t="shared" si="0"/>
        <v>0</v>
      </c>
      <c r="R25" s="47" t="e">
        <f t="shared" si="1"/>
        <v>#DIV/0!</v>
      </c>
    </row>
    <row r="26" spans="1:18" ht="18" customHeight="1" x14ac:dyDescent="0.2">
      <c r="A26" s="32"/>
      <c r="B26" s="73"/>
      <c r="C26" s="48"/>
      <c r="D26" s="41"/>
      <c r="E26" s="42"/>
      <c r="F26" s="43"/>
      <c r="G26" s="44"/>
      <c r="H26" s="45"/>
      <c r="I26" s="42"/>
      <c r="J26" s="43"/>
      <c r="K26" s="44"/>
      <c r="L26" s="45"/>
      <c r="M26" s="42"/>
      <c r="N26" s="43"/>
      <c r="O26" s="44"/>
      <c r="P26" s="45"/>
      <c r="Q26" s="46">
        <f t="shared" si="0"/>
        <v>0</v>
      </c>
      <c r="R26" s="47" t="e">
        <f t="shared" si="1"/>
        <v>#DIV/0!</v>
      </c>
    </row>
    <row r="27" spans="1:18" ht="18" customHeight="1" x14ac:dyDescent="0.2">
      <c r="A27" s="32"/>
      <c r="B27" s="73"/>
      <c r="C27" s="40"/>
      <c r="D27" s="41"/>
      <c r="E27" s="42"/>
      <c r="F27" s="43"/>
      <c r="G27" s="44"/>
      <c r="H27" s="45"/>
      <c r="I27" s="42"/>
      <c r="J27" s="43"/>
      <c r="K27" s="44"/>
      <c r="L27" s="45"/>
      <c r="M27" s="42"/>
      <c r="N27" s="43"/>
      <c r="O27" s="44"/>
      <c r="P27" s="45"/>
      <c r="Q27" s="46">
        <f t="shared" si="0"/>
        <v>0</v>
      </c>
      <c r="R27" s="47" t="e">
        <f t="shared" si="1"/>
        <v>#DIV/0!</v>
      </c>
    </row>
    <row r="28" spans="1:18" ht="18" customHeight="1" x14ac:dyDescent="0.2">
      <c r="A28" s="32"/>
      <c r="B28" s="73"/>
      <c r="C28" s="40"/>
      <c r="D28" s="41"/>
      <c r="E28" s="42"/>
      <c r="F28" s="43"/>
      <c r="G28" s="44"/>
      <c r="H28" s="45"/>
      <c r="I28" s="42"/>
      <c r="J28" s="43"/>
      <c r="K28" s="44"/>
      <c r="L28" s="45"/>
      <c r="M28" s="42"/>
      <c r="N28" s="43"/>
      <c r="O28" s="44"/>
      <c r="P28" s="45"/>
      <c r="Q28" s="46">
        <f t="shared" si="0"/>
        <v>0</v>
      </c>
      <c r="R28" s="47" t="e">
        <f t="shared" si="1"/>
        <v>#DIV/0!</v>
      </c>
    </row>
    <row r="29" spans="1:18" ht="18" customHeight="1" thickBot="1" x14ac:dyDescent="0.25">
      <c r="A29" s="32"/>
      <c r="B29" s="74"/>
      <c r="C29" s="75"/>
      <c r="D29" s="33"/>
      <c r="E29" s="34"/>
      <c r="F29" s="35"/>
      <c r="G29" s="36"/>
      <c r="H29" s="37"/>
      <c r="I29" s="34"/>
      <c r="J29" s="35"/>
      <c r="K29" s="36"/>
      <c r="L29" s="37"/>
      <c r="M29" s="34"/>
      <c r="N29" s="35"/>
      <c r="O29" s="36"/>
      <c r="P29" s="37"/>
      <c r="Q29" s="49">
        <f t="shared" si="0"/>
        <v>0</v>
      </c>
      <c r="R29" s="39" t="e">
        <f t="shared" si="1"/>
        <v>#DIV/0!</v>
      </c>
    </row>
    <row r="30" spans="1:18" ht="18" customHeight="1" thickTop="1" x14ac:dyDescent="0.2">
      <c r="B30" s="76" t="s">
        <v>59</v>
      </c>
      <c r="C30" s="77">
        <f t="shared" ref="C30:Q30" si="2">SUM(C10:C29)</f>
        <v>300</v>
      </c>
      <c r="D30" s="50">
        <f t="shared" si="2"/>
        <v>1200</v>
      </c>
      <c r="E30" s="51">
        <f t="shared" si="2"/>
        <v>110</v>
      </c>
      <c r="F30" s="52">
        <f t="shared" si="2"/>
        <v>110</v>
      </c>
      <c r="G30" s="53">
        <f t="shared" si="2"/>
        <v>2</v>
      </c>
      <c r="H30" s="54">
        <f t="shared" si="2"/>
        <v>2</v>
      </c>
      <c r="I30" s="51">
        <f t="shared" si="2"/>
        <v>0</v>
      </c>
      <c r="J30" s="52">
        <f t="shared" si="2"/>
        <v>0</v>
      </c>
      <c r="K30" s="53">
        <f t="shared" si="2"/>
        <v>0</v>
      </c>
      <c r="L30" s="54">
        <f t="shared" si="2"/>
        <v>0</v>
      </c>
      <c r="M30" s="51">
        <f t="shared" si="2"/>
        <v>0</v>
      </c>
      <c r="N30" s="52">
        <f t="shared" si="2"/>
        <v>0</v>
      </c>
      <c r="O30" s="53">
        <f t="shared" si="2"/>
        <v>0</v>
      </c>
      <c r="P30" s="54">
        <f t="shared" si="2"/>
        <v>0</v>
      </c>
      <c r="Q30" s="55">
        <f t="shared" si="2"/>
        <v>112</v>
      </c>
      <c r="R30" s="56">
        <f>Q30/D30</f>
        <v>9.3333333333333338E-2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J144"/>
  <sheetViews>
    <sheetView showZeros="0" view="pageBreakPreview" topLeftCell="A109" zoomScaleNormal="100" zoomScaleSheetLayoutView="100" workbookViewId="0">
      <selection activeCell="K30" sqref="K30"/>
    </sheetView>
  </sheetViews>
  <sheetFormatPr defaultColWidth="11.33203125" defaultRowHeight="18.75" customHeight="1" x14ac:dyDescent="0.2"/>
  <cols>
    <col min="1" max="1" width="2.77734375" style="2"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6384" width="11.33203125" style="1"/>
  </cols>
  <sheetData>
    <row r="1" spans="1:10" ht="18.75" customHeight="1" x14ac:dyDescent="0.2">
      <c r="A1" s="2" t="s">
        <v>119</v>
      </c>
      <c r="J1" s="27" t="s">
        <v>120</v>
      </c>
    </row>
    <row r="2" spans="1:10" ht="18.75" customHeight="1" x14ac:dyDescent="0.2">
      <c r="A2" s="269" t="s">
        <v>66</v>
      </c>
      <c r="B2" s="269"/>
      <c r="C2" s="269"/>
      <c r="D2" s="269"/>
      <c r="E2" s="269"/>
      <c r="F2" s="269"/>
      <c r="G2" s="269"/>
      <c r="H2" s="269"/>
      <c r="I2" s="269"/>
      <c r="J2" s="269"/>
    </row>
    <row r="3" spans="1:10" ht="7.5" customHeight="1" x14ac:dyDescent="0.2">
      <c r="B3" s="25"/>
      <c r="C3" s="25"/>
      <c r="D3" s="25"/>
      <c r="E3" s="25"/>
      <c r="F3" s="25"/>
      <c r="G3" s="25"/>
      <c r="H3" s="25"/>
      <c r="I3" s="25"/>
      <c r="J3" s="25"/>
    </row>
    <row r="4" spans="1:10" ht="18.75" customHeight="1" x14ac:dyDescent="0.2">
      <c r="A4" s="1" t="s">
        <v>6</v>
      </c>
      <c r="B4" s="3" t="s">
        <v>76</v>
      </c>
      <c r="C4" s="3"/>
      <c r="D4" s="3"/>
      <c r="E4" s="3"/>
      <c r="F4" s="3"/>
      <c r="G4" s="3"/>
      <c r="H4" s="3"/>
      <c r="I4" s="25"/>
      <c r="J4" s="25"/>
    </row>
    <row r="5" spans="1:10" ht="18.75" customHeight="1" x14ac:dyDescent="0.2">
      <c r="A5" s="1"/>
      <c r="B5" s="163" t="s">
        <v>169</v>
      </c>
      <c r="C5" s="164"/>
      <c r="D5" s="164"/>
      <c r="E5" s="164"/>
      <c r="F5" s="164"/>
      <c r="G5" s="164"/>
      <c r="H5" s="164"/>
      <c r="I5" s="164"/>
      <c r="J5" s="165"/>
    </row>
    <row r="6" spans="1:10" ht="7.5" customHeight="1" x14ac:dyDescent="0.2">
      <c r="B6" s="25"/>
      <c r="C6" s="25"/>
      <c r="D6" s="25"/>
      <c r="E6" s="25"/>
      <c r="F6" s="25"/>
      <c r="G6" s="25"/>
      <c r="H6" s="25"/>
      <c r="I6" s="25"/>
      <c r="J6" s="25"/>
    </row>
    <row r="7" spans="1:10" s="3" customFormat="1" ht="18.75" customHeight="1" x14ac:dyDescent="0.2">
      <c r="A7" s="1" t="s">
        <v>10</v>
      </c>
      <c r="B7" s="1" t="s">
        <v>41</v>
      </c>
      <c r="C7" s="1"/>
      <c r="D7" s="1"/>
      <c r="E7" s="1"/>
      <c r="F7" s="1"/>
      <c r="G7" s="1"/>
      <c r="H7" s="1"/>
      <c r="I7" s="1"/>
      <c r="J7" s="1"/>
    </row>
    <row r="8" spans="1:10" s="3" customFormat="1" ht="24.6" customHeight="1" x14ac:dyDescent="0.2">
      <c r="A8" s="78"/>
      <c r="B8" s="285" t="s">
        <v>210</v>
      </c>
      <c r="C8" s="286"/>
      <c r="D8" s="286"/>
      <c r="E8" s="286"/>
      <c r="F8" s="286"/>
      <c r="G8" s="286"/>
      <c r="H8" s="286"/>
      <c r="I8" s="287"/>
      <c r="J8" s="288"/>
    </row>
    <row r="9" spans="1:10" s="3" customFormat="1" ht="24.6" customHeight="1" x14ac:dyDescent="0.2">
      <c r="A9" s="78"/>
      <c r="B9" s="289"/>
      <c r="C9" s="290"/>
      <c r="D9" s="290"/>
      <c r="E9" s="290"/>
      <c r="F9" s="290"/>
      <c r="G9" s="290"/>
      <c r="H9" s="290"/>
      <c r="I9" s="290"/>
      <c r="J9" s="291"/>
    </row>
    <row r="10" spans="1:10" s="3" customFormat="1" ht="24.6" customHeight="1" x14ac:dyDescent="0.2">
      <c r="A10" s="78"/>
      <c r="B10" s="289"/>
      <c r="C10" s="290"/>
      <c r="D10" s="290"/>
      <c r="E10" s="290"/>
      <c r="F10" s="290"/>
      <c r="G10" s="290"/>
      <c r="H10" s="290"/>
      <c r="I10" s="290"/>
      <c r="J10" s="291"/>
    </row>
    <row r="11" spans="1:10" s="3" customFormat="1" ht="24.6" customHeight="1" x14ac:dyDescent="0.2">
      <c r="A11" s="78"/>
      <c r="B11" s="289"/>
      <c r="C11" s="290"/>
      <c r="D11" s="290"/>
      <c r="E11" s="290"/>
      <c r="F11" s="290"/>
      <c r="G11" s="290"/>
      <c r="H11" s="290"/>
      <c r="I11" s="290"/>
      <c r="J11" s="291"/>
    </row>
    <row r="12" spans="1:10" s="3" customFormat="1" ht="24.6" customHeight="1" x14ac:dyDescent="0.2">
      <c r="A12" s="78"/>
      <c r="B12" s="292"/>
      <c r="C12" s="293"/>
      <c r="D12" s="293"/>
      <c r="E12" s="293"/>
      <c r="F12" s="293"/>
      <c r="G12" s="293"/>
      <c r="H12" s="293"/>
      <c r="I12" s="293"/>
      <c r="J12" s="294"/>
    </row>
    <row r="13" spans="1:10" s="3" customFormat="1" ht="7.5" customHeight="1" x14ac:dyDescent="0.2">
      <c r="A13" s="78"/>
      <c r="B13" s="78"/>
      <c r="C13" s="78"/>
      <c r="D13" s="78"/>
      <c r="E13" s="78"/>
      <c r="F13" s="78"/>
      <c r="G13" s="78"/>
      <c r="H13" s="78"/>
      <c r="I13" s="78"/>
      <c r="J13" s="78"/>
    </row>
    <row r="14" spans="1:10" s="3" customFormat="1" ht="18.75" customHeight="1" x14ac:dyDescent="0.2">
      <c r="A14" s="79" t="s">
        <v>11</v>
      </c>
      <c r="B14" s="79" t="s">
        <v>16</v>
      </c>
      <c r="C14" s="79"/>
      <c r="D14" s="79"/>
      <c r="E14" s="79"/>
      <c r="F14" s="79"/>
      <c r="G14" s="79"/>
      <c r="H14" s="79"/>
      <c r="I14" s="79"/>
      <c r="J14" s="79"/>
    </row>
    <row r="15" spans="1:10" s="3" customFormat="1" ht="13.8" customHeight="1" x14ac:dyDescent="0.2">
      <c r="A15" s="78"/>
      <c r="B15" s="285" t="s">
        <v>211</v>
      </c>
      <c r="C15" s="286"/>
      <c r="D15" s="286"/>
      <c r="E15" s="286"/>
      <c r="F15" s="286"/>
      <c r="G15" s="286"/>
      <c r="H15" s="286"/>
      <c r="I15" s="287"/>
      <c r="J15" s="288"/>
    </row>
    <row r="16" spans="1:10" s="3" customFormat="1" ht="13.8" customHeight="1" x14ac:dyDescent="0.2">
      <c r="A16" s="78"/>
      <c r="B16" s="289"/>
      <c r="C16" s="290"/>
      <c r="D16" s="290"/>
      <c r="E16" s="290"/>
      <c r="F16" s="290"/>
      <c r="G16" s="290"/>
      <c r="H16" s="290"/>
      <c r="I16" s="290"/>
      <c r="J16" s="291"/>
    </row>
    <row r="17" spans="1:10" s="3" customFormat="1" ht="13.8" customHeight="1" x14ac:dyDescent="0.2">
      <c r="A17" s="78"/>
      <c r="B17" s="289"/>
      <c r="C17" s="290"/>
      <c r="D17" s="290"/>
      <c r="E17" s="290"/>
      <c r="F17" s="290"/>
      <c r="G17" s="290"/>
      <c r="H17" s="290"/>
      <c r="I17" s="290"/>
      <c r="J17" s="291"/>
    </row>
    <row r="18" spans="1:10" s="3" customFormat="1" ht="13.8" customHeight="1" x14ac:dyDescent="0.2">
      <c r="A18" s="78"/>
      <c r="B18" s="289"/>
      <c r="C18" s="290"/>
      <c r="D18" s="290"/>
      <c r="E18" s="290"/>
      <c r="F18" s="290"/>
      <c r="G18" s="290"/>
      <c r="H18" s="290"/>
      <c r="I18" s="290"/>
      <c r="J18" s="291"/>
    </row>
    <row r="19" spans="1:10" s="3" customFormat="1" ht="13.8" customHeight="1" x14ac:dyDescent="0.2">
      <c r="A19" s="78"/>
      <c r="B19" s="289"/>
      <c r="C19" s="290"/>
      <c r="D19" s="290"/>
      <c r="E19" s="290"/>
      <c r="F19" s="290"/>
      <c r="G19" s="290"/>
      <c r="H19" s="290"/>
      <c r="I19" s="290"/>
      <c r="J19" s="291"/>
    </row>
    <row r="20" spans="1:10" s="3" customFormat="1" ht="13.8" customHeight="1" x14ac:dyDescent="0.2">
      <c r="A20" s="78"/>
      <c r="B20" s="289"/>
      <c r="C20" s="290"/>
      <c r="D20" s="290"/>
      <c r="E20" s="290"/>
      <c r="F20" s="290"/>
      <c r="G20" s="290"/>
      <c r="H20" s="290"/>
      <c r="I20" s="290"/>
      <c r="J20" s="291"/>
    </row>
    <row r="21" spans="1:10" s="3" customFormat="1" ht="13.8" customHeight="1" x14ac:dyDescent="0.2">
      <c r="A21" s="78"/>
      <c r="B21" s="289"/>
      <c r="C21" s="290"/>
      <c r="D21" s="290"/>
      <c r="E21" s="290"/>
      <c r="F21" s="290"/>
      <c r="G21" s="290"/>
      <c r="H21" s="290"/>
      <c r="I21" s="290"/>
      <c r="J21" s="291"/>
    </row>
    <row r="22" spans="1:10" s="3" customFormat="1" ht="13.8" customHeight="1" x14ac:dyDescent="0.2">
      <c r="A22" s="78"/>
      <c r="B22" s="289"/>
      <c r="C22" s="290"/>
      <c r="D22" s="290"/>
      <c r="E22" s="290"/>
      <c r="F22" s="290"/>
      <c r="G22" s="290"/>
      <c r="H22" s="290"/>
      <c r="I22" s="290"/>
      <c r="J22" s="291"/>
    </row>
    <row r="23" spans="1:10" s="3" customFormat="1" ht="13.8" customHeight="1" x14ac:dyDescent="0.2">
      <c r="A23" s="78"/>
      <c r="B23" s="289"/>
      <c r="C23" s="290"/>
      <c r="D23" s="290"/>
      <c r="E23" s="290"/>
      <c r="F23" s="290"/>
      <c r="G23" s="290"/>
      <c r="H23" s="290"/>
      <c r="I23" s="290"/>
      <c r="J23" s="291"/>
    </row>
    <row r="24" spans="1:10" s="3" customFormat="1" ht="13.8" customHeight="1" x14ac:dyDescent="0.2">
      <c r="A24" s="78"/>
      <c r="B24" s="289"/>
      <c r="C24" s="290"/>
      <c r="D24" s="290"/>
      <c r="E24" s="290"/>
      <c r="F24" s="290"/>
      <c r="G24" s="290"/>
      <c r="H24" s="290"/>
      <c r="I24" s="290"/>
      <c r="J24" s="291"/>
    </row>
    <row r="25" spans="1:10" s="3" customFormat="1" ht="13.8" customHeight="1" x14ac:dyDescent="0.2">
      <c r="A25" s="78"/>
      <c r="B25" s="292"/>
      <c r="C25" s="293"/>
      <c r="D25" s="293"/>
      <c r="E25" s="293"/>
      <c r="F25" s="293"/>
      <c r="G25" s="293"/>
      <c r="H25" s="293"/>
      <c r="I25" s="293"/>
      <c r="J25" s="294"/>
    </row>
    <row r="26" spans="1:10" ht="7.5" customHeight="1" x14ac:dyDescent="0.2">
      <c r="A26" s="26"/>
      <c r="B26" s="26"/>
      <c r="C26" s="26"/>
      <c r="D26" s="26"/>
      <c r="E26" s="26"/>
      <c r="F26" s="26"/>
      <c r="G26" s="26"/>
      <c r="H26" s="26"/>
      <c r="I26" s="26"/>
      <c r="J26" s="26"/>
    </row>
    <row r="27" spans="1:10" s="3" customFormat="1" ht="18.75" customHeight="1" x14ac:dyDescent="0.2">
      <c r="A27" s="1" t="s">
        <v>14</v>
      </c>
      <c r="B27" s="1" t="s">
        <v>27</v>
      </c>
      <c r="C27" s="1"/>
      <c r="D27" s="1"/>
      <c r="E27" s="1"/>
      <c r="F27" s="1"/>
      <c r="G27" s="1"/>
      <c r="H27" s="1"/>
      <c r="I27" s="1"/>
      <c r="J27" s="1"/>
    </row>
    <row r="28" spans="1:10" s="21" customFormat="1" ht="18.75" customHeight="1" x14ac:dyDescent="0.2">
      <c r="B28" s="80" t="s">
        <v>121</v>
      </c>
      <c r="C28" s="81">
        <f>'様式３　履修者等数の実績'!R30</f>
        <v>9.3333333333333338E-2</v>
      </c>
      <c r="D28" s="82"/>
      <c r="E28" s="82" t="s">
        <v>122</v>
      </c>
      <c r="F28" s="81">
        <v>0.4</v>
      </c>
      <c r="G28" s="82"/>
      <c r="H28" s="82" t="s">
        <v>123</v>
      </c>
      <c r="I28" s="83">
        <v>0.6</v>
      </c>
      <c r="J28" s="84"/>
    </row>
    <row r="29" spans="1:10" s="21" customFormat="1" ht="18.75" customHeight="1" x14ac:dyDescent="0.2">
      <c r="B29" s="68" t="s">
        <v>124</v>
      </c>
      <c r="C29" s="85">
        <v>0.8</v>
      </c>
      <c r="D29" s="69"/>
      <c r="E29" s="69" t="s">
        <v>125</v>
      </c>
      <c r="F29" s="85">
        <v>0.8</v>
      </c>
      <c r="G29" s="69"/>
      <c r="H29" s="69" t="s">
        <v>126</v>
      </c>
      <c r="I29" s="86">
        <f>'様式３　履修者等数の実績'!D30</f>
        <v>1200</v>
      </c>
      <c r="J29" s="87"/>
    </row>
    <row r="30" spans="1:10" s="3" customFormat="1" ht="18.75" customHeight="1" x14ac:dyDescent="0.2">
      <c r="A30" s="1"/>
      <c r="B30" s="304" t="s">
        <v>127</v>
      </c>
      <c r="C30" s="305"/>
      <c r="D30" s="305"/>
      <c r="E30" s="305"/>
      <c r="F30" s="305"/>
      <c r="G30" s="305"/>
      <c r="H30" s="305"/>
      <c r="I30" s="305"/>
      <c r="J30" s="306"/>
    </row>
    <row r="31" spans="1:10" s="3" customFormat="1" ht="31.5" customHeight="1" x14ac:dyDescent="0.2">
      <c r="A31" s="1"/>
      <c r="B31" s="295" t="s">
        <v>225</v>
      </c>
      <c r="C31" s="296"/>
      <c r="D31" s="296"/>
      <c r="E31" s="296"/>
      <c r="F31" s="296"/>
      <c r="G31" s="296"/>
      <c r="H31" s="296"/>
      <c r="I31" s="296"/>
      <c r="J31" s="297"/>
    </row>
    <row r="32" spans="1:10" s="3" customFormat="1" ht="31.5" customHeight="1" x14ac:dyDescent="0.2">
      <c r="A32" s="1"/>
      <c r="B32" s="298"/>
      <c r="C32" s="299"/>
      <c r="D32" s="299"/>
      <c r="E32" s="299"/>
      <c r="F32" s="299"/>
      <c r="G32" s="299"/>
      <c r="H32" s="299"/>
      <c r="I32" s="299"/>
      <c r="J32" s="300"/>
    </row>
    <row r="33" spans="1:10" s="3" customFormat="1" ht="31.5" customHeight="1" x14ac:dyDescent="0.2">
      <c r="A33" s="1"/>
      <c r="B33" s="298"/>
      <c r="C33" s="299"/>
      <c r="D33" s="299"/>
      <c r="E33" s="299"/>
      <c r="F33" s="299"/>
      <c r="G33" s="299"/>
      <c r="H33" s="299"/>
      <c r="I33" s="299"/>
      <c r="J33" s="300"/>
    </row>
    <row r="34" spans="1:10" s="3" customFormat="1" ht="31.5" customHeight="1" x14ac:dyDescent="0.2">
      <c r="A34" s="1"/>
      <c r="B34" s="298"/>
      <c r="C34" s="299"/>
      <c r="D34" s="299"/>
      <c r="E34" s="299"/>
      <c r="F34" s="299"/>
      <c r="G34" s="299"/>
      <c r="H34" s="299"/>
      <c r="I34" s="299"/>
      <c r="J34" s="300"/>
    </row>
    <row r="35" spans="1:10" s="3" customFormat="1" ht="31.5" customHeight="1" x14ac:dyDescent="0.2">
      <c r="A35" s="1"/>
      <c r="B35" s="298"/>
      <c r="C35" s="299"/>
      <c r="D35" s="299"/>
      <c r="E35" s="299"/>
      <c r="F35" s="299"/>
      <c r="G35" s="299"/>
      <c r="H35" s="299"/>
      <c r="I35" s="299"/>
      <c r="J35" s="300"/>
    </row>
    <row r="36" spans="1:10" s="3" customFormat="1" ht="31.5" customHeight="1" x14ac:dyDescent="0.2">
      <c r="A36" s="1"/>
      <c r="B36" s="298"/>
      <c r="C36" s="299"/>
      <c r="D36" s="299"/>
      <c r="E36" s="299"/>
      <c r="F36" s="299"/>
      <c r="G36" s="299"/>
      <c r="H36" s="299"/>
      <c r="I36" s="299"/>
      <c r="J36" s="300"/>
    </row>
    <row r="37" spans="1:10" s="3" customFormat="1" ht="31.5" customHeight="1" x14ac:dyDescent="0.2">
      <c r="A37" s="1"/>
      <c r="B37" s="298"/>
      <c r="C37" s="299"/>
      <c r="D37" s="299"/>
      <c r="E37" s="299"/>
      <c r="F37" s="299"/>
      <c r="G37" s="299"/>
      <c r="H37" s="299"/>
      <c r="I37" s="299"/>
      <c r="J37" s="300"/>
    </row>
    <row r="38" spans="1:10" s="3" customFormat="1" ht="31.5" customHeight="1" x14ac:dyDescent="0.2">
      <c r="A38" s="1"/>
      <c r="B38" s="298"/>
      <c r="C38" s="299"/>
      <c r="D38" s="299"/>
      <c r="E38" s="299"/>
      <c r="F38" s="299"/>
      <c r="G38" s="299"/>
      <c r="H38" s="299"/>
      <c r="I38" s="299"/>
      <c r="J38" s="300"/>
    </row>
    <row r="39" spans="1:10" s="3" customFormat="1" ht="31.5" customHeight="1" x14ac:dyDescent="0.2">
      <c r="A39" s="1"/>
      <c r="B39" s="298"/>
      <c r="C39" s="299"/>
      <c r="D39" s="299"/>
      <c r="E39" s="299"/>
      <c r="F39" s="299"/>
      <c r="G39" s="299"/>
      <c r="H39" s="299"/>
      <c r="I39" s="299"/>
      <c r="J39" s="300"/>
    </row>
    <row r="40" spans="1:10" s="3" customFormat="1" ht="31.5" customHeight="1" x14ac:dyDescent="0.2">
      <c r="A40" s="1"/>
      <c r="B40" s="298"/>
      <c r="C40" s="299"/>
      <c r="D40" s="299"/>
      <c r="E40" s="299"/>
      <c r="F40" s="299"/>
      <c r="G40" s="299"/>
      <c r="H40" s="299"/>
      <c r="I40" s="299"/>
      <c r="J40" s="300"/>
    </row>
    <row r="41" spans="1:10" s="3" customFormat="1" ht="31.5" customHeight="1" x14ac:dyDescent="0.2">
      <c r="A41" s="1"/>
      <c r="B41" s="298"/>
      <c r="C41" s="299"/>
      <c r="D41" s="299"/>
      <c r="E41" s="299"/>
      <c r="F41" s="299"/>
      <c r="G41" s="299"/>
      <c r="H41" s="299"/>
      <c r="I41" s="299"/>
      <c r="J41" s="300"/>
    </row>
    <row r="42" spans="1:10" s="3" customFormat="1" ht="31.5" customHeight="1" x14ac:dyDescent="0.2">
      <c r="A42" s="1"/>
      <c r="B42" s="298"/>
      <c r="C42" s="299"/>
      <c r="D42" s="299"/>
      <c r="E42" s="299"/>
      <c r="F42" s="299"/>
      <c r="G42" s="299"/>
      <c r="H42" s="299"/>
      <c r="I42" s="299"/>
      <c r="J42" s="300"/>
    </row>
    <row r="43" spans="1:10" ht="31.5" customHeight="1" x14ac:dyDescent="0.2">
      <c r="A43" s="26"/>
      <c r="B43" s="298"/>
      <c r="C43" s="299"/>
      <c r="D43" s="299"/>
      <c r="E43" s="299"/>
      <c r="F43" s="299"/>
      <c r="G43" s="299"/>
      <c r="H43" s="299"/>
      <c r="I43" s="299"/>
      <c r="J43" s="300"/>
    </row>
    <row r="44" spans="1:10" ht="31.5" customHeight="1" x14ac:dyDescent="0.2">
      <c r="A44" s="26"/>
      <c r="B44" s="301"/>
      <c r="C44" s="302"/>
      <c r="D44" s="302"/>
      <c r="E44" s="302"/>
      <c r="F44" s="302"/>
      <c r="G44" s="302"/>
      <c r="H44" s="302"/>
      <c r="I44" s="302"/>
      <c r="J44" s="303"/>
    </row>
    <row r="45" spans="1:10" s="3" customFormat="1" ht="31.5" customHeight="1" x14ac:dyDescent="0.2">
      <c r="A45" s="88" t="s">
        <v>12</v>
      </c>
      <c r="B45" s="1" t="s">
        <v>67</v>
      </c>
      <c r="C45" s="1"/>
      <c r="D45" s="1"/>
      <c r="E45" s="1"/>
      <c r="F45" s="1"/>
      <c r="G45" s="1"/>
      <c r="H45" s="1"/>
      <c r="I45" s="88"/>
      <c r="J45" s="88"/>
    </row>
    <row r="46" spans="1:10" ht="11.4" customHeight="1" x14ac:dyDescent="0.2">
      <c r="A46" s="26"/>
      <c r="B46" s="285" t="s">
        <v>213</v>
      </c>
      <c r="C46" s="286"/>
      <c r="D46" s="286"/>
      <c r="E46" s="286"/>
      <c r="F46" s="286"/>
      <c r="G46" s="286"/>
      <c r="H46" s="286"/>
      <c r="I46" s="286"/>
      <c r="J46" s="307"/>
    </row>
    <row r="47" spans="1:10" ht="11.4" customHeight="1" x14ac:dyDescent="0.2">
      <c r="A47" s="26"/>
      <c r="B47" s="308"/>
      <c r="C47" s="309"/>
      <c r="D47" s="309"/>
      <c r="E47" s="309"/>
      <c r="F47" s="309"/>
      <c r="G47" s="309"/>
      <c r="H47" s="309"/>
      <c r="I47" s="309"/>
      <c r="J47" s="310"/>
    </row>
    <row r="48" spans="1:10" ht="11.4" customHeight="1" x14ac:dyDescent="0.2">
      <c r="A48" s="26"/>
      <c r="B48" s="308"/>
      <c r="C48" s="309"/>
      <c r="D48" s="309"/>
      <c r="E48" s="309"/>
      <c r="F48" s="309"/>
      <c r="G48" s="309"/>
      <c r="H48" s="309"/>
      <c r="I48" s="309"/>
      <c r="J48" s="310"/>
    </row>
    <row r="49" spans="1:10" ht="11.4" customHeight="1" x14ac:dyDescent="0.2">
      <c r="A49" s="26"/>
      <c r="B49" s="308"/>
      <c r="C49" s="309"/>
      <c r="D49" s="309"/>
      <c r="E49" s="309"/>
      <c r="F49" s="309"/>
      <c r="G49" s="309"/>
      <c r="H49" s="309"/>
      <c r="I49" s="309"/>
      <c r="J49" s="310"/>
    </row>
    <row r="50" spans="1:10" ht="11.4" customHeight="1" x14ac:dyDescent="0.2">
      <c r="A50" s="26"/>
      <c r="B50" s="308"/>
      <c r="C50" s="309"/>
      <c r="D50" s="309"/>
      <c r="E50" s="309"/>
      <c r="F50" s="309"/>
      <c r="G50" s="309"/>
      <c r="H50" s="309"/>
      <c r="I50" s="309"/>
      <c r="J50" s="310"/>
    </row>
    <row r="51" spans="1:10" ht="11.4" customHeight="1" x14ac:dyDescent="0.2">
      <c r="A51" s="26"/>
      <c r="B51" s="308"/>
      <c r="C51" s="309"/>
      <c r="D51" s="309"/>
      <c r="E51" s="309"/>
      <c r="F51" s="309"/>
      <c r="G51" s="309"/>
      <c r="H51" s="309"/>
      <c r="I51" s="309"/>
      <c r="J51" s="310"/>
    </row>
    <row r="52" spans="1:10" ht="11.4" customHeight="1" x14ac:dyDescent="0.2">
      <c r="A52" s="26"/>
      <c r="B52" s="308"/>
      <c r="C52" s="309"/>
      <c r="D52" s="309"/>
      <c r="E52" s="309"/>
      <c r="F52" s="309"/>
      <c r="G52" s="309"/>
      <c r="H52" s="309"/>
      <c r="I52" s="309"/>
      <c r="J52" s="310"/>
    </row>
    <row r="53" spans="1:10" ht="11.4" customHeight="1" x14ac:dyDescent="0.2">
      <c r="A53" s="26"/>
      <c r="B53" s="308"/>
      <c r="C53" s="309"/>
      <c r="D53" s="309"/>
      <c r="E53" s="309"/>
      <c r="F53" s="309"/>
      <c r="G53" s="309"/>
      <c r="H53" s="309"/>
      <c r="I53" s="309"/>
      <c r="J53" s="310"/>
    </row>
    <row r="54" spans="1:10" ht="11.4" customHeight="1" x14ac:dyDescent="0.2">
      <c r="A54" s="26"/>
      <c r="B54" s="308"/>
      <c r="C54" s="309"/>
      <c r="D54" s="309"/>
      <c r="E54" s="309"/>
      <c r="F54" s="309"/>
      <c r="G54" s="309"/>
      <c r="H54" s="309"/>
      <c r="I54" s="309"/>
      <c r="J54" s="310"/>
    </row>
    <row r="55" spans="1:10" ht="11.4" customHeight="1" x14ac:dyDescent="0.2">
      <c r="A55" s="26"/>
      <c r="B55" s="308"/>
      <c r="C55" s="309"/>
      <c r="D55" s="309"/>
      <c r="E55" s="309"/>
      <c r="F55" s="309"/>
      <c r="G55" s="309"/>
      <c r="H55" s="309"/>
      <c r="I55" s="309"/>
      <c r="J55" s="310"/>
    </row>
    <row r="56" spans="1:10" ht="11.4" customHeight="1" x14ac:dyDescent="0.2">
      <c r="A56" s="26"/>
      <c r="B56" s="308"/>
      <c r="C56" s="309"/>
      <c r="D56" s="309"/>
      <c r="E56" s="309"/>
      <c r="F56" s="309"/>
      <c r="G56" s="309"/>
      <c r="H56" s="309"/>
      <c r="I56" s="309"/>
      <c r="J56" s="310"/>
    </row>
    <row r="57" spans="1:10" ht="11.4" customHeight="1" x14ac:dyDescent="0.2">
      <c r="A57" s="26"/>
      <c r="B57" s="308"/>
      <c r="C57" s="309"/>
      <c r="D57" s="309"/>
      <c r="E57" s="309"/>
      <c r="F57" s="309"/>
      <c r="G57" s="309"/>
      <c r="H57" s="309"/>
      <c r="I57" s="309"/>
      <c r="J57" s="310"/>
    </row>
    <row r="58" spans="1:10" ht="11.4" customHeight="1" x14ac:dyDescent="0.2">
      <c r="A58" s="26"/>
      <c r="B58" s="308"/>
      <c r="C58" s="309"/>
      <c r="D58" s="309"/>
      <c r="E58" s="309"/>
      <c r="F58" s="309"/>
      <c r="G58" s="309"/>
      <c r="H58" s="309"/>
      <c r="I58" s="309"/>
      <c r="J58" s="310"/>
    </row>
    <row r="59" spans="1:10" ht="11.4" customHeight="1" x14ac:dyDescent="0.2">
      <c r="A59" s="26"/>
      <c r="B59" s="308"/>
      <c r="C59" s="309"/>
      <c r="D59" s="309"/>
      <c r="E59" s="309"/>
      <c r="F59" s="309"/>
      <c r="G59" s="309"/>
      <c r="H59" s="309"/>
      <c r="I59" s="309"/>
      <c r="J59" s="310"/>
    </row>
    <row r="60" spans="1:10" ht="11.4" customHeight="1" x14ac:dyDescent="0.2">
      <c r="A60" s="26"/>
      <c r="B60" s="308"/>
      <c r="C60" s="309"/>
      <c r="D60" s="309"/>
      <c r="E60" s="309"/>
      <c r="F60" s="309"/>
      <c r="G60" s="309"/>
      <c r="H60" s="309"/>
      <c r="I60" s="309"/>
      <c r="J60" s="310"/>
    </row>
    <row r="61" spans="1:10" ht="11.4" customHeight="1" x14ac:dyDescent="0.2">
      <c r="A61" s="26"/>
      <c r="B61" s="308"/>
      <c r="C61" s="309"/>
      <c r="D61" s="309"/>
      <c r="E61" s="309"/>
      <c r="F61" s="309"/>
      <c r="G61" s="309"/>
      <c r="H61" s="309"/>
      <c r="I61" s="309"/>
      <c r="J61" s="310"/>
    </row>
    <row r="62" spans="1:10" ht="11.4" customHeight="1" x14ac:dyDescent="0.2">
      <c r="A62" s="26"/>
      <c r="B62" s="308"/>
      <c r="C62" s="309"/>
      <c r="D62" s="309"/>
      <c r="E62" s="309"/>
      <c r="F62" s="309"/>
      <c r="G62" s="309"/>
      <c r="H62" s="309"/>
      <c r="I62" s="309"/>
      <c r="J62" s="310"/>
    </row>
    <row r="63" spans="1:10" ht="11.4" customHeight="1" x14ac:dyDescent="0.2">
      <c r="A63" s="26"/>
      <c r="B63" s="308"/>
      <c r="C63" s="309"/>
      <c r="D63" s="309"/>
      <c r="E63" s="309"/>
      <c r="F63" s="309"/>
      <c r="G63" s="309"/>
      <c r="H63" s="309"/>
      <c r="I63" s="309"/>
      <c r="J63" s="310"/>
    </row>
    <row r="64" spans="1:10" ht="11.4" customHeight="1" x14ac:dyDescent="0.2">
      <c r="A64" s="26"/>
      <c r="B64" s="308"/>
      <c r="C64" s="309"/>
      <c r="D64" s="309"/>
      <c r="E64" s="309"/>
      <c r="F64" s="309"/>
      <c r="G64" s="309"/>
      <c r="H64" s="309"/>
      <c r="I64" s="309"/>
      <c r="J64" s="310"/>
    </row>
    <row r="65" spans="1:10" ht="11.4" customHeight="1" x14ac:dyDescent="0.2">
      <c r="A65" s="26"/>
      <c r="B65" s="308"/>
      <c r="C65" s="309"/>
      <c r="D65" s="309"/>
      <c r="E65" s="309"/>
      <c r="F65" s="309"/>
      <c r="G65" s="309"/>
      <c r="H65" s="309"/>
      <c r="I65" s="309"/>
      <c r="J65" s="310"/>
    </row>
    <row r="66" spans="1:10" ht="11.4" customHeight="1" x14ac:dyDescent="0.2">
      <c r="A66" s="26"/>
      <c r="B66" s="311"/>
      <c r="C66" s="312"/>
      <c r="D66" s="312"/>
      <c r="E66" s="312"/>
      <c r="F66" s="312"/>
      <c r="G66" s="312"/>
      <c r="H66" s="312"/>
      <c r="I66" s="312"/>
      <c r="J66" s="313"/>
    </row>
    <row r="67" spans="1:10" ht="7.5" customHeight="1" x14ac:dyDescent="0.2">
      <c r="A67" s="26"/>
      <c r="B67" s="26"/>
      <c r="C67" s="26"/>
      <c r="D67" s="26"/>
      <c r="E67" s="26"/>
      <c r="F67" s="26"/>
      <c r="G67" s="26"/>
      <c r="H67" s="26"/>
      <c r="I67" s="26"/>
      <c r="J67" s="26"/>
    </row>
    <row r="68" spans="1:10" s="3" customFormat="1" ht="18.75" customHeight="1" x14ac:dyDescent="0.2">
      <c r="A68" s="1" t="s">
        <v>15</v>
      </c>
      <c r="B68" s="1" t="s">
        <v>75</v>
      </c>
      <c r="C68" s="1"/>
      <c r="D68" s="1"/>
      <c r="E68" s="1"/>
      <c r="F68" s="1"/>
      <c r="G68" s="1"/>
      <c r="H68" s="1"/>
      <c r="I68" s="1"/>
      <c r="J68" s="1"/>
    </row>
    <row r="69" spans="1:10" s="3" customFormat="1" ht="13.2" customHeight="1" x14ac:dyDescent="0.2">
      <c r="A69" s="1"/>
      <c r="B69" s="285" t="s">
        <v>212</v>
      </c>
      <c r="C69" s="314"/>
      <c r="D69" s="314"/>
      <c r="E69" s="314"/>
      <c r="F69" s="314"/>
      <c r="G69" s="314"/>
      <c r="H69" s="314"/>
      <c r="I69" s="315"/>
      <c r="J69" s="316"/>
    </row>
    <row r="70" spans="1:10" s="3" customFormat="1" ht="13.2" customHeight="1" x14ac:dyDescent="0.2">
      <c r="A70" s="1"/>
      <c r="B70" s="317"/>
      <c r="C70" s="318"/>
      <c r="D70" s="318"/>
      <c r="E70" s="318"/>
      <c r="F70" s="318"/>
      <c r="G70" s="318"/>
      <c r="H70" s="318"/>
      <c r="I70" s="318"/>
      <c r="J70" s="319"/>
    </row>
    <row r="71" spans="1:10" s="3" customFormat="1" ht="13.2" customHeight="1" x14ac:dyDescent="0.2">
      <c r="A71" s="1"/>
      <c r="B71" s="317"/>
      <c r="C71" s="318"/>
      <c r="D71" s="318"/>
      <c r="E71" s="318"/>
      <c r="F71" s="318"/>
      <c r="G71" s="318"/>
      <c r="H71" s="318"/>
      <c r="I71" s="318"/>
      <c r="J71" s="319"/>
    </row>
    <row r="72" spans="1:10" s="3" customFormat="1" ht="13.2" customHeight="1" x14ac:dyDescent="0.2">
      <c r="A72" s="1"/>
      <c r="B72" s="317"/>
      <c r="C72" s="318"/>
      <c r="D72" s="318"/>
      <c r="E72" s="318"/>
      <c r="F72" s="318"/>
      <c r="G72" s="318"/>
      <c r="H72" s="318"/>
      <c r="I72" s="318"/>
      <c r="J72" s="319"/>
    </row>
    <row r="73" spans="1:10" s="3" customFormat="1" ht="13.2" customHeight="1" x14ac:dyDescent="0.2">
      <c r="A73" s="1"/>
      <c r="B73" s="317"/>
      <c r="C73" s="318"/>
      <c r="D73" s="318"/>
      <c r="E73" s="318"/>
      <c r="F73" s="318"/>
      <c r="G73" s="318"/>
      <c r="H73" s="318"/>
      <c r="I73" s="318"/>
      <c r="J73" s="319"/>
    </row>
    <row r="74" spans="1:10" s="3" customFormat="1" ht="13.2" customHeight="1" x14ac:dyDescent="0.2">
      <c r="A74" s="1"/>
      <c r="B74" s="317"/>
      <c r="C74" s="318"/>
      <c r="D74" s="318"/>
      <c r="E74" s="318"/>
      <c r="F74" s="318"/>
      <c r="G74" s="318"/>
      <c r="H74" s="318"/>
      <c r="I74" s="318"/>
      <c r="J74" s="319"/>
    </row>
    <row r="75" spans="1:10" s="3" customFormat="1" ht="13.2" customHeight="1" x14ac:dyDescent="0.2">
      <c r="A75" s="1"/>
      <c r="B75" s="317"/>
      <c r="C75" s="318"/>
      <c r="D75" s="318"/>
      <c r="E75" s="318"/>
      <c r="F75" s="318"/>
      <c r="G75" s="318"/>
      <c r="H75" s="318"/>
      <c r="I75" s="318"/>
      <c r="J75" s="319"/>
    </row>
    <row r="76" spans="1:10" s="3" customFormat="1" ht="13.2" customHeight="1" x14ac:dyDescent="0.2">
      <c r="A76" s="1"/>
      <c r="B76" s="317"/>
      <c r="C76" s="318"/>
      <c r="D76" s="318"/>
      <c r="E76" s="318"/>
      <c r="F76" s="318"/>
      <c r="G76" s="318"/>
      <c r="H76" s="318"/>
      <c r="I76" s="318"/>
      <c r="J76" s="319"/>
    </row>
    <row r="77" spans="1:10" s="3" customFormat="1" ht="13.2" customHeight="1" x14ac:dyDescent="0.2">
      <c r="A77" s="1"/>
      <c r="B77" s="317"/>
      <c r="C77" s="318"/>
      <c r="D77" s="318"/>
      <c r="E77" s="318"/>
      <c r="F77" s="318"/>
      <c r="G77" s="318"/>
      <c r="H77" s="318"/>
      <c r="I77" s="318"/>
      <c r="J77" s="319"/>
    </row>
    <row r="78" spans="1:10" s="3" customFormat="1" ht="13.2" customHeight="1" x14ac:dyDescent="0.2">
      <c r="A78" s="1"/>
      <c r="B78" s="317"/>
      <c r="C78" s="318"/>
      <c r="D78" s="318"/>
      <c r="E78" s="318"/>
      <c r="F78" s="318"/>
      <c r="G78" s="318"/>
      <c r="H78" s="318"/>
      <c r="I78" s="318"/>
      <c r="J78" s="319"/>
    </row>
    <row r="79" spans="1:10" s="3" customFormat="1" ht="13.2" customHeight="1" x14ac:dyDescent="0.2">
      <c r="A79" s="1"/>
      <c r="B79" s="317"/>
      <c r="C79" s="318"/>
      <c r="D79" s="318"/>
      <c r="E79" s="318"/>
      <c r="F79" s="318"/>
      <c r="G79" s="318"/>
      <c r="H79" s="318"/>
      <c r="I79" s="318"/>
      <c r="J79" s="319"/>
    </row>
    <row r="80" spans="1:10" s="3" customFormat="1" ht="13.2" customHeight="1" x14ac:dyDescent="0.2">
      <c r="A80" s="1"/>
      <c r="B80" s="317"/>
      <c r="C80" s="318"/>
      <c r="D80" s="318"/>
      <c r="E80" s="318"/>
      <c r="F80" s="318"/>
      <c r="G80" s="318"/>
      <c r="H80" s="318"/>
      <c r="I80" s="318"/>
      <c r="J80" s="319"/>
    </row>
    <row r="81" spans="1:10" s="3" customFormat="1" ht="13.2" customHeight="1" x14ac:dyDescent="0.2">
      <c r="A81" s="1"/>
      <c r="B81" s="317"/>
      <c r="C81" s="318"/>
      <c r="D81" s="318"/>
      <c r="E81" s="318"/>
      <c r="F81" s="318"/>
      <c r="G81" s="318"/>
      <c r="H81" s="318"/>
      <c r="I81" s="318"/>
      <c r="J81" s="319"/>
    </row>
    <row r="82" spans="1:10" s="3" customFormat="1" ht="13.2" customHeight="1" x14ac:dyDescent="0.2">
      <c r="A82" s="1"/>
      <c r="B82" s="317"/>
      <c r="C82" s="318"/>
      <c r="D82" s="318"/>
      <c r="E82" s="318"/>
      <c r="F82" s="318"/>
      <c r="G82" s="318"/>
      <c r="H82" s="318"/>
      <c r="I82" s="318"/>
      <c r="J82" s="319"/>
    </row>
    <row r="83" spans="1:10" s="3" customFormat="1" ht="13.2" customHeight="1" x14ac:dyDescent="0.2">
      <c r="A83" s="1"/>
      <c r="B83" s="317"/>
      <c r="C83" s="318"/>
      <c r="D83" s="318"/>
      <c r="E83" s="318"/>
      <c r="F83" s="318"/>
      <c r="G83" s="318"/>
      <c r="H83" s="318"/>
      <c r="I83" s="318"/>
      <c r="J83" s="319"/>
    </row>
    <row r="84" spans="1:10" s="3" customFormat="1" ht="13.2" customHeight="1" x14ac:dyDescent="0.2">
      <c r="A84" s="1"/>
      <c r="B84" s="317"/>
      <c r="C84" s="318"/>
      <c r="D84" s="318"/>
      <c r="E84" s="318"/>
      <c r="F84" s="318"/>
      <c r="G84" s="318"/>
      <c r="H84" s="318"/>
      <c r="I84" s="318"/>
      <c r="J84" s="319"/>
    </row>
    <row r="85" spans="1:10" ht="13.2" customHeight="1" x14ac:dyDescent="0.2">
      <c r="A85" s="26"/>
      <c r="B85" s="317"/>
      <c r="C85" s="318"/>
      <c r="D85" s="318"/>
      <c r="E85" s="318"/>
      <c r="F85" s="318"/>
      <c r="G85" s="318"/>
      <c r="H85" s="318"/>
      <c r="I85" s="318"/>
      <c r="J85" s="319"/>
    </row>
    <row r="86" spans="1:10" ht="13.2" customHeight="1" x14ac:dyDescent="0.2">
      <c r="A86" s="26"/>
      <c r="B86" s="320"/>
      <c r="C86" s="321"/>
      <c r="D86" s="321"/>
      <c r="E86" s="321"/>
      <c r="F86" s="321"/>
      <c r="G86" s="321"/>
      <c r="H86" s="321"/>
      <c r="I86" s="321"/>
      <c r="J86" s="322"/>
    </row>
    <row r="87" spans="1:10" ht="7.5" customHeight="1" x14ac:dyDescent="0.2">
      <c r="A87" s="26"/>
      <c r="B87" s="26"/>
      <c r="C87" s="26"/>
      <c r="D87" s="26"/>
      <c r="E87" s="26"/>
      <c r="F87" s="26"/>
      <c r="G87" s="26"/>
      <c r="H87" s="26"/>
      <c r="I87" s="26"/>
      <c r="J87" s="26"/>
    </row>
    <row r="88" spans="1:10" s="3" customFormat="1" ht="18.75" customHeight="1" x14ac:dyDescent="0.2">
      <c r="A88" s="1" t="s">
        <v>13</v>
      </c>
      <c r="B88" s="1" t="s">
        <v>29</v>
      </c>
      <c r="C88" s="1"/>
      <c r="D88" s="1"/>
      <c r="E88" s="1"/>
      <c r="F88" s="1"/>
      <c r="G88" s="1"/>
      <c r="H88" s="1"/>
      <c r="I88" s="1"/>
      <c r="J88" s="1"/>
    </row>
    <row r="89" spans="1:10" s="3" customFormat="1" ht="13.2" customHeight="1" x14ac:dyDescent="0.2">
      <c r="A89" s="1"/>
      <c r="B89" s="285" t="s">
        <v>214</v>
      </c>
      <c r="C89" s="286"/>
      <c r="D89" s="286"/>
      <c r="E89" s="286"/>
      <c r="F89" s="286"/>
      <c r="G89" s="286"/>
      <c r="H89" s="286"/>
      <c r="I89" s="287"/>
      <c r="J89" s="288"/>
    </row>
    <row r="90" spans="1:10" s="3" customFormat="1" ht="13.2" customHeight="1" x14ac:dyDescent="0.2">
      <c r="A90" s="1"/>
      <c r="B90" s="289"/>
      <c r="C90" s="290"/>
      <c r="D90" s="290"/>
      <c r="E90" s="290"/>
      <c r="F90" s="290"/>
      <c r="G90" s="290"/>
      <c r="H90" s="290"/>
      <c r="I90" s="290"/>
      <c r="J90" s="291"/>
    </row>
    <row r="91" spans="1:10" s="3" customFormat="1" ht="13.2" customHeight="1" x14ac:dyDescent="0.2">
      <c r="A91" s="1"/>
      <c r="B91" s="289"/>
      <c r="C91" s="290"/>
      <c r="D91" s="290"/>
      <c r="E91" s="290"/>
      <c r="F91" s="290"/>
      <c r="G91" s="290"/>
      <c r="H91" s="290"/>
      <c r="I91" s="290"/>
      <c r="J91" s="291"/>
    </row>
    <row r="92" spans="1:10" s="3" customFormat="1" ht="13.2" customHeight="1" x14ac:dyDescent="0.2">
      <c r="A92" s="1"/>
      <c r="B92" s="289"/>
      <c r="C92" s="290"/>
      <c r="D92" s="290"/>
      <c r="E92" s="290"/>
      <c r="F92" s="290"/>
      <c r="G92" s="290"/>
      <c r="H92" s="290"/>
      <c r="I92" s="290"/>
      <c r="J92" s="291"/>
    </row>
    <row r="93" spans="1:10" s="3" customFormat="1" ht="13.2" customHeight="1" x14ac:dyDescent="0.2">
      <c r="A93" s="1"/>
      <c r="B93" s="289"/>
      <c r="C93" s="290"/>
      <c r="D93" s="290"/>
      <c r="E93" s="290"/>
      <c r="F93" s="290"/>
      <c r="G93" s="290"/>
      <c r="H93" s="290"/>
      <c r="I93" s="290"/>
      <c r="J93" s="291"/>
    </row>
    <row r="94" spans="1:10" s="3" customFormat="1" ht="13.2" customHeight="1" x14ac:dyDescent="0.2">
      <c r="A94" s="1"/>
      <c r="B94" s="289"/>
      <c r="C94" s="290"/>
      <c r="D94" s="290"/>
      <c r="E94" s="290"/>
      <c r="F94" s="290"/>
      <c r="G94" s="290"/>
      <c r="H94" s="290"/>
      <c r="I94" s="290"/>
      <c r="J94" s="291"/>
    </row>
    <row r="95" spans="1:10" s="3" customFormat="1" ht="13.2" customHeight="1" x14ac:dyDescent="0.2">
      <c r="A95" s="1"/>
      <c r="B95" s="289"/>
      <c r="C95" s="290"/>
      <c r="D95" s="290"/>
      <c r="E95" s="290"/>
      <c r="F95" s="290"/>
      <c r="G95" s="290"/>
      <c r="H95" s="290"/>
      <c r="I95" s="290"/>
      <c r="J95" s="291"/>
    </row>
    <row r="96" spans="1:10" s="3" customFormat="1" ht="13.2" customHeight="1" x14ac:dyDescent="0.2">
      <c r="A96" s="1"/>
      <c r="B96" s="289"/>
      <c r="C96" s="290"/>
      <c r="D96" s="290"/>
      <c r="E96" s="290"/>
      <c r="F96" s="290"/>
      <c r="G96" s="290"/>
      <c r="H96" s="290"/>
      <c r="I96" s="290"/>
      <c r="J96" s="291"/>
    </row>
    <row r="97" spans="1:10" s="3" customFormat="1" ht="13.2" customHeight="1" x14ac:dyDescent="0.2">
      <c r="A97" s="1"/>
      <c r="B97" s="289"/>
      <c r="C97" s="290"/>
      <c r="D97" s="290"/>
      <c r="E97" s="290"/>
      <c r="F97" s="290"/>
      <c r="G97" s="290"/>
      <c r="H97" s="290"/>
      <c r="I97" s="290"/>
      <c r="J97" s="291"/>
    </row>
    <row r="98" spans="1:10" s="3" customFormat="1" ht="13.2" customHeight="1" x14ac:dyDescent="0.2">
      <c r="A98" s="1"/>
      <c r="B98" s="289"/>
      <c r="C98" s="290"/>
      <c r="D98" s="290"/>
      <c r="E98" s="290"/>
      <c r="F98" s="290"/>
      <c r="G98" s="290"/>
      <c r="H98" s="290"/>
      <c r="I98" s="290"/>
      <c r="J98" s="291"/>
    </row>
    <row r="99" spans="1:10" s="3" customFormat="1" ht="13.2" customHeight="1" x14ac:dyDescent="0.2">
      <c r="A99" s="1"/>
      <c r="B99" s="289"/>
      <c r="C99" s="290"/>
      <c r="D99" s="290"/>
      <c r="E99" s="290"/>
      <c r="F99" s="290"/>
      <c r="G99" s="290"/>
      <c r="H99" s="290"/>
      <c r="I99" s="290"/>
      <c r="J99" s="291"/>
    </row>
    <row r="100" spans="1:10" s="3" customFormat="1" ht="13.2" customHeight="1" x14ac:dyDescent="0.2">
      <c r="A100" s="1"/>
      <c r="B100" s="289"/>
      <c r="C100" s="290"/>
      <c r="D100" s="290"/>
      <c r="E100" s="290"/>
      <c r="F100" s="290"/>
      <c r="G100" s="290"/>
      <c r="H100" s="290"/>
      <c r="I100" s="290"/>
      <c r="J100" s="291"/>
    </row>
    <row r="101" spans="1:10" s="3" customFormat="1" ht="13.2" customHeight="1" x14ac:dyDescent="0.2">
      <c r="A101" s="1"/>
      <c r="B101" s="289"/>
      <c r="C101" s="290"/>
      <c r="D101" s="290"/>
      <c r="E101" s="290"/>
      <c r="F101" s="290"/>
      <c r="G101" s="290"/>
      <c r="H101" s="290"/>
      <c r="I101" s="290"/>
      <c r="J101" s="291"/>
    </row>
    <row r="102" spans="1:10" s="3" customFormat="1" ht="13.2" customHeight="1" x14ac:dyDescent="0.2">
      <c r="A102" s="1"/>
      <c r="B102" s="289"/>
      <c r="C102" s="290"/>
      <c r="D102" s="290"/>
      <c r="E102" s="290"/>
      <c r="F102" s="290"/>
      <c r="G102" s="290"/>
      <c r="H102" s="290"/>
      <c r="I102" s="290"/>
      <c r="J102" s="291"/>
    </row>
    <row r="103" spans="1:10" s="3" customFormat="1" ht="13.2" customHeight="1" x14ac:dyDescent="0.2">
      <c r="A103" s="1"/>
      <c r="B103" s="289"/>
      <c r="C103" s="290"/>
      <c r="D103" s="290"/>
      <c r="E103" s="290"/>
      <c r="F103" s="290"/>
      <c r="G103" s="290"/>
      <c r="H103" s="290"/>
      <c r="I103" s="290"/>
      <c r="J103" s="291"/>
    </row>
    <row r="104" spans="1:10" s="3" customFormat="1" ht="13.2" customHeight="1" x14ac:dyDescent="0.2">
      <c r="A104" s="1"/>
      <c r="B104" s="289"/>
      <c r="C104" s="290"/>
      <c r="D104" s="290"/>
      <c r="E104" s="290"/>
      <c r="F104" s="290"/>
      <c r="G104" s="290"/>
      <c r="H104" s="290"/>
      <c r="I104" s="290"/>
      <c r="J104" s="291"/>
    </row>
    <row r="105" spans="1:10" s="3" customFormat="1" ht="13.2" customHeight="1" x14ac:dyDescent="0.2">
      <c r="A105" s="1"/>
      <c r="B105" s="289"/>
      <c r="C105" s="290"/>
      <c r="D105" s="290"/>
      <c r="E105" s="290"/>
      <c r="F105" s="290"/>
      <c r="G105" s="290"/>
      <c r="H105" s="290"/>
      <c r="I105" s="290"/>
      <c r="J105" s="291"/>
    </row>
    <row r="106" spans="1:10" s="3" customFormat="1" ht="13.2" customHeight="1" x14ac:dyDescent="0.2">
      <c r="A106" s="1"/>
      <c r="B106" s="289"/>
      <c r="C106" s="290"/>
      <c r="D106" s="290"/>
      <c r="E106" s="290"/>
      <c r="F106" s="290"/>
      <c r="G106" s="290"/>
      <c r="H106" s="290"/>
      <c r="I106" s="290"/>
      <c r="J106" s="291"/>
    </row>
    <row r="107" spans="1:10" ht="13.2" customHeight="1" x14ac:dyDescent="0.2">
      <c r="A107" s="26"/>
      <c r="B107" s="289"/>
      <c r="C107" s="290"/>
      <c r="D107" s="290"/>
      <c r="E107" s="290"/>
      <c r="F107" s="290"/>
      <c r="G107" s="290"/>
      <c r="H107" s="290"/>
      <c r="I107" s="290"/>
      <c r="J107" s="291"/>
    </row>
    <row r="108" spans="1:10" ht="13.2" customHeight="1" x14ac:dyDescent="0.2">
      <c r="A108" s="26"/>
      <c r="B108" s="292"/>
      <c r="C108" s="293"/>
      <c r="D108" s="293"/>
      <c r="E108" s="293"/>
      <c r="F108" s="293"/>
      <c r="G108" s="293"/>
      <c r="H108" s="293"/>
      <c r="I108" s="293"/>
      <c r="J108" s="294"/>
    </row>
    <row r="109" spans="1:10" ht="7.5" customHeight="1" x14ac:dyDescent="0.2">
      <c r="A109" s="26"/>
      <c r="B109" s="26"/>
      <c r="C109" s="26"/>
      <c r="D109" s="26"/>
      <c r="E109" s="26"/>
      <c r="F109" s="26"/>
      <c r="G109" s="26"/>
      <c r="H109" s="26"/>
      <c r="I109" s="26"/>
      <c r="J109" s="26"/>
    </row>
    <row r="110" spans="1:10" s="3" customFormat="1" ht="18.75" customHeight="1" x14ac:dyDescent="0.2">
      <c r="A110" s="1" t="s">
        <v>55</v>
      </c>
      <c r="B110" s="323" t="s">
        <v>86</v>
      </c>
      <c r="C110" s="323"/>
      <c r="D110" s="323"/>
      <c r="E110" s="323"/>
      <c r="F110" s="323"/>
      <c r="G110" s="323"/>
      <c r="H110" s="323"/>
      <c r="I110" s="323"/>
      <c r="J110" s="323"/>
    </row>
    <row r="111" spans="1:10" ht="9.6" customHeight="1" x14ac:dyDescent="0.2">
      <c r="A111" s="26"/>
      <c r="B111" s="285" t="s">
        <v>215</v>
      </c>
      <c r="C111" s="286"/>
      <c r="D111" s="286"/>
      <c r="E111" s="286"/>
      <c r="F111" s="286"/>
      <c r="G111" s="286"/>
      <c r="H111" s="286"/>
      <c r="I111" s="287"/>
      <c r="J111" s="288"/>
    </row>
    <row r="112" spans="1:10" ht="9.6" customHeight="1" x14ac:dyDescent="0.2">
      <c r="A112" s="26"/>
      <c r="B112" s="289"/>
      <c r="C112" s="290"/>
      <c r="D112" s="290"/>
      <c r="E112" s="290"/>
      <c r="F112" s="290"/>
      <c r="G112" s="290"/>
      <c r="H112" s="290"/>
      <c r="I112" s="290"/>
      <c r="J112" s="291"/>
    </row>
    <row r="113" spans="1:10" ht="9.6" customHeight="1" x14ac:dyDescent="0.2">
      <c r="A113" s="26"/>
      <c r="B113" s="289"/>
      <c r="C113" s="290"/>
      <c r="D113" s="290"/>
      <c r="E113" s="290"/>
      <c r="F113" s="290"/>
      <c r="G113" s="290"/>
      <c r="H113" s="290"/>
      <c r="I113" s="290"/>
      <c r="J113" s="291"/>
    </row>
    <row r="114" spans="1:10" ht="9.6" customHeight="1" x14ac:dyDescent="0.2">
      <c r="A114" s="26"/>
      <c r="B114" s="289"/>
      <c r="C114" s="290"/>
      <c r="D114" s="290"/>
      <c r="E114" s="290"/>
      <c r="F114" s="290"/>
      <c r="G114" s="290"/>
      <c r="H114" s="290"/>
      <c r="I114" s="290"/>
      <c r="J114" s="291"/>
    </row>
    <row r="115" spans="1:10" ht="9.6" customHeight="1" x14ac:dyDescent="0.2">
      <c r="A115" s="26"/>
      <c r="B115" s="289"/>
      <c r="C115" s="290"/>
      <c r="D115" s="290"/>
      <c r="E115" s="290"/>
      <c r="F115" s="290"/>
      <c r="G115" s="290"/>
      <c r="H115" s="290"/>
      <c r="I115" s="290"/>
      <c r="J115" s="291"/>
    </row>
    <row r="116" spans="1:10" ht="9.6" customHeight="1" x14ac:dyDescent="0.2">
      <c r="A116" s="26"/>
      <c r="B116" s="289"/>
      <c r="C116" s="290"/>
      <c r="D116" s="290"/>
      <c r="E116" s="290"/>
      <c r="F116" s="290"/>
      <c r="G116" s="290"/>
      <c r="H116" s="290"/>
      <c r="I116" s="290"/>
      <c r="J116" s="291"/>
    </row>
    <row r="117" spans="1:10" ht="9.6" customHeight="1" x14ac:dyDescent="0.2">
      <c r="A117" s="26"/>
      <c r="B117" s="289"/>
      <c r="C117" s="290"/>
      <c r="D117" s="290"/>
      <c r="E117" s="290"/>
      <c r="F117" s="290"/>
      <c r="G117" s="290"/>
      <c r="H117" s="290"/>
      <c r="I117" s="290"/>
      <c r="J117" s="291"/>
    </row>
    <row r="118" spans="1:10" ht="9.6" customHeight="1" x14ac:dyDescent="0.2">
      <c r="A118" s="26"/>
      <c r="B118" s="289"/>
      <c r="C118" s="290"/>
      <c r="D118" s="290"/>
      <c r="E118" s="290"/>
      <c r="F118" s="290"/>
      <c r="G118" s="290"/>
      <c r="H118" s="290"/>
      <c r="I118" s="290"/>
      <c r="J118" s="291"/>
    </row>
    <row r="119" spans="1:10" ht="9.6" customHeight="1" x14ac:dyDescent="0.2">
      <c r="A119" s="26"/>
      <c r="B119" s="289"/>
      <c r="C119" s="290"/>
      <c r="D119" s="290"/>
      <c r="E119" s="290"/>
      <c r="F119" s="290"/>
      <c r="G119" s="290"/>
      <c r="H119" s="290"/>
      <c r="I119" s="290"/>
      <c r="J119" s="291"/>
    </row>
    <row r="120" spans="1:10" ht="9.6" customHeight="1" x14ac:dyDescent="0.2">
      <c r="A120" s="26"/>
      <c r="B120" s="289"/>
      <c r="C120" s="290"/>
      <c r="D120" s="290"/>
      <c r="E120" s="290"/>
      <c r="F120" s="290"/>
      <c r="G120" s="290"/>
      <c r="H120" s="290"/>
      <c r="I120" s="290"/>
      <c r="J120" s="291"/>
    </row>
    <row r="121" spans="1:10" ht="9.6" customHeight="1" x14ac:dyDescent="0.2">
      <c r="A121" s="26"/>
      <c r="B121" s="289"/>
      <c r="C121" s="290"/>
      <c r="D121" s="290"/>
      <c r="E121" s="290"/>
      <c r="F121" s="290"/>
      <c r="G121" s="290"/>
      <c r="H121" s="290"/>
      <c r="I121" s="290"/>
      <c r="J121" s="291"/>
    </row>
    <row r="122" spans="1:10" ht="9.6" customHeight="1" x14ac:dyDescent="0.2">
      <c r="A122" s="26"/>
      <c r="B122" s="289"/>
      <c r="C122" s="290"/>
      <c r="D122" s="290"/>
      <c r="E122" s="290"/>
      <c r="F122" s="290"/>
      <c r="G122" s="290"/>
      <c r="H122" s="290"/>
      <c r="I122" s="290"/>
      <c r="J122" s="291"/>
    </row>
    <row r="123" spans="1:10" ht="9.6" customHeight="1" x14ac:dyDescent="0.2">
      <c r="A123" s="26"/>
      <c r="B123" s="289"/>
      <c r="C123" s="290"/>
      <c r="D123" s="290"/>
      <c r="E123" s="290"/>
      <c r="F123" s="290"/>
      <c r="G123" s="290"/>
      <c r="H123" s="290"/>
      <c r="I123" s="290"/>
      <c r="J123" s="291"/>
    </row>
    <row r="124" spans="1:10" ht="9.6" customHeight="1" x14ac:dyDescent="0.2">
      <c r="A124" s="26"/>
      <c r="B124" s="289"/>
      <c r="C124" s="290"/>
      <c r="D124" s="290"/>
      <c r="E124" s="290"/>
      <c r="F124" s="290"/>
      <c r="G124" s="290"/>
      <c r="H124" s="290"/>
      <c r="I124" s="290"/>
      <c r="J124" s="291"/>
    </row>
    <row r="125" spans="1:10" ht="9.6" customHeight="1" x14ac:dyDescent="0.2">
      <c r="A125" s="26"/>
      <c r="B125" s="289"/>
      <c r="C125" s="290"/>
      <c r="D125" s="290"/>
      <c r="E125" s="290"/>
      <c r="F125" s="290"/>
      <c r="G125" s="290"/>
      <c r="H125" s="290"/>
      <c r="I125" s="290"/>
      <c r="J125" s="291"/>
    </row>
    <row r="126" spans="1:10" ht="9.6" customHeight="1" x14ac:dyDescent="0.2">
      <c r="A126" s="26"/>
      <c r="B126" s="289"/>
      <c r="C126" s="290"/>
      <c r="D126" s="290"/>
      <c r="E126" s="290"/>
      <c r="F126" s="290"/>
      <c r="G126" s="290"/>
      <c r="H126" s="290"/>
      <c r="I126" s="290"/>
      <c r="J126" s="291"/>
    </row>
    <row r="127" spans="1:10" ht="9.6" customHeight="1" x14ac:dyDescent="0.2">
      <c r="A127" s="26"/>
      <c r="B127" s="289"/>
      <c r="C127" s="290"/>
      <c r="D127" s="290"/>
      <c r="E127" s="290"/>
      <c r="F127" s="290"/>
      <c r="G127" s="290"/>
      <c r="H127" s="290"/>
      <c r="I127" s="290"/>
      <c r="J127" s="291"/>
    </row>
    <row r="128" spans="1:10" ht="9.6" customHeight="1" x14ac:dyDescent="0.2">
      <c r="A128" s="26"/>
      <c r="B128" s="289"/>
      <c r="C128" s="290"/>
      <c r="D128" s="290"/>
      <c r="E128" s="290"/>
      <c r="F128" s="290"/>
      <c r="G128" s="290"/>
      <c r="H128" s="290"/>
      <c r="I128" s="290"/>
      <c r="J128" s="291"/>
    </row>
    <row r="129" spans="1:10" ht="9.6" customHeight="1" x14ac:dyDescent="0.2">
      <c r="A129" s="26"/>
      <c r="B129" s="292"/>
      <c r="C129" s="293"/>
      <c r="D129" s="293"/>
      <c r="E129" s="293"/>
      <c r="F129" s="293"/>
      <c r="G129" s="293"/>
      <c r="H129" s="293"/>
      <c r="I129" s="293"/>
      <c r="J129" s="294"/>
    </row>
    <row r="130" spans="1:10" ht="7.5" customHeight="1" x14ac:dyDescent="0.2">
      <c r="A130" s="26"/>
      <c r="B130" s="89"/>
      <c r="C130" s="89"/>
      <c r="D130" s="89"/>
      <c r="E130" s="89"/>
      <c r="F130" s="89"/>
      <c r="G130" s="89"/>
      <c r="H130" s="89"/>
      <c r="I130" s="89"/>
      <c r="J130" s="89"/>
    </row>
    <row r="131" spans="1:10" ht="18.75" customHeight="1" x14ac:dyDescent="0.2">
      <c r="A131" s="26"/>
      <c r="B131" s="26"/>
      <c r="C131" s="26"/>
      <c r="D131" s="26"/>
      <c r="E131" s="26"/>
      <c r="F131" s="26"/>
      <c r="G131" s="26"/>
      <c r="H131" s="26"/>
      <c r="I131" s="26"/>
      <c r="J131" s="26"/>
    </row>
    <row r="132" spans="1:10" ht="18.75" customHeight="1" x14ac:dyDescent="0.2">
      <c r="A132" s="26"/>
      <c r="B132" s="26"/>
      <c r="C132" s="26"/>
      <c r="D132" s="26"/>
      <c r="E132" s="26"/>
      <c r="F132" s="26"/>
      <c r="G132" s="26"/>
      <c r="H132" s="26"/>
      <c r="I132" s="26"/>
      <c r="J132" s="26"/>
    </row>
    <row r="133" spans="1:10" ht="18.75" customHeight="1" x14ac:dyDescent="0.2">
      <c r="A133" s="26"/>
      <c r="B133" s="26"/>
      <c r="C133" s="26"/>
      <c r="D133" s="26"/>
      <c r="E133" s="26"/>
      <c r="F133" s="26"/>
      <c r="G133" s="26"/>
      <c r="H133" s="26"/>
      <c r="I133" s="26"/>
      <c r="J133" s="26"/>
    </row>
    <row r="134" spans="1:10" ht="18.75" customHeight="1" x14ac:dyDescent="0.2">
      <c r="A134" s="26"/>
      <c r="B134" s="26"/>
      <c r="C134" s="26"/>
      <c r="D134" s="26"/>
      <c r="E134" s="26"/>
      <c r="F134" s="26"/>
      <c r="G134" s="26"/>
      <c r="H134" s="26"/>
      <c r="I134" s="26"/>
      <c r="J134" s="26"/>
    </row>
    <row r="135" spans="1:10" ht="18.75" customHeight="1" x14ac:dyDescent="0.2">
      <c r="A135" s="26"/>
      <c r="B135" s="26"/>
      <c r="C135" s="26"/>
      <c r="D135" s="26"/>
      <c r="E135" s="26"/>
      <c r="F135" s="26"/>
      <c r="G135" s="26"/>
      <c r="H135" s="26"/>
      <c r="I135" s="26"/>
      <c r="J135" s="26"/>
    </row>
    <row r="136" spans="1:10" ht="18.75" customHeight="1" x14ac:dyDescent="0.2">
      <c r="A136" s="26"/>
      <c r="B136" s="26"/>
      <c r="C136" s="26"/>
      <c r="D136" s="26"/>
      <c r="E136" s="26"/>
      <c r="F136" s="26"/>
      <c r="G136" s="26"/>
      <c r="H136" s="26"/>
      <c r="I136" s="26"/>
      <c r="J136" s="26"/>
    </row>
    <row r="137" spans="1:10" ht="18.75" customHeight="1" x14ac:dyDescent="0.2">
      <c r="A137" s="26"/>
      <c r="B137" s="26"/>
      <c r="C137" s="26"/>
      <c r="D137" s="26"/>
      <c r="E137" s="26"/>
      <c r="F137" s="26"/>
      <c r="G137" s="26"/>
      <c r="H137" s="26"/>
      <c r="I137" s="26"/>
      <c r="J137" s="26"/>
    </row>
    <row r="138" spans="1:10" ht="18.75" customHeight="1" x14ac:dyDescent="0.2">
      <c r="A138" s="26"/>
      <c r="B138" s="26"/>
      <c r="C138" s="26"/>
      <c r="D138" s="26"/>
      <c r="E138" s="26"/>
      <c r="F138" s="26"/>
      <c r="G138" s="26"/>
      <c r="H138" s="26"/>
      <c r="I138" s="26"/>
      <c r="J138" s="26"/>
    </row>
    <row r="139" spans="1:10" ht="18.75" customHeight="1" x14ac:dyDescent="0.2">
      <c r="A139" s="26"/>
      <c r="B139" s="26"/>
      <c r="C139" s="26"/>
      <c r="D139" s="26"/>
      <c r="E139" s="26"/>
      <c r="F139" s="26"/>
      <c r="G139" s="26"/>
      <c r="H139" s="26"/>
      <c r="I139" s="26"/>
      <c r="J139" s="26"/>
    </row>
    <row r="140" spans="1:10" ht="18.75" customHeight="1" x14ac:dyDescent="0.2">
      <c r="A140" s="26"/>
      <c r="B140" s="26"/>
      <c r="C140" s="26"/>
      <c r="D140" s="26"/>
      <c r="E140" s="26"/>
      <c r="F140" s="26"/>
      <c r="G140" s="26"/>
      <c r="H140" s="26"/>
      <c r="I140" s="26"/>
      <c r="J140" s="26"/>
    </row>
    <row r="141" spans="1:10" ht="18.75" customHeight="1" x14ac:dyDescent="0.2">
      <c r="A141" s="26"/>
      <c r="B141" s="26"/>
      <c r="C141" s="26"/>
      <c r="D141" s="26"/>
      <c r="E141" s="26"/>
      <c r="F141" s="26"/>
      <c r="G141" s="26"/>
      <c r="H141" s="26"/>
      <c r="I141" s="26"/>
      <c r="J141" s="26"/>
    </row>
    <row r="142" spans="1:10" ht="18.75" customHeight="1" x14ac:dyDescent="0.2">
      <c r="A142" s="26"/>
      <c r="B142" s="26"/>
      <c r="C142" s="26"/>
      <c r="D142" s="26"/>
      <c r="E142" s="26"/>
      <c r="F142" s="26"/>
      <c r="G142" s="26"/>
      <c r="H142" s="26"/>
      <c r="I142" s="26"/>
      <c r="J142" s="26"/>
    </row>
    <row r="143" spans="1:10" ht="14.4" x14ac:dyDescent="0.2">
      <c r="A143" s="26"/>
      <c r="B143" s="26"/>
      <c r="C143" s="26"/>
      <c r="D143" s="26"/>
      <c r="E143" s="26"/>
      <c r="F143" s="26"/>
      <c r="G143" s="26"/>
      <c r="H143" s="26"/>
      <c r="I143" s="26"/>
      <c r="J143" s="26"/>
    </row>
    <row r="144" spans="1:10" ht="7.5" customHeight="1" x14ac:dyDescent="0.2">
      <c r="A144" s="90"/>
      <c r="B144" s="90"/>
      <c r="C144" s="90"/>
      <c r="D144" s="90"/>
      <c r="E144" s="90"/>
      <c r="F144" s="90"/>
      <c r="G144" s="90"/>
      <c r="H144" s="90"/>
      <c r="I144" s="90"/>
      <c r="J144" s="90"/>
    </row>
  </sheetData>
  <mergeCells count="11">
    <mergeCell ref="B111:J129"/>
    <mergeCell ref="B31:J44"/>
    <mergeCell ref="A2:J2"/>
    <mergeCell ref="B5:J5"/>
    <mergeCell ref="B8:J12"/>
    <mergeCell ref="B15:J25"/>
    <mergeCell ref="B30:J30"/>
    <mergeCell ref="B46:J66"/>
    <mergeCell ref="B69:J86"/>
    <mergeCell ref="B89:J108"/>
    <mergeCell ref="B110:J110"/>
  </mergeCells>
  <phoneticPr fontId="1"/>
  <printOptions horizontalCentered="1"/>
  <pageMargins left="0.78740157480314965" right="0.78740157480314965" top="0.78740157480314965" bottom="0.78740157480314965" header="0.31496062992125984" footer="0.31496062992125984"/>
  <pageSetup paperSize="9" orientation="portrait" r:id="rId1"/>
  <headerFooter>
    <oddFooter>&amp;P / &amp;N ページ</oddFooter>
  </headerFooter>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tabSelected="1" view="pageBreakPreview" topLeftCell="A16" zoomScaleNormal="100" zoomScaleSheetLayoutView="100" workbookViewId="0">
      <selection activeCell="G19" sqref="G19"/>
    </sheetView>
  </sheetViews>
  <sheetFormatPr defaultColWidth="11.33203125" defaultRowHeight="22.5" customHeight="1" x14ac:dyDescent="0.2"/>
  <cols>
    <col min="1" max="3" width="2.77734375" style="7" customWidth="1"/>
    <col min="4" max="4" width="22.21875" style="7" customWidth="1"/>
    <col min="5" max="5" width="21.6640625" style="7" customWidth="1"/>
    <col min="6" max="7" width="7.77734375" style="7" customWidth="1"/>
    <col min="8" max="8" width="33.33203125" style="7" customWidth="1"/>
    <col min="9" max="9" width="24.44140625" style="7" customWidth="1"/>
    <col min="10" max="10" width="5.44140625" style="7" customWidth="1"/>
    <col min="11" max="11" width="4.109375" style="7" customWidth="1"/>
    <col min="12" max="16384" width="11.33203125" style="7"/>
  </cols>
  <sheetData>
    <row r="1" spans="1:11" ht="18.75" customHeight="1" x14ac:dyDescent="0.2">
      <c r="A1" s="7" t="s">
        <v>128</v>
      </c>
      <c r="J1" s="117" t="s">
        <v>77</v>
      </c>
    </row>
    <row r="2" spans="1:11" ht="18.75" customHeight="1" x14ac:dyDescent="0.2">
      <c r="A2" s="234" t="s">
        <v>44</v>
      </c>
      <c r="B2" s="234"/>
      <c r="C2" s="234"/>
      <c r="D2" s="234"/>
      <c r="E2" s="234"/>
      <c r="F2" s="234"/>
      <c r="G2" s="234"/>
      <c r="H2" s="234"/>
      <c r="I2" s="234"/>
      <c r="J2" s="234"/>
    </row>
    <row r="3" spans="1:11" ht="7.5" customHeight="1" x14ac:dyDescent="0.2">
      <c r="A3" s="119"/>
      <c r="B3" s="119"/>
      <c r="C3" s="119"/>
      <c r="D3" s="119"/>
      <c r="E3" s="119"/>
      <c r="F3" s="119"/>
      <c r="G3" s="119"/>
      <c r="H3" s="119"/>
      <c r="I3" s="119"/>
      <c r="J3" s="119"/>
    </row>
    <row r="4" spans="1:11" ht="18.75" customHeight="1" x14ac:dyDescent="0.2">
      <c r="A4" s="7" t="s">
        <v>6</v>
      </c>
      <c r="B4" s="7" t="s">
        <v>43</v>
      </c>
      <c r="C4" s="120"/>
      <c r="D4" s="120"/>
      <c r="E4" s="120"/>
      <c r="F4" s="120"/>
      <c r="G4" s="120"/>
      <c r="H4" s="120"/>
      <c r="I4" s="120"/>
      <c r="J4" s="120"/>
    </row>
    <row r="5" spans="1:11" ht="18.75" customHeight="1" x14ac:dyDescent="0.2">
      <c r="B5" s="181" t="s">
        <v>40</v>
      </c>
      <c r="C5" s="182"/>
      <c r="D5" s="183"/>
      <c r="E5" s="182" t="s">
        <v>42</v>
      </c>
      <c r="F5" s="182"/>
      <c r="G5" s="182"/>
      <c r="H5" s="182"/>
      <c r="I5" s="182"/>
      <c r="J5" s="183"/>
    </row>
    <row r="6" spans="1:11" ht="18.75" customHeight="1" x14ac:dyDescent="0.2">
      <c r="B6" s="11" t="s">
        <v>30</v>
      </c>
      <c r="C6" s="120"/>
      <c r="D6" s="121"/>
      <c r="I6" s="120"/>
      <c r="J6" s="121"/>
    </row>
    <row r="7" spans="1:11" ht="207" customHeight="1" x14ac:dyDescent="0.2">
      <c r="B7" s="122"/>
      <c r="C7" s="329" t="s">
        <v>31</v>
      </c>
      <c r="D7" s="330"/>
      <c r="E7" s="335" t="s">
        <v>216</v>
      </c>
      <c r="F7" s="331"/>
      <c r="G7" s="331"/>
      <c r="H7" s="331"/>
      <c r="I7" s="331"/>
      <c r="J7" s="332"/>
      <c r="K7" s="7" t="str">
        <f>IF(E7="","入力してください","")</f>
        <v/>
      </c>
    </row>
    <row r="8" spans="1:11" ht="207" customHeight="1" x14ac:dyDescent="0.2">
      <c r="B8" s="122"/>
      <c r="C8" s="336" t="s">
        <v>32</v>
      </c>
      <c r="D8" s="337"/>
      <c r="E8" s="335" t="s">
        <v>219</v>
      </c>
      <c r="F8" s="331"/>
      <c r="G8" s="331"/>
      <c r="H8" s="331"/>
      <c r="I8" s="331"/>
      <c r="J8" s="332"/>
      <c r="K8" s="7" t="str">
        <f>IF(E8="","入力してください","")</f>
        <v/>
      </c>
    </row>
    <row r="9" spans="1:11" ht="172.5" customHeight="1" x14ac:dyDescent="0.2">
      <c r="B9" s="122"/>
      <c r="C9" s="329" t="s">
        <v>33</v>
      </c>
      <c r="D9" s="330"/>
      <c r="E9" s="335" t="s">
        <v>220</v>
      </c>
      <c r="F9" s="331"/>
      <c r="G9" s="331"/>
      <c r="H9" s="331"/>
      <c r="I9" s="331"/>
      <c r="J9" s="332"/>
      <c r="K9" s="7" t="str">
        <f>IF(E9="","入力してください","")</f>
        <v/>
      </c>
    </row>
    <row r="10" spans="1:11" ht="172.5" customHeight="1" x14ac:dyDescent="0.2">
      <c r="B10" s="122"/>
      <c r="C10" s="329" t="s">
        <v>34</v>
      </c>
      <c r="D10" s="330"/>
      <c r="E10" s="335" t="s">
        <v>221</v>
      </c>
      <c r="F10" s="331"/>
      <c r="G10" s="331"/>
      <c r="H10" s="331"/>
      <c r="I10" s="331"/>
      <c r="J10" s="332"/>
      <c r="K10" s="7" t="str">
        <f t="shared" ref="K10:K14" si="0">IF(E10="","入力してください","")</f>
        <v/>
      </c>
    </row>
    <row r="11" spans="1:11" ht="172.5" customHeight="1" x14ac:dyDescent="0.2">
      <c r="B11" s="122"/>
      <c r="C11" s="329" t="s">
        <v>35</v>
      </c>
      <c r="D11" s="330"/>
      <c r="E11" s="335" t="s">
        <v>222</v>
      </c>
      <c r="F11" s="331"/>
      <c r="G11" s="331"/>
      <c r="H11" s="331"/>
      <c r="I11" s="331"/>
      <c r="J11" s="332"/>
      <c r="K11" s="7" t="str">
        <f t="shared" si="0"/>
        <v/>
      </c>
    </row>
    <row r="12" spans="1:11" ht="18.75" customHeight="1" x14ac:dyDescent="0.2">
      <c r="B12" s="123" t="s">
        <v>36</v>
      </c>
      <c r="C12" s="124"/>
      <c r="D12" s="125"/>
      <c r="E12" s="126"/>
      <c r="F12" s="126"/>
      <c r="G12" s="126"/>
      <c r="H12" s="126"/>
      <c r="I12" s="126"/>
      <c r="J12" s="127"/>
    </row>
    <row r="13" spans="1:11" ht="244.2" customHeight="1" x14ac:dyDescent="0.2">
      <c r="B13" s="122"/>
      <c r="C13" s="329" t="s">
        <v>37</v>
      </c>
      <c r="D13" s="330"/>
      <c r="E13" s="331" t="s">
        <v>217</v>
      </c>
      <c r="F13" s="331"/>
      <c r="G13" s="331"/>
      <c r="H13" s="331"/>
      <c r="I13" s="331"/>
      <c r="J13" s="332"/>
      <c r="K13" s="7" t="str">
        <f t="shared" si="0"/>
        <v/>
      </c>
    </row>
    <row r="14" spans="1:11" ht="255" customHeight="1" x14ac:dyDescent="0.2">
      <c r="B14" s="122"/>
      <c r="C14" s="329" t="s">
        <v>38</v>
      </c>
      <c r="D14" s="330"/>
      <c r="E14" s="331" t="s">
        <v>218</v>
      </c>
      <c r="F14" s="331"/>
      <c r="G14" s="331"/>
      <c r="H14" s="331"/>
      <c r="I14" s="331"/>
      <c r="J14" s="332"/>
      <c r="K14" s="7" t="str">
        <f t="shared" si="0"/>
        <v/>
      </c>
    </row>
    <row r="15" spans="1:11" ht="243" customHeight="1" x14ac:dyDescent="0.2">
      <c r="B15" s="333" t="s">
        <v>39</v>
      </c>
      <c r="C15" s="334"/>
      <c r="D15" s="330"/>
      <c r="E15" s="331" t="s">
        <v>223</v>
      </c>
      <c r="F15" s="331"/>
      <c r="G15" s="331"/>
      <c r="H15" s="331"/>
      <c r="I15" s="331"/>
      <c r="J15" s="332"/>
      <c r="K15" s="7" t="str">
        <f>IF(E15="","入力してください","")</f>
        <v/>
      </c>
    </row>
    <row r="16" spans="1:11" ht="243" customHeight="1" x14ac:dyDescent="0.2">
      <c r="B16" s="324" t="s">
        <v>68</v>
      </c>
      <c r="C16" s="325"/>
      <c r="D16" s="326"/>
      <c r="E16" s="312" t="s">
        <v>224</v>
      </c>
      <c r="F16" s="312"/>
      <c r="G16" s="312"/>
      <c r="H16" s="312"/>
      <c r="I16" s="312"/>
      <c r="J16" s="313"/>
      <c r="K16" s="7" t="str">
        <f>IF(E16="","入力してください","")</f>
        <v/>
      </c>
    </row>
    <row r="17" spans="1:11" ht="7.5" customHeight="1" x14ac:dyDescent="0.2">
      <c r="B17" s="120"/>
      <c r="C17" s="120"/>
      <c r="D17" s="120"/>
      <c r="E17" s="120"/>
      <c r="F17" s="120"/>
      <c r="G17" s="120"/>
      <c r="H17" s="120"/>
      <c r="I17" s="120"/>
      <c r="J17" s="120"/>
    </row>
    <row r="18" spans="1:11" ht="18.75" customHeight="1" x14ac:dyDescent="0.2">
      <c r="A18" s="7" t="s">
        <v>129</v>
      </c>
      <c r="C18" s="120"/>
      <c r="D18" s="120"/>
      <c r="E18" s="120"/>
      <c r="F18" s="118"/>
      <c r="G18" s="348" t="s">
        <v>226</v>
      </c>
      <c r="H18" s="327"/>
      <c r="I18" s="327"/>
      <c r="J18" s="328"/>
      <c r="K18" s="7" t="str">
        <f>IF(G18="","入力してください","")</f>
        <v/>
      </c>
    </row>
    <row r="19" spans="1:11" ht="22.5" customHeight="1" x14ac:dyDescent="0.2">
      <c r="B19" s="120"/>
      <c r="C19" s="120"/>
      <c r="D19" s="120"/>
      <c r="E19" s="120"/>
      <c r="F19" s="120"/>
      <c r="G19" s="120"/>
      <c r="H19" s="120"/>
      <c r="I19" s="120"/>
      <c r="J19" s="120"/>
    </row>
    <row r="20" spans="1:11" ht="22.5" customHeight="1" x14ac:dyDescent="0.2">
      <c r="B20" s="120"/>
      <c r="C20" s="120"/>
      <c r="D20" s="120"/>
      <c r="E20" s="120"/>
      <c r="F20" s="120"/>
      <c r="G20" s="120"/>
      <c r="H20" s="120"/>
      <c r="I20" s="120"/>
      <c r="J20" s="120"/>
    </row>
    <row r="21" spans="1:11" ht="22.5" customHeight="1" x14ac:dyDescent="0.2">
      <c r="B21" s="120"/>
      <c r="C21" s="120"/>
      <c r="D21" s="120"/>
      <c r="E21" s="120"/>
      <c r="F21" s="120"/>
      <c r="G21" s="120"/>
      <c r="H21" s="120"/>
      <c r="I21" s="120"/>
      <c r="J21" s="120"/>
    </row>
    <row r="22" spans="1:11" ht="22.5" customHeight="1" x14ac:dyDescent="0.2">
      <c r="B22" s="120"/>
      <c r="C22" s="120"/>
      <c r="D22" s="120"/>
      <c r="E22" s="120"/>
      <c r="F22" s="120"/>
      <c r="G22" s="120"/>
      <c r="H22" s="120"/>
      <c r="I22" s="120"/>
      <c r="J22" s="120"/>
    </row>
    <row r="23" spans="1:11" ht="22.5" customHeight="1" x14ac:dyDescent="0.2">
      <c r="B23" s="120"/>
      <c r="C23" s="120"/>
      <c r="D23" s="120"/>
      <c r="E23" s="120"/>
      <c r="F23" s="120"/>
      <c r="G23" s="120"/>
      <c r="H23" s="120"/>
      <c r="I23" s="120"/>
      <c r="J23" s="120"/>
    </row>
    <row r="24" spans="1:11" ht="22.5" customHeight="1" x14ac:dyDescent="0.2">
      <c r="B24" s="62"/>
      <c r="C24" s="62"/>
      <c r="D24" s="62"/>
      <c r="E24" s="62"/>
      <c r="F24" s="62"/>
      <c r="G24" s="62"/>
      <c r="H24" s="62"/>
      <c r="I24" s="62"/>
      <c r="J24" s="62"/>
    </row>
    <row r="25" spans="1:11" ht="22.5" customHeight="1" x14ac:dyDescent="0.2">
      <c r="B25" s="62"/>
      <c r="C25" s="62"/>
      <c r="D25" s="62"/>
      <c r="E25" s="62"/>
      <c r="F25" s="62"/>
      <c r="G25" s="62"/>
      <c r="H25" s="62"/>
      <c r="I25" s="62"/>
      <c r="J25" s="62"/>
    </row>
    <row r="26" spans="1:11" ht="22.5" customHeight="1" x14ac:dyDescent="0.2">
      <c r="B26" s="62"/>
      <c r="C26" s="62"/>
      <c r="D26" s="62"/>
      <c r="E26" s="62"/>
      <c r="F26" s="62"/>
      <c r="G26" s="62"/>
      <c r="H26" s="62"/>
      <c r="I26" s="62"/>
      <c r="J26" s="62"/>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BEA14C23-55E5-45AE-B1BB-ACB1C08C8EEE}"/>
  </hyperlinks>
  <printOptions horizontalCentered="1"/>
  <pageMargins left="0.78740157480314965" right="0.78740157480314965" top="0.78740157480314965" bottom="0.78740157480314965" header="0.31496062992125984" footer="0.31496062992125984"/>
  <pageSetup paperSize="9" orientation="landscape" r:id="rId2"/>
  <headerFooter>
    <oddFooter>&amp;P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dimension ref="A1:F124"/>
  <sheetViews>
    <sheetView showZeros="0" view="pageBreakPreview" topLeftCell="A37" zoomScaleNormal="100" zoomScaleSheetLayoutView="100" workbookViewId="0">
      <selection activeCell="M132" sqref="M132"/>
    </sheetView>
  </sheetViews>
  <sheetFormatPr defaultColWidth="11.33203125" defaultRowHeight="18.75" customHeight="1" x14ac:dyDescent="0.2"/>
  <cols>
    <col min="1" max="1" width="3.33203125" style="1" customWidth="1"/>
    <col min="2" max="2" width="15.44140625" style="1" customWidth="1"/>
    <col min="3" max="3" width="37.77734375" style="1" customWidth="1"/>
    <col min="4" max="4" width="1.109375" style="1" customWidth="1"/>
    <col min="5" max="5" width="21.109375" style="1" customWidth="1"/>
    <col min="6" max="6" width="7.77734375" style="1" customWidth="1"/>
    <col min="7" max="7" width="2.21875" style="1" customWidth="1"/>
    <col min="8" max="8" width="2.109375" style="1" customWidth="1"/>
    <col min="9" max="16384" width="11.33203125" style="1"/>
  </cols>
  <sheetData>
    <row r="1" spans="1:6" ht="18.75" customHeight="1" x14ac:dyDescent="0.2">
      <c r="E1" s="268" t="s">
        <v>7</v>
      </c>
      <c r="F1" s="268"/>
    </row>
    <row r="2" spans="1:6" ht="18.75" customHeight="1" x14ac:dyDescent="0.2">
      <c r="A2" s="338" t="s">
        <v>153</v>
      </c>
      <c r="B2" s="338"/>
      <c r="C2" s="338"/>
      <c r="D2" s="338"/>
      <c r="E2" s="338"/>
      <c r="F2" s="338"/>
    </row>
    <row r="3" spans="1:6" ht="7.5" customHeight="1" x14ac:dyDescent="0.2">
      <c r="A3" s="25"/>
      <c r="B3" s="25"/>
      <c r="C3" s="25"/>
      <c r="D3" s="25"/>
      <c r="E3" s="25"/>
      <c r="F3" s="25"/>
    </row>
    <row r="4" spans="1:6" ht="18.75" customHeight="1" x14ac:dyDescent="0.2">
      <c r="A4" s="25" t="s">
        <v>6</v>
      </c>
      <c r="B4" s="3" t="s">
        <v>28</v>
      </c>
      <c r="C4" s="25"/>
      <c r="D4" s="25"/>
      <c r="E4" s="25"/>
      <c r="F4" s="25"/>
    </row>
    <row r="5" spans="1:6" ht="18.75" customHeight="1" x14ac:dyDescent="0.2">
      <c r="A5" s="25"/>
      <c r="B5" s="339"/>
      <c r="C5" s="340"/>
      <c r="D5" s="340"/>
      <c r="E5" s="340"/>
      <c r="F5" s="341"/>
    </row>
    <row r="6" spans="1:6" ht="18.75" customHeight="1" x14ac:dyDescent="0.2">
      <c r="A6" s="25"/>
      <c r="B6" s="342"/>
      <c r="C6" s="343"/>
      <c r="D6" s="343"/>
      <c r="E6" s="343"/>
      <c r="F6" s="344"/>
    </row>
    <row r="7" spans="1:6" ht="18.75" customHeight="1" x14ac:dyDescent="0.2">
      <c r="A7" s="25"/>
      <c r="B7" s="342"/>
      <c r="C7" s="343"/>
      <c r="D7" s="343"/>
      <c r="E7" s="343"/>
      <c r="F7" s="344"/>
    </row>
    <row r="8" spans="1:6" ht="18.75" customHeight="1" x14ac:dyDescent="0.2">
      <c r="A8" s="25"/>
      <c r="B8" s="342"/>
      <c r="C8" s="343"/>
      <c r="D8" s="343"/>
      <c r="E8" s="343"/>
      <c r="F8" s="344"/>
    </row>
    <row r="9" spans="1:6" ht="18.75" customHeight="1" x14ac:dyDescent="0.2">
      <c r="A9" s="25"/>
      <c r="B9" s="342"/>
      <c r="C9" s="343"/>
      <c r="D9" s="343"/>
      <c r="E9" s="343"/>
      <c r="F9" s="344"/>
    </row>
    <row r="10" spans="1:6" ht="18.75" customHeight="1" x14ac:dyDescent="0.2">
      <c r="A10" s="25"/>
      <c r="B10" s="342"/>
      <c r="C10" s="343"/>
      <c r="D10" s="343"/>
      <c r="E10" s="343"/>
      <c r="F10" s="344"/>
    </row>
    <row r="11" spans="1:6" ht="18.75" customHeight="1" x14ac:dyDescent="0.2">
      <c r="A11" s="25"/>
      <c r="B11" s="342"/>
      <c r="C11" s="343"/>
      <c r="D11" s="343"/>
      <c r="E11" s="343"/>
      <c r="F11" s="344"/>
    </row>
    <row r="12" spans="1:6" ht="18.75" customHeight="1" x14ac:dyDescent="0.2">
      <c r="A12" s="25"/>
      <c r="B12" s="342"/>
      <c r="C12" s="343"/>
      <c r="D12" s="343"/>
      <c r="E12" s="343"/>
      <c r="F12" s="344"/>
    </row>
    <row r="13" spans="1:6" ht="18.75" customHeight="1" x14ac:dyDescent="0.2">
      <c r="A13" s="25"/>
      <c r="B13" s="342"/>
      <c r="C13" s="343"/>
      <c r="D13" s="343"/>
      <c r="E13" s="343"/>
      <c r="F13" s="344"/>
    </row>
    <row r="14" spans="1:6" ht="18.75" customHeight="1" x14ac:dyDescent="0.2">
      <c r="A14" s="25"/>
      <c r="B14" s="342"/>
      <c r="C14" s="343"/>
      <c r="D14" s="343"/>
      <c r="E14" s="343"/>
      <c r="F14" s="344"/>
    </row>
    <row r="15" spans="1:6" ht="18.75" customHeight="1" x14ac:dyDescent="0.2">
      <c r="A15" s="25"/>
      <c r="B15" s="342"/>
      <c r="C15" s="343"/>
      <c r="D15" s="343"/>
      <c r="E15" s="343"/>
      <c r="F15" s="344"/>
    </row>
    <row r="16" spans="1:6" ht="18.75" customHeight="1" x14ac:dyDescent="0.2">
      <c r="A16" s="25"/>
      <c r="B16" s="342"/>
      <c r="C16" s="343"/>
      <c r="D16" s="343"/>
      <c r="E16" s="343"/>
      <c r="F16" s="344"/>
    </row>
    <row r="17" spans="1:6" ht="18.75" customHeight="1" x14ac:dyDescent="0.2">
      <c r="A17" s="25"/>
      <c r="B17" s="342"/>
      <c r="C17" s="343"/>
      <c r="D17" s="343"/>
      <c r="E17" s="343"/>
      <c r="F17" s="344"/>
    </row>
    <row r="18" spans="1:6" ht="18.75" customHeight="1" x14ac:dyDescent="0.2">
      <c r="A18" s="25"/>
      <c r="B18" s="342"/>
      <c r="C18" s="343"/>
      <c r="D18" s="343"/>
      <c r="E18" s="343"/>
      <c r="F18" s="344"/>
    </row>
    <row r="19" spans="1:6" ht="18.75" customHeight="1" x14ac:dyDescent="0.2">
      <c r="A19" s="25"/>
      <c r="B19" s="342"/>
      <c r="C19" s="343"/>
      <c r="D19" s="343"/>
      <c r="E19" s="343"/>
      <c r="F19" s="344"/>
    </row>
    <row r="20" spans="1:6" ht="18.75" customHeight="1" x14ac:dyDescent="0.2">
      <c r="A20" s="25"/>
      <c r="B20" s="342"/>
      <c r="C20" s="343"/>
      <c r="D20" s="343"/>
      <c r="E20" s="343"/>
      <c r="F20" s="344"/>
    </row>
    <row r="21" spans="1:6" ht="18.75" customHeight="1" x14ac:dyDescent="0.2">
      <c r="A21" s="25"/>
      <c r="B21" s="342"/>
      <c r="C21" s="343"/>
      <c r="D21" s="343"/>
      <c r="E21" s="343"/>
      <c r="F21" s="344"/>
    </row>
    <row r="22" spans="1:6" ht="18.75" customHeight="1" x14ac:dyDescent="0.2">
      <c r="A22" s="25"/>
      <c r="B22" s="342"/>
      <c r="C22" s="343"/>
      <c r="D22" s="343"/>
      <c r="E22" s="343"/>
      <c r="F22" s="344"/>
    </row>
    <row r="23" spans="1:6" ht="18.75" customHeight="1" x14ac:dyDescent="0.2">
      <c r="A23" s="25"/>
      <c r="B23" s="342"/>
      <c r="C23" s="343"/>
      <c r="D23" s="343"/>
      <c r="E23" s="343"/>
      <c r="F23" s="344"/>
    </row>
    <row r="24" spans="1:6" ht="18.75" customHeight="1" x14ac:dyDescent="0.2">
      <c r="A24" s="25"/>
      <c r="B24" s="342"/>
      <c r="C24" s="343"/>
      <c r="D24" s="343"/>
      <c r="E24" s="343"/>
      <c r="F24" s="344"/>
    </row>
    <row r="25" spans="1:6" ht="18.75" customHeight="1" x14ac:dyDescent="0.2">
      <c r="A25" s="25"/>
      <c r="B25" s="342"/>
      <c r="C25" s="343"/>
      <c r="D25" s="343"/>
      <c r="E25" s="343"/>
      <c r="F25" s="344"/>
    </row>
    <row r="26" spans="1:6" ht="18.75" customHeight="1" x14ac:dyDescent="0.2">
      <c r="A26" s="25"/>
      <c r="B26" s="342"/>
      <c r="C26" s="343"/>
      <c r="D26" s="343"/>
      <c r="E26" s="343"/>
      <c r="F26" s="344"/>
    </row>
    <row r="27" spans="1:6" ht="18.75" customHeight="1" x14ac:dyDescent="0.2">
      <c r="A27" s="25"/>
      <c r="B27" s="342"/>
      <c r="C27" s="343"/>
      <c r="D27" s="343"/>
      <c r="E27" s="343"/>
      <c r="F27" s="344"/>
    </row>
    <row r="28" spans="1:6" ht="18.75" customHeight="1" x14ac:dyDescent="0.2">
      <c r="A28" s="25"/>
      <c r="B28" s="342"/>
      <c r="C28" s="343"/>
      <c r="D28" s="343"/>
      <c r="E28" s="343"/>
      <c r="F28" s="344"/>
    </row>
    <row r="29" spans="1:6" ht="18.75" customHeight="1" x14ac:dyDescent="0.2">
      <c r="A29" s="25"/>
      <c r="B29" s="342"/>
      <c r="C29" s="343"/>
      <c r="D29" s="343"/>
      <c r="E29" s="343"/>
      <c r="F29" s="344"/>
    </row>
    <row r="30" spans="1:6" ht="18.75" customHeight="1" x14ac:dyDescent="0.2">
      <c r="A30" s="25"/>
      <c r="B30" s="342"/>
      <c r="C30" s="343"/>
      <c r="D30" s="343"/>
      <c r="E30" s="343"/>
      <c r="F30" s="344"/>
    </row>
    <row r="31" spans="1:6" ht="18.75" customHeight="1" x14ac:dyDescent="0.2">
      <c r="A31" s="25"/>
      <c r="B31" s="342"/>
      <c r="C31" s="343"/>
      <c r="D31" s="343"/>
      <c r="E31" s="343"/>
      <c r="F31" s="344"/>
    </row>
    <row r="32" spans="1:6" ht="18.75" customHeight="1" x14ac:dyDescent="0.2">
      <c r="A32" s="25"/>
      <c r="B32" s="342"/>
      <c r="C32" s="343"/>
      <c r="D32" s="343"/>
      <c r="E32" s="343"/>
      <c r="F32" s="344"/>
    </row>
    <row r="33" spans="1:6" ht="18.75" customHeight="1" x14ac:dyDescent="0.2">
      <c r="A33" s="25"/>
      <c r="B33" s="342"/>
      <c r="C33" s="343"/>
      <c r="D33" s="343"/>
      <c r="E33" s="343"/>
      <c r="F33" s="344"/>
    </row>
    <row r="34" spans="1:6" ht="18.75" customHeight="1" x14ac:dyDescent="0.2">
      <c r="A34" s="25"/>
      <c r="B34" s="342"/>
      <c r="C34" s="343"/>
      <c r="D34" s="343"/>
      <c r="E34" s="343"/>
      <c r="F34" s="344"/>
    </row>
    <row r="35" spans="1:6" ht="18.75" customHeight="1" x14ac:dyDescent="0.2">
      <c r="A35" s="25"/>
      <c r="B35" s="342"/>
      <c r="C35" s="343"/>
      <c r="D35" s="343"/>
      <c r="E35" s="343"/>
      <c r="F35" s="344"/>
    </row>
    <row r="36" spans="1:6" ht="18.75" customHeight="1" x14ac:dyDescent="0.2">
      <c r="A36" s="25"/>
      <c r="B36" s="342"/>
      <c r="C36" s="343"/>
      <c r="D36" s="343"/>
      <c r="E36" s="343"/>
      <c r="F36" s="344"/>
    </row>
    <row r="37" spans="1:6" ht="18.75" customHeight="1" x14ac:dyDescent="0.2">
      <c r="A37" s="25"/>
      <c r="B37" s="342"/>
      <c r="C37" s="343"/>
      <c r="D37" s="343"/>
      <c r="E37" s="343"/>
      <c r="F37" s="344"/>
    </row>
    <row r="38" spans="1:6" ht="18.75" customHeight="1" x14ac:dyDescent="0.2">
      <c r="A38" s="25"/>
      <c r="B38" s="342"/>
      <c r="C38" s="343"/>
      <c r="D38" s="343"/>
      <c r="E38" s="343"/>
      <c r="F38" s="344"/>
    </row>
    <row r="39" spans="1:6" ht="18.75" customHeight="1" x14ac:dyDescent="0.2">
      <c r="A39" s="25"/>
      <c r="B39" s="342"/>
      <c r="C39" s="343"/>
      <c r="D39" s="343"/>
      <c r="E39" s="343"/>
      <c r="F39" s="344"/>
    </row>
    <row r="40" spans="1:6" ht="18.75" customHeight="1" x14ac:dyDescent="0.2">
      <c r="A40" s="25"/>
      <c r="B40" s="342"/>
      <c r="C40" s="343"/>
      <c r="D40" s="343"/>
      <c r="E40" s="343"/>
      <c r="F40" s="344"/>
    </row>
    <row r="41" spans="1:6" ht="18.75" customHeight="1" x14ac:dyDescent="0.2">
      <c r="A41" s="25"/>
      <c r="B41" s="342"/>
      <c r="C41" s="343"/>
      <c r="D41" s="343"/>
      <c r="E41" s="343"/>
      <c r="F41" s="344"/>
    </row>
    <row r="42" spans="1:6" ht="18.75" customHeight="1" x14ac:dyDescent="0.2">
      <c r="A42" s="25"/>
      <c r="B42" s="345"/>
      <c r="C42" s="346"/>
      <c r="D42" s="346"/>
      <c r="E42" s="346"/>
      <c r="F42" s="347"/>
    </row>
    <row r="43" spans="1:6" ht="18.75" customHeight="1" x14ac:dyDescent="0.2">
      <c r="A43" s="25" t="s">
        <v>10</v>
      </c>
      <c r="B43" s="3" t="s">
        <v>73</v>
      </c>
      <c r="C43" s="25"/>
      <c r="D43" s="25"/>
      <c r="E43" s="25"/>
      <c r="F43" s="25"/>
    </row>
    <row r="44" spans="1:6" ht="18.75" customHeight="1" x14ac:dyDescent="0.2">
      <c r="A44" s="25"/>
      <c r="B44" s="339"/>
      <c r="C44" s="340"/>
      <c r="D44" s="340"/>
      <c r="E44" s="340"/>
      <c r="F44" s="341"/>
    </row>
    <row r="45" spans="1:6" ht="18.75" customHeight="1" x14ac:dyDescent="0.2">
      <c r="A45" s="25"/>
      <c r="B45" s="342"/>
      <c r="C45" s="343"/>
      <c r="D45" s="343"/>
      <c r="E45" s="343"/>
      <c r="F45" s="344"/>
    </row>
    <row r="46" spans="1:6" ht="18.75" customHeight="1" x14ac:dyDescent="0.2">
      <c r="A46" s="25"/>
      <c r="B46" s="342"/>
      <c r="C46" s="343"/>
      <c r="D46" s="343"/>
      <c r="E46" s="343"/>
      <c r="F46" s="344"/>
    </row>
    <row r="47" spans="1:6" ht="18.75" customHeight="1" x14ac:dyDescent="0.2">
      <c r="A47" s="25"/>
      <c r="B47" s="342"/>
      <c r="C47" s="343"/>
      <c r="D47" s="343"/>
      <c r="E47" s="343"/>
      <c r="F47" s="344"/>
    </row>
    <row r="48" spans="1:6" ht="18.75" customHeight="1" x14ac:dyDescent="0.2">
      <c r="A48" s="25"/>
      <c r="B48" s="342"/>
      <c r="C48" s="343"/>
      <c r="D48" s="343"/>
      <c r="E48" s="343"/>
      <c r="F48" s="344"/>
    </row>
    <row r="49" spans="1:6" ht="18.75" customHeight="1" x14ac:dyDescent="0.2">
      <c r="A49" s="25"/>
      <c r="B49" s="342"/>
      <c r="C49" s="343"/>
      <c r="D49" s="343"/>
      <c r="E49" s="343"/>
      <c r="F49" s="344"/>
    </row>
    <row r="50" spans="1:6" ht="18.75" customHeight="1" x14ac:dyDescent="0.2">
      <c r="A50" s="25"/>
      <c r="B50" s="342"/>
      <c r="C50" s="343"/>
      <c r="D50" s="343"/>
      <c r="E50" s="343"/>
      <c r="F50" s="344"/>
    </row>
    <row r="51" spans="1:6" ht="18.75" customHeight="1" x14ac:dyDescent="0.2">
      <c r="A51" s="25"/>
      <c r="B51" s="342"/>
      <c r="C51" s="343"/>
      <c r="D51" s="343"/>
      <c r="E51" s="343"/>
      <c r="F51" s="344"/>
    </row>
    <row r="52" spans="1:6" ht="18.75" customHeight="1" x14ac:dyDescent="0.2">
      <c r="A52" s="25"/>
      <c r="B52" s="342"/>
      <c r="C52" s="343"/>
      <c r="D52" s="343"/>
      <c r="E52" s="343"/>
      <c r="F52" s="344"/>
    </row>
    <row r="53" spans="1:6" ht="18.75" customHeight="1" x14ac:dyDescent="0.2">
      <c r="A53" s="25"/>
      <c r="B53" s="342"/>
      <c r="C53" s="343"/>
      <c r="D53" s="343"/>
      <c r="E53" s="343"/>
      <c r="F53" s="344"/>
    </row>
    <row r="54" spans="1:6" ht="18.75" customHeight="1" x14ac:dyDescent="0.2">
      <c r="A54" s="25"/>
      <c r="B54" s="342"/>
      <c r="C54" s="343"/>
      <c r="D54" s="343"/>
      <c r="E54" s="343"/>
      <c r="F54" s="344"/>
    </row>
    <row r="55" spans="1:6" ht="18.75" customHeight="1" x14ac:dyDescent="0.2">
      <c r="A55" s="25"/>
      <c r="B55" s="342"/>
      <c r="C55" s="343"/>
      <c r="D55" s="343"/>
      <c r="E55" s="343"/>
      <c r="F55" s="344"/>
    </row>
    <row r="56" spans="1:6" ht="18.75" customHeight="1" x14ac:dyDescent="0.2">
      <c r="A56" s="25"/>
      <c r="B56" s="342"/>
      <c r="C56" s="343"/>
      <c r="D56" s="343"/>
      <c r="E56" s="343"/>
      <c r="F56" s="344"/>
    </row>
    <row r="57" spans="1:6" ht="18.75" customHeight="1" x14ac:dyDescent="0.2">
      <c r="A57" s="25"/>
      <c r="B57" s="342"/>
      <c r="C57" s="343"/>
      <c r="D57" s="343"/>
      <c r="E57" s="343"/>
      <c r="F57" s="344"/>
    </row>
    <row r="58" spans="1:6" ht="18.75" customHeight="1" x14ac:dyDescent="0.2">
      <c r="A58" s="25"/>
      <c r="B58" s="342"/>
      <c r="C58" s="343"/>
      <c r="D58" s="343"/>
      <c r="E58" s="343"/>
      <c r="F58" s="344"/>
    </row>
    <row r="59" spans="1:6" ht="18.75" customHeight="1" x14ac:dyDescent="0.2">
      <c r="A59" s="25"/>
      <c r="B59" s="342"/>
      <c r="C59" s="343"/>
      <c r="D59" s="343"/>
      <c r="E59" s="343"/>
      <c r="F59" s="344"/>
    </row>
    <row r="60" spans="1:6" ht="18.75" customHeight="1" x14ac:dyDescent="0.2">
      <c r="A60" s="25"/>
      <c r="B60" s="342"/>
      <c r="C60" s="343"/>
      <c r="D60" s="343"/>
      <c r="E60" s="343"/>
      <c r="F60" s="344"/>
    </row>
    <row r="61" spans="1:6" ht="18.75" customHeight="1" x14ac:dyDescent="0.2">
      <c r="A61" s="25"/>
      <c r="B61" s="342"/>
      <c r="C61" s="343"/>
      <c r="D61" s="343"/>
      <c r="E61" s="343"/>
      <c r="F61" s="344"/>
    </row>
    <row r="62" spans="1:6" ht="18.75" customHeight="1" x14ac:dyDescent="0.2">
      <c r="A62" s="25"/>
      <c r="B62" s="342"/>
      <c r="C62" s="343"/>
      <c r="D62" s="343"/>
      <c r="E62" s="343"/>
      <c r="F62" s="344"/>
    </row>
    <row r="63" spans="1:6" ht="18.75" customHeight="1" x14ac:dyDescent="0.2">
      <c r="A63" s="25"/>
      <c r="B63" s="342"/>
      <c r="C63" s="343"/>
      <c r="D63" s="343"/>
      <c r="E63" s="343"/>
      <c r="F63" s="344"/>
    </row>
    <row r="64" spans="1:6" ht="18.75" customHeight="1" x14ac:dyDescent="0.2">
      <c r="A64" s="25"/>
      <c r="B64" s="342"/>
      <c r="C64" s="343"/>
      <c r="D64" s="343"/>
      <c r="E64" s="343"/>
      <c r="F64" s="344"/>
    </row>
    <row r="65" spans="1:6" ht="18.75" customHeight="1" x14ac:dyDescent="0.2">
      <c r="A65" s="25"/>
      <c r="B65" s="342"/>
      <c r="C65" s="343"/>
      <c r="D65" s="343"/>
      <c r="E65" s="343"/>
      <c r="F65" s="344"/>
    </row>
    <row r="66" spans="1:6" ht="18.75" customHeight="1" x14ac:dyDescent="0.2">
      <c r="A66" s="25"/>
      <c r="B66" s="342"/>
      <c r="C66" s="343"/>
      <c r="D66" s="343"/>
      <c r="E66" s="343"/>
      <c r="F66" s="344"/>
    </row>
    <row r="67" spans="1:6" ht="18.75" customHeight="1" x14ac:dyDescent="0.2">
      <c r="A67" s="25"/>
      <c r="B67" s="342"/>
      <c r="C67" s="343"/>
      <c r="D67" s="343"/>
      <c r="E67" s="343"/>
      <c r="F67" s="344"/>
    </row>
    <row r="68" spans="1:6" ht="18.75" customHeight="1" x14ac:dyDescent="0.2">
      <c r="A68" s="25"/>
      <c r="B68" s="342"/>
      <c r="C68" s="343"/>
      <c r="D68" s="343"/>
      <c r="E68" s="343"/>
      <c r="F68" s="344"/>
    </row>
    <row r="69" spans="1:6" ht="18.75" customHeight="1" x14ac:dyDescent="0.2">
      <c r="A69" s="25"/>
      <c r="B69" s="342"/>
      <c r="C69" s="343"/>
      <c r="D69" s="343"/>
      <c r="E69" s="343"/>
      <c r="F69" s="344"/>
    </row>
    <row r="70" spans="1:6" ht="18.75" customHeight="1" x14ac:dyDescent="0.2">
      <c r="A70" s="25"/>
      <c r="B70" s="342"/>
      <c r="C70" s="343"/>
      <c r="D70" s="343"/>
      <c r="E70" s="343"/>
      <c r="F70" s="344"/>
    </row>
    <row r="71" spans="1:6" ht="18.75" customHeight="1" x14ac:dyDescent="0.2">
      <c r="A71" s="25"/>
      <c r="B71" s="342"/>
      <c r="C71" s="343"/>
      <c r="D71" s="343"/>
      <c r="E71" s="343"/>
      <c r="F71" s="344"/>
    </row>
    <row r="72" spans="1:6" ht="18.75" customHeight="1" x14ac:dyDescent="0.2">
      <c r="A72" s="25"/>
      <c r="B72" s="342"/>
      <c r="C72" s="343"/>
      <c r="D72" s="343"/>
      <c r="E72" s="343"/>
      <c r="F72" s="344"/>
    </row>
    <row r="73" spans="1:6" ht="18.75" customHeight="1" x14ac:dyDescent="0.2">
      <c r="A73" s="25"/>
      <c r="B73" s="342"/>
      <c r="C73" s="343"/>
      <c r="D73" s="343"/>
      <c r="E73" s="343"/>
      <c r="F73" s="344"/>
    </row>
    <row r="74" spans="1:6" ht="18.75" customHeight="1" x14ac:dyDescent="0.2">
      <c r="A74" s="25"/>
      <c r="B74" s="342"/>
      <c r="C74" s="343"/>
      <c r="D74" s="343"/>
      <c r="E74" s="343"/>
      <c r="F74" s="344"/>
    </row>
    <row r="75" spans="1:6" ht="18.75" customHeight="1" x14ac:dyDescent="0.2">
      <c r="A75" s="25"/>
      <c r="B75" s="342"/>
      <c r="C75" s="343"/>
      <c r="D75" s="343"/>
      <c r="E75" s="343"/>
      <c r="F75" s="344"/>
    </row>
    <row r="76" spans="1:6" ht="18.75" customHeight="1" x14ac:dyDescent="0.2">
      <c r="A76" s="25"/>
      <c r="B76" s="342"/>
      <c r="C76" s="343"/>
      <c r="D76" s="343"/>
      <c r="E76" s="343"/>
      <c r="F76" s="344"/>
    </row>
    <row r="77" spans="1:6" ht="18.75" customHeight="1" x14ac:dyDescent="0.2">
      <c r="A77" s="25"/>
      <c r="B77" s="342"/>
      <c r="C77" s="343"/>
      <c r="D77" s="343"/>
      <c r="E77" s="343"/>
      <c r="F77" s="344"/>
    </row>
    <row r="78" spans="1:6" ht="18.75" customHeight="1" x14ac:dyDescent="0.2">
      <c r="A78" s="25"/>
      <c r="B78" s="342"/>
      <c r="C78" s="343"/>
      <c r="D78" s="343"/>
      <c r="E78" s="343"/>
      <c r="F78" s="344"/>
    </row>
    <row r="79" spans="1:6" ht="18.75" customHeight="1" x14ac:dyDescent="0.2">
      <c r="A79" s="25"/>
      <c r="B79" s="342"/>
      <c r="C79" s="343"/>
      <c r="D79" s="343"/>
      <c r="E79" s="343"/>
      <c r="F79" s="344"/>
    </row>
    <row r="80" spans="1:6" ht="18.75" customHeight="1" x14ac:dyDescent="0.2">
      <c r="A80" s="25"/>
      <c r="B80" s="342"/>
      <c r="C80" s="343"/>
      <c r="D80" s="343"/>
      <c r="E80" s="343"/>
      <c r="F80" s="344"/>
    </row>
    <row r="81" spans="1:6" ht="18.75" customHeight="1" x14ac:dyDescent="0.2">
      <c r="A81" s="25"/>
      <c r="B81" s="342"/>
      <c r="C81" s="343"/>
      <c r="D81" s="343"/>
      <c r="E81" s="343"/>
      <c r="F81" s="344"/>
    </row>
    <row r="82" spans="1:6" ht="18.75" customHeight="1" x14ac:dyDescent="0.2">
      <c r="A82" s="25"/>
      <c r="B82" s="342"/>
      <c r="C82" s="343"/>
      <c r="D82" s="343"/>
      <c r="E82" s="343"/>
      <c r="F82" s="344"/>
    </row>
    <row r="83" spans="1:6" ht="18.75" customHeight="1" x14ac:dyDescent="0.2">
      <c r="A83" s="25"/>
      <c r="B83" s="345"/>
      <c r="C83" s="346"/>
      <c r="D83" s="346"/>
      <c r="E83" s="346"/>
      <c r="F83" s="347"/>
    </row>
    <row r="84" spans="1:6" ht="18.75" customHeight="1" x14ac:dyDescent="0.2">
      <c r="A84" s="3" t="s">
        <v>11</v>
      </c>
      <c r="B84" s="3" t="s">
        <v>74</v>
      </c>
      <c r="C84" s="3"/>
      <c r="D84" s="3"/>
      <c r="E84" s="3"/>
      <c r="F84" s="3"/>
    </row>
    <row r="85" spans="1:6" ht="18.75" customHeight="1" x14ac:dyDescent="0.2">
      <c r="A85" s="25"/>
      <c r="B85" s="339"/>
      <c r="C85" s="340"/>
      <c r="D85" s="340"/>
      <c r="E85" s="340"/>
      <c r="F85" s="341"/>
    </row>
    <row r="86" spans="1:6" ht="18.75" customHeight="1" x14ac:dyDescent="0.2">
      <c r="A86" s="25"/>
      <c r="B86" s="342"/>
      <c r="C86" s="343"/>
      <c r="D86" s="343"/>
      <c r="E86" s="343"/>
      <c r="F86" s="344"/>
    </row>
    <row r="87" spans="1:6" ht="18.75" customHeight="1" x14ac:dyDescent="0.2">
      <c r="A87" s="25"/>
      <c r="B87" s="342"/>
      <c r="C87" s="343"/>
      <c r="D87" s="343"/>
      <c r="E87" s="343"/>
      <c r="F87" s="344"/>
    </row>
    <row r="88" spans="1:6" ht="18.75" customHeight="1" x14ac:dyDescent="0.2">
      <c r="A88" s="25"/>
      <c r="B88" s="342"/>
      <c r="C88" s="343"/>
      <c r="D88" s="343"/>
      <c r="E88" s="343"/>
      <c r="F88" s="344"/>
    </row>
    <row r="89" spans="1:6" ht="18.75" customHeight="1" x14ac:dyDescent="0.2">
      <c r="A89" s="25"/>
      <c r="B89" s="342"/>
      <c r="C89" s="343"/>
      <c r="D89" s="343"/>
      <c r="E89" s="343"/>
      <c r="F89" s="344"/>
    </row>
    <row r="90" spans="1:6" ht="18.75" customHeight="1" x14ac:dyDescent="0.2">
      <c r="A90" s="25"/>
      <c r="B90" s="342"/>
      <c r="C90" s="343"/>
      <c r="D90" s="343"/>
      <c r="E90" s="343"/>
      <c r="F90" s="344"/>
    </row>
    <row r="91" spans="1:6" ht="18.75" customHeight="1" x14ac:dyDescent="0.2">
      <c r="A91" s="25"/>
      <c r="B91" s="342"/>
      <c r="C91" s="343"/>
      <c r="D91" s="343"/>
      <c r="E91" s="343"/>
      <c r="F91" s="344"/>
    </row>
    <row r="92" spans="1:6" ht="18.75" customHeight="1" x14ac:dyDescent="0.2">
      <c r="A92" s="25"/>
      <c r="B92" s="342"/>
      <c r="C92" s="343"/>
      <c r="D92" s="343"/>
      <c r="E92" s="343"/>
      <c r="F92" s="344"/>
    </row>
    <row r="93" spans="1:6" ht="18.75" customHeight="1" x14ac:dyDescent="0.2">
      <c r="A93" s="25"/>
      <c r="B93" s="342"/>
      <c r="C93" s="343"/>
      <c r="D93" s="343"/>
      <c r="E93" s="343"/>
      <c r="F93" s="344"/>
    </row>
    <row r="94" spans="1:6" ht="18.75" customHeight="1" x14ac:dyDescent="0.2">
      <c r="A94" s="25"/>
      <c r="B94" s="342"/>
      <c r="C94" s="343"/>
      <c r="D94" s="343"/>
      <c r="E94" s="343"/>
      <c r="F94" s="344"/>
    </row>
    <row r="95" spans="1:6" ht="18.75" customHeight="1" x14ac:dyDescent="0.2">
      <c r="A95" s="25"/>
      <c r="B95" s="342"/>
      <c r="C95" s="343"/>
      <c r="D95" s="343"/>
      <c r="E95" s="343"/>
      <c r="F95" s="344"/>
    </row>
    <row r="96" spans="1:6" ht="18.75" customHeight="1" x14ac:dyDescent="0.2">
      <c r="A96" s="25"/>
      <c r="B96" s="342"/>
      <c r="C96" s="343"/>
      <c r="D96" s="343"/>
      <c r="E96" s="343"/>
      <c r="F96" s="344"/>
    </row>
    <row r="97" spans="1:6" ht="18.75" customHeight="1" x14ac:dyDescent="0.2">
      <c r="A97" s="25"/>
      <c r="B97" s="342"/>
      <c r="C97" s="343"/>
      <c r="D97" s="343"/>
      <c r="E97" s="343"/>
      <c r="F97" s="344"/>
    </row>
    <row r="98" spans="1:6" ht="18.75" customHeight="1" x14ac:dyDescent="0.2">
      <c r="A98" s="25"/>
      <c r="B98" s="342"/>
      <c r="C98" s="343"/>
      <c r="D98" s="343"/>
      <c r="E98" s="343"/>
      <c r="F98" s="344"/>
    </row>
    <row r="99" spans="1:6" ht="18.75" customHeight="1" x14ac:dyDescent="0.2">
      <c r="A99" s="25"/>
      <c r="B99" s="342"/>
      <c r="C99" s="343"/>
      <c r="D99" s="343"/>
      <c r="E99" s="343"/>
      <c r="F99" s="344"/>
    </row>
    <row r="100" spans="1:6" ht="18.75" customHeight="1" x14ac:dyDescent="0.2">
      <c r="A100" s="25"/>
      <c r="B100" s="342"/>
      <c r="C100" s="343"/>
      <c r="D100" s="343"/>
      <c r="E100" s="343"/>
      <c r="F100" s="344"/>
    </row>
    <row r="101" spans="1:6" ht="18.75" customHeight="1" x14ac:dyDescent="0.2">
      <c r="A101" s="25"/>
      <c r="B101" s="342"/>
      <c r="C101" s="343"/>
      <c r="D101" s="343"/>
      <c r="E101" s="343"/>
      <c r="F101" s="344"/>
    </row>
    <row r="102" spans="1:6" ht="18.75" customHeight="1" x14ac:dyDescent="0.2">
      <c r="A102" s="25"/>
      <c r="B102" s="342"/>
      <c r="C102" s="343"/>
      <c r="D102" s="343"/>
      <c r="E102" s="343"/>
      <c r="F102" s="344"/>
    </row>
    <row r="103" spans="1:6" ht="18.75" customHeight="1" x14ac:dyDescent="0.2">
      <c r="A103" s="25"/>
      <c r="B103" s="342"/>
      <c r="C103" s="343"/>
      <c r="D103" s="343"/>
      <c r="E103" s="343"/>
      <c r="F103" s="344"/>
    </row>
    <row r="104" spans="1:6" ht="18.75" customHeight="1" x14ac:dyDescent="0.2">
      <c r="A104" s="25"/>
      <c r="B104" s="342"/>
      <c r="C104" s="343"/>
      <c r="D104" s="343"/>
      <c r="E104" s="343"/>
      <c r="F104" s="344"/>
    </row>
    <row r="105" spans="1:6" ht="18.75" customHeight="1" x14ac:dyDescent="0.2">
      <c r="A105" s="25"/>
      <c r="B105" s="342"/>
      <c r="C105" s="343"/>
      <c r="D105" s="343"/>
      <c r="E105" s="343"/>
      <c r="F105" s="344"/>
    </row>
    <row r="106" spans="1:6" ht="18.75" customHeight="1" x14ac:dyDescent="0.2">
      <c r="A106" s="25"/>
      <c r="B106" s="342"/>
      <c r="C106" s="343"/>
      <c r="D106" s="343"/>
      <c r="E106" s="343"/>
      <c r="F106" s="344"/>
    </row>
    <row r="107" spans="1:6" ht="18.75" customHeight="1" x14ac:dyDescent="0.2">
      <c r="A107" s="25"/>
      <c r="B107" s="342"/>
      <c r="C107" s="343"/>
      <c r="D107" s="343"/>
      <c r="E107" s="343"/>
      <c r="F107" s="344"/>
    </row>
    <row r="108" spans="1:6" ht="18.75" customHeight="1" x14ac:dyDescent="0.2">
      <c r="A108" s="25"/>
      <c r="B108" s="342"/>
      <c r="C108" s="343"/>
      <c r="D108" s="343"/>
      <c r="E108" s="343"/>
      <c r="F108" s="344"/>
    </row>
    <row r="109" spans="1:6" ht="18.75" customHeight="1" x14ac:dyDescent="0.2">
      <c r="A109" s="25"/>
      <c r="B109" s="342"/>
      <c r="C109" s="343"/>
      <c r="D109" s="343"/>
      <c r="E109" s="343"/>
      <c r="F109" s="344"/>
    </row>
    <row r="110" spans="1:6" ht="18.75" customHeight="1" x14ac:dyDescent="0.2">
      <c r="A110" s="25"/>
      <c r="B110" s="342"/>
      <c r="C110" s="343"/>
      <c r="D110" s="343"/>
      <c r="E110" s="343"/>
      <c r="F110" s="344"/>
    </row>
    <row r="111" spans="1:6" ht="18.75" customHeight="1" x14ac:dyDescent="0.2">
      <c r="A111" s="25"/>
      <c r="B111" s="342"/>
      <c r="C111" s="343"/>
      <c r="D111" s="343"/>
      <c r="E111" s="343"/>
      <c r="F111" s="344"/>
    </row>
    <row r="112" spans="1:6" ht="18.75" customHeight="1" x14ac:dyDescent="0.2">
      <c r="A112" s="25"/>
      <c r="B112" s="342"/>
      <c r="C112" s="343"/>
      <c r="D112" s="343"/>
      <c r="E112" s="343"/>
      <c r="F112" s="344"/>
    </row>
    <row r="113" spans="1:6" ht="18.75" customHeight="1" x14ac:dyDescent="0.2">
      <c r="A113" s="25"/>
      <c r="B113" s="342"/>
      <c r="C113" s="343"/>
      <c r="D113" s="343"/>
      <c r="E113" s="343"/>
      <c r="F113" s="344"/>
    </row>
    <row r="114" spans="1:6" ht="18.75" customHeight="1" x14ac:dyDescent="0.2">
      <c r="A114" s="25"/>
      <c r="B114" s="342"/>
      <c r="C114" s="343"/>
      <c r="D114" s="343"/>
      <c r="E114" s="343"/>
      <c r="F114" s="344"/>
    </row>
    <row r="115" spans="1:6" ht="18.75" customHeight="1" x14ac:dyDescent="0.2">
      <c r="A115" s="25"/>
      <c r="B115" s="342"/>
      <c r="C115" s="343"/>
      <c r="D115" s="343"/>
      <c r="E115" s="343"/>
      <c r="F115" s="344"/>
    </row>
    <row r="116" spans="1:6" ht="18.75" customHeight="1" x14ac:dyDescent="0.2">
      <c r="A116" s="25"/>
      <c r="B116" s="342"/>
      <c r="C116" s="343"/>
      <c r="D116" s="343"/>
      <c r="E116" s="343"/>
      <c r="F116" s="344"/>
    </row>
    <row r="117" spans="1:6" ht="18.75" customHeight="1" x14ac:dyDescent="0.2">
      <c r="A117" s="25"/>
      <c r="B117" s="342"/>
      <c r="C117" s="343"/>
      <c r="D117" s="343"/>
      <c r="E117" s="343"/>
      <c r="F117" s="344"/>
    </row>
    <row r="118" spans="1:6" ht="18.75" customHeight="1" x14ac:dyDescent="0.2">
      <c r="A118" s="25"/>
      <c r="B118" s="342"/>
      <c r="C118" s="343"/>
      <c r="D118" s="343"/>
      <c r="E118" s="343"/>
      <c r="F118" s="344"/>
    </row>
    <row r="119" spans="1:6" ht="18.75" customHeight="1" x14ac:dyDescent="0.2">
      <c r="A119" s="25"/>
      <c r="B119" s="342"/>
      <c r="C119" s="343"/>
      <c r="D119" s="343"/>
      <c r="E119" s="343"/>
      <c r="F119" s="344"/>
    </row>
    <row r="120" spans="1:6" ht="18.75" customHeight="1" x14ac:dyDescent="0.2">
      <c r="A120" s="25"/>
      <c r="B120" s="342"/>
      <c r="C120" s="343"/>
      <c r="D120" s="343"/>
      <c r="E120" s="343"/>
      <c r="F120" s="344"/>
    </row>
    <row r="121" spans="1:6" ht="18.75" customHeight="1" x14ac:dyDescent="0.2">
      <c r="A121" s="25"/>
      <c r="B121" s="342"/>
      <c r="C121" s="343"/>
      <c r="D121" s="343"/>
      <c r="E121" s="343"/>
      <c r="F121" s="344"/>
    </row>
    <row r="122" spans="1:6" ht="18.75" customHeight="1" x14ac:dyDescent="0.2">
      <c r="A122" s="25"/>
      <c r="B122" s="342"/>
      <c r="C122" s="343"/>
      <c r="D122" s="343"/>
      <c r="E122" s="343"/>
      <c r="F122" s="344"/>
    </row>
    <row r="123" spans="1:6" ht="18.75" customHeight="1" x14ac:dyDescent="0.2">
      <c r="A123" s="25"/>
      <c r="B123" s="342"/>
      <c r="C123" s="343"/>
      <c r="D123" s="343"/>
      <c r="E123" s="343"/>
      <c r="F123" s="344"/>
    </row>
    <row r="124" spans="1:6" ht="18.75" customHeight="1" x14ac:dyDescent="0.2">
      <c r="A124" s="25"/>
      <c r="B124" s="345"/>
      <c r="C124" s="346"/>
      <c r="D124" s="346"/>
      <c r="E124" s="346"/>
      <c r="F124" s="347"/>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荻原　由昌</cp:lastModifiedBy>
  <cp:lastPrinted>2022-05-10T03:32:25Z</cp:lastPrinted>
  <dcterms:created xsi:type="dcterms:W3CDTF">2011-06-14T05:32:50Z</dcterms:created>
  <dcterms:modified xsi:type="dcterms:W3CDTF">2022-07-07T09:10:22Z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